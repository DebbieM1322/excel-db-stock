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30" windowWidth="23250" windowHeight="9990" activeTab="1"/>
  </bookViews>
  <sheets>
    <sheet name="Φόρμα Εισαγωγής" sheetId="1" r:id="rId1"/>
    <sheet name="Αποθήκη_Στοκ" sheetId="2" r:id="rId2"/>
    <sheet name="Χαμηλή Ποσότητα" sheetId="4" r:id="rId3"/>
    <sheet name="Οδηγίες" sheetId="5" r:id="rId4"/>
    <sheet name="Φύλλο3" sheetId="8" r:id="rId5"/>
  </sheets>
  <definedNames>
    <definedName name="_xlnm._FilterDatabase" localSheetId="1" hidden="1">Αποθήκη_Στοκ!$A$1:$H$7997</definedName>
    <definedName name="_xlnm._FilterDatabase" localSheetId="2" hidden="1">'Χαμηλή Ποσότητα'!$A$1:$E$5</definedName>
    <definedName name="val_list_prod">OFFSET(Αποθήκη_Στοκ!$L$2,,,COUNTIF(Αποθήκη_Στοκ!$L$2:$L$1996,"?*"))</definedName>
    <definedName name="val_list_sub">OFFSET(Αποθήκη_Στοκ!$N$2,,,COUNTIF(Αποθήκη_Στοκ!$N$2:$N$1996,"?*"))</definedName>
    <definedName name="Κίνηση">Οδηγίες!$A$1:$A$2</definedName>
    <definedName name="Προσθήκη">Οδηγίες!$A$5</definedName>
  </definedNames>
  <calcPr calcId="124519"/>
</workbook>
</file>

<file path=xl/calcChain.xml><?xml version="1.0" encoding="utf-8"?>
<calcChain xmlns="http://schemas.openxmlformats.org/spreadsheetml/2006/main">
  <c r="C2" i="8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D1131" i="2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D2005"/>
  <c r="D2006"/>
  <c r="D2007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0"/>
  <c r="D2281"/>
  <c r="D2282"/>
  <c r="D2283"/>
  <c r="D2284"/>
  <c r="D2285"/>
  <c r="D2286"/>
  <c r="D2287"/>
  <c r="D2288"/>
  <c r="D2289"/>
  <c r="D2290"/>
  <c r="D2291"/>
  <c r="D2292"/>
  <c r="D2293"/>
  <c r="D2294"/>
  <c r="D2295"/>
  <c r="D2296"/>
  <c r="D2297"/>
  <c r="D2298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08"/>
  <c r="D2409"/>
  <c r="D2410"/>
  <c r="D2411"/>
  <c r="D2412"/>
  <c r="D2413"/>
  <c r="D2414"/>
  <c r="D2415"/>
  <c r="D2416"/>
  <c r="D2417"/>
  <c r="D2418"/>
  <c r="D2419"/>
  <c r="D2420"/>
  <c r="D2421"/>
  <c r="D2422"/>
  <c r="D2423"/>
  <c r="D2424"/>
  <c r="D2425"/>
  <c r="D2426"/>
  <c r="D2427"/>
  <c r="D2428"/>
  <c r="D2429"/>
  <c r="D2430"/>
  <c r="D2431"/>
  <c r="D2432"/>
  <c r="D2433"/>
  <c r="D2434"/>
  <c r="D2435"/>
  <c r="D2436"/>
  <c r="D2437"/>
  <c r="D2438"/>
  <c r="D2439"/>
  <c r="D2440"/>
  <c r="D2441"/>
  <c r="D2442"/>
  <c r="D2443"/>
  <c r="D2444"/>
  <c r="D2445"/>
  <c r="D2446"/>
  <c r="D2447"/>
  <c r="D2448"/>
  <c r="D2449"/>
  <c r="D2450"/>
  <c r="D2451"/>
  <c r="D2452"/>
  <c r="D2453"/>
  <c r="D2454"/>
  <c r="D2455"/>
  <c r="D2456"/>
  <c r="D2457"/>
  <c r="D2458"/>
  <c r="D2459"/>
  <c r="D2460"/>
  <c r="D2461"/>
  <c r="D2462"/>
  <c r="D2463"/>
  <c r="D2464"/>
  <c r="D2465"/>
  <c r="D2466"/>
  <c r="D2467"/>
  <c r="D2468"/>
  <c r="D2469"/>
  <c r="D2470"/>
  <c r="D2471"/>
  <c r="D2472"/>
  <c r="D2473"/>
  <c r="D2474"/>
  <c r="D2475"/>
  <c r="D2476"/>
  <c r="D2477"/>
  <c r="D2478"/>
  <c r="D2479"/>
  <c r="D2480"/>
  <c r="D2481"/>
  <c r="D2482"/>
  <c r="D2483"/>
  <c r="D2484"/>
  <c r="D2485"/>
  <c r="D2486"/>
  <c r="D2487"/>
  <c r="D2488"/>
  <c r="D2489"/>
  <c r="D2490"/>
  <c r="D2491"/>
  <c r="D2492"/>
  <c r="D2493"/>
  <c r="D2494"/>
  <c r="D2495"/>
  <c r="D2496"/>
  <c r="D2497"/>
  <c r="D2498"/>
  <c r="D2499"/>
  <c r="D2500"/>
  <c r="D2501"/>
  <c r="D2502"/>
  <c r="D2503"/>
  <c r="D2504"/>
  <c r="D2505"/>
  <c r="D2506"/>
  <c r="D2507"/>
  <c r="D2508"/>
  <c r="D2509"/>
  <c r="D2510"/>
  <c r="D2511"/>
  <c r="D2512"/>
  <c r="D2513"/>
  <c r="D2514"/>
  <c r="D2515"/>
  <c r="D2516"/>
  <c r="D2517"/>
  <c r="D2518"/>
  <c r="D2519"/>
  <c r="D2520"/>
  <c r="D2521"/>
  <c r="D2522"/>
  <c r="D2523"/>
  <c r="D2524"/>
  <c r="D2525"/>
  <c r="D2526"/>
  <c r="D2527"/>
  <c r="D2528"/>
  <c r="D2529"/>
  <c r="D2530"/>
  <c r="D2531"/>
  <c r="D2532"/>
  <c r="D2533"/>
  <c r="D2534"/>
  <c r="D2535"/>
  <c r="D2536"/>
  <c r="D2537"/>
  <c r="D2538"/>
  <c r="D2539"/>
  <c r="D2540"/>
  <c r="D2541"/>
  <c r="D2542"/>
  <c r="D2543"/>
  <c r="D2544"/>
  <c r="D2545"/>
  <c r="D2546"/>
  <c r="D2547"/>
  <c r="D2548"/>
  <c r="D2549"/>
  <c r="D2550"/>
  <c r="D2551"/>
  <c r="D2552"/>
  <c r="D2553"/>
  <c r="D2554"/>
  <c r="D2555"/>
  <c r="D2556"/>
  <c r="D2557"/>
  <c r="D2558"/>
  <c r="D2559"/>
  <c r="D2560"/>
  <c r="D2561"/>
  <c r="D2562"/>
  <c r="D2563"/>
  <c r="D2564"/>
  <c r="D2565"/>
  <c r="D2566"/>
  <c r="D2567"/>
  <c r="D2568"/>
  <c r="D2569"/>
  <c r="D2570"/>
  <c r="D2571"/>
  <c r="D2572"/>
  <c r="D2573"/>
  <c r="D2574"/>
  <c r="D2575"/>
  <c r="D2576"/>
  <c r="D2577"/>
  <c r="D2578"/>
  <c r="D2579"/>
  <c r="D2580"/>
  <c r="D2581"/>
  <c r="D2582"/>
  <c r="D2583"/>
  <c r="D2584"/>
  <c r="D2585"/>
  <c r="D2586"/>
  <c r="D2587"/>
  <c r="D2588"/>
  <c r="D2589"/>
  <c r="D2590"/>
  <c r="D2591"/>
  <c r="D2592"/>
  <c r="D2593"/>
  <c r="D2594"/>
  <c r="D2595"/>
  <c r="D2596"/>
  <c r="D2597"/>
  <c r="D2598"/>
  <c r="D2599"/>
  <c r="D2600"/>
  <c r="D2601"/>
  <c r="D2602"/>
  <c r="D2603"/>
  <c r="D2604"/>
  <c r="D2605"/>
  <c r="D2606"/>
  <c r="D2607"/>
  <c r="D2608"/>
  <c r="D2609"/>
  <c r="D2610"/>
  <c r="D2611"/>
  <c r="D2612"/>
  <c r="D2613"/>
  <c r="D2614"/>
  <c r="D2615"/>
  <c r="D2616"/>
  <c r="D2617"/>
  <c r="D2618"/>
  <c r="D2619"/>
  <c r="D2620"/>
  <c r="D2621"/>
  <c r="D2622"/>
  <c r="D2623"/>
  <c r="D2624"/>
  <c r="D2625"/>
  <c r="D2626"/>
  <c r="D2627"/>
  <c r="D2628"/>
  <c r="D2629"/>
  <c r="D2630"/>
  <c r="D2631"/>
  <c r="D2632"/>
  <c r="D2633"/>
  <c r="D2634"/>
  <c r="D2635"/>
  <c r="D2636"/>
  <c r="D2637"/>
  <c r="D2638"/>
  <c r="D2639"/>
  <c r="D2640"/>
  <c r="D2641"/>
  <c r="D2642"/>
  <c r="D2643"/>
  <c r="D2644"/>
  <c r="D2645"/>
  <c r="D2646"/>
  <c r="D2647"/>
  <c r="D2648"/>
  <c r="D2649"/>
  <c r="D2650"/>
  <c r="D2651"/>
  <c r="D2652"/>
  <c r="D2653"/>
  <c r="D2654"/>
  <c r="D2655"/>
  <c r="D2656"/>
  <c r="D2657"/>
  <c r="D2658"/>
  <c r="D2659"/>
  <c r="D2660"/>
  <c r="D2661"/>
  <c r="D2662"/>
  <c r="D2663"/>
  <c r="D2664"/>
  <c r="D2665"/>
  <c r="D2666"/>
  <c r="D2667"/>
  <c r="D2668"/>
  <c r="D2669"/>
  <c r="D2670"/>
  <c r="D2671"/>
  <c r="D2672"/>
  <c r="D2673"/>
  <c r="D2674"/>
  <c r="D2675"/>
  <c r="D2676"/>
  <c r="D2677"/>
  <c r="D2678"/>
  <c r="D2679"/>
  <c r="D2680"/>
  <c r="D2681"/>
  <c r="D2682"/>
  <c r="D2683"/>
  <c r="D2684"/>
  <c r="D2685"/>
  <c r="D2686"/>
  <c r="D2687"/>
  <c r="D2688"/>
  <c r="D2689"/>
  <c r="D2690"/>
  <c r="D2691"/>
  <c r="D2692"/>
  <c r="D2693"/>
  <c r="D2694"/>
  <c r="D2695"/>
  <c r="D2696"/>
  <c r="D2697"/>
  <c r="D2698"/>
  <c r="D2699"/>
  <c r="D2700"/>
  <c r="D2701"/>
  <c r="D2702"/>
  <c r="D2703"/>
  <c r="D2704"/>
  <c r="D2705"/>
  <c r="D2706"/>
  <c r="D2707"/>
  <c r="D2708"/>
  <c r="D2709"/>
  <c r="D2710"/>
  <c r="D2711"/>
  <c r="D2712"/>
  <c r="D2713"/>
  <c r="D2714"/>
  <c r="D2715"/>
  <c r="D2716"/>
  <c r="D2717"/>
  <c r="D2718"/>
  <c r="D2719"/>
  <c r="D2720"/>
  <c r="D2721"/>
  <c r="D2722"/>
  <c r="D2723"/>
  <c r="D2724"/>
  <c r="D2725"/>
  <c r="D2726"/>
  <c r="D2727"/>
  <c r="D2728"/>
  <c r="D2729"/>
  <c r="D2730"/>
  <c r="D2731"/>
  <c r="D2732"/>
  <c r="D2733"/>
  <c r="D2734"/>
  <c r="D2735"/>
  <c r="D2736"/>
  <c r="D2737"/>
  <c r="D2738"/>
  <c r="D2739"/>
  <c r="D2740"/>
  <c r="D2741"/>
  <c r="D2742"/>
  <c r="D2743"/>
  <c r="D2744"/>
  <c r="D2745"/>
  <c r="D2746"/>
  <c r="D2747"/>
  <c r="D2748"/>
  <c r="D2749"/>
  <c r="D2750"/>
  <c r="D2751"/>
  <c r="D2752"/>
  <c r="D2753"/>
  <c r="D2754"/>
  <c r="D2755"/>
  <c r="D2756"/>
  <c r="D2757"/>
  <c r="D2758"/>
  <c r="D2759"/>
  <c r="D2760"/>
  <c r="D2761"/>
  <c r="D2762"/>
  <c r="D2763"/>
  <c r="D2764"/>
  <c r="D2765"/>
  <c r="D2766"/>
  <c r="D2767"/>
  <c r="D2768"/>
  <c r="D2769"/>
  <c r="D2770"/>
  <c r="D2771"/>
  <c r="D2772"/>
  <c r="D2773"/>
  <c r="D2774"/>
  <c r="D2775"/>
  <c r="D2776"/>
  <c r="D2777"/>
  <c r="D2778"/>
  <c r="D2779"/>
  <c r="D2780"/>
  <c r="D2781"/>
  <c r="D2782"/>
  <c r="D2783"/>
  <c r="D2784"/>
  <c r="D2785"/>
  <c r="D2786"/>
  <c r="D2787"/>
  <c r="D2788"/>
  <c r="D2789"/>
  <c r="D2790"/>
  <c r="D2791"/>
  <c r="D2792"/>
  <c r="D2793"/>
  <c r="D2794"/>
  <c r="D2795"/>
  <c r="D2796"/>
  <c r="D2797"/>
  <c r="D2798"/>
  <c r="D2799"/>
  <c r="D2800"/>
  <c r="D2801"/>
  <c r="D2802"/>
  <c r="D2803"/>
  <c r="D2804"/>
  <c r="D2805"/>
  <c r="D2806"/>
  <c r="D2807"/>
  <c r="D2808"/>
  <c r="D2809"/>
  <c r="D2810"/>
  <c r="D2811"/>
  <c r="D2812"/>
  <c r="D2813"/>
  <c r="D2814"/>
  <c r="D2815"/>
  <c r="D2816"/>
  <c r="D2817"/>
  <c r="D2818"/>
  <c r="D2819"/>
  <c r="D2820"/>
  <c r="D2821"/>
  <c r="D2822"/>
  <c r="D2823"/>
  <c r="D2824"/>
  <c r="D2825"/>
  <c r="D2826"/>
  <c r="D2827"/>
  <c r="D2828"/>
  <c r="D2829"/>
  <c r="D2830"/>
  <c r="D2831"/>
  <c r="D2832"/>
  <c r="D2833"/>
  <c r="D2834"/>
  <c r="D2835"/>
  <c r="D2836"/>
  <c r="D2837"/>
  <c r="D2838"/>
  <c r="D2839"/>
  <c r="D2840"/>
  <c r="D2841"/>
  <c r="D2842"/>
  <c r="D2843"/>
  <c r="D2844"/>
  <c r="D2845"/>
  <c r="D2846"/>
  <c r="D2847"/>
  <c r="D2848"/>
  <c r="D2849"/>
  <c r="D2850"/>
  <c r="D2851"/>
  <c r="D2852"/>
  <c r="D2853"/>
  <c r="D2854"/>
  <c r="D2855"/>
  <c r="D2856"/>
  <c r="D2857"/>
  <c r="D2858"/>
  <c r="D2859"/>
  <c r="D2860"/>
  <c r="D2861"/>
  <c r="D2862"/>
  <c r="D2863"/>
  <c r="D2864"/>
  <c r="D2865"/>
  <c r="D2866"/>
  <c r="D2867"/>
  <c r="D2868"/>
  <c r="D2869"/>
  <c r="D2870"/>
  <c r="D2871"/>
  <c r="D2872"/>
  <c r="D2873"/>
  <c r="D2874"/>
  <c r="D2875"/>
  <c r="D2876"/>
  <c r="D2877"/>
  <c r="D2878"/>
  <c r="D2879"/>
  <c r="D2880"/>
  <c r="D2881"/>
  <c r="D2882"/>
  <c r="D2883"/>
  <c r="D2884"/>
  <c r="D2885"/>
  <c r="D2886"/>
  <c r="D2887"/>
  <c r="D2888"/>
  <c r="D2889"/>
  <c r="D2890"/>
  <c r="D2891"/>
  <c r="D2892"/>
  <c r="D2893"/>
  <c r="D2894"/>
  <c r="D2895"/>
  <c r="D2896"/>
  <c r="D2897"/>
  <c r="D2898"/>
  <c r="D2899"/>
  <c r="D2900"/>
  <c r="D2901"/>
  <c r="D2902"/>
  <c r="D2903"/>
  <c r="D2904"/>
  <c r="D2905"/>
  <c r="D2906"/>
  <c r="D2907"/>
  <c r="D2908"/>
  <c r="D2909"/>
  <c r="D2910"/>
  <c r="D2911"/>
  <c r="D2912"/>
  <c r="D2913"/>
  <c r="D2914"/>
  <c r="D2915"/>
  <c r="D2916"/>
  <c r="D2917"/>
  <c r="D2918"/>
  <c r="D2919"/>
  <c r="D2920"/>
  <c r="D2921"/>
  <c r="D2922"/>
  <c r="D2923"/>
  <c r="D2924"/>
  <c r="D2925"/>
  <c r="D2926"/>
  <c r="D2927"/>
  <c r="D2928"/>
  <c r="D2929"/>
  <c r="D2930"/>
  <c r="D2931"/>
  <c r="D2932"/>
  <c r="D2933"/>
  <c r="D2934"/>
  <c r="D2935"/>
  <c r="D2936"/>
  <c r="D2937"/>
  <c r="D2938"/>
  <c r="D2939"/>
  <c r="D2940"/>
  <c r="D2941"/>
  <c r="D2942"/>
  <c r="D2943"/>
  <c r="D2944"/>
  <c r="D2945"/>
  <c r="D2946"/>
  <c r="D2947"/>
  <c r="D2948"/>
  <c r="D2949"/>
  <c r="D2950"/>
  <c r="D2951"/>
  <c r="D2952"/>
  <c r="D2953"/>
  <c r="D2954"/>
  <c r="D2955"/>
  <c r="D2956"/>
  <c r="D2957"/>
  <c r="D2958"/>
  <c r="D2959"/>
  <c r="D2960"/>
  <c r="D2961"/>
  <c r="D2962"/>
  <c r="D2963"/>
  <c r="D2964"/>
  <c r="D2965"/>
  <c r="D2966"/>
  <c r="D2967"/>
  <c r="D2968"/>
  <c r="D2969"/>
  <c r="D2970"/>
  <c r="D2971"/>
  <c r="D2972"/>
  <c r="D2973"/>
  <c r="D2974"/>
  <c r="D2975"/>
  <c r="D2976"/>
  <c r="D2977"/>
  <c r="D2978"/>
  <c r="D2979"/>
  <c r="D2980"/>
  <c r="D2981"/>
  <c r="D2982"/>
  <c r="D2983"/>
  <c r="D2984"/>
  <c r="D2985"/>
  <c r="D2986"/>
  <c r="D2987"/>
  <c r="D2988"/>
  <c r="D2989"/>
  <c r="D2990"/>
  <c r="D2991"/>
  <c r="D2992"/>
  <c r="D2993"/>
  <c r="D2994"/>
  <c r="D2995"/>
  <c r="D2996"/>
  <c r="D2997"/>
  <c r="D2998"/>
  <c r="D2999"/>
  <c r="D3000"/>
  <c r="D3001"/>
  <c r="D3002"/>
  <c r="D3003"/>
  <c r="D3004"/>
  <c r="D3005"/>
  <c r="D3006"/>
  <c r="D3007"/>
  <c r="D3008"/>
  <c r="D3009"/>
  <c r="D3010"/>
  <c r="D3011"/>
  <c r="D3012"/>
  <c r="D3013"/>
  <c r="D3014"/>
  <c r="D3015"/>
  <c r="D3016"/>
  <c r="D3017"/>
  <c r="D3018"/>
  <c r="D3019"/>
  <c r="D3020"/>
  <c r="D3021"/>
  <c r="D3022"/>
  <c r="D3023"/>
  <c r="D3024"/>
  <c r="D3025"/>
  <c r="D3026"/>
  <c r="D3027"/>
  <c r="D3028"/>
  <c r="D3029"/>
  <c r="D3030"/>
  <c r="D3031"/>
  <c r="D3032"/>
  <c r="D3033"/>
  <c r="D3034"/>
  <c r="D3035"/>
  <c r="D3036"/>
  <c r="D3037"/>
  <c r="D3038"/>
  <c r="D3039"/>
  <c r="D3040"/>
  <c r="D3041"/>
  <c r="D3042"/>
  <c r="D3043"/>
  <c r="D3044"/>
  <c r="D3045"/>
  <c r="D3046"/>
  <c r="D3047"/>
  <c r="D3048"/>
  <c r="D3049"/>
  <c r="D3050"/>
  <c r="D3051"/>
  <c r="D3052"/>
  <c r="D3053"/>
  <c r="D3054"/>
  <c r="D3055"/>
  <c r="D3056"/>
  <c r="D3057"/>
  <c r="D3058"/>
  <c r="D3059"/>
  <c r="D3060"/>
  <c r="D3061"/>
  <c r="D3062"/>
  <c r="D3063"/>
  <c r="D3064"/>
  <c r="D3065"/>
  <c r="D3066"/>
  <c r="D3067"/>
  <c r="D3068"/>
  <c r="D3069"/>
  <c r="D3070"/>
  <c r="D3071"/>
  <c r="D3072"/>
  <c r="D3073"/>
  <c r="D3074"/>
  <c r="D3075"/>
  <c r="D3076"/>
  <c r="D3077"/>
  <c r="D3078"/>
  <c r="D3079"/>
  <c r="D3080"/>
  <c r="D3081"/>
  <c r="D3082"/>
  <c r="D3083"/>
  <c r="D3084"/>
  <c r="D3085"/>
  <c r="D3086"/>
  <c r="D3087"/>
  <c r="D3088"/>
  <c r="D3089"/>
  <c r="D3090"/>
  <c r="D3091"/>
  <c r="D3092"/>
  <c r="D3093"/>
  <c r="D3094"/>
  <c r="D3095"/>
  <c r="D3096"/>
  <c r="D3097"/>
  <c r="D3098"/>
  <c r="D3099"/>
  <c r="D3100"/>
  <c r="D3101"/>
  <c r="D3102"/>
  <c r="D3103"/>
  <c r="D3104"/>
  <c r="D3105"/>
  <c r="D3106"/>
  <c r="D3107"/>
  <c r="D3108"/>
  <c r="D3109"/>
  <c r="D3110"/>
  <c r="D3111"/>
  <c r="D3112"/>
  <c r="D3113"/>
  <c r="D3114"/>
  <c r="D3115"/>
  <c r="D3116"/>
  <c r="D3117"/>
  <c r="D3118"/>
  <c r="D3119"/>
  <c r="D3120"/>
  <c r="D3121"/>
  <c r="D3122"/>
  <c r="D3123"/>
  <c r="D3124"/>
  <c r="D3125"/>
  <c r="D3126"/>
  <c r="D3127"/>
  <c r="D3128"/>
  <c r="D3129"/>
  <c r="D3130"/>
  <c r="D3131"/>
  <c r="D3132"/>
  <c r="D3133"/>
  <c r="D3134"/>
  <c r="D3135"/>
  <c r="D3136"/>
  <c r="D3137"/>
  <c r="D3138"/>
  <c r="D3139"/>
  <c r="D3140"/>
  <c r="D3141"/>
  <c r="D3142"/>
  <c r="D3143"/>
  <c r="D3144"/>
  <c r="D3145"/>
  <c r="D3146"/>
  <c r="D3147"/>
  <c r="D3148"/>
  <c r="D3149"/>
  <c r="D3150"/>
  <c r="D3151"/>
  <c r="D3152"/>
  <c r="D3153"/>
  <c r="D3154"/>
  <c r="D3155"/>
  <c r="D3156"/>
  <c r="D3157"/>
  <c r="D3158"/>
  <c r="D3159"/>
  <c r="D3160"/>
  <c r="D3161"/>
  <c r="D3162"/>
  <c r="D3163"/>
  <c r="D3164"/>
  <c r="D3165"/>
  <c r="D3166"/>
  <c r="D3167"/>
  <c r="D3168"/>
  <c r="D3169"/>
  <c r="D3170"/>
  <c r="D3171"/>
  <c r="D3172"/>
  <c r="D3173"/>
  <c r="D3174"/>
  <c r="D3175"/>
  <c r="D3176"/>
  <c r="D3177"/>
  <c r="D3178"/>
  <c r="D3179"/>
  <c r="D3180"/>
  <c r="D3181"/>
  <c r="D3182"/>
  <c r="D3183"/>
  <c r="D3184"/>
  <c r="D3185"/>
  <c r="D3186"/>
  <c r="D3187"/>
  <c r="D3188"/>
  <c r="D3189"/>
  <c r="D3190"/>
  <c r="D3191"/>
  <c r="D3192"/>
  <c r="D3193"/>
  <c r="D3194"/>
  <c r="D3195"/>
  <c r="D3196"/>
  <c r="D3197"/>
  <c r="D3198"/>
  <c r="D3199"/>
  <c r="D3200"/>
  <c r="D3201"/>
  <c r="D3202"/>
  <c r="D3203"/>
  <c r="D3204"/>
  <c r="D3205"/>
  <c r="D3206"/>
  <c r="D3207"/>
  <c r="D3208"/>
  <c r="D3209"/>
  <c r="D3210"/>
  <c r="D3211"/>
  <c r="D3212"/>
  <c r="D3213"/>
  <c r="D3214"/>
  <c r="D3215"/>
  <c r="D3216"/>
  <c r="D3217"/>
  <c r="D3218"/>
  <c r="D3219"/>
  <c r="D3220"/>
  <c r="D3221"/>
  <c r="D3222"/>
  <c r="D3223"/>
  <c r="D3224"/>
  <c r="D3225"/>
  <c r="D3226"/>
  <c r="D3227"/>
  <c r="D3228"/>
  <c r="D3229"/>
  <c r="D3230"/>
  <c r="D3231"/>
  <c r="D3232"/>
  <c r="D3233"/>
  <c r="D3234"/>
  <c r="D3235"/>
  <c r="D3236"/>
  <c r="D3237"/>
  <c r="D3238"/>
  <c r="D3239"/>
  <c r="D3240"/>
  <c r="D3241"/>
  <c r="D3242"/>
  <c r="D3243"/>
  <c r="D3244"/>
  <c r="D3245"/>
  <c r="D3246"/>
  <c r="D3247"/>
  <c r="D3248"/>
  <c r="D3249"/>
  <c r="D3250"/>
  <c r="D3251"/>
  <c r="D3252"/>
  <c r="D3253"/>
  <c r="D3254"/>
  <c r="D3255"/>
  <c r="D3256"/>
  <c r="D3257"/>
  <c r="D3258"/>
  <c r="D3259"/>
  <c r="D3260"/>
  <c r="D3261"/>
  <c r="D3262"/>
  <c r="D3263"/>
  <c r="D3264"/>
  <c r="D3265"/>
  <c r="D3266"/>
  <c r="D3267"/>
  <c r="D3268"/>
  <c r="D3269"/>
  <c r="D3270"/>
  <c r="D3271"/>
  <c r="D3272"/>
  <c r="D3273"/>
  <c r="D3274"/>
  <c r="D3275"/>
  <c r="D3276"/>
  <c r="D3277"/>
  <c r="D3278"/>
  <c r="D3279"/>
  <c r="D3280"/>
  <c r="D3281"/>
  <c r="D3282"/>
  <c r="D3283"/>
  <c r="D3284"/>
  <c r="D3285"/>
  <c r="D3286"/>
  <c r="D3287"/>
  <c r="D3288"/>
  <c r="D3289"/>
  <c r="D3290"/>
  <c r="D3291"/>
  <c r="D3292"/>
  <c r="D3293"/>
  <c r="D3294"/>
  <c r="D3295"/>
  <c r="D3296"/>
  <c r="D3297"/>
  <c r="D3298"/>
  <c r="D3299"/>
  <c r="D3300"/>
  <c r="D3301"/>
  <c r="D3302"/>
  <c r="D3303"/>
  <c r="D3304"/>
  <c r="D3305"/>
  <c r="D3306"/>
  <c r="D3307"/>
  <c r="D3308"/>
  <c r="D3309"/>
  <c r="D3310"/>
  <c r="D3311"/>
  <c r="D3312"/>
  <c r="D3313"/>
  <c r="D3314"/>
  <c r="D3315"/>
  <c r="D3316"/>
  <c r="D3317"/>
  <c r="D3318"/>
  <c r="D3319"/>
  <c r="D3320"/>
  <c r="D3321"/>
  <c r="D3322"/>
  <c r="D3323"/>
  <c r="D3324"/>
  <c r="D3325"/>
  <c r="D3326"/>
  <c r="D3327"/>
  <c r="D3328"/>
  <c r="D3329"/>
  <c r="D3330"/>
  <c r="D3331"/>
  <c r="D3332"/>
  <c r="D3333"/>
  <c r="D3334"/>
  <c r="D3335"/>
  <c r="D3336"/>
  <c r="D3337"/>
  <c r="D3338"/>
  <c r="D3339"/>
  <c r="D3340"/>
  <c r="D3341"/>
  <c r="D3342"/>
  <c r="D3343"/>
  <c r="D3344"/>
  <c r="D3345"/>
  <c r="D3346"/>
  <c r="D3347"/>
  <c r="D3348"/>
  <c r="D3349"/>
  <c r="D3350"/>
  <c r="D3351"/>
  <c r="D3352"/>
  <c r="D3353"/>
  <c r="D3354"/>
  <c r="D3355"/>
  <c r="D3356"/>
  <c r="D3357"/>
  <c r="D3358"/>
  <c r="D3359"/>
  <c r="D3360"/>
  <c r="D3361"/>
  <c r="D3362"/>
  <c r="D3363"/>
  <c r="D3364"/>
  <c r="D3365"/>
  <c r="D3366"/>
  <c r="D3367"/>
  <c r="D3368"/>
  <c r="D3369"/>
  <c r="D3370"/>
  <c r="D3371"/>
  <c r="D3372"/>
  <c r="D3373"/>
  <c r="D3374"/>
  <c r="D3375"/>
  <c r="D3376"/>
  <c r="D3377"/>
  <c r="D3378"/>
  <c r="D3379"/>
  <c r="D3380"/>
  <c r="D3381"/>
  <c r="D3382"/>
  <c r="D3383"/>
  <c r="D3384"/>
  <c r="D3385"/>
  <c r="D3386"/>
  <c r="D3387"/>
  <c r="D3388"/>
  <c r="D3389"/>
  <c r="D3390"/>
  <c r="D3391"/>
  <c r="D3392"/>
  <c r="D3393"/>
  <c r="D3394"/>
  <c r="D3395"/>
  <c r="D3396"/>
  <c r="D3397"/>
  <c r="D3398"/>
  <c r="D3399"/>
  <c r="D3400"/>
  <c r="D3401"/>
  <c r="D3402"/>
  <c r="D3403"/>
  <c r="D3404"/>
  <c r="D3405"/>
  <c r="D3406"/>
  <c r="D3407"/>
  <c r="D3408"/>
  <c r="D3409"/>
  <c r="D3410"/>
  <c r="D3411"/>
  <c r="D3412"/>
  <c r="D3413"/>
  <c r="D3414"/>
  <c r="D3415"/>
  <c r="D3416"/>
  <c r="D3417"/>
  <c r="D3418"/>
  <c r="D3419"/>
  <c r="D3420"/>
  <c r="D3421"/>
  <c r="D3422"/>
  <c r="D3423"/>
  <c r="D3424"/>
  <c r="D3425"/>
  <c r="D3426"/>
  <c r="D3427"/>
  <c r="D3428"/>
  <c r="D3429"/>
  <c r="D3430"/>
  <c r="D3431"/>
  <c r="D3432"/>
  <c r="D3433"/>
  <c r="D3434"/>
  <c r="D3435"/>
  <c r="D3436"/>
  <c r="D3437"/>
  <c r="D3438"/>
  <c r="D3439"/>
  <c r="D3440"/>
  <c r="D3441"/>
  <c r="D3442"/>
  <c r="D3443"/>
  <c r="D3444"/>
  <c r="D3445"/>
  <c r="D3446"/>
  <c r="D3447"/>
  <c r="D3448"/>
  <c r="D3449"/>
  <c r="D3450"/>
  <c r="D3451"/>
  <c r="D3452"/>
  <c r="D3453"/>
  <c r="D3454"/>
  <c r="D3455"/>
  <c r="D3456"/>
  <c r="D3457"/>
  <c r="D3458"/>
  <c r="D3459"/>
  <c r="D3460"/>
  <c r="D3461"/>
  <c r="D3462"/>
  <c r="D3463"/>
  <c r="D3464"/>
  <c r="D3465"/>
  <c r="D3466"/>
  <c r="D3467"/>
  <c r="D3468"/>
  <c r="D3469"/>
  <c r="D3470"/>
  <c r="D3471"/>
  <c r="D3472"/>
  <c r="D3473"/>
  <c r="D3474"/>
  <c r="D3475"/>
  <c r="D3476"/>
  <c r="D3477"/>
  <c r="D3478"/>
  <c r="D3479"/>
  <c r="D3480"/>
  <c r="D3481"/>
  <c r="D3482"/>
  <c r="D3483"/>
  <c r="D3484"/>
  <c r="D3485"/>
  <c r="D3486"/>
  <c r="D3487"/>
  <c r="D3488"/>
  <c r="D3489"/>
  <c r="D3490"/>
  <c r="D3491"/>
  <c r="D3492"/>
  <c r="D3493"/>
  <c r="D3494"/>
  <c r="D3495"/>
  <c r="D3496"/>
  <c r="D3497"/>
  <c r="D3498"/>
  <c r="D3499"/>
  <c r="D3500"/>
  <c r="D3501"/>
  <c r="D3502"/>
  <c r="D3503"/>
  <c r="D3504"/>
  <c r="D3505"/>
  <c r="D3506"/>
  <c r="D3507"/>
  <c r="D3508"/>
  <c r="D3509"/>
  <c r="D3510"/>
  <c r="D3511"/>
  <c r="D3512"/>
  <c r="D3513"/>
  <c r="D3514"/>
  <c r="D3515"/>
  <c r="D3516"/>
  <c r="D3517"/>
  <c r="D3518"/>
  <c r="D3519"/>
  <c r="D3520"/>
  <c r="D3521"/>
  <c r="D3522"/>
  <c r="D3523"/>
  <c r="D3524"/>
  <c r="D3525"/>
  <c r="D3526"/>
  <c r="D3527"/>
  <c r="D3528"/>
  <c r="D3529"/>
  <c r="D3530"/>
  <c r="D3531"/>
  <c r="D3532"/>
  <c r="D3533"/>
  <c r="D3534"/>
  <c r="D3535"/>
  <c r="D3536"/>
  <c r="D3537"/>
  <c r="D3538"/>
  <c r="D3539"/>
  <c r="D3540"/>
  <c r="D3541"/>
  <c r="D3542"/>
  <c r="D3543"/>
  <c r="D3544"/>
  <c r="D3545"/>
  <c r="D3546"/>
  <c r="D3547"/>
  <c r="D3548"/>
  <c r="D3549"/>
  <c r="D3550"/>
  <c r="D3551"/>
  <c r="D3552"/>
  <c r="D3553"/>
  <c r="D3554"/>
  <c r="D3555"/>
  <c r="D3556"/>
  <c r="D3557"/>
  <c r="D3558"/>
  <c r="D3559"/>
  <c r="D3560"/>
  <c r="D3561"/>
  <c r="D3562"/>
  <c r="D3563"/>
  <c r="D3564"/>
  <c r="D3565"/>
  <c r="D3566"/>
  <c r="D3567"/>
  <c r="D3568"/>
  <c r="D3569"/>
  <c r="D3570"/>
  <c r="D3571"/>
  <c r="D3572"/>
  <c r="D3573"/>
  <c r="D3574"/>
  <c r="D3575"/>
  <c r="D3576"/>
  <c r="D3577"/>
  <c r="D3578"/>
  <c r="D3579"/>
  <c r="D3580"/>
  <c r="D3581"/>
  <c r="D3582"/>
  <c r="D3583"/>
  <c r="D3584"/>
  <c r="D3585"/>
  <c r="D3586"/>
  <c r="D3587"/>
  <c r="D3588"/>
  <c r="D3589"/>
  <c r="D3590"/>
  <c r="D3591"/>
  <c r="D3592"/>
  <c r="D3593"/>
  <c r="D3594"/>
  <c r="D3595"/>
  <c r="D3596"/>
  <c r="D3597"/>
  <c r="D3598"/>
  <c r="D3599"/>
  <c r="D3600"/>
  <c r="D3601"/>
  <c r="D3602"/>
  <c r="D3603"/>
  <c r="D3604"/>
  <c r="D3605"/>
  <c r="D3606"/>
  <c r="D3607"/>
  <c r="D3608"/>
  <c r="D3609"/>
  <c r="D3610"/>
  <c r="D3611"/>
  <c r="D3612"/>
  <c r="D3613"/>
  <c r="D3614"/>
  <c r="D3615"/>
  <c r="D3616"/>
  <c r="D3617"/>
  <c r="D3618"/>
  <c r="D3619"/>
  <c r="D3620"/>
  <c r="D3621"/>
  <c r="D3622"/>
  <c r="D3623"/>
  <c r="D3624"/>
  <c r="D3625"/>
  <c r="D3626"/>
  <c r="D3627"/>
  <c r="D3628"/>
  <c r="D3629"/>
  <c r="D3630"/>
  <c r="D3631"/>
  <c r="D3632"/>
  <c r="D3633"/>
  <c r="D3634"/>
  <c r="D3635"/>
  <c r="D3636"/>
  <c r="D3637"/>
  <c r="D3638"/>
  <c r="D3639"/>
  <c r="D3640"/>
  <c r="D3641"/>
  <c r="D3642"/>
  <c r="D3643"/>
  <c r="D3644"/>
  <c r="D3645"/>
  <c r="D3646"/>
  <c r="D3647"/>
  <c r="D3648"/>
  <c r="D3649"/>
  <c r="D3650"/>
  <c r="D3651"/>
  <c r="D3652"/>
  <c r="D3653"/>
  <c r="D3654"/>
  <c r="D3655"/>
  <c r="D3656"/>
  <c r="D3657"/>
  <c r="D3658"/>
  <c r="D3659"/>
  <c r="D3660"/>
  <c r="D3661"/>
  <c r="D3662"/>
  <c r="D3663"/>
  <c r="D3664"/>
  <c r="D3665"/>
  <c r="D3666"/>
  <c r="D3667"/>
  <c r="D3668"/>
  <c r="D3669"/>
  <c r="D3670"/>
  <c r="D3671"/>
  <c r="D3672"/>
  <c r="D3673"/>
  <c r="D3674"/>
  <c r="D3675"/>
  <c r="D3676"/>
  <c r="D3677"/>
  <c r="D3678"/>
  <c r="D3679"/>
  <c r="D3680"/>
  <c r="D3681"/>
  <c r="D3682"/>
  <c r="D3683"/>
  <c r="D3684"/>
  <c r="D3685"/>
  <c r="D3686"/>
  <c r="D3687"/>
  <c r="D3688"/>
  <c r="D3689"/>
  <c r="D3690"/>
  <c r="D3691"/>
  <c r="D3692"/>
  <c r="D3693"/>
  <c r="D3694"/>
  <c r="D3695"/>
  <c r="D3696"/>
  <c r="D3697"/>
  <c r="D3698"/>
  <c r="D3699"/>
  <c r="D3700"/>
  <c r="D3701"/>
  <c r="D3702"/>
  <c r="D3703"/>
  <c r="D3704"/>
  <c r="D3705"/>
  <c r="D3706"/>
  <c r="D3707"/>
  <c r="D3708"/>
  <c r="D3709"/>
  <c r="D3710"/>
  <c r="D3711"/>
  <c r="D3712"/>
  <c r="D3713"/>
  <c r="D3714"/>
  <c r="D3715"/>
  <c r="D3716"/>
  <c r="D3717"/>
  <c r="D3718"/>
  <c r="D3719"/>
  <c r="D3720"/>
  <c r="D3721"/>
  <c r="D3722"/>
  <c r="D3723"/>
  <c r="D3724"/>
  <c r="D3725"/>
  <c r="D3726"/>
  <c r="D3727"/>
  <c r="D3728"/>
  <c r="D3729"/>
  <c r="D3730"/>
  <c r="D3731"/>
  <c r="D3732"/>
  <c r="D3733"/>
  <c r="D3734"/>
  <c r="D3735"/>
  <c r="D3736"/>
  <c r="D3737"/>
  <c r="D3738"/>
  <c r="D3739"/>
  <c r="D3740"/>
  <c r="D3741"/>
  <c r="D3742"/>
  <c r="D3743"/>
  <c r="D3744"/>
  <c r="D3745"/>
  <c r="D3746"/>
  <c r="D3747"/>
  <c r="D3748"/>
  <c r="D3749"/>
  <c r="D3750"/>
  <c r="D3751"/>
  <c r="D3752"/>
  <c r="D3753"/>
  <c r="D3754"/>
  <c r="D3755"/>
  <c r="D3756"/>
  <c r="D3757"/>
  <c r="D3758"/>
  <c r="D3759"/>
  <c r="D3760"/>
  <c r="D3761"/>
  <c r="D3762"/>
  <c r="D3763"/>
  <c r="D3764"/>
  <c r="D3765"/>
  <c r="D3766"/>
  <c r="D3767"/>
  <c r="D3768"/>
  <c r="D3769"/>
  <c r="D3770"/>
  <c r="D3771"/>
  <c r="D3772"/>
  <c r="D3773"/>
  <c r="D3774"/>
  <c r="D3775"/>
  <c r="D3776"/>
  <c r="D3777"/>
  <c r="D3778"/>
  <c r="D3779"/>
  <c r="D3780"/>
  <c r="D3781"/>
  <c r="D3782"/>
  <c r="D3783"/>
  <c r="D3784"/>
  <c r="D3785"/>
  <c r="D3786"/>
  <c r="D3787"/>
  <c r="D3788"/>
  <c r="D3789"/>
  <c r="D3790"/>
  <c r="D3791"/>
  <c r="D3792"/>
  <c r="D3793"/>
  <c r="D3794"/>
  <c r="D3795"/>
  <c r="D3796"/>
  <c r="D3797"/>
  <c r="D3798"/>
  <c r="D3799"/>
  <c r="D3800"/>
  <c r="D3801"/>
  <c r="D3802"/>
  <c r="D3803"/>
  <c r="D3804"/>
  <c r="D3805"/>
  <c r="D3806"/>
  <c r="D3807"/>
  <c r="D3808"/>
  <c r="D3809"/>
  <c r="D3810"/>
  <c r="D3811"/>
  <c r="D3812"/>
  <c r="D3813"/>
  <c r="D3814"/>
  <c r="D3815"/>
  <c r="D3816"/>
  <c r="D3817"/>
  <c r="D3818"/>
  <c r="D3819"/>
  <c r="D3820"/>
  <c r="D3821"/>
  <c r="D3822"/>
  <c r="D3823"/>
  <c r="D3824"/>
  <c r="D3825"/>
  <c r="D3826"/>
  <c r="D3827"/>
  <c r="D3828"/>
  <c r="D3829"/>
  <c r="D3830"/>
  <c r="D3831"/>
  <c r="D3832"/>
  <c r="D3833"/>
  <c r="D3834"/>
  <c r="D3835"/>
  <c r="D3836"/>
  <c r="D3837"/>
  <c r="D3838"/>
  <c r="D3839"/>
  <c r="D3840"/>
  <c r="D3841"/>
  <c r="D3842"/>
  <c r="D3843"/>
  <c r="D3844"/>
  <c r="D3845"/>
  <c r="D3846"/>
  <c r="D3847"/>
  <c r="D3848"/>
  <c r="D3849"/>
  <c r="D3850"/>
  <c r="D3851"/>
  <c r="D3852"/>
  <c r="D3853"/>
  <c r="D3854"/>
  <c r="D3855"/>
  <c r="D3856"/>
  <c r="D3857"/>
  <c r="D3858"/>
  <c r="D3859"/>
  <c r="D3860"/>
  <c r="D3861"/>
  <c r="D3862"/>
  <c r="D3863"/>
  <c r="D3864"/>
  <c r="D3865"/>
  <c r="D3866"/>
  <c r="D3867"/>
  <c r="D3868"/>
  <c r="D3869"/>
  <c r="D3870"/>
  <c r="D3871"/>
  <c r="D3872"/>
  <c r="D3873"/>
  <c r="D3874"/>
  <c r="D3875"/>
  <c r="D3876"/>
  <c r="D3877"/>
  <c r="D3878"/>
  <c r="D3879"/>
  <c r="D3880"/>
  <c r="D3881"/>
  <c r="D3882"/>
  <c r="D3883"/>
  <c r="D3884"/>
  <c r="D3885"/>
  <c r="D3886"/>
  <c r="D3887"/>
  <c r="D3888"/>
  <c r="D3889"/>
  <c r="D3890"/>
  <c r="D3891"/>
  <c r="D3892"/>
  <c r="D3893"/>
  <c r="D3894"/>
  <c r="D3895"/>
  <c r="D3896"/>
  <c r="D3897"/>
  <c r="D3898"/>
  <c r="D3899"/>
  <c r="D3900"/>
  <c r="D3901"/>
  <c r="D3902"/>
  <c r="D3903"/>
  <c r="D3904"/>
  <c r="D3905"/>
  <c r="D3906"/>
  <c r="D3907"/>
  <c r="D3908"/>
  <c r="D3909"/>
  <c r="D3910"/>
  <c r="D3911"/>
  <c r="D3912"/>
  <c r="D3913"/>
  <c r="D3914"/>
  <c r="D3915"/>
  <c r="D3916"/>
  <c r="D3917"/>
  <c r="D3918"/>
  <c r="D3919"/>
  <c r="D3920"/>
  <c r="D3921"/>
  <c r="D3922"/>
  <c r="D3923"/>
  <c r="D3924"/>
  <c r="D3925"/>
  <c r="D3926"/>
  <c r="D3927"/>
  <c r="D3928"/>
  <c r="D3929"/>
  <c r="D3930"/>
  <c r="D3931"/>
  <c r="D3932"/>
  <c r="D3933"/>
  <c r="D3934"/>
  <c r="D3935"/>
  <c r="D3936"/>
  <c r="D3937"/>
  <c r="D3938"/>
  <c r="D3939"/>
  <c r="D3940"/>
  <c r="D3941"/>
  <c r="D3942"/>
  <c r="D3943"/>
  <c r="D3944"/>
  <c r="D3945"/>
  <c r="D3946"/>
  <c r="D3947"/>
  <c r="D3948"/>
  <c r="D3949"/>
  <c r="D3950"/>
  <c r="D3951"/>
  <c r="D3952"/>
  <c r="D3953"/>
  <c r="D3954"/>
  <c r="D3955"/>
  <c r="D3956"/>
  <c r="D3957"/>
  <c r="D3958"/>
  <c r="D3959"/>
  <c r="D3960"/>
  <c r="D3961"/>
  <c r="D3962"/>
  <c r="D3963"/>
  <c r="D3964"/>
  <c r="D3965"/>
  <c r="D3966"/>
  <c r="D3967"/>
  <c r="D3968"/>
  <c r="D3969"/>
  <c r="D3970"/>
  <c r="D3971"/>
  <c r="D3972"/>
  <c r="D3973"/>
  <c r="D3974"/>
  <c r="D3975"/>
  <c r="D3976"/>
  <c r="D3977"/>
  <c r="D3978"/>
  <c r="D3979"/>
  <c r="D3980"/>
  <c r="D3981"/>
  <c r="D3982"/>
  <c r="D3983"/>
  <c r="D3984"/>
  <c r="D3985"/>
  <c r="D3986"/>
  <c r="D3987"/>
  <c r="D3988"/>
  <c r="D3989"/>
  <c r="D3990"/>
  <c r="D3991"/>
  <c r="D3992"/>
  <c r="D3993"/>
  <c r="D3994"/>
  <c r="D3995"/>
  <c r="D3996"/>
  <c r="D3997"/>
  <c r="D3998"/>
  <c r="D3999"/>
  <c r="D4000"/>
  <c r="D4001"/>
  <c r="D4002"/>
  <c r="D4003"/>
  <c r="D4004"/>
  <c r="D4005"/>
  <c r="D4006"/>
  <c r="D4007"/>
  <c r="D4008"/>
  <c r="D4009"/>
  <c r="D4010"/>
  <c r="D4011"/>
  <c r="D4012"/>
  <c r="D4013"/>
  <c r="D4014"/>
  <c r="D4015"/>
  <c r="D4016"/>
  <c r="D4017"/>
  <c r="D4018"/>
  <c r="D4019"/>
  <c r="D4020"/>
  <c r="D4021"/>
  <c r="D4022"/>
  <c r="D4023"/>
  <c r="D4024"/>
  <c r="D4025"/>
  <c r="D4026"/>
  <c r="D4027"/>
  <c r="D4028"/>
  <c r="D4029"/>
  <c r="D4030"/>
  <c r="D4031"/>
  <c r="D4032"/>
  <c r="D4033"/>
  <c r="D4034"/>
  <c r="D4035"/>
  <c r="D4036"/>
  <c r="D4037"/>
  <c r="D4038"/>
  <c r="D4039"/>
  <c r="D4040"/>
  <c r="D4041"/>
  <c r="D4042"/>
  <c r="D4043"/>
  <c r="D4044"/>
  <c r="D4045"/>
  <c r="D4046"/>
  <c r="D4047"/>
  <c r="D4048"/>
  <c r="D4049"/>
  <c r="D4050"/>
  <c r="D4051"/>
  <c r="D4052"/>
  <c r="D4053"/>
  <c r="D4054"/>
  <c r="D4055"/>
  <c r="D4056"/>
  <c r="D4057"/>
  <c r="D4058"/>
  <c r="D4059"/>
  <c r="D4060"/>
  <c r="D4061"/>
  <c r="D4062"/>
  <c r="D4063"/>
  <c r="D4064"/>
  <c r="D4065"/>
  <c r="D4066"/>
  <c r="D4067"/>
  <c r="D4068"/>
  <c r="D4069"/>
  <c r="D4070"/>
  <c r="D4071"/>
  <c r="D4072"/>
  <c r="D4073"/>
  <c r="D4074"/>
  <c r="D4075"/>
  <c r="D4076"/>
  <c r="D4077"/>
  <c r="D4078"/>
  <c r="D4079"/>
  <c r="D4080"/>
  <c r="D4081"/>
  <c r="D4082"/>
  <c r="D4083"/>
  <c r="D4084"/>
  <c r="D4085"/>
  <c r="D4086"/>
  <c r="D4087"/>
  <c r="D4088"/>
  <c r="D4089"/>
  <c r="D4090"/>
  <c r="D4091"/>
  <c r="D4092"/>
  <c r="D4093"/>
  <c r="D4094"/>
  <c r="D4095"/>
  <c r="D4096"/>
  <c r="D4097"/>
  <c r="D4098"/>
  <c r="D4099"/>
  <c r="D4100"/>
  <c r="D4101"/>
  <c r="D4102"/>
  <c r="D4103"/>
  <c r="D4104"/>
  <c r="D4105"/>
  <c r="D4106"/>
  <c r="D4107"/>
  <c r="D4108"/>
  <c r="D4109"/>
  <c r="D4110"/>
  <c r="D4111"/>
  <c r="D4112"/>
  <c r="D4113"/>
  <c r="D4114"/>
  <c r="D4115"/>
  <c r="D4116"/>
  <c r="D4117"/>
  <c r="D4118"/>
  <c r="D4119"/>
  <c r="D4120"/>
  <c r="D4121"/>
  <c r="D4122"/>
  <c r="D4123"/>
  <c r="D4124"/>
  <c r="D4125"/>
  <c r="D4126"/>
  <c r="D4127"/>
  <c r="D4128"/>
  <c r="D4129"/>
  <c r="D4130"/>
  <c r="D4131"/>
  <c r="D4132"/>
  <c r="D4133"/>
  <c r="D4134"/>
  <c r="D4135"/>
  <c r="D4136"/>
  <c r="D4137"/>
  <c r="D4138"/>
  <c r="D4139"/>
  <c r="D4140"/>
  <c r="D4141"/>
  <c r="D4142"/>
  <c r="D4143"/>
  <c r="D4144"/>
  <c r="D4145"/>
  <c r="D4146"/>
  <c r="D4147"/>
  <c r="D4148"/>
  <c r="D4149"/>
  <c r="D4150"/>
  <c r="D4151"/>
  <c r="D4152"/>
  <c r="D4153"/>
  <c r="D4154"/>
  <c r="D4155"/>
  <c r="D4156"/>
  <c r="D4157"/>
  <c r="D4158"/>
  <c r="D4159"/>
  <c r="D4160"/>
  <c r="D4161"/>
  <c r="D4162"/>
  <c r="D4163"/>
  <c r="D4164"/>
  <c r="D4165"/>
  <c r="D4166"/>
  <c r="D4167"/>
  <c r="D4168"/>
  <c r="D4169"/>
  <c r="D4170"/>
  <c r="D4171"/>
  <c r="D4172"/>
  <c r="D4173"/>
  <c r="D4174"/>
  <c r="D4175"/>
  <c r="D4176"/>
  <c r="D4177"/>
  <c r="D4178"/>
  <c r="D4179"/>
  <c r="D4180"/>
  <c r="D4181"/>
  <c r="D4182"/>
  <c r="D4183"/>
  <c r="D4184"/>
  <c r="D4185"/>
  <c r="D4186"/>
  <c r="D4187"/>
  <c r="D4188"/>
  <c r="D4189"/>
  <c r="D4190"/>
  <c r="D4191"/>
  <c r="D4192"/>
  <c r="D4193"/>
  <c r="D4194"/>
  <c r="D4195"/>
  <c r="D4196"/>
  <c r="D4197"/>
  <c r="D4198"/>
  <c r="D4199"/>
  <c r="D4200"/>
  <c r="D4201"/>
  <c r="D4202"/>
  <c r="D4203"/>
  <c r="D4204"/>
  <c r="D4205"/>
  <c r="D4206"/>
  <c r="D4207"/>
  <c r="D4208"/>
  <c r="D4209"/>
  <c r="D4210"/>
  <c r="D4211"/>
  <c r="D4212"/>
  <c r="D4213"/>
  <c r="D4214"/>
  <c r="D4215"/>
  <c r="D4216"/>
  <c r="D4217"/>
  <c r="D4218"/>
  <c r="D4219"/>
  <c r="D4220"/>
  <c r="D4221"/>
  <c r="D4222"/>
  <c r="D4223"/>
  <c r="D4224"/>
  <c r="D4225"/>
  <c r="D4226"/>
  <c r="D4227"/>
  <c r="D4228"/>
  <c r="D4229"/>
  <c r="D4230"/>
  <c r="D4231"/>
  <c r="D4232"/>
  <c r="D4233"/>
  <c r="D4234"/>
  <c r="D4235"/>
  <c r="D4236"/>
  <c r="D4237"/>
  <c r="D4238"/>
  <c r="D4239"/>
  <c r="D4240"/>
  <c r="D4241"/>
  <c r="D4242"/>
  <c r="D4243"/>
  <c r="D4244"/>
  <c r="D4245"/>
  <c r="D4246"/>
  <c r="D4247"/>
  <c r="D4248"/>
  <c r="D4249"/>
  <c r="D4250"/>
  <c r="D4251"/>
  <c r="D4252"/>
  <c r="D4253"/>
  <c r="D4254"/>
  <c r="D4255"/>
  <c r="D4256"/>
  <c r="D4257"/>
  <c r="D4258"/>
  <c r="D4259"/>
  <c r="D4260"/>
  <c r="D4261"/>
  <c r="D4262"/>
  <c r="D4263"/>
  <c r="D4264"/>
  <c r="D4265"/>
  <c r="D4266"/>
  <c r="D4267"/>
  <c r="D4268"/>
  <c r="D4269"/>
  <c r="D4270"/>
  <c r="D4271"/>
  <c r="D4272"/>
  <c r="D4273"/>
  <c r="D4274"/>
  <c r="D4275"/>
  <c r="D4276"/>
  <c r="D4277"/>
  <c r="D4278"/>
  <c r="D4279"/>
  <c r="D4280"/>
  <c r="D4281"/>
  <c r="D4282"/>
  <c r="D4283"/>
  <c r="D4284"/>
  <c r="D4285"/>
  <c r="D4286"/>
  <c r="D4287"/>
  <c r="D4288"/>
  <c r="D4289"/>
  <c r="D4290"/>
  <c r="D4291"/>
  <c r="D4292"/>
  <c r="D4293"/>
  <c r="D4294"/>
  <c r="D4295"/>
  <c r="D4296"/>
  <c r="D4297"/>
  <c r="D4298"/>
  <c r="D4299"/>
  <c r="D4300"/>
  <c r="D4301"/>
  <c r="D4302"/>
  <c r="D4303"/>
  <c r="D4304"/>
  <c r="D4305"/>
  <c r="D4306"/>
  <c r="D4307"/>
  <c r="D4308"/>
  <c r="D4309"/>
  <c r="D4310"/>
  <c r="D4311"/>
  <c r="D4312"/>
  <c r="D4313"/>
  <c r="D4314"/>
  <c r="D4315"/>
  <c r="D4316"/>
  <c r="D4317"/>
  <c r="D4318"/>
  <c r="D4319"/>
  <c r="D4320"/>
  <c r="D4321"/>
  <c r="D4322"/>
  <c r="D4323"/>
  <c r="D4324"/>
  <c r="D4325"/>
  <c r="D4326"/>
  <c r="D4327"/>
  <c r="D4328"/>
  <c r="D4329"/>
  <c r="D4330"/>
  <c r="D4331"/>
  <c r="D4332"/>
  <c r="D4333"/>
  <c r="D4334"/>
  <c r="D4335"/>
  <c r="D4336"/>
  <c r="D4337"/>
  <c r="D4338"/>
  <c r="D4339"/>
  <c r="D4340"/>
  <c r="D4341"/>
  <c r="D4342"/>
  <c r="D4343"/>
  <c r="D4344"/>
  <c r="D4345"/>
  <c r="D4346"/>
  <c r="D4347"/>
  <c r="D4348"/>
  <c r="D4349"/>
  <c r="D4350"/>
  <c r="D4351"/>
  <c r="D4352"/>
  <c r="D4353"/>
  <c r="D4354"/>
  <c r="D4355"/>
  <c r="D4356"/>
  <c r="D4357"/>
  <c r="D4358"/>
  <c r="D4359"/>
  <c r="D4360"/>
  <c r="D4361"/>
  <c r="D4362"/>
  <c r="D4363"/>
  <c r="D4364"/>
  <c r="D4365"/>
  <c r="D4366"/>
  <c r="D4367"/>
  <c r="D4368"/>
  <c r="D4369"/>
  <c r="D4370"/>
  <c r="D4371"/>
  <c r="D4372"/>
  <c r="D4373"/>
  <c r="D4374"/>
  <c r="D4375"/>
  <c r="D4376"/>
  <c r="D4377"/>
  <c r="D4378"/>
  <c r="D4379"/>
  <c r="D4380"/>
  <c r="D4381"/>
  <c r="D4382"/>
  <c r="D4383"/>
  <c r="D4384"/>
  <c r="D4385"/>
  <c r="D4386"/>
  <c r="D4387"/>
  <c r="D4388"/>
  <c r="D4389"/>
  <c r="D4390"/>
  <c r="D4391"/>
  <c r="D4392"/>
  <c r="D4393"/>
  <c r="D4394"/>
  <c r="D4395"/>
  <c r="D4396"/>
  <c r="D4397"/>
  <c r="D4398"/>
  <c r="D4399"/>
  <c r="D4400"/>
  <c r="D4401"/>
  <c r="D4402"/>
  <c r="D4403"/>
  <c r="D4404"/>
  <c r="D4405"/>
  <c r="D4406"/>
  <c r="D4407"/>
  <c r="D4408"/>
  <c r="D4409"/>
  <c r="D4410"/>
  <c r="D4411"/>
  <c r="D4412"/>
  <c r="D4413"/>
  <c r="D4414"/>
  <c r="D4415"/>
  <c r="D4416"/>
  <c r="D4417"/>
  <c r="D4418"/>
  <c r="D4419"/>
  <c r="D4420"/>
  <c r="D4421"/>
  <c r="D4422"/>
  <c r="D4423"/>
  <c r="D4424"/>
  <c r="D4425"/>
  <c r="D4426"/>
  <c r="D4427"/>
  <c r="D4428"/>
  <c r="D4429"/>
  <c r="D4430"/>
  <c r="D4431"/>
  <c r="D4432"/>
  <c r="D4433"/>
  <c r="D4434"/>
  <c r="D4435"/>
  <c r="D4436"/>
  <c r="D4437"/>
  <c r="D4438"/>
  <c r="D4439"/>
  <c r="D4440"/>
  <c r="D4441"/>
  <c r="D4442"/>
  <c r="D4443"/>
  <c r="D4444"/>
  <c r="D4445"/>
  <c r="D4446"/>
  <c r="D4447"/>
  <c r="D4448"/>
  <c r="D4449"/>
  <c r="D4450"/>
  <c r="D4451"/>
  <c r="D4452"/>
  <c r="D4453"/>
  <c r="D4454"/>
  <c r="D4455"/>
  <c r="D4456"/>
  <c r="D4457"/>
  <c r="D4458"/>
  <c r="D4459"/>
  <c r="D4460"/>
  <c r="D4461"/>
  <c r="D4462"/>
  <c r="D4463"/>
  <c r="D4464"/>
  <c r="D4465"/>
  <c r="D4466"/>
  <c r="D4467"/>
  <c r="D4468"/>
  <c r="D4469"/>
  <c r="D4470"/>
  <c r="D4471"/>
  <c r="D4472"/>
  <c r="D4473"/>
  <c r="D4474"/>
  <c r="D4475"/>
  <c r="D4476"/>
  <c r="D4477"/>
  <c r="D4478"/>
  <c r="D4479"/>
  <c r="D4480"/>
  <c r="D4481"/>
  <c r="D4482"/>
  <c r="D4483"/>
  <c r="D4484"/>
  <c r="D4485"/>
  <c r="D4486"/>
  <c r="D4487"/>
  <c r="D4488"/>
  <c r="D4489"/>
  <c r="D4490"/>
  <c r="D4491"/>
  <c r="D4492"/>
  <c r="D4493"/>
  <c r="D4494"/>
  <c r="D4495"/>
  <c r="D4496"/>
  <c r="D4497"/>
  <c r="D4498"/>
  <c r="D4499"/>
  <c r="D4500"/>
  <c r="D4501"/>
  <c r="D4502"/>
  <c r="D4503"/>
  <c r="D4504"/>
  <c r="D4505"/>
  <c r="D4506"/>
  <c r="D4507"/>
  <c r="D4508"/>
  <c r="D4509"/>
  <c r="D4510"/>
  <c r="D4511"/>
  <c r="D4512"/>
  <c r="D4513"/>
  <c r="D4514"/>
  <c r="D4515"/>
  <c r="D4516"/>
  <c r="D4517"/>
  <c r="D4518"/>
  <c r="D4519"/>
  <c r="D4520"/>
  <c r="D4521"/>
  <c r="D4522"/>
  <c r="D4523"/>
  <c r="D4524"/>
  <c r="D4525"/>
  <c r="D4526"/>
  <c r="D4527"/>
  <c r="D4528"/>
  <c r="D4529"/>
  <c r="D4530"/>
  <c r="D4531"/>
  <c r="D4532"/>
  <c r="D4533"/>
  <c r="D4534"/>
  <c r="D4535"/>
  <c r="D4536"/>
  <c r="D4537"/>
  <c r="D4538"/>
  <c r="D4539"/>
  <c r="D4540"/>
  <c r="D4541"/>
  <c r="D4542"/>
  <c r="D4543"/>
  <c r="D4544"/>
  <c r="D4545"/>
  <c r="D4546"/>
  <c r="D4547"/>
  <c r="D4548"/>
  <c r="D4549"/>
  <c r="D4550"/>
  <c r="D4551"/>
  <c r="D4552"/>
  <c r="D4553"/>
  <c r="D4554"/>
  <c r="D4555"/>
  <c r="D4556"/>
  <c r="D4557"/>
  <c r="D4558"/>
  <c r="D4559"/>
  <c r="D4560"/>
  <c r="D4561"/>
  <c r="D4562"/>
  <c r="D4563"/>
  <c r="D4564"/>
  <c r="D4565"/>
  <c r="D4566"/>
  <c r="D4567"/>
  <c r="D4568"/>
  <c r="D4569"/>
  <c r="D4570"/>
  <c r="D4571"/>
  <c r="D4572"/>
  <c r="D4573"/>
  <c r="D4574"/>
  <c r="D4575"/>
  <c r="D4576"/>
  <c r="D4577"/>
  <c r="D4578"/>
  <c r="D4579"/>
  <c r="D4580"/>
  <c r="D4581"/>
  <c r="D4582"/>
  <c r="D4583"/>
  <c r="D4584"/>
  <c r="D4585"/>
  <c r="D4586"/>
  <c r="D4587"/>
  <c r="D4588"/>
  <c r="D4589"/>
  <c r="D4590"/>
  <c r="D4591"/>
  <c r="D4592"/>
  <c r="D4593"/>
  <c r="D4594"/>
  <c r="D4595"/>
  <c r="D4596"/>
  <c r="D4597"/>
  <c r="D4598"/>
  <c r="D4599"/>
  <c r="D4600"/>
  <c r="D4601"/>
  <c r="D4602"/>
  <c r="D4603"/>
  <c r="D4604"/>
  <c r="D4605"/>
  <c r="D4606"/>
  <c r="D4607"/>
  <c r="D4608"/>
  <c r="D4609"/>
  <c r="D4610"/>
  <c r="D4611"/>
  <c r="D4612"/>
  <c r="D4613"/>
  <c r="D4614"/>
  <c r="D4615"/>
  <c r="D4616"/>
  <c r="D4617"/>
  <c r="D4618"/>
  <c r="D4619"/>
  <c r="D4620"/>
  <c r="D4621"/>
  <c r="D4622"/>
  <c r="D4623"/>
  <c r="D4624"/>
  <c r="D4625"/>
  <c r="D4626"/>
  <c r="D4627"/>
  <c r="D4628"/>
  <c r="D4629"/>
  <c r="D4630"/>
  <c r="D4631"/>
  <c r="D4632"/>
  <c r="D4633"/>
  <c r="D4634"/>
  <c r="D4635"/>
  <c r="D4636"/>
  <c r="D4637"/>
  <c r="D4638"/>
  <c r="D4639"/>
  <c r="D4640"/>
  <c r="D4641"/>
  <c r="D4642"/>
  <c r="D4643"/>
  <c r="D4644"/>
  <c r="D4645"/>
  <c r="D4646"/>
  <c r="D4647"/>
  <c r="D4648"/>
  <c r="D4649"/>
  <c r="D4650"/>
  <c r="D4651"/>
  <c r="D4652"/>
  <c r="D4653"/>
  <c r="D4654"/>
  <c r="D4655"/>
  <c r="D4656"/>
  <c r="D4657"/>
  <c r="D4658"/>
  <c r="D4659"/>
  <c r="D4660"/>
  <c r="D4661"/>
  <c r="D4662"/>
  <c r="D4663"/>
  <c r="D4664"/>
  <c r="D4665"/>
  <c r="D4666"/>
  <c r="D4667"/>
  <c r="D4668"/>
  <c r="D4669"/>
  <c r="D4670"/>
  <c r="D4671"/>
  <c r="D4672"/>
  <c r="D4673"/>
  <c r="D4674"/>
  <c r="D4675"/>
  <c r="D4676"/>
  <c r="D4677"/>
  <c r="D4678"/>
  <c r="D4679"/>
  <c r="D4680"/>
  <c r="D4681"/>
  <c r="D4682"/>
  <c r="D4683"/>
  <c r="D4684"/>
  <c r="D4685"/>
  <c r="D4686"/>
  <c r="D4687"/>
  <c r="D4688"/>
  <c r="D4689"/>
  <c r="D4690"/>
  <c r="D4691"/>
  <c r="D4692"/>
  <c r="D4693"/>
  <c r="D4694"/>
  <c r="D4695"/>
  <c r="D4696"/>
  <c r="D4697"/>
  <c r="D4698"/>
  <c r="D4699"/>
  <c r="D4700"/>
  <c r="D4701"/>
  <c r="D4702"/>
  <c r="D4703"/>
  <c r="D4704"/>
  <c r="D4705"/>
  <c r="D4706"/>
  <c r="D4707"/>
  <c r="D4708"/>
  <c r="D4709"/>
  <c r="D4710"/>
  <c r="D4711"/>
  <c r="D4712"/>
  <c r="D4713"/>
  <c r="D4714"/>
  <c r="D4715"/>
  <c r="D4716"/>
  <c r="D4717"/>
  <c r="D4718"/>
  <c r="D4719"/>
  <c r="D4720"/>
  <c r="D4721"/>
  <c r="D4722"/>
  <c r="D4723"/>
  <c r="D4724"/>
  <c r="D4725"/>
  <c r="D4726"/>
  <c r="D4727"/>
  <c r="D4728"/>
  <c r="D4729"/>
  <c r="D4730"/>
  <c r="D4731"/>
  <c r="D4732"/>
  <c r="D4733"/>
  <c r="D4734"/>
  <c r="D4735"/>
  <c r="D4736"/>
  <c r="D4737"/>
  <c r="D4738"/>
  <c r="D4739"/>
  <c r="D4740"/>
  <c r="D4741"/>
  <c r="D4742"/>
  <c r="D4743"/>
  <c r="D4744"/>
  <c r="D4745"/>
  <c r="D4746"/>
  <c r="D4747"/>
  <c r="D4748"/>
  <c r="D4749"/>
  <c r="D4750"/>
  <c r="D4751"/>
  <c r="D4752"/>
  <c r="D4753"/>
  <c r="D4754"/>
  <c r="D4755"/>
  <c r="D4756"/>
  <c r="D4757"/>
  <c r="D4758"/>
  <c r="D4759"/>
  <c r="D4760"/>
  <c r="D4761"/>
  <c r="D4762"/>
  <c r="D4763"/>
  <c r="D4764"/>
  <c r="D4765"/>
  <c r="D4766"/>
  <c r="D4767"/>
  <c r="D4768"/>
  <c r="D4769"/>
  <c r="D4770"/>
  <c r="D4771"/>
  <c r="D4772"/>
  <c r="D4773"/>
  <c r="D4774"/>
  <c r="D4775"/>
  <c r="D4776"/>
  <c r="D4777"/>
  <c r="D4778"/>
  <c r="D4779"/>
  <c r="D4780"/>
  <c r="D4781"/>
  <c r="D4782"/>
  <c r="D4783"/>
  <c r="D4784"/>
  <c r="D4785"/>
  <c r="D4786"/>
  <c r="D4787"/>
  <c r="D4788"/>
  <c r="D4789"/>
  <c r="D4790"/>
  <c r="D4791"/>
  <c r="D4792"/>
  <c r="D4793"/>
  <c r="D4794"/>
  <c r="D4795"/>
  <c r="D4796"/>
  <c r="D4797"/>
  <c r="D4798"/>
  <c r="D4799"/>
  <c r="D4800"/>
  <c r="D4801"/>
  <c r="D4802"/>
  <c r="D4803"/>
  <c r="D4804"/>
  <c r="D4805"/>
  <c r="D4806"/>
  <c r="D4807"/>
  <c r="D4808"/>
  <c r="D4809"/>
  <c r="D4810"/>
  <c r="D4811"/>
  <c r="D4812"/>
  <c r="D4813"/>
  <c r="D4814"/>
  <c r="D4815"/>
  <c r="D4816"/>
  <c r="D4817"/>
  <c r="D4818"/>
  <c r="D4819"/>
  <c r="D4820"/>
  <c r="D4821"/>
  <c r="D4822"/>
  <c r="D4823"/>
  <c r="D4824"/>
  <c r="D4825"/>
  <c r="D4826"/>
  <c r="D4827"/>
  <c r="D4828"/>
  <c r="D4829"/>
  <c r="D4830"/>
  <c r="D4831"/>
  <c r="D4832"/>
  <c r="D4833"/>
  <c r="D4834"/>
  <c r="D4835"/>
  <c r="D4836"/>
  <c r="D4837"/>
  <c r="D4838"/>
  <c r="D4839"/>
  <c r="D4840"/>
  <c r="D4841"/>
  <c r="D4842"/>
  <c r="D4843"/>
  <c r="D4844"/>
  <c r="D4845"/>
  <c r="D4846"/>
  <c r="D4847"/>
  <c r="D4848"/>
  <c r="D4849"/>
  <c r="D4850"/>
  <c r="D4851"/>
  <c r="D4852"/>
  <c r="D4853"/>
  <c r="D4854"/>
  <c r="D4855"/>
  <c r="D4856"/>
  <c r="D4857"/>
  <c r="D4858"/>
  <c r="D4859"/>
  <c r="D4860"/>
  <c r="D4861"/>
  <c r="D4862"/>
  <c r="D4863"/>
  <c r="D4864"/>
  <c r="D4865"/>
  <c r="D4866"/>
  <c r="D4867"/>
  <c r="D4868"/>
  <c r="D4869"/>
  <c r="D4870"/>
  <c r="D4871"/>
  <c r="D4872"/>
  <c r="D4873"/>
  <c r="D4874"/>
  <c r="D4875"/>
  <c r="D4876"/>
  <c r="D4877"/>
  <c r="D4878"/>
  <c r="D4879"/>
  <c r="D4880"/>
  <c r="D4881"/>
  <c r="D4882"/>
  <c r="D4883"/>
  <c r="D4884"/>
  <c r="D4885"/>
  <c r="D4886"/>
  <c r="D4887"/>
  <c r="D4888"/>
  <c r="D4889"/>
  <c r="D4890"/>
  <c r="D4891"/>
  <c r="D4892"/>
  <c r="D4893"/>
  <c r="D4894"/>
  <c r="D4895"/>
  <c r="D4896"/>
  <c r="D4897"/>
  <c r="D4898"/>
  <c r="D4899"/>
  <c r="D4900"/>
  <c r="D4901"/>
  <c r="D4902"/>
  <c r="D4903"/>
  <c r="D4904"/>
  <c r="D4905"/>
  <c r="D4906"/>
  <c r="D4907"/>
  <c r="D4908"/>
  <c r="D4909"/>
  <c r="D4910"/>
  <c r="D4911"/>
  <c r="D4912"/>
  <c r="D4913"/>
  <c r="D4914"/>
  <c r="D4915"/>
  <c r="D4916"/>
  <c r="D4917"/>
  <c r="D4918"/>
  <c r="D4919"/>
  <c r="D4920"/>
  <c r="D4921"/>
  <c r="D4922"/>
  <c r="D4923"/>
  <c r="D4924"/>
  <c r="D4925"/>
  <c r="D4926"/>
  <c r="D4927"/>
  <c r="D4928"/>
  <c r="D4929"/>
  <c r="D4930"/>
  <c r="D4931"/>
  <c r="D4932"/>
  <c r="D4933"/>
  <c r="D4934"/>
  <c r="D4935"/>
  <c r="D4936"/>
  <c r="D4937"/>
  <c r="D4938"/>
  <c r="D4939"/>
  <c r="D4940"/>
  <c r="D4941"/>
  <c r="D4942"/>
  <c r="D4943"/>
  <c r="D4944"/>
  <c r="D4945"/>
  <c r="D4946"/>
  <c r="D4947"/>
  <c r="D4948"/>
  <c r="D4949"/>
  <c r="D4950"/>
  <c r="D4951"/>
  <c r="D4952"/>
  <c r="D4953"/>
  <c r="D4954"/>
  <c r="D4955"/>
  <c r="D4956"/>
  <c r="D4957"/>
  <c r="D4958"/>
  <c r="D4959"/>
  <c r="D4960"/>
  <c r="D4961"/>
  <c r="D4962"/>
  <c r="D4963"/>
  <c r="D4964"/>
  <c r="D4965"/>
  <c r="D4966"/>
  <c r="D4967"/>
  <c r="D4968"/>
  <c r="D4969"/>
  <c r="D4970"/>
  <c r="D4971"/>
  <c r="D4972"/>
  <c r="D4973"/>
  <c r="D4974"/>
  <c r="D4975"/>
  <c r="D4976"/>
  <c r="D4977"/>
  <c r="D4978"/>
  <c r="D4979"/>
  <c r="D4980"/>
  <c r="D4981"/>
  <c r="D4982"/>
  <c r="D4983"/>
  <c r="D4984"/>
  <c r="D4985"/>
  <c r="D4986"/>
  <c r="D4987"/>
  <c r="D4988"/>
  <c r="D4989"/>
  <c r="D4990"/>
  <c r="D4991"/>
  <c r="D4992"/>
  <c r="D4993"/>
  <c r="D4994"/>
  <c r="D4995"/>
  <c r="D4996"/>
  <c r="D4997"/>
  <c r="D4998"/>
  <c r="D4999"/>
  <c r="D5000"/>
  <c r="D5001"/>
  <c r="D5002"/>
  <c r="D5003"/>
  <c r="D5004"/>
  <c r="D5005"/>
  <c r="D5006"/>
  <c r="D5007"/>
  <c r="D5008"/>
  <c r="D5009"/>
  <c r="D5010"/>
  <c r="D5011"/>
  <c r="D5012"/>
  <c r="D5013"/>
  <c r="D5014"/>
  <c r="D5015"/>
  <c r="D5016"/>
  <c r="D5017"/>
  <c r="D5018"/>
  <c r="D5019"/>
  <c r="D5020"/>
  <c r="D5021"/>
  <c r="D5022"/>
  <c r="D5023"/>
  <c r="D5024"/>
  <c r="D5025"/>
  <c r="D5026"/>
  <c r="D5027"/>
  <c r="D5028"/>
  <c r="D5029"/>
  <c r="D5030"/>
  <c r="D5031"/>
  <c r="D5032"/>
  <c r="D5033"/>
  <c r="D5034"/>
  <c r="D5035"/>
  <c r="D5036"/>
  <c r="D5037"/>
  <c r="D5038"/>
  <c r="D5039"/>
  <c r="D5040"/>
  <c r="D5041"/>
  <c r="D5042"/>
  <c r="D5043"/>
  <c r="D5044"/>
  <c r="D5045"/>
  <c r="D5046"/>
  <c r="D5047"/>
  <c r="D5048"/>
  <c r="D5049"/>
  <c r="D5050"/>
  <c r="D5051"/>
  <c r="D5052"/>
  <c r="D5053"/>
  <c r="D5054"/>
  <c r="D5055"/>
  <c r="D5056"/>
  <c r="D5057"/>
  <c r="D5058"/>
  <c r="D5059"/>
  <c r="D5060"/>
  <c r="D5061"/>
  <c r="D5062"/>
  <c r="D5063"/>
  <c r="D5064"/>
  <c r="D5065"/>
  <c r="D5066"/>
  <c r="D5067"/>
  <c r="D5068"/>
  <c r="D5069"/>
  <c r="D5070"/>
  <c r="D5071"/>
  <c r="D5072"/>
  <c r="D5073"/>
  <c r="D5074"/>
  <c r="D5075"/>
  <c r="D5076"/>
  <c r="D5077"/>
  <c r="D5078"/>
  <c r="D5079"/>
  <c r="D5080"/>
  <c r="D5081"/>
  <c r="D5082"/>
  <c r="D5083"/>
  <c r="D5084"/>
  <c r="D5085"/>
  <c r="D5086"/>
  <c r="D5087"/>
  <c r="D5088"/>
  <c r="D5089"/>
  <c r="D5090"/>
  <c r="D5091"/>
  <c r="D5092"/>
  <c r="D5093"/>
  <c r="D5094"/>
  <c r="D5095"/>
  <c r="D5096"/>
  <c r="D5097"/>
  <c r="D5098"/>
  <c r="D5099"/>
  <c r="D5100"/>
  <c r="D5101"/>
  <c r="D5102"/>
  <c r="D5103"/>
  <c r="D5104"/>
  <c r="D5105"/>
  <c r="D5106"/>
  <c r="D5107"/>
  <c r="D5108"/>
  <c r="D5109"/>
  <c r="D5110"/>
  <c r="D5111"/>
  <c r="D5112"/>
  <c r="D5113"/>
  <c r="D5114"/>
  <c r="D5115"/>
  <c r="D5116"/>
  <c r="D5117"/>
  <c r="D5118"/>
  <c r="D5119"/>
  <c r="D5120"/>
  <c r="D5121"/>
  <c r="D5122"/>
  <c r="D5123"/>
  <c r="D5124"/>
  <c r="D5125"/>
  <c r="D5126"/>
  <c r="D5127"/>
  <c r="D5128"/>
  <c r="D5129"/>
  <c r="D5130"/>
  <c r="D5131"/>
  <c r="D5132"/>
  <c r="D5133"/>
  <c r="D5134"/>
  <c r="D5135"/>
  <c r="D5136"/>
  <c r="D5137"/>
  <c r="D5138"/>
  <c r="D5139"/>
  <c r="D5140"/>
  <c r="D5141"/>
  <c r="D5142"/>
  <c r="D5143"/>
  <c r="D5144"/>
  <c r="D5145"/>
  <c r="D5146"/>
  <c r="D5147"/>
  <c r="D5148"/>
  <c r="D5149"/>
  <c r="D5150"/>
  <c r="D5151"/>
  <c r="D5152"/>
  <c r="D5153"/>
  <c r="D5154"/>
  <c r="D5155"/>
  <c r="D5156"/>
  <c r="D5157"/>
  <c r="D5158"/>
  <c r="D5159"/>
  <c r="D5160"/>
  <c r="D5161"/>
  <c r="D5162"/>
  <c r="D5163"/>
  <c r="D5164"/>
  <c r="D5165"/>
  <c r="D5166"/>
  <c r="D5167"/>
  <c r="D5168"/>
  <c r="D5169"/>
  <c r="D5170"/>
  <c r="D5171"/>
  <c r="D5172"/>
  <c r="D5173"/>
  <c r="D5174"/>
  <c r="D5175"/>
  <c r="D5176"/>
  <c r="D5177"/>
  <c r="D5178"/>
  <c r="D5179"/>
  <c r="D5180"/>
  <c r="D5181"/>
  <c r="D5182"/>
  <c r="D5183"/>
  <c r="D5184"/>
  <c r="D5185"/>
  <c r="D5186"/>
  <c r="D5187"/>
  <c r="D5188"/>
  <c r="D5189"/>
  <c r="D5190"/>
  <c r="D5191"/>
  <c r="D5192"/>
  <c r="D5193"/>
  <c r="D5194"/>
  <c r="D5195"/>
  <c r="D5196"/>
  <c r="D5197"/>
  <c r="D5198"/>
  <c r="D5199"/>
  <c r="D5200"/>
  <c r="D5201"/>
  <c r="D5202"/>
  <c r="D5203"/>
  <c r="D5204"/>
  <c r="D5205"/>
  <c r="D5206"/>
  <c r="D5207"/>
  <c r="D5208"/>
  <c r="D5209"/>
  <c r="D5210"/>
  <c r="D5211"/>
  <c r="D5212"/>
  <c r="D5213"/>
  <c r="D5214"/>
  <c r="D5215"/>
  <c r="D5216"/>
  <c r="D5217"/>
  <c r="D5218"/>
  <c r="D5219"/>
  <c r="D5220"/>
  <c r="D5221"/>
  <c r="D5222"/>
  <c r="D5223"/>
  <c r="D5224"/>
  <c r="D5225"/>
  <c r="D5226"/>
  <c r="D5227"/>
  <c r="D5228"/>
  <c r="D5229"/>
  <c r="D5230"/>
  <c r="D5231"/>
  <c r="D5232"/>
  <c r="D5233"/>
  <c r="D5234"/>
  <c r="D5235"/>
  <c r="D5236"/>
  <c r="D5237"/>
  <c r="D5238"/>
  <c r="D5239"/>
  <c r="D5240"/>
  <c r="D5241"/>
  <c r="D5242"/>
  <c r="D5243"/>
  <c r="D5244"/>
  <c r="D5245"/>
  <c r="D5246"/>
  <c r="D5247"/>
  <c r="D5248"/>
  <c r="D5249"/>
  <c r="D5250"/>
  <c r="D5251"/>
  <c r="D5252"/>
  <c r="D5253"/>
  <c r="D5254"/>
  <c r="D5255"/>
  <c r="D5256"/>
  <c r="D5257"/>
  <c r="D5258"/>
  <c r="D5259"/>
  <c r="D5260"/>
  <c r="D5261"/>
  <c r="D5262"/>
  <c r="D5263"/>
  <c r="D5264"/>
  <c r="D5265"/>
  <c r="D5266"/>
  <c r="D5267"/>
  <c r="D5268"/>
  <c r="D5269"/>
  <c r="D5270"/>
  <c r="D5271"/>
  <c r="D5272"/>
  <c r="D5273"/>
  <c r="D5274"/>
  <c r="D5275"/>
  <c r="D5276"/>
  <c r="D5277"/>
  <c r="D5278"/>
  <c r="D5279"/>
  <c r="D5280"/>
  <c r="D5281"/>
  <c r="D5282"/>
  <c r="D5283"/>
  <c r="D5284"/>
  <c r="D5285"/>
  <c r="D5286"/>
  <c r="D5287"/>
  <c r="D5288"/>
  <c r="D5289"/>
  <c r="D5290"/>
  <c r="D5291"/>
  <c r="D5292"/>
  <c r="D5293"/>
  <c r="D5294"/>
  <c r="D5295"/>
  <c r="D5296"/>
  <c r="D5297"/>
  <c r="D5298"/>
  <c r="D5299"/>
  <c r="D5300"/>
  <c r="D5301"/>
  <c r="D5302"/>
  <c r="D5303"/>
  <c r="D5304"/>
  <c r="D5305"/>
  <c r="D5306"/>
  <c r="D5307"/>
  <c r="D5308"/>
  <c r="D5309"/>
  <c r="D5310"/>
  <c r="D5311"/>
  <c r="D5312"/>
  <c r="D5313"/>
  <c r="D5314"/>
  <c r="D5315"/>
  <c r="D5316"/>
  <c r="D5317"/>
  <c r="D5318"/>
  <c r="D5319"/>
  <c r="D5320"/>
  <c r="D5321"/>
  <c r="D5322"/>
  <c r="D5323"/>
  <c r="D5324"/>
  <c r="D5325"/>
  <c r="D5326"/>
  <c r="D5327"/>
  <c r="D5328"/>
  <c r="D5329"/>
  <c r="D5330"/>
  <c r="D5331"/>
  <c r="D5332"/>
  <c r="D5333"/>
  <c r="D5334"/>
  <c r="D5335"/>
  <c r="D5336"/>
  <c r="D5337"/>
  <c r="D5338"/>
  <c r="D5339"/>
  <c r="D5340"/>
  <c r="D5341"/>
  <c r="D5342"/>
  <c r="D5343"/>
  <c r="D5344"/>
  <c r="D5345"/>
  <c r="D5346"/>
  <c r="D5347"/>
  <c r="D5348"/>
  <c r="D5349"/>
  <c r="D5350"/>
  <c r="D5351"/>
  <c r="D5352"/>
  <c r="D5353"/>
  <c r="D5354"/>
  <c r="D5355"/>
  <c r="D5356"/>
  <c r="D5357"/>
  <c r="D5358"/>
  <c r="D5359"/>
  <c r="D5360"/>
  <c r="D5361"/>
  <c r="D5362"/>
  <c r="D5363"/>
  <c r="D5364"/>
  <c r="D5365"/>
  <c r="D5366"/>
  <c r="D5367"/>
  <c r="D5368"/>
  <c r="D5369"/>
  <c r="D5370"/>
  <c r="D5371"/>
  <c r="D5372"/>
  <c r="D5373"/>
  <c r="D5374"/>
  <c r="D5375"/>
  <c r="D5376"/>
  <c r="D5377"/>
  <c r="D5378"/>
  <c r="D5379"/>
  <c r="D5380"/>
  <c r="D5381"/>
  <c r="D5382"/>
  <c r="D5383"/>
  <c r="D5384"/>
  <c r="D5385"/>
  <c r="D5386"/>
  <c r="D5387"/>
  <c r="D5388"/>
  <c r="D5389"/>
  <c r="D5390"/>
  <c r="D5391"/>
  <c r="D5392"/>
  <c r="D5393"/>
  <c r="D5394"/>
  <c r="D5395"/>
  <c r="D5396"/>
  <c r="D5397"/>
  <c r="D5398"/>
  <c r="D5399"/>
  <c r="D5400"/>
  <c r="D5401"/>
  <c r="D5402"/>
  <c r="D5403"/>
  <c r="D5404"/>
  <c r="D5405"/>
  <c r="D5406"/>
  <c r="D5407"/>
  <c r="D5408"/>
  <c r="D5409"/>
  <c r="D5410"/>
  <c r="D5411"/>
  <c r="D5412"/>
  <c r="D5413"/>
  <c r="D5414"/>
  <c r="D5415"/>
  <c r="D5416"/>
  <c r="D5417"/>
  <c r="D5418"/>
  <c r="D5419"/>
  <c r="D5420"/>
  <c r="D5421"/>
  <c r="D5422"/>
  <c r="D5423"/>
  <c r="D5424"/>
  <c r="D5425"/>
  <c r="D5426"/>
  <c r="D5427"/>
  <c r="D5428"/>
  <c r="D5429"/>
  <c r="D5430"/>
  <c r="D5431"/>
  <c r="D5432"/>
  <c r="D5433"/>
  <c r="D5434"/>
  <c r="D5435"/>
  <c r="D5436"/>
  <c r="D5437"/>
  <c r="D5438"/>
  <c r="D5439"/>
  <c r="D5440"/>
  <c r="D5441"/>
  <c r="D5442"/>
  <c r="D5443"/>
  <c r="D5444"/>
  <c r="D5445"/>
  <c r="D5446"/>
  <c r="D5447"/>
  <c r="D5448"/>
  <c r="D5449"/>
  <c r="D5450"/>
  <c r="D5451"/>
  <c r="D5452"/>
  <c r="D5453"/>
  <c r="D5454"/>
  <c r="D5455"/>
  <c r="D5456"/>
  <c r="D5457"/>
  <c r="D5458"/>
  <c r="D5459"/>
  <c r="D5460"/>
  <c r="D5461"/>
  <c r="D5462"/>
  <c r="D5463"/>
  <c r="D5464"/>
  <c r="D5465"/>
  <c r="D5466"/>
  <c r="D5467"/>
  <c r="D5468"/>
  <c r="D5469"/>
  <c r="D5470"/>
  <c r="D5471"/>
  <c r="D5472"/>
  <c r="D5473"/>
  <c r="D5474"/>
  <c r="D5475"/>
  <c r="D5476"/>
  <c r="D5477"/>
  <c r="D5478"/>
  <c r="D5479"/>
  <c r="D5480"/>
  <c r="D5481"/>
  <c r="D5482"/>
  <c r="D5483"/>
  <c r="D5484"/>
  <c r="D5485"/>
  <c r="D5486"/>
  <c r="D5487"/>
  <c r="D5488"/>
  <c r="D5489"/>
  <c r="D5490"/>
  <c r="D5491"/>
  <c r="D5492"/>
  <c r="D5493"/>
  <c r="D5494"/>
  <c r="D5495"/>
  <c r="D5496"/>
  <c r="D5497"/>
  <c r="D5498"/>
  <c r="D5499"/>
  <c r="D5500"/>
  <c r="D5501"/>
  <c r="D5502"/>
  <c r="D5503"/>
  <c r="D5504"/>
  <c r="D5505"/>
  <c r="D5506"/>
  <c r="D5507"/>
  <c r="D5508"/>
  <c r="D5509"/>
  <c r="D5510"/>
  <c r="D5511"/>
  <c r="D5512"/>
  <c r="D5513"/>
  <c r="D5514"/>
  <c r="D5515"/>
  <c r="D5516"/>
  <c r="D5517"/>
  <c r="D5518"/>
  <c r="D5519"/>
  <c r="D5520"/>
  <c r="D5521"/>
  <c r="D5522"/>
  <c r="D5523"/>
  <c r="D5524"/>
  <c r="D5525"/>
  <c r="D5526"/>
  <c r="D5527"/>
  <c r="D5528"/>
  <c r="D5529"/>
  <c r="D5530"/>
  <c r="D5531"/>
  <c r="D5532"/>
  <c r="D5533"/>
  <c r="D5534"/>
  <c r="D5535"/>
  <c r="D5536"/>
  <c r="D5537"/>
  <c r="D5538"/>
  <c r="D5539"/>
  <c r="D5540"/>
  <c r="D5541"/>
  <c r="D5542"/>
  <c r="D5543"/>
  <c r="D5544"/>
  <c r="D5545"/>
  <c r="D5546"/>
  <c r="D5547"/>
  <c r="D5548"/>
  <c r="D5549"/>
  <c r="D5550"/>
  <c r="D5551"/>
  <c r="D5552"/>
  <c r="D5553"/>
  <c r="D5554"/>
  <c r="D5555"/>
  <c r="D5556"/>
  <c r="D5557"/>
  <c r="D5558"/>
  <c r="D5559"/>
  <c r="D5560"/>
  <c r="D5561"/>
  <c r="D5562"/>
  <c r="D5563"/>
  <c r="D5564"/>
  <c r="D5565"/>
  <c r="D5566"/>
  <c r="D5567"/>
  <c r="D5568"/>
  <c r="D5569"/>
  <c r="D5570"/>
  <c r="D5571"/>
  <c r="D5572"/>
  <c r="D5573"/>
  <c r="D5574"/>
  <c r="D5575"/>
  <c r="D5576"/>
  <c r="D5577"/>
  <c r="D5578"/>
  <c r="D5579"/>
  <c r="D5580"/>
  <c r="D5581"/>
  <c r="D5582"/>
  <c r="D5583"/>
  <c r="D5584"/>
  <c r="D5585"/>
  <c r="D5586"/>
  <c r="D5587"/>
  <c r="D5588"/>
  <c r="D5589"/>
  <c r="D5590"/>
  <c r="D5591"/>
  <c r="D5592"/>
  <c r="D5593"/>
  <c r="D5594"/>
  <c r="D5595"/>
  <c r="D5596"/>
  <c r="D5597"/>
  <c r="D5598"/>
  <c r="D5599"/>
  <c r="D5600"/>
  <c r="D5601"/>
  <c r="D5602"/>
  <c r="D5603"/>
  <c r="D5604"/>
  <c r="D5605"/>
  <c r="D5606"/>
  <c r="D5607"/>
  <c r="D5608"/>
  <c r="D5609"/>
  <c r="D5610"/>
  <c r="D5611"/>
  <c r="D5612"/>
  <c r="D5613"/>
  <c r="D5614"/>
  <c r="D5615"/>
  <c r="D5616"/>
  <c r="D5617"/>
  <c r="D5618"/>
  <c r="D5619"/>
  <c r="D5620"/>
  <c r="D5621"/>
  <c r="D5622"/>
  <c r="D5623"/>
  <c r="D5624"/>
  <c r="D5625"/>
  <c r="D5626"/>
  <c r="D5627"/>
  <c r="D5628"/>
  <c r="D5629"/>
  <c r="D5630"/>
  <c r="D5631"/>
  <c r="D5632"/>
  <c r="D5633"/>
  <c r="D5634"/>
  <c r="D5635"/>
  <c r="D5636"/>
  <c r="D5637"/>
  <c r="D5638"/>
  <c r="D5639"/>
  <c r="D5640"/>
  <c r="D5641"/>
  <c r="D5642"/>
  <c r="D5643"/>
  <c r="D5644"/>
  <c r="D5645"/>
  <c r="D5646"/>
  <c r="D5647"/>
  <c r="D5648"/>
  <c r="D5649"/>
  <c r="D5650"/>
  <c r="D5651"/>
  <c r="D5652"/>
  <c r="D5653"/>
  <c r="D5654"/>
  <c r="D5655"/>
  <c r="D5656"/>
  <c r="D5657"/>
  <c r="D5658"/>
  <c r="D5659"/>
  <c r="D5660"/>
  <c r="D5661"/>
  <c r="D5662"/>
  <c r="D5663"/>
  <c r="D5664"/>
  <c r="D5665"/>
  <c r="D5666"/>
  <c r="D5667"/>
  <c r="D5668"/>
  <c r="D5669"/>
  <c r="D5670"/>
  <c r="D5671"/>
  <c r="D5672"/>
  <c r="D5673"/>
  <c r="D5674"/>
  <c r="D5675"/>
  <c r="D5676"/>
  <c r="D5677"/>
  <c r="D5678"/>
  <c r="D5679"/>
  <c r="D5680"/>
  <c r="D5681"/>
  <c r="D5682"/>
  <c r="D5683"/>
  <c r="D5684"/>
  <c r="D5685"/>
  <c r="D5686"/>
  <c r="D5687"/>
  <c r="D5688"/>
  <c r="D5689"/>
  <c r="D5690"/>
  <c r="D5691"/>
  <c r="D5692"/>
  <c r="D5693"/>
  <c r="D5694"/>
  <c r="D5695"/>
  <c r="D5696"/>
  <c r="D5697"/>
  <c r="D5698"/>
  <c r="D5699"/>
  <c r="D5700"/>
  <c r="D5701"/>
  <c r="D5702"/>
  <c r="D5703"/>
  <c r="D5704"/>
  <c r="D5705"/>
  <c r="D5706"/>
  <c r="D5707"/>
  <c r="D5708"/>
  <c r="D5709"/>
  <c r="D5710"/>
  <c r="D5711"/>
  <c r="D5712"/>
  <c r="D5713"/>
  <c r="D5714"/>
  <c r="D5715"/>
  <c r="D5716"/>
  <c r="D5717"/>
  <c r="D5718"/>
  <c r="D5719"/>
  <c r="D5720"/>
  <c r="D5721"/>
  <c r="D5722"/>
  <c r="D5723"/>
  <c r="D5724"/>
  <c r="D5725"/>
  <c r="D5726"/>
  <c r="D5727"/>
  <c r="D5728"/>
  <c r="D5729"/>
  <c r="D5730"/>
  <c r="D5731"/>
  <c r="D5732"/>
  <c r="D5733"/>
  <c r="D5734"/>
  <c r="D5735"/>
  <c r="D5736"/>
  <c r="D5737"/>
  <c r="D5738"/>
  <c r="D5739"/>
  <c r="D5740"/>
  <c r="D5741"/>
  <c r="D5742"/>
  <c r="D5743"/>
  <c r="D5744"/>
  <c r="D5745"/>
  <c r="D5746"/>
  <c r="D5747"/>
  <c r="D5748"/>
  <c r="D5749"/>
  <c r="D5750"/>
  <c r="D5751"/>
  <c r="D5752"/>
  <c r="D5753"/>
  <c r="D5754"/>
  <c r="D5755"/>
  <c r="D5756"/>
  <c r="D5757"/>
  <c r="D5758"/>
  <c r="D5759"/>
  <c r="D5760"/>
  <c r="D5761"/>
  <c r="D5762"/>
  <c r="D5763"/>
  <c r="D5764"/>
  <c r="D5765"/>
  <c r="D5766"/>
  <c r="D5767"/>
  <c r="D5768"/>
  <c r="D5769"/>
  <c r="D5770"/>
  <c r="D5771"/>
  <c r="D5772"/>
  <c r="D5773"/>
  <c r="D5774"/>
  <c r="D5775"/>
  <c r="D5776"/>
  <c r="D5777"/>
  <c r="D5778"/>
  <c r="D5779"/>
  <c r="D5780"/>
  <c r="D5781"/>
  <c r="D5782"/>
  <c r="D5783"/>
  <c r="D5784"/>
  <c r="D5785"/>
  <c r="D5786"/>
  <c r="D5787"/>
  <c r="D5788"/>
  <c r="D5789"/>
  <c r="D5790"/>
  <c r="D5791"/>
  <c r="D5792"/>
  <c r="D5793"/>
  <c r="D5794"/>
  <c r="D5795"/>
  <c r="D5796"/>
  <c r="D5797"/>
  <c r="D5798"/>
  <c r="D5799"/>
  <c r="D5800"/>
  <c r="D5801"/>
  <c r="D5802"/>
  <c r="D5803"/>
  <c r="D5804"/>
  <c r="D5805"/>
  <c r="D5806"/>
  <c r="D5807"/>
  <c r="D5808"/>
  <c r="D5809"/>
  <c r="D5810"/>
  <c r="D5811"/>
  <c r="D5812"/>
  <c r="D5813"/>
  <c r="D5814"/>
  <c r="D5815"/>
  <c r="D5816"/>
  <c r="D5817"/>
  <c r="D5818"/>
  <c r="D5819"/>
  <c r="D5820"/>
  <c r="D5821"/>
  <c r="D5822"/>
  <c r="D5823"/>
  <c r="D5824"/>
  <c r="D5825"/>
  <c r="D5826"/>
  <c r="D5827"/>
  <c r="D5828"/>
  <c r="D5829"/>
  <c r="D5830"/>
  <c r="D5831"/>
  <c r="D5832"/>
  <c r="D5833"/>
  <c r="D5834"/>
  <c r="D5835"/>
  <c r="D5836"/>
  <c r="D5837"/>
  <c r="D5838"/>
  <c r="D5839"/>
  <c r="D5840"/>
  <c r="D5841"/>
  <c r="D5842"/>
  <c r="D5843"/>
  <c r="D5844"/>
  <c r="D5845"/>
  <c r="D5846"/>
  <c r="D5847"/>
  <c r="D5848"/>
  <c r="D5849"/>
  <c r="D5850"/>
  <c r="D5851"/>
  <c r="D5852"/>
  <c r="D5853"/>
  <c r="D5854"/>
  <c r="D5855"/>
  <c r="D5856"/>
  <c r="D5857"/>
  <c r="D5858"/>
  <c r="D5859"/>
  <c r="D5860"/>
  <c r="D5861"/>
  <c r="D5862"/>
  <c r="D5863"/>
  <c r="D5864"/>
  <c r="D5865"/>
  <c r="D5866"/>
  <c r="D5867"/>
  <c r="D5868"/>
  <c r="D5869"/>
  <c r="D5870"/>
  <c r="D5871"/>
  <c r="D5872"/>
  <c r="D5873"/>
  <c r="D5874"/>
  <c r="D5875"/>
  <c r="D5876"/>
  <c r="D5877"/>
  <c r="D5878"/>
  <c r="D5879"/>
  <c r="D5880"/>
  <c r="D5881"/>
  <c r="D5882"/>
  <c r="D5883"/>
  <c r="D5884"/>
  <c r="D5885"/>
  <c r="D5886"/>
  <c r="D5887"/>
  <c r="D5888"/>
  <c r="D5889"/>
  <c r="D5890"/>
  <c r="D5891"/>
  <c r="D5892"/>
  <c r="D5893"/>
  <c r="D5894"/>
  <c r="D5895"/>
  <c r="D5896"/>
  <c r="D5897"/>
  <c r="D5898"/>
  <c r="D5899"/>
  <c r="D5900"/>
  <c r="D5901"/>
  <c r="D5902"/>
  <c r="D5903"/>
  <c r="D5904"/>
  <c r="D5905"/>
  <c r="D5906"/>
  <c r="D5907"/>
  <c r="D5908"/>
  <c r="D5909"/>
  <c r="D5910"/>
  <c r="D5911"/>
  <c r="D5912"/>
  <c r="D5913"/>
  <c r="D5914"/>
  <c r="D5915"/>
  <c r="D5916"/>
  <c r="D5917"/>
  <c r="D5918"/>
  <c r="D5919"/>
  <c r="D5920"/>
  <c r="D5921"/>
  <c r="D5922"/>
  <c r="D5923"/>
  <c r="D5924"/>
  <c r="D5925"/>
  <c r="D5926"/>
  <c r="D5927"/>
  <c r="D5928"/>
  <c r="D5929"/>
  <c r="D5930"/>
  <c r="D5931"/>
  <c r="D5932"/>
  <c r="D5933"/>
  <c r="D5934"/>
  <c r="D5935"/>
  <c r="D5936"/>
  <c r="D5937"/>
  <c r="D5938"/>
  <c r="D5939"/>
  <c r="D5940"/>
  <c r="D5941"/>
  <c r="D5942"/>
  <c r="D5943"/>
  <c r="D5944"/>
  <c r="D5945"/>
  <c r="D5946"/>
  <c r="D5947"/>
  <c r="D5948"/>
  <c r="D5949"/>
  <c r="D5950"/>
  <c r="D5951"/>
  <c r="D5952"/>
  <c r="D5953"/>
  <c r="D5954"/>
  <c r="D5955"/>
  <c r="D5956"/>
  <c r="D5957"/>
  <c r="D5958"/>
  <c r="D5959"/>
  <c r="D5960"/>
  <c r="D5961"/>
  <c r="D5962"/>
  <c r="D5963"/>
  <c r="D5964"/>
  <c r="D5965"/>
  <c r="D5966"/>
  <c r="D5967"/>
  <c r="D5968"/>
  <c r="D5969"/>
  <c r="D5970"/>
  <c r="D5971"/>
  <c r="D5972"/>
  <c r="D5973"/>
  <c r="D5974"/>
  <c r="D5975"/>
  <c r="D5976"/>
  <c r="D5977"/>
  <c r="D5978"/>
  <c r="D5979"/>
  <c r="D5980"/>
  <c r="D5981"/>
  <c r="D5982"/>
  <c r="D5983"/>
  <c r="D5984"/>
  <c r="D5985"/>
  <c r="D5986"/>
  <c r="D5987"/>
  <c r="D5988"/>
  <c r="D5989"/>
  <c r="D5990"/>
  <c r="D5991"/>
  <c r="D5992"/>
  <c r="D5993"/>
  <c r="D5994"/>
  <c r="D5995"/>
  <c r="D5996"/>
  <c r="D5997"/>
  <c r="D5998"/>
  <c r="D5999"/>
  <c r="D6000"/>
  <c r="D6001"/>
  <c r="D6002"/>
  <c r="D6003"/>
  <c r="D6004"/>
  <c r="D6005"/>
  <c r="D6006"/>
  <c r="D6007"/>
  <c r="D6008"/>
  <c r="D6009"/>
  <c r="D6010"/>
  <c r="D6011"/>
  <c r="D6012"/>
  <c r="D6013"/>
  <c r="D6014"/>
  <c r="D6015"/>
  <c r="D6016"/>
  <c r="D6017"/>
  <c r="D6018"/>
  <c r="D6019"/>
  <c r="D6020"/>
  <c r="D6021"/>
  <c r="D6022"/>
  <c r="D6023"/>
  <c r="D6024"/>
  <c r="D6025"/>
  <c r="D6026"/>
  <c r="D6027"/>
  <c r="D6028"/>
  <c r="D6029"/>
  <c r="D6030"/>
  <c r="D6031"/>
  <c r="D6032"/>
  <c r="D6033"/>
  <c r="D6034"/>
  <c r="D6035"/>
  <c r="D6036"/>
  <c r="D6037"/>
  <c r="D6038"/>
  <c r="D6039"/>
  <c r="D6040"/>
  <c r="D6041"/>
  <c r="D6042"/>
  <c r="D6043"/>
  <c r="D6044"/>
  <c r="D6045"/>
  <c r="D6046"/>
  <c r="D6047"/>
  <c r="D6048"/>
  <c r="D6049"/>
  <c r="D6050"/>
  <c r="D6051"/>
  <c r="D6052"/>
  <c r="D6053"/>
  <c r="D6054"/>
  <c r="D6055"/>
  <c r="D6056"/>
  <c r="D6057"/>
  <c r="D6058"/>
  <c r="D6059"/>
  <c r="D6060"/>
  <c r="D6061"/>
  <c r="D6062"/>
  <c r="D6063"/>
  <c r="D6064"/>
  <c r="D6065"/>
  <c r="D6066"/>
  <c r="D6067"/>
  <c r="D6068"/>
  <c r="D6069"/>
  <c r="D6070"/>
  <c r="D6071"/>
  <c r="D6072"/>
  <c r="D6073"/>
  <c r="D6074"/>
  <c r="D6075"/>
  <c r="D6076"/>
  <c r="D6077"/>
  <c r="D6078"/>
  <c r="D6079"/>
  <c r="D6080"/>
  <c r="D6081"/>
  <c r="D6082"/>
  <c r="D6083"/>
  <c r="D6084"/>
  <c r="D6085"/>
  <c r="D6086"/>
  <c r="D6087"/>
  <c r="D6088"/>
  <c r="D6089"/>
  <c r="D6090"/>
  <c r="D6091"/>
  <c r="D6092"/>
  <c r="D6093"/>
  <c r="D6094"/>
  <c r="D6095"/>
  <c r="D6096"/>
  <c r="D6097"/>
  <c r="D6098"/>
  <c r="D6099"/>
  <c r="D6100"/>
  <c r="D6101"/>
  <c r="D6102"/>
  <c r="D6103"/>
  <c r="D6104"/>
  <c r="D6105"/>
  <c r="D6106"/>
  <c r="D6107"/>
  <c r="D6108"/>
  <c r="D6109"/>
  <c r="D6110"/>
  <c r="D6111"/>
  <c r="D6112"/>
  <c r="D6113"/>
  <c r="D6114"/>
  <c r="D6115"/>
  <c r="D6116"/>
  <c r="D6117"/>
  <c r="D6118"/>
  <c r="D6119"/>
  <c r="D6120"/>
  <c r="D6121"/>
  <c r="D6122"/>
  <c r="D6123"/>
  <c r="D6124"/>
  <c r="D6125"/>
  <c r="D6126"/>
  <c r="D6127"/>
  <c r="D6128"/>
  <c r="D6129"/>
  <c r="D6130"/>
  <c r="D6131"/>
  <c r="D6132"/>
  <c r="D6133"/>
  <c r="D6134"/>
  <c r="D6135"/>
  <c r="D6136"/>
  <c r="D6137"/>
  <c r="D6138"/>
  <c r="D6139"/>
  <c r="D6140"/>
  <c r="D6141"/>
  <c r="D6142"/>
  <c r="D6143"/>
  <c r="D6144"/>
  <c r="D6145"/>
  <c r="D6146"/>
  <c r="D6147"/>
  <c r="D6148"/>
  <c r="D6149"/>
  <c r="D6150"/>
  <c r="D6151"/>
  <c r="D6152"/>
  <c r="D6153"/>
  <c r="D6154"/>
  <c r="D6155"/>
  <c r="D6156"/>
  <c r="D6157"/>
  <c r="D6158"/>
  <c r="D6159"/>
  <c r="D6160"/>
  <c r="D6161"/>
  <c r="D6162"/>
  <c r="D6163"/>
  <c r="D6164"/>
  <c r="D6165"/>
  <c r="D6166"/>
  <c r="D6167"/>
  <c r="D6168"/>
  <c r="D6169"/>
  <c r="D6170"/>
  <c r="D6171"/>
  <c r="D6172"/>
  <c r="D6173"/>
  <c r="D6174"/>
  <c r="D6175"/>
  <c r="D6176"/>
  <c r="D6177"/>
  <c r="D6178"/>
  <c r="D6179"/>
  <c r="D6180"/>
  <c r="D6181"/>
  <c r="D6182"/>
  <c r="D6183"/>
  <c r="D6184"/>
  <c r="D6185"/>
  <c r="D6186"/>
  <c r="D6187"/>
  <c r="D6188"/>
  <c r="D6189"/>
  <c r="D6190"/>
  <c r="D6191"/>
  <c r="D6192"/>
  <c r="D6193"/>
  <c r="D6194"/>
  <c r="D6195"/>
  <c r="D6196"/>
  <c r="D6197"/>
  <c r="D6198"/>
  <c r="D6199"/>
  <c r="D6200"/>
  <c r="D6201"/>
  <c r="D6202"/>
  <c r="D6203"/>
  <c r="D6204"/>
  <c r="D6205"/>
  <c r="D6206"/>
  <c r="D6207"/>
  <c r="D6208"/>
  <c r="D6209"/>
  <c r="D6210"/>
  <c r="D6211"/>
  <c r="D6212"/>
  <c r="D6213"/>
  <c r="D6214"/>
  <c r="D6215"/>
  <c r="D6216"/>
  <c r="D6217"/>
  <c r="D6218"/>
  <c r="D6219"/>
  <c r="D6220"/>
  <c r="D6221"/>
  <c r="D6222"/>
  <c r="D6223"/>
  <c r="D6224"/>
  <c r="D6225"/>
  <c r="D6226"/>
  <c r="D6227"/>
  <c r="D6228"/>
  <c r="D6229"/>
  <c r="D6230"/>
  <c r="D6231"/>
  <c r="D6232"/>
  <c r="D6233"/>
  <c r="D6234"/>
  <c r="D6235"/>
  <c r="D6236"/>
  <c r="D6237"/>
  <c r="D6238"/>
  <c r="D6239"/>
  <c r="D6240"/>
  <c r="D6241"/>
  <c r="D6242"/>
  <c r="D6243"/>
  <c r="D6244"/>
  <c r="D6245"/>
  <c r="D6246"/>
  <c r="D6247"/>
  <c r="D6248"/>
  <c r="D6249"/>
  <c r="D6250"/>
  <c r="D6251"/>
  <c r="D6252"/>
  <c r="D6253"/>
  <c r="D6254"/>
  <c r="D6255"/>
  <c r="D6256"/>
  <c r="D6257"/>
  <c r="D6258"/>
  <c r="D6259"/>
  <c r="D6260"/>
  <c r="D6261"/>
  <c r="D6262"/>
  <c r="D6263"/>
  <c r="D6264"/>
  <c r="D6265"/>
  <c r="D6266"/>
  <c r="D6267"/>
  <c r="D6268"/>
  <c r="D6269"/>
  <c r="D6270"/>
  <c r="D6271"/>
  <c r="D6272"/>
  <c r="D6273"/>
  <c r="D6274"/>
  <c r="D6275"/>
  <c r="D6276"/>
  <c r="D6277"/>
  <c r="D6278"/>
  <c r="D6279"/>
  <c r="D6280"/>
  <c r="D6281"/>
  <c r="D6282"/>
  <c r="D6283"/>
  <c r="D6284"/>
  <c r="D6285"/>
  <c r="D6286"/>
  <c r="D6287"/>
  <c r="D6288"/>
  <c r="D6289"/>
  <c r="D6290"/>
  <c r="D6291"/>
  <c r="D6292"/>
  <c r="D6293"/>
  <c r="D6294"/>
  <c r="D6295"/>
  <c r="D6296"/>
  <c r="D6297"/>
  <c r="D6298"/>
  <c r="D6299"/>
  <c r="D6300"/>
  <c r="D6301"/>
  <c r="D6302"/>
  <c r="D6303"/>
  <c r="D6304"/>
  <c r="D6305"/>
  <c r="D6306"/>
  <c r="D6307"/>
  <c r="D6308"/>
  <c r="D6309"/>
  <c r="D6310"/>
  <c r="D6311"/>
  <c r="D6312"/>
  <c r="D6313"/>
  <c r="D6314"/>
  <c r="D6315"/>
  <c r="D6316"/>
  <c r="D6317"/>
  <c r="D6318"/>
  <c r="D6319"/>
  <c r="D6320"/>
  <c r="D6321"/>
  <c r="D6322"/>
  <c r="D6323"/>
  <c r="D6324"/>
  <c r="D6325"/>
  <c r="D6326"/>
  <c r="D6327"/>
  <c r="D6328"/>
  <c r="D6329"/>
  <c r="D6330"/>
  <c r="D6331"/>
  <c r="D6332"/>
  <c r="D6333"/>
  <c r="D6334"/>
  <c r="D6335"/>
  <c r="D6336"/>
  <c r="D6337"/>
  <c r="D6338"/>
  <c r="D6339"/>
  <c r="D6340"/>
  <c r="D6341"/>
  <c r="D6342"/>
  <c r="D6343"/>
  <c r="D6344"/>
  <c r="D6345"/>
  <c r="D6346"/>
  <c r="D6347"/>
  <c r="D6348"/>
  <c r="D6349"/>
  <c r="D6350"/>
  <c r="D6351"/>
  <c r="D6352"/>
  <c r="D6353"/>
  <c r="D6354"/>
  <c r="D6355"/>
  <c r="D6356"/>
  <c r="D6357"/>
  <c r="D6358"/>
  <c r="D6359"/>
  <c r="D6360"/>
  <c r="D6361"/>
  <c r="D6362"/>
  <c r="D6363"/>
  <c r="D6364"/>
  <c r="D6365"/>
  <c r="D6366"/>
  <c r="D6367"/>
  <c r="D6368"/>
  <c r="D6369"/>
  <c r="D6370"/>
  <c r="D6371"/>
  <c r="D6372"/>
  <c r="D6373"/>
  <c r="D6374"/>
  <c r="D6375"/>
  <c r="D6376"/>
  <c r="D6377"/>
  <c r="D6378"/>
  <c r="D6379"/>
  <c r="D6380"/>
  <c r="D6381"/>
  <c r="D6382"/>
  <c r="D6383"/>
  <c r="D6384"/>
  <c r="D6385"/>
  <c r="D6386"/>
  <c r="D6387"/>
  <c r="D6388"/>
  <c r="D6389"/>
  <c r="D6390"/>
  <c r="D6391"/>
  <c r="D6392"/>
  <c r="D6393"/>
  <c r="D6394"/>
  <c r="D6395"/>
  <c r="D6396"/>
  <c r="D6397"/>
  <c r="D6398"/>
  <c r="D6399"/>
  <c r="D6400"/>
  <c r="D6401"/>
  <c r="D6402"/>
  <c r="D6403"/>
  <c r="D6404"/>
  <c r="D6405"/>
  <c r="D6406"/>
  <c r="D6407"/>
  <c r="D6408"/>
  <c r="D6409"/>
  <c r="D6410"/>
  <c r="D6411"/>
  <c r="D6412"/>
  <c r="D6413"/>
  <c r="D6414"/>
  <c r="D6415"/>
  <c r="D6416"/>
  <c r="D6417"/>
  <c r="D6418"/>
  <c r="D6419"/>
  <c r="D6420"/>
  <c r="D6421"/>
  <c r="D6422"/>
  <c r="D6423"/>
  <c r="D6424"/>
  <c r="D6425"/>
  <c r="D6426"/>
  <c r="D6427"/>
  <c r="D6428"/>
  <c r="D6429"/>
  <c r="D6430"/>
  <c r="D6431"/>
  <c r="D6432"/>
  <c r="D6433"/>
  <c r="D6434"/>
  <c r="D6435"/>
  <c r="D6436"/>
  <c r="D6437"/>
  <c r="D6438"/>
  <c r="D6439"/>
  <c r="D6440"/>
  <c r="D6441"/>
  <c r="D6442"/>
  <c r="D6443"/>
  <c r="D6444"/>
  <c r="D6445"/>
  <c r="D6446"/>
  <c r="D6447"/>
  <c r="D6448"/>
  <c r="D6449"/>
  <c r="D6450"/>
  <c r="D6451"/>
  <c r="D6452"/>
  <c r="D6453"/>
  <c r="D6454"/>
  <c r="D6455"/>
  <c r="D6456"/>
  <c r="D6457"/>
  <c r="D6458"/>
  <c r="D6459"/>
  <c r="D6460"/>
  <c r="D6461"/>
  <c r="D6462"/>
  <c r="D6463"/>
  <c r="D6464"/>
  <c r="D6465"/>
  <c r="D6466"/>
  <c r="D6467"/>
  <c r="D6468"/>
  <c r="D6469"/>
  <c r="D6470"/>
  <c r="D6471"/>
  <c r="D6472"/>
  <c r="D6473"/>
  <c r="D6474"/>
  <c r="D6475"/>
  <c r="D6476"/>
  <c r="D6477"/>
  <c r="D6478"/>
  <c r="D6479"/>
  <c r="D6480"/>
  <c r="D6481"/>
  <c r="D6482"/>
  <c r="D6483"/>
  <c r="D6484"/>
  <c r="D6485"/>
  <c r="D6486"/>
  <c r="D6487"/>
  <c r="D6488"/>
  <c r="D6489"/>
  <c r="D6490"/>
  <c r="D6491"/>
  <c r="D6492"/>
  <c r="D6493"/>
  <c r="D6494"/>
  <c r="D6495"/>
  <c r="D6496"/>
  <c r="D6497"/>
  <c r="D6498"/>
  <c r="D6499"/>
  <c r="D6500"/>
  <c r="D6501"/>
  <c r="D6502"/>
  <c r="D6503"/>
  <c r="D6504"/>
  <c r="D6505"/>
  <c r="D6506"/>
  <c r="D6507"/>
  <c r="D6508"/>
  <c r="D6509"/>
  <c r="D6510"/>
  <c r="D6511"/>
  <c r="D6512"/>
  <c r="D6513"/>
  <c r="D6514"/>
  <c r="D6515"/>
  <c r="D6516"/>
  <c r="D6517"/>
  <c r="D6518"/>
  <c r="D6519"/>
  <c r="D6520"/>
  <c r="D6521"/>
  <c r="D6522"/>
  <c r="D6523"/>
  <c r="D6524"/>
  <c r="D6525"/>
  <c r="D6526"/>
  <c r="D6527"/>
  <c r="D6528"/>
  <c r="D6529"/>
  <c r="D6530"/>
  <c r="D6531"/>
  <c r="D6532"/>
  <c r="D6533"/>
  <c r="D6534"/>
  <c r="D6535"/>
  <c r="D6536"/>
  <c r="D6537"/>
  <c r="D6538"/>
  <c r="D6539"/>
  <c r="D6540"/>
  <c r="D6541"/>
  <c r="D6542"/>
  <c r="D6543"/>
  <c r="D6544"/>
  <c r="D6545"/>
  <c r="D6546"/>
  <c r="D6547"/>
  <c r="D6548"/>
  <c r="D6549"/>
  <c r="D6550"/>
  <c r="D6551"/>
  <c r="D6552"/>
  <c r="D6553"/>
  <c r="D6554"/>
  <c r="D6555"/>
  <c r="D6556"/>
  <c r="D6557"/>
  <c r="D6558"/>
  <c r="D6559"/>
  <c r="D6560"/>
  <c r="D6561"/>
  <c r="D6562"/>
  <c r="D6563"/>
  <c r="D6564"/>
  <c r="D6565"/>
  <c r="D6566"/>
  <c r="D6567"/>
  <c r="D6568"/>
  <c r="D6569"/>
  <c r="D6570"/>
  <c r="D6571"/>
  <c r="D6572"/>
  <c r="D6573"/>
  <c r="D6574"/>
  <c r="D6575"/>
  <c r="D6576"/>
  <c r="D6577"/>
  <c r="D6578"/>
  <c r="D6579"/>
  <c r="D6580"/>
  <c r="D6581"/>
  <c r="D6582"/>
  <c r="D6583"/>
  <c r="D6584"/>
  <c r="D6585"/>
  <c r="D6586"/>
  <c r="D6587"/>
  <c r="D6588"/>
  <c r="D6589"/>
  <c r="D6590"/>
  <c r="D6591"/>
  <c r="D6592"/>
  <c r="D6593"/>
  <c r="D6594"/>
  <c r="D6595"/>
  <c r="D6596"/>
  <c r="D6597"/>
  <c r="D6598"/>
  <c r="D6599"/>
  <c r="D6600"/>
  <c r="D6601"/>
  <c r="D6602"/>
  <c r="D6603"/>
  <c r="D6604"/>
  <c r="D6605"/>
  <c r="D6606"/>
  <c r="D6607"/>
  <c r="D6608"/>
  <c r="D6609"/>
  <c r="D6610"/>
  <c r="D6611"/>
  <c r="D6612"/>
  <c r="D6613"/>
  <c r="D6614"/>
  <c r="D6615"/>
  <c r="D6616"/>
  <c r="D6617"/>
  <c r="D6618"/>
  <c r="D6619"/>
  <c r="D6620"/>
  <c r="D6621"/>
  <c r="D6622"/>
  <c r="D6623"/>
  <c r="D6624"/>
  <c r="D6625"/>
  <c r="D6626"/>
  <c r="D6627"/>
  <c r="D6628"/>
  <c r="D6629"/>
  <c r="D6630"/>
  <c r="D6631"/>
  <c r="D6632"/>
  <c r="D6633"/>
  <c r="D6634"/>
  <c r="D6635"/>
  <c r="D6636"/>
  <c r="D6637"/>
  <c r="D6638"/>
  <c r="D6639"/>
  <c r="D6640"/>
  <c r="D6641"/>
  <c r="D6642"/>
  <c r="D6643"/>
  <c r="D6644"/>
  <c r="D6645"/>
  <c r="D6646"/>
  <c r="D6647"/>
  <c r="D6648"/>
  <c r="D6649"/>
  <c r="D6650"/>
  <c r="D6651"/>
  <c r="D6652"/>
  <c r="D6653"/>
  <c r="D6654"/>
  <c r="D6655"/>
  <c r="D6656"/>
  <c r="D6657"/>
  <c r="D6658"/>
  <c r="D6659"/>
  <c r="D6660"/>
  <c r="D6661"/>
  <c r="D6662"/>
  <c r="D6663"/>
  <c r="D6664"/>
  <c r="D6665"/>
  <c r="D6666"/>
  <c r="D6667"/>
  <c r="D6668"/>
  <c r="D6669"/>
  <c r="D6670"/>
  <c r="D6671"/>
  <c r="D6672"/>
  <c r="D6673"/>
  <c r="D6674"/>
  <c r="D6675"/>
  <c r="D6676"/>
  <c r="D6677"/>
  <c r="D6678"/>
  <c r="D6679"/>
  <c r="D6680"/>
  <c r="D6681"/>
  <c r="D6682"/>
  <c r="D6683"/>
  <c r="D6684"/>
  <c r="D6685"/>
  <c r="D6686"/>
  <c r="D6687"/>
  <c r="D6688"/>
  <c r="D6689"/>
  <c r="D6690"/>
  <c r="D6691"/>
  <c r="D6692"/>
  <c r="D6693"/>
  <c r="D6694"/>
  <c r="D6695"/>
  <c r="D6696"/>
  <c r="D6697"/>
  <c r="D6698"/>
  <c r="D6699"/>
  <c r="D6700"/>
  <c r="D6701"/>
  <c r="D6702"/>
  <c r="D6703"/>
  <c r="D6704"/>
  <c r="D6705"/>
  <c r="D6706"/>
  <c r="D6707"/>
  <c r="D6708"/>
  <c r="D6709"/>
  <c r="D6710"/>
  <c r="D6711"/>
  <c r="D6712"/>
  <c r="D6713"/>
  <c r="D6714"/>
  <c r="D6715"/>
  <c r="D6716"/>
  <c r="D6717"/>
  <c r="D6718"/>
  <c r="D6719"/>
  <c r="D6720"/>
  <c r="D6721"/>
  <c r="D6722"/>
  <c r="D6723"/>
  <c r="D6724"/>
  <c r="D6725"/>
  <c r="D6726"/>
  <c r="D6727"/>
  <c r="D6728"/>
  <c r="D6729"/>
  <c r="D6730"/>
  <c r="D6731"/>
  <c r="D6732"/>
  <c r="D6733"/>
  <c r="D6734"/>
  <c r="D6735"/>
  <c r="D6736"/>
  <c r="D6737"/>
  <c r="D6738"/>
  <c r="D6739"/>
  <c r="D6740"/>
  <c r="D6741"/>
  <c r="D6742"/>
  <c r="D6743"/>
  <c r="D6744"/>
  <c r="D6745"/>
  <c r="D6746"/>
  <c r="D6747"/>
  <c r="D6748"/>
  <c r="D6749"/>
  <c r="D6750"/>
  <c r="D6751"/>
  <c r="D6752"/>
  <c r="D6753"/>
  <c r="D6754"/>
  <c r="D6755"/>
  <c r="D6756"/>
  <c r="D6757"/>
  <c r="D6758"/>
  <c r="D6759"/>
  <c r="D6760"/>
  <c r="D6761"/>
  <c r="D6762"/>
  <c r="D6763"/>
  <c r="D6764"/>
  <c r="D6765"/>
  <c r="D6766"/>
  <c r="D6767"/>
  <c r="D6768"/>
  <c r="D6769"/>
  <c r="D6770"/>
  <c r="D6771"/>
  <c r="D6772"/>
  <c r="D6773"/>
  <c r="D6774"/>
  <c r="D6775"/>
  <c r="D6776"/>
  <c r="D6777"/>
  <c r="D6778"/>
  <c r="D6779"/>
  <c r="D6780"/>
  <c r="D6781"/>
  <c r="D6782"/>
  <c r="D6783"/>
  <c r="D6784"/>
  <c r="D6785"/>
  <c r="D6786"/>
  <c r="D6787"/>
  <c r="D6788"/>
  <c r="D6789"/>
  <c r="D6790"/>
  <c r="D6791"/>
  <c r="D6792"/>
  <c r="D6793"/>
  <c r="D6794"/>
  <c r="D6795"/>
  <c r="D6796"/>
  <c r="D6797"/>
  <c r="D6798"/>
  <c r="D6799"/>
  <c r="D6800"/>
  <c r="D6801"/>
  <c r="D6802"/>
  <c r="D6803"/>
  <c r="D6804"/>
  <c r="D6805"/>
  <c r="D6806"/>
  <c r="D6807"/>
  <c r="D6808"/>
  <c r="D6809"/>
  <c r="D6810"/>
  <c r="D6811"/>
  <c r="D6812"/>
  <c r="D6813"/>
  <c r="D6814"/>
  <c r="D6815"/>
  <c r="D6816"/>
  <c r="D6817"/>
  <c r="D6818"/>
  <c r="D6819"/>
  <c r="D6820"/>
  <c r="D6821"/>
  <c r="D6822"/>
  <c r="D6823"/>
  <c r="D6824"/>
  <c r="D6825"/>
  <c r="D6826"/>
  <c r="D6827"/>
  <c r="D6828"/>
  <c r="D6829"/>
  <c r="D6830"/>
  <c r="D6831"/>
  <c r="D6832"/>
  <c r="D6833"/>
  <c r="D6834"/>
  <c r="D6835"/>
  <c r="D6836"/>
  <c r="D6837"/>
  <c r="D6838"/>
  <c r="D6839"/>
  <c r="D6840"/>
  <c r="D6841"/>
  <c r="D6842"/>
  <c r="D6843"/>
  <c r="D6844"/>
  <c r="D6845"/>
  <c r="D6846"/>
  <c r="D6847"/>
  <c r="D6848"/>
  <c r="D6849"/>
  <c r="D6850"/>
  <c r="D6851"/>
  <c r="D6852"/>
  <c r="D6853"/>
  <c r="D6854"/>
  <c r="D6855"/>
  <c r="D6856"/>
  <c r="D6857"/>
  <c r="D6858"/>
  <c r="D6859"/>
  <c r="D6860"/>
  <c r="D6861"/>
  <c r="D6862"/>
  <c r="D6863"/>
  <c r="D6864"/>
  <c r="D6865"/>
  <c r="D6866"/>
  <c r="D6867"/>
  <c r="D6868"/>
  <c r="D6869"/>
  <c r="D6870"/>
  <c r="D6871"/>
  <c r="D6872"/>
  <c r="D6873"/>
  <c r="D6874"/>
  <c r="D6875"/>
  <c r="D6876"/>
  <c r="D6877"/>
  <c r="D6878"/>
  <c r="D6879"/>
  <c r="D6880"/>
  <c r="D6881"/>
  <c r="D6882"/>
  <c r="D6883"/>
  <c r="D6884"/>
  <c r="D6885"/>
  <c r="D6886"/>
  <c r="D6887"/>
  <c r="D6888"/>
  <c r="D6889"/>
  <c r="D6890"/>
  <c r="D6891"/>
  <c r="D6892"/>
  <c r="D6893"/>
  <c r="D6894"/>
  <c r="D6895"/>
  <c r="D6896"/>
  <c r="D6897"/>
  <c r="D6898"/>
  <c r="D6899"/>
  <c r="D6900"/>
  <c r="D6901"/>
  <c r="D6902"/>
  <c r="D6903"/>
  <c r="D6904"/>
  <c r="D6905"/>
  <c r="D6906"/>
  <c r="D6907"/>
  <c r="D6908"/>
  <c r="D6909"/>
  <c r="D6910"/>
  <c r="D6911"/>
  <c r="D6912"/>
  <c r="D6913"/>
  <c r="D6914"/>
  <c r="D6915"/>
  <c r="D6916"/>
  <c r="D6917"/>
  <c r="D6918"/>
  <c r="D6919"/>
  <c r="D6920"/>
  <c r="D6921"/>
  <c r="D6922"/>
  <c r="D6923"/>
  <c r="D6924"/>
  <c r="D6925"/>
  <c r="D6926"/>
  <c r="D6927"/>
  <c r="D6928"/>
  <c r="D6929"/>
  <c r="D6930"/>
  <c r="D6931"/>
  <c r="D6932"/>
  <c r="D6933"/>
  <c r="D6934"/>
  <c r="D6935"/>
  <c r="D6936"/>
  <c r="D6937"/>
  <c r="D6938"/>
  <c r="D6939"/>
  <c r="D6940"/>
  <c r="D6941"/>
  <c r="D6942"/>
  <c r="D6943"/>
  <c r="D6944"/>
  <c r="D6945"/>
  <c r="D6946"/>
  <c r="D6947"/>
  <c r="D6948"/>
  <c r="D6949"/>
  <c r="D6950"/>
  <c r="D6951"/>
  <c r="D6952"/>
  <c r="D6953"/>
  <c r="D6954"/>
  <c r="D6955"/>
  <c r="D6956"/>
  <c r="D6957"/>
  <c r="D6958"/>
  <c r="D6959"/>
  <c r="D6960"/>
  <c r="D6961"/>
  <c r="D6962"/>
  <c r="D6963"/>
  <c r="D6964"/>
  <c r="D6965"/>
  <c r="D6966"/>
  <c r="D6967"/>
  <c r="D6968"/>
  <c r="D6969"/>
  <c r="D6970"/>
  <c r="D6971"/>
  <c r="D6972"/>
  <c r="D6973"/>
  <c r="D6974"/>
  <c r="D6975"/>
  <c r="D6976"/>
  <c r="D6977"/>
  <c r="D6978"/>
  <c r="D6979"/>
  <c r="D6980"/>
  <c r="D6981"/>
  <c r="D6982"/>
  <c r="D6983"/>
  <c r="D6984"/>
  <c r="D6985"/>
  <c r="D6986"/>
  <c r="D6987"/>
  <c r="D6988"/>
  <c r="D6989"/>
  <c r="D6990"/>
  <c r="D6991"/>
  <c r="D6992"/>
  <c r="D6993"/>
  <c r="D6994"/>
  <c r="D6995"/>
  <c r="D6996"/>
  <c r="D6997"/>
  <c r="D6998"/>
  <c r="D6999"/>
  <c r="D7000"/>
  <c r="D7001"/>
  <c r="D7002"/>
  <c r="D7003"/>
  <c r="D7004"/>
  <c r="D7005"/>
  <c r="D7006"/>
  <c r="D7007"/>
  <c r="D7008"/>
  <c r="D7009"/>
  <c r="D7010"/>
  <c r="D7011"/>
  <c r="D7012"/>
  <c r="D7013"/>
  <c r="D7014"/>
  <c r="D7015"/>
  <c r="D7016"/>
  <c r="D7017"/>
  <c r="D7018"/>
  <c r="D7019"/>
  <c r="D7020"/>
  <c r="D7021"/>
  <c r="D7022"/>
  <c r="D7023"/>
  <c r="D7024"/>
  <c r="D7025"/>
  <c r="D7026"/>
  <c r="D7027"/>
  <c r="D7028"/>
  <c r="D7029"/>
  <c r="D7030"/>
  <c r="D7031"/>
  <c r="D7032"/>
  <c r="D7033"/>
  <c r="D7034"/>
  <c r="D7035"/>
  <c r="D7036"/>
  <c r="D7037"/>
  <c r="D7038"/>
  <c r="D7039"/>
  <c r="D7040"/>
  <c r="D7041"/>
  <c r="D7042"/>
  <c r="D7043"/>
  <c r="D7044"/>
  <c r="D7045"/>
  <c r="D7046"/>
  <c r="D7047"/>
  <c r="D7048"/>
  <c r="D7049"/>
  <c r="D7050"/>
  <c r="D7051"/>
  <c r="D7052"/>
  <c r="D7053"/>
  <c r="D7054"/>
  <c r="D7055"/>
  <c r="D7056"/>
  <c r="D7057"/>
  <c r="D7058"/>
  <c r="D7059"/>
  <c r="D7060"/>
  <c r="D7061"/>
  <c r="D7062"/>
  <c r="D7063"/>
  <c r="D7064"/>
  <c r="D7065"/>
  <c r="D7066"/>
  <c r="D7067"/>
  <c r="D7068"/>
  <c r="D7069"/>
  <c r="D7070"/>
  <c r="D7071"/>
  <c r="D7072"/>
  <c r="D7073"/>
  <c r="D7074"/>
  <c r="D7075"/>
  <c r="D7076"/>
  <c r="D7077"/>
  <c r="D7078"/>
  <c r="D7079"/>
  <c r="D7080"/>
  <c r="D7081"/>
  <c r="D7082"/>
  <c r="D7083"/>
  <c r="D7084"/>
  <c r="D7085"/>
  <c r="D7086"/>
  <c r="D7087"/>
  <c r="D7088"/>
  <c r="D7089"/>
  <c r="D7090"/>
  <c r="D7091"/>
  <c r="D7092"/>
  <c r="D7093"/>
  <c r="D7094"/>
  <c r="D7095"/>
  <c r="D7096"/>
  <c r="D7097"/>
  <c r="D7098"/>
  <c r="D7099"/>
  <c r="D7100"/>
  <c r="D7101"/>
  <c r="D7102"/>
  <c r="D7103"/>
  <c r="D7104"/>
  <c r="D7105"/>
  <c r="D7106"/>
  <c r="D7107"/>
  <c r="D7108"/>
  <c r="D7109"/>
  <c r="D7110"/>
  <c r="D7111"/>
  <c r="D7112"/>
  <c r="D7113"/>
  <c r="D7114"/>
  <c r="D7115"/>
  <c r="D7116"/>
  <c r="D7117"/>
  <c r="D7118"/>
  <c r="D7119"/>
  <c r="D7120"/>
  <c r="D7121"/>
  <c r="D7122"/>
  <c r="D7123"/>
  <c r="D7124"/>
  <c r="D7125"/>
  <c r="D7126"/>
  <c r="D7127"/>
  <c r="D7128"/>
  <c r="D7129"/>
  <c r="D7130"/>
  <c r="D7131"/>
  <c r="D7132"/>
  <c r="D7133"/>
  <c r="D7134"/>
  <c r="D7135"/>
  <c r="D7136"/>
  <c r="D7137"/>
  <c r="D7138"/>
  <c r="D7139"/>
  <c r="D7140"/>
  <c r="D7141"/>
  <c r="D7142"/>
  <c r="D7143"/>
  <c r="D7144"/>
  <c r="D7145"/>
  <c r="D7146"/>
  <c r="D7147"/>
  <c r="D7148"/>
  <c r="D7149"/>
  <c r="D7150"/>
  <c r="D7151"/>
  <c r="D7152"/>
  <c r="D7153"/>
  <c r="D7154"/>
  <c r="D7155"/>
  <c r="D7156"/>
  <c r="D7157"/>
  <c r="D7158"/>
  <c r="D7159"/>
  <c r="D7160"/>
  <c r="D7161"/>
  <c r="D7162"/>
  <c r="D7163"/>
  <c r="D7164"/>
  <c r="D7165"/>
  <c r="D7166"/>
  <c r="D7167"/>
  <c r="D7168"/>
  <c r="D7169"/>
  <c r="D7170"/>
  <c r="D7171"/>
  <c r="D7172"/>
  <c r="D7173"/>
  <c r="D7174"/>
  <c r="D7175"/>
  <c r="D7176"/>
  <c r="D7177"/>
  <c r="D7178"/>
  <c r="D7179"/>
  <c r="D7180"/>
  <c r="D7181"/>
  <c r="D7182"/>
  <c r="D7183"/>
  <c r="D7184"/>
  <c r="D7185"/>
  <c r="D7186"/>
  <c r="D7187"/>
  <c r="D7188"/>
  <c r="D7189"/>
  <c r="D7190"/>
  <c r="D7191"/>
  <c r="D7192"/>
  <c r="D7193"/>
  <c r="D7194"/>
  <c r="D7195"/>
  <c r="D7196"/>
  <c r="D7197"/>
  <c r="D7198"/>
  <c r="D7199"/>
  <c r="D7200"/>
  <c r="D7201"/>
  <c r="D7202"/>
  <c r="D7203"/>
  <c r="D7204"/>
  <c r="D7205"/>
  <c r="D7206"/>
  <c r="D7207"/>
  <c r="D7208"/>
  <c r="D7209"/>
  <c r="D7210"/>
  <c r="D7211"/>
  <c r="D7212"/>
  <c r="D7213"/>
  <c r="D7214"/>
  <c r="D7215"/>
  <c r="D7216"/>
  <c r="D7217"/>
  <c r="D7218"/>
  <c r="D7219"/>
  <c r="D7220"/>
  <c r="D7221"/>
  <c r="D7222"/>
  <c r="D7223"/>
  <c r="D7224"/>
  <c r="D7225"/>
  <c r="D7226"/>
  <c r="D7227"/>
  <c r="D7228"/>
  <c r="D7229"/>
  <c r="D7230"/>
  <c r="D7231"/>
  <c r="D7232"/>
  <c r="D7233"/>
  <c r="D7234"/>
  <c r="D7235"/>
  <c r="D7236"/>
  <c r="D7237"/>
  <c r="D7238"/>
  <c r="D7239"/>
  <c r="D7240"/>
  <c r="D7241"/>
  <c r="D7242"/>
  <c r="D7243"/>
  <c r="D7244"/>
  <c r="D7245"/>
  <c r="D7246"/>
  <c r="D7247"/>
  <c r="D7248"/>
  <c r="D7249"/>
  <c r="D7250"/>
  <c r="D7251"/>
  <c r="D7252"/>
  <c r="D7253"/>
  <c r="D7254"/>
  <c r="D7255"/>
  <c r="D7256"/>
  <c r="D7257"/>
  <c r="D7258"/>
  <c r="D7259"/>
  <c r="D7260"/>
  <c r="D7261"/>
  <c r="D7262"/>
  <c r="D7263"/>
  <c r="D7264"/>
  <c r="D7265"/>
  <c r="D7266"/>
  <c r="D7267"/>
  <c r="D7268"/>
  <c r="D7269"/>
  <c r="D7270"/>
  <c r="D7271"/>
  <c r="D7272"/>
  <c r="D7273"/>
  <c r="D7274"/>
  <c r="D7275"/>
  <c r="D7276"/>
  <c r="D7277"/>
  <c r="D7278"/>
  <c r="D7279"/>
  <c r="D7280"/>
  <c r="D7281"/>
  <c r="D7282"/>
  <c r="D7283"/>
  <c r="D7284"/>
  <c r="D7285"/>
  <c r="D7286"/>
  <c r="D7287"/>
  <c r="D7288"/>
  <c r="D7289"/>
  <c r="D7290"/>
  <c r="D7291"/>
  <c r="D7292"/>
  <c r="D7293"/>
  <c r="D7294"/>
  <c r="D7295"/>
  <c r="D7296"/>
  <c r="D7297"/>
  <c r="D7298"/>
  <c r="D7299"/>
  <c r="D7300"/>
  <c r="D7301"/>
  <c r="D7302"/>
  <c r="D7303"/>
  <c r="D7304"/>
  <c r="D7305"/>
  <c r="D7306"/>
  <c r="D7307"/>
  <c r="D7308"/>
  <c r="D7309"/>
  <c r="D7310"/>
  <c r="D7311"/>
  <c r="D7312"/>
  <c r="D7313"/>
  <c r="D7314"/>
  <c r="D7315"/>
  <c r="D7316"/>
  <c r="D7317"/>
  <c r="D7318"/>
  <c r="D7319"/>
  <c r="D7320"/>
  <c r="D7321"/>
  <c r="D7322"/>
  <c r="D7323"/>
  <c r="D7324"/>
  <c r="D7325"/>
  <c r="D7326"/>
  <c r="D7327"/>
  <c r="D7328"/>
  <c r="D7329"/>
  <c r="D7330"/>
  <c r="D7331"/>
  <c r="D7332"/>
  <c r="D7333"/>
  <c r="D7334"/>
  <c r="D7335"/>
  <c r="D7336"/>
  <c r="D7337"/>
  <c r="D7338"/>
  <c r="D7339"/>
  <c r="D7340"/>
  <c r="D7341"/>
  <c r="D7342"/>
  <c r="D7343"/>
  <c r="D7344"/>
  <c r="D7345"/>
  <c r="D7346"/>
  <c r="D7347"/>
  <c r="D7348"/>
  <c r="D7349"/>
  <c r="D7350"/>
  <c r="D7351"/>
  <c r="D7352"/>
  <c r="D7353"/>
  <c r="D7354"/>
  <c r="D7355"/>
  <c r="D7356"/>
  <c r="D7357"/>
  <c r="D7358"/>
  <c r="D7359"/>
  <c r="D7360"/>
  <c r="D7361"/>
  <c r="D7362"/>
  <c r="D7363"/>
  <c r="D7364"/>
  <c r="D7365"/>
  <c r="D7366"/>
  <c r="D7367"/>
  <c r="D7368"/>
  <c r="D7369"/>
  <c r="D7370"/>
  <c r="D7371"/>
  <c r="D7372"/>
  <c r="D7373"/>
  <c r="D7374"/>
  <c r="D7375"/>
  <c r="D7376"/>
  <c r="D7377"/>
  <c r="D7378"/>
  <c r="D7379"/>
  <c r="D7380"/>
  <c r="D7381"/>
  <c r="D7382"/>
  <c r="D7383"/>
  <c r="D7384"/>
  <c r="D7385"/>
  <c r="D7386"/>
  <c r="D7387"/>
  <c r="D7388"/>
  <c r="D7389"/>
  <c r="D7390"/>
  <c r="D7391"/>
  <c r="D7392"/>
  <c r="D7393"/>
  <c r="D7394"/>
  <c r="D7395"/>
  <c r="D7396"/>
  <c r="D7397"/>
  <c r="D7398"/>
  <c r="D7399"/>
  <c r="D7400"/>
  <c r="D7401"/>
  <c r="D7402"/>
  <c r="D7403"/>
  <c r="D7404"/>
  <c r="D7405"/>
  <c r="D7406"/>
  <c r="D7407"/>
  <c r="D7408"/>
  <c r="D7409"/>
  <c r="D7410"/>
  <c r="D7411"/>
  <c r="D7412"/>
  <c r="D7413"/>
  <c r="D7414"/>
  <c r="D7415"/>
  <c r="D7416"/>
  <c r="D7417"/>
  <c r="D7418"/>
  <c r="D7419"/>
  <c r="D7420"/>
  <c r="D7421"/>
  <c r="D7422"/>
  <c r="D7423"/>
  <c r="D7424"/>
  <c r="D7425"/>
  <c r="D7426"/>
  <c r="D7427"/>
  <c r="D7428"/>
  <c r="D7429"/>
  <c r="D7430"/>
  <c r="D7431"/>
  <c r="D7432"/>
  <c r="D7433"/>
  <c r="D7434"/>
  <c r="D7435"/>
  <c r="D7436"/>
  <c r="D7437"/>
  <c r="D7438"/>
  <c r="D7439"/>
  <c r="D7440"/>
  <c r="D7441"/>
  <c r="D7442"/>
  <c r="D7443"/>
  <c r="D7444"/>
  <c r="D7445"/>
  <c r="D7446"/>
  <c r="D7447"/>
  <c r="D7448"/>
  <c r="D7449"/>
  <c r="D7450"/>
  <c r="D7451"/>
  <c r="D7452"/>
  <c r="D7453"/>
  <c r="D7454"/>
  <c r="D7455"/>
  <c r="D7456"/>
  <c r="D7457"/>
  <c r="D7458"/>
  <c r="D7459"/>
  <c r="D7460"/>
  <c r="D7461"/>
  <c r="D7462"/>
  <c r="D7463"/>
  <c r="D7464"/>
  <c r="D7465"/>
  <c r="D7466"/>
  <c r="D7467"/>
  <c r="D7468"/>
  <c r="D7469"/>
  <c r="D7470"/>
  <c r="D7471"/>
  <c r="D7472"/>
  <c r="D7473"/>
  <c r="D7474"/>
  <c r="D7475"/>
  <c r="D7476"/>
  <c r="D7477"/>
  <c r="D7478"/>
  <c r="D7479"/>
  <c r="D7480"/>
  <c r="D7481"/>
  <c r="D7482"/>
  <c r="D7483"/>
  <c r="D7484"/>
  <c r="D7485"/>
  <c r="D7486"/>
  <c r="D7487"/>
  <c r="D7488"/>
  <c r="D7489"/>
  <c r="D7490"/>
  <c r="D7491"/>
  <c r="D7492"/>
  <c r="D7493"/>
  <c r="D7494"/>
  <c r="D7495"/>
  <c r="D7496"/>
  <c r="D7497"/>
  <c r="D7498"/>
  <c r="D7499"/>
  <c r="D7500"/>
  <c r="D7501"/>
  <c r="D7502"/>
  <c r="D7503"/>
  <c r="D7504"/>
  <c r="D7505"/>
  <c r="D7506"/>
  <c r="D7507"/>
  <c r="D7508"/>
  <c r="D7509"/>
  <c r="D7510"/>
  <c r="D7511"/>
  <c r="D7512"/>
  <c r="D7513"/>
  <c r="D7514"/>
  <c r="D7515"/>
  <c r="D7516"/>
  <c r="D7517"/>
  <c r="D7518"/>
  <c r="D7519"/>
  <c r="D7520"/>
  <c r="D7521"/>
  <c r="D7522"/>
  <c r="D7523"/>
  <c r="D7524"/>
  <c r="D7525"/>
  <c r="D7526"/>
  <c r="D7527"/>
  <c r="D7528"/>
  <c r="D7529"/>
  <c r="D7530"/>
  <c r="D7531"/>
  <c r="D7532"/>
  <c r="D7533"/>
  <c r="D7534"/>
  <c r="D7535"/>
  <c r="D7536"/>
  <c r="D7537"/>
  <c r="D7538"/>
  <c r="D7539"/>
  <c r="D7540"/>
  <c r="D7541"/>
  <c r="D7542"/>
  <c r="D7543"/>
  <c r="D7544"/>
  <c r="D7545"/>
  <c r="D7546"/>
  <c r="D7547"/>
  <c r="D7548"/>
  <c r="D7549"/>
  <c r="D7550"/>
  <c r="D7551"/>
  <c r="D7552"/>
  <c r="D7553"/>
  <c r="D7554"/>
  <c r="D7555"/>
  <c r="D7556"/>
  <c r="D7557"/>
  <c r="D7558"/>
  <c r="D7559"/>
  <c r="D7560"/>
  <c r="D7561"/>
  <c r="D7562"/>
  <c r="D7563"/>
  <c r="D7564"/>
  <c r="D7565"/>
  <c r="D7566"/>
  <c r="D7567"/>
  <c r="D7568"/>
  <c r="D7569"/>
  <c r="D7570"/>
  <c r="D7571"/>
  <c r="D7572"/>
  <c r="D7573"/>
  <c r="D7574"/>
  <c r="D7575"/>
  <c r="D7576"/>
  <c r="D7577"/>
  <c r="D7578"/>
  <c r="D7579"/>
  <c r="D7580"/>
  <c r="D7581"/>
  <c r="D7582"/>
  <c r="D7583"/>
  <c r="D7584"/>
  <c r="D7585"/>
  <c r="D7586"/>
  <c r="D7587"/>
  <c r="D7588"/>
  <c r="D7589"/>
  <c r="D7590"/>
  <c r="D7591"/>
  <c r="D7592"/>
  <c r="D7593"/>
  <c r="D7594"/>
  <c r="D7595"/>
  <c r="D7596"/>
  <c r="D7597"/>
  <c r="D7598"/>
  <c r="D7599"/>
  <c r="D7600"/>
  <c r="D7601"/>
  <c r="D7602"/>
  <c r="D7603"/>
  <c r="D7604"/>
  <c r="D7605"/>
  <c r="D7606"/>
  <c r="D7607"/>
  <c r="D7608"/>
  <c r="D7609"/>
  <c r="D7610"/>
  <c r="D7611"/>
  <c r="D7612"/>
  <c r="D7613"/>
  <c r="D7614"/>
  <c r="D7615"/>
  <c r="D7616"/>
  <c r="D7617"/>
  <c r="D7618"/>
  <c r="D7619"/>
  <c r="D7620"/>
  <c r="D7621"/>
  <c r="D7622"/>
  <c r="D7623"/>
  <c r="D7624"/>
  <c r="D7625"/>
  <c r="D7626"/>
  <c r="D7627"/>
  <c r="D7628"/>
  <c r="D7629"/>
  <c r="D7630"/>
  <c r="D7631"/>
  <c r="D7632"/>
  <c r="D7633"/>
  <c r="D7634"/>
  <c r="D7635"/>
  <c r="D7636"/>
  <c r="D7637"/>
  <c r="D7638"/>
  <c r="D7639"/>
  <c r="D7640"/>
  <c r="D7641"/>
  <c r="D7642"/>
  <c r="D7643"/>
  <c r="D7644"/>
  <c r="D7645"/>
  <c r="D7646"/>
  <c r="D7647"/>
  <c r="D7648"/>
  <c r="D7649"/>
  <c r="D7650"/>
  <c r="D7651"/>
  <c r="D7652"/>
  <c r="D7653"/>
  <c r="D7654"/>
  <c r="D7655"/>
  <c r="D7656"/>
  <c r="D7657"/>
  <c r="D7658"/>
  <c r="D7659"/>
  <c r="D7660"/>
  <c r="D7661"/>
  <c r="D7662"/>
  <c r="D7663"/>
  <c r="D7664"/>
  <c r="D7665"/>
  <c r="D7666"/>
  <c r="D7667"/>
  <c r="D7668"/>
  <c r="D7669"/>
  <c r="D7670"/>
  <c r="D7671"/>
  <c r="D7672"/>
  <c r="D7673"/>
  <c r="D7674"/>
  <c r="D7675"/>
  <c r="D7676"/>
  <c r="D7677"/>
  <c r="D7678"/>
  <c r="D7679"/>
  <c r="D7680"/>
  <c r="D7681"/>
  <c r="D7682"/>
  <c r="D7683"/>
  <c r="D7684"/>
  <c r="D7685"/>
  <c r="D7686"/>
  <c r="D7687"/>
  <c r="D7688"/>
  <c r="D7689"/>
  <c r="D7690"/>
  <c r="D7691"/>
  <c r="D7692"/>
  <c r="D7693"/>
  <c r="D7694"/>
  <c r="D7695"/>
  <c r="D7696"/>
  <c r="D7697"/>
  <c r="D7698"/>
  <c r="D7699"/>
  <c r="D7700"/>
  <c r="D7701"/>
  <c r="D7702"/>
  <c r="D7703"/>
  <c r="D7704"/>
  <c r="D7705"/>
  <c r="D7706"/>
  <c r="D7707"/>
  <c r="D7708"/>
  <c r="D7709"/>
  <c r="D7710"/>
  <c r="D7711"/>
  <c r="D7712"/>
  <c r="D7713"/>
  <c r="D7714"/>
  <c r="D7715"/>
  <c r="D7716"/>
  <c r="D7717"/>
  <c r="D7718"/>
  <c r="D7719"/>
  <c r="D7720"/>
  <c r="D7721"/>
  <c r="D7722"/>
  <c r="D7723"/>
  <c r="D7724"/>
  <c r="D7725"/>
  <c r="D7726"/>
  <c r="D7727"/>
  <c r="D7728"/>
  <c r="D7729"/>
  <c r="D7730"/>
  <c r="D7731"/>
  <c r="D7732"/>
  <c r="D7733"/>
  <c r="D7734"/>
  <c r="D7735"/>
  <c r="D7736"/>
  <c r="D7737"/>
  <c r="D7738"/>
  <c r="D7739"/>
  <c r="D7740"/>
  <c r="D7741"/>
  <c r="D7742"/>
  <c r="D7743"/>
  <c r="D7744"/>
  <c r="D7745"/>
  <c r="D7746"/>
  <c r="D7747"/>
  <c r="D7748"/>
  <c r="D7749"/>
  <c r="D7750"/>
  <c r="D7751"/>
  <c r="D7752"/>
  <c r="D7753"/>
  <c r="D7754"/>
  <c r="D7755"/>
  <c r="D7756"/>
  <c r="D7757"/>
  <c r="D7758"/>
  <c r="D7759"/>
  <c r="D7760"/>
  <c r="D7761"/>
  <c r="D7762"/>
  <c r="D7763"/>
  <c r="D7764"/>
  <c r="D7765"/>
  <c r="D7766"/>
  <c r="D7767"/>
  <c r="D7768"/>
  <c r="D7769"/>
  <c r="D7770"/>
  <c r="D7771"/>
  <c r="D7772"/>
  <c r="D7773"/>
  <c r="D7774"/>
  <c r="D7775"/>
  <c r="D7776"/>
  <c r="D7777"/>
  <c r="D7778"/>
  <c r="D7779"/>
  <c r="D7780"/>
  <c r="D7781"/>
  <c r="D7782"/>
  <c r="D7783"/>
  <c r="D7784"/>
  <c r="D7785"/>
  <c r="D7786"/>
  <c r="D7787"/>
  <c r="D7788"/>
  <c r="D7789"/>
  <c r="D7790"/>
  <c r="D7791"/>
  <c r="D7792"/>
  <c r="D7793"/>
  <c r="D7794"/>
  <c r="D7795"/>
  <c r="D7796"/>
  <c r="D7797"/>
  <c r="D7798"/>
  <c r="D7799"/>
  <c r="D7800"/>
  <c r="D7801"/>
  <c r="D7802"/>
  <c r="D7803"/>
  <c r="D7804"/>
  <c r="D7805"/>
  <c r="D7806"/>
  <c r="D7807"/>
  <c r="D7808"/>
  <c r="D7809"/>
  <c r="D7810"/>
  <c r="D7811"/>
  <c r="D7812"/>
  <c r="D7813"/>
  <c r="D7814"/>
  <c r="D7815"/>
  <c r="D7816"/>
  <c r="D7817"/>
  <c r="D7818"/>
  <c r="D7819"/>
  <c r="D7820"/>
  <c r="D7821"/>
  <c r="D7822"/>
  <c r="D7823"/>
  <c r="D7824"/>
  <c r="D7825"/>
  <c r="D7826"/>
  <c r="D7827"/>
  <c r="D7828"/>
  <c r="D7829"/>
  <c r="D7830"/>
  <c r="D7831"/>
  <c r="D7832"/>
  <c r="D7833"/>
  <c r="D7834"/>
  <c r="D7835"/>
  <c r="D7836"/>
  <c r="D7837"/>
  <c r="D7838"/>
  <c r="D7839"/>
  <c r="D7840"/>
  <c r="D7841"/>
  <c r="D7842"/>
  <c r="D7843"/>
  <c r="D7844"/>
  <c r="D7845"/>
  <c r="D7846"/>
  <c r="D7847"/>
  <c r="D7848"/>
  <c r="D7849"/>
  <c r="D7850"/>
  <c r="D7851"/>
  <c r="D7852"/>
  <c r="D7853"/>
  <c r="D7854"/>
  <c r="D7855"/>
  <c r="D7856"/>
  <c r="D7857"/>
  <c r="D7858"/>
  <c r="D7859"/>
  <c r="D7860"/>
  <c r="D7861"/>
  <c r="D7862"/>
  <c r="D7863"/>
  <c r="D7864"/>
  <c r="D7865"/>
  <c r="D7866"/>
  <c r="D7867"/>
  <c r="D7868"/>
  <c r="D7869"/>
  <c r="D7870"/>
  <c r="D7871"/>
  <c r="D7872"/>
  <c r="D7873"/>
  <c r="D7874"/>
  <c r="D7875"/>
  <c r="D7876"/>
  <c r="D7877"/>
  <c r="D7878"/>
  <c r="D7879"/>
  <c r="D7880"/>
  <c r="D7881"/>
  <c r="D7882"/>
  <c r="D7883"/>
  <c r="D7884"/>
  <c r="D7885"/>
  <c r="D7886"/>
  <c r="D7887"/>
  <c r="D7888"/>
  <c r="D7889"/>
  <c r="D7890"/>
  <c r="D7891"/>
  <c r="D7892"/>
  <c r="D7893"/>
  <c r="D7894"/>
  <c r="D7895"/>
  <c r="D7896"/>
  <c r="D7897"/>
  <c r="D7898"/>
  <c r="D7899"/>
  <c r="D7900"/>
  <c r="D7901"/>
  <c r="D7902"/>
  <c r="D7903"/>
  <c r="D7904"/>
  <c r="D7905"/>
  <c r="D7906"/>
  <c r="D7907"/>
  <c r="D7908"/>
  <c r="D7909"/>
  <c r="D7910"/>
  <c r="D7911"/>
  <c r="D7912"/>
  <c r="D7913"/>
  <c r="D7914"/>
  <c r="D7915"/>
  <c r="D7916"/>
  <c r="D7917"/>
  <c r="D7918"/>
  <c r="D7919"/>
  <c r="D7920"/>
  <c r="D7921"/>
  <c r="D7922"/>
  <c r="D7923"/>
  <c r="D7924"/>
  <c r="D7925"/>
  <c r="D7926"/>
  <c r="D7927"/>
  <c r="D7928"/>
  <c r="D7929"/>
  <c r="D7930"/>
  <c r="D7931"/>
  <c r="D7932"/>
  <c r="D7933"/>
  <c r="D7934"/>
  <c r="D7935"/>
  <c r="D7936"/>
  <c r="D7937"/>
  <c r="D7938"/>
  <c r="D7939"/>
  <c r="D7940"/>
  <c r="D7941"/>
  <c r="D7942"/>
  <c r="D7943"/>
  <c r="D7944"/>
  <c r="D7945"/>
  <c r="D7946"/>
  <c r="D7947"/>
  <c r="D7948"/>
  <c r="D7949"/>
  <c r="D7950"/>
  <c r="D7951"/>
  <c r="D7952"/>
  <c r="D7953"/>
  <c r="D7954"/>
  <c r="D7955"/>
  <c r="D7956"/>
  <c r="D7957"/>
  <c r="D7958"/>
  <c r="D7959"/>
  <c r="D7960"/>
  <c r="D7961"/>
  <c r="D7962"/>
  <c r="D7963"/>
  <c r="D7964"/>
  <c r="D7965"/>
  <c r="D7966"/>
  <c r="D7967"/>
  <c r="D7968"/>
  <c r="D7969"/>
  <c r="D7970"/>
  <c r="D7971"/>
  <c r="D7972"/>
  <c r="D7973"/>
  <c r="D7974"/>
  <c r="D7975"/>
  <c r="D7976"/>
  <c r="D7977"/>
  <c r="D7978"/>
  <c r="D7979"/>
  <c r="D7980"/>
  <c r="D7981"/>
  <c r="D7982"/>
  <c r="D7983"/>
  <c r="D7984"/>
  <c r="D7985"/>
  <c r="D7986"/>
  <c r="D7987"/>
  <c r="D7988"/>
  <c r="D7989"/>
  <c r="D7990"/>
  <c r="D7991"/>
  <c r="D7992"/>
  <c r="D7993"/>
  <c r="D7994"/>
  <c r="D7995"/>
  <c r="D7996"/>
  <c r="D2"/>
  <c r="B1131"/>
  <c r="B1132"/>
  <c r="B1133"/>
  <c r="B1134"/>
  <c r="B1135"/>
  <c r="B1136"/>
  <c r="B1137"/>
  <c r="B1138"/>
  <c r="B1139"/>
  <c r="B1140"/>
  <c r="B1141"/>
  <c r="B1142"/>
  <c r="B1143"/>
  <c r="B1144"/>
  <c r="B1145"/>
  <c r="B1146"/>
  <c r="B1147"/>
  <c r="B1148"/>
  <c r="B1149"/>
  <c r="B1150"/>
  <c r="B1151"/>
  <c r="B1152"/>
  <c r="B1153"/>
  <c r="B1154"/>
  <c r="B1155"/>
  <c r="B1156"/>
  <c r="B1157"/>
  <c r="B1158"/>
  <c r="B1159"/>
  <c r="B1160"/>
  <c r="B1161"/>
  <c r="B1162"/>
  <c r="B1163"/>
  <c r="B1164"/>
  <c r="B1165"/>
  <c r="B1166"/>
  <c r="B1167"/>
  <c r="B1168"/>
  <c r="B1169"/>
  <c r="B1170"/>
  <c r="B1171"/>
  <c r="B1172"/>
  <c r="B1173"/>
  <c r="B1174"/>
  <c r="B1175"/>
  <c r="B1176"/>
  <c r="B1177"/>
  <c r="B1178"/>
  <c r="B1179"/>
  <c r="B1180"/>
  <c r="B1181"/>
  <c r="B1182"/>
  <c r="B1183"/>
  <c r="B1184"/>
  <c r="B1185"/>
  <c r="B1186"/>
  <c r="B1187"/>
  <c r="B1188"/>
  <c r="B1189"/>
  <c r="B1190"/>
  <c r="B1191"/>
  <c r="B1192"/>
  <c r="B1193"/>
  <c r="B1194"/>
  <c r="B1195"/>
  <c r="B1196"/>
  <c r="B1197"/>
  <c r="B1198"/>
  <c r="B1199"/>
  <c r="B1200"/>
  <c r="B1201"/>
  <c r="B1202"/>
  <c r="B1203"/>
  <c r="B1204"/>
  <c r="B1205"/>
  <c r="B1206"/>
  <c r="B1207"/>
  <c r="B1208"/>
  <c r="B1209"/>
  <c r="B1210"/>
  <c r="B1211"/>
  <c r="B1212"/>
  <c r="B1213"/>
  <c r="B1214"/>
  <c r="B1215"/>
  <c r="B1216"/>
  <c r="B1217"/>
  <c r="B1218"/>
  <c r="B1219"/>
  <c r="B1220"/>
  <c r="B1221"/>
  <c r="B1222"/>
  <c r="B1223"/>
  <c r="B1224"/>
  <c r="B1225"/>
  <c r="B1226"/>
  <c r="B1227"/>
  <c r="B1228"/>
  <c r="B1229"/>
  <c r="B1230"/>
  <c r="B1231"/>
  <c r="B1232"/>
  <c r="B1233"/>
  <c r="B1234"/>
  <c r="B1235"/>
  <c r="B1236"/>
  <c r="B1237"/>
  <c r="B1238"/>
  <c r="B1239"/>
  <c r="B1240"/>
  <c r="B1241"/>
  <c r="B1242"/>
  <c r="B1243"/>
  <c r="B1244"/>
  <c r="B1245"/>
  <c r="B1246"/>
  <c r="B1247"/>
  <c r="B1248"/>
  <c r="B1249"/>
  <c r="B1250"/>
  <c r="B1251"/>
  <c r="B1252"/>
  <c r="B1253"/>
  <c r="B1254"/>
  <c r="B1255"/>
  <c r="B1256"/>
  <c r="B1257"/>
  <c r="B1258"/>
  <c r="B1259"/>
  <c r="B1260"/>
  <c r="B1261"/>
  <c r="B1262"/>
  <c r="B1263"/>
  <c r="B1264"/>
  <c r="B1265"/>
  <c r="B1266"/>
  <c r="B1267"/>
  <c r="B1268"/>
  <c r="B1269"/>
  <c r="B1270"/>
  <c r="B1271"/>
  <c r="B1272"/>
  <c r="B1273"/>
  <c r="B1274"/>
  <c r="B1275"/>
  <c r="B1276"/>
  <c r="B1277"/>
  <c r="B1278"/>
  <c r="B1279"/>
  <c r="B1280"/>
  <c r="B1281"/>
  <c r="B1282"/>
  <c r="B1283"/>
  <c r="B1284"/>
  <c r="B1285"/>
  <c r="B1286"/>
  <c r="B1287"/>
  <c r="B1288"/>
  <c r="B1289"/>
  <c r="B1290"/>
  <c r="B1291"/>
  <c r="B1292"/>
  <c r="B1293"/>
  <c r="B1294"/>
  <c r="B1295"/>
  <c r="B1296"/>
  <c r="B1297"/>
  <c r="B1298"/>
  <c r="B1299"/>
  <c r="B1300"/>
  <c r="B1301"/>
  <c r="B1302"/>
  <c r="B1303"/>
  <c r="B1304"/>
  <c r="B1305"/>
  <c r="B1306"/>
  <c r="B1307"/>
  <c r="B1308"/>
  <c r="B1309"/>
  <c r="B1310"/>
  <c r="B1311"/>
  <c r="B1312"/>
  <c r="B1313"/>
  <c r="B1314"/>
  <c r="B1315"/>
  <c r="B1316"/>
  <c r="B1317"/>
  <c r="B1318"/>
  <c r="B1319"/>
  <c r="B1320"/>
  <c r="B1321"/>
  <c r="B1322"/>
  <c r="B1323"/>
  <c r="B1324"/>
  <c r="B1325"/>
  <c r="B1326"/>
  <c r="B1327"/>
  <c r="B1328"/>
  <c r="B1329"/>
  <c r="B1330"/>
  <c r="B1331"/>
  <c r="B1332"/>
  <c r="B1333"/>
  <c r="B1334"/>
  <c r="B1335"/>
  <c r="B1336"/>
  <c r="B1337"/>
  <c r="B1338"/>
  <c r="B1339"/>
  <c r="B1340"/>
  <c r="B1341"/>
  <c r="B1342"/>
  <c r="B1343"/>
  <c r="B1344"/>
  <c r="B1345"/>
  <c r="B1346"/>
  <c r="B1347"/>
  <c r="B1348"/>
  <c r="B1349"/>
  <c r="B1350"/>
  <c r="B1351"/>
  <c r="B1352"/>
  <c r="B1353"/>
  <c r="B1354"/>
  <c r="B1355"/>
  <c r="B1356"/>
  <c r="B1357"/>
  <c r="B1358"/>
  <c r="B1359"/>
  <c r="B1360"/>
  <c r="B1361"/>
  <c r="B1362"/>
  <c r="B1363"/>
  <c r="B1364"/>
  <c r="B1365"/>
  <c r="B1366"/>
  <c r="B1367"/>
  <c r="B1368"/>
  <c r="B1369"/>
  <c r="B1370"/>
  <c r="B1371"/>
  <c r="B1372"/>
  <c r="B1373"/>
  <c r="B1374"/>
  <c r="B1375"/>
  <c r="B1376"/>
  <c r="B1377"/>
  <c r="B1378"/>
  <c r="B1379"/>
  <c r="B1380"/>
  <c r="B1381"/>
  <c r="B1382"/>
  <c r="B1383"/>
  <c r="B1384"/>
  <c r="B1385"/>
  <c r="B1386"/>
  <c r="B1387"/>
  <c r="B1388"/>
  <c r="B1389"/>
  <c r="B1390"/>
  <c r="B1391"/>
  <c r="B1392"/>
  <c r="B1393"/>
  <c r="B1394"/>
  <c r="B1395"/>
  <c r="B1396"/>
  <c r="B1397"/>
  <c r="B1398"/>
  <c r="B1399"/>
  <c r="B1400"/>
  <c r="B1401"/>
  <c r="B1402"/>
  <c r="B1403"/>
  <c r="B1404"/>
  <c r="B1405"/>
  <c r="B1406"/>
  <c r="B1407"/>
  <c r="B1408"/>
  <c r="B1409"/>
  <c r="B1410"/>
  <c r="B1411"/>
  <c r="B1412"/>
  <c r="B1413"/>
  <c r="B1414"/>
  <c r="B1415"/>
  <c r="B1416"/>
  <c r="B1417"/>
  <c r="B1418"/>
  <c r="B1419"/>
  <c r="B1420"/>
  <c r="B1421"/>
  <c r="B1422"/>
  <c r="B1423"/>
  <c r="B1424"/>
  <c r="B1425"/>
  <c r="B1426"/>
  <c r="B1427"/>
  <c r="B1428"/>
  <c r="B1429"/>
  <c r="B1430"/>
  <c r="B1431"/>
  <c r="B1432"/>
  <c r="B1433"/>
  <c r="B1434"/>
  <c r="B1435"/>
  <c r="B1436"/>
  <c r="B1437"/>
  <c r="B1438"/>
  <c r="B1439"/>
  <c r="B1440"/>
  <c r="B1441"/>
  <c r="B1442"/>
  <c r="B1443"/>
  <c r="B1444"/>
  <c r="B1445"/>
  <c r="B1446"/>
  <c r="B1447"/>
  <c r="B1448"/>
  <c r="B1449"/>
  <c r="B1450"/>
  <c r="B1451"/>
  <c r="B1452"/>
  <c r="B1453"/>
  <c r="B1454"/>
  <c r="B1455"/>
  <c r="B1456"/>
  <c r="B1457"/>
  <c r="B1458"/>
  <c r="B1459"/>
  <c r="B1460"/>
  <c r="B1461"/>
  <c r="B1462"/>
  <c r="B1463"/>
  <c r="B1464"/>
  <c r="B1465"/>
  <c r="B1466"/>
  <c r="B1467"/>
  <c r="B1468"/>
  <c r="B1469"/>
  <c r="B1470"/>
  <c r="B1471"/>
  <c r="B1472"/>
  <c r="B1473"/>
  <c r="B1474"/>
  <c r="B1475"/>
  <c r="B1476"/>
  <c r="B1477"/>
  <c r="B1478"/>
  <c r="B1479"/>
  <c r="B1480"/>
  <c r="B1481"/>
  <c r="B1482"/>
  <c r="B1483"/>
  <c r="B1484"/>
  <c r="B1485"/>
  <c r="B1486"/>
  <c r="B1487"/>
  <c r="B1488"/>
  <c r="B1489"/>
  <c r="B1490"/>
  <c r="B1491"/>
  <c r="B1492"/>
  <c r="B1493"/>
  <c r="B1494"/>
  <c r="B1495"/>
  <c r="B1496"/>
  <c r="B1497"/>
  <c r="B1498"/>
  <c r="B1499"/>
  <c r="B1500"/>
  <c r="B1501"/>
  <c r="B1502"/>
  <c r="B1503"/>
  <c r="B1504"/>
  <c r="B1505"/>
  <c r="B1506"/>
  <c r="B1507"/>
  <c r="B1508"/>
  <c r="B1509"/>
  <c r="B1510"/>
  <c r="B1511"/>
  <c r="B1512"/>
  <c r="B1513"/>
  <c r="B1514"/>
  <c r="B1515"/>
  <c r="B1516"/>
  <c r="B1517"/>
  <c r="B1518"/>
  <c r="B1519"/>
  <c r="B1520"/>
  <c r="B1521"/>
  <c r="B1522"/>
  <c r="B1523"/>
  <c r="B1524"/>
  <c r="B1525"/>
  <c r="B1526"/>
  <c r="B1527"/>
  <c r="B1528"/>
  <c r="B1529"/>
  <c r="B1530"/>
  <c r="B1531"/>
  <c r="B1532"/>
  <c r="B1533"/>
  <c r="B1534"/>
  <c r="B1535"/>
  <c r="B1536"/>
  <c r="B1537"/>
  <c r="B1538"/>
  <c r="B1539"/>
  <c r="B1540"/>
  <c r="B1541"/>
  <c r="B1542"/>
  <c r="B1543"/>
  <c r="B1544"/>
  <c r="B1545"/>
  <c r="B1546"/>
  <c r="B1547"/>
  <c r="B1548"/>
  <c r="B1549"/>
  <c r="B1550"/>
  <c r="B1551"/>
  <c r="B1552"/>
  <c r="B1553"/>
  <c r="B1554"/>
  <c r="B1555"/>
  <c r="B1556"/>
  <c r="B1557"/>
  <c r="B1558"/>
  <c r="B1559"/>
  <c r="B1560"/>
  <c r="B1561"/>
  <c r="B1562"/>
  <c r="B1563"/>
  <c r="B1564"/>
  <c r="B1565"/>
  <c r="B1566"/>
  <c r="B1567"/>
  <c r="B1568"/>
  <c r="B1569"/>
  <c r="B1570"/>
  <c r="B1571"/>
  <c r="B1572"/>
  <c r="B1573"/>
  <c r="B1574"/>
  <c r="B1575"/>
  <c r="B1576"/>
  <c r="B1577"/>
  <c r="B1578"/>
  <c r="B1579"/>
  <c r="B1580"/>
  <c r="B1581"/>
  <c r="B1582"/>
  <c r="B1583"/>
  <c r="B1584"/>
  <c r="B1585"/>
  <c r="B1586"/>
  <c r="B1587"/>
  <c r="B1588"/>
  <c r="B1589"/>
  <c r="B1590"/>
  <c r="B1591"/>
  <c r="B1592"/>
  <c r="B1593"/>
  <c r="B1594"/>
  <c r="B1595"/>
  <c r="B1596"/>
  <c r="B1597"/>
  <c r="B1598"/>
  <c r="B1599"/>
  <c r="B1600"/>
  <c r="B1601"/>
  <c r="B1602"/>
  <c r="B1603"/>
  <c r="B1604"/>
  <c r="B1605"/>
  <c r="B1606"/>
  <c r="B1607"/>
  <c r="B1608"/>
  <c r="B1609"/>
  <c r="B1610"/>
  <c r="B1611"/>
  <c r="B1612"/>
  <c r="B1613"/>
  <c r="B1614"/>
  <c r="B1615"/>
  <c r="B1616"/>
  <c r="B1617"/>
  <c r="B1618"/>
  <c r="B1619"/>
  <c r="B1620"/>
  <c r="B1621"/>
  <c r="B1622"/>
  <c r="B1623"/>
  <c r="B1624"/>
  <c r="B1625"/>
  <c r="B1626"/>
  <c r="B1627"/>
  <c r="B1628"/>
  <c r="B1629"/>
  <c r="B1630"/>
  <c r="B1631"/>
  <c r="B1632"/>
  <c r="B1633"/>
  <c r="B1634"/>
  <c r="B1635"/>
  <c r="B1636"/>
  <c r="B1637"/>
  <c r="B1638"/>
  <c r="B1639"/>
  <c r="B1640"/>
  <c r="B1641"/>
  <c r="B1642"/>
  <c r="B1643"/>
  <c r="B1644"/>
  <c r="B1645"/>
  <c r="B1646"/>
  <c r="B1647"/>
  <c r="B1648"/>
  <c r="B1649"/>
  <c r="B1650"/>
  <c r="B1651"/>
  <c r="B1652"/>
  <c r="B1653"/>
  <c r="B1654"/>
  <c r="B1655"/>
  <c r="B1656"/>
  <c r="B1657"/>
  <c r="B1658"/>
  <c r="B1659"/>
  <c r="B1660"/>
  <c r="B1661"/>
  <c r="B1662"/>
  <c r="B1663"/>
  <c r="B1664"/>
  <c r="B1665"/>
  <c r="B1666"/>
  <c r="B1667"/>
  <c r="B1668"/>
  <c r="B1669"/>
  <c r="B1670"/>
  <c r="B1671"/>
  <c r="B1672"/>
  <c r="B1673"/>
  <c r="B1674"/>
  <c r="B1675"/>
  <c r="B1676"/>
  <c r="B1677"/>
  <c r="B1678"/>
  <c r="B1679"/>
  <c r="B1680"/>
  <c r="B1681"/>
  <c r="B1682"/>
  <c r="B1683"/>
  <c r="B1684"/>
  <c r="B1685"/>
  <c r="B1686"/>
  <c r="B1687"/>
  <c r="B1688"/>
  <c r="B1689"/>
  <c r="B1690"/>
  <c r="B1691"/>
  <c r="B1692"/>
  <c r="B1693"/>
  <c r="B1694"/>
  <c r="B1695"/>
  <c r="B1696"/>
  <c r="B1697"/>
  <c r="B1698"/>
  <c r="B1699"/>
  <c r="B1700"/>
  <c r="B1701"/>
  <c r="B1702"/>
  <c r="B1703"/>
  <c r="B1704"/>
  <c r="B1705"/>
  <c r="B1706"/>
  <c r="B1707"/>
  <c r="B1708"/>
  <c r="B1709"/>
  <c r="B1710"/>
  <c r="B1711"/>
  <c r="B1712"/>
  <c r="B1713"/>
  <c r="B1714"/>
  <c r="B1715"/>
  <c r="B1716"/>
  <c r="B1717"/>
  <c r="B1718"/>
  <c r="B1719"/>
  <c r="B1720"/>
  <c r="B1721"/>
  <c r="B1722"/>
  <c r="B1723"/>
  <c r="B1724"/>
  <c r="B1725"/>
  <c r="B1726"/>
  <c r="B1727"/>
  <c r="B1728"/>
  <c r="B1729"/>
  <c r="B1730"/>
  <c r="B1731"/>
  <c r="B1732"/>
  <c r="B1733"/>
  <c r="B1734"/>
  <c r="B1735"/>
  <c r="B1736"/>
  <c r="B1737"/>
  <c r="B1738"/>
  <c r="B1739"/>
  <c r="B1740"/>
  <c r="B1741"/>
  <c r="B1742"/>
  <c r="B1743"/>
  <c r="B1744"/>
  <c r="B1745"/>
  <c r="B1746"/>
  <c r="B1747"/>
  <c r="B1748"/>
  <c r="B1749"/>
  <c r="B1750"/>
  <c r="B1751"/>
  <c r="B1752"/>
  <c r="B1753"/>
  <c r="B1754"/>
  <c r="B1755"/>
  <c r="B1756"/>
  <c r="B1757"/>
  <c r="B1758"/>
  <c r="B1759"/>
  <c r="B1760"/>
  <c r="B1761"/>
  <c r="B1762"/>
  <c r="B1763"/>
  <c r="B1764"/>
  <c r="B1765"/>
  <c r="B1766"/>
  <c r="B1767"/>
  <c r="B1768"/>
  <c r="B1769"/>
  <c r="B1770"/>
  <c r="B1771"/>
  <c r="B1772"/>
  <c r="B1773"/>
  <c r="B1774"/>
  <c r="B1775"/>
  <c r="B1776"/>
  <c r="B1777"/>
  <c r="B1778"/>
  <c r="B1779"/>
  <c r="B1780"/>
  <c r="B1781"/>
  <c r="B1782"/>
  <c r="B1783"/>
  <c r="B1784"/>
  <c r="B1785"/>
  <c r="B1786"/>
  <c r="B1787"/>
  <c r="B1788"/>
  <c r="B1789"/>
  <c r="B1790"/>
  <c r="B1791"/>
  <c r="B1792"/>
  <c r="B1793"/>
  <c r="B1794"/>
  <c r="B1795"/>
  <c r="B1796"/>
  <c r="B1797"/>
  <c r="B1798"/>
  <c r="B1799"/>
  <c r="B1800"/>
  <c r="B1801"/>
  <c r="B1802"/>
  <c r="B1803"/>
  <c r="B1804"/>
  <c r="B1805"/>
  <c r="B1806"/>
  <c r="B1807"/>
  <c r="B1808"/>
  <c r="B1809"/>
  <c r="B1810"/>
  <c r="B1811"/>
  <c r="B1812"/>
  <c r="B1813"/>
  <c r="B1814"/>
  <c r="B1815"/>
  <c r="B1816"/>
  <c r="B1817"/>
  <c r="B1818"/>
  <c r="B1819"/>
  <c r="B1820"/>
  <c r="B1821"/>
  <c r="B1822"/>
  <c r="B1823"/>
  <c r="B1824"/>
  <c r="B1825"/>
  <c r="B1826"/>
  <c r="B1827"/>
  <c r="B1828"/>
  <c r="B1829"/>
  <c r="B1830"/>
  <c r="B1831"/>
  <c r="B1832"/>
  <c r="B1833"/>
  <c r="B1834"/>
  <c r="B1835"/>
  <c r="B1836"/>
  <c r="B1837"/>
  <c r="B1838"/>
  <c r="B1839"/>
  <c r="B1840"/>
  <c r="B1841"/>
  <c r="B1842"/>
  <c r="B1843"/>
  <c r="B1844"/>
  <c r="B1845"/>
  <c r="B1846"/>
  <c r="B1847"/>
  <c r="B1848"/>
  <c r="B1849"/>
  <c r="B1850"/>
  <c r="B1851"/>
  <c r="B1852"/>
  <c r="B1853"/>
  <c r="B1854"/>
  <c r="B1855"/>
  <c r="B1856"/>
  <c r="B1857"/>
  <c r="B1858"/>
  <c r="B1859"/>
  <c r="B1860"/>
  <c r="B1861"/>
  <c r="B1862"/>
  <c r="B1863"/>
  <c r="B1864"/>
  <c r="B1865"/>
  <c r="B1866"/>
  <c r="B1867"/>
  <c r="B1868"/>
  <c r="B1869"/>
  <c r="B1870"/>
  <c r="B1871"/>
  <c r="B1872"/>
  <c r="B1873"/>
  <c r="B1874"/>
  <c r="B1875"/>
  <c r="B1876"/>
  <c r="B1877"/>
  <c r="B1878"/>
  <c r="B1879"/>
  <c r="B1880"/>
  <c r="B1881"/>
  <c r="B1882"/>
  <c r="B1883"/>
  <c r="B1884"/>
  <c r="B1885"/>
  <c r="B1886"/>
  <c r="B1887"/>
  <c r="B1888"/>
  <c r="B1889"/>
  <c r="B1890"/>
  <c r="B1891"/>
  <c r="B1892"/>
  <c r="B1893"/>
  <c r="B1894"/>
  <c r="B1895"/>
  <c r="B1896"/>
  <c r="B1897"/>
  <c r="B1898"/>
  <c r="B1899"/>
  <c r="B1900"/>
  <c r="B1901"/>
  <c r="B1902"/>
  <c r="B1903"/>
  <c r="B1904"/>
  <c r="B1905"/>
  <c r="B1906"/>
  <c r="B1907"/>
  <c r="B1908"/>
  <c r="B1909"/>
  <c r="B1910"/>
  <c r="B1911"/>
  <c r="B1912"/>
  <c r="B1913"/>
  <c r="B1914"/>
  <c r="B1915"/>
  <c r="B1916"/>
  <c r="B1917"/>
  <c r="B1918"/>
  <c r="B1919"/>
  <c r="B1920"/>
  <c r="B1921"/>
  <c r="B1922"/>
  <c r="B1923"/>
  <c r="B1924"/>
  <c r="B1925"/>
  <c r="B1926"/>
  <c r="B1927"/>
  <c r="B1928"/>
  <c r="B1929"/>
  <c r="B1930"/>
  <c r="B1931"/>
  <c r="B1932"/>
  <c r="B1933"/>
  <c r="B1934"/>
  <c r="B1935"/>
  <c r="B1936"/>
  <c r="B1937"/>
  <c r="B1938"/>
  <c r="B1939"/>
  <c r="B1940"/>
  <c r="B1941"/>
  <c r="B1942"/>
  <c r="B1943"/>
  <c r="B1944"/>
  <c r="B1945"/>
  <c r="B1946"/>
  <c r="B1947"/>
  <c r="B1948"/>
  <c r="B1949"/>
  <c r="B1950"/>
  <c r="B1951"/>
  <c r="B1952"/>
  <c r="B1953"/>
  <c r="B1954"/>
  <c r="B1955"/>
  <c r="B1956"/>
  <c r="B1957"/>
  <c r="B1958"/>
  <c r="B1959"/>
  <c r="B1960"/>
  <c r="B1961"/>
  <c r="B1962"/>
  <c r="B1963"/>
  <c r="B1964"/>
  <c r="B1965"/>
  <c r="B1966"/>
  <c r="B1967"/>
  <c r="B1968"/>
  <c r="B1969"/>
  <c r="B1970"/>
  <c r="B1971"/>
  <c r="B1972"/>
  <c r="B1973"/>
  <c r="B1974"/>
  <c r="B1975"/>
  <c r="B1976"/>
  <c r="B1977"/>
  <c r="B1978"/>
  <c r="B1979"/>
  <c r="B1980"/>
  <c r="B1981"/>
  <c r="B1982"/>
  <c r="B1983"/>
  <c r="B1984"/>
  <c r="B1985"/>
  <c r="B1986"/>
  <c r="B1987"/>
  <c r="B1988"/>
  <c r="B1989"/>
  <c r="B1990"/>
  <c r="B1991"/>
  <c r="B1992"/>
  <c r="B1993"/>
  <c r="B1994"/>
  <c r="B1995"/>
  <c r="B1996"/>
  <c r="B1997"/>
  <c r="B1998"/>
  <c r="B1999"/>
  <c r="B2000"/>
  <c r="B2001"/>
  <c r="B2002"/>
  <c r="B2003"/>
  <c r="B2004"/>
  <c r="B2005"/>
  <c r="B2006"/>
  <c r="B2007"/>
  <c r="B2008"/>
  <c r="B2009"/>
  <c r="B2010"/>
  <c r="B2011"/>
  <c r="B2012"/>
  <c r="B2013"/>
  <c r="B2014"/>
  <c r="B2015"/>
  <c r="B2016"/>
  <c r="B2017"/>
  <c r="B2018"/>
  <c r="B2019"/>
  <c r="B2020"/>
  <c r="B2021"/>
  <c r="B2022"/>
  <c r="B2023"/>
  <c r="B2024"/>
  <c r="B2025"/>
  <c r="B2026"/>
  <c r="B2027"/>
  <c r="B2028"/>
  <c r="B2029"/>
  <c r="B2030"/>
  <c r="B2031"/>
  <c r="B2032"/>
  <c r="B2033"/>
  <c r="B2034"/>
  <c r="B2035"/>
  <c r="B2036"/>
  <c r="B2037"/>
  <c r="B2038"/>
  <c r="B2039"/>
  <c r="B2040"/>
  <c r="B2041"/>
  <c r="B2042"/>
  <c r="B2043"/>
  <c r="B2044"/>
  <c r="B2045"/>
  <c r="B2046"/>
  <c r="B2047"/>
  <c r="B2048"/>
  <c r="B2049"/>
  <c r="B2050"/>
  <c r="B2051"/>
  <c r="B2052"/>
  <c r="B2053"/>
  <c r="B2054"/>
  <c r="B2055"/>
  <c r="B2056"/>
  <c r="B2057"/>
  <c r="B2058"/>
  <c r="B2059"/>
  <c r="B2060"/>
  <c r="B2061"/>
  <c r="B2062"/>
  <c r="B2063"/>
  <c r="B2064"/>
  <c r="B2065"/>
  <c r="B2066"/>
  <c r="B2067"/>
  <c r="B2068"/>
  <c r="B2069"/>
  <c r="B2070"/>
  <c r="B2071"/>
  <c r="B2072"/>
  <c r="B2073"/>
  <c r="B2074"/>
  <c r="B2075"/>
  <c r="B2076"/>
  <c r="B2077"/>
  <c r="B2078"/>
  <c r="B2079"/>
  <c r="B2080"/>
  <c r="B2081"/>
  <c r="B2082"/>
  <c r="B2083"/>
  <c r="B2084"/>
  <c r="B2085"/>
  <c r="B2086"/>
  <c r="B2087"/>
  <c r="B2088"/>
  <c r="B2089"/>
  <c r="B2090"/>
  <c r="B2091"/>
  <c r="B2092"/>
  <c r="B2093"/>
  <c r="B2094"/>
  <c r="B2095"/>
  <c r="B2096"/>
  <c r="B2097"/>
  <c r="B2098"/>
  <c r="B2099"/>
  <c r="B2100"/>
  <c r="B2101"/>
  <c r="B2102"/>
  <c r="B2103"/>
  <c r="B2104"/>
  <c r="B2105"/>
  <c r="B2106"/>
  <c r="B2107"/>
  <c r="B2108"/>
  <c r="B2109"/>
  <c r="B2110"/>
  <c r="B2111"/>
  <c r="B2112"/>
  <c r="B2113"/>
  <c r="B2114"/>
  <c r="B2115"/>
  <c r="B2116"/>
  <c r="B2117"/>
  <c r="B2118"/>
  <c r="B2119"/>
  <c r="B2120"/>
  <c r="B2121"/>
  <c r="B2122"/>
  <c r="B2123"/>
  <c r="B2124"/>
  <c r="B2125"/>
  <c r="B2126"/>
  <c r="B2127"/>
  <c r="B2128"/>
  <c r="B2129"/>
  <c r="B2130"/>
  <c r="B2131"/>
  <c r="B2132"/>
  <c r="B2133"/>
  <c r="B2134"/>
  <c r="B2135"/>
  <c r="B2136"/>
  <c r="B2137"/>
  <c r="B2138"/>
  <c r="B2139"/>
  <c r="B2140"/>
  <c r="B2141"/>
  <c r="B2142"/>
  <c r="B2143"/>
  <c r="B2144"/>
  <c r="B2145"/>
  <c r="B2146"/>
  <c r="B2147"/>
  <c r="B2148"/>
  <c r="B2149"/>
  <c r="B2150"/>
  <c r="B2151"/>
  <c r="B2152"/>
  <c r="B2153"/>
  <c r="B2154"/>
  <c r="B2155"/>
  <c r="B2156"/>
  <c r="B2157"/>
  <c r="B2158"/>
  <c r="B2159"/>
  <c r="B2160"/>
  <c r="B2161"/>
  <c r="B2162"/>
  <c r="B2163"/>
  <c r="B2164"/>
  <c r="B2165"/>
  <c r="B2166"/>
  <c r="B2167"/>
  <c r="B2168"/>
  <c r="B2169"/>
  <c r="B2170"/>
  <c r="B2171"/>
  <c r="B2172"/>
  <c r="B2173"/>
  <c r="B2174"/>
  <c r="B2175"/>
  <c r="B2176"/>
  <c r="B2177"/>
  <c r="B2178"/>
  <c r="B2179"/>
  <c r="B2180"/>
  <c r="B2181"/>
  <c r="B2182"/>
  <c r="B2183"/>
  <c r="B2184"/>
  <c r="B2185"/>
  <c r="B2186"/>
  <c r="B2187"/>
  <c r="B2188"/>
  <c r="B2189"/>
  <c r="B2190"/>
  <c r="B2191"/>
  <c r="B2192"/>
  <c r="B2193"/>
  <c r="B2194"/>
  <c r="B2195"/>
  <c r="B2196"/>
  <c r="B2197"/>
  <c r="B2198"/>
  <c r="B2199"/>
  <c r="B2200"/>
  <c r="B2201"/>
  <c r="B2202"/>
  <c r="B2203"/>
  <c r="B2204"/>
  <c r="B2205"/>
  <c r="B2206"/>
  <c r="B2207"/>
  <c r="B2208"/>
  <c r="B2209"/>
  <c r="B2210"/>
  <c r="B2211"/>
  <c r="B2212"/>
  <c r="B2213"/>
  <c r="B2214"/>
  <c r="B2215"/>
  <c r="B2216"/>
  <c r="B2217"/>
  <c r="B2218"/>
  <c r="B2219"/>
  <c r="B2220"/>
  <c r="B2221"/>
  <c r="B2222"/>
  <c r="B2223"/>
  <c r="B2224"/>
  <c r="B2225"/>
  <c r="B2226"/>
  <c r="B2227"/>
  <c r="B2228"/>
  <c r="B2229"/>
  <c r="B2230"/>
  <c r="B2231"/>
  <c r="B2232"/>
  <c r="B2233"/>
  <c r="B2234"/>
  <c r="B2235"/>
  <c r="B2236"/>
  <c r="B2237"/>
  <c r="B2238"/>
  <c r="B2239"/>
  <c r="B2240"/>
  <c r="B2241"/>
  <c r="B2242"/>
  <c r="B2243"/>
  <c r="B2244"/>
  <c r="B2245"/>
  <c r="B2246"/>
  <c r="B2247"/>
  <c r="B2248"/>
  <c r="B2249"/>
  <c r="B2250"/>
  <c r="B2251"/>
  <c r="B2252"/>
  <c r="B2253"/>
  <c r="B2254"/>
  <c r="B2255"/>
  <c r="B2256"/>
  <c r="B2257"/>
  <c r="B2258"/>
  <c r="B2259"/>
  <c r="B2260"/>
  <c r="B2261"/>
  <c r="B2262"/>
  <c r="B2263"/>
  <c r="B2264"/>
  <c r="B2265"/>
  <c r="B2266"/>
  <c r="B2267"/>
  <c r="B2268"/>
  <c r="B2269"/>
  <c r="B2270"/>
  <c r="B2271"/>
  <c r="B2272"/>
  <c r="B2273"/>
  <c r="B2274"/>
  <c r="B2275"/>
  <c r="B2276"/>
  <c r="B2277"/>
  <c r="B2278"/>
  <c r="B2279"/>
  <c r="B2280"/>
  <c r="B2281"/>
  <c r="B2282"/>
  <c r="B2283"/>
  <c r="B2284"/>
  <c r="B2285"/>
  <c r="B2286"/>
  <c r="B2287"/>
  <c r="B2288"/>
  <c r="B2289"/>
  <c r="B2290"/>
  <c r="B2291"/>
  <c r="B2292"/>
  <c r="B2293"/>
  <c r="B2294"/>
  <c r="B2295"/>
  <c r="B2296"/>
  <c r="B2297"/>
  <c r="B2298"/>
  <c r="B2299"/>
  <c r="B2300"/>
  <c r="B2301"/>
  <c r="B2302"/>
  <c r="B2303"/>
  <c r="B2304"/>
  <c r="B2305"/>
  <c r="B2306"/>
  <c r="B2307"/>
  <c r="B2308"/>
  <c r="B2309"/>
  <c r="B2310"/>
  <c r="B2311"/>
  <c r="B2312"/>
  <c r="B2313"/>
  <c r="B2314"/>
  <c r="B2315"/>
  <c r="B2316"/>
  <c r="B2317"/>
  <c r="B2318"/>
  <c r="B2319"/>
  <c r="B2320"/>
  <c r="B2321"/>
  <c r="B2322"/>
  <c r="B2323"/>
  <c r="B2324"/>
  <c r="B2325"/>
  <c r="B2326"/>
  <c r="B2327"/>
  <c r="B2328"/>
  <c r="B2329"/>
  <c r="B2330"/>
  <c r="B2331"/>
  <c r="B2332"/>
  <c r="B2333"/>
  <c r="B2334"/>
  <c r="B2335"/>
  <c r="B2336"/>
  <c r="B2337"/>
  <c r="B2338"/>
  <c r="B2339"/>
  <c r="B2340"/>
  <c r="B2341"/>
  <c r="B2342"/>
  <c r="B2343"/>
  <c r="B2344"/>
  <c r="B2345"/>
  <c r="B2346"/>
  <c r="B2347"/>
  <c r="B2348"/>
  <c r="B2349"/>
  <c r="B2350"/>
  <c r="B2351"/>
  <c r="B2352"/>
  <c r="B2353"/>
  <c r="B2354"/>
  <c r="B2355"/>
  <c r="B2356"/>
  <c r="B2357"/>
  <c r="B2358"/>
  <c r="B2359"/>
  <c r="B2360"/>
  <c r="B2361"/>
  <c r="B2362"/>
  <c r="B2363"/>
  <c r="B2364"/>
  <c r="B2365"/>
  <c r="B2366"/>
  <c r="B2367"/>
  <c r="B2368"/>
  <c r="B2369"/>
  <c r="B2370"/>
  <c r="B2371"/>
  <c r="B2372"/>
  <c r="B2373"/>
  <c r="B2374"/>
  <c r="B2375"/>
  <c r="B2376"/>
  <c r="B2377"/>
  <c r="B2378"/>
  <c r="B2379"/>
  <c r="B2380"/>
  <c r="B2381"/>
  <c r="B2382"/>
  <c r="B2383"/>
  <c r="B2384"/>
  <c r="B2385"/>
  <c r="B2386"/>
  <c r="B2387"/>
  <c r="B2388"/>
  <c r="B2389"/>
  <c r="B2390"/>
  <c r="B2391"/>
  <c r="B2392"/>
  <c r="B2393"/>
  <c r="B2394"/>
  <c r="B2395"/>
  <c r="B2396"/>
  <c r="B2397"/>
  <c r="B2398"/>
  <c r="B2399"/>
  <c r="B2400"/>
  <c r="B2401"/>
  <c r="B2402"/>
  <c r="B2403"/>
  <c r="B2404"/>
  <c r="B2405"/>
  <c r="B2406"/>
  <c r="B2407"/>
  <c r="B2408"/>
  <c r="B2409"/>
  <c r="B2410"/>
  <c r="B2411"/>
  <c r="B2412"/>
  <c r="B2413"/>
  <c r="B2414"/>
  <c r="B2415"/>
  <c r="B2416"/>
  <c r="B2417"/>
  <c r="B2418"/>
  <c r="B2419"/>
  <c r="B2420"/>
  <c r="B2421"/>
  <c r="B2422"/>
  <c r="B2423"/>
  <c r="B2424"/>
  <c r="B2425"/>
  <c r="B2426"/>
  <c r="B2427"/>
  <c r="B2428"/>
  <c r="B2429"/>
  <c r="B2430"/>
  <c r="B2431"/>
  <c r="B2432"/>
  <c r="B2433"/>
  <c r="B2434"/>
  <c r="B2435"/>
  <c r="B2436"/>
  <c r="B2437"/>
  <c r="B2438"/>
  <c r="B2439"/>
  <c r="B2440"/>
  <c r="B2441"/>
  <c r="B2442"/>
  <c r="B2443"/>
  <c r="B2444"/>
  <c r="B2445"/>
  <c r="B2446"/>
  <c r="B2447"/>
  <c r="B2448"/>
  <c r="B2449"/>
  <c r="B2450"/>
  <c r="B2451"/>
  <c r="B2452"/>
  <c r="B2453"/>
  <c r="B2454"/>
  <c r="B2455"/>
  <c r="B2456"/>
  <c r="B2457"/>
  <c r="B2458"/>
  <c r="B2459"/>
  <c r="B2460"/>
  <c r="B2461"/>
  <c r="B2462"/>
  <c r="B2463"/>
  <c r="B2464"/>
  <c r="B2465"/>
  <c r="B2466"/>
  <c r="B2467"/>
  <c r="B2468"/>
  <c r="B2469"/>
  <c r="B2470"/>
  <c r="B2471"/>
  <c r="B2472"/>
  <c r="B2473"/>
  <c r="B2474"/>
  <c r="B2475"/>
  <c r="B2476"/>
  <c r="B2477"/>
  <c r="B2478"/>
  <c r="B2479"/>
  <c r="B2480"/>
  <c r="B2481"/>
  <c r="B2482"/>
  <c r="B2483"/>
  <c r="B2484"/>
  <c r="B2485"/>
  <c r="B2486"/>
  <c r="B2487"/>
  <c r="B2488"/>
  <c r="B2489"/>
  <c r="B2490"/>
  <c r="B2491"/>
  <c r="B2492"/>
  <c r="B2493"/>
  <c r="B2494"/>
  <c r="B2495"/>
  <c r="B2496"/>
  <c r="B2497"/>
  <c r="B2498"/>
  <c r="B2499"/>
  <c r="B2500"/>
  <c r="B2501"/>
  <c r="B2502"/>
  <c r="B2503"/>
  <c r="B2504"/>
  <c r="B2505"/>
  <c r="B2506"/>
  <c r="B2507"/>
  <c r="B2508"/>
  <c r="B2509"/>
  <c r="B2510"/>
  <c r="B2511"/>
  <c r="B2512"/>
  <c r="B2513"/>
  <c r="B2514"/>
  <c r="B2515"/>
  <c r="B2516"/>
  <c r="B2517"/>
  <c r="B2518"/>
  <c r="B2519"/>
  <c r="B2520"/>
  <c r="B2521"/>
  <c r="B2522"/>
  <c r="B2523"/>
  <c r="B2524"/>
  <c r="B2525"/>
  <c r="B2526"/>
  <c r="B2527"/>
  <c r="B2528"/>
  <c r="B2529"/>
  <c r="B2530"/>
  <c r="B2531"/>
  <c r="B2532"/>
  <c r="B2533"/>
  <c r="B2534"/>
  <c r="B2535"/>
  <c r="B2536"/>
  <c r="B2537"/>
  <c r="B2538"/>
  <c r="B2539"/>
  <c r="B2540"/>
  <c r="B2541"/>
  <c r="B2542"/>
  <c r="B2543"/>
  <c r="B2544"/>
  <c r="B2545"/>
  <c r="B2546"/>
  <c r="B2547"/>
  <c r="B2548"/>
  <c r="B2549"/>
  <c r="B2550"/>
  <c r="B2551"/>
  <c r="B2552"/>
  <c r="B2553"/>
  <c r="B2554"/>
  <c r="B2555"/>
  <c r="B2556"/>
  <c r="B2557"/>
  <c r="B2558"/>
  <c r="B2559"/>
  <c r="B2560"/>
  <c r="B2561"/>
  <c r="B2562"/>
  <c r="B2563"/>
  <c r="B2564"/>
  <c r="B2565"/>
  <c r="B2566"/>
  <c r="B2567"/>
  <c r="B2568"/>
  <c r="B2569"/>
  <c r="B2570"/>
  <c r="B2571"/>
  <c r="B2572"/>
  <c r="B2573"/>
  <c r="B2574"/>
  <c r="B2575"/>
  <c r="B2576"/>
  <c r="B2577"/>
  <c r="B2578"/>
  <c r="B2579"/>
  <c r="B2580"/>
  <c r="B2581"/>
  <c r="B2582"/>
  <c r="B2583"/>
  <c r="B2584"/>
  <c r="B2585"/>
  <c r="B2586"/>
  <c r="B2587"/>
  <c r="B2588"/>
  <c r="B2589"/>
  <c r="B2590"/>
  <c r="B2591"/>
  <c r="B2592"/>
  <c r="B2593"/>
  <c r="B2594"/>
  <c r="B2595"/>
  <c r="B2596"/>
  <c r="B2597"/>
  <c r="B2598"/>
  <c r="B2599"/>
  <c r="B2600"/>
  <c r="B2601"/>
  <c r="B2602"/>
  <c r="B2603"/>
  <c r="B2604"/>
  <c r="B2605"/>
  <c r="B2606"/>
  <c r="B2607"/>
  <c r="B2608"/>
  <c r="B2609"/>
  <c r="B2610"/>
  <c r="B2611"/>
  <c r="B2612"/>
  <c r="B2613"/>
  <c r="B2614"/>
  <c r="B2615"/>
  <c r="B2616"/>
  <c r="B2617"/>
  <c r="B2618"/>
  <c r="B2619"/>
  <c r="B2620"/>
  <c r="B2621"/>
  <c r="B2622"/>
  <c r="B2623"/>
  <c r="B2624"/>
  <c r="B2625"/>
  <c r="B2626"/>
  <c r="B2627"/>
  <c r="B2628"/>
  <c r="B2629"/>
  <c r="B2630"/>
  <c r="B2631"/>
  <c r="B2632"/>
  <c r="B2633"/>
  <c r="B2634"/>
  <c r="B2635"/>
  <c r="B2636"/>
  <c r="B2637"/>
  <c r="B2638"/>
  <c r="B2639"/>
  <c r="B2640"/>
  <c r="B2641"/>
  <c r="B2642"/>
  <c r="B2643"/>
  <c r="B2644"/>
  <c r="B2645"/>
  <c r="B2646"/>
  <c r="B2647"/>
  <c r="B2648"/>
  <c r="B2649"/>
  <c r="B2650"/>
  <c r="B2651"/>
  <c r="B2652"/>
  <c r="B2653"/>
  <c r="B2654"/>
  <c r="B2655"/>
  <c r="B2656"/>
  <c r="B2657"/>
  <c r="B2658"/>
  <c r="B2659"/>
  <c r="B2660"/>
  <c r="B2661"/>
  <c r="B2662"/>
  <c r="B2663"/>
  <c r="B2664"/>
  <c r="B2665"/>
  <c r="B2666"/>
  <c r="B2667"/>
  <c r="B2668"/>
  <c r="B2669"/>
  <c r="B2670"/>
  <c r="B2671"/>
  <c r="B2672"/>
  <c r="B2673"/>
  <c r="B2674"/>
  <c r="B2675"/>
  <c r="B2676"/>
  <c r="B2677"/>
  <c r="B2678"/>
  <c r="B2679"/>
  <c r="B2680"/>
  <c r="B2681"/>
  <c r="B2682"/>
  <c r="B2683"/>
  <c r="B2684"/>
  <c r="B2685"/>
  <c r="B2686"/>
  <c r="B2687"/>
  <c r="B2688"/>
  <c r="B2689"/>
  <c r="B2690"/>
  <c r="B2691"/>
  <c r="B2692"/>
  <c r="B2693"/>
  <c r="B2694"/>
  <c r="B2695"/>
  <c r="B2696"/>
  <c r="B2697"/>
  <c r="B2698"/>
  <c r="B2699"/>
  <c r="B2700"/>
  <c r="B2701"/>
  <c r="B2702"/>
  <c r="B2703"/>
  <c r="B2704"/>
  <c r="B2705"/>
  <c r="B2706"/>
  <c r="B2707"/>
  <c r="B2708"/>
  <c r="B2709"/>
  <c r="B2710"/>
  <c r="B2711"/>
  <c r="B2712"/>
  <c r="B2713"/>
  <c r="B2714"/>
  <c r="B2715"/>
  <c r="B2716"/>
  <c r="B2717"/>
  <c r="B2718"/>
  <c r="B2719"/>
  <c r="B2720"/>
  <c r="B2721"/>
  <c r="B2722"/>
  <c r="B2723"/>
  <c r="B2724"/>
  <c r="B2725"/>
  <c r="B2726"/>
  <c r="B2727"/>
  <c r="B2728"/>
  <c r="B2729"/>
  <c r="B2730"/>
  <c r="B2731"/>
  <c r="B2732"/>
  <c r="B2733"/>
  <c r="B2734"/>
  <c r="B2735"/>
  <c r="B2736"/>
  <c r="B2737"/>
  <c r="B2738"/>
  <c r="B2739"/>
  <c r="B2740"/>
  <c r="B2741"/>
  <c r="B2742"/>
  <c r="B2743"/>
  <c r="B2744"/>
  <c r="B2745"/>
  <c r="B2746"/>
  <c r="B2747"/>
  <c r="B2748"/>
  <c r="B2749"/>
  <c r="B2750"/>
  <c r="B2751"/>
  <c r="B2752"/>
  <c r="B2753"/>
  <c r="B2754"/>
  <c r="B2755"/>
  <c r="B2756"/>
  <c r="B2757"/>
  <c r="B2758"/>
  <c r="B2759"/>
  <c r="B2760"/>
  <c r="B2761"/>
  <c r="B2762"/>
  <c r="B2763"/>
  <c r="B2764"/>
  <c r="B2765"/>
  <c r="B2766"/>
  <c r="B2767"/>
  <c r="B2768"/>
  <c r="B2769"/>
  <c r="B2770"/>
  <c r="B2771"/>
  <c r="B2772"/>
  <c r="B2773"/>
  <c r="B2774"/>
  <c r="B2775"/>
  <c r="B2776"/>
  <c r="B2777"/>
  <c r="B2778"/>
  <c r="B2779"/>
  <c r="B2780"/>
  <c r="B2781"/>
  <c r="B2782"/>
  <c r="B2783"/>
  <c r="B2784"/>
  <c r="B2785"/>
  <c r="B2786"/>
  <c r="B2787"/>
  <c r="B2788"/>
  <c r="B2789"/>
  <c r="B2790"/>
  <c r="B2791"/>
  <c r="B2792"/>
  <c r="B2793"/>
  <c r="B2794"/>
  <c r="B2795"/>
  <c r="B2796"/>
  <c r="B2797"/>
  <c r="B2798"/>
  <c r="B2799"/>
  <c r="B2800"/>
  <c r="B2801"/>
  <c r="B2802"/>
  <c r="B2803"/>
  <c r="B2804"/>
  <c r="B2805"/>
  <c r="B2806"/>
  <c r="B2807"/>
  <c r="B2808"/>
  <c r="B2809"/>
  <c r="B2810"/>
  <c r="B2811"/>
  <c r="B2812"/>
  <c r="B2813"/>
  <c r="B2814"/>
  <c r="B2815"/>
  <c r="B2816"/>
  <c r="B2817"/>
  <c r="B2818"/>
  <c r="B2819"/>
  <c r="B2820"/>
  <c r="B2821"/>
  <c r="B2822"/>
  <c r="B2823"/>
  <c r="B2824"/>
  <c r="B2825"/>
  <c r="B2826"/>
  <c r="B2827"/>
  <c r="B2828"/>
  <c r="B2829"/>
  <c r="B2830"/>
  <c r="B2831"/>
  <c r="B2832"/>
  <c r="B2833"/>
  <c r="B2834"/>
  <c r="B2835"/>
  <c r="B2836"/>
  <c r="B2837"/>
  <c r="B2838"/>
  <c r="B2839"/>
  <c r="B2840"/>
  <c r="B2841"/>
  <c r="B2842"/>
  <c r="B2843"/>
  <c r="B2844"/>
  <c r="B2845"/>
  <c r="B2846"/>
  <c r="B2847"/>
  <c r="B2848"/>
  <c r="B2849"/>
  <c r="B2850"/>
  <c r="B2851"/>
  <c r="B2852"/>
  <c r="B2853"/>
  <c r="B2854"/>
  <c r="B2855"/>
  <c r="B2856"/>
  <c r="B2857"/>
  <c r="B2858"/>
  <c r="B2859"/>
  <c r="B2860"/>
  <c r="B2861"/>
  <c r="B2862"/>
  <c r="B2863"/>
  <c r="B2864"/>
  <c r="B2865"/>
  <c r="B2866"/>
  <c r="B2867"/>
  <c r="B2868"/>
  <c r="B2869"/>
  <c r="B2870"/>
  <c r="B2871"/>
  <c r="B2872"/>
  <c r="B2873"/>
  <c r="B2874"/>
  <c r="B2875"/>
  <c r="B2876"/>
  <c r="B2877"/>
  <c r="B2878"/>
  <c r="B2879"/>
  <c r="B2880"/>
  <c r="B2881"/>
  <c r="B2882"/>
  <c r="B2883"/>
  <c r="B2884"/>
  <c r="B2885"/>
  <c r="B2886"/>
  <c r="B2887"/>
  <c r="B2888"/>
  <c r="B2889"/>
  <c r="B2890"/>
  <c r="B2891"/>
  <c r="B2892"/>
  <c r="B2893"/>
  <c r="B2894"/>
  <c r="B2895"/>
  <c r="B2896"/>
  <c r="B2897"/>
  <c r="B2898"/>
  <c r="B2899"/>
  <c r="B2900"/>
  <c r="B2901"/>
  <c r="B2902"/>
  <c r="B2903"/>
  <c r="B2904"/>
  <c r="B2905"/>
  <c r="B2906"/>
  <c r="B2907"/>
  <c r="B2908"/>
  <c r="B2909"/>
  <c r="B2910"/>
  <c r="B2911"/>
  <c r="B2912"/>
  <c r="B2913"/>
  <c r="B2914"/>
  <c r="B2915"/>
  <c r="B2916"/>
  <c r="B2917"/>
  <c r="B2918"/>
  <c r="B2919"/>
  <c r="B2920"/>
  <c r="B2921"/>
  <c r="B2922"/>
  <c r="B2923"/>
  <c r="B2924"/>
  <c r="B2925"/>
  <c r="B2926"/>
  <c r="B2927"/>
  <c r="B2928"/>
  <c r="B2929"/>
  <c r="B2930"/>
  <c r="B2931"/>
  <c r="B2932"/>
  <c r="B2933"/>
  <c r="B2934"/>
  <c r="B2935"/>
  <c r="B2936"/>
  <c r="B2937"/>
  <c r="B2938"/>
  <c r="B2939"/>
  <c r="B2940"/>
  <c r="B2941"/>
  <c r="B2942"/>
  <c r="B2943"/>
  <c r="B2944"/>
  <c r="B2945"/>
  <c r="B2946"/>
  <c r="B2947"/>
  <c r="B2948"/>
  <c r="B2949"/>
  <c r="B2950"/>
  <c r="B2951"/>
  <c r="B2952"/>
  <c r="B2953"/>
  <c r="B2954"/>
  <c r="B2955"/>
  <c r="B2956"/>
  <c r="B2957"/>
  <c r="B2958"/>
  <c r="B2959"/>
  <c r="B2960"/>
  <c r="B2961"/>
  <c r="B2962"/>
  <c r="B2963"/>
  <c r="B2964"/>
  <c r="B2965"/>
  <c r="B2966"/>
  <c r="B2967"/>
  <c r="B2968"/>
  <c r="B2969"/>
  <c r="B2970"/>
  <c r="B2971"/>
  <c r="B2972"/>
  <c r="B2973"/>
  <c r="B2974"/>
  <c r="B2975"/>
  <c r="B2976"/>
  <c r="B2977"/>
  <c r="B2978"/>
  <c r="B2979"/>
  <c r="B2980"/>
  <c r="B2981"/>
  <c r="B2982"/>
  <c r="B2983"/>
  <c r="B2984"/>
  <c r="B2985"/>
  <c r="B2986"/>
  <c r="B2987"/>
  <c r="B2988"/>
  <c r="B2989"/>
  <c r="B2990"/>
  <c r="B2991"/>
  <c r="B2992"/>
  <c r="B2993"/>
  <c r="B2994"/>
  <c r="B2995"/>
  <c r="B2996"/>
  <c r="B2997"/>
  <c r="B2998"/>
  <c r="B2999"/>
  <c r="B3000"/>
  <c r="B3001"/>
  <c r="B3002"/>
  <c r="B3003"/>
  <c r="B3004"/>
  <c r="B3005"/>
  <c r="B3006"/>
  <c r="B3007"/>
  <c r="B3008"/>
  <c r="B3009"/>
  <c r="B3010"/>
  <c r="B3011"/>
  <c r="B3012"/>
  <c r="B3013"/>
  <c r="B3014"/>
  <c r="B3015"/>
  <c r="B3016"/>
  <c r="B3017"/>
  <c r="B3018"/>
  <c r="B3019"/>
  <c r="B3020"/>
  <c r="B3021"/>
  <c r="B3022"/>
  <c r="B3023"/>
  <c r="B3024"/>
  <c r="B3025"/>
  <c r="B3026"/>
  <c r="B3027"/>
  <c r="B3028"/>
  <c r="B3029"/>
  <c r="B3030"/>
  <c r="B3031"/>
  <c r="B3032"/>
  <c r="B3033"/>
  <c r="B3034"/>
  <c r="B3035"/>
  <c r="B3036"/>
  <c r="B3037"/>
  <c r="B3038"/>
  <c r="B3039"/>
  <c r="B3040"/>
  <c r="B3041"/>
  <c r="B3042"/>
  <c r="B3043"/>
  <c r="B3044"/>
  <c r="B3045"/>
  <c r="B3046"/>
  <c r="B3047"/>
  <c r="B3048"/>
  <c r="B3049"/>
  <c r="B3050"/>
  <c r="B3051"/>
  <c r="B3052"/>
  <c r="B3053"/>
  <c r="B3054"/>
  <c r="B3055"/>
  <c r="B3056"/>
  <c r="B3057"/>
  <c r="B3058"/>
  <c r="B3059"/>
  <c r="B3060"/>
  <c r="B3061"/>
  <c r="B3062"/>
  <c r="B3063"/>
  <c r="B3064"/>
  <c r="B3065"/>
  <c r="B3066"/>
  <c r="B3067"/>
  <c r="B3068"/>
  <c r="B3069"/>
  <c r="B3070"/>
  <c r="B3071"/>
  <c r="B3072"/>
  <c r="B3073"/>
  <c r="B3074"/>
  <c r="B3075"/>
  <c r="B3076"/>
  <c r="B3077"/>
  <c r="B3078"/>
  <c r="B3079"/>
  <c r="B3080"/>
  <c r="B3081"/>
  <c r="B3082"/>
  <c r="B3083"/>
  <c r="B3084"/>
  <c r="B3085"/>
  <c r="B3086"/>
  <c r="B3087"/>
  <c r="B3088"/>
  <c r="B3089"/>
  <c r="B3090"/>
  <c r="B3091"/>
  <c r="B3092"/>
  <c r="B3093"/>
  <c r="B3094"/>
  <c r="B3095"/>
  <c r="B3096"/>
  <c r="B3097"/>
  <c r="B3098"/>
  <c r="B3099"/>
  <c r="B3100"/>
  <c r="B3101"/>
  <c r="B3102"/>
  <c r="B3103"/>
  <c r="B3104"/>
  <c r="B3105"/>
  <c r="B3106"/>
  <c r="B3107"/>
  <c r="B3108"/>
  <c r="B3109"/>
  <c r="B3110"/>
  <c r="B3111"/>
  <c r="B3112"/>
  <c r="B3113"/>
  <c r="B3114"/>
  <c r="B3115"/>
  <c r="B3116"/>
  <c r="B3117"/>
  <c r="B3118"/>
  <c r="B3119"/>
  <c r="B3120"/>
  <c r="B3121"/>
  <c r="B3122"/>
  <c r="B3123"/>
  <c r="B3124"/>
  <c r="B3125"/>
  <c r="B3126"/>
  <c r="B3127"/>
  <c r="B3128"/>
  <c r="B3129"/>
  <c r="B3130"/>
  <c r="B3131"/>
  <c r="B3132"/>
  <c r="B3133"/>
  <c r="B3134"/>
  <c r="B3135"/>
  <c r="B3136"/>
  <c r="B3137"/>
  <c r="B3138"/>
  <c r="B3139"/>
  <c r="B3140"/>
  <c r="B3141"/>
  <c r="B3142"/>
  <c r="B3143"/>
  <c r="B3144"/>
  <c r="B3145"/>
  <c r="B3146"/>
  <c r="B3147"/>
  <c r="B3148"/>
  <c r="B3149"/>
  <c r="B3150"/>
  <c r="B3151"/>
  <c r="B3152"/>
  <c r="B3153"/>
  <c r="B3154"/>
  <c r="B3155"/>
  <c r="B3156"/>
  <c r="B3157"/>
  <c r="B3158"/>
  <c r="B3159"/>
  <c r="B3160"/>
  <c r="B3161"/>
  <c r="B3162"/>
  <c r="B3163"/>
  <c r="B3164"/>
  <c r="B3165"/>
  <c r="B3166"/>
  <c r="B3167"/>
  <c r="B3168"/>
  <c r="B3169"/>
  <c r="B3170"/>
  <c r="B3171"/>
  <c r="B3172"/>
  <c r="B3173"/>
  <c r="B3174"/>
  <c r="B3175"/>
  <c r="B3176"/>
  <c r="B3177"/>
  <c r="B3178"/>
  <c r="B3179"/>
  <c r="B3180"/>
  <c r="B3181"/>
  <c r="B3182"/>
  <c r="B3183"/>
  <c r="B3184"/>
  <c r="B3185"/>
  <c r="B3186"/>
  <c r="B3187"/>
  <c r="B3188"/>
  <c r="B3189"/>
  <c r="B3190"/>
  <c r="B3191"/>
  <c r="B3192"/>
  <c r="B3193"/>
  <c r="B3194"/>
  <c r="B3195"/>
  <c r="B3196"/>
  <c r="B3197"/>
  <c r="B3198"/>
  <c r="B3199"/>
  <c r="B3200"/>
  <c r="B3201"/>
  <c r="B3202"/>
  <c r="B3203"/>
  <c r="B3204"/>
  <c r="B3205"/>
  <c r="B3206"/>
  <c r="B3207"/>
  <c r="B3208"/>
  <c r="B3209"/>
  <c r="B3210"/>
  <c r="B3211"/>
  <c r="B3212"/>
  <c r="B3213"/>
  <c r="B3214"/>
  <c r="B3215"/>
  <c r="B3216"/>
  <c r="B3217"/>
  <c r="B3218"/>
  <c r="B3219"/>
  <c r="B3220"/>
  <c r="B3221"/>
  <c r="B3222"/>
  <c r="B3223"/>
  <c r="B3224"/>
  <c r="B3225"/>
  <c r="B3226"/>
  <c r="B3227"/>
  <c r="B3228"/>
  <c r="B3229"/>
  <c r="B3230"/>
  <c r="B3231"/>
  <c r="B3232"/>
  <c r="B3233"/>
  <c r="B3234"/>
  <c r="B3235"/>
  <c r="B3236"/>
  <c r="B3237"/>
  <c r="B3238"/>
  <c r="B3239"/>
  <c r="B3240"/>
  <c r="B3241"/>
  <c r="B3242"/>
  <c r="B3243"/>
  <c r="B3244"/>
  <c r="B3245"/>
  <c r="B3246"/>
  <c r="B3247"/>
  <c r="B3248"/>
  <c r="B3249"/>
  <c r="B3250"/>
  <c r="B3251"/>
  <c r="B3252"/>
  <c r="B3253"/>
  <c r="B3254"/>
  <c r="B3255"/>
  <c r="B3256"/>
  <c r="B3257"/>
  <c r="B3258"/>
  <c r="B3259"/>
  <c r="B3260"/>
  <c r="B3261"/>
  <c r="B3262"/>
  <c r="B3263"/>
  <c r="B3264"/>
  <c r="B3265"/>
  <c r="B3266"/>
  <c r="B3267"/>
  <c r="B3268"/>
  <c r="B3269"/>
  <c r="B3270"/>
  <c r="B3271"/>
  <c r="B3272"/>
  <c r="B3273"/>
  <c r="B3274"/>
  <c r="B3275"/>
  <c r="B3276"/>
  <c r="B3277"/>
  <c r="B3278"/>
  <c r="B3279"/>
  <c r="B3280"/>
  <c r="B3281"/>
  <c r="B3282"/>
  <c r="B3283"/>
  <c r="B3284"/>
  <c r="B3285"/>
  <c r="B3286"/>
  <c r="B3287"/>
  <c r="B3288"/>
  <c r="B3289"/>
  <c r="B3290"/>
  <c r="B3291"/>
  <c r="B3292"/>
  <c r="B3293"/>
  <c r="B3294"/>
  <c r="B3295"/>
  <c r="B3296"/>
  <c r="B3297"/>
  <c r="B3298"/>
  <c r="B3299"/>
  <c r="B3300"/>
  <c r="B3301"/>
  <c r="B3302"/>
  <c r="B3303"/>
  <c r="B3304"/>
  <c r="B3305"/>
  <c r="B3306"/>
  <c r="B3307"/>
  <c r="B3308"/>
  <c r="B3309"/>
  <c r="B3310"/>
  <c r="B3311"/>
  <c r="B3312"/>
  <c r="B3313"/>
  <c r="B3314"/>
  <c r="B3315"/>
  <c r="B3316"/>
  <c r="B3317"/>
  <c r="B3318"/>
  <c r="B3319"/>
  <c r="B3320"/>
  <c r="B3321"/>
  <c r="B3322"/>
  <c r="B3323"/>
  <c r="B3324"/>
  <c r="B3325"/>
  <c r="B3326"/>
  <c r="B3327"/>
  <c r="B3328"/>
  <c r="B3329"/>
  <c r="B3330"/>
  <c r="B3331"/>
  <c r="B3332"/>
  <c r="B3333"/>
  <c r="B3334"/>
  <c r="B3335"/>
  <c r="B3336"/>
  <c r="B3337"/>
  <c r="B3338"/>
  <c r="B3339"/>
  <c r="B3340"/>
  <c r="B3341"/>
  <c r="B3342"/>
  <c r="B3343"/>
  <c r="B3344"/>
  <c r="B3345"/>
  <c r="B3346"/>
  <c r="B3347"/>
  <c r="B3348"/>
  <c r="B3349"/>
  <c r="B3350"/>
  <c r="B3351"/>
  <c r="B3352"/>
  <c r="B3353"/>
  <c r="B3354"/>
  <c r="B3355"/>
  <c r="B3356"/>
  <c r="B3357"/>
  <c r="B3358"/>
  <c r="B3359"/>
  <c r="B3360"/>
  <c r="B3361"/>
  <c r="B3362"/>
  <c r="B3363"/>
  <c r="B3364"/>
  <c r="B3365"/>
  <c r="B3366"/>
  <c r="B3367"/>
  <c r="B3368"/>
  <c r="B3369"/>
  <c r="B3370"/>
  <c r="B3371"/>
  <c r="B3372"/>
  <c r="B3373"/>
  <c r="B3374"/>
  <c r="B3375"/>
  <c r="B3376"/>
  <c r="B3377"/>
  <c r="B3378"/>
  <c r="B3379"/>
  <c r="B3380"/>
  <c r="B3381"/>
  <c r="B3382"/>
  <c r="B3383"/>
  <c r="B3384"/>
  <c r="B3385"/>
  <c r="B3386"/>
  <c r="B3387"/>
  <c r="B3388"/>
  <c r="B3389"/>
  <c r="B3390"/>
  <c r="B3391"/>
  <c r="B3392"/>
  <c r="B3393"/>
  <c r="B3394"/>
  <c r="B3395"/>
  <c r="B3396"/>
  <c r="B3397"/>
  <c r="B3398"/>
  <c r="B3399"/>
  <c r="B3400"/>
  <c r="B3401"/>
  <c r="B3402"/>
  <c r="B3403"/>
  <c r="B3404"/>
  <c r="B3405"/>
  <c r="B3406"/>
  <c r="B3407"/>
  <c r="B3408"/>
  <c r="B3409"/>
  <c r="B3410"/>
  <c r="B3411"/>
  <c r="B3412"/>
  <c r="B3413"/>
  <c r="B3414"/>
  <c r="B3415"/>
  <c r="B3416"/>
  <c r="B3417"/>
  <c r="B3418"/>
  <c r="B3419"/>
  <c r="B3420"/>
  <c r="B3421"/>
  <c r="B3422"/>
  <c r="B3423"/>
  <c r="B3424"/>
  <c r="B3425"/>
  <c r="B3426"/>
  <c r="B3427"/>
  <c r="B3428"/>
  <c r="B3429"/>
  <c r="B3430"/>
  <c r="B3431"/>
  <c r="B3432"/>
  <c r="B3433"/>
  <c r="B3434"/>
  <c r="B3435"/>
  <c r="B3436"/>
  <c r="B3437"/>
  <c r="B3438"/>
  <c r="B3439"/>
  <c r="B3440"/>
  <c r="B3441"/>
  <c r="B3442"/>
  <c r="B3443"/>
  <c r="B3444"/>
  <c r="B3445"/>
  <c r="B3446"/>
  <c r="B3447"/>
  <c r="B3448"/>
  <c r="B3449"/>
  <c r="B3450"/>
  <c r="B3451"/>
  <c r="B3452"/>
  <c r="B3453"/>
  <c r="B3454"/>
  <c r="B3455"/>
  <c r="B3456"/>
  <c r="B3457"/>
  <c r="B3458"/>
  <c r="B3459"/>
  <c r="B3460"/>
  <c r="B3461"/>
  <c r="B3462"/>
  <c r="B3463"/>
  <c r="B3464"/>
  <c r="B3465"/>
  <c r="B3466"/>
  <c r="B3467"/>
  <c r="B3468"/>
  <c r="B3469"/>
  <c r="B3470"/>
  <c r="B3471"/>
  <c r="B3472"/>
  <c r="B3473"/>
  <c r="B3474"/>
  <c r="B3475"/>
  <c r="B3476"/>
  <c r="B3477"/>
  <c r="B3478"/>
  <c r="B3479"/>
  <c r="B3480"/>
  <c r="B3481"/>
  <c r="B3482"/>
  <c r="B3483"/>
  <c r="B3484"/>
  <c r="B3485"/>
  <c r="B3486"/>
  <c r="B3487"/>
  <c r="B3488"/>
  <c r="B3489"/>
  <c r="B3490"/>
  <c r="B3491"/>
  <c r="B3492"/>
  <c r="B3493"/>
  <c r="B3494"/>
  <c r="B3495"/>
  <c r="B3496"/>
  <c r="B3497"/>
  <c r="B3498"/>
  <c r="B3499"/>
  <c r="B3500"/>
  <c r="B3501"/>
  <c r="B3502"/>
  <c r="B3503"/>
  <c r="B3504"/>
  <c r="B3505"/>
  <c r="B3506"/>
  <c r="B3507"/>
  <c r="B3508"/>
  <c r="B3509"/>
  <c r="B3510"/>
  <c r="B3511"/>
  <c r="B3512"/>
  <c r="B3513"/>
  <c r="B3514"/>
  <c r="B3515"/>
  <c r="B3516"/>
  <c r="B3517"/>
  <c r="B3518"/>
  <c r="B3519"/>
  <c r="B3520"/>
  <c r="B3521"/>
  <c r="B3522"/>
  <c r="B3523"/>
  <c r="B3524"/>
  <c r="B3525"/>
  <c r="B3526"/>
  <c r="B3527"/>
  <c r="B3528"/>
  <c r="B3529"/>
  <c r="B3530"/>
  <c r="B3531"/>
  <c r="B3532"/>
  <c r="B3533"/>
  <c r="B3534"/>
  <c r="B3535"/>
  <c r="B3536"/>
  <c r="B3537"/>
  <c r="B3538"/>
  <c r="B3539"/>
  <c r="B3540"/>
  <c r="B3541"/>
  <c r="B3542"/>
  <c r="B3543"/>
  <c r="B3544"/>
  <c r="B3545"/>
  <c r="B3546"/>
  <c r="B3547"/>
  <c r="B3548"/>
  <c r="B3549"/>
  <c r="B3550"/>
  <c r="B3551"/>
  <c r="B3552"/>
  <c r="B3553"/>
  <c r="B3554"/>
  <c r="B3555"/>
  <c r="B3556"/>
  <c r="B3557"/>
  <c r="B3558"/>
  <c r="B3559"/>
  <c r="B3560"/>
  <c r="B3561"/>
  <c r="B3562"/>
  <c r="B3563"/>
  <c r="B3564"/>
  <c r="B3565"/>
  <c r="B3566"/>
  <c r="B3567"/>
  <c r="B3568"/>
  <c r="B3569"/>
  <c r="B3570"/>
  <c r="B3571"/>
  <c r="B3572"/>
  <c r="B3573"/>
  <c r="B3574"/>
  <c r="B3575"/>
  <c r="B3576"/>
  <c r="B3577"/>
  <c r="B3578"/>
  <c r="B3579"/>
  <c r="B3580"/>
  <c r="B3581"/>
  <c r="B3582"/>
  <c r="B3583"/>
  <c r="B3584"/>
  <c r="B3585"/>
  <c r="B3586"/>
  <c r="B3587"/>
  <c r="B3588"/>
  <c r="B3589"/>
  <c r="B3590"/>
  <c r="B3591"/>
  <c r="B3592"/>
  <c r="B3593"/>
  <c r="B3594"/>
  <c r="B3595"/>
  <c r="B3596"/>
  <c r="B3597"/>
  <c r="B3598"/>
  <c r="B3599"/>
  <c r="B3600"/>
  <c r="B3601"/>
  <c r="B3602"/>
  <c r="B3603"/>
  <c r="B3604"/>
  <c r="B3605"/>
  <c r="B3606"/>
  <c r="B3607"/>
  <c r="B3608"/>
  <c r="B3609"/>
  <c r="B3610"/>
  <c r="B3611"/>
  <c r="B3612"/>
  <c r="B3613"/>
  <c r="B3614"/>
  <c r="B3615"/>
  <c r="B3616"/>
  <c r="B3617"/>
  <c r="B3618"/>
  <c r="B3619"/>
  <c r="B3620"/>
  <c r="B3621"/>
  <c r="B3622"/>
  <c r="B3623"/>
  <c r="B3624"/>
  <c r="B3625"/>
  <c r="B3626"/>
  <c r="B3627"/>
  <c r="B3628"/>
  <c r="B3629"/>
  <c r="B3630"/>
  <c r="B3631"/>
  <c r="B3632"/>
  <c r="B3633"/>
  <c r="B3634"/>
  <c r="B3635"/>
  <c r="B3636"/>
  <c r="B3637"/>
  <c r="B3638"/>
  <c r="B3639"/>
  <c r="B3640"/>
  <c r="B3641"/>
  <c r="B3642"/>
  <c r="B3643"/>
  <c r="B3644"/>
  <c r="B3645"/>
  <c r="B3646"/>
  <c r="B3647"/>
  <c r="B3648"/>
  <c r="B3649"/>
  <c r="B3650"/>
  <c r="B3651"/>
  <c r="B3652"/>
  <c r="B3653"/>
  <c r="B3654"/>
  <c r="B3655"/>
  <c r="B3656"/>
  <c r="B3657"/>
  <c r="B3658"/>
  <c r="B3659"/>
  <c r="B3660"/>
  <c r="B3661"/>
  <c r="B3662"/>
  <c r="B3663"/>
  <c r="B3664"/>
  <c r="B3665"/>
  <c r="B3666"/>
  <c r="B3667"/>
  <c r="B3668"/>
  <c r="B3669"/>
  <c r="B3670"/>
  <c r="B3671"/>
  <c r="B3672"/>
  <c r="B3673"/>
  <c r="B3674"/>
  <c r="B3675"/>
  <c r="B3676"/>
  <c r="B3677"/>
  <c r="B3678"/>
  <c r="B3679"/>
  <c r="B3680"/>
  <c r="B3681"/>
  <c r="B3682"/>
  <c r="B3683"/>
  <c r="B3684"/>
  <c r="B3685"/>
  <c r="B3686"/>
  <c r="B3687"/>
  <c r="B3688"/>
  <c r="B3689"/>
  <c r="B3690"/>
  <c r="B3691"/>
  <c r="B3692"/>
  <c r="B3693"/>
  <c r="B3694"/>
  <c r="B3695"/>
  <c r="B3696"/>
  <c r="B3697"/>
  <c r="B3698"/>
  <c r="B3699"/>
  <c r="B3700"/>
  <c r="B3701"/>
  <c r="B3702"/>
  <c r="B3703"/>
  <c r="B3704"/>
  <c r="B3705"/>
  <c r="B3706"/>
  <c r="B3707"/>
  <c r="B3708"/>
  <c r="B3709"/>
  <c r="B3710"/>
  <c r="B3711"/>
  <c r="B3712"/>
  <c r="B3713"/>
  <c r="B3714"/>
  <c r="B3715"/>
  <c r="B3716"/>
  <c r="B3717"/>
  <c r="B3718"/>
  <c r="B3719"/>
  <c r="B3720"/>
  <c r="B3721"/>
  <c r="B3722"/>
  <c r="B3723"/>
  <c r="B3724"/>
  <c r="B3725"/>
  <c r="B3726"/>
  <c r="B3727"/>
  <c r="B3728"/>
  <c r="B3729"/>
  <c r="B3730"/>
  <c r="B3731"/>
  <c r="B3732"/>
  <c r="B3733"/>
  <c r="B3734"/>
  <c r="B3735"/>
  <c r="B3736"/>
  <c r="B3737"/>
  <c r="B3738"/>
  <c r="B3739"/>
  <c r="B3740"/>
  <c r="B3741"/>
  <c r="B3742"/>
  <c r="B3743"/>
  <c r="B3744"/>
  <c r="B3745"/>
  <c r="B3746"/>
  <c r="B3747"/>
  <c r="B3748"/>
  <c r="B3749"/>
  <c r="B3750"/>
  <c r="B3751"/>
  <c r="B3752"/>
  <c r="B3753"/>
  <c r="B3754"/>
  <c r="B3755"/>
  <c r="B3756"/>
  <c r="B3757"/>
  <c r="B3758"/>
  <c r="B3759"/>
  <c r="B3760"/>
  <c r="B3761"/>
  <c r="B3762"/>
  <c r="B3763"/>
  <c r="B3764"/>
  <c r="B3765"/>
  <c r="B3766"/>
  <c r="B3767"/>
  <c r="B3768"/>
  <c r="B3769"/>
  <c r="B3770"/>
  <c r="B3771"/>
  <c r="B3772"/>
  <c r="B3773"/>
  <c r="B3774"/>
  <c r="B3775"/>
  <c r="B3776"/>
  <c r="B3777"/>
  <c r="B3778"/>
  <c r="B3779"/>
  <c r="B3780"/>
  <c r="B3781"/>
  <c r="B3782"/>
  <c r="B3783"/>
  <c r="B3784"/>
  <c r="B3785"/>
  <c r="B3786"/>
  <c r="B3787"/>
  <c r="B3788"/>
  <c r="B3789"/>
  <c r="B3790"/>
  <c r="B3791"/>
  <c r="B3792"/>
  <c r="B3793"/>
  <c r="B3794"/>
  <c r="B3795"/>
  <c r="B3796"/>
  <c r="B3797"/>
  <c r="B3798"/>
  <c r="B3799"/>
  <c r="B3800"/>
  <c r="B3801"/>
  <c r="B3802"/>
  <c r="B3803"/>
  <c r="B3804"/>
  <c r="B3805"/>
  <c r="B3806"/>
  <c r="B3807"/>
  <c r="B3808"/>
  <c r="B3809"/>
  <c r="B3810"/>
  <c r="B3811"/>
  <c r="B3812"/>
  <c r="B3813"/>
  <c r="B3814"/>
  <c r="B3815"/>
  <c r="B3816"/>
  <c r="B3817"/>
  <c r="B3818"/>
  <c r="B3819"/>
  <c r="B3820"/>
  <c r="B3821"/>
  <c r="B3822"/>
  <c r="B3823"/>
  <c r="B3824"/>
  <c r="B3825"/>
  <c r="B3826"/>
  <c r="B3827"/>
  <c r="B3828"/>
  <c r="B3829"/>
  <c r="B3830"/>
  <c r="B3831"/>
  <c r="B3832"/>
  <c r="B3833"/>
  <c r="B3834"/>
  <c r="B3835"/>
  <c r="B3836"/>
  <c r="B3837"/>
  <c r="B3838"/>
  <c r="B3839"/>
  <c r="B3840"/>
  <c r="B3841"/>
  <c r="B3842"/>
  <c r="B3843"/>
  <c r="B3844"/>
  <c r="B3845"/>
  <c r="B3846"/>
  <c r="B3847"/>
  <c r="B3848"/>
  <c r="B3849"/>
  <c r="B3850"/>
  <c r="B3851"/>
  <c r="B3852"/>
  <c r="B3853"/>
  <c r="B3854"/>
  <c r="B3855"/>
  <c r="B3856"/>
  <c r="B3857"/>
  <c r="B3858"/>
  <c r="B3859"/>
  <c r="B3860"/>
  <c r="B3861"/>
  <c r="B3862"/>
  <c r="B3863"/>
  <c r="B3864"/>
  <c r="B3865"/>
  <c r="B3866"/>
  <c r="B3867"/>
  <c r="B3868"/>
  <c r="B3869"/>
  <c r="B3870"/>
  <c r="B3871"/>
  <c r="B3872"/>
  <c r="B3873"/>
  <c r="B3874"/>
  <c r="B3875"/>
  <c r="B3876"/>
  <c r="B3877"/>
  <c r="B3878"/>
  <c r="B3879"/>
  <c r="B3880"/>
  <c r="B3881"/>
  <c r="B3882"/>
  <c r="B3883"/>
  <c r="B3884"/>
  <c r="B3885"/>
  <c r="B3886"/>
  <c r="B3887"/>
  <c r="B3888"/>
  <c r="B3889"/>
  <c r="B3890"/>
  <c r="B3891"/>
  <c r="B3892"/>
  <c r="B3893"/>
  <c r="B3894"/>
  <c r="B3895"/>
  <c r="B3896"/>
  <c r="B3897"/>
  <c r="B3898"/>
  <c r="B3899"/>
  <c r="B3900"/>
  <c r="B3901"/>
  <c r="B3902"/>
  <c r="B3903"/>
  <c r="B3904"/>
  <c r="B3905"/>
  <c r="B3906"/>
  <c r="B3907"/>
  <c r="B3908"/>
  <c r="B3909"/>
  <c r="B3910"/>
  <c r="B3911"/>
  <c r="B3912"/>
  <c r="B3913"/>
  <c r="B3914"/>
  <c r="B3915"/>
  <c r="B3916"/>
  <c r="B3917"/>
  <c r="B3918"/>
  <c r="B3919"/>
  <c r="B3920"/>
  <c r="B3921"/>
  <c r="B3922"/>
  <c r="B3923"/>
  <c r="B3924"/>
  <c r="B3925"/>
  <c r="B3926"/>
  <c r="B3927"/>
  <c r="B3928"/>
  <c r="B3929"/>
  <c r="B3930"/>
  <c r="B3931"/>
  <c r="B3932"/>
  <c r="B3933"/>
  <c r="B3934"/>
  <c r="B3935"/>
  <c r="B3936"/>
  <c r="B3937"/>
  <c r="B3938"/>
  <c r="B3939"/>
  <c r="B3940"/>
  <c r="B3941"/>
  <c r="B3942"/>
  <c r="B3943"/>
  <c r="B3944"/>
  <c r="B3945"/>
  <c r="B3946"/>
  <c r="B3947"/>
  <c r="B3948"/>
  <c r="B3949"/>
  <c r="B3950"/>
  <c r="B3951"/>
  <c r="B3952"/>
  <c r="B3953"/>
  <c r="B3954"/>
  <c r="B3955"/>
  <c r="B3956"/>
  <c r="B3957"/>
  <c r="B3958"/>
  <c r="B3959"/>
  <c r="B3960"/>
  <c r="B3961"/>
  <c r="B3962"/>
  <c r="B3963"/>
  <c r="B3964"/>
  <c r="B3965"/>
  <c r="B3966"/>
  <c r="B3967"/>
  <c r="B3968"/>
  <c r="B3969"/>
  <c r="B3970"/>
  <c r="B3971"/>
  <c r="B3972"/>
  <c r="B3973"/>
  <c r="B3974"/>
  <c r="B3975"/>
  <c r="B3976"/>
  <c r="B3977"/>
  <c r="B3978"/>
  <c r="B3979"/>
  <c r="B3980"/>
  <c r="B3981"/>
  <c r="B3982"/>
  <c r="B3983"/>
  <c r="B3984"/>
  <c r="B3985"/>
  <c r="B3986"/>
  <c r="B3987"/>
  <c r="B3988"/>
  <c r="B3989"/>
  <c r="B3990"/>
  <c r="B3991"/>
  <c r="B3992"/>
  <c r="B3993"/>
  <c r="B3994"/>
  <c r="B3995"/>
  <c r="B3996"/>
  <c r="B3997"/>
  <c r="B3998"/>
  <c r="B3999"/>
  <c r="B4000"/>
  <c r="B4001"/>
  <c r="B4002"/>
  <c r="B4003"/>
  <c r="B4004"/>
  <c r="B4005"/>
  <c r="B4006"/>
  <c r="B4007"/>
  <c r="B4008"/>
  <c r="B4009"/>
  <c r="B4010"/>
  <c r="B4011"/>
  <c r="B4012"/>
  <c r="B4013"/>
  <c r="B4014"/>
  <c r="B4015"/>
  <c r="B4016"/>
  <c r="B4017"/>
  <c r="B4018"/>
  <c r="B4019"/>
  <c r="B4020"/>
  <c r="B4021"/>
  <c r="B4022"/>
  <c r="B4023"/>
  <c r="B4024"/>
  <c r="B4025"/>
  <c r="B4026"/>
  <c r="B4027"/>
  <c r="B4028"/>
  <c r="B4029"/>
  <c r="B4030"/>
  <c r="B4031"/>
  <c r="B4032"/>
  <c r="B4033"/>
  <c r="B4034"/>
  <c r="B4035"/>
  <c r="B4036"/>
  <c r="B4037"/>
  <c r="B4038"/>
  <c r="B4039"/>
  <c r="B4040"/>
  <c r="B4041"/>
  <c r="B4042"/>
  <c r="B4043"/>
  <c r="B4044"/>
  <c r="B4045"/>
  <c r="B4046"/>
  <c r="B4047"/>
  <c r="B4048"/>
  <c r="B4049"/>
  <c r="B4050"/>
  <c r="B4051"/>
  <c r="B4052"/>
  <c r="B4053"/>
  <c r="B4054"/>
  <c r="B4055"/>
  <c r="B4056"/>
  <c r="B4057"/>
  <c r="B4058"/>
  <c r="B4059"/>
  <c r="B4060"/>
  <c r="B4061"/>
  <c r="B4062"/>
  <c r="B4063"/>
  <c r="B4064"/>
  <c r="B4065"/>
  <c r="B4066"/>
  <c r="B4067"/>
  <c r="B4068"/>
  <c r="B4069"/>
  <c r="B4070"/>
  <c r="B4071"/>
  <c r="B4072"/>
  <c r="B4073"/>
  <c r="B4074"/>
  <c r="B4075"/>
  <c r="B4076"/>
  <c r="B4077"/>
  <c r="B4078"/>
  <c r="B4079"/>
  <c r="B4080"/>
  <c r="B4081"/>
  <c r="B4082"/>
  <c r="B4083"/>
  <c r="B4084"/>
  <c r="B4085"/>
  <c r="B4086"/>
  <c r="B4087"/>
  <c r="B4088"/>
  <c r="B4089"/>
  <c r="B4090"/>
  <c r="B4091"/>
  <c r="B4092"/>
  <c r="B4093"/>
  <c r="B4094"/>
  <c r="B4095"/>
  <c r="B4096"/>
  <c r="B4097"/>
  <c r="B4098"/>
  <c r="B4099"/>
  <c r="B4100"/>
  <c r="B4101"/>
  <c r="B4102"/>
  <c r="B4103"/>
  <c r="B4104"/>
  <c r="B4105"/>
  <c r="B4106"/>
  <c r="B4107"/>
  <c r="B4108"/>
  <c r="B4109"/>
  <c r="B4110"/>
  <c r="B4111"/>
  <c r="B4112"/>
  <c r="B4113"/>
  <c r="B4114"/>
  <c r="B4115"/>
  <c r="B4116"/>
  <c r="B4117"/>
  <c r="B4118"/>
  <c r="B4119"/>
  <c r="B4120"/>
  <c r="B4121"/>
  <c r="B4122"/>
  <c r="B4123"/>
  <c r="B4124"/>
  <c r="B4125"/>
  <c r="B4126"/>
  <c r="B4127"/>
  <c r="B4128"/>
  <c r="B4129"/>
  <c r="B4130"/>
  <c r="B4131"/>
  <c r="B4132"/>
  <c r="B4133"/>
  <c r="B4134"/>
  <c r="B4135"/>
  <c r="B4136"/>
  <c r="B4137"/>
  <c r="B4138"/>
  <c r="B4139"/>
  <c r="B4140"/>
  <c r="B4141"/>
  <c r="B4142"/>
  <c r="B4143"/>
  <c r="B4144"/>
  <c r="B4145"/>
  <c r="B4146"/>
  <c r="B4147"/>
  <c r="B4148"/>
  <c r="B4149"/>
  <c r="B4150"/>
  <c r="B4151"/>
  <c r="B4152"/>
  <c r="B4153"/>
  <c r="B4154"/>
  <c r="B4155"/>
  <c r="B4156"/>
  <c r="B4157"/>
  <c r="B4158"/>
  <c r="B4159"/>
  <c r="B4160"/>
  <c r="B4161"/>
  <c r="B4162"/>
  <c r="B4163"/>
  <c r="B4164"/>
  <c r="B4165"/>
  <c r="B4166"/>
  <c r="B4167"/>
  <c r="B4168"/>
  <c r="B4169"/>
  <c r="B4170"/>
  <c r="B4171"/>
  <c r="B4172"/>
  <c r="B4173"/>
  <c r="B4174"/>
  <c r="B4175"/>
  <c r="B4176"/>
  <c r="B4177"/>
  <c r="B4178"/>
  <c r="B4179"/>
  <c r="B4180"/>
  <c r="B4181"/>
  <c r="B4182"/>
  <c r="B4183"/>
  <c r="B4184"/>
  <c r="B4185"/>
  <c r="B4186"/>
  <c r="B4187"/>
  <c r="B4188"/>
  <c r="B4189"/>
  <c r="B4190"/>
  <c r="B4191"/>
  <c r="B4192"/>
  <c r="B4193"/>
  <c r="B4194"/>
  <c r="B4195"/>
  <c r="B4196"/>
  <c r="B4197"/>
  <c r="B4198"/>
  <c r="B4199"/>
  <c r="B4200"/>
  <c r="B4201"/>
  <c r="B4202"/>
  <c r="B4203"/>
  <c r="B4204"/>
  <c r="B4205"/>
  <c r="B4206"/>
  <c r="B4207"/>
  <c r="B4208"/>
  <c r="B4209"/>
  <c r="B4210"/>
  <c r="B4211"/>
  <c r="B4212"/>
  <c r="B4213"/>
  <c r="B4214"/>
  <c r="B4215"/>
  <c r="B4216"/>
  <c r="B4217"/>
  <c r="B4218"/>
  <c r="B4219"/>
  <c r="B4220"/>
  <c r="B4221"/>
  <c r="B4222"/>
  <c r="B4223"/>
  <c r="B4224"/>
  <c r="B4225"/>
  <c r="B4226"/>
  <c r="B4227"/>
  <c r="B4228"/>
  <c r="B4229"/>
  <c r="B4230"/>
  <c r="B4231"/>
  <c r="B4232"/>
  <c r="B4233"/>
  <c r="B4234"/>
  <c r="B4235"/>
  <c r="B4236"/>
  <c r="B4237"/>
  <c r="B4238"/>
  <c r="B4239"/>
  <c r="B4240"/>
  <c r="B4241"/>
  <c r="B4242"/>
  <c r="B4243"/>
  <c r="B4244"/>
  <c r="B4245"/>
  <c r="B4246"/>
  <c r="B4247"/>
  <c r="B4248"/>
  <c r="B4249"/>
  <c r="B4250"/>
  <c r="B4251"/>
  <c r="B4252"/>
  <c r="B4253"/>
  <c r="B4254"/>
  <c r="B4255"/>
  <c r="B4256"/>
  <c r="B4257"/>
  <c r="B4258"/>
  <c r="B4259"/>
  <c r="B4260"/>
  <c r="B4261"/>
  <c r="B4262"/>
  <c r="B4263"/>
  <c r="B4264"/>
  <c r="B4265"/>
  <c r="B4266"/>
  <c r="B4267"/>
  <c r="B4268"/>
  <c r="B4269"/>
  <c r="B4270"/>
  <c r="B4271"/>
  <c r="B4272"/>
  <c r="B4273"/>
  <c r="B4274"/>
  <c r="B4275"/>
  <c r="B4276"/>
  <c r="B4277"/>
  <c r="B4278"/>
  <c r="B4279"/>
  <c r="B4280"/>
  <c r="B4281"/>
  <c r="B4282"/>
  <c r="B4283"/>
  <c r="B4284"/>
  <c r="B4285"/>
  <c r="B4286"/>
  <c r="B4287"/>
  <c r="B4288"/>
  <c r="B4289"/>
  <c r="B4290"/>
  <c r="B4291"/>
  <c r="B4292"/>
  <c r="B4293"/>
  <c r="B4294"/>
  <c r="B4295"/>
  <c r="B4296"/>
  <c r="B4297"/>
  <c r="B4298"/>
  <c r="B4299"/>
  <c r="B4300"/>
  <c r="B4301"/>
  <c r="B4302"/>
  <c r="B4303"/>
  <c r="B4304"/>
  <c r="B4305"/>
  <c r="B4306"/>
  <c r="B4307"/>
  <c r="B4308"/>
  <c r="B4309"/>
  <c r="B4310"/>
  <c r="B4311"/>
  <c r="B4312"/>
  <c r="B4313"/>
  <c r="B4314"/>
  <c r="B4315"/>
  <c r="B4316"/>
  <c r="B4317"/>
  <c r="B4318"/>
  <c r="B4319"/>
  <c r="B4320"/>
  <c r="B4321"/>
  <c r="B4322"/>
  <c r="B4323"/>
  <c r="B4324"/>
  <c r="B4325"/>
  <c r="B4326"/>
  <c r="B4327"/>
  <c r="B4328"/>
  <c r="B4329"/>
  <c r="B4330"/>
  <c r="B4331"/>
  <c r="B4332"/>
  <c r="B4333"/>
  <c r="B4334"/>
  <c r="B4335"/>
  <c r="B4336"/>
  <c r="B4337"/>
  <c r="B4338"/>
  <c r="B4339"/>
  <c r="B4340"/>
  <c r="B4341"/>
  <c r="B4342"/>
  <c r="B4343"/>
  <c r="B4344"/>
  <c r="B4345"/>
  <c r="B4346"/>
  <c r="B4347"/>
  <c r="B4348"/>
  <c r="B4349"/>
  <c r="B4350"/>
  <c r="B4351"/>
  <c r="B4352"/>
  <c r="B4353"/>
  <c r="B4354"/>
  <c r="B4355"/>
  <c r="B4356"/>
  <c r="B4357"/>
  <c r="B4358"/>
  <c r="B4359"/>
  <c r="B4360"/>
  <c r="B4361"/>
  <c r="B4362"/>
  <c r="B4363"/>
  <c r="B4364"/>
  <c r="B4365"/>
  <c r="B4366"/>
  <c r="B4367"/>
  <c r="B4368"/>
  <c r="B4369"/>
  <c r="B4370"/>
  <c r="B4371"/>
  <c r="B4372"/>
  <c r="B4373"/>
  <c r="B4374"/>
  <c r="B4375"/>
  <c r="B4376"/>
  <c r="B4377"/>
  <c r="B4378"/>
  <c r="B4379"/>
  <c r="B4380"/>
  <c r="B4381"/>
  <c r="B4382"/>
  <c r="B4383"/>
  <c r="B4384"/>
  <c r="B4385"/>
  <c r="B4386"/>
  <c r="B4387"/>
  <c r="B4388"/>
  <c r="B4389"/>
  <c r="B4390"/>
  <c r="B4391"/>
  <c r="B4392"/>
  <c r="B4393"/>
  <c r="B4394"/>
  <c r="B4395"/>
  <c r="B4396"/>
  <c r="B4397"/>
  <c r="B4398"/>
  <c r="B4399"/>
  <c r="B4400"/>
  <c r="B4401"/>
  <c r="B4402"/>
  <c r="B4403"/>
  <c r="B4404"/>
  <c r="B4405"/>
  <c r="B4406"/>
  <c r="B4407"/>
  <c r="B4408"/>
  <c r="B4409"/>
  <c r="B4410"/>
  <c r="B4411"/>
  <c r="B4412"/>
  <c r="B4413"/>
  <c r="B4414"/>
  <c r="B4415"/>
  <c r="B4416"/>
  <c r="B4417"/>
  <c r="B4418"/>
  <c r="B4419"/>
  <c r="B4420"/>
  <c r="B4421"/>
  <c r="B4422"/>
  <c r="B4423"/>
  <c r="B4424"/>
  <c r="B4425"/>
  <c r="B4426"/>
  <c r="B4427"/>
  <c r="B4428"/>
  <c r="B4429"/>
  <c r="B4430"/>
  <c r="B4431"/>
  <c r="B4432"/>
  <c r="B4433"/>
  <c r="B4434"/>
  <c r="B4435"/>
  <c r="B4436"/>
  <c r="B4437"/>
  <c r="B4438"/>
  <c r="B4439"/>
  <c r="B4440"/>
  <c r="B4441"/>
  <c r="B4442"/>
  <c r="B4443"/>
  <c r="B4444"/>
  <c r="B4445"/>
  <c r="B4446"/>
  <c r="B4447"/>
  <c r="B4448"/>
  <c r="B4449"/>
  <c r="B4450"/>
  <c r="B4451"/>
  <c r="B4452"/>
  <c r="B4453"/>
  <c r="B4454"/>
  <c r="B4455"/>
  <c r="B4456"/>
  <c r="B4457"/>
  <c r="B4458"/>
  <c r="B4459"/>
  <c r="B4460"/>
  <c r="B4461"/>
  <c r="B4462"/>
  <c r="B4463"/>
  <c r="B4464"/>
  <c r="B4465"/>
  <c r="B4466"/>
  <c r="B4467"/>
  <c r="B4468"/>
  <c r="B4469"/>
  <c r="B4470"/>
  <c r="B4471"/>
  <c r="B4472"/>
  <c r="B4473"/>
  <c r="B4474"/>
  <c r="B4475"/>
  <c r="B4476"/>
  <c r="B4477"/>
  <c r="B4478"/>
  <c r="B4479"/>
  <c r="B4480"/>
  <c r="B4481"/>
  <c r="B4482"/>
  <c r="B4483"/>
  <c r="B4484"/>
  <c r="B4485"/>
  <c r="B4486"/>
  <c r="B4487"/>
  <c r="B4488"/>
  <c r="B4489"/>
  <c r="B4490"/>
  <c r="B4491"/>
  <c r="B4492"/>
  <c r="B4493"/>
  <c r="B4494"/>
  <c r="B4495"/>
  <c r="B4496"/>
  <c r="B4497"/>
  <c r="B4498"/>
  <c r="B4499"/>
  <c r="B4500"/>
  <c r="B4501"/>
  <c r="B4502"/>
  <c r="B4503"/>
  <c r="B4504"/>
  <c r="B4505"/>
  <c r="B4506"/>
  <c r="B4507"/>
  <c r="B4508"/>
  <c r="B4509"/>
  <c r="B4510"/>
  <c r="B4511"/>
  <c r="B4512"/>
  <c r="B4513"/>
  <c r="B4514"/>
  <c r="B4515"/>
  <c r="B4516"/>
  <c r="B4517"/>
  <c r="B4518"/>
  <c r="B4519"/>
  <c r="B4520"/>
  <c r="B4521"/>
  <c r="B4522"/>
  <c r="B4523"/>
  <c r="B4524"/>
  <c r="B4525"/>
  <c r="B4526"/>
  <c r="B4527"/>
  <c r="B4528"/>
  <c r="B4529"/>
  <c r="B4530"/>
  <c r="B4531"/>
  <c r="B4532"/>
  <c r="B4533"/>
  <c r="B4534"/>
  <c r="B4535"/>
  <c r="B4536"/>
  <c r="B4537"/>
  <c r="B4538"/>
  <c r="B4539"/>
  <c r="B4540"/>
  <c r="B4541"/>
  <c r="B4542"/>
  <c r="B4543"/>
  <c r="B4544"/>
  <c r="B4545"/>
  <c r="B4546"/>
  <c r="B4547"/>
  <c r="B4548"/>
  <c r="B4549"/>
  <c r="B4550"/>
  <c r="B4551"/>
  <c r="B4552"/>
  <c r="B4553"/>
  <c r="B4554"/>
  <c r="B4555"/>
  <c r="B4556"/>
  <c r="B4557"/>
  <c r="B4558"/>
  <c r="B4559"/>
  <c r="B4560"/>
  <c r="B4561"/>
  <c r="B4562"/>
  <c r="B4563"/>
  <c r="B4564"/>
  <c r="B4565"/>
  <c r="B4566"/>
  <c r="B4567"/>
  <c r="B4568"/>
  <c r="B4569"/>
  <c r="B4570"/>
  <c r="B4571"/>
  <c r="B4572"/>
  <c r="B4573"/>
  <c r="B4574"/>
  <c r="B4575"/>
  <c r="B4576"/>
  <c r="B4577"/>
  <c r="B4578"/>
  <c r="B4579"/>
  <c r="B4580"/>
  <c r="B4581"/>
  <c r="B4582"/>
  <c r="B4583"/>
  <c r="B4584"/>
  <c r="B4585"/>
  <c r="B4586"/>
  <c r="B4587"/>
  <c r="B4588"/>
  <c r="B4589"/>
  <c r="B4590"/>
  <c r="B4591"/>
  <c r="B4592"/>
  <c r="B4593"/>
  <c r="B4594"/>
  <c r="B4595"/>
  <c r="B4596"/>
  <c r="B4597"/>
  <c r="B4598"/>
  <c r="B4599"/>
  <c r="B4600"/>
  <c r="B4601"/>
  <c r="B4602"/>
  <c r="B4603"/>
  <c r="B4604"/>
  <c r="B4605"/>
  <c r="B4606"/>
  <c r="B4607"/>
  <c r="B4608"/>
  <c r="B4609"/>
  <c r="B4610"/>
  <c r="B4611"/>
  <c r="B4612"/>
  <c r="B4613"/>
  <c r="B4614"/>
  <c r="B4615"/>
  <c r="B4616"/>
  <c r="B4617"/>
  <c r="B4618"/>
  <c r="B4619"/>
  <c r="B4620"/>
  <c r="B4621"/>
  <c r="B4622"/>
  <c r="B4623"/>
  <c r="B4624"/>
  <c r="B4625"/>
  <c r="B4626"/>
  <c r="B4627"/>
  <c r="B4628"/>
  <c r="B4629"/>
  <c r="B4630"/>
  <c r="B4631"/>
  <c r="B4632"/>
  <c r="B4633"/>
  <c r="B4634"/>
  <c r="B4635"/>
  <c r="B4636"/>
  <c r="B4637"/>
  <c r="B4638"/>
  <c r="B4639"/>
  <c r="B4640"/>
  <c r="B4641"/>
  <c r="B4642"/>
  <c r="B4643"/>
  <c r="B4644"/>
  <c r="B4645"/>
  <c r="B4646"/>
  <c r="B4647"/>
  <c r="B4648"/>
  <c r="B4649"/>
  <c r="B4650"/>
  <c r="B4651"/>
  <c r="B4652"/>
  <c r="B4653"/>
  <c r="B4654"/>
  <c r="B4655"/>
  <c r="B4656"/>
  <c r="B4657"/>
  <c r="B4658"/>
  <c r="B4659"/>
  <c r="B4660"/>
  <c r="B4661"/>
  <c r="B4662"/>
  <c r="B4663"/>
  <c r="B4664"/>
  <c r="B4665"/>
  <c r="B4666"/>
  <c r="B4667"/>
  <c r="B4668"/>
  <c r="B4669"/>
  <c r="B4670"/>
  <c r="B4671"/>
  <c r="B4672"/>
  <c r="B4673"/>
  <c r="B4674"/>
  <c r="B4675"/>
  <c r="B4676"/>
  <c r="B4677"/>
  <c r="B4678"/>
  <c r="B4679"/>
  <c r="B4680"/>
  <c r="B4681"/>
  <c r="B4682"/>
  <c r="B4683"/>
  <c r="B4684"/>
  <c r="B4685"/>
  <c r="B4686"/>
  <c r="B4687"/>
  <c r="B4688"/>
  <c r="B4689"/>
  <c r="B4690"/>
  <c r="B4691"/>
  <c r="B4692"/>
  <c r="B4693"/>
  <c r="B4694"/>
  <c r="B4695"/>
  <c r="B4696"/>
  <c r="B4697"/>
  <c r="B4698"/>
  <c r="B4699"/>
  <c r="B4700"/>
  <c r="B4701"/>
  <c r="B4702"/>
  <c r="B4703"/>
  <c r="B4704"/>
  <c r="B4705"/>
  <c r="B4706"/>
  <c r="B4707"/>
  <c r="B4708"/>
  <c r="B4709"/>
  <c r="B4710"/>
  <c r="B4711"/>
  <c r="B4712"/>
  <c r="B4713"/>
  <c r="B4714"/>
  <c r="B4715"/>
  <c r="B4716"/>
  <c r="B4717"/>
  <c r="B4718"/>
  <c r="B4719"/>
  <c r="B4720"/>
  <c r="B4721"/>
  <c r="B4722"/>
  <c r="B4723"/>
  <c r="B4724"/>
  <c r="B4725"/>
  <c r="B4726"/>
  <c r="B4727"/>
  <c r="B4728"/>
  <c r="B4729"/>
  <c r="B4730"/>
  <c r="B4731"/>
  <c r="B4732"/>
  <c r="B4733"/>
  <c r="B4734"/>
  <c r="B4735"/>
  <c r="B4736"/>
  <c r="B4737"/>
  <c r="B4738"/>
  <c r="B4739"/>
  <c r="B4740"/>
  <c r="B4741"/>
  <c r="B4742"/>
  <c r="B4743"/>
  <c r="B4744"/>
  <c r="B4745"/>
  <c r="B4746"/>
  <c r="B4747"/>
  <c r="B4748"/>
  <c r="B4749"/>
  <c r="B4750"/>
  <c r="B4751"/>
  <c r="B4752"/>
  <c r="B4753"/>
  <c r="B4754"/>
  <c r="B4755"/>
  <c r="B4756"/>
  <c r="B4757"/>
  <c r="B4758"/>
  <c r="B4759"/>
  <c r="B4760"/>
  <c r="B4761"/>
  <c r="B4762"/>
  <c r="B4763"/>
  <c r="B4764"/>
  <c r="B4765"/>
  <c r="B4766"/>
  <c r="B4767"/>
  <c r="B4768"/>
  <c r="B4769"/>
  <c r="B4770"/>
  <c r="B4771"/>
  <c r="B4772"/>
  <c r="B4773"/>
  <c r="B4774"/>
  <c r="B4775"/>
  <c r="B4776"/>
  <c r="B4777"/>
  <c r="B4778"/>
  <c r="B4779"/>
  <c r="B4780"/>
  <c r="B4781"/>
  <c r="B4782"/>
  <c r="B4783"/>
  <c r="B4784"/>
  <c r="B4785"/>
  <c r="B4786"/>
  <c r="B4787"/>
  <c r="B4788"/>
  <c r="B4789"/>
  <c r="B4790"/>
  <c r="B4791"/>
  <c r="B4792"/>
  <c r="B4793"/>
  <c r="B4794"/>
  <c r="B4795"/>
  <c r="B4796"/>
  <c r="B4797"/>
  <c r="B4798"/>
  <c r="B4799"/>
  <c r="B4800"/>
  <c r="B4801"/>
  <c r="B4802"/>
  <c r="B4803"/>
  <c r="B4804"/>
  <c r="B4805"/>
  <c r="B4806"/>
  <c r="B4807"/>
  <c r="B4808"/>
  <c r="B4809"/>
  <c r="B4810"/>
  <c r="B4811"/>
  <c r="B4812"/>
  <c r="B4813"/>
  <c r="B4814"/>
  <c r="B4815"/>
  <c r="B4816"/>
  <c r="B4817"/>
  <c r="B4818"/>
  <c r="B4819"/>
  <c r="B4820"/>
  <c r="B4821"/>
  <c r="B4822"/>
  <c r="B4823"/>
  <c r="B4824"/>
  <c r="B4825"/>
  <c r="B4826"/>
  <c r="B4827"/>
  <c r="B4828"/>
  <c r="B4829"/>
  <c r="B4830"/>
  <c r="B4831"/>
  <c r="B4832"/>
  <c r="B4833"/>
  <c r="B4834"/>
  <c r="B4835"/>
  <c r="B4836"/>
  <c r="B4837"/>
  <c r="B4838"/>
  <c r="B4839"/>
  <c r="B4840"/>
  <c r="B4841"/>
  <c r="B4842"/>
  <c r="B4843"/>
  <c r="B4844"/>
  <c r="B4845"/>
  <c r="B4846"/>
  <c r="B4847"/>
  <c r="B4848"/>
  <c r="B4849"/>
  <c r="B4850"/>
  <c r="B4851"/>
  <c r="B4852"/>
  <c r="B4853"/>
  <c r="B4854"/>
  <c r="B4855"/>
  <c r="B4856"/>
  <c r="B4857"/>
  <c r="B4858"/>
  <c r="B4859"/>
  <c r="B4860"/>
  <c r="B4861"/>
  <c r="B4862"/>
  <c r="B4863"/>
  <c r="B4864"/>
  <c r="B4865"/>
  <c r="B4866"/>
  <c r="B4867"/>
  <c r="B4868"/>
  <c r="B4869"/>
  <c r="B4870"/>
  <c r="B4871"/>
  <c r="B4872"/>
  <c r="B4873"/>
  <c r="B4874"/>
  <c r="B4875"/>
  <c r="B4876"/>
  <c r="B4877"/>
  <c r="B4878"/>
  <c r="B4879"/>
  <c r="B4880"/>
  <c r="B4881"/>
  <c r="B4882"/>
  <c r="B4883"/>
  <c r="B4884"/>
  <c r="B4885"/>
  <c r="B4886"/>
  <c r="B4887"/>
  <c r="B4888"/>
  <c r="B4889"/>
  <c r="B4890"/>
  <c r="B4891"/>
  <c r="B4892"/>
  <c r="B4893"/>
  <c r="B4894"/>
  <c r="B4895"/>
  <c r="B4896"/>
  <c r="B4897"/>
  <c r="B4898"/>
  <c r="B4899"/>
  <c r="B4900"/>
  <c r="B4901"/>
  <c r="B4902"/>
  <c r="B4903"/>
  <c r="B4904"/>
  <c r="B4905"/>
  <c r="B4906"/>
  <c r="B4907"/>
  <c r="B4908"/>
  <c r="B4909"/>
  <c r="B4910"/>
  <c r="B4911"/>
  <c r="B4912"/>
  <c r="B4913"/>
  <c r="B4914"/>
  <c r="B4915"/>
  <c r="B4916"/>
  <c r="B4917"/>
  <c r="B4918"/>
  <c r="B4919"/>
  <c r="B4920"/>
  <c r="B4921"/>
  <c r="B4922"/>
  <c r="B4923"/>
  <c r="B4924"/>
  <c r="B4925"/>
  <c r="B4926"/>
  <c r="B4927"/>
  <c r="B4928"/>
  <c r="B4929"/>
  <c r="B4930"/>
  <c r="B4931"/>
  <c r="B4932"/>
  <c r="B4933"/>
  <c r="B4934"/>
  <c r="B4935"/>
  <c r="B4936"/>
  <c r="B4937"/>
  <c r="B4938"/>
  <c r="B4939"/>
  <c r="B4940"/>
  <c r="B4941"/>
  <c r="B4942"/>
  <c r="B4943"/>
  <c r="B4944"/>
  <c r="B4945"/>
  <c r="B4946"/>
  <c r="B4947"/>
  <c r="B4948"/>
  <c r="B4949"/>
  <c r="B4950"/>
  <c r="B4951"/>
  <c r="B4952"/>
  <c r="B4953"/>
  <c r="B4954"/>
  <c r="B4955"/>
  <c r="B4956"/>
  <c r="B4957"/>
  <c r="B4958"/>
  <c r="B4959"/>
  <c r="B4960"/>
  <c r="B4961"/>
  <c r="B4962"/>
  <c r="B4963"/>
  <c r="B4964"/>
  <c r="B4965"/>
  <c r="B4966"/>
  <c r="B4967"/>
  <c r="B4968"/>
  <c r="B4969"/>
  <c r="B4970"/>
  <c r="B4971"/>
  <c r="B4972"/>
  <c r="B4973"/>
  <c r="B4974"/>
  <c r="B4975"/>
  <c r="B4976"/>
  <c r="B4977"/>
  <c r="B4978"/>
  <c r="B4979"/>
  <c r="B4980"/>
  <c r="B4981"/>
  <c r="B4982"/>
  <c r="B4983"/>
  <c r="B4984"/>
  <c r="B4985"/>
  <c r="B4986"/>
  <c r="B4987"/>
  <c r="B4988"/>
  <c r="B4989"/>
  <c r="B4990"/>
  <c r="B4991"/>
  <c r="B4992"/>
  <c r="B4993"/>
  <c r="B4994"/>
  <c r="B4995"/>
  <c r="B4996"/>
  <c r="B4997"/>
  <c r="B4998"/>
  <c r="B4999"/>
  <c r="B5000"/>
  <c r="B5001"/>
  <c r="B5002"/>
  <c r="B5003"/>
  <c r="B5004"/>
  <c r="B5005"/>
  <c r="B5006"/>
  <c r="B5007"/>
  <c r="B5008"/>
  <c r="B5009"/>
  <c r="B5010"/>
  <c r="B5011"/>
  <c r="B5012"/>
  <c r="B5013"/>
  <c r="B5014"/>
  <c r="B5015"/>
  <c r="B5016"/>
  <c r="B5017"/>
  <c r="B5018"/>
  <c r="B5019"/>
  <c r="B5020"/>
  <c r="B5021"/>
  <c r="B5022"/>
  <c r="B5023"/>
  <c r="B5024"/>
  <c r="B5025"/>
  <c r="B5026"/>
  <c r="B5027"/>
  <c r="B5028"/>
  <c r="B5029"/>
  <c r="B5030"/>
  <c r="B5031"/>
  <c r="B5032"/>
  <c r="B5033"/>
  <c r="B5034"/>
  <c r="B5035"/>
  <c r="B5036"/>
  <c r="B5037"/>
  <c r="B5038"/>
  <c r="B5039"/>
  <c r="B5040"/>
  <c r="B5041"/>
  <c r="B5042"/>
  <c r="B5043"/>
  <c r="B5044"/>
  <c r="B5045"/>
  <c r="B5046"/>
  <c r="B5047"/>
  <c r="B5048"/>
  <c r="B5049"/>
  <c r="B5050"/>
  <c r="B5051"/>
  <c r="B5052"/>
  <c r="B5053"/>
  <c r="B5054"/>
  <c r="B5055"/>
  <c r="B5056"/>
  <c r="B5057"/>
  <c r="B5058"/>
  <c r="B5059"/>
  <c r="B5060"/>
  <c r="B5061"/>
  <c r="B5062"/>
  <c r="B5063"/>
  <c r="B5064"/>
  <c r="B5065"/>
  <c r="B5066"/>
  <c r="B5067"/>
  <c r="B5068"/>
  <c r="B5069"/>
  <c r="B5070"/>
  <c r="B5071"/>
  <c r="B5072"/>
  <c r="B5073"/>
  <c r="B5074"/>
  <c r="B5075"/>
  <c r="B5076"/>
  <c r="B5077"/>
  <c r="B5078"/>
  <c r="B5079"/>
  <c r="B5080"/>
  <c r="B5081"/>
  <c r="B5082"/>
  <c r="B5083"/>
  <c r="B5084"/>
  <c r="B5085"/>
  <c r="B5086"/>
  <c r="B5087"/>
  <c r="B5088"/>
  <c r="B5089"/>
  <c r="B5090"/>
  <c r="B5091"/>
  <c r="B5092"/>
  <c r="B5093"/>
  <c r="B5094"/>
  <c r="B5095"/>
  <c r="B5096"/>
  <c r="B5097"/>
  <c r="B5098"/>
  <c r="B5099"/>
  <c r="B5100"/>
  <c r="B5101"/>
  <c r="B5102"/>
  <c r="B5103"/>
  <c r="B5104"/>
  <c r="B5105"/>
  <c r="B5106"/>
  <c r="B5107"/>
  <c r="B5108"/>
  <c r="B5109"/>
  <c r="B5110"/>
  <c r="B5111"/>
  <c r="B5112"/>
  <c r="B5113"/>
  <c r="B5114"/>
  <c r="B5115"/>
  <c r="B5116"/>
  <c r="B5117"/>
  <c r="B5118"/>
  <c r="B5119"/>
  <c r="B5120"/>
  <c r="B5121"/>
  <c r="B5122"/>
  <c r="B5123"/>
  <c r="B5124"/>
  <c r="B5125"/>
  <c r="B5126"/>
  <c r="B5127"/>
  <c r="B5128"/>
  <c r="B5129"/>
  <c r="B5130"/>
  <c r="B5131"/>
  <c r="B5132"/>
  <c r="B5133"/>
  <c r="B5134"/>
  <c r="B5135"/>
  <c r="B5136"/>
  <c r="B5137"/>
  <c r="B5138"/>
  <c r="B5139"/>
  <c r="B5140"/>
  <c r="B5141"/>
  <c r="B5142"/>
  <c r="B5143"/>
  <c r="B5144"/>
  <c r="B5145"/>
  <c r="B5146"/>
  <c r="B5147"/>
  <c r="B5148"/>
  <c r="B5149"/>
  <c r="B5150"/>
  <c r="B5151"/>
  <c r="B5152"/>
  <c r="B5153"/>
  <c r="B5154"/>
  <c r="B5155"/>
  <c r="B5156"/>
  <c r="B5157"/>
  <c r="B5158"/>
  <c r="B5159"/>
  <c r="B5160"/>
  <c r="B5161"/>
  <c r="B5162"/>
  <c r="B5163"/>
  <c r="B5164"/>
  <c r="B5165"/>
  <c r="B5166"/>
  <c r="B5167"/>
  <c r="B5168"/>
  <c r="B5169"/>
  <c r="B5170"/>
  <c r="B5171"/>
  <c r="B5172"/>
  <c r="B5173"/>
  <c r="B5174"/>
  <c r="B5175"/>
  <c r="B5176"/>
  <c r="B5177"/>
  <c r="B5178"/>
  <c r="B5179"/>
  <c r="B5180"/>
  <c r="B5181"/>
  <c r="B5182"/>
  <c r="B5183"/>
  <c r="B5184"/>
  <c r="B5185"/>
  <c r="B5186"/>
  <c r="B5187"/>
  <c r="B5188"/>
  <c r="B5189"/>
  <c r="B5190"/>
  <c r="B5191"/>
  <c r="B5192"/>
  <c r="B5193"/>
  <c r="B5194"/>
  <c r="B5195"/>
  <c r="B5196"/>
  <c r="B5197"/>
  <c r="B5198"/>
  <c r="B5199"/>
  <c r="B5200"/>
  <c r="B5201"/>
  <c r="B5202"/>
  <c r="B5203"/>
  <c r="B5204"/>
  <c r="B5205"/>
  <c r="B5206"/>
  <c r="B5207"/>
  <c r="B5208"/>
  <c r="B5209"/>
  <c r="B5210"/>
  <c r="B5211"/>
  <c r="B5212"/>
  <c r="B5213"/>
  <c r="B5214"/>
  <c r="B5215"/>
  <c r="B5216"/>
  <c r="B5217"/>
  <c r="B5218"/>
  <c r="B5219"/>
  <c r="B5220"/>
  <c r="B5221"/>
  <c r="B5222"/>
  <c r="B5223"/>
  <c r="B5224"/>
  <c r="B5225"/>
  <c r="B5226"/>
  <c r="B5227"/>
  <c r="B5228"/>
  <c r="B5229"/>
  <c r="B5230"/>
  <c r="B5231"/>
  <c r="B5232"/>
  <c r="B5233"/>
  <c r="B5234"/>
  <c r="B5235"/>
  <c r="B5236"/>
  <c r="B5237"/>
  <c r="B5238"/>
  <c r="B5239"/>
  <c r="B5240"/>
  <c r="B5241"/>
  <c r="B5242"/>
  <c r="B5243"/>
  <c r="B5244"/>
  <c r="B5245"/>
  <c r="B5246"/>
  <c r="B5247"/>
  <c r="B5248"/>
  <c r="B5249"/>
  <c r="B5250"/>
  <c r="B5251"/>
  <c r="B5252"/>
  <c r="B5253"/>
  <c r="B5254"/>
  <c r="B5255"/>
  <c r="B5256"/>
  <c r="B5257"/>
  <c r="B5258"/>
  <c r="B5259"/>
  <c r="B5260"/>
  <c r="B5261"/>
  <c r="B5262"/>
  <c r="B5263"/>
  <c r="B5264"/>
  <c r="B5265"/>
  <c r="B5266"/>
  <c r="B5267"/>
  <c r="B5268"/>
  <c r="B5269"/>
  <c r="B5270"/>
  <c r="B5271"/>
  <c r="B5272"/>
  <c r="B5273"/>
  <c r="B5274"/>
  <c r="B5275"/>
  <c r="B5276"/>
  <c r="B5277"/>
  <c r="B5278"/>
  <c r="B5279"/>
  <c r="B5280"/>
  <c r="B5281"/>
  <c r="B5282"/>
  <c r="B5283"/>
  <c r="B5284"/>
  <c r="B5285"/>
  <c r="B5286"/>
  <c r="B5287"/>
  <c r="B5288"/>
  <c r="B5289"/>
  <c r="B5290"/>
  <c r="B5291"/>
  <c r="B5292"/>
  <c r="B5293"/>
  <c r="B5294"/>
  <c r="B5295"/>
  <c r="B5296"/>
  <c r="B5297"/>
  <c r="B5298"/>
  <c r="B5299"/>
  <c r="B5300"/>
  <c r="B5301"/>
  <c r="B5302"/>
  <c r="B5303"/>
  <c r="B5304"/>
  <c r="B5305"/>
  <c r="B5306"/>
  <c r="B5307"/>
  <c r="B5308"/>
  <c r="B5309"/>
  <c r="B5310"/>
  <c r="B5311"/>
  <c r="B5312"/>
  <c r="B5313"/>
  <c r="B5314"/>
  <c r="B5315"/>
  <c r="B5316"/>
  <c r="B5317"/>
  <c r="B5318"/>
  <c r="B5319"/>
  <c r="B5320"/>
  <c r="B5321"/>
  <c r="B5322"/>
  <c r="B5323"/>
  <c r="B5324"/>
  <c r="B5325"/>
  <c r="B5326"/>
  <c r="B5327"/>
  <c r="B5328"/>
  <c r="B5329"/>
  <c r="B5330"/>
  <c r="B5331"/>
  <c r="B5332"/>
  <c r="B5333"/>
  <c r="B5334"/>
  <c r="B5335"/>
  <c r="B5336"/>
  <c r="B5337"/>
  <c r="B5338"/>
  <c r="B5339"/>
  <c r="B5340"/>
  <c r="B5341"/>
  <c r="B5342"/>
  <c r="B5343"/>
  <c r="B5344"/>
  <c r="B5345"/>
  <c r="B5346"/>
  <c r="B5347"/>
  <c r="B5348"/>
  <c r="B5349"/>
  <c r="B5350"/>
  <c r="B5351"/>
  <c r="B5352"/>
  <c r="B5353"/>
  <c r="B5354"/>
  <c r="B5355"/>
  <c r="B5356"/>
  <c r="B5357"/>
  <c r="B5358"/>
  <c r="B5359"/>
  <c r="B5360"/>
  <c r="B5361"/>
  <c r="B5362"/>
  <c r="B5363"/>
  <c r="B5364"/>
  <c r="B5365"/>
  <c r="B5366"/>
  <c r="B5367"/>
  <c r="B5368"/>
  <c r="B5369"/>
  <c r="B5370"/>
  <c r="B5371"/>
  <c r="B5372"/>
  <c r="B5373"/>
  <c r="B5374"/>
  <c r="B5375"/>
  <c r="B5376"/>
  <c r="B5377"/>
  <c r="B5378"/>
  <c r="B5379"/>
  <c r="B5380"/>
  <c r="B5381"/>
  <c r="B5382"/>
  <c r="B5383"/>
  <c r="B5384"/>
  <c r="B5385"/>
  <c r="B5386"/>
  <c r="B5387"/>
  <c r="B5388"/>
  <c r="B5389"/>
  <c r="B5390"/>
  <c r="B5391"/>
  <c r="B5392"/>
  <c r="B5393"/>
  <c r="B5394"/>
  <c r="B5395"/>
  <c r="B5396"/>
  <c r="B5397"/>
  <c r="B5398"/>
  <c r="B5399"/>
  <c r="B5400"/>
  <c r="B5401"/>
  <c r="B5402"/>
  <c r="B5403"/>
  <c r="B5404"/>
  <c r="B5405"/>
  <c r="B5406"/>
  <c r="B5407"/>
  <c r="B5408"/>
  <c r="B5409"/>
  <c r="B5410"/>
  <c r="B5411"/>
  <c r="B5412"/>
  <c r="B5413"/>
  <c r="B5414"/>
  <c r="B5415"/>
  <c r="B5416"/>
  <c r="B5417"/>
  <c r="B5418"/>
  <c r="B5419"/>
  <c r="B5420"/>
  <c r="B5421"/>
  <c r="B5422"/>
  <c r="B5423"/>
  <c r="B5424"/>
  <c r="B5425"/>
  <c r="B5426"/>
  <c r="B5427"/>
  <c r="B5428"/>
  <c r="B5429"/>
  <c r="B5430"/>
  <c r="B5431"/>
  <c r="B5432"/>
  <c r="B5433"/>
  <c r="B5434"/>
  <c r="B5435"/>
  <c r="B5436"/>
  <c r="B5437"/>
  <c r="B5438"/>
  <c r="B5439"/>
  <c r="B5440"/>
  <c r="B5441"/>
  <c r="B5442"/>
  <c r="B5443"/>
  <c r="B5444"/>
  <c r="B5445"/>
  <c r="B5446"/>
  <c r="B5447"/>
  <c r="B5448"/>
  <c r="B5449"/>
  <c r="B5450"/>
  <c r="B5451"/>
  <c r="B5452"/>
  <c r="B5453"/>
  <c r="B5454"/>
  <c r="B5455"/>
  <c r="B5456"/>
  <c r="B5457"/>
  <c r="B5458"/>
  <c r="B5459"/>
  <c r="B5460"/>
  <c r="B5461"/>
  <c r="B5462"/>
  <c r="B5463"/>
  <c r="B5464"/>
  <c r="B5465"/>
  <c r="B5466"/>
  <c r="B5467"/>
  <c r="B5468"/>
  <c r="B5469"/>
  <c r="B5470"/>
  <c r="B5471"/>
  <c r="B5472"/>
  <c r="B5473"/>
  <c r="B5474"/>
  <c r="B5475"/>
  <c r="B5476"/>
  <c r="B5477"/>
  <c r="B5478"/>
  <c r="B5479"/>
  <c r="B5480"/>
  <c r="B5481"/>
  <c r="B5482"/>
  <c r="B5483"/>
  <c r="B5484"/>
  <c r="B5485"/>
  <c r="B5486"/>
  <c r="B5487"/>
  <c r="B5488"/>
  <c r="B5489"/>
  <c r="B5490"/>
  <c r="B5491"/>
  <c r="B5492"/>
  <c r="B5493"/>
  <c r="B5494"/>
  <c r="B5495"/>
  <c r="B5496"/>
  <c r="B5497"/>
  <c r="B5498"/>
  <c r="B5499"/>
  <c r="B5500"/>
  <c r="B5501"/>
  <c r="B5502"/>
  <c r="B5503"/>
  <c r="B5504"/>
  <c r="B5505"/>
  <c r="B5506"/>
  <c r="B5507"/>
  <c r="B5508"/>
  <c r="B5509"/>
  <c r="B5510"/>
  <c r="B5511"/>
  <c r="B5512"/>
  <c r="B5513"/>
  <c r="B5514"/>
  <c r="B5515"/>
  <c r="B5516"/>
  <c r="B5517"/>
  <c r="B5518"/>
  <c r="B5519"/>
  <c r="B5520"/>
  <c r="B5521"/>
  <c r="B5522"/>
  <c r="B5523"/>
  <c r="B5524"/>
  <c r="B5525"/>
  <c r="B5526"/>
  <c r="B5527"/>
  <c r="B5528"/>
  <c r="B5529"/>
  <c r="B5530"/>
  <c r="B5531"/>
  <c r="B5532"/>
  <c r="B5533"/>
  <c r="B5534"/>
  <c r="B5535"/>
  <c r="B5536"/>
  <c r="B5537"/>
  <c r="B5538"/>
  <c r="B5539"/>
  <c r="B5540"/>
  <c r="B5541"/>
  <c r="B5542"/>
  <c r="B5543"/>
  <c r="B5544"/>
  <c r="B5545"/>
  <c r="B5546"/>
  <c r="B5547"/>
  <c r="B5548"/>
  <c r="B5549"/>
  <c r="B5550"/>
  <c r="B5551"/>
  <c r="B5552"/>
  <c r="B5553"/>
  <c r="B5554"/>
  <c r="B5555"/>
  <c r="B5556"/>
  <c r="B5557"/>
  <c r="B5558"/>
  <c r="B5559"/>
  <c r="B5560"/>
  <c r="B5561"/>
  <c r="B5562"/>
  <c r="B5563"/>
  <c r="B5564"/>
  <c r="B5565"/>
  <c r="B5566"/>
  <c r="B5567"/>
  <c r="B5568"/>
  <c r="B5569"/>
  <c r="B5570"/>
  <c r="B5571"/>
  <c r="B5572"/>
  <c r="B5573"/>
  <c r="B5574"/>
  <c r="B5575"/>
  <c r="B5576"/>
  <c r="B5577"/>
  <c r="B5578"/>
  <c r="B5579"/>
  <c r="B5580"/>
  <c r="B5581"/>
  <c r="B5582"/>
  <c r="B5583"/>
  <c r="B5584"/>
  <c r="B5585"/>
  <c r="B5586"/>
  <c r="B5587"/>
  <c r="B5588"/>
  <c r="B5589"/>
  <c r="B5590"/>
  <c r="B5591"/>
  <c r="B5592"/>
  <c r="B5593"/>
  <c r="B5594"/>
  <c r="B5595"/>
  <c r="B5596"/>
  <c r="B5597"/>
  <c r="B5598"/>
  <c r="B5599"/>
  <c r="B5600"/>
  <c r="B5601"/>
  <c r="B5602"/>
  <c r="B5603"/>
  <c r="B5604"/>
  <c r="B5605"/>
  <c r="B5606"/>
  <c r="B5607"/>
  <c r="B5608"/>
  <c r="B5609"/>
  <c r="B5610"/>
  <c r="B5611"/>
  <c r="B5612"/>
  <c r="B5613"/>
  <c r="B5614"/>
  <c r="B5615"/>
  <c r="B5616"/>
  <c r="B5617"/>
  <c r="B5618"/>
  <c r="B5619"/>
  <c r="B5620"/>
  <c r="B5621"/>
  <c r="B5622"/>
  <c r="B5623"/>
  <c r="B5624"/>
  <c r="B5625"/>
  <c r="B5626"/>
  <c r="B5627"/>
  <c r="B5628"/>
  <c r="B5629"/>
  <c r="B5630"/>
  <c r="B5631"/>
  <c r="B5632"/>
  <c r="B5633"/>
  <c r="B5634"/>
  <c r="B5635"/>
  <c r="B5636"/>
  <c r="B5637"/>
  <c r="B5638"/>
  <c r="B5639"/>
  <c r="B5640"/>
  <c r="B5641"/>
  <c r="B5642"/>
  <c r="B5643"/>
  <c r="B5644"/>
  <c r="B5645"/>
  <c r="B5646"/>
  <c r="B5647"/>
  <c r="B5648"/>
  <c r="B5649"/>
  <c r="B5650"/>
  <c r="B5651"/>
  <c r="B5652"/>
  <c r="B5653"/>
  <c r="B5654"/>
  <c r="B5655"/>
  <c r="B5656"/>
  <c r="B5657"/>
  <c r="B5658"/>
  <c r="B5659"/>
  <c r="B5660"/>
  <c r="B5661"/>
  <c r="B5662"/>
  <c r="B5663"/>
  <c r="B5664"/>
  <c r="B5665"/>
  <c r="B5666"/>
  <c r="B5667"/>
  <c r="B5668"/>
  <c r="B5669"/>
  <c r="B5670"/>
  <c r="B5671"/>
  <c r="B5672"/>
  <c r="B5673"/>
  <c r="B5674"/>
  <c r="B5675"/>
  <c r="B5676"/>
  <c r="B5677"/>
  <c r="B5678"/>
  <c r="B5679"/>
  <c r="B5680"/>
  <c r="B5681"/>
  <c r="B5682"/>
  <c r="B5683"/>
  <c r="B5684"/>
  <c r="B5685"/>
  <c r="B5686"/>
  <c r="B5687"/>
  <c r="B5688"/>
  <c r="B5689"/>
  <c r="B5690"/>
  <c r="B5691"/>
  <c r="B5692"/>
  <c r="B5693"/>
  <c r="B5694"/>
  <c r="B5695"/>
  <c r="B5696"/>
  <c r="B5697"/>
  <c r="B5698"/>
  <c r="B5699"/>
  <c r="B5700"/>
  <c r="B5701"/>
  <c r="B5702"/>
  <c r="B5703"/>
  <c r="B5704"/>
  <c r="B5705"/>
  <c r="B5706"/>
  <c r="B5707"/>
  <c r="B5708"/>
  <c r="B5709"/>
  <c r="B5710"/>
  <c r="B5711"/>
  <c r="B5712"/>
  <c r="B5713"/>
  <c r="B5714"/>
  <c r="B5715"/>
  <c r="B5716"/>
  <c r="B5717"/>
  <c r="B5718"/>
  <c r="B5719"/>
  <c r="B5720"/>
  <c r="B5721"/>
  <c r="B5722"/>
  <c r="B5723"/>
  <c r="B5724"/>
  <c r="B5725"/>
  <c r="B5726"/>
  <c r="B5727"/>
  <c r="B5728"/>
  <c r="B5729"/>
  <c r="B5730"/>
  <c r="B5731"/>
  <c r="B5732"/>
  <c r="B5733"/>
  <c r="B5734"/>
  <c r="B5735"/>
  <c r="B5736"/>
  <c r="B5737"/>
  <c r="B5738"/>
  <c r="B5739"/>
  <c r="B5740"/>
  <c r="B5741"/>
  <c r="B5742"/>
  <c r="B5743"/>
  <c r="B5744"/>
  <c r="B5745"/>
  <c r="B5746"/>
  <c r="B5747"/>
  <c r="B5748"/>
  <c r="B5749"/>
  <c r="B5750"/>
  <c r="B5751"/>
  <c r="B5752"/>
  <c r="B5753"/>
  <c r="B5754"/>
  <c r="B5755"/>
  <c r="B5756"/>
  <c r="B5757"/>
  <c r="B5758"/>
  <c r="B5759"/>
  <c r="B5760"/>
  <c r="B5761"/>
  <c r="B5762"/>
  <c r="B5763"/>
  <c r="B5764"/>
  <c r="B5765"/>
  <c r="B5766"/>
  <c r="B5767"/>
  <c r="B5768"/>
  <c r="B5769"/>
  <c r="B5770"/>
  <c r="B5771"/>
  <c r="B5772"/>
  <c r="B5773"/>
  <c r="B5774"/>
  <c r="B5775"/>
  <c r="B5776"/>
  <c r="B5777"/>
  <c r="B5778"/>
  <c r="B5779"/>
  <c r="B5780"/>
  <c r="B5781"/>
  <c r="B5782"/>
  <c r="B5783"/>
  <c r="B5784"/>
  <c r="B5785"/>
  <c r="B5786"/>
  <c r="B5787"/>
  <c r="B5788"/>
  <c r="B5789"/>
  <c r="B5790"/>
  <c r="B5791"/>
  <c r="B5792"/>
  <c r="B5793"/>
  <c r="B5794"/>
  <c r="B5795"/>
  <c r="B5796"/>
  <c r="B5797"/>
  <c r="B5798"/>
  <c r="B5799"/>
  <c r="B5800"/>
  <c r="B5801"/>
  <c r="B5802"/>
  <c r="B5803"/>
  <c r="B5804"/>
  <c r="B5805"/>
  <c r="B5806"/>
  <c r="B5807"/>
  <c r="B5808"/>
  <c r="B5809"/>
  <c r="B5810"/>
  <c r="B5811"/>
  <c r="B5812"/>
  <c r="B5813"/>
  <c r="B5814"/>
  <c r="B5815"/>
  <c r="B5816"/>
  <c r="B5817"/>
  <c r="B5818"/>
  <c r="B5819"/>
  <c r="B5820"/>
  <c r="B5821"/>
  <c r="B5822"/>
  <c r="B5823"/>
  <c r="B5824"/>
  <c r="B5825"/>
  <c r="B5826"/>
  <c r="B5827"/>
  <c r="B5828"/>
  <c r="B5829"/>
  <c r="B5830"/>
  <c r="B5831"/>
  <c r="B5832"/>
  <c r="B5833"/>
  <c r="B5834"/>
  <c r="B5835"/>
  <c r="B5836"/>
  <c r="B5837"/>
  <c r="B5838"/>
  <c r="B5839"/>
  <c r="B5840"/>
  <c r="B5841"/>
  <c r="B5842"/>
  <c r="B5843"/>
  <c r="B5844"/>
  <c r="B5845"/>
  <c r="B5846"/>
  <c r="B5847"/>
  <c r="B5848"/>
  <c r="B5849"/>
  <c r="B5850"/>
  <c r="B5851"/>
  <c r="B5852"/>
  <c r="B5853"/>
  <c r="B5854"/>
  <c r="B5855"/>
  <c r="B5856"/>
  <c r="B5857"/>
  <c r="B5858"/>
  <c r="B5859"/>
  <c r="B5860"/>
  <c r="B5861"/>
  <c r="B5862"/>
  <c r="B5863"/>
  <c r="B5864"/>
  <c r="B5865"/>
  <c r="B5866"/>
  <c r="B5867"/>
  <c r="B5868"/>
  <c r="B5869"/>
  <c r="B5870"/>
  <c r="B5871"/>
  <c r="B5872"/>
  <c r="B5873"/>
  <c r="B5874"/>
  <c r="B5875"/>
  <c r="B5876"/>
  <c r="B5877"/>
  <c r="B5878"/>
  <c r="B5879"/>
  <c r="B5880"/>
  <c r="B5881"/>
  <c r="B5882"/>
  <c r="B5883"/>
  <c r="B5884"/>
  <c r="B5885"/>
  <c r="B5886"/>
  <c r="B5887"/>
  <c r="B5888"/>
  <c r="B5889"/>
  <c r="B5890"/>
  <c r="B5891"/>
  <c r="B5892"/>
  <c r="B5893"/>
  <c r="B5894"/>
  <c r="B5895"/>
  <c r="B5896"/>
  <c r="B5897"/>
  <c r="B5898"/>
  <c r="B5899"/>
  <c r="B5900"/>
  <c r="B5901"/>
  <c r="B5902"/>
  <c r="B5903"/>
  <c r="B5904"/>
  <c r="B5905"/>
  <c r="B5906"/>
  <c r="B5907"/>
  <c r="B5908"/>
  <c r="B5909"/>
  <c r="B5910"/>
  <c r="B5911"/>
  <c r="B5912"/>
  <c r="B5913"/>
  <c r="B5914"/>
  <c r="B5915"/>
  <c r="B5916"/>
  <c r="B5917"/>
  <c r="B5918"/>
  <c r="B5919"/>
  <c r="B5920"/>
  <c r="B5921"/>
  <c r="B5922"/>
  <c r="B5923"/>
  <c r="B5924"/>
  <c r="B5925"/>
  <c r="B5926"/>
  <c r="B5927"/>
  <c r="B5928"/>
  <c r="B5929"/>
  <c r="B5930"/>
  <c r="B5931"/>
  <c r="B5932"/>
  <c r="B5933"/>
  <c r="B5934"/>
  <c r="B5935"/>
  <c r="B5936"/>
  <c r="B5937"/>
  <c r="B5938"/>
  <c r="B5939"/>
  <c r="B5940"/>
  <c r="B5941"/>
  <c r="B5942"/>
  <c r="B5943"/>
  <c r="B5944"/>
  <c r="B5945"/>
  <c r="B5946"/>
  <c r="B5947"/>
  <c r="B5948"/>
  <c r="B5949"/>
  <c r="B5950"/>
  <c r="B5951"/>
  <c r="B5952"/>
  <c r="B5953"/>
  <c r="B5954"/>
  <c r="B5955"/>
  <c r="B5956"/>
  <c r="B5957"/>
  <c r="B5958"/>
  <c r="B5959"/>
  <c r="B5960"/>
  <c r="B5961"/>
  <c r="B5962"/>
  <c r="B5963"/>
  <c r="B5964"/>
  <c r="B5965"/>
  <c r="B5966"/>
  <c r="B5967"/>
  <c r="B5968"/>
  <c r="B5969"/>
  <c r="B5970"/>
  <c r="B5971"/>
  <c r="B5972"/>
  <c r="B5973"/>
  <c r="B5974"/>
  <c r="B5975"/>
  <c r="B5976"/>
  <c r="B5977"/>
  <c r="B5978"/>
  <c r="B5979"/>
  <c r="B5980"/>
  <c r="B5981"/>
  <c r="B5982"/>
  <c r="B5983"/>
  <c r="B5984"/>
  <c r="B5985"/>
  <c r="B5986"/>
  <c r="B5987"/>
  <c r="B5988"/>
  <c r="B5989"/>
  <c r="B5990"/>
  <c r="B5991"/>
  <c r="B5992"/>
  <c r="B5993"/>
  <c r="B5994"/>
  <c r="B5995"/>
  <c r="B5996"/>
  <c r="B5997"/>
  <c r="B5998"/>
  <c r="B5999"/>
  <c r="B6000"/>
  <c r="B6001"/>
  <c r="B6002"/>
  <c r="B6003"/>
  <c r="B6004"/>
  <c r="B6005"/>
  <c r="B6006"/>
  <c r="B6007"/>
  <c r="B6008"/>
  <c r="B6009"/>
  <c r="B6010"/>
  <c r="B6011"/>
  <c r="B6012"/>
  <c r="B6013"/>
  <c r="B6014"/>
  <c r="B6015"/>
  <c r="B6016"/>
  <c r="B6017"/>
  <c r="B6018"/>
  <c r="B6019"/>
  <c r="B6020"/>
  <c r="B6021"/>
  <c r="B6022"/>
  <c r="B6023"/>
  <c r="B6024"/>
  <c r="B6025"/>
  <c r="B6026"/>
  <c r="B6027"/>
  <c r="B6028"/>
  <c r="B6029"/>
  <c r="B6030"/>
  <c r="B6031"/>
  <c r="B6032"/>
  <c r="B6033"/>
  <c r="B6034"/>
  <c r="B6035"/>
  <c r="B6036"/>
  <c r="B6037"/>
  <c r="B6038"/>
  <c r="B6039"/>
  <c r="B6040"/>
  <c r="B6041"/>
  <c r="B6042"/>
  <c r="B6043"/>
  <c r="B6044"/>
  <c r="B6045"/>
  <c r="B6046"/>
  <c r="B6047"/>
  <c r="B6048"/>
  <c r="B6049"/>
  <c r="B6050"/>
  <c r="B6051"/>
  <c r="B6052"/>
  <c r="B6053"/>
  <c r="B6054"/>
  <c r="B6055"/>
  <c r="B6056"/>
  <c r="B6057"/>
  <c r="B6058"/>
  <c r="B6059"/>
  <c r="B6060"/>
  <c r="B6061"/>
  <c r="B6062"/>
  <c r="B6063"/>
  <c r="B6064"/>
  <c r="B6065"/>
  <c r="B6066"/>
  <c r="B6067"/>
  <c r="B6068"/>
  <c r="B6069"/>
  <c r="B6070"/>
  <c r="B6071"/>
  <c r="B6072"/>
  <c r="B6073"/>
  <c r="B6074"/>
  <c r="B6075"/>
  <c r="B6076"/>
  <c r="B6077"/>
  <c r="B6078"/>
  <c r="B6079"/>
  <c r="B6080"/>
  <c r="B6081"/>
  <c r="B6082"/>
  <c r="B6083"/>
  <c r="B6084"/>
  <c r="B6085"/>
  <c r="B6086"/>
  <c r="B6087"/>
  <c r="B6088"/>
  <c r="B6089"/>
  <c r="B6090"/>
  <c r="B6091"/>
  <c r="B6092"/>
  <c r="B6093"/>
  <c r="B6094"/>
  <c r="B6095"/>
  <c r="B6096"/>
  <c r="B6097"/>
  <c r="B6098"/>
  <c r="B6099"/>
  <c r="B6100"/>
  <c r="B6101"/>
  <c r="B6102"/>
  <c r="B6103"/>
  <c r="B6104"/>
  <c r="B6105"/>
  <c r="B6106"/>
  <c r="B6107"/>
  <c r="B6108"/>
  <c r="B6109"/>
  <c r="B6110"/>
  <c r="B6111"/>
  <c r="B6112"/>
  <c r="B6113"/>
  <c r="B6114"/>
  <c r="B6115"/>
  <c r="B6116"/>
  <c r="B6117"/>
  <c r="B6118"/>
  <c r="B6119"/>
  <c r="B6120"/>
  <c r="B6121"/>
  <c r="B6122"/>
  <c r="B6123"/>
  <c r="B6124"/>
  <c r="B6125"/>
  <c r="B6126"/>
  <c r="B6127"/>
  <c r="B6128"/>
  <c r="B6129"/>
  <c r="B6130"/>
  <c r="B6131"/>
  <c r="B6132"/>
  <c r="B6133"/>
  <c r="B6134"/>
  <c r="B6135"/>
  <c r="B6136"/>
  <c r="B6137"/>
  <c r="B6138"/>
  <c r="B6139"/>
  <c r="B6140"/>
  <c r="B6141"/>
  <c r="B6142"/>
  <c r="B6143"/>
  <c r="B6144"/>
  <c r="B6145"/>
  <c r="B6146"/>
  <c r="B6147"/>
  <c r="B6148"/>
  <c r="B6149"/>
  <c r="B6150"/>
  <c r="B6151"/>
  <c r="B6152"/>
  <c r="B6153"/>
  <c r="B6154"/>
  <c r="B6155"/>
  <c r="B6156"/>
  <c r="B6157"/>
  <c r="B6158"/>
  <c r="B6159"/>
  <c r="B6160"/>
  <c r="B6161"/>
  <c r="B6162"/>
  <c r="B6163"/>
  <c r="B6164"/>
  <c r="B6165"/>
  <c r="B6166"/>
  <c r="B6167"/>
  <c r="B6168"/>
  <c r="B6169"/>
  <c r="B6170"/>
  <c r="B6171"/>
  <c r="B6172"/>
  <c r="B6173"/>
  <c r="B6174"/>
  <c r="B6175"/>
  <c r="B6176"/>
  <c r="B6177"/>
  <c r="B6178"/>
  <c r="B6179"/>
  <c r="B6180"/>
  <c r="B6181"/>
  <c r="B6182"/>
  <c r="B6183"/>
  <c r="B6184"/>
  <c r="B6185"/>
  <c r="B6186"/>
  <c r="B6187"/>
  <c r="B6188"/>
  <c r="B6189"/>
  <c r="B6190"/>
  <c r="B6191"/>
  <c r="B6192"/>
  <c r="B6193"/>
  <c r="B6194"/>
  <c r="B6195"/>
  <c r="B6196"/>
  <c r="B6197"/>
  <c r="B6198"/>
  <c r="B6199"/>
  <c r="B6200"/>
  <c r="B6201"/>
  <c r="B6202"/>
  <c r="B6203"/>
  <c r="B6204"/>
  <c r="B6205"/>
  <c r="B6206"/>
  <c r="B6207"/>
  <c r="B6208"/>
  <c r="B6209"/>
  <c r="B6210"/>
  <c r="B6211"/>
  <c r="B6212"/>
  <c r="B6213"/>
  <c r="B6214"/>
  <c r="B6215"/>
  <c r="B6216"/>
  <c r="B6217"/>
  <c r="B6218"/>
  <c r="B6219"/>
  <c r="B6220"/>
  <c r="B6221"/>
  <c r="B6222"/>
  <c r="B6223"/>
  <c r="B6224"/>
  <c r="B6225"/>
  <c r="B6226"/>
  <c r="B6227"/>
  <c r="B6228"/>
  <c r="B6229"/>
  <c r="B6230"/>
  <c r="B6231"/>
  <c r="B6232"/>
  <c r="B6233"/>
  <c r="B6234"/>
  <c r="B6235"/>
  <c r="B6236"/>
  <c r="B6237"/>
  <c r="B6238"/>
  <c r="B6239"/>
  <c r="B6240"/>
  <c r="B6241"/>
  <c r="B6242"/>
  <c r="B6243"/>
  <c r="B6244"/>
  <c r="B6245"/>
  <c r="B6246"/>
  <c r="B6247"/>
  <c r="B6248"/>
  <c r="B6249"/>
  <c r="B6250"/>
  <c r="B6251"/>
  <c r="B6252"/>
  <c r="B6253"/>
  <c r="B6254"/>
  <c r="B6255"/>
  <c r="B6256"/>
  <c r="B6257"/>
  <c r="B6258"/>
  <c r="B6259"/>
  <c r="B6260"/>
  <c r="B6261"/>
  <c r="B6262"/>
  <c r="B6263"/>
  <c r="B6264"/>
  <c r="B6265"/>
  <c r="B6266"/>
  <c r="B6267"/>
  <c r="B6268"/>
  <c r="B6269"/>
  <c r="B6270"/>
  <c r="B6271"/>
  <c r="B6272"/>
  <c r="B6273"/>
  <c r="B6274"/>
  <c r="B6275"/>
  <c r="B6276"/>
  <c r="B6277"/>
  <c r="B6278"/>
  <c r="B6279"/>
  <c r="B6280"/>
  <c r="B6281"/>
  <c r="B6282"/>
  <c r="B6283"/>
  <c r="B6284"/>
  <c r="B6285"/>
  <c r="B6286"/>
  <c r="B6287"/>
  <c r="B6288"/>
  <c r="B6289"/>
  <c r="B6290"/>
  <c r="B6291"/>
  <c r="B6292"/>
  <c r="B6293"/>
  <c r="B6294"/>
  <c r="B6295"/>
  <c r="B6296"/>
  <c r="B6297"/>
  <c r="B6298"/>
  <c r="B6299"/>
  <c r="B6300"/>
  <c r="B6301"/>
  <c r="B6302"/>
  <c r="B6303"/>
  <c r="B6304"/>
  <c r="B6305"/>
  <c r="B6306"/>
  <c r="B6307"/>
  <c r="B6308"/>
  <c r="B6309"/>
  <c r="B6310"/>
  <c r="B6311"/>
  <c r="B6312"/>
  <c r="B6313"/>
  <c r="B6314"/>
  <c r="B6315"/>
  <c r="B6316"/>
  <c r="B6317"/>
  <c r="B6318"/>
  <c r="B6319"/>
  <c r="B6320"/>
  <c r="B6321"/>
  <c r="B6322"/>
  <c r="B6323"/>
  <c r="B6324"/>
  <c r="B6325"/>
  <c r="B6326"/>
  <c r="B6327"/>
  <c r="B6328"/>
  <c r="B6329"/>
  <c r="B6330"/>
  <c r="B6331"/>
  <c r="B6332"/>
  <c r="B6333"/>
  <c r="B6334"/>
  <c r="B6335"/>
  <c r="B6336"/>
  <c r="B6337"/>
  <c r="B6338"/>
  <c r="B6339"/>
  <c r="B6340"/>
  <c r="B6341"/>
  <c r="B6342"/>
  <c r="B6343"/>
  <c r="B6344"/>
  <c r="B6345"/>
  <c r="B6346"/>
  <c r="B6347"/>
  <c r="B6348"/>
  <c r="B6349"/>
  <c r="B6350"/>
  <c r="B6351"/>
  <c r="B6352"/>
  <c r="B6353"/>
  <c r="B6354"/>
  <c r="B6355"/>
  <c r="B6356"/>
  <c r="B6357"/>
  <c r="B6358"/>
  <c r="B6359"/>
  <c r="B6360"/>
  <c r="B6361"/>
  <c r="B6362"/>
  <c r="B6363"/>
  <c r="B6364"/>
  <c r="B6365"/>
  <c r="B6366"/>
  <c r="B6367"/>
  <c r="B6368"/>
  <c r="B6369"/>
  <c r="B6370"/>
  <c r="B6371"/>
  <c r="B6372"/>
  <c r="B6373"/>
  <c r="B6374"/>
  <c r="B6375"/>
  <c r="B6376"/>
  <c r="B6377"/>
  <c r="B6378"/>
  <c r="B6379"/>
  <c r="B6380"/>
  <c r="B6381"/>
  <c r="B6382"/>
  <c r="B6383"/>
  <c r="B6384"/>
  <c r="B6385"/>
  <c r="B6386"/>
  <c r="B6387"/>
  <c r="B6388"/>
  <c r="B6389"/>
  <c r="B6390"/>
  <c r="B6391"/>
  <c r="B6392"/>
  <c r="B6393"/>
  <c r="B6394"/>
  <c r="B6395"/>
  <c r="B6396"/>
  <c r="B6397"/>
  <c r="B6398"/>
  <c r="B6399"/>
  <c r="B6400"/>
  <c r="B6401"/>
  <c r="B6402"/>
  <c r="B6403"/>
  <c r="B6404"/>
  <c r="B6405"/>
  <c r="B6406"/>
  <c r="B6407"/>
  <c r="B6408"/>
  <c r="B6409"/>
  <c r="B6410"/>
  <c r="B6411"/>
  <c r="B6412"/>
  <c r="B6413"/>
  <c r="B6414"/>
  <c r="B6415"/>
  <c r="B6416"/>
  <c r="B6417"/>
  <c r="B6418"/>
  <c r="B6419"/>
  <c r="B6420"/>
  <c r="B6421"/>
  <c r="B6422"/>
  <c r="B6423"/>
  <c r="B6424"/>
  <c r="B6425"/>
  <c r="B6426"/>
  <c r="B6427"/>
  <c r="B6428"/>
  <c r="B6429"/>
  <c r="B6430"/>
  <c r="B6431"/>
  <c r="B6432"/>
  <c r="B6433"/>
  <c r="B6434"/>
  <c r="B6435"/>
  <c r="B6436"/>
  <c r="B6437"/>
  <c r="B6438"/>
  <c r="B6439"/>
  <c r="B6440"/>
  <c r="B6441"/>
  <c r="B6442"/>
  <c r="B6443"/>
  <c r="B6444"/>
  <c r="B6445"/>
  <c r="B6446"/>
  <c r="B6447"/>
  <c r="B6448"/>
  <c r="B6449"/>
  <c r="B6450"/>
  <c r="B6451"/>
  <c r="B6452"/>
  <c r="B6453"/>
  <c r="B6454"/>
  <c r="B6455"/>
  <c r="B6456"/>
  <c r="B6457"/>
  <c r="B6458"/>
  <c r="B6459"/>
  <c r="B6460"/>
  <c r="B6461"/>
  <c r="B6462"/>
  <c r="B6463"/>
  <c r="B6464"/>
  <c r="B6465"/>
  <c r="B6466"/>
  <c r="B6467"/>
  <c r="B6468"/>
  <c r="B6469"/>
  <c r="B6470"/>
  <c r="B6471"/>
  <c r="B6472"/>
  <c r="B6473"/>
  <c r="B6474"/>
  <c r="B6475"/>
  <c r="B6476"/>
  <c r="B6477"/>
  <c r="B6478"/>
  <c r="B6479"/>
  <c r="B6480"/>
  <c r="B6481"/>
  <c r="B6482"/>
  <c r="B6483"/>
  <c r="B6484"/>
  <c r="B6485"/>
  <c r="B6486"/>
  <c r="B6487"/>
  <c r="B6488"/>
  <c r="B6489"/>
  <c r="B6490"/>
  <c r="B6491"/>
  <c r="B6492"/>
  <c r="B6493"/>
  <c r="B6494"/>
  <c r="B6495"/>
  <c r="B6496"/>
  <c r="B6497"/>
  <c r="B6498"/>
  <c r="B6499"/>
  <c r="B6500"/>
  <c r="B6501"/>
  <c r="B6502"/>
  <c r="B6503"/>
  <c r="B6504"/>
  <c r="B6505"/>
  <c r="B6506"/>
  <c r="B6507"/>
  <c r="B6508"/>
  <c r="B6509"/>
  <c r="B6510"/>
  <c r="B6511"/>
  <c r="B6512"/>
  <c r="B6513"/>
  <c r="B6514"/>
  <c r="B6515"/>
  <c r="B6516"/>
  <c r="B6517"/>
  <c r="B6518"/>
  <c r="B6519"/>
  <c r="B6520"/>
  <c r="B6521"/>
  <c r="B6522"/>
  <c r="B6523"/>
  <c r="B6524"/>
  <c r="B6525"/>
  <c r="B6526"/>
  <c r="B6527"/>
  <c r="B6528"/>
  <c r="B6529"/>
  <c r="B6530"/>
  <c r="B6531"/>
  <c r="B6532"/>
  <c r="B6533"/>
  <c r="B6534"/>
  <c r="B6535"/>
  <c r="B6536"/>
  <c r="B6537"/>
  <c r="B6538"/>
  <c r="B6539"/>
  <c r="B6540"/>
  <c r="B6541"/>
  <c r="B6542"/>
  <c r="B6543"/>
  <c r="B6544"/>
  <c r="B6545"/>
  <c r="B6546"/>
  <c r="B6547"/>
  <c r="B6548"/>
  <c r="B6549"/>
  <c r="B6550"/>
  <c r="B6551"/>
  <c r="B6552"/>
  <c r="B6553"/>
  <c r="B6554"/>
  <c r="B6555"/>
  <c r="B6556"/>
  <c r="B6557"/>
  <c r="B6558"/>
  <c r="B6559"/>
  <c r="B6560"/>
  <c r="B6561"/>
  <c r="B6562"/>
  <c r="B6563"/>
  <c r="B6564"/>
  <c r="B6565"/>
  <c r="B6566"/>
  <c r="B6567"/>
  <c r="B6568"/>
  <c r="B6569"/>
  <c r="B6570"/>
  <c r="B6571"/>
  <c r="B6572"/>
  <c r="B6573"/>
  <c r="B6574"/>
  <c r="B6575"/>
  <c r="B6576"/>
  <c r="B6577"/>
  <c r="B6578"/>
  <c r="B6579"/>
  <c r="B6580"/>
  <c r="B6581"/>
  <c r="B6582"/>
  <c r="B6583"/>
  <c r="B6584"/>
  <c r="B6585"/>
  <c r="B6586"/>
  <c r="B6587"/>
  <c r="B6588"/>
  <c r="B6589"/>
  <c r="B6590"/>
  <c r="B6591"/>
  <c r="B6592"/>
  <c r="B6593"/>
  <c r="B6594"/>
  <c r="B6595"/>
  <c r="B6596"/>
  <c r="B6597"/>
  <c r="B6598"/>
  <c r="B6599"/>
  <c r="B6600"/>
  <c r="B6601"/>
  <c r="B6602"/>
  <c r="B6603"/>
  <c r="B6604"/>
  <c r="B6605"/>
  <c r="B6606"/>
  <c r="B6607"/>
  <c r="B6608"/>
  <c r="B6609"/>
  <c r="B6610"/>
  <c r="B6611"/>
  <c r="B6612"/>
  <c r="B6613"/>
  <c r="B6614"/>
  <c r="B6615"/>
  <c r="B6616"/>
  <c r="B6617"/>
  <c r="B6618"/>
  <c r="B6619"/>
  <c r="B6620"/>
  <c r="B6621"/>
  <c r="B6622"/>
  <c r="B6623"/>
  <c r="B6624"/>
  <c r="B6625"/>
  <c r="B6626"/>
  <c r="B6627"/>
  <c r="B6628"/>
  <c r="B6629"/>
  <c r="B6630"/>
  <c r="B6631"/>
  <c r="B6632"/>
  <c r="B6633"/>
  <c r="B6634"/>
  <c r="B6635"/>
  <c r="B6636"/>
  <c r="B6637"/>
  <c r="B6638"/>
  <c r="B6639"/>
  <c r="B6640"/>
  <c r="B6641"/>
  <c r="B6642"/>
  <c r="B6643"/>
  <c r="B6644"/>
  <c r="B6645"/>
  <c r="B6646"/>
  <c r="B6647"/>
  <c r="B6648"/>
  <c r="B6649"/>
  <c r="B6650"/>
  <c r="B6651"/>
  <c r="B6652"/>
  <c r="B6653"/>
  <c r="B6654"/>
  <c r="B6655"/>
  <c r="B6656"/>
  <c r="B6657"/>
  <c r="B6658"/>
  <c r="B6659"/>
  <c r="B6660"/>
  <c r="B6661"/>
  <c r="B6662"/>
  <c r="B6663"/>
  <c r="B6664"/>
  <c r="B6665"/>
  <c r="B6666"/>
  <c r="B6667"/>
  <c r="B6668"/>
  <c r="B6669"/>
  <c r="B6670"/>
  <c r="B6671"/>
  <c r="B6672"/>
  <c r="B6673"/>
  <c r="B6674"/>
  <c r="B6675"/>
  <c r="B6676"/>
  <c r="B6677"/>
  <c r="B6678"/>
  <c r="B6679"/>
  <c r="B6680"/>
  <c r="B6681"/>
  <c r="B6682"/>
  <c r="B6683"/>
  <c r="B6684"/>
  <c r="B6685"/>
  <c r="B6686"/>
  <c r="B6687"/>
  <c r="B6688"/>
  <c r="B6689"/>
  <c r="B6690"/>
  <c r="B6691"/>
  <c r="B6692"/>
  <c r="B6693"/>
  <c r="B6694"/>
  <c r="B6695"/>
  <c r="B6696"/>
  <c r="B6697"/>
  <c r="B6698"/>
  <c r="B6699"/>
  <c r="B6700"/>
  <c r="B6701"/>
  <c r="B6702"/>
  <c r="B6703"/>
  <c r="B6704"/>
  <c r="B6705"/>
  <c r="B6706"/>
  <c r="B6707"/>
  <c r="B6708"/>
  <c r="B6709"/>
  <c r="B6710"/>
  <c r="B6711"/>
  <c r="B6712"/>
  <c r="B6713"/>
  <c r="B6714"/>
  <c r="B6715"/>
  <c r="B6716"/>
  <c r="B6717"/>
  <c r="B6718"/>
  <c r="B6719"/>
  <c r="B6720"/>
  <c r="B6721"/>
  <c r="B6722"/>
  <c r="B6723"/>
  <c r="B6724"/>
  <c r="B6725"/>
  <c r="B6726"/>
  <c r="B6727"/>
  <c r="B6728"/>
  <c r="B6729"/>
  <c r="B6730"/>
  <c r="B6731"/>
  <c r="B6732"/>
  <c r="B6733"/>
  <c r="B6734"/>
  <c r="B6735"/>
  <c r="B6736"/>
  <c r="B6737"/>
  <c r="B6738"/>
  <c r="B6739"/>
  <c r="B6740"/>
  <c r="B6741"/>
  <c r="B6742"/>
  <c r="B6743"/>
  <c r="B6744"/>
  <c r="B6745"/>
  <c r="B6746"/>
  <c r="B6747"/>
  <c r="B6748"/>
  <c r="B6749"/>
  <c r="B6750"/>
  <c r="B6751"/>
  <c r="B6752"/>
  <c r="B6753"/>
  <c r="B6754"/>
  <c r="B6755"/>
  <c r="B6756"/>
  <c r="B6757"/>
  <c r="B6758"/>
  <c r="B6759"/>
  <c r="B6760"/>
  <c r="B6761"/>
  <c r="B6762"/>
  <c r="B6763"/>
  <c r="B6764"/>
  <c r="B6765"/>
  <c r="B6766"/>
  <c r="B6767"/>
  <c r="B6768"/>
  <c r="B6769"/>
  <c r="B6770"/>
  <c r="B6771"/>
  <c r="B6772"/>
  <c r="B6773"/>
  <c r="B6774"/>
  <c r="B6775"/>
  <c r="B6776"/>
  <c r="B6777"/>
  <c r="B6778"/>
  <c r="B6779"/>
  <c r="B6780"/>
  <c r="B6781"/>
  <c r="B6782"/>
  <c r="B6783"/>
  <c r="B6784"/>
  <c r="B6785"/>
  <c r="B6786"/>
  <c r="B6787"/>
  <c r="B6788"/>
  <c r="B6789"/>
  <c r="B6790"/>
  <c r="B6791"/>
  <c r="B6792"/>
  <c r="B6793"/>
  <c r="B6794"/>
  <c r="B6795"/>
  <c r="B6796"/>
  <c r="B6797"/>
  <c r="B6798"/>
  <c r="B6799"/>
  <c r="B6800"/>
  <c r="B6801"/>
  <c r="B6802"/>
  <c r="B6803"/>
  <c r="B6804"/>
  <c r="B6805"/>
  <c r="B6806"/>
  <c r="B6807"/>
  <c r="B6808"/>
  <c r="B6809"/>
  <c r="B6810"/>
  <c r="B6811"/>
  <c r="B6812"/>
  <c r="B6813"/>
  <c r="B6814"/>
  <c r="B6815"/>
  <c r="B6816"/>
  <c r="B6817"/>
  <c r="B6818"/>
  <c r="B6819"/>
  <c r="B6820"/>
  <c r="B6821"/>
  <c r="B6822"/>
  <c r="B6823"/>
  <c r="B6824"/>
  <c r="B6825"/>
  <c r="B6826"/>
  <c r="B6827"/>
  <c r="B6828"/>
  <c r="B6829"/>
  <c r="B6830"/>
  <c r="B6831"/>
  <c r="B6832"/>
  <c r="B6833"/>
  <c r="B6834"/>
  <c r="B6835"/>
  <c r="B6836"/>
  <c r="B6837"/>
  <c r="B6838"/>
  <c r="B6839"/>
  <c r="B6840"/>
  <c r="B6841"/>
  <c r="B6842"/>
  <c r="B6843"/>
  <c r="B6844"/>
  <c r="B6845"/>
  <c r="B6846"/>
  <c r="B6847"/>
  <c r="B6848"/>
  <c r="B6849"/>
  <c r="B6850"/>
  <c r="B6851"/>
  <c r="B6852"/>
  <c r="B6853"/>
  <c r="B6854"/>
  <c r="B6855"/>
  <c r="B6856"/>
  <c r="B6857"/>
  <c r="B6858"/>
  <c r="B6859"/>
  <c r="B6860"/>
  <c r="B6861"/>
  <c r="B6862"/>
  <c r="B6863"/>
  <c r="B6864"/>
  <c r="B6865"/>
  <c r="B6866"/>
  <c r="B6867"/>
  <c r="B6868"/>
  <c r="B6869"/>
  <c r="B6870"/>
  <c r="B6871"/>
  <c r="B6872"/>
  <c r="B6873"/>
  <c r="B6874"/>
  <c r="B6875"/>
  <c r="B6876"/>
  <c r="B6877"/>
  <c r="B6878"/>
  <c r="B6879"/>
  <c r="B6880"/>
  <c r="B6881"/>
  <c r="B6882"/>
  <c r="B6883"/>
  <c r="B6884"/>
  <c r="B6885"/>
  <c r="B6886"/>
  <c r="B6887"/>
  <c r="B6888"/>
  <c r="B6889"/>
  <c r="B6890"/>
  <c r="B6891"/>
  <c r="B6892"/>
  <c r="B6893"/>
  <c r="B6894"/>
  <c r="B6895"/>
  <c r="B6896"/>
  <c r="B6897"/>
  <c r="B6898"/>
  <c r="B6899"/>
  <c r="B6900"/>
  <c r="B6901"/>
  <c r="B6902"/>
  <c r="B6903"/>
  <c r="B6904"/>
  <c r="B6905"/>
  <c r="B6906"/>
  <c r="B6907"/>
  <c r="B6908"/>
  <c r="B6909"/>
  <c r="B6910"/>
  <c r="B6911"/>
  <c r="B6912"/>
  <c r="B6913"/>
  <c r="B6914"/>
  <c r="B6915"/>
  <c r="B6916"/>
  <c r="B6917"/>
  <c r="B6918"/>
  <c r="B6919"/>
  <c r="B6920"/>
  <c r="B6921"/>
  <c r="B6922"/>
  <c r="B6923"/>
  <c r="B6924"/>
  <c r="B6925"/>
  <c r="B6926"/>
  <c r="B6927"/>
  <c r="B6928"/>
  <c r="B6929"/>
  <c r="B6930"/>
  <c r="B6931"/>
  <c r="B6932"/>
  <c r="B6933"/>
  <c r="B6934"/>
  <c r="B6935"/>
  <c r="B6936"/>
  <c r="B6937"/>
  <c r="B6938"/>
  <c r="B6939"/>
  <c r="B6940"/>
  <c r="B6941"/>
  <c r="B6942"/>
  <c r="B6943"/>
  <c r="B6944"/>
  <c r="B6945"/>
  <c r="B6946"/>
  <c r="B6947"/>
  <c r="B6948"/>
  <c r="B6949"/>
  <c r="B6950"/>
  <c r="B6951"/>
  <c r="B6952"/>
  <c r="B6953"/>
  <c r="B6954"/>
  <c r="B6955"/>
  <c r="B6956"/>
  <c r="B6957"/>
  <c r="B6958"/>
  <c r="B6959"/>
  <c r="B6960"/>
  <c r="B6961"/>
  <c r="B6962"/>
  <c r="B6963"/>
  <c r="B6964"/>
  <c r="B6965"/>
  <c r="B6966"/>
  <c r="B6967"/>
  <c r="B6968"/>
  <c r="B6969"/>
  <c r="B6970"/>
  <c r="B6971"/>
  <c r="B6972"/>
  <c r="B6973"/>
  <c r="B6974"/>
  <c r="B6975"/>
  <c r="B6976"/>
  <c r="B6977"/>
  <c r="B6978"/>
  <c r="B6979"/>
  <c r="B6980"/>
  <c r="B6981"/>
  <c r="B6982"/>
  <c r="B6983"/>
  <c r="B6984"/>
  <c r="B6985"/>
  <c r="B6986"/>
  <c r="B6987"/>
  <c r="B6988"/>
  <c r="B6989"/>
  <c r="B6990"/>
  <c r="B6991"/>
  <c r="B6992"/>
  <c r="B6993"/>
  <c r="B6994"/>
  <c r="B6995"/>
  <c r="B6996"/>
  <c r="B6997"/>
  <c r="B6998"/>
  <c r="B6999"/>
  <c r="B7000"/>
  <c r="B7001"/>
  <c r="B7002"/>
  <c r="B7003"/>
  <c r="B7004"/>
  <c r="B7005"/>
  <c r="B7006"/>
  <c r="B7007"/>
  <c r="B7008"/>
  <c r="B7009"/>
  <c r="B7010"/>
  <c r="B7011"/>
  <c r="B7012"/>
  <c r="B7013"/>
  <c r="B7014"/>
  <c r="B7015"/>
  <c r="B7016"/>
  <c r="B7017"/>
  <c r="B7018"/>
  <c r="B7019"/>
  <c r="B7020"/>
  <c r="B7021"/>
  <c r="B7022"/>
  <c r="B7023"/>
  <c r="B7024"/>
  <c r="B7025"/>
  <c r="B7026"/>
  <c r="B7027"/>
  <c r="B7028"/>
  <c r="B7029"/>
  <c r="B7030"/>
  <c r="B7031"/>
  <c r="B7032"/>
  <c r="B7033"/>
  <c r="B7034"/>
  <c r="B7035"/>
  <c r="B7036"/>
  <c r="B7037"/>
  <c r="B7038"/>
  <c r="B7039"/>
  <c r="B7040"/>
  <c r="B7041"/>
  <c r="B7042"/>
  <c r="B7043"/>
  <c r="B7044"/>
  <c r="B7045"/>
  <c r="B7046"/>
  <c r="B7047"/>
  <c r="B7048"/>
  <c r="B7049"/>
  <c r="B7050"/>
  <c r="B7051"/>
  <c r="B7052"/>
  <c r="B7053"/>
  <c r="B7054"/>
  <c r="B7055"/>
  <c r="B7056"/>
  <c r="B7057"/>
  <c r="B7058"/>
  <c r="B7059"/>
  <c r="B7060"/>
  <c r="B7061"/>
  <c r="B7062"/>
  <c r="B7063"/>
  <c r="B7064"/>
  <c r="B7065"/>
  <c r="B7066"/>
  <c r="B7067"/>
  <c r="B7068"/>
  <c r="B7069"/>
  <c r="B7070"/>
  <c r="B7071"/>
  <c r="B7072"/>
  <c r="B7073"/>
  <c r="B7074"/>
  <c r="B7075"/>
  <c r="B7076"/>
  <c r="B7077"/>
  <c r="B7078"/>
  <c r="B7079"/>
  <c r="B7080"/>
  <c r="B7081"/>
  <c r="B7082"/>
  <c r="B7083"/>
  <c r="B7084"/>
  <c r="B7085"/>
  <c r="B7086"/>
  <c r="B7087"/>
  <c r="B7088"/>
  <c r="B7089"/>
  <c r="B7090"/>
  <c r="B7091"/>
  <c r="B7092"/>
  <c r="B7093"/>
  <c r="B7094"/>
  <c r="B7095"/>
  <c r="B7096"/>
  <c r="B7097"/>
  <c r="B7098"/>
  <c r="B7099"/>
  <c r="B7100"/>
  <c r="B7101"/>
  <c r="B7102"/>
  <c r="B7103"/>
  <c r="B7104"/>
  <c r="B7105"/>
  <c r="B7106"/>
  <c r="B7107"/>
  <c r="B7108"/>
  <c r="B7109"/>
  <c r="B7110"/>
  <c r="B7111"/>
  <c r="B7112"/>
  <c r="B7113"/>
  <c r="B7114"/>
  <c r="B7115"/>
  <c r="B7116"/>
  <c r="B7117"/>
  <c r="B7118"/>
  <c r="B7119"/>
  <c r="B7120"/>
  <c r="B7121"/>
  <c r="B7122"/>
  <c r="B7123"/>
  <c r="B7124"/>
  <c r="B7125"/>
  <c r="B7126"/>
  <c r="B7127"/>
  <c r="B7128"/>
  <c r="B7129"/>
  <c r="B7130"/>
  <c r="B7131"/>
  <c r="B7132"/>
  <c r="B7133"/>
  <c r="B7134"/>
  <c r="B7135"/>
  <c r="B7136"/>
  <c r="B7137"/>
  <c r="B7138"/>
  <c r="B7139"/>
  <c r="B7140"/>
  <c r="B7141"/>
  <c r="B7142"/>
  <c r="B7143"/>
  <c r="B7144"/>
  <c r="B7145"/>
  <c r="B7146"/>
  <c r="B7147"/>
  <c r="B7148"/>
  <c r="B7149"/>
  <c r="B7150"/>
  <c r="B7151"/>
  <c r="B7152"/>
  <c r="B7153"/>
  <c r="B7154"/>
  <c r="B7155"/>
  <c r="B7156"/>
  <c r="B7157"/>
  <c r="B7158"/>
  <c r="B7159"/>
  <c r="B7160"/>
  <c r="B7161"/>
  <c r="B7162"/>
  <c r="B7163"/>
  <c r="B7164"/>
  <c r="B7165"/>
  <c r="B7166"/>
  <c r="B7167"/>
  <c r="B7168"/>
  <c r="B7169"/>
  <c r="B7170"/>
  <c r="B7171"/>
  <c r="B7172"/>
  <c r="B7173"/>
  <c r="B7174"/>
  <c r="B7175"/>
  <c r="B7176"/>
  <c r="B7177"/>
  <c r="B7178"/>
  <c r="B7179"/>
  <c r="B7180"/>
  <c r="B7181"/>
  <c r="B7182"/>
  <c r="B7183"/>
  <c r="B7184"/>
  <c r="B7185"/>
  <c r="B7186"/>
  <c r="B7187"/>
  <c r="B7188"/>
  <c r="B7189"/>
  <c r="B7190"/>
  <c r="B7191"/>
  <c r="B7192"/>
  <c r="B7193"/>
  <c r="B7194"/>
  <c r="B7195"/>
  <c r="B7196"/>
  <c r="B7197"/>
  <c r="B7198"/>
  <c r="B7199"/>
  <c r="B7200"/>
  <c r="B7201"/>
  <c r="B7202"/>
  <c r="B7203"/>
  <c r="B7204"/>
  <c r="B7205"/>
  <c r="B7206"/>
  <c r="B7207"/>
  <c r="B7208"/>
  <c r="B7209"/>
  <c r="B7210"/>
  <c r="B7211"/>
  <c r="B7212"/>
  <c r="B7213"/>
  <c r="B7214"/>
  <c r="B7215"/>
  <c r="B7216"/>
  <c r="B7217"/>
  <c r="B7218"/>
  <c r="B7219"/>
  <c r="B7220"/>
  <c r="B7221"/>
  <c r="B7222"/>
  <c r="B7223"/>
  <c r="B7224"/>
  <c r="B7225"/>
  <c r="B7226"/>
  <c r="B7227"/>
  <c r="B7228"/>
  <c r="B7229"/>
  <c r="B7230"/>
  <c r="B7231"/>
  <c r="B7232"/>
  <c r="B7233"/>
  <c r="B7234"/>
  <c r="B7235"/>
  <c r="B7236"/>
  <c r="B7237"/>
  <c r="B7238"/>
  <c r="B7239"/>
  <c r="B7240"/>
  <c r="B7241"/>
  <c r="B7242"/>
  <c r="B7243"/>
  <c r="B7244"/>
  <c r="B7245"/>
  <c r="B7246"/>
  <c r="B7247"/>
  <c r="B7248"/>
  <c r="B7249"/>
  <c r="B7250"/>
  <c r="B7251"/>
  <c r="B7252"/>
  <c r="B7253"/>
  <c r="B7254"/>
  <c r="B7255"/>
  <c r="B7256"/>
  <c r="B7257"/>
  <c r="B7258"/>
  <c r="B7259"/>
  <c r="B7260"/>
  <c r="B7261"/>
  <c r="B7262"/>
  <c r="B7263"/>
  <c r="B7264"/>
  <c r="B7265"/>
  <c r="B7266"/>
  <c r="B7267"/>
  <c r="B7268"/>
  <c r="B7269"/>
  <c r="B7270"/>
  <c r="B7271"/>
  <c r="B7272"/>
  <c r="B7273"/>
  <c r="B7274"/>
  <c r="B7275"/>
  <c r="B7276"/>
  <c r="B7277"/>
  <c r="B7278"/>
  <c r="B7279"/>
  <c r="B7280"/>
  <c r="B7281"/>
  <c r="B7282"/>
  <c r="B7283"/>
  <c r="B7284"/>
  <c r="B7285"/>
  <c r="B7286"/>
  <c r="B7287"/>
  <c r="B7288"/>
  <c r="B7289"/>
  <c r="B7290"/>
  <c r="B7291"/>
  <c r="B7292"/>
  <c r="B7293"/>
  <c r="B7294"/>
  <c r="B7295"/>
  <c r="B7296"/>
  <c r="B7297"/>
  <c r="B7298"/>
  <c r="B7299"/>
  <c r="B7300"/>
  <c r="B7301"/>
  <c r="B7302"/>
  <c r="B7303"/>
  <c r="B7304"/>
  <c r="B7305"/>
  <c r="B7306"/>
  <c r="B7307"/>
  <c r="B7308"/>
  <c r="B7309"/>
  <c r="B7310"/>
  <c r="B7311"/>
  <c r="B7312"/>
  <c r="B7313"/>
  <c r="B7314"/>
  <c r="B7315"/>
  <c r="B7316"/>
  <c r="B7317"/>
  <c r="B7318"/>
  <c r="B7319"/>
  <c r="B7320"/>
  <c r="B7321"/>
  <c r="B7322"/>
  <c r="B7323"/>
  <c r="B7324"/>
  <c r="B7325"/>
  <c r="B7326"/>
  <c r="B7327"/>
  <c r="B7328"/>
  <c r="B7329"/>
  <c r="B7330"/>
  <c r="B7331"/>
  <c r="B7332"/>
  <c r="B7333"/>
  <c r="B7334"/>
  <c r="B7335"/>
  <c r="B7336"/>
  <c r="B7337"/>
  <c r="B7338"/>
  <c r="B7339"/>
  <c r="B7340"/>
  <c r="B7341"/>
  <c r="B7342"/>
  <c r="B7343"/>
  <c r="B7344"/>
  <c r="B7345"/>
  <c r="B7346"/>
  <c r="B7347"/>
  <c r="B7348"/>
  <c r="B7349"/>
  <c r="B7350"/>
  <c r="B7351"/>
  <c r="B7352"/>
  <c r="B7353"/>
  <c r="B7354"/>
  <c r="B7355"/>
  <c r="B7356"/>
  <c r="B7357"/>
  <c r="B7358"/>
  <c r="B7359"/>
  <c r="B7360"/>
  <c r="B7361"/>
  <c r="B7362"/>
  <c r="B7363"/>
  <c r="B7364"/>
  <c r="B7365"/>
  <c r="B7366"/>
  <c r="B7367"/>
  <c r="B7368"/>
  <c r="B7369"/>
  <c r="B7370"/>
  <c r="B7371"/>
  <c r="B7372"/>
  <c r="B7373"/>
  <c r="B7374"/>
  <c r="B7375"/>
  <c r="B7376"/>
  <c r="B7377"/>
  <c r="B7378"/>
  <c r="B7379"/>
  <c r="B7380"/>
  <c r="B7381"/>
  <c r="B7382"/>
  <c r="B7383"/>
  <c r="B7384"/>
  <c r="B7385"/>
  <c r="B7386"/>
  <c r="B7387"/>
  <c r="B7388"/>
  <c r="B7389"/>
  <c r="B7390"/>
  <c r="B7391"/>
  <c r="B7392"/>
  <c r="B7393"/>
  <c r="B7394"/>
  <c r="B7395"/>
  <c r="B7396"/>
  <c r="B7397"/>
  <c r="B7398"/>
  <c r="B7399"/>
  <c r="B7400"/>
  <c r="B7401"/>
  <c r="B7402"/>
  <c r="B7403"/>
  <c r="B7404"/>
  <c r="B7405"/>
  <c r="B7406"/>
  <c r="B7407"/>
  <c r="B7408"/>
  <c r="B7409"/>
  <c r="B7410"/>
  <c r="B7411"/>
  <c r="B7412"/>
  <c r="B7413"/>
  <c r="B7414"/>
  <c r="B7415"/>
  <c r="B7416"/>
  <c r="B7417"/>
  <c r="B7418"/>
  <c r="B7419"/>
  <c r="B7420"/>
  <c r="B7421"/>
  <c r="B7422"/>
  <c r="B7423"/>
  <c r="B7424"/>
  <c r="B7425"/>
  <c r="B7426"/>
  <c r="B7427"/>
  <c r="B7428"/>
  <c r="B7429"/>
  <c r="B7430"/>
  <c r="B7431"/>
  <c r="B7432"/>
  <c r="B7433"/>
  <c r="B7434"/>
  <c r="B7435"/>
  <c r="B7436"/>
  <c r="B7437"/>
  <c r="B7438"/>
  <c r="B7439"/>
  <c r="B7440"/>
  <c r="B7441"/>
  <c r="B7442"/>
  <c r="B7443"/>
  <c r="B7444"/>
  <c r="B7445"/>
  <c r="B7446"/>
  <c r="B7447"/>
  <c r="B7448"/>
  <c r="B7449"/>
  <c r="B7450"/>
  <c r="B7451"/>
  <c r="B7452"/>
  <c r="B7453"/>
  <c r="B7454"/>
  <c r="B7455"/>
  <c r="B7456"/>
  <c r="B7457"/>
  <c r="B7458"/>
  <c r="B7459"/>
  <c r="B7460"/>
  <c r="B7461"/>
  <c r="B7462"/>
  <c r="B7463"/>
  <c r="B7464"/>
  <c r="B7465"/>
  <c r="B7466"/>
  <c r="B7467"/>
  <c r="B7468"/>
  <c r="B7469"/>
  <c r="B7470"/>
  <c r="B7471"/>
  <c r="B7472"/>
  <c r="B7473"/>
  <c r="B7474"/>
  <c r="B7475"/>
  <c r="B7476"/>
  <c r="B7477"/>
  <c r="B7478"/>
  <c r="B7479"/>
  <c r="B7480"/>
  <c r="B7481"/>
  <c r="B7482"/>
  <c r="B7483"/>
  <c r="B7484"/>
  <c r="B7485"/>
  <c r="B7486"/>
  <c r="B7487"/>
  <c r="B7488"/>
  <c r="B7489"/>
  <c r="B7490"/>
  <c r="B7491"/>
  <c r="B7492"/>
  <c r="B7493"/>
  <c r="B7494"/>
  <c r="B7495"/>
  <c r="B7496"/>
  <c r="B7497"/>
  <c r="B7498"/>
  <c r="B7499"/>
  <c r="B7500"/>
  <c r="B7501"/>
  <c r="B7502"/>
  <c r="B7503"/>
  <c r="B7504"/>
  <c r="B7505"/>
  <c r="B7506"/>
  <c r="B7507"/>
  <c r="B7508"/>
  <c r="B7509"/>
  <c r="B7510"/>
  <c r="B7511"/>
  <c r="B7512"/>
  <c r="B7513"/>
  <c r="B7514"/>
  <c r="B7515"/>
  <c r="B7516"/>
  <c r="B7517"/>
  <c r="B7518"/>
  <c r="B7519"/>
  <c r="B7520"/>
  <c r="B7521"/>
  <c r="B7522"/>
  <c r="B7523"/>
  <c r="B7524"/>
  <c r="B7525"/>
  <c r="B7526"/>
  <c r="B7527"/>
  <c r="B7528"/>
  <c r="B7529"/>
  <c r="B7530"/>
  <c r="B7531"/>
  <c r="B7532"/>
  <c r="B7533"/>
  <c r="B7534"/>
  <c r="B7535"/>
  <c r="B7536"/>
  <c r="B7537"/>
  <c r="B7538"/>
  <c r="B7539"/>
  <c r="B7540"/>
  <c r="B7541"/>
  <c r="B7542"/>
  <c r="B7543"/>
  <c r="B7544"/>
  <c r="B7545"/>
  <c r="B7546"/>
  <c r="B7547"/>
  <c r="B7548"/>
  <c r="B7549"/>
  <c r="B7550"/>
  <c r="B7551"/>
  <c r="B7552"/>
  <c r="B7553"/>
  <c r="B7554"/>
  <c r="B7555"/>
  <c r="B7556"/>
  <c r="B7557"/>
  <c r="B7558"/>
  <c r="B7559"/>
  <c r="B7560"/>
  <c r="B7561"/>
  <c r="B7562"/>
  <c r="B7563"/>
  <c r="B7564"/>
  <c r="B7565"/>
  <c r="B7566"/>
  <c r="B7567"/>
  <c r="B7568"/>
  <c r="B7569"/>
  <c r="B7570"/>
  <c r="B7571"/>
  <c r="B7572"/>
  <c r="B7573"/>
  <c r="B7574"/>
  <c r="B7575"/>
  <c r="B7576"/>
  <c r="B7577"/>
  <c r="B7578"/>
  <c r="B7579"/>
  <c r="B7580"/>
  <c r="B7581"/>
  <c r="B7582"/>
  <c r="B7583"/>
  <c r="B7584"/>
  <c r="B7585"/>
  <c r="B7586"/>
  <c r="B7587"/>
  <c r="B7588"/>
  <c r="B7589"/>
  <c r="B7590"/>
  <c r="B7591"/>
  <c r="B7592"/>
  <c r="B7593"/>
  <c r="B7594"/>
  <c r="B7595"/>
  <c r="B7596"/>
  <c r="B7597"/>
  <c r="B7598"/>
  <c r="B7599"/>
  <c r="B7600"/>
  <c r="B7601"/>
  <c r="B7602"/>
  <c r="B7603"/>
  <c r="B7604"/>
  <c r="B7605"/>
  <c r="B7606"/>
  <c r="B7607"/>
  <c r="B7608"/>
  <c r="B7609"/>
  <c r="B7610"/>
  <c r="B7611"/>
  <c r="B7612"/>
  <c r="B7613"/>
  <c r="B7614"/>
  <c r="B7615"/>
  <c r="B7616"/>
  <c r="B7617"/>
  <c r="B7618"/>
  <c r="B7619"/>
  <c r="B7620"/>
  <c r="B7621"/>
  <c r="B7622"/>
  <c r="B7623"/>
  <c r="B7624"/>
  <c r="B7625"/>
  <c r="B7626"/>
  <c r="B7627"/>
  <c r="B7628"/>
  <c r="B7629"/>
  <c r="B7630"/>
  <c r="B7631"/>
  <c r="B7632"/>
  <c r="B7633"/>
  <c r="B7634"/>
  <c r="B7635"/>
  <c r="B7636"/>
  <c r="B7637"/>
  <c r="B7638"/>
  <c r="B7639"/>
  <c r="B7640"/>
  <c r="B7641"/>
  <c r="B7642"/>
  <c r="B7643"/>
  <c r="B7644"/>
  <c r="B7645"/>
  <c r="B7646"/>
  <c r="B7647"/>
  <c r="B7648"/>
  <c r="B7649"/>
  <c r="B7650"/>
  <c r="B7651"/>
  <c r="B7652"/>
  <c r="B7653"/>
  <c r="B7654"/>
  <c r="B7655"/>
  <c r="B7656"/>
  <c r="B7657"/>
  <c r="B7658"/>
  <c r="B7659"/>
  <c r="B7660"/>
  <c r="B7661"/>
  <c r="B7662"/>
  <c r="B7663"/>
  <c r="B7664"/>
  <c r="B7665"/>
  <c r="B7666"/>
  <c r="B7667"/>
  <c r="B7668"/>
  <c r="B7669"/>
  <c r="B7670"/>
  <c r="B7671"/>
  <c r="B7672"/>
  <c r="B7673"/>
  <c r="B7674"/>
  <c r="B7675"/>
  <c r="B7676"/>
  <c r="B7677"/>
  <c r="B7678"/>
  <c r="B7679"/>
  <c r="B7680"/>
  <c r="B7681"/>
  <c r="B7682"/>
  <c r="B7683"/>
  <c r="B7684"/>
  <c r="B7685"/>
  <c r="B7686"/>
  <c r="B7687"/>
  <c r="B7688"/>
  <c r="B7689"/>
  <c r="B7690"/>
  <c r="B7691"/>
  <c r="B7692"/>
  <c r="B7693"/>
  <c r="B7694"/>
  <c r="B7695"/>
  <c r="B7696"/>
  <c r="B7697"/>
  <c r="B7698"/>
  <c r="B7699"/>
  <c r="B7700"/>
  <c r="B7701"/>
  <c r="B7702"/>
  <c r="B7703"/>
  <c r="B7704"/>
  <c r="B7705"/>
  <c r="B7706"/>
  <c r="B7707"/>
  <c r="B7708"/>
  <c r="B7709"/>
  <c r="B7710"/>
  <c r="B7711"/>
  <c r="B7712"/>
  <c r="B7713"/>
  <c r="B7714"/>
  <c r="B7715"/>
  <c r="B7716"/>
  <c r="B7717"/>
  <c r="B7718"/>
  <c r="B7719"/>
  <c r="B7720"/>
  <c r="B7721"/>
  <c r="B7722"/>
  <c r="B7723"/>
  <c r="B7724"/>
  <c r="B7725"/>
  <c r="B7726"/>
  <c r="B7727"/>
  <c r="B7728"/>
  <c r="B7729"/>
  <c r="B7730"/>
  <c r="B7731"/>
  <c r="B7732"/>
  <c r="B7733"/>
  <c r="B7734"/>
  <c r="B7735"/>
  <c r="B7736"/>
  <c r="B7737"/>
  <c r="B7738"/>
  <c r="B7739"/>
  <c r="B7740"/>
  <c r="B7741"/>
  <c r="B7742"/>
  <c r="B7743"/>
  <c r="B7744"/>
  <c r="B7745"/>
  <c r="B7746"/>
  <c r="B7747"/>
  <c r="B7748"/>
  <c r="B7749"/>
  <c r="B7750"/>
  <c r="B7751"/>
  <c r="B7752"/>
  <c r="B7753"/>
  <c r="B7754"/>
  <c r="B7755"/>
  <c r="B7756"/>
  <c r="B7757"/>
  <c r="B7758"/>
  <c r="B7759"/>
  <c r="B7760"/>
  <c r="B7761"/>
  <c r="B7762"/>
  <c r="B7763"/>
  <c r="B7764"/>
  <c r="B7765"/>
  <c r="B7766"/>
  <c r="B7767"/>
  <c r="B7768"/>
  <c r="B7769"/>
  <c r="B7770"/>
  <c r="B7771"/>
  <c r="B7772"/>
  <c r="B7773"/>
  <c r="B7774"/>
  <c r="B7775"/>
  <c r="B7776"/>
  <c r="B7777"/>
  <c r="B7778"/>
  <c r="B7779"/>
  <c r="B7780"/>
  <c r="B7781"/>
  <c r="B7782"/>
  <c r="B7783"/>
  <c r="B7784"/>
  <c r="B7785"/>
  <c r="B7786"/>
  <c r="B7787"/>
  <c r="B7788"/>
  <c r="B7789"/>
  <c r="B7790"/>
  <c r="B7791"/>
  <c r="B7792"/>
  <c r="B7793"/>
  <c r="B7794"/>
  <c r="B7795"/>
  <c r="B7796"/>
  <c r="B7797"/>
  <c r="B7798"/>
  <c r="B7799"/>
  <c r="B7800"/>
  <c r="B7801"/>
  <c r="B7802"/>
  <c r="B7803"/>
  <c r="B7804"/>
  <c r="B7805"/>
  <c r="B7806"/>
  <c r="B7807"/>
  <c r="B7808"/>
  <c r="B7809"/>
  <c r="B7810"/>
  <c r="B7811"/>
  <c r="B7812"/>
  <c r="B7813"/>
  <c r="B7814"/>
  <c r="B7815"/>
  <c r="B7816"/>
  <c r="B7817"/>
  <c r="B7818"/>
  <c r="B7819"/>
  <c r="B7820"/>
  <c r="B7821"/>
  <c r="B7822"/>
  <c r="B7823"/>
  <c r="B7824"/>
  <c r="B7825"/>
  <c r="B7826"/>
  <c r="B7827"/>
  <c r="B7828"/>
  <c r="B7829"/>
  <c r="B7830"/>
  <c r="B7831"/>
  <c r="B7832"/>
  <c r="B7833"/>
  <c r="B7834"/>
  <c r="B7835"/>
  <c r="B7836"/>
  <c r="B7837"/>
  <c r="B7838"/>
  <c r="B7839"/>
  <c r="B7840"/>
  <c r="B7841"/>
  <c r="B7842"/>
  <c r="B7843"/>
  <c r="B7844"/>
  <c r="B7845"/>
  <c r="B7846"/>
  <c r="B7847"/>
  <c r="B7848"/>
  <c r="B7849"/>
  <c r="B7850"/>
  <c r="B7851"/>
  <c r="B7852"/>
  <c r="B7853"/>
  <c r="B7854"/>
  <c r="B7855"/>
  <c r="B7856"/>
  <c r="B7857"/>
  <c r="B7858"/>
  <c r="B7859"/>
  <c r="B7860"/>
  <c r="B7861"/>
  <c r="B7862"/>
  <c r="B7863"/>
  <c r="B7864"/>
  <c r="B7865"/>
  <c r="B7866"/>
  <c r="B7867"/>
  <c r="B7868"/>
  <c r="B7869"/>
  <c r="B7870"/>
  <c r="B7871"/>
  <c r="B7872"/>
  <c r="B7873"/>
  <c r="B7874"/>
  <c r="B7875"/>
  <c r="B7876"/>
  <c r="B7877"/>
  <c r="B7878"/>
  <c r="B7879"/>
  <c r="B7880"/>
  <c r="B7881"/>
  <c r="B7882"/>
  <c r="B7883"/>
  <c r="B7884"/>
  <c r="B7885"/>
  <c r="B7886"/>
  <c r="B7887"/>
  <c r="B7888"/>
  <c r="B7889"/>
  <c r="B7890"/>
  <c r="B7891"/>
  <c r="B7892"/>
  <c r="B7893"/>
  <c r="B7894"/>
  <c r="B7895"/>
  <c r="B7896"/>
  <c r="B7897"/>
  <c r="B7898"/>
  <c r="B7899"/>
  <c r="B7900"/>
  <c r="B7901"/>
  <c r="B7902"/>
  <c r="B7903"/>
  <c r="B7904"/>
  <c r="B7905"/>
  <c r="B7906"/>
  <c r="B7907"/>
  <c r="B7908"/>
  <c r="B7909"/>
  <c r="B7910"/>
  <c r="B7911"/>
  <c r="B7912"/>
  <c r="B7913"/>
  <c r="B7914"/>
  <c r="B7915"/>
  <c r="B7916"/>
  <c r="B7917"/>
  <c r="B7918"/>
  <c r="B7919"/>
  <c r="B7920"/>
  <c r="B7921"/>
  <c r="B7922"/>
  <c r="B7923"/>
  <c r="B7924"/>
  <c r="B7925"/>
  <c r="B7926"/>
  <c r="B7927"/>
  <c r="B7928"/>
  <c r="B7929"/>
  <c r="B7930"/>
  <c r="B7931"/>
  <c r="B7932"/>
  <c r="B7933"/>
  <c r="B7934"/>
  <c r="B7935"/>
  <c r="B7936"/>
  <c r="B7937"/>
  <c r="B7938"/>
  <c r="B7939"/>
  <c r="B7940"/>
  <c r="B7941"/>
  <c r="B7942"/>
  <c r="B7943"/>
  <c r="B7944"/>
  <c r="B7945"/>
  <c r="B7946"/>
  <c r="B7947"/>
  <c r="B7948"/>
  <c r="B7949"/>
  <c r="B7950"/>
  <c r="B7951"/>
  <c r="B7952"/>
  <c r="B7953"/>
  <c r="B7954"/>
  <c r="B7955"/>
  <c r="B7956"/>
  <c r="B7957"/>
  <c r="B7958"/>
  <c r="B7959"/>
  <c r="B7960"/>
  <c r="B7961"/>
  <c r="B7962"/>
  <c r="B7963"/>
  <c r="B7964"/>
  <c r="B7965"/>
  <c r="B7966"/>
  <c r="B7967"/>
  <c r="B7968"/>
  <c r="B7969"/>
  <c r="B7970"/>
  <c r="B7971"/>
  <c r="B7972"/>
  <c r="B7973"/>
  <c r="B7974"/>
  <c r="B7975"/>
  <c r="B7976"/>
  <c r="B7977"/>
  <c r="B7978"/>
  <c r="B7979"/>
  <c r="B7980"/>
  <c r="B7981"/>
  <c r="B7982"/>
  <c r="B7983"/>
  <c r="B7984"/>
  <c r="B7985"/>
  <c r="B7986"/>
  <c r="B7987"/>
  <c r="B7988"/>
  <c r="B7989"/>
  <c r="B7990"/>
  <c r="B7991"/>
  <c r="B7992"/>
  <c r="B7993"/>
  <c r="B7994"/>
  <c r="B7995"/>
  <c r="B7996"/>
  <c r="B2"/>
  <c r="H71" l="1"/>
  <c r="J71" s="1"/>
  <c r="I71"/>
  <c r="H1013" l="1"/>
  <c r="J1013" s="1"/>
  <c r="H1017"/>
  <c r="J1017" s="1"/>
  <c r="I1017"/>
  <c r="E6" i="1"/>
  <c r="H17" i="2"/>
  <c r="I17"/>
  <c r="J17"/>
  <c r="H18"/>
  <c r="I18"/>
  <c r="J18"/>
  <c r="H19"/>
  <c r="I19"/>
  <c r="J19"/>
  <c r="H20"/>
  <c r="I20"/>
  <c r="J20"/>
  <c r="H21"/>
  <c r="I21"/>
  <c r="J21"/>
  <c r="H22"/>
  <c r="I22"/>
  <c r="J22"/>
  <c r="H23"/>
  <c r="I23"/>
  <c r="J23"/>
  <c r="H24"/>
  <c r="I24"/>
  <c r="J24"/>
  <c r="H25"/>
  <c r="I25"/>
  <c r="J25"/>
  <c r="H26"/>
  <c r="I26"/>
  <c r="J26"/>
  <c r="H27"/>
  <c r="I27"/>
  <c r="J27"/>
  <c r="H28"/>
  <c r="I28"/>
  <c r="J28"/>
  <c r="H29"/>
  <c r="I29"/>
  <c r="J29"/>
  <c r="H8"/>
  <c r="I8"/>
  <c r="J8"/>
  <c r="H9"/>
  <c r="I9"/>
  <c r="J9"/>
  <c r="H10"/>
  <c r="I10"/>
  <c r="J10"/>
  <c r="H11"/>
  <c r="I11"/>
  <c r="J11"/>
  <c r="H12"/>
  <c r="I12"/>
  <c r="J12"/>
  <c r="H13"/>
  <c r="I13"/>
  <c r="J13"/>
  <c r="H14"/>
  <c r="I14"/>
  <c r="J14"/>
  <c r="H30"/>
  <c r="I30"/>
  <c r="J30"/>
  <c r="H31"/>
  <c r="I31"/>
  <c r="J31"/>
  <c r="H32"/>
  <c r="I32"/>
  <c r="J32"/>
  <c r="H33"/>
  <c r="I33"/>
  <c r="J33"/>
  <c r="H34"/>
  <c r="I34"/>
  <c r="J34"/>
  <c r="H35"/>
  <c r="I35"/>
  <c r="J35"/>
  <c r="H36"/>
  <c r="I36"/>
  <c r="J36"/>
  <c r="H37"/>
  <c r="I37"/>
  <c r="J37"/>
  <c r="H38"/>
  <c r="I38"/>
  <c r="J38"/>
  <c r="H39"/>
  <c r="I39"/>
  <c r="J39"/>
  <c r="H40"/>
  <c r="I40"/>
  <c r="J40"/>
  <c r="H41"/>
  <c r="I41"/>
  <c r="J41"/>
  <c r="H42"/>
  <c r="I42"/>
  <c r="J42"/>
  <c r="H43"/>
  <c r="I43"/>
  <c r="J43"/>
  <c r="H44"/>
  <c r="I44"/>
  <c r="J44"/>
  <c r="H45"/>
  <c r="I45"/>
  <c r="J45"/>
  <c r="H46"/>
  <c r="I46"/>
  <c r="J46"/>
  <c r="H47"/>
  <c r="I47"/>
  <c r="J47"/>
  <c r="H48"/>
  <c r="I48"/>
  <c r="J48"/>
  <c r="H49"/>
  <c r="I49"/>
  <c r="J49"/>
  <c r="H50"/>
  <c r="I50"/>
  <c r="J50"/>
  <c r="H51"/>
  <c r="I51"/>
  <c r="J51"/>
  <c r="H52"/>
  <c r="I52"/>
  <c r="J52"/>
  <c r="H53"/>
  <c r="I53"/>
  <c r="J53"/>
  <c r="H54"/>
  <c r="I54"/>
  <c r="J54"/>
  <c r="H55"/>
  <c r="I55"/>
  <c r="J55"/>
  <c r="H56"/>
  <c r="I56"/>
  <c r="J56"/>
  <c r="H57"/>
  <c r="I57"/>
  <c r="J57"/>
  <c r="H58"/>
  <c r="I58"/>
  <c r="J58"/>
  <c r="H59"/>
  <c r="I59"/>
  <c r="J59"/>
  <c r="H60"/>
  <c r="I60"/>
  <c r="J60"/>
  <c r="H61"/>
  <c r="I61"/>
  <c r="J61"/>
  <c r="H62"/>
  <c r="I62"/>
  <c r="J62"/>
  <c r="H63"/>
  <c r="I63"/>
  <c r="J63"/>
  <c r="H64"/>
  <c r="I64"/>
  <c r="J64"/>
  <c r="H65"/>
  <c r="I65"/>
  <c r="J65"/>
  <c r="H66"/>
  <c r="I66"/>
  <c r="J66"/>
  <c r="H67"/>
  <c r="I67"/>
  <c r="J67"/>
  <c r="H68"/>
  <c r="I68"/>
  <c r="J68"/>
  <c r="H69"/>
  <c r="I69"/>
  <c r="J69"/>
  <c r="H70"/>
  <c r="I70"/>
  <c r="J70"/>
  <c r="H104"/>
  <c r="I104"/>
  <c r="J104"/>
  <c r="H105"/>
  <c r="I105"/>
  <c r="J105"/>
  <c r="H106"/>
  <c r="I106"/>
  <c r="J106"/>
  <c r="H107"/>
  <c r="I107"/>
  <c r="J107"/>
  <c r="H108"/>
  <c r="I108"/>
  <c r="J108"/>
  <c r="H109"/>
  <c r="I109"/>
  <c r="J109"/>
  <c r="H110"/>
  <c r="I110"/>
  <c r="J110"/>
  <c r="H111"/>
  <c r="I111"/>
  <c r="J111"/>
  <c r="H112"/>
  <c r="I112"/>
  <c r="J112"/>
  <c r="H113"/>
  <c r="I113"/>
  <c r="J113"/>
  <c r="H114"/>
  <c r="I114"/>
  <c r="J114"/>
  <c r="H115"/>
  <c r="I115"/>
  <c r="J115"/>
  <c r="H116"/>
  <c r="I116"/>
  <c r="J116"/>
  <c r="H117"/>
  <c r="I117"/>
  <c r="J117"/>
  <c r="H118"/>
  <c r="I118"/>
  <c r="J118"/>
  <c r="H119"/>
  <c r="I119"/>
  <c r="J119"/>
  <c r="H120"/>
  <c r="I120"/>
  <c r="J120"/>
  <c r="H121"/>
  <c r="I121"/>
  <c r="J121"/>
  <c r="H122"/>
  <c r="I122"/>
  <c r="J122"/>
  <c r="H123"/>
  <c r="I123"/>
  <c r="J123"/>
  <c r="H124"/>
  <c r="I124"/>
  <c r="J124"/>
  <c r="H72"/>
  <c r="I72"/>
  <c r="J72"/>
  <c r="H73"/>
  <c r="I73"/>
  <c r="J73"/>
  <c r="H74"/>
  <c r="I74"/>
  <c r="J74"/>
  <c r="H75"/>
  <c r="I75"/>
  <c r="J75"/>
  <c r="H76"/>
  <c r="I76"/>
  <c r="J76"/>
  <c r="H77"/>
  <c r="I77"/>
  <c r="J77"/>
  <c r="H78"/>
  <c r="I78"/>
  <c r="J78"/>
  <c r="H79"/>
  <c r="I79"/>
  <c r="J79"/>
  <c r="H80"/>
  <c r="I80"/>
  <c r="J80"/>
  <c r="H81"/>
  <c r="I81"/>
  <c r="J81"/>
  <c r="H82"/>
  <c r="I82"/>
  <c r="J82"/>
  <c r="H83"/>
  <c r="I83"/>
  <c r="J83"/>
  <c r="H84"/>
  <c r="I84"/>
  <c r="J84"/>
  <c r="H85"/>
  <c r="I85"/>
  <c r="J85"/>
  <c r="H86"/>
  <c r="I86"/>
  <c r="J86"/>
  <c r="H87"/>
  <c r="I87"/>
  <c r="J87"/>
  <c r="H88"/>
  <c r="I88"/>
  <c r="J88"/>
  <c r="H89"/>
  <c r="I89"/>
  <c r="J89"/>
  <c r="H90"/>
  <c r="I90"/>
  <c r="J90"/>
  <c r="H91"/>
  <c r="I91"/>
  <c r="J91"/>
  <c r="H92"/>
  <c r="I92"/>
  <c r="J92"/>
  <c r="H93"/>
  <c r="I93"/>
  <c r="J93"/>
  <c r="H94"/>
  <c r="I94"/>
  <c r="J94"/>
  <c r="H95"/>
  <c r="I95"/>
  <c r="J95"/>
  <c r="H96"/>
  <c r="I96"/>
  <c r="J96"/>
  <c r="H97"/>
  <c r="I97"/>
  <c r="J97"/>
  <c r="H98"/>
  <c r="I98"/>
  <c r="J98"/>
  <c r="H99"/>
  <c r="I99"/>
  <c r="J99"/>
  <c r="H100"/>
  <c r="I100"/>
  <c r="J100"/>
  <c r="H101"/>
  <c r="I101"/>
  <c r="J101"/>
  <c r="H102"/>
  <c r="I102"/>
  <c r="J102"/>
  <c r="H103"/>
  <c r="I103"/>
  <c r="J103"/>
  <c r="H125"/>
  <c r="I125"/>
  <c r="J125"/>
  <c r="H126"/>
  <c r="I126"/>
  <c r="J126"/>
  <c r="H127"/>
  <c r="I127"/>
  <c r="J127"/>
  <c r="H128"/>
  <c r="I128"/>
  <c r="J128"/>
  <c r="H129"/>
  <c r="I129"/>
  <c r="J129"/>
  <c r="H130"/>
  <c r="I130"/>
  <c r="J130"/>
  <c r="H131"/>
  <c r="I131"/>
  <c r="J131"/>
  <c r="H132"/>
  <c r="I132"/>
  <c r="J132"/>
  <c r="H133"/>
  <c r="I133"/>
  <c r="J133"/>
  <c r="H134"/>
  <c r="I134"/>
  <c r="J134"/>
  <c r="H135"/>
  <c r="I135"/>
  <c r="J135"/>
  <c r="H136"/>
  <c r="I136"/>
  <c r="J136"/>
  <c r="H137"/>
  <c r="I137"/>
  <c r="J137"/>
  <c r="H138"/>
  <c r="I138"/>
  <c r="J138"/>
  <c r="H139"/>
  <c r="I139"/>
  <c r="J139"/>
  <c r="H140"/>
  <c r="I140"/>
  <c r="J140"/>
  <c r="H141"/>
  <c r="I141"/>
  <c r="J141"/>
  <c r="H142"/>
  <c r="I142"/>
  <c r="J142"/>
  <c r="H143"/>
  <c r="I143"/>
  <c r="J143"/>
  <c r="H144"/>
  <c r="I144"/>
  <c r="J144"/>
  <c r="H145"/>
  <c r="I145"/>
  <c r="J145"/>
  <c r="H146"/>
  <c r="I146"/>
  <c r="J146"/>
  <c r="H147"/>
  <c r="I147"/>
  <c r="J147"/>
  <c r="H148"/>
  <c r="I148"/>
  <c r="J148"/>
  <c r="H149"/>
  <c r="I149"/>
  <c r="J149"/>
  <c r="H150"/>
  <c r="I150"/>
  <c r="J150"/>
  <c r="H151"/>
  <c r="I151"/>
  <c r="J151"/>
  <c r="H152"/>
  <c r="I152"/>
  <c r="J152"/>
  <c r="H153"/>
  <c r="I153"/>
  <c r="J153"/>
  <c r="H154"/>
  <c r="I154"/>
  <c r="J154"/>
  <c r="H155"/>
  <c r="I155"/>
  <c r="J155"/>
  <c r="H156"/>
  <c r="I156"/>
  <c r="J156"/>
  <c r="H157"/>
  <c r="I157"/>
  <c r="J157"/>
  <c r="H158"/>
  <c r="I158"/>
  <c r="J158"/>
  <c r="H159"/>
  <c r="I159"/>
  <c r="J159"/>
  <c r="H160"/>
  <c r="I160"/>
  <c r="J160"/>
  <c r="H161"/>
  <c r="I161"/>
  <c r="J161"/>
  <c r="H162"/>
  <c r="I162"/>
  <c r="J162"/>
  <c r="H163"/>
  <c r="I163"/>
  <c r="J163"/>
  <c r="H164"/>
  <c r="I164"/>
  <c r="J164"/>
  <c r="H165"/>
  <c r="I165"/>
  <c r="J165"/>
  <c r="H166"/>
  <c r="I166"/>
  <c r="J166"/>
  <c r="H167"/>
  <c r="I167"/>
  <c r="J167"/>
  <c r="H168"/>
  <c r="I168"/>
  <c r="J168"/>
  <c r="H169"/>
  <c r="I169"/>
  <c r="J169"/>
  <c r="H170"/>
  <c r="I170"/>
  <c r="J170"/>
  <c r="H171"/>
  <c r="I171"/>
  <c r="J171"/>
  <c r="H172"/>
  <c r="I172"/>
  <c r="J172"/>
  <c r="H173"/>
  <c r="I173"/>
  <c r="J173"/>
  <c r="H174"/>
  <c r="I174"/>
  <c r="J174"/>
  <c r="H175"/>
  <c r="I175"/>
  <c r="J175"/>
  <c r="H176"/>
  <c r="I176"/>
  <c r="J176"/>
  <c r="H177"/>
  <c r="I177"/>
  <c r="J177"/>
  <c r="H178"/>
  <c r="I178"/>
  <c r="J178"/>
  <c r="H179"/>
  <c r="I179"/>
  <c r="J179"/>
  <c r="H180"/>
  <c r="I180"/>
  <c r="J180"/>
  <c r="H181"/>
  <c r="I181"/>
  <c r="J181"/>
  <c r="H182"/>
  <c r="I182"/>
  <c r="J182"/>
  <c r="H183"/>
  <c r="I183"/>
  <c r="J183"/>
  <c r="H184"/>
  <c r="I184"/>
  <c r="J184"/>
  <c r="H185"/>
  <c r="I185"/>
  <c r="J185"/>
  <c r="H186"/>
  <c r="I186"/>
  <c r="J186"/>
  <c r="H187"/>
  <c r="I187"/>
  <c r="J187"/>
  <c r="H188"/>
  <c r="I188"/>
  <c r="J188"/>
  <c r="H189"/>
  <c r="I189"/>
  <c r="J189"/>
  <c r="H190"/>
  <c r="I190"/>
  <c r="J190"/>
  <c r="H191"/>
  <c r="I191"/>
  <c r="J191"/>
  <c r="H192"/>
  <c r="I192"/>
  <c r="J192"/>
  <c r="H193"/>
  <c r="I193"/>
  <c r="J193"/>
  <c r="H194"/>
  <c r="I194"/>
  <c r="J194"/>
  <c r="H195"/>
  <c r="I195"/>
  <c r="J195"/>
  <c r="H196"/>
  <c r="I196"/>
  <c r="J196"/>
  <c r="H197"/>
  <c r="I197"/>
  <c r="J197"/>
  <c r="H198"/>
  <c r="I198"/>
  <c r="J198"/>
  <c r="H199"/>
  <c r="I199"/>
  <c r="J199"/>
  <c r="H200"/>
  <c r="I200"/>
  <c r="J200"/>
  <c r="H201"/>
  <c r="I201"/>
  <c r="J201"/>
  <c r="H202"/>
  <c r="I202"/>
  <c r="J202"/>
  <c r="H203"/>
  <c r="I203"/>
  <c r="J203"/>
  <c r="H204"/>
  <c r="I204"/>
  <c r="J204"/>
  <c r="H205"/>
  <c r="I205"/>
  <c r="J205"/>
  <c r="H206"/>
  <c r="I206"/>
  <c r="J206"/>
  <c r="H207"/>
  <c r="I207"/>
  <c r="J207"/>
  <c r="H208"/>
  <c r="I208"/>
  <c r="J208"/>
  <c r="H209"/>
  <c r="I209"/>
  <c r="J209"/>
  <c r="H210"/>
  <c r="I210"/>
  <c r="J210"/>
  <c r="H211"/>
  <c r="I211"/>
  <c r="J211"/>
  <c r="H212"/>
  <c r="I212"/>
  <c r="J212"/>
  <c r="H213"/>
  <c r="I213"/>
  <c r="J213"/>
  <c r="H214"/>
  <c r="I214"/>
  <c r="J214"/>
  <c r="H215"/>
  <c r="I215"/>
  <c r="J215"/>
  <c r="H216"/>
  <c r="I216"/>
  <c r="J216"/>
  <c r="H217"/>
  <c r="I217"/>
  <c r="J217"/>
  <c r="H218"/>
  <c r="I218"/>
  <c r="J218"/>
  <c r="H219"/>
  <c r="I219"/>
  <c r="J219"/>
  <c r="H220"/>
  <c r="I220"/>
  <c r="J220"/>
  <c r="H221"/>
  <c r="I221"/>
  <c r="J221"/>
  <c r="H222"/>
  <c r="I222"/>
  <c r="J222"/>
  <c r="H223"/>
  <c r="I223"/>
  <c r="J223"/>
  <c r="H224"/>
  <c r="I224"/>
  <c r="J224"/>
  <c r="H225"/>
  <c r="I225"/>
  <c r="J225"/>
  <c r="H226"/>
  <c r="I226"/>
  <c r="J226"/>
  <c r="H227"/>
  <c r="I227"/>
  <c r="J227"/>
  <c r="H228"/>
  <c r="I228"/>
  <c r="J228"/>
  <c r="H229"/>
  <c r="I229"/>
  <c r="J229"/>
  <c r="H230"/>
  <c r="I230"/>
  <c r="J230"/>
  <c r="H231"/>
  <c r="I231"/>
  <c r="J231"/>
  <c r="H232"/>
  <c r="I232"/>
  <c r="J232"/>
  <c r="H233"/>
  <c r="I233"/>
  <c r="J233"/>
  <c r="H234"/>
  <c r="I234"/>
  <c r="J234"/>
  <c r="H235"/>
  <c r="I235"/>
  <c r="J235"/>
  <c r="H236"/>
  <c r="I236"/>
  <c r="J236"/>
  <c r="H237"/>
  <c r="I237"/>
  <c r="J237"/>
  <c r="H238"/>
  <c r="I238"/>
  <c r="J238"/>
  <c r="H239"/>
  <c r="I239"/>
  <c r="J239"/>
  <c r="H240"/>
  <c r="I240"/>
  <c r="J240"/>
  <c r="H241"/>
  <c r="I241"/>
  <c r="J241"/>
  <c r="H242"/>
  <c r="I242"/>
  <c r="J242"/>
  <c r="H243"/>
  <c r="I243"/>
  <c r="J243"/>
  <c r="H244"/>
  <c r="I244"/>
  <c r="J244"/>
  <c r="H245"/>
  <c r="I245"/>
  <c r="J245"/>
  <c r="H246"/>
  <c r="I246"/>
  <c r="J246"/>
  <c r="H247"/>
  <c r="I247"/>
  <c r="J247"/>
  <c r="H248"/>
  <c r="I248"/>
  <c r="J248"/>
  <c r="H249"/>
  <c r="I249"/>
  <c r="J249"/>
  <c r="H250"/>
  <c r="I250"/>
  <c r="J250"/>
  <c r="H251"/>
  <c r="I251"/>
  <c r="J251"/>
  <c r="H252"/>
  <c r="I252"/>
  <c r="J252"/>
  <c r="H253"/>
  <c r="I253"/>
  <c r="J253"/>
  <c r="H254"/>
  <c r="I254"/>
  <c r="J254"/>
  <c r="H255"/>
  <c r="I255"/>
  <c r="J255"/>
  <c r="H256"/>
  <c r="I256"/>
  <c r="J256"/>
  <c r="H257"/>
  <c r="I257"/>
  <c r="J257"/>
  <c r="H258"/>
  <c r="I258"/>
  <c r="J258"/>
  <c r="H259"/>
  <c r="I259"/>
  <c r="J259"/>
  <c r="H260"/>
  <c r="I260"/>
  <c r="J260"/>
  <c r="H261"/>
  <c r="I261"/>
  <c r="J261"/>
  <c r="H262"/>
  <c r="I262"/>
  <c r="J262"/>
  <c r="H263"/>
  <c r="I263"/>
  <c r="J263"/>
  <c r="H264"/>
  <c r="I264"/>
  <c r="J264"/>
  <c r="H265"/>
  <c r="I265"/>
  <c r="J265"/>
  <c r="H266"/>
  <c r="I266"/>
  <c r="J266"/>
  <c r="H267"/>
  <c r="I267"/>
  <c r="J267"/>
  <c r="H268"/>
  <c r="I268"/>
  <c r="J268"/>
  <c r="H269"/>
  <c r="I269"/>
  <c r="J269"/>
  <c r="H270"/>
  <c r="I270"/>
  <c r="J270"/>
  <c r="H271"/>
  <c r="I271"/>
  <c r="J271"/>
  <c r="H272"/>
  <c r="I272"/>
  <c r="J272"/>
  <c r="H273"/>
  <c r="I273"/>
  <c r="J273"/>
  <c r="H274"/>
  <c r="I274"/>
  <c r="J274"/>
  <c r="H275"/>
  <c r="I275"/>
  <c r="J275"/>
  <c r="H276"/>
  <c r="I276"/>
  <c r="J276"/>
  <c r="H277"/>
  <c r="I277"/>
  <c r="J277"/>
  <c r="H278"/>
  <c r="I278"/>
  <c r="J278"/>
  <c r="H279"/>
  <c r="I279"/>
  <c r="J279"/>
  <c r="H280"/>
  <c r="I280"/>
  <c r="J280"/>
  <c r="H281"/>
  <c r="I281"/>
  <c r="J281"/>
  <c r="H282"/>
  <c r="I282"/>
  <c r="J282"/>
  <c r="H283"/>
  <c r="I283"/>
  <c r="J283"/>
  <c r="H284"/>
  <c r="I284"/>
  <c r="J284"/>
  <c r="H285"/>
  <c r="I285"/>
  <c r="J285"/>
  <c r="H286"/>
  <c r="I286"/>
  <c r="J286"/>
  <c r="H287"/>
  <c r="I287"/>
  <c r="J287"/>
  <c r="H288"/>
  <c r="I288"/>
  <c r="J288"/>
  <c r="H289"/>
  <c r="I289"/>
  <c r="J289"/>
  <c r="H290"/>
  <c r="I290"/>
  <c r="J290"/>
  <c r="H291"/>
  <c r="I291"/>
  <c r="J291"/>
  <c r="H292"/>
  <c r="I292"/>
  <c r="J292"/>
  <c r="H293"/>
  <c r="I293"/>
  <c r="J293"/>
  <c r="H294"/>
  <c r="I294"/>
  <c r="J294"/>
  <c r="H295"/>
  <c r="I295"/>
  <c r="J295"/>
  <c r="H296"/>
  <c r="I296"/>
  <c r="J296"/>
  <c r="H297"/>
  <c r="I297"/>
  <c r="J297"/>
  <c r="H298"/>
  <c r="I298"/>
  <c r="J298"/>
  <c r="H299"/>
  <c r="I299"/>
  <c r="J299"/>
  <c r="H300"/>
  <c r="I300"/>
  <c r="J300"/>
  <c r="H301"/>
  <c r="I301"/>
  <c r="J301"/>
  <c r="H302"/>
  <c r="I302"/>
  <c r="J302"/>
  <c r="H303"/>
  <c r="I303"/>
  <c r="J303"/>
  <c r="H304"/>
  <c r="I304"/>
  <c r="J304"/>
  <c r="H305"/>
  <c r="I305"/>
  <c r="J305"/>
  <c r="H306"/>
  <c r="I306"/>
  <c r="J306"/>
  <c r="H307"/>
  <c r="I307"/>
  <c r="J307"/>
  <c r="H308"/>
  <c r="I308"/>
  <c r="J308"/>
  <c r="H309"/>
  <c r="I309"/>
  <c r="J309"/>
  <c r="H310"/>
  <c r="I310"/>
  <c r="J310"/>
  <c r="H311"/>
  <c r="I311"/>
  <c r="J311"/>
  <c r="H312"/>
  <c r="I312"/>
  <c r="J312"/>
  <c r="H313"/>
  <c r="I313"/>
  <c r="J313"/>
  <c r="H314"/>
  <c r="I314"/>
  <c r="J314"/>
  <c r="H315"/>
  <c r="I315"/>
  <c r="J315"/>
  <c r="H316"/>
  <c r="I316"/>
  <c r="J316"/>
  <c r="H317"/>
  <c r="I317"/>
  <c r="J317"/>
  <c r="H318"/>
  <c r="I318"/>
  <c r="J318"/>
  <c r="H319"/>
  <c r="I319"/>
  <c r="J319"/>
  <c r="H320"/>
  <c r="I320"/>
  <c r="J320"/>
  <c r="H321"/>
  <c r="I321"/>
  <c r="J321"/>
  <c r="H322"/>
  <c r="I322"/>
  <c r="J322"/>
  <c r="H323"/>
  <c r="I323"/>
  <c r="J323"/>
  <c r="H324"/>
  <c r="I324"/>
  <c r="J324"/>
  <c r="H325"/>
  <c r="I325"/>
  <c r="J325"/>
  <c r="H326"/>
  <c r="I326"/>
  <c r="J326"/>
  <c r="H327"/>
  <c r="I327"/>
  <c r="J327"/>
  <c r="H328"/>
  <c r="I328"/>
  <c r="J328"/>
  <c r="H329"/>
  <c r="I329"/>
  <c r="J329"/>
  <c r="H330"/>
  <c r="I330"/>
  <c r="J330"/>
  <c r="H331"/>
  <c r="I331"/>
  <c r="J331"/>
  <c r="H332"/>
  <c r="I332"/>
  <c r="J332"/>
  <c r="H333"/>
  <c r="I333"/>
  <c r="J333"/>
  <c r="H334"/>
  <c r="I334"/>
  <c r="J334"/>
  <c r="H335"/>
  <c r="I335"/>
  <c r="J335"/>
  <c r="H336"/>
  <c r="I336"/>
  <c r="J336"/>
  <c r="H337"/>
  <c r="I337"/>
  <c r="J337"/>
  <c r="H338"/>
  <c r="I338"/>
  <c r="J338"/>
  <c r="H339"/>
  <c r="I339"/>
  <c r="J339"/>
  <c r="H340"/>
  <c r="I340"/>
  <c r="J340"/>
  <c r="H341"/>
  <c r="I341"/>
  <c r="J341"/>
  <c r="H342"/>
  <c r="I342"/>
  <c r="J342"/>
  <c r="H343"/>
  <c r="I343"/>
  <c r="J343"/>
  <c r="H344"/>
  <c r="I344"/>
  <c r="J344"/>
  <c r="H345"/>
  <c r="I345"/>
  <c r="J345"/>
  <c r="H346"/>
  <c r="I346"/>
  <c r="J346"/>
  <c r="H347"/>
  <c r="I347"/>
  <c r="J347"/>
  <c r="H348"/>
  <c r="I348"/>
  <c r="J348"/>
  <c r="H349"/>
  <c r="I349"/>
  <c r="J349"/>
  <c r="H350"/>
  <c r="I350"/>
  <c r="J350"/>
  <c r="H351"/>
  <c r="I351"/>
  <c r="J351"/>
  <c r="H352"/>
  <c r="I352"/>
  <c r="J352"/>
  <c r="H353"/>
  <c r="I353"/>
  <c r="J353"/>
  <c r="H354"/>
  <c r="I354"/>
  <c r="J354"/>
  <c r="H355"/>
  <c r="I355"/>
  <c r="J355"/>
  <c r="H356"/>
  <c r="I356"/>
  <c r="J356"/>
  <c r="H357"/>
  <c r="I357"/>
  <c r="J357"/>
  <c r="H358"/>
  <c r="I358"/>
  <c r="J358"/>
  <c r="H359"/>
  <c r="I359"/>
  <c r="J359"/>
  <c r="H360"/>
  <c r="I360"/>
  <c r="J360"/>
  <c r="H361"/>
  <c r="I361"/>
  <c r="J361"/>
  <c r="H362"/>
  <c r="I362"/>
  <c r="J362"/>
  <c r="H363"/>
  <c r="I363"/>
  <c r="J363"/>
  <c r="H364"/>
  <c r="I364"/>
  <c r="J364"/>
  <c r="H365"/>
  <c r="I365"/>
  <c r="J365"/>
  <c r="H366"/>
  <c r="I366"/>
  <c r="J366"/>
  <c r="H367"/>
  <c r="I367"/>
  <c r="J367"/>
  <c r="H368"/>
  <c r="I368"/>
  <c r="J368"/>
  <c r="H369"/>
  <c r="I369"/>
  <c r="J369"/>
  <c r="H370"/>
  <c r="I370"/>
  <c r="J370"/>
  <c r="H371"/>
  <c r="I371"/>
  <c r="J371"/>
  <c r="H372"/>
  <c r="I372"/>
  <c r="J372"/>
  <c r="H373"/>
  <c r="I373"/>
  <c r="J373"/>
  <c r="H374"/>
  <c r="I374"/>
  <c r="J374"/>
  <c r="H375"/>
  <c r="I375"/>
  <c r="J375"/>
  <c r="H376"/>
  <c r="I376"/>
  <c r="J376"/>
  <c r="H377"/>
  <c r="I377"/>
  <c r="J377"/>
  <c r="H378"/>
  <c r="I378"/>
  <c r="J378"/>
  <c r="H379"/>
  <c r="I379"/>
  <c r="J379"/>
  <c r="H380"/>
  <c r="I380"/>
  <c r="J380"/>
  <c r="H381"/>
  <c r="I381"/>
  <c r="J381"/>
  <c r="H382"/>
  <c r="I382"/>
  <c r="J382"/>
  <c r="H383"/>
  <c r="I383"/>
  <c r="J383"/>
  <c r="H384"/>
  <c r="I384"/>
  <c r="J384"/>
  <c r="H385"/>
  <c r="I385"/>
  <c r="J385"/>
  <c r="H386"/>
  <c r="I386"/>
  <c r="J386"/>
  <c r="H387"/>
  <c r="I387"/>
  <c r="J387"/>
  <c r="H388"/>
  <c r="I388"/>
  <c r="J388"/>
  <c r="H389"/>
  <c r="I389"/>
  <c r="J389"/>
  <c r="H390"/>
  <c r="I390"/>
  <c r="J390"/>
  <c r="H391"/>
  <c r="I391"/>
  <c r="J391"/>
  <c r="H392"/>
  <c r="I392"/>
  <c r="J392"/>
  <c r="H393"/>
  <c r="I393"/>
  <c r="J393"/>
  <c r="H394"/>
  <c r="I394"/>
  <c r="J394"/>
  <c r="H395"/>
  <c r="I395"/>
  <c r="J395"/>
  <c r="H396"/>
  <c r="I396"/>
  <c r="J396"/>
  <c r="H397"/>
  <c r="I397"/>
  <c r="J397"/>
  <c r="H398"/>
  <c r="I398"/>
  <c r="J398"/>
  <c r="H399"/>
  <c r="I399"/>
  <c r="J399"/>
  <c r="H400"/>
  <c r="I400"/>
  <c r="J400"/>
  <c r="H401"/>
  <c r="I401"/>
  <c r="J401"/>
  <c r="H402"/>
  <c r="I402"/>
  <c r="J402"/>
  <c r="H403"/>
  <c r="I403"/>
  <c r="J403"/>
  <c r="H404"/>
  <c r="I404"/>
  <c r="J404"/>
  <c r="H405"/>
  <c r="I405"/>
  <c r="J405"/>
  <c r="H406"/>
  <c r="I406"/>
  <c r="J406"/>
  <c r="H407"/>
  <c r="I407"/>
  <c r="J407"/>
  <c r="H408"/>
  <c r="I408"/>
  <c r="J408"/>
  <c r="H409"/>
  <c r="I409"/>
  <c r="J409"/>
  <c r="H410"/>
  <c r="I410"/>
  <c r="J410"/>
  <c r="H411"/>
  <c r="I411"/>
  <c r="J411"/>
  <c r="H412"/>
  <c r="I412"/>
  <c r="J412"/>
  <c r="H413"/>
  <c r="I413"/>
  <c r="J413"/>
  <c r="H414"/>
  <c r="I414"/>
  <c r="J414"/>
  <c r="H415"/>
  <c r="I415"/>
  <c r="J415"/>
  <c r="H416"/>
  <c r="I416"/>
  <c r="J416"/>
  <c r="H417"/>
  <c r="I417"/>
  <c r="J417"/>
  <c r="H418"/>
  <c r="I418"/>
  <c r="J418"/>
  <c r="H419"/>
  <c r="I419"/>
  <c r="J419"/>
  <c r="H420"/>
  <c r="I420"/>
  <c r="J420"/>
  <c r="H421"/>
  <c r="I421"/>
  <c r="J421"/>
  <c r="H422"/>
  <c r="I422"/>
  <c r="J422"/>
  <c r="H423"/>
  <c r="I423"/>
  <c r="J423"/>
  <c r="H424"/>
  <c r="I424"/>
  <c r="J424"/>
  <c r="H425"/>
  <c r="I425"/>
  <c r="J425"/>
  <c r="H426"/>
  <c r="I426"/>
  <c r="J426"/>
  <c r="H427"/>
  <c r="I427"/>
  <c r="J427"/>
  <c r="H428"/>
  <c r="I428"/>
  <c r="J428"/>
  <c r="H429"/>
  <c r="I429"/>
  <c r="J429"/>
  <c r="H430"/>
  <c r="I430"/>
  <c r="J430"/>
  <c r="H431"/>
  <c r="I431"/>
  <c r="J431"/>
  <c r="H432"/>
  <c r="I432"/>
  <c r="J432"/>
  <c r="H433"/>
  <c r="I433"/>
  <c r="J433"/>
  <c r="H434"/>
  <c r="I434"/>
  <c r="J434"/>
  <c r="H435"/>
  <c r="I435"/>
  <c r="J435"/>
  <c r="H436"/>
  <c r="I436"/>
  <c r="J436"/>
  <c r="H437"/>
  <c r="I437"/>
  <c r="J437"/>
  <c r="H438"/>
  <c r="I438"/>
  <c r="J438"/>
  <c r="H439"/>
  <c r="I439"/>
  <c r="J439"/>
  <c r="H440"/>
  <c r="I440"/>
  <c r="J440"/>
  <c r="H441"/>
  <c r="I441"/>
  <c r="J441"/>
  <c r="H442"/>
  <c r="I442"/>
  <c r="J442"/>
  <c r="H443"/>
  <c r="I443"/>
  <c r="J443"/>
  <c r="H444"/>
  <c r="I444"/>
  <c r="J444"/>
  <c r="H445"/>
  <c r="I445"/>
  <c r="J445"/>
  <c r="H446"/>
  <c r="I446"/>
  <c r="J446"/>
  <c r="H447"/>
  <c r="I447"/>
  <c r="J447"/>
  <c r="H448"/>
  <c r="I448"/>
  <c r="J448"/>
  <c r="H449"/>
  <c r="I449"/>
  <c r="J449"/>
  <c r="H450"/>
  <c r="I450"/>
  <c r="J450"/>
  <c r="H451"/>
  <c r="I451"/>
  <c r="J451"/>
  <c r="H452"/>
  <c r="I452"/>
  <c r="J452"/>
  <c r="H453"/>
  <c r="I453"/>
  <c r="J453"/>
  <c r="H454"/>
  <c r="I454"/>
  <c r="J454"/>
  <c r="H455"/>
  <c r="I455"/>
  <c r="J455"/>
  <c r="H456"/>
  <c r="I456"/>
  <c r="J456"/>
  <c r="H457"/>
  <c r="I457"/>
  <c r="J457"/>
  <c r="H458"/>
  <c r="I458"/>
  <c r="J458"/>
  <c r="H459"/>
  <c r="I459"/>
  <c r="J459"/>
  <c r="H460"/>
  <c r="I460"/>
  <c r="J460"/>
  <c r="H461"/>
  <c r="I461"/>
  <c r="J461"/>
  <c r="H462"/>
  <c r="I462"/>
  <c r="J462"/>
  <c r="H463"/>
  <c r="I463"/>
  <c r="J463"/>
  <c r="H464"/>
  <c r="I464"/>
  <c r="J464"/>
  <c r="H465"/>
  <c r="I465"/>
  <c r="J465"/>
  <c r="H466"/>
  <c r="I466"/>
  <c r="J466"/>
  <c r="H467"/>
  <c r="I467"/>
  <c r="J467"/>
  <c r="H468"/>
  <c r="I468"/>
  <c r="J468"/>
  <c r="H469"/>
  <c r="I469"/>
  <c r="J469"/>
  <c r="H470"/>
  <c r="I470"/>
  <c r="J470"/>
  <c r="H471"/>
  <c r="I471"/>
  <c r="J471"/>
  <c r="H472"/>
  <c r="I472"/>
  <c r="J472"/>
  <c r="H473"/>
  <c r="I473"/>
  <c r="J473"/>
  <c r="H474"/>
  <c r="I474"/>
  <c r="J474"/>
  <c r="H475"/>
  <c r="I475"/>
  <c r="J475"/>
  <c r="H476"/>
  <c r="I476"/>
  <c r="J476"/>
  <c r="H477"/>
  <c r="I477"/>
  <c r="J477"/>
  <c r="H478"/>
  <c r="I478"/>
  <c r="J478"/>
  <c r="H479"/>
  <c r="I479"/>
  <c r="J479"/>
  <c r="H480"/>
  <c r="I480"/>
  <c r="J480"/>
  <c r="H481"/>
  <c r="I481"/>
  <c r="J481"/>
  <c r="H482"/>
  <c r="I482"/>
  <c r="J482"/>
  <c r="H483"/>
  <c r="I483"/>
  <c r="J483"/>
  <c r="H484"/>
  <c r="I484"/>
  <c r="J484"/>
  <c r="H485"/>
  <c r="I485"/>
  <c r="J485"/>
  <c r="H486"/>
  <c r="I486"/>
  <c r="J486"/>
  <c r="H487"/>
  <c r="I487"/>
  <c r="J487"/>
  <c r="H488"/>
  <c r="I488"/>
  <c r="J488"/>
  <c r="H489"/>
  <c r="I489"/>
  <c r="J489"/>
  <c r="H490"/>
  <c r="I490"/>
  <c r="J490"/>
  <c r="H491"/>
  <c r="I491"/>
  <c r="J491"/>
  <c r="H492"/>
  <c r="I492"/>
  <c r="J492"/>
  <c r="H493"/>
  <c r="I493"/>
  <c r="J493"/>
  <c r="H494"/>
  <c r="I494"/>
  <c r="J494"/>
  <c r="H495"/>
  <c r="I495"/>
  <c r="J495"/>
  <c r="H496"/>
  <c r="I496"/>
  <c r="J496"/>
  <c r="H497"/>
  <c r="I497"/>
  <c r="J497"/>
  <c r="H498"/>
  <c r="I498"/>
  <c r="J498"/>
  <c r="H499"/>
  <c r="I499"/>
  <c r="J499"/>
  <c r="H500"/>
  <c r="I500"/>
  <c r="J500"/>
  <c r="H501"/>
  <c r="I501"/>
  <c r="J501"/>
  <c r="H502"/>
  <c r="I502"/>
  <c r="J502"/>
  <c r="H503"/>
  <c r="I503"/>
  <c r="J503"/>
  <c r="H504"/>
  <c r="I504"/>
  <c r="J504"/>
  <c r="H505"/>
  <c r="I505"/>
  <c r="J505"/>
  <c r="H506"/>
  <c r="I506"/>
  <c r="J506"/>
  <c r="H507"/>
  <c r="I507"/>
  <c r="J507"/>
  <c r="H508"/>
  <c r="I508"/>
  <c r="J508"/>
  <c r="H509"/>
  <c r="I509"/>
  <c r="J509"/>
  <c r="H510"/>
  <c r="I510"/>
  <c r="J510"/>
  <c r="H511"/>
  <c r="I511"/>
  <c r="J511"/>
  <c r="H512"/>
  <c r="I512"/>
  <c r="J512"/>
  <c r="H513"/>
  <c r="I513"/>
  <c r="J513"/>
  <c r="H514"/>
  <c r="I514"/>
  <c r="J514"/>
  <c r="H515"/>
  <c r="I515"/>
  <c r="J515"/>
  <c r="H516"/>
  <c r="I516"/>
  <c r="J516"/>
  <c r="H517"/>
  <c r="I517"/>
  <c r="J517"/>
  <c r="H518"/>
  <c r="I518"/>
  <c r="J518"/>
  <c r="H519"/>
  <c r="I519"/>
  <c r="J519"/>
  <c r="H520"/>
  <c r="I520"/>
  <c r="J520"/>
  <c r="H521"/>
  <c r="I521"/>
  <c r="J521"/>
  <c r="H522"/>
  <c r="I522"/>
  <c r="J522"/>
  <c r="H523"/>
  <c r="I523"/>
  <c r="J523"/>
  <c r="H524"/>
  <c r="I524"/>
  <c r="J524"/>
  <c r="H525"/>
  <c r="I525"/>
  <c r="J525"/>
  <c r="H526"/>
  <c r="I526"/>
  <c r="J526"/>
  <c r="H527"/>
  <c r="I527"/>
  <c r="J527"/>
  <c r="H528"/>
  <c r="I528"/>
  <c r="J528"/>
  <c r="H529"/>
  <c r="I529"/>
  <c r="J529"/>
  <c r="H530"/>
  <c r="I530"/>
  <c r="J530"/>
  <c r="H531"/>
  <c r="I531"/>
  <c r="J531"/>
  <c r="H532"/>
  <c r="I532"/>
  <c r="J532"/>
  <c r="H533"/>
  <c r="I533"/>
  <c r="J533"/>
  <c r="H534"/>
  <c r="I534"/>
  <c r="J534"/>
  <c r="H535"/>
  <c r="I535"/>
  <c r="J535"/>
  <c r="H536"/>
  <c r="I536"/>
  <c r="J536"/>
  <c r="H537"/>
  <c r="I537"/>
  <c r="J537"/>
  <c r="H538"/>
  <c r="I538"/>
  <c r="J538"/>
  <c r="H539"/>
  <c r="I539"/>
  <c r="J539"/>
  <c r="H540"/>
  <c r="I540"/>
  <c r="J540"/>
  <c r="H541"/>
  <c r="I541"/>
  <c r="J541"/>
  <c r="H542"/>
  <c r="I542"/>
  <c r="J542"/>
  <c r="H543"/>
  <c r="I543"/>
  <c r="J543"/>
  <c r="H544"/>
  <c r="I544"/>
  <c r="J544"/>
  <c r="H545"/>
  <c r="I545"/>
  <c r="J545"/>
  <c r="H546"/>
  <c r="I546"/>
  <c r="J546"/>
  <c r="H547"/>
  <c r="I547"/>
  <c r="J547"/>
  <c r="H548"/>
  <c r="I548"/>
  <c r="J548"/>
  <c r="H549"/>
  <c r="I549"/>
  <c r="J549"/>
  <c r="H550"/>
  <c r="I550"/>
  <c r="J550"/>
  <c r="H551"/>
  <c r="I551"/>
  <c r="J551"/>
  <c r="H552"/>
  <c r="I552"/>
  <c r="J552"/>
  <c r="H553"/>
  <c r="I553"/>
  <c r="J553"/>
  <c r="H554"/>
  <c r="I554"/>
  <c r="J554"/>
  <c r="H555"/>
  <c r="I555"/>
  <c r="J555"/>
  <c r="H556"/>
  <c r="I556"/>
  <c r="J556"/>
  <c r="H557"/>
  <c r="I557"/>
  <c r="J557"/>
  <c r="H558"/>
  <c r="I558"/>
  <c r="J558"/>
  <c r="H559"/>
  <c r="I559"/>
  <c r="J559"/>
  <c r="H560"/>
  <c r="I560"/>
  <c r="J560"/>
  <c r="H561"/>
  <c r="I561"/>
  <c r="J561"/>
  <c r="H562"/>
  <c r="I562"/>
  <c r="J562"/>
  <c r="H563"/>
  <c r="I563"/>
  <c r="J563"/>
  <c r="H564"/>
  <c r="I564"/>
  <c r="J564"/>
  <c r="H565"/>
  <c r="I565"/>
  <c r="J565"/>
  <c r="H566"/>
  <c r="I566"/>
  <c r="J566"/>
  <c r="H567"/>
  <c r="I567"/>
  <c r="J567"/>
  <c r="H568"/>
  <c r="I568"/>
  <c r="J568"/>
  <c r="H569"/>
  <c r="I569"/>
  <c r="J569"/>
  <c r="H570"/>
  <c r="I570"/>
  <c r="J570"/>
  <c r="H571"/>
  <c r="I571"/>
  <c r="J571"/>
  <c r="H572"/>
  <c r="I572"/>
  <c r="J572"/>
  <c r="H573"/>
  <c r="I573"/>
  <c r="J573"/>
  <c r="H574"/>
  <c r="I574"/>
  <c r="J574"/>
  <c r="H575"/>
  <c r="I575"/>
  <c r="J575"/>
  <c r="H576"/>
  <c r="I576"/>
  <c r="J576"/>
  <c r="H577"/>
  <c r="I577"/>
  <c r="J577"/>
  <c r="H578"/>
  <c r="I578"/>
  <c r="J578"/>
  <c r="H579"/>
  <c r="I579"/>
  <c r="J579"/>
  <c r="H580"/>
  <c r="I580"/>
  <c r="J580"/>
  <c r="H581"/>
  <c r="I581"/>
  <c r="J581"/>
  <c r="H582"/>
  <c r="I582"/>
  <c r="J582"/>
  <c r="H583"/>
  <c r="I583"/>
  <c r="J583"/>
  <c r="H584"/>
  <c r="I584"/>
  <c r="J584"/>
  <c r="H585"/>
  <c r="I585"/>
  <c r="J585"/>
  <c r="H586"/>
  <c r="I586"/>
  <c r="J586"/>
  <c r="H587"/>
  <c r="I587"/>
  <c r="J587"/>
  <c r="H588"/>
  <c r="I588"/>
  <c r="J588"/>
  <c r="H589"/>
  <c r="I589"/>
  <c r="J589"/>
  <c r="H590"/>
  <c r="I590"/>
  <c r="J590"/>
  <c r="H591"/>
  <c r="I591"/>
  <c r="J591"/>
  <c r="H592"/>
  <c r="I592"/>
  <c r="J592"/>
  <c r="H593"/>
  <c r="I593"/>
  <c r="J593"/>
  <c r="H594"/>
  <c r="I594"/>
  <c r="J594"/>
  <c r="H595"/>
  <c r="I595"/>
  <c r="J595"/>
  <c r="H596"/>
  <c r="I596"/>
  <c r="J596"/>
  <c r="H597"/>
  <c r="I597"/>
  <c r="J597"/>
  <c r="H598"/>
  <c r="I598"/>
  <c r="J598"/>
  <c r="H599"/>
  <c r="I599"/>
  <c r="J599"/>
  <c r="H600"/>
  <c r="I600"/>
  <c r="J600"/>
  <c r="H601"/>
  <c r="I601"/>
  <c r="J601"/>
  <c r="H602"/>
  <c r="I602"/>
  <c r="J602"/>
  <c r="H603"/>
  <c r="I603"/>
  <c r="J603"/>
  <c r="H604"/>
  <c r="I604"/>
  <c r="J604"/>
  <c r="H605"/>
  <c r="I605"/>
  <c r="J605"/>
  <c r="H606"/>
  <c r="I606"/>
  <c r="J606"/>
  <c r="H607"/>
  <c r="I607"/>
  <c r="J607"/>
  <c r="H608"/>
  <c r="I608"/>
  <c r="J608"/>
  <c r="H609"/>
  <c r="I609"/>
  <c r="J609"/>
  <c r="H610"/>
  <c r="I610"/>
  <c r="J610"/>
  <c r="H611"/>
  <c r="I611"/>
  <c r="J611"/>
  <c r="H612"/>
  <c r="I612"/>
  <c r="J612"/>
  <c r="H613"/>
  <c r="I613"/>
  <c r="J613"/>
  <c r="H614"/>
  <c r="I614"/>
  <c r="J614"/>
  <c r="H615"/>
  <c r="I615"/>
  <c r="J615"/>
  <c r="H616"/>
  <c r="I616"/>
  <c r="J616"/>
  <c r="H617"/>
  <c r="I617"/>
  <c r="J617"/>
  <c r="H618"/>
  <c r="I618"/>
  <c r="J618"/>
  <c r="H619"/>
  <c r="I619"/>
  <c r="J619"/>
  <c r="H620"/>
  <c r="I620"/>
  <c r="J620"/>
  <c r="H621"/>
  <c r="I621"/>
  <c r="J621"/>
  <c r="H622"/>
  <c r="I622"/>
  <c r="J622"/>
  <c r="H623"/>
  <c r="I623"/>
  <c r="J623"/>
  <c r="H624"/>
  <c r="I624"/>
  <c r="J624"/>
  <c r="H625"/>
  <c r="I625"/>
  <c r="J625"/>
  <c r="H626"/>
  <c r="I626"/>
  <c r="J626"/>
  <c r="H627"/>
  <c r="I627"/>
  <c r="J627"/>
  <c r="H628"/>
  <c r="I628"/>
  <c r="J628"/>
  <c r="H629"/>
  <c r="I629"/>
  <c r="J629"/>
  <c r="H630"/>
  <c r="I630"/>
  <c r="J630"/>
  <c r="H631"/>
  <c r="I631"/>
  <c r="J631"/>
  <c r="H632"/>
  <c r="I632"/>
  <c r="J632"/>
  <c r="H633"/>
  <c r="I633"/>
  <c r="J633"/>
  <c r="H634"/>
  <c r="I634"/>
  <c r="J634"/>
  <c r="H635"/>
  <c r="I635"/>
  <c r="J635"/>
  <c r="H636"/>
  <c r="I636"/>
  <c r="J636"/>
  <c r="H637"/>
  <c r="I637"/>
  <c r="J637"/>
  <c r="H638"/>
  <c r="I638"/>
  <c r="J638"/>
  <c r="H639"/>
  <c r="I639"/>
  <c r="J639"/>
  <c r="H640"/>
  <c r="I640"/>
  <c r="J640"/>
  <c r="H641"/>
  <c r="I641"/>
  <c r="J641"/>
  <c r="H642"/>
  <c r="I642"/>
  <c r="J642"/>
  <c r="H643"/>
  <c r="I643"/>
  <c r="J643"/>
  <c r="H644"/>
  <c r="I644"/>
  <c r="J644"/>
  <c r="H645"/>
  <c r="I645"/>
  <c r="J645"/>
  <c r="H646"/>
  <c r="I646"/>
  <c r="J646"/>
  <c r="H647"/>
  <c r="I647"/>
  <c r="J647"/>
  <c r="H648"/>
  <c r="I648"/>
  <c r="J648"/>
  <c r="H649"/>
  <c r="I649"/>
  <c r="J649"/>
  <c r="H650"/>
  <c r="I650"/>
  <c r="J650"/>
  <c r="H651"/>
  <c r="I651"/>
  <c r="J651"/>
  <c r="H652"/>
  <c r="I652"/>
  <c r="J652"/>
  <c r="H653"/>
  <c r="I653"/>
  <c r="J653"/>
  <c r="H654"/>
  <c r="I654"/>
  <c r="J654"/>
  <c r="H655"/>
  <c r="I655"/>
  <c r="J655"/>
  <c r="H656"/>
  <c r="I656"/>
  <c r="J656"/>
  <c r="H657"/>
  <c r="I657"/>
  <c r="J657"/>
  <c r="H658"/>
  <c r="I658"/>
  <c r="J658"/>
  <c r="H659"/>
  <c r="I659"/>
  <c r="J659"/>
  <c r="H660"/>
  <c r="I660"/>
  <c r="J660"/>
  <c r="H661"/>
  <c r="I661"/>
  <c r="J661"/>
  <c r="H662"/>
  <c r="I662"/>
  <c r="J662"/>
  <c r="H663"/>
  <c r="I663"/>
  <c r="J663"/>
  <c r="H664"/>
  <c r="I664"/>
  <c r="J664"/>
  <c r="H665"/>
  <c r="I665"/>
  <c r="J665"/>
  <c r="H666"/>
  <c r="I666"/>
  <c r="J666"/>
  <c r="H667"/>
  <c r="I667"/>
  <c r="J667"/>
  <c r="H668"/>
  <c r="I668"/>
  <c r="J668"/>
  <c r="H669"/>
  <c r="I669"/>
  <c r="J669"/>
  <c r="H670"/>
  <c r="I670"/>
  <c r="J670"/>
  <c r="H671"/>
  <c r="I671"/>
  <c r="J671"/>
  <c r="H672"/>
  <c r="I672"/>
  <c r="J672"/>
  <c r="H673"/>
  <c r="I673"/>
  <c r="J673"/>
  <c r="H674"/>
  <c r="I674"/>
  <c r="J674"/>
  <c r="H675"/>
  <c r="I675"/>
  <c r="J675"/>
  <c r="H676"/>
  <c r="I676"/>
  <c r="J676"/>
  <c r="H677"/>
  <c r="I677"/>
  <c r="J677"/>
  <c r="H678"/>
  <c r="I678"/>
  <c r="J678"/>
  <c r="H679"/>
  <c r="I679"/>
  <c r="J679"/>
  <c r="H680"/>
  <c r="I680"/>
  <c r="J680"/>
  <c r="H681"/>
  <c r="I681"/>
  <c r="J681"/>
  <c r="H682"/>
  <c r="I682"/>
  <c r="J682"/>
  <c r="H683"/>
  <c r="I683"/>
  <c r="J683"/>
  <c r="H684"/>
  <c r="I684"/>
  <c r="J684"/>
  <c r="H685"/>
  <c r="I685"/>
  <c r="J685"/>
  <c r="H686"/>
  <c r="I686"/>
  <c r="J686"/>
  <c r="H687"/>
  <c r="I687"/>
  <c r="J687"/>
  <c r="H688"/>
  <c r="I688"/>
  <c r="J688"/>
  <c r="H689"/>
  <c r="I689"/>
  <c r="J689"/>
  <c r="H690"/>
  <c r="I690"/>
  <c r="J690"/>
  <c r="H691"/>
  <c r="I691"/>
  <c r="J691"/>
  <c r="H692"/>
  <c r="I692"/>
  <c r="J692"/>
  <c r="H693"/>
  <c r="I693"/>
  <c r="J693"/>
  <c r="H694"/>
  <c r="I694"/>
  <c r="J694"/>
  <c r="H695"/>
  <c r="I695"/>
  <c r="J695"/>
  <c r="H696"/>
  <c r="I696"/>
  <c r="J696"/>
  <c r="H697"/>
  <c r="I697"/>
  <c r="J697"/>
  <c r="H698"/>
  <c r="I698"/>
  <c r="J698"/>
  <c r="H699"/>
  <c r="I699"/>
  <c r="J699"/>
  <c r="H700"/>
  <c r="I700"/>
  <c r="J700"/>
  <c r="H701"/>
  <c r="I701"/>
  <c r="J701"/>
  <c r="H702"/>
  <c r="I702"/>
  <c r="J702"/>
  <c r="H703"/>
  <c r="I703"/>
  <c r="J703"/>
  <c r="H704"/>
  <c r="I704"/>
  <c r="J704"/>
  <c r="H705"/>
  <c r="I705"/>
  <c r="J705"/>
  <c r="H706"/>
  <c r="I706"/>
  <c r="J706"/>
  <c r="H707"/>
  <c r="J707" s="1"/>
  <c r="I707"/>
  <c r="H708"/>
  <c r="J708" s="1"/>
  <c r="I708"/>
  <c r="H709"/>
  <c r="I709"/>
  <c r="J709"/>
  <c r="H710"/>
  <c r="I710"/>
  <c r="J710"/>
  <c r="H2"/>
  <c r="I2"/>
  <c r="J2"/>
  <c r="H3"/>
  <c r="I3"/>
  <c r="J3"/>
  <c r="H4"/>
  <c r="I4"/>
  <c r="J4"/>
  <c r="H5"/>
  <c r="I5"/>
  <c r="J5"/>
  <c r="H6"/>
  <c r="I6"/>
  <c r="J6"/>
  <c r="H7"/>
  <c r="I7"/>
  <c r="J7"/>
  <c r="H711"/>
  <c r="J711" s="1"/>
  <c r="I711"/>
  <c r="H712"/>
  <c r="I712"/>
  <c r="J712"/>
  <c r="H713"/>
  <c r="J713" s="1"/>
  <c r="I713"/>
  <c r="H714"/>
  <c r="I714"/>
  <c r="J714"/>
  <c r="H715"/>
  <c r="I715"/>
  <c r="J715"/>
  <c r="H716"/>
  <c r="J716" s="1"/>
  <c r="I716"/>
  <c r="H717"/>
  <c r="J717" s="1"/>
  <c r="I717"/>
  <c r="H718"/>
  <c r="I718"/>
  <c r="J718"/>
  <c r="H719"/>
  <c r="I719"/>
  <c r="J719"/>
  <c r="H720"/>
  <c r="J720" s="1"/>
  <c r="I720"/>
  <c r="H721"/>
  <c r="I721"/>
  <c r="J721"/>
  <c r="H722"/>
  <c r="I722"/>
  <c r="J722"/>
  <c r="H723"/>
  <c r="I723"/>
  <c r="J723"/>
  <c r="H724"/>
  <c r="I724"/>
  <c r="J724"/>
  <c r="H725"/>
  <c r="I725"/>
  <c r="J725"/>
  <c r="H726"/>
  <c r="I726"/>
  <c r="J726"/>
  <c r="H727"/>
  <c r="I727"/>
  <c r="J727"/>
  <c r="H728"/>
  <c r="J728" s="1"/>
  <c r="I728"/>
  <c r="H729"/>
  <c r="I729"/>
  <c r="J729"/>
  <c r="H730"/>
  <c r="I730"/>
  <c r="J730"/>
  <c r="H731"/>
  <c r="J731" s="1"/>
  <c r="I731"/>
  <c r="H732"/>
  <c r="J732" s="1"/>
  <c r="I732"/>
  <c r="H733"/>
  <c r="I733"/>
  <c r="J733"/>
  <c r="H734"/>
  <c r="J734" s="1"/>
  <c r="I734"/>
  <c r="H735"/>
  <c r="I735"/>
  <c r="J735"/>
  <c r="H736"/>
  <c r="J736" s="1"/>
  <c r="I736"/>
  <c r="H737"/>
  <c r="J737" s="1"/>
  <c r="I737"/>
  <c r="H738"/>
  <c r="I738"/>
  <c r="J738"/>
  <c r="H739"/>
  <c r="J739" s="1"/>
  <c r="I739"/>
  <c r="H740"/>
  <c r="J740" s="1"/>
  <c r="I740"/>
  <c r="H741"/>
  <c r="I741"/>
  <c r="J741"/>
  <c r="H742"/>
  <c r="J742" s="1"/>
  <c r="I742"/>
  <c r="H743"/>
  <c r="J743" s="1"/>
  <c r="I743"/>
  <c r="H744"/>
  <c r="I744"/>
  <c r="J744"/>
  <c r="H745"/>
  <c r="J745" s="1"/>
  <c r="I745"/>
  <c r="H746"/>
  <c r="I746"/>
  <c r="J746"/>
  <c r="H747"/>
  <c r="J747" s="1"/>
  <c r="I747"/>
  <c r="H748"/>
  <c r="I748"/>
  <c r="J748"/>
  <c r="H749"/>
  <c r="I749"/>
  <c r="J749"/>
  <c r="H750"/>
  <c r="I750"/>
  <c r="J750"/>
  <c r="H751"/>
  <c r="J751" s="1"/>
  <c r="I751"/>
  <c r="H752"/>
  <c r="I752"/>
  <c r="J752"/>
  <c r="H753"/>
  <c r="I753"/>
  <c r="J753"/>
  <c r="H754"/>
  <c r="I754"/>
  <c r="J754"/>
  <c r="H755"/>
  <c r="J755" s="1"/>
  <c r="I755"/>
  <c r="H756"/>
  <c r="I756"/>
  <c r="J756"/>
  <c r="H757"/>
  <c r="I757"/>
  <c r="J757"/>
  <c r="H758"/>
  <c r="I758"/>
  <c r="J758"/>
  <c r="H759"/>
  <c r="J759" s="1"/>
  <c r="I759"/>
  <c r="H760"/>
  <c r="I760"/>
  <c r="J760"/>
  <c r="H761"/>
  <c r="J761" s="1"/>
  <c r="I761"/>
  <c r="H762"/>
  <c r="I762"/>
  <c r="J762"/>
  <c r="H763"/>
  <c r="I763"/>
  <c r="J763"/>
  <c r="H764"/>
  <c r="J764" s="1"/>
  <c r="I764"/>
  <c r="H765"/>
  <c r="J765" s="1"/>
  <c r="I765"/>
  <c r="H766"/>
  <c r="I766"/>
  <c r="J766"/>
  <c r="H767"/>
  <c r="J767" s="1"/>
  <c r="I767"/>
  <c r="H768"/>
  <c r="I768"/>
  <c r="J768"/>
  <c r="H769"/>
  <c r="J769" s="1"/>
  <c r="I769"/>
  <c r="H770"/>
  <c r="J770" s="1"/>
  <c r="I770"/>
  <c r="H771"/>
  <c r="J771" s="1"/>
  <c r="I771"/>
  <c r="H772"/>
  <c r="J772" s="1"/>
  <c r="I772"/>
  <c r="H773"/>
  <c r="J773" s="1"/>
  <c r="I773"/>
  <c r="H774"/>
  <c r="I774"/>
  <c r="J774"/>
  <c r="H775"/>
  <c r="J775" s="1"/>
  <c r="I775"/>
  <c r="H776"/>
  <c r="I776"/>
  <c r="J776"/>
  <c r="H777"/>
  <c r="I777"/>
  <c r="J777"/>
  <c r="H778"/>
  <c r="J778" s="1"/>
  <c r="I778"/>
  <c r="H779"/>
  <c r="J779" s="1"/>
  <c r="I779"/>
  <c r="H780"/>
  <c r="I780"/>
  <c r="J780"/>
  <c r="H781"/>
  <c r="J781" s="1"/>
  <c r="I781"/>
  <c r="H782"/>
  <c r="I782"/>
  <c r="J782"/>
  <c r="H783"/>
  <c r="J783" s="1"/>
  <c r="I783"/>
  <c r="H784"/>
  <c r="I784"/>
  <c r="J784"/>
  <c r="H785"/>
  <c r="J785" s="1"/>
  <c r="I785"/>
  <c r="H786"/>
  <c r="I786"/>
  <c r="J786"/>
  <c r="H787"/>
  <c r="I787"/>
  <c r="J787"/>
  <c r="H788"/>
  <c r="J788" s="1"/>
  <c r="I788"/>
  <c r="H789"/>
  <c r="J789" s="1"/>
  <c r="I789"/>
  <c r="H790"/>
  <c r="J790" s="1"/>
  <c r="I790"/>
  <c r="H791"/>
  <c r="J791" s="1"/>
  <c r="I791"/>
  <c r="H792"/>
  <c r="I792"/>
  <c r="J792"/>
  <c r="H793"/>
  <c r="J793" s="1"/>
  <c r="I793"/>
  <c r="H794"/>
  <c r="J794" s="1"/>
  <c r="I794"/>
  <c r="H795"/>
  <c r="I795"/>
  <c r="J795"/>
  <c r="H796"/>
  <c r="I796"/>
  <c r="J796"/>
  <c r="H797"/>
  <c r="J797" s="1"/>
  <c r="I797"/>
  <c r="H798"/>
  <c r="I798"/>
  <c r="J798"/>
  <c r="H799"/>
  <c r="J799" s="1"/>
  <c r="I799"/>
  <c r="H800"/>
  <c r="J800" s="1"/>
  <c r="I800"/>
  <c r="H801"/>
  <c r="J801" s="1"/>
  <c r="I801"/>
  <c r="H802"/>
  <c r="I802"/>
  <c r="J802"/>
  <c r="H803"/>
  <c r="J803" s="1"/>
  <c r="I803"/>
  <c r="H804"/>
  <c r="I804"/>
  <c r="J804"/>
  <c r="H805"/>
  <c r="J805" s="1"/>
  <c r="I805"/>
  <c r="H806"/>
  <c r="I806"/>
  <c r="J806"/>
  <c r="H807"/>
  <c r="I807"/>
  <c r="J807"/>
  <c r="H808"/>
  <c r="I808"/>
  <c r="J808"/>
  <c r="H809"/>
  <c r="J809" s="1"/>
  <c r="I809"/>
  <c r="H810"/>
  <c r="I810"/>
  <c r="J810"/>
  <c r="H811"/>
  <c r="J811" s="1"/>
  <c r="I811"/>
  <c r="H812"/>
  <c r="I812"/>
  <c r="J812"/>
  <c r="H813"/>
  <c r="J813" s="1"/>
  <c r="I813"/>
  <c r="H814"/>
  <c r="I814"/>
  <c r="J814"/>
  <c r="H815"/>
  <c r="J815" s="1"/>
  <c r="I815"/>
  <c r="H816"/>
  <c r="I816"/>
  <c r="J816"/>
  <c r="H817"/>
  <c r="J817" s="1"/>
  <c r="I817"/>
  <c r="H818"/>
  <c r="I818"/>
  <c r="J818"/>
  <c r="H819"/>
  <c r="J819" s="1"/>
  <c r="I819"/>
  <c r="H820"/>
  <c r="I820"/>
  <c r="J820"/>
  <c r="H821"/>
  <c r="J821" s="1"/>
  <c r="I821"/>
  <c r="H822"/>
  <c r="I822"/>
  <c r="J822"/>
  <c r="H823"/>
  <c r="I823"/>
  <c r="J823"/>
  <c r="H824"/>
  <c r="J824" s="1"/>
  <c r="I824"/>
  <c r="H825"/>
  <c r="J825" s="1"/>
  <c r="I825"/>
  <c r="H826"/>
  <c r="I826"/>
  <c r="J826"/>
  <c r="H827"/>
  <c r="J827" s="1"/>
  <c r="I827"/>
  <c r="H828"/>
  <c r="I828"/>
  <c r="J828"/>
  <c r="H829"/>
  <c r="J829" s="1"/>
  <c r="I829"/>
  <c r="H830"/>
  <c r="I830"/>
  <c r="J830"/>
  <c r="H831"/>
  <c r="J831" s="1"/>
  <c r="I831"/>
  <c r="H832"/>
  <c r="I832"/>
  <c r="J832"/>
  <c r="H833"/>
  <c r="J833" s="1"/>
  <c r="I833"/>
  <c r="H834"/>
  <c r="I834"/>
  <c r="J834"/>
  <c r="H835"/>
  <c r="J835" s="1"/>
  <c r="I835"/>
  <c r="H836"/>
  <c r="I836"/>
  <c r="J836"/>
  <c r="H837"/>
  <c r="J837" s="1"/>
  <c r="I837"/>
  <c r="H838"/>
  <c r="I838"/>
  <c r="J838"/>
  <c r="H839"/>
  <c r="I839"/>
  <c r="J839"/>
  <c r="H840"/>
  <c r="I840"/>
  <c r="J840"/>
  <c r="H841"/>
  <c r="J841" s="1"/>
  <c r="I841"/>
  <c r="H842"/>
  <c r="I842"/>
  <c r="J842"/>
  <c r="H843"/>
  <c r="J843" s="1"/>
  <c r="I843"/>
  <c r="H844"/>
  <c r="J844" s="1"/>
  <c r="I844"/>
  <c r="H845"/>
  <c r="J845" s="1"/>
  <c r="I845"/>
  <c r="H846"/>
  <c r="I846"/>
  <c r="J846"/>
  <c r="H847"/>
  <c r="J847" s="1"/>
  <c r="I847"/>
  <c r="H848"/>
  <c r="I848"/>
  <c r="J848"/>
  <c r="H849"/>
  <c r="J849" s="1"/>
  <c r="I849"/>
  <c r="H850"/>
  <c r="J850" s="1"/>
  <c r="I850"/>
  <c r="H851"/>
  <c r="J851" s="1"/>
  <c r="I851"/>
  <c r="H852"/>
  <c r="I852"/>
  <c r="J852"/>
  <c r="H853"/>
  <c r="J853" s="1"/>
  <c r="I853"/>
  <c r="H854"/>
  <c r="I854"/>
  <c r="J854"/>
  <c r="H855"/>
  <c r="J855" s="1"/>
  <c r="I855"/>
  <c r="H856"/>
  <c r="I856"/>
  <c r="J856"/>
  <c r="H857"/>
  <c r="J857" s="1"/>
  <c r="I857"/>
  <c r="H858"/>
  <c r="I858"/>
  <c r="J858"/>
  <c r="H859"/>
  <c r="J859" s="1"/>
  <c r="I859"/>
  <c r="H860"/>
  <c r="J860" s="1"/>
  <c r="I860"/>
  <c r="H861"/>
  <c r="J861" s="1"/>
  <c r="I861"/>
  <c r="H862"/>
  <c r="J862" s="1"/>
  <c r="I862"/>
  <c r="H863"/>
  <c r="I863"/>
  <c r="J863"/>
  <c r="H864"/>
  <c r="I864"/>
  <c r="J864"/>
  <c r="H865"/>
  <c r="J865" s="1"/>
  <c r="I865"/>
  <c r="H866"/>
  <c r="J866" s="1"/>
  <c r="I866"/>
  <c r="H867"/>
  <c r="J867" s="1"/>
  <c r="I867"/>
  <c r="H868"/>
  <c r="I868"/>
  <c r="J868"/>
  <c r="H869"/>
  <c r="J869" s="1"/>
  <c r="I869"/>
  <c r="H870"/>
  <c r="J870" s="1"/>
  <c r="I870"/>
  <c r="H871"/>
  <c r="J871" s="1"/>
  <c r="I871"/>
  <c r="H872"/>
  <c r="I872"/>
  <c r="J872"/>
  <c r="H873"/>
  <c r="J873" s="1"/>
  <c r="I873"/>
  <c r="H874"/>
  <c r="I874"/>
  <c r="J874"/>
  <c r="H875"/>
  <c r="J875" s="1"/>
  <c r="I875"/>
  <c r="H876"/>
  <c r="I876"/>
  <c r="J876"/>
  <c r="H877"/>
  <c r="J877" s="1"/>
  <c r="I877"/>
  <c r="H878"/>
  <c r="I878"/>
  <c r="J878"/>
  <c r="H879"/>
  <c r="I879"/>
  <c r="J879"/>
  <c r="H880"/>
  <c r="J880" s="1"/>
  <c r="I880"/>
  <c r="H881"/>
  <c r="J881" s="1"/>
  <c r="I881"/>
  <c r="H882"/>
  <c r="I882"/>
  <c r="J882"/>
  <c r="H883"/>
  <c r="J883" s="1"/>
  <c r="I883"/>
  <c r="H884"/>
  <c r="I884"/>
  <c r="J884"/>
  <c r="H885"/>
  <c r="J885" s="1"/>
  <c r="I885"/>
  <c r="H886"/>
  <c r="I886"/>
  <c r="J886"/>
  <c r="H887"/>
  <c r="J887" s="1"/>
  <c r="I887"/>
  <c r="H888"/>
  <c r="J888" s="1"/>
  <c r="I888"/>
  <c r="H889"/>
  <c r="J889" s="1"/>
  <c r="I889"/>
  <c r="H890"/>
  <c r="I890"/>
  <c r="J890"/>
  <c r="H891"/>
  <c r="J891" s="1"/>
  <c r="I891"/>
  <c r="H892"/>
  <c r="I892"/>
  <c r="J892"/>
  <c r="H893"/>
  <c r="J893" s="1"/>
  <c r="I893"/>
  <c r="H894"/>
  <c r="I894"/>
  <c r="J894"/>
  <c r="H895"/>
  <c r="J895" s="1"/>
  <c r="I895"/>
  <c r="H896"/>
  <c r="I896"/>
  <c r="J896"/>
  <c r="H897"/>
  <c r="I897"/>
  <c r="J897"/>
  <c r="H898"/>
  <c r="J898" s="1"/>
  <c r="I898"/>
  <c r="H899"/>
  <c r="J899" s="1"/>
  <c r="I899"/>
  <c r="H900"/>
  <c r="I900"/>
  <c r="J900"/>
  <c r="H901"/>
  <c r="J901" s="1"/>
  <c r="I901"/>
  <c r="H902"/>
  <c r="J902" s="1"/>
  <c r="I902"/>
  <c r="H903"/>
  <c r="J903" s="1"/>
  <c r="I903"/>
  <c r="H904"/>
  <c r="J904" s="1"/>
  <c r="I904"/>
  <c r="H905"/>
  <c r="J905" s="1"/>
  <c r="I905"/>
  <c r="H906"/>
  <c r="I906"/>
  <c r="J906"/>
  <c r="H907"/>
  <c r="I907"/>
  <c r="J907"/>
  <c r="H908"/>
  <c r="I908"/>
  <c r="J908"/>
  <c r="H909"/>
  <c r="I909"/>
  <c r="J909"/>
  <c r="H910"/>
  <c r="I910"/>
  <c r="J910"/>
  <c r="H911"/>
  <c r="J911" s="1"/>
  <c r="I911"/>
  <c r="H912"/>
  <c r="I912"/>
  <c r="J912"/>
  <c r="H913"/>
  <c r="J913" s="1"/>
  <c r="I913"/>
  <c r="H914"/>
  <c r="I914"/>
  <c r="J914"/>
  <c r="H915"/>
  <c r="J915" s="1"/>
  <c r="I915"/>
  <c r="H916"/>
  <c r="I916"/>
  <c r="J916"/>
  <c r="H917"/>
  <c r="J917" s="1"/>
  <c r="I917"/>
  <c r="H918"/>
  <c r="I918"/>
  <c r="J918"/>
  <c r="H919"/>
  <c r="J919" s="1"/>
  <c r="I919"/>
  <c r="H920"/>
  <c r="J920" s="1"/>
  <c r="I920"/>
  <c r="H921"/>
  <c r="I921"/>
  <c r="J921"/>
  <c r="H922"/>
  <c r="I922"/>
  <c r="J922"/>
  <c r="H923"/>
  <c r="J923" s="1"/>
  <c r="I923"/>
  <c r="H924"/>
  <c r="I924"/>
  <c r="J924"/>
  <c r="H925"/>
  <c r="J925" s="1"/>
  <c r="I925"/>
  <c r="H926"/>
  <c r="I926"/>
  <c r="J926"/>
  <c r="H927"/>
  <c r="I927"/>
  <c r="J927"/>
  <c r="H928"/>
  <c r="J928" s="1"/>
  <c r="I928"/>
  <c r="H929"/>
  <c r="J929" s="1"/>
  <c r="I929"/>
  <c r="H930"/>
  <c r="J930" s="1"/>
  <c r="I930"/>
  <c r="H931"/>
  <c r="I931"/>
  <c r="J931"/>
  <c r="H932"/>
  <c r="J932" s="1"/>
  <c r="I932"/>
  <c r="H933"/>
  <c r="J933" s="1"/>
  <c r="I933"/>
  <c r="H934"/>
  <c r="I934"/>
  <c r="J934"/>
  <c r="H935"/>
  <c r="I935"/>
  <c r="J935"/>
  <c r="H936"/>
  <c r="I936"/>
  <c r="J936"/>
  <c r="H937"/>
  <c r="J937" s="1"/>
  <c r="I937"/>
  <c r="H938"/>
  <c r="I938"/>
  <c r="J938"/>
  <c r="H939"/>
  <c r="J939" s="1"/>
  <c r="I939"/>
  <c r="H940"/>
  <c r="I940"/>
  <c r="J940"/>
  <c r="H941"/>
  <c r="J941" s="1"/>
  <c r="I941"/>
  <c r="H942"/>
  <c r="I942"/>
  <c r="J942"/>
  <c r="H943"/>
  <c r="J943" s="1"/>
  <c r="I943"/>
  <c r="H944"/>
  <c r="I944"/>
  <c r="J944"/>
  <c r="H945"/>
  <c r="J945" s="1"/>
  <c r="I945"/>
  <c r="H946"/>
  <c r="I946"/>
  <c r="J946"/>
  <c r="H947"/>
  <c r="J947" s="1"/>
  <c r="I947"/>
  <c r="H948"/>
  <c r="J948" s="1"/>
  <c r="I948"/>
  <c r="H949"/>
  <c r="I949"/>
  <c r="J949"/>
  <c r="H950"/>
  <c r="I950"/>
  <c r="J950"/>
  <c r="H951"/>
  <c r="J951" s="1"/>
  <c r="I951"/>
  <c r="H952"/>
  <c r="J952" s="1"/>
  <c r="I952"/>
  <c r="H953"/>
  <c r="J953" s="1"/>
  <c r="I953"/>
  <c r="H954"/>
  <c r="J954" s="1"/>
  <c r="I954"/>
  <c r="H955"/>
  <c r="J955" s="1"/>
  <c r="I955"/>
  <c r="H956"/>
  <c r="I956"/>
  <c r="J956"/>
  <c r="H957"/>
  <c r="J957" s="1"/>
  <c r="I957"/>
  <c r="H958"/>
  <c r="I958"/>
  <c r="J958"/>
  <c r="H959"/>
  <c r="I959"/>
  <c r="J959"/>
  <c r="H960"/>
  <c r="I960"/>
  <c r="J960"/>
  <c r="H961"/>
  <c r="J961" s="1"/>
  <c r="I961"/>
  <c r="H962"/>
  <c r="I962"/>
  <c r="J962"/>
  <c r="H963"/>
  <c r="I963"/>
  <c r="J963"/>
  <c r="H964"/>
  <c r="I964"/>
  <c r="J964"/>
  <c r="H965"/>
  <c r="J965" s="1"/>
  <c r="I965"/>
  <c r="H966"/>
  <c r="I966"/>
  <c r="J966"/>
  <c r="H967"/>
  <c r="J967" s="1"/>
  <c r="I967"/>
  <c r="H968"/>
  <c r="I968"/>
  <c r="J968"/>
  <c r="H969"/>
  <c r="J969" s="1"/>
  <c r="I969"/>
  <c r="H970"/>
  <c r="J970" s="1"/>
  <c r="I970"/>
  <c r="H971"/>
  <c r="J971" s="1"/>
  <c r="I971"/>
  <c r="H972"/>
  <c r="J972" s="1"/>
  <c r="I972"/>
  <c r="H973"/>
  <c r="J973" s="1"/>
  <c r="I973"/>
  <c r="H974"/>
  <c r="J974" s="1"/>
  <c r="I974"/>
  <c r="H975"/>
  <c r="I975"/>
  <c r="J975"/>
  <c r="H976"/>
  <c r="J976" s="1"/>
  <c r="I976"/>
  <c r="H977"/>
  <c r="J977" s="1"/>
  <c r="I977"/>
  <c r="H978"/>
  <c r="I978"/>
  <c r="J978"/>
  <c r="H979"/>
  <c r="I979"/>
  <c r="J979"/>
  <c r="H980"/>
  <c r="J980" s="1"/>
  <c r="I980"/>
  <c r="H981"/>
  <c r="I981"/>
  <c r="J981"/>
  <c r="H982"/>
  <c r="J982" s="1"/>
  <c r="I982"/>
  <c r="H983"/>
  <c r="J983" s="1"/>
  <c r="I983"/>
  <c r="H984"/>
  <c r="J984" s="1"/>
  <c r="I984"/>
  <c r="H985"/>
  <c r="J985" s="1"/>
  <c r="I985"/>
  <c r="H986"/>
  <c r="I986"/>
  <c r="J986"/>
  <c r="H987"/>
  <c r="J987" s="1"/>
  <c r="I987"/>
  <c r="H988"/>
  <c r="I988"/>
  <c r="J988"/>
  <c r="H989"/>
  <c r="J989" s="1"/>
  <c r="I989"/>
  <c r="H990"/>
  <c r="I990"/>
  <c r="J990"/>
  <c r="H991"/>
  <c r="I991"/>
  <c r="J991"/>
  <c r="H992"/>
  <c r="J992" s="1"/>
  <c r="I992"/>
  <c r="H993"/>
  <c r="J993" s="1"/>
  <c r="I993"/>
  <c r="H994"/>
  <c r="I994"/>
  <c r="J994"/>
  <c r="H995"/>
  <c r="I995"/>
  <c r="J995"/>
  <c r="H996"/>
  <c r="I996"/>
  <c r="J996"/>
  <c r="H997"/>
  <c r="J997" s="1"/>
  <c r="I997"/>
  <c r="H998"/>
  <c r="I998"/>
  <c r="J998"/>
  <c r="H999"/>
  <c r="I999"/>
  <c r="J999"/>
  <c r="H1000"/>
  <c r="I1000"/>
  <c r="J1000"/>
  <c r="H1001"/>
  <c r="J1001" s="1"/>
  <c r="I1001"/>
  <c r="H1002"/>
  <c r="I1002"/>
  <c r="J1002"/>
  <c r="H1003"/>
  <c r="I1003"/>
  <c r="J1003"/>
  <c r="H1004"/>
  <c r="I1004"/>
  <c r="J1004"/>
  <c r="H1005"/>
  <c r="J1005" s="1"/>
  <c r="I1005"/>
  <c r="H1006"/>
  <c r="I1006"/>
  <c r="J1006"/>
  <c r="H1007"/>
  <c r="J1007" s="1"/>
  <c r="I1007"/>
  <c r="H1008"/>
  <c r="J1008" s="1"/>
  <c r="I1008"/>
  <c r="H1009"/>
  <c r="I1009"/>
  <c r="J1009"/>
  <c r="H1010"/>
  <c r="I1010"/>
  <c r="J1010"/>
  <c r="H1011"/>
  <c r="J1011" s="1"/>
  <c r="I1011"/>
  <c r="H1012"/>
  <c r="I1012"/>
  <c r="J1012"/>
  <c r="I1013"/>
  <c r="H1014"/>
  <c r="I1014"/>
  <c r="J1014"/>
  <c r="H1015"/>
  <c r="I1015"/>
  <c r="J1015"/>
  <c r="H1016"/>
  <c r="I1016"/>
  <c r="J1016"/>
  <c r="H1018"/>
  <c r="J1018" s="1"/>
  <c r="I1018"/>
  <c r="H1019"/>
  <c r="I1019"/>
  <c r="J1019"/>
  <c r="H1020"/>
  <c r="J1020" s="1"/>
  <c r="I1020"/>
  <c r="H1021"/>
  <c r="I1021"/>
  <c r="J1021"/>
  <c r="H1022"/>
  <c r="I1022"/>
  <c r="J1022"/>
  <c r="H1023"/>
  <c r="I1023"/>
  <c r="J1023"/>
  <c r="H1024"/>
  <c r="J1024" s="1"/>
  <c r="I1024"/>
  <c r="H1025"/>
  <c r="I1025"/>
  <c r="J1025"/>
  <c r="H1026"/>
  <c r="I1026"/>
  <c r="J1026"/>
  <c r="H1027"/>
  <c r="J1027" s="1"/>
  <c r="I1027"/>
  <c r="H1028"/>
  <c r="J1028" s="1"/>
  <c r="I1028"/>
  <c r="H1029"/>
  <c r="J1029" s="1"/>
  <c r="I1029"/>
  <c r="H1030"/>
  <c r="J1030" s="1"/>
  <c r="I1030"/>
  <c r="H1031"/>
  <c r="I1031"/>
  <c r="J1031"/>
  <c r="H1032"/>
  <c r="I1032"/>
  <c r="J1032"/>
  <c r="H1033"/>
  <c r="J1033" s="1"/>
  <c r="I1033"/>
  <c r="H1034"/>
  <c r="I1034"/>
  <c r="J1034"/>
  <c r="H1035"/>
  <c r="J1035" s="1"/>
  <c r="I1035"/>
  <c r="H1036"/>
  <c r="J1036" s="1"/>
  <c r="I1036"/>
  <c r="H1037"/>
  <c r="J1037" s="1"/>
  <c r="I1037"/>
  <c r="H1038"/>
  <c r="I1038"/>
  <c r="J1038"/>
  <c r="H1039"/>
  <c r="I1039"/>
  <c r="J1039"/>
  <c r="H1040"/>
  <c r="J1040" s="1"/>
  <c r="I1040"/>
  <c r="H1041"/>
  <c r="J1041" s="1"/>
  <c r="I1041"/>
  <c r="H1042"/>
  <c r="I1042"/>
  <c r="J1042"/>
  <c r="H1043"/>
  <c r="I1043"/>
  <c r="J1043"/>
  <c r="H1044"/>
  <c r="J1044" s="1"/>
  <c r="I1044"/>
  <c r="H1045"/>
  <c r="I1045"/>
  <c r="J1045"/>
  <c r="H1046"/>
  <c r="J1046" s="1"/>
  <c r="I1046"/>
  <c r="H1047"/>
  <c r="J1047" s="1"/>
  <c r="I1047"/>
  <c r="H1048"/>
  <c r="I1048"/>
  <c r="J1048"/>
  <c r="H1049"/>
  <c r="J1049" s="1"/>
  <c r="I1049"/>
  <c r="H1050"/>
  <c r="J1050" s="1"/>
  <c r="I1050"/>
  <c r="H1051"/>
  <c r="I1051"/>
  <c r="J1051"/>
  <c r="H1052"/>
  <c r="J1052" s="1"/>
  <c r="I1052"/>
  <c r="H1053"/>
  <c r="I1053"/>
  <c r="J1053"/>
  <c r="H1054"/>
  <c r="J1054" s="1"/>
  <c r="I1054"/>
  <c r="H1055"/>
  <c r="I1055"/>
  <c r="J1055"/>
  <c r="H1056"/>
  <c r="I1056"/>
  <c r="J1056"/>
  <c r="H1057"/>
  <c r="J1057" s="1"/>
  <c r="I1057"/>
  <c r="H1058"/>
  <c r="J1058" s="1"/>
  <c r="I1058"/>
  <c r="H1059"/>
  <c r="I1059"/>
  <c r="J1059"/>
  <c r="H1060"/>
  <c r="J1060" s="1"/>
  <c r="I1060"/>
  <c r="H1061"/>
  <c r="I1061"/>
  <c r="J1061"/>
  <c r="H1062"/>
  <c r="J1062" s="1"/>
  <c r="I1062"/>
  <c r="H1063"/>
  <c r="I1063"/>
  <c r="J1063"/>
  <c r="H1064"/>
  <c r="J1064" s="1"/>
  <c r="I1064"/>
  <c r="H1065"/>
  <c r="I1065"/>
  <c r="J1065"/>
  <c r="H1066"/>
  <c r="J1066" s="1"/>
  <c r="I1066"/>
  <c r="H1067"/>
  <c r="J1067" s="1"/>
  <c r="I1067"/>
  <c r="H1068"/>
  <c r="J1068" s="1"/>
  <c r="I1068"/>
  <c r="H1069"/>
  <c r="I1069"/>
  <c r="J1069"/>
  <c r="H1070"/>
  <c r="I1070"/>
  <c r="J1070"/>
  <c r="H1071"/>
  <c r="I1071"/>
  <c r="J1071"/>
  <c r="H1072"/>
  <c r="J1072" s="1"/>
  <c r="I1072"/>
  <c r="H1073"/>
  <c r="J1073" s="1"/>
  <c r="I1073"/>
  <c r="H1074"/>
  <c r="J1074" s="1"/>
  <c r="I1074"/>
  <c r="H1075"/>
  <c r="I1075"/>
  <c r="J1075"/>
  <c r="H1076"/>
  <c r="J1076" s="1"/>
  <c r="I1076"/>
  <c r="H1077"/>
  <c r="I1077"/>
  <c r="J1077"/>
  <c r="H1078"/>
  <c r="J1078" s="1"/>
  <c r="I1078"/>
  <c r="H1079"/>
  <c r="J1079" s="1"/>
  <c r="I1079"/>
  <c r="H1080"/>
  <c r="I1080"/>
  <c r="J1080"/>
  <c r="H1081"/>
  <c r="I1081"/>
  <c r="J1081"/>
  <c r="H1082"/>
  <c r="J1082" s="1"/>
  <c r="I1082"/>
  <c r="H1083"/>
  <c r="I1083"/>
  <c r="J1083"/>
  <c r="H1084"/>
  <c r="J1084" s="1"/>
  <c r="I1084"/>
  <c r="H1085"/>
  <c r="I1085"/>
  <c r="J1085"/>
  <c r="H1086"/>
  <c r="J1086" s="1"/>
  <c r="I1086"/>
  <c r="H1087"/>
  <c r="J1087" s="1"/>
  <c r="I1087"/>
  <c r="H1088"/>
  <c r="J1088" s="1"/>
  <c r="I1088"/>
  <c r="H1089"/>
  <c r="I1089"/>
  <c r="J1089"/>
  <c r="H1090"/>
  <c r="J1090" s="1"/>
  <c r="I1090"/>
  <c r="H1091"/>
  <c r="J1091" s="1"/>
  <c r="I1091"/>
  <c r="H1092"/>
  <c r="I1092"/>
  <c r="J1092"/>
  <c r="H1093"/>
  <c r="J1093" s="1"/>
  <c r="I1093"/>
  <c r="H1094"/>
  <c r="J1094" s="1"/>
  <c r="I1094"/>
  <c r="H1095"/>
  <c r="I1095"/>
  <c r="J1095"/>
  <c r="H1096"/>
  <c r="J1096" s="1"/>
  <c r="I1096"/>
  <c r="H1097"/>
  <c r="I1097"/>
  <c r="J1097"/>
  <c r="H1098"/>
  <c r="J1098" s="1"/>
  <c r="I1098"/>
  <c r="H1099"/>
  <c r="J1099" s="1"/>
  <c r="I1099"/>
  <c r="H1100"/>
  <c r="J1100" s="1"/>
  <c r="I1100"/>
  <c r="H1101"/>
  <c r="I1101"/>
  <c r="J1101"/>
  <c r="H1102"/>
  <c r="J1102" s="1"/>
  <c r="I1102"/>
  <c r="H1103"/>
  <c r="J1103" s="1"/>
  <c r="I1103"/>
  <c r="H1104"/>
  <c r="J1104" s="1"/>
  <c r="I1104"/>
  <c r="H1105"/>
  <c r="I1105"/>
  <c r="J1105"/>
  <c r="H1106"/>
  <c r="J1106" s="1"/>
  <c r="I1106"/>
  <c r="H1107"/>
  <c r="I1107"/>
  <c r="J1107"/>
  <c r="H1108"/>
  <c r="J1108" s="1"/>
  <c r="I1108"/>
  <c r="H1109"/>
  <c r="I1109"/>
  <c r="J1109"/>
  <c r="H1110"/>
  <c r="J1110" s="1"/>
  <c r="I1110"/>
  <c r="H1111"/>
  <c r="I1111"/>
  <c r="J1111"/>
  <c r="H1112"/>
  <c r="J1112" s="1"/>
  <c r="I1112"/>
  <c r="H1113"/>
  <c r="I1113"/>
  <c r="J1113"/>
  <c r="H1114"/>
  <c r="J1114" s="1"/>
  <c r="I1114"/>
  <c r="H1115"/>
  <c r="J1115" s="1"/>
  <c r="I1115"/>
  <c r="H1116"/>
  <c r="J1116" s="1"/>
  <c r="I1116"/>
  <c r="H1117"/>
  <c r="I1117"/>
  <c r="J1117"/>
  <c r="H1118"/>
  <c r="J1118" s="1"/>
  <c r="I1118"/>
  <c r="H1119"/>
  <c r="J1119" s="1"/>
  <c r="I1119"/>
  <c r="H1120"/>
  <c r="I1120"/>
  <c r="J1120"/>
  <c r="H1121"/>
  <c r="J1121" s="1"/>
  <c r="I1121"/>
  <c r="H1122"/>
  <c r="J1122" s="1"/>
  <c r="I1122"/>
  <c r="H1123"/>
  <c r="I1123"/>
  <c r="J1123"/>
  <c r="H1124"/>
  <c r="J1124" s="1"/>
  <c r="I1124"/>
  <c r="H1125"/>
  <c r="I1125"/>
  <c r="J1125"/>
  <c r="H1126"/>
  <c r="I1126"/>
  <c r="J1126"/>
  <c r="H1127"/>
  <c r="J1127" s="1"/>
  <c r="I1127"/>
  <c r="H1128"/>
  <c r="I1128"/>
  <c r="J1128"/>
  <c r="H1129"/>
  <c r="J1129" s="1"/>
  <c r="I1129"/>
  <c r="H1130"/>
  <c r="J1130" s="1"/>
  <c r="I1130"/>
  <c r="H1131"/>
  <c r="I1131"/>
  <c r="J1131"/>
  <c r="H1132"/>
  <c r="J1132" s="1"/>
  <c r="I1132"/>
  <c r="H1133"/>
  <c r="I1133"/>
  <c r="J1133"/>
  <c r="H1134"/>
  <c r="J1134" s="1"/>
  <c r="I1134"/>
  <c r="H1135"/>
  <c r="I1135"/>
  <c r="J1135"/>
  <c r="H1136"/>
  <c r="J1136" s="1"/>
  <c r="I1136"/>
  <c r="H1137"/>
  <c r="I1137"/>
  <c r="J1137"/>
  <c r="H1138"/>
  <c r="J1138" s="1"/>
  <c r="I1138"/>
  <c r="H1139"/>
  <c r="I1139"/>
  <c r="J1139"/>
  <c r="H1140"/>
  <c r="J1140" s="1"/>
  <c r="I1140"/>
  <c r="H1141"/>
  <c r="J1141" s="1"/>
  <c r="I1141"/>
  <c r="H1142"/>
  <c r="J1142" s="1"/>
  <c r="I1142"/>
  <c r="H1143"/>
  <c r="I1143"/>
  <c r="J1143"/>
  <c r="H1144"/>
  <c r="J1144" s="1"/>
  <c r="I1144"/>
  <c r="H1145"/>
  <c r="I1145"/>
  <c r="J1145"/>
  <c r="H1146"/>
  <c r="J1146" s="1"/>
  <c r="I1146"/>
  <c r="H1147"/>
  <c r="I1147"/>
  <c r="J1147"/>
  <c r="H1148"/>
  <c r="J1148" s="1"/>
  <c r="I1148"/>
  <c r="H1149"/>
  <c r="I1149"/>
  <c r="J1149"/>
  <c r="H1150"/>
  <c r="J1150" s="1"/>
  <c r="I1150"/>
  <c r="H1151"/>
  <c r="I1151"/>
  <c r="J1151"/>
  <c r="H1152"/>
  <c r="J1152" s="1"/>
  <c r="I1152"/>
  <c r="H1153"/>
  <c r="I1153"/>
  <c r="J1153"/>
  <c r="H1154"/>
  <c r="J1154" s="1"/>
  <c r="I1154"/>
  <c r="H1155"/>
  <c r="I1155"/>
  <c r="J1155"/>
  <c r="H1156"/>
  <c r="I1156"/>
  <c r="J1156"/>
  <c r="H1157"/>
  <c r="I1157"/>
  <c r="J1157"/>
  <c r="H1158"/>
  <c r="J1158" s="1"/>
  <c r="I1158"/>
  <c r="H1159"/>
  <c r="I1159"/>
  <c r="J1159"/>
  <c r="H1160"/>
  <c r="J1160" s="1"/>
  <c r="I1160"/>
  <c r="H1161"/>
  <c r="J1161" s="1"/>
  <c r="I1161"/>
  <c r="H1162"/>
  <c r="I1162"/>
  <c r="J1162"/>
  <c r="H1163"/>
  <c r="I1163"/>
  <c r="J1163"/>
  <c r="H1164"/>
  <c r="J1164" s="1"/>
  <c r="I1164"/>
  <c r="H1165"/>
  <c r="I1165"/>
  <c r="J1165"/>
  <c r="H1166"/>
  <c r="J1166" s="1"/>
  <c r="I1166"/>
  <c r="H1167"/>
  <c r="J1167" s="1"/>
  <c r="I1167"/>
  <c r="H1168"/>
  <c r="J1168" s="1"/>
  <c r="I1168"/>
  <c r="H1169"/>
  <c r="J1169" s="1"/>
  <c r="I1169"/>
  <c r="H1170"/>
  <c r="J1170" s="1"/>
  <c r="I1170"/>
  <c r="H1171"/>
  <c r="J1171" s="1"/>
  <c r="I1171"/>
  <c r="H1172"/>
  <c r="I1172"/>
  <c r="J1172"/>
  <c r="H1173"/>
  <c r="J1173" s="1"/>
  <c r="I1173"/>
  <c r="H1174"/>
  <c r="J1174" s="1"/>
  <c r="I1174"/>
  <c r="H1175"/>
  <c r="I1175"/>
  <c r="J1175"/>
  <c r="H1176"/>
  <c r="I1176"/>
  <c r="J1176"/>
  <c r="H1177"/>
  <c r="J1177" s="1"/>
  <c r="I1177"/>
  <c r="H1178"/>
  <c r="J1178" s="1"/>
  <c r="I1178"/>
  <c r="H1179"/>
  <c r="J1179" s="1"/>
  <c r="I1179"/>
  <c r="H1180"/>
  <c r="J1180" s="1"/>
  <c r="I1180"/>
  <c r="H1181"/>
  <c r="I1181"/>
  <c r="J1181"/>
  <c r="H1182"/>
  <c r="J1182" s="1"/>
  <c r="I1182"/>
  <c r="H1183"/>
  <c r="I1183"/>
  <c r="J1183"/>
  <c r="H1184"/>
  <c r="J1184" s="1"/>
  <c r="I1184"/>
  <c r="H1185"/>
  <c r="I1185"/>
  <c r="J1185"/>
  <c r="H1186"/>
  <c r="J1186" s="1"/>
  <c r="I1186"/>
  <c r="H1187"/>
  <c r="I1187"/>
  <c r="J1187"/>
  <c r="H1188"/>
  <c r="I1188"/>
  <c r="J1188"/>
  <c r="H1189"/>
  <c r="J1189" s="1"/>
  <c r="I1189"/>
  <c r="H1190"/>
  <c r="I1190"/>
  <c r="J1190"/>
  <c r="H1191"/>
  <c r="J1191" s="1"/>
  <c r="I1191"/>
  <c r="H1192"/>
  <c r="I1192"/>
  <c r="J1192"/>
  <c r="H1193"/>
  <c r="J1193" s="1"/>
  <c r="I1193"/>
  <c r="H1194"/>
  <c r="J1194" s="1"/>
  <c r="I1194"/>
  <c r="H1195"/>
  <c r="I1195"/>
  <c r="J1195"/>
  <c r="H1196"/>
  <c r="J1196" s="1"/>
  <c r="I1196"/>
  <c r="H1197"/>
  <c r="J1197" s="1"/>
  <c r="I1197"/>
  <c r="H1198"/>
  <c r="J1198" s="1"/>
  <c r="I1198"/>
  <c r="H1199"/>
  <c r="I1199"/>
  <c r="J1199"/>
  <c r="H1200"/>
  <c r="J1200" s="1"/>
  <c r="I1200"/>
  <c r="H1201"/>
  <c r="J1201" s="1"/>
  <c r="I1201"/>
  <c r="H1202"/>
  <c r="J1202" s="1"/>
  <c r="I1202"/>
  <c r="H1203"/>
  <c r="I1203"/>
  <c r="J1203"/>
  <c r="H1204"/>
  <c r="J1204" s="1"/>
  <c r="I1204"/>
  <c r="H1205"/>
  <c r="I1205"/>
  <c r="J1205"/>
  <c r="H1206"/>
  <c r="I1206"/>
  <c r="J1206"/>
  <c r="H1207"/>
  <c r="I1207"/>
  <c r="J1207"/>
  <c r="H1208"/>
  <c r="J1208" s="1"/>
  <c r="I1208"/>
  <c r="H1209"/>
  <c r="I1209"/>
  <c r="J1209"/>
  <c r="H1210"/>
  <c r="J1210" s="1"/>
  <c r="I1210"/>
  <c r="H1211"/>
  <c r="J1211" s="1"/>
  <c r="I1211"/>
  <c r="H1212"/>
  <c r="I1212"/>
  <c r="J1212"/>
  <c r="H1213"/>
  <c r="J1213" s="1"/>
  <c r="I1213"/>
  <c r="H1214"/>
  <c r="I1214"/>
  <c r="J1214"/>
  <c r="H1215"/>
  <c r="J1215" s="1"/>
  <c r="I1215"/>
  <c r="H1216"/>
  <c r="J1216" s="1"/>
  <c r="I1216"/>
  <c r="H1217"/>
  <c r="I1217"/>
  <c r="J1217"/>
  <c r="H1218"/>
  <c r="J1218" s="1"/>
  <c r="I1218"/>
  <c r="H1219"/>
  <c r="I1219"/>
  <c r="J1219"/>
  <c r="H1220"/>
  <c r="I1220"/>
  <c r="J1220"/>
  <c r="H1221"/>
  <c r="J1221" s="1"/>
  <c r="I1221"/>
  <c r="H1222"/>
  <c r="J1222" s="1"/>
  <c r="I1222"/>
  <c r="H1223"/>
  <c r="J1223" s="1"/>
  <c r="I1223"/>
  <c r="H1224"/>
  <c r="J1224" s="1"/>
  <c r="I1224"/>
  <c r="H1225"/>
  <c r="I1225"/>
  <c r="J1225"/>
  <c r="H1226"/>
  <c r="I1226"/>
  <c r="J1226"/>
  <c r="H1227"/>
  <c r="J1227" s="1"/>
  <c r="I1227"/>
  <c r="H1228"/>
  <c r="I1228"/>
  <c r="J1228"/>
  <c r="H1229"/>
  <c r="I1229"/>
  <c r="J1229"/>
  <c r="H1230"/>
  <c r="J1230" s="1"/>
  <c r="I1230"/>
  <c r="H1231"/>
  <c r="I1231"/>
  <c r="J1231"/>
  <c r="H1232"/>
  <c r="J1232" s="1"/>
  <c r="I1232"/>
  <c r="H1233"/>
  <c r="J1233" s="1"/>
  <c r="I1233"/>
  <c r="H1234"/>
  <c r="I1234"/>
  <c r="J1234"/>
  <c r="H1235"/>
  <c r="J1235" s="1"/>
  <c r="I1235"/>
  <c r="H1236"/>
  <c r="J1236" s="1"/>
  <c r="I1236"/>
  <c r="H1237"/>
  <c r="I1237"/>
  <c r="J1237"/>
  <c r="H1238"/>
  <c r="J1238" s="1"/>
  <c r="I1238"/>
  <c r="H1239"/>
  <c r="I1239"/>
  <c r="J1239"/>
  <c r="H1240"/>
  <c r="J1240" s="1"/>
  <c r="I1240"/>
  <c r="H1241"/>
  <c r="I1241"/>
  <c r="J1241"/>
  <c r="H1242"/>
  <c r="J1242" s="1"/>
  <c r="I1242"/>
  <c r="H1243"/>
  <c r="I1243"/>
  <c r="J1243"/>
  <c r="H1244"/>
  <c r="J1244" s="1"/>
  <c r="I1244"/>
  <c r="H1245"/>
  <c r="I1245"/>
  <c r="J1245"/>
  <c r="H1246"/>
  <c r="I1246"/>
  <c r="J1246"/>
  <c r="H1247"/>
  <c r="I1247"/>
  <c r="J1247"/>
  <c r="H1248"/>
  <c r="J1248" s="1"/>
  <c r="I1248"/>
  <c r="H1249"/>
  <c r="J1249" s="1"/>
  <c r="I1249"/>
  <c r="H1250"/>
  <c r="J1250" s="1"/>
  <c r="I1250"/>
  <c r="H1251"/>
  <c r="I1251"/>
  <c r="J1251"/>
  <c r="H1252"/>
  <c r="J1252" s="1"/>
  <c r="I1252"/>
  <c r="H1253"/>
  <c r="J1253" s="1"/>
  <c r="I1253"/>
  <c r="H1254"/>
  <c r="J1254" s="1"/>
  <c r="I1254"/>
  <c r="H1255"/>
  <c r="J1255" s="1"/>
  <c r="I1255"/>
  <c r="H1256"/>
  <c r="J1256" s="1"/>
  <c r="I1256"/>
  <c r="H1257"/>
  <c r="I1257"/>
  <c r="J1257"/>
  <c r="H1258"/>
  <c r="I1258"/>
  <c r="J1258"/>
  <c r="H1259"/>
  <c r="I1259"/>
  <c r="J1259"/>
  <c r="H1260"/>
  <c r="J1260" s="1"/>
  <c r="I1260"/>
  <c r="H1261"/>
  <c r="I1261"/>
  <c r="J1261"/>
  <c r="H1262"/>
  <c r="J1262" s="1"/>
  <c r="I1262"/>
  <c r="H1263"/>
  <c r="I1263"/>
  <c r="J1263"/>
  <c r="H1264"/>
  <c r="J1264" s="1"/>
  <c r="I1264"/>
  <c r="H1265"/>
  <c r="J1265" s="1"/>
  <c r="I1265"/>
  <c r="H1266"/>
  <c r="J1266" s="1"/>
  <c r="I1266"/>
  <c r="H1267"/>
  <c r="I1267"/>
  <c r="J1267"/>
  <c r="H1268"/>
  <c r="J1268" s="1"/>
  <c r="I1268"/>
  <c r="H1269"/>
  <c r="J1269" s="1"/>
  <c r="I1269"/>
  <c r="H1270"/>
  <c r="I1270"/>
  <c r="J1270"/>
  <c r="H1271"/>
  <c r="I1271"/>
  <c r="J1271"/>
  <c r="H1272"/>
  <c r="J1272" s="1"/>
  <c r="I1272"/>
  <c r="H1273"/>
  <c r="J1273" s="1"/>
  <c r="I1273"/>
  <c r="H1274"/>
  <c r="J1274" s="1"/>
  <c r="I1274"/>
  <c r="H1275"/>
  <c r="I1275"/>
  <c r="J1275"/>
  <c r="H1276"/>
  <c r="I1276"/>
  <c r="J1276"/>
  <c r="H1277"/>
  <c r="J1277" s="1"/>
  <c r="I1277"/>
  <c r="H1278"/>
  <c r="J1278" s="1"/>
  <c r="I1278"/>
  <c r="H1279"/>
  <c r="I1279"/>
  <c r="J1279"/>
  <c r="H1280"/>
  <c r="J1280" s="1"/>
  <c r="I1280"/>
  <c r="H1281"/>
  <c r="J1281" s="1"/>
  <c r="I1281"/>
  <c r="H1282"/>
  <c r="J1282" s="1"/>
  <c r="I1282"/>
  <c r="H1283"/>
  <c r="I1283"/>
  <c r="J1283"/>
  <c r="H1284"/>
  <c r="J1284" s="1"/>
  <c r="I1284"/>
  <c r="H1285"/>
  <c r="J1285" s="1"/>
  <c r="I1285"/>
  <c r="H1286"/>
  <c r="J1286" s="1"/>
  <c r="I1286"/>
  <c r="H1287"/>
  <c r="I1287"/>
  <c r="J1287"/>
  <c r="H1288"/>
  <c r="J1288" s="1"/>
  <c r="I1288"/>
  <c r="H1289"/>
  <c r="I1289"/>
  <c r="J1289"/>
  <c r="H1290"/>
  <c r="J1290" s="1"/>
  <c r="I1290"/>
  <c r="H1291"/>
  <c r="I1291"/>
  <c r="J1291"/>
  <c r="H1292"/>
  <c r="J1292" s="1"/>
  <c r="I1292"/>
  <c r="H1293"/>
  <c r="J1293" s="1"/>
  <c r="I1293"/>
  <c r="H1294"/>
  <c r="J1294" s="1"/>
  <c r="I1294"/>
  <c r="H1295"/>
  <c r="I1295"/>
  <c r="J1295"/>
  <c r="H1296"/>
  <c r="J1296" s="1"/>
  <c r="I1296"/>
  <c r="H1297"/>
  <c r="I1297"/>
  <c r="J1297"/>
  <c r="H1298"/>
  <c r="I1298"/>
  <c r="J1298"/>
  <c r="H1299"/>
  <c r="J1299" s="1"/>
  <c r="I1299"/>
  <c r="H1300"/>
  <c r="J1300" s="1"/>
  <c r="I1300"/>
  <c r="H1301"/>
  <c r="I1301"/>
  <c r="J1301"/>
  <c r="H1302"/>
  <c r="J1302" s="1"/>
  <c r="I1302"/>
  <c r="H1303"/>
  <c r="I1303"/>
  <c r="J1303"/>
  <c r="H1304"/>
  <c r="J1304" s="1"/>
  <c r="I1304"/>
  <c r="H1305"/>
  <c r="I1305"/>
  <c r="J1305"/>
  <c r="H1306"/>
  <c r="I1306"/>
  <c r="J1306"/>
  <c r="H1307"/>
  <c r="J1307" s="1"/>
  <c r="I1307"/>
  <c r="H1308"/>
  <c r="J1308" s="1"/>
  <c r="I1308"/>
  <c r="H1309"/>
  <c r="I1309"/>
  <c r="J1309"/>
  <c r="H1310"/>
  <c r="J1310" s="1"/>
  <c r="I1310"/>
  <c r="H1311"/>
  <c r="I1311"/>
  <c r="J1311"/>
  <c r="H1312"/>
  <c r="J1312" s="1"/>
  <c r="I1312"/>
  <c r="H1313"/>
  <c r="I1313"/>
  <c r="J1313"/>
  <c r="H1314"/>
  <c r="J1314" s="1"/>
  <c r="I1314"/>
  <c r="H1315"/>
  <c r="I1315"/>
  <c r="J1315"/>
  <c r="H1316"/>
  <c r="J1316" s="1"/>
  <c r="I1316"/>
  <c r="H1317"/>
  <c r="J1317" s="1"/>
  <c r="I1317"/>
  <c r="H1318"/>
  <c r="J1318" s="1"/>
  <c r="I1318"/>
  <c r="H1319"/>
  <c r="I1319"/>
  <c r="J1319"/>
  <c r="H1320"/>
  <c r="J1320" s="1"/>
  <c r="I1320"/>
  <c r="H1321"/>
  <c r="J1321" s="1"/>
  <c r="I1321"/>
  <c r="H1322"/>
  <c r="J1322" s="1"/>
  <c r="I1322"/>
  <c r="H1323"/>
  <c r="J1323" s="1"/>
  <c r="I1323"/>
  <c r="H1324"/>
  <c r="J1324" s="1"/>
  <c r="I1324"/>
  <c r="H1325"/>
  <c r="I1325"/>
  <c r="J1325"/>
  <c r="H1326"/>
  <c r="J1326" s="1"/>
  <c r="I1326"/>
  <c r="H1327"/>
  <c r="I1327"/>
  <c r="J1327"/>
  <c r="H1328"/>
  <c r="J1328" s="1"/>
  <c r="I1328"/>
  <c r="H1329"/>
  <c r="I1329"/>
  <c r="J1329"/>
  <c r="H1330"/>
  <c r="J1330" s="1"/>
  <c r="I1330"/>
  <c r="H1331"/>
  <c r="I1331"/>
  <c r="J1331"/>
  <c r="H1332"/>
  <c r="J1332" s="1"/>
  <c r="I1332"/>
  <c r="H1333"/>
  <c r="I1333"/>
  <c r="J1333"/>
  <c r="H1334"/>
  <c r="J1334" s="1"/>
  <c r="I1334"/>
  <c r="H1335"/>
  <c r="I1335"/>
  <c r="J1335"/>
  <c r="H1336"/>
  <c r="J1336" s="1"/>
  <c r="I1336"/>
  <c r="H1337"/>
  <c r="J1337" s="1"/>
  <c r="I1337"/>
  <c r="H1338"/>
  <c r="J1338" s="1"/>
  <c r="I1338"/>
  <c r="H1339"/>
  <c r="I1339"/>
  <c r="J1339"/>
  <c r="H1340"/>
  <c r="J1340" s="1"/>
  <c r="I1340"/>
  <c r="H1341"/>
  <c r="I1341"/>
  <c r="J1341"/>
  <c r="H1342"/>
  <c r="J1342" s="1"/>
  <c r="I1342"/>
  <c r="H1343"/>
  <c r="I1343"/>
  <c r="J1343"/>
  <c r="H1344"/>
  <c r="J1344" s="1"/>
  <c r="I1344"/>
  <c r="H1345"/>
  <c r="I1345"/>
  <c r="J1345"/>
  <c r="H1346"/>
  <c r="J1346" s="1"/>
  <c r="I1346"/>
  <c r="H1347"/>
  <c r="I1347"/>
  <c r="J1347"/>
  <c r="H1348"/>
  <c r="I1348"/>
  <c r="J1348"/>
  <c r="H1349"/>
  <c r="J1349" s="1"/>
  <c r="I1349"/>
  <c r="H1350"/>
  <c r="J1350" s="1"/>
  <c r="I1350"/>
  <c r="H1351"/>
  <c r="I1351"/>
  <c r="J1351"/>
  <c r="H1352"/>
  <c r="J1352" s="1"/>
  <c r="I1352"/>
  <c r="H1353"/>
  <c r="I1353"/>
  <c r="J1353"/>
  <c r="H1354"/>
  <c r="I1354"/>
  <c r="J1354"/>
  <c r="H1355"/>
  <c r="I1355"/>
  <c r="J1355"/>
  <c r="H1356"/>
  <c r="J1356" s="1"/>
  <c r="I1356"/>
  <c r="H1357"/>
  <c r="I1357"/>
  <c r="J1357"/>
  <c r="H1358"/>
  <c r="J1358" s="1"/>
  <c r="I1358"/>
  <c r="H1359"/>
  <c r="I1359"/>
  <c r="J1359"/>
  <c r="H1360"/>
  <c r="I1360"/>
  <c r="J1360"/>
  <c r="H1361"/>
  <c r="J1361" s="1"/>
  <c r="I1361"/>
  <c r="H1362"/>
  <c r="J1362" s="1"/>
  <c r="I1362"/>
  <c r="H1363"/>
  <c r="I1363"/>
  <c r="J1363"/>
  <c r="H1364"/>
  <c r="I1364"/>
  <c r="J1364"/>
  <c r="H1365"/>
  <c r="J1365" s="1"/>
  <c r="I1365"/>
  <c r="H1366"/>
  <c r="I1366"/>
  <c r="J1366"/>
  <c r="H1367"/>
  <c r="J1367" s="1"/>
  <c r="I1367"/>
  <c r="H1368"/>
  <c r="I1368"/>
  <c r="J1368"/>
  <c r="H1369"/>
  <c r="I1369"/>
  <c r="J1369"/>
  <c r="H1370"/>
  <c r="J1370" s="1"/>
  <c r="I1370"/>
  <c r="H1371"/>
  <c r="I1371"/>
  <c r="J1371"/>
  <c r="H1372"/>
  <c r="J1372" s="1"/>
  <c r="I1372"/>
  <c r="H1373"/>
  <c r="I1373"/>
  <c r="J1373"/>
  <c r="H1374"/>
  <c r="J1374" s="1"/>
  <c r="I1374"/>
  <c r="H1375"/>
  <c r="I1375"/>
  <c r="J1375"/>
  <c r="H1376"/>
  <c r="J1376" s="1"/>
  <c r="I1376"/>
  <c r="H1377"/>
  <c r="I1377"/>
  <c r="J1377"/>
  <c r="H1378"/>
  <c r="I1378"/>
  <c r="J1378"/>
  <c r="H1379"/>
  <c r="J1379" s="1"/>
  <c r="I1379"/>
  <c r="H1380"/>
  <c r="J1380" s="1"/>
  <c r="I1380"/>
  <c r="H1381"/>
  <c r="I1381"/>
  <c r="J1381"/>
  <c r="H1382"/>
  <c r="I1382"/>
  <c r="J1382"/>
  <c r="H1383"/>
  <c r="J1383" s="1"/>
  <c r="I1383"/>
  <c r="H1384"/>
  <c r="J1384" s="1"/>
  <c r="I1384"/>
  <c r="H1385"/>
  <c r="I1385"/>
  <c r="J1385"/>
  <c r="H1386"/>
  <c r="J1386" s="1"/>
  <c r="I1386"/>
  <c r="H1387"/>
  <c r="I1387"/>
  <c r="J1387"/>
  <c r="H1388"/>
  <c r="I1388"/>
  <c r="J1388"/>
  <c r="H1389"/>
  <c r="I1389"/>
  <c r="J1389"/>
  <c r="H1390"/>
  <c r="J1390" s="1"/>
  <c r="I1390"/>
  <c r="H1391"/>
  <c r="I1391"/>
  <c r="J1391"/>
  <c r="H1392"/>
  <c r="J1392" s="1"/>
  <c r="I1392"/>
  <c r="H1393"/>
  <c r="J1393" s="1"/>
  <c r="I1393"/>
  <c r="H1394"/>
  <c r="I1394"/>
  <c r="J1394"/>
  <c r="H1395"/>
  <c r="J1395" s="1"/>
  <c r="I1395"/>
  <c r="H1396"/>
  <c r="I1396"/>
  <c r="J1396"/>
  <c r="H1397"/>
  <c r="I1397"/>
  <c r="J1397"/>
  <c r="H1398"/>
  <c r="J1398" s="1"/>
  <c r="I1398"/>
  <c r="H1399"/>
  <c r="I1399"/>
  <c r="J1399"/>
  <c r="H1400"/>
  <c r="J1400" s="1"/>
  <c r="I1400"/>
  <c r="H1401"/>
  <c r="I1401"/>
  <c r="J1401"/>
  <c r="H1402"/>
  <c r="J1402" s="1"/>
  <c r="I1402"/>
  <c r="H1403"/>
  <c r="J1403" s="1"/>
  <c r="I1403"/>
  <c r="H1404"/>
  <c r="J1404" s="1"/>
  <c r="I1404"/>
  <c r="H1405"/>
  <c r="I1405"/>
  <c r="J1405"/>
  <c r="H1406"/>
  <c r="J1406" s="1"/>
  <c r="I1406"/>
  <c r="H1407"/>
  <c r="I1407"/>
  <c r="J1407"/>
  <c r="H1408"/>
  <c r="I1408"/>
  <c r="J1408"/>
  <c r="H1409"/>
  <c r="J1409" s="1"/>
  <c r="I1409"/>
  <c r="H1410"/>
  <c r="J1410" s="1"/>
  <c r="I1410"/>
  <c r="H1411"/>
  <c r="I1411"/>
  <c r="J1411"/>
  <c r="H1412"/>
  <c r="J1412" s="1"/>
  <c r="I1412"/>
  <c r="H1413"/>
  <c r="I1413"/>
  <c r="J1413"/>
  <c r="H1414"/>
  <c r="J1414" s="1"/>
  <c r="I1414"/>
  <c r="H1415"/>
  <c r="I1415"/>
  <c r="J1415"/>
  <c r="H1416"/>
  <c r="J1416" s="1"/>
  <c r="I1416"/>
  <c r="H1417"/>
  <c r="I1417"/>
  <c r="J1417"/>
  <c r="H1418"/>
  <c r="J1418" s="1"/>
  <c r="I1418"/>
  <c r="H1419"/>
  <c r="I1419"/>
  <c r="J1419"/>
  <c r="H1420"/>
  <c r="I1420"/>
  <c r="J1420"/>
  <c r="H1421"/>
  <c r="J1421" s="1"/>
  <c r="I1421"/>
  <c r="H1422"/>
  <c r="J1422" s="1"/>
  <c r="I1422"/>
  <c r="H1423"/>
  <c r="I1423"/>
  <c r="J1423"/>
  <c r="H1424"/>
  <c r="I1424"/>
  <c r="J1424"/>
  <c r="H1425"/>
  <c r="I1425"/>
  <c r="J1425"/>
  <c r="H1426"/>
  <c r="J1426" s="1"/>
  <c r="I1426"/>
  <c r="H1427"/>
  <c r="I1427"/>
  <c r="J1427"/>
  <c r="H1428"/>
  <c r="J1428" s="1"/>
  <c r="I1428"/>
  <c r="H1429"/>
  <c r="I1429"/>
  <c r="J1429"/>
  <c r="H1430"/>
  <c r="J1430" s="1"/>
  <c r="I1430"/>
  <c r="H1431"/>
  <c r="I1431"/>
  <c r="J1431"/>
  <c r="H1432"/>
  <c r="J1432" s="1"/>
  <c r="I1432"/>
  <c r="H1433"/>
  <c r="I1433"/>
  <c r="J1433"/>
  <c r="H1434"/>
  <c r="I1434"/>
  <c r="J1434"/>
  <c r="H1435"/>
  <c r="I1435"/>
  <c r="J1435"/>
  <c r="H1436"/>
  <c r="J1436" s="1"/>
  <c r="I1436"/>
  <c r="H1437"/>
  <c r="I1437"/>
  <c r="J1437"/>
  <c r="H1438"/>
  <c r="J1438" s="1"/>
  <c r="I1438"/>
  <c r="H1439"/>
  <c r="I1439"/>
  <c r="J1439"/>
  <c r="H1440"/>
  <c r="J1440" s="1"/>
  <c r="I1440"/>
  <c r="H1441"/>
  <c r="I1441"/>
  <c r="J1441"/>
  <c r="H1442"/>
  <c r="I1442"/>
  <c r="J1442"/>
  <c r="H1443"/>
  <c r="I1443"/>
  <c r="J1443"/>
  <c r="H1444"/>
  <c r="J1444" s="1"/>
  <c r="I1444"/>
  <c r="H1445"/>
  <c r="I1445"/>
  <c r="J1445"/>
  <c r="H1446"/>
  <c r="I1446"/>
  <c r="J1446"/>
  <c r="H1447"/>
  <c r="J1447" s="1"/>
  <c r="I1447"/>
  <c r="H1448"/>
  <c r="J1448" s="1"/>
  <c r="I1448"/>
  <c r="H1449"/>
  <c r="I1449"/>
  <c r="J1449"/>
  <c r="H1450"/>
  <c r="I1450"/>
  <c r="J1450"/>
  <c r="H1451"/>
  <c r="J1451" s="1"/>
  <c r="I1451"/>
  <c r="H1452"/>
  <c r="J1452" s="1"/>
  <c r="I1452"/>
  <c r="H1453"/>
  <c r="I1453"/>
  <c r="J1453"/>
  <c r="H1454"/>
  <c r="I1454"/>
  <c r="J1454"/>
  <c r="H1455"/>
  <c r="I1455"/>
  <c r="J1455"/>
  <c r="H1456"/>
  <c r="J1456" s="1"/>
  <c r="I1456"/>
  <c r="H1457"/>
  <c r="I1457"/>
  <c r="J1457"/>
  <c r="H1458"/>
  <c r="I1458"/>
  <c r="J1458"/>
  <c r="H1459"/>
  <c r="J1459" s="1"/>
  <c r="I1459"/>
  <c r="H1460"/>
  <c r="J1460" s="1"/>
  <c r="I1460"/>
  <c r="H1461"/>
  <c r="J1461" s="1"/>
  <c r="I1461"/>
  <c r="H1462"/>
  <c r="J1462" s="1"/>
  <c r="I1462"/>
  <c r="H1463"/>
  <c r="I1463"/>
  <c r="J1463"/>
  <c r="H1464"/>
  <c r="J1464" s="1"/>
  <c r="I1464"/>
  <c r="H1465"/>
  <c r="J1465" s="1"/>
  <c r="I1465"/>
  <c r="H1466"/>
  <c r="J1466" s="1"/>
  <c r="I1466"/>
  <c r="H1467"/>
  <c r="I1467"/>
  <c r="J1467"/>
  <c r="H1468"/>
  <c r="J1468" s="1"/>
  <c r="I1468"/>
  <c r="H1469"/>
  <c r="J1469" s="1"/>
  <c r="I1469"/>
  <c r="H1470"/>
  <c r="J1470" s="1"/>
  <c r="I1470"/>
  <c r="H1471"/>
  <c r="I1471"/>
  <c r="J1471"/>
  <c r="H1472"/>
  <c r="J1472" s="1"/>
  <c r="I1472"/>
  <c r="H1473"/>
  <c r="I1473"/>
  <c r="J1473"/>
  <c r="H1474"/>
  <c r="J1474" s="1"/>
  <c r="I1474"/>
  <c r="H1475"/>
  <c r="I1475"/>
  <c r="J1475"/>
  <c r="H1476"/>
  <c r="I1476"/>
  <c r="J1476"/>
  <c r="H1477"/>
  <c r="I1477"/>
  <c r="J1477"/>
  <c r="H1478"/>
  <c r="J1478" s="1"/>
  <c r="I1478"/>
  <c r="H1479"/>
  <c r="I1479"/>
  <c r="J1479"/>
  <c r="H1480"/>
  <c r="J1480" s="1"/>
  <c r="I1480"/>
  <c r="H1481"/>
  <c r="I1481"/>
  <c r="J1481"/>
  <c r="H1482"/>
  <c r="I1482"/>
  <c r="J1482"/>
  <c r="H1483"/>
  <c r="I1483"/>
  <c r="J1483"/>
  <c r="H1484"/>
  <c r="J1484" s="1"/>
  <c r="I1484"/>
  <c r="H1485"/>
  <c r="I1485"/>
  <c r="J1485"/>
  <c r="H1486"/>
  <c r="J1486" s="1"/>
  <c r="I1486"/>
  <c r="H1487"/>
  <c r="I1487"/>
  <c r="J1487"/>
  <c r="H1488"/>
  <c r="J1488" s="1"/>
  <c r="I1488"/>
  <c r="H1489"/>
  <c r="I1489"/>
  <c r="J1489"/>
  <c r="H1490"/>
  <c r="J1490" s="1"/>
  <c r="I1490"/>
  <c r="H1491"/>
  <c r="I1491"/>
  <c r="J1491"/>
  <c r="H1492"/>
  <c r="J1492" s="1"/>
  <c r="I1492"/>
  <c r="H1493"/>
  <c r="I1493"/>
  <c r="J1493"/>
  <c r="H1494"/>
  <c r="J1494" s="1"/>
  <c r="I1494"/>
  <c r="H1495"/>
  <c r="I1495"/>
  <c r="J1495"/>
  <c r="H1496"/>
  <c r="J1496" s="1"/>
  <c r="I1496"/>
  <c r="H1497"/>
  <c r="I1497"/>
  <c r="J1497"/>
  <c r="H1498"/>
  <c r="J1498" s="1"/>
  <c r="I1498"/>
  <c r="H1499"/>
  <c r="I1499"/>
  <c r="J1499"/>
  <c r="H1500"/>
  <c r="J1500" s="1"/>
  <c r="I1500"/>
  <c r="H1501"/>
  <c r="I1501"/>
  <c r="J1501"/>
  <c r="H1502"/>
  <c r="I1502"/>
  <c r="J1502"/>
  <c r="H1503"/>
  <c r="I1503"/>
  <c r="J1503"/>
  <c r="H1504"/>
  <c r="J1504" s="1"/>
  <c r="I1504"/>
  <c r="H1505"/>
  <c r="I1505"/>
  <c r="J1505"/>
  <c r="H1506"/>
  <c r="J1506" s="1"/>
  <c r="I1506"/>
  <c r="H1507"/>
  <c r="I1507"/>
  <c r="J1507"/>
  <c r="H1508"/>
  <c r="I1508"/>
  <c r="J1508"/>
  <c r="H1509"/>
  <c r="I1509"/>
  <c r="J1509"/>
  <c r="H1510"/>
  <c r="I1510"/>
  <c r="J1510"/>
  <c r="H1511"/>
  <c r="J1511" s="1"/>
  <c r="I1511"/>
  <c r="H1512"/>
  <c r="J1512" s="1"/>
  <c r="I1512"/>
  <c r="H1513"/>
  <c r="I1513"/>
  <c r="J1513"/>
  <c r="H1514"/>
  <c r="J1514" s="1"/>
  <c r="I1514"/>
  <c r="H1515"/>
  <c r="I1515"/>
  <c r="J1515"/>
  <c r="H1516"/>
  <c r="J1516" s="1"/>
  <c r="I1516"/>
  <c r="H1517"/>
  <c r="I1517"/>
  <c r="J1517"/>
  <c r="H1518"/>
  <c r="J1518" s="1"/>
  <c r="I1518"/>
  <c r="H1519"/>
  <c r="I1519"/>
  <c r="J1519"/>
  <c r="H1520"/>
  <c r="J1520" s="1"/>
  <c r="I1520"/>
  <c r="H1521"/>
  <c r="I1521"/>
  <c r="J1521"/>
  <c r="H1522"/>
  <c r="J1522" s="1"/>
  <c r="I1522"/>
  <c r="H1523"/>
  <c r="I1523"/>
  <c r="J1523"/>
  <c r="H1524"/>
  <c r="J1524" s="1"/>
  <c r="I1524"/>
  <c r="H1525"/>
  <c r="I1525"/>
  <c r="J1525"/>
  <c r="H1526"/>
  <c r="J1526" s="1"/>
  <c r="I1526"/>
  <c r="H1527"/>
  <c r="I1527"/>
  <c r="J1527"/>
  <c r="H1528"/>
  <c r="I1528"/>
  <c r="J1528"/>
  <c r="H1529"/>
  <c r="I1529"/>
  <c r="J1529"/>
  <c r="H1530"/>
  <c r="I1530"/>
  <c r="J1530"/>
  <c r="H1531"/>
  <c r="J1531" s="1"/>
  <c r="I1531"/>
  <c r="H1532"/>
  <c r="J1532" s="1"/>
  <c r="I1532"/>
  <c r="H1533"/>
  <c r="I1533"/>
  <c r="J1533"/>
  <c r="H1534"/>
  <c r="J1534" s="1"/>
  <c r="I1534"/>
  <c r="H1535"/>
  <c r="I1535"/>
  <c r="J1535"/>
  <c r="H1536"/>
  <c r="J1536" s="1"/>
  <c r="I1536"/>
  <c r="H1537"/>
  <c r="I1537"/>
  <c r="J1537"/>
  <c r="H1538"/>
  <c r="J1538" s="1"/>
  <c r="I1538"/>
  <c r="H1539"/>
  <c r="I1539"/>
  <c r="J1539"/>
  <c r="H1540"/>
  <c r="J1540" s="1"/>
  <c r="I1540"/>
  <c r="H1541"/>
  <c r="I1541"/>
  <c r="J1541"/>
  <c r="H1542"/>
  <c r="I1542"/>
  <c r="J1542"/>
  <c r="H1543"/>
  <c r="I1543"/>
  <c r="J1543"/>
  <c r="H1544"/>
  <c r="J1544" s="1"/>
  <c r="I1544"/>
  <c r="H1545"/>
  <c r="I1545"/>
  <c r="J1545"/>
  <c r="H1546"/>
  <c r="J1546" s="1"/>
  <c r="I1546"/>
  <c r="H1547"/>
  <c r="I1547"/>
  <c r="J1547"/>
  <c r="H1548"/>
  <c r="J1548" s="1"/>
  <c r="I1548"/>
  <c r="H1549"/>
  <c r="I1549"/>
  <c r="J1549"/>
  <c r="H1550"/>
  <c r="I1550"/>
  <c r="J1550"/>
  <c r="H1551"/>
  <c r="J1551" s="1"/>
  <c r="I1551"/>
  <c r="H1552"/>
  <c r="J1552" s="1"/>
  <c r="I1552"/>
  <c r="H1553"/>
  <c r="I1553"/>
  <c r="J1553"/>
  <c r="H1554"/>
  <c r="J1554" s="1"/>
  <c r="I1554"/>
  <c r="H1555"/>
  <c r="I1555"/>
  <c r="J1555"/>
  <c r="H1556"/>
  <c r="J1556" s="1"/>
  <c r="I1556"/>
  <c r="H1557"/>
  <c r="I1557"/>
  <c r="J1557"/>
  <c r="H1558"/>
  <c r="I1558"/>
  <c r="J1558"/>
  <c r="H1559"/>
  <c r="I1559"/>
  <c r="J1559"/>
  <c r="H1560"/>
  <c r="I1560"/>
  <c r="J1560"/>
  <c r="H1561"/>
  <c r="I1561"/>
  <c r="J1561"/>
  <c r="H1562"/>
  <c r="J1562" s="1"/>
  <c r="I1562"/>
  <c r="H1563"/>
  <c r="I1563"/>
  <c r="J1563"/>
  <c r="H1564"/>
  <c r="J1564" s="1"/>
  <c r="I1564"/>
  <c r="H1565"/>
  <c r="I1565"/>
  <c r="J1565"/>
  <c r="H1566"/>
  <c r="J1566" s="1"/>
  <c r="I1566"/>
  <c r="H1567"/>
  <c r="I1567"/>
  <c r="J1567"/>
  <c r="H1568"/>
  <c r="J1568" s="1"/>
  <c r="I1568"/>
  <c r="H1569"/>
  <c r="I1569"/>
  <c r="J1569"/>
  <c r="H1570"/>
  <c r="J1570" s="1"/>
  <c r="I1570"/>
  <c r="H1571"/>
  <c r="I1571"/>
  <c r="J1571"/>
  <c r="H1572"/>
  <c r="J1572" s="1"/>
  <c r="I1572"/>
  <c r="H1573"/>
  <c r="I1573"/>
  <c r="J1573"/>
  <c r="H1574"/>
  <c r="J1574" s="1"/>
  <c r="I1574"/>
  <c r="H1575"/>
  <c r="I1575"/>
  <c r="J1575"/>
  <c r="H1576"/>
  <c r="J1576" s="1"/>
  <c r="I1576"/>
  <c r="H1577"/>
  <c r="I1577"/>
  <c r="J1577"/>
  <c r="H1578"/>
  <c r="I1578"/>
  <c r="J1578"/>
  <c r="H1579"/>
  <c r="J1579" s="1"/>
  <c r="I1579"/>
  <c r="H1580"/>
  <c r="J1580" s="1"/>
  <c r="I1580"/>
  <c r="H1581"/>
  <c r="I1581"/>
  <c r="J1581"/>
  <c r="H1582"/>
  <c r="J1582" s="1"/>
  <c r="I1582"/>
  <c r="H1583"/>
  <c r="I1583"/>
  <c r="J1583"/>
  <c r="H1584"/>
  <c r="J1584" s="1"/>
  <c r="I1584"/>
  <c r="H1585"/>
  <c r="I1585"/>
  <c r="J1585"/>
  <c r="H1586"/>
  <c r="J1586" s="1"/>
  <c r="I1586"/>
  <c r="H1587"/>
  <c r="I1587"/>
  <c r="J1587"/>
  <c r="H1588"/>
  <c r="I1588"/>
  <c r="J1588"/>
  <c r="H1589"/>
  <c r="I1589"/>
  <c r="J1589"/>
  <c r="H1590"/>
  <c r="J1590" s="1"/>
  <c r="I1590"/>
  <c r="H1591"/>
  <c r="I1591"/>
  <c r="J1591"/>
  <c r="H1592"/>
  <c r="I1592"/>
  <c r="J1592"/>
  <c r="H1593"/>
  <c r="I1593"/>
  <c r="J1593"/>
  <c r="H1594"/>
  <c r="J1594" s="1"/>
  <c r="I1594"/>
  <c r="H1595"/>
  <c r="I1595"/>
  <c r="J1595"/>
  <c r="H1596"/>
  <c r="J1596" s="1"/>
  <c r="I1596"/>
  <c r="H1597"/>
  <c r="I1597"/>
  <c r="J1597"/>
  <c r="H1598"/>
  <c r="J1598" s="1"/>
  <c r="I1598"/>
  <c r="H1599"/>
  <c r="I1599"/>
  <c r="J1599"/>
  <c r="H1600"/>
  <c r="J1600" s="1"/>
  <c r="I1600"/>
  <c r="H1601"/>
  <c r="I1601"/>
  <c r="J1601"/>
  <c r="H1602"/>
  <c r="I1602"/>
  <c r="J1602"/>
  <c r="H1603"/>
  <c r="I1603"/>
  <c r="J1603"/>
  <c r="H1604"/>
  <c r="J1604" s="1"/>
  <c r="I1604"/>
  <c r="H1605"/>
  <c r="I1605"/>
  <c r="J1605"/>
  <c r="H1606"/>
  <c r="J1606" s="1"/>
  <c r="I1606"/>
  <c r="H1607"/>
  <c r="I1607"/>
  <c r="J1607"/>
  <c r="H1608"/>
  <c r="I1608"/>
  <c r="J1608"/>
  <c r="H1609"/>
  <c r="I1609"/>
  <c r="J1609"/>
  <c r="H1610"/>
  <c r="J1610" s="1"/>
  <c r="I1610"/>
  <c r="H1611"/>
  <c r="I1611"/>
  <c r="J1611"/>
  <c r="H1612"/>
  <c r="J1612" s="1"/>
  <c r="I1612"/>
  <c r="H1613"/>
  <c r="I1613"/>
  <c r="J1613"/>
  <c r="H1614"/>
  <c r="J1614" s="1"/>
  <c r="I1614"/>
  <c r="H1615"/>
  <c r="I1615"/>
  <c r="J1615"/>
  <c r="H1616"/>
  <c r="I1616"/>
  <c r="J1616"/>
  <c r="H1617"/>
  <c r="I1617"/>
  <c r="J1617"/>
  <c r="H1618"/>
  <c r="I1618"/>
  <c r="J1618"/>
  <c r="H1619"/>
  <c r="I1619"/>
  <c r="J1619"/>
  <c r="H1620"/>
  <c r="J1620" s="1"/>
  <c r="I1620"/>
  <c r="H1621"/>
  <c r="I1621"/>
  <c r="J1621"/>
  <c r="H1622"/>
  <c r="J1622" s="1"/>
  <c r="I1622"/>
  <c r="H1623"/>
  <c r="J1623" s="1"/>
  <c r="I1623"/>
  <c r="H1624"/>
  <c r="I1624"/>
  <c r="J1624"/>
  <c r="H1625"/>
  <c r="I1625"/>
  <c r="J1625"/>
  <c r="H1626"/>
  <c r="J1626" s="1"/>
  <c r="I1626"/>
  <c r="H1627"/>
  <c r="I1627"/>
  <c r="J1627"/>
  <c r="H1628"/>
  <c r="J1628" s="1"/>
  <c r="I1628"/>
  <c r="H1629"/>
  <c r="I1629"/>
  <c r="J1629"/>
  <c r="H1630"/>
  <c r="I1630"/>
  <c r="J1630"/>
  <c r="H1631"/>
  <c r="J1631" s="1"/>
  <c r="I1631"/>
  <c r="H1632"/>
  <c r="J1632" s="1"/>
  <c r="I1632"/>
  <c r="H1633"/>
  <c r="I1633"/>
  <c r="J1633"/>
  <c r="H1634"/>
  <c r="J1634" s="1"/>
  <c r="I1634"/>
  <c r="H1635"/>
  <c r="I1635"/>
  <c r="J1635"/>
  <c r="H1636"/>
  <c r="J1636" s="1"/>
  <c r="I1636"/>
  <c r="H1637"/>
  <c r="I1637"/>
  <c r="J1637"/>
  <c r="H1638"/>
  <c r="J1638" s="1"/>
  <c r="I1638"/>
  <c r="H1639"/>
  <c r="I1639"/>
  <c r="J1639"/>
  <c r="H1640"/>
  <c r="J1640" s="1"/>
  <c r="I1640"/>
  <c r="H1641"/>
  <c r="I1641"/>
  <c r="J1641"/>
  <c r="H1642"/>
  <c r="I1642"/>
  <c r="J1642"/>
  <c r="H1643"/>
  <c r="I1643"/>
  <c r="J1643"/>
  <c r="H1644"/>
  <c r="J1644" s="1"/>
  <c r="I1644"/>
  <c r="H1645"/>
  <c r="I1645"/>
  <c r="J1645"/>
  <c r="H1646"/>
  <c r="I1646"/>
  <c r="J1646"/>
  <c r="H1647"/>
  <c r="I1647"/>
  <c r="J1647"/>
  <c r="H1648"/>
  <c r="J1648" s="1"/>
  <c r="I1648"/>
  <c r="H1649"/>
  <c r="I1649"/>
  <c r="J1649"/>
  <c r="H1650"/>
  <c r="I1650"/>
  <c r="J1650"/>
  <c r="H1651"/>
  <c r="J1651" s="1"/>
  <c r="I1651"/>
  <c r="H1652"/>
  <c r="J1652" s="1"/>
  <c r="I1652"/>
  <c r="H1653"/>
  <c r="I1653"/>
  <c r="J1653"/>
  <c r="H1654"/>
  <c r="J1654" s="1"/>
  <c r="I1654"/>
  <c r="H1655"/>
  <c r="I1655"/>
  <c r="J1655"/>
  <c r="H1656"/>
  <c r="J1656" s="1"/>
  <c r="I1656"/>
  <c r="H1657"/>
  <c r="I1657"/>
  <c r="J1657"/>
  <c r="H1658"/>
  <c r="J1658" s="1"/>
  <c r="I1658"/>
  <c r="H1659"/>
  <c r="I1659"/>
  <c r="J1659"/>
  <c r="H1660"/>
  <c r="I1660"/>
  <c r="J1660"/>
  <c r="H1661"/>
  <c r="J1661" s="1"/>
  <c r="I1661"/>
  <c r="H1662"/>
  <c r="I1662"/>
  <c r="J1662"/>
  <c r="H1663"/>
  <c r="I1663"/>
  <c r="J1663"/>
  <c r="H1664"/>
  <c r="J1664" s="1"/>
  <c r="I1664"/>
  <c r="H1665"/>
  <c r="I1665"/>
  <c r="J1665"/>
  <c r="H1666"/>
  <c r="J1666" s="1"/>
  <c r="I1666"/>
  <c r="H1667"/>
  <c r="I1667"/>
  <c r="J1667"/>
  <c r="H1668"/>
  <c r="J1668" s="1"/>
  <c r="I1668"/>
  <c r="H1669"/>
  <c r="I1669"/>
  <c r="J1669"/>
  <c r="H1670"/>
  <c r="I1670"/>
  <c r="J1670"/>
  <c r="H1671"/>
  <c r="J1671" s="1"/>
  <c r="I1671"/>
  <c r="H1672"/>
  <c r="J1672" s="1"/>
  <c r="I1672"/>
  <c r="H1673"/>
  <c r="I1673"/>
  <c r="J1673"/>
  <c r="H1674"/>
  <c r="I1674"/>
  <c r="J1674"/>
  <c r="H1675"/>
  <c r="I1675"/>
  <c r="J1675"/>
  <c r="H1676"/>
  <c r="J1676" s="1"/>
  <c r="I1676"/>
  <c r="H1677"/>
  <c r="I1677"/>
  <c r="J1677"/>
  <c r="H1678"/>
  <c r="J1678" s="1"/>
  <c r="I1678"/>
  <c r="H1679"/>
  <c r="I1679"/>
  <c r="J1679"/>
  <c r="H1680"/>
  <c r="J1680" s="1"/>
  <c r="I1680"/>
  <c r="H1681"/>
  <c r="I1681"/>
  <c r="J1681"/>
  <c r="H1682"/>
  <c r="J1682" s="1"/>
  <c r="I1682"/>
  <c r="H1683"/>
  <c r="I1683"/>
  <c r="J1683"/>
  <c r="H1684"/>
  <c r="I1684"/>
  <c r="J1684"/>
  <c r="H1685"/>
  <c r="I1685"/>
  <c r="J1685"/>
  <c r="H1686"/>
  <c r="J1686" s="1"/>
  <c r="I1686"/>
  <c r="H1687"/>
  <c r="I1687"/>
  <c r="J1687"/>
  <c r="H1688"/>
  <c r="I1688"/>
  <c r="J1688"/>
  <c r="H1689"/>
  <c r="I1689"/>
  <c r="J1689"/>
  <c r="H1690"/>
  <c r="J1690" s="1"/>
  <c r="I1690"/>
  <c r="H1691"/>
  <c r="I1691"/>
  <c r="J1691"/>
  <c r="H1692"/>
  <c r="I1692"/>
  <c r="J1692"/>
  <c r="H1693"/>
  <c r="I1693"/>
  <c r="J1693"/>
  <c r="H1694"/>
  <c r="J1694" s="1"/>
  <c r="I1694"/>
  <c r="H1695"/>
  <c r="I1695"/>
  <c r="J1695"/>
  <c r="H1696"/>
  <c r="I1696"/>
  <c r="J1696"/>
  <c r="H1697"/>
  <c r="I1697"/>
  <c r="J1697"/>
  <c r="H1698"/>
  <c r="J1698" s="1"/>
  <c r="I1698"/>
  <c r="H1699"/>
  <c r="I1699"/>
  <c r="J1699"/>
  <c r="H1700"/>
  <c r="I1700"/>
  <c r="J1700"/>
  <c r="H1701"/>
  <c r="I1701"/>
  <c r="J1701"/>
  <c r="H1702"/>
  <c r="I1702"/>
  <c r="J1702"/>
  <c r="H1703"/>
  <c r="J1703" s="1"/>
  <c r="I1703"/>
  <c r="H1704"/>
  <c r="J1704" s="1"/>
  <c r="I1704"/>
  <c r="H1705"/>
  <c r="I1705"/>
  <c r="J1705"/>
  <c r="H1706"/>
  <c r="J1706" s="1"/>
  <c r="I1706"/>
  <c r="H1707"/>
  <c r="I1707"/>
  <c r="J1707"/>
  <c r="H1708"/>
  <c r="I1708"/>
  <c r="J1708"/>
  <c r="H1709"/>
  <c r="J1709" s="1"/>
  <c r="I1709"/>
  <c r="H1710"/>
  <c r="I1710"/>
  <c r="J1710"/>
  <c r="H1711"/>
  <c r="I1711"/>
  <c r="J1711"/>
  <c r="H1712"/>
  <c r="I1712"/>
  <c r="J1712"/>
  <c r="H1713"/>
  <c r="J1713" s="1"/>
  <c r="I1713"/>
  <c r="H1714"/>
  <c r="J1714" s="1"/>
  <c r="I1714"/>
  <c r="H1715"/>
  <c r="I1715"/>
  <c r="J1715"/>
  <c r="H1716"/>
  <c r="J1716" s="1"/>
  <c r="I1716"/>
  <c r="H1717"/>
  <c r="I1717"/>
  <c r="J1717"/>
  <c r="H1718"/>
  <c r="J1718" s="1"/>
  <c r="I1718"/>
  <c r="H1719"/>
  <c r="I1719"/>
  <c r="J1719"/>
  <c r="H1720"/>
  <c r="I1720"/>
  <c r="J1720"/>
  <c r="H1721"/>
  <c r="I1721"/>
  <c r="J1721"/>
  <c r="H1722"/>
  <c r="I1722"/>
  <c r="J1722"/>
  <c r="H1723"/>
  <c r="I1723"/>
  <c r="J1723"/>
  <c r="H1724"/>
  <c r="J1724" s="1"/>
  <c r="I1724"/>
  <c r="H1725"/>
  <c r="J1725" s="1"/>
  <c r="I1725"/>
  <c r="H1726"/>
  <c r="I1726"/>
  <c r="J1726"/>
  <c r="H1727"/>
  <c r="J1727" s="1"/>
  <c r="I1727"/>
  <c r="H1728"/>
  <c r="I1728"/>
  <c r="J1728"/>
  <c r="H1729"/>
  <c r="I1729"/>
  <c r="J1729"/>
  <c r="H1730"/>
  <c r="J1730" s="1"/>
  <c r="I1730"/>
  <c r="H1731"/>
  <c r="I1731"/>
  <c r="J1731"/>
  <c r="H1732"/>
  <c r="I1732"/>
  <c r="J1732"/>
  <c r="H1733"/>
  <c r="I1733"/>
  <c r="J1733"/>
  <c r="H1734"/>
  <c r="J1734" s="1"/>
  <c r="I1734"/>
  <c r="H1735"/>
  <c r="I1735"/>
  <c r="J1735"/>
  <c r="H1736"/>
  <c r="J1736" s="1"/>
  <c r="I1736"/>
  <c r="H1737"/>
  <c r="I1737"/>
  <c r="J1737"/>
  <c r="H1738"/>
  <c r="I1738"/>
  <c r="J1738"/>
  <c r="H1739"/>
  <c r="J1739" s="1"/>
  <c r="I1739"/>
  <c r="H1740"/>
  <c r="I1740"/>
  <c r="J1740"/>
  <c r="H1741"/>
  <c r="I1741"/>
  <c r="J1741"/>
  <c r="H1742"/>
  <c r="I1742"/>
  <c r="J1742"/>
  <c r="H1743"/>
  <c r="J1743" s="1"/>
  <c r="I1743"/>
  <c r="H1744"/>
  <c r="I1744"/>
  <c r="J1744"/>
  <c r="H1745"/>
  <c r="J1745" s="1"/>
  <c r="I1745"/>
  <c r="H1746"/>
  <c r="I1746"/>
  <c r="J1746"/>
  <c r="H1747"/>
  <c r="J1747" s="1"/>
  <c r="I1747"/>
  <c r="H1748"/>
  <c r="I1748"/>
  <c r="J1748"/>
  <c r="H1749"/>
  <c r="J1749" s="1"/>
  <c r="I1749"/>
  <c r="H1750"/>
  <c r="I1750"/>
  <c r="J1750"/>
  <c r="H1751"/>
  <c r="J1751" s="1"/>
  <c r="I1751"/>
  <c r="H1752"/>
  <c r="I1752"/>
  <c r="J1752"/>
  <c r="H1753"/>
  <c r="I1753"/>
  <c r="J1753"/>
  <c r="H1754"/>
  <c r="I1754"/>
  <c r="J1754"/>
  <c r="H1755"/>
  <c r="J1755" s="1"/>
  <c r="I1755"/>
  <c r="H1756"/>
  <c r="I1756"/>
  <c r="J1756"/>
  <c r="H1757"/>
  <c r="J1757" s="1"/>
  <c r="I1757"/>
  <c r="H1758"/>
  <c r="I1758"/>
  <c r="J1758"/>
  <c r="H1759"/>
  <c r="J1759" s="1"/>
  <c r="I1759"/>
  <c r="H1760"/>
  <c r="I1760"/>
  <c r="J1760"/>
  <c r="H1761"/>
  <c r="J1761" s="1"/>
  <c r="I1761"/>
  <c r="H1762"/>
  <c r="I1762"/>
  <c r="J1762"/>
  <c r="H1763"/>
  <c r="J1763" s="1"/>
  <c r="I1763"/>
  <c r="H1764"/>
  <c r="I1764"/>
  <c r="J1764"/>
  <c r="H1765"/>
  <c r="I1765"/>
  <c r="J1765"/>
  <c r="H1766"/>
  <c r="I1766"/>
  <c r="J1766"/>
  <c r="H1767"/>
  <c r="J1767" s="1"/>
  <c r="I1767"/>
  <c r="H1768"/>
  <c r="I1768"/>
  <c r="J1768"/>
  <c r="H1769"/>
  <c r="J1769" s="1"/>
  <c r="I1769"/>
  <c r="H1770"/>
  <c r="I1770"/>
  <c r="J1770"/>
  <c r="H1771"/>
  <c r="I1771"/>
  <c r="J1771"/>
  <c r="H1772"/>
  <c r="I1772"/>
  <c r="J1772"/>
  <c r="H1773"/>
  <c r="J1773" s="1"/>
  <c r="I1773"/>
  <c r="H1774"/>
  <c r="I1774"/>
  <c r="J1774"/>
  <c r="H1775"/>
  <c r="I1775"/>
  <c r="J1775"/>
  <c r="H1776"/>
  <c r="I1776"/>
  <c r="J1776"/>
  <c r="H1777"/>
  <c r="J1777" s="1"/>
  <c r="I1777"/>
  <c r="H1778"/>
  <c r="I1778"/>
  <c r="J1778"/>
  <c r="H1779"/>
  <c r="I1779"/>
  <c r="J1779"/>
  <c r="H1780"/>
  <c r="I1780"/>
  <c r="J1780"/>
  <c r="H1781"/>
  <c r="J1781" s="1"/>
  <c r="I1781"/>
  <c r="H1782"/>
  <c r="I1782"/>
  <c r="J1782"/>
  <c r="H1783"/>
  <c r="J1783" s="1"/>
  <c r="I1783"/>
  <c r="H1784"/>
  <c r="I1784"/>
  <c r="J1784"/>
  <c r="H1785"/>
  <c r="J1785" s="1"/>
  <c r="I1785"/>
  <c r="H1786"/>
  <c r="I1786"/>
  <c r="J1786"/>
  <c r="H1787"/>
  <c r="I1787"/>
  <c r="J1787"/>
  <c r="H1788"/>
  <c r="I1788"/>
  <c r="J1788"/>
  <c r="H1789"/>
  <c r="J1789" s="1"/>
  <c r="I1789"/>
  <c r="H1790"/>
  <c r="I1790"/>
  <c r="J1790"/>
  <c r="H1791"/>
  <c r="J1791" s="1"/>
  <c r="I1791"/>
  <c r="H1792"/>
  <c r="I1792"/>
  <c r="J1792"/>
  <c r="H1793"/>
  <c r="I1793"/>
  <c r="J1793"/>
  <c r="H1794"/>
  <c r="J1794" s="1"/>
  <c r="I1794"/>
  <c r="H1795"/>
  <c r="J1795" s="1"/>
  <c r="I1795"/>
  <c r="H1796"/>
  <c r="I1796"/>
  <c r="J1796"/>
  <c r="H1797"/>
  <c r="J1797" s="1"/>
  <c r="I1797"/>
  <c r="H1798"/>
  <c r="J1798" s="1"/>
  <c r="I1798"/>
  <c r="H1799"/>
  <c r="J1799" s="1"/>
  <c r="I1799"/>
  <c r="H1800"/>
  <c r="I1800"/>
  <c r="J1800"/>
  <c r="H1801"/>
  <c r="J1801" s="1"/>
  <c r="I1801"/>
  <c r="H1802"/>
  <c r="I1802"/>
  <c r="J1802"/>
  <c r="H1803"/>
  <c r="J1803" s="1"/>
  <c r="I1803"/>
  <c r="H1804"/>
  <c r="I1804"/>
  <c r="J1804"/>
  <c r="H1805"/>
  <c r="J1805" s="1"/>
  <c r="I1805"/>
  <c r="H1806"/>
  <c r="I1806"/>
  <c r="J1806"/>
  <c r="H1807"/>
  <c r="I1807"/>
  <c r="J1807"/>
  <c r="H1808"/>
  <c r="I1808"/>
  <c r="J1808"/>
  <c r="H1809"/>
  <c r="J1809" s="1"/>
  <c r="I1809"/>
  <c r="H1810"/>
  <c r="I1810"/>
  <c r="J1810"/>
  <c r="H1811"/>
  <c r="J1811" s="1"/>
  <c r="I1811"/>
  <c r="H1812"/>
  <c r="I1812"/>
  <c r="J1812"/>
  <c r="H1813"/>
  <c r="J1813" s="1"/>
  <c r="I1813"/>
  <c r="H1814"/>
  <c r="I1814"/>
  <c r="J1814"/>
  <c r="H1815"/>
  <c r="J1815" s="1"/>
  <c r="I1815"/>
  <c r="H1816"/>
  <c r="I1816"/>
  <c r="J1816"/>
  <c r="H1817"/>
  <c r="J1817" s="1"/>
  <c r="I1817"/>
  <c r="H1818"/>
  <c r="I1818"/>
  <c r="J1818"/>
  <c r="H1819"/>
  <c r="J1819" s="1"/>
  <c r="I1819"/>
  <c r="H1820"/>
  <c r="I1820"/>
  <c r="J1820"/>
  <c r="H1821"/>
  <c r="J1821" s="1"/>
  <c r="I1821"/>
  <c r="H1822"/>
  <c r="I1822"/>
  <c r="J1822"/>
  <c r="H1823"/>
  <c r="J1823" s="1"/>
  <c r="I1823"/>
  <c r="H1824"/>
  <c r="I1824"/>
  <c r="J1824"/>
  <c r="H1825"/>
  <c r="I1825"/>
  <c r="J1825"/>
  <c r="H1826"/>
  <c r="I1826"/>
  <c r="J1826"/>
  <c r="H1827"/>
  <c r="J1827" s="1"/>
  <c r="I1827"/>
  <c r="H1828"/>
  <c r="I1828"/>
  <c r="J1828"/>
  <c r="H1829"/>
  <c r="J1829" s="1"/>
  <c r="I1829"/>
  <c r="H1830"/>
  <c r="I1830"/>
  <c r="J1830"/>
  <c r="H1831"/>
  <c r="I1831"/>
  <c r="J1831"/>
  <c r="H1832"/>
  <c r="I1832"/>
  <c r="J1832"/>
  <c r="H1833"/>
  <c r="J1833" s="1"/>
  <c r="I1833"/>
  <c r="H1834"/>
  <c r="I1834"/>
  <c r="J1834"/>
  <c r="H1835"/>
  <c r="I1835"/>
  <c r="J1835"/>
  <c r="H1836"/>
  <c r="J1836" s="1"/>
  <c r="I1836"/>
  <c r="H1837"/>
  <c r="I1837"/>
  <c r="J1837"/>
  <c r="H1838"/>
  <c r="J1838" s="1"/>
  <c r="I1838"/>
  <c r="H1839"/>
  <c r="I1839"/>
  <c r="J1839"/>
  <c r="H1840"/>
  <c r="I1840"/>
  <c r="J1840"/>
  <c r="H1841"/>
  <c r="I1841"/>
  <c r="J1841"/>
  <c r="H1842"/>
  <c r="J1842" s="1"/>
  <c r="I1842"/>
  <c r="H1843"/>
  <c r="I1843"/>
  <c r="J1843"/>
  <c r="H1844"/>
  <c r="I1844"/>
  <c r="J1844"/>
  <c r="H1845"/>
  <c r="I1845"/>
  <c r="J1845"/>
  <c r="H1846"/>
  <c r="J1846" s="1"/>
  <c r="I1846"/>
  <c r="H1847"/>
  <c r="J1847" s="1"/>
  <c r="I1847"/>
  <c r="H1848"/>
  <c r="I1848"/>
  <c r="J1848"/>
  <c r="H1849"/>
  <c r="J1849" s="1"/>
  <c r="I1849"/>
  <c r="H1850"/>
  <c r="I1850"/>
  <c r="J1850"/>
  <c r="H1851"/>
  <c r="J1851" s="1"/>
  <c r="I1851"/>
  <c r="H1852"/>
  <c r="I1852"/>
  <c r="J1852"/>
  <c r="H1853"/>
  <c r="J1853" s="1"/>
  <c r="I1853"/>
  <c r="H1854"/>
  <c r="I1854"/>
  <c r="J1854"/>
  <c r="H1855"/>
  <c r="J1855" s="1"/>
  <c r="I1855"/>
  <c r="H1856"/>
  <c r="I1856"/>
  <c r="J1856"/>
  <c r="H1857"/>
  <c r="J1857" s="1"/>
  <c r="I1857"/>
  <c r="H1858"/>
  <c r="I1858"/>
  <c r="J1858"/>
  <c r="H1859"/>
  <c r="J1859" s="1"/>
  <c r="I1859"/>
  <c r="H1860"/>
  <c r="I1860"/>
  <c r="J1860"/>
  <c r="H1861"/>
  <c r="J1861" s="1"/>
  <c r="I1861"/>
  <c r="H1862"/>
  <c r="I1862"/>
  <c r="J1862"/>
  <c r="H1863"/>
  <c r="J1863" s="1"/>
  <c r="I1863"/>
  <c r="H1864"/>
  <c r="I1864"/>
  <c r="J1864"/>
  <c r="H1865"/>
  <c r="I1865"/>
  <c r="J1865"/>
  <c r="H1866"/>
  <c r="J1866" s="1"/>
  <c r="I1866"/>
  <c r="H1867"/>
  <c r="I1867"/>
  <c r="J1867"/>
  <c r="H1868"/>
  <c r="J1868" s="1"/>
  <c r="I1868"/>
  <c r="H1869"/>
  <c r="J1869" s="1"/>
  <c r="I1869"/>
  <c r="H1870"/>
  <c r="I1870"/>
  <c r="J1870"/>
  <c r="H1871"/>
  <c r="J1871" s="1"/>
  <c r="I1871"/>
  <c r="H1872"/>
  <c r="J1872" s="1"/>
  <c r="I1872"/>
  <c r="H1873"/>
  <c r="I1873"/>
  <c r="J1873"/>
  <c r="H1874"/>
  <c r="I1874"/>
  <c r="J1874"/>
  <c r="H1875"/>
  <c r="J1875" s="1"/>
  <c r="I1875"/>
  <c r="H1876"/>
  <c r="I1876"/>
  <c r="J1876"/>
  <c r="H1877"/>
  <c r="I1877"/>
  <c r="J1877"/>
  <c r="H1878"/>
  <c r="I1878"/>
  <c r="J1878"/>
  <c r="H1879"/>
  <c r="J1879" s="1"/>
  <c r="I1879"/>
  <c r="H1880"/>
  <c r="I1880"/>
  <c r="J1880"/>
  <c r="H1881"/>
  <c r="I1881"/>
  <c r="J1881"/>
  <c r="H1882"/>
  <c r="I1882"/>
  <c r="J1882"/>
  <c r="H1883"/>
  <c r="I1883"/>
  <c r="J1883"/>
  <c r="H1884"/>
  <c r="J1884" s="1"/>
  <c r="I1884"/>
  <c r="H1885"/>
  <c r="I1885"/>
  <c r="J1885"/>
  <c r="H1886"/>
  <c r="J1886" s="1"/>
  <c r="I1886"/>
  <c r="H1887"/>
  <c r="J1887" s="1"/>
  <c r="I1887"/>
  <c r="H1888"/>
  <c r="I1888"/>
  <c r="J1888"/>
  <c r="H1889"/>
  <c r="J1889" s="1"/>
  <c r="I1889"/>
  <c r="H1890"/>
  <c r="I1890"/>
  <c r="J1890"/>
  <c r="H1891"/>
  <c r="J1891" s="1"/>
  <c r="I1891"/>
  <c r="H1892"/>
  <c r="I1892"/>
  <c r="J1892"/>
  <c r="H1893"/>
  <c r="J1893" s="1"/>
  <c r="I1893"/>
  <c r="H1894"/>
  <c r="I1894"/>
  <c r="J1894"/>
  <c r="H1895"/>
  <c r="J1895" s="1"/>
  <c r="I1895"/>
  <c r="H1896"/>
  <c r="I1896"/>
  <c r="J1896"/>
  <c r="H1897"/>
  <c r="J1897" s="1"/>
  <c r="I1897"/>
  <c r="H1898"/>
  <c r="I1898"/>
  <c r="J1898"/>
  <c r="H1899"/>
  <c r="J1899" s="1"/>
  <c r="I1899"/>
  <c r="H1900"/>
  <c r="I1900"/>
  <c r="J1900"/>
  <c r="H1901"/>
  <c r="I1901"/>
  <c r="J1901"/>
  <c r="H1902"/>
  <c r="J1902" s="1"/>
  <c r="I1902"/>
  <c r="H1903"/>
  <c r="I1903"/>
  <c r="J1903"/>
  <c r="H1904"/>
  <c r="J1904" s="1"/>
  <c r="I1904"/>
  <c r="H1905"/>
  <c r="J1905" s="1"/>
  <c r="I1905"/>
  <c r="H1906"/>
  <c r="I1906"/>
  <c r="J1906"/>
  <c r="H1907"/>
  <c r="J1907" s="1"/>
  <c r="I1907"/>
  <c r="H1908"/>
  <c r="I1908"/>
  <c r="J1908"/>
  <c r="H1909"/>
  <c r="J1909" s="1"/>
  <c r="I1909"/>
  <c r="H1910"/>
  <c r="I1910"/>
  <c r="J1910"/>
  <c r="H1911"/>
  <c r="J1911" s="1"/>
  <c r="I1911"/>
  <c r="H1912"/>
  <c r="I1912"/>
  <c r="J1912"/>
  <c r="H1913"/>
  <c r="J1913" s="1"/>
  <c r="I1913"/>
  <c r="H1914"/>
  <c r="I1914"/>
  <c r="J1914"/>
  <c r="H1915"/>
  <c r="I1915"/>
  <c r="J1915"/>
  <c r="H1916"/>
  <c r="I1916"/>
  <c r="J1916"/>
  <c r="H1917"/>
  <c r="J1917" s="1"/>
  <c r="I1917"/>
  <c r="H1918"/>
  <c r="I1918"/>
  <c r="J1918"/>
  <c r="H1919"/>
  <c r="J1919" s="1"/>
  <c r="I1919"/>
  <c r="H1920"/>
  <c r="I1920"/>
  <c r="J1920"/>
  <c r="H1921"/>
  <c r="J1921" s="1"/>
  <c r="I1921"/>
  <c r="H1922"/>
  <c r="I1922"/>
  <c r="J1922"/>
  <c r="H1923"/>
  <c r="J1923" s="1"/>
  <c r="I1923"/>
  <c r="H1924"/>
  <c r="I1924"/>
  <c r="J1924"/>
  <c r="H1925"/>
  <c r="J1925" s="1"/>
  <c r="I1925"/>
  <c r="H1926"/>
  <c r="I1926"/>
  <c r="J1926"/>
  <c r="H1927"/>
  <c r="J1927" s="1"/>
  <c r="I1927"/>
  <c r="H1928"/>
  <c r="I1928"/>
  <c r="J1928"/>
  <c r="H1929"/>
  <c r="I1929"/>
  <c r="J1929"/>
  <c r="H1930"/>
  <c r="I1930"/>
  <c r="J1930"/>
  <c r="H1931"/>
  <c r="J1931" s="1"/>
  <c r="I1931"/>
  <c r="H1932"/>
  <c r="I1932"/>
  <c r="J1932"/>
  <c r="H1933"/>
  <c r="I1933"/>
  <c r="J1933"/>
  <c r="H1934"/>
  <c r="I1934"/>
  <c r="J1934"/>
  <c r="H1935"/>
  <c r="J1935" s="1"/>
  <c r="I1935"/>
  <c r="H1936"/>
  <c r="I1936"/>
  <c r="J1936"/>
  <c r="H1937"/>
  <c r="I1937"/>
  <c r="J1937"/>
  <c r="H1938"/>
  <c r="J1938" s="1"/>
  <c r="I1938"/>
  <c r="H1939"/>
  <c r="I1939"/>
  <c r="J1939"/>
  <c r="H1940"/>
  <c r="J1940" s="1"/>
  <c r="I1940"/>
  <c r="H1941"/>
  <c r="J1941" s="1"/>
  <c r="I1941"/>
  <c r="H1942"/>
  <c r="I1942"/>
  <c r="J1942"/>
  <c r="H1943"/>
  <c r="J1943" s="1"/>
  <c r="I1943"/>
  <c r="H1944"/>
  <c r="I1944"/>
  <c r="J1944"/>
  <c r="H1945"/>
  <c r="J1945" s="1"/>
  <c r="I1945"/>
  <c r="H1946"/>
  <c r="I1946"/>
  <c r="J1946"/>
  <c r="H1947"/>
  <c r="J1947" s="1"/>
  <c r="I1947"/>
  <c r="H1948"/>
  <c r="I1948"/>
  <c r="J1948"/>
  <c r="H1949"/>
  <c r="J1949" s="1"/>
  <c r="I1949"/>
  <c r="H1950"/>
  <c r="I1950"/>
  <c r="J1950"/>
  <c r="H1951"/>
  <c r="J1951" s="1"/>
  <c r="I1951"/>
  <c r="H1952"/>
  <c r="I1952"/>
  <c r="J1952"/>
  <c r="H1953"/>
  <c r="I1953"/>
  <c r="J1953"/>
  <c r="H1954"/>
  <c r="J1954" s="1"/>
  <c r="I1954"/>
  <c r="H1955"/>
  <c r="I1955"/>
  <c r="J1955"/>
  <c r="H1956"/>
  <c r="I1956"/>
  <c r="J1956"/>
  <c r="H1957"/>
  <c r="J1957" s="1"/>
  <c r="I1957"/>
  <c r="H1958"/>
  <c r="I1958"/>
  <c r="J1958"/>
  <c r="H1959"/>
  <c r="I1959"/>
  <c r="J1959"/>
  <c r="H1960"/>
  <c r="I1960"/>
  <c r="J1960"/>
  <c r="H1961"/>
  <c r="J1961" s="1"/>
  <c r="I1961"/>
  <c r="H1962"/>
  <c r="I1962"/>
  <c r="J1962"/>
  <c r="H1963"/>
  <c r="I1963"/>
  <c r="J1963"/>
  <c r="H1964"/>
  <c r="I1964"/>
  <c r="J1964"/>
  <c r="H1965"/>
  <c r="J1965" s="1"/>
  <c r="I1965"/>
  <c r="H1966"/>
  <c r="I1966"/>
  <c r="J1966"/>
  <c r="H1967"/>
  <c r="J1967" s="1"/>
  <c r="I1967"/>
  <c r="H1968"/>
  <c r="I1968"/>
  <c r="J1968"/>
  <c r="H1969"/>
  <c r="J1969" s="1"/>
  <c r="I1969"/>
  <c r="H1970"/>
  <c r="I1970"/>
  <c r="J1970"/>
  <c r="H1971"/>
  <c r="J1971" s="1"/>
  <c r="I1971"/>
  <c r="H1972"/>
  <c r="I1972"/>
  <c r="J1972"/>
  <c r="H1973"/>
  <c r="I1973"/>
  <c r="J1973"/>
  <c r="H1974"/>
  <c r="I1974"/>
  <c r="J1974"/>
  <c r="H1975"/>
  <c r="J1975" s="1"/>
  <c r="I1975"/>
  <c r="H1976"/>
  <c r="I1976"/>
  <c r="J1976"/>
  <c r="H1977"/>
  <c r="I1977"/>
  <c r="J1977"/>
  <c r="H1978"/>
  <c r="I1978"/>
  <c r="J1978"/>
  <c r="H1979"/>
  <c r="J1979" s="1"/>
  <c r="I1979"/>
  <c r="H1980"/>
  <c r="I1980"/>
  <c r="J1980"/>
  <c r="H1981"/>
  <c r="I1981"/>
  <c r="J1981"/>
  <c r="H1982"/>
  <c r="I1982"/>
  <c r="J1982"/>
  <c r="H1983"/>
  <c r="J1983" s="1"/>
  <c r="I1983"/>
  <c r="H1984"/>
  <c r="I1984"/>
  <c r="J1984"/>
  <c r="H1985"/>
  <c r="J1985" s="1"/>
  <c r="I1985"/>
  <c r="H1986"/>
  <c r="I1986"/>
  <c r="J1986"/>
  <c r="H1987"/>
  <c r="J1987" s="1"/>
  <c r="I1987"/>
  <c r="H1988"/>
  <c r="I1988"/>
  <c r="J1988"/>
  <c r="H1989"/>
  <c r="I1989"/>
  <c r="J1989"/>
  <c r="H1990"/>
  <c r="J1990" s="1"/>
  <c r="I1990"/>
  <c r="H1991"/>
  <c r="J1991" s="1"/>
  <c r="I1991"/>
  <c r="H1992"/>
  <c r="I1992"/>
  <c r="J1992"/>
  <c r="H1993"/>
  <c r="J1993" s="1"/>
  <c r="I1993"/>
  <c r="H1994"/>
  <c r="I1994"/>
  <c r="J1994"/>
  <c r="H1995"/>
  <c r="J1995" s="1"/>
  <c r="I1995"/>
  <c r="H1996"/>
  <c r="I1996"/>
  <c r="J1996"/>
  <c r="H1997"/>
  <c r="J1997" s="1"/>
  <c r="I1997"/>
  <c r="H1998"/>
  <c r="I1998"/>
  <c r="J1998"/>
  <c r="H1999"/>
  <c r="I1999"/>
  <c r="J1999"/>
  <c r="H2000"/>
  <c r="I2000"/>
  <c r="J2000"/>
  <c r="H2001"/>
  <c r="J2001" s="1"/>
  <c r="I2001"/>
  <c r="H2002"/>
  <c r="I2002"/>
  <c r="J2002"/>
  <c r="H2003"/>
  <c r="I2003"/>
  <c r="J2003"/>
  <c r="H2004"/>
  <c r="I2004"/>
  <c r="J2004"/>
  <c r="H2005"/>
  <c r="J2005" s="1"/>
  <c r="I2005"/>
  <c r="H2006"/>
  <c r="I2006"/>
  <c r="J2006"/>
  <c r="H2007"/>
  <c r="J2007" s="1"/>
  <c r="I2007"/>
  <c r="H2008"/>
  <c r="I2008"/>
  <c r="J2008"/>
  <c r="H2009"/>
  <c r="J2009" s="1"/>
  <c r="I2009"/>
  <c r="H2010"/>
  <c r="I2010"/>
  <c r="J2010"/>
  <c r="H2011"/>
  <c r="J2011" s="1"/>
  <c r="I2011"/>
  <c r="H2012"/>
  <c r="I2012"/>
  <c r="J2012"/>
  <c r="H2013"/>
  <c r="J2013" s="1"/>
  <c r="I2013"/>
  <c r="H2014"/>
  <c r="I2014"/>
  <c r="J2014"/>
  <c r="H2015"/>
  <c r="J2015" s="1"/>
  <c r="I2015"/>
  <c r="H2016"/>
  <c r="I2016"/>
  <c r="J2016"/>
  <c r="H2017"/>
  <c r="J2017" s="1"/>
  <c r="I2017"/>
  <c r="H2018"/>
  <c r="I2018"/>
  <c r="J2018"/>
  <c r="H2019"/>
  <c r="J2019" s="1"/>
  <c r="I2019"/>
  <c r="H2020"/>
  <c r="I2020"/>
  <c r="J2020"/>
  <c r="H2021"/>
  <c r="J2021" s="1"/>
  <c r="I2021"/>
  <c r="H2022"/>
  <c r="I2022"/>
  <c r="J2022"/>
  <c r="H2023"/>
  <c r="J2023" s="1"/>
  <c r="I2023"/>
  <c r="H2024"/>
  <c r="I2024"/>
  <c r="J2024"/>
  <c r="H2025"/>
  <c r="I2025"/>
  <c r="J2025"/>
  <c r="H2026"/>
  <c r="J2026" s="1"/>
  <c r="I2026"/>
  <c r="H2027"/>
  <c r="J2027" s="1"/>
  <c r="I2027"/>
  <c r="H2028"/>
  <c r="J2028" s="1"/>
  <c r="I2028"/>
  <c r="H2029"/>
  <c r="I2029"/>
  <c r="J2029"/>
  <c r="H2030"/>
  <c r="J2030" s="1"/>
  <c r="I2030"/>
  <c r="H2031"/>
  <c r="J2031" s="1"/>
  <c r="I2031"/>
  <c r="H2032"/>
  <c r="I2032"/>
  <c r="J2032"/>
  <c r="H2033"/>
  <c r="J2033" s="1"/>
  <c r="I2033"/>
  <c r="H2034"/>
  <c r="J2034" s="1"/>
  <c r="I2034"/>
  <c r="H2035"/>
  <c r="J2035" s="1"/>
  <c r="I2035"/>
  <c r="H2036"/>
  <c r="I2036"/>
  <c r="J2036"/>
  <c r="H2037"/>
  <c r="J2037" s="1"/>
  <c r="I2037"/>
  <c r="H2038"/>
  <c r="I2038"/>
  <c r="J2038"/>
  <c r="H2039"/>
  <c r="I2039"/>
  <c r="J2039"/>
  <c r="H2040"/>
  <c r="I2040"/>
  <c r="J2040"/>
  <c r="H2041"/>
  <c r="J2041" s="1"/>
  <c r="I2041"/>
  <c r="H2042"/>
  <c r="I2042"/>
  <c r="J2042"/>
  <c r="H2043"/>
  <c r="I2043"/>
  <c r="J2043"/>
  <c r="H2044"/>
  <c r="I2044"/>
  <c r="J2044"/>
  <c r="H2045"/>
  <c r="J2045" s="1"/>
  <c r="I2045"/>
  <c r="H2046"/>
  <c r="I2046"/>
  <c r="J2046"/>
  <c r="H2047"/>
  <c r="I2047"/>
  <c r="J2047"/>
  <c r="H2048"/>
  <c r="I2048"/>
  <c r="J2048"/>
  <c r="H2049"/>
  <c r="J2049" s="1"/>
  <c r="I2049"/>
  <c r="H2050"/>
  <c r="I2050"/>
  <c r="J2050"/>
  <c r="H2051"/>
  <c r="J2051" s="1"/>
  <c r="I2051"/>
  <c r="H2052"/>
  <c r="I2052"/>
  <c r="J2052"/>
  <c r="H2053"/>
  <c r="J2053" s="1"/>
  <c r="I2053"/>
  <c r="H2054"/>
  <c r="I2054"/>
  <c r="J2054"/>
  <c r="H2055"/>
  <c r="I2055"/>
  <c r="J2055"/>
  <c r="H2056"/>
  <c r="J2056" s="1"/>
  <c r="I2056"/>
  <c r="H2057"/>
  <c r="I2057"/>
  <c r="J2057"/>
  <c r="H2058"/>
  <c r="J2058" s="1"/>
  <c r="I2058"/>
  <c r="H2059"/>
  <c r="J2059" s="1"/>
  <c r="I2059"/>
  <c r="H2060"/>
  <c r="I2060"/>
  <c r="J2060"/>
  <c r="H2061"/>
  <c r="J2061" s="1"/>
  <c r="I2061"/>
  <c r="H2062"/>
  <c r="I2062"/>
  <c r="J2062"/>
  <c r="H2063"/>
  <c r="J2063" s="1"/>
  <c r="I2063"/>
  <c r="H2064"/>
  <c r="I2064"/>
  <c r="J2064"/>
  <c r="H2065"/>
  <c r="J2065" s="1"/>
  <c r="I2065"/>
  <c r="H2066"/>
  <c r="I2066"/>
  <c r="J2066"/>
  <c r="H2067"/>
  <c r="J2067" s="1"/>
  <c r="I2067"/>
  <c r="H2068"/>
  <c r="I2068"/>
  <c r="J2068"/>
  <c r="H2069"/>
  <c r="J2069" s="1"/>
  <c r="I2069"/>
  <c r="H2070"/>
  <c r="J2070" s="1"/>
  <c r="I2070"/>
  <c r="H2071"/>
  <c r="I2071"/>
  <c r="J2071"/>
  <c r="H2072"/>
  <c r="I2072"/>
  <c r="J2072"/>
  <c r="H2073"/>
  <c r="I2073"/>
  <c r="J2073"/>
  <c r="H2074"/>
  <c r="J2074" s="1"/>
  <c r="I2074"/>
  <c r="H2075"/>
  <c r="I2075"/>
  <c r="J2075"/>
  <c r="H2076"/>
  <c r="J2076" s="1"/>
  <c r="I2076"/>
  <c r="H2077"/>
  <c r="I2077"/>
  <c r="J2077"/>
  <c r="H2078"/>
  <c r="I2078"/>
  <c r="J2078"/>
  <c r="H2079"/>
  <c r="J2079" s="1"/>
  <c r="I2079"/>
  <c r="H2080"/>
  <c r="I2080"/>
  <c r="J2080"/>
  <c r="H2081"/>
  <c r="I2081"/>
  <c r="J2081"/>
  <c r="H2082"/>
  <c r="J2082" s="1"/>
  <c r="I2082"/>
  <c r="H2083"/>
  <c r="J2083" s="1"/>
  <c r="I2083"/>
  <c r="H2084"/>
  <c r="I2084"/>
  <c r="J2084"/>
  <c r="H2085"/>
  <c r="I2085"/>
  <c r="J2085"/>
  <c r="H2086"/>
  <c r="J2086" s="1"/>
  <c r="I2086"/>
  <c r="H2087"/>
  <c r="I2087"/>
  <c r="J2087"/>
  <c r="H2088"/>
  <c r="J2088" s="1"/>
  <c r="I2088"/>
  <c r="H2089"/>
  <c r="I2089"/>
  <c r="J2089"/>
  <c r="H2090"/>
  <c r="J2090" s="1"/>
  <c r="I2090"/>
  <c r="H2091"/>
  <c r="I2091"/>
  <c r="J2091"/>
  <c r="H2092"/>
  <c r="I2092"/>
  <c r="J2092"/>
  <c r="H2093"/>
  <c r="J2093" s="1"/>
  <c r="I2093"/>
  <c r="H2094"/>
  <c r="I2094"/>
  <c r="J2094"/>
  <c r="H2095"/>
  <c r="I2095"/>
  <c r="J2095"/>
  <c r="H2096"/>
  <c r="J2096" s="1"/>
  <c r="I2096"/>
  <c r="H2097"/>
  <c r="I2097"/>
  <c r="J2097"/>
  <c r="H2098"/>
  <c r="J2098" s="1"/>
  <c r="I2098"/>
  <c r="H2099"/>
  <c r="I2099"/>
  <c r="J2099"/>
  <c r="H2100"/>
  <c r="J2100" s="1"/>
  <c r="I2100"/>
  <c r="H2101"/>
  <c r="I2101"/>
  <c r="J2101"/>
  <c r="H2102"/>
  <c r="I2102"/>
  <c r="J2102"/>
  <c r="H2103"/>
  <c r="I2103"/>
  <c r="J2103"/>
  <c r="H2104"/>
  <c r="J2104" s="1"/>
  <c r="I2104"/>
  <c r="H2105"/>
  <c r="I2105"/>
  <c r="J2105"/>
  <c r="H2106"/>
  <c r="J2106" s="1"/>
  <c r="I2106"/>
  <c r="H2107"/>
  <c r="J2107" s="1"/>
  <c r="I2107"/>
  <c r="H2108"/>
  <c r="J2108" s="1"/>
  <c r="I2108"/>
  <c r="H2109"/>
  <c r="I2109"/>
  <c r="J2109"/>
  <c r="H2110"/>
  <c r="J2110" s="1"/>
  <c r="I2110"/>
  <c r="H2111"/>
  <c r="J2111" s="1"/>
  <c r="I2111"/>
  <c r="H2112"/>
  <c r="J2112" s="1"/>
  <c r="I2112"/>
  <c r="H2113"/>
  <c r="I2113"/>
  <c r="J2113"/>
  <c r="H2114"/>
  <c r="I2114"/>
  <c r="J2114"/>
  <c r="H2115"/>
  <c r="I2115"/>
  <c r="J2115"/>
  <c r="H2116"/>
  <c r="J2116" s="1"/>
  <c r="I2116"/>
  <c r="H2117"/>
  <c r="I2117"/>
  <c r="J2117"/>
  <c r="H2118"/>
  <c r="I2118"/>
  <c r="J2118"/>
  <c r="H2119"/>
  <c r="J2119" s="1"/>
  <c r="I2119"/>
  <c r="H2120"/>
  <c r="J2120" s="1"/>
  <c r="I2120"/>
  <c r="H2121"/>
  <c r="J2121" s="1"/>
  <c r="I2121"/>
  <c r="H2122"/>
  <c r="I2122"/>
  <c r="J2122"/>
  <c r="H2123"/>
  <c r="J2123" s="1"/>
  <c r="I2123"/>
  <c r="H2124"/>
  <c r="J2124" s="1"/>
  <c r="I2124"/>
  <c r="H2125"/>
  <c r="I2125"/>
  <c r="J2125"/>
  <c r="H2126"/>
  <c r="J2126" s="1"/>
  <c r="I2126"/>
  <c r="H2127"/>
  <c r="I2127"/>
  <c r="J2127"/>
  <c r="H2128"/>
  <c r="J2128" s="1"/>
  <c r="I2128"/>
  <c r="H2129"/>
  <c r="I2129"/>
  <c r="J2129"/>
  <c r="H2130"/>
  <c r="J2130" s="1"/>
  <c r="I2130"/>
  <c r="H2131"/>
  <c r="I2131"/>
  <c r="J2131"/>
  <c r="H2132"/>
  <c r="J2132" s="1"/>
  <c r="I2132"/>
  <c r="H2133"/>
  <c r="J2133" s="1"/>
  <c r="I2133"/>
  <c r="H2134"/>
  <c r="I2134"/>
  <c r="J2134"/>
  <c r="H2135"/>
  <c r="J2135" s="1"/>
  <c r="I2135"/>
  <c r="H2136"/>
  <c r="J2136" s="1"/>
  <c r="I2136"/>
  <c r="H2137"/>
  <c r="I2137"/>
  <c r="J2137"/>
  <c r="H2138"/>
  <c r="J2138" s="1"/>
  <c r="I2138"/>
  <c r="H2139"/>
  <c r="I2139"/>
  <c r="J2139"/>
  <c r="H2140"/>
  <c r="J2140" s="1"/>
  <c r="I2140"/>
  <c r="H2141"/>
  <c r="I2141"/>
  <c r="J2141"/>
  <c r="H2142"/>
  <c r="J2142" s="1"/>
  <c r="I2142"/>
  <c r="H2143"/>
  <c r="I2143"/>
  <c r="J2143"/>
  <c r="H2144"/>
  <c r="I2144"/>
  <c r="J2144"/>
  <c r="H2145"/>
  <c r="I2145"/>
  <c r="J2145"/>
  <c r="H2146"/>
  <c r="J2146" s="1"/>
  <c r="I2146"/>
  <c r="H2147"/>
  <c r="I2147"/>
  <c r="J2147"/>
  <c r="H2148"/>
  <c r="J2148" s="1"/>
  <c r="I2148"/>
  <c r="H2149"/>
  <c r="J2149" s="1"/>
  <c r="I2149"/>
  <c r="H2150"/>
  <c r="J2150" s="1"/>
  <c r="I2150"/>
  <c r="H2151"/>
  <c r="I2151"/>
  <c r="J2151"/>
  <c r="H2152"/>
  <c r="J2152" s="1"/>
  <c r="I2152"/>
  <c r="H2153"/>
  <c r="J2153" s="1"/>
  <c r="I2153"/>
  <c r="H2154"/>
  <c r="J2154" s="1"/>
  <c r="I2154"/>
  <c r="H2155"/>
  <c r="J2155" s="1"/>
  <c r="I2155"/>
  <c r="H2156"/>
  <c r="J2156" s="1"/>
  <c r="I2156"/>
  <c r="H2157"/>
  <c r="I2157"/>
  <c r="J2157"/>
  <c r="H2158"/>
  <c r="J2158" s="1"/>
  <c r="I2158"/>
  <c r="H2159"/>
  <c r="I2159"/>
  <c r="J2159"/>
  <c r="H2160"/>
  <c r="J2160" s="1"/>
  <c r="I2160"/>
  <c r="H2161"/>
  <c r="I2161"/>
  <c r="J2161"/>
  <c r="H2162"/>
  <c r="J2162" s="1"/>
  <c r="I2162"/>
  <c r="H2163"/>
  <c r="J2163" s="1"/>
  <c r="I2163"/>
  <c r="H2164"/>
  <c r="I2164"/>
  <c r="J2164"/>
  <c r="H2165"/>
  <c r="J2165" s="1"/>
  <c r="I2165"/>
  <c r="H2166"/>
  <c r="J2166" s="1"/>
  <c r="I2166"/>
  <c r="H2167"/>
  <c r="I2167"/>
  <c r="J2167"/>
  <c r="H2168"/>
  <c r="J2168" s="1"/>
  <c r="I2168"/>
  <c r="H2169"/>
  <c r="I2169"/>
  <c r="J2169"/>
  <c r="H2170"/>
  <c r="I2170"/>
  <c r="J2170"/>
  <c r="H2171"/>
  <c r="I2171"/>
  <c r="J2171"/>
  <c r="H2172"/>
  <c r="J2172" s="1"/>
  <c r="I2172"/>
  <c r="H2173"/>
  <c r="I2173"/>
  <c r="J2173"/>
  <c r="H2174"/>
  <c r="J2174" s="1"/>
  <c r="I2174"/>
  <c r="H2175"/>
  <c r="I2175"/>
  <c r="J2175"/>
  <c r="H2176"/>
  <c r="I2176"/>
  <c r="J2176"/>
  <c r="H2177"/>
  <c r="J2177" s="1"/>
  <c r="I2177"/>
  <c r="H2178"/>
  <c r="J2178" s="1"/>
  <c r="I2178"/>
  <c r="H2179"/>
  <c r="J2179" s="1"/>
  <c r="I2179"/>
  <c r="H2180"/>
  <c r="J2180" s="1"/>
  <c r="I2180"/>
  <c r="H2181"/>
  <c r="J2181" s="1"/>
  <c r="I2181"/>
  <c r="H2182"/>
  <c r="I2182"/>
  <c r="J2182"/>
  <c r="H2183"/>
  <c r="I2183"/>
  <c r="J2183"/>
  <c r="H2184"/>
  <c r="I2184"/>
  <c r="J2184"/>
  <c r="H2185"/>
  <c r="J2185" s="1"/>
  <c r="I2185"/>
  <c r="H2186"/>
  <c r="I2186"/>
  <c r="J2186"/>
  <c r="H2187"/>
  <c r="I2187"/>
  <c r="J2187"/>
  <c r="H2188"/>
  <c r="J2188" s="1"/>
  <c r="I2188"/>
  <c r="H2189"/>
  <c r="I2189"/>
  <c r="J2189"/>
  <c r="H2190"/>
  <c r="J2190" s="1"/>
  <c r="I2190"/>
  <c r="H2191"/>
  <c r="J2191" s="1"/>
  <c r="I2191"/>
  <c r="H2192"/>
  <c r="J2192" s="1"/>
  <c r="I2192"/>
  <c r="H2193"/>
  <c r="I2193"/>
  <c r="J2193"/>
  <c r="H2194"/>
  <c r="J2194" s="1"/>
  <c r="I2194"/>
  <c r="H2195"/>
  <c r="J2195" s="1"/>
  <c r="I2195"/>
  <c r="H2196"/>
  <c r="J2196" s="1"/>
  <c r="I2196"/>
  <c r="H2197"/>
  <c r="J2197" s="1"/>
  <c r="I2197"/>
  <c r="H2198"/>
  <c r="I2198"/>
  <c r="J2198"/>
  <c r="H2199"/>
  <c r="J2199" s="1"/>
  <c r="I2199"/>
  <c r="H2200"/>
  <c r="I2200"/>
  <c r="J2200"/>
  <c r="H2201"/>
  <c r="J2201" s="1"/>
  <c r="I2201"/>
  <c r="H2202"/>
  <c r="J2202" s="1"/>
  <c r="I2202"/>
  <c r="H2203"/>
  <c r="I2203"/>
  <c r="J2203"/>
  <c r="H2204"/>
  <c r="J2204" s="1"/>
  <c r="I2204"/>
  <c r="H2205"/>
  <c r="I2205"/>
  <c r="J2205"/>
  <c r="H2206"/>
  <c r="J2206" s="1"/>
  <c r="I2206"/>
  <c r="H2207"/>
  <c r="J2207" s="1"/>
  <c r="I2207"/>
  <c r="H2208"/>
  <c r="J2208" s="1"/>
  <c r="I2208"/>
  <c r="H2209"/>
  <c r="I2209"/>
  <c r="J2209"/>
  <c r="H2210"/>
  <c r="J2210" s="1"/>
  <c r="I2210"/>
  <c r="H2211"/>
  <c r="J2211" s="1"/>
  <c r="I2211"/>
  <c r="H2212"/>
  <c r="I2212"/>
  <c r="J2212"/>
  <c r="H2213"/>
  <c r="J2213" s="1"/>
  <c r="I2213"/>
  <c r="H2214"/>
  <c r="I2214"/>
  <c r="J2214"/>
  <c r="H2215"/>
  <c r="J2215" s="1"/>
  <c r="I2215"/>
  <c r="H2216"/>
  <c r="I2216"/>
  <c r="J2216"/>
  <c r="H2217"/>
  <c r="I2217"/>
  <c r="J2217"/>
  <c r="H2218"/>
  <c r="J2218" s="1"/>
  <c r="I2218"/>
  <c r="H2219"/>
  <c r="J2219" s="1"/>
  <c r="I2219"/>
  <c r="H2220"/>
  <c r="I2220"/>
  <c r="J2220"/>
  <c r="H2221"/>
  <c r="J2221" s="1"/>
  <c r="I2221"/>
  <c r="H2222"/>
  <c r="I2222"/>
  <c r="J2222"/>
  <c r="H2223"/>
  <c r="J2223" s="1"/>
  <c r="I2223"/>
  <c r="H2224"/>
  <c r="I2224"/>
  <c r="J2224"/>
  <c r="H2225"/>
  <c r="J2225" s="1"/>
  <c r="I2225"/>
  <c r="H2226"/>
  <c r="I2226"/>
  <c r="J2226"/>
  <c r="H2227"/>
  <c r="I2227"/>
  <c r="J2227"/>
  <c r="H2228"/>
  <c r="J2228" s="1"/>
  <c r="I2228"/>
  <c r="H2229"/>
  <c r="J2229" s="1"/>
  <c r="I2229"/>
  <c r="H2230"/>
  <c r="I2230"/>
  <c r="J2230"/>
  <c r="H2231"/>
  <c r="I2231"/>
  <c r="J2231"/>
  <c r="H2232"/>
  <c r="I2232"/>
  <c r="J2232"/>
  <c r="H2233"/>
  <c r="J2233" s="1"/>
  <c r="I2233"/>
  <c r="H2234"/>
  <c r="I2234"/>
  <c r="J2234"/>
  <c r="H2235"/>
  <c r="J2235" s="1"/>
  <c r="I2235"/>
  <c r="H2236"/>
  <c r="J2236" s="1"/>
  <c r="I2236"/>
  <c r="H2237"/>
  <c r="J2237" s="1"/>
  <c r="I2237"/>
  <c r="H2238"/>
  <c r="I2238"/>
  <c r="J2238"/>
  <c r="H2239"/>
  <c r="J2239" s="1"/>
  <c r="I2239"/>
  <c r="H2240"/>
  <c r="I2240"/>
  <c r="J2240"/>
  <c r="H2241"/>
  <c r="I2241"/>
  <c r="J2241"/>
  <c r="H2242"/>
  <c r="I2242"/>
  <c r="J2242"/>
  <c r="H2243"/>
  <c r="J2243" s="1"/>
  <c r="I2243"/>
  <c r="H2244"/>
  <c r="I2244"/>
  <c r="J2244"/>
  <c r="H2245"/>
  <c r="J2245" s="1"/>
  <c r="I2245"/>
  <c r="H2246"/>
  <c r="I2246"/>
  <c r="J2246"/>
  <c r="H2247"/>
  <c r="J2247" s="1"/>
  <c r="I2247"/>
  <c r="H2248"/>
  <c r="I2248"/>
  <c r="J2248"/>
  <c r="H2249"/>
  <c r="J2249" s="1"/>
  <c r="I2249"/>
  <c r="H2250"/>
  <c r="I2250"/>
  <c r="J2250"/>
  <c r="H2251"/>
  <c r="J2251" s="1"/>
  <c r="I2251"/>
  <c r="H2252"/>
  <c r="I2252"/>
  <c r="J2252"/>
  <c r="H2253"/>
  <c r="J2253" s="1"/>
  <c r="I2253"/>
  <c r="H2254"/>
  <c r="I2254"/>
  <c r="J2254"/>
  <c r="H2255"/>
  <c r="J2255" s="1"/>
  <c r="I2255"/>
  <c r="H2256"/>
  <c r="I2256"/>
  <c r="J2256"/>
  <c r="H2257"/>
  <c r="J2257" s="1"/>
  <c r="I2257"/>
  <c r="H2258"/>
  <c r="I2258"/>
  <c r="J2258"/>
  <c r="H2259"/>
  <c r="J2259" s="1"/>
  <c r="I2259"/>
  <c r="H2260"/>
  <c r="J2260" s="1"/>
  <c r="I2260"/>
  <c r="H2261"/>
  <c r="J2261" s="1"/>
  <c r="I2261"/>
  <c r="H2262"/>
  <c r="J2262" s="1"/>
  <c r="I2262"/>
  <c r="H2263"/>
  <c r="I2263"/>
  <c r="J2263"/>
  <c r="H2264"/>
  <c r="J2264" s="1"/>
  <c r="I2264"/>
  <c r="H2265"/>
  <c r="I2265"/>
  <c r="J2265"/>
  <c r="H2266"/>
  <c r="J2266" s="1"/>
  <c r="I2266"/>
  <c r="H2267"/>
  <c r="J2267" s="1"/>
  <c r="I2267"/>
  <c r="H2268"/>
  <c r="I2268"/>
  <c r="J2268"/>
  <c r="H2269"/>
  <c r="I2269"/>
  <c r="J2269"/>
  <c r="H2270"/>
  <c r="I2270"/>
  <c r="J2270"/>
  <c r="H2271"/>
  <c r="J2271" s="1"/>
  <c r="I2271"/>
  <c r="H2272"/>
  <c r="I2272"/>
  <c r="J2272"/>
  <c r="H2273"/>
  <c r="J2273" s="1"/>
  <c r="I2273"/>
  <c r="H2274"/>
  <c r="I2274"/>
  <c r="J2274"/>
  <c r="H2275"/>
  <c r="J2275" s="1"/>
  <c r="I2275"/>
  <c r="H2276"/>
  <c r="I2276"/>
  <c r="J2276"/>
  <c r="H2277"/>
  <c r="J2277" s="1"/>
  <c r="I2277"/>
  <c r="H2278"/>
  <c r="I2278"/>
  <c r="J2278"/>
  <c r="H2279"/>
  <c r="J2279" s="1"/>
  <c r="I2279"/>
  <c r="H2280"/>
  <c r="I2280"/>
  <c r="J2280"/>
  <c r="H2281"/>
  <c r="J2281" s="1"/>
  <c r="I2281"/>
  <c r="H2282"/>
  <c r="I2282"/>
  <c r="J2282"/>
  <c r="H2283"/>
  <c r="J2283" s="1"/>
  <c r="I2283"/>
  <c r="H2284"/>
  <c r="I2284"/>
  <c r="J2284"/>
  <c r="H2285"/>
  <c r="J2285" s="1"/>
  <c r="I2285"/>
  <c r="H2286"/>
  <c r="I2286"/>
  <c r="J2286"/>
  <c r="H2287"/>
  <c r="J2287" s="1"/>
  <c r="I2287"/>
  <c r="H2288"/>
  <c r="I2288"/>
  <c r="J2288"/>
  <c r="H2289"/>
  <c r="J2289" s="1"/>
  <c r="I2289"/>
  <c r="H2290"/>
  <c r="I2290"/>
  <c r="J2290"/>
  <c r="H2291"/>
  <c r="J2291" s="1"/>
  <c r="I2291"/>
  <c r="H2292"/>
  <c r="I2292"/>
  <c r="J2292"/>
  <c r="H2293"/>
  <c r="J2293" s="1"/>
  <c r="I2293"/>
  <c r="H2294"/>
  <c r="I2294"/>
  <c r="J2294"/>
  <c r="H2295"/>
  <c r="J2295" s="1"/>
  <c r="I2295"/>
  <c r="H2296"/>
  <c r="J2296" s="1"/>
  <c r="I2296"/>
  <c r="H2297"/>
  <c r="J2297" s="1"/>
  <c r="I2297"/>
  <c r="H2298"/>
  <c r="J2298" s="1"/>
  <c r="I2298"/>
  <c r="H2299"/>
  <c r="J2299" s="1"/>
  <c r="I2299"/>
  <c r="H2300"/>
  <c r="I2300"/>
  <c r="J2300"/>
  <c r="H2301"/>
  <c r="J2301" s="1"/>
  <c r="I2301"/>
  <c r="H2302"/>
  <c r="I2302"/>
  <c r="J2302"/>
  <c r="H2303"/>
  <c r="I2303"/>
  <c r="J2303"/>
  <c r="H2304"/>
  <c r="I2304"/>
  <c r="J2304"/>
  <c r="H2305"/>
  <c r="I2305"/>
  <c r="J2305"/>
  <c r="H2306"/>
  <c r="J2306" s="1"/>
  <c r="I2306"/>
  <c r="H2307"/>
  <c r="J2307" s="1"/>
  <c r="I2307"/>
  <c r="H2308"/>
  <c r="J2308" s="1"/>
  <c r="I2308"/>
  <c r="H2309"/>
  <c r="J2309" s="1"/>
  <c r="I2309"/>
  <c r="H2310"/>
  <c r="I2310"/>
  <c r="J2310"/>
  <c r="H2311"/>
  <c r="J2311" s="1"/>
  <c r="I2311"/>
  <c r="H2312"/>
  <c r="I2312"/>
  <c r="J2312"/>
  <c r="H2313"/>
  <c r="J2313" s="1"/>
  <c r="I2313"/>
  <c r="H2314"/>
  <c r="I2314"/>
  <c r="J2314"/>
  <c r="H2315"/>
  <c r="J2315" s="1"/>
  <c r="I2315"/>
  <c r="H2316"/>
  <c r="J2316" s="1"/>
  <c r="I2316"/>
  <c r="H2317"/>
  <c r="J2317" s="1"/>
  <c r="I2317"/>
  <c r="H2318"/>
  <c r="I2318"/>
  <c r="J2318"/>
  <c r="H2319"/>
  <c r="J2319" s="1"/>
  <c r="I2319"/>
  <c r="H2320"/>
  <c r="I2320"/>
  <c r="J2320"/>
  <c r="H2321"/>
  <c r="J2321" s="1"/>
  <c r="I2321"/>
  <c r="H2322"/>
  <c r="I2322"/>
  <c r="J2322"/>
  <c r="H2323"/>
  <c r="J2323" s="1"/>
  <c r="I2323"/>
  <c r="H2324"/>
  <c r="I2324"/>
  <c r="J2324"/>
  <c r="H2325"/>
  <c r="J2325" s="1"/>
  <c r="I2325"/>
  <c r="H2326"/>
  <c r="I2326"/>
  <c r="J2326"/>
  <c r="H2327"/>
  <c r="J2327" s="1"/>
  <c r="I2327"/>
  <c r="H2328"/>
  <c r="I2328"/>
  <c r="J2328"/>
  <c r="H2329"/>
  <c r="J2329" s="1"/>
  <c r="I2329"/>
  <c r="H2330"/>
  <c r="I2330"/>
  <c r="J2330"/>
  <c r="H2331"/>
  <c r="J2331" s="1"/>
  <c r="I2331"/>
  <c r="H2332"/>
  <c r="I2332"/>
  <c r="J2332"/>
  <c r="H2333"/>
  <c r="J2333" s="1"/>
  <c r="I2333"/>
  <c r="H2334"/>
  <c r="I2334"/>
  <c r="J2334"/>
  <c r="H2335"/>
  <c r="J2335" s="1"/>
  <c r="I2335"/>
  <c r="H2336"/>
  <c r="I2336"/>
  <c r="J2336"/>
  <c r="H2337"/>
  <c r="J2337" s="1"/>
  <c r="I2337"/>
  <c r="H2338"/>
  <c r="J2338" s="1"/>
  <c r="I2338"/>
  <c r="H2339"/>
  <c r="I2339"/>
  <c r="J2339"/>
  <c r="H2340"/>
  <c r="J2340" s="1"/>
  <c r="I2340"/>
  <c r="H2341"/>
  <c r="J2341" s="1"/>
  <c r="I2341"/>
  <c r="H2342"/>
  <c r="J2342" s="1"/>
  <c r="I2342"/>
  <c r="H2343"/>
  <c r="I2343"/>
  <c r="J2343"/>
  <c r="H2344"/>
  <c r="J2344" s="1"/>
  <c r="I2344"/>
  <c r="H2345"/>
  <c r="J2345" s="1"/>
  <c r="I2345"/>
  <c r="H2346"/>
  <c r="I2346"/>
  <c r="J2346"/>
  <c r="H2347"/>
  <c r="I2347"/>
  <c r="J2347"/>
  <c r="H2348"/>
  <c r="I2348"/>
  <c r="J2348"/>
  <c r="H2349"/>
  <c r="J2349" s="1"/>
  <c r="I2349"/>
  <c r="H2350"/>
  <c r="I2350"/>
  <c r="J2350"/>
  <c r="H2351"/>
  <c r="J2351" s="1"/>
  <c r="I2351"/>
  <c r="H2352"/>
  <c r="I2352"/>
  <c r="J2352"/>
  <c r="H2353"/>
  <c r="J2353" s="1"/>
  <c r="I2353"/>
  <c r="H2354"/>
  <c r="I2354"/>
  <c r="J2354"/>
  <c r="H2355"/>
  <c r="J2355" s="1"/>
  <c r="I2355"/>
  <c r="H2356"/>
  <c r="I2356"/>
  <c r="J2356"/>
  <c r="H2357"/>
  <c r="J2357" s="1"/>
  <c r="I2357"/>
  <c r="H2358"/>
  <c r="I2358"/>
  <c r="J2358"/>
  <c r="H2359"/>
  <c r="J2359" s="1"/>
  <c r="I2359"/>
  <c r="H2360"/>
  <c r="I2360"/>
  <c r="J2360"/>
  <c r="H2361"/>
  <c r="J2361" s="1"/>
  <c r="I2361"/>
  <c r="H2362"/>
  <c r="I2362"/>
  <c r="J2362"/>
  <c r="H2363"/>
  <c r="I2363"/>
  <c r="J2363"/>
  <c r="H2364"/>
  <c r="I2364"/>
  <c r="J2364"/>
  <c r="H2365"/>
  <c r="J2365" s="1"/>
  <c r="I2365"/>
  <c r="H2366"/>
  <c r="I2366"/>
  <c r="J2366"/>
  <c r="H2367"/>
  <c r="J2367" s="1"/>
  <c r="I2367"/>
  <c r="H2368"/>
  <c r="I2368"/>
  <c r="J2368"/>
  <c r="H2369"/>
  <c r="J2369" s="1"/>
  <c r="I2369"/>
  <c r="H2370"/>
  <c r="I2370"/>
  <c r="J2370"/>
  <c r="H2371"/>
  <c r="J2371" s="1"/>
  <c r="I2371"/>
  <c r="H2372"/>
  <c r="J2372" s="1"/>
  <c r="I2372"/>
  <c r="H2373"/>
  <c r="I2373"/>
  <c r="J2373"/>
  <c r="H2374"/>
  <c r="J2374" s="1"/>
  <c r="I2374"/>
  <c r="H2375"/>
  <c r="J2375" s="1"/>
  <c r="I2375"/>
  <c r="H2376"/>
  <c r="I2376"/>
  <c r="J2376"/>
  <c r="H2377"/>
  <c r="J2377" s="1"/>
  <c r="I2377"/>
  <c r="H2378"/>
  <c r="I2378"/>
  <c r="J2378"/>
  <c r="H2379"/>
  <c r="I2379"/>
  <c r="J2379"/>
  <c r="H2380"/>
  <c r="I2380"/>
  <c r="J2380"/>
  <c r="H2381"/>
  <c r="J2381" s="1"/>
  <c r="I2381"/>
  <c r="H2382"/>
  <c r="I2382"/>
  <c r="J2382"/>
  <c r="H2383"/>
  <c r="I2383"/>
  <c r="J2383"/>
  <c r="H2384"/>
  <c r="I2384"/>
  <c r="J2384"/>
  <c r="H2385"/>
  <c r="J2385" s="1"/>
  <c r="I2385"/>
  <c r="H2386"/>
  <c r="I2386"/>
  <c r="J2386"/>
  <c r="H2387"/>
  <c r="J2387" s="1"/>
  <c r="I2387"/>
  <c r="H2388"/>
  <c r="I2388"/>
  <c r="J2388"/>
  <c r="H2389"/>
  <c r="J2389" s="1"/>
  <c r="I2389"/>
  <c r="H2390"/>
  <c r="I2390"/>
  <c r="J2390"/>
  <c r="H2391"/>
  <c r="J2391" s="1"/>
  <c r="I2391"/>
  <c r="H2392"/>
  <c r="I2392"/>
  <c r="J2392"/>
  <c r="H2393"/>
  <c r="I2393"/>
  <c r="J2393"/>
  <c r="H2394"/>
  <c r="I2394"/>
  <c r="J2394"/>
  <c r="H2395"/>
  <c r="J2395" s="1"/>
  <c r="I2395"/>
  <c r="H2396"/>
  <c r="J2396" s="1"/>
  <c r="I2396"/>
  <c r="H2397"/>
  <c r="J2397" s="1"/>
  <c r="I2397"/>
  <c r="H2398"/>
  <c r="J2398" s="1"/>
  <c r="I2398"/>
  <c r="H2399"/>
  <c r="J2399" s="1"/>
  <c r="I2399"/>
  <c r="H2400"/>
  <c r="I2400"/>
  <c r="J2400"/>
  <c r="H2401"/>
  <c r="J2401" s="1"/>
  <c r="I2401"/>
  <c r="H2402"/>
  <c r="I2402"/>
  <c r="J2402"/>
  <c r="H2403"/>
  <c r="J2403" s="1"/>
  <c r="I2403"/>
  <c r="H2404"/>
  <c r="I2404"/>
  <c r="J2404"/>
  <c r="H2405"/>
  <c r="J2405" s="1"/>
  <c r="I2405"/>
  <c r="H2406"/>
  <c r="J2406" s="1"/>
  <c r="I2406"/>
  <c r="H2407"/>
  <c r="I2407"/>
  <c r="J2407"/>
  <c r="H2408"/>
  <c r="J2408" s="1"/>
  <c r="I2408"/>
  <c r="H2409"/>
  <c r="I2409"/>
  <c r="J2409"/>
  <c r="H2410"/>
  <c r="J2410" s="1"/>
  <c r="I2410"/>
  <c r="H2411"/>
  <c r="J2411" s="1"/>
  <c r="I2411"/>
  <c r="H2412"/>
  <c r="J2412" s="1"/>
  <c r="I2412"/>
  <c r="H2413"/>
  <c r="J2413" s="1"/>
  <c r="I2413"/>
  <c r="H2414"/>
  <c r="I2414"/>
  <c r="J2414"/>
  <c r="H2415"/>
  <c r="J2415" s="1"/>
  <c r="I2415"/>
  <c r="H2416"/>
  <c r="J2416" s="1"/>
  <c r="I2416"/>
  <c r="H2417"/>
  <c r="I2417"/>
  <c r="J2417"/>
  <c r="H2418"/>
  <c r="I2418"/>
  <c r="J2418"/>
  <c r="H2419"/>
  <c r="J2419" s="1"/>
  <c r="I2419"/>
  <c r="H2420"/>
  <c r="I2420"/>
  <c r="J2420"/>
  <c r="H2421"/>
  <c r="I2421"/>
  <c r="J2421"/>
  <c r="H2422"/>
  <c r="J2422" s="1"/>
  <c r="I2422"/>
  <c r="H2423"/>
  <c r="J2423" s="1"/>
  <c r="I2423"/>
  <c r="H2424"/>
  <c r="I2424"/>
  <c r="J2424"/>
  <c r="H2425"/>
  <c r="J2425" s="1"/>
  <c r="I2425"/>
  <c r="H2426"/>
  <c r="I2426"/>
  <c r="J2426"/>
  <c r="H2427"/>
  <c r="J2427" s="1"/>
  <c r="I2427"/>
  <c r="H2428"/>
  <c r="I2428"/>
  <c r="J2428"/>
  <c r="H2429"/>
  <c r="J2429" s="1"/>
  <c r="I2429"/>
  <c r="H2430"/>
  <c r="I2430"/>
  <c r="J2430"/>
  <c r="H2431"/>
  <c r="J2431" s="1"/>
  <c r="I2431"/>
  <c r="H2432"/>
  <c r="I2432"/>
  <c r="J2432"/>
  <c r="H2433"/>
  <c r="J2433" s="1"/>
  <c r="I2433"/>
  <c r="H2434"/>
  <c r="J2434" s="1"/>
  <c r="I2434"/>
  <c r="H2435"/>
  <c r="J2435" s="1"/>
  <c r="I2435"/>
  <c r="H2436"/>
  <c r="I2436"/>
  <c r="J2436"/>
  <c r="H2437"/>
  <c r="J2437" s="1"/>
  <c r="I2437"/>
  <c r="H2438"/>
  <c r="J2438" s="1"/>
  <c r="I2438"/>
  <c r="H2439"/>
  <c r="J2439" s="1"/>
  <c r="I2439"/>
  <c r="H2440"/>
  <c r="I2440"/>
  <c r="J2440"/>
  <c r="H2441"/>
  <c r="J2441" s="1"/>
  <c r="I2441"/>
  <c r="H2442"/>
  <c r="J2442" s="1"/>
  <c r="I2442"/>
  <c r="H2443"/>
  <c r="J2443" s="1"/>
  <c r="I2443"/>
  <c r="H2444"/>
  <c r="J2444" s="1"/>
  <c r="I2444"/>
  <c r="H2445"/>
  <c r="I2445"/>
  <c r="J2445"/>
  <c r="H2446"/>
  <c r="J2446" s="1"/>
  <c r="I2446"/>
  <c r="H2447"/>
  <c r="I2447"/>
  <c r="J2447"/>
  <c r="H2448"/>
  <c r="J2448" s="1"/>
  <c r="I2448"/>
  <c r="H2449"/>
  <c r="I2449"/>
  <c r="J2449"/>
  <c r="H2450"/>
  <c r="J2450" s="1"/>
  <c r="I2450"/>
  <c r="H2451"/>
  <c r="I2451"/>
  <c r="J2451"/>
  <c r="H2452"/>
  <c r="J2452" s="1"/>
  <c r="I2452"/>
  <c r="H2453"/>
  <c r="I2453"/>
  <c r="J2453"/>
  <c r="H2454"/>
  <c r="I2454"/>
  <c r="J2454"/>
  <c r="H2455"/>
  <c r="J2455" s="1"/>
  <c r="I2455"/>
  <c r="H2456"/>
  <c r="J2456" s="1"/>
  <c r="I2456"/>
  <c r="H2457"/>
  <c r="J2457" s="1"/>
  <c r="I2457"/>
  <c r="H2458"/>
  <c r="I2458"/>
  <c r="J2458"/>
  <c r="H2459"/>
  <c r="I2459"/>
  <c r="J2459"/>
  <c r="H2460"/>
  <c r="J2460" s="1"/>
  <c r="I2460"/>
  <c r="H2461"/>
  <c r="I2461"/>
  <c r="J2461"/>
  <c r="H2462"/>
  <c r="I2462"/>
  <c r="J2462"/>
  <c r="H2463"/>
  <c r="J2463" s="1"/>
  <c r="I2463"/>
  <c r="H2464"/>
  <c r="J2464" s="1"/>
  <c r="I2464"/>
  <c r="H2465"/>
  <c r="I2465"/>
  <c r="J2465"/>
  <c r="H2466"/>
  <c r="J2466" s="1"/>
  <c r="I2466"/>
  <c r="H2467"/>
  <c r="I2467"/>
  <c r="J2467"/>
  <c r="H2468"/>
  <c r="J2468" s="1"/>
  <c r="I2468"/>
  <c r="H2469"/>
  <c r="I2469"/>
  <c r="J2469"/>
  <c r="H2470"/>
  <c r="J2470" s="1"/>
  <c r="I2470"/>
  <c r="H2471"/>
  <c r="I2471"/>
  <c r="J2471"/>
  <c r="H2472"/>
  <c r="J2472" s="1"/>
  <c r="I2472"/>
  <c r="H2473"/>
  <c r="I2473"/>
  <c r="J2473"/>
  <c r="H2474"/>
  <c r="J2474" s="1"/>
  <c r="I2474"/>
  <c r="H2475"/>
  <c r="I2475"/>
  <c r="J2475"/>
  <c r="H2476"/>
  <c r="J2476" s="1"/>
  <c r="I2476"/>
  <c r="H2477"/>
  <c r="I2477"/>
  <c r="J2477"/>
  <c r="H2478"/>
  <c r="I2478"/>
  <c r="J2478"/>
  <c r="H2479"/>
  <c r="I2479"/>
  <c r="J2479"/>
  <c r="H2480"/>
  <c r="J2480" s="1"/>
  <c r="I2480"/>
  <c r="H2481"/>
  <c r="I2481"/>
  <c r="J2481"/>
  <c r="H2482"/>
  <c r="J2482" s="1"/>
  <c r="I2482"/>
  <c r="H2483"/>
  <c r="J2483" s="1"/>
  <c r="I2483"/>
  <c r="H2484"/>
  <c r="J2484" s="1"/>
  <c r="I2484"/>
  <c r="H2485"/>
  <c r="J2485" s="1"/>
  <c r="I2485"/>
  <c r="H2486"/>
  <c r="J2486" s="1"/>
  <c r="I2486"/>
  <c r="H2487"/>
  <c r="I2487"/>
  <c r="J2487"/>
  <c r="H2488"/>
  <c r="J2488" s="1"/>
  <c r="I2488"/>
  <c r="H2489"/>
  <c r="I2489"/>
  <c r="J2489"/>
  <c r="H2490"/>
  <c r="J2490" s="1"/>
  <c r="I2490"/>
  <c r="H2491"/>
  <c r="I2491"/>
  <c r="J2491"/>
  <c r="H2492"/>
  <c r="J2492" s="1"/>
  <c r="I2492"/>
  <c r="H2493"/>
  <c r="J2493" s="1"/>
  <c r="I2493"/>
  <c r="H2494"/>
  <c r="J2494" s="1"/>
  <c r="I2494"/>
  <c r="H2495"/>
  <c r="I2495"/>
  <c r="J2495"/>
  <c r="H2496"/>
  <c r="J2496" s="1"/>
  <c r="I2496"/>
  <c r="H2497"/>
  <c r="I2497"/>
  <c r="J2497"/>
  <c r="H2498"/>
  <c r="J2498" s="1"/>
  <c r="I2498"/>
  <c r="H2499"/>
  <c r="I2499"/>
  <c r="J2499"/>
  <c r="H2500"/>
  <c r="J2500" s="1"/>
  <c r="I2500"/>
  <c r="H2501"/>
  <c r="J2501" s="1"/>
  <c r="I2501"/>
  <c r="H2502"/>
  <c r="J2502" s="1"/>
  <c r="I2502"/>
  <c r="H2503"/>
  <c r="I2503"/>
  <c r="J2503"/>
  <c r="H2504"/>
  <c r="J2504" s="1"/>
  <c r="I2504"/>
  <c r="H2505"/>
  <c r="I2505"/>
  <c r="J2505"/>
  <c r="H2506"/>
  <c r="J2506" s="1"/>
  <c r="I2506"/>
  <c r="H2507"/>
  <c r="I2507"/>
  <c r="J2507"/>
  <c r="H2508"/>
  <c r="J2508" s="1"/>
  <c r="I2508"/>
  <c r="H2509"/>
  <c r="I2509"/>
  <c r="J2509"/>
  <c r="H2510"/>
  <c r="J2510" s="1"/>
  <c r="I2510"/>
  <c r="H2511"/>
  <c r="I2511"/>
  <c r="J2511"/>
  <c r="H2512"/>
  <c r="J2512" s="1"/>
  <c r="I2512"/>
  <c r="H2513"/>
  <c r="J2513" s="1"/>
  <c r="I2513"/>
  <c r="H2514"/>
  <c r="J2514" s="1"/>
  <c r="I2514"/>
  <c r="H2515"/>
  <c r="J2515" s="1"/>
  <c r="I2515"/>
  <c r="H2516"/>
  <c r="J2516" s="1"/>
  <c r="I2516"/>
  <c r="H2517"/>
  <c r="J2517" s="1"/>
  <c r="I2517"/>
  <c r="H2518"/>
  <c r="I2518"/>
  <c r="J2518"/>
  <c r="H2519"/>
  <c r="I2519"/>
  <c r="J2519"/>
  <c r="H2520"/>
  <c r="J2520" s="1"/>
  <c r="I2520"/>
  <c r="H2521"/>
  <c r="I2521"/>
  <c r="J2521"/>
  <c r="H2522"/>
  <c r="I2522"/>
  <c r="J2522"/>
  <c r="H2523"/>
  <c r="I2523"/>
  <c r="J2523"/>
  <c r="H2524"/>
  <c r="J2524" s="1"/>
  <c r="I2524"/>
  <c r="H2525"/>
  <c r="J2525" s="1"/>
  <c r="I2525"/>
  <c r="H2526"/>
  <c r="I2526"/>
  <c r="J2526"/>
  <c r="H2527"/>
  <c r="J2527" s="1"/>
  <c r="I2527"/>
  <c r="H2528"/>
  <c r="I2528"/>
  <c r="J2528"/>
  <c r="H2529"/>
  <c r="J2529" s="1"/>
  <c r="I2529"/>
  <c r="H2530"/>
  <c r="I2530"/>
  <c r="J2530"/>
  <c r="H2531"/>
  <c r="J2531" s="1"/>
  <c r="I2531"/>
  <c r="H2532"/>
  <c r="I2532"/>
  <c r="J2532"/>
  <c r="H2533"/>
  <c r="I2533"/>
  <c r="J2533"/>
  <c r="H2534"/>
  <c r="J2534" s="1"/>
  <c r="I2534"/>
  <c r="H2535"/>
  <c r="J2535" s="1"/>
  <c r="I2535"/>
  <c r="H2536"/>
  <c r="J2536" s="1"/>
  <c r="I2536"/>
  <c r="H2537"/>
  <c r="J2537" s="1"/>
  <c r="I2537"/>
  <c r="H2538"/>
  <c r="I2538"/>
  <c r="J2538"/>
  <c r="H2539"/>
  <c r="J2539" s="1"/>
  <c r="I2539"/>
  <c r="H2540"/>
  <c r="I2540"/>
  <c r="J2540"/>
  <c r="H2541"/>
  <c r="J2541" s="1"/>
  <c r="I2541"/>
  <c r="H2542"/>
  <c r="I2542"/>
  <c r="J2542"/>
  <c r="H2543"/>
  <c r="I2543"/>
  <c r="J2543"/>
  <c r="H2544"/>
  <c r="J2544" s="1"/>
  <c r="I2544"/>
  <c r="H2545"/>
  <c r="I2545"/>
  <c r="J2545"/>
  <c r="H2546"/>
  <c r="I2546"/>
  <c r="J2546"/>
  <c r="H2547"/>
  <c r="J2547" s="1"/>
  <c r="I2547"/>
  <c r="H2548"/>
  <c r="J2548" s="1"/>
  <c r="I2548"/>
  <c r="H2549"/>
  <c r="J2549" s="1"/>
  <c r="I2549"/>
  <c r="H2550"/>
  <c r="J2550" s="1"/>
  <c r="I2550"/>
  <c r="H2551"/>
  <c r="I2551"/>
  <c r="J2551"/>
  <c r="H2552"/>
  <c r="J2552" s="1"/>
  <c r="I2552"/>
  <c r="H2553"/>
  <c r="I2553"/>
  <c r="J2553"/>
  <c r="H2554"/>
  <c r="J2554" s="1"/>
  <c r="I2554"/>
  <c r="H2555"/>
  <c r="J2555" s="1"/>
  <c r="I2555"/>
  <c r="H2556"/>
  <c r="J2556" s="1"/>
  <c r="I2556"/>
  <c r="H2557"/>
  <c r="J2557" s="1"/>
  <c r="I2557"/>
  <c r="H2558"/>
  <c r="J2558" s="1"/>
  <c r="I2558"/>
  <c r="H2559"/>
  <c r="J2559" s="1"/>
  <c r="I2559"/>
  <c r="H2560"/>
  <c r="I2560"/>
  <c r="J2560"/>
  <c r="H2561"/>
  <c r="J2561" s="1"/>
  <c r="I2561"/>
  <c r="H2562"/>
  <c r="I2562"/>
  <c r="J2562"/>
  <c r="H2563"/>
  <c r="J2563" s="1"/>
  <c r="I2563"/>
  <c r="H2564"/>
  <c r="I2564"/>
  <c r="J2564"/>
  <c r="H2565"/>
  <c r="J2565" s="1"/>
  <c r="I2565"/>
  <c r="H2566"/>
  <c r="I2566"/>
  <c r="J2566"/>
  <c r="H2567"/>
  <c r="J2567" s="1"/>
  <c r="I2567"/>
  <c r="H2568"/>
  <c r="I2568"/>
  <c r="J2568"/>
  <c r="H2569"/>
  <c r="J2569" s="1"/>
  <c r="I2569"/>
  <c r="H2570"/>
  <c r="I2570"/>
  <c r="J2570"/>
  <c r="H2571"/>
  <c r="I2571"/>
  <c r="J2571"/>
  <c r="H2572"/>
  <c r="I2572"/>
  <c r="J2572"/>
  <c r="H2573"/>
  <c r="J2573" s="1"/>
  <c r="I2573"/>
  <c r="H2574"/>
  <c r="I2574"/>
  <c r="J2574"/>
  <c r="H2575"/>
  <c r="J2575" s="1"/>
  <c r="I2575"/>
  <c r="H2576"/>
  <c r="J2576" s="1"/>
  <c r="I2576"/>
  <c r="H2577"/>
  <c r="J2577" s="1"/>
  <c r="I2577"/>
  <c r="H2578"/>
  <c r="J2578" s="1"/>
  <c r="I2578"/>
  <c r="H2579"/>
  <c r="J2579" s="1"/>
  <c r="I2579"/>
  <c r="H2580"/>
  <c r="I2580"/>
  <c r="J2580"/>
  <c r="H2581"/>
  <c r="J2581" s="1"/>
  <c r="I2581"/>
  <c r="H2582"/>
  <c r="J2582" s="1"/>
  <c r="I2582"/>
  <c r="H2583"/>
  <c r="J2583" s="1"/>
  <c r="I2583"/>
  <c r="H2584"/>
  <c r="J2584" s="1"/>
  <c r="I2584"/>
  <c r="H2585"/>
  <c r="J2585" s="1"/>
  <c r="I2585"/>
  <c r="H2586"/>
  <c r="I2586"/>
  <c r="J2586"/>
  <c r="H2587"/>
  <c r="J2587" s="1"/>
  <c r="I2587"/>
  <c r="H2588"/>
  <c r="J2588" s="1"/>
  <c r="I2588"/>
  <c r="H2589"/>
  <c r="J2589" s="1"/>
  <c r="I2589"/>
  <c r="H2590"/>
  <c r="J2590" s="1"/>
  <c r="I2590"/>
  <c r="H2591"/>
  <c r="J2591" s="1"/>
  <c r="I2591"/>
  <c r="H2592"/>
  <c r="I2592"/>
  <c r="J2592"/>
  <c r="H2593"/>
  <c r="J2593" s="1"/>
  <c r="I2593"/>
  <c r="H2594"/>
  <c r="I2594"/>
  <c r="J2594"/>
  <c r="H2595"/>
  <c r="J2595" s="1"/>
  <c r="I2595"/>
  <c r="H2596"/>
  <c r="I2596"/>
  <c r="J2596"/>
  <c r="H2597"/>
  <c r="J2597" s="1"/>
  <c r="I2597"/>
  <c r="H2598"/>
  <c r="J2598" s="1"/>
  <c r="I2598"/>
  <c r="H2599"/>
  <c r="J2599" s="1"/>
  <c r="I2599"/>
  <c r="H2600"/>
  <c r="I2600"/>
  <c r="J2600"/>
  <c r="H2601"/>
  <c r="I2601"/>
  <c r="J2601"/>
  <c r="H2602"/>
  <c r="I2602"/>
  <c r="J2602"/>
  <c r="H2603"/>
  <c r="J2603" s="1"/>
  <c r="I2603"/>
  <c r="H2604"/>
  <c r="I2604"/>
  <c r="J2604"/>
  <c r="H2605"/>
  <c r="I2605"/>
  <c r="J2605"/>
  <c r="H2606"/>
  <c r="J2606" s="1"/>
  <c r="I2606"/>
  <c r="H2607"/>
  <c r="J2607" s="1"/>
  <c r="I2607"/>
  <c r="H2608"/>
  <c r="I2608"/>
  <c r="J2608"/>
  <c r="H2609"/>
  <c r="J2609" s="1"/>
  <c r="I2609"/>
  <c r="H2610"/>
  <c r="I2610"/>
  <c r="J2610"/>
  <c r="H2611"/>
  <c r="J2611" s="1"/>
  <c r="I2611"/>
  <c r="H2612"/>
  <c r="I2612"/>
  <c r="J2612"/>
  <c r="H2613"/>
  <c r="J2613" s="1"/>
  <c r="I2613"/>
  <c r="H2614"/>
  <c r="I2614"/>
  <c r="J2614"/>
  <c r="H2615"/>
  <c r="J2615" s="1"/>
  <c r="I2615"/>
  <c r="H2616"/>
  <c r="I2616"/>
  <c r="J2616"/>
  <c r="H2617"/>
  <c r="I2617"/>
  <c r="J2617"/>
  <c r="H2618"/>
  <c r="J2618" s="1"/>
  <c r="I2618"/>
  <c r="H2619"/>
  <c r="J2619" s="1"/>
  <c r="I2619"/>
  <c r="H2620"/>
  <c r="I2620"/>
  <c r="J2620"/>
  <c r="H2621"/>
  <c r="J2621" s="1"/>
  <c r="I2621"/>
  <c r="H2622"/>
  <c r="I2622"/>
  <c r="J2622"/>
  <c r="H2623"/>
  <c r="J2623" s="1"/>
  <c r="I2623"/>
  <c r="H2624"/>
  <c r="I2624"/>
  <c r="J2624"/>
  <c r="H2625"/>
  <c r="J2625" s="1"/>
  <c r="I2625"/>
  <c r="H2626"/>
  <c r="J2626" s="1"/>
  <c r="I2626"/>
  <c r="H2627"/>
  <c r="J2627" s="1"/>
  <c r="I2627"/>
  <c r="H2628"/>
  <c r="I2628"/>
  <c r="J2628"/>
  <c r="H2629"/>
  <c r="J2629" s="1"/>
  <c r="I2629"/>
  <c r="H2630"/>
  <c r="I2630"/>
  <c r="J2630"/>
  <c r="H2631"/>
  <c r="J2631" s="1"/>
  <c r="I2631"/>
  <c r="H2632"/>
  <c r="I2632"/>
  <c r="J2632"/>
  <c r="H2633"/>
  <c r="J2633" s="1"/>
  <c r="I2633"/>
  <c r="H2634"/>
  <c r="I2634"/>
  <c r="J2634"/>
  <c r="H2635"/>
  <c r="J2635" s="1"/>
  <c r="I2635"/>
  <c r="H2636"/>
  <c r="J2636" s="1"/>
  <c r="I2636"/>
  <c r="H2637"/>
  <c r="J2637" s="1"/>
  <c r="I2637"/>
  <c r="H2638"/>
  <c r="I2638"/>
  <c r="J2638"/>
  <c r="H2639"/>
  <c r="J2639" s="1"/>
  <c r="I2639"/>
  <c r="H2640"/>
  <c r="J2640" s="1"/>
  <c r="I2640"/>
  <c r="H2641"/>
  <c r="J2641" s="1"/>
  <c r="I2641"/>
  <c r="H2642"/>
  <c r="J2642" s="1"/>
  <c r="I2642"/>
  <c r="H2643"/>
  <c r="J2643" s="1"/>
  <c r="I2643"/>
  <c r="H2644"/>
  <c r="I2644"/>
  <c r="J2644"/>
  <c r="H2645"/>
  <c r="I2645"/>
  <c r="J2645"/>
  <c r="H2646"/>
  <c r="J2646" s="1"/>
  <c r="I2646"/>
  <c r="H2647"/>
  <c r="J2647" s="1"/>
  <c r="I2647"/>
  <c r="H2648"/>
  <c r="I2648"/>
  <c r="J2648"/>
  <c r="H2649"/>
  <c r="I2649"/>
  <c r="J2649"/>
  <c r="H2650"/>
  <c r="J2650" s="1"/>
  <c r="I2650"/>
  <c r="H2651"/>
  <c r="J2651" s="1"/>
  <c r="I2651"/>
  <c r="H2652"/>
  <c r="I2652"/>
  <c r="J2652"/>
  <c r="H2653"/>
  <c r="J2653" s="1"/>
  <c r="I2653"/>
  <c r="H2654"/>
  <c r="I2654"/>
  <c r="J2654"/>
  <c r="H2655"/>
  <c r="J2655" s="1"/>
  <c r="I2655"/>
  <c r="H2656"/>
  <c r="I2656"/>
  <c r="J2656"/>
  <c r="H2657"/>
  <c r="J2657" s="1"/>
  <c r="I2657"/>
  <c r="H2658"/>
  <c r="J2658" s="1"/>
  <c r="I2658"/>
  <c r="H2659"/>
  <c r="J2659" s="1"/>
  <c r="I2659"/>
  <c r="H2660"/>
  <c r="I2660"/>
  <c r="J2660"/>
  <c r="H2661"/>
  <c r="J2661" s="1"/>
  <c r="I2661"/>
  <c r="H2662"/>
  <c r="I2662"/>
  <c r="J2662"/>
  <c r="H2663"/>
  <c r="J2663" s="1"/>
  <c r="I2663"/>
  <c r="H2664"/>
  <c r="I2664"/>
  <c r="J2664"/>
  <c r="H2665"/>
  <c r="J2665" s="1"/>
  <c r="I2665"/>
  <c r="H2666"/>
  <c r="J2666" s="1"/>
  <c r="I2666"/>
  <c r="H2667"/>
  <c r="J2667" s="1"/>
  <c r="I2667"/>
  <c r="H2668"/>
  <c r="I2668"/>
  <c r="J2668"/>
  <c r="H2669"/>
  <c r="J2669" s="1"/>
  <c r="I2669"/>
  <c r="H2670"/>
  <c r="I2670"/>
  <c r="J2670"/>
  <c r="H2671"/>
  <c r="J2671" s="1"/>
  <c r="I2671"/>
  <c r="H2672"/>
  <c r="I2672"/>
  <c r="J2672"/>
  <c r="H2673"/>
  <c r="J2673" s="1"/>
  <c r="I2673"/>
  <c r="H2674"/>
  <c r="I2674"/>
  <c r="J2674"/>
  <c r="H2675"/>
  <c r="I2675"/>
  <c r="J2675"/>
  <c r="H2676"/>
  <c r="I2676"/>
  <c r="J2676"/>
  <c r="H2677"/>
  <c r="J2677" s="1"/>
  <c r="I2677"/>
  <c r="H2678"/>
  <c r="I2678"/>
  <c r="J2678"/>
  <c r="H2679"/>
  <c r="J2679" s="1"/>
  <c r="I2679"/>
  <c r="H2680"/>
  <c r="I2680"/>
  <c r="J2680"/>
  <c r="H2681"/>
  <c r="J2681" s="1"/>
  <c r="I2681"/>
  <c r="H2682"/>
  <c r="I2682"/>
  <c r="J2682"/>
  <c r="H2683"/>
  <c r="J2683" s="1"/>
  <c r="I2683"/>
  <c r="H2684"/>
  <c r="I2684"/>
  <c r="J2684"/>
  <c r="H2685"/>
  <c r="J2685" s="1"/>
  <c r="I2685"/>
  <c r="H2686"/>
  <c r="J2686" s="1"/>
  <c r="I2686"/>
  <c r="H2687"/>
  <c r="J2687" s="1"/>
  <c r="I2687"/>
  <c r="H2688"/>
  <c r="J2688" s="1"/>
  <c r="I2688"/>
  <c r="H2689"/>
  <c r="J2689" s="1"/>
  <c r="I2689"/>
  <c r="H2690"/>
  <c r="J2690" s="1"/>
  <c r="I2690"/>
  <c r="H2691"/>
  <c r="J2691" s="1"/>
  <c r="I2691"/>
  <c r="H2692"/>
  <c r="J2692" s="1"/>
  <c r="I2692"/>
  <c r="H2693"/>
  <c r="I2693"/>
  <c r="J2693"/>
  <c r="H2694"/>
  <c r="J2694" s="1"/>
  <c r="I2694"/>
  <c r="H2695"/>
  <c r="J2695" s="1"/>
  <c r="I2695"/>
  <c r="H2696"/>
  <c r="J2696" s="1"/>
  <c r="I2696"/>
  <c r="H2697"/>
  <c r="J2697" s="1"/>
  <c r="I2697"/>
  <c r="H2698"/>
  <c r="I2698"/>
  <c r="J2698"/>
  <c r="H2699"/>
  <c r="J2699" s="1"/>
  <c r="I2699"/>
  <c r="H2700"/>
  <c r="I2700"/>
  <c r="J2700"/>
  <c r="H2701"/>
  <c r="J2701" s="1"/>
  <c r="I2701"/>
  <c r="H2702"/>
  <c r="I2702"/>
  <c r="J2702"/>
  <c r="H2703"/>
  <c r="I2703"/>
  <c r="J2703"/>
  <c r="H2704"/>
  <c r="J2704" s="1"/>
  <c r="I2704"/>
  <c r="H2705"/>
  <c r="J2705" s="1"/>
  <c r="I2705"/>
  <c r="H2706"/>
  <c r="I2706"/>
  <c r="J2706"/>
  <c r="H2707"/>
  <c r="J2707" s="1"/>
  <c r="I2707"/>
  <c r="H2708"/>
  <c r="I2708"/>
  <c r="J2708"/>
  <c r="H2709"/>
  <c r="J2709" s="1"/>
  <c r="I2709"/>
  <c r="H2710"/>
  <c r="I2710"/>
  <c r="J2710"/>
  <c r="H2711"/>
  <c r="J2711" s="1"/>
  <c r="I2711"/>
  <c r="H2712"/>
  <c r="I2712"/>
  <c r="J2712"/>
  <c r="H2713"/>
  <c r="J2713" s="1"/>
  <c r="I2713"/>
  <c r="H2714"/>
  <c r="I2714"/>
  <c r="J2714"/>
  <c r="H2715"/>
  <c r="J2715" s="1"/>
  <c r="I2715"/>
  <c r="H2716"/>
  <c r="I2716"/>
  <c r="J2716"/>
  <c r="H2717"/>
  <c r="J2717" s="1"/>
  <c r="I2717"/>
  <c r="H2718"/>
  <c r="I2718"/>
  <c r="J2718"/>
  <c r="H2719"/>
  <c r="J2719" s="1"/>
  <c r="I2719"/>
  <c r="H2720"/>
  <c r="I2720"/>
  <c r="J2720"/>
  <c r="H2721"/>
  <c r="J2721" s="1"/>
  <c r="I2721"/>
  <c r="H2722"/>
  <c r="I2722"/>
  <c r="J2722"/>
  <c r="H2723"/>
  <c r="J2723" s="1"/>
  <c r="I2723"/>
  <c r="H2724"/>
  <c r="J2724" s="1"/>
  <c r="I2724"/>
  <c r="H2725"/>
  <c r="I2725"/>
  <c r="J2725"/>
  <c r="H2726"/>
  <c r="J2726" s="1"/>
  <c r="I2726"/>
  <c r="H2727"/>
  <c r="J2727" s="1"/>
  <c r="I2727"/>
  <c r="H2728"/>
  <c r="I2728"/>
  <c r="J2728"/>
  <c r="H2729"/>
  <c r="J2729" s="1"/>
  <c r="I2729"/>
  <c r="H2730"/>
  <c r="I2730"/>
  <c r="J2730"/>
  <c r="H2731"/>
  <c r="J2731" s="1"/>
  <c r="I2731"/>
  <c r="H2732"/>
  <c r="I2732"/>
  <c r="J2732"/>
  <c r="H2733"/>
  <c r="J2733" s="1"/>
  <c r="I2733"/>
  <c r="H2734"/>
  <c r="I2734"/>
  <c r="J2734"/>
  <c r="H2735"/>
  <c r="J2735" s="1"/>
  <c r="I2735"/>
  <c r="H2736"/>
  <c r="J2736" s="1"/>
  <c r="I2736"/>
  <c r="H2737"/>
  <c r="I2737"/>
  <c r="J2737"/>
  <c r="H2738"/>
  <c r="J2738" s="1"/>
  <c r="I2738"/>
  <c r="H2739"/>
  <c r="J2739" s="1"/>
  <c r="I2739"/>
  <c r="H2740"/>
  <c r="J2740" s="1"/>
  <c r="I2740"/>
  <c r="H2741"/>
  <c r="J2741" s="1"/>
  <c r="I2741"/>
  <c r="H2742"/>
  <c r="J2742" s="1"/>
  <c r="I2742"/>
  <c r="H2743"/>
  <c r="J2743" s="1"/>
  <c r="I2743"/>
  <c r="H2744"/>
  <c r="I2744"/>
  <c r="J2744"/>
  <c r="H2745"/>
  <c r="J2745" s="1"/>
  <c r="I2745"/>
  <c r="H2746"/>
  <c r="J2746" s="1"/>
  <c r="I2746"/>
  <c r="H2747"/>
  <c r="J2747" s="1"/>
  <c r="I2747"/>
  <c r="H2748"/>
  <c r="J2748" s="1"/>
  <c r="I2748"/>
  <c r="H2749"/>
  <c r="J2749" s="1"/>
  <c r="I2749"/>
  <c r="H2750"/>
  <c r="I2750"/>
  <c r="J2750"/>
  <c r="H2751"/>
  <c r="J2751" s="1"/>
  <c r="I2751"/>
  <c r="H2752"/>
  <c r="I2752"/>
  <c r="J2752"/>
  <c r="H2753"/>
  <c r="J2753" s="1"/>
  <c r="I2753"/>
  <c r="H2754"/>
  <c r="J2754" s="1"/>
  <c r="I2754"/>
  <c r="H2755"/>
  <c r="J2755" s="1"/>
  <c r="I2755"/>
  <c r="H2756"/>
  <c r="I2756"/>
  <c r="J2756"/>
  <c r="H2757"/>
  <c r="J2757" s="1"/>
  <c r="I2757"/>
  <c r="H2758"/>
  <c r="J2758" s="1"/>
  <c r="I2758"/>
  <c r="H2759"/>
  <c r="J2759" s="1"/>
  <c r="I2759"/>
  <c r="H2760"/>
  <c r="I2760"/>
  <c r="J2760"/>
  <c r="H2761"/>
  <c r="J2761" s="1"/>
  <c r="I2761"/>
  <c r="H2762"/>
  <c r="I2762"/>
  <c r="J2762"/>
  <c r="H2763"/>
  <c r="J2763" s="1"/>
  <c r="I2763"/>
  <c r="H2764"/>
  <c r="I2764"/>
  <c r="J2764"/>
  <c r="H2765"/>
  <c r="J2765" s="1"/>
  <c r="I2765"/>
  <c r="H2766"/>
  <c r="I2766"/>
  <c r="J2766"/>
  <c r="H2767"/>
  <c r="J2767" s="1"/>
  <c r="I2767"/>
  <c r="H2768"/>
  <c r="I2768"/>
  <c r="J2768"/>
  <c r="H2769"/>
  <c r="J2769" s="1"/>
  <c r="I2769"/>
  <c r="H2770"/>
  <c r="I2770"/>
  <c r="J2770"/>
  <c r="H2771"/>
  <c r="J2771" s="1"/>
  <c r="I2771"/>
  <c r="H2772"/>
  <c r="J2772" s="1"/>
  <c r="I2772"/>
  <c r="H2773"/>
  <c r="I2773"/>
  <c r="J2773"/>
  <c r="H2774"/>
  <c r="J2774" s="1"/>
  <c r="I2774"/>
  <c r="H2775"/>
  <c r="I2775"/>
  <c r="J2775"/>
  <c r="H2776"/>
  <c r="J2776" s="1"/>
  <c r="I2776"/>
  <c r="H2777"/>
  <c r="J2777" s="1"/>
  <c r="I2777"/>
  <c r="H2778"/>
  <c r="I2778"/>
  <c r="J2778"/>
  <c r="H2779"/>
  <c r="J2779" s="1"/>
  <c r="I2779"/>
  <c r="H2780"/>
  <c r="I2780"/>
  <c r="J2780"/>
  <c r="H2781"/>
  <c r="J2781" s="1"/>
  <c r="I2781"/>
  <c r="H2782"/>
  <c r="I2782"/>
  <c r="J2782"/>
  <c r="H2783"/>
  <c r="J2783" s="1"/>
  <c r="I2783"/>
  <c r="H2784"/>
  <c r="I2784"/>
  <c r="J2784"/>
  <c r="H2785"/>
  <c r="J2785" s="1"/>
  <c r="I2785"/>
  <c r="H2786"/>
  <c r="I2786"/>
  <c r="J2786"/>
  <c r="H2787"/>
  <c r="J2787" s="1"/>
  <c r="I2787"/>
  <c r="H2788"/>
  <c r="J2788" s="1"/>
  <c r="I2788"/>
  <c r="H2789"/>
  <c r="J2789" s="1"/>
  <c r="I2789"/>
  <c r="H2790"/>
  <c r="I2790"/>
  <c r="J2790"/>
  <c r="H2791"/>
  <c r="J2791" s="1"/>
  <c r="I2791"/>
  <c r="H2792"/>
  <c r="J2792" s="1"/>
  <c r="I2792"/>
  <c r="H2793"/>
  <c r="J2793" s="1"/>
  <c r="I2793"/>
  <c r="H2794"/>
  <c r="I2794"/>
  <c r="J2794"/>
  <c r="H2795"/>
  <c r="J2795" s="1"/>
  <c r="I2795"/>
  <c r="H2796"/>
  <c r="J2796" s="1"/>
  <c r="I2796"/>
  <c r="H2797"/>
  <c r="J2797" s="1"/>
  <c r="I2797"/>
  <c r="H2798"/>
  <c r="I2798"/>
  <c r="J2798"/>
  <c r="H2799"/>
  <c r="J2799" s="1"/>
  <c r="I2799"/>
  <c r="H2800"/>
  <c r="J2800" s="1"/>
  <c r="I2800"/>
  <c r="H2801"/>
  <c r="J2801" s="1"/>
  <c r="I2801"/>
  <c r="H2802"/>
  <c r="I2802"/>
  <c r="J2802"/>
  <c r="H2803"/>
  <c r="J2803" s="1"/>
  <c r="I2803"/>
  <c r="H2804"/>
  <c r="I2804"/>
  <c r="J2804"/>
  <c r="H2805"/>
  <c r="J2805" s="1"/>
  <c r="I2805"/>
  <c r="H2806"/>
  <c r="I2806"/>
  <c r="J2806"/>
  <c r="H2807"/>
  <c r="J2807" s="1"/>
  <c r="I2807"/>
  <c r="H2808"/>
  <c r="I2808"/>
  <c r="J2808"/>
  <c r="H2809"/>
  <c r="I2809"/>
  <c r="J2809"/>
  <c r="H2810"/>
  <c r="J2810" s="1"/>
  <c r="I2810"/>
  <c r="H2811"/>
  <c r="J2811" s="1"/>
  <c r="I2811"/>
  <c r="H2812"/>
  <c r="I2812"/>
  <c r="J2812"/>
  <c r="H2813"/>
  <c r="J2813" s="1"/>
  <c r="I2813"/>
  <c r="H2814"/>
  <c r="J2814" s="1"/>
  <c r="I2814"/>
  <c r="H2815"/>
  <c r="J2815" s="1"/>
  <c r="I2815"/>
  <c r="H2816"/>
  <c r="I2816"/>
  <c r="J2816"/>
  <c r="H2817"/>
  <c r="J2817" s="1"/>
  <c r="I2817"/>
  <c r="H2818"/>
  <c r="J2818" s="1"/>
  <c r="I2818"/>
  <c r="H2819"/>
  <c r="J2819" s="1"/>
  <c r="I2819"/>
  <c r="H2820"/>
  <c r="I2820"/>
  <c r="J2820"/>
  <c r="H2821"/>
  <c r="I2821"/>
  <c r="J2821"/>
  <c r="H2822"/>
  <c r="J2822" s="1"/>
  <c r="I2822"/>
  <c r="H2823"/>
  <c r="J2823" s="1"/>
  <c r="I2823"/>
  <c r="H2824"/>
  <c r="I2824"/>
  <c r="J2824"/>
  <c r="H2825"/>
  <c r="J2825" s="1"/>
  <c r="I2825"/>
  <c r="H2826"/>
  <c r="J2826" s="1"/>
  <c r="I2826"/>
  <c r="H2827"/>
  <c r="J2827" s="1"/>
  <c r="I2827"/>
  <c r="H2828"/>
  <c r="J2828" s="1"/>
  <c r="I2828"/>
  <c r="H2829"/>
  <c r="J2829" s="1"/>
  <c r="I2829"/>
  <c r="H2830"/>
  <c r="J2830" s="1"/>
  <c r="I2830"/>
  <c r="H2831"/>
  <c r="J2831" s="1"/>
  <c r="I2831"/>
  <c r="H2832"/>
  <c r="J2832" s="1"/>
  <c r="I2832"/>
  <c r="H2833"/>
  <c r="J2833" s="1"/>
  <c r="I2833"/>
  <c r="H2834"/>
  <c r="I2834"/>
  <c r="J2834"/>
  <c r="H2835"/>
  <c r="J2835" s="1"/>
  <c r="I2835"/>
  <c r="H2836"/>
  <c r="I2836"/>
  <c r="J2836"/>
  <c r="H2837"/>
  <c r="J2837" s="1"/>
  <c r="I2837"/>
  <c r="H2838"/>
  <c r="I2838"/>
  <c r="J2838"/>
  <c r="H2839"/>
  <c r="J2839" s="1"/>
  <c r="I2839"/>
  <c r="H2840"/>
  <c r="I2840"/>
  <c r="J2840"/>
  <c r="H2841"/>
  <c r="J2841" s="1"/>
  <c r="I2841"/>
  <c r="H2842"/>
  <c r="I2842"/>
  <c r="J2842"/>
  <c r="H2843"/>
  <c r="J2843" s="1"/>
  <c r="I2843"/>
  <c r="H2844"/>
  <c r="I2844"/>
  <c r="J2844"/>
  <c r="H2845"/>
  <c r="J2845" s="1"/>
  <c r="I2845"/>
  <c r="H2846"/>
  <c r="J2846" s="1"/>
  <c r="I2846"/>
  <c r="H2847"/>
  <c r="J2847" s="1"/>
  <c r="I2847"/>
  <c r="H2848"/>
  <c r="J2848" s="1"/>
  <c r="I2848"/>
  <c r="H2849"/>
  <c r="J2849" s="1"/>
  <c r="I2849"/>
  <c r="H2850"/>
  <c r="I2850"/>
  <c r="J2850"/>
  <c r="H2851"/>
  <c r="J2851" s="1"/>
  <c r="I2851"/>
  <c r="H2852"/>
  <c r="J2852" s="1"/>
  <c r="I2852"/>
  <c r="H2853"/>
  <c r="J2853" s="1"/>
  <c r="I2853"/>
  <c r="H2854"/>
  <c r="I2854"/>
  <c r="J2854"/>
  <c r="H2855"/>
  <c r="J2855" s="1"/>
  <c r="I2855"/>
  <c r="H2856"/>
  <c r="I2856"/>
  <c r="J2856"/>
  <c r="H2857"/>
  <c r="J2857" s="1"/>
  <c r="I2857"/>
  <c r="H2858"/>
  <c r="J2858" s="1"/>
  <c r="I2858"/>
  <c r="H2859"/>
  <c r="J2859" s="1"/>
  <c r="I2859"/>
  <c r="H2860"/>
  <c r="I2860"/>
  <c r="J2860"/>
  <c r="H2861"/>
  <c r="J2861" s="1"/>
  <c r="I2861"/>
  <c r="H2862"/>
  <c r="I2862"/>
  <c r="J2862"/>
  <c r="H2863"/>
  <c r="I2863"/>
  <c r="J2863"/>
  <c r="H2864"/>
  <c r="J2864" s="1"/>
  <c r="I2864"/>
  <c r="H2865"/>
  <c r="J2865" s="1"/>
  <c r="I2865"/>
  <c r="H2866"/>
  <c r="J2866" s="1"/>
  <c r="I2866"/>
  <c r="H2867"/>
  <c r="I2867"/>
  <c r="J2867"/>
  <c r="H2868"/>
  <c r="J2868" s="1"/>
  <c r="I2868"/>
  <c r="H2869"/>
  <c r="J2869" s="1"/>
  <c r="I2869"/>
  <c r="H2870"/>
  <c r="J2870" s="1"/>
  <c r="I2870"/>
  <c r="H2871"/>
  <c r="J2871" s="1"/>
  <c r="I2871"/>
  <c r="H2872"/>
  <c r="I2872"/>
  <c r="J2872"/>
  <c r="H2873"/>
  <c r="J2873" s="1"/>
  <c r="I2873"/>
  <c r="H2874"/>
  <c r="I2874"/>
  <c r="J2874"/>
  <c r="H2875"/>
  <c r="J2875" s="1"/>
  <c r="I2875"/>
  <c r="H2876"/>
  <c r="J2876" s="1"/>
  <c r="I2876"/>
  <c r="H2877"/>
  <c r="J2877" s="1"/>
  <c r="I2877"/>
  <c r="H2878"/>
  <c r="I2878"/>
  <c r="J2878"/>
  <c r="H2879"/>
  <c r="J2879" s="1"/>
  <c r="I2879"/>
  <c r="H2880"/>
  <c r="I2880"/>
  <c r="J2880"/>
  <c r="H2881"/>
  <c r="J2881" s="1"/>
  <c r="I2881"/>
  <c r="H2882"/>
  <c r="J2882" s="1"/>
  <c r="I2882"/>
  <c r="H2883"/>
  <c r="J2883" s="1"/>
  <c r="I2883"/>
  <c r="H2884"/>
  <c r="I2884"/>
  <c r="J2884"/>
  <c r="H2885"/>
  <c r="J2885" s="1"/>
  <c r="I2885"/>
  <c r="H2886"/>
  <c r="J2886" s="1"/>
  <c r="I2886"/>
  <c r="H2887"/>
  <c r="J2887" s="1"/>
  <c r="I2887"/>
  <c r="H2888"/>
  <c r="J2888" s="1"/>
  <c r="I2888"/>
  <c r="H2889"/>
  <c r="I2889"/>
  <c r="J2889"/>
  <c r="H2890"/>
  <c r="J2890" s="1"/>
  <c r="I2890"/>
  <c r="H2891"/>
  <c r="J2891" s="1"/>
  <c r="I2891"/>
  <c r="H2892"/>
  <c r="J2892" s="1"/>
  <c r="I2892"/>
  <c r="H2893"/>
  <c r="I2893"/>
  <c r="J2893"/>
  <c r="H2894"/>
  <c r="J2894" s="1"/>
  <c r="I2894"/>
  <c r="H2895"/>
  <c r="I2895"/>
  <c r="J2895"/>
  <c r="H2896"/>
  <c r="J2896" s="1"/>
  <c r="I2896"/>
  <c r="H2897"/>
  <c r="I2897"/>
  <c r="J2897"/>
  <c r="H2898"/>
  <c r="J2898" s="1"/>
  <c r="I2898"/>
  <c r="H2899"/>
  <c r="I2899"/>
  <c r="J2899"/>
  <c r="H2900"/>
  <c r="J2900" s="1"/>
  <c r="I2900"/>
  <c r="H2901"/>
  <c r="J2901" s="1"/>
  <c r="I2901"/>
  <c r="H2902"/>
  <c r="I2902"/>
  <c r="J2902"/>
  <c r="H2903"/>
  <c r="J2903" s="1"/>
  <c r="I2903"/>
  <c r="H2904"/>
  <c r="J2904" s="1"/>
  <c r="I2904"/>
  <c r="H2905"/>
  <c r="I2905"/>
  <c r="J2905"/>
  <c r="H2906"/>
  <c r="J2906" s="1"/>
  <c r="I2906"/>
  <c r="H2907"/>
  <c r="I2907"/>
  <c r="J2907"/>
  <c r="H2908"/>
  <c r="I2908"/>
  <c r="J2908"/>
  <c r="H2909"/>
  <c r="J2909" s="1"/>
  <c r="I2909"/>
  <c r="H2910"/>
  <c r="J2910" s="1"/>
  <c r="I2910"/>
  <c r="H2911"/>
  <c r="I2911"/>
  <c r="J2911"/>
  <c r="H2912"/>
  <c r="J2912" s="1"/>
  <c r="I2912"/>
  <c r="H2913"/>
  <c r="I2913"/>
  <c r="J2913"/>
  <c r="H2914"/>
  <c r="J2914" s="1"/>
  <c r="I2914"/>
  <c r="H2915"/>
  <c r="I2915"/>
  <c r="J2915"/>
  <c r="H2916"/>
  <c r="J2916" s="1"/>
  <c r="I2916"/>
  <c r="H2917"/>
  <c r="I2917"/>
  <c r="J2917"/>
  <c r="H2918"/>
  <c r="J2918" s="1"/>
  <c r="I2918"/>
  <c r="H2919"/>
  <c r="I2919"/>
  <c r="J2919"/>
  <c r="H2920"/>
  <c r="J2920" s="1"/>
  <c r="I2920"/>
  <c r="H2921"/>
  <c r="I2921"/>
  <c r="J2921"/>
  <c r="H2922"/>
  <c r="J2922" s="1"/>
  <c r="I2922"/>
  <c r="H2923"/>
  <c r="J2923" s="1"/>
  <c r="I2923"/>
  <c r="H2924"/>
  <c r="J2924" s="1"/>
  <c r="I2924"/>
  <c r="H2925"/>
  <c r="I2925"/>
  <c r="J2925"/>
  <c r="H2926"/>
  <c r="J2926" s="1"/>
  <c r="I2926"/>
  <c r="H2927"/>
  <c r="J2927" s="1"/>
  <c r="I2927"/>
  <c r="H2928"/>
  <c r="J2928" s="1"/>
  <c r="I2928"/>
  <c r="H2929"/>
  <c r="I2929"/>
  <c r="J2929"/>
  <c r="H2930"/>
  <c r="J2930" s="1"/>
  <c r="I2930"/>
  <c r="H2931"/>
  <c r="I2931"/>
  <c r="J2931"/>
  <c r="H2932"/>
  <c r="J2932" s="1"/>
  <c r="I2932"/>
  <c r="H2933"/>
  <c r="J2933" s="1"/>
  <c r="I2933"/>
  <c r="H2934"/>
  <c r="J2934" s="1"/>
  <c r="I2934"/>
  <c r="H2935"/>
  <c r="I2935"/>
  <c r="J2935"/>
  <c r="H2936"/>
  <c r="J2936" s="1"/>
  <c r="I2936"/>
  <c r="H2937"/>
  <c r="I2937"/>
  <c r="J2937"/>
  <c r="H2938"/>
  <c r="J2938" s="1"/>
  <c r="I2938"/>
  <c r="H2939"/>
  <c r="J2939" s="1"/>
  <c r="I2939"/>
  <c r="H2940"/>
  <c r="J2940" s="1"/>
  <c r="I2940"/>
  <c r="H2941"/>
  <c r="I2941"/>
  <c r="J2941"/>
  <c r="H2942"/>
  <c r="J2942" s="1"/>
  <c r="I2942"/>
  <c r="H2943"/>
  <c r="I2943"/>
  <c r="J2943"/>
  <c r="H2944"/>
  <c r="J2944" s="1"/>
  <c r="I2944"/>
  <c r="H2945"/>
  <c r="I2945"/>
  <c r="J2945"/>
  <c r="H2946"/>
  <c r="I2946"/>
  <c r="J2946"/>
  <c r="H2947"/>
  <c r="I2947"/>
  <c r="J2947"/>
  <c r="H2948"/>
  <c r="I2948"/>
  <c r="J2948"/>
  <c r="H2949"/>
  <c r="J2949" s="1"/>
  <c r="I2949"/>
  <c r="H2950"/>
  <c r="I2950"/>
  <c r="J2950"/>
  <c r="H2951"/>
  <c r="J2951" s="1"/>
  <c r="I2951"/>
  <c r="H2952"/>
  <c r="I2952"/>
  <c r="J2952"/>
  <c r="H2953"/>
  <c r="J2953" s="1"/>
  <c r="I2953"/>
  <c r="H2954"/>
  <c r="J2954" s="1"/>
  <c r="I2954"/>
  <c r="H2955"/>
  <c r="I2955"/>
  <c r="J2955"/>
  <c r="H2956"/>
  <c r="J2956" s="1"/>
  <c r="I2956"/>
  <c r="H2957"/>
  <c r="I2957"/>
  <c r="J2957"/>
  <c r="H2958"/>
  <c r="J2958" s="1"/>
  <c r="I2958"/>
  <c r="H2959"/>
  <c r="I2959"/>
  <c r="J2959"/>
  <c r="H2960"/>
  <c r="J2960" s="1"/>
  <c r="I2960"/>
  <c r="H2961"/>
  <c r="I2961"/>
  <c r="J2961"/>
  <c r="H2962"/>
  <c r="I2962"/>
  <c r="J2962"/>
  <c r="H2963"/>
  <c r="J2963" s="1"/>
  <c r="I2963"/>
  <c r="H2964"/>
  <c r="J2964" s="1"/>
  <c r="I2964"/>
  <c r="H2965"/>
  <c r="J2965" s="1"/>
  <c r="I2965"/>
  <c r="H2966"/>
  <c r="J2966" s="1"/>
  <c r="I2966"/>
  <c r="H2967"/>
  <c r="J2967" s="1"/>
  <c r="I2967"/>
  <c r="H2968"/>
  <c r="I2968"/>
  <c r="J2968"/>
  <c r="H2969"/>
  <c r="J2969" s="1"/>
  <c r="I2969"/>
  <c r="H2970"/>
  <c r="J2970" s="1"/>
  <c r="I2970"/>
  <c r="H2971"/>
  <c r="J2971" s="1"/>
  <c r="I2971"/>
  <c r="H2972"/>
  <c r="I2972"/>
  <c r="J2972"/>
  <c r="H2973"/>
  <c r="J2973" s="1"/>
  <c r="I2973"/>
  <c r="H2974"/>
  <c r="J2974" s="1"/>
  <c r="I2974"/>
  <c r="H2975"/>
  <c r="I2975"/>
  <c r="J2975"/>
  <c r="H2976"/>
  <c r="J2976" s="1"/>
  <c r="I2976"/>
  <c r="H2977"/>
  <c r="J2977" s="1"/>
  <c r="I2977"/>
  <c r="H2978"/>
  <c r="J2978" s="1"/>
  <c r="I2978"/>
  <c r="H2979"/>
  <c r="J2979" s="1"/>
  <c r="I2979"/>
  <c r="H2980"/>
  <c r="J2980" s="1"/>
  <c r="I2980"/>
  <c r="H2981"/>
  <c r="I2981"/>
  <c r="J2981"/>
  <c r="H2982"/>
  <c r="J2982" s="1"/>
  <c r="I2982"/>
  <c r="H2983"/>
  <c r="I2983"/>
  <c r="J2983"/>
  <c r="H2984"/>
  <c r="J2984" s="1"/>
  <c r="I2984"/>
  <c r="H2985"/>
  <c r="I2985"/>
  <c r="J2985"/>
  <c r="H2986"/>
  <c r="J2986" s="1"/>
  <c r="I2986"/>
  <c r="H2987"/>
  <c r="J2987" s="1"/>
  <c r="I2987"/>
  <c r="H2988"/>
  <c r="J2988" s="1"/>
  <c r="I2988"/>
  <c r="H2989"/>
  <c r="I2989"/>
  <c r="J2989"/>
  <c r="H2990"/>
  <c r="J2990" s="1"/>
  <c r="I2990"/>
  <c r="H2991"/>
  <c r="I2991"/>
  <c r="J2991"/>
  <c r="H2992"/>
  <c r="J2992" s="1"/>
  <c r="I2992"/>
  <c r="H2993"/>
  <c r="I2993"/>
  <c r="J2993"/>
  <c r="H2994"/>
  <c r="J2994" s="1"/>
  <c r="I2994"/>
  <c r="H2995"/>
  <c r="I2995"/>
  <c r="J2995"/>
  <c r="H2996"/>
  <c r="J2996" s="1"/>
  <c r="I2996"/>
  <c r="H2997"/>
  <c r="J2997" s="1"/>
  <c r="I2997"/>
  <c r="H2998"/>
  <c r="J2998" s="1"/>
  <c r="I2998"/>
  <c r="H2999"/>
  <c r="J2999" s="1"/>
  <c r="I2999"/>
  <c r="H3000"/>
  <c r="J3000" s="1"/>
  <c r="I3000"/>
  <c r="H3001"/>
  <c r="I3001"/>
  <c r="J3001"/>
  <c r="H3002"/>
  <c r="J3002" s="1"/>
  <c r="I3002"/>
  <c r="H3003"/>
  <c r="I3003"/>
  <c r="J3003"/>
  <c r="H3004"/>
  <c r="J3004" s="1"/>
  <c r="I3004"/>
  <c r="H3005"/>
  <c r="J3005" s="1"/>
  <c r="I3005"/>
  <c r="H3006"/>
  <c r="J3006" s="1"/>
  <c r="I3006"/>
  <c r="H3007"/>
  <c r="I3007"/>
  <c r="J3007"/>
  <c r="H3008"/>
  <c r="J3008" s="1"/>
  <c r="I3008"/>
  <c r="H3009"/>
  <c r="J3009" s="1"/>
  <c r="I3009"/>
  <c r="H3010"/>
  <c r="J3010" s="1"/>
  <c r="I3010"/>
  <c r="H3011"/>
  <c r="I3011"/>
  <c r="J3011"/>
  <c r="H3012"/>
  <c r="J3012" s="1"/>
  <c r="I3012"/>
  <c r="H3013"/>
  <c r="I3013"/>
  <c r="J3013"/>
  <c r="H3014"/>
  <c r="J3014" s="1"/>
  <c r="I3014"/>
  <c r="H3015"/>
  <c r="J3015" s="1"/>
  <c r="I3015"/>
  <c r="H3016"/>
  <c r="J3016" s="1"/>
  <c r="I3016"/>
  <c r="H3017"/>
  <c r="I3017"/>
  <c r="J3017"/>
  <c r="H3018"/>
  <c r="I3018"/>
  <c r="J3018"/>
  <c r="H3019"/>
  <c r="J3019" s="1"/>
  <c r="I3019"/>
  <c r="H3020"/>
  <c r="J3020" s="1"/>
  <c r="I3020"/>
  <c r="H3021"/>
  <c r="I3021"/>
  <c r="J3021"/>
  <c r="H3022"/>
  <c r="J3022" s="1"/>
  <c r="I3022"/>
  <c r="H3023"/>
  <c r="J3023" s="1"/>
  <c r="I3023"/>
  <c r="H3024"/>
  <c r="J3024" s="1"/>
  <c r="I3024"/>
  <c r="H3025"/>
  <c r="J3025" s="1"/>
  <c r="I3025"/>
  <c r="H3026"/>
  <c r="J3026" s="1"/>
  <c r="I3026"/>
  <c r="H3027"/>
  <c r="I3027"/>
  <c r="J3027"/>
  <c r="H3028"/>
  <c r="J3028" s="1"/>
  <c r="I3028"/>
  <c r="H3029"/>
  <c r="I3029"/>
  <c r="J3029"/>
  <c r="H3030"/>
  <c r="J3030" s="1"/>
  <c r="I3030"/>
  <c r="H3031"/>
  <c r="J3031" s="1"/>
  <c r="I3031"/>
  <c r="H3032"/>
  <c r="J3032" s="1"/>
  <c r="I3032"/>
  <c r="H3033"/>
  <c r="I3033"/>
  <c r="J3033"/>
  <c r="H3034"/>
  <c r="J3034" s="1"/>
  <c r="I3034"/>
  <c r="H3035"/>
  <c r="I3035"/>
  <c r="J3035"/>
  <c r="H3036"/>
  <c r="J3036" s="1"/>
  <c r="I3036"/>
  <c r="H3037"/>
  <c r="I3037"/>
  <c r="J3037"/>
  <c r="H3038"/>
  <c r="J3038" s="1"/>
  <c r="I3038"/>
  <c r="H3039"/>
  <c r="I3039"/>
  <c r="J3039"/>
  <c r="H3040"/>
  <c r="J3040" s="1"/>
  <c r="I3040"/>
  <c r="H3041"/>
  <c r="J3041" s="1"/>
  <c r="I3041"/>
  <c r="H3042"/>
  <c r="J3042" s="1"/>
  <c r="I3042"/>
  <c r="H3043"/>
  <c r="I3043"/>
  <c r="J3043"/>
  <c r="H3044"/>
  <c r="J3044" s="1"/>
  <c r="I3044"/>
  <c r="H3045"/>
  <c r="I3045"/>
  <c r="J3045"/>
  <c r="H3046"/>
  <c r="J3046" s="1"/>
  <c r="I3046"/>
  <c r="H3047"/>
  <c r="I3047"/>
  <c r="J3047"/>
  <c r="H3048"/>
  <c r="J3048" s="1"/>
  <c r="I3048"/>
  <c r="H3049"/>
  <c r="I3049"/>
  <c r="J3049"/>
  <c r="H3050"/>
  <c r="J3050" s="1"/>
  <c r="I3050"/>
  <c r="H3051"/>
  <c r="I3051"/>
  <c r="J3051"/>
  <c r="H3052"/>
  <c r="J3052" s="1"/>
  <c r="I3052"/>
  <c r="H3053"/>
  <c r="J3053" s="1"/>
  <c r="I3053"/>
  <c r="H3054"/>
  <c r="J3054" s="1"/>
  <c r="I3054"/>
  <c r="H3055"/>
  <c r="I3055"/>
  <c r="J3055"/>
  <c r="H3056"/>
  <c r="J3056" s="1"/>
  <c r="I3056"/>
  <c r="H3057"/>
  <c r="I3057"/>
  <c r="J3057"/>
  <c r="H3058"/>
  <c r="J3058" s="1"/>
  <c r="I3058"/>
  <c r="H3059"/>
  <c r="I3059"/>
  <c r="J3059"/>
  <c r="H3060"/>
  <c r="I3060"/>
  <c r="J3060"/>
  <c r="H3061"/>
  <c r="J3061" s="1"/>
  <c r="I3061"/>
  <c r="H3062"/>
  <c r="J3062" s="1"/>
  <c r="I3062"/>
  <c r="H3063"/>
  <c r="J3063" s="1"/>
  <c r="I3063"/>
  <c r="H3064"/>
  <c r="J3064" s="1"/>
  <c r="I3064"/>
  <c r="H3065"/>
  <c r="J3065" s="1"/>
  <c r="I3065"/>
  <c r="H3066"/>
  <c r="J3066" s="1"/>
  <c r="I3066"/>
  <c r="H3067"/>
  <c r="I3067"/>
  <c r="J3067"/>
  <c r="H3068"/>
  <c r="J3068" s="1"/>
  <c r="I3068"/>
  <c r="H3069"/>
  <c r="I3069"/>
  <c r="J3069"/>
  <c r="H3070"/>
  <c r="J3070" s="1"/>
  <c r="I3070"/>
  <c r="H3071"/>
  <c r="I3071"/>
  <c r="J3071"/>
  <c r="H3072"/>
  <c r="J3072" s="1"/>
  <c r="I3072"/>
  <c r="H3073"/>
  <c r="I3073"/>
  <c r="J3073"/>
  <c r="H3074"/>
  <c r="J3074" s="1"/>
  <c r="I3074"/>
  <c r="H3075"/>
  <c r="I3075"/>
  <c r="J3075"/>
  <c r="H3076"/>
  <c r="J3076" s="1"/>
  <c r="I3076"/>
  <c r="H3077"/>
  <c r="J3077" s="1"/>
  <c r="I3077"/>
  <c r="H3078"/>
  <c r="J3078" s="1"/>
  <c r="I3078"/>
  <c r="H3079"/>
  <c r="I3079"/>
  <c r="J3079"/>
  <c r="H3080"/>
  <c r="J3080" s="1"/>
  <c r="I3080"/>
  <c r="H3081"/>
  <c r="J3081" s="1"/>
  <c r="I3081"/>
  <c r="H3082"/>
  <c r="J3082" s="1"/>
  <c r="I3082"/>
  <c r="H3083"/>
  <c r="I3083"/>
  <c r="J3083"/>
  <c r="H3084"/>
  <c r="J3084" s="1"/>
  <c r="I3084"/>
  <c r="H3085"/>
  <c r="I3085"/>
  <c r="J3085"/>
  <c r="H3086"/>
  <c r="J3086" s="1"/>
  <c r="I3086"/>
  <c r="H3087"/>
  <c r="I3087"/>
  <c r="J3087"/>
  <c r="H3088"/>
  <c r="J3088" s="1"/>
  <c r="I3088"/>
  <c r="H3089"/>
  <c r="J3089" s="1"/>
  <c r="I3089"/>
  <c r="H3090"/>
  <c r="J3090" s="1"/>
  <c r="I3090"/>
  <c r="H3091"/>
  <c r="I3091"/>
  <c r="J3091"/>
  <c r="H3092"/>
  <c r="J3092" s="1"/>
  <c r="I3092"/>
  <c r="H3093"/>
  <c r="I3093"/>
  <c r="J3093"/>
  <c r="H3094"/>
  <c r="J3094" s="1"/>
  <c r="I3094"/>
  <c r="H3095"/>
  <c r="J3095" s="1"/>
  <c r="I3095"/>
  <c r="H3096"/>
  <c r="J3096" s="1"/>
  <c r="I3096"/>
  <c r="H3097"/>
  <c r="I3097"/>
  <c r="J3097"/>
  <c r="H3098"/>
  <c r="J3098" s="1"/>
  <c r="I3098"/>
  <c r="H3099"/>
  <c r="J3099" s="1"/>
  <c r="I3099"/>
  <c r="H3100"/>
  <c r="J3100" s="1"/>
  <c r="I3100"/>
  <c r="H3101"/>
  <c r="J3101" s="1"/>
  <c r="I3101"/>
  <c r="H3102"/>
  <c r="I3102"/>
  <c r="J3102"/>
  <c r="H3103"/>
  <c r="I3103"/>
  <c r="J3103"/>
  <c r="H3104"/>
  <c r="J3104" s="1"/>
  <c r="I3104"/>
  <c r="H3105"/>
  <c r="I3105"/>
  <c r="J3105"/>
  <c r="H3106"/>
  <c r="J3106" s="1"/>
  <c r="I3106"/>
  <c r="H3107"/>
  <c r="J3107" s="1"/>
  <c r="I3107"/>
  <c r="H3108"/>
  <c r="J3108" s="1"/>
  <c r="I3108"/>
  <c r="H3109"/>
  <c r="I3109"/>
  <c r="J3109"/>
  <c r="H3110"/>
  <c r="J3110" s="1"/>
  <c r="I3110"/>
  <c r="H3111"/>
  <c r="I3111"/>
  <c r="J3111"/>
  <c r="H3112"/>
  <c r="J3112" s="1"/>
  <c r="I3112"/>
  <c r="H3113"/>
  <c r="I3113"/>
  <c r="J3113"/>
  <c r="H3114"/>
  <c r="I3114"/>
  <c r="J3114"/>
  <c r="H3115"/>
  <c r="J3115" s="1"/>
  <c r="I3115"/>
  <c r="H3116"/>
  <c r="J3116" s="1"/>
  <c r="I3116"/>
  <c r="H3117"/>
  <c r="I3117"/>
  <c r="J3117"/>
  <c r="H3118"/>
  <c r="J3118" s="1"/>
  <c r="I3118"/>
  <c r="H3119"/>
  <c r="I3119"/>
  <c r="J3119"/>
  <c r="H3120"/>
  <c r="I3120"/>
  <c r="J3120"/>
  <c r="H3121"/>
  <c r="J3121" s="1"/>
  <c r="I3121"/>
  <c r="H3122"/>
  <c r="I3122"/>
  <c r="J3122"/>
  <c r="H3123"/>
  <c r="J3123" s="1"/>
  <c r="I3123"/>
  <c r="H3124"/>
  <c r="J3124" s="1"/>
  <c r="I3124"/>
  <c r="H3125"/>
  <c r="I3125"/>
  <c r="J3125"/>
  <c r="H3126"/>
  <c r="J3126" s="1"/>
  <c r="I3126"/>
  <c r="H3127"/>
  <c r="I3127"/>
  <c r="J3127"/>
  <c r="H3128"/>
  <c r="J3128" s="1"/>
  <c r="I3128"/>
  <c r="H3129"/>
  <c r="I3129"/>
  <c r="J3129"/>
  <c r="H3130"/>
  <c r="I3130"/>
  <c r="J3130"/>
  <c r="H3131"/>
  <c r="J3131" s="1"/>
  <c r="I3131"/>
  <c r="H3132"/>
  <c r="J3132" s="1"/>
  <c r="I3132"/>
  <c r="H3133"/>
  <c r="J3133" s="1"/>
  <c r="I3133"/>
  <c r="H3134"/>
  <c r="J3134" s="1"/>
  <c r="I3134"/>
  <c r="H3135"/>
  <c r="I3135"/>
  <c r="J3135"/>
  <c r="H3136"/>
  <c r="J3136" s="1"/>
  <c r="I3136"/>
  <c r="H3137"/>
  <c r="I3137"/>
  <c r="J3137"/>
  <c r="H3138"/>
  <c r="J3138" s="1"/>
  <c r="I3138"/>
  <c r="H3139"/>
  <c r="I3139"/>
  <c r="J3139"/>
  <c r="H3140"/>
  <c r="J3140" s="1"/>
  <c r="I3140"/>
  <c r="H3141"/>
  <c r="I3141"/>
  <c r="J3141"/>
  <c r="H3142"/>
  <c r="J3142" s="1"/>
  <c r="I3142"/>
  <c r="H3143"/>
  <c r="I3143"/>
  <c r="J3143"/>
  <c r="H3144"/>
  <c r="J3144" s="1"/>
  <c r="I3144"/>
  <c r="H3145"/>
  <c r="I3145"/>
  <c r="J3145"/>
  <c r="H3146"/>
  <c r="J3146" s="1"/>
  <c r="I3146"/>
  <c r="H3147"/>
  <c r="I3147"/>
  <c r="J3147"/>
  <c r="H3148"/>
  <c r="J3148" s="1"/>
  <c r="I3148"/>
  <c r="H3149"/>
  <c r="I3149"/>
  <c r="J3149"/>
  <c r="H3150"/>
  <c r="J3150" s="1"/>
  <c r="I3150"/>
  <c r="H3151"/>
  <c r="I3151"/>
  <c r="J3151"/>
  <c r="H3152"/>
  <c r="J3152" s="1"/>
  <c r="I3152"/>
  <c r="H3153"/>
  <c r="J3153" s="1"/>
  <c r="I3153"/>
  <c r="H3154"/>
  <c r="I3154"/>
  <c r="J3154"/>
  <c r="H3155"/>
  <c r="J3155" s="1"/>
  <c r="I3155"/>
  <c r="H3156"/>
  <c r="J3156" s="1"/>
  <c r="I3156"/>
  <c r="H3157"/>
  <c r="J3157" s="1"/>
  <c r="I3157"/>
  <c r="H3158"/>
  <c r="J3158" s="1"/>
  <c r="I3158"/>
  <c r="H3159"/>
  <c r="I3159"/>
  <c r="J3159"/>
  <c r="H3160"/>
  <c r="J3160" s="1"/>
  <c r="I3160"/>
  <c r="H3161"/>
  <c r="I3161"/>
  <c r="J3161"/>
  <c r="H3162"/>
  <c r="J3162" s="1"/>
  <c r="I3162"/>
  <c r="H3163"/>
  <c r="I3163"/>
  <c r="J3163"/>
  <c r="H3164"/>
  <c r="I3164"/>
  <c r="J3164"/>
  <c r="H3165"/>
  <c r="J3165" s="1"/>
  <c r="I3165"/>
  <c r="H3166"/>
  <c r="J3166" s="1"/>
  <c r="I3166"/>
  <c r="H3167"/>
  <c r="I3167"/>
  <c r="J3167"/>
  <c r="H3168"/>
  <c r="J3168" s="1"/>
  <c r="I3168"/>
  <c r="H3169"/>
  <c r="J3169" s="1"/>
  <c r="I3169"/>
  <c r="H3170"/>
  <c r="J3170" s="1"/>
  <c r="I3170"/>
  <c r="H3171"/>
  <c r="J3171" s="1"/>
  <c r="I3171"/>
  <c r="H3172"/>
  <c r="J3172" s="1"/>
  <c r="I3172"/>
  <c r="H3173"/>
  <c r="J3173" s="1"/>
  <c r="I3173"/>
  <c r="H3174"/>
  <c r="I3174"/>
  <c r="J3174"/>
  <c r="H3175"/>
  <c r="I3175"/>
  <c r="J3175"/>
  <c r="H3176"/>
  <c r="J3176" s="1"/>
  <c r="I3176"/>
  <c r="H3177"/>
  <c r="I3177"/>
  <c r="J3177"/>
  <c r="H3178"/>
  <c r="I3178"/>
  <c r="J3178"/>
  <c r="H3179"/>
  <c r="J3179" s="1"/>
  <c r="I3179"/>
  <c r="H3180"/>
  <c r="J3180" s="1"/>
  <c r="I3180"/>
  <c r="H3181"/>
  <c r="I3181"/>
  <c r="J3181"/>
  <c r="H3182"/>
  <c r="J3182" s="1"/>
  <c r="I3182"/>
  <c r="H3183"/>
  <c r="I3183"/>
  <c r="J3183"/>
  <c r="H3184"/>
  <c r="J3184" s="1"/>
  <c r="I3184"/>
  <c r="H3185"/>
  <c r="I3185"/>
  <c r="J3185"/>
  <c r="H3186"/>
  <c r="J3186" s="1"/>
  <c r="I3186"/>
  <c r="H3187"/>
  <c r="I3187"/>
  <c r="J3187"/>
  <c r="H3188"/>
  <c r="J3188" s="1"/>
  <c r="I3188"/>
  <c r="H3189"/>
  <c r="I3189"/>
  <c r="J3189"/>
  <c r="H3190"/>
  <c r="I3190"/>
  <c r="J3190"/>
  <c r="H3191"/>
  <c r="J3191" s="1"/>
  <c r="I3191"/>
  <c r="H3192"/>
  <c r="I3192"/>
  <c r="J3192"/>
  <c r="H3193"/>
  <c r="J3193" s="1"/>
  <c r="I3193"/>
  <c r="H3194"/>
  <c r="J3194" s="1"/>
  <c r="I3194"/>
  <c r="H3195"/>
  <c r="J3195" s="1"/>
  <c r="I3195"/>
  <c r="H3196"/>
  <c r="J3196" s="1"/>
  <c r="I3196"/>
  <c r="H3197"/>
  <c r="I3197"/>
  <c r="J3197"/>
  <c r="H3198"/>
  <c r="J3198" s="1"/>
  <c r="I3198"/>
  <c r="H3199"/>
  <c r="I3199"/>
  <c r="J3199"/>
  <c r="H3200"/>
  <c r="J3200" s="1"/>
  <c r="I3200"/>
  <c r="H3201"/>
  <c r="J3201" s="1"/>
  <c r="I3201"/>
  <c r="H3202"/>
  <c r="I3202"/>
  <c r="J3202"/>
  <c r="H3203"/>
  <c r="J3203" s="1"/>
  <c r="I3203"/>
  <c r="H3204"/>
  <c r="J3204" s="1"/>
  <c r="I3204"/>
  <c r="H3205"/>
  <c r="I3205"/>
  <c r="J3205"/>
  <c r="H3206"/>
  <c r="I3206"/>
  <c r="J3206"/>
  <c r="H3207"/>
  <c r="J3207" s="1"/>
  <c r="I3207"/>
  <c r="H3208"/>
  <c r="J3208" s="1"/>
  <c r="I3208"/>
  <c r="H3209"/>
  <c r="J3209" s="1"/>
  <c r="I3209"/>
  <c r="H3210"/>
  <c r="I3210"/>
  <c r="J3210"/>
  <c r="H3211"/>
  <c r="J3211" s="1"/>
  <c r="I3211"/>
  <c r="H3212"/>
  <c r="J3212" s="1"/>
  <c r="I3212"/>
  <c r="H3213"/>
  <c r="I3213"/>
  <c r="J3213"/>
  <c r="H3214"/>
  <c r="J3214" s="1"/>
  <c r="I3214"/>
  <c r="H3215"/>
  <c r="I3215"/>
  <c r="J3215"/>
  <c r="H3216"/>
  <c r="I3216"/>
  <c r="J3216"/>
  <c r="H3217"/>
  <c r="I3217"/>
  <c r="J3217"/>
  <c r="H3218"/>
  <c r="J3218" s="1"/>
  <c r="I3218"/>
  <c r="H3219"/>
  <c r="J3219" s="1"/>
  <c r="I3219"/>
  <c r="H3220"/>
  <c r="J3220" s="1"/>
  <c r="I3220"/>
  <c r="H3221"/>
  <c r="I3221"/>
  <c r="J3221"/>
  <c r="H3222"/>
  <c r="J3222" s="1"/>
  <c r="I3222"/>
  <c r="H3223"/>
  <c r="I3223"/>
  <c r="J3223"/>
  <c r="H3224"/>
  <c r="J3224" s="1"/>
  <c r="I3224"/>
  <c r="H3225"/>
  <c r="J3225" s="1"/>
  <c r="I3225"/>
  <c r="H3226"/>
  <c r="J3226" s="1"/>
  <c r="I3226"/>
  <c r="H3227"/>
  <c r="J3227" s="1"/>
  <c r="I3227"/>
  <c r="H3228"/>
  <c r="J3228" s="1"/>
  <c r="I3228"/>
  <c r="H3229"/>
  <c r="I3229"/>
  <c r="J3229"/>
  <c r="H3230"/>
  <c r="J3230" s="1"/>
  <c r="I3230"/>
  <c r="H3231"/>
  <c r="J3231" s="1"/>
  <c r="I3231"/>
  <c r="H3232"/>
  <c r="I3232"/>
  <c r="J3232"/>
  <c r="H3233"/>
  <c r="J3233" s="1"/>
  <c r="I3233"/>
  <c r="H3234"/>
  <c r="J3234" s="1"/>
  <c r="I3234"/>
  <c r="H3235"/>
  <c r="J3235" s="1"/>
  <c r="I3235"/>
  <c r="H3236"/>
  <c r="I3236"/>
  <c r="J3236"/>
  <c r="H3237"/>
  <c r="I3237"/>
  <c r="J3237"/>
  <c r="H3238"/>
  <c r="J3238" s="1"/>
  <c r="I3238"/>
  <c r="H3239"/>
  <c r="J3239" s="1"/>
  <c r="I3239"/>
  <c r="H3240"/>
  <c r="I3240"/>
  <c r="J3240"/>
  <c r="H3241"/>
  <c r="J3241" s="1"/>
  <c r="I3241"/>
  <c r="H3242"/>
  <c r="J3242" s="1"/>
  <c r="I3242"/>
  <c r="H3243"/>
  <c r="J3243" s="1"/>
  <c r="I3243"/>
  <c r="H3244"/>
  <c r="I3244"/>
  <c r="J3244"/>
  <c r="H3245"/>
  <c r="J3245" s="1"/>
  <c r="I3245"/>
  <c r="H3246"/>
  <c r="I3246"/>
  <c r="J3246"/>
  <c r="H3247"/>
  <c r="J3247" s="1"/>
  <c r="I3247"/>
  <c r="H3248"/>
  <c r="I3248"/>
  <c r="J3248"/>
  <c r="H3249"/>
  <c r="J3249" s="1"/>
  <c r="I3249"/>
  <c r="H3250"/>
  <c r="J3250" s="1"/>
  <c r="I3250"/>
  <c r="H3251"/>
  <c r="J3251" s="1"/>
  <c r="I3251"/>
  <c r="H3252"/>
  <c r="I3252"/>
  <c r="J3252"/>
  <c r="H3253"/>
  <c r="J3253" s="1"/>
  <c r="I3253"/>
  <c r="H3254"/>
  <c r="J3254" s="1"/>
  <c r="I3254"/>
  <c r="H3255"/>
  <c r="J3255" s="1"/>
  <c r="I3255"/>
  <c r="H3256"/>
  <c r="I3256"/>
  <c r="J3256"/>
  <c r="H3257"/>
  <c r="I3257"/>
  <c r="J3257"/>
  <c r="H3258"/>
  <c r="J3258" s="1"/>
  <c r="I3258"/>
  <c r="H3259"/>
  <c r="I3259"/>
  <c r="J3259"/>
  <c r="H3260"/>
  <c r="J3260" s="1"/>
  <c r="I3260"/>
  <c r="H3261"/>
  <c r="J3261" s="1"/>
  <c r="I3261"/>
  <c r="H3262"/>
  <c r="I3262"/>
  <c r="J3262"/>
  <c r="H3263"/>
  <c r="J3263" s="1"/>
  <c r="I3263"/>
  <c r="H3264"/>
  <c r="J3264" s="1"/>
  <c r="I3264"/>
  <c r="H3265"/>
  <c r="I3265"/>
  <c r="J3265"/>
  <c r="H3266"/>
  <c r="J3266" s="1"/>
  <c r="I3266"/>
  <c r="H3267"/>
  <c r="J3267" s="1"/>
  <c r="I3267"/>
  <c r="H3268"/>
  <c r="I3268"/>
  <c r="J3268"/>
  <c r="H3269"/>
  <c r="J3269" s="1"/>
  <c r="I3269"/>
  <c r="H3270"/>
  <c r="J3270" s="1"/>
  <c r="I3270"/>
  <c r="H3271"/>
  <c r="I3271"/>
  <c r="J3271"/>
  <c r="H3272"/>
  <c r="J3272" s="1"/>
  <c r="I3272"/>
  <c r="H3273"/>
  <c r="J3273" s="1"/>
  <c r="I3273"/>
  <c r="H3274"/>
  <c r="J3274" s="1"/>
  <c r="I3274"/>
  <c r="H3275"/>
  <c r="J3275" s="1"/>
  <c r="I3275"/>
  <c r="H3276"/>
  <c r="I3276"/>
  <c r="J3276"/>
  <c r="H3277"/>
  <c r="J3277" s="1"/>
  <c r="I3277"/>
  <c r="H3278"/>
  <c r="I3278"/>
  <c r="J3278"/>
  <c r="H3279"/>
  <c r="J3279" s="1"/>
  <c r="I3279"/>
  <c r="H3280"/>
  <c r="I3280"/>
  <c r="J3280"/>
  <c r="H3281"/>
  <c r="J3281" s="1"/>
  <c r="I3281"/>
  <c r="H3282"/>
  <c r="I3282"/>
  <c r="J3282"/>
  <c r="H3283"/>
  <c r="J3283" s="1"/>
  <c r="I3283"/>
  <c r="H3284"/>
  <c r="I3284"/>
  <c r="J3284"/>
  <c r="H3285"/>
  <c r="I3285"/>
  <c r="J3285"/>
  <c r="H3286"/>
  <c r="J3286" s="1"/>
  <c r="I3286"/>
  <c r="H3287"/>
  <c r="I3287"/>
  <c r="J3287"/>
  <c r="H3288"/>
  <c r="J3288" s="1"/>
  <c r="I3288"/>
  <c r="H3289"/>
  <c r="I3289"/>
  <c r="J3289"/>
  <c r="H3290"/>
  <c r="J3290" s="1"/>
  <c r="I3290"/>
  <c r="H3291"/>
  <c r="I3291"/>
  <c r="J3291"/>
  <c r="H3292"/>
  <c r="J3292" s="1"/>
  <c r="I3292"/>
  <c r="H3293"/>
  <c r="I3293"/>
  <c r="J3293"/>
  <c r="H3294"/>
  <c r="J3294" s="1"/>
  <c r="I3294"/>
  <c r="H3295"/>
  <c r="I3295"/>
  <c r="J3295"/>
  <c r="H3296"/>
  <c r="J3296" s="1"/>
  <c r="I3296"/>
  <c r="H3297"/>
  <c r="I3297"/>
  <c r="J3297"/>
  <c r="H3298"/>
  <c r="J3298" s="1"/>
  <c r="I3298"/>
  <c r="H3299"/>
  <c r="I3299"/>
  <c r="J3299"/>
  <c r="H3300"/>
  <c r="J3300" s="1"/>
  <c r="I3300"/>
  <c r="H3301"/>
  <c r="J3301" s="1"/>
  <c r="I3301"/>
  <c r="H3302"/>
  <c r="I3302"/>
  <c r="J3302"/>
  <c r="H3303"/>
  <c r="J3303" s="1"/>
  <c r="I3303"/>
  <c r="H3304"/>
  <c r="I3304"/>
  <c r="J3304"/>
  <c r="H3305"/>
  <c r="J3305" s="1"/>
  <c r="I3305"/>
  <c r="H3306"/>
  <c r="I3306"/>
  <c r="J3306"/>
  <c r="H3307"/>
  <c r="J3307" s="1"/>
  <c r="I3307"/>
  <c r="H3308"/>
  <c r="J3308" s="1"/>
  <c r="I3308"/>
  <c r="H3309"/>
  <c r="J3309" s="1"/>
  <c r="I3309"/>
  <c r="H3310"/>
  <c r="J3310" s="1"/>
  <c r="I3310"/>
  <c r="H3311"/>
  <c r="J3311" s="1"/>
  <c r="I3311"/>
  <c r="H3312"/>
  <c r="I3312"/>
  <c r="J3312"/>
  <c r="H3313"/>
  <c r="J3313" s="1"/>
  <c r="I3313"/>
  <c r="H3314"/>
  <c r="J3314" s="1"/>
  <c r="I3314"/>
  <c r="H3315"/>
  <c r="J3315" s="1"/>
  <c r="I3315"/>
  <c r="H3316"/>
  <c r="J3316" s="1"/>
  <c r="I3316"/>
  <c r="H3317"/>
  <c r="I3317"/>
  <c r="J3317"/>
  <c r="H3318"/>
  <c r="J3318" s="1"/>
  <c r="I3318"/>
  <c r="H3319"/>
  <c r="J3319" s="1"/>
  <c r="I3319"/>
  <c r="H3320"/>
  <c r="J3320" s="1"/>
  <c r="I3320"/>
  <c r="H3321"/>
  <c r="I3321"/>
  <c r="J3321"/>
  <c r="H3322"/>
  <c r="J3322" s="1"/>
  <c r="I3322"/>
  <c r="H3323"/>
  <c r="I3323"/>
  <c r="J3323"/>
  <c r="H3324"/>
  <c r="J3324" s="1"/>
  <c r="I3324"/>
  <c r="H3325"/>
  <c r="I3325"/>
  <c r="J3325"/>
  <c r="H3326"/>
  <c r="J3326" s="1"/>
  <c r="I3326"/>
  <c r="H3327"/>
  <c r="I3327"/>
  <c r="J3327"/>
  <c r="H3328"/>
  <c r="I3328"/>
  <c r="J3328"/>
  <c r="H3329"/>
  <c r="J3329" s="1"/>
  <c r="I3329"/>
  <c r="H3330"/>
  <c r="J3330" s="1"/>
  <c r="I3330"/>
  <c r="H3331"/>
  <c r="J3331" s="1"/>
  <c r="I3331"/>
  <c r="H3332"/>
  <c r="J3332" s="1"/>
  <c r="I3332"/>
  <c r="H3333"/>
  <c r="J3333" s="1"/>
  <c r="I3333"/>
  <c r="H3334"/>
  <c r="I3334"/>
  <c r="J3334"/>
  <c r="H3335"/>
  <c r="J3335" s="1"/>
  <c r="I3335"/>
  <c r="H3336"/>
  <c r="J3336" s="1"/>
  <c r="I3336"/>
  <c r="H3337"/>
  <c r="I3337"/>
  <c r="J3337"/>
  <c r="H3338"/>
  <c r="J3338" s="1"/>
  <c r="I3338"/>
  <c r="H3339"/>
  <c r="I3339"/>
  <c r="J3339"/>
  <c r="H3340"/>
  <c r="I3340"/>
  <c r="J3340"/>
  <c r="H3341"/>
  <c r="J3341" s="1"/>
  <c r="I3341"/>
  <c r="H3342"/>
  <c r="J3342" s="1"/>
  <c r="I3342"/>
  <c r="H3343"/>
  <c r="I3343"/>
  <c r="J3343"/>
  <c r="H3344"/>
  <c r="J3344" s="1"/>
  <c r="I3344"/>
  <c r="H3345"/>
  <c r="I3345"/>
  <c r="J3345"/>
  <c r="H3346"/>
  <c r="J3346" s="1"/>
  <c r="I3346"/>
  <c r="H3347"/>
  <c r="J3347" s="1"/>
  <c r="I3347"/>
  <c r="H3348"/>
  <c r="J3348" s="1"/>
  <c r="I3348"/>
  <c r="H3349"/>
  <c r="I3349"/>
  <c r="J3349"/>
  <c r="H3350"/>
  <c r="J3350" s="1"/>
  <c r="I3350"/>
  <c r="H3351"/>
  <c r="I3351"/>
  <c r="J3351"/>
  <c r="H3352"/>
  <c r="J3352" s="1"/>
  <c r="I3352"/>
  <c r="H3353"/>
  <c r="I3353"/>
  <c r="J3353"/>
  <c r="H3354"/>
  <c r="I3354"/>
  <c r="J3354"/>
  <c r="H3355"/>
  <c r="I3355"/>
  <c r="J3355"/>
  <c r="H3356"/>
  <c r="J3356" s="1"/>
  <c r="I3356"/>
  <c r="H3357"/>
  <c r="I3357"/>
  <c r="J3357"/>
  <c r="H3358"/>
  <c r="J3358" s="1"/>
  <c r="I3358"/>
  <c r="H3359"/>
  <c r="J3359" s="1"/>
  <c r="I3359"/>
  <c r="H3360"/>
  <c r="J3360" s="1"/>
  <c r="I3360"/>
  <c r="H3361"/>
  <c r="I3361"/>
  <c r="J3361"/>
  <c r="H3362"/>
  <c r="J3362" s="1"/>
  <c r="I3362"/>
  <c r="H3363"/>
  <c r="J3363" s="1"/>
  <c r="I3363"/>
  <c r="H3364"/>
  <c r="J3364" s="1"/>
  <c r="I3364"/>
  <c r="H3365"/>
  <c r="J3365" s="1"/>
  <c r="I3365"/>
  <c r="H3366"/>
  <c r="J3366" s="1"/>
  <c r="I3366"/>
  <c r="H3367"/>
  <c r="J3367" s="1"/>
  <c r="I3367"/>
  <c r="H3368"/>
  <c r="J3368" s="1"/>
  <c r="I3368"/>
  <c r="H3369"/>
  <c r="J3369" s="1"/>
  <c r="I3369"/>
  <c r="H3370"/>
  <c r="I3370"/>
  <c r="J3370"/>
  <c r="H3371"/>
  <c r="J3371" s="1"/>
  <c r="I3371"/>
  <c r="H3372"/>
  <c r="I3372"/>
  <c r="J3372"/>
  <c r="H3373"/>
  <c r="J3373" s="1"/>
  <c r="I3373"/>
  <c r="H3374"/>
  <c r="J3374" s="1"/>
  <c r="I3374"/>
  <c r="H3375"/>
  <c r="J3375" s="1"/>
  <c r="I3375"/>
  <c r="H3376"/>
  <c r="J3376" s="1"/>
  <c r="I3376"/>
  <c r="H3377"/>
  <c r="J3377" s="1"/>
  <c r="I3377"/>
  <c r="H3378"/>
  <c r="I3378"/>
  <c r="J3378"/>
  <c r="H3379"/>
  <c r="J3379" s="1"/>
  <c r="I3379"/>
  <c r="H3380"/>
  <c r="I3380"/>
  <c r="J3380"/>
  <c r="H3381"/>
  <c r="J3381" s="1"/>
  <c r="I3381"/>
  <c r="H3382"/>
  <c r="I3382"/>
  <c r="J3382"/>
  <c r="H3383"/>
  <c r="J3383" s="1"/>
  <c r="I3383"/>
  <c r="H3384"/>
  <c r="J3384" s="1"/>
  <c r="I3384"/>
  <c r="H3385"/>
  <c r="J3385" s="1"/>
  <c r="I3385"/>
  <c r="H3386"/>
  <c r="I3386"/>
  <c r="J3386"/>
  <c r="H3387"/>
  <c r="J3387" s="1"/>
  <c r="I3387"/>
  <c r="H3388"/>
  <c r="I3388"/>
  <c r="J3388"/>
  <c r="H3389"/>
  <c r="J3389" s="1"/>
  <c r="I3389"/>
  <c r="H3390"/>
  <c r="I3390"/>
  <c r="J3390"/>
  <c r="H3391"/>
  <c r="J3391" s="1"/>
  <c r="I3391"/>
  <c r="H3392"/>
  <c r="J3392" s="1"/>
  <c r="I3392"/>
  <c r="H3393"/>
  <c r="J3393" s="1"/>
  <c r="I3393"/>
  <c r="H3394"/>
  <c r="I3394"/>
  <c r="J3394"/>
  <c r="H3395"/>
  <c r="J3395" s="1"/>
  <c r="I3395"/>
  <c r="H3396"/>
  <c r="I3396"/>
  <c r="J3396"/>
  <c r="H3397"/>
  <c r="J3397" s="1"/>
  <c r="I3397"/>
  <c r="H3398"/>
  <c r="J3398" s="1"/>
  <c r="I3398"/>
  <c r="H3399"/>
  <c r="I3399"/>
  <c r="J3399"/>
  <c r="H3400"/>
  <c r="J3400" s="1"/>
  <c r="I3400"/>
  <c r="H3401"/>
  <c r="J3401" s="1"/>
  <c r="I3401"/>
  <c r="H3402"/>
  <c r="J3402" s="1"/>
  <c r="I3402"/>
  <c r="H3403"/>
  <c r="J3403" s="1"/>
  <c r="I3403"/>
  <c r="H3404"/>
  <c r="J3404" s="1"/>
  <c r="I3404"/>
  <c r="H3405"/>
  <c r="J3405" s="1"/>
  <c r="I3405"/>
  <c r="H3406"/>
  <c r="I3406"/>
  <c r="J3406"/>
  <c r="H3407"/>
  <c r="J3407" s="1"/>
  <c r="I3407"/>
  <c r="H3408"/>
  <c r="I3408"/>
  <c r="J3408"/>
  <c r="H3409"/>
  <c r="J3409" s="1"/>
  <c r="I3409"/>
  <c r="H3410"/>
  <c r="I3410"/>
  <c r="J3410"/>
  <c r="H3411"/>
  <c r="J3411" s="1"/>
  <c r="I3411"/>
  <c r="H3412"/>
  <c r="J3412" s="1"/>
  <c r="I3412"/>
  <c r="H3413"/>
  <c r="J3413" s="1"/>
  <c r="I3413"/>
  <c r="H3414"/>
  <c r="I3414"/>
  <c r="J3414"/>
  <c r="H3415"/>
  <c r="I3415"/>
  <c r="J3415"/>
  <c r="H3416"/>
  <c r="I3416"/>
  <c r="J3416"/>
  <c r="H3417"/>
  <c r="J3417" s="1"/>
  <c r="I3417"/>
  <c r="H3418"/>
  <c r="J3418" s="1"/>
  <c r="I3418"/>
  <c r="H3419"/>
  <c r="I3419"/>
  <c r="J3419"/>
  <c r="H3420"/>
  <c r="J3420" s="1"/>
  <c r="I3420"/>
  <c r="H3421"/>
  <c r="I3421"/>
  <c r="J3421"/>
  <c r="H3422"/>
  <c r="J3422" s="1"/>
  <c r="I3422"/>
  <c r="H3423"/>
  <c r="J3423" s="1"/>
  <c r="I3423"/>
  <c r="H3424"/>
  <c r="J3424" s="1"/>
  <c r="I3424"/>
  <c r="H3425"/>
  <c r="J3425" s="1"/>
  <c r="I3425"/>
  <c r="H3426"/>
  <c r="I3426"/>
  <c r="J3426"/>
  <c r="H3427"/>
  <c r="J3427" s="1"/>
  <c r="I3427"/>
  <c r="H3428"/>
  <c r="J3428" s="1"/>
  <c r="I3428"/>
  <c r="H3429"/>
  <c r="J3429" s="1"/>
  <c r="I3429"/>
  <c r="H3430"/>
  <c r="I3430"/>
  <c r="J3430"/>
  <c r="H3431"/>
  <c r="J3431" s="1"/>
  <c r="I3431"/>
  <c r="H3432"/>
  <c r="J3432" s="1"/>
  <c r="I3432"/>
  <c r="H3433"/>
  <c r="I3433"/>
  <c r="J3433"/>
  <c r="H3434"/>
  <c r="J3434" s="1"/>
  <c r="I3434"/>
  <c r="H3435"/>
  <c r="J3435" s="1"/>
  <c r="I3435"/>
  <c r="H3436"/>
  <c r="J3436" s="1"/>
  <c r="I3436"/>
  <c r="H3437"/>
  <c r="I3437"/>
  <c r="J3437"/>
  <c r="H3438"/>
  <c r="J3438" s="1"/>
  <c r="I3438"/>
  <c r="H3439"/>
  <c r="I3439"/>
  <c r="J3439"/>
  <c r="H3440"/>
  <c r="J3440" s="1"/>
  <c r="I3440"/>
  <c r="H3441"/>
  <c r="I3441"/>
  <c r="J3441"/>
  <c r="H3442"/>
  <c r="J3442" s="1"/>
  <c r="I3442"/>
  <c r="H3443"/>
  <c r="I3443"/>
  <c r="J3443"/>
  <c r="H3444"/>
  <c r="I3444"/>
  <c r="J3444"/>
  <c r="H3445"/>
  <c r="J3445" s="1"/>
  <c r="I3445"/>
  <c r="H3446"/>
  <c r="J3446" s="1"/>
  <c r="I3446"/>
  <c r="H3447"/>
  <c r="I3447"/>
  <c r="J3447"/>
  <c r="H3448"/>
  <c r="J3448" s="1"/>
  <c r="I3448"/>
  <c r="H3449"/>
  <c r="J3449" s="1"/>
  <c r="I3449"/>
  <c r="H3450"/>
  <c r="J3450" s="1"/>
  <c r="I3450"/>
  <c r="H3451"/>
  <c r="J3451" s="1"/>
  <c r="I3451"/>
  <c r="H3452"/>
  <c r="J3452" s="1"/>
  <c r="I3452"/>
  <c r="H3453"/>
  <c r="J3453" s="1"/>
  <c r="I3453"/>
  <c r="H3454"/>
  <c r="J3454" s="1"/>
  <c r="I3454"/>
  <c r="H3455"/>
  <c r="J3455" s="1"/>
  <c r="I3455"/>
  <c r="H3456"/>
  <c r="I3456"/>
  <c r="J3456"/>
  <c r="H3457"/>
  <c r="J3457" s="1"/>
  <c r="I3457"/>
  <c r="H3458"/>
  <c r="I3458"/>
  <c r="J3458"/>
  <c r="H3459"/>
  <c r="J3459" s="1"/>
  <c r="I3459"/>
  <c r="H3460"/>
  <c r="J3460" s="1"/>
  <c r="I3460"/>
  <c r="H3461"/>
  <c r="J3461" s="1"/>
  <c r="I3461"/>
  <c r="H3462"/>
  <c r="I3462"/>
  <c r="J3462"/>
  <c r="H3463"/>
  <c r="J3463" s="1"/>
  <c r="I3463"/>
  <c r="H3464"/>
  <c r="I3464"/>
  <c r="J3464"/>
  <c r="H3465"/>
  <c r="J3465" s="1"/>
  <c r="I3465"/>
  <c r="H3466"/>
  <c r="I3466"/>
  <c r="J3466"/>
  <c r="H3467"/>
  <c r="J3467" s="1"/>
  <c r="I3467"/>
  <c r="H3468"/>
  <c r="I3468"/>
  <c r="J3468"/>
  <c r="H3469"/>
  <c r="J3469" s="1"/>
  <c r="I3469"/>
  <c r="H3470"/>
  <c r="I3470"/>
  <c r="J3470"/>
  <c r="H3471"/>
  <c r="J3471" s="1"/>
  <c r="I3471"/>
  <c r="H3472"/>
  <c r="J3472" s="1"/>
  <c r="I3472"/>
  <c r="H3473"/>
  <c r="J3473" s="1"/>
  <c r="I3473"/>
  <c r="H3474"/>
  <c r="I3474"/>
  <c r="J3474"/>
  <c r="H3475"/>
  <c r="J3475" s="1"/>
  <c r="I3475"/>
  <c r="H3476"/>
  <c r="I3476"/>
  <c r="J3476"/>
  <c r="H3477"/>
  <c r="J3477" s="1"/>
  <c r="I3477"/>
  <c r="H3478"/>
  <c r="I3478"/>
  <c r="J3478"/>
  <c r="H3479"/>
  <c r="J3479" s="1"/>
  <c r="I3479"/>
  <c r="H3480"/>
  <c r="J3480" s="1"/>
  <c r="I3480"/>
  <c r="H3481"/>
  <c r="J3481" s="1"/>
  <c r="I3481"/>
  <c r="H3482"/>
  <c r="I3482"/>
  <c r="J3482"/>
  <c r="H3483"/>
  <c r="J3483" s="1"/>
  <c r="I3483"/>
  <c r="H3484"/>
  <c r="J3484" s="1"/>
  <c r="I3484"/>
  <c r="H3485"/>
  <c r="J3485" s="1"/>
  <c r="I3485"/>
  <c r="H3486"/>
  <c r="I3486"/>
  <c r="J3486"/>
  <c r="H3487"/>
  <c r="J3487" s="1"/>
  <c r="I3487"/>
  <c r="H3488"/>
  <c r="J3488" s="1"/>
  <c r="I3488"/>
  <c r="H3489"/>
  <c r="J3489" s="1"/>
  <c r="I3489"/>
  <c r="H3490"/>
  <c r="J3490" s="1"/>
  <c r="I3490"/>
  <c r="H3491"/>
  <c r="J3491" s="1"/>
  <c r="I3491"/>
  <c r="H3492"/>
  <c r="J3492" s="1"/>
  <c r="I3492"/>
  <c r="H3493"/>
  <c r="I3493"/>
  <c r="J3493"/>
  <c r="H3494"/>
  <c r="J3494" s="1"/>
  <c r="I3494"/>
  <c r="H3495"/>
  <c r="J3495" s="1"/>
  <c r="I3495"/>
  <c r="H3496"/>
  <c r="J3496" s="1"/>
  <c r="I3496"/>
  <c r="H3497"/>
  <c r="J3497" s="1"/>
  <c r="I3497"/>
  <c r="H3498"/>
  <c r="J3498" s="1"/>
  <c r="I3498"/>
  <c r="H3499"/>
  <c r="I3499"/>
  <c r="J3499"/>
  <c r="H3500"/>
  <c r="J3500" s="1"/>
  <c r="I3500"/>
  <c r="H3501"/>
  <c r="I3501"/>
  <c r="J3501"/>
  <c r="H3502"/>
  <c r="I3502"/>
  <c r="J3502"/>
  <c r="H3503"/>
  <c r="J3503" s="1"/>
  <c r="I3503"/>
  <c r="H3504"/>
  <c r="J3504" s="1"/>
  <c r="I3504"/>
  <c r="H3505"/>
  <c r="J3505" s="1"/>
  <c r="I3505"/>
  <c r="H3506"/>
  <c r="J3506" s="1"/>
  <c r="I3506"/>
  <c r="H3507"/>
  <c r="J3507" s="1"/>
  <c r="I3507"/>
  <c r="H3508"/>
  <c r="I3508"/>
  <c r="J3508"/>
  <c r="H3509"/>
  <c r="J3509" s="1"/>
  <c r="I3509"/>
  <c r="H3510"/>
  <c r="J3510" s="1"/>
  <c r="I3510"/>
  <c r="H3511"/>
  <c r="J3511" s="1"/>
  <c r="I3511"/>
  <c r="H3512"/>
  <c r="I3512"/>
  <c r="J3512"/>
  <c r="H3513"/>
  <c r="J3513" s="1"/>
  <c r="I3513"/>
  <c r="H3514"/>
  <c r="J3514" s="1"/>
  <c r="I3514"/>
  <c r="H3515"/>
  <c r="J3515" s="1"/>
  <c r="I3515"/>
  <c r="H3516"/>
  <c r="J3516" s="1"/>
  <c r="I3516"/>
  <c r="H3517"/>
  <c r="J3517" s="1"/>
  <c r="I3517"/>
  <c r="H3518"/>
  <c r="I3518"/>
  <c r="J3518"/>
  <c r="H3519"/>
  <c r="J3519" s="1"/>
  <c r="I3519"/>
  <c r="H3520"/>
  <c r="I3520"/>
  <c r="J3520"/>
  <c r="H3521"/>
  <c r="J3521" s="1"/>
  <c r="I3521"/>
  <c r="H3522"/>
  <c r="I3522"/>
  <c r="J3522"/>
  <c r="H3523"/>
  <c r="J3523" s="1"/>
  <c r="I3523"/>
  <c r="H3524"/>
  <c r="J3524" s="1"/>
  <c r="I3524"/>
  <c r="H3525"/>
  <c r="J3525" s="1"/>
  <c r="I3525"/>
  <c r="H3526"/>
  <c r="I3526"/>
  <c r="J3526"/>
  <c r="H3527"/>
  <c r="J3527" s="1"/>
  <c r="I3527"/>
  <c r="H3528"/>
  <c r="I3528"/>
  <c r="J3528"/>
  <c r="H3529"/>
  <c r="J3529" s="1"/>
  <c r="I3529"/>
  <c r="H3530"/>
  <c r="J3530" s="1"/>
  <c r="I3530"/>
  <c r="H3531"/>
  <c r="I3531"/>
  <c r="J3531"/>
  <c r="H3532"/>
  <c r="J3532" s="1"/>
  <c r="I3532"/>
  <c r="H3533"/>
  <c r="J3533" s="1"/>
  <c r="I3533"/>
  <c r="H3534"/>
  <c r="J3534" s="1"/>
  <c r="I3534"/>
  <c r="H3535"/>
  <c r="J3535" s="1"/>
  <c r="I3535"/>
  <c r="H3536"/>
  <c r="J3536" s="1"/>
  <c r="I3536"/>
  <c r="H3537"/>
  <c r="J3537" s="1"/>
  <c r="I3537"/>
  <c r="H3538"/>
  <c r="J3538" s="1"/>
  <c r="I3538"/>
  <c r="H3539"/>
  <c r="J3539" s="1"/>
  <c r="I3539"/>
  <c r="H3540"/>
  <c r="J3540" s="1"/>
  <c r="I3540"/>
  <c r="H3541"/>
  <c r="J3541" s="1"/>
  <c r="I3541"/>
  <c r="H3542"/>
  <c r="J3542" s="1"/>
  <c r="I3542"/>
  <c r="H3543"/>
  <c r="J3543" s="1"/>
  <c r="I3543"/>
  <c r="H3544"/>
  <c r="I3544"/>
  <c r="J3544"/>
  <c r="H3545"/>
  <c r="J3545" s="1"/>
  <c r="I3545"/>
  <c r="H3546"/>
  <c r="I3546"/>
  <c r="J3546"/>
  <c r="H3547"/>
  <c r="J3547" s="1"/>
  <c r="I3547"/>
  <c r="H3548"/>
  <c r="I3548"/>
  <c r="J3548"/>
  <c r="H3549"/>
  <c r="J3549" s="1"/>
  <c r="I3549"/>
  <c r="H3550"/>
  <c r="J3550" s="1"/>
  <c r="I3550"/>
  <c r="H3551"/>
  <c r="J3551" s="1"/>
  <c r="I3551"/>
  <c r="H3552"/>
  <c r="I3552"/>
  <c r="J3552"/>
  <c r="H3553"/>
  <c r="I3553"/>
  <c r="J3553"/>
  <c r="H3554"/>
  <c r="J3554" s="1"/>
  <c r="I3554"/>
  <c r="H3555"/>
  <c r="J3555" s="1"/>
  <c r="I3555"/>
  <c r="H3556"/>
  <c r="J3556" s="1"/>
  <c r="I3556"/>
  <c r="H3557"/>
  <c r="J3557" s="1"/>
  <c r="I3557"/>
  <c r="H3558"/>
  <c r="J3558" s="1"/>
  <c r="I3558"/>
  <c r="H3559"/>
  <c r="J3559" s="1"/>
  <c r="I3559"/>
  <c r="H3560"/>
  <c r="I3560"/>
  <c r="J3560"/>
  <c r="H3561"/>
  <c r="J3561" s="1"/>
  <c r="I3561"/>
  <c r="H3562"/>
  <c r="J3562" s="1"/>
  <c r="I3562"/>
  <c r="H3563"/>
  <c r="J3563" s="1"/>
  <c r="I3563"/>
  <c r="H3564"/>
  <c r="J3564" s="1"/>
  <c r="I3564"/>
  <c r="H3565"/>
  <c r="J3565" s="1"/>
  <c r="I3565"/>
  <c r="H3566"/>
  <c r="I3566"/>
  <c r="J3566"/>
  <c r="H3567"/>
  <c r="J3567" s="1"/>
  <c r="I3567"/>
  <c r="H3568"/>
  <c r="I3568"/>
  <c r="J3568"/>
  <c r="H3569"/>
  <c r="J3569" s="1"/>
  <c r="I3569"/>
  <c r="H3570"/>
  <c r="J3570" s="1"/>
  <c r="I3570"/>
  <c r="H3571"/>
  <c r="I3571"/>
  <c r="J3571"/>
  <c r="H3572"/>
  <c r="J3572" s="1"/>
  <c r="I3572"/>
  <c r="H3573"/>
  <c r="I3573"/>
  <c r="J3573"/>
  <c r="H3574"/>
  <c r="J3574" s="1"/>
  <c r="I3574"/>
  <c r="H3575"/>
  <c r="I3575"/>
  <c r="J3575"/>
  <c r="H3576"/>
  <c r="J3576" s="1"/>
  <c r="I3576"/>
  <c r="H3577"/>
  <c r="I3577"/>
  <c r="J3577"/>
  <c r="H3578"/>
  <c r="J3578" s="1"/>
  <c r="I3578"/>
  <c r="H3579"/>
  <c r="J3579" s="1"/>
  <c r="I3579"/>
  <c r="H3580"/>
  <c r="J3580" s="1"/>
  <c r="I3580"/>
  <c r="H3581"/>
  <c r="I3581"/>
  <c r="J3581"/>
  <c r="H3582"/>
  <c r="J3582" s="1"/>
  <c r="I3582"/>
  <c r="H3583"/>
  <c r="J3583" s="1"/>
  <c r="I3583"/>
  <c r="H3584"/>
  <c r="J3584" s="1"/>
  <c r="I3584"/>
  <c r="H3585"/>
  <c r="J3585" s="1"/>
  <c r="I3585"/>
  <c r="H3586"/>
  <c r="J3586" s="1"/>
  <c r="I3586"/>
  <c r="H3587"/>
  <c r="J3587" s="1"/>
  <c r="I3587"/>
  <c r="H3588"/>
  <c r="I3588"/>
  <c r="J3588"/>
  <c r="H3589"/>
  <c r="J3589" s="1"/>
  <c r="I3589"/>
  <c r="H3590"/>
  <c r="J3590" s="1"/>
  <c r="I3590"/>
  <c r="H3591"/>
  <c r="J3591" s="1"/>
  <c r="I3591"/>
  <c r="H3592"/>
  <c r="J3592" s="1"/>
  <c r="I3592"/>
  <c r="H3593"/>
  <c r="J3593" s="1"/>
  <c r="I3593"/>
  <c r="H3594"/>
  <c r="J3594" s="1"/>
  <c r="I3594"/>
  <c r="H3595"/>
  <c r="J3595" s="1"/>
  <c r="I3595"/>
  <c r="H3596"/>
  <c r="J3596" s="1"/>
  <c r="I3596"/>
  <c r="H3597"/>
  <c r="I3597"/>
  <c r="J3597"/>
  <c r="H3598"/>
  <c r="J3598" s="1"/>
  <c r="I3598"/>
  <c r="H3599"/>
  <c r="J3599" s="1"/>
  <c r="I3599"/>
  <c r="H3600"/>
  <c r="I3600"/>
  <c r="J3600"/>
  <c r="H3601"/>
  <c r="J3601" s="1"/>
  <c r="I3601"/>
  <c r="H3602"/>
  <c r="J3602" s="1"/>
  <c r="I3602"/>
  <c r="H3603"/>
  <c r="J3603" s="1"/>
  <c r="I3603"/>
  <c r="H3604"/>
  <c r="J3604" s="1"/>
  <c r="I3604"/>
  <c r="H3605"/>
  <c r="J3605" s="1"/>
  <c r="I3605"/>
  <c r="H3606"/>
  <c r="J3606" s="1"/>
  <c r="I3606"/>
  <c r="H3607"/>
  <c r="J3607" s="1"/>
  <c r="I3607"/>
  <c r="H3608"/>
  <c r="J3608" s="1"/>
  <c r="I3608"/>
  <c r="H3609"/>
  <c r="I3609"/>
  <c r="J3609"/>
  <c r="H3610"/>
  <c r="J3610" s="1"/>
  <c r="I3610"/>
  <c r="H3611"/>
  <c r="I3611"/>
  <c r="J3611"/>
  <c r="H3612"/>
  <c r="J3612" s="1"/>
  <c r="I3612"/>
  <c r="H3613"/>
  <c r="J3613" s="1"/>
  <c r="I3613"/>
  <c r="H3614"/>
  <c r="J3614" s="1"/>
  <c r="I3614"/>
  <c r="H3615"/>
  <c r="J3615" s="1"/>
  <c r="I3615"/>
  <c r="H3616"/>
  <c r="J3616" s="1"/>
  <c r="I3616"/>
  <c r="H3617"/>
  <c r="J3617" s="1"/>
  <c r="I3617"/>
  <c r="H3618"/>
  <c r="J3618" s="1"/>
  <c r="I3618"/>
  <c r="H3619"/>
  <c r="J3619" s="1"/>
  <c r="I3619"/>
  <c r="H3620"/>
  <c r="J3620" s="1"/>
  <c r="I3620"/>
  <c r="H3621"/>
  <c r="J3621" s="1"/>
  <c r="I3621"/>
  <c r="H3622"/>
  <c r="J3622" s="1"/>
  <c r="I3622"/>
  <c r="H3623"/>
  <c r="I3623"/>
  <c r="J3623"/>
  <c r="H3624"/>
  <c r="J3624" s="1"/>
  <c r="I3624"/>
  <c r="H3625"/>
  <c r="I3625"/>
  <c r="J3625"/>
  <c r="H3626"/>
  <c r="J3626" s="1"/>
  <c r="I3626"/>
  <c r="H3627"/>
  <c r="I3627"/>
  <c r="J3627"/>
  <c r="H3628"/>
  <c r="J3628" s="1"/>
  <c r="I3628"/>
  <c r="H3629"/>
  <c r="I3629"/>
  <c r="J3629"/>
  <c r="H3630"/>
  <c r="J3630" s="1"/>
  <c r="I3630"/>
  <c r="H3631"/>
  <c r="I3631"/>
  <c r="J3631"/>
  <c r="H3632"/>
  <c r="J3632" s="1"/>
  <c r="I3632"/>
  <c r="H3633"/>
  <c r="I3633"/>
  <c r="J3633"/>
  <c r="H3634"/>
  <c r="J3634" s="1"/>
  <c r="I3634"/>
  <c r="H3635"/>
  <c r="I3635"/>
  <c r="J3635"/>
  <c r="H3636"/>
  <c r="J3636" s="1"/>
  <c r="I3636"/>
  <c r="H3637"/>
  <c r="I3637"/>
  <c r="J3637"/>
  <c r="H3638"/>
  <c r="J3638" s="1"/>
  <c r="I3638"/>
  <c r="H3639"/>
  <c r="J3639" s="1"/>
  <c r="I3639"/>
  <c r="H3640"/>
  <c r="J3640" s="1"/>
  <c r="I3640"/>
  <c r="H3641"/>
  <c r="J3641" s="1"/>
  <c r="I3641"/>
  <c r="H3642"/>
  <c r="J3642" s="1"/>
  <c r="I3642"/>
  <c r="H3643"/>
  <c r="J3643" s="1"/>
  <c r="I3643"/>
  <c r="H3644"/>
  <c r="J3644" s="1"/>
  <c r="I3644"/>
  <c r="H3645"/>
  <c r="J3645" s="1"/>
  <c r="I3645"/>
  <c r="H3646"/>
  <c r="J3646" s="1"/>
  <c r="I3646"/>
  <c r="H3647"/>
  <c r="I3647"/>
  <c r="J3647"/>
  <c r="H3648"/>
  <c r="J3648" s="1"/>
  <c r="I3648"/>
  <c r="H3649"/>
  <c r="I3649"/>
  <c r="J3649"/>
  <c r="H3650"/>
  <c r="J3650" s="1"/>
  <c r="I3650"/>
  <c r="H3651"/>
  <c r="I3651"/>
  <c r="J3651"/>
  <c r="H3652"/>
  <c r="J3652" s="1"/>
  <c r="I3652"/>
  <c r="H3653"/>
  <c r="J3653" s="1"/>
  <c r="I3653"/>
  <c r="H3654"/>
  <c r="J3654" s="1"/>
  <c r="I3654"/>
  <c r="H3655"/>
  <c r="I3655"/>
  <c r="J3655"/>
  <c r="H3656"/>
  <c r="J3656" s="1"/>
  <c r="I3656"/>
  <c r="H3657"/>
  <c r="J3657" s="1"/>
  <c r="I3657"/>
  <c r="H3658"/>
  <c r="J3658" s="1"/>
  <c r="I3658"/>
  <c r="H3659"/>
  <c r="J3659" s="1"/>
  <c r="I3659"/>
  <c r="H3660"/>
  <c r="J3660" s="1"/>
  <c r="I3660"/>
  <c r="H3661"/>
  <c r="I3661"/>
  <c r="J3661"/>
  <c r="H3662"/>
  <c r="J3662" s="1"/>
  <c r="I3662"/>
  <c r="H3663"/>
  <c r="I3663"/>
  <c r="J3663"/>
  <c r="H3664"/>
  <c r="J3664" s="1"/>
  <c r="I3664"/>
  <c r="H3665"/>
  <c r="I3665"/>
  <c r="J3665"/>
  <c r="H3666"/>
  <c r="J3666" s="1"/>
  <c r="I3666"/>
  <c r="H3667"/>
  <c r="J3667" s="1"/>
  <c r="I3667"/>
  <c r="H3668"/>
  <c r="J3668" s="1"/>
  <c r="I3668"/>
  <c r="H3669"/>
  <c r="I3669"/>
  <c r="J3669"/>
  <c r="H3670"/>
  <c r="J3670" s="1"/>
  <c r="I3670"/>
  <c r="H3671"/>
  <c r="I3671"/>
  <c r="J3671"/>
  <c r="H3672"/>
  <c r="J3672" s="1"/>
  <c r="I3672"/>
  <c r="H3673"/>
  <c r="I3673"/>
  <c r="J3673"/>
  <c r="H3674"/>
  <c r="J3674" s="1"/>
  <c r="I3674"/>
  <c r="H3675"/>
  <c r="I3675"/>
  <c r="J3675"/>
  <c r="H3676"/>
  <c r="J3676" s="1"/>
  <c r="I3676"/>
  <c r="H3677"/>
  <c r="I3677"/>
  <c r="J3677"/>
  <c r="H3678"/>
  <c r="I3678"/>
  <c r="J3678"/>
  <c r="H3679"/>
  <c r="J3679" s="1"/>
  <c r="I3679"/>
  <c r="H3680"/>
  <c r="J3680" s="1"/>
  <c r="I3680"/>
  <c r="H3681"/>
  <c r="J3681" s="1"/>
  <c r="I3681"/>
  <c r="H3682"/>
  <c r="J3682" s="1"/>
  <c r="I3682"/>
  <c r="H3683"/>
  <c r="J3683" s="1"/>
  <c r="I3683"/>
  <c r="H3684"/>
  <c r="J3684" s="1"/>
  <c r="I3684"/>
  <c r="H3685"/>
  <c r="I3685"/>
  <c r="J3685"/>
  <c r="H3686"/>
  <c r="J3686" s="1"/>
  <c r="I3686"/>
  <c r="H3687"/>
  <c r="I3687"/>
  <c r="J3687"/>
  <c r="H3688"/>
  <c r="J3688" s="1"/>
  <c r="I3688"/>
  <c r="H3689"/>
  <c r="I3689"/>
  <c r="J3689"/>
  <c r="H3690"/>
  <c r="J3690" s="1"/>
  <c r="I3690"/>
  <c r="H3691"/>
  <c r="J3691" s="1"/>
  <c r="I3691"/>
  <c r="H3692"/>
  <c r="J3692" s="1"/>
  <c r="I3692"/>
  <c r="H3693"/>
  <c r="J3693" s="1"/>
  <c r="I3693"/>
  <c r="H3694"/>
  <c r="J3694" s="1"/>
  <c r="I3694"/>
  <c r="H3695"/>
  <c r="J3695" s="1"/>
  <c r="I3695"/>
  <c r="H3696"/>
  <c r="I3696"/>
  <c r="J3696"/>
  <c r="H3697"/>
  <c r="J3697" s="1"/>
  <c r="I3697"/>
  <c r="H3698"/>
  <c r="J3698" s="1"/>
  <c r="I3698"/>
  <c r="H3699"/>
  <c r="I3699"/>
  <c r="J3699"/>
  <c r="H3700"/>
  <c r="J3700" s="1"/>
  <c r="I3700"/>
  <c r="H3701"/>
  <c r="I3701"/>
  <c r="J3701"/>
  <c r="H3702"/>
  <c r="I3702"/>
  <c r="J3702"/>
  <c r="H3703"/>
  <c r="J3703" s="1"/>
  <c r="I3703"/>
  <c r="H3704"/>
  <c r="J3704" s="1"/>
  <c r="I3704"/>
  <c r="H3705"/>
  <c r="J3705" s="1"/>
  <c r="I3705"/>
  <c r="H3706"/>
  <c r="I3706"/>
  <c r="J3706"/>
  <c r="H3707"/>
  <c r="J3707" s="1"/>
  <c r="I3707"/>
  <c r="H3708"/>
  <c r="I3708"/>
  <c r="J3708"/>
  <c r="H3709"/>
  <c r="J3709" s="1"/>
  <c r="I3709"/>
  <c r="H3710"/>
  <c r="J3710" s="1"/>
  <c r="I3710"/>
  <c r="H3711"/>
  <c r="J3711" s="1"/>
  <c r="I3711"/>
  <c r="H3712"/>
  <c r="J3712" s="1"/>
  <c r="I3712"/>
  <c r="H3713"/>
  <c r="I3713"/>
  <c r="J3713"/>
  <c r="H3714"/>
  <c r="J3714" s="1"/>
  <c r="I3714"/>
  <c r="H3715"/>
  <c r="I3715"/>
  <c r="J3715"/>
  <c r="H3716"/>
  <c r="J3716" s="1"/>
  <c r="I3716"/>
  <c r="H3717"/>
  <c r="J3717" s="1"/>
  <c r="I3717"/>
  <c r="H3718"/>
  <c r="J3718" s="1"/>
  <c r="I3718"/>
  <c r="H3719"/>
  <c r="J3719" s="1"/>
  <c r="I3719"/>
  <c r="H3720"/>
  <c r="J3720" s="1"/>
  <c r="I3720"/>
  <c r="H3721"/>
  <c r="I3721"/>
  <c r="J3721"/>
  <c r="H3722"/>
  <c r="J3722" s="1"/>
  <c r="I3722"/>
  <c r="H3723"/>
  <c r="I3723"/>
  <c r="J3723"/>
  <c r="H3724"/>
  <c r="J3724" s="1"/>
  <c r="I3724"/>
  <c r="H3725"/>
  <c r="J3725" s="1"/>
  <c r="I3725"/>
  <c r="H3726"/>
  <c r="J3726" s="1"/>
  <c r="I3726"/>
  <c r="H3727"/>
  <c r="I3727"/>
  <c r="J3727"/>
  <c r="H3728"/>
  <c r="J3728" s="1"/>
  <c r="I3728"/>
  <c r="H3729"/>
  <c r="J3729" s="1"/>
  <c r="I3729"/>
  <c r="H3730"/>
  <c r="I3730"/>
  <c r="J3730"/>
  <c r="H3731"/>
  <c r="J3731" s="1"/>
  <c r="I3731"/>
  <c r="H3732"/>
  <c r="J3732" s="1"/>
  <c r="I3732"/>
  <c r="H3733"/>
  <c r="J3733" s="1"/>
  <c r="I3733"/>
  <c r="H3734"/>
  <c r="J3734" s="1"/>
  <c r="I3734"/>
  <c r="H3735"/>
  <c r="J3735" s="1"/>
  <c r="I3735"/>
  <c r="H3736"/>
  <c r="J3736" s="1"/>
  <c r="I3736"/>
  <c r="H3737"/>
  <c r="I3737"/>
  <c r="J3737"/>
  <c r="H3738"/>
  <c r="J3738" s="1"/>
  <c r="I3738"/>
  <c r="H3739"/>
  <c r="I3739"/>
  <c r="J3739"/>
  <c r="H3740"/>
  <c r="J3740" s="1"/>
  <c r="I3740"/>
  <c r="H3741"/>
  <c r="I3741"/>
  <c r="J3741"/>
  <c r="H3742"/>
  <c r="J3742" s="1"/>
  <c r="I3742"/>
  <c r="H3743"/>
  <c r="I3743"/>
  <c r="J3743"/>
  <c r="H3744"/>
  <c r="J3744" s="1"/>
  <c r="I3744"/>
  <c r="H3745"/>
  <c r="I3745"/>
  <c r="J3745"/>
  <c r="H3746"/>
  <c r="J3746" s="1"/>
  <c r="I3746"/>
  <c r="H3747"/>
  <c r="I3747"/>
  <c r="J3747"/>
  <c r="H3748"/>
  <c r="J3748" s="1"/>
  <c r="I3748"/>
  <c r="H3749"/>
  <c r="I3749"/>
  <c r="J3749"/>
  <c r="H3750"/>
  <c r="J3750" s="1"/>
  <c r="I3750"/>
  <c r="H3751"/>
  <c r="I3751"/>
  <c r="J3751"/>
  <c r="H3752"/>
  <c r="J3752" s="1"/>
  <c r="I3752"/>
  <c r="H3753"/>
  <c r="J3753" s="1"/>
  <c r="I3753"/>
  <c r="H3754"/>
  <c r="I3754"/>
  <c r="J3754"/>
  <c r="H3755"/>
  <c r="J3755" s="1"/>
  <c r="I3755"/>
  <c r="H3756"/>
  <c r="J3756" s="1"/>
  <c r="I3756"/>
  <c r="H3757"/>
  <c r="J3757" s="1"/>
  <c r="I3757"/>
  <c r="H3758"/>
  <c r="I3758"/>
  <c r="J3758"/>
  <c r="H3759"/>
  <c r="J3759" s="1"/>
  <c r="I3759"/>
  <c r="H3760"/>
  <c r="J3760" s="1"/>
  <c r="I3760"/>
  <c r="H3761"/>
  <c r="J3761" s="1"/>
  <c r="I3761"/>
  <c r="H3762"/>
  <c r="J3762" s="1"/>
  <c r="I3762"/>
  <c r="H3763"/>
  <c r="I3763"/>
  <c r="J3763"/>
  <c r="H3764"/>
  <c r="J3764" s="1"/>
  <c r="I3764"/>
  <c r="H3765"/>
  <c r="I3765"/>
  <c r="J3765"/>
  <c r="H3766"/>
  <c r="J3766" s="1"/>
  <c r="I3766"/>
  <c r="H3767"/>
  <c r="I3767"/>
  <c r="J3767"/>
  <c r="H3768"/>
  <c r="J3768" s="1"/>
  <c r="I3768"/>
  <c r="H3769"/>
  <c r="J3769" s="1"/>
  <c r="I3769"/>
  <c r="H3770"/>
  <c r="J3770" s="1"/>
  <c r="I3770"/>
  <c r="H3771"/>
  <c r="J3771" s="1"/>
  <c r="I3771"/>
  <c r="H3772"/>
  <c r="J3772" s="1"/>
  <c r="I3772"/>
  <c r="H3773"/>
  <c r="J3773" s="1"/>
  <c r="I3773"/>
  <c r="H3774"/>
  <c r="J3774" s="1"/>
  <c r="I3774"/>
  <c r="H3775"/>
  <c r="I3775"/>
  <c r="J3775"/>
  <c r="H3776"/>
  <c r="J3776" s="1"/>
  <c r="I3776"/>
  <c r="H3777"/>
  <c r="I3777"/>
  <c r="J3777"/>
  <c r="H3778"/>
  <c r="J3778" s="1"/>
  <c r="I3778"/>
  <c r="H3779"/>
  <c r="J3779" s="1"/>
  <c r="I3779"/>
  <c r="H3780"/>
  <c r="J3780" s="1"/>
  <c r="I3780"/>
  <c r="H3781"/>
  <c r="I3781"/>
  <c r="J3781"/>
  <c r="H3782"/>
  <c r="J3782" s="1"/>
  <c r="I3782"/>
  <c r="H3783"/>
  <c r="J3783" s="1"/>
  <c r="I3783"/>
  <c r="H3784"/>
  <c r="I3784"/>
  <c r="J3784"/>
  <c r="H3785"/>
  <c r="J3785" s="1"/>
  <c r="I3785"/>
  <c r="H3786"/>
  <c r="J3786" s="1"/>
  <c r="I3786"/>
  <c r="H3787"/>
  <c r="J3787" s="1"/>
  <c r="I3787"/>
  <c r="H3788"/>
  <c r="J3788" s="1"/>
  <c r="I3788"/>
  <c r="H3789"/>
  <c r="I3789"/>
  <c r="J3789"/>
  <c r="H3790"/>
  <c r="J3790" s="1"/>
  <c r="I3790"/>
  <c r="H3791"/>
  <c r="J3791" s="1"/>
  <c r="I3791"/>
  <c r="H3792"/>
  <c r="J3792" s="1"/>
  <c r="I3792"/>
  <c r="H3793"/>
  <c r="J3793" s="1"/>
  <c r="I3793"/>
  <c r="H3794"/>
  <c r="I3794"/>
  <c r="J3794"/>
  <c r="H3795"/>
  <c r="J3795" s="1"/>
  <c r="I3795"/>
  <c r="H3796"/>
  <c r="J3796" s="1"/>
  <c r="I3796"/>
  <c r="H3797"/>
  <c r="J3797" s="1"/>
  <c r="I3797"/>
  <c r="H3798"/>
  <c r="J3798" s="1"/>
  <c r="I3798"/>
  <c r="H3799"/>
  <c r="I3799"/>
  <c r="J3799"/>
  <c r="H3800"/>
  <c r="J3800" s="1"/>
  <c r="I3800"/>
  <c r="H3801"/>
  <c r="J3801" s="1"/>
  <c r="I3801"/>
  <c r="H3802"/>
  <c r="J3802" s="1"/>
  <c r="I3802"/>
  <c r="H3803"/>
  <c r="I3803"/>
  <c r="J3803"/>
  <c r="H3804"/>
  <c r="J3804" s="1"/>
  <c r="I3804"/>
  <c r="H3805"/>
  <c r="I3805"/>
  <c r="J3805"/>
  <c r="H3806"/>
  <c r="J3806" s="1"/>
  <c r="I3806"/>
  <c r="H3807"/>
  <c r="I3807"/>
  <c r="J3807"/>
  <c r="H3808"/>
  <c r="J3808" s="1"/>
  <c r="I3808"/>
  <c r="H3809"/>
  <c r="I3809"/>
  <c r="J3809"/>
  <c r="H3810"/>
  <c r="J3810" s="1"/>
  <c r="I3810"/>
  <c r="H3811"/>
  <c r="I3811"/>
  <c r="J3811"/>
  <c r="H3812"/>
  <c r="I3812"/>
  <c r="J3812"/>
  <c r="H3813"/>
  <c r="J3813" s="1"/>
  <c r="I3813"/>
  <c r="H3814"/>
  <c r="J3814" s="1"/>
  <c r="I3814"/>
  <c r="H3815"/>
  <c r="J3815" s="1"/>
  <c r="I3815"/>
  <c r="H3816"/>
  <c r="J3816" s="1"/>
  <c r="I3816"/>
  <c r="H3817"/>
  <c r="I3817"/>
  <c r="J3817"/>
  <c r="H3818"/>
  <c r="J3818" s="1"/>
  <c r="I3818"/>
  <c r="H3819"/>
  <c r="J3819" s="1"/>
  <c r="I3819"/>
  <c r="H3820"/>
  <c r="J3820" s="1"/>
  <c r="I3820"/>
  <c r="H3821"/>
  <c r="J3821" s="1"/>
  <c r="I3821"/>
  <c r="H3822"/>
  <c r="J3822" s="1"/>
  <c r="I3822"/>
  <c r="H3823"/>
  <c r="I3823"/>
  <c r="J3823"/>
  <c r="H3824"/>
  <c r="J3824" s="1"/>
  <c r="I3824"/>
  <c r="H3825"/>
  <c r="I3825"/>
  <c r="J3825"/>
  <c r="H3826"/>
  <c r="J3826" s="1"/>
  <c r="I3826"/>
  <c r="H3827"/>
  <c r="I3827"/>
  <c r="J3827"/>
  <c r="H3828"/>
  <c r="J3828" s="1"/>
  <c r="I3828"/>
  <c r="H3829"/>
  <c r="I3829"/>
  <c r="J3829"/>
  <c r="H3830"/>
  <c r="I3830"/>
  <c r="J3830"/>
  <c r="H3831"/>
  <c r="J3831" s="1"/>
  <c r="I3831"/>
  <c r="H3832"/>
  <c r="J3832" s="1"/>
  <c r="I3832"/>
  <c r="H3833"/>
  <c r="J3833" s="1"/>
  <c r="I3833"/>
  <c r="H3834"/>
  <c r="J3834" s="1"/>
  <c r="I3834"/>
  <c r="H3835"/>
  <c r="J3835" s="1"/>
  <c r="I3835"/>
  <c r="H3836"/>
  <c r="J3836" s="1"/>
  <c r="I3836"/>
  <c r="H3837"/>
  <c r="J3837" s="1"/>
  <c r="I3837"/>
  <c r="H3838"/>
  <c r="J3838" s="1"/>
  <c r="I3838"/>
  <c r="H3839"/>
  <c r="I3839"/>
  <c r="J3839"/>
  <c r="H3840"/>
  <c r="J3840" s="1"/>
  <c r="I3840"/>
  <c r="H3841"/>
  <c r="I3841"/>
  <c r="J3841"/>
  <c r="H3842"/>
  <c r="J3842" s="1"/>
  <c r="I3842"/>
  <c r="H3843"/>
  <c r="J3843" s="1"/>
  <c r="I3843"/>
  <c r="H3844"/>
  <c r="J3844" s="1"/>
  <c r="I3844"/>
  <c r="H3845"/>
  <c r="I3845"/>
  <c r="J3845"/>
  <c r="H3846"/>
  <c r="J3846" s="1"/>
  <c r="I3846"/>
  <c r="H3847"/>
  <c r="I3847"/>
  <c r="J3847"/>
  <c r="H3848"/>
  <c r="J3848" s="1"/>
  <c r="I3848"/>
  <c r="H3849"/>
  <c r="I3849"/>
  <c r="J3849"/>
  <c r="H3850"/>
  <c r="J3850" s="1"/>
  <c r="I3850"/>
  <c r="H3851"/>
  <c r="I3851"/>
  <c r="J3851"/>
  <c r="H3852"/>
  <c r="J3852" s="1"/>
  <c r="I3852"/>
  <c r="H3853"/>
  <c r="I3853"/>
  <c r="J3853"/>
  <c r="H3854"/>
  <c r="J3854" s="1"/>
  <c r="I3854"/>
  <c r="H3855"/>
  <c r="I3855"/>
  <c r="J3855"/>
  <c r="H3856"/>
  <c r="J3856" s="1"/>
  <c r="I3856"/>
  <c r="H3857"/>
  <c r="I3857"/>
  <c r="J3857"/>
  <c r="H3858"/>
  <c r="J3858" s="1"/>
  <c r="I3858"/>
  <c r="H3859"/>
  <c r="I3859"/>
  <c r="J3859"/>
  <c r="H3860"/>
  <c r="I3860"/>
  <c r="J3860"/>
  <c r="H3861"/>
  <c r="J3861" s="1"/>
  <c r="I3861"/>
  <c r="H3862"/>
  <c r="J3862" s="1"/>
  <c r="I3862"/>
  <c r="H3863"/>
  <c r="J3863" s="1"/>
  <c r="I3863"/>
  <c r="H3864"/>
  <c r="J3864" s="1"/>
  <c r="I3864"/>
  <c r="H3865"/>
  <c r="I3865"/>
  <c r="J3865"/>
  <c r="H3866"/>
  <c r="J3866" s="1"/>
  <c r="I3866"/>
  <c r="H3867"/>
  <c r="I3867"/>
  <c r="J3867"/>
  <c r="H3868"/>
  <c r="I3868"/>
  <c r="J3868"/>
  <c r="H3869"/>
  <c r="J3869" s="1"/>
  <c r="I3869"/>
  <c r="H3870"/>
  <c r="J3870" s="1"/>
  <c r="I3870"/>
  <c r="H3871"/>
  <c r="J3871" s="1"/>
  <c r="I3871"/>
  <c r="H3872"/>
  <c r="J3872" s="1"/>
  <c r="I3872"/>
  <c r="H3873"/>
  <c r="J3873" s="1"/>
  <c r="I3873"/>
  <c r="H3874"/>
  <c r="J3874" s="1"/>
  <c r="I3874"/>
  <c r="H3875"/>
  <c r="J3875" s="1"/>
  <c r="I3875"/>
  <c r="H3876"/>
  <c r="J3876" s="1"/>
  <c r="I3876"/>
  <c r="H3877"/>
  <c r="J3877" s="1"/>
  <c r="I3877"/>
  <c r="H3878"/>
  <c r="J3878" s="1"/>
  <c r="I3878"/>
  <c r="H3879"/>
  <c r="I3879"/>
  <c r="J3879"/>
  <c r="H3880"/>
  <c r="J3880" s="1"/>
  <c r="I3880"/>
  <c r="H3881"/>
  <c r="J3881" s="1"/>
  <c r="I3881"/>
  <c r="H3882"/>
  <c r="J3882" s="1"/>
  <c r="I3882"/>
  <c r="H3883"/>
  <c r="I3883"/>
  <c r="J3883"/>
  <c r="H3884"/>
  <c r="J3884" s="1"/>
  <c r="I3884"/>
  <c r="H3885"/>
  <c r="I3885"/>
  <c r="J3885"/>
  <c r="H3886"/>
  <c r="J3886" s="1"/>
  <c r="I3886"/>
  <c r="H3887"/>
  <c r="I3887"/>
  <c r="J3887"/>
  <c r="H3888"/>
  <c r="J3888" s="1"/>
  <c r="I3888"/>
  <c r="H3889"/>
  <c r="J3889" s="1"/>
  <c r="I3889"/>
  <c r="H3890"/>
  <c r="J3890" s="1"/>
  <c r="I3890"/>
  <c r="H3891"/>
  <c r="I3891"/>
  <c r="J3891"/>
  <c r="H3892"/>
  <c r="J3892" s="1"/>
  <c r="I3892"/>
  <c r="H3893"/>
  <c r="J3893" s="1"/>
  <c r="I3893"/>
  <c r="H3894"/>
  <c r="J3894" s="1"/>
  <c r="I3894"/>
  <c r="H3895"/>
  <c r="J3895" s="1"/>
  <c r="I3895"/>
  <c r="H3896"/>
  <c r="J3896" s="1"/>
  <c r="I3896"/>
  <c r="H3897"/>
  <c r="J3897" s="1"/>
  <c r="I3897"/>
  <c r="H3898"/>
  <c r="J3898" s="1"/>
  <c r="I3898"/>
  <c r="H3899"/>
  <c r="I3899"/>
  <c r="J3899"/>
  <c r="H3900"/>
  <c r="J3900" s="1"/>
  <c r="I3900"/>
  <c r="H3901"/>
  <c r="I3901"/>
  <c r="J3901"/>
  <c r="H3902"/>
  <c r="J3902" s="1"/>
  <c r="I3902"/>
  <c r="H3903"/>
  <c r="I3903"/>
  <c r="J3903"/>
  <c r="H3904"/>
  <c r="J3904" s="1"/>
  <c r="I3904"/>
  <c r="H3905"/>
  <c r="I3905"/>
  <c r="J3905"/>
  <c r="H3906"/>
  <c r="J3906" s="1"/>
  <c r="I3906"/>
  <c r="H3907"/>
  <c r="J3907" s="1"/>
  <c r="I3907"/>
  <c r="H3908"/>
  <c r="J3908" s="1"/>
  <c r="I3908"/>
  <c r="H3909"/>
  <c r="I3909"/>
  <c r="J3909"/>
  <c r="H3910"/>
  <c r="J3910" s="1"/>
  <c r="I3910"/>
  <c r="H3911"/>
  <c r="I3911"/>
  <c r="J3911"/>
  <c r="H3912"/>
  <c r="J3912" s="1"/>
  <c r="I3912"/>
  <c r="H3913"/>
  <c r="J3913" s="1"/>
  <c r="I3913"/>
  <c r="H3914"/>
  <c r="I3914"/>
  <c r="J3914"/>
  <c r="H3915"/>
  <c r="J3915" s="1"/>
  <c r="I3915"/>
  <c r="H3916"/>
  <c r="I3916"/>
  <c r="J3916"/>
  <c r="H3917"/>
  <c r="J3917" s="1"/>
  <c r="I3917"/>
  <c r="H3918"/>
  <c r="I3918"/>
  <c r="J3918"/>
  <c r="H3919"/>
  <c r="J3919" s="1"/>
  <c r="I3919"/>
  <c r="H3920"/>
  <c r="I3920"/>
  <c r="J3920"/>
  <c r="H3921"/>
  <c r="J3921" s="1"/>
  <c r="I3921"/>
  <c r="H3922"/>
  <c r="I3922"/>
  <c r="J3922"/>
  <c r="H3923"/>
  <c r="J3923" s="1"/>
  <c r="I3923"/>
  <c r="H3924"/>
  <c r="J3924" s="1"/>
  <c r="I3924"/>
  <c r="H3925"/>
  <c r="J3925" s="1"/>
  <c r="I3925"/>
  <c r="H3926"/>
  <c r="I3926"/>
  <c r="J3926"/>
  <c r="H3927"/>
  <c r="J3927" s="1"/>
  <c r="I3927"/>
  <c r="H3928"/>
  <c r="J3928" s="1"/>
  <c r="I3928"/>
  <c r="H3929"/>
  <c r="I3929"/>
  <c r="J3929"/>
  <c r="H3930"/>
  <c r="J3930" s="1"/>
  <c r="I3930"/>
  <c r="H3931"/>
  <c r="J3931" s="1"/>
  <c r="I3931"/>
  <c r="H3932"/>
  <c r="J3932" s="1"/>
  <c r="I3932"/>
  <c r="H3933"/>
  <c r="I3933"/>
  <c r="J3933"/>
  <c r="H3934"/>
  <c r="I3934"/>
  <c r="J3934"/>
  <c r="H3935"/>
  <c r="J3935" s="1"/>
  <c r="I3935"/>
  <c r="H3936"/>
  <c r="I3936"/>
  <c r="J3936"/>
  <c r="H3937"/>
  <c r="J3937" s="1"/>
  <c r="I3937"/>
  <c r="H3938"/>
  <c r="I3938"/>
  <c r="J3938"/>
  <c r="H3939"/>
  <c r="J3939" s="1"/>
  <c r="I3939"/>
  <c r="H3940"/>
  <c r="I3940"/>
  <c r="J3940"/>
  <c r="H3941"/>
  <c r="J3941" s="1"/>
  <c r="I3941"/>
  <c r="H3942"/>
  <c r="I3942"/>
  <c r="J3942"/>
  <c r="H3943"/>
  <c r="J3943" s="1"/>
  <c r="I3943"/>
  <c r="H3944"/>
  <c r="J3944" s="1"/>
  <c r="I3944"/>
  <c r="H3945"/>
  <c r="J3945" s="1"/>
  <c r="I3945"/>
  <c r="H3946"/>
  <c r="J3946" s="1"/>
  <c r="I3946"/>
  <c r="H3947"/>
  <c r="J3947" s="1"/>
  <c r="I3947"/>
  <c r="H3948"/>
  <c r="J3948" s="1"/>
  <c r="I3948"/>
  <c r="H3949"/>
  <c r="J3949" s="1"/>
  <c r="I3949"/>
  <c r="H3950"/>
  <c r="J3950" s="1"/>
  <c r="I3950"/>
  <c r="H3951"/>
  <c r="J3951" s="1"/>
  <c r="I3951"/>
  <c r="H3952"/>
  <c r="J3952" s="1"/>
  <c r="I3952"/>
  <c r="H3953"/>
  <c r="I3953"/>
  <c r="J3953"/>
  <c r="H3954"/>
  <c r="J3954" s="1"/>
  <c r="I3954"/>
  <c r="H3955"/>
  <c r="I3955"/>
  <c r="J3955"/>
  <c r="H3956"/>
  <c r="I3956"/>
  <c r="J3956"/>
  <c r="H3957"/>
  <c r="J3957" s="1"/>
  <c r="I3957"/>
  <c r="H3958"/>
  <c r="I3958"/>
  <c r="J3958"/>
  <c r="H3959"/>
  <c r="I3959"/>
  <c r="J3959"/>
  <c r="H3960"/>
  <c r="J3960" s="1"/>
  <c r="I3960"/>
  <c r="H3961"/>
  <c r="J3961" s="1"/>
  <c r="I3961"/>
  <c r="H3962"/>
  <c r="J3962" s="1"/>
  <c r="I3962"/>
  <c r="H3963"/>
  <c r="J3963" s="1"/>
  <c r="I3963"/>
  <c r="H3964"/>
  <c r="J3964" s="1"/>
  <c r="I3964"/>
  <c r="H3965"/>
  <c r="J3965" s="1"/>
  <c r="I3965"/>
  <c r="H3966"/>
  <c r="I3966"/>
  <c r="J3966"/>
  <c r="H3967"/>
  <c r="I3967"/>
  <c r="J3967"/>
  <c r="H3968"/>
  <c r="J3968" s="1"/>
  <c r="I3968"/>
  <c r="H3969"/>
  <c r="I3969"/>
  <c r="J3969"/>
  <c r="H3970"/>
  <c r="J3970" s="1"/>
  <c r="I3970"/>
  <c r="H3971"/>
  <c r="J3971" s="1"/>
  <c r="I3971"/>
  <c r="H3972"/>
  <c r="J3972" s="1"/>
  <c r="I3972"/>
  <c r="H3973"/>
  <c r="I3973"/>
  <c r="J3973"/>
  <c r="H3974"/>
  <c r="J3974" s="1"/>
  <c r="I3974"/>
  <c r="H3975"/>
  <c r="J3975" s="1"/>
  <c r="I3975"/>
  <c r="H3976"/>
  <c r="J3976" s="1"/>
  <c r="I3976"/>
  <c r="H3977"/>
  <c r="J3977" s="1"/>
  <c r="I3977"/>
  <c r="H3978"/>
  <c r="J3978" s="1"/>
  <c r="I3978"/>
  <c r="H3979"/>
  <c r="I3979"/>
  <c r="J3979"/>
  <c r="H3980"/>
  <c r="J3980" s="1"/>
  <c r="I3980"/>
  <c r="H3981"/>
  <c r="J3981" s="1"/>
  <c r="I3981"/>
  <c r="H3982"/>
  <c r="J3982" s="1"/>
  <c r="I3982"/>
  <c r="H3983"/>
  <c r="J3983" s="1"/>
  <c r="I3983"/>
  <c r="H3984"/>
  <c r="J3984" s="1"/>
  <c r="I3984"/>
  <c r="H3985"/>
  <c r="I3985"/>
  <c r="J3985"/>
  <c r="H3986"/>
  <c r="J3986" s="1"/>
  <c r="I3986"/>
  <c r="H3987"/>
  <c r="I3987"/>
  <c r="J3987"/>
  <c r="H3988"/>
  <c r="J3988" s="1"/>
  <c r="I3988"/>
  <c r="H3989"/>
  <c r="I3989"/>
  <c r="J3989"/>
  <c r="H3990"/>
  <c r="J3990" s="1"/>
  <c r="I3990"/>
  <c r="H3991"/>
  <c r="J3991" s="1"/>
  <c r="I3991"/>
  <c r="H3992"/>
  <c r="J3992" s="1"/>
  <c r="I3992"/>
  <c r="H3993"/>
  <c r="I3993"/>
  <c r="J3993"/>
  <c r="H3994"/>
  <c r="J3994" s="1"/>
  <c r="I3994"/>
  <c r="H3995"/>
  <c r="J3995" s="1"/>
  <c r="I3995"/>
  <c r="H3996"/>
  <c r="J3996" s="1"/>
  <c r="I3996"/>
  <c r="H3997"/>
  <c r="I3997"/>
  <c r="J3997"/>
  <c r="H3998"/>
  <c r="J3998" s="1"/>
  <c r="I3998"/>
  <c r="H3999"/>
  <c r="I3999"/>
  <c r="J3999"/>
  <c r="H4000"/>
  <c r="J4000" s="1"/>
  <c r="I4000"/>
  <c r="H4001"/>
  <c r="I4001"/>
  <c r="J4001"/>
  <c r="H4002"/>
  <c r="J4002" s="1"/>
  <c r="I4002"/>
  <c r="H4003"/>
  <c r="I4003"/>
  <c r="J4003"/>
  <c r="H4004"/>
  <c r="J4004" s="1"/>
  <c r="I4004"/>
  <c r="H4005"/>
  <c r="I4005"/>
  <c r="J4005"/>
  <c r="H4006"/>
  <c r="J4006" s="1"/>
  <c r="I4006"/>
  <c r="H4007"/>
  <c r="I4007"/>
  <c r="J4007"/>
  <c r="H4008"/>
  <c r="J4008" s="1"/>
  <c r="I4008"/>
  <c r="H4009"/>
  <c r="I4009"/>
  <c r="J4009"/>
  <c r="H4010"/>
  <c r="J4010" s="1"/>
  <c r="I4010"/>
  <c r="H4011"/>
  <c r="I4011"/>
  <c r="J4011"/>
  <c r="H4012"/>
  <c r="J4012" s="1"/>
  <c r="I4012"/>
  <c r="H4013"/>
  <c r="J4013" s="1"/>
  <c r="I4013"/>
  <c r="H4014"/>
  <c r="J4014" s="1"/>
  <c r="I4014"/>
  <c r="H4015"/>
  <c r="J4015" s="1"/>
  <c r="I4015"/>
  <c r="H4016"/>
  <c r="J4016" s="1"/>
  <c r="I4016"/>
  <c r="H4017"/>
  <c r="I4017"/>
  <c r="J4017"/>
  <c r="H4018"/>
  <c r="J4018" s="1"/>
  <c r="I4018"/>
  <c r="H4019"/>
  <c r="I4019"/>
  <c r="J4019"/>
  <c r="H4020"/>
  <c r="J4020" s="1"/>
  <c r="I4020"/>
  <c r="H4021"/>
  <c r="I4021"/>
  <c r="J4021"/>
  <c r="H4022"/>
  <c r="J4022" s="1"/>
  <c r="I4022"/>
  <c r="H4023"/>
  <c r="J4023" s="1"/>
  <c r="I4023"/>
  <c r="H4024"/>
  <c r="J4024" s="1"/>
  <c r="I4024"/>
  <c r="H4025"/>
  <c r="I4025"/>
  <c r="J4025"/>
  <c r="H4026"/>
  <c r="J4026" s="1"/>
  <c r="I4026"/>
  <c r="H4027"/>
  <c r="J4027" s="1"/>
  <c r="I4027"/>
  <c r="H4028"/>
  <c r="J4028" s="1"/>
  <c r="I4028"/>
  <c r="H4029"/>
  <c r="J4029" s="1"/>
  <c r="I4029"/>
  <c r="H4030"/>
  <c r="I4030"/>
  <c r="J4030"/>
  <c r="H4031"/>
  <c r="J4031" s="1"/>
  <c r="I4031"/>
  <c r="H4032"/>
  <c r="J4032" s="1"/>
  <c r="I4032"/>
  <c r="H4033"/>
  <c r="J4033" s="1"/>
  <c r="I4033"/>
  <c r="H4034"/>
  <c r="J4034" s="1"/>
  <c r="I4034"/>
  <c r="H4035"/>
  <c r="J4035" s="1"/>
  <c r="I4035"/>
  <c r="H4036"/>
  <c r="J4036" s="1"/>
  <c r="I4036"/>
  <c r="H4037"/>
  <c r="J4037" s="1"/>
  <c r="I4037"/>
  <c r="H4038"/>
  <c r="J4038" s="1"/>
  <c r="I4038"/>
  <c r="H4039"/>
  <c r="J4039" s="1"/>
  <c r="I4039"/>
  <c r="H4040"/>
  <c r="J4040" s="1"/>
  <c r="I4040"/>
  <c r="H4041"/>
  <c r="I4041"/>
  <c r="J4041"/>
  <c r="H4042"/>
  <c r="J4042" s="1"/>
  <c r="I4042"/>
  <c r="H4043"/>
  <c r="I4043"/>
  <c r="J4043"/>
  <c r="H4044"/>
  <c r="J4044" s="1"/>
  <c r="I4044"/>
  <c r="H4045"/>
  <c r="I4045"/>
  <c r="J4045"/>
  <c r="H4046"/>
  <c r="J4046" s="1"/>
  <c r="I4046"/>
  <c r="H4047"/>
  <c r="I4047"/>
  <c r="J4047"/>
  <c r="H4048"/>
  <c r="J4048" s="1"/>
  <c r="I4048"/>
  <c r="H4049"/>
  <c r="I4049"/>
  <c r="J4049"/>
  <c r="H4050"/>
  <c r="J4050" s="1"/>
  <c r="I4050"/>
  <c r="H4051"/>
  <c r="I4051"/>
  <c r="J4051"/>
  <c r="H4052"/>
  <c r="J4052" s="1"/>
  <c r="I4052"/>
  <c r="H4053"/>
  <c r="J4053" s="1"/>
  <c r="I4053"/>
  <c r="H4054"/>
  <c r="J4054" s="1"/>
  <c r="I4054"/>
  <c r="H4055"/>
  <c r="I4055"/>
  <c r="J4055"/>
  <c r="H4056"/>
  <c r="J4056" s="1"/>
  <c r="I4056"/>
  <c r="H4057"/>
  <c r="J4057" s="1"/>
  <c r="I4057"/>
  <c r="H4058"/>
  <c r="J4058" s="1"/>
  <c r="I4058"/>
  <c r="H4059"/>
  <c r="J4059" s="1"/>
  <c r="I4059"/>
  <c r="H4060"/>
  <c r="J4060" s="1"/>
  <c r="I4060"/>
  <c r="H4061"/>
  <c r="I4061"/>
  <c r="J4061"/>
  <c r="H4062"/>
  <c r="J4062" s="1"/>
  <c r="I4062"/>
  <c r="H4063"/>
  <c r="J4063" s="1"/>
  <c r="I4063"/>
  <c r="H4064"/>
  <c r="J4064" s="1"/>
  <c r="I4064"/>
  <c r="H4065"/>
  <c r="I4065"/>
  <c r="J4065"/>
  <c r="H4066"/>
  <c r="J4066" s="1"/>
  <c r="I4066"/>
  <c r="H4067"/>
  <c r="J4067" s="1"/>
  <c r="I4067"/>
  <c r="H4068"/>
  <c r="J4068" s="1"/>
  <c r="I4068"/>
  <c r="H4069"/>
  <c r="J4069" s="1"/>
  <c r="I4069"/>
  <c r="H4070"/>
  <c r="J4070" s="1"/>
  <c r="I4070"/>
  <c r="H4071"/>
  <c r="J4071" s="1"/>
  <c r="I4071"/>
  <c r="H4072"/>
  <c r="J4072" s="1"/>
  <c r="I4072"/>
  <c r="H4073"/>
  <c r="I4073"/>
  <c r="J4073"/>
  <c r="H4074"/>
  <c r="J4074" s="1"/>
  <c r="I4074"/>
  <c r="H4075"/>
  <c r="I4075"/>
  <c r="J4075"/>
  <c r="H4076"/>
  <c r="J4076" s="1"/>
  <c r="I4076"/>
  <c r="H4077"/>
  <c r="I4077"/>
  <c r="J4077"/>
  <c r="H4078"/>
  <c r="J4078" s="1"/>
  <c r="I4078"/>
  <c r="H4079"/>
  <c r="J4079" s="1"/>
  <c r="I4079"/>
  <c r="H4080"/>
  <c r="J4080" s="1"/>
  <c r="I4080"/>
  <c r="H4081"/>
  <c r="I4081"/>
  <c r="J4081"/>
  <c r="H4082"/>
  <c r="J4082" s="1"/>
  <c r="I4082"/>
  <c r="H4083"/>
  <c r="J4083" s="1"/>
  <c r="I4083"/>
  <c r="H4084"/>
  <c r="J4084" s="1"/>
  <c r="I4084"/>
  <c r="H4085"/>
  <c r="I4085"/>
  <c r="J4085"/>
  <c r="H4086"/>
  <c r="J4086" s="1"/>
  <c r="I4086"/>
  <c r="H4087"/>
  <c r="J4087" s="1"/>
  <c r="I4087"/>
  <c r="H4088"/>
  <c r="J4088" s="1"/>
  <c r="I4088"/>
  <c r="H4089"/>
  <c r="I4089"/>
  <c r="J4089"/>
  <c r="H4090"/>
  <c r="J4090" s="1"/>
  <c r="I4090"/>
  <c r="H4091"/>
  <c r="J4091" s="1"/>
  <c r="I4091"/>
  <c r="H4092"/>
  <c r="J4092" s="1"/>
  <c r="I4092"/>
  <c r="H4093"/>
  <c r="J4093" s="1"/>
  <c r="I4093"/>
  <c r="H4094"/>
  <c r="I4094"/>
  <c r="J4094"/>
  <c r="H4095"/>
  <c r="J4095" s="1"/>
  <c r="I4095"/>
  <c r="H4096"/>
  <c r="I4096"/>
  <c r="J4096"/>
  <c r="H4097"/>
  <c r="I4097"/>
  <c r="J4097"/>
  <c r="H4098"/>
  <c r="J4098" s="1"/>
  <c r="I4098"/>
  <c r="H4099"/>
  <c r="I4099"/>
  <c r="J4099"/>
  <c r="H4100"/>
  <c r="J4100" s="1"/>
  <c r="I4100"/>
  <c r="H4101"/>
  <c r="J4101" s="1"/>
  <c r="I4101"/>
  <c r="H4102"/>
  <c r="J4102" s="1"/>
  <c r="I4102"/>
  <c r="H4103"/>
  <c r="J4103" s="1"/>
  <c r="I4103"/>
  <c r="H4104"/>
  <c r="I4104"/>
  <c r="J4104"/>
  <c r="H4105"/>
  <c r="J4105" s="1"/>
  <c r="I4105"/>
  <c r="H4106"/>
  <c r="J4106" s="1"/>
  <c r="I4106"/>
  <c r="H4107"/>
  <c r="I4107"/>
  <c r="J4107"/>
  <c r="H4108"/>
  <c r="J4108" s="1"/>
  <c r="I4108"/>
  <c r="H4109"/>
  <c r="J4109" s="1"/>
  <c r="I4109"/>
  <c r="H4110"/>
  <c r="J4110" s="1"/>
  <c r="I4110"/>
  <c r="H4111"/>
  <c r="I4111"/>
  <c r="J4111"/>
  <c r="H4112"/>
  <c r="J4112" s="1"/>
  <c r="I4112"/>
  <c r="H4113"/>
  <c r="J4113" s="1"/>
  <c r="I4113"/>
  <c r="H4114"/>
  <c r="J4114" s="1"/>
  <c r="I4114"/>
  <c r="H4115"/>
  <c r="J4115" s="1"/>
  <c r="I4115"/>
  <c r="H4116"/>
  <c r="J4116" s="1"/>
  <c r="I4116"/>
  <c r="H4117"/>
  <c r="I4117"/>
  <c r="J4117"/>
  <c r="H4118"/>
  <c r="J4118" s="1"/>
  <c r="I4118"/>
  <c r="H4119"/>
  <c r="J4119" s="1"/>
  <c r="I4119"/>
  <c r="H4120"/>
  <c r="J4120" s="1"/>
  <c r="I4120"/>
  <c r="H4121"/>
  <c r="J4121" s="1"/>
  <c r="I4121"/>
  <c r="H4122"/>
  <c r="J4122" s="1"/>
  <c r="I4122"/>
  <c r="H4123"/>
  <c r="J4123" s="1"/>
  <c r="I4123"/>
  <c r="H4124"/>
  <c r="J4124" s="1"/>
  <c r="I4124"/>
  <c r="H4125"/>
  <c r="J4125" s="1"/>
  <c r="I4125"/>
  <c r="H4126"/>
  <c r="J4126" s="1"/>
  <c r="I4126"/>
  <c r="H4127"/>
  <c r="J4127" s="1"/>
  <c r="I4127"/>
  <c r="H4128"/>
  <c r="J4128" s="1"/>
  <c r="I4128"/>
  <c r="H4129"/>
  <c r="J4129" s="1"/>
  <c r="I4129"/>
  <c r="H4130"/>
  <c r="I4130"/>
  <c r="J4130"/>
  <c r="H4131"/>
  <c r="J4131" s="1"/>
  <c r="I4131"/>
  <c r="H4132"/>
  <c r="I4132"/>
  <c r="J4132"/>
  <c r="H4133"/>
  <c r="J4133" s="1"/>
  <c r="I4133"/>
  <c r="H4134"/>
  <c r="I4134"/>
  <c r="J4134"/>
  <c r="H4135"/>
  <c r="J4135" s="1"/>
  <c r="I4135"/>
  <c r="H4136"/>
  <c r="I4136"/>
  <c r="J4136"/>
  <c r="H4137"/>
  <c r="I4137"/>
  <c r="J4137"/>
  <c r="H4138"/>
  <c r="J4138" s="1"/>
  <c r="I4138"/>
  <c r="H4139"/>
  <c r="I4139"/>
  <c r="J4139"/>
  <c r="H4140"/>
  <c r="J4140" s="1"/>
  <c r="I4140"/>
  <c r="H4141"/>
  <c r="J4141" s="1"/>
  <c r="I4141"/>
  <c r="H4142"/>
  <c r="J4142" s="1"/>
  <c r="I4142"/>
  <c r="H4143"/>
  <c r="I4143"/>
  <c r="J4143"/>
  <c r="H4144"/>
  <c r="J4144" s="1"/>
  <c r="I4144"/>
  <c r="H4145"/>
  <c r="J4145" s="1"/>
  <c r="I4145"/>
  <c r="H4146"/>
  <c r="J4146" s="1"/>
  <c r="I4146"/>
  <c r="H4147"/>
  <c r="I4147"/>
  <c r="J4147"/>
  <c r="H4148"/>
  <c r="J4148" s="1"/>
  <c r="I4148"/>
  <c r="H4149"/>
  <c r="I4149"/>
  <c r="J4149"/>
  <c r="H4150"/>
  <c r="J4150" s="1"/>
  <c r="I4150"/>
  <c r="H4151"/>
  <c r="J4151" s="1"/>
  <c r="I4151"/>
  <c r="H4152"/>
  <c r="J4152" s="1"/>
  <c r="I4152"/>
  <c r="H4153"/>
  <c r="J4153" s="1"/>
  <c r="I4153"/>
  <c r="H4154"/>
  <c r="I4154"/>
  <c r="J4154"/>
  <c r="H4155"/>
  <c r="J4155" s="1"/>
  <c r="I4155"/>
  <c r="H4156"/>
  <c r="J4156" s="1"/>
  <c r="I4156"/>
  <c r="H4157"/>
  <c r="J4157" s="1"/>
  <c r="I4157"/>
  <c r="H4158"/>
  <c r="J4158" s="1"/>
  <c r="I4158"/>
  <c r="H4159"/>
  <c r="I4159"/>
  <c r="J4159"/>
  <c r="H4160"/>
  <c r="J4160" s="1"/>
  <c r="I4160"/>
  <c r="H4161"/>
  <c r="J4161" s="1"/>
  <c r="I4161"/>
  <c r="H4162"/>
  <c r="J4162" s="1"/>
  <c r="I4162"/>
  <c r="H4163"/>
  <c r="J4163" s="1"/>
  <c r="I4163"/>
  <c r="H4164"/>
  <c r="J4164" s="1"/>
  <c r="I4164"/>
  <c r="H4165"/>
  <c r="J4165" s="1"/>
  <c r="I4165"/>
  <c r="H4166"/>
  <c r="J4166" s="1"/>
  <c r="I4166"/>
  <c r="H4167"/>
  <c r="J4167" s="1"/>
  <c r="I4167"/>
  <c r="H4168"/>
  <c r="J4168" s="1"/>
  <c r="I4168"/>
  <c r="H4169"/>
  <c r="J4169" s="1"/>
  <c r="I4169"/>
  <c r="H4170"/>
  <c r="I4170"/>
  <c r="J4170"/>
  <c r="H4171"/>
  <c r="J4171" s="1"/>
  <c r="I4171"/>
  <c r="H4172"/>
  <c r="J4172" s="1"/>
  <c r="I4172"/>
  <c r="H4173"/>
  <c r="J4173" s="1"/>
  <c r="I4173"/>
  <c r="H4174"/>
  <c r="J4174" s="1"/>
  <c r="I4174"/>
  <c r="H4175"/>
  <c r="J4175" s="1"/>
  <c r="I4175"/>
  <c r="H4176"/>
  <c r="J4176" s="1"/>
  <c r="I4176"/>
  <c r="H4177"/>
  <c r="I4177"/>
  <c r="J4177"/>
  <c r="H4178"/>
  <c r="J4178" s="1"/>
  <c r="I4178"/>
  <c r="H4179"/>
  <c r="I4179"/>
  <c r="J4179"/>
  <c r="H4180"/>
  <c r="J4180" s="1"/>
  <c r="I4180"/>
  <c r="H4181"/>
  <c r="I4181"/>
  <c r="J4181"/>
  <c r="H4182"/>
  <c r="J4182" s="1"/>
  <c r="I4182"/>
  <c r="H4183"/>
  <c r="J4183" s="1"/>
  <c r="I4183"/>
  <c r="H4184"/>
  <c r="J4184" s="1"/>
  <c r="I4184"/>
  <c r="H4185"/>
  <c r="I4185"/>
  <c r="J4185"/>
  <c r="H4186"/>
  <c r="J4186" s="1"/>
  <c r="I4186"/>
  <c r="H4187"/>
  <c r="I4187"/>
  <c r="J4187"/>
  <c r="H4188"/>
  <c r="J4188" s="1"/>
  <c r="I4188"/>
  <c r="H4189"/>
  <c r="I4189"/>
  <c r="J4189"/>
  <c r="H4190"/>
  <c r="J4190" s="1"/>
  <c r="I4190"/>
  <c r="H4191"/>
  <c r="J4191" s="1"/>
  <c r="I4191"/>
  <c r="H4192"/>
  <c r="I4192"/>
  <c r="J4192"/>
  <c r="H4193"/>
  <c r="J4193" s="1"/>
  <c r="I4193"/>
  <c r="H4194"/>
  <c r="J4194" s="1"/>
  <c r="I4194"/>
  <c r="H4195"/>
  <c r="I4195"/>
  <c r="J4195"/>
  <c r="H4196"/>
  <c r="J4196" s="1"/>
  <c r="I4196"/>
  <c r="H4197"/>
  <c r="I4197"/>
  <c r="J4197"/>
  <c r="H4198"/>
  <c r="J4198" s="1"/>
  <c r="I4198"/>
  <c r="H4199"/>
  <c r="J4199" s="1"/>
  <c r="I4199"/>
  <c r="H4200"/>
  <c r="J4200" s="1"/>
  <c r="I4200"/>
  <c r="H4201"/>
  <c r="I4201"/>
  <c r="J4201"/>
  <c r="H4202"/>
  <c r="J4202" s="1"/>
  <c r="I4202"/>
  <c r="H4203"/>
  <c r="J4203" s="1"/>
  <c r="I4203"/>
  <c r="H4204"/>
  <c r="J4204" s="1"/>
  <c r="I4204"/>
  <c r="H4205"/>
  <c r="J4205" s="1"/>
  <c r="I4205"/>
  <c r="H4206"/>
  <c r="J4206" s="1"/>
  <c r="I4206"/>
  <c r="H4207"/>
  <c r="I4207"/>
  <c r="J4207"/>
  <c r="H4208"/>
  <c r="J4208" s="1"/>
  <c r="I4208"/>
  <c r="H4209"/>
  <c r="J4209" s="1"/>
  <c r="I4209"/>
  <c r="H4210"/>
  <c r="J4210" s="1"/>
  <c r="I4210"/>
  <c r="H4211"/>
  <c r="I4211"/>
  <c r="J4211"/>
  <c r="H4212"/>
  <c r="J4212" s="1"/>
  <c r="I4212"/>
  <c r="H4213"/>
  <c r="I4213"/>
  <c r="J4213"/>
  <c r="H4214"/>
  <c r="J4214" s="1"/>
  <c r="I4214"/>
  <c r="H4215"/>
  <c r="I4215"/>
  <c r="J4215"/>
  <c r="H4216"/>
  <c r="J4216" s="1"/>
  <c r="I4216"/>
  <c r="H4217"/>
  <c r="I4217"/>
  <c r="J4217"/>
  <c r="H4218"/>
  <c r="J4218" s="1"/>
  <c r="I4218"/>
  <c r="H4219"/>
  <c r="J4219" s="1"/>
  <c r="I4219"/>
  <c r="H4220"/>
  <c r="J4220" s="1"/>
  <c r="I4220"/>
  <c r="H4221"/>
  <c r="J4221" s="1"/>
  <c r="I4221"/>
  <c r="H4222"/>
  <c r="J4222" s="1"/>
  <c r="I4222"/>
  <c r="H4223"/>
  <c r="J4223" s="1"/>
  <c r="I4223"/>
  <c r="H4224"/>
  <c r="J4224" s="1"/>
  <c r="I4224"/>
  <c r="H4225"/>
  <c r="I4225"/>
  <c r="J4225"/>
  <c r="H4226"/>
  <c r="J4226" s="1"/>
  <c r="I4226"/>
  <c r="H4227"/>
  <c r="I4227"/>
  <c r="J4227"/>
  <c r="H4228"/>
  <c r="J4228" s="1"/>
  <c r="I4228"/>
  <c r="H4229"/>
  <c r="I4229"/>
  <c r="J4229"/>
  <c r="H4230"/>
  <c r="J4230" s="1"/>
  <c r="I4230"/>
  <c r="H4231"/>
  <c r="I4231"/>
  <c r="J4231"/>
  <c r="H4232"/>
  <c r="J4232" s="1"/>
  <c r="I4232"/>
  <c r="H4233"/>
  <c r="J4233" s="1"/>
  <c r="I4233"/>
  <c r="H4234"/>
  <c r="J4234" s="1"/>
  <c r="I4234"/>
  <c r="H4235"/>
  <c r="J4235" s="1"/>
  <c r="I4235"/>
  <c r="H4236"/>
  <c r="I4236"/>
  <c r="J4236"/>
  <c r="H4237"/>
  <c r="J4237" s="1"/>
  <c r="I4237"/>
  <c r="H4238"/>
  <c r="J4238" s="1"/>
  <c r="I4238"/>
  <c r="H4239"/>
  <c r="J4239" s="1"/>
  <c r="I4239"/>
  <c r="H4240"/>
  <c r="I4240"/>
  <c r="J4240"/>
  <c r="H4241"/>
  <c r="J4241" s="1"/>
  <c r="I4241"/>
  <c r="H4242"/>
  <c r="J4242" s="1"/>
  <c r="I4242"/>
  <c r="H4243"/>
  <c r="I4243"/>
  <c r="J4243"/>
  <c r="H4244"/>
  <c r="J4244" s="1"/>
  <c r="I4244"/>
  <c r="H4245"/>
  <c r="I4245"/>
  <c r="J4245"/>
  <c r="H4246"/>
  <c r="J4246" s="1"/>
  <c r="I4246"/>
  <c r="H4247"/>
  <c r="J4247" s="1"/>
  <c r="I4247"/>
  <c r="H4248"/>
  <c r="J4248" s="1"/>
  <c r="I4248"/>
  <c r="H4249"/>
  <c r="I4249"/>
  <c r="J4249"/>
  <c r="H4250"/>
  <c r="J4250" s="1"/>
  <c r="I4250"/>
  <c r="H4251"/>
  <c r="I4251"/>
  <c r="J4251"/>
  <c r="H4252"/>
  <c r="J4252" s="1"/>
  <c r="I4252"/>
  <c r="H4253"/>
  <c r="J4253" s="1"/>
  <c r="I4253"/>
  <c r="H4254"/>
  <c r="J4254" s="1"/>
  <c r="I4254"/>
  <c r="H4255"/>
  <c r="I4255"/>
  <c r="J4255"/>
  <c r="H4256"/>
  <c r="J4256" s="1"/>
  <c r="I4256"/>
  <c r="H4257"/>
  <c r="J4257" s="1"/>
  <c r="I4257"/>
  <c r="H4258"/>
  <c r="J4258" s="1"/>
  <c r="I4258"/>
  <c r="H4259"/>
  <c r="J4259" s="1"/>
  <c r="I4259"/>
  <c r="H4260"/>
  <c r="J4260" s="1"/>
  <c r="I4260"/>
  <c r="H4261"/>
  <c r="J4261" s="1"/>
  <c r="I4261"/>
  <c r="H4262"/>
  <c r="J4262" s="1"/>
  <c r="I4262"/>
  <c r="H4263"/>
  <c r="J4263" s="1"/>
  <c r="I4263"/>
  <c r="H4264"/>
  <c r="J4264" s="1"/>
  <c r="I4264"/>
  <c r="H4265"/>
  <c r="J4265" s="1"/>
  <c r="I4265"/>
  <c r="H4266"/>
  <c r="J4266" s="1"/>
  <c r="I4266"/>
  <c r="H4267"/>
  <c r="J4267" s="1"/>
  <c r="I4267"/>
  <c r="H4268"/>
  <c r="J4268" s="1"/>
  <c r="I4268"/>
  <c r="H4269"/>
  <c r="I4269"/>
  <c r="J4269"/>
  <c r="H4270"/>
  <c r="J4270" s="1"/>
  <c r="I4270"/>
  <c r="H4271"/>
  <c r="I4271"/>
  <c r="J4271"/>
  <c r="H4272"/>
  <c r="J4272" s="1"/>
  <c r="I4272"/>
  <c r="H4273"/>
  <c r="I4273"/>
  <c r="J4273"/>
  <c r="H4274"/>
  <c r="I4274"/>
  <c r="J4274"/>
  <c r="H4275"/>
  <c r="J4275" s="1"/>
  <c r="I4275"/>
  <c r="H4276"/>
  <c r="J4276" s="1"/>
  <c r="I4276"/>
  <c r="H4277"/>
  <c r="I4277"/>
  <c r="J4277"/>
  <c r="H4278"/>
  <c r="J4278" s="1"/>
  <c r="I4278"/>
  <c r="H4279"/>
  <c r="J4279" s="1"/>
  <c r="I4279"/>
  <c r="H4280"/>
  <c r="J4280" s="1"/>
  <c r="I4280"/>
  <c r="H4281"/>
  <c r="I4281"/>
  <c r="J4281"/>
  <c r="H4282"/>
  <c r="J4282" s="1"/>
  <c r="I4282"/>
  <c r="H4283"/>
  <c r="I4283"/>
  <c r="J4283"/>
  <c r="H4284"/>
  <c r="J4284" s="1"/>
  <c r="I4284"/>
  <c r="H4285"/>
  <c r="I4285"/>
  <c r="J4285"/>
  <c r="H4286"/>
  <c r="J4286" s="1"/>
  <c r="I4286"/>
  <c r="H4287"/>
  <c r="I4287"/>
  <c r="J4287"/>
  <c r="H4288"/>
  <c r="J4288" s="1"/>
  <c r="I4288"/>
  <c r="H4289"/>
  <c r="I4289"/>
  <c r="J4289"/>
  <c r="H4290"/>
  <c r="J4290" s="1"/>
  <c r="I4290"/>
  <c r="H4291"/>
  <c r="J4291" s="1"/>
  <c r="I4291"/>
  <c r="H4292"/>
  <c r="J4292" s="1"/>
  <c r="I4292"/>
  <c r="H4293"/>
  <c r="J4293" s="1"/>
  <c r="I4293"/>
  <c r="H4294"/>
  <c r="I4294"/>
  <c r="J4294"/>
  <c r="H4295"/>
  <c r="J4295" s="1"/>
  <c r="I4295"/>
  <c r="H4296"/>
  <c r="J4296" s="1"/>
  <c r="I4296"/>
  <c r="H4297"/>
  <c r="J4297" s="1"/>
  <c r="I4297"/>
  <c r="H4298"/>
  <c r="J4298" s="1"/>
  <c r="I4298"/>
  <c r="H4299"/>
  <c r="I4299"/>
  <c r="J4299"/>
  <c r="H4300"/>
  <c r="J4300" s="1"/>
  <c r="I4300"/>
  <c r="H4301"/>
  <c r="J4301" s="1"/>
  <c r="I4301"/>
  <c r="H4302"/>
  <c r="I4302"/>
  <c r="J4302"/>
  <c r="H4303"/>
  <c r="J4303" s="1"/>
  <c r="I4303"/>
  <c r="H4304"/>
  <c r="J4304" s="1"/>
  <c r="I4304"/>
  <c r="H4305"/>
  <c r="J4305" s="1"/>
  <c r="I4305"/>
  <c r="H4306"/>
  <c r="J4306" s="1"/>
  <c r="I4306"/>
  <c r="H4307"/>
  <c r="J4307" s="1"/>
  <c r="I4307"/>
  <c r="H4308"/>
  <c r="J4308" s="1"/>
  <c r="I4308"/>
  <c r="H4309"/>
  <c r="J4309" s="1"/>
  <c r="I4309"/>
  <c r="H4310"/>
  <c r="J4310" s="1"/>
  <c r="I4310"/>
  <c r="H4311"/>
  <c r="J4311" s="1"/>
  <c r="I4311"/>
  <c r="H4312"/>
  <c r="J4312" s="1"/>
  <c r="I4312"/>
  <c r="H4313"/>
  <c r="I4313"/>
  <c r="J4313"/>
  <c r="H4314"/>
  <c r="J4314" s="1"/>
  <c r="I4314"/>
  <c r="H4315"/>
  <c r="J4315" s="1"/>
  <c r="I4315"/>
  <c r="H4316"/>
  <c r="J4316" s="1"/>
  <c r="I4316"/>
  <c r="H4317"/>
  <c r="J4317" s="1"/>
  <c r="I4317"/>
  <c r="H4318"/>
  <c r="J4318" s="1"/>
  <c r="I4318"/>
  <c r="H4319"/>
  <c r="I4319"/>
  <c r="J4319"/>
  <c r="H4320"/>
  <c r="J4320" s="1"/>
  <c r="I4320"/>
  <c r="H4321"/>
  <c r="J4321" s="1"/>
  <c r="I4321"/>
  <c r="H4322"/>
  <c r="J4322" s="1"/>
  <c r="I4322"/>
  <c r="H4323"/>
  <c r="J4323" s="1"/>
  <c r="I4323"/>
  <c r="H4324"/>
  <c r="J4324" s="1"/>
  <c r="I4324"/>
  <c r="H4325"/>
  <c r="J4325" s="1"/>
  <c r="I4325"/>
  <c r="H4326"/>
  <c r="J4326" s="1"/>
  <c r="I4326"/>
  <c r="H4327"/>
  <c r="J4327" s="1"/>
  <c r="I4327"/>
  <c r="H4328"/>
  <c r="J4328" s="1"/>
  <c r="I4328"/>
  <c r="H4329"/>
  <c r="J4329" s="1"/>
  <c r="I4329"/>
  <c r="H4330"/>
  <c r="J4330" s="1"/>
  <c r="I4330"/>
  <c r="H4331"/>
  <c r="J4331" s="1"/>
  <c r="I4331"/>
  <c r="H4332"/>
  <c r="J4332" s="1"/>
  <c r="I4332"/>
  <c r="H4333"/>
  <c r="I4333"/>
  <c r="J4333"/>
  <c r="H4334"/>
  <c r="J4334" s="1"/>
  <c r="I4334"/>
  <c r="H4335"/>
  <c r="J4335" s="1"/>
  <c r="I4335"/>
  <c r="H4336"/>
  <c r="J4336" s="1"/>
  <c r="I4336"/>
  <c r="H4337"/>
  <c r="I4337"/>
  <c r="J4337"/>
  <c r="H4338"/>
  <c r="J4338" s="1"/>
  <c r="I4338"/>
  <c r="H4339"/>
  <c r="I4339"/>
  <c r="J4339"/>
  <c r="H4340"/>
  <c r="J4340" s="1"/>
  <c r="I4340"/>
  <c r="H4341"/>
  <c r="I4341"/>
  <c r="J4341"/>
  <c r="H4342"/>
  <c r="J4342" s="1"/>
  <c r="I4342"/>
  <c r="H4343"/>
  <c r="J4343" s="1"/>
  <c r="I4343"/>
  <c r="H4344"/>
  <c r="J4344" s="1"/>
  <c r="I4344"/>
  <c r="H4345"/>
  <c r="J4345" s="1"/>
  <c r="I4345"/>
  <c r="H4346"/>
  <c r="J4346" s="1"/>
  <c r="I4346"/>
  <c r="H4347"/>
  <c r="I4347"/>
  <c r="J4347"/>
  <c r="H4348"/>
  <c r="J4348" s="1"/>
  <c r="I4348"/>
  <c r="H4349"/>
  <c r="J4349" s="1"/>
  <c r="I4349"/>
  <c r="H4350"/>
  <c r="J4350" s="1"/>
  <c r="I4350"/>
  <c r="H4351"/>
  <c r="I4351"/>
  <c r="J4351"/>
  <c r="H4352"/>
  <c r="J4352" s="1"/>
  <c r="I4352"/>
  <c r="H4353"/>
  <c r="J4353" s="1"/>
  <c r="I4353"/>
  <c r="H4354"/>
  <c r="J4354" s="1"/>
  <c r="I4354"/>
  <c r="H4355"/>
  <c r="J4355" s="1"/>
  <c r="I4355"/>
  <c r="H4356"/>
  <c r="I4356"/>
  <c r="J4356"/>
  <c r="H4357"/>
  <c r="J4357" s="1"/>
  <c r="I4357"/>
  <c r="H4358"/>
  <c r="J4358" s="1"/>
  <c r="I4358"/>
  <c r="H4359"/>
  <c r="J4359" s="1"/>
  <c r="I4359"/>
  <c r="H4360"/>
  <c r="J4360" s="1"/>
  <c r="I4360"/>
  <c r="H4361"/>
  <c r="J4361" s="1"/>
  <c r="I4361"/>
  <c r="H4362"/>
  <c r="J4362" s="1"/>
  <c r="I4362"/>
  <c r="H4363"/>
  <c r="J4363" s="1"/>
  <c r="I4363"/>
  <c r="H4364"/>
  <c r="J4364" s="1"/>
  <c r="I4364"/>
  <c r="H4365"/>
  <c r="J4365" s="1"/>
  <c r="I4365"/>
  <c r="H4366"/>
  <c r="J4366" s="1"/>
  <c r="I4366"/>
  <c r="H4367"/>
  <c r="J4367" s="1"/>
  <c r="I4367"/>
  <c r="H4368"/>
  <c r="J4368" s="1"/>
  <c r="I4368"/>
  <c r="H4369"/>
  <c r="J4369" s="1"/>
  <c r="I4369"/>
  <c r="H4370"/>
  <c r="J4370" s="1"/>
  <c r="I4370"/>
  <c r="H4371"/>
  <c r="I4371"/>
  <c r="J4371"/>
  <c r="H4372"/>
  <c r="J4372" s="1"/>
  <c r="I4372"/>
  <c r="H4373"/>
  <c r="J4373" s="1"/>
  <c r="I4373"/>
  <c r="H4374"/>
  <c r="J4374" s="1"/>
  <c r="I4374"/>
  <c r="H4375"/>
  <c r="J4375" s="1"/>
  <c r="I4375"/>
  <c r="H4376"/>
  <c r="J4376" s="1"/>
  <c r="I4376"/>
  <c r="H4377"/>
  <c r="J4377" s="1"/>
  <c r="I4377"/>
  <c r="H4378"/>
  <c r="J4378" s="1"/>
  <c r="I4378"/>
  <c r="H4379"/>
  <c r="I4379"/>
  <c r="J4379"/>
  <c r="H4380"/>
  <c r="J4380" s="1"/>
  <c r="I4380"/>
  <c r="H4381"/>
  <c r="J4381" s="1"/>
  <c r="I4381"/>
  <c r="H4382"/>
  <c r="J4382" s="1"/>
  <c r="I4382"/>
  <c r="H4383"/>
  <c r="J4383" s="1"/>
  <c r="I4383"/>
  <c r="H4384"/>
  <c r="J4384" s="1"/>
  <c r="I4384"/>
  <c r="H4385"/>
  <c r="I4385"/>
  <c r="J4385"/>
  <c r="H4386"/>
  <c r="J4386" s="1"/>
  <c r="I4386"/>
  <c r="H4387"/>
  <c r="J4387" s="1"/>
  <c r="I4387"/>
  <c r="H4388"/>
  <c r="J4388" s="1"/>
  <c r="I4388"/>
  <c r="H4389"/>
  <c r="I4389"/>
  <c r="J4389"/>
  <c r="H4390"/>
  <c r="J4390" s="1"/>
  <c r="I4390"/>
  <c r="H4391"/>
  <c r="J4391" s="1"/>
  <c r="I4391"/>
  <c r="H4392"/>
  <c r="J4392" s="1"/>
  <c r="I4392"/>
  <c r="H4393"/>
  <c r="I4393"/>
  <c r="J4393"/>
  <c r="H4394"/>
  <c r="J4394" s="1"/>
  <c r="I4394"/>
  <c r="H4395"/>
  <c r="I4395"/>
  <c r="J4395"/>
  <c r="H4396"/>
  <c r="J4396" s="1"/>
  <c r="I4396"/>
  <c r="H4397"/>
  <c r="J4397" s="1"/>
  <c r="I4397"/>
  <c r="H4398"/>
  <c r="J4398" s="1"/>
  <c r="I4398"/>
  <c r="H4399"/>
  <c r="J4399" s="1"/>
  <c r="I4399"/>
  <c r="H4400"/>
  <c r="J4400" s="1"/>
  <c r="I4400"/>
  <c r="H4401"/>
  <c r="I4401"/>
  <c r="J4401"/>
  <c r="H4402"/>
  <c r="J4402" s="1"/>
  <c r="I4402"/>
  <c r="H4403"/>
  <c r="I4403"/>
  <c r="J4403"/>
  <c r="H4404"/>
  <c r="J4404" s="1"/>
  <c r="I4404"/>
  <c r="H4405"/>
  <c r="J4405" s="1"/>
  <c r="I4405"/>
  <c r="H4406"/>
  <c r="J4406" s="1"/>
  <c r="I4406"/>
  <c r="H4407"/>
  <c r="I4407"/>
  <c r="J4407"/>
  <c r="H4408"/>
  <c r="J4408" s="1"/>
  <c r="I4408"/>
  <c r="H4409"/>
  <c r="J4409" s="1"/>
  <c r="I4409"/>
  <c r="H4410"/>
  <c r="J4410" s="1"/>
  <c r="I4410"/>
  <c r="H4411"/>
  <c r="J4411" s="1"/>
  <c r="I4411"/>
  <c r="H4412"/>
  <c r="J4412" s="1"/>
  <c r="I4412"/>
  <c r="H4413"/>
  <c r="I4413"/>
  <c r="J4413"/>
  <c r="H4414"/>
  <c r="J4414" s="1"/>
  <c r="I4414"/>
  <c r="H4415"/>
  <c r="I4415"/>
  <c r="J4415"/>
  <c r="H4416"/>
  <c r="J4416" s="1"/>
  <c r="I4416"/>
  <c r="H4417"/>
  <c r="I4417"/>
  <c r="J4417"/>
  <c r="H4418"/>
  <c r="J4418" s="1"/>
  <c r="I4418"/>
  <c r="H4419"/>
  <c r="I4419"/>
  <c r="J4419"/>
  <c r="H4420"/>
  <c r="I4420"/>
  <c r="J4420"/>
  <c r="H4421"/>
  <c r="J4421" s="1"/>
  <c r="I4421"/>
  <c r="H4422"/>
  <c r="J4422" s="1"/>
  <c r="I4422"/>
  <c r="H4423"/>
  <c r="J4423" s="1"/>
  <c r="I4423"/>
  <c r="H4424"/>
  <c r="I4424"/>
  <c r="J4424"/>
  <c r="H4425"/>
  <c r="J4425" s="1"/>
  <c r="I4425"/>
  <c r="H4426"/>
  <c r="J4426" s="1"/>
  <c r="I4426"/>
  <c r="H4427"/>
  <c r="J4427" s="1"/>
  <c r="I4427"/>
  <c r="H4428"/>
  <c r="J4428" s="1"/>
  <c r="I4428"/>
  <c r="H4429"/>
  <c r="I4429"/>
  <c r="J4429"/>
  <c r="H4430"/>
  <c r="J4430" s="1"/>
  <c r="I4430"/>
  <c r="H4431"/>
  <c r="I4431"/>
  <c r="J4431"/>
  <c r="H4432"/>
  <c r="J4432" s="1"/>
  <c r="I4432"/>
  <c r="H4433"/>
  <c r="J4433" s="1"/>
  <c r="I4433"/>
  <c r="H4434"/>
  <c r="J4434" s="1"/>
  <c r="I4434"/>
  <c r="H4435"/>
  <c r="J4435" s="1"/>
  <c r="I4435"/>
  <c r="H4436"/>
  <c r="J4436" s="1"/>
  <c r="I4436"/>
  <c r="H4437"/>
  <c r="J4437" s="1"/>
  <c r="I4437"/>
  <c r="H4438"/>
  <c r="J4438" s="1"/>
  <c r="I4438"/>
  <c r="H4439"/>
  <c r="I4439"/>
  <c r="J4439"/>
  <c r="H4440"/>
  <c r="J4440" s="1"/>
  <c r="I4440"/>
  <c r="H4441"/>
  <c r="J4441" s="1"/>
  <c r="I4441"/>
  <c r="H4442"/>
  <c r="J4442" s="1"/>
  <c r="I4442"/>
  <c r="H4443"/>
  <c r="J4443" s="1"/>
  <c r="I4443"/>
  <c r="H4444"/>
  <c r="J4444" s="1"/>
  <c r="I4444"/>
  <c r="H4445"/>
  <c r="J4445" s="1"/>
  <c r="I4445"/>
  <c r="H4446"/>
  <c r="J4446" s="1"/>
  <c r="I4446"/>
  <c r="H4447"/>
  <c r="I4447"/>
  <c r="J4447"/>
  <c r="H4448"/>
  <c r="J4448" s="1"/>
  <c r="I4448"/>
  <c r="H4449"/>
  <c r="J4449" s="1"/>
  <c r="I4449"/>
  <c r="H4450"/>
  <c r="J4450" s="1"/>
  <c r="I4450"/>
  <c r="H4451"/>
  <c r="J4451" s="1"/>
  <c r="I4451"/>
  <c r="H4452"/>
  <c r="J4452" s="1"/>
  <c r="I4452"/>
  <c r="H4453"/>
  <c r="J4453" s="1"/>
  <c r="I4453"/>
  <c r="H4454"/>
  <c r="J4454" s="1"/>
  <c r="I4454"/>
  <c r="H4455"/>
  <c r="J4455" s="1"/>
  <c r="I4455"/>
  <c r="H4456"/>
  <c r="J4456" s="1"/>
  <c r="I4456"/>
  <c r="H4457"/>
  <c r="I4457"/>
  <c r="J4457"/>
  <c r="H4458"/>
  <c r="J4458" s="1"/>
  <c r="I4458"/>
  <c r="H4459"/>
  <c r="J4459" s="1"/>
  <c r="I4459"/>
  <c r="H4460"/>
  <c r="J4460" s="1"/>
  <c r="I4460"/>
  <c r="H4461"/>
  <c r="I4461"/>
  <c r="J4461"/>
  <c r="H4462"/>
  <c r="I4462"/>
  <c r="J4462"/>
  <c r="H4463"/>
  <c r="J4463" s="1"/>
  <c r="I4463"/>
  <c r="H4464"/>
  <c r="J4464" s="1"/>
  <c r="I4464"/>
  <c r="H4465"/>
  <c r="J4465" s="1"/>
  <c r="I4465"/>
  <c r="H4466"/>
  <c r="J4466" s="1"/>
  <c r="I4466"/>
  <c r="H4467"/>
  <c r="I4467"/>
  <c r="J4467"/>
  <c r="H4468"/>
  <c r="J4468" s="1"/>
  <c r="I4468"/>
  <c r="H4469"/>
  <c r="J4469" s="1"/>
  <c r="I4469"/>
  <c r="H4470"/>
  <c r="J4470" s="1"/>
  <c r="I4470"/>
  <c r="H4471"/>
  <c r="I4471"/>
  <c r="J4471"/>
  <c r="H4472"/>
  <c r="J4472" s="1"/>
  <c r="I4472"/>
  <c r="H4473"/>
  <c r="I4473"/>
  <c r="J4473"/>
  <c r="H4474"/>
  <c r="J4474" s="1"/>
  <c r="I4474"/>
  <c r="H4475"/>
  <c r="J4475" s="1"/>
  <c r="I4475"/>
  <c r="H4476"/>
  <c r="J4476" s="1"/>
  <c r="I4476"/>
  <c r="H4477"/>
  <c r="J4477" s="1"/>
  <c r="I4477"/>
  <c r="H4478"/>
  <c r="J4478" s="1"/>
  <c r="I4478"/>
  <c r="H4479"/>
  <c r="I4479"/>
  <c r="J4479"/>
  <c r="H4480"/>
  <c r="J4480" s="1"/>
  <c r="I4480"/>
  <c r="H4481"/>
  <c r="I4481"/>
  <c r="J4481"/>
  <c r="H4482"/>
  <c r="J4482" s="1"/>
  <c r="I4482"/>
  <c r="H4483"/>
  <c r="J4483" s="1"/>
  <c r="I4483"/>
  <c r="H4484"/>
  <c r="J4484" s="1"/>
  <c r="I4484"/>
  <c r="H4485"/>
  <c r="I4485"/>
  <c r="J4485"/>
  <c r="H4486"/>
  <c r="J4486" s="1"/>
  <c r="I4486"/>
  <c r="H4487"/>
  <c r="J4487" s="1"/>
  <c r="I4487"/>
  <c r="H4488"/>
  <c r="J4488" s="1"/>
  <c r="I4488"/>
  <c r="H4489"/>
  <c r="J4489" s="1"/>
  <c r="I4489"/>
  <c r="H4490"/>
  <c r="J4490" s="1"/>
  <c r="I4490"/>
  <c r="H4491"/>
  <c r="J4491" s="1"/>
  <c r="I4491"/>
  <c r="H4492"/>
  <c r="J4492" s="1"/>
  <c r="I4492"/>
  <c r="H4493"/>
  <c r="J4493" s="1"/>
  <c r="I4493"/>
  <c r="H4494"/>
  <c r="J4494" s="1"/>
  <c r="I4494"/>
  <c r="H4495"/>
  <c r="J4495" s="1"/>
  <c r="I4495"/>
  <c r="H4496"/>
  <c r="J4496" s="1"/>
  <c r="I4496"/>
  <c r="H4497"/>
  <c r="J4497" s="1"/>
  <c r="I4497"/>
  <c r="H4498"/>
  <c r="J4498" s="1"/>
  <c r="I4498"/>
  <c r="H4499"/>
  <c r="I4499"/>
  <c r="J4499"/>
  <c r="H4500"/>
  <c r="J4500" s="1"/>
  <c r="I4500"/>
  <c r="H4501"/>
  <c r="J4501" s="1"/>
  <c r="I4501"/>
  <c r="H4502"/>
  <c r="J4502" s="1"/>
  <c r="I4502"/>
  <c r="H4503"/>
  <c r="I4503"/>
  <c r="J4503"/>
  <c r="H4504"/>
  <c r="J4504" s="1"/>
  <c r="I4504"/>
  <c r="H4505"/>
  <c r="I4505"/>
  <c r="J4505"/>
  <c r="H4506"/>
  <c r="J4506" s="1"/>
  <c r="I4506"/>
  <c r="H4507"/>
  <c r="I4507"/>
  <c r="J4507"/>
  <c r="H4508"/>
  <c r="J4508" s="1"/>
  <c r="I4508"/>
  <c r="H4509"/>
  <c r="I4509"/>
  <c r="J4509"/>
  <c r="H4510"/>
  <c r="J4510" s="1"/>
  <c r="I4510"/>
  <c r="H4511"/>
  <c r="J4511" s="1"/>
  <c r="I4511"/>
  <c r="H4512"/>
  <c r="J4512" s="1"/>
  <c r="I4512"/>
  <c r="H4513"/>
  <c r="J4513" s="1"/>
  <c r="I4513"/>
  <c r="H4514"/>
  <c r="J4514" s="1"/>
  <c r="I4514"/>
  <c r="H4515"/>
  <c r="I4515"/>
  <c r="J4515"/>
  <c r="H4516"/>
  <c r="J4516" s="1"/>
  <c r="I4516"/>
  <c r="H4517"/>
  <c r="J4517" s="1"/>
  <c r="I4517"/>
  <c r="H4518"/>
  <c r="J4518" s="1"/>
  <c r="I4518"/>
  <c r="H4519"/>
  <c r="J4519" s="1"/>
  <c r="I4519"/>
  <c r="H4520"/>
  <c r="J4520" s="1"/>
  <c r="I4520"/>
  <c r="H4521"/>
  <c r="I4521"/>
  <c r="J4521"/>
  <c r="H4522"/>
  <c r="J4522" s="1"/>
  <c r="I4522"/>
  <c r="H4523"/>
  <c r="J4523" s="1"/>
  <c r="I4523"/>
  <c r="H4524"/>
  <c r="J4524" s="1"/>
  <c r="I4524"/>
  <c r="H4525"/>
  <c r="I4525"/>
  <c r="J4525"/>
  <c r="H4526"/>
  <c r="J4526" s="1"/>
  <c r="I4526"/>
  <c r="H4527"/>
  <c r="J4527" s="1"/>
  <c r="I4527"/>
  <c r="H4528"/>
  <c r="J4528" s="1"/>
  <c r="I4528"/>
  <c r="H4529"/>
  <c r="J4529" s="1"/>
  <c r="I4529"/>
  <c r="H4530"/>
  <c r="J4530" s="1"/>
  <c r="I4530"/>
  <c r="H4531"/>
  <c r="J4531" s="1"/>
  <c r="I4531"/>
  <c r="H4532"/>
  <c r="J4532" s="1"/>
  <c r="I4532"/>
  <c r="H4533"/>
  <c r="J4533" s="1"/>
  <c r="I4533"/>
  <c r="H4534"/>
  <c r="J4534" s="1"/>
  <c r="I4534"/>
  <c r="H4535"/>
  <c r="J4535" s="1"/>
  <c r="I4535"/>
  <c r="H4536"/>
  <c r="J4536" s="1"/>
  <c r="I4536"/>
  <c r="H4537"/>
  <c r="I4537"/>
  <c r="J4537"/>
  <c r="H4538"/>
  <c r="J4538" s="1"/>
  <c r="I4538"/>
  <c r="H4539"/>
  <c r="J4539" s="1"/>
  <c r="I4539"/>
  <c r="H4540"/>
  <c r="J4540" s="1"/>
  <c r="I4540"/>
  <c r="H4541"/>
  <c r="J4541" s="1"/>
  <c r="I4541"/>
  <c r="H4542"/>
  <c r="J4542" s="1"/>
  <c r="I4542"/>
  <c r="H4543"/>
  <c r="I4543"/>
  <c r="J4543"/>
  <c r="H4544"/>
  <c r="J4544" s="1"/>
  <c r="I4544"/>
  <c r="H4545"/>
  <c r="I4545"/>
  <c r="J4545"/>
  <c r="H4546"/>
  <c r="J4546" s="1"/>
  <c r="I4546"/>
  <c r="H4547"/>
  <c r="I4547"/>
  <c r="J4547"/>
  <c r="H4548"/>
  <c r="J4548" s="1"/>
  <c r="I4548"/>
  <c r="H4549"/>
  <c r="J4549" s="1"/>
  <c r="I4549"/>
  <c r="H4550"/>
  <c r="J4550" s="1"/>
  <c r="I4550"/>
  <c r="H4551"/>
  <c r="J4551" s="1"/>
  <c r="I4551"/>
  <c r="H4552"/>
  <c r="J4552" s="1"/>
  <c r="I4552"/>
  <c r="H4553"/>
  <c r="J4553" s="1"/>
  <c r="I4553"/>
  <c r="H4554"/>
  <c r="J4554" s="1"/>
  <c r="I4554"/>
  <c r="H4555"/>
  <c r="J4555" s="1"/>
  <c r="I4555"/>
  <c r="H4556"/>
  <c r="J4556" s="1"/>
  <c r="I4556"/>
  <c r="H4557"/>
  <c r="J4557" s="1"/>
  <c r="I4557"/>
  <c r="H4558"/>
  <c r="J4558" s="1"/>
  <c r="I4558"/>
  <c r="H4559"/>
  <c r="I4559"/>
  <c r="J4559"/>
  <c r="H4560"/>
  <c r="J4560" s="1"/>
  <c r="I4560"/>
  <c r="H4561"/>
  <c r="J4561" s="1"/>
  <c r="I4561"/>
  <c r="H4562"/>
  <c r="J4562" s="1"/>
  <c r="I4562"/>
  <c r="H4563"/>
  <c r="J4563" s="1"/>
  <c r="I4563"/>
  <c r="H4564"/>
  <c r="J4564" s="1"/>
  <c r="I4564"/>
  <c r="H4565"/>
  <c r="J4565" s="1"/>
  <c r="I4565"/>
  <c r="H4566"/>
  <c r="J4566" s="1"/>
  <c r="I4566"/>
  <c r="H4567"/>
  <c r="J4567" s="1"/>
  <c r="I4567"/>
  <c r="H4568"/>
  <c r="J4568" s="1"/>
  <c r="I4568"/>
  <c r="H4569"/>
  <c r="J4569" s="1"/>
  <c r="I4569"/>
  <c r="H4570"/>
  <c r="J4570" s="1"/>
  <c r="I4570"/>
  <c r="H4571"/>
  <c r="I4571"/>
  <c r="J4571"/>
  <c r="H4572"/>
  <c r="J4572" s="1"/>
  <c r="I4572"/>
  <c r="H4573"/>
  <c r="J4573" s="1"/>
  <c r="I4573"/>
  <c r="H4574"/>
  <c r="J4574" s="1"/>
  <c r="I4574"/>
  <c r="H4575"/>
  <c r="J4575" s="1"/>
  <c r="I4575"/>
  <c r="H4576"/>
  <c r="J4576" s="1"/>
  <c r="I4576"/>
  <c r="H4577"/>
  <c r="J4577" s="1"/>
  <c r="I4577"/>
  <c r="H4578"/>
  <c r="J4578" s="1"/>
  <c r="I4578"/>
  <c r="H4579"/>
  <c r="J4579" s="1"/>
  <c r="I4579"/>
  <c r="H4580"/>
  <c r="J4580" s="1"/>
  <c r="I4580"/>
  <c r="H4581"/>
  <c r="J4581" s="1"/>
  <c r="I4581"/>
  <c r="H4582"/>
  <c r="J4582" s="1"/>
  <c r="I4582"/>
  <c r="H4583"/>
  <c r="J4583" s="1"/>
  <c r="I4583"/>
  <c r="H4584"/>
  <c r="J4584" s="1"/>
  <c r="I4584"/>
  <c r="H4585"/>
  <c r="I4585"/>
  <c r="J4585"/>
  <c r="H4586"/>
  <c r="J4586" s="1"/>
  <c r="I4586"/>
  <c r="H4587"/>
  <c r="J4587" s="1"/>
  <c r="I4587"/>
  <c r="H4588"/>
  <c r="J4588" s="1"/>
  <c r="I4588"/>
  <c r="H4589"/>
  <c r="J4589" s="1"/>
  <c r="I4589"/>
  <c r="H4590"/>
  <c r="J4590" s="1"/>
  <c r="I4590"/>
  <c r="H4591"/>
  <c r="I4591"/>
  <c r="J4591"/>
  <c r="H4592"/>
  <c r="J4592" s="1"/>
  <c r="I4592"/>
  <c r="H4593"/>
  <c r="I4593"/>
  <c r="J4593"/>
  <c r="H4594"/>
  <c r="J4594" s="1"/>
  <c r="I4594"/>
  <c r="H4595"/>
  <c r="J4595" s="1"/>
  <c r="I4595"/>
  <c r="H4596"/>
  <c r="J4596" s="1"/>
  <c r="I4596"/>
  <c r="H4597"/>
  <c r="I4597"/>
  <c r="J4597"/>
  <c r="H4598"/>
  <c r="J4598" s="1"/>
  <c r="I4598"/>
  <c r="H4599"/>
  <c r="J4599" s="1"/>
  <c r="I4599"/>
  <c r="H4600"/>
  <c r="J4600" s="1"/>
  <c r="I4600"/>
  <c r="H4601"/>
  <c r="J4601" s="1"/>
  <c r="I4601"/>
  <c r="H4602"/>
  <c r="J4602" s="1"/>
  <c r="I4602"/>
  <c r="H4603"/>
  <c r="J4603" s="1"/>
  <c r="I4603"/>
  <c r="H4604"/>
  <c r="I4604"/>
  <c r="J4604"/>
  <c r="H4605"/>
  <c r="J4605" s="1"/>
  <c r="I4605"/>
  <c r="H4606"/>
  <c r="J4606" s="1"/>
  <c r="I4606"/>
  <c r="H4607"/>
  <c r="J4607" s="1"/>
  <c r="I4607"/>
  <c r="H4608"/>
  <c r="I4608"/>
  <c r="J4608"/>
  <c r="H4609"/>
  <c r="J4609" s="1"/>
  <c r="I4609"/>
  <c r="H4610"/>
  <c r="I4610"/>
  <c r="J4610"/>
  <c r="H4611"/>
  <c r="J4611" s="1"/>
  <c r="I4611"/>
  <c r="H4612"/>
  <c r="I4612"/>
  <c r="J4612"/>
  <c r="H4613"/>
  <c r="J4613" s="1"/>
  <c r="I4613"/>
  <c r="H4614"/>
  <c r="I4614"/>
  <c r="J4614"/>
  <c r="H4615"/>
  <c r="I4615"/>
  <c r="J4615"/>
  <c r="H4616"/>
  <c r="J4616" s="1"/>
  <c r="I4616"/>
  <c r="H4617"/>
  <c r="J4617" s="1"/>
  <c r="I4617"/>
  <c r="H4618"/>
  <c r="J4618" s="1"/>
  <c r="I4618"/>
  <c r="H4619"/>
  <c r="J4619" s="1"/>
  <c r="I4619"/>
  <c r="H4620"/>
  <c r="I4620"/>
  <c r="J4620"/>
  <c r="H4621"/>
  <c r="J4621" s="1"/>
  <c r="I4621"/>
  <c r="H4622"/>
  <c r="I4622"/>
  <c r="J4622"/>
  <c r="H4623"/>
  <c r="J4623" s="1"/>
  <c r="I4623"/>
  <c r="H4624"/>
  <c r="J4624" s="1"/>
  <c r="I4624"/>
  <c r="H4625"/>
  <c r="J4625" s="1"/>
  <c r="I4625"/>
  <c r="H4626"/>
  <c r="I4626"/>
  <c r="J4626"/>
  <c r="H4627"/>
  <c r="J4627" s="1"/>
  <c r="I4627"/>
  <c r="H4628"/>
  <c r="I4628"/>
  <c r="J4628"/>
  <c r="H4629"/>
  <c r="J4629" s="1"/>
  <c r="I4629"/>
  <c r="H4630"/>
  <c r="I4630"/>
  <c r="J4630"/>
  <c r="H4631"/>
  <c r="J4631" s="1"/>
  <c r="I4631"/>
  <c r="H4632"/>
  <c r="J4632" s="1"/>
  <c r="I4632"/>
  <c r="H4633"/>
  <c r="J4633" s="1"/>
  <c r="I4633"/>
  <c r="H4634"/>
  <c r="I4634"/>
  <c r="J4634"/>
  <c r="H4635"/>
  <c r="J4635" s="1"/>
  <c r="I4635"/>
  <c r="H4636"/>
  <c r="J4636" s="1"/>
  <c r="I4636"/>
  <c r="H4637"/>
  <c r="J4637" s="1"/>
  <c r="I4637"/>
  <c r="H4638"/>
  <c r="I4638"/>
  <c r="J4638"/>
  <c r="H4639"/>
  <c r="J4639" s="1"/>
  <c r="I4639"/>
  <c r="H4640"/>
  <c r="J4640" s="1"/>
  <c r="I4640"/>
  <c r="H4641"/>
  <c r="J4641" s="1"/>
  <c r="I4641"/>
  <c r="H4642"/>
  <c r="I4642"/>
  <c r="J4642"/>
  <c r="H4643"/>
  <c r="J4643" s="1"/>
  <c r="I4643"/>
  <c r="H4644"/>
  <c r="J4644" s="1"/>
  <c r="I4644"/>
  <c r="H4645"/>
  <c r="J4645" s="1"/>
  <c r="I4645"/>
  <c r="H4646"/>
  <c r="I4646"/>
  <c r="J4646"/>
  <c r="H4647"/>
  <c r="J4647" s="1"/>
  <c r="I4647"/>
  <c r="H4648"/>
  <c r="J4648" s="1"/>
  <c r="I4648"/>
  <c r="H4649"/>
  <c r="J4649" s="1"/>
  <c r="I4649"/>
  <c r="H4650"/>
  <c r="J4650" s="1"/>
  <c r="I4650"/>
  <c r="H4651"/>
  <c r="J4651" s="1"/>
  <c r="I4651"/>
  <c r="H4652"/>
  <c r="J4652" s="1"/>
  <c r="I4652"/>
  <c r="H4653"/>
  <c r="J4653" s="1"/>
  <c r="I4653"/>
  <c r="H4654"/>
  <c r="I4654"/>
  <c r="J4654"/>
  <c r="H4655"/>
  <c r="J4655" s="1"/>
  <c r="I4655"/>
  <c r="H4656"/>
  <c r="J4656" s="1"/>
  <c r="I4656"/>
  <c r="H4657"/>
  <c r="J4657" s="1"/>
  <c r="I4657"/>
  <c r="H4658"/>
  <c r="J4658" s="1"/>
  <c r="I4658"/>
  <c r="H4659"/>
  <c r="J4659" s="1"/>
  <c r="I4659"/>
  <c r="H4660"/>
  <c r="I4660"/>
  <c r="J4660"/>
  <c r="H4661"/>
  <c r="J4661" s="1"/>
  <c r="I4661"/>
  <c r="H4662"/>
  <c r="I4662"/>
  <c r="J4662"/>
  <c r="H4663"/>
  <c r="J4663" s="1"/>
  <c r="I4663"/>
  <c r="H4664"/>
  <c r="I4664"/>
  <c r="J4664"/>
  <c r="H4665"/>
  <c r="J4665" s="1"/>
  <c r="I4665"/>
  <c r="H4666"/>
  <c r="I4666"/>
  <c r="J4666"/>
  <c r="H4667"/>
  <c r="J4667" s="1"/>
  <c r="I4667"/>
  <c r="H4668"/>
  <c r="I4668"/>
  <c r="J4668"/>
  <c r="H4669"/>
  <c r="J4669" s="1"/>
  <c r="I4669"/>
  <c r="H4670"/>
  <c r="I4670"/>
  <c r="J4670"/>
  <c r="H4671"/>
  <c r="J4671" s="1"/>
  <c r="I4671"/>
  <c r="H4672"/>
  <c r="J4672" s="1"/>
  <c r="I4672"/>
  <c r="H4673"/>
  <c r="J4673" s="1"/>
  <c r="I4673"/>
  <c r="H4674"/>
  <c r="I4674"/>
  <c r="J4674"/>
  <c r="H4675"/>
  <c r="J4675" s="1"/>
  <c r="I4675"/>
  <c r="H4676"/>
  <c r="J4676" s="1"/>
  <c r="I4676"/>
  <c r="H4677"/>
  <c r="J4677" s="1"/>
  <c r="I4677"/>
  <c r="H4678"/>
  <c r="J4678" s="1"/>
  <c r="I4678"/>
  <c r="H4679"/>
  <c r="J4679" s="1"/>
  <c r="I4679"/>
  <c r="H4680"/>
  <c r="J4680" s="1"/>
  <c r="I4680"/>
  <c r="H4681"/>
  <c r="J4681" s="1"/>
  <c r="I4681"/>
  <c r="H4682"/>
  <c r="J4682" s="1"/>
  <c r="I4682"/>
  <c r="H4683"/>
  <c r="J4683" s="1"/>
  <c r="I4683"/>
  <c r="H4684"/>
  <c r="J4684" s="1"/>
  <c r="I4684"/>
  <c r="H4685"/>
  <c r="J4685" s="1"/>
  <c r="I4685"/>
  <c r="H4686"/>
  <c r="J4686" s="1"/>
  <c r="I4686"/>
  <c r="H4687"/>
  <c r="J4687" s="1"/>
  <c r="I4687"/>
  <c r="H4688"/>
  <c r="J4688" s="1"/>
  <c r="I4688"/>
  <c r="H4689"/>
  <c r="J4689" s="1"/>
  <c r="I4689"/>
  <c r="H4690"/>
  <c r="I4690"/>
  <c r="J4690"/>
  <c r="H4691"/>
  <c r="J4691" s="1"/>
  <c r="I4691"/>
  <c r="H4692"/>
  <c r="J4692" s="1"/>
  <c r="I4692"/>
  <c r="H4693"/>
  <c r="J4693" s="1"/>
  <c r="I4693"/>
  <c r="H4694"/>
  <c r="J4694" s="1"/>
  <c r="I4694"/>
  <c r="H4695"/>
  <c r="J4695" s="1"/>
  <c r="I4695"/>
  <c r="H4696"/>
  <c r="I4696"/>
  <c r="J4696"/>
  <c r="H4697"/>
  <c r="J4697" s="1"/>
  <c r="I4697"/>
  <c r="H4698"/>
  <c r="J4698" s="1"/>
  <c r="I4698"/>
  <c r="H4699"/>
  <c r="J4699" s="1"/>
  <c r="I4699"/>
  <c r="H4700"/>
  <c r="J4700" s="1"/>
  <c r="I4700"/>
  <c r="H4701"/>
  <c r="J4701" s="1"/>
  <c r="I4701"/>
  <c r="H4702"/>
  <c r="J4702" s="1"/>
  <c r="I4702"/>
  <c r="H4703"/>
  <c r="J4703" s="1"/>
  <c r="I4703"/>
  <c r="H4704"/>
  <c r="I4704"/>
  <c r="J4704"/>
  <c r="H4705"/>
  <c r="J4705" s="1"/>
  <c r="I4705"/>
  <c r="H4706"/>
  <c r="I4706"/>
  <c r="J4706"/>
  <c r="H4707"/>
  <c r="J4707" s="1"/>
  <c r="I4707"/>
  <c r="H4708"/>
  <c r="I4708"/>
  <c r="J4708"/>
  <c r="H4709"/>
  <c r="J4709" s="1"/>
  <c r="I4709"/>
  <c r="H4710"/>
  <c r="J4710" s="1"/>
  <c r="I4710"/>
  <c r="H4711"/>
  <c r="J4711" s="1"/>
  <c r="I4711"/>
  <c r="H4712"/>
  <c r="J4712" s="1"/>
  <c r="I4712"/>
  <c r="H4713"/>
  <c r="J4713" s="1"/>
  <c r="I4713"/>
  <c r="H4714"/>
  <c r="J4714" s="1"/>
  <c r="I4714"/>
  <c r="H4715"/>
  <c r="J4715" s="1"/>
  <c r="I4715"/>
  <c r="H4716"/>
  <c r="J4716" s="1"/>
  <c r="I4716"/>
  <c r="H4717"/>
  <c r="J4717" s="1"/>
  <c r="I4717"/>
  <c r="H4718"/>
  <c r="I4718"/>
  <c r="J4718"/>
  <c r="H4719"/>
  <c r="J4719" s="1"/>
  <c r="I4719"/>
  <c r="H4720"/>
  <c r="J4720" s="1"/>
  <c r="I4720"/>
  <c r="H4721"/>
  <c r="J4721" s="1"/>
  <c r="I4721"/>
  <c r="H4722"/>
  <c r="J4722" s="1"/>
  <c r="I4722"/>
  <c r="H4723"/>
  <c r="J4723" s="1"/>
  <c r="I4723"/>
  <c r="H4724"/>
  <c r="J4724" s="1"/>
  <c r="I4724"/>
  <c r="H4725"/>
  <c r="J4725" s="1"/>
  <c r="I4725"/>
  <c r="H4726"/>
  <c r="J4726" s="1"/>
  <c r="I4726"/>
  <c r="H4727"/>
  <c r="J4727" s="1"/>
  <c r="I4727"/>
  <c r="H4728"/>
  <c r="I4728"/>
  <c r="J4728"/>
  <c r="H4729"/>
  <c r="J4729" s="1"/>
  <c r="I4729"/>
  <c r="H4730"/>
  <c r="I4730"/>
  <c r="J4730"/>
  <c r="H4731"/>
  <c r="J4731" s="1"/>
  <c r="I4731"/>
  <c r="H4732"/>
  <c r="J4732" s="1"/>
  <c r="I4732"/>
  <c r="H4733"/>
  <c r="J4733" s="1"/>
  <c r="I4733"/>
  <c r="H4734"/>
  <c r="I4734"/>
  <c r="J4734"/>
  <c r="H4735"/>
  <c r="J4735" s="1"/>
  <c r="I4735"/>
  <c r="H4736"/>
  <c r="I4736"/>
  <c r="J4736"/>
  <c r="H4737"/>
  <c r="J4737" s="1"/>
  <c r="I4737"/>
  <c r="H4738"/>
  <c r="I4738"/>
  <c r="J4738"/>
  <c r="H4739"/>
  <c r="J4739" s="1"/>
  <c r="I4739"/>
  <c r="H4740"/>
  <c r="J4740" s="1"/>
  <c r="I4740"/>
  <c r="H4741"/>
  <c r="J4741" s="1"/>
  <c r="I4741"/>
  <c r="H4742"/>
  <c r="J4742" s="1"/>
  <c r="I4742"/>
  <c r="H4743"/>
  <c r="J4743" s="1"/>
  <c r="I4743"/>
  <c r="H4744"/>
  <c r="I4744"/>
  <c r="J4744"/>
  <c r="H4745"/>
  <c r="J4745" s="1"/>
  <c r="I4745"/>
  <c r="H4746"/>
  <c r="J4746" s="1"/>
  <c r="I4746"/>
  <c r="H4747"/>
  <c r="J4747" s="1"/>
  <c r="I4747"/>
  <c r="H4748"/>
  <c r="J4748" s="1"/>
  <c r="I4748"/>
  <c r="H4749"/>
  <c r="J4749" s="1"/>
  <c r="I4749"/>
  <c r="H4750"/>
  <c r="J4750" s="1"/>
  <c r="I4750"/>
  <c r="H4751"/>
  <c r="J4751" s="1"/>
  <c r="I4751"/>
  <c r="H4752"/>
  <c r="J4752" s="1"/>
  <c r="I4752"/>
  <c r="H4753"/>
  <c r="J4753" s="1"/>
  <c r="I4753"/>
  <c r="H4754"/>
  <c r="J4754" s="1"/>
  <c r="I4754"/>
  <c r="H4755"/>
  <c r="J4755" s="1"/>
  <c r="I4755"/>
  <c r="H4756"/>
  <c r="J4756" s="1"/>
  <c r="I4756"/>
  <c r="H4757"/>
  <c r="J4757" s="1"/>
  <c r="I4757"/>
  <c r="H4758"/>
  <c r="I4758"/>
  <c r="J4758"/>
  <c r="H4759"/>
  <c r="J4759" s="1"/>
  <c r="I4759"/>
  <c r="H4760"/>
  <c r="J4760" s="1"/>
  <c r="I4760"/>
  <c r="H4761"/>
  <c r="J4761" s="1"/>
  <c r="I4761"/>
  <c r="H4762"/>
  <c r="I4762"/>
  <c r="J4762"/>
  <c r="H4763"/>
  <c r="J4763" s="1"/>
  <c r="I4763"/>
  <c r="H4764"/>
  <c r="J4764" s="1"/>
  <c r="I4764"/>
  <c r="H4765"/>
  <c r="J4765" s="1"/>
  <c r="I4765"/>
  <c r="H4766"/>
  <c r="I4766"/>
  <c r="J4766"/>
  <c r="H4767"/>
  <c r="J4767" s="1"/>
  <c r="I4767"/>
  <c r="H4768"/>
  <c r="I4768"/>
  <c r="J4768"/>
  <c r="H4769"/>
  <c r="J4769" s="1"/>
  <c r="I4769"/>
  <c r="H4770"/>
  <c r="J4770" s="1"/>
  <c r="I4770"/>
  <c r="H4771"/>
  <c r="J4771" s="1"/>
  <c r="I4771"/>
  <c r="H4772"/>
  <c r="I4772"/>
  <c r="J4772"/>
  <c r="H4773"/>
  <c r="I4773"/>
  <c r="J4773"/>
  <c r="H4774"/>
  <c r="J4774" s="1"/>
  <c r="I4774"/>
  <c r="H4775"/>
  <c r="J4775" s="1"/>
  <c r="I4775"/>
  <c r="H4776"/>
  <c r="J4776" s="1"/>
  <c r="I4776"/>
  <c r="H4777"/>
  <c r="J4777" s="1"/>
  <c r="I4777"/>
  <c r="H4778"/>
  <c r="J4778" s="1"/>
  <c r="I4778"/>
  <c r="H4779"/>
  <c r="J4779" s="1"/>
  <c r="I4779"/>
  <c r="H4780"/>
  <c r="J4780" s="1"/>
  <c r="I4780"/>
  <c r="H4781"/>
  <c r="J4781" s="1"/>
  <c r="I4781"/>
  <c r="H4782"/>
  <c r="I4782"/>
  <c r="J4782"/>
  <c r="H4783"/>
  <c r="J4783" s="1"/>
  <c r="I4783"/>
  <c r="H4784"/>
  <c r="I4784"/>
  <c r="J4784"/>
  <c r="H4785"/>
  <c r="J4785" s="1"/>
  <c r="I4785"/>
  <c r="H4786"/>
  <c r="I4786"/>
  <c r="J4786"/>
  <c r="H4787"/>
  <c r="J4787" s="1"/>
  <c r="I4787"/>
  <c r="H4788"/>
  <c r="J4788" s="1"/>
  <c r="I4788"/>
  <c r="H4789"/>
  <c r="J4789" s="1"/>
  <c r="I4789"/>
  <c r="H4790"/>
  <c r="I4790"/>
  <c r="J4790"/>
  <c r="H4791"/>
  <c r="J4791" s="1"/>
  <c r="I4791"/>
  <c r="H4792"/>
  <c r="J4792" s="1"/>
  <c r="I4792"/>
  <c r="H4793"/>
  <c r="J4793" s="1"/>
  <c r="I4793"/>
  <c r="H4794"/>
  <c r="I4794"/>
  <c r="J4794"/>
  <c r="H4795"/>
  <c r="J4795" s="1"/>
  <c r="I4795"/>
  <c r="H4796"/>
  <c r="I4796"/>
  <c r="J4796"/>
  <c r="H4797"/>
  <c r="J4797" s="1"/>
  <c r="I4797"/>
  <c r="H4798"/>
  <c r="J4798" s="1"/>
  <c r="I4798"/>
  <c r="H4799"/>
  <c r="J4799" s="1"/>
  <c r="I4799"/>
  <c r="H4800"/>
  <c r="J4800" s="1"/>
  <c r="I4800"/>
  <c r="H4801"/>
  <c r="J4801" s="1"/>
  <c r="I4801"/>
  <c r="H4802"/>
  <c r="J4802" s="1"/>
  <c r="I4802"/>
  <c r="H4803"/>
  <c r="J4803" s="1"/>
  <c r="I4803"/>
  <c r="H4804"/>
  <c r="I4804"/>
  <c r="J4804"/>
  <c r="H4805"/>
  <c r="J4805" s="1"/>
  <c r="I4805"/>
  <c r="H4806"/>
  <c r="J4806" s="1"/>
  <c r="I4806"/>
  <c r="H4807"/>
  <c r="J4807" s="1"/>
  <c r="I4807"/>
  <c r="H4808"/>
  <c r="I4808"/>
  <c r="J4808"/>
  <c r="H4809"/>
  <c r="J4809" s="1"/>
  <c r="I4809"/>
  <c r="H4810"/>
  <c r="I4810"/>
  <c r="J4810"/>
  <c r="H4811"/>
  <c r="J4811" s="1"/>
  <c r="I4811"/>
  <c r="H4812"/>
  <c r="I4812"/>
  <c r="J4812"/>
  <c r="H4813"/>
  <c r="J4813" s="1"/>
  <c r="I4813"/>
  <c r="H4814"/>
  <c r="I4814"/>
  <c r="J4814"/>
  <c r="H4815"/>
  <c r="J4815" s="1"/>
  <c r="I4815"/>
  <c r="H4816"/>
  <c r="J4816" s="1"/>
  <c r="I4816"/>
  <c r="H4817"/>
  <c r="J4817" s="1"/>
  <c r="I4817"/>
  <c r="H4818"/>
  <c r="J4818" s="1"/>
  <c r="I4818"/>
  <c r="H4819"/>
  <c r="J4819" s="1"/>
  <c r="I4819"/>
  <c r="H4820"/>
  <c r="I4820"/>
  <c r="J4820"/>
  <c r="H4821"/>
  <c r="J4821" s="1"/>
  <c r="I4821"/>
  <c r="H4822"/>
  <c r="I4822"/>
  <c r="J4822"/>
  <c r="H4823"/>
  <c r="J4823" s="1"/>
  <c r="I4823"/>
  <c r="H4824"/>
  <c r="I4824"/>
  <c r="J4824"/>
  <c r="H4825"/>
  <c r="J4825" s="1"/>
  <c r="I4825"/>
  <c r="H4826"/>
  <c r="I4826"/>
  <c r="J4826"/>
  <c r="H4827"/>
  <c r="J4827" s="1"/>
  <c r="I4827"/>
  <c r="H4828"/>
  <c r="I4828"/>
  <c r="J4828"/>
  <c r="H4829"/>
  <c r="J4829" s="1"/>
  <c r="I4829"/>
  <c r="H4830"/>
  <c r="J4830" s="1"/>
  <c r="I4830"/>
  <c r="H4831"/>
  <c r="J4831" s="1"/>
  <c r="I4831"/>
  <c r="H4832"/>
  <c r="I4832"/>
  <c r="J4832"/>
  <c r="H4833"/>
  <c r="J4833" s="1"/>
  <c r="I4833"/>
  <c r="H4834"/>
  <c r="I4834"/>
  <c r="J4834"/>
  <c r="H4835"/>
  <c r="J4835" s="1"/>
  <c r="I4835"/>
  <c r="H4836"/>
  <c r="I4836"/>
  <c r="J4836"/>
  <c r="H4837"/>
  <c r="J4837" s="1"/>
  <c r="I4837"/>
  <c r="H4838"/>
  <c r="J4838" s="1"/>
  <c r="I4838"/>
  <c r="H4839"/>
  <c r="J4839" s="1"/>
  <c r="I4839"/>
  <c r="H4840"/>
  <c r="J4840" s="1"/>
  <c r="I4840"/>
  <c r="H4841"/>
  <c r="J4841" s="1"/>
  <c r="I4841"/>
  <c r="H4842"/>
  <c r="J4842" s="1"/>
  <c r="I4842"/>
  <c r="H4843"/>
  <c r="J4843" s="1"/>
  <c r="I4843"/>
  <c r="H4844"/>
  <c r="J4844" s="1"/>
  <c r="I4844"/>
  <c r="H4845"/>
  <c r="J4845" s="1"/>
  <c r="I4845"/>
  <c r="H4846"/>
  <c r="J4846" s="1"/>
  <c r="I4846"/>
  <c r="H4847"/>
  <c r="J4847" s="1"/>
  <c r="I4847"/>
  <c r="H4848"/>
  <c r="I4848"/>
  <c r="J4848"/>
  <c r="H4849"/>
  <c r="J4849" s="1"/>
  <c r="I4849"/>
  <c r="H4850"/>
  <c r="I4850"/>
  <c r="J4850"/>
  <c r="H4851"/>
  <c r="J4851" s="1"/>
  <c r="I4851"/>
  <c r="H4852"/>
  <c r="J4852" s="1"/>
  <c r="I4852"/>
  <c r="H4853"/>
  <c r="J4853" s="1"/>
  <c r="I4853"/>
  <c r="H4854"/>
  <c r="I4854"/>
  <c r="J4854"/>
  <c r="H4855"/>
  <c r="J4855" s="1"/>
  <c r="I4855"/>
  <c r="H4856"/>
  <c r="I4856"/>
  <c r="J4856"/>
  <c r="H4857"/>
  <c r="J4857" s="1"/>
  <c r="I4857"/>
  <c r="H4858"/>
  <c r="I4858"/>
  <c r="J4858"/>
  <c r="H4859"/>
  <c r="J4859" s="1"/>
  <c r="I4859"/>
  <c r="H4860"/>
  <c r="J4860" s="1"/>
  <c r="I4860"/>
  <c r="H4861"/>
  <c r="J4861" s="1"/>
  <c r="I4861"/>
  <c r="H4862"/>
  <c r="I4862"/>
  <c r="J4862"/>
  <c r="H4863"/>
  <c r="J4863" s="1"/>
  <c r="I4863"/>
  <c r="H4864"/>
  <c r="I4864"/>
  <c r="J4864"/>
  <c r="H4865"/>
  <c r="J4865" s="1"/>
  <c r="I4865"/>
  <c r="H4866"/>
  <c r="I4866"/>
  <c r="J4866"/>
  <c r="H4867"/>
  <c r="J4867" s="1"/>
  <c r="I4867"/>
  <c r="H4868"/>
  <c r="J4868" s="1"/>
  <c r="I4868"/>
  <c r="H4869"/>
  <c r="J4869" s="1"/>
  <c r="I4869"/>
  <c r="H4870"/>
  <c r="J4870" s="1"/>
  <c r="I4870"/>
  <c r="H4871"/>
  <c r="J4871" s="1"/>
  <c r="I4871"/>
  <c r="H4872"/>
  <c r="J4872" s="1"/>
  <c r="I4872"/>
  <c r="H4873"/>
  <c r="J4873" s="1"/>
  <c r="I4873"/>
  <c r="H4874"/>
  <c r="J4874" s="1"/>
  <c r="I4874"/>
  <c r="H4875"/>
  <c r="J4875" s="1"/>
  <c r="I4875"/>
  <c r="H4876"/>
  <c r="J4876" s="1"/>
  <c r="I4876"/>
  <c r="H4877"/>
  <c r="J4877" s="1"/>
  <c r="I4877"/>
  <c r="H4878"/>
  <c r="J4878" s="1"/>
  <c r="I4878"/>
  <c r="H4879"/>
  <c r="J4879" s="1"/>
  <c r="I4879"/>
  <c r="H4880"/>
  <c r="J4880" s="1"/>
  <c r="I4880"/>
  <c r="H4881"/>
  <c r="J4881" s="1"/>
  <c r="I4881"/>
  <c r="H4882"/>
  <c r="J4882" s="1"/>
  <c r="I4882"/>
  <c r="H4883"/>
  <c r="J4883" s="1"/>
  <c r="I4883"/>
  <c r="H4884"/>
  <c r="J4884" s="1"/>
  <c r="I4884"/>
  <c r="H4885"/>
  <c r="J4885" s="1"/>
  <c r="I4885"/>
  <c r="H4886"/>
  <c r="J4886" s="1"/>
  <c r="I4886"/>
  <c r="H4887"/>
  <c r="J4887" s="1"/>
  <c r="I4887"/>
  <c r="H4888"/>
  <c r="J4888" s="1"/>
  <c r="I4888"/>
  <c r="H4889"/>
  <c r="J4889" s="1"/>
  <c r="I4889"/>
  <c r="H4890"/>
  <c r="J4890" s="1"/>
  <c r="I4890"/>
  <c r="H4891"/>
  <c r="J4891" s="1"/>
  <c r="I4891"/>
  <c r="H4892"/>
  <c r="J4892" s="1"/>
  <c r="I4892"/>
  <c r="H4893"/>
  <c r="J4893" s="1"/>
  <c r="I4893"/>
  <c r="H4894"/>
  <c r="J4894" s="1"/>
  <c r="I4894"/>
  <c r="H4895"/>
  <c r="I4895"/>
  <c r="J4895"/>
  <c r="H4896"/>
  <c r="J4896" s="1"/>
  <c r="I4896"/>
  <c r="H4897"/>
  <c r="J4897" s="1"/>
  <c r="I4897"/>
  <c r="H4898"/>
  <c r="J4898" s="1"/>
  <c r="I4898"/>
  <c r="H4899"/>
  <c r="J4899" s="1"/>
  <c r="I4899"/>
  <c r="H4900"/>
  <c r="I4900"/>
  <c r="J4900"/>
  <c r="H4901"/>
  <c r="J4901" s="1"/>
  <c r="I4901"/>
  <c r="H4902"/>
  <c r="J4902" s="1"/>
  <c r="I4902"/>
  <c r="H4903"/>
  <c r="J4903" s="1"/>
  <c r="I4903"/>
  <c r="H4904"/>
  <c r="J4904" s="1"/>
  <c r="I4904"/>
  <c r="H4905"/>
  <c r="J4905" s="1"/>
  <c r="I4905"/>
  <c r="H4906"/>
  <c r="J4906" s="1"/>
  <c r="I4906"/>
  <c r="H4907"/>
  <c r="J4907" s="1"/>
  <c r="I4907"/>
  <c r="H4908"/>
  <c r="J4908" s="1"/>
  <c r="I4908"/>
  <c r="H4909"/>
  <c r="J4909" s="1"/>
  <c r="I4909"/>
  <c r="H4910"/>
  <c r="I4910"/>
  <c r="J4910"/>
  <c r="H4911"/>
  <c r="J4911" s="1"/>
  <c r="I4911"/>
  <c r="H4912"/>
  <c r="I4912"/>
  <c r="J4912"/>
  <c r="H4913"/>
  <c r="J4913" s="1"/>
  <c r="I4913"/>
  <c r="H4914"/>
  <c r="J4914" s="1"/>
  <c r="I4914"/>
  <c r="H4915"/>
  <c r="J4915" s="1"/>
  <c r="I4915"/>
  <c r="H4916"/>
  <c r="J4916" s="1"/>
  <c r="I4916"/>
  <c r="H4917"/>
  <c r="J4917" s="1"/>
  <c r="I4917"/>
  <c r="H4918"/>
  <c r="J4918" s="1"/>
  <c r="I4918"/>
  <c r="H4919"/>
  <c r="J4919" s="1"/>
  <c r="I4919"/>
  <c r="H4920"/>
  <c r="J4920" s="1"/>
  <c r="I4920"/>
  <c r="H4921"/>
  <c r="J4921" s="1"/>
  <c r="I4921"/>
  <c r="H4922"/>
  <c r="J4922" s="1"/>
  <c r="I4922"/>
  <c r="H4923"/>
  <c r="J4923" s="1"/>
  <c r="I4923"/>
  <c r="H4924"/>
  <c r="J4924" s="1"/>
  <c r="I4924"/>
  <c r="H4925"/>
  <c r="J4925" s="1"/>
  <c r="I4925"/>
  <c r="H4926"/>
  <c r="I4926"/>
  <c r="J4926"/>
  <c r="H4927"/>
  <c r="J4927" s="1"/>
  <c r="I4927"/>
  <c r="H4928"/>
  <c r="J4928" s="1"/>
  <c r="I4928"/>
  <c r="H4929"/>
  <c r="J4929" s="1"/>
  <c r="I4929"/>
  <c r="H4930"/>
  <c r="J4930" s="1"/>
  <c r="I4930"/>
  <c r="H4931"/>
  <c r="J4931" s="1"/>
  <c r="I4931"/>
  <c r="H4932"/>
  <c r="J4932" s="1"/>
  <c r="I4932"/>
  <c r="H4933"/>
  <c r="J4933" s="1"/>
  <c r="I4933"/>
  <c r="H4934"/>
  <c r="J4934" s="1"/>
  <c r="I4934"/>
  <c r="H4935"/>
  <c r="J4935" s="1"/>
  <c r="I4935"/>
  <c r="H4936"/>
  <c r="J4936" s="1"/>
  <c r="I4936"/>
  <c r="H4937"/>
  <c r="J4937" s="1"/>
  <c r="I4937"/>
  <c r="H4938"/>
  <c r="J4938" s="1"/>
  <c r="I4938"/>
  <c r="H4939"/>
  <c r="J4939" s="1"/>
  <c r="I4939"/>
  <c r="H4940"/>
  <c r="J4940" s="1"/>
  <c r="I4940"/>
  <c r="H4941"/>
  <c r="J4941" s="1"/>
  <c r="I4941"/>
  <c r="H4942"/>
  <c r="J4942" s="1"/>
  <c r="I4942"/>
  <c r="H4943"/>
  <c r="J4943" s="1"/>
  <c r="I4943"/>
  <c r="H4944"/>
  <c r="J4944" s="1"/>
  <c r="I4944"/>
  <c r="H4945"/>
  <c r="J4945" s="1"/>
  <c r="I4945"/>
  <c r="H4946"/>
  <c r="J4946" s="1"/>
  <c r="I4946"/>
  <c r="H4947"/>
  <c r="J4947" s="1"/>
  <c r="I4947"/>
  <c r="H4948"/>
  <c r="J4948" s="1"/>
  <c r="I4948"/>
  <c r="H4949"/>
  <c r="J4949" s="1"/>
  <c r="I4949"/>
  <c r="H4950"/>
  <c r="J4950" s="1"/>
  <c r="I4950"/>
  <c r="H4951"/>
  <c r="J4951" s="1"/>
  <c r="I4951"/>
  <c r="H4952"/>
  <c r="J4952" s="1"/>
  <c r="I4952"/>
  <c r="H4953"/>
  <c r="I4953"/>
  <c r="J4953"/>
  <c r="H4954"/>
  <c r="J4954" s="1"/>
  <c r="I4954"/>
  <c r="H4955"/>
  <c r="J4955" s="1"/>
  <c r="I4955"/>
  <c r="H4956"/>
  <c r="J4956" s="1"/>
  <c r="I4956"/>
  <c r="H4957"/>
  <c r="I4957"/>
  <c r="J4957"/>
  <c r="H4958"/>
  <c r="J4958" s="1"/>
  <c r="I4958"/>
  <c r="H4959"/>
  <c r="J4959" s="1"/>
  <c r="I4959"/>
  <c r="H4960"/>
  <c r="J4960" s="1"/>
  <c r="I4960"/>
  <c r="H4961"/>
  <c r="I4961"/>
  <c r="J4961"/>
  <c r="H4962"/>
  <c r="J4962" s="1"/>
  <c r="I4962"/>
  <c r="H4963"/>
  <c r="I4963"/>
  <c r="J4963"/>
  <c r="H4964"/>
  <c r="J4964" s="1"/>
  <c r="I4964"/>
  <c r="H4965"/>
  <c r="I4965"/>
  <c r="J4965"/>
  <c r="H4966"/>
  <c r="J4966" s="1"/>
  <c r="I4966"/>
  <c r="H4967"/>
  <c r="I4967"/>
  <c r="J4967"/>
  <c r="H4968"/>
  <c r="J4968" s="1"/>
  <c r="I4968"/>
  <c r="H4969"/>
  <c r="I4969"/>
  <c r="J4969"/>
  <c r="H4970"/>
  <c r="J4970" s="1"/>
  <c r="I4970"/>
  <c r="H4971"/>
  <c r="J4971" s="1"/>
  <c r="I4971"/>
  <c r="H4972"/>
  <c r="J4972" s="1"/>
  <c r="I4972"/>
  <c r="H4973"/>
  <c r="J4973" s="1"/>
  <c r="I4973"/>
  <c r="H4974"/>
  <c r="J4974" s="1"/>
  <c r="I4974"/>
  <c r="H4975"/>
  <c r="I4975"/>
  <c r="J4975"/>
  <c r="H4976"/>
  <c r="J4976" s="1"/>
  <c r="I4976"/>
  <c r="H4977"/>
  <c r="J4977" s="1"/>
  <c r="I4977"/>
  <c r="H4978"/>
  <c r="J4978" s="1"/>
  <c r="I4978"/>
  <c r="H4979"/>
  <c r="I4979"/>
  <c r="J4979"/>
  <c r="H4980"/>
  <c r="J4980" s="1"/>
  <c r="I4980"/>
  <c r="H4981"/>
  <c r="I4981"/>
  <c r="J4981"/>
  <c r="H4982"/>
  <c r="I4982"/>
  <c r="J4982"/>
  <c r="H4983"/>
  <c r="J4983" s="1"/>
  <c r="I4983"/>
  <c r="H4984"/>
  <c r="J4984" s="1"/>
  <c r="I4984"/>
  <c r="H4985"/>
  <c r="J4985" s="1"/>
  <c r="I4985"/>
  <c r="H4986"/>
  <c r="J4986" s="1"/>
  <c r="I4986"/>
  <c r="H4987"/>
  <c r="J4987" s="1"/>
  <c r="I4987"/>
  <c r="H4988"/>
  <c r="J4988" s="1"/>
  <c r="I4988"/>
  <c r="H4989"/>
  <c r="J4989" s="1"/>
  <c r="I4989"/>
  <c r="H4990"/>
  <c r="J4990" s="1"/>
  <c r="I4990"/>
  <c r="H4991"/>
  <c r="J4991" s="1"/>
  <c r="I4991"/>
  <c r="H4992"/>
  <c r="J4992" s="1"/>
  <c r="I4992"/>
  <c r="H4993"/>
  <c r="J4993" s="1"/>
  <c r="I4993"/>
  <c r="H4994"/>
  <c r="J4994" s="1"/>
  <c r="I4994"/>
  <c r="H4995"/>
  <c r="J4995" s="1"/>
  <c r="I4995"/>
  <c r="H4996"/>
  <c r="J4996" s="1"/>
  <c r="I4996"/>
  <c r="H4997"/>
  <c r="J4997" s="1"/>
  <c r="I4997"/>
  <c r="H4998"/>
  <c r="J4998" s="1"/>
  <c r="I4998"/>
  <c r="H4999"/>
  <c r="J4999" s="1"/>
  <c r="I4999"/>
  <c r="H5000"/>
  <c r="J5000" s="1"/>
  <c r="I5000"/>
  <c r="H5001"/>
  <c r="J5001" s="1"/>
  <c r="I5001"/>
  <c r="H5002"/>
  <c r="J5002" s="1"/>
  <c r="I5002"/>
  <c r="H5003"/>
  <c r="J5003" s="1"/>
  <c r="I5003"/>
  <c r="H5004"/>
  <c r="J5004" s="1"/>
  <c r="I5004"/>
  <c r="H5005"/>
  <c r="J5005" s="1"/>
  <c r="I5005"/>
  <c r="H5006"/>
  <c r="I5006"/>
  <c r="J5006"/>
  <c r="H5007"/>
  <c r="J5007" s="1"/>
  <c r="I5007"/>
  <c r="H5008"/>
  <c r="J5008" s="1"/>
  <c r="I5008"/>
  <c r="H5009"/>
  <c r="J5009" s="1"/>
  <c r="I5009"/>
  <c r="H5010"/>
  <c r="J5010" s="1"/>
  <c r="I5010"/>
  <c r="H5011"/>
  <c r="J5011" s="1"/>
  <c r="I5011"/>
  <c r="H5012"/>
  <c r="J5012" s="1"/>
  <c r="I5012"/>
  <c r="H5013"/>
  <c r="J5013" s="1"/>
  <c r="I5013"/>
  <c r="H5014"/>
  <c r="J5014" s="1"/>
  <c r="I5014"/>
  <c r="H5015"/>
  <c r="J5015" s="1"/>
  <c r="I5015"/>
  <c r="H5016"/>
  <c r="J5016" s="1"/>
  <c r="I5016"/>
  <c r="H5017"/>
  <c r="J5017" s="1"/>
  <c r="I5017"/>
  <c r="H5018"/>
  <c r="J5018" s="1"/>
  <c r="I5018"/>
  <c r="H5019"/>
  <c r="J5019" s="1"/>
  <c r="I5019"/>
  <c r="H5020"/>
  <c r="J5020" s="1"/>
  <c r="I5020"/>
  <c r="H5021"/>
  <c r="J5021" s="1"/>
  <c r="I5021"/>
  <c r="H5022"/>
  <c r="J5022" s="1"/>
  <c r="I5022"/>
  <c r="H5023"/>
  <c r="I5023"/>
  <c r="J5023"/>
  <c r="H5024"/>
  <c r="J5024" s="1"/>
  <c r="I5024"/>
  <c r="H5025"/>
  <c r="J5025" s="1"/>
  <c r="I5025"/>
  <c r="H5026"/>
  <c r="J5026" s="1"/>
  <c r="I5026"/>
  <c r="H5027"/>
  <c r="J5027" s="1"/>
  <c r="I5027"/>
  <c r="H5028"/>
  <c r="J5028" s="1"/>
  <c r="I5028"/>
  <c r="H5029"/>
  <c r="J5029" s="1"/>
  <c r="I5029"/>
  <c r="H5030"/>
  <c r="J5030" s="1"/>
  <c r="I5030"/>
  <c r="H5031"/>
  <c r="J5031" s="1"/>
  <c r="I5031"/>
  <c r="H5032"/>
  <c r="J5032" s="1"/>
  <c r="I5032"/>
  <c r="H5033"/>
  <c r="I5033"/>
  <c r="J5033"/>
  <c r="H5034"/>
  <c r="J5034" s="1"/>
  <c r="I5034"/>
  <c r="H5035"/>
  <c r="J5035" s="1"/>
  <c r="I5035"/>
  <c r="H5036"/>
  <c r="J5036" s="1"/>
  <c r="I5036"/>
  <c r="H5037"/>
  <c r="J5037" s="1"/>
  <c r="I5037"/>
  <c r="H5038"/>
  <c r="J5038" s="1"/>
  <c r="I5038"/>
  <c r="H5039"/>
  <c r="J5039" s="1"/>
  <c r="I5039"/>
  <c r="H5040"/>
  <c r="J5040" s="1"/>
  <c r="I5040"/>
  <c r="H5041"/>
  <c r="I5041"/>
  <c r="J5041"/>
  <c r="H5042"/>
  <c r="J5042" s="1"/>
  <c r="I5042"/>
  <c r="H5043"/>
  <c r="I5043"/>
  <c r="J5043"/>
  <c r="H5044"/>
  <c r="J5044" s="1"/>
  <c r="I5044"/>
  <c r="H5045"/>
  <c r="J5045" s="1"/>
  <c r="I5045"/>
  <c r="H5046"/>
  <c r="J5046" s="1"/>
  <c r="I5046"/>
  <c r="H5047"/>
  <c r="J5047" s="1"/>
  <c r="I5047"/>
  <c r="H5048"/>
  <c r="I5048"/>
  <c r="J5048"/>
  <c r="H5049"/>
  <c r="J5049" s="1"/>
  <c r="I5049"/>
  <c r="H5050"/>
  <c r="J5050" s="1"/>
  <c r="I5050"/>
  <c r="H5051"/>
  <c r="J5051" s="1"/>
  <c r="I5051"/>
  <c r="H5052"/>
  <c r="J5052" s="1"/>
  <c r="I5052"/>
  <c r="H5053"/>
  <c r="J5053" s="1"/>
  <c r="I5053"/>
  <c r="H5054"/>
  <c r="J5054" s="1"/>
  <c r="I5054"/>
  <c r="H5055"/>
  <c r="J5055" s="1"/>
  <c r="I5055"/>
  <c r="H5056"/>
  <c r="J5056" s="1"/>
  <c r="I5056"/>
  <c r="H5057"/>
  <c r="J5057" s="1"/>
  <c r="I5057"/>
  <c r="H5058"/>
  <c r="J5058" s="1"/>
  <c r="I5058"/>
  <c r="H5059"/>
  <c r="J5059" s="1"/>
  <c r="I5059"/>
  <c r="H5060"/>
  <c r="J5060" s="1"/>
  <c r="I5060"/>
  <c r="H5061"/>
  <c r="J5061" s="1"/>
  <c r="I5061"/>
  <c r="H5062"/>
  <c r="J5062" s="1"/>
  <c r="I5062"/>
  <c r="H5063"/>
  <c r="J5063" s="1"/>
  <c r="I5063"/>
  <c r="H5064"/>
  <c r="J5064" s="1"/>
  <c r="I5064"/>
  <c r="H5065"/>
  <c r="J5065" s="1"/>
  <c r="I5065"/>
  <c r="H5066"/>
  <c r="J5066" s="1"/>
  <c r="I5066"/>
  <c r="H5067"/>
  <c r="J5067" s="1"/>
  <c r="I5067"/>
  <c r="H5068"/>
  <c r="J5068" s="1"/>
  <c r="I5068"/>
  <c r="H5069"/>
  <c r="I5069"/>
  <c r="J5069"/>
  <c r="H5070"/>
  <c r="J5070" s="1"/>
  <c r="I5070"/>
  <c r="H5071"/>
  <c r="I5071"/>
  <c r="J5071"/>
  <c r="H5072"/>
  <c r="J5072" s="1"/>
  <c r="I5072"/>
  <c r="H5073"/>
  <c r="J5073" s="1"/>
  <c r="I5073"/>
  <c r="H5074"/>
  <c r="J5074" s="1"/>
  <c r="I5074"/>
  <c r="H5075"/>
  <c r="I5075"/>
  <c r="J5075"/>
  <c r="H5076"/>
  <c r="J5076" s="1"/>
  <c r="I5076"/>
  <c r="H5077"/>
  <c r="J5077" s="1"/>
  <c r="I5077"/>
  <c r="H5078"/>
  <c r="J5078" s="1"/>
  <c r="I5078"/>
  <c r="H5079"/>
  <c r="I5079"/>
  <c r="J5079"/>
  <c r="H5080"/>
  <c r="J5080" s="1"/>
  <c r="I5080"/>
  <c r="H5081"/>
  <c r="J5081" s="1"/>
  <c r="I5081"/>
  <c r="H5082"/>
  <c r="J5082" s="1"/>
  <c r="I5082"/>
  <c r="H5083"/>
  <c r="I5083"/>
  <c r="J5083"/>
  <c r="H5084"/>
  <c r="J5084" s="1"/>
  <c r="I5084"/>
  <c r="H5085"/>
  <c r="I5085"/>
  <c r="J5085"/>
  <c r="H5086"/>
  <c r="J5086" s="1"/>
  <c r="I5086"/>
  <c r="H5087"/>
  <c r="J5087" s="1"/>
  <c r="I5087"/>
  <c r="H5088"/>
  <c r="J5088" s="1"/>
  <c r="I5088"/>
  <c r="H5089"/>
  <c r="J5089" s="1"/>
  <c r="I5089"/>
  <c r="H5090"/>
  <c r="J5090" s="1"/>
  <c r="I5090"/>
  <c r="H5091"/>
  <c r="I5091"/>
  <c r="J5091"/>
  <c r="H5092"/>
  <c r="J5092" s="1"/>
  <c r="I5092"/>
  <c r="H5093"/>
  <c r="I5093"/>
  <c r="J5093"/>
  <c r="H5094"/>
  <c r="J5094" s="1"/>
  <c r="I5094"/>
  <c r="H5095"/>
  <c r="J5095" s="1"/>
  <c r="I5095"/>
  <c r="H5096"/>
  <c r="J5096" s="1"/>
  <c r="I5096"/>
  <c r="H5097"/>
  <c r="J5097" s="1"/>
  <c r="I5097"/>
  <c r="H5098"/>
  <c r="J5098" s="1"/>
  <c r="I5098"/>
  <c r="H5099"/>
  <c r="J5099" s="1"/>
  <c r="I5099"/>
  <c r="H5100"/>
  <c r="J5100" s="1"/>
  <c r="I5100"/>
  <c r="H5101"/>
  <c r="J5101" s="1"/>
  <c r="I5101"/>
  <c r="H5102"/>
  <c r="J5102" s="1"/>
  <c r="I5102"/>
  <c r="H5103"/>
  <c r="J5103" s="1"/>
  <c r="I5103"/>
  <c r="H5104"/>
  <c r="J5104" s="1"/>
  <c r="I5104"/>
  <c r="H5105"/>
  <c r="J5105" s="1"/>
  <c r="I5105"/>
  <c r="H5106"/>
  <c r="J5106" s="1"/>
  <c r="I5106"/>
  <c r="H5107"/>
  <c r="J5107" s="1"/>
  <c r="I5107"/>
  <c r="H5108"/>
  <c r="J5108" s="1"/>
  <c r="I5108"/>
  <c r="H5109"/>
  <c r="J5109" s="1"/>
  <c r="I5109"/>
  <c r="H5110"/>
  <c r="J5110" s="1"/>
  <c r="I5110"/>
  <c r="H5111"/>
  <c r="J5111" s="1"/>
  <c r="I5111"/>
  <c r="H5112"/>
  <c r="J5112" s="1"/>
  <c r="I5112"/>
  <c r="H5113"/>
  <c r="J5113" s="1"/>
  <c r="I5113"/>
  <c r="H5114"/>
  <c r="J5114" s="1"/>
  <c r="I5114"/>
  <c r="H5115"/>
  <c r="J5115" s="1"/>
  <c r="I5115"/>
  <c r="H5116"/>
  <c r="J5116" s="1"/>
  <c r="I5116"/>
  <c r="H5117"/>
  <c r="I5117"/>
  <c r="J5117"/>
  <c r="H5118"/>
  <c r="J5118" s="1"/>
  <c r="I5118"/>
  <c r="H5119"/>
  <c r="I5119"/>
  <c r="J5119"/>
  <c r="H5120"/>
  <c r="J5120" s="1"/>
  <c r="I5120"/>
  <c r="H5121"/>
  <c r="J5121" s="1"/>
  <c r="I5121"/>
  <c r="H5122"/>
  <c r="J5122" s="1"/>
  <c r="I5122"/>
  <c r="H5123"/>
  <c r="J5123" s="1"/>
  <c r="I5123"/>
  <c r="H5124"/>
  <c r="J5124" s="1"/>
  <c r="I5124"/>
  <c r="H5125"/>
  <c r="J5125" s="1"/>
  <c r="I5125"/>
  <c r="H5126"/>
  <c r="J5126" s="1"/>
  <c r="I5126"/>
  <c r="H5127"/>
  <c r="J5127" s="1"/>
  <c r="I5127"/>
  <c r="H5128"/>
  <c r="J5128" s="1"/>
  <c r="I5128"/>
  <c r="H5129"/>
  <c r="I5129"/>
  <c r="J5129"/>
  <c r="H5130"/>
  <c r="J5130" s="1"/>
  <c r="I5130"/>
  <c r="H5131"/>
  <c r="J5131" s="1"/>
  <c r="I5131"/>
  <c r="H5132"/>
  <c r="J5132" s="1"/>
  <c r="I5132"/>
  <c r="H5133"/>
  <c r="J5133" s="1"/>
  <c r="I5133"/>
  <c r="H5134"/>
  <c r="J5134" s="1"/>
  <c r="I5134"/>
  <c r="H5135"/>
  <c r="J5135" s="1"/>
  <c r="I5135"/>
  <c r="H5136"/>
  <c r="J5136" s="1"/>
  <c r="I5136"/>
  <c r="H5137"/>
  <c r="J5137" s="1"/>
  <c r="I5137"/>
  <c r="H5138"/>
  <c r="J5138" s="1"/>
  <c r="I5138"/>
  <c r="H5139"/>
  <c r="J5139" s="1"/>
  <c r="I5139"/>
  <c r="H5140"/>
  <c r="J5140" s="1"/>
  <c r="I5140"/>
  <c r="H5141"/>
  <c r="J5141" s="1"/>
  <c r="I5141"/>
  <c r="H5142"/>
  <c r="J5142" s="1"/>
  <c r="I5142"/>
  <c r="H5143"/>
  <c r="J5143" s="1"/>
  <c r="I5143"/>
  <c r="H5144"/>
  <c r="J5144" s="1"/>
  <c r="I5144"/>
  <c r="H5145"/>
  <c r="J5145" s="1"/>
  <c r="I5145"/>
  <c r="H5146"/>
  <c r="J5146" s="1"/>
  <c r="I5146"/>
  <c r="H5147"/>
  <c r="J5147" s="1"/>
  <c r="I5147"/>
  <c r="H5148"/>
  <c r="J5148" s="1"/>
  <c r="I5148"/>
  <c r="H5149"/>
  <c r="J5149" s="1"/>
  <c r="I5149"/>
  <c r="H5150"/>
  <c r="J5150" s="1"/>
  <c r="I5150"/>
  <c r="H5151"/>
  <c r="J5151" s="1"/>
  <c r="I5151"/>
  <c r="H5152"/>
  <c r="J5152" s="1"/>
  <c r="I5152"/>
  <c r="H5153"/>
  <c r="J5153" s="1"/>
  <c r="I5153"/>
  <c r="H5154"/>
  <c r="J5154" s="1"/>
  <c r="I5154"/>
  <c r="H5155"/>
  <c r="I5155"/>
  <c r="J5155"/>
  <c r="H5156"/>
  <c r="J5156" s="1"/>
  <c r="I5156"/>
  <c r="H5157"/>
  <c r="J5157" s="1"/>
  <c r="I5157"/>
  <c r="H5158"/>
  <c r="J5158" s="1"/>
  <c r="I5158"/>
  <c r="H5159"/>
  <c r="I5159"/>
  <c r="J5159"/>
  <c r="H5160"/>
  <c r="J5160" s="1"/>
  <c r="I5160"/>
  <c r="H5161"/>
  <c r="J5161" s="1"/>
  <c r="I5161"/>
  <c r="H5162"/>
  <c r="J5162" s="1"/>
  <c r="I5162"/>
  <c r="H5163"/>
  <c r="J5163" s="1"/>
  <c r="I5163"/>
  <c r="H5164"/>
  <c r="J5164" s="1"/>
  <c r="I5164"/>
  <c r="H5165"/>
  <c r="J5165" s="1"/>
  <c r="I5165"/>
  <c r="H5166"/>
  <c r="J5166" s="1"/>
  <c r="I5166"/>
  <c r="H5167"/>
  <c r="J5167" s="1"/>
  <c r="I5167"/>
  <c r="H5168"/>
  <c r="J5168" s="1"/>
  <c r="I5168"/>
  <c r="H5169"/>
  <c r="J5169" s="1"/>
  <c r="I5169"/>
  <c r="H5170"/>
  <c r="J5170" s="1"/>
  <c r="I5170"/>
  <c r="H5171"/>
  <c r="J5171" s="1"/>
  <c r="I5171"/>
  <c r="H5172"/>
  <c r="J5172" s="1"/>
  <c r="I5172"/>
  <c r="H5173"/>
  <c r="J5173" s="1"/>
  <c r="I5173"/>
  <c r="H5174"/>
  <c r="J5174" s="1"/>
  <c r="I5174"/>
  <c r="H5175"/>
  <c r="J5175" s="1"/>
  <c r="I5175"/>
  <c r="H5176"/>
  <c r="J5176" s="1"/>
  <c r="I5176"/>
  <c r="H5177"/>
  <c r="J5177" s="1"/>
  <c r="I5177"/>
  <c r="H5178"/>
  <c r="J5178" s="1"/>
  <c r="I5178"/>
  <c r="H5179"/>
  <c r="J5179" s="1"/>
  <c r="I5179"/>
  <c r="H5180"/>
  <c r="J5180" s="1"/>
  <c r="I5180"/>
  <c r="H5181"/>
  <c r="J5181" s="1"/>
  <c r="I5181"/>
  <c r="H5182"/>
  <c r="J5182" s="1"/>
  <c r="I5182"/>
  <c r="H5183"/>
  <c r="J5183" s="1"/>
  <c r="I5183"/>
  <c r="H5184"/>
  <c r="J5184" s="1"/>
  <c r="I5184"/>
  <c r="H5185"/>
  <c r="I5185"/>
  <c r="J5185"/>
  <c r="H5186"/>
  <c r="J5186" s="1"/>
  <c r="I5186"/>
  <c r="H5187"/>
  <c r="I5187"/>
  <c r="J5187"/>
  <c r="H5188"/>
  <c r="J5188" s="1"/>
  <c r="I5188"/>
  <c r="H5189"/>
  <c r="J5189" s="1"/>
  <c r="I5189"/>
  <c r="H5190"/>
  <c r="J5190" s="1"/>
  <c r="I5190"/>
  <c r="H5191"/>
  <c r="J5191" s="1"/>
  <c r="I5191"/>
  <c r="H5192"/>
  <c r="J5192" s="1"/>
  <c r="I5192"/>
  <c r="H5193"/>
  <c r="J5193" s="1"/>
  <c r="I5193"/>
  <c r="H5194"/>
  <c r="I5194"/>
  <c r="J5194"/>
  <c r="H5195"/>
  <c r="J5195" s="1"/>
  <c r="I5195"/>
  <c r="H5196"/>
  <c r="J5196" s="1"/>
  <c r="I5196"/>
  <c r="H5197"/>
  <c r="J5197" s="1"/>
  <c r="I5197"/>
  <c r="H5198"/>
  <c r="J5198" s="1"/>
  <c r="I5198"/>
  <c r="H5199"/>
  <c r="J5199" s="1"/>
  <c r="I5199"/>
  <c r="H5200"/>
  <c r="J5200" s="1"/>
  <c r="I5200"/>
  <c r="H5201"/>
  <c r="J5201" s="1"/>
  <c r="I5201"/>
  <c r="H5202"/>
  <c r="J5202" s="1"/>
  <c r="I5202"/>
  <c r="H5203"/>
  <c r="I5203"/>
  <c r="J5203"/>
  <c r="H5204"/>
  <c r="J5204" s="1"/>
  <c r="I5204"/>
  <c r="H5205"/>
  <c r="I5205"/>
  <c r="J5205"/>
  <c r="H5206"/>
  <c r="J5206" s="1"/>
  <c r="I5206"/>
  <c r="H5207"/>
  <c r="I5207"/>
  <c r="J5207"/>
  <c r="H5208"/>
  <c r="J5208" s="1"/>
  <c r="I5208"/>
  <c r="H5209"/>
  <c r="I5209"/>
  <c r="J5209"/>
  <c r="H5210"/>
  <c r="J5210" s="1"/>
  <c r="I5210"/>
  <c r="H5211"/>
  <c r="J5211" s="1"/>
  <c r="I5211"/>
  <c r="H5212"/>
  <c r="J5212" s="1"/>
  <c r="I5212"/>
  <c r="H5213"/>
  <c r="J5213" s="1"/>
  <c r="I5213"/>
  <c r="H5214"/>
  <c r="J5214" s="1"/>
  <c r="I5214"/>
  <c r="H5215"/>
  <c r="J5215" s="1"/>
  <c r="I5215"/>
  <c r="H5216"/>
  <c r="J5216" s="1"/>
  <c r="I5216"/>
  <c r="H5217"/>
  <c r="J5217" s="1"/>
  <c r="I5217"/>
  <c r="H5218"/>
  <c r="J5218" s="1"/>
  <c r="I5218"/>
  <c r="H5219"/>
  <c r="J5219" s="1"/>
  <c r="I5219"/>
  <c r="H5220"/>
  <c r="J5220" s="1"/>
  <c r="I5220"/>
  <c r="H5221"/>
  <c r="J5221" s="1"/>
  <c r="I5221"/>
  <c r="H5222"/>
  <c r="J5222" s="1"/>
  <c r="I5222"/>
  <c r="H5223"/>
  <c r="J5223" s="1"/>
  <c r="I5223"/>
  <c r="H5224"/>
  <c r="J5224" s="1"/>
  <c r="I5224"/>
  <c r="H5225"/>
  <c r="J5225" s="1"/>
  <c r="I5225"/>
  <c r="H5226"/>
  <c r="J5226" s="1"/>
  <c r="I5226"/>
  <c r="H5227"/>
  <c r="J5227" s="1"/>
  <c r="I5227"/>
  <c r="H5228"/>
  <c r="J5228" s="1"/>
  <c r="I5228"/>
  <c r="H5229"/>
  <c r="J5229" s="1"/>
  <c r="I5229"/>
  <c r="H5230"/>
  <c r="J5230" s="1"/>
  <c r="I5230"/>
  <c r="H5231"/>
  <c r="I5231"/>
  <c r="J5231"/>
  <c r="H5232"/>
  <c r="J5232" s="1"/>
  <c r="I5232"/>
  <c r="H5233"/>
  <c r="J5233" s="1"/>
  <c r="I5233"/>
  <c r="H5234"/>
  <c r="J5234" s="1"/>
  <c r="I5234"/>
  <c r="H5235"/>
  <c r="J5235" s="1"/>
  <c r="I5235"/>
  <c r="H5236"/>
  <c r="J5236" s="1"/>
  <c r="I5236"/>
  <c r="H5237"/>
  <c r="J5237" s="1"/>
  <c r="I5237"/>
  <c r="H5238"/>
  <c r="J5238" s="1"/>
  <c r="I5238"/>
  <c r="H5239"/>
  <c r="J5239" s="1"/>
  <c r="I5239"/>
  <c r="H5240"/>
  <c r="J5240" s="1"/>
  <c r="I5240"/>
  <c r="H5241"/>
  <c r="J5241" s="1"/>
  <c r="I5241"/>
  <c r="H5242"/>
  <c r="J5242" s="1"/>
  <c r="I5242"/>
  <c r="H5243"/>
  <c r="J5243" s="1"/>
  <c r="I5243"/>
  <c r="H5244"/>
  <c r="J5244" s="1"/>
  <c r="I5244"/>
  <c r="H5245"/>
  <c r="J5245" s="1"/>
  <c r="I5245"/>
  <c r="H5246"/>
  <c r="J5246" s="1"/>
  <c r="I5246"/>
  <c r="H5247"/>
  <c r="J5247" s="1"/>
  <c r="I5247"/>
  <c r="H5248"/>
  <c r="J5248" s="1"/>
  <c r="I5248"/>
  <c r="H5249"/>
  <c r="J5249" s="1"/>
  <c r="I5249"/>
  <c r="H5250"/>
  <c r="J5250" s="1"/>
  <c r="I5250"/>
  <c r="H5251"/>
  <c r="J5251" s="1"/>
  <c r="I5251"/>
  <c r="H5252"/>
  <c r="J5252" s="1"/>
  <c r="I5252"/>
  <c r="H5253"/>
  <c r="J5253" s="1"/>
  <c r="I5253"/>
  <c r="H5254"/>
  <c r="J5254" s="1"/>
  <c r="I5254"/>
  <c r="H5255"/>
  <c r="J5255" s="1"/>
  <c r="I5255"/>
  <c r="H5256"/>
  <c r="J5256" s="1"/>
  <c r="I5256"/>
  <c r="H5257"/>
  <c r="J5257" s="1"/>
  <c r="I5257"/>
  <c r="H5258"/>
  <c r="J5258" s="1"/>
  <c r="I5258"/>
  <c r="H5259"/>
  <c r="J5259" s="1"/>
  <c r="I5259"/>
  <c r="H5260"/>
  <c r="J5260" s="1"/>
  <c r="I5260"/>
  <c r="H5261"/>
  <c r="J5261" s="1"/>
  <c r="I5261"/>
  <c r="H5262"/>
  <c r="J5262" s="1"/>
  <c r="I5262"/>
  <c r="H5263"/>
  <c r="J5263" s="1"/>
  <c r="I5263"/>
  <c r="H5264"/>
  <c r="J5264" s="1"/>
  <c r="I5264"/>
  <c r="H5265"/>
  <c r="J5265" s="1"/>
  <c r="I5265"/>
  <c r="H5266"/>
  <c r="J5266" s="1"/>
  <c r="I5266"/>
  <c r="H5267"/>
  <c r="J5267" s="1"/>
  <c r="I5267"/>
  <c r="H5268"/>
  <c r="J5268" s="1"/>
  <c r="I5268"/>
  <c r="H5269"/>
  <c r="J5269" s="1"/>
  <c r="I5269"/>
  <c r="H5270"/>
  <c r="J5270" s="1"/>
  <c r="I5270"/>
  <c r="H5271"/>
  <c r="J5271" s="1"/>
  <c r="I5271"/>
  <c r="H5272"/>
  <c r="J5272" s="1"/>
  <c r="I5272"/>
  <c r="H5273"/>
  <c r="J5273" s="1"/>
  <c r="I5273"/>
  <c r="H5274"/>
  <c r="J5274" s="1"/>
  <c r="I5274"/>
  <c r="H5275"/>
  <c r="J5275" s="1"/>
  <c r="I5275"/>
  <c r="H5276"/>
  <c r="J5276" s="1"/>
  <c r="I5276"/>
  <c r="H5277"/>
  <c r="J5277" s="1"/>
  <c r="I5277"/>
  <c r="H5278"/>
  <c r="J5278" s="1"/>
  <c r="I5278"/>
  <c r="H5279"/>
  <c r="J5279" s="1"/>
  <c r="I5279"/>
  <c r="H5280"/>
  <c r="J5280" s="1"/>
  <c r="I5280"/>
  <c r="H5281"/>
  <c r="J5281" s="1"/>
  <c r="I5281"/>
  <c r="H5282"/>
  <c r="J5282" s="1"/>
  <c r="I5282"/>
  <c r="H5283"/>
  <c r="I5283"/>
  <c r="J5283"/>
  <c r="H5284"/>
  <c r="J5284" s="1"/>
  <c r="I5284"/>
  <c r="H5285"/>
  <c r="J5285" s="1"/>
  <c r="I5285"/>
  <c r="H5286"/>
  <c r="J5286" s="1"/>
  <c r="I5286"/>
  <c r="H5287"/>
  <c r="J5287" s="1"/>
  <c r="I5287"/>
  <c r="H5288"/>
  <c r="J5288" s="1"/>
  <c r="I5288"/>
  <c r="H5289"/>
  <c r="I5289"/>
  <c r="J5289"/>
  <c r="H5290"/>
  <c r="J5290" s="1"/>
  <c r="I5290"/>
  <c r="H5291"/>
  <c r="J5291" s="1"/>
  <c r="I5291"/>
  <c r="H5292"/>
  <c r="J5292" s="1"/>
  <c r="I5292"/>
  <c r="H5293"/>
  <c r="J5293" s="1"/>
  <c r="I5293"/>
  <c r="H5294"/>
  <c r="I5294"/>
  <c r="J5294"/>
  <c r="H5295"/>
  <c r="J5295" s="1"/>
  <c r="I5295"/>
  <c r="H5296"/>
  <c r="J5296" s="1"/>
  <c r="I5296"/>
  <c r="H5297"/>
  <c r="J5297" s="1"/>
  <c r="I5297"/>
  <c r="H5298"/>
  <c r="J5298" s="1"/>
  <c r="I5298"/>
  <c r="H5299"/>
  <c r="J5299" s="1"/>
  <c r="I5299"/>
  <c r="H5300"/>
  <c r="J5300" s="1"/>
  <c r="I5300"/>
  <c r="H5301"/>
  <c r="J5301" s="1"/>
  <c r="I5301"/>
  <c r="H5302"/>
  <c r="J5302" s="1"/>
  <c r="I5302"/>
  <c r="H5303"/>
  <c r="J5303" s="1"/>
  <c r="I5303"/>
  <c r="H5304"/>
  <c r="J5304" s="1"/>
  <c r="I5304"/>
  <c r="H5305"/>
  <c r="J5305" s="1"/>
  <c r="I5305"/>
  <c r="H5306"/>
  <c r="J5306" s="1"/>
  <c r="I5306"/>
  <c r="H5307"/>
  <c r="J5307" s="1"/>
  <c r="I5307"/>
  <c r="H5308"/>
  <c r="J5308" s="1"/>
  <c r="I5308"/>
  <c r="H5309"/>
  <c r="J5309" s="1"/>
  <c r="I5309"/>
  <c r="H5310"/>
  <c r="J5310" s="1"/>
  <c r="I5310"/>
  <c r="H5311"/>
  <c r="J5311" s="1"/>
  <c r="I5311"/>
  <c r="H5312"/>
  <c r="J5312" s="1"/>
  <c r="I5312"/>
  <c r="H5313"/>
  <c r="J5313" s="1"/>
  <c r="I5313"/>
  <c r="H5314"/>
  <c r="I5314"/>
  <c r="J5314"/>
  <c r="H5315"/>
  <c r="J5315" s="1"/>
  <c r="I5315"/>
  <c r="H5316"/>
  <c r="J5316" s="1"/>
  <c r="I5316"/>
  <c r="H5317"/>
  <c r="J5317" s="1"/>
  <c r="I5317"/>
  <c r="H5318"/>
  <c r="J5318" s="1"/>
  <c r="I5318"/>
  <c r="H5319"/>
  <c r="J5319" s="1"/>
  <c r="I5319"/>
  <c r="H5320"/>
  <c r="J5320" s="1"/>
  <c r="I5320"/>
  <c r="H5321"/>
  <c r="J5321" s="1"/>
  <c r="I5321"/>
  <c r="H5322"/>
  <c r="J5322" s="1"/>
  <c r="I5322"/>
  <c r="H5323"/>
  <c r="J5323" s="1"/>
  <c r="I5323"/>
  <c r="H5324"/>
  <c r="J5324" s="1"/>
  <c r="I5324"/>
  <c r="H5325"/>
  <c r="J5325" s="1"/>
  <c r="I5325"/>
  <c r="H5326"/>
  <c r="J5326" s="1"/>
  <c r="I5326"/>
  <c r="H5327"/>
  <c r="J5327" s="1"/>
  <c r="I5327"/>
  <c r="H5328"/>
  <c r="J5328" s="1"/>
  <c r="I5328"/>
  <c r="H5329"/>
  <c r="J5329" s="1"/>
  <c r="I5329"/>
  <c r="H5330"/>
  <c r="J5330" s="1"/>
  <c r="I5330"/>
  <c r="H5331"/>
  <c r="J5331" s="1"/>
  <c r="I5331"/>
  <c r="H5332"/>
  <c r="J5332" s="1"/>
  <c r="I5332"/>
  <c r="H5333"/>
  <c r="J5333" s="1"/>
  <c r="I5333"/>
  <c r="H5334"/>
  <c r="J5334" s="1"/>
  <c r="I5334"/>
  <c r="H5335"/>
  <c r="J5335" s="1"/>
  <c r="I5335"/>
  <c r="H5336"/>
  <c r="J5336" s="1"/>
  <c r="I5336"/>
  <c r="H5337"/>
  <c r="J5337" s="1"/>
  <c r="I5337"/>
  <c r="H5338"/>
  <c r="I5338"/>
  <c r="J5338"/>
  <c r="H5339"/>
  <c r="J5339" s="1"/>
  <c r="I5339"/>
  <c r="H5340"/>
  <c r="J5340" s="1"/>
  <c r="I5340"/>
  <c r="H5341"/>
  <c r="J5341" s="1"/>
  <c r="I5341"/>
  <c r="H5342"/>
  <c r="J5342" s="1"/>
  <c r="I5342"/>
  <c r="H5343"/>
  <c r="J5343" s="1"/>
  <c r="I5343"/>
  <c r="H5344"/>
  <c r="J5344" s="1"/>
  <c r="I5344"/>
  <c r="H5345"/>
  <c r="J5345" s="1"/>
  <c r="I5345"/>
  <c r="H5346"/>
  <c r="J5346" s="1"/>
  <c r="I5346"/>
  <c r="H5347"/>
  <c r="J5347" s="1"/>
  <c r="I5347"/>
  <c r="H5348"/>
  <c r="J5348" s="1"/>
  <c r="I5348"/>
  <c r="H5349"/>
  <c r="J5349" s="1"/>
  <c r="I5349"/>
  <c r="H5350"/>
  <c r="J5350" s="1"/>
  <c r="I5350"/>
  <c r="H5351"/>
  <c r="J5351" s="1"/>
  <c r="I5351"/>
  <c r="H5352"/>
  <c r="J5352" s="1"/>
  <c r="I5352"/>
  <c r="H5353"/>
  <c r="J5353" s="1"/>
  <c r="I5353"/>
  <c r="H5354"/>
  <c r="J5354" s="1"/>
  <c r="I5354"/>
  <c r="H5355"/>
  <c r="J5355" s="1"/>
  <c r="I5355"/>
  <c r="H5356"/>
  <c r="J5356" s="1"/>
  <c r="I5356"/>
  <c r="H5357"/>
  <c r="J5357" s="1"/>
  <c r="I5357"/>
  <c r="H5358"/>
  <c r="J5358" s="1"/>
  <c r="I5358"/>
  <c r="H5359"/>
  <c r="J5359" s="1"/>
  <c r="I5359"/>
  <c r="H5360"/>
  <c r="I5360"/>
  <c r="J5360"/>
  <c r="H5361"/>
  <c r="J5361" s="1"/>
  <c r="I5361"/>
  <c r="H5362"/>
  <c r="J5362" s="1"/>
  <c r="I5362"/>
  <c r="H5363"/>
  <c r="J5363" s="1"/>
  <c r="I5363"/>
  <c r="H5364"/>
  <c r="J5364" s="1"/>
  <c r="I5364"/>
  <c r="H5365"/>
  <c r="J5365" s="1"/>
  <c r="I5365"/>
  <c r="H5366"/>
  <c r="J5366" s="1"/>
  <c r="I5366"/>
  <c r="H5367"/>
  <c r="J5367" s="1"/>
  <c r="I5367"/>
  <c r="H5368"/>
  <c r="J5368" s="1"/>
  <c r="I5368"/>
  <c r="H5369"/>
  <c r="I5369"/>
  <c r="J5369"/>
  <c r="H5370"/>
  <c r="J5370" s="1"/>
  <c r="I5370"/>
  <c r="H5371"/>
  <c r="J5371" s="1"/>
  <c r="I5371"/>
  <c r="H5372"/>
  <c r="J5372" s="1"/>
  <c r="I5372"/>
  <c r="H5373"/>
  <c r="J5373" s="1"/>
  <c r="I5373"/>
  <c r="H5374"/>
  <c r="J5374" s="1"/>
  <c r="I5374"/>
  <c r="H5375"/>
  <c r="J5375" s="1"/>
  <c r="I5375"/>
  <c r="H5376"/>
  <c r="J5376" s="1"/>
  <c r="I5376"/>
  <c r="H5377"/>
  <c r="J5377" s="1"/>
  <c r="I5377"/>
  <c r="H5378"/>
  <c r="J5378" s="1"/>
  <c r="I5378"/>
  <c r="H5379"/>
  <c r="J5379" s="1"/>
  <c r="I5379"/>
  <c r="H5380"/>
  <c r="J5380" s="1"/>
  <c r="I5380"/>
  <c r="H5381"/>
  <c r="J5381" s="1"/>
  <c r="I5381"/>
  <c r="H5382"/>
  <c r="I5382"/>
  <c r="J5382"/>
  <c r="H5383"/>
  <c r="J5383" s="1"/>
  <c r="I5383"/>
  <c r="H5384"/>
  <c r="J5384" s="1"/>
  <c r="I5384"/>
  <c r="H5385"/>
  <c r="J5385" s="1"/>
  <c r="I5385"/>
  <c r="H5386"/>
  <c r="J5386" s="1"/>
  <c r="I5386"/>
  <c r="H5387"/>
  <c r="J5387" s="1"/>
  <c r="I5387"/>
  <c r="H5388"/>
  <c r="J5388" s="1"/>
  <c r="I5388"/>
  <c r="H5389"/>
  <c r="J5389" s="1"/>
  <c r="I5389"/>
  <c r="H5390"/>
  <c r="J5390" s="1"/>
  <c r="I5390"/>
  <c r="H5391"/>
  <c r="J5391" s="1"/>
  <c r="I5391"/>
  <c r="H5392"/>
  <c r="J5392" s="1"/>
  <c r="I5392"/>
  <c r="H5393"/>
  <c r="J5393" s="1"/>
  <c r="I5393"/>
  <c r="H5394"/>
  <c r="J5394" s="1"/>
  <c r="I5394"/>
  <c r="H5395"/>
  <c r="J5395" s="1"/>
  <c r="I5395"/>
  <c r="H5396"/>
  <c r="J5396" s="1"/>
  <c r="I5396"/>
  <c r="H5397"/>
  <c r="J5397" s="1"/>
  <c r="I5397"/>
  <c r="H5398"/>
  <c r="J5398" s="1"/>
  <c r="I5398"/>
  <c r="H5399"/>
  <c r="J5399" s="1"/>
  <c r="I5399"/>
  <c r="H5400"/>
  <c r="J5400" s="1"/>
  <c r="I5400"/>
  <c r="H5401"/>
  <c r="J5401" s="1"/>
  <c r="I5401"/>
  <c r="H5402"/>
  <c r="J5402" s="1"/>
  <c r="I5402"/>
  <c r="H5403"/>
  <c r="J5403" s="1"/>
  <c r="I5403"/>
  <c r="H5404"/>
  <c r="J5404" s="1"/>
  <c r="I5404"/>
  <c r="H5405"/>
  <c r="J5405" s="1"/>
  <c r="I5405"/>
  <c r="H5406"/>
  <c r="J5406" s="1"/>
  <c r="I5406"/>
  <c r="H5407"/>
  <c r="J5407" s="1"/>
  <c r="I5407"/>
  <c r="H5408"/>
  <c r="J5408" s="1"/>
  <c r="I5408"/>
  <c r="H5409"/>
  <c r="J5409" s="1"/>
  <c r="I5409"/>
  <c r="H5410"/>
  <c r="I5410"/>
  <c r="J5410"/>
  <c r="H5411"/>
  <c r="J5411" s="1"/>
  <c r="I5411"/>
  <c r="H5412"/>
  <c r="J5412" s="1"/>
  <c r="I5412"/>
  <c r="H5413"/>
  <c r="J5413" s="1"/>
  <c r="I5413"/>
  <c r="H5414"/>
  <c r="J5414" s="1"/>
  <c r="I5414"/>
  <c r="H5415"/>
  <c r="J5415" s="1"/>
  <c r="I5415"/>
  <c r="H5416"/>
  <c r="J5416" s="1"/>
  <c r="I5416"/>
  <c r="H5417"/>
  <c r="J5417" s="1"/>
  <c r="I5417"/>
  <c r="H5418"/>
  <c r="J5418" s="1"/>
  <c r="I5418"/>
  <c r="H5419"/>
  <c r="J5419" s="1"/>
  <c r="I5419"/>
  <c r="H5420"/>
  <c r="J5420" s="1"/>
  <c r="I5420"/>
  <c r="H5421"/>
  <c r="J5421" s="1"/>
  <c r="I5421"/>
  <c r="H5422"/>
  <c r="J5422" s="1"/>
  <c r="I5422"/>
  <c r="H5423"/>
  <c r="J5423" s="1"/>
  <c r="I5423"/>
  <c r="H5424"/>
  <c r="J5424" s="1"/>
  <c r="I5424"/>
  <c r="H5425"/>
  <c r="J5425" s="1"/>
  <c r="I5425"/>
  <c r="H5426"/>
  <c r="J5426" s="1"/>
  <c r="I5426"/>
  <c r="H5427"/>
  <c r="J5427" s="1"/>
  <c r="I5427"/>
  <c r="H5428"/>
  <c r="I5428"/>
  <c r="J5428"/>
  <c r="H5429"/>
  <c r="J5429" s="1"/>
  <c r="I5429"/>
  <c r="H5430"/>
  <c r="J5430" s="1"/>
  <c r="I5430"/>
  <c r="H5431"/>
  <c r="J5431" s="1"/>
  <c r="I5431"/>
  <c r="H5432"/>
  <c r="J5432" s="1"/>
  <c r="I5432"/>
  <c r="H5433"/>
  <c r="J5433" s="1"/>
  <c r="I5433"/>
  <c r="H5434"/>
  <c r="J5434" s="1"/>
  <c r="I5434"/>
  <c r="H5435"/>
  <c r="J5435" s="1"/>
  <c r="I5435"/>
  <c r="H5436"/>
  <c r="J5436" s="1"/>
  <c r="I5436"/>
  <c r="H5437"/>
  <c r="J5437" s="1"/>
  <c r="I5437"/>
  <c r="H5438"/>
  <c r="I5438"/>
  <c r="J5438"/>
  <c r="H5439"/>
  <c r="J5439" s="1"/>
  <c r="I5439"/>
  <c r="H5440"/>
  <c r="J5440" s="1"/>
  <c r="I5440"/>
  <c r="H5441"/>
  <c r="J5441" s="1"/>
  <c r="I5441"/>
  <c r="H5442"/>
  <c r="J5442" s="1"/>
  <c r="I5442"/>
  <c r="H5443"/>
  <c r="J5443" s="1"/>
  <c r="I5443"/>
  <c r="H5444"/>
  <c r="J5444" s="1"/>
  <c r="I5444"/>
  <c r="H5445"/>
  <c r="J5445" s="1"/>
  <c r="I5445"/>
  <c r="H5446"/>
  <c r="J5446" s="1"/>
  <c r="I5446"/>
  <c r="H5447"/>
  <c r="J5447" s="1"/>
  <c r="I5447"/>
  <c r="H5448"/>
  <c r="J5448" s="1"/>
  <c r="I5448"/>
  <c r="H5449"/>
  <c r="J5449" s="1"/>
  <c r="I5449"/>
  <c r="H5450"/>
  <c r="J5450" s="1"/>
  <c r="I5450"/>
  <c r="H5451"/>
  <c r="J5451" s="1"/>
  <c r="I5451"/>
  <c r="H5452"/>
  <c r="J5452" s="1"/>
  <c r="I5452"/>
  <c r="H5453"/>
  <c r="J5453" s="1"/>
  <c r="I5453"/>
  <c r="H5454"/>
  <c r="J5454" s="1"/>
  <c r="I5454"/>
  <c r="H5455"/>
  <c r="J5455" s="1"/>
  <c r="I5455"/>
  <c r="H5456"/>
  <c r="J5456" s="1"/>
  <c r="I5456"/>
  <c r="H5457"/>
  <c r="J5457" s="1"/>
  <c r="I5457"/>
  <c r="H5458"/>
  <c r="J5458" s="1"/>
  <c r="I5458"/>
  <c r="H5459"/>
  <c r="J5459" s="1"/>
  <c r="I5459"/>
  <c r="H5460"/>
  <c r="J5460" s="1"/>
  <c r="I5460"/>
  <c r="H5461"/>
  <c r="J5461" s="1"/>
  <c r="I5461"/>
  <c r="H5462"/>
  <c r="J5462" s="1"/>
  <c r="I5462"/>
  <c r="H5463"/>
  <c r="J5463" s="1"/>
  <c r="I5463"/>
  <c r="H5464"/>
  <c r="I5464"/>
  <c r="J5464"/>
  <c r="H5465"/>
  <c r="J5465" s="1"/>
  <c r="I5465"/>
  <c r="H5466"/>
  <c r="J5466" s="1"/>
  <c r="I5466"/>
  <c r="H5467"/>
  <c r="J5467" s="1"/>
  <c r="I5467"/>
  <c r="H5468"/>
  <c r="J5468" s="1"/>
  <c r="I5468"/>
  <c r="H5469"/>
  <c r="J5469" s="1"/>
  <c r="I5469"/>
  <c r="H5470"/>
  <c r="J5470" s="1"/>
  <c r="I5470"/>
  <c r="H5471"/>
  <c r="J5471" s="1"/>
  <c r="I5471"/>
  <c r="H5472"/>
  <c r="J5472" s="1"/>
  <c r="I5472"/>
  <c r="H5473"/>
  <c r="J5473" s="1"/>
  <c r="I5473"/>
  <c r="H5474"/>
  <c r="J5474" s="1"/>
  <c r="I5474"/>
  <c r="H5475"/>
  <c r="I5475"/>
  <c r="J5475"/>
  <c r="H5476"/>
  <c r="J5476" s="1"/>
  <c r="I5476"/>
  <c r="H5477"/>
  <c r="J5477" s="1"/>
  <c r="I5477"/>
  <c r="H5478"/>
  <c r="J5478" s="1"/>
  <c r="I5478"/>
  <c r="H5479"/>
  <c r="J5479" s="1"/>
  <c r="I5479"/>
  <c r="H5480"/>
  <c r="J5480" s="1"/>
  <c r="I5480"/>
  <c r="H5481"/>
  <c r="J5481" s="1"/>
  <c r="I5481"/>
  <c r="H5482"/>
  <c r="J5482" s="1"/>
  <c r="I5482"/>
  <c r="H5483"/>
  <c r="J5483" s="1"/>
  <c r="I5483"/>
  <c r="H5484"/>
  <c r="J5484" s="1"/>
  <c r="I5484"/>
  <c r="H5485"/>
  <c r="J5485" s="1"/>
  <c r="I5485"/>
  <c r="H5486"/>
  <c r="J5486" s="1"/>
  <c r="I5486"/>
  <c r="H5487"/>
  <c r="J5487" s="1"/>
  <c r="I5487"/>
  <c r="H5488"/>
  <c r="J5488" s="1"/>
  <c r="I5488"/>
  <c r="H5489"/>
  <c r="J5489" s="1"/>
  <c r="I5489"/>
  <c r="H5490"/>
  <c r="J5490" s="1"/>
  <c r="I5490"/>
  <c r="H5491"/>
  <c r="J5491" s="1"/>
  <c r="I5491"/>
  <c r="H5492"/>
  <c r="J5492" s="1"/>
  <c r="I5492"/>
  <c r="H5493"/>
  <c r="J5493" s="1"/>
  <c r="I5493"/>
  <c r="H5494"/>
  <c r="J5494" s="1"/>
  <c r="I5494"/>
  <c r="H5495"/>
  <c r="J5495" s="1"/>
  <c r="I5495"/>
  <c r="H5496"/>
  <c r="I5496"/>
  <c r="J5496"/>
  <c r="H5497"/>
  <c r="J5497" s="1"/>
  <c r="I5497"/>
  <c r="H5498"/>
  <c r="J5498" s="1"/>
  <c r="I5498"/>
  <c r="H5499"/>
  <c r="J5499" s="1"/>
  <c r="I5499"/>
  <c r="H5500"/>
  <c r="J5500" s="1"/>
  <c r="I5500"/>
  <c r="H5501"/>
  <c r="J5501" s="1"/>
  <c r="I5501"/>
  <c r="H5502"/>
  <c r="J5502" s="1"/>
  <c r="I5502"/>
  <c r="H5503"/>
  <c r="J5503" s="1"/>
  <c r="I5503"/>
  <c r="H5504"/>
  <c r="J5504" s="1"/>
  <c r="I5504"/>
  <c r="H5505"/>
  <c r="J5505" s="1"/>
  <c r="I5505"/>
  <c r="H5506"/>
  <c r="J5506" s="1"/>
  <c r="I5506"/>
  <c r="H5507"/>
  <c r="J5507" s="1"/>
  <c r="I5507"/>
  <c r="H5508"/>
  <c r="J5508" s="1"/>
  <c r="I5508"/>
  <c r="H5509"/>
  <c r="J5509" s="1"/>
  <c r="I5509"/>
  <c r="H5510"/>
  <c r="J5510" s="1"/>
  <c r="I5510"/>
  <c r="H5511"/>
  <c r="J5511" s="1"/>
  <c r="I5511"/>
  <c r="H5512"/>
  <c r="J5512" s="1"/>
  <c r="I5512"/>
  <c r="H5513"/>
  <c r="I5513"/>
  <c r="J5513"/>
  <c r="H5514"/>
  <c r="J5514" s="1"/>
  <c r="I5514"/>
  <c r="H5515"/>
  <c r="J5515" s="1"/>
  <c r="I5515"/>
  <c r="H5516"/>
  <c r="J5516" s="1"/>
  <c r="I5516"/>
  <c r="H5517"/>
  <c r="J5517" s="1"/>
  <c r="I5517"/>
  <c r="H5518"/>
  <c r="J5518" s="1"/>
  <c r="I5518"/>
  <c r="H5519"/>
  <c r="I5519"/>
  <c r="J5519"/>
  <c r="H5520"/>
  <c r="J5520" s="1"/>
  <c r="I5520"/>
  <c r="H5521"/>
  <c r="J5521" s="1"/>
  <c r="I5521"/>
  <c r="H5522"/>
  <c r="J5522" s="1"/>
  <c r="I5522"/>
  <c r="H5523"/>
  <c r="J5523" s="1"/>
  <c r="I5523"/>
  <c r="H5524"/>
  <c r="J5524" s="1"/>
  <c r="I5524"/>
  <c r="H5525"/>
  <c r="J5525" s="1"/>
  <c r="I5525"/>
  <c r="H5526"/>
  <c r="J5526" s="1"/>
  <c r="I5526"/>
  <c r="H5527"/>
  <c r="J5527" s="1"/>
  <c r="I5527"/>
  <c r="H5528"/>
  <c r="J5528" s="1"/>
  <c r="I5528"/>
  <c r="H5529"/>
  <c r="J5529" s="1"/>
  <c r="I5529"/>
  <c r="H5530"/>
  <c r="J5530" s="1"/>
  <c r="I5530"/>
  <c r="H5531"/>
  <c r="J5531" s="1"/>
  <c r="I5531"/>
  <c r="H5532"/>
  <c r="J5532" s="1"/>
  <c r="I5532"/>
  <c r="H5533"/>
  <c r="J5533" s="1"/>
  <c r="I5533"/>
  <c r="H5534"/>
  <c r="J5534" s="1"/>
  <c r="I5534"/>
  <c r="H5535"/>
  <c r="J5535" s="1"/>
  <c r="I5535"/>
  <c r="H5536"/>
  <c r="J5536" s="1"/>
  <c r="I5536"/>
  <c r="H5537"/>
  <c r="J5537" s="1"/>
  <c r="I5537"/>
  <c r="H5538"/>
  <c r="I5538"/>
  <c r="J5538"/>
  <c r="H5539"/>
  <c r="J5539" s="1"/>
  <c r="I5539"/>
  <c r="H5540"/>
  <c r="J5540" s="1"/>
  <c r="I5540"/>
  <c r="H5541"/>
  <c r="J5541" s="1"/>
  <c r="I5541"/>
  <c r="H5542"/>
  <c r="I5542"/>
  <c r="J5542"/>
  <c r="H5543"/>
  <c r="J5543" s="1"/>
  <c r="I5543"/>
  <c r="H5544"/>
  <c r="J5544" s="1"/>
  <c r="I5544"/>
  <c r="H5545"/>
  <c r="J5545" s="1"/>
  <c r="I5545"/>
  <c r="H5546"/>
  <c r="J5546" s="1"/>
  <c r="I5546"/>
  <c r="H5547"/>
  <c r="J5547" s="1"/>
  <c r="I5547"/>
  <c r="H5548"/>
  <c r="J5548" s="1"/>
  <c r="I5548"/>
  <c r="H5549"/>
  <c r="J5549" s="1"/>
  <c r="I5549"/>
  <c r="H5550"/>
  <c r="I5550"/>
  <c r="J5550"/>
  <c r="H5551"/>
  <c r="J5551" s="1"/>
  <c r="I5551"/>
  <c r="H5552"/>
  <c r="J5552" s="1"/>
  <c r="I5552"/>
  <c r="H5553"/>
  <c r="J5553" s="1"/>
  <c r="I5553"/>
  <c r="H5554"/>
  <c r="J5554" s="1"/>
  <c r="I5554"/>
  <c r="H5555"/>
  <c r="J5555" s="1"/>
  <c r="I5555"/>
  <c r="H5556"/>
  <c r="J5556" s="1"/>
  <c r="I5556"/>
  <c r="H5557"/>
  <c r="J5557" s="1"/>
  <c r="I5557"/>
  <c r="H5558"/>
  <c r="J5558" s="1"/>
  <c r="I5558"/>
  <c r="H5559"/>
  <c r="J5559" s="1"/>
  <c r="I5559"/>
  <c r="H5560"/>
  <c r="I5560"/>
  <c r="J5560"/>
  <c r="H5561"/>
  <c r="J5561" s="1"/>
  <c r="I5561"/>
  <c r="H5562"/>
  <c r="J5562" s="1"/>
  <c r="I5562"/>
  <c r="H5563"/>
  <c r="J5563" s="1"/>
  <c r="I5563"/>
  <c r="H5564"/>
  <c r="J5564" s="1"/>
  <c r="I5564"/>
  <c r="H5565"/>
  <c r="J5565" s="1"/>
  <c r="I5565"/>
  <c r="H5566"/>
  <c r="J5566" s="1"/>
  <c r="I5566"/>
  <c r="H5567"/>
  <c r="J5567" s="1"/>
  <c r="I5567"/>
  <c r="H5568"/>
  <c r="J5568" s="1"/>
  <c r="I5568"/>
  <c r="H5569"/>
  <c r="J5569" s="1"/>
  <c r="I5569"/>
  <c r="H5570"/>
  <c r="J5570" s="1"/>
  <c r="I5570"/>
  <c r="H5571"/>
  <c r="J5571" s="1"/>
  <c r="I5571"/>
  <c r="H5572"/>
  <c r="J5572" s="1"/>
  <c r="I5572"/>
  <c r="H5573"/>
  <c r="J5573" s="1"/>
  <c r="I5573"/>
  <c r="H5574"/>
  <c r="J5574" s="1"/>
  <c r="I5574"/>
  <c r="H5575"/>
  <c r="J5575" s="1"/>
  <c r="I5575"/>
  <c r="H5576"/>
  <c r="J5576" s="1"/>
  <c r="I5576"/>
  <c r="H5577"/>
  <c r="J5577" s="1"/>
  <c r="I5577"/>
  <c r="H5578"/>
  <c r="J5578" s="1"/>
  <c r="I5578"/>
  <c r="H5579"/>
  <c r="J5579" s="1"/>
  <c r="I5579"/>
  <c r="H5580"/>
  <c r="J5580" s="1"/>
  <c r="I5580"/>
  <c r="H5581"/>
  <c r="J5581" s="1"/>
  <c r="I5581"/>
  <c r="H5582"/>
  <c r="J5582" s="1"/>
  <c r="I5582"/>
  <c r="H5583"/>
  <c r="J5583" s="1"/>
  <c r="I5583"/>
  <c r="H5584"/>
  <c r="J5584" s="1"/>
  <c r="I5584"/>
  <c r="H5585"/>
  <c r="J5585" s="1"/>
  <c r="I5585"/>
  <c r="H5586"/>
  <c r="I5586"/>
  <c r="J5586"/>
  <c r="H5587"/>
  <c r="J5587" s="1"/>
  <c r="I5587"/>
  <c r="H5588"/>
  <c r="J5588" s="1"/>
  <c r="I5588"/>
  <c r="H5589"/>
  <c r="J5589" s="1"/>
  <c r="I5589"/>
  <c r="H5590"/>
  <c r="J5590" s="1"/>
  <c r="I5590"/>
  <c r="H5591"/>
  <c r="J5591" s="1"/>
  <c r="I5591"/>
  <c r="H5592"/>
  <c r="J5592" s="1"/>
  <c r="I5592"/>
  <c r="H5593"/>
  <c r="J5593" s="1"/>
  <c r="I5593"/>
  <c r="H5594"/>
  <c r="J5594" s="1"/>
  <c r="I5594"/>
  <c r="H5595"/>
  <c r="J5595" s="1"/>
  <c r="I5595"/>
  <c r="H5596"/>
  <c r="J5596" s="1"/>
  <c r="I5596"/>
  <c r="H5597"/>
  <c r="J5597" s="1"/>
  <c r="I5597"/>
  <c r="H5598"/>
  <c r="J5598" s="1"/>
  <c r="I5598"/>
  <c r="H5599"/>
  <c r="I5599"/>
  <c r="J5599"/>
  <c r="H5600"/>
  <c r="J5600" s="1"/>
  <c r="I5600"/>
  <c r="H5601"/>
  <c r="J5601" s="1"/>
  <c r="I5601"/>
  <c r="H5602"/>
  <c r="J5602" s="1"/>
  <c r="I5602"/>
  <c r="H5603"/>
  <c r="J5603" s="1"/>
  <c r="I5603"/>
  <c r="H5604"/>
  <c r="J5604" s="1"/>
  <c r="I5604"/>
  <c r="H5605"/>
  <c r="J5605" s="1"/>
  <c r="I5605"/>
  <c r="H5606"/>
  <c r="J5606" s="1"/>
  <c r="I5606"/>
  <c r="H5607"/>
  <c r="J5607" s="1"/>
  <c r="I5607"/>
  <c r="H5608"/>
  <c r="J5608" s="1"/>
  <c r="I5608"/>
  <c r="H5609"/>
  <c r="J5609" s="1"/>
  <c r="I5609"/>
  <c r="H5610"/>
  <c r="J5610" s="1"/>
  <c r="I5610"/>
  <c r="H5611"/>
  <c r="J5611" s="1"/>
  <c r="I5611"/>
  <c r="H5612"/>
  <c r="J5612" s="1"/>
  <c r="I5612"/>
  <c r="H5613"/>
  <c r="J5613" s="1"/>
  <c r="I5613"/>
  <c r="H5614"/>
  <c r="J5614" s="1"/>
  <c r="I5614"/>
  <c r="H5615"/>
  <c r="J5615" s="1"/>
  <c r="I5615"/>
  <c r="H5616"/>
  <c r="J5616" s="1"/>
  <c r="I5616"/>
  <c r="H5617"/>
  <c r="J5617" s="1"/>
  <c r="I5617"/>
  <c r="H5618"/>
  <c r="J5618" s="1"/>
  <c r="I5618"/>
  <c r="H5619"/>
  <c r="J5619" s="1"/>
  <c r="I5619"/>
  <c r="H5620"/>
  <c r="J5620" s="1"/>
  <c r="I5620"/>
  <c r="H5621"/>
  <c r="J5621" s="1"/>
  <c r="I5621"/>
  <c r="H5622"/>
  <c r="J5622" s="1"/>
  <c r="I5622"/>
  <c r="H5623"/>
  <c r="J5623" s="1"/>
  <c r="I5623"/>
  <c r="H5624"/>
  <c r="J5624" s="1"/>
  <c r="I5624"/>
  <c r="H5625"/>
  <c r="J5625" s="1"/>
  <c r="I5625"/>
  <c r="H5626"/>
  <c r="J5626" s="1"/>
  <c r="I5626"/>
  <c r="H5627"/>
  <c r="J5627" s="1"/>
  <c r="I5627"/>
  <c r="H5628"/>
  <c r="J5628" s="1"/>
  <c r="I5628"/>
  <c r="H5629"/>
  <c r="J5629" s="1"/>
  <c r="I5629"/>
  <c r="H5630"/>
  <c r="J5630" s="1"/>
  <c r="I5630"/>
  <c r="H5631"/>
  <c r="J5631" s="1"/>
  <c r="I5631"/>
  <c r="H5632"/>
  <c r="J5632" s="1"/>
  <c r="I5632"/>
  <c r="H5633"/>
  <c r="J5633" s="1"/>
  <c r="I5633"/>
  <c r="H5634"/>
  <c r="J5634" s="1"/>
  <c r="I5634"/>
  <c r="H5635"/>
  <c r="J5635" s="1"/>
  <c r="I5635"/>
  <c r="H5636"/>
  <c r="J5636" s="1"/>
  <c r="I5636"/>
  <c r="H5637"/>
  <c r="J5637" s="1"/>
  <c r="I5637"/>
  <c r="H5638"/>
  <c r="J5638" s="1"/>
  <c r="I5638"/>
  <c r="H5639"/>
  <c r="J5639" s="1"/>
  <c r="I5639"/>
  <c r="H5640"/>
  <c r="J5640" s="1"/>
  <c r="I5640"/>
  <c r="H5641"/>
  <c r="J5641" s="1"/>
  <c r="I5641"/>
  <c r="H5642"/>
  <c r="J5642" s="1"/>
  <c r="I5642"/>
  <c r="H5643"/>
  <c r="J5643" s="1"/>
  <c r="I5643"/>
  <c r="H5644"/>
  <c r="J5644" s="1"/>
  <c r="I5644"/>
  <c r="H5645"/>
  <c r="J5645" s="1"/>
  <c r="I5645"/>
  <c r="H5646"/>
  <c r="J5646" s="1"/>
  <c r="I5646"/>
  <c r="H5647"/>
  <c r="J5647" s="1"/>
  <c r="I5647"/>
  <c r="H5648"/>
  <c r="J5648" s="1"/>
  <c r="I5648"/>
  <c r="H5649"/>
  <c r="J5649" s="1"/>
  <c r="I5649"/>
  <c r="H5650"/>
  <c r="J5650" s="1"/>
  <c r="I5650"/>
  <c r="H5651"/>
  <c r="J5651" s="1"/>
  <c r="I5651"/>
  <c r="H5652"/>
  <c r="J5652" s="1"/>
  <c r="I5652"/>
  <c r="H5653"/>
  <c r="J5653" s="1"/>
  <c r="I5653"/>
  <c r="H5654"/>
  <c r="J5654" s="1"/>
  <c r="I5654"/>
  <c r="H5655"/>
  <c r="J5655" s="1"/>
  <c r="I5655"/>
  <c r="H5656"/>
  <c r="J5656" s="1"/>
  <c r="I5656"/>
  <c r="H5657"/>
  <c r="J5657" s="1"/>
  <c r="I5657"/>
  <c r="H5658"/>
  <c r="J5658" s="1"/>
  <c r="I5658"/>
  <c r="H5659"/>
  <c r="J5659" s="1"/>
  <c r="I5659"/>
  <c r="H5660"/>
  <c r="J5660" s="1"/>
  <c r="I5660"/>
  <c r="H5661"/>
  <c r="J5661" s="1"/>
  <c r="I5661"/>
  <c r="H5662"/>
  <c r="J5662" s="1"/>
  <c r="I5662"/>
  <c r="H5663"/>
  <c r="J5663" s="1"/>
  <c r="I5663"/>
  <c r="H5664"/>
  <c r="J5664" s="1"/>
  <c r="I5664"/>
  <c r="H5665"/>
  <c r="J5665" s="1"/>
  <c r="I5665"/>
  <c r="H5666"/>
  <c r="J5666" s="1"/>
  <c r="I5666"/>
  <c r="H5667"/>
  <c r="J5667" s="1"/>
  <c r="I5667"/>
  <c r="H5668"/>
  <c r="J5668" s="1"/>
  <c r="I5668"/>
  <c r="H5669"/>
  <c r="J5669" s="1"/>
  <c r="I5669"/>
  <c r="H5670"/>
  <c r="J5670" s="1"/>
  <c r="I5670"/>
  <c r="H5671"/>
  <c r="J5671" s="1"/>
  <c r="I5671"/>
  <c r="H5672"/>
  <c r="J5672" s="1"/>
  <c r="I5672"/>
  <c r="H5673"/>
  <c r="J5673" s="1"/>
  <c r="I5673"/>
  <c r="H5674"/>
  <c r="J5674" s="1"/>
  <c r="I5674"/>
  <c r="H5675"/>
  <c r="J5675" s="1"/>
  <c r="I5675"/>
  <c r="H5676"/>
  <c r="J5676" s="1"/>
  <c r="I5676"/>
  <c r="H5677"/>
  <c r="J5677" s="1"/>
  <c r="I5677"/>
  <c r="H5678"/>
  <c r="J5678" s="1"/>
  <c r="I5678"/>
  <c r="H5679"/>
  <c r="J5679" s="1"/>
  <c r="I5679"/>
  <c r="H5680"/>
  <c r="J5680" s="1"/>
  <c r="I5680"/>
  <c r="H5681"/>
  <c r="J5681" s="1"/>
  <c r="I5681"/>
  <c r="H5682"/>
  <c r="J5682" s="1"/>
  <c r="I5682"/>
  <c r="H5683"/>
  <c r="J5683" s="1"/>
  <c r="I5683"/>
  <c r="H5684"/>
  <c r="J5684" s="1"/>
  <c r="I5684"/>
  <c r="H5685"/>
  <c r="J5685" s="1"/>
  <c r="I5685"/>
  <c r="H5686"/>
  <c r="J5686" s="1"/>
  <c r="I5686"/>
  <c r="H5687"/>
  <c r="J5687" s="1"/>
  <c r="I5687"/>
  <c r="H5688"/>
  <c r="J5688" s="1"/>
  <c r="I5688"/>
  <c r="H5689"/>
  <c r="J5689" s="1"/>
  <c r="I5689"/>
  <c r="H5690"/>
  <c r="J5690" s="1"/>
  <c r="I5690"/>
  <c r="H5691"/>
  <c r="J5691" s="1"/>
  <c r="I5691"/>
  <c r="H5692"/>
  <c r="J5692" s="1"/>
  <c r="I5692"/>
  <c r="H5693"/>
  <c r="I5693"/>
  <c r="J5693"/>
  <c r="H5694"/>
  <c r="J5694" s="1"/>
  <c r="I5694"/>
  <c r="H5695"/>
  <c r="J5695" s="1"/>
  <c r="I5695"/>
  <c r="H5696"/>
  <c r="J5696" s="1"/>
  <c r="I5696"/>
  <c r="H5697"/>
  <c r="J5697" s="1"/>
  <c r="I5697"/>
  <c r="H5698"/>
  <c r="J5698" s="1"/>
  <c r="I5698"/>
  <c r="H5699"/>
  <c r="J5699" s="1"/>
  <c r="I5699"/>
  <c r="H5700"/>
  <c r="J5700" s="1"/>
  <c r="I5700"/>
  <c r="H5701"/>
  <c r="J5701" s="1"/>
  <c r="I5701"/>
  <c r="H5702"/>
  <c r="J5702" s="1"/>
  <c r="I5702"/>
  <c r="H5703"/>
  <c r="J5703" s="1"/>
  <c r="I5703"/>
  <c r="H5704"/>
  <c r="J5704" s="1"/>
  <c r="I5704"/>
  <c r="H5705"/>
  <c r="J5705" s="1"/>
  <c r="I5705"/>
  <c r="H5706"/>
  <c r="J5706" s="1"/>
  <c r="I5706"/>
  <c r="H5707"/>
  <c r="J5707" s="1"/>
  <c r="I5707"/>
  <c r="H5708"/>
  <c r="J5708" s="1"/>
  <c r="I5708"/>
  <c r="H5709"/>
  <c r="J5709" s="1"/>
  <c r="I5709"/>
  <c r="H5710"/>
  <c r="J5710" s="1"/>
  <c r="I5710"/>
  <c r="H5711"/>
  <c r="I5711"/>
  <c r="J5711"/>
  <c r="H5712"/>
  <c r="J5712" s="1"/>
  <c r="I5712"/>
  <c r="H5713"/>
  <c r="J5713" s="1"/>
  <c r="I5713"/>
  <c r="H5714"/>
  <c r="J5714" s="1"/>
  <c r="I5714"/>
  <c r="H5715"/>
  <c r="J5715" s="1"/>
  <c r="I5715"/>
  <c r="H5716"/>
  <c r="J5716" s="1"/>
  <c r="I5716"/>
  <c r="H5717"/>
  <c r="J5717" s="1"/>
  <c r="I5717"/>
  <c r="H5718"/>
  <c r="J5718" s="1"/>
  <c r="I5718"/>
  <c r="H5719"/>
  <c r="J5719" s="1"/>
  <c r="I5719"/>
  <c r="H5720"/>
  <c r="J5720" s="1"/>
  <c r="I5720"/>
  <c r="H5721"/>
  <c r="I5721"/>
  <c r="J5721"/>
  <c r="H5722"/>
  <c r="J5722" s="1"/>
  <c r="I5722"/>
  <c r="H5723"/>
  <c r="I5723"/>
  <c r="J5723"/>
  <c r="H5724"/>
  <c r="J5724" s="1"/>
  <c r="I5724"/>
  <c r="H5725"/>
  <c r="J5725" s="1"/>
  <c r="I5725"/>
  <c r="H5726"/>
  <c r="J5726" s="1"/>
  <c r="I5726"/>
  <c r="H5727"/>
  <c r="J5727" s="1"/>
  <c r="I5727"/>
  <c r="H5728"/>
  <c r="J5728" s="1"/>
  <c r="I5728"/>
  <c r="H5729"/>
  <c r="J5729" s="1"/>
  <c r="I5729"/>
  <c r="H5730"/>
  <c r="J5730" s="1"/>
  <c r="I5730"/>
  <c r="H5731"/>
  <c r="J5731" s="1"/>
  <c r="I5731"/>
  <c r="H5732"/>
  <c r="J5732" s="1"/>
  <c r="I5732"/>
  <c r="H5733"/>
  <c r="J5733" s="1"/>
  <c r="I5733"/>
  <c r="H5734"/>
  <c r="J5734" s="1"/>
  <c r="I5734"/>
  <c r="H5735"/>
  <c r="J5735" s="1"/>
  <c r="I5735"/>
  <c r="H5736"/>
  <c r="J5736" s="1"/>
  <c r="I5736"/>
  <c r="H5737"/>
  <c r="J5737" s="1"/>
  <c r="I5737"/>
  <c r="H5738"/>
  <c r="J5738" s="1"/>
  <c r="I5738"/>
  <c r="H5739"/>
  <c r="J5739" s="1"/>
  <c r="I5739"/>
  <c r="H5740"/>
  <c r="J5740" s="1"/>
  <c r="I5740"/>
  <c r="H5741"/>
  <c r="J5741" s="1"/>
  <c r="I5741"/>
  <c r="H5742"/>
  <c r="J5742" s="1"/>
  <c r="I5742"/>
  <c r="H5743"/>
  <c r="J5743" s="1"/>
  <c r="I5743"/>
  <c r="H5744"/>
  <c r="J5744" s="1"/>
  <c r="I5744"/>
  <c r="H5745"/>
  <c r="J5745" s="1"/>
  <c r="I5745"/>
  <c r="H5746"/>
  <c r="J5746" s="1"/>
  <c r="I5746"/>
  <c r="H5747"/>
  <c r="J5747" s="1"/>
  <c r="I5747"/>
  <c r="H5748"/>
  <c r="J5748" s="1"/>
  <c r="I5748"/>
  <c r="H5749"/>
  <c r="J5749" s="1"/>
  <c r="I5749"/>
  <c r="H5750"/>
  <c r="J5750" s="1"/>
  <c r="I5750"/>
  <c r="H5751"/>
  <c r="J5751" s="1"/>
  <c r="I5751"/>
  <c r="H5752"/>
  <c r="J5752" s="1"/>
  <c r="I5752"/>
  <c r="H5753"/>
  <c r="J5753" s="1"/>
  <c r="I5753"/>
  <c r="H5754"/>
  <c r="J5754" s="1"/>
  <c r="I5754"/>
  <c r="H5755"/>
  <c r="J5755" s="1"/>
  <c r="I5755"/>
  <c r="H5756"/>
  <c r="J5756" s="1"/>
  <c r="I5756"/>
  <c r="H5757"/>
  <c r="J5757" s="1"/>
  <c r="I5757"/>
  <c r="H5758"/>
  <c r="J5758" s="1"/>
  <c r="I5758"/>
  <c r="H5759"/>
  <c r="J5759" s="1"/>
  <c r="I5759"/>
  <c r="H5760"/>
  <c r="J5760" s="1"/>
  <c r="I5760"/>
  <c r="H5761"/>
  <c r="J5761" s="1"/>
  <c r="I5761"/>
  <c r="H5762"/>
  <c r="J5762" s="1"/>
  <c r="I5762"/>
  <c r="H5763"/>
  <c r="J5763" s="1"/>
  <c r="I5763"/>
  <c r="H5764"/>
  <c r="J5764" s="1"/>
  <c r="I5764"/>
  <c r="H5765"/>
  <c r="J5765" s="1"/>
  <c r="I5765"/>
  <c r="H5766"/>
  <c r="J5766" s="1"/>
  <c r="I5766"/>
  <c r="H5767"/>
  <c r="J5767" s="1"/>
  <c r="I5767"/>
  <c r="H5768"/>
  <c r="J5768" s="1"/>
  <c r="I5768"/>
  <c r="H5769"/>
  <c r="J5769" s="1"/>
  <c r="I5769"/>
  <c r="H5770"/>
  <c r="J5770" s="1"/>
  <c r="I5770"/>
  <c r="H5771"/>
  <c r="J5771" s="1"/>
  <c r="I5771"/>
  <c r="H5772"/>
  <c r="J5772" s="1"/>
  <c r="I5772"/>
  <c r="H5773"/>
  <c r="J5773" s="1"/>
  <c r="I5773"/>
  <c r="H5774"/>
  <c r="J5774" s="1"/>
  <c r="I5774"/>
  <c r="H5775"/>
  <c r="J5775" s="1"/>
  <c r="I5775"/>
  <c r="H5776"/>
  <c r="J5776" s="1"/>
  <c r="I5776"/>
  <c r="H5777"/>
  <c r="J5777" s="1"/>
  <c r="I5777"/>
  <c r="H5778"/>
  <c r="J5778" s="1"/>
  <c r="I5778"/>
  <c r="H5779"/>
  <c r="J5779" s="1"/>
  <c r="I5779"/>
  <c r="H5780"/>
  <c r="J5780" s="1"/>
  <c r="I5780"/>
  <c r="H5781"/>
  <c r="J5781" s="1"/>
  <c r="I5781"/>
  <c r="H5782"/>
  <c r="J5782" s="1"/>
  <c r="I5782"/>
  <c r="H5783"/>
  <c r="J5783" s="1"/>
  <c r="I5783"/>
  <c r="H5784"/>
  <c r="J5784" s="1"/>
  <c r="I5784"/>
  <c r="H5785"/>
  <c r="J5785" s="1"/>
  <c r="I5785"/>
  <c r="H5786"/>
  <c r="J5786" s="1"/>
  <c r="I5786"/>
  <c r="H5787"/>
  <c r="J5787" s="1"/>
  <c r="I5787"/>
  <c r="H5788"/>
  <c r="J5788" s="1"/>
  <c r="I5788"/>
  <c r="H5789"/>
  <c r="J5789" s="1"/>
  <c r="I5789"/>
  <c r="H5790"/>
  <c r="J5790" s="1"/>
  <c r="I5790"/>
  <c r="H5791"/>
  <c r="J5791" s="1"/>
  <c r="I5791"/>
  <c r="H5792"/>
  <c r="J5792" s="1"/>
  <c r="I5792"/>
  <c r="H5793"/>
  <c r="J5793" s="1"/>
  <c r="I5793"/>
  <c r="H5794"/>
  <c r="J5794" s="1"/>
  <c r="I5794"/>
  <c r="H5795"/>
  <c r="J5795" s="1"/>
  <c r="I5795"/>
  <c r="H5796"/>
  <c r="J5796" s="1"/>
  <c r="I5796"/>
  <c r="H5797"/>
  <c r="J5797" s="1"/>
  <c r="I5797"/>
  <c r="H5798"/>
  <c r="J5798" s="1"/>
  <c r="I5798"/>
  <c r="H5799"/>
  <c r="J5799" s="1"/>
  <c r="I5799"/>
  <c r="H5800"/>
  <c r="J5800" s="1"/>
  <c r="I5800"/>
  <c r="H5801"/>
  <c r="J5801" s="1"/>
  <c r="I5801"/>
  <c r="H5802"/>
  <c r="J5802" s="1"/>
  <c r="I5802"/>
  <c r="H5803"/>
  <c r="J5803" s="1"/>
  <c r="I5803"/>
  <c r="H5804"/>
  <c r="J5804" s="1"/>
  <c r="I5804"/>
  <c r="H5805"/>
  <c r="J5805" s="1"/>
  <c r="I5805"/>
  <c r="H5806"/>
  <c r="J5806" s="1"/>
  <c r="I5806"/>
  <c r="H5807"/>
  <c r="J5807" s="1"/>
  <c r="I5807"/>
  <c r="H5808"/>
  <c r="J5808" s="1"/>
  <c r="I5808"/>
  <c r="H5809"/>
  <c r="J5809" s="1"/>
  <c r="I5809"/>
  <c r="H5810"/>
  <c r="J5810" s="1"/>
  <c r="I5810"/>
  <c r="H5811"/>
  <c r="J5811" s="1"/>
  <c r="I5811"/>
  <c r="H5812"/>
  <c r="J5812" s="1"/>
  <c r="I5812"/>
  <c r="H5813"/>
  <c r="J5813" s="1"/>
  <c r="I5813"/>
  <c r="H5814"/>
  <c r="J5814" s="1"/>
  <c r="I5814"/>
  <c r="H5815"/>
  <c r="J5815" s="1"/>
  <c r="I5815"/>
  <c r="H5816"/>
  <c r="J5816" s="1"/>
  <c r="I5816"/>
  <c r="H5817"/>
  <c r="J5817" s="1"/>
  <c r="I5817"/>
  <c r="H5818"/>
  <c r="J5818" s="1"/>
  <c r="I5818"/>
  <c r="H5819"/>
  <c r="J5819" s="1"/>
  <c r="I5819"/>
  <c r="H5820"/>
  <c r="J5820" s="1"/>
  <c r="I5820"/>
  <c r="H5821"/>
  <c r="J5821" s="1"/>
  <c r="I5821"/>
  <c r="H5822"/>
  <c r="J5822" s="1"/>
  <c r="I5822"/>
  <c r="H5823"/>
  <c r="J5823" s="1"/>
  <c r="I5823"/>
  <c r="H5824"/>
  <c r="J5824" s="1"/>
  <c r="I5824"/>
  <c r="H5825"/>
  <c r="J5825" s="1"/>
  <c r="I5825"/>
  <c r="H5826"/>
  <c r="J5826" s="1"/>
  <c r="I5826"/>
  <c r="H5827"/>
  <c r="J5827" s="1"/>
  <c r="I5827"/>
  <c r="H5828"/>
  <c r="J5828" s="1"/>
  <c r="I5828"/>
  <c r="H5829"/>
  <c r="J5829" s="1"/>
  <c r="I5829"/>
  <c r="H5830"/>
  <c r="J5830" s="1"/>
  <c r="I5830"/>
  <c r="H5831"/>
  <c r="J5831" s="1"/>
  <c r="I5831"/>
  <c r="H5832"/>
  <c r="J5832" s="1"/>
  <c r="I5832"/>
  <c r="H5833"/>
  <c r="J5833" s="1"/>
  <c r="I5833"/>
  <c r="H5834"/>
  <c r="J5834" s="1"/>
  <c r="I5834"/>
  <c r="H5835"/>
  <c r="J5835" s="1"/>
  <c r="I5835"/>
  <c r="H5836"/>
  <c r="J5836" s="1"/>
  <c r="I5836"/>
  <c r="H5837"/>
  <c r="J5837" s="1"/>
  <c r="I5837"/>
  <c r="H5838"/>
  <c r="J5838" s="1"/>
  <c r="I5838"/>
  <c r="H5839"/>
  <c r="J5839" s="1"/>
  <c r="I5839"/>
  <c r="H5840"/>
  <c r="J5840" s="1"/>
  <c r="I5840"/>
  <c r="H5841"/>
  <c r="J5841" s="1"/>
  <c r="I5841"/>
  <c r="H5842"/>
  <c r="J5842" s="1"/>
  <c r="I5842"/>
  <c r="H5843"/>
  <c r="J5843" s="1"/>
  <c r="I5843"/>
  <c r="H5844"/>
  <c r="J5844" s="1"/>
  <c r="I5844"/>
  <c r="H5845"/>
  <c r="J5845" s="1"/>
  <c r="I5845"/>
  <c r="H5846"/>
  <c r="J5846" s="1"/>
  <c r="I5846"/>
  <c r="H5847"/>
  <c r="J5847" s="1"/>
  <c r="I5847"/>
  <c r="H5848"/>
  <c r="J5848" s="1"/>
  <c r="I5848"/>
  <c r="H5849"/>
  <c r="I5849"/>
  <c r="J5849"/>
  <c r="H5850"/>
  <c r="J5850" s="1"/>
  <c r="I5850"/>
  <c r="H5851"/>
  <c r="J5851" s="1"/>
  <c r="I5851"/>
  <c r="H5852"/>
  <c r="J5852" s="1"/>
  <c r="I5852"/>
  <c r="H5853"/>
  <c r="J5853" s="1"/>
  <c r="I5853"/>
  <c r="H5854"/>
  <c r="J5854" s="1"/>
  <c r="I5854"/>
  <c r="H5855"/>
  <c r="J5855" s="1"/>
  <c r="I5855"/>
  <c r="H5856"/>
  <c r="J5856" s="1"/>
  <c r="I5856"/>
  <c r="H5857"/>
  <c r="J5857" s="1"/>
  <c r="I5857"/>
  <c r="H5858"/>
  <c r="J5858" s="1"/>
  <c r="I5858"/>
  <c r="H5859"/>
  <c r="J5859" s="1"/>
  <c r="I5859"/>
  <c r="H5860"/>
  <c r="J5860" s="1"/>
  <c r="I5860"/>
  <c r="H5861"/>
  <c r="J5861" s="1"/>
  <c r="I5861"/>
  <c r="H5862"/>
  <c r="J5862" s="1"/>
  <c r="I5862"/>
  <c r="H5863"/>
  <c r="J5863" s="1"/>
  <c r="I5863"/>
  <c r="H5864"/>
  <c r="J5864" s="1"/>
  <c r="I5864"/>
  <c r="H5865"/>
  <c r="J5865" s="1"/>
  <c r="I5865"/>
  <c r="H5866"/>
  <c r="J5866" s="1"/>
  <c r="I5866"/>
  <c r="H5867"/>
  <c r="J5867" s="1"/>
  <c r="I5867"/>
  <c r="H5868"/>
  <c r="J5868" s="1"/>
  <c r="I5868"/>
  <c r="H5869"/>
  <c r="J5869" s="1"/>
  <c r="I5869"/>
  <c r="H5870"/>
  <c r="J5870" s="1"/>
  <c r="I5870"/>
  <c r="H5871"/>
  <c r="J5871" s="1"/>
  <c r="I5871"/>
  <c r="H5872"/>
  <c r="J5872" s="1"/>
  <c r="I5872"/>
  <c r="H5873"/>
  <c r="J5873" s="1"/>
  <c r="I5873"/>
  <c r="H5874"/>
  <c r="J5874" s="1"/>
  <c r="I5874"/>
  <c r="H5875"/>
  <c r="J5875" s="1"/>
  <c r="I5875"/>
  <c r="H5876"/>
  <c r="J5876" s="1"/>
  <c r="I5876"/>
  <c r="H5877"/>
  <c r="J5877" s="1"/>
  <c r="I5877"/>
  <c r="H5878"/>
  <c r="J5878" s="1"/>
  <c r="I5878"/>
  <c r="H5879"/>
  <c r="J5879" s="1"/>
  <c r="I5879"/>
  <c r="H5880"/>
  <c r="J5880" s="1"/>
  <c r="I5880"/>
  <c r="H5881"/>
  <c r="J5881" s="1"/>
  <c r="I5881"/>
  <c r="H5882"/>
  <c r="J5882" s="1"/>
  <c r="I5882"/>
  <c r="H5883"/>
  <c r="J5883" s="1"/>
  <c r="I5883"/>
  <c r="H5884"/>
  <c r="J5884" s="1"/>
  <c r="I5884"/>
  <c r="H5885"/>
  <c r="J5885" s="1"/>
  <c r="I5885"/>
  <c r="H5886"/>
  <c r="J5886" s="1"/>
  <c r="I5886"/>
  <c r="H5887"/>
  <c r="J5887" s="1"/>
  <c r="I5887"/>
  <c r="H5888"/>
  <c r="J5888" s="1"/>
  <c r="I5888"/>
  <c r="H5889"/>
  <c r="J5889" s="1"/>
  <c r="I5889"/>
  <c r="H5890"/>
  <c r="J5890" s="1"/>
  <c r="I5890"/>
  <c r="H5891"/>
  <c r="J5891" s="1"/>
  <c r="I5891"/>
  <c r="H5892"/>
  <c r="J5892" s="1"/>
  <c r="I5892"/>
  <c r="H5893"/>
  <c r="J5893" s="1"/>
  <c r="I5893"/>
  <c r="H5894"/>
  <c r="J5894" s="1"/>
  <c r="I5894"/>
  <c r="H5895"/>
  <c r="J5895" s="1"/>
  <c r="I5895"/>
  <c r="H5896"/>
  <c r="J5896" s="1"/>
  <c r="I5896"/>
  <c r="H5897"/>
  <c r="J5897" s="1"/>
  <c r="I5897"/>
  <c r="H5898"/>
  <c r="J5898" s="1"/>
  <c r="I5898"/>
  <c r="H5899"/>
  <c r="J5899" s="1"/>
  <c r="I5899"/>
  <c r="H5900"/>
  <c r="J5900" s="1"/>
  <c r="I5900"/>
  <c r="H5901"/>
  <c r="J5901" s="1"/>
  <c r="I5901"/>
  <c r="H5902"/>
  <c r="J5902" s="1"/>
  <c r="I5902"/>
  <c r="H5903"/>
  <c r="J5903" s="1"/>
  <c r="I5903"/>
  <c r="H5904"/>
  <c r="J5904" s="1"/>
  <c r="I5904"/>
  <c r="H5905"/>
  <c r="J5905" s="1"/>
  <c r="I5905"/>
  <c r="H5906"/>
  <c r="J5906" s="1"/>
  <c r="I5906"/>
  <c r="H5907"/>
  <c r="J5907" s="1"/>
  <c r="I5907"/>
  <c r="H5908"/>
  <c r="J5908" s="1"/>
  <c r="I5908"/>
  <c r="H5909"/>
  <c r="J5909" s="1"/>
  <c r="I5909"/>
  <c r="H5910"/>
  <c r="J5910" s="1"/>
  <c r="I5910"/>
  <c r="H5911"/>
  <c r="J5911" s="1"/>
  <c r="I5911"/>
  <c r="H5912"/>
  <c r="J5912" s="1"/>
  <c r="I5912"/>
  <c r="H5913"/>
  <c r="J5913" s="1"/>
  <c r="I5913"/>
  <c r="H5914"/>
  <c r="J5914" s="1"/>
  <c r="I5914"/>
  <c r="H5915"/>
  <c r="J5915" s="1"/>
  <c r="I5915"/>
  <c r="H5916"/>
  <c r="J5916" s="1"/>
  <c r="I5916"/>
  <c r="H5917"/>
  <c r="J5917" s="1"/>
  <c r="I5917"/>
  <c r="H5918"/>
  <c r="J5918" s="1"/>
  <c r="I5918"/>
  <c r="H5919"/>
  <c r="J5919" s="1"/>
  <c r="I5919"/>
  <c r="H5920"/>
  <c r="J5920" s="1"/>
  <c r="I5920"/>
  <c r="H5921"/>
  <c r="J5921" s="1"/>
  <c r="I5921"/>
  <c r="H5922"/>
  <c r="J5922" s="1"/>
  <c r="I5922"/>
  <c r="H5923"/>
  <c r="J5923" s="1"/>
  <c r="I5923"/>
  <c r="H5924"/>
  <c r="J5924" s="1"/>
  <c r="I5924"/>
  <c r="H5925"/>
  <c r="J5925" s="1"/>
  <c r="I5925"/>
  <c r="H5926"/>
  <c r="J5926" s="1"/>
  <c r="I5926"/>
  <c r="H5927"/>
  <c r="J5927" s="1"/>
  <c r="I5927"/>
  <c r="H5928"/>
  <c r="J5928" s="1"/>
  <c r="I5928"/>
  <c r="H5929"/>
  <c r="J5929" s="1"/>
  <c r="I5929"/>
  <c r="H5930"/>
  <c r="J5930" s="1"/>
  <c r="I5930"/>
  <c r="H5931"/>
  <c r="J5931" s="1"/>
  <c r="I5931"/>
  <c r="H5932"/>
  <c r="J5932" s="1"/>
  <c r="I5932"/>
  <c r="H5933"/>
  <c r="J5933" s="1"/>
  <c r="I5933"/>
  <c r="H5934"/>
  <c r="J5934" s="1"/>
  <c r="I5934"/>
  <c r="H5935"/>
  <c r="J5935" s="1"/>
  <c r="I5935"/>
  <c r="H5936"/>
  <c r="J5936" s="1"/>
  <c r="I5936"/>
  <c r="H5937"/>
  <c r="J5937" s="1"/>
  <c r="I5937"/>
  <c r="H5938"/>
  <c r="J5938" s="1"/>
  <c r="I5938"/>
  <c r="H5939"/>
  <c r="J5939" s="1"/>
  <c r="I5939"/>
  <c r="H5940"/>
  <c r="J5940" s="1"/>
  <c r="I5940"/>
  <c r="H5941"/>
  <c r="J5941" s="1"/>
  <c r="I5941"/>
  <c r="H5942"/>
  <c r="J5942" s="1"/>
  <c r="I5942"/>
  <c r="H5943"/>
  <c r="J5943" s="1"/>
  <c r="I5943"/>
  <c r="H5944"/>
  <c r="J5944" s="1"/>
  <c r="I5944"/>
  <c r="H5945"/>
  <c r="J5945" s="1"/>
  <c r="I5945"/>
  <c r="H5946"/>
  <c r="J5946" s="1"/>
  <c r="I5946"/>
  <c r="H5947"/>
  <c r="J5947" s="1"/>
  <c r="I5947"/>
  <c r="H5948"/>
  <c r="J5948" s="1"/>
  <c r="I5948"/>
  <c r="H5949"/>
  <c r="J5949" s="1"/>
  <c r="I5949"/>
  <c r="H5950"/>
  <c r="J5950" s="1"/>
  <c r="I5950"/>
  <c r="H5951"/>
  <c r="J5951" s="1"/>
  <c r="I5951"/>
  <c r="H5952"/>
  <c r="J5952" s="1"/>
  <c r="I5952"/>
  <c r="H5953"/>
  <c r="I5953"/>
  <c r="J5953"/>
  <c r="H5954"/>
  <c r="J5954" s="1"/>
  <c r="I5954"/>
  <c r="H5955"/>
  <c r="J5955" s="1"/>
  <c r="I5955"/>
  <c r="H5956"/>
  <c r="J5956" s="1"/>
  <c r="I5956"/>
  <c r="H5957"/>
  <c r="J5957" s="1"/>
  <c r="I5957"/>
  <c r="H5958"/>
  <c r="J5958" s="1"/>
  <c r="I5958"/>
  <c r="H5959"/>
  <c r="J5959" s="1"/>
  <c r="I5959"/>
  <c r="H5960"/>
  <c r="J5960" s="1"/>
  <c r="I5960"/>
  <c r="H5961"/>
  <c r="J5961" s="1"/>
  <c r="I5961"/>
  <c r="H5962"/>
  <c r="J5962" s="1"/>
  <c r="I5962"/>
  <c r="H5963"/>
  <c r="J5963" s="1"/>
  <c r="I5963"/>
  <c r="H5964"/>
  <c r="J5964" s="1"/>
  <c r="I5964"/>
  <c r="H5965"/>
  <c r="J5965" s="1"/>
  <c r="I5965"/>
  <c r="H5966"/>
  <c r="J5966" s="1"/>
  <c r="I5966"/>
  <c r="H5967"/>
  <c r="J5967" s="1"/>
  <c r="I5967"/>
  <c r="H5968"/>
  <c r="J5968" s="1"/>
  <c r="I5968"/>
  <c r="H5969"/>
  <c r="J5969" s="1"/>
  <c r="I5969"/>
  <c r="H5970"/>
  <c r="J5970" s="1"/>
  <c r="I5970"/>
  <c r="H5971"/>
  <c r="J5971" s="1"/>
  <c r="I5971"/>
  <c r="H5972"/>
  <c r="J5972" s="1"/>
  <c r="I5972"/>
  <c r="H5973"/>
  <c r="J5973" s="1"/>
  <c r="I5973"/>
  <c r="H5974"/>
  <c r="J5974" s="1"/>
  <c r="I5974"/>
  <c r="H5975"/>
  <c r="J5975" s="1"/>
  <c r="I5975"/>
  <c r="H5976"/>
  <c r="J5976" s="1"/>
  <c r="I5976"/>
  <c r="H5977"/>
  <c r="I5977"/>
  <c r="J5977"/>
  <c r="H5978"/>
  <c r="J5978" s="1"/>
  <c r="I5978"/>
  <c r="H5979"/>
  <c r="J5979" s="1"/>
  <c r="I5979"/>
  <c r="H5980"/>
  <c r="J5980" s="1"/>
  <c r="I5980"/>
  <c r="H5981"/>
  <c r="J5981" s="1"/>
  <c r="I5981"/>
  <c r="H5982"/>
  <c r="J5982" s="1"/>
  <c r="I5982"/>
  <c r="H5983"/>
  <c r="J5983" s="1"/>
  <c r="I5983"/>
  <c r="H5984"/>
  <c r="J5984" s="1"/>
  <c r="I5984"/>
  <c r="H5985"/>
  <c r="J5985" s="1"/>
  <c r="I5985"/>
  <c r="H5986"/>
  <c r="J5986" s="1"/>
  <c r="I5986"/>
  <c r="H5987"/>
  <c r="J5987" s="1"/>
  <c r="I5987"/>
  <c r="H5988"/>
  <c r="J5988" s="1"/>
  <c r="I5988"/>
  <c r="H5989"/>
  <c r="J5989" s="1"/>
  <c r="I5989"/>
  <c r="H5990"/>
  <c r="J5990" s="1"/>
  <c r="I5990"/>
  <c r="H5991"/>
  <c r="J5991" s="1"/>
  <c r="I5991"/>
  <c r="H5992"/>
  <c r="J5992" s="1"/>
  <c r="I5992"/>
  <c r="H5993"/>
  <c r="J5993" s="1"/>
  <c r="I5993"/>
  <c r="H5994"/>
  <c r="J5994" s="1"/>
  <c r="I5994"/>
  <c r="H5995"/>
  <c r="J5995" s="1"/>
  <c r="I5995"/>
  <c r="H5996"/>
  <c r="J5996" s="1"/>
  <c r="I5996"/>
  <c r="H5997"/>
  <c r="J5997" s="1"/>
  <c r="I5997"/>
  <c r="H5998"/>
  <c r="J5998" s="1"/>
  <c r="I5998"/>
  <c r="H5999"/>
  <c r="J5999" s="1"/>
  <c r="I5999"/>
  <c r="H6000"/>
  <c r="J6000" s="1"/>
  <c r="I6000"/>
  <c r="H6001"/>
  <c r="J6001" s="1"/>
  <c r="I6001"/>
  <c r="H6002"/>
  <c r="J6002" s="1"/>
  <c r="I6002"/>
  <c r="H6003"/>
  <c r="J6003" s="1"/>
  <c r="I6003"/>
  <c r="H6004"/>
  <c r="J6004" s="1"/>
  <c r="I6004"/>
  <c r="H6005"/>
  <c r="J6005" s="1"/>
  <c r="I6005"/>
  <c r="H6006"/>
  <c r="J6006" s="1"/>
  <c r="I6006"/>
  <c r="H6007"/>
  <c r="J6007" s="1"/>
  <c r="I6007"/>
  <c r="H6008"/>
  <c r="J6008" s="1"/>
  <c r="I6008"/>
  <c r="H6009"/>
  <c r="J6009" s="1"/>
  <c r="I6009"/>
  <c r="H6010"/>
  <c r="J6010" s="1"/>
  <c r="I6010"/>
  <c r="H6011"/>
  <c r="J6011" s="1"/>
  <c r="I6011"/>
  <c r="H6012"/>
  <c r="J6012" s="1"/>
  <c r="I6012"/>
  <c r="H6013"/>
  <c r="J6013" s="1"/>
  <c r="I6013"/>
  <c r="H6014"/>
  <c r="J6014" s="1"/>
  <c r="I6014"/>
  <c r="H6015"/>
  <c r="J6015" s="1"/>
  <c r="I6015"/>
  <c r="H6016"/>
  <c r="J6016" s="1"/>
  <c r="I6016"/>
  <c r="H6017"/>
  <c r="J6017" s="1"/>
  <c r="I6017"/>
  <c r="H6018"/>
  <c r="J6018" s="1"/>
  <c r="I6018"/>
  <c r="H6019"/>
  <c r="J6019" s="1"/>
  <c r="I6019"/>
  <c r="H6020"/>
  <c r="J6020" s="1"/>
  <c r="I6020"/>
  <c r="H6021"/>
  <c r="J6021" s="1"/>
  <c r="I6021"/>
  <c r="H6022"/>
  <c r="J6022" s="1"/>
  <c r="I6022"/>
  <c r="H6023"/>
  <c r="J6023" s="1"/>
  <c r="I6023"/>
  <c r="H6024"/>
  <c r="J6024" s="1"/>
  <c r="I6024"/>
  <c r="H6025"/>
  <c r="J6025" s="1"/>
  <c r="I6025"/>
  <c r="H6026"/>
  <c r="J6026" s="1"/>
  <c r="I6026"/>
  <c r="H6027"/>
  <c r="J6027" s="1"/>
  <c r="I6027"/>
  <c r="H6028"/>
  <c r="J6028" s="1"/>
  <c r="I6028"/>
  <c r="H6029"/>
  <c r="J6029" s="1"/>
  <c r="I6029"/>
  <c r="H6030"/>
  <c r="J6030" s="1"/>
  <c r="I6030"/>
  <c r="H6031"/>
  <c r="J6031" s="1"/>
  <c r="I6031"/>
  <c r="H6032"/>
  <c r="J6032" s="1"/>
  <c r="I6032"/>
  <c r="H6033"/>
  <c r="J6033" s="1"/>
  <c r="I6033"/>
  <c r="H6034"/>
  <c r="J6034" s="1"/>
  <c r="I6034"/>
  <c r="H6035"/>
  <c r="J6035" s="1"/>
  <c r="I6035"/>
  <c r="H6036"/>
  <c r="J6036" s="1"/>
  <c r="I6036"/>
  <c r="H6037"/>
  <c r="J6037" s="1"/>
  <c r="I6037"/>
  <c r="H6038"/>
  <c r="J6038" s="1"/>
  <c r="I6038"/>
  <c r="H6039"/>
  <c r="J6039" s="1"/>
  <c r="I6039"/>
  <c r="H6040"/>
  <c r="J6040" s="1"/>
  <c r="I6040"/>
  <c r="H6041"/>
  <c r="J6041" s="1"/>
  <c r="I6041"/>
  <c r="H6042"/>
  <c r="J6042" s="1"/>
  <c r="I6042"/>
  <c r="H6043"/>
  <c r="J6043" s="1"/>
  <c r="I6043"/>
  <c r="H6044"/>
  <c r="J6044" s="1"/>
  <c r="I6044"/>
  <c r="H6045"/>
  <c r="J6045" s="1"/>
  <c r="I6045"/>
  <c r="H6046"/>
  <c r="J6046" s="1"/>
  <c r="I6046"/>
  <c r="H6047"/>
  <c r="J6047" s="1"/>
  <c r="I6047"/>
  <c r="H6048"/>
  <c r="J6048" s="1"/>
  <c r="I6048"/>
  <c r="H6049"/>
  <c r="J6049" s="1"/>
  <c r="I6049"/>
  <c r="H6050"/>
  <c r="J6050" s="1"/>
  <c r="I6050"/>
  <c r="H6051"/>
  <c r="J6051" s="1"/>
  <c r="I6051"/>
  <c r="H6052"/>
  <c r="J6052" s="1"/>
  <c r="I6052"/>
  <c r="H6053"/>
  <c r="J6053" s="1"/>
  <c r="I6053"/>
  <c r="H6054"/>
  <c r="J6054" s="1"/>
  <c r="I6054"/>
  <c r="H6055"/>
  <c r="J6055" s="1"/>
  <c r="I6055"/>
  <c r="H6056"/>
  <c r="J6056" s="1"/>
  <c r="I6056"/>
  <c r="H6057"/>
  <c r="J6057" s="1"/>
  <c r="I6057"/>
  <c r="H6058"/>
  <c r="J6058" s="1"/>
  <c r="I6058"/>
  <c r="H6059"/>
  <c r="J6059" s="1"/>
  <c r="I6059"/>
  <c r="H6060"/>
  <c r="J6060" s="1"/>
  <c r="I6060"/>
  <c r="H6061"/>
  <c r="J6061" s="1"/>
  <c r="I6061"/>
  <c r="H6062"/>
  <c r="J6062" s="1"/>
  <c r="I6062"/>
  <c r="H6063"/>
  <c r="J6063" s="1"/>
  <c r="I6063"/>
  <c r="H6064"/>
  <c r="J6064" s="1"/>
  <c r="I6064"/>
  <c r="H6065"/>
  <c r="J6065" s="1"/>
  <c r="I6065"/>
  <c r="H6066"/>
  <c r="J6066" s="1"/>
  <c r="I6066"/>
  <c r="H6067"/>
  <c r="J6067" s="1"/>
  <c r="I6067"/>
  <c r="H6068"/>
  <c r="J6068" s="1"/>
  <c r="I6068"/>
  <c r="H6069"/>
  <c r="J6069" s="1"/>
  <c r="I6069"/>
  <c r="H6070"/>
  <c r="J6070" s="1"/>
  <c r="I6070"/>
  <c r="H6071"/>
  <c r="J6071" s="1"/>
  <c r="I6071"/>
  <c r="H6072"/>
  <c r="J6072" s="1"/>
  <c r="I6072"/>
  <c r="H6073"/>
  <c r="J6073" s="1"/>
  <c r="I6073"/>
  <c r="H6074"/>
  <c r="J6074" s="1"/>
  <c r="I6074"/>
  <c r="H6075"/>
  <c r="J6075" s="1"/>
  <c r="I6075"/>
  <c r="H6076"/>
  <c r="J6076" s="1"/>
  <c r="I6076"/>
  <c r="H6077"/>
  <c r="J6077" s="1"/>
  <c r="I6077"/>
  <c r="H6078"/>
  <c r="J6078" s="1"/>
  <c r="I6078"/>
  <c r="H6079"/>
  <c r="J6079" s="1"/>
  <c r="I6079"/>
  <c r="H6080"/>
  <c r="J6080" s="1"/>
  <c r="I6080"/>
  <c r="H6081"/>
  <c r="J6081" s="1"/>
  <c r="I6081"/>
  <c r="H6082"/>
  <c r="J6082" s="1"/>
  <c r="I6082"/>
  <c r="H6083"/>
  <c r="J6083" s="1"/>
  <c r="I6083"/>
  <c r="H6084"/>
  <c r="J6084" s="1"/>
  <c r="I6084"/>
  <c r="H6085"/>
  <c r="J6085" s="1"/>
  <c r="I6085"/>
  <c r="H6086"/>
  <c r="J6086" s="1"/>
  <c r="I6086"/>
  <c r="H6087"/>
  <c r="J6087" s="1"/>
  <c r="I6087"/>
  <c r="H6088"/>
  <c r="J6088" s="1"/>
  <c r="I6088"/>
  <c r="H6089"/>
  <c r="J6089" s="1"/>
  <c r="I6089"/>
  <c r="H6090"/>
  <c r="J6090" s="1"/>
  <c r="I6090"/>
  <c r="H6091"/>
  <c r="J6091" s="1"/>
  <c r="I6091"/>
  <c r="H6092"/>
  <c r="J6092" s="1"/>
  <c r="I6092"/>
  <c r="H6093"/>
  <c r="J6093" s="1"/>
  <c r="I6093"/>
  <c r="H6094"/>
  <c r="J6094" s="1"/>
  <c r="I6094"/>
  <c r="H6095"/>
  <c r="J6095" s="1"/>
  <c r="I6095"/>
  <c r="H6096"/>
  <c r="J6096" s="1"/>
  <c r="I6096"/>
  <c r="H6097"/>
  <c r="J6097" s="1"/>
  <c r="I6097"/>
  <c r="H6098"/>
  <c r="J6098" s="1"/>
  <c r="I6098"/>
  <c r="H6099"/>
  <c r="J6099" s="1"/>
  <c r="I6099"/>
  <c r="H6100"/>
  <c r="J6100" s="1"/>
  <c r="I6100"/>
  <c r="H6101"/>
  <c r="J6101" s="1"/>
  <c r="I6101"/>
  <c r="H6102"/>
  <c r="J6102" s="1"/>
  <c r="I6102"/>
  <c r="H6103"/>
  <c r="J6103" s="1"/>
  <c r="I6103"/>
  <c r="H6104"/>
  <c r="J6104" s="1"/>
  <c r="I6104"/>
  <c r="H6105"/>
  <c r="J6105" s="1"/>
  <c r="I6105"/>
  <c r="H6106"/>
  <c r="J6106" s="1"/>
  <c r="I6106"/>
  <c r="H6107"/>
  <c r="J6107" s="1"/>
  <c r="I6107"/>
  <c r="H6108"/>
  <c r="J6108" s="1"/>
  <c r="I6108"/>
  <c r="H6109"/>
  <c r="J6109" s="1"/>
  <c r="I6109"/>
  <c r="H6110"/>
  <c r="J6110" s="1"/>
  <c r="I6110"/>
  <c r="H6111"/>
  <c r="J6111" s="1"/>
  <c r="I6111"/>
  <c r="H6112"/>
  <c r="J6112" s="1"/>
  <c r="I6112"/>
  <c r="H6113"/>
  <c r="J6113" s="1"/>
  <c r="I6113"/>
  <c r="H6114"/>
  <c r="J6114" s="1"/>
  <c r="I6114"/>
  <c r="H6115"/>
  <c r="J6115" s="1"/>
  <c r="I6115"/>
  <c r="H6116"/>
  <c r="J6116" s="1"/>
  <c r="I6116"/>
  <c r="H6117"/>
  <c r="J6117" s="1"/>
  <c r="I6117"/>
  <c r="H6118"/>
  <c r="J6118" s="1"/>
  <c r="I6118"/>
  <c r="H6119"/>
  <c r="J6119" s="1"/>
  <c r="I6119"/>
  <c r="H6120"/>
  <c r="J6120" s="1"/>
  <c r="I6120"/>
  <c r="H6121"/>
  <c r="J6121" s="1"/>
  <c r="I6121"/>
  <c r="H6122"/>
  <c r="J6122" s="1"/>
  <c r="I6122"/>
  <c r="H6123"/>
  <c r="J6123" s="1"/>
  <c r="I6123"/>
  <c r="H6124"/>
  <c r="J6124" s="1"/>
  <c r="I6124"/>
  <c r="H6125"/>
  <c r="J6125" s="1"/>
  <c r="I6125"/>
  <c r="H6126"/>
  <c r="J6126" s="1"/>
  <c r="I6126"/>
  <c r="H6127"/>
  <c r="J6127" s="1"/>
  <c r="I6127"/>
  <c r="H6128"/>
  <c r="J6128" s="1"/>
  <c r="I6128"/>
  <c r="H6129"/>
  <c r="J6129" s="1"/>
  <c r="I6129"/>
  <c r="H6130"/>
  <c r="J6130" s="1"/>
  <c r="I6130"/>
  <c r="H6131"/>
  <c r="J6131" s="1"/>
  <c r="I6131"/>
  <c r="H6132"/>
  <c r="J6132" s="1"/>
  <c r="I6132"/>
  <c r="H6133"/>
  <c r="J6133" s="1"/>
  <c r="I6133"/>
  <c r="H6134"/>
  <c r="J6134" s="1"/>
  <c r="I6134"/>
  <c r="H6135"/>
  <c r="J6135" s="1"/>
  <c r="I6135"/>
  <c r="H6136"/>
  <c r="J6136" s="1"/>
  <c r="I6136"/>
  <c r="H6137"/>
  <c r="J6137" s="1"/>
  <c r="I6137"/>
  <c r="H6138"/>
  <c r="J6138" s="1"/>
  <c r="I6138"/>
  <c r="H6139"/>
  <c r="J6139" s="1"/>
  <c r="I6139"/>
  <c r="H6140"/>
  <c r="J6140" s="1"/>
  <c r="I6140"/>
  <c r="H6141"/>
  <c r="J6141" s="1"/>
  <c r="I6141"/>
  <c r="H6142"/>
  <c r="J6142" s="1"/>
  <c r="I6142"/>
  <c r="H6143"/>
  <c r="J6143" s="1"/>
  <c r="I6143"/>
  <c r="H6144"/>
  <c r="J6144" s="1"/>
  <c r="I6144"/>
  <c r="H6145"/>
  <c r="J6145" s="1"/>
  <c r="I6145"/>
  <c r="H6146"/>
  <c r="J6146" s="1"/>
  <c r="I6146"/>
  <c r="H6147"/>
  <c r="J6147" s="1"/>
  <c r="I6147"/>
  <c r="H6148"/>
  <c r="J6148" s="1"/>
  <c r="I6148"/>
  <c r="H6149"/>
  <c r="J6149" s="1"/>
  <c r="I6149"/>
  <c r="H6150"/>
  <c r="J6150" s="1"/>
  <c r="I6150"/>
  <c r="H6151"/>
  <c r="J6151" s="1"/>
  <c r="I6151"/>
  <c r="H6152"/>
  <c r="J6152" s="1"/>
  <c r="I6152"/>
  <c r="H6153"/>
  <c r="J6153" s="1"/>
  <c r="I6153"/>
  <c r="H6154"/>
  <c r="J6154" s="1"/>
  <c r="I6154"/>
  <c r="H6155"/>
  <c r="J6155" s="1"/>
  <c r="I6155"/>
  <c r="H6156"/>
  <c r="J6156" s="1"/>
  <c r="I6156"/>
  <c r="H6157"/>
  <c r="J6157" s="1"/>
  <c r="I6157"/>
  <c r="H6158"/>
  <c r="J6158" s="1"/>
  <c r="I6158"/>
  <c r="H6159"/>
  <c r="J6159" s="1"/>
  <c r="I6159"/>
  <c r="H6160"/>
  <c r="J6160" s="1"/>
  <c r="I6160"/>
  <c r="H6161"/>
  <c r="J6161" s="1"/>
  <c r="I6161"/>
  <c r="H6162"/>
  <c r="J6162" s="1"/>
  <c r="I6162"/>
  <c r="H6163"/>
  <c r="J6163" s="1"/>
  <c r="I6163"/>
  <c r="H6164"/>
  <c r="J6164" s="1"/>
  <c r="I6164"/>
  <c r="H6165"/>
  <c r="J6165" s="1"/>
  <c r="I6165"/>
  <c r="H6166"/>
  <c r="J6166" s="1"/>
  <c r="I6166"/>
  <c r="H6167"/>
  <c r="J6167" s="1"/>
  <c r="I6167"/>
  <c r="H6168"/>
  <c r="J6168" s="1"/>
  <c r="I6168"/>
  <c r="H6169"/>
  <c r="J6169" s="1"/>
  <c r="I6169"/>
  <c r="H6170"/>
  <c r="J6170" s="1"/>
  <c r="I6170"/>
  <c r="H6171"/>
  <c r="J6171" s="1"/>
  <c r="I6171"/>
  <c r="H6172"/>
  <c r="J6172" s="1"/>
  <c r="I6172"/>
  <c r="H6173"/>
  <c r="J6173" s="1"/>
  <c r="I6173"/>
  <c r="H6174"/>
  <c r="J6174" s="1"/>
  <c r="I6174"/>
  <c r="H6175"/>
  <c r="J6175" s="1"/>
  <c r="I6175"/>
  <c r="H6176"/>
  <c r="J6176" s="1"/>
  <c r="I6176"/>
  <c r="H6177"/>
  <c r="J6177" s="1"/>
  <c r="I6177"/>
  <c r="H6178"/>
  <c r="J6178" s="1"/>
  <c r="I6178"/>
  <c r="H6179"/>
  <c r="J6179" s="1"/>
  <c r="I6179"/>
  <c r="H6180"/>
  <c r="J6180" s="1"/>
  <c r="I6180"/>
  <c r="H6181"/>
  <c r="J6181" s="1"/>
  <c r="I6181"/>
  <c r="H6182"/>
  <c r="J6182" s="1"/>
  <c r="I6182"/>
  <c r="H6183"/>
  <c r="J6183" s="1"/>
  <c r="I6183"/>
  <c r="H6184"/>
  <c r="J6184" s="1"/>
  <c r="I6184"/>
  <c r="H6185"/>
  <c r="J6185" s="1"/>
  <c r="I6185"/>
  <c r="H6186"/>
  <c r="J6186" s="1"/>
  <c r="I6186"/>
  <c r="H6187"/>
  <c r="J6187" s="1"/>
  <c r="I6187"/>
  <c r="H6188"/>
  <c r="J6188" s="1"/>
  <c r="I6188"/>
  <c r="H6189"/>
  <c r="J6189" s="1"/>
  <c r="I6189"/>
  <c r="H6190"/>
  <c r="J6190" s="1"/>
  <c r="I6190"/>
  <c r="H6191"/>
  <c r="J6191" s="1"/>
  <c r="I6191"/>
  <c r="H6192"/>
  <c r="J6192" s="1"/>
  <c r="I6192"/>
  <c r="H6193"/>
  <c r="J6193" s="1"/>
  <c r="I6193"/>
  <c r="H6194"/>
  <c r="J6194" s="1"/>
  <c r="I6194"/>
  <c r="H6195"/>
  <c r="J6195" s="1"/>
  <c r="I6195"/>
  <c r="H6196"/>
  <c r="J6196" s="1"/>
  <c r="I6196"/>
  <c r="H6197"/>
  <c r="J6197" s="1"/>
  <c r="I6197"/>
  <c r="H6198"/>
  <c r="J6198" s="1"/>
  <c r="I6198"/>
  <c r="H6199"/>
  <c r="J6199" s="1"/>
  <c r="I6199"/>
  <c r="H6200"/>
  <c r="J6200" s="1"/>
  <c r="I6200"/>
  <c r="H6201"/>
  <c r="J6201" s="1"/>
  <c r="I6201"/>
  <c r="H6202"/>
  <c r="J6202" s="1"/>
  <c r="I6202"/>
  <c r="H6203"/>
  <c r="J6203" s="1"/>
  <c r="I6203"/>
  <c r="H6204"/>
  <c r="J6204" s="1"/>
  <c r="I6204"/>
  <c r="H6205"/>
  <c r="J6205" s="1"/>
  <c r="I6205"/>
  <c r="H6206"/>
  <c r="J6206" s="1"/>
  <c r="I6206"/>
  <c r="H6207"/>
  <c r="J6207" s="1"/>
  <c r="I6207"/>
  <c r="H6208"/>
  <c r="J6208" s="1"/>
  <c r="I6208"/>
  <c r="H6209"/>
  <c r="J6209" s="1"/>
  <c r="I6209"/>
  <c r="H6210"/>
  <c r="J6210" s="1"/>
  <c r="I6210"/>
  <c r="H6211"/>
  <c r="J6211" s="1"/>
  <c r="I6211"/>
  <c r="H6212"/>
  <c r="J6212" s="1"/>
  <c r="I6212"/>
  <c r="H6213"/>
  <c r="J6213" s="1"/>
  <c r="I6213"/>
  <c r="H6214"/>
  <c r="J6214" s="1"/>
  <c r="I6214"/>
  <c r="H6215"/>
  <c r="J6215" s="1"/>
  <c r="I6215"/>
  <c r="H6216"/>
  <c r="J6216" s="1"/>
  <c r="I6216"/>
  <c r="H6217"/>
  <c r="J6217" s="1"/>
  <c r="I6217"/>
  <c r="H6218"/>
  <c r="J6218" s="1"/>
  <c r="I6218"/>
  <c r="H6219"/>
  <c r="J6219" s="1"/>
  <c r="I6219"/>
  <c r="H6220"/>
  <c r="J6220" s="1"/>
  <c r="I6220"/>
  <c r="H6221"/>
  <c r="J6221" s="1"/>
  <c r="I6221"/>
  <c r="H6222"/>
  <c r="J6222" s="1"/>
  <c r="I6222"/>
  <c r="H6223"/>
  <c r="J6223" s="1"/>
  <c r="I6223"/>
  <c r="H6224"/>
  <c r="J6224" s="1"/>
  <c r="I6224"/>
  <c r="H6225"/>
  <c r="J6225" s="1"/>
  <c r="I6225"/>
  <c r="H6226"/>
  <c r="J6226" s="1"/>
  <c r="I6226"/>
  <c r="H6227"/>
  <c r="J6227" s="1"/>
  <c r="I6227"/>
  <c r="H6228"/>
  <c r="J6228" s="1"/>
  <c r="I6228"/>
  <c r="H6229"/>
  <c r="J6229" s="1"/>
  <c r="I6229"/>
  <c r="H6230"/>
  <c r="J6230" s="1"/>
  <c r="I6230"/>
  <c r="H6231"/>
  <c r="J6231" s="1"/>
  <c r="I6231"/>
  <c r="H6232"/>
  <c r="J6232" s="1"/>
  <c r="I6232"/>
  <c r="H6233"/>
  <c r="J6233" s="1"/>
  <c r="I6233"/>
  <c r="H6234"/>
  <c r="J6234" s="1"/>
  <c r="I6234"/>
  <c r="H6235"/>
  <c r="J6235" s="1"/>
  <c r="I6235"/>
  <c r="H6236"/>
  <c r="J6236" s="1"/>
  <c r="I6236"/>
  <c r="H6237"/>
  <c r="J6237" s="1"/>
  <c r="I6237"/>
  <c r="H6238"/>
  <c r="J6238" s="1"/>
  <c r="I6238"/>
  <c r="H6239"/>
  <c r="J6239" s="1"/>
  <c r="I6239"/>
  <c r="H6240"/>
  <c r="J6240" s="1"/>
  <c r="I6240"/>
  <c r="H6241"/>
  <c r="J6241" s="1"/>
  <c r="I6241"/>
  <c r="H6242"/>
  <c r="J6242" s="1"/>
  <c r="I6242"/>
  <c r="H6243"/>
  <c r="J6243" s="1"/>
  <c r="I6243"/>
  <c r="H6244"/>
  <c r="J6244" s="1"/>
  <c r="I6244"/>
  <c r="H6245"/>
  <c r="J6245" s="1"/>
  <c r="I6245"/>
  <c r="H6246"/>
  <c r="J6246" s="1"/>
  <c r="I6246"/>
  <c r="H6247"/>
  <c r="J6247" s="1"/>
  <c r="I6247"/>
  <c r="H6248"/>
  <c r="J6248" s="1"/>
  <c r="I6248"/>
  <c r="H6249"/>
  <c r="J6249" s="1"/>
  <c r="I6249"/>
  <c r="H6250"/>
  <c r="J6250" s="1"/>
  <c r="I6250"/>
  <c r="H6251"/>
  <c r="J6251" s="1"/>
  <c r="I6251"/>
  <c r="H6252"/>
  <c r="J6252" s="1"/>
  <c r="I6252"/>
  <c r="H6253"/>
  <c r="J6253" s="1"/>
  <c r="I6253"/>
  <c r="H6254"/>
  <c r="J6254" s="1"/>
  <c r="I6254"/>
  <c r="H6255"/>
  <c r="J6255" s="1"/>
  <c r="I6255"/>
  <c r="H6256"/>
  <c r="J6256" s="1"/>
  <c r="I6256"/>
  <c r="H6257"/>
  <c r="J6257" s="1"/>
  <c r="I6257"/>
  <c r="H6258"/>
  <c r="J6258" s="1"/>
  <c r="I6258"/>
  <c r="H6259"/>
  <c r="J6259" s="1"/>
  <c r="I6259"/>
  <c r="H6260"/>
  <c r="J6260" s="1"/>
  <c r="I6260"/>
  <c r="H6261"/>
  <c r="J6261" s="1"/>
  <c r="I6261"/>
  <c r="H6262"/>
  <c r="J6262" s="1"/>
  <c r="I6262"/>
  <c r="H6263"/>
  <c r="J6263" s="1"/>
  <c r="I6263"/>
  <c r="H6264"/>
  <c r="J6264" s="1"/>
  <c r="I6264"/>
  <c r="H6265"/>
  <c r="J6265" s="1"/>
  <c r="I6265"/>
  <c r="H6266"/>
  <c r="J6266" s="1"/>
  <c r="I6266"/>
  <c r="H6267"/>
  <c r="J6267" s="1"/>
  <c r="I6267"/>
  <c r="H6268"/>
  <c r="J6268" s="1"/>
  <c r="I6268"/>
  <c r="H6269"/>
  <c r="J6269" s="1"/>
  <c r="I6269"/>
  <c r="H6270"/>
  <c r="J6270" s="1"/>
  <c r="I6270"/>
  <c r="H6271"/>
  <c r="J6271" s="1"/>
  <c r="I6271"/>
  <c r="H6272"/>
  <c r="J6272" s="1"/>
  <c r="I6272"/>
  <c r="H6273"/>
  <c r="J6273" s="1"/>
  <c r="I6273"/>
  <c r="H6274"/>
  <c r="J6274" s="1"/>
  <c r="I6274"/>
  <c r="H6275"/>
  <c r="J6275" s="1"/>
  <c r="I6275"/>
  <c r="H6276"/>
  <c r="J6276" s="1"/>
  <c r="I6276"/>
  <c r="H6277"/>
  <c r="J6277" s="1"/>
  <c r="I6277"/>
  <c r="H6278"/>
  <c r="J6278" s="1"/>
  <c r="I6278"/>
  <c r="H6279"/>
  <c r="J6279" s="1"/>
  <c r="I6279"/>
  <c r="H6280"/>
  <c r="J6280" s="1"/>
  <c r="I6280"/>
  <c r="H6281"/>
  <c r="J6281" s="1"/>
  <c r="I6281"/>
  <c r="H6282"/>
  <c r="J6282" s="1"/>
  <c r="I6282"/>
  <c r="H6283"/>
  <c r="J6283" s="1"/>
  <c r="I6283"/>
  <c r="H6284"/>
  <c r="J6284" s="1"/>
  <c r="I6284"/>
  <c r="H6285"/>
  <c r="J6285" s="1"/>
  <c r="I6285"/>
  <c r="H6286"/>
  <c r="J6286" s="1"/>
  <c r="I6286"/>
  <c r="H6287"/>
  <c r="J6287" s="1"/>
  <c r="I6287"/>
  <c r="H6288"/>
  <c r="J6288" s="1"/>
  <c r="I6288"/>
  <c r="H6289"/>
  <c r="J6289" s="1"/>
  <c r="I6289"/>
  <c r="H6290"/>
  <c r="J6290" s="1"/>
  <c r="I6290"/>
  <c r="H6291"/>
  <c r="J6291" s="1"/>
  <c r="I6291"/>
  <c r="H6292"/>
  <c r="J6292" s="1"/>
  <c r="I6292"/>
  <c r="H6293"/>
  <c r="J6293" s="1"/>
  <c r="I6293"/>
  <c r="H6294"/>
  <c r="J6294" s="1"/>
  <c r="I6294"/>
  <c r="H6295"/>
  <c r="J6295" s="1"/>
  <c r="I6295"/>
  <c r="H6296"/>
  <c r="J6296" s="1"/>
  <c r="I6296"/>
  <c r="H6297"/>
  <c r="J6297" s="1"/>
  <c r="I6297"/>
  <c r="H6298"/>
  <c r="J6298" s="1"/>
  <c r="I6298"/>
  <c r="H6299"/>
  <c r="J6299" s="1"/>
  <c r="I6299"/>
  <c r="H6300"/>
  <c r="J6300" s="1"/>
  <c r="I6300"/>
  <c r="H6301"/>
  <c r="J6301" s="1"/>
  <c r="I6301"/>
  <c r="H6302"/>
  <c r="J6302" s="1"/>
  <c r="I6302"/>
  <c r="H6303"/>
  <c r="J6303" s="1"/>
  <c r="I6303"/>
  <c r="H6304"/>
  <c r="J6304" s="1"/>
  <c r="I6304"/>
  <c r="H6305"/>
  <c r="J6305" s="1"/>
  <c r="I6305"/>
  <c r="H6306"/>
  <c r="J6306" s="1"/>
  <c r="I6306"/>
  <c r="H6307"/>
  <c r="J6307" s="1"/>
  <c r="I6307"/>
  <c r="H6308"/>
  <c r="J6308" s="1"/>
  <c r="I6308"/>
  <c r="H6309"/>
  <c r="J6309" s="1"/>
  <c r="I6309"/>
  <c r="H6310"/>
  <c r="J6310" s="1"/>
  <c r="I6310"/>
  <c r="H6311"/>
  <c r="J6311" s="1"/>
  <c r="I6311"/>
  <c r="H6312"/>
  <c r="J6312" s="1"/>
  <c r="I6312"/>
  <c r="H6313"/>
  <c r="J6313" s="1"/>
  <c r="I6313"/>
  <c r="H6314"/>
  <c r="J6314" s="1"/>
  <c r="I6314"/>
  <c r="H6315"/>
  <c r="J6315" s="1"/>
  <c r="I6315"/>
  <c r="H6316"/>
  <c r="J6316" s="1"/>
  <c r="I6316"/>
  <c r="H6317"/>
  <c r="J6317" s="1"/>
  <c r="I6317"/>
  <c r="H6318"/>
  <c r="J6318" s="1"/>
  <c r="I6318"/>
  <c r="H6319"/>
  <c r="J6319" s="1"/>
  <c r="I6319"/>
  <c r="H6320"/>
  <c r="J6320" s="1"/>
  <c r="I6320"/>
  <c r="H6321"/>
  <c r="J6321" s="1"/>
  <c r="I6321"/>
  <c r="H6322"/>
  <c r="J6322" s="1"/>
  <c r="I6322"/>
  <c r="H6323"/>
  <c r="J6323" s="1"/>
  <c r="I6323"/>
  <c r="H6324"/>
  <c r="J6324" s="1"/>
  <c r="I6324"/>
  <c r="H6325"/>
  <c r="J6325" s="1"/>
  <c r="I6325"/>
  <c r="H6326"/>
  <c r="J6326" s="1"/>
  <c r="I6326"/>
  <c r="H6327"/>
  <c r="J6327" s="1"/>
  <c r="I6327"/>
  <c r="H6328"/>
  <c r="J6328" s="1"/>
  <c r="I6328"/>
  <c r="H6329"/>
  <c r="J6329" s="1"/>
  <c r="I6329"/>
  <c r="H6330"/>
  <c r="J6330" s="1"/>
  <c r="I6330"/>
  <c r="H6331"/>
  <c r="J6331" s="1"/>
  <c r="I6331"/>
  <c r="H6332"/>
  <c r="J6332" s="1"/>
  <c r="I6332"/>
  <c r="H6333"/>
  <c r="J6333" s="1"/>
  <c r="I6333"/>
  <c r="H6334"/>
  <c r="J6334" s="1"/>
  <c r="I6334"/>
  <c r="H6335"/>
  <c r="J6335" s="1"/>
  <c r="I6335"/>
  <c r="H6336"/>
  <c r="J6336" s="1"/>
  <c r="I6336"/>
  <c r="H6337"/>
  <c r="J6337" s="1"/>
  <c r="I6337"/>
  <c r="H6338"/>
  <c r="J6338" s="1"/>
  <c r="I6338"/>
  <c r="H6339"/>
  <c r="J6339" s="1"/>
  <c r="I6339"/>
  <c r="H6340"/>
  <c r="J6340" s="1"/>
  <c r="I6340"/>
  <c r="H6341"/>
  <c r="J6341" s="1"/>
  <c r="I6341"/>
  <c r="H6342"/>
  <c r="J6342" s="1"/>
  <c r="I6342"/>
  <c r="H6343"/>
  <c r="J6343" s="1"/>
  <c r="I6343"/>
  <c r="H6344"/>
  <c r="J6344" s="1"/>
  <c r="I6344"/>
  <c r="H6345"/>
  <c r="J6345" s="1"/>
  <c r="I6345"/>
  <c r="H6346"/>
  <c r="J6346" s="1"/>
  <c r="I6346"/>
  <c r="H6347"/>
  <c r="J6347" s="1"/>
  <c r="I6347"/>
  <c r="H6348"/>
  <c r="J6348" s="1"/>
  <c r="I6348"/>
  <c r="H6349"/>
  <c r="J6349" s="1"/>
  <c r="I6349"/>
  <c r="H6350"/>
  <c r="J6350" s="1"/>
  <c r="I6350"/>
  <c r="H6351"/>
  <c r="J6351" s="1"/>
  <c r="I6351"/>
  <c r="H6352"/>
  <c r="J6352" s="1"/>
  <c r="I6352"/>
  <c r="H6353"/>
  <c r="J6353" s="1"/>
  <c r="I6353"/>
  <c r="H6354"/>
  <c r="J6354" s="1"/>
  <c r="I6354"/>
  <c r="H6355"/>
  <c r="J6355" s="1"/>
  <c r="I6355"/>
  <c r="H6356"/>
  <c r="J6356" s="1"/>
  <c r="I6356"/>
  <c r="H6357"/>
  <c r="J6357" s="1"/>
  <c r="I6357"/>
  <c r="H6358"/>
  <c r="J6358" s="1"/>
  <c r="I6358"/>
  <c r="H6359"/>
  <c r="J6359" s="1"/>
  <c r="I6359"/>
  <c r="H6360"/>
  <c r="J6360" s="1"/>
  <c r="I6360"/>
  <c r="H6361"/>
  <c r="J6361" s="1"/>
  <c r="I6361"/>
  <c r="H6362"/>
  <c r="J6362" s="1"/>
  <c r="I6362"/>
  <c r="H6363"/>
  <c r="J6363" s="1"/>
  <c r="I6363"/>
  <c r="H6364"/>
  <c r="J6364" s="1"/>
  <c r="I6364"/>
  <c r="H6365"/>
  <c r="J6365" s="1"/>
  <c r="I6365"/>
  <c r="H6366"/>
  <c r="J6366" s="1"/>
  <c r="I6366"/>
  <c r="H6367"/>
  <c r="J6367" s="1"/>
  <c r="I6367"/>
  <c r="H6368"/>
  <c r="J6368" s="1"/>
  <c r="I6368"/>
  <c r="H6369"/>
  <c r="J6369" s="1"/>
  <c r="I6369"/>
  <c r="H6370"/>
  <c r="J6370" s="1"/>
  <c r="I6370"/>
  <c r="H6371"/>
  <c r="J6371" s="1"/>
  <c r="I6371"/>
  <c r="H6372"/>
  <c r="J6372" s="1"/>
  <c r="I6372"/>
  <c r="H6373"/>
  <c r="J6373" s="1"/>
  <c r="I6373"/>
  <c r="H6374"/>
  <c r="J6374" s="1"/>
  <c r="I6374"/>
  <c r="H6375"/>
  <c r="J6375" s="1"/>
  <c r="I6375"/>
  <c r="H6376"/>
  <c r="J6376" s="1"/>
  <c r="I6376"/>
  <c r="H6377"/>
  <c r="J6377" s="1"/>
  <c r="I6377"/>
  <c r="H6378"/>
  <c r="J6378" s="1"/>
  <c r="I6378"/>
  <c r="H6379"/>
  <c r="J6379" s="1"/>
  <c r="I6379"/>
  <c r="H6380"/>
  <c r="J6380" s="1"/>
  <c r="I6380"/>
  <c r="H6381"/>
  <c r="J6381" s="1"/>
  <c r="I6381"/>
  <c r="H6382"/>
  <c r="J6382" s="1"/>
  <c r="I6382"/>
  <c r="H6383"/>
  <c r="J6383" s="1"/>
  <c r="I6383"/>
  <c r="H6384"/>
  <c r="J6384" s="1"/>
  <c r="I6384"/>
  <c r="H6385"/>
  <c r="J6385" s="1"/>
  <c r="I6385"/>
  <c r="H6386"/>
  <c r="J6386" s="1"/>
  <c r="I6386"/>
  <c r="H6387"/>
  <c r="J6387" s="1"/>
  <c r="I6387"/>
  <c r="H6388"/>
  <c r="J6388" s="1"/>
  <c r="I6388"/>
  <c r="H6389"/>
  <c r="J6389" s="1"/>
  <c r="I6389"/>
  <c r="H6390"/>
  <c r="J6390" s="1"/>
  <c r="I6390"/>
  <c r="H6391"/>
  <c r="J6391" s="1"/>
  <c r="I6391"/>
  <c r="H6392"/>
  <c r="J6392" s="1"/>
  <c r="I6392"/>
  <c r="H6393"/>
  <c r="J6393" s="1"/>
  <c r="I6393"/>
  <c r="H6394"/>
  <c r="J6394" s="1"/>
  <c r="I6394"/>
  <c r="H6395"/>
  <c r="J6395" s="1"/>
  <c r="I6395"/>
  <c r="H6396"/>
  <c r="J6396" s="1"/>
  <c r="I6396"/>
  <c r="H6397"/>
  <c r="J6397" s="1"/>
  <c r="I6397"/>
  <c r="H6398"/>
  <c r="J6398" s="1"/>
  <c r="I6398"/>
  <c r="H6399"/>
  <c r="J6399" s="1"/>
  <c r="I6399"/>
  <c r="H6400"/>
  <c r="J6400" s="1"/>
  <c r="I6400"/>
  <c r="H6401"/>
  <c r="J6401" s="1"/>
  <c r="I6401"/>
  <c r="H6402"/>
  <c r="J6402" s="1"/>
  <c r="I6402"/>
  <c r="H6403"/>
  <c r="J6403" s="1"/>
  <c r="I6403"/>
  <c r="H6404"/>
  <c r="J6404" s="1"/>
  <c r="I6404"/>
  <c r="H6405"/>
  <c r="J6405" s="1"/>
  <c r="I6405"/>
  <c r="H6406"/>
  <c r="J6406" s="1"/>
  <c r="I6406"/>
  <c r="H6407"/>
  <c r="J6407" s="1"/>
  <c r="I6407"/>
  <c r="H6408"/>
  <c r="J6408" s="1"/>
  <c r="I6408"/>
  <c r="H6409"/>
  <c r="J6409" s="1"/>
  <c r="I6409"/>
  <c r="H6410"/>
  <c r="J6410" s="1"/>
  <c r="I6410"/>
  <c r="H6411"/>
  <c r="J6411" s="1"/>
  <c r="I6411"/>
  <c r="H6412"/>
  <c r="J6412" s="1"/>
  <c r="I6412"/>
  <c r="H6413"/>
  <c r="J6413" s="1"/>
  <c r="I6413"/>
  <c r="H6414"/>
  <c r="J6414" s="1"/>
  <c r="I6414"/>
  <c r="H6415"/>
  <c r="J6415" s="1"/>
  <c r="I6415"/>
  <c r="H6416"/>
  <c r="J6416" s="1"/>
  <c r="I6416"/>
  <c r="H6417"/>
  <c r="J6417" s="1"/>
  <c r="I6417"/>
  <c r="H6418"/>
  <c r="J6418" s="1"/>
  <c r="I6418"/>
  <c r="H6419"/>
  <c r="J6419" s="1"/>
  <c r="I6419"/>
  <c r="H6420"/>
  <c r="J6420" s="1"/>
  <c r="I6420"/>
  <c r="H6421"/>
  <c r="J6421" s="1"/>
  <c r="I6421"/>
  <c r="H6422"/>
  <c r="J6422" s="1"/>
  <c r="I6422"/>
  <c r="H6423"/>
  <c r="J6423" s="1"/>
  <c r="I6423"/>
  <c r="H6424"/>
  <c r="J6424" s="1"/>
  <c r="I6424"/>
  <c r="H6425"/>
  <c r="J6425" s="1"/>
  <c r="I6425"/>
  <c r="H6426"/>
  <c r="J6426" s="1"/>
  <c r="I6426"/>
  <c r="H6427"/>
  <c r="J6427" s="1"/>
  <c r="I6427"/>
  <c r="H6428"/>
  <c r="J6428" s="1"/>
  <c r="I6428"/>
  <c r="H6429"/>
  <c r="J6429" s="1"/>
  <c r="I6429"/>
  <c r="H6430"/>
  <c r="J6430" s="1"/>
  <c r="I6430"/>
  <c r="H6431"/>
  <c r="J6431" s="1"/>
  <c r="I6431"/>
  <c r="H6432"/>
  <c r="J6432" s="1"/>
  <c r="I6432"/>
  <c r="H6433"/>
  <c r="J6433" s="1"/>
  <c r="I6433"/>
  <c r="H6434"/>
  <c r="J6434" s="1"/>
  <c r="I6434"/>
  <c r="H6435"/>
  <c r="J6435" s="1"/>
  <c r="I6435"/>
  <c r="H6436"/>
  <c r="J6436" s="1"/>
  <c r="I6436"/>
  <c r="H6437"/>
  <c r="J6437" s="1"/>
  <c r="I6437"/>
  <c r="H6438"/>
  <c r="J6438" s="1"/>
  <c r="I6438"/>
  <c r="H6439"/>
  <c r="J6439" s="1"/>
  <c r="I6439"/>
  <c r="H6440"/>
  <c r="J6440" s="1"/>
  <c r="I6440"/>
  <c r="H6441"/>
  <c r="J6441" s="1"/>
  <c r="I6441"/>
  <c r="H6442"/>
  <c r="J6442" s="1"/>
  <c r="I6442"/>
  <c r="H6443"/>
  <c r="J6443" s="1"/>
  <c r="I6443"/>
  <c r="H6444"/>
  <c r="J6444" s="1"/>
  <c r="I6444"/>
  <c r="H6445"/>
  <c r="J6445" s="1"/>
  <c r="I6445"/>
  <c r="H6446"/>
  <c r="J6446" s="1"/>
  <c r="I6446"/>
  <c r="H6447"/>
  <c r="J6447" s="1"/>
  <c r="I6447"/>
  <c r="H6448"/>
  <c r="J6448" s="1"/>
  <c r="I6448"/>
  <c r="H6449"/>
  <c r="J6449" s="1"/>
  <c r="I6449"/>
  <c r="H6450"/>
  <c r="J6450" s="1"/>
  <c r="I6450"/>
  <c r="H6451"/>
  <c r="J6451" s="1"/>
  <c r="I6451"/>
  <c r="H6452"/>
  <c r="J6452" s="1"/>
  <c r="I6452"/>
  <c r="H6453"/>
  <c r="J6453" s="1"/>
  <c r="I6453"/>
  <c r="H6454"/>
  <c r="J6454" s="1"/>
  <c r="I6454"/>
  <c r="H6455"/>
  <c r="J6455" s="1"/>
  <c r="I6455"/>
  <c r="H6456"/>
  <c r="J6456" s="1"/>
  <c r="I6456"/>
  <c r="H6457"/>
  <c r="J6457" s="1"/>
  <c r="I6457"/>
  <c r="H6458"/>
  <c r="J6458" s="1"/>
  <c r="I6458"/>
  <c r="H6459"/>
  <c r="J6459" s="1"/>
  <c r="I6459"/>
  <c r="H6460"/>
  <c r="J6460" s="1"/>
  <c r="I6460"/>
  <c r="H6461"/>
  <c r="J6461" s="1"/>
  <c r="I6461"/>
  <c r="H6462"/>
  <c r="J6462" s="1"/>
  <c r="I6462"/>
  <c r="H6463"/>
  <c r="J6463" s="1"/>
  <c r="I6463"/>
  <c r="H6464"/>
  <c r="J6464" s="1"/>
  <c r="I6464"/>
  <c r="H6465"/>
  <c r="J6465" s="1"/>
  <c r="I6465"/>
  <c r="H6466"/>
  <c r="J6466" s="1"/>
  <c r="I6466"/>
  <c r="H6467"/>
  <c r="J6467" s="1"/>
  <c r="I6467"/>
  <c r="H6468"/>
  <c r="J6468" s="1"/>
  <c r="I6468"/>
  <c r="H6469"/>
  <c r="J6469" s="1"/>
  <c r="I6469"/>
  <c r="H6470"/>
  <c r="J6470" s="1"/>
  <c r="I6470"/>
  <c r="H6471"/>
  <c r="J6471" s="1"/>
  <c r="I6471"/>
  <c r="H6472"/>
  <c r="J6472" s="1"/>
  <c r="I6472"/>
  <c r="H6473"/>
  <c r="J6473" s="1"/>
  <c r="I6473"/>
  <c r="H6474"/>
  <c r="J6474" s="1"/>
  <c r="I6474"/>
  <c r="H6475"/>
  <c r="J6475" s="1"/>
  <c r="I6475"/>
  <c r="H6476"/>
  <c r="J6476" s="1"/>
  <c r="I6476"/>
  <c r="H6477"/>
  <c r="J6477" s="1"/>
  <c r="I6477"/>
  <c r="H6478"/>
  <c r="J6478" s="1"/>
  <c r="I6478"/>
  <c r="H6479"/>
  <c r="J6479" s="1"/>
  <c r="I6479"/>
  <c r="H6480"/>
  <c r="J6480" s="1"/>
  <c r="I6480"/>
  <c r="H6481"/>
  <c r="J6481" s="1"/>
  <c r="I6481"/>
  <c r="H6482"/>
  <c r="J6482" s="1"/>
  <c r="I6482"/>
  <c r="H6483"/>
  <c r="J6483" s="1"/>
  <c r="I6483"/>
  <c r="H6484"/>
  <c r="J6484" s="1"/>
  <c r="I6484"/>
  <c r="H6485"/>
  <c r="J6485" s="1"/>
  <c r="I6485"/>
  <c r="H6486"/>
  <c r="J6486" s="1"/>
  <c r="I6486"/>
  <c r="H6487"/>
  <c r="J6487" s="1"/>
  <c r="I6487"/>
  <c r="H6488"/>
  <c r="J6488" s="1"/>
  <c r="I6488"/>
  <c r="H6489"/>
  <c r="I6489"/>
  <c r="J6489"/>
  <c r="H6490"/>
  <c r="J6490" s="1"/>
  <c r="I6490"/>
  <c r="H6491"/>
  <c r="J6491" s="1"/>
  <c r="I6491"/>
  <c r="H6492"/>
  <c r="J6492" s="1"/>
  <c r="I6492"/>
  <c r="H6493"/>
  <c r="J6493" s="1"/>
  <c r="I6493"/>
  <c r="H6494"/>
  <c r="J6494" s="1"/>
  <c r="I6494"/>
  <c r="H6495"/>
  <c r="J6495" s="1"/>
  <c r="I6495"/>
  <c r="H6496"/>
  <c r="J6496" s="1"/>
  <c r="I6496"/>
  <c r="H6497"/>
  <c r="J6497" s="1"/>
  <c r="I6497"/>
  <c r="H6498"/>
  <c r="J6498" s="1"/>
  <c r="I6498"/>
  <c r="H6499"/>
  <c r="J6499" s="1"/>
  <c r="I6499"/>
  <c r="H6500"/>
  <c r="J6500" s="1"/>
  <c r="I6500"/>
  <c r="H6501"/>
  <c r="J6501" s="1"/>
  <c r="I6501"/>
  <c r="H6502"/>
  <c r="J6502" s="1"/>
  <c r="I6502"/>
  <c r="H6503"/>
  <c r="J6503" s="1"/>
  <c r="I6503"/>
  <c r="H6504"/>
  <c r="J6504" s="1"/>
  <c r="I6504"/>
  <c r="H6505"/>
  <c r="J6505" s="1"/>
  <c r="I6505"/>
  <c r="H6506"/>
  <c r="J6506" s="1"/>
  <c r="I6506"/>
  <c r="H6507"/>
  <c r="J6507" s="1"/>
  <c r="I6507"/>
  <c r="H6508"/>
  <c r="J6508" s="1"/>
  <c r="I6508"/>
  <c r="H6509"/>
  <c r="J6509" s="1"/>
  <c r="I6509"/>
  <c r="H6510"/>
  <c r="J6510" s="1"/>
  <c r="I6510"/>
  <c r="H6511"/>
  <c r="J6511" s="1"/>
  <c r="I6511"/>
  <c r="H6512"/>
  <c r="J6512" s="1"/>
  <c r="I6512"/>
  <c r="H6513"/>
  <c r="J6513" s="1"/>
  <c r="I6513"/>
  <c r="H6514"/>
  <c r="J6514" s="1"/>
  <c r="I6514"/>
  <c r="H6515"/>
  <c r="J6515" s="1"/>
  <c r="I6515"/>
  <c r="H6516"/>
  <c r="J6516" s="1"/>
  <c r="I6516"/>
  <c r="H6517"/>
  <c r="J6517" s="1"/>
  <c r="I6517"/>
  <c r="H6518"/>
  <c r="J6518" s="1"/>
  <c r="I6518"/>
  <c r="H6519"/>
  <c r="J6519" s="1"/>
  <c r="I6519"/>
  <c r="H6520"/>
  <c r="J6520" s="1"/>
  <c r="I6520"/>
  <c r="H6521"/>
  <c r="J6521" s="1"/>
  <c r="I6521"/>
  <c r="H6522"/>
  <c r="J6522" s="1"/>
  <c r="I6522"/>
  <c r="H6523"/>
  <c r="J6523" s="1"/>
  <c r="I6523"/>
  <c r="H6524"/>
  <c r="J6524" s="1"/>
  <c r="I6524"/>
  <c r="H6525"/>
  <c r="J6525" s="1"/>
  <c r="I6525"/>
  <c r="H6526"/>
  <c r="J6526" s="1"/>
  <c r="I6526"/>
  <c r="H6527"/>
  <c r="J6527" s="1"/>
  <c r="I6527"/>
  <c r="H6528"/>
  <c r="J6528" s="1"/>
  <c r="I6528"/>
  <c r="H6529"/>
  <c r="J6529" s="1"/>
  <c r="I6529"/>
  <c r="H6530"/>
  <c r="J6530" s="1"/>
  <c r="I6530"/>
  <c r="H6531"/>
  <c r="J6531" s="1"/>
  <c r="I6531"/>
  <c r="H6532"/>
  <c r="J6532" s="1"/>
  <c r="I6532"/>
  <c r="H6533"/>
  <c r="J6533" s="1"/>
  <c r="I6533"/>
  <c r="H6534"/>
  <c r="J6534" s="1"/>
  <c r="I6534"/>
  <c r="H6535"/>
  <c r="J6535" s="1"/>
  <c r="I6535"/>
  <c r="H6536"/>
  <c r="J6536" s="1"/>
  <c r="I6536"/>
  <c r="H6537"/>
  <c r="J6537" s="1"/>
  <c r="I6537"/>
  <c r="H6538"/>
  <c r="J6538" s="1"/>
  <c r="I6538"/>
  <c r="H6539"/>
  <c r="J6539" s="1"/>
  <c r="I6539"/>
  <c r="H6540"/>
  <c r="J6540" s="1"/>
  <c r="I6540"/>
  <c r="H6541"/>
  <c r="J6541" s="1"/>
  <c r="I6541"/>
  <c r="H6542"/>
  <c r="J6542" s="1"/>
  <c r="I6542"/>
  <c r="H6543"/>
  <c r="J6543" s="1"/>
  <c r="I6543"/>
  <c r="H6544"/>
  <c r="J6544" s="1"/>
  <c r="I6544"/>
  <c r="H6545"/>
  <c r="J6545" s="1"/>
  <c r="I6545"/>
  <c r="H6546"/>
  <c r="J6546" s="1"/>
  <c r="I6546"/>
  <c r="H6547"/>
  <c r="J6547" s="1"/>
  <c r="I6547"/>
  <c r="H6548"/>
  <c r="J6548" s="1"/>
  <c r="I6548"/>
  <c r="H6549"/>
  <c r="J6549" s="1"/>
  <c r="I6549"/>
  <c r="H6550"/>
  <c r="J6550" s="1"/>
  <c r="I6550"/>
  <c r="H6551"/>
  <c r="J6551" s="1"/>
  <c r="I6551"/>
  <c r="H6552"/>
  <c r="J6552" s="1"/>
  <c r="I6552"/>
  <c r="H6553"/>
  <c r="J6553" s="1"/>
  <c r="I6553"/>
  <c r="H6554"/>
  <c r="J6554" s="1"/>
  <c r="I6554"/>
  <c r="H6555"/>
  <c r="J6555" s="1"/>
  <c r="I6555"/>
  <c r="H6556"/>
  <c r="J6556" s="1"/>
  <c r="I6556"/>
  <c r="H6557"/>
  <c r="J6557" s="1"/>
  <c r="I6557"/>
  <c r="H6558"/>
  <c r="J6558" s="1"/>
  <c r="I6558"/>
  <c r="H6559"/>
  <c r="J6559" s="1"/>
  <c r="I6559"/>
  <c r="H6560"/>
  <c r="J6560" s="1"/>
  <c r="I6560"/>
  <c r="H6561"/>
  <c r="J6561" s="1"/>
  <c r="I6561"/>
  <c r="H6562"/>
  <c r="J6562" s="1"/>
  <c r="I6562"/>
  <c r="H6563"/>
  <c r="J6563" s="1"/>
  <c r="I6563"/>
  <c r="H6564"/>
  <c r="J6564" s="1"/>
  <c r="I6564"/>
  <c r="H6565"/>
  <c r="J6565" s="1"/>
  <c r="I6565"/>
  <c r="H6566"/>
  <c r="J6566" s="1"/>
  <c r="I6566"/>
  <c r="H6567"/>
  <c r="J6567" s="1"/>
  <c r="I6567"/>
  <c r="H6568"/>
  <c r="J6568" s="1"/>
  <c r="I6568"/>
  <c r="H6569"/>
  <c r="J6569" s="1"/>
  <c r="I6569"/>
  <c r="H6570"/>
  <c r="J6570" s="1"/>
  <c r="I6570"/>
  <c r="H6571"/>
  <c r="J6571" s="1"/>
  <c r="I6571"/>
  <c r="H6572"/>
  <c r="J6572" s="1"/>
  <c r="I6572"/>
  <c r="H6573"/>
  <c r="J6573" s="1"/>
  <c r="I6573"/>
  <c r="H6574"/>
  <c r="J6574" s="1"/>
  <c r="I6574"/>
  <c r="H6575"/>
  <c r="J6575" s="1"/>
  <c r="I6575"/>
  <c r="H6576"/>
  <c r="J6576" s="1"/>
  <c r="I6576"/>
  <c r="H6577"/>
  <c r="J6577" s="1"/>
  <c r="I6577"/>
  <c r="H6578"/>
  <c r="J6578" s="1"/>
  <c r="I6578"/>
  <c r="H6579"/>
  <c r="J6579" s="1"/>
  <c r="I6579"/>
  <c r="H6580"/>
  <c r="J6580" s="1"/>
  <c r="I6580"/>
  <c r="H6581"/>
  <c r="J6581" s="1"/>
  <c r="I6581"/>
  <c r="H6582"/>
  <c r="J6582" s="1"/>
  <c r="I6582"/>
  <c r="H6583"/>
  <c r="J6583" s="1"/>
  <c r="I6583"/>
  <c r="H6584"/>
  <c r="J6584" s="1"/>
  <c r="I6584"/>
  <c r="H6585"/>
  <c r="J6585" s="1"/>
  <c r="I6585"/>
  <c r="H6586"/>
  <c r="J6586" s="1"/>
  <c r="I6586"/>
  <c r="H6587"/>
  <c r="J6587" s="1"/>
  <c r="I6587"/>
  <c r="H6588"/>
  <c r="J6588" s="1"/>
  <c r="I6588"/>
  <c r="H6589"/>
  <c r="J6589" s="1"/>
  <c r="I6589"/>
  <c r="H6590"/>
  <c r="J6590" s="1"/>
  <c r="I6590"/>
  <c r="H6591"/>
  <c r="J6591" s="1"/>
  <c r="I6591"/>
  <c r="H6592"/>
  <c r="J6592" s="1"/>
  <c r="I6592"/>
  <c r="H6593"/>
  <c r="J6593" s="1"/>
  <c r="I6593"/>
  <c r="H6594"/>
  <c r="J6594" s="1"/>
  <c r="I6594"/>
  <c r="H6595"/>
  <c r="J6595" s="1"/>
  <c r="I6595"/>
  <c r="H6596"/>
  <c r="J6596" s="1"/>
  <c r="I6596"/>
  <c r="H6597"/>
  <c r="J6597" s="1"/>
  <c r="I6597"/>
  <c r="H6598"/>
  <c r="J6598" s="1"/>
  <c r="I6598"/>
  <c r="H6599"/>
  <c r="J6599" s="1"/>
  <c r="I6599"/>
  <c r="H6600"/>
  <c r="J6600" s="1"/>
  <c r="I6600"/>
  <c r="H6601"/>
  <c r="J6601" s="1"/>
  <c r="I6601"/>
  <c r="H6602"/>
  <c r="J6602" s="1"/>
  <c r="I6602"/>
  <c r="H6603"/>
  <c r="J6603" s="1"/>
  <c r="I6603"/>
  <c r="H6604"/>
  <c r="J6604" s="1"/>
  <c r="I6604"/>
  <c r="H6605"/>
  <c r="J6605" s="1"/>
  <c r="I6605"/>
  <c r="H6606"/>
  <c r="J6606" s="1"/>
  <c r="I6606"/>
  <c r="H6607"/>
  <c r="J6607" s="1"/>
  <c r="I6607"/>
  <c r="H6608"/>
  <c r="J6608" s="1"/>
  <c r="I6608"/>
  <c r="H6609"/>
  <c r="J6609" s="1"/>
  <c r="I6609"/>
  <c r="H6610"/>
  <c r="J6610" s="1"/>
  <c r="I6610"/>
  <c r="H6611"/>
  <c r="J6611" s="1"/>
  <c r="I6611"/>
  <c r="H6612"/>
  <c r="J6612" s="1"/>
  <c r="I6612"/>
  <c r="H6613"/>
  <c r="J6613" s="1"/>
  <c r="I6613"/>
  <c r="H6614"/>
  <c r="J6614" s="1"/>
  <c r="I6614"/>
  <c r="H6615"/>
  <c r="J6615" s="1"/>
  <c r="I6615"/>
  <c r="H6616"/>
  <c r="J6616" s="1"/>
  <c r="I6616"/>
  <c r="H6617"/>
  <c r="J6617" s="1"/>
  <c r="I6617"/>
  <c r="H6618"/>
  <c r="J6618" s="1"/>
  <c r="I6618"/>
  <c r="H6619"/>
  <c r="J6619" s="1"/>
  <c r="I6619"/>
  <c r="H6620"/>
  <c r="J6620" s="1"/>
  <c r="I6620"/>
  <c r="H6621"/>
  <c r="J6621" s="1"/>
  <c r="I6621"/>
  <c r="H6622"/>
  <c r="J6622" s="1"/>
  <c r="I6622"/>
  <c r="H6623"/>
  <c r="J6623" s="1"/>
  <c r="I6623"/>
  <c r="H6624"/>
  <c r="J6624" s="1"/>
  <c r="I6624"/>
  <c r="H6625"/>
  <c r="J6625" s="1"/>
  <c r="I6625"/>
  <c r="H6626"/>
  <c r="J6626" s="1"/>
  <c r="I6626"/>
  <c r="H6627"/>
  <c r="J6627" s="1"/>
  <c r="I6627"/>
  <c r="H6628"/>
  <c r="J6628" s="1"/>
  <c r="I6628"/>
  <c r="H6629"/>
  <c r="J6629" s="1"/>
  <c r="I6629"/>
  <c r="H6630"/>
  <c r="J6630" s="1"/>
  <c r="I6630"/>
  <c r="H6631"/>
  <c r="J6631" s="1"/>
  <c r="I6631"/>
  <c r="H6632"/>
  <c r="J6632" s="1"/>
  <c r="I6632"/>
  <c r="H6633"/>
  <c r="J6633" s="1"/>
  <c r="I6633"/>
  <c r="H6634"/>
  <c r="J6634" s="1"/>
  <c r="I6634"/>
  <c r="H6635"/>
  <c r="J6635" s="1"/>
  <c r="I6635"/>
  <c r="H6636"/>
  <c r="J6636" s="1"/>
  <c r="I6636"/>
  <c r="H6637"/>
  <c r="J6637" s="1"/>
  <c r="I6637"/>
  <c r="H6638"/>
  <c r="J6638" s="1"/>
  <c r="I6638"/>
  <c r="H6639"/>
  <c r="J6639" s="1"/>
  <c r="I6639"/>
  <c r="H6640"/>
  <c r="J6640" s="1"/>
  <c r="I6640"/>
  <c r="H6641"/>
  <c r="J6641" s="1"/>
  <c r="I6641"/>
  <c r="H6642"/>
  <c r="J6642" s="1"/>
  <c r="I6642"/>
  <c r="H6643"/>
  <c r="J6643" s="1"/>
  <c r="I6643"/>
  <c r="H6644"/>
  <c r="J6644" s="1"/>
  <c r="I6644"/>
  <c r="H6645"/>
  <c r="J6645" s="1"/>
  <c r="I6645"/>
  <c r="H6646"/>
  <c r="J6646" s="1"/>
  <c r="I6646"/>
  <c r="H6647"/>
  <c r="J6647" s="1"/>
  <c r="I6647"/>
  <c r="H6648"/>
  <c r="J6648" s="1"/>
  <c r="I6648"/>
  <c r="H6649"/>
  <c r="J6649" s="1"/>
  <c r="I6649"/>
  <c r="H6650"/>
  <c r="J6650" s="1"/>
  <c r="I6650"/>
  <c r="H6651"/>
  <c r="J6651" s="1"/>
  <c r="I6651"/>
  <c r="H6652"/>
  <c r="J6652" s="1"/>
  <c r="I6652"/>
  <c r="H6653"/>
  <c r="J6653" s="1"/>
  <c r="I6653"/>
  <c r="H6654"/>
  <c r="J6654" s="1"/>
  <c r="I6654"/>
  <c r="H6655"/>
  <c r="J6655" s="1"/>
  <c r="I6655"/>
  <c r="H6656"/>
  <c r="J6656" s="1"/>
  <c r="I6656"/>
  <c r="H6657"/>
  <c r="J6657" s="1"/>
  <c r="I6657"/>
  <c r="H6658"/>
  <c r="J6658" s="1"/>
  <c r="I6658"/>
  <c r="H6659"/>
  <c r="J6659" s="1"/>
  <c r="I6659"/>
  <c r="H6660"/>
  <c r="J6660" s="1"/>
  <c r="I6660"/>
  <c r="H6661"/>
  <c r="J6661" s="1"/>
  <c r="I6661"/>
  <c r="H6662"/>
  <c r="J6662" s="1"/>
  <c r="I6662"/>
  <c r="H6663"/>
  <c r="J6663" s="1"/>
  <c r="I6663"/>
  <c r="H6664"/>
  <c r="J6664" s="1"/>
  <c r="I6664"/>
  <c r="H6665"/>
  <c r="J6665" s="1"/>
  <c r="I6665"/>
  <c r="H6666"/>
  <c r="J6666" s="1"/>
  <c r="I6666"/>
  <c r="H6667"/>
  <c r="J6667" s="1"/>
  <c r="I6667"/>
  <c r="H6668"/>
  <c r="J6668" s="1"/>
  <c r="I6668"/>
  <c r="H6669"/>
  <c r="J6669" s="1"/>
  <c r="I6669"/>
  <c r="H6670"/>
  <c r="J6670" s="1"/>
  <c r="I6670"/>
  <c r="H6671"/>
  <c r="J6671" s="1"/>
  <c r="I6671"/>
  <c r="H6672"/>
  <c r="J6672" s="1"/>
  <c r="I6672"/>
  <c r="H6673"/>
  <c r="J6673" s="1"/>
  <c r="I6673"/>
  <c r="H6674"/>
  <c r="J6674" s="1"/>
  <c r="I6674"/>
  <c r="H6675"/>
  <c r="J6675" s="1"/>
  <c r="I6675"/>
  <c r="H6676"/>
  <c r="J6676" s="1"/>
  <c r="I6676"/>
  <c r="H6677"/>
  <c r="J6677" s="1"/>
  <c r="I6677"/>
  <c r="H6678"/>
  <c r="J6678" s="1"/>
  <c r="I6678"/>
  <c r="H6679"/>
  <c r="J6679" s="1"/>
  <c r="I6679"/>
  <c r="H6680"/>
  <c r="J6680" s="1"/>
  <c r="I6680"/>
  <c r="H6681"/>
  <c r="J6681" s="1"/>
  <c r="I6681"/>
  <c r="H6682"/>
  <c r="J6682" s="1"/>
  <c r="I6682"/>
  <c r="H6683"/>
  <c r="J6683" s="1"/>
  <c r="I6683"/>
  <c r="H6684"/>
  <c r="J6684" s="1"/>
  <c r="I6684"/>
  <c r="H6685"/>
  <c r="J6685" s="1"/>
  <c r="I6685"/>
  <c r="H6686"/>
  <c r="J6686" s="1"/>
  <c r="I6686"/>
  <c r="H6687"/>
  <c r="J6687" s="1"/>
  <c r="I6687"/>
  <c r="H6688"/>
  <c r="J6688" s="1"/>
  <c r="I6688"/>
  <c r="H6689"/>
  <c r="J6689" s="1"/>
  <c r="I6689"/>
  <c r="H6690"/>
  <c r="J6690" s="1"/>
  <c r="I6690"/>
  <c r="H6691"/>
  <c r="J6691" s="1"/>
  <c r="I6691"/>
  <c r="H6692"/>
  <c r="J6692" s="1"/>
  <c r="I6692"/>
  <c r="H6693"/>
  <c r="J6693" s="1"/>
  <c r="I6693"/>
  <c r="H6694"/>
  <c r="J6694" s="1"/>
  <c r="I6694"/>
  <c r="H6695"/>
  <c r="J6695" s="1"/>
  <c r="I6695"/>
  <c r="H6696"/>
  <c r="J6696" s="1"/>
  <c r="I6696"/>
  <c r="H6697"/>
  <c r="J6697" s="1"/>
  <c r="I6697"/>
  <c r="H6698"/>
  <c r="J6698" s="1"/>
  <c r="I6698"/>
  <c r="H6699"/>
  <c r="J6699" s="1"/>
  <c r="I6699"/>
  <c r="H6700"/>
  <c r="J6700" s="1"/>
  <c r="I6700"/>
  <c r="H6701"/>
  <c r="J6701" s="1"/>
  <c r="I6701"/>
  <c r="H6702"/>
  <c r="J6702" s="1"/>
  <c r="I6702"/>
  <c r="H6703"/>
  <c r="J6703" s="1"/>
  <c r="I6703"/>
  <c r="H6704"/>
  <c r="J6704" s="1"/>
  <c r="I6704"/>
  <c r="H6705"/>
  <c r="J6705" s="1"/>
  <c r="I6705"/>
  <c r="H6706"/>
  <c r="J6706" s="1"/>
  <c r="I6706"/>
  <c r="H6707"/>
  <c r="J6707" s="1"/>
  <c r="I6707"/>
  <c r="H6708"/>
  <c r="J6708" s="1"/>
  <c r="I6708"/>
  <c r="H6709"/>
  <c r="J6709" s="1"/>
  <c r="I6709"/>
  <c r="H6710"/>
  <c r="J6710" s="1"/>
  <c r="I6710"/>
  <c r="H6711"/>
  <c r="J6711" s="1"/>
  <c r="I6711"/>
  <c r="H6712"/>
  <c r="J6712" s="1"/>
  <c r="I6712"/>
  <c r="H6713"/>
  <c r="J6713" s="1"/>
  <c r="I6713"/>
  <c r="H6714"/>
  <c r="J6714" s="1"/>
  <c r="I6714"/>
  <c r="H6715"/>
  <c r="J6715" s="1"/>
  <c r="I6715"/>
  <c r="H6716"/>
  <c r="J6716" s="1"/>
  <c r="I6716"/>
  <c r="H6717"/>
  <c r="J6717" s="1"/>
  <c r="I6717"/>
  <c r="H6718"/>
  <c r="J6718" s="1"/>
  <c r="I6718"/>
  <c r="H6719"/>
  <c r="J6719" s="1"/>
  <c r="I6719"/>
  <c r="H6720"/>
  <c r="J6720" s="1"/>
  <c r="I6720"/>
  <c r="H6721"/>
  <c r="J6721" s="1"/>
  <c r="I6721"/>
  <c r="H6722"/>
  <c r="J6722" s="1"/>
  <c r="I6722"/>
  <c r="H6723"/>
  <c r="J6723" s="1"/>
  <c r="I6723"/>
  <c r="H6724"/>
  <c r="J6724" s="1"/>
  <c r="I6724"/>
  <c r="H6725"/>
  <c r="J6725" s="1"/>
  <c r="I6725"/>
  <c r="H6726"/>
  <c r="J6726" s="1"/>
  <c r="I6726"/>
  <c r="H6727"/>
  <c r="J6727" s="1"/>
  <c r="I6727"/>
  <c r="H6728"/>
  <c r="J6728" s="1"/>
  <c r="I6728"/>
  <c r="H6729"/>
  <c r="J6729" s="1"/>
  <c r="I6729"/>
  <c r="H6730"/>
  <c r="J6730" s="1"/>
  <c r="I6730"/>
  <c r="H6731"/>
  <c r="J6731" s="1"/>
  <c r="I6731"/>
  <c r="H6732"/>
  <c r="J6732" s="1"/>
  <c r="I6732"/>
  <c r="H6733"/>
  <c r="J6733" s="1"/>
  <c r="I6733"/>
  <c r="H6734"/>
  <c r="J6734" s="1"/>
  <c r="I6734"/>
  <c r="H6735"/>
  <c r="J6735" s="1"/>
  <c r="I6735"/>
  <c r="H6736"/>
  <c r="J6736" s="1"/>
  <c r="I6736"/>
  <c r="H6737"/>
  <c r="J6737" s="1"/>
  <c r="I6737"/>
  <c r="H6738"/>
  <c r="J6738" s="1"/>
  <c r="I6738"/>
  <c r="H6739"/>
  <c r="J6739" s="1"/>
  <c r="I6739"/>
  <c r="H6740"/>
  <c r="J6740" s="1"/>
  <c r="I6740"/>
  <c r="H6741"/>
  <c r="J6741" s="1"/>
  <c r="I6741"/>
  <c r="H6742"/>
  <c r="J6742" s="1"/>
  <c r="I6742"/>
  <c r="H6743"/>
  <c r="J6743" s="1"/>
  <c r="I6743"/>
  <c r="H6744"/>
  <c r="J6744" s="1"/>
  <c r="I6744"/>
  <c r="H6745"/>
  <c r="J6745" s="1"/>
  <c r="I6745"/>
  <c r="H6746"/>
  <c r="J6746" s="1"/>
  <c r="I6746"/>
  <c r="H6747"/>
  <c r="J6747" s="1"/>
  <c r="I6747"/>
  <c r="H6748"/>
  <c r="J6748" s="1"/>
  <c r="I6748"/>
  <c r="H6749"/>
  <c r="J6749" s="1"/>
  <c r="I6749"/>
  <c r="H6750"/>
  <c r="J6750" s="1"/>
  <c r="I6750"/>
  <c r="H6751"/>
  <c r="J6751" s="1"/>
  <c r="I6751"/>
  <c r="H6752"/>
  <c r="J6752" s="1"/>
  <c r="I6752"/>
  <c r="H6753"/>
  <c r="J6753" s="1"/>
  <c r="I6753"/>
  <c r="H6754"/>
  <c r="J6754" s="1"/>
  <c r="I6754"/>
  <c r="H6755"/>
  <c r="J6755" s="1"/>
  <c r="I6755"/>
  <c r="H6756"/>
  <c r="J6756" s="1"/>
  <c r="I6756"/>
  <c r="H6757"/>
  <c r="J6757" s="1"/>
  <c r="I6757"/>
  <c r="H6758"/>
  <c r="J6758" s="1"/>
  <c r="I6758"/>
  <c r="H6759"/>
  <c r="J6759" s="1"/>
  <c r="I6759"/>
  <c r="H6760"/>
  <c r="J6760" s="1"/>
  <c r="I6760"/>
  <c r="H6761"/>
  <c r="J6761" s="1"/>
  <c r="I6761"/>
  <c r="H6762"/>
  <c r="J6762" s="1"/>
  <c r="I6762"/>
  <c r="H6763"/>
  <c r="J6763" s="1"/>
  <c r="I6763"/>
  <c r="H6764"/>
  <c r="J6764" s="1"/>
  <c r="I6764"/>
  <c r="H6765"/>
  <c r="J6765" s="1"/>
  <c r="I6765"/>
  <c r="H6766"/>
  <c r="J6766" s="1"/>
  <c r="I6766"/>
  <c r="H6767"/>
  <c r="J6767" s="1"/>
  <c r="I6767"/>
  <c r="H6768"/>
  <c r="J6768" s="1"/>
  <c r="I6768"/>
  <c r="H6769"/>
  <c r="J6769" s="1"/>
  <c r="I6769"/>
  <c r="H6770"/>
  <c r="J6770" s="1"/>
  <c r="I6770"/>
  <c r="H6771"/>
  <c r="J6771" s="1"/>
  <c r="I6771"/>
  <c r="H6772"/>
  <c r="J6772" s="1"/>
  <c r="I6772"/>
  <c r="H6773"/>
  <c r="J6773" s="1"/>
  <c r="I6773"/>
  <c r="H6774"/>
  <c r="J6774" s="1"/>
  <c r="I6774"/>
  <c r="H6775"/>
  <c r="J6775" s="1"/>
  <c r="I6775"/>
  <c r="H6776"/>
  <c r="J6776" s="1"/>
  <c r="I6776"/>
  <c r="H6777"/>
  <c r="J6777" s="1"/>
  <c r="I6777"/>
  <c r="H6778"/>
  <c r="J6778" s="1"/>
  <c r="I6778"/>
  <c r="H6779"/>
  <c r="J6779" s="1"/>
  <c r="I6779"/>
  <c r="H6780"/>
  <c r="J6780" s="1"/>
  <c r="I6780"/>
  <c r="H6781"/>
  <c r="J6781" s="1"/>
  <c r="I6781"/>
  <c r="H6782"/>
  <c r="J6782" s="1"/>
  <c r="I6782"/>
  <c r="H6783"/>
  <c r="J6783" s="1"/>
  <c r="I6783"/>
  <c r="H6784"/>
  <c r="J6784" s="1"/>
  <c r="I6784"/>
  <c r="H6785"/>
  <c r="J6785" s="1"/>
  <c r="I6785"/>
  <c r="H6786"/>
  <c r="J6786" s="1"/>
  <c r="I6786"/>
  <c r="H6787"/>
  <c r="J6787" s="1"/>
  <c r="I6787"/>
  <c r="H6788"/>
  <c r="J6788" s="1"/>
  <c r="I6788"/>
  <c r="H6789"/>
  <c r="J6789" s="1"/>
  <c r="I6789"/>
  <c r="H6790"/>
  <c r="J6790" s="1"/>
  <c r="I6790"/>
  <c r="H6791"/>
  <c r="J6791" s="1"/>
  <c r="I6791"/>
  <c r="H6792"/>
  <c r="J6792" s="1"/>
  <c r="I6792"/>
  <c r="H6793"/>
  <c r="J6793" s="1"/>
  <c r="I6793"/>
  <c r="H6794"/>
  <c r="J6794" s="1"/>
  <c r="I6794"/>
  <c r="H6795"/>
  <c r="J6795" s="1"/>
  <c r="I6795"/>
  <c r="H6796"/>
  <c r="J6796" s="1"/>
  <c r="I6796"/>
  <c r="H6797"/>
  <c r="J6797" s="1"/>
  <c r="I6797"/>
  <c r="H6798"/>
  <c r="J6798" s="1"/>
  <c r="I6798"/>
  <c r="H6799"/>
  <c r="J6799" s="1"/>
  <c r="I6799"/>
  <c r="H6800"/>
  <c r="J6800" s="1"/>
  <c r="I6800"/>
  <c r="H6801"/>
  <c r="J6801" s="1"/>
  <c r="I6801"/>
  <c r="H6802"/>
  <c r="J6802" s="1"/>
  <c r="I6802"/>
  <c r="H6803"/>
  <c r="J6803" s="1"/>
  <c r="I6803"/>
  <c r="H6804"/>
  <c r="J6804" s="1"/>
  <c r="I6804"/>
  <c r="H6805"/>
  <c r="J6805" s="1"/>
  <c r="I6805"/>
  <c r="H6806"/>
  <c r="J6806" s="1"/>
  <c r="I6806"/>
  <c r="H6807"/>
  <c r="J6807" s="1"/>
  <c r="I6807"/>
  <c r="H6808"/>
  <c r="J6808" s="1"/>
  <c r="I6808"/>
  <c r="H6809"/>
  <c r="J6809" s="1"/>
  <c r="I6809"/>
  <c r="H6810"/>
  <c r="J6810" s="1"/>
  <c r="I6810"/>
  <c r="H6811"/>
  <c r="J6811" s="1"/>
  <c r="I6811"/>
  <c r="H6812"/>
  <c r="J6812" s="1"/>
  <c r="I6812"/>
  <c r="H6813"/>
  <c r="J6813" s="1"/>
  <c r="I6813"/>
  <c r="H6814"/>
  <c r="J6814" s="1"/>
  <c r="I6814"/>
  <c r="H6815"/>
  <c r="J6815" s="1"/>
  <c r="I6815"/>
  <c r="H6816"/>
  <c r="J6816" s="1"/>
  <c r="I6816"/>
  <c r="H6817"/>
  <c r="J6817" s="1"/>
  <c r="I6817"/>
  <c r="H6818"/>
  <c r="J6818" s="1"/>
  <c r="I6818"/>
  <c r="H6819"/>
  <c r="J6819" s="1"/>
  <c r="I6819"/>
  <c r="H6820"/>
  <c r="J6820" s="1"/>
  <c r="I6820"/>
  <c r="H6821"/>
  <c r="J6821" s="1"/>
  <c r="I6821"/>
  <c r="H6822"/>
  <c r="J6822" s="1"/>
  <c r="I6822"/>
  <c r="H6823"/>
  <c r="J6823" s="1"/>
  <c r="I6823"/>
  <c r="H6824"/>
  <c r="J6824" s="1"/>
  <c r="I6824"/>
  <c r="H6825"/>
  <c r="J6825" s="1"/>
  <c r="I6825"/>
  <c r="H6826"/>
  <c r="J6826" s="1"/>
  <c r="I6826"/>
  <c r="H6827"/>
  <c r="J6827" s="1"/>
  <c r="I6827"/>
  <c r="H6828"/>
  <c r="J6828" s="1"/>
  <c r="I6828"/>
  <c r="H6829"/>
  <c r="J6829" s="1"/>
  <c r="I6829"/>
  <c r="H6830"/>
  <c r="J6830" s="1"/>
  <c r="I6830"/>
  <c r="H6831"/>
  <c r="J6831" s="1"/>
  <c r="I6831"/>
  <c r="H6832"/>
  <c r="J6832" s="1"/>
  <c r="I6832"/>
  <c r="H6833"/>
  <c r="J6833" s="1"/>
  <c r="I6833"/>
  <c r="H6834"/>
  <c r="J6834" s="1"/>
  <c r="I6834"/>
  <c r="H6835"/>
  <c r="J6835" s="1"/>
  <c r="I6835"/>
  <c r="H6836"/>
  <c r="J6836" s="1"/>
  <c r="I6836"/>
  <c r="H6837"/>
  <c r="J6837" s="1"/>
  <c r="I6837"/>
  <c r="H6838"/>
  <c r="J6838" s="1"/>
  <c r="I6838"/>
  <c r="H6839"/>
  <c r="J6839" s="1"/>
  <c r="I6839"/>
  <c r="H6840"/>
  <c r="J6840" s="1"/>
  <c r="I6840"/>
  <c r="H6841"/>
  <c r="J6841" s="1"/>
  <c r="I6841"/>
  <c r="H6842"/>
  <c r="J6842" s="1"/>
  <c r="I6842"/>
  <c r="H6843"/>
  <c r="J6843" s="1"/>
  <c r="I6843"/>
  <c r="H6844"/>
  <c r="J6844" s="1"/>
  <c r="I6844"/>
  <c r="H6845"/>
  <c r="J6845" s="1"/>
  <c r="I6845"/>
  <c r="H6846"/>
  <c r="J6846" s="1"/>
  <c r="I6846"/>
  <c r="H6847"/>
  <c r="J6847" s="1"/>
  <c r="I6847"/>
  <c r="H6848"/>
  <c r="J6848" s="1"/>
  <c r="I6848"/>
  <c r="H6849"/>
  <c r="J6849" s="1"/>
  <c r="I6849"/>
  <c r="H6850"/>
  <c r="J6850" s="1"/>
  <c r="I6850"/>
  <c r="H6851"/>
  <c r="J6851" s="1"/>
  <c r="I6851"/>
  <c r="H6852"/>
  <c r="J6852" s="1"/>
  <c r="I6852"/>
  <c r="H6853"/>
  <c r="J6853" s="1"/>
  <c r="I6853"/>
  <c r="H6854"/>
  <c r="J6854" s="1"/>
  <c r="I6854"/>
  <c r="H6855"/>
  <c r="J6855" s="1"/>
  <c r="I6855"/>
  <c r="H6856"/>
  <c r="J6856" s="1"/>
  <c r="I6856"/>
  <c r="H6857"/>
  <c r="J6857" s="1"/>
  <c r="I6857"/>
  <c r="H6858"/>
  <c r="J6858" s="1"/>
  <c r="I6858"/>
  <c r="H6859"/>
  <c r="J6859" s="1"/>
  <c r="I6859"/>
  <c r="H6860"/>
  <c r="J6860" s="1"/>
  <c r="I6860"/>
  <c r="H6861"/>
  <c r="J6861" s="1"/>
  <c r="I6861"/>
  <c r="H6862"/>
  <c r="J6862" s="1"/>
  <c r="I6862"/>
  <c r="H6863"/>
  <c r="J6863" s="1"/>
  <c r="I6863"/>
  <c r="H6864"/>
  <c r="J6864" s="1"/>
  <c r="I6864"/>
  <c r="H6865"/>
  <c r="J6865" s="1"/>
  <c r="I6865"/>
  <c r="H6866"/>
  <c r="J6866" s="1"/>
  <c r="I6866"/>
  <c r="H6867"/>
  <c r="J6867" s="1"/>
  <c r="I6867"/>
  <c r="H6868"/>
  <c r="J6868" s="1"/>
  <c r="I6868"/>
  <c r="H6869"/>
  <c r="J6869" s="1"/>
  <c r="I6869"/>
  <c r="H6870"/>
  <c r="J6870" s="1"/>
  <c r="I6870"/>
  <c r="H6871"/>
  <c r="J6871" s="1"/>
  <c r="I6871"/>
  <c r="H6872"/>
  <c r="J6872" s="1"/>
  <c r="I6872"/>
  <c r="H6873"/>
  <c r="J6873" s="1"/>
  <c r="I6873"/>
  <c r="H6874"/>
  <c r="J6874" s="1"/>
  <c r="I6874"/>
  <c r="H6875"/>
  <c r="J6875" s="1"/>
  <c r="I6875"/>
  <c r="H6876"/>
  <c r="J6876" s="1"/>
  <c r="I6876"/>
  <c r="H6877"/>
  <c r="J6877" s="1"/>
  <c r="I6877"/>
  <c r="H6878"/>
  <c r="J6878" s="1"/>
  <c r="I6878"/>
  <c r="H6879"/>
  <c r="J6879" s="1"/>
  <c r="I6879"/>
  <c r="H6880"/>
  <c r="J6880" s="1"/>
  <c r="I6880"/>
  <c r="H6881"/>
  <c r="J6881" s="1"/>
  <c r="I6881"/>
  <c r="H6882"/>
  <c r="J6882" s="1"/>
  <c r="I6882"/>
  <c r="H6883"/>
  <c r="J6883" s="1"/>
  <c r="I6883"/>
  <c r="H6884"/>
  <c r="J6884" s="1"/>
  <c r="I6884"/>
  <c r="H6885"/>
  <c r="J6885" s="1"/>
  <c r="I6885"/>
  <c r="H6886"/>
  <c r="J6886" s="1"/>
  <c r="I6886"/>
  <c r="H6887"/>
  <c r="J6887" s="1"/>
  <c r="I6887"/>
  <c r="H6888"/>
  <c r="J6888" s="1"/>
  <c r="I6888"/>
  <c r="H6889"/>
  <c r="J6889" s="1"/>
  <c r="I6889"/>
  <c r="H6890"/>
  <c r="J6890" s="1"/>
  <c r="I6890"/>
  <c r="H6891"/>
  <c r="J6891" s="1"/>
  <c r="I6891"/>
  <c r="H6892"/>
  <c r="J6892" s="1"/>
  <c r="I6892"/>
  <c r="H6893"/>
  <c r="J6893" s="1"/>
  <c r="I6893"/>
  <c r="H6894"/>
  <c r="J6894" s="1"/>
  <c r="I6894"/>
  <c r="H6895"/>
  <c r="J6895" s="1"/>
  <c r="I6895"/>
  <c r="H6896"/>
  <c r="J6896" s="1"/>
  <c r="I6896"/>
  <c r="H6897"/>
  <c r="J6897" s="1"/>
  <c r="I6897"/>
  <c r="H6898"/>
  <c r="J6898" s="1"/>
  <c r="I6898"/>
  <c r="H6899"/>
  <c r="J6899" s="1"/>
  <c r="I6899"/>
  <c r="H6900"/>
  <c r="J6900" s="1"/>
  <c r="I6900"/>
  <c r="H6901"/>
  <c r="J6901" s="1"/>
  <c r="I6901"/>
  <c r="H6902"/>
  <c r="J6902" s="1"/>
  <c r="I6902"/>
  <c r="H6903"/>
  <c r="J6903" s="1"/>
  <c r="I6903"/>
  <c r="H6904"/>
  <c r="J6904" s="1"/>
  <c r="I6904"/>
  <c r="H6905"/>
  <c r="J6905" s="1"/>
  <c r="I6905"/>
  <c r="H6906"/>
  <c r="J6906" s="1"/>
  <c r="I6906"/>
  <c r="H6907"/>
  <c r="J6907" s="1"/>
  <c r="I6907"/>
  <c r="H6908"/>
  <c r="J6908" s="1"/>
  <c r="I6908"/>
  <c r="H6909"/>
  <c r="J6909" s="1"/>
  <c r="I6909"/>
  <c r="H6910"/>
  <c r="J6910" s="1"/>
  <c r="I6910"/>
  <c r="H6911"/>
  <c r="J6911" s="1"/>
  <c r="I6911"/>
  <c r="H6912"/>
  <c r="J6912" s="1"/>
  <c r="I6912"/>
  <c r="H6913"/>
  <c r="J6913" s="1"/>
  <c r="I6913"/>
  <c r="H6914"/>
  <c r="J6914" s="1"/>
  <c r="I6914"/>
  <c r="H6915"/>
  <c r="J6915" s="1"/>
  <c r="I6915"/>
  <c r="H6916"/>
  <c r="J6916" s="1"/>
  <c r="I6916"/>
  <c r="H6917"/>
  <c r="J6917" s="1"/>
  <c r="I6917"/>
  <c r="H6918"/>
  <c r="J6918" s="1"/>
  <c r="I6918"/>
  <c r="H6919"/>
  <c r="J6919" s="1"/>
  <c r="I6919"/>
  <c r="H6920"/>
  <c r="J6920" s="1"/>
  <c r="I6920"/>
  <c r="H6921"/>
  <c r="J6921" s="1"/>
  <c r="I6921"/>
  <c r="H6922"/>
  <c r="J6922" s="1"/>
  <c r="I6922"/>
  <c r="H6923"/>
  <c r="J6923" s="1"/>
  <c r="I6923"/>
  <c r="H6924"/>
  <c r="J6924" s="1"/>
  <c r="I6924"/>
  <c r="H6925"/>
  <c r="J6925" s="1"/>
  <c r="I6925"/>
  <c r="H6926"/>
  <c r="J6926" s="1"/>
  <c r="I6926"/>
  <c r="H6927"/>
  <c r="J6927" s="1"/>
  <c r="I6927"/>
  <c r="H6928"/>
  <c r="J6928" s="1"/>
  <c r="I6928"/>
  <c r="H6929"/>
  <c r="J6929" s="1"/>
  <c r="I6929"/>
  <c r="H6930"/>
  <c r="J6930" s="1"/>
  <c r="I6930"/>
  <c r="H6931"/>
  <c r="J6931" s="1"/>
  <c r="I6931"/>
  <c r="H6932"/>
  <c r="J6932" s="1"/>
  <c r="I6932"/>
  <c r="H6933"/>
  <c r="J6933" s="1"/>
  <c r="I6933"/>
  <c r="H6934"/>
  <c r="J6934" s="1"/>
  <c r="I6934"/>
  <c r="H6935"/>
  <c r="J6935" s="1"/>
  <c r="I6935"/>
  <c r="H6936"/>
  <c r="J6936" s="1"/>
  <c r="I6936"/>
  <c r="H6937"/>
  <c r="J6937" s="1"/>
  <c r="I6937"/>
  <c r="H6938"/>
  <c r="J6938" s="1"/>
  <c r="I6938"/>
  <c r="H6939"/>
  <c r="J6939" s="1"/>
  <c r="I6939"/>
  <c r="H6940"/>
  <c r="J6940" s="1"/>
  <c r="I6940"/>
  <c r="H6941"/>
  <c r="J6941" s="1"/>
  <c r="I6941"/>
  <c r="H6942"/>
  <c r="J6942" s="1"/>
  <c r="I6942"/>
  <c r="H6943"/>
  <c r="J6943" s="1"/>
  <c r="I6943"/>
  <c r="H6944"/>
  <c r="J6944" s="1"/>
  <c r="I6944"/>
  <c r="H6945"/>
  <c r="J6945" s="1"/>
  <c r="I6945"/>
  <c r="H6946"/>
  <c r="J6946" s="1"/>
  <c r="I6946"/>
  <c r="H6947"/>
  <c r="J6947" s="1"/>
  <c r="I6947"/>
  <c r="H6948"/>
  <c r="J6948" s="1"/>
  <c r="I6948"/>
  <c r="H6949"/>
  <c r="J6949" s="1"/>
  <c r="I6949"/>
  <c r="H6950"/>
  <c r="J6950" s="1"/>
  <c r="I6950"/>
  <c r="H6951"/>
  <c r="J6951" s="1"/>
  <c r="I6951"/>
  <c r="H6952"/>
  <c r="J6952" s="1"/>
  <c r="I6952"/>
  <c r="H6953"/>
  <c r="J6953" s="1"/>
  <c r="I6953"/>
  <c r="H6954"/>
  <c r="J6954" s="1"/>
  <c r="I6954"/>
  <c r="H6955"/>
  <c r="J6955" s="1"/>
  <c r="I6955"/>
  <c r="H6956"/>
  <c r="J6956" s="1"/>
  <c r="I6956"/>
  <c r="H6957"/>
  <c r="J6957" s="1"/>
  <c r="I6957"/>
  <c r="H6958"/>
  <c r="J6958" s="1"/>
  <c r="I6958"/>
  <c r="H6959"/>
  <c r="J6959" s="1"/>
  <c r="I6959"/>
  <c r="H6960"/>
  <c r="J6960" s="1"/>
  <c r="I6960"/>
  <c r="H6961"/>
  <c r="J6961" s="1"/>
  <c r="I6961"/>
  <c r="H6962"/>
  <c r="J6962" s="1"/>
  <c r="I6962"/>
  <c r="H6963"/>
  <c r="J6963" s="1"/>
  <c r="I6963"/>
  <c r="H6964"/>
  <c r="J6964" s="1"/>
  <c r="I6964"/>
  <c r="H6965"/>
  <c r="J6965" s="1"/>
  <c r="I6965"/>
  <c r="H6966"/>
  <c r="J6966" s="1"/>
  <c r="I6966"/>
  <c r="H6967"/>
  <c r="J6967" s="1"/>
  <c r="I6967"/>
  <c r="H6968"/>
  <c r="J6968" s="1"/>
  <c r="I6968"/>
  <c r="H6969"/>
  <c r="J6969" s="1"/>
  <c r="I6969"/>
  <c r="H6970"/>
  <c r="J6970" s="1"/>
  <c r="I6970"/>
  <c r="H6971"/>
  <c r="J6971" s="1"/>
  <c r="I6971"/>
  <c r="H6972"/>
  <c r="J6972" s="1"/>
  <c r="I6972"/>
  <c r="H6973"/>
  <c r="J6973" s="1"/>
  <c r="I6973"/>
  <c r="H6974"/>
  <c r="J6974" s="1"/>
  <c r="I6974"/>
  <c r="H6975"/>
  <c r="J6975" s="1"/>
  <c r="I6975"/>
  <c r="H6976"/>
  <c r="J6976" s="1"/>
  <c r="I6976"/>
  <c r="H6977"/>
  <c r="J6977" s="1"/>
  <c r="I6977"/>
  <c r="H6978"/>
  <c r="J6978" s="1"/>
  <c r="I6978"/>
  <c r="H6979"/>
  <c r="J6979" s="1"/>
  <c r="I6979"/>
  <c r="H6980"/>
  <c r="J6980" s="1"/>
  <c r="I6980"/>
  <c r="H6981"/>
  <c r="J6981" s="1"/>
  <c r="I6981"/>
  <c r="H6982"/>
  <c r="J6982" s="1"/>
  <c r="I6982"/>
  <c r="H6983"/>
  <c r="J6983" s="1"/>
  <c r="I6983"/>
  <c r="H6984"/>
  <c r="J6984" s="1"/>
  <c r="I6984"/>
  <c r="H6985"/>
  <c r="J6985" s="1"/>
  <c r="I6985"/>
  <c r="H6986"/>
  <c r="J6986" s="1"/>
  <c r="I6986"/>
  <c r="H6987"/>
  <c r="J6987" s="1"/>
  <c r="I6987"/>
  <c r="H6988"/>
  <c r="J6988" s="1"/>
  <c r="I6988"/>
  <c r="H6989"/>
  <c r="J6989" s="1"/>
  <c r="I6989"/>
  <c r="H6990"/>
  <c r="J6990" s="1"/>
  <c r="I6990"/>
  <c r="H6991"/>
  <c r="J6991" s="1"/>
  <c r="I6991"/>
  <c r="H6992"/>
  <c r="J6992" s="1"/>
  <c r="I6992"/>
  <c r="H6993"/>
  <c r="J6993" s="1"/>
  <c r="I6993"/>
  <c r="H6994"/>
  <c r="J6994" s="1"/>
  <c r="I6994"/>
  <c r="H6995"/>
  <c r="J6995" s="1"/>
  <c r="I6995"/>
  <c r="H6996"/>
  <c r="J6996" s="1"/>
  <c r="I6996"/>
  <c r="H6997"/>
  <c r="J6997" s="1"/>
  <c r="I6997"/>
  <c r="H6998"/>
  <c r="J6998" s="1"/>
  <c r="I6998"/>
  <c r="H6999"/>
  <c r="J6999" s="1"/>
  <c r="I6999"/>
  <c r="H7000"/>
  <c r="J7000" s="1"/>
  <c r="I7000"/>
  <c r="H7001"/>
  <c r="J7001" s="1"/>
  <c r="I7001"/>
  <c r="H7002"/>
  <c r="J7002" s="1"/>
  <c r="I7002"/>
  <c r="H7003"/>
  <c r="J7003" s="1"/>
  <c r="I7003"/>
  <c r="H7004"/>
  <c r="J7004" s="1"/>
  <c r="I7004"/>
  <c r="H7005"/>
  <c r="J7005" s="1"/>
  <c r="I7005"/>
  <c r="H7006"/>
  <c r="J7006" s="1"/>
  <c r="I7006"/>
  <c r="H7007"/>
  <c r="J7007" s="1"/>
  <c r="I7007"/>
  <c r="H7008"/>
  <c r="J7008" s="1"/>
  <c r="I7008"/>
  <c r="H7009"/>
  <c r="J7009" s="1"/>
  <c r="I7009"/>
  <c r="H7010"/>
  <c r="J7010" s="1"/>
  <c r="I7010"/>
  <c r="H7011"/>
  <c r="J7011" s="1"/>
  <c r="I7011"/>
  <c r="H7012"/>
  <c r="J7012" s="1"/>
  <c r="I7012"/>
  <c r="H7013"/>
  <c r="J7013" s="1"/>
  <c r="I7013"/>
  <c r="H7014"/>
  <c r="J7014" s="1"/>
  <c r="I7014"/>
  <c r="H7015"/>
  <c r="J7015" s="1"/>
  <c r="I7015"/>
  <c r="H7016"/>
  <c r="J7016" s="1"/>
  <c r="I7016"/>
  <c r="H7017"/>
  <c r="J7017" s="1"/>
  <c r="I7017"/>
  <c r="H7018"/>
  <c r="J7018" s="1"/>
  <c r="I7018"/>
  <c r="H7019"/>
  <c r="J7019" s="1"/>
  <c r="I7019"/>
  <c r="H7020"/>
  <c r="J7020" s="1"/>
  <c r="I7020"/>
  <c r="H7021"/>
  <c r="J7021" s="1"/>
  <c r="I7021"/>
  <c r="H7022"/>
  <c r="J7022" s="1"/>
  <c r="I7022"/>
  <c r="H7023"/>
  <c r="J7023" s="1"/>
  <c r="I7023"/>
  <c r="H7024"/>
  <c r="J7024" s="1"/>
  <c r="I7024"/>
  <c r="H7025"/>
  <c r="J7025" s="1"/>
  <c r="I7025"/>
  <c r="H7026"/>
  <c r="J7026" s="1"/>
  <c r="I7026"/>
  <c r="H7027"/>
  <c r="J7027" s="1"/>
  <c r="I7027"/>
  <c r="H7028"/>
  <c r="J7028" s="1"/>
  <c r="I7028"/>
  <c r="H7029"/>
  <c r="J7029" s="1"/>
  <c r="I7029"/>
  <c r="H7030"/>
  <c r="J7030" s="1"/>
  <c r="I7030"/>
  <c r="H7031"/>
  <c r="J7031" s="1"/>
  <c r="I7031"/>
  <c r="H7032"/>
  <c r="J7032" s="1"/>
  <c r="I7032"/>
  <c r="H7033"/>
  <c r="J7033" s="1"/>
  <c r="I7033"/>
  <c r="H7034"/>
  <c r="J7034" s="1"/>
  <c r="I7034"/>
  <c r="H7035"/>
  <c r="J7035" s="1"/>
  <c r="I7035"/>
  <c r="H7036"/>
  <c r="J7036" s="1"/>
  <c r="I7036"/>
  <c r="H7037"/>
  <c r="J7037" s="1"/>
  <c r="I7037"/>
  <c r="H7038"/>
  <c r="J7038" s="1"/>
  <c r="I7038"/>
  <c r="H7039"/>
  <c r="J7039" s="1"/>
  <c r="I7039"/>
  <c r="H7040"/>
  <c r="J7040" s="1"/>
  <c r="I7040"/>
  <c r="H7041"/>
  <c r="J7041" s="1"/>
  <c r="I7041"/>
  <c r="H7042"/>
  <c r="J7042" s="1"/>
  <c r="I7042"/>
  <c r="H7043"/>
  <c r="J7043" s="1"/>
  <c r="I7043"/>
  <c r="H7044"/>
  <c r="J7044" s="1"/>
  <c r="I7044"/>
  <c r="H7045"/>
  <c r="J7045" s="1"/>
  <c r="I7045"/>
  <c r="H7046"/>
  <c r="J7046" s="1"/>
  <c r="I7046"/>
  <c r="H7047"/>
  <c r="J7047" s="1"/>
  <c r="I7047"/>
  <c r="H7048"/>
  <c r="J7048" s="1"/>
  <c r="I7048"/>
  <c r="H7049"/>
  <c r="J7049" s="1"/>
  <c r="I7049"/>
  <c r="H7050"/>
  <c r="J7050" s="1"/>
  <c r="I7050"/>
  <c r="H7051"/>
  <c r="J7051" s="1"/>
  <c r="I7051"/>
  <c r="H7052"/>
  <c r="J7052" s="1"/>
  <c r="I7052"/>
  <c r="H7053"/>
  <c r="J7053" s="1"/>
  <c r="I7053"/>
  <c r="H7054"/>
  <c r="J7054" s="1"/>
  <c r="I7054"/>
  <c r="H7055"/>
  <c r="J7055" s="1"/>
  <c r="I7055"/>
  <c r="H7056"/>
  <c r="J7056" s="1"/>
  <c r="I7056"/>
  <c r="H7057"/>
  <c r="J7057" s="1"/>
  <c r="I7057"/>
  <c r="H7058"/>
  <c r="J7058" s="1"/>
  <c r="I7058"/>
  <c r="H7059"/>
  <c r="J7059" s="1"/>
  <c r="I7059"/>
  <c r="H7060"/>
  <c r="J7060" s="1"/>
  <c r="I7060"/>
  <c r="H7061"/>
  <c r="J7061" s="1"/>
  <c r="I7061"/>
  <c r="H7062"/>
  <c r="J7062" s="1"/>
  <c r="I7062"/>
  <c r="H7063"/>
  <c r="J7063" s="1"/>
  <c r="I7063"/>
  <c r="H7064"/>
  <c r="J7064" s="1"/>
  <c r="I7064"/>
  <c r="H7065"/>
  <c r="J7065" s="1"/>
  <c r="I7065"/>
  <c r="H7066"/>
  <c r="J7066" s="1"/>
  <c r="I7066"/>
  <c r="H7067"/>
  <c r="J7067" s="1"/>
  <c r="I7067"/>
  <c r="H7068"/>
  <c r="J7068" s="1"/>
  <c r="I7068"/>
  <c r="H7069"/>
  <c r="J7069" s="1"/>
  <c r="I7069"/>
  <c r="H7070"/>
  <c r="J7070" s="1"/>
  <c r="I7070"/>
  <c r="H7071"/>
  <c r="J7071" s="1"/>
  <c r="I7071"/>
  <c r="H7072"/>
  <c r="J7072" s="1"/>
  <c r="I7072"/>
  <c r="H7073"/>
  <c r="J7073" s="1"/>
  <c r="I7073"/>
  <c r="H7074"/>
  <c r="J7074" s="1"/>
  <c r="I7074"/>
  <c r="H7075"/>
  <c r="J7075" s="1"/>
  <c r="I7075"/>
  <c r="H7076"/>
  <c r="J7076" s="1"/>
  <c r="I7076"/>
  <c r="H7077"/>
  <c r="J7077" s="1"/>
  <c r="I7077"/>
  <c r="H7078"/>
  <c r="J7078" s="1"/>
  <c r="I7078"/>
  <c r="H7079"/>
  <c r="J7079" s="1"/>
  <c r="I7079"/>
  <c r="H7080"/>
  <c r="J7080" s="1"/>
  <c r="I7080"/>
  <c r="H7081"/>
  <c r="J7081" s="1"/>
  <c r="I7081"/>
  <c r="H7082"/>
  <c r="J7082" s="1"/>
  <c r="I7082"/>
  <c r="H7083"/>
  <c r="J7083" s="1"/>
  <c r="I7083"/>
  <c r="H7084"/>
  <c r="J7084" s="1"/>
  <c r="I7084"/>
  <c r="H7085"/>
  <c r="J7085" s="1"/>
  <c r="I7085"/>
  <c r="H7086"/>
  <c r="J7086" s="1"/>
  <c r="I7086"/>
  <c r="H7087"/>
  <c r="J7087" s="1"/>
  <c r="I7087"/>
  <c r="H7088"/>
  <c r="J7088" s="1"/>
  <c r="I7088"/>
  <c r="H7089"/>
  <c r="J7089" s="1"/>
  <c r="I7089"/>
  <c r="H7090"/>
  <c r="J7090" s="1"/>
  <c r="I7090"/>
  <c r="H7091"/>
  <c r="J7091" s="1"/>
  <c r="I7091"/>
  <c r="H7092"/>
  <c r="J7092" s="1"/>
  <c r="I7092"/>
  <c r="H7093"/>
  <c r="J7093" s="1"/>
  <c r="I7093"/>
  <c r="H7094"/>
  <c r="J7094" s="1"/>
  <c r="I7094"/>
  <c r="H7095"/>
  <c r="J7095" s="1"/>
  <c r="I7095"/>
  <c r="H7096"/>
  <c r="J7096" s="1"/>
  <c r="I7096"/>
  <c r="H7097"/>
  <c r="J7097" s="1"/>
  <c r="I7097"/>
  <c r="H7098"/>
  <c r="J7098" s="1"/>
  <c r="I7098"/>
  <c r="H7099"/>
  <c r="J7099" s="1"/>
  <c r="I7099"/>
  <c r="H7100"/>
  <c r="J7100" s="1"/>
  <c r="I7100"/>
  <c r="H7101"/>
  <c r="J7101" s="1"/>
  <c r="I7101"/>
  <c r="H7102"/>
  <c r="J7102" s="1"/>
  <c r="I7102"/>
  <c r="H7103"/>
  <c r="J7103" s="1"/>
  <c r="I7103"/>
  <c r="H7104"/>
  <c r="J7104" s="1"/>
  <c r="I7104"/>
  <c r="H7105"/>
  <c r="J7105" s="1"/>
  <c r="I7105"/>
  <c r="H7106"/>
  <c r="J7106" s="1"/>
  <c r="I7106"/>
  <c r="H7107"/>
  <c r="J7107" s="1"/>
  <c r="I7107"/>
  <c r="H7108"/>
  <c r="J7108" s="1"/>
  <c r="I7108"/>
  <c r="H7109"/>
  <c r="J7109" s="1"/>
  <c r="I7109"/>
  <c r="H7110"/>
  <c r="J7110" s="1"/>
  <c r="I7110"/>
  <c r="H7111"/>
  <c r="J7111" s="1"/>
  <c r="I7111"/>
  <c r="H7112"/>
  <c r="J7112" s="1"/>
  <c r="I7112"/>
  <c r="H7113"/>
  <c r="J7113" s="1"/>
  <c r="I7113"/>
  <c r="H7114"/>
  <c r="J7114" s="1"/>
  <c r="I7114"/>
  <c r="H7115"/>
  <c r="J7115" s="1"/>
  <c r="I7115"/>
  <c r="H7116"/>
  <c r="J7116" s="1"/>
  <c r="I7116"/>
  <c r="H7117"/>
  <c r="J7117" s="1"/>
  <c r="I7117"/>
  <c r="H7118"/>
  <c r="J7118" s="1"/>
  <c r="I7118"/>
  <c r="H7119"/>
  <c r="J7119" s="1"/>
  <c r="I7119"/>
  <c r="H7120"/>
  <c r="J7120" s="1"/>
  <c r="I7120"/>
  <c r="H7121"/>
  <c r="J7121" s="1"/>
  <c r="I7121"/>
  <c r="H7122"/>
  <c r="J7122" s="1"/>
  <c r="I7122"/>
  <c r="H7123"/>
  <c r="J7123" s="1"/>
  <c r="I7123"/>
  <c r="H7124"/>
  <c r="J7124" s="1"/>
  <c r="I7124"/>
  <c r="H7125"/>
  <c r="J7125" s="1"/>
  <c r="I7125"/>
  <c r="H7126"/>
  <c r="J7126" s="1"/>
  <c r="I7126"/>
  <c r="H7127"/>
  <c r="J7127" s="1"/>
  <c r="I7127"/>
  <c r="H7128"/>
  <c r="J7128" s="1"/>
  <c r="I7128"/>
  <c r="H7129"/>
  <c r="J7129" s="1"/>
  <c r="I7129"/>
  <c r="H7130"/>
  <c r="J7130" s="1"/>
  <c r="I7130"/>
  <c r="H7131"/>
  <c r="J7131" s="1"/>
  <c r="I7131"/>
  <c r="H7132"/>
  <c r="J7132" s="1"/>
  <c r="I7132"/>
  <c r="H7133"/>
  <c r="J7133" s="1"/>
  <c r="I7133"/>
  <c r="H7134"/>
  <c r="J7134" s="1"/>
  <c r="I7134"/>
  <c r="H7135"/>
  <c r="J7135" s="1"/>
  <c r="I7135"/>
  <c r="H7136"/>
  <c r="J7136" s="1"/>
  <c r="I7136"/>
  <c r="H7137"/>
  <c r="J7137" s="1"/>
  <c r="I7137"/>
  <c r="H7138"/>
  <c r="J7138" s="1"/>
  <c r="I7138"/>
  <c r="H7139"/>
  <c r="J7139" s="1"/>
  <c r="I7139"/>
  <c r="H7140"/>
  <c r="J7140" s="1"/>
  <c r="I7140"/>
  <c r="H7141"/>
  <c r="J7141" s="1"/>
  <c r="I7141"/>
  <c r="H7142"/>
  <c r="J7142" s="1"/>
  <c r="I7142"/>
  <c r="H7143"/>
  <c r="J7143" s="1"/>
  <c r="I7143"/>
  <c r="H7144"/>
  <c r="J7144" s="1"/>
  <c r="I7144"/>
  <c r="H7145"/>
  <c r="J7145" s="1"/>
  <c r="I7145"/>
  <c r="H7146"/>
  <c r="J7146" s="1"/>
  <c r="I7146"/>
  <c r="H7147"/>
  <c r="J7147" s="1"/>
  <c r="I7147"/>
  <c r="H7148"/>
  <c r="J7148" s="1"/>
  <c r="I7148"/>
  <c r="H7149"/>
  <c r="J7149" s="1"/>
  <c r="I7149"/>
  <c r="H7150"/>
  <c r="J7150" s="1"/>
  <c r="I7150"/>
  <c r="H7151"/>
  <c r="J7151" s="1"/>
  <c r="I7151"/>
  <c r="H7152"/>
  <c r="J7152" s="1"/>
  <c r="I7152"/>
  <c r="H7153"/>
  <c r="J7153" s="1"/>
  <c r="I7153"/>
  <c r="H7154"/>
  <c r="J7154" s="1"/>
  <c r="I7154"/>
  <c r="H7155"/>
  <c r="J7155" s="1"/>
  <c r="I7155"/>
  <c r="H7156"/>
  <c r="J7156" s="1"/>
  <c r="I7156"/>
  <c r="H7157"/>
  <c r="J7157" s="1"/>
  <c r="I7157"/>
  <c r="H7158"/>
  <c r="J7158" s="1"/>
  <c r="I7158"/>
  <c r="H7159"/>
  <c r="J7159" s="1"/>
  <c r="I7159"/>
  <c r="H7160"/>
  <c r="J7160" s="1"/>
  <c r="I7160"/>
  <c r="H7161"/>
  <c r="J7161" s="1"/>
  <c r="I7161"/>
  <c r="H7162"/>
  <c r="J7162" s="1"/>
  <c r="I7162"/>
  <c r="H7163"/>
  <c r="J7163" s="1"/>
  <c r="I7163"/>
  <c r="H7164"/>
  <c r="J7164" s="1"/>
  <c r="I7164"/>
  <c r="H7165"/>
  <c r="J7165" s="1"/>
  <c r="I7165"/>
  <c r="H7166"/>
  <c r="J7166" s="1"/>
  <c r="I7166"/>
  <c r="H7167"/>
  <c r="J7167" s="1"/>
  <c r="I7167"/>
  <c r="H7168"/>
  <c r="J7168" s="1"/>
  <c r="I7168"/>
  <c r="H7169"/>
  <c r="J7169" s="1"/>
  <c r="I7169"/>
  <c r="H7170"/>
  <c r="J7170" s="1"/>
  <c r="I7170"/>
  <c r="H7171"/>
  <c r="J7171" s="1"/>
  <c r="I7171"/>
  <c r="H7172"/>
  <c r="J7172" s="1"/>
  <c r="I7172"/>
  <c r="H7173"/>
  <c r="J7173" s="1"/>
  <c r="I7173"/>
  <c r="H7174"/>
  <c r="J7174" s="1"/>
  <c r="I7174"/>
  <c r="H7175"/>
  <c r="J7175" s="1"/>
  <c r="I7175"/>
  <c r="H7176"/>
  <c r="J7176" s="1"/>
  <c r="I7176"/>
  <c r="H7177"/>
  <c r="J7177" s="1"/>
  <c r="I7177"/>
  <c r="H7178"/>
  <c r="J7178" s="1"/>
  <c r="I7178"/>
  <c r="H7179"/>
  <c r="J7179" s="1"/>
  <c r="I7179"/>
  <c r="H7180"/>
  <c r="J7180" s="1"/>
  <c r="I7180"/>
  <c r="H7181"/>
  <c r="J7181" s="1"/>
  <c r="I7181"/>
  <c r="H7182"/>
  <c r="J7182" s="1"/>
  <c r="I7182"/>
  <c r="H7183"/>
  <c r="J7183" s="1"/>
  <c r="I7183"/>
  <c r="H7184"/>
  <c r="J7184" s="1"/>
  <c r="I7184"/>
  <c r="H7185"/>
  <c r="J7185" s="1"/>
  <c r="I7185"/>
  <c r="H7186"/>
  <c r="J7186" s="1"/>
  <c r="I7186"/>
  <c r="H7187"/>
  <c r="J7187" s="1"/>
  <c r="I7187"/>
  <c r="H7188"/>
  <c r="J7188" s="1"/>
  <c r="I7188"/>
  <c r="H7189"/>
  <c r="J7189" s="1"/>
  <c r="I7189"/>
  <c r="H7190"/>
  <c r="J7190" s="1"/>
  <c r="I7190"/>
  <c r="H7191"/>
  <c r="J7191" s="1"/>
  <c r="I7191"/>
  <c r="H7192"/>
  <c r="J7192" s="1"/>
  <c r="I7192"/>
  <c r="H7193"/>
  <c r="J7193" s="1"/>
  <c r="I7193"/>
  <c r="H7194"/>
  <c r="J7194" s="1"/>
  <c r="I7194"/>
  <c r="H7195"/>
  <c r="J7195" s="1"/>
  <c r="I7195"/>
  <c r="H7196"/>
  <c r="J7196" s="1"/>
  <c r="I7196"/>
  <c r="H7197"/>
  <c r="J7197" s="1"/>
  <c r="I7197"/>
  <c r="H7198"/>
  <c r="J7198" s="1"/>
  <c r="I7198"/>
  <c r="H7199"/>
  <c r="J7199" s="1"/>
  <c r="I7199"/>
  <c r="H7200"/>
  <c r="J7200" s="1"/>
  <c r="I7200"/>
  <c r="H7201"/>
  <c r="J7201" s="1"/>
  <c r="I7201"/>
  <c r="H7202"/>
  <c r="J7202" s="1"/>
  <c r="I7202"/>
  <c r="H7203"/>
  <c r="J7203" s="1"/>
  <c r="I7203"/>
  <c r="H7204"/>
  <c r="J7204" s="1"/>
  <c r="I7204"/>
  <c r="H7205"/>
  <c r="J7205" s="1"/>
  <c r="I7205"/>
  <c r="H7206"/>
  <c r="J7206" s="1"/>
  <c r="I7206"/>
  <c r="H7207"/>
  <c r="J7207" s="1"/>
  <c r="I7207"/>
  <c r="H7208"/>
  <c r="J7208" s="1"/>
  <c r="I7208"/>
  <c r="H7209"/>
  <c r="J7209" s="1"/>
  <c r="I7209"/>
  <c r="H7210"/>
  <c r="J7210" s="1"/>
  <c r="I7210"/>
  <c r="H7211"/>
  <c r="J7211" s="1"/>
  <c r="I7211"/>
  <c r="H7212"/>
  <c r="J7212" s="1"/>
  <c r="I7212"/>
  <c r="H7213"/>
  <c r="J7213" s="1"/>
  <c r="I7213"/>
  <c r="H7214"/>
  <c r="J7214" s="1"/>
  <c r="I7214"/>
  <c r="H7215"/>
  <c r="J7215" s="1"/>
  <c r="I7215"/>
  <c r="H7216"/>
  <c r="J7216" s="1"/>
  <c r="I7216"/>
  <c r="H7217"/>
  <c r="J7217" s="1"/>
  <c r="I7217"/>
  <c r="H7218"/>
  <c r="J7218" s="1"/>
  <c r="I7218"/>
  <c r="H7219"/>
  <c r="J7219" s="1"/>
  <c r="I7219"/>
  <c r="H7220"/>
  <c r="J7220" s="1"/>
  <c r="I7220"/>
  <c r="H7221"/>
  <c r="J7221" s="1"/>
  <c r="I7221"/>
  <c r="H7222"/>
  <c r="J7222" s="1"/>
  <c r="I7222"/>
  <c r="H7223"/>
  <c r="J7223" s="1"/>
  <c r="I7223"/>
  <c r="H7224"/>
  <c r="J7224" s="1"/>
  <c r="I7224"/>
  <c r="H7225"/>
  <c r="J7225" s="1"/>
  <c r="I7225"/>
  <c r="H7226"/>
  <c r="J7226" s="1"/>
  <c r="I7226"/>
  <c r="H7227"/>
  <c r="J7227" s="1"/>
  <c r="I7227"/>
  <c r="H7228"/>
  <c r="J7228" s="1"/>
  <c r="I7228"/>
  <c r="H7229"/>
  <c r="J7229" s="1"/>
  <c r="I7229"/>
  <c r="H7230"/>
  <c r="J7230" s="1"/>
  <c r="I7230"/>
  <c r="H7231"/>
  <c r="J7231" s="1"/>
  <c r="I7231"/>
  <c r="H7232"/>
  <c r="J7232" s="1"/>
  <c r="I7232"/>
  <c r="H7233"/>
  <c r="J7233" s="1"/>
  <c r="I7233"/>
  <c r="H7234"/>
  <c r="J7234" s="1"/>
  <c r="I7234"/>
  <c r="H7235"/>
  <c r="J7235" s="1"/>
  <c r="I7235"/>
  <c r="H7236"/>
  <c r="J7236" s="1"/>
  <c r="I7236"/>
  <c r="H7237"/>
  <c r="J7237" s="1"/>
  <c r="I7237"/>
  <c r="H7238"/>
  <c r="J7238" s="1"/>
  <c r="I7238"/>
  <c r="H7239"/>
  <c r="J7239" s="1"/>
  <c r="I7239"/>
  <c r="H7240"/>
  <c r="J7240" s="1"/>
  <c r="I7240"/>
  <c r="H7241"/>
  <c r="J7241" s="1"/>
  <c r="I7241"/>
  <c r="H7242"/>
  <c r="J7242" s="1"/>
  <c r="I7242"/>
  <c r="H7243"/>
  <c r="J7243" s="1"/>
  <c r="I7243"/>
  <c r="H7244"/>
  <c r="J7244" s="1"/>
  <c r="I7244"/>
  <c r="H7245"/>
  <c r="J7245" s="1"/>
  <c r="I7245"/>
  <c r="H7246"/>
  <c r="J7246" s="1"/>
  <c r="I7246"/>
  <c r="H7247"/>
  <c r="J7247" s="1"/>
  <c r="I7247"/>
  <c r="H7248"/>
  <c r="J7248" s="1"/>
  <c r="I7248"/>
  <c r="H7249"/>
  <c r="J7249" s="1"/>
  <c r="I7249"/>
  <c r="H7250"/>
  <c r="J7250" s="1"/>
  <c r="I7250"/>
  <c r="H7251"/>
  <c r="J7251" s="1"/>
  <c r="I7251"/>
  <c r="H7252"/>
  <c r="J7252" s="1"/>
  <c r="I7252"/>
  <c r="H7253"/>
  <c r="J7253" s="1"/>
  <c r="I7253"/>
  <c r="H7254"/>
  <c r="J7254" s="1"/>
  <c r="I7254"/>
  <c r="H7255"/>
  <c r="J7255" s="1"/>
  <c r="I7255"/>
  <c r="H7256"/>
  <c r="J7256" s="1"/>
  <c r="I7256"/>
  <c r="H7257"/>
  <c r="J7257" s="1"/>
  <c r="I7257"/>
  <c r="H7258"/>
  <c r="J7258" s="1"/>
  <c r="I7258"/>
  <c r="H7259"/>
  <c r="J7259" s="1"/>
  <c r="I7259"/>
  <c r="H7260"/>
  <c r="J7260" s="1"/>
  <c r="I7260"/>
  <c r="H7261"/>
  <c r="J7261" s="1"/>
  <c r="I7261"/>
  <c r="H7262"/>
  <c r="J7262" s="1"/>
  <c r="I7262"/>
  <c r="H7263"/>
  <c r="J7263" s="1"/>
  <c r="I7263"/>
  <c r="H7264"/>
  <c r="J7264" s="1"/>
  <c r="I7264"/>
  <c r="H7265"/>
  <c r="J7265" s="1"/>
  <c r="I7265"/>
  <c r="H7266"/>
  <c r="J7266" s="1"/>
  <c r="I7266"/>
  <c r="H7267"/>
  <c r="J7267" s="1"/>
  <c r="I7267"/>
  <c r="H7268"/>
  <c r="J7268" s="1"/>
  <c r="I7268"/>
  <c r="H7269"/>
  <c r="J7269" s="1"/>
  <c r="I7269"/>
  <c r="H7270"/>
  <c r="J7270" s="1"/>
  <c r="I7270"/>
  <c r="H7271"/>
  <c r="J7271" s="1"/>
  <c r="I7271"/>
  <c r="H7272"/>
  <c r="J7272" s="1"/>
  <c r="I7272"/>
  <c r="H7273"/>
  <c r="J7273" s="1"/>
  <c r="I7273"/>
  <c r="H7274"/>
  <c r="J7274" s="1"/>
  <c r="I7274"/>
  <c r="H7275"/>
  <c r="J7275" s="1"/>
  <c r="I7275"/>
  <c r="H7276"/>
  <c r="J7276" s="1"/>
  <c r="I7276"/>
  <c r="H7277"/>
  <c r="J7277" s="1"/>
  <c r="I7277"/>
  <c r="H7278"/>
  <c r="J7278" s="1"/>
  <c r="I7278"/>
  <c r="H7279"/>
  <c r="J7279" s="1"/>
  <c r="I7279"/>
  <c r="H7280"/>
  <c r="J7280" s="1"/>
  <c r="I7280"/>
  <c r="H7281"/>
  <c r="J7281" s="1"/>
  <c r="I7281"/>
  <c r="H7282"/>
  <c r="J7282" s="1"/>
  <c r="I7282"/>
  <c r="H7283"/>
  <c r="J7283" s="1"/>
  <c r="I7283"/>
  <c r="H7284"/>
  <c r="J7284" s="1"/>
  <c r="I7284"/>
  <c r="H7285"/>
  <c r="J7285" s="1"/>
  <c r="I7285"/>
  <c r="H7286"/>
  <c r="J7286" s="1"/>
  <c r="I7286"/>
  <c r="H7287"/>
  <c r="J7287" s="1"/>
  <c r="I7287"/>
  <c r="H7288"/>
  <c r="J7288" s="1"/>
  <c r="I7288"/>
  <c r="H7289"/>
  <c r="J7289" s="1"/>
  <c r="I7289"/>
  <c r="H7290"/>
  <c r="J7290" s="1"/>
  <c r="I7290"/>
  <c r="H7291"/>
  <c r="J7291" s="1"/>
  <c r="I7291"/>
  <c r="H7292"/>
  <c r="J7292" s="1"/>
  <c r="I7292"/>
  <c r="H7293"/>
  <c r="J7293" s="1"/>
  <c r="I7293"/>
  <c r="H7294"/>
  <c r="J7294" s="1"/>
  <c r="I7294"/>
  <c r="H7295"/>
  <c r="J7295" s="1"/>
  <c r="I7295"/>
  <c r="H7296"/>
  <c r="J7296" s="1"/>
  <c r="I7296"/>
  <c r="H7297"/>
  <c r="J7297" s="1"/>
  <c r="I7297"/>
  <c r="H7298"/>
  <c r="J7298" s="1"/>
  <c r="I7298"/>
  <c r="H7299"/>
  <c r="J7299" s="1"/>
  <c r="I7299"/>
  <c r="H7300"/>
  <c r="J7300" s="1"/>
  <c r="I7300"/>
  <c r="H7301"/>
  <c r="J7301" s="1"/>
  <c r="I7301"/>
  <c r="H7302"/>
  <c r="J7302" s="1"/>
  <c r="I7302"/>
  <c r="H7303"/>
  <c r="J7303" s="1"/>
  <c r="I7303"/>
  <c r="H7304"/>
  <c r="J7304" s="1"/>
  <c r="I7304"/>
  <c r="H7305"/>
  <c r="J7305" s="1"/>
  <c r="I7305"/>
  <c r="H7306"/>
  <c r="J7306" s="1"/>
  <c r="I7306"/>
  <c r="H7307"/>
  <c r="J7307" s="1"/>
  <c r="I7307"/>
  <c r="H7308"/>
  <c r="J7308" s="1"/>
  <c r="I7308"/>
  <c r="H7309"/>
  <c r="J7309" s="1"/>
  <c r="I7309"/>
  <c r="H7310"/>
  <c r="J7310" s="1"/>
  <c r="I7310"/>
  <c r="H7311"/>
  <c r="J7311" s="1"/>
  <c r="I7311"/>
  <c r="H7312"/>
  <c r="J7312" s="1"/>
  <c r="I7312"/>
  <c r="H7313"/>
  <c r="J7313" s="1"/>
  <c r="I7313"/>
  <c r="H7314"/>
  <c r="J7314" s="1"/>
  <c r="I7314"/>
  <c r="H7315"/>
  <c r="J7315" s="1"/>
  <c r="I7315"/>
  <c r="H7316"/>
  <c r="J7316" s="1"/>
  <c r="I7316"/>
  <c r="H7317"/>
  <c r="J7317" s="1"/>
  <c r="I7317"/>
  <c r="H7318"/>
  <c r="J7318" s="1"/>
  <c r="I7318"/>
  <c r="H7319"/>
  <c r="J7319" s="1"/>
  <c r="I7319"/>
  <c r="H7320"/>
  <c r="J7320" s="1"/>
  <c r="I7320"/>
  <c r="H7321"/>
  <c r="J7321" s="1"/>
  <c r="I7321"/>
  <c r="H7322"/>
  <c r="J7322" s="1"/>
  <c r="I7322"/>
  <c r="H7323"/>
  <c r="J7323" s="1"/>
  <c r="I7323"/>
  <c r="H7324"/>
  <c r="J7324" s="1"/>
  <c r="I7324"/>
  <c r="H7325"/>
  <c r="J7325" s="1"/>
  <c r="I7325"/>
  <c r="H7326"/>
  <c r="J7326" s="1"/>
  <c r="I7326"/>
  <c r="H7327"/>
  <c r="J7327" s="1"/>
  <c r="I7327"/>
  <c r="H7328"/>
  <c r="J7328" s="1"/>
  <c r="I7328"/>
  <c r="H7329"/>
  <c r="J7329" s="1"/>
  <c r="I7329"/>
  <c r="H7330"/>
  <c r="J7330" s="1"/>
  <c r="I7330"/>
  <c r="H7331"/>
  <c r="J7331" s="1"/>
  <c r="I7331"/>
  <c r="H7332"/>
  <c r="J7332" s="1"/>
  <c r="I7332"/>
  <c r="H7333"/>
  <c r="J7333" s="1"/>
  <c r="I7333"/>
  <c r="H7334"/>
  <c r="J7334" s="1"/>
  <c r="I7334"/>
  <c r="H7335"/>
  <c r="J7335" s="1"/>
  <c r="I7335"/>
  <c r="H7336"/>
  <c r="J7336" s="1"/>
  <c r="I7336"/>
  <c r="H7337"/>
  <c r="J7337" s="1"/>
  <c r="I7337"/>
  <c r="H7338"/>
  <c r="J7338" s="1"/>
  <c r="I7338"/>
  <c r="H7339"/>
  <c r="J7339" s="1"/>
  <c r="I7339"/>
  <c r="H7340"/>
  <c r="J7340" s="1"/>
  <c r="I7340"/>
  <c r="H7341"/>
  <c r="J7341" s="1"/>
  <c r="I7341"/>
  <c r="H7342"/>
  <c r="J7342" s="1"/>
  <c r="I7342"/>
  <c r="H7343"/>
  <c r="J7343" s="1"/>
  <c r="I7343"/>
  <c r="H7344"/>
  <c r="J7344" s="1"/>
  <c r="I7344"/>
  <c r="H7345"/>
  <c r="J7345" s="1"/>
  <c r="I7345"/>
  <c r="H7346"/>
  <c r="J7346" s="1"/>
  <c r="I7346"/>
  <c r="H7347"/>
  <c r="J7347" s="1"/>
  <c r="I7347"/>
  <c r="H7348"/>
  <c r="J7348" s="1"/>
  <c r="I7348"/>
  <c r="H7349"/>
  <c r="J7349" s="1"/>
  <c r="I7349"/>
  <c r="H7350"/>
  <c r="J7350" s="1"/>
  <c r="I7350"/>
  <c r="H7351"/>
  <c r="J7351" s="1"/>
  <c r="I7351"/>
  <c r="H7352"/>
  <c r="J7352" s="1"/>
  <c r="I7352"/>
  <c r="H7353"/>
  <c r="J7353" s="1"/>
  <c r="I7353"/>
  <c r="H7354"/>
  <c r="J7354" s="1"/>
  <c r="I7354"/>
  <c r="H7355"/>
  <c r="J7355" s="1"/>
  <c r="I7355"/>
  <c r="H7356"/>
  <c r="J7356" s="1"/>
  <c r="I7356"/>
  <c r="H7357"/>
  <c r="J7357" s="1"/>
  <c r="I7357"/>
  <c r="H7358"/>
  <c r="J7358" s="1"/>
  <c r="I7358"/>
  <c r="H7359"/>
  <c r="J7359" s="1"/>
  <c r="I7359"/>
  <c r="H7360"/>
  <c r="J7360" s="1"/>
  <c r="I7360"/>
  <c r="H7361"/>
  <c r="J7361" s="1"/>
  <c r="I7361"/>
  <c r="H7362"/>
  <c r="J7362" s="1"/>
  <c r="I7362"/>
  <c r="H7363"/>
  <c r="J7363" s="1"/>
  <c r="I7363"/>
  <c r="H7364"/>
  <c r="J7364" s="1"/>
  <c r="I7364"/>
  <c r="H7365"/>
  <c r="J7365" s="1"/>
  <c r="I7365"/>
  <c r="H7366"/>
  <c r="J7366" s="1"/>
  <c r="I7366"/>
  <c r="H7367"/>
  <c r="J7367" s="1"/>
  <c r="I7367"/>
  <c r="H7368"/>
  <c r="J7368" s="1"/>
  <c r="I7368"/>
  <c r="H7369"/>
  <c r="J7369" s="1"/>
  <c r="I7369"/>
  <c r="H7370"/>
  <c r="J7370" s="1"/>
  <c r="I7370"/>
  <c r="H7371"/>
  <c r="J7371" s="1"/>
  <c r="I7371"/>
  <c r="H7372"/>
  <c r="J7372" s="1"/>
  <c r="I7372"/>
  <c r="H7373"/>
  <c r="J7373" s="1"/>
  <c r="I7373"/>
  <c r="H7374"/>
  <c r="J7374" s="1"/>
  <c r="I7374"/>
  <c r="H7375"/>
  <c r="J7375" s="1"/>
  <c r="I7375"/>
  <c r="H7376"/>
  <c r="J7376" s="1"/>
  <c r="I7376"/>
  <c r="H7377"/>
  <c r="J7377" s="1"/>
  <c r="I7377"/>
  <c r="H7378"/>
  <c r="J7378" s="1"/>
  <c r="I7378"/>
  <c r="H7379"/>
  <c r="J7379" s="1"/>
  <c r="I7379"/>
  <c r="H7380"/>
  <c r="J7380" s="1"/>
  <c r="I7380"/>
  <c r="H7381"/>
  <c r="J7381" s="1"/>
  <c r="I7381"/>
  <c r="H7382"/>
  <c r="J7382" s="1"/>
  <c r="I7382"/>
  <c r="H7383"/>
  <c r="J7383" s="1"/>
  <c r="I7383"/>
  <c r="H7384"/>
  <c r="J7384" s="1"/>
  <c r="I7384"/>
  <c r="H7385"/>
  <c r="J7385" s="1"/>
  <c r="I7385"/>
  <c r="H7386"/>
  <c r="J7386" s="1"/>
  <c r="I7386"/>
  <c r="H7387"/>
  <c r="J7387" s="1"/>
  <c r="I7387"/>
  <c r="H7388"/>
  <c r="J7388" s="1"/>
  <c r="I7388"/>
  <c r="H7389"/>
  <c r="J7389" s="1"/>
  <c r="I7389"/>
  <c r="H7390"/>
  <c r="J7390" s="1"/>
  <c r="I7390"/>
  <c r="H7391"/>
  <c r="J7391" s="1"/>
  <c r="I7391"/>
  <c r="H7392"/>
  <c r="J7392" s="1"/>
  <c r="I7392"/>
  <c r="H7393"/>
  <c r="J7393" s="1"/>
  <c r="I7393"/>
  <c r="H7394"/>
  <c r="J7394" s="1"/>
  <c r="I7394"/>
  <c r="H7395"/>
  <c r="J7395" s="1"/>
  <c r="I7395"/>
  <c r="H7396"/>
  <c r="J7396" s="1"/>
  <c r="I7396"/>
  <c r="H7397"/>
  <c r="J7397" s="1"/>
  <c r="I7397"/>
  <c r="H7398"/>
  <c r="J7398" s="1"/>
  <c r="I7398"/>
  <c r="H7399"/>
  <c r="J7399" s="1"/>
  <c r="I7399"/>
  <c r="H7400"/>
  <c r="J7400" s="1"/>
  <c r="I7400"/>
  <c r="H7401"/>
  <c r="J7401" s="1"/>
  <c r="I7401"/>
  <c r="H7402"/>
  <c r="J7402" s="1"/>
  <c r="I7402"/>
  <c r="H7403"/>
  <c r="J7403" s="1"/>
  <c r="I7403"/>
  <c r="H7404"/>
  <c r="J7404" s="1"/>
  <c r="I7404"/>
  <c r="H7405"/>
  <c r="J7405" s="1"/>
  <c r="I7405"/>
  <c r="H7406"/>
  <c r="J7406" s="1"/>
  <c r="I7406"/>
  <c r="H7407"/>
  <c r="J7407" s="1"/>
  <c r="I7407"/>
  <c r="H7408"/>
  <c r="J7408" s="1"/>
  <c r="I7408"/>
  <c r="H7409"/>
  <c r="J7409" s="1"/>
  <c r="I7409"/>
  <c r="H7410"/>
  <c r="J7410" s="1"/>
  <c r="I7410"/>
  <c r="H7411"/>
  <c r="J7411" s="1"/>
  <c r="I7411"/>
  <c r="H7412"/>
  <c r="J7412" s="1"/>
  <c r="I7412"/>
  <c r="H7413"/>
  <c r="J7413" s="1"/>
  <c r="I7413"/>
  <c r="H7414"/>
  <c r="J7414" s="1"/>
  <c r="I7414"/>
  <c r="H7415"/>
  <c r="J7415" s="1"/>
  <c r="I7415"/>
  <c r="H7416"/>
  <c r="J7416" s="1"/>
  <c r="I7416"/>
  <c r="H7417"/>
  <c r="J7417" s="1"/>
  <c r="I7417"/>
  <c r="H7418"/>
  <c r="J7418" s="1"/>
  <c r="I7418"/>
  <c r="H7419"/>
  <c r="J7419" s="1"/>
  <c r="I7419"/>
  <c r="H7420"/>
  <c r="J7420" s="1"/>
  <c r="I7420"/>
  <c r="H7421"/>
  <c r="J7421" s="1"/>
  <c r="I7421"/>
  <c r="H7422"/>
  <c r="J7422" s="1"/>
  <c r="I7422"/>
  <c r="H7423"/>
  <c r="J7423" s="1"/>
  <c r="I7423"/>
  <c r="H7424"/>
  <c r="J7424" s="1"/>
  <c r="I7424"/>
  <c r="H7425"/>
  <c r="J7425" s="1"/>
  <c r="I7425"/>
  <c r="H7426"/>
  <c r="J7426" s="1"/>
  <c r="I7426"/>
  <c r="H7427"/>
  <c r="J7427" s="1"/>
  <c r="I7427"/>
  <c r="H7428"/>
  <c r="J7428" s="1"/>
  <c r="I7428"/>
  <c r="H7429"/>
  <c r="J7429" s="1"/>
  <c r="I7429"/>
  <c r="H7430"/>
  <c r="J7430" s="1"/>
  <c r="I7430"/>
  <c r="H7431"/>
  <c r="J7431" s="1"/>
  <c r="I7431"/>
  <c r="H7432"/>
  <c r="J7432" s="1"/>
  <c r="I7432"/>
  <c r="H7433"/>
  <c r="J7433" s="1"/>
  <c r="I7433"/>
  <c r="H7434"/>
  <c r="J7434" s="1"/>
  <c r="I7434"/>
  <c r="H7435"/>
  <c r="J7435" s="1"/>
  <c r="I7435"/>
  <c r="H7436"/>
  <c r="J7436" s="1"/>
  <c r="I7436"/>
  <c r="H7437"/>
  <c r="J7437" s="1"/>
  <c r="I7437"/>
  <c r="H7438"/>
  <c r="J7438" s="1"/>
  <c r="I7438"/>
  <c r="H7439"/>
  <c r="J7439" s="1"/>
  <c r="I7439"/>
  <c r="H7440"/>
  <c r="J7440" s="1"/>
  <c r="I7440"/>
  <c r="H7441"/>
  <c r="J7441" s="1"/>
  <c r="I7441"/>
  <c r="H7442"/>
  <c r="J7442" s="1"/>
  <c r="I7442"/>
  <c r="H7443"/>
  <c r="J7443" s="1"/>
  <c r="I7443"/>
  <c r="H7444"/>
  <c r="J7444" s="1"/>
  <c r="I7444"/>
  <c r="H7445"/>
  <c r="J7445" s="1"/>
  <c r="I7445"/>
  <c r="H7446"/>
  <c r="J7446" s="1"/>
  <c r="I7446"/>
  <c r="H7447"/>
  <c r="J7447" s="1"/>
  <c r="I7447"/>
  <c r="H7448"/>
  <c r="J7448" s="1"/>
  <c r="I7448"/>
  <c r="H7449"/>
  <c r="J7449" s="1"/>
  <c r="I7449"/>
  <c r="H7450"/>
  <c r="J7450" s="1"/>
  <c r="I7450"/>
  <c r="H7451"/>
  <c r="J7451" s="1"/>
  <c r="I7451"/>
  <c r="H7452"/>
  <c r="J7452" s="1"/>
  <c r="I7452"/>
  <c r="H7453"/>
  <c r="J7453" s="1"/>
  <c r="I7453"/>
  <c r="H7454"/>
  <c r="J7454" s="1"/>
  <c r="I7454"/>
  <c r="H7455"/>
  <c r="J7455" s="1"/>
  <c r="I7455"/>
  <c r="H7456"/>
  <c r="J7456" s="1"/>
  <c r="I7456"/>
  <c r="H7457"/>
  <c r="J7457" s="1"/>
  <c r="I7457"/>
  <c r="H7458"/>
  <c r="J7458" s="1"/>
  <c r="I7458"/>
  <c r="H7459"/>
  <c r="J7459" s="1"/>
  <c r="I7459"/>
  <c r="H7460"/>
  <c r="J7460" s="1"/>
  <c r="I7460"/>
  <c r="H7461"/>
  <c r="J7461" s="1"/>
  <c r="I7461"/>
  <c r="H7462"/>
  <c r="J7462" s="1"/>
  <c r="I7462"/>
  <c r="H7463"/>
  <c r="J7463" s="1"/>
  <c r="I7463"/>
  <c r="H7464"/>
  <c r="J7464" s="1"/>
  <c r="I7464"/>
  <c r="H7465"/>
  <c r="J7465" s="1"/>
  <c r="I7465"/>
  <c r="H7466"/>
  <c r="J7466" s="1"/>
  <c r="I7466"/>
  <c r="H7467"/>
  <c r="J7467" s="1"/>
  <c r="I7467"/>
  <c r="H7468"/>
  <c r="J7468" s="1"/>
  <c r="I7468"/>
  <c r="H7469"/>
  <c r="J7469" s="1"/>
  <c r="I7469"/>
  <c r="H7470"/>
  <c r="J7470" s="1"/>
  <c r="I7470"/>
  <c r="H7471"/>
  <c r="J7471" s="1"/>
  <c r="I7471"/>
  <c r="H7472"/>
  <c r="J7472" s="1"/>
  <c r="I7472"/>
  <c r="H7473"/>
  <c r="J7473" s="1"/>
  <c r="I7473"/>
  <c r="H7474"/>
  <c r="J7474" s="1"/>
  <c r="I7474"/>
  <c r="H7475"/>
  <c r="J7475" s="1"/>
  <c r="I7475"/>
  <c r="H7476"/>
  <c r="J7476" s="1"/>
  <c r="I7476"/>
  <c r="H7477"/>
  <c r="J7477" s="1"/>
  <c r="I7477"/>
  <c r="H7478"/>
  <c r="J7478" s="1"/>
  <c r="I7478"/>
  <c r="H7479"/>
  <c r="J7479" s="1"/>
  <c r="I7479"/>
  <c r="H7480"/>
  <c r="J7480" s="1"/>
  <c r="I7480"/>
  <c r="H7481"/>
  <c r="J7481" s="1"/>
  <c r="I7481"/>
  <c r="H7482"/>
  <c r="J7482" s="1"/>
  <c r="I7482"/>
  <c r="H7483"/>
  <c r="J7483" s="1"/>
  <c r="I7483"/>
  <c r="H7484"/>
  <c r="J7484" s="1"/>
  <c r="I7484"/>
  <c r="H7485"/>
  <c r="J7485" s="1"/>
  <c r="I7485"/>
  <c r="H7486"/>
  <c r="J7486" s="1"/>
  <c r="I7486"/>
  <c r="H7487"/>
  <c r="J7487" s="1"/>
  <c r="I7487"/>
  <c r="H7488"/>
  <c r="J7488" s="1"/>
  <c r="I7488"/>
  <c r="H7489"/>
  <c r="J7489" s="1"/>
  <c r="I7489"/>
  <c r="H7490"/>
  <c r="J7490" s="1"/>
  <c r="I7490"/>
  <c r="H7491"/>
  <c r="J7491" s="1"/>
  <c r="I7491"/>
  <c r="H7492"/>
  <c r="J7492" s="1"/>
  <c r="I7492"/>
  <c r="H7493"/>
  <c r="J7493" s="1"/>
  <c r="I7493"/>
  <c r="H7494"/>
  <c r="J7494" s="1"/>
  <c r="I7494"/>
  <c r="H7495"/>
  <c r="J7495" s="1"/>
  <c r="I7495"/>
  <c r="H7496"/>
  <c r="J7496" s="1"/>
  <c r="I7496"/>
  <c r="H7497"/>
  <c r="J7497" s="1"/>
  <c r="I7497"/>
  <c r="H7498"/>
  <c r="J7498" s="1"/>
  <c r="I7498"/>
  <c r="H7499"/>
  <c r="J7499" s="1"/>
  <c r="I7499"/>
  <c r="H7500"/>
  <c r="J7500" s="1"/>
  <c r="I7500"/>
  <c r="H7501"/>
  <c r="J7501" s="1"/>
  <c r="I7501"/>
  <c r="H7502"/>
  <c r="J7502" s="1"/>
  <c r="I7502"/>
  <c r="H7503"/>
  <c r="J7503" s="1"/>
  <c r="I7503"/>
  <c r="H7504"/>
  <c r="J7504" s="1"/>
  <c r="I7504"/>
  <c r="H7505"/>
  <c r="J7505" s="1"/>
  <c r="I7505"/>
  <c r="H7506"/>
  <c r="J7506" s="1"/>
  <c r="I7506"/>
  <c r="H7507"/>
  <c r="J7507" s="1"/>
  <c r="I7507"/>
  <c r="H7508"/>
  <c r="J7508" s="1"/>
  <c r="I7508"/>
  <c r="H7509"/>
  <c r="J7509" s="1"/>
  <c r="I7509"/>
  <c r="H7510"/>
  <c r="J7510" s="1"/>
  <c r="I7510"/>
  <c r="H7511"/>
  <c r="J7511" s="1"/>
  <c r="I7511"/>
  <c r="H7512"/>
  <c r="J7512" s="1"/>
  <c r="I7512"/>
  <c r="H7513"/>
  <c r="J7513" s="1"/>
  <c r="I7513"/>
  <c r="H7514"/>
  <c r="J7514" s="1"/>
  <c r="I7514"/>
  <c r="H7515"/>
  <c r="J7515" s="1"/>
  <c r="I7515"/>
  <c r="H7516"/>
  <c r="J7516" s="1"/>
  <c r="I7516"/>
  <c r="H7517"/>
  <c r="J7517" s="1"/>
  <c r="I7517"/>
  <c r="H7518"/>
  <c r="J7518" s="1"/>
  <c r="I7518"/>
  <c r="H7519"/>
  <c r="J7519" s="1"/>
  <c r="I7519"/>
  <c r="H7520"/>
  <c r="J7520" s="1"/>
  <c r="I7520"/>
  <c r="H7521"/>
  <c r="J7521" s="1"/>
  <c r="I7521"/>
  <c r="H7522"/>
  <c r="J7522" s="1"/>
  <c r="I7522"/>
  <c r="H7523"/>
  <c r="J7523" s="1"/>
  <c r="I7523"/>
  <c r="H7524"/>
  <c r="J7524" s="1"/>
  <c r="I7524"/>
  <c r="H7525"/>
  <c r="J7525" s="1"/>
  <c r="I7525"/>
  <c r="H7526"/>
  <c r="J7526" s="1"/>
  <c r="I7526"/>
  <c r="H7527"/>
  <c r="J7527" s="1"/>
  <c r="I7527"/>
  <c r="H7528"/>
  <c r="J7528" s="1"/>
  <c r="I7528"/>
  <c r="H7529"/>
  <c r="J7529" s="1"/>
  <c r="I7529"/>
  <c r="H7530"/>
  <c r="J7530" s="1"/>
  <c r="I7530"/>
  <c r="H7531"/>
  <c r="J7531" s="1"/>
  <c r="I7531"/>
  <c r="H7532"/>
  <c r="J7532" s="1"/>
  <c r="I7532"/>
  <c r="H7533"/>
  <c r="J7533" s="1"/>
  <c r="I7533"/>
  <c r="H7534"/>
  <c r="J7534" s="1"/>
  <c r="I7534"/>
  <c r="H7535"/>
  <c r="J7535" s="1"/>
  <c r="I7535"/>
  <c r="H7536"/>
  <c r="J7536" s="1"/>
  <c r="I7536"/>
  <c r="H7537"/>
  <c r="J7537" s="1"/>
  <c r="I7537"/>
  <c r="H7538"/>
  <c r="J7538" s="1"/>
  <c r="I7538"/>
  <c r="H7539"/>
  <c r="J7539" s="1"/>
  <c r="I7539"/>
  <c r="H7540"/>
  <c r="J7540" s="1"/>
  <c r="I7540"/>
  <c r="H7541"/>
  <c r="J7541" s="1"/>
  <c r="I7541"/>
  <c r="H7542"/>
  <c r="J7542" s="1"/>
  <c r="I7542"/>
  <c r="H7543"/>
  <c r="J7543" s="1"/>
  <c r="I7543"/>
  <c r="H7544"/>
  <c r="J7544" s="1"/>
  <c r="I7544"/>
  <c r="H7545"/>
  <c r="J7545" s="1"/>
  <c r="I7545"/>
  <c r="H7546"/>
  <c r="J7546" s="1"/>
  <c r="I7546"/>
  <c r="H7547"/>
  <c r="J7547" s="1"/>
  <c r="I7547"/>
  <c r="H7548"/>
  <c r="J7548" s="1"/>
  <c r="I7548"/>
  <c r="H7549"/>
  <c r="J7549" s="1"/>
  <c r="I7549"/>
  <c r="H7550"/>
  <c r="J7550" s="1"/>
  <c r="I7550"/>
  <c r="H7551"/>
  <c r="J7551" s="1"/>
  <c r="I7551"/>
  <c r="H7552"/>
  <c r="J7552" s="1"/>
  <c r="I7552"/>
  <c r="H7553"/>
  <c r="J7553" s="1"/>
  <c r="I7553"/>
  <c r="H7554"/>
  <c r="J7554" s="1"/>
  <c r="I7554"/>
  <c r="H7555"/>
  <c r="J7555" s="1"/>
  <c r="I7555"/>
  <c r="H7556"/>
  <c r="J7556" s="1"/>
  <c r="I7556"/>
  <c r="H7557"/>
  <c r="J7557" s="1"/>
  <c r="I7557"/>
  <c r="H7558"/>
  <c r="J7558" s="1"/>
  <c r="I7558"/>
  <c r="H7559"/>
  <c r="J7559" s="1"/>
  <c r="I7559"/>
  <c r="H7560"/>
  <c r="J7560" s="1"/>
  <c r="I7560"/>
  <c r="H7561"/>
  <c r="J7561" s="1"/>
  <c r="I7561"/>
  <c r="H7562"/>
  <c r="J7562" s="1"/>
  <c r="I7562"/>
  <c r="H7563"/>
  <c r="J7563" s="1"/>
  <c r="I7563"/>
  <c r="H7564"/>
  <c r="J7564" s="1"/>
  <c r="I7564"/>
  <c r="H7565"/>
  <c r="J7565" s="1"/>
  <c r="I7565"/>
  <c r="H7566"/>
  <c r="J7566" s="1"/>
  <c r="I7566"/>
  <c r="H7567"/>
  <c r="J7567" s="1"/>
  <c r="I7567"/>
  <c r="H7568"/>
  <c r="J7568" s="1"/>
  <c r="I7568"/>
  <c r="H7569"/>
  <c r="J7569" s="1"/>
  <c r="I7569"/>
  <c r="H7570"/>
  <c r="J7570" s="1"/>
  <c r="I7570"/>
  <c r="H7571"/>
  <c r="J7571" s="1"/>
  <c r="I7571"/>
  <c r="H7572"/>
  <c r="J7572" s="1"/>
  <c r="I7572"/>
  <c r="H7573"/>
  <c r="J7573" s="1"/>
  <c r="I7573"/>
  <c r="H7574"/>
  <c r="J7574" s="1"/>
  <c r="I7574"/>
  <c r="H7575"/>
  <c r="J7575" s="1"/>
  <c r="I7575"/>
  <c r="H7576"/>
  <c r="J7576" s="1"/>
  <c r="I7576"/>
  <c r="H7577"/>
  <c r="J7577" s="1"/>
  <c r="I7577"/>
  <c r="H7578"/>
  <c r="J7578" s="1"/>
  <c r="I7578"/>
  <c r="H7579"/>
  <c r="J7579" s="1"/>
  <c r="I7579"/>
  <c r="H7580"/>
  <c r="J7580" s="1"/>
  <c r="I7580"/>
  <c r="H7581"/>
  <c r="J7581" s="1"/>
  <c r="I7581"/>
  <c r="H7582"/>
  <c r="J7582" s="1"/>
  <c r="I7582"/>
  <c r="H7583"/>
  <c r="J7583" s="1"/>
  <c r="I7583"/>
  <c r="H7584"/>
  <c r="J7584" s="1"/>
  <c r="I7584"/>
  <c r="H7585"/>
  <c r="J7585" s="1"/>
  <c r="I7585"/>
  <c r="H7586"/>
  <c r="J7586" s="1"/>
  <c r="I7586"/>
  <c r="H7587"/>
  <c r="J7587" s="1"/>
  <c r="I7587"/>
  <c r="H7588"/>
  <c r="J7588" s="1"/>
  <c r="I7588"/>
  <c r="H7589"/>
  <c r="J7589" s="1"/>
  <c r="I7589"/>
  <c r="H7590"/>
  <c r="J7590" s="1"/>
  <c r="I7590"/>
  <c r="H7591"/>
  <c r="J7591" s="1"/>
  <c r="I7591"/>
  <c r="H7592"/>
  <c r="J7592" s="1"/>
  <c r="I7592"/>
  <c r="H7593"/>
  <c r="J7593" s="1"/>
  <c r="I7593"/>
  <c r="H7594"/>
  <c r="J7594" s="1"/>
  <c r="I7594"/>
  <c r="H7595"/>
  <c r="J7595" s="1"/>
  <c r="I7595"/>
  <c r="H7596"/>
  <c r="J7596" s="1"/>
  <c r="I7596"/>
  <c r="H7597"/>
  <c r="J7597" s="1"/>
  <c r="I7597"/>
  <c r="H7598"/>
  <c r="J7598" s="1"/>
  <c r="I7598"/>
  <c r="H7599"/>
  <c r="J7599" s="1"/>
  <c r="I7599"/>
  <c r="H7600"/>
  <c r="J7600" s="1"/>
  <c r="I7600"/>
  <c r="H7601"/>
  <c r="J7601" s="1"/>
  <c r="I7601"/>
  <c r="H7602"/>
  <c r="J7602" s="1"/>
  <c r="I7602"/>
  <c r="H7603"/>
  <c r="J7603" s="1"/>
  <c r="I7603"/>
  <c r="H7604"/>
  <c r="J7604" s="1"/>
  <c r="I7604"/>
  <c r="H7605"/>
  <c r="J7605" s="1"/>
  <c r="I7605"/>
  <c r="H7606"/>
  <c r="J7606" s="1"/>
  <c r="I7606"/>
  <c r="H7607"/>
  <c r="J7607" s="1"/>
  <c r="I7607"/>
  <c r="H7608"/>
  <c r="J7608" s="1"/>
  <c r="I7608"/>
  <c r="H7609"/>
  <c r="J7609" s="1"/>
  <c r="I7609"/>
  <c r="H7610"/>
  <c r="J7610" s="1"/>
  <c r="I7610"/>
  <c r="H7611"/>
  <c r="J7611" s="1"/>
  <c r="I7611"/>
  <c r="H7612"/>
  <c r="J7612" s="1"/>
  <c r="I7612"/>
  <c r="H7613"/>
  <c r="J7613" s="1"/>
  <c r="I7613"/>
  <c r="H7614"/>
  <c r="J7614" s="1"/>
  <c r="I7614"/>
  <c r="H7615"/>
  <c r="J7615" s="1"/>
  <c r="I7615"/>
  <c r="H7616"/>
  <c r="J7616" s="1"/>
  <c r="I7616"/>
  <c r="H7617"/>
  <c r="J7617" s="1"/>
  <c r="I7617"/>
  <c r="H7618"/>
  <c r="J7618" s="1"/>
  <c r="I7618"/>
  <c r="H7619"/>
  <c r="J7619" s="1"/>
  <c r="I7619"/>
  <c r="H7620"/>
  <c r="J7620" s="1"/>
  <c r="I7620"/>
  <c r="H7621"/>
  <c r="J7621" s="1"/>
  <c r="I7621"/>
  <c r="H7622"/>
  <c r="J7622" s="1"/>
  <c r="I7622"/>
  <c r="H7623"/>
  <c r="J7623" s="1"/>
  <c r="I7623"/>
  <c r="H7624"/>
  <c r="J7624" s="1"/>
  <c r="I7624"/>
  <c r="H7625"/>
  <c r="J7625" s="1"/>
  <c r="I7625"/>
  <c r="H7626"/>
  <c r="J7626" s="1"/>
  <c r="I7626"/>
  <c r="H7627"/>
  <c r="J7627" s="1"/>
  <c r="I7627"/>
  <c r="H7628"/>
  <c r="J7628" s="1"/>
  <c r="I7628"/>
  <c r="H7629"/>
  <c r="J7629" s="1"/>
  <c r="I7629"/>
  <c r="H7630"/>
  <c r="J7630" s="1"/>
  <c r="I7630"/>
  <c r="H7631"/>
  <c r="J7631" s="1"/>
  <c r="I7631"/>
  <c r="H7632"/>
  <c r="J7632" s="1"/>
  <c r="I7632"/>
  <c r="H7633"/>
  <c r="J7633" s="1"/>
  <c r="I7633"/>
  <c r="H7634"/>
  <c r="J7634" s="1"/>
  <c r="I7634"/>
  <c r="H7635"/>
  <c r="J7635" s="1"/>
  <c r="I7635"/>
  <c r="H7636"/>
  <c r="J7636" s="1"/>
  <c r="I7636"/>
  <c r="H7637"/>
  <c r="J7637" s="1"/>
  <c r="I7637"/>
  <c r="H7638"/>
  <c r="J7638" s="1"/>
  <c r="I7638"/>
  <c r="H7639"/>
  <c r="J7639" s="1"/>
  <c r="I7639"/>
  <c r="H7640"/>
  <c r="J7640" s="1"/>
  <c r="I7640"/>
  <c r="H7641"/>
  <c r="J7641" s="1"/>
  <c r="I7641"/>
  <c r="H7642"/>
  <c r="J7642" s="1"/>
  <c r="I7642"/>
  <c r="H7643"/>
  <c r="J7643" s="1"/>
  <c r="I7643"/>
  <c r="H7644"/>
  <c r="J7644" s="1"/>
  <c r="I7644"/>
  <c r="H7645"/>
  <c r="J7645" s="1"/>
  <c r="I7645"/>
  <c r="H7646"/>
  <c r="J7646" s="1"/>
  <c r="I7646"/>
  <c r="H7647"/>
  <c r="J7647" s="1"/>
  <c r="I7647"/>
  <c r="H7648"/>
  <c r="J7648" s="1"/>
  <c r="I7648"/>
  <c r="H7649"/>
  <c r="J7649" s="1"/>
  <c r="I7649"/>
  <c r="H7650"/>
  <c r="J7650" s="1"/>
  <c r="I7650"/>
  <c r="H7651"/>
  <c r="J7651" s="1"/>
  <c r="I7651"/>
  <c r="H7652"/>
  <c r="J7652" s="1"/>
  <c r="I7652"/>
  <c r="H7653"/>
  <c r="J7653" s="1"/>
  <c r="I7653"/>
  <c r="H7654"/>
  <c r="J7654" s="1"/>
  <c r="I7654"/>
  <c r="H7655"/>
  <c r="J7655" s="1"/>
  <c r="I7655"/>
  <c r="H7656"/>
  <c r="J7656" s="1"/>
  <c r="I7656"/>
  <c r="H7657"/>
  <c r="J7657" s="1"/>
  <c r="I7657"/>
  <c r="H7658"/>
  <c r="J7658" s="1"/>
  <c r="I7658"/>
  <c r="H7659"/>
  <c r="J7659" s="1"/>
  <c r="I7659"/>
  <c r="H7660"/>
  <c r="J7660" s="1"/>
  <c r="I7660"/>
  <c r="H7661"/>
  <c r="J7661" s="1"/>
  <c r="I7661"/>
  <c r="H7662"/>
  <c r="J7662" s="1"/>
  <c r="I7662"/>
  <c r="H7663"/>
  <c r="J7663" s="1"/>
  <c r="I7663"/>
  <c r="H7664"/>
  <c r="J7664" s="1"/>
  <c r="I7664"/>
  <c r="H7665"/>
  <c r="J7665" s="1"/>
  <c r="I7665"/>
  <c r="H7666"/>
  <c r="J7666" s="1"/>
  <c r="I7666"/>
  <c r="H7667"/>
  <c r="J7667" s="1"/>
  <c r="I7667"/>
  <c r="H7668"/>
  <c r="J7668" s="1"/>
  <c r="I7668"/>
  <c r="H7669"/>
  <c r="J7669" s="1"/>
  <c r="I7669"/>
  <c r="H7670"/>
  <c r="J7670" s="1"/>
  <c r="I7670"/>
  <c r="H7671"/>
  <c r="J7671" s="1"/>
  <c r="I7671"/>
  <c r="H7672"/>
  <c r="J7672" s="1"/>
  <c r="I7672"/>
  <c r="H7673"/>
  <c r="J7673" s="1"/>
  <c r="I7673"/>
  <c r="H7674"/>
  <c r="J7674" s="1"/>
  <c r="I7674"/>
  <c r="H7675"/>
  <c r="J7675" s="1"/>
  <c r="I7675"/>
  <c r="H7676"/>
  <c r="J7676" s="1"/>
  <c r="I7676"/>
  <c r="H7677"/>
  <c r="J7677" s="1"/>
  <c r="I7677"/>
  <c r="H7678"/>
  <c r="J7678" s="1"/>
  <c r="I7678"/>
  <c r="H7679"/>
  <c r="J7679" s="1"/>
  <c r="I7679"/>
  <c r="H7680"/>
  <c r="J7680" s="1"/>
  <c r="I7680"/>
  <c r="H7681"/>
  <c r="J7681" s="1"/>
  <c r="I7681"/>
  <c r="H7682"/>
  <c r="J7682" s="1"/>
  <c r="I7682"/>
  <c r="H7683"/>
  <c r="J7683" s="1"/>
  <c r="I7683"/>
  <c r="H7684"/>
  <c r="J7684" s="1"/>
  <c r="I7684"/>
  <c r="H7685"/>
  <c r="J7685" s="1"/>
  <c r="I7685"/>
  <c r="H7686"/>
  <c r="J7686" s="1"/>
  <c r="I7686"/>
  <c r="H7687"/>
  <c r="J7687" s="1"/>
  <c r="I7687"/>
  <c r="H7688"/>
  <c r="J7688" s="1"/>
  <c r="I7688"/>
  <c r="H7689"/>
  <c r="J7689" s="1"/>
  <c r="I7689"/>
  <c r="H7690"/>
  <c r="J7690" s="1"/>
  <c r="I7690"/>
  <c r="H7691"/>
  <c r="J7691" s="1"/>
  <c r="I7691"/>
  <c r="H7692"/>
  <c r="J7692" s="1"/>
  <c r="I7692"/>
  <c r="H7693"/>
  <c r="J7693" s="1"/>
  <c r="I7693"/>
  <c r="H7694"/>
  <c r="J7694" s="1"/>
  <c r="I7694"/>
  <c r="H7695"/>
  <c r="J7695" s="1"/>
  <c r="I7695"/>
  <c r="H7696"/>
  <c r="J7696" s="1"/>
  <c r="I7696"/>
  <c r="H7697"/>
  <c r="J7697" s="1"/>
  <c r="I7697"/>
  <c r="H7698"/>
  <c r="J7698" s="1"/>
  <c r="I7698"/>
  <c r="H7699"/>
  <c r="J7699" s="1"/>
  <c r="I7699"/>
  <c r="H7700"/>
  <c r="J7700" s="1"/>
  <c r="I7700"/>
  <c r="H7701"/>
  <c r="J7701" s="1"/>
  <c r="I7701"/>
  <c r="H7702"/>
  <c r="J7702" s="1"/>
  <c r="I7702"/>
  <c r="H7703"/>
  <c r="J7703" s="1"/>
  <c r="I7703"/>
  <c r="H7704"/>
  <c r="J7704" s="1"/>
  <c r="I7704"/>
  <c r="H7705"/>
  <c r="J7705" s="1"/>
  <c r="I7705"/>
  <c r="H7706"/>
  <c r="J7706" s="1"/>
  <c r="I7706"/>
  <c r="H7707"/>
  <c r="J7707" s="1"/>
  <c r="I7707"/>
  <c r="H7708"/>
  <c r="J7708" s="1"/>
  <c r="I7708"/>
  <c r="H7709"/>
  <c r="J7709" s="1"/>
  <c r="I7709"/>
  <c r="H7710"/>
  <c r="J7710" s="1"/>
  <c r="I7710"/>
  <c r="H7711"/>
  <c r="J7711" s="1"/>
  <c r="I7711"/>
  <c r="H7712"/>
  <c r="J7712" s="1"/>
  <c r="I7712"/>
  <c r="H7713"/>
  <c r="J7713" s="1"/>
  <c r="I7713"/>
  <c r="H7714"/>
  <c r="J7714" s="1"/>
  <c r="I7714"/>
  <c r="H7715"/>
  <c r="J7715" s="1"/>
  <c r="I7715"/>
  <c r="H7716"/>
  <c r="J7716" s="1"/>
  <c r="I7716"/>
  <c r="H7717"/>
  <c r="J7717" s="1"/>
  <c r="I7717"/>
  <c r="H7718"/>
  <c r="J7718" s="1"/>
  <c r="I7718"/>
  <c r="H7719"/>
  <c r="J7719" s="1"/>
  <c r="I7719"/>
  <c r="H7720"/>
  <c r="J7720" s="1"/>
  <c r="I7720"/>
  <c r="H7721"/>
  <c r="J7721" s="1"/>
  <c r="I7721"/>
  <c r="H7722"/>
  <c r="J7722" s="1"/>
  <c r="I7722"/>
  <c r="H7723"/>
  <c r="J7723" s="1"/>
  <c r="I7723"/>
  <c r="H7724"/>
  <c r="J7724" s="1"/>
  <c r="I7724"/>
  <c r="H7725"/>
  <c r="J7725" s="1"/>
  <c r="I7725"/>
  <c r="H7726"/>
  <c r="J7726" s="1"/>
  <c r="I7726"/>
  <c r="H7727"/>
  <c r="J7727" s="1"/>
  <c r="I7727"/>
  <c r="H7728"/>
  <c r="J7728" s="1"/>
  <c r="I7728"/>
  <c r="H7729"/>
  <c r="J7729" s="1"/>
  <c r="I7729"/>
  <c r="H7730"/>
  <c r="J7730" s="1"/>
  <c r="I7730"/>
  <c r="H7731"/>
  <c r="J7731" s="1"/>
  <c r="I7731"/>
  <c r="H7732"/>
  <c r="J7732" s="1"/>
  <c r="I7732"/>
  <c r="H7733"/>
  <c r="J7733" s="1"/>
  <c r="I7733"/>
  <c r="H7734"/>
  <c r="J7734" s="1"/>
  <c r="I7734"/>
  <c r="H7735"/>
  <c r="J7735" s="1"/>
  <c r="I7735"/>
  <c r="H7736"/>
  <c r="J7736" s="1"/>
  <c r="I7736"/>
  <c r="H7737"/>
  <c r="J7737" s="1"/>
  <c r="I7737"/>
  <c r="H7738"/>
  <c r="J7738" s="1"/>
  <c r="I7738"/>
  <c r="H7739"/>
  <c r="J7739" s="1"/>
  <c r="I7739"/>
  <c r="H7740"/>
  <c r="J7740" s="1"/>
  <c r="I7740"/>
  <c r="H7741"/>
  <c r="J7741" s="1"/>
  <c r="I7741"/>
  <c r="H7742"/>
  <c r="J7742" s="1"/>
  <c r="I7742"/>
  <c r="H7743"/>
  <c r="J7743" s="1"/>
  <c r="I7743"/>
  <c r="H7744"/>
  <c r="J7744" s="1"/>
  <c r="I7744"/>
  <c r="H7745"/>
  <c r="J7745" s="1"/>
  <c r="I7745"/>
  <c r="H7746"/>
  <c r="J7746" s="1"/>
  <c r="I7746"/>
  <c r="H7747"/>
  <c r="J7747" s="1"/>
  <c r="I7747"/>
  <c r="H7748"/>
  <c r="J7748" s="1"/>
  <c r="I7748"/>
  <c r="H7749"/>
  <c r="J7749" s="1"/>
  <c r="I7749"/>
  <c r="H7750"/>
  <c r="J7750" s="1"/>
  <c r="I7750"/>
  <c r="H7751"/>
  <c r="J7751" s="1"/>
  <c r="I7751"/>
  <c r="H7752"/>
  <c r="J7752" s="1"/>
  <c r="I7752"/>
  <c r="H7753"/>
  <c r="J7753" s="1"/>
  <c r="I7753"/>
  <c r="H7754"/>
  <c r="J7754" s="1"/>
  <c r="I7754"/>
  <c r="H7755"/>
  <c r="J7755" s="1"/>
  <c r="I7755"/>
  <c r="H7756"/>
  <c r="J7756" s="1"/>
  <c r="I7756"/>
  <c r="H7757"/>
  <c r="J7757" s="1"/>
  <c r="I7757"/>
  <c r="H7758"/>
  <c r="J7758" s="1"/>
  <c r="I7758"/>
  <c r="H7759"/>
  <c r="J7759" s="1"/>
  <c r="I7759"/>
  <c r="H7760"/>
  <c r="J7760" s="1"/>
  <c r="I7760"/>
  <c r="H7761"/>
  <c r="J7761" s="1"/>
  <c r="I7761"/>
  <c r="H7762"/>
  <c r="J7762" s="1"/>
  <c r="I7762"/>
  <c r="H7763"/>
  <c r="J7763" s="1"/>
  <c r="I7763"/>
  <c r="H7764"/>
  <c r="J7764" s="1"/>
  <c r="I7764"/>
  <c r="H7765"/>
  <c r="J7765" s="1"/>
  <c r="I7765"/>
  <c r="H7766"/>
  <c r="J7766" s="1"/>
  <c r="I7766"/>
  <c r="H7767"/>
  <c r="J7767" s="1"/>
  <c r="I7767"/>
  <c r="H7768"/>
  <c r="J7768" s="1"/>
  <c r="I7768"/>
  <c r="H7769"/>
  <c r="J7769" s="1"/>
  <c r="I7769"/>
  <c r="H7770"/>
  <c r="J7770" s="1"/>
  <c r="I7770"/>
  <c r="H7771"/>
  <c r="J7771" s="1"/>
  <c r="I7771"/>
  <c r="H7772"/>
  <c r="J7772" s="1"/>
  <c r="I7772"/>
  <c r="H7773"/>
  <c r="J7773" s="1"/>
  <c r="I7773"/>
  <c r="H7774"/>
  <c r="J7774" s="1"/>
  <c r="I7774"/>
  <c r="H7775"/>
  <c r="J7775" s="1"/>
  <c r="I7775"/>
  <c r="H7776"/>
  <c r="J7776" s="1"/>
  <c r="I7776"/>
  <c r="H7777"/>
  <c r="J7777" s="1"/>
  <c r="I7777"/>
  <c r="H7778"/>
  <c r="J7778" s="1"/>
  <c r="I7778"/>
  <c r="H7779"/>
  <c r="J7779" s="1"/>
  <c r="I7779"/>
  <c r="H7780"/>
  <c r="J7780" s="1"/>
  <c r="I7780"/>
  <c r="H7781"/>
  <c r="J7781" s="1"/>
  <c r="I7781"/>
  <c r="H7782"/>
  <c r="J7782" s="1"/>
  <c r="I7782"/>
  <c r="H7783"/>
  <c r="J7783" s="1"/>
  <c r="I7783"/>
  <c r="H7784"/>
  <c r="J7784" s="1"/>
  <c r="I7784"/>
  <c r="H7785"/>
  <c r="J7785" s="1"/>
  <c r="I7785"/>
  <c r="H7786"/>
  <c r="J7786" s="1"/>
  <c r="I7786"/>
  <c r="H7787"/>
  <c r="J7787" s="1"/>
  <c r="I7787"/>
  <c r="H7788"/>
  <c r="J7788" s="1"/>
  <c r="I7788"/>
  <c r="H7789"/>
  <c r="J7789" s="1"/>
  <c r="I7789"/>
  <c r="H7790"/>
  <c r="J7790" s="1"/>
  <c r="I7790"/>
  <c r="H7791"/>
  <c r="J7791" s="1"/>
  <c r="I7791"/>
  <c r="H7792"/>
  <c r="J7792" s="1"/>
  <c r="I7792"/>
  <c r="H7793"/>
  <c r="J7793" s="1"/>
  <c r="I7793"/>
  <c r="H7794"/>
  <c r="J7794" s="1"/>
  <c r="I7794"/>
  <c r="H7795"/>
  <c r="J7795" s="1"/>
  <c r="I7795"/>
  <c r="H7796"/>
  <c r="J7796" s="1"/>
  <c r="I7796"/>
  <c r="H7797"/>
  <c r="J7797" s="1"/>
  <c r="I7797"/>
  <c r="H7798"/>
  <c r="J7798" s="1"/>
  <c r="I7798"/>
  <c r="H7799"/>
  <c r="J7799" s="1"/>
  <c r="I7799"/>
  <c r="H7800"/>
  <c r="J7800" s="1"/>
  <c r="I7800"/>
  <c r="H7801"/>
  <c r="J7801" s="1"/>
  <c r="I7801"/>
  <c r="H7802"/>
  <c r="J7802" s="1"/>
  <c r="I7802"/>
  <c r="H7803"/>
  <c r="J7803" s="1"/>
  <c r="I7803"/>
  <c r="H7804"/>
  <c r="J7804" s="1"/>
  <c r="I7804"/>
  <c r="H7805"/>
  <c r="J7805" s="1"/>
  <c r="I7805"/>
  <c r="H7806"/>
  <c r="J7806" s="1"/>
  <c r="I7806"/>
  <c r="H7807"/>
  <c r="J7807" s="1"/>
  <c r="I7807"/>
  <c r="H7808"/>
  <c r="J7808" s="1"/>
  <c r="I7808"/>
  <c r="H7809"/>
  <c r="J7809" s="1"/>
  <c r="I7809"/>
  <c r="H7810"/>
  <c r="J7810" s="1"/>
  <c r="I7810"/>
  <c r="H7811"/>
  <c r="J7811" s="1"/>
  <c r="I7811"/>
  <c r="H7812"/>
  <c r="J7812" s="1"/>
  <c r="I7812"/>
  <c r="H7813"/>
  <c r="J7813" s="1"/>
  <c r="I7813"/>
  <c r="H7814"/>
  <c r="J7814" s="1"/>
  <c r="I7814"/>
  <c r="H7815"/>
  <c r="J7815" s="1"/>
  <c r="I7815"/>
  <c r="H7816"/>
  <c r="J7816" s="1"/>
  <c r="I7816"/>
  <c r="H7817"/>
  <c r="J7817" s="1"/>
  <c r="I7817"/>
  <c r="H7818"/>
  <c r="J7818" s="1"/>
  <c r="I7818"/>
  <c r="H7819"/>
  <c r="J7819" s="1"/>
  <c r="I7819"/>
  <c r="H7820"/>
  <c r="J7820" s="1"/>
  <c r="I7820"/>
  <c r="H7821"/>
  <c r="J7821" s="1"/>
  <c r="I7821"/>
  <c r="H7822"/>
  <c r="J7822" s="1"/>
  <c r="I7822"/>
  <c r="H7823"/>
  <c r="J7823" s="1"/>
  <c r="I7823"/>
  <c r="H7824"/>
  <c r="J7824" s="1"/>
  <c r="I7824"/>
  <c r="H7825"/>
  <c r="J7825" s="1"/>
  <c r="I7825"/>
  <c r="H7826"/>
  <c r="J7826" s="1"/>
  <c r="I7826"/>
  <c r="H7827"/>
  <c r="J7827" s="1"/>
  <c r="I7827"/>
  <c r="H7828"/>
  <c r="J7828" s="1"/>
  <c r="I7828"/>
  <c r="H7829"/>
  <c r="J7829" s="1"/>
  <c r="I7829"/>
  <c r="H7830"/>
  <c r="J7830" s="1"/>
  <c r="I7830"/>
  <c r="H7831"/>
  <c r="J7831" s="1"/>
  <c r="I7831"/>
  <c r="H7832"/>
  <c r="J7832" s="1"/>
  <c r="I7832"/>
  <c r="H7833"/>
  <c r="J7833" s="1"/>
  <c r="I7833"/>
  <c r="H7834"/>
  <c r="J7834" s="1"/>
  <c r="I7834"/>
  <c r="H7835"/>
  <c r="J7835" s="1"/>
  <c r="I7835"/>
  <c r="H7836"/>
  <c r="J7836" s="1"/>
  <c r="I7836"/>
  <c r="H7837"/>
  <c r="J7837" s="1"/>
  <c r="I7837"/>
  <c r="H7838"/>
  <c r="J7838" s="1"/>
  <c r="I7838"/>
  <c r="H7839"/>
  <c r="J7839" s="1"/>
  <c r="I7839"/>
  <c r="H7840"/>
  <c r="J7840" s="1"/>
  <c r="I7840"/>
  <c r="H7841"/>
  <c r="J7841" s="1"/>
  <c r="I7841"/>
  <c r="H7842"/>
  <c r="J7842" s="1"/>
  <c r="I7842"/>
  <c r="H7843"/>
  <c r="J7843" s="1"/>
  <c r="I7843"/>
  <c r="H7844"/>
  <c r="J7844" s="1"/>
  <c r="I7844"/>
  <c r="H7845"/>
  <c r="J7845" s="1"/>
  <c r="I7845"/>
  <c r="H7846"/>
  <c r="J7846" s="1"/>
  <c r="I7846"/>
  <c r="H7847"/>
  <c r="J7847" s="1"/>
  <c r="I7847"/>
  <c r="H7848"/>
  <c r="J7848" s="1"/>
  <c r="I7848"/>
  <c r="H7849"/>
  <c r="J7849" s="1"/>
  <c r="I7849"/>
  <c r="H7850"/>
  <c r="J7850" s="1"/>
  <c r="I7850"/>
  <c r="H7851"/>
  <c r="J7851" s="1"/>
  <c r="I7851"/>
  <c r="H7852"/>
  <c r="J7852" s="1"/>
  <c r="I7852"/>
  <c r="H7853"/>
  <c r="J7853" s="1"/>
  <c r="I7853"/>
  <c r="H7854"/>
  <c r="J7854" s="1"/>
  <c r="I7854"/>
  <c r="H7855"/>
  <c r="J7855" s="1"/>
  <c r="I7855"/>
  <c r="H7856"/>
  <c r="J7856" s="1"/>
  <c r="I7856"/>
  <c r="H7857"/>
  <c r="J7857" s="1"/>
  <c r="I7857"/>
  <c r="H7858"/>
  <c r="J7858" s="1"/>
  <c r="I7858"/>
  <c r="H7859"/>
  <c r="J7859" s="1"/>
  <c r="I7859"/>
  <c r="H7860"/>
  <c r="J7860" s="1"/>
  <c r="I7860"/>
  <c r="H7861"/>
  <c r="J7861" s="1"/>
  <c r="I7861"/>
  <c r="H7862"/>
  <c r="J7862" s="1"/>
  <c r="I7862"/>
  <c r="H7863"/>
  <c r="J7863" s="1"/>
  <c r="I7863"/>
  <c r="H7864"/>
  <c r="J7864" s="1"/>
  <c r="I7864"/>
  <c r="H7865"/>
  <c r="J7865" s="1"/>
  <c r="I7865"/>
  <c r="H7866"/>
  <c r="J7866" s="1"/>
  <c r="I7866"/>
  <c r="H7867"/>
  <c r="J7867" s="1"/>
  <c r="I7867"/>
  <c r="H7868"/>
  <c r="J7868" s="1"/>
  <c r="I7868"/>
  <c r="H7869"/>
  <c r="J7869" s="1"/>
  <c r="I7869"/>
  <c r="H7870"/>
  <c r="J7870" s="1"/>
  <c r="I7870"/>
  <c r="H7871"/>
  <c r="J7871" s="1"/>
  <c r="I7871"/>
  <c r="H7872"/>
  <c r="J7872" s="1"/>
  <c r="I7872"/>
  <c r="H7873"/>
  <c r="J7873" s="1"/>
  <c r="I7873"/>
  <c r="H7874"/>
  <c r="J7874" s="1"/>
  <c r="I7874"/>
  <c r="H7875"/>
  <c r="J7875" s="1"/>
  <c r="I7875"/>
  <c r="H7876"/>
  <c r="J7876" s="1"/>
  <c r="I7876"/>
  <c r="H7877"/>
  <c r="J7877" s="1"/>
  <c r="I7877"/>
  <c r="H7878"/>
  <c r="J7878" s="1"/>
  <c r="I7878"/>
  <c r="H7879"/>
  <c r="J7879" s="1"/>
  <c r="I7879"/>
  <c r="H7880"/>
  <c r="J7880" s="1"/>
  <c r="I7880"/>
  <c r="H7881"/>
  <c r="J7881" s="1"/>
  <c r="I7881"/>
  <c r="H7882"/>
  <c r="J7882" s="1"/>
  <c r="I7882"/>
  <c r="H7883"/>
  <c r="J7883" s="1"/>
  <c r="I7883"/>
  <c r="H7884"/>
  <c r="J7884" s="1"/>
  <c r="I7884"/>
  <c r="H7885"/>
  <c r="J7885" s="1"/>
  <c r="I7885"/>
  <c r="H7886"/>
  <c r="J7886" s="1"/>
  <c r="I7886"/>
  <c r="H7887"/>
  <c r="J7887" s="1"/>
  <c r="I7887"/>
  <c r="H7888"/>
  <c r="J7888" s="1"/>
  <c r="I7888"/>
  <c r="H7889"/>
  <c r="J7889" s="1"/>
  <c r="I7889"/>
  <c r="H7890"/>
  <c r="J7890" s="1"/>
  <c r="I7890"/>
  <c r="H7891"/>
  <c r="J7891" s="1"/>
  <c r="I7891"/>
  <c r="H7892"/>
  <c r="J7892" s="1"/>
  <c r="I7892"/>
  <c r="H7893"/>
  <c r="J7893" s="1"/>
  <c r="I7893"/>
  <c r="H7894"/>
  <c r="J7894" s="1"/>
  <c r="I7894"/>
  <c r="H7895"/>
  <c r="J7895" s="1"/>
  <c r="I7895"/>
  <c r="H7896"/>
  <c r="J7896" s="1"/>
  <c r="I7896"/>
  <c r="H7897"/>
  <c r="J7897" s="1"/>
  <c r="I7897"/>
  <c r="H7898"/>
  <c r="J7898" s="1"/>
  <c r="I7898"/>
  <c r="H7899"/>
  <c r="J7899" s="1"/>
  <c r="I7899"/>
  <c r="H7900"/>
  <c r="J7900" s="1"/>
  <c r="I7900"/>
  <c r="H7901"/>
  <c r="J7901" s="1"/>
  <c r="I7901"/>
  <c r="H7902"/>
  <c r="J7902" s="1"/>
  <c r="I7902"/>
  <c r="H7903"/>
  <c r="J7903" s="1"/>
  <c r="I7903"/>
  <c r="H7904"/>
  <c r="J7904" s="1"/>
  <c r="I7904"/>
  <c r="H7905"/>
  <c r="J7905" s="1"/>
  <c r="I7905"/>
  <c r="H7906"/>
  <c r="J7906" s="1"/>
  <c r="I7906"/>
  <c r="H7907"/>
  <c r="J7907" s="1"/>
  <c r="I7907"/>
  <c r="H7908"/>
  <c r="J7908" s="1"/>
  <c r="I7908"/>
  <c r="H7909"/>
  <c r="J7909" s="1"/>
  <c r="I7909"/>
  <c r="H7910"/>
  <c r="J7910" s="1"/>
  <c r="I7910"/>
  <c r="H7911"/>
  <c r="J7911" s="1"/>
  <c r="I7911"/>
  <c r="H7912"/>
  <c r="J7912" s="1"/>
  <c r="I7912"/>
  <c r="H7913"/>
  <c r="J7913" s="1"/>
  <c r="I7913"/>
  <c r="H7914"/>
  <c r="J7914" s="1"/>
  <c r="I7914"/>
  <c r="H7915"/>
  <c r="J7915" s="1"/>
  <c r="I7915"/>
  <c r="H7916"/>
  <c r="J7916" s="1"/>
  <c r="I7916"/>
  <c r="H7917"/>
  <c r="J7917" s="1"/>
  <c r="I7917"/>
  <c r="H7918"/>
  <c r="J7918" s="1"/>
  <c r="I7918"/>
  <c r="H7919"/>
  <c r="J7919" s="1"/>
  <c r="I7919"/>
  <c r="H7920"/>
  <c r="J7920" s="1"/>
  <c r="I7920"/>
  <c r="H7921"/>
  <c r="J7921" s="1"/>
  <c r="I7921"/>
  <c r="H7922"/>
  <c r="J7922" s="1"/>
  <c r="I7922"/>
  <c r="H7923"/>
  <c r="J7923" s="1"/>
  <c r="I7923"/>
  <c r="H7924"/>
  <c r="J7924" s="1"/>
  <c r="I7924"/>
  <c r="H7925"/>
  <c r="J7925" s="1"/>
  <c r="I7925"/>
  <c r="H7926"/>
  <c r="J7926" s="1"/>
  <c r="I7926"/>
  <c r="H7927"/>
  <c r="J7927" s="1"/>
  <c r="I7927"/>
  <c r="H7928"/>
  <c r="J7928" s="1"/>
  <c r="I7928"/>
  <c r="H7929"/>
  <c r="J7929" s="1"/>
  <c r="I7929"/>
  <c r="H7930"/>
  <c r="J7930" s="1"/>
  <c r="I7930"/>
  <c r="H7931"/>
  <c r="J7931" s="1"/>
  <c r="I7931"/>
  <c r="H7932"/>
  <c r="J7932" s="1"/>
  <c r="I7932"/>
  <c r="H7933"/>
  <c r="J7933" s="1"/>
  <c r="I7933"/>
  <c r="H7934"/>
  <c r="J7934" s="1"/>
  <c r="I7934"/>
  <c r="H7935"/>
  <c r="J7935" s="1"/>
  <c r="I7935"/>
  <c r="H7936"/>
  <c r="J7936" s="1"/>
  <c r="I7936"/>
  <c r="H7937"/>
  <c r="J7937" s="1"/>
  <c r="I7937"/>
  <c r="H7938"/>
  <c r="J7938" s="1"/>
  <c r="I7938"/>
  <c r="H7939"/>
  <c r="J7939" s="1"/>
  <c r="I7939"/>
  <c r="H7940"/>
  <c r="J7940" s="1"/>
  <c r="I7940"/>
  <c r="H7941"/>
  <c r="J7941" s="1"/>
  <c r="I7941"/>
  <c r="H7942"/>
  <c r="J7942" s="1"/>
  <c r="I7942"/>
  <c r="H7943"/>
  <c r="J7943" s="1"/>
  <c r="I7943"/>
  <c r="H7944"/>
  <c r="J7944" s="1"/>
  <c r="I7944"/>
  <c r="H7945"/>
  <c r="J7945" s="1"/>
  <c r="I7945"/>
  <c r="H7946"/>
  <c r="J7946" s="1"/>
  <c r="I7946"/>
  <c r="H7947"/>
  <c r="J7947" s="1"/>
  <c r="I7947"/>
  <c r="H7948"/>
  <c r="J7948" s="1"/>
  <c r="I7948"/>
  <c r="H7949"/>
  <c r="J7949" s="1"/>
  <c r="I7949"/>
  <c r="H7950"/>
  <c r="J7950" s="1"/>
  <c r="I7950"/>
  <c r="H7951"/>
  <c r="J7951" s="1"/>
  <c r="I7951"/>
  <c r="H7952"/>
  <c r="J7952" s="1"/>
  <c r="I7952"/>
  <c r="H7953"/>
  <c r="J7953" s="1"/>
  <c r="I7953"/>
  <c r="H7954"/>
  <c r="J7954" s="1"/>
  <c r="I7954"/>
  <c r="H7955"/>
  <c r="J7955" s="1"/>
  <c r="I7955"/>
  <c r="H7956"/>
  <c r="J7956" s="1"/>
  <c r="I7956"/>
  <c r="H7957"/>
  <c r="J7957" s="1"/>
  <c r="I7957"/>
  <c r="H7958"/>
  <c r="J7958" s="1"/>
  <c r="I7958"/>
  <c r="H7959"/>
  <c r="J7959" s="1"/>
  <c r="I7959"/>
  <c r="H7960"/>
  <c r="J7960" s="1"/>
  <c r="I7960"/>
  <c r="H7961"/>
  <c r="J7961" s="1"/>
  <c r="I7961"/>
  <c r="H7962"/>
  <c r="J7962" s="1"/>
  <c r="I7962"/>
  <c r="H7963"/>
  <c r="J7963" s="1"/>
  <c r="I7963"/>
  <c r="H7964"/>
  <c r="J7964" s="1"/>
  <c r="I7964"/>
  <c r="H7965"/>
  <c r="J7965" s="1"/>
  <c r="I7965"/>
  <c r="H7966"/>
  <c r="J7966" s="1"/>
  <c r="I7966"/>
  <c r="H7967"/>
  <c r="J7967" s="1"/>
  <c r="I7967"/>
  <c r="H7968"/>
  <c r="J7968" s="1"/>
  <c r="I7968"/>
  <c r="H7969"/>
  <c r="J7969" s="1"/>
  <c r="I7969"/>
  <c r="H7970"/>
  <c r="J7970" s="1"/>
  <c r="I7970"/>
  <c r="H7971"/>
  <c r="J7971" s="1"/>
  <c r="I7971"/>
  <c r="H7972"/>
  <c r="J7972" s="1"/>
  <c r="I7972"/>
  <c r="H7973"/>
  <c r="J7973" s="1"/>
  <c r="I7973"/>
  <c r="H7974"/>
  <c r="J7974" s="1"/>
  <c r="I7974"/>
  <c r="H7975"/>
  <c r="J7975" s="1"/>
  <c r="I7975"/>
  <c r="H7976"/>
  <c r="J7976" s="1"/>
  <c r="I7976"/>
  <c r="H7977"/>
  <c r="J7977" s="1"/>
  <c r="I7977"/>
  <c r="H7978"/>
  <c r="J7978" s="1"/>
  <c r="I7978"/>
  <c r="H7979"/>
  <c r="J7979" s="1"/>
  <c r="I7979"/>
  <c r="H7980"/>
  <c r="J7980" s="1"/>
  <c r="I7980"/>
  <c r="H7981"/>
  <c r="J7981" s="1"/>
  <c r="I7981"/>
  <c r="H7982"/>
  <c r="J7982" s="1"/>
  <c r="I7982"/>
  <c r="H7983"/>
  <c r="J7983" s="1"/>
  <c r="I7983"/>
  <c r="H7984"/>
  <c r="J7984" s="1"/>
  <c r="I7984"/>
  <c r="H7985"/>
  <c r="J7985" s="1"/>
  <c r="I7985"/>
  <c r="H7986"/>
  <c r="J7986" s="1"/>
  <c r="I7986"/>
  <c r="H7987"/>
  <c r="J7987" s="1"/>
  <c r="I7987"/>
  <c r="H7988"/>
  <c r="J7988" s="1"/>
  <c r="I7988"/>
  <c r="H7989"/>
  <c r="J7989" s="1"/>
  <c r="I7989"/>
  <c r="H7990"/>
  <c r="J7990" s="1"/>
  <c r="I7990"/>
  <c r="H7991"/>
  <c r="J7991" s="1"/>
  <c r="I7991"/>
  <c r="H7992"/>
  <c r="J7992" s="1"/>
  <c r="I7992"/>
  <c r="H7993"/>
  <c r="J7993" s="1"/>
  <c r="I7993"/>
  <c r="H7994"/>
  <c r="J7994" s="1"/>
  <c r="I7994"/>
  <c r="H7995"/>
  <c r="J7995" s="1"/>
  <c r="I7995"/>
  <c r="H7996"/>
  <c r="J7996" s="1"/>
  <c r="I7996"/>
  <c r="H16"/>
  <c r="J16" s="1"/>
  <c r="I16"/>
  <c r="I15"/>
  <c r="H15"/>
  <c r="J15" s="1"/>
  <c r="E2" i="1"/>
  <c r="D2"/>
  <c r="G2" s="1"/>
  <c r="A8"/>
  <c r="A4"/>
  <c r="F2" l="1"/>
  <c r="H2" s="1"/>
  <c r="B10"/>
  <c r="B11"/>
  <c r="B12"/>
  <c r="B13"/>
  <c r="B3" i="2"/>
  <c r="D3"/>
  <c r="D4" l="1"/>
  <c r="B4"/>
  <c r="D5" l="1"/>
  <c r="B5"/>
  <c r="D6" l="1"/>
  <c r="B6"/>
  <c r="D7" l="1"/>
  <c r="B7"/>
  <c r="D8" l="1"/>
  <c r="B8"/>
  <c r="D9" l="1"/>
  <c r="B9"/>
  <c r="D10" l="1"/>
  <c r="B10"/>
  <c r="D11" l="1"/>
  <c r="B11"/>
  <c r="B12" s="1"/>
  <c r="D12" l="1"/>
  <c r="D13" s="1"/>
  <c r="D14" s="1"/>
  <c r="D15" s="1"/>
  <c r="B13"/>
  <c r="B14" s="1"/>
  <c r="B15" s="1"/>
  <c r="B16" s="1"/>
  <c r="D16" l="1"/>
  <c r="D17" s="1"/>
  <c r="D18" s="1"/>
  <c r="D19" s="1"/>
  <c r="D20" s="1"/>
  <c r="D21" s="1"/>
  <c r="D22" s="1"/>
  <c r="D23" s="1"/>
  <c r="D24" s="1"/>
  <c r="B17"/>
  <c r="B18" s="1"/>
  <c r="D25" l="1"/>
  <c r="D26" s="1"/>
  <c r="B19"/>
  <c r="D27" l="1"/>
  <c r="D28" s="1"/>
  <c r="B20"/>
  <c r="D29" l="1"/>
  <c r="D30" s="1"/>
  <c r="B21"/>
  <c r="D31" l="1"/>
  <c r="B22"/>
  <c r="D32" l="1"/>
  <c r="B23"/>
  <c r="D33" l="1"/>
  <c r="B24"/>
  <c r="D34" l="1"/>
  <c r="B25"/>
  <c r="D35" l="1"/>
  <c r="B26"/>
  <c r="D36" l="1"/>
  <c r="B27"/>
  <c r="D37" l="1"/>
  <c r="B28"/>
  <c r="D38" l="1"/>
  <c r="B29"/>
  <c r="D39" l="1"/>
  <c r="B30"/>
  <c r="D40" l="1"/>
  <c r="B31"/>
  <c r="D41" l="1"/>
  <c r="B32"/>
  <c r="D42" l="1"/>
  <c r="B33"/>
  <c r="D43" l="1"/>
  <c r="B34"/>
  <c r="D44" l="1"/>
  <c r="B35"/>
  <c r="D45" l="1"/>
  <c r="B36"/>
  <c r="D46" l="1"/>
  <c r="B37"/>
  <c r="D47" l="1"/>
  <c r="B38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B449" s="1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B501" s="1"/>
  <c r="B502" s="1"/>
  <c r="B503" s="1"/>
  <c r="B504" s="1"/>
  <c r="B505" s="1"/>
  <c r="B506" s="1"/>
  <c r="B507" s="1"/>
  <c r="B508" s="1"/>
  <c r="B509" s="1"/>
  <c r="B510" s="1"/>
  <c r="B511" s="1"/>
  <c r="B512" s="1"/>
  <c r="B513" s="1"/>
  <c r="B514" s="1"/>
  <c r="B515" s="1"/>
  <c r="B516" s="1"/>
  <c r="B517" s="1"/>
  <c r="B518" s="1"/>
  <c r="B519" s="1"/>
  <c r="B520" s="1"/>
  <c r="B521" s="1"/>
  <c r="B522" s="1"/>
  <c r="B523" s="1"/>
  <c r="B524" s="1"/>
  <c r="B525" s="1"/>
  <c r="B526" s="1"/>
  <c r="B527" s="1"/>
  <c r="B528" s="1"/>
  <c r="B529" s="1"/>
  <c r="B530" s="1"/>
  <c r="B531" s="1"/>
  <c r="B532" s="1"/>
  <c r="B533" s="1"/>
  <c r="B534" s="1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B577" s="1"/>
  <c r="B578" s="1"/>
  <c r="B579" s="1"/>
  <c r="B580" s="1"/>
  <c r="B581" s="1"/>
  <c r="B582" s="1"/>
  <c r="B583" s="1"/>
  <c r="B584" s="1"/>
  <c r="B585" s="1"/>
  <c r="B586" s="1"/>
  <c r="B587" s="1"/>
  <c r="B588" s="1"/>
  <c r="B589" s="1"/>
  <c r="B590" s="1"/>
  <c r="B591" s="1"/>
  <c r="B592" s="1"/>
  <c r="B593" s="1"/>
  <c r="B594" s="1"/>
  <c r="B595" s="1"/>
  <c r="B596" s="1"/>
  <c r="B597" s="1"/>
  <c r="B598" s="1"/>
  <c r="B599" s="1"/>
  <c r="B600" s="1"/>
  <c r="B601" s="1"/>
  <c r="B602" s="1"/>
  <c r="B603" s="1"/>
  <c r="B604" s="1"/>
  <c r="B605" s="1"/>
  <c r="B606" s="1"/>
  <c r="B607" s="1"/>
  <c r="B608" s="1"/>
  <c r="B609" s="1"/>
  <c r="B610" s="1"/>
  <c r="B611" s="1"/>
  <c r="B612" s="1"/>
  <c r="B613" s="1"/>
  <c r="B614" s="1"/>
  <c r="B615" s="1"/>
  <c r="B616" s="1"/>
  <c r="B617" s="1"/>
  <c r="B618" s="1"/>
  <c r="B619" s="1"/>
  <c r="B620" s="1"/>
  <c r="B621" s="1"/>
  <c r="B622" s="1"/>
  <c r="B623" s="1"/>
  <c r="B624" s="1"/>
  <c r="B625" s="1"/>
  <c r="B626" s="1"/>
  <c r="B627" s="1"/>
  <c r="B628" s="1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B671" s="1"/>
  <c r="B672" s="1"/>
  <c r="B673" s="1"/>
  <c r="B674" s="1"/>
  <c r="B675" s="1"/>
  <c r="B676" s="1"/>
  <c r="B677" s="1"/>
  <c r="B678" s="1"/>
  <c r="B679" s="1"/>
  <c r="B680" s="1"/>
  <c r="B681" s="1"/>
  <c r="B682" s="1"/>
  <c r="B683" s="1"/>
  <c r="B684" s="1"/>
  <c r="B685" s="1"/>
  <c r="B686" s="1"/>
  <c r="B687" s="1"/>
  <c r="B688" s="1"/>
  <c r="B689" s="1"/>
  <c r="B690" s="1"/>
  <c r="B691" s="1"/>
  <c r="B692" s="1"/>
  <c r="B693" s="1"/>
  <c r="B694" s="1"/>
  <c r="B695" s="1"/>
  <c r="B696" s="1"/>
  <c r="B697" s="1"/>
  <c r="B698" s="1"/>
  <c r="B699" s="1"/>
  <c r="B700" s="1"/>
  <c r="B701" s="1"/>
  <c r="B702" s="1"/>
  <c r="B703" s="1"/>
  <c r="B704" s="1"/>
  <c r="B705" s="1"/>
  <c r="B706" s="1"/>
  <c r="B707" s="1"/>
  <c r="B708" s="1"/>
  <c r="B709" s="1"/>
  <c r="B710" s="1"/>
  <c r="B711" s="1"/>
  <c r="B712" s="1"/>
  <c r="B713" s="1"/>
  <c r="B714" s="1"/>
  <c r="B715" s="1"/>
  <c r="B716" s="1"/>
  <c r="B717" s="1"/>
  <c r="B718" s="1"/>
  <c r="B719" s="1"/>
  <c r="B720" s="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B765" s="1"/>
  <c r="B766" s="1"/>
  <c r="B767" s="1"/>
  <c r="B768" s="1"/>
  <c r="B769" s="1"/>
  <c r="B770" s="1"/>
  <c r="B771" s="1"/>
  <c r="B772" s="1"/>
  <c r="B773" s="1"/>
  <c r="B774" s="1"/>
  <c r="B775" s="1"/>
  <c r="B776" s="1"/>
  <c r="B777" s="1"/>
  <c r="B778" s="1"/>
  <c r="B779" s="1"/>
  <c r="B780" s="1"/>
  <c r="B781" s="1"/>
  <c r="B782" s="1"/>
  <c r="B783" s="1"/>
  <c r="B784" s="1"/>
  <c r="B785" s="1"/>
  <c r="B786" s="1"/>
  <c r="B787" s="1"/>
  <c r="B788" s="1"/>
  <c r="B789" s="1"/>
  <c r="B790" s="1"/>
  <c r="B791" s="1"/>
  <c r="B792" s="1"/>
  <c r="B793" s="1"/>
  <c r="B794" s="1"/>
  <c r="B795" s="1"/>
  <c r="B796" s="1"/>
  <c r="B797" s="1"/>
  <c r="B798" s="1"/>
  <c r="B799" s="1"/>
  <c r="B800" s="1"/>
  <c r="B801" s="1"/>
  <c r="B802" s="1"/>
  <c r="B803" s="1"/>
  <c r="B804" s="1"/>
  <c r="B805" s="1"/>
  <c r="B806" s="1"/>
  <c r="B807" s="1"/>
  <c r="B808" s="1"/>
  <c r="B809" s="1"/>
  <c r="B810" s="1"/>
  <c r="B811" s="1"/>
  <c r="B812" s="1"/>
  <c r="B813" s="1"/>
  <c r="B814" s="1"/>
  <c r="B815" s="1"/>
  <c r="B816" s="1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B859" s="1"/>
  <c r="B860" s="1"/>
  <c r="B861" s="1"/>
  <c r="B862" s="1"/>
  <c r="B863" s="1"/>
  <c r="B864" s="1"/>
  <c r="B865" s="1"/>
  <c r="B866" s="1"/>
  <c r="B867" s="1"/>
  <c r="B868" s="1"/>
  <c r="B869" s="1"/>
  <c r="B870" s="1"/>
  <c r="B871" s="1"/>
  <c r="B872" s="1"/>
  <c r="B873" s="1"/>
  <c r="B874" s="1"/>
  <c r="B875" s="1"/>
  <c r="B876" s="1"/>
  <c r="B877" s="1"/>
  <c r="B878" s="1"/>
  <c r="B879" s="1"/>
  <c r="B880" s="1"/>
  <c r="B881" s="1"/>
  <c r="B882" s="1"/>
  <c r="B883" s="1"/>
  <c r="B884" s="1"/>
  <c r="B885" s="1"/>
  <c r="B886" s="1"/>
  <c r="B887" s="1"/>
  <c r="B888" s="1"/>
  <c r="B889" s="1"/>
  <c r="B890" s="1"/>
  <c r="B891" s="1"/>
  <c r="B892" s="1"/>
  <c r="B893" s="1"/>
  <c r="B894" s="1"/>
  <c r="B895" s="1"/>
  <c r="B896" s="1"/>
  <c r="B897" s="1"/>
  <c r="B898" s="1"/>
  <c r="B899" s="1"/>
  <c r="B900" s="1"/>
  <c r="B901" s="1"/>
  <c r="B902" s="1"/>
  <c r="B903" s="1"/>
  <c r="B904" s="1"/>
  <c r="B905" s="1"/>
  <c r="B906" s="1"/>
  <c r="B907" s="1"/>
  <c r="B908" s="1"/>
  <c r="B909" s="1"/>
  <c r="B910" s="1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B953" s="1"/>
  <c r="B954" s="1"/>
  <c r="B955" s="1"/>
  <c r="B956" s="1"/>
  <c r="B957" s="1"/>
  <c r="B958" s="1"/>
  <c r="B959" s="1"/>
  <c r="B960" s="1"/>
  <c r="B961" s="1"/>
  <c r="B962" s="1"/>
  <c r="B963" s="1"/>
  <c r="B964" s="1"/>
  <c r="B965" s="1"/>
  <c r="B966" s="1"/>
  <c r="B967" s="1"/>
  <c r="B968" s="1"/>
  <c r="B969" s="1"/>
  <c r="B970" s="1"/>
  <c r="B971" s="1"/>
  <c r="B972" s="1"/>
  <c r="B973" s="1"/>
  <c r="B974" s="1"/>
  <c r="B975" s="1"/>
  <c r="B976" s="1"/>
  <c r="B977" s="1"/>
  <c r="B978" s="1"/>
  <c r="B979" s="1"/>
  <c r="B980" s="1"/>
  <c r="B981" s="1"/>
  <c r="B982" s="1"/>
  <c r="B983" s="1"/>
  <c r="B984" s="1"/>
  <c r="B985" s="1"/>
  <c r="B986" s="1"/>
  <c r="B987" s="1"/>
  <c r="B988" s="1"/>
  <c r="B989" s="1"/>
  <c r="B990" s="1"/>
  <c r="B991" s="1"/>
  <c r="B992" s="1"/>
  <c r="B993" s="1"/>
  <c r="B994" s="1"/>
  <c r="B995" s="1"/>
  <c r="B996" s="1"/>
  <c r="B997" s="1"/>
  <c r="B998" s="1"/>
  <c r="B999" s="1"/>
  <c r="B1000" s="1"/>
  <c r="B1001" s="1"/>
  <c r="B1002" s="1"/>
  <c r="B1003" s="1"/>
  <c r="B1004" s="1"/>
  <c r="B1005" s="1"/>
  <c r="B1006" s="1"/>
  <c r="B1007" s="1"/>
  <c r="B1008" s="1"/>
  <c r="B1009" s="1"/>
  <c r="B1010" s="1"/>
  <c r="B1011" s="1"/>
  <c r="B1012" s="1"/>
  <c r="B1013" s="1"/>
  <c r="B1014" s="1"/>
  <c r="B1015" s="1"/>
  <c r="B1016" s="1"/>
  <c r="B1017" s="1"/>
  <c r="B1018" s="1"/>
  <c r="B1019" s="1"/>
  <c r="B1020" s="1"/>
  <c r="B1021" s="1"/>
  <c r="B1022" s="1"/>
  <c r="B1023" s="1"/>
  <c r="B1024" s="1"/>
  <c r="B1025" s="1"/>
  <c r="B1026" s="1"/>
  <c r="B1027" s="1"/>
  <c r="B1028" s="1"/>
  <c r="B1029" s="1"/>
  <c r="B1030" s="1"/>
  <c r="B1031" s="1"/>
  <c r="B1032" s="1"/>
  <c r="B1033" s="1"/>
  <c r="B1034" s="1"/>
  <c r="B1035" s="1"/>
  <c r="B1036" s="1"/>
  <c r="B1037" s="1"/>
  <c r="B1038" s="1"/>
  <c r="B1039" s="1"/>
  <c r="B1040" s="1"/>
  <c r="B1041" s="1"/>
  <c r="B1042" s="1"/>
  <c r="B1043" s="1"/>
  <c r="B1044" s="1"/>
  <c r="B1045" s="1"/>
  <c r="B1046" s="1"/>
  <c r="B1047" s="1"/>
  <c r="B1048" s="1"/>
  <c r="B1049" s="1"/>
  <c r="B1050" s="1"/>
  <c r="B1051" s="1"/>
  <c r="B1052" l="1"/>
  <c r="B1053" s="1"/>
  <c r="B1054" s="1"/>
  <c r="B1055" s="1"/>
  <c r="B1056" s="1"/>
  <c r="B1057" s="1"/>
  <c r="B1058" s="1"/>
  <c r="B1059" s="1"/>
  <c r="B1060" s="1"/>
  <c r="B1061" s="1"/>
  <c r="L36"/>
  <c r="L27"/>
  <c r="L28"/>
  <c r="L5"/>
  <c r="L11"/>
  <c r="L13"/>
  <c r="L20"/>
  <c r="L17"/>
  <c r="L9"/>
  <c r="L14"/>
  <c r="L24"/>
  <c r="L10"/>
  <c r="L26"/>
  <c r="L4"/>
  <c r="L12"/>
  <c r="L23"/>
  <c r="L2"/>
  <c r="L8"/>
  <c r="L18"/>
  <c r="L3"/>
  <c r="L6"/>
  <c r="L15"/>
  <c r="L22"/>
  <c r="L7"/>
  <c r="L16"/>
  <c r="L19"/>
  <c r="L21"/>
  <c r="L25"/>
  <c r="L29"/>
  <c r="L30"/>
  <c r="L31"/>
  <c r="L32"/>
  <c r="L34"/>
  <c r="L35"/>
  <c r="L33"/>
  <c r="L184"/>
  <c r="L137"/>
  <c r="L162"/>
  <c r="L215"/>
  <c r="L55"/>
  <c r="L231"/>
  <c r="L113"/>
  <c r="L173"/>
  <c r="L109"/>
  <c r="L107"/>
  <c r="L99"/>
  <c r="L778"/>
  <c r="L477"/>
  <c r="L836"/>
  <c r="L794"/>
  <c r="L831"/>
  <c r="L462"/>
  <c r="L1016"/>
  <c r="L605"/>
  <c r="L364"/>
  <c r="L929"/>
  <c r="L180"/>
  <c r="L871"/>
  <c r="L703"/>
  <c r="L664"/>
  <c r="L299"/>
  <c r="L502"/>
  <c r="L74"/>
  <c r="L207"/>
  <c r="L693"/>
  <c r="L227"/>
  <c r="L499"/>
  <c r="L335"/>
  <c r="L259"/>
  <c r="L235"/>
  <c r="L47"/>
  <c r="L263"/>
  <c r="L38"/>
  <c r="L181"/>
  <c r="L118"/>
  <c r="L192"/>
  <c r="L91"/>
  <c r="L63"/>
  <c r="L892"/>
  <c r="L985"/>
  <c r="L410"/>
  <c r="L889"/>
  <c r="L973"/>
  <c r="L963"/>
  <c r="L619"/>
  <c r="L927"/>
  <c r="L772"/>
  <c r="L754"/>
  <c r="L378"/>
  <c r="L275"/>
  <c r="L290"/>
  <c r="L598"/>
  <c r="L510"/>
  <c r="L303"/>
  <c r="L325"/>
  <c r="L305"/>
  <c r="L308"/>
  <c r="D48"/>
  <c r="L1027"/>
  <c r="L876"/>
  <c r="L915"/>
  <c r="L799"/>
  <c r="L1049"/>
  <c r="L879"/>
  <c r="L1004"/>
  <c r="L884"/>
  <c r="L942"/>
  <c r="L748"/>
  <c r="L869"/>
  <c r="L865"/>
  <c r="L880"/>
  <c r="L1033"/>
  <c r="L695"/>
  <c r="L579"/>
  <c r="L730"/>
  <c r="L625"/>
  <c r="L894"/>
  <c r="L846"/>
  <c r="L827"/>
  <c r="L622"/>
  <c r="L404"/>
  <c r="L868"/>
  <c r="L461"/>
  <c r="L518"/>
  <c r="L759"/>
  <c r="L572"/>
  <c r="L811"/>
  <c r="L581"/>
  <c r="L293"/>
  <c r="L728"/>
  <c r="L324"/>
  <c r="L196"/>
  <c r="L360"/>
  <c r="L445"/>
  <c r="L326"/>
  <c r="L839"/>
  <c r="L557"/>
  <c r="L686"/>
  <c r="L330"/>
  <c r="L685"/>
  <c r="L411"/>
  <c r="L566"/>
  <c r="L675"/>
  <c r="L144"/>
  <c r="L936"/>
  <c r="L832"/>
  <c r="L97"/>
  <c r="L814"/>
  <c r="L714"/>
  <c r="L210"/>
  <c r="L98"/>
  <c r="L710"/>
  <c r="L169"/>
  <c r="L1024"/>
  <c r="L434"/>
  <c r="L834"/>
  <c r="L219"/>
  <c r="L684"/>
  <c r="L515"/>
  <c r="L975"/>
  <c r="L533"/>
  <c r="L1020"/>
  <c r="L349"/>
  <c r="L867"/>
  <c r="L620"/>
  <c r="L987"/>
  <c r="L939"/>
  <c r="L283"/>
  <c r="L580"/>
  <c r="L554"/>
  <c r="L85"/>
  <c r="L932"/>
  <c r="L212"/>
  <c r="L760"/>
  <c r="L226"/>
  <c r="L830"/>
  <c r="L731"/>
  <c r="L921"/>
  <c r="L460"/>
  <c r="L715"/>
  <c r="L678"/>
  <c r="L203"/>
  <c r="L993"/>
  <c r="L863"/>
  <c r="L966"/>
  <c r="L522"/>
  <c r="L531"/>
  <c r="L613"/>
  <c r="L1009"/>
  <c r="L131"/>
  <c r="L67"/>
  <c r="L376"/>
  <c r="L623"/>
  <c r="L789"/>
  <c r="L509"/>
  <c r="L560"/>
  <c r="L505"/>
  <c r="L779"/>
  <c r="L610"/>
  <c r="L689"/>
  <c r="L556"/>
  <c r="L1003"/>
  <c r="L469"/>
  <c r="L426"/>
  <c r="L766"/>
  <c r="L1041"/>
  <c r="L587"/>
  <c r="L744"/>
  <c r="L448"/>
  <c r="L103"/>
  <c r="L64"/>
  <c r="L706"/>
  <c r="L980"/>
  <c r="L919"/>
  <c r="L306"/>
  <c r="L666"/>
  <c r="L1006"/>
  <c r="L758"/>
  <c r="L432"/>
  <c r="L630"/>
  <c r="L825"/>
  <c r="L691"/>
  <c r="L194"/>
  <c r="L76"/>
  <c r="L805"/>
  <c r="L186"/>
  <c r="L313"/>
  <c r="L193"/>
  <c r="L976"/>
  <c r="L999"/>
  <c r="L474"/>
  <c r="L424"/>
  <c r="L951"/>
  <c r="L835"/>
  <c r="L43"/>
  <c r="L677"/>
  <c r="L120"/>
  <c r="L168"/>
  <c r="L946"/>
  <c r="L810"/>
  <c r="L485"/>
  <c r="L494"/>
  <c r="L981"/>
  <c r="L82"/>
  <c r="L541"/>
  <c r="L206"/>
  <c r="L147"/>
  <c r="L355"/>
  <c r="L333"/>
  <c r="L1028"/>
  <c r="L875"/>
  <c r="L90"/>
  <c r="L842"/>
  <c r="L165"/>
  <c r="L771"/>
  <c r="L711"/>
  <c r="L166"/>
  <c r="L52"/>
  <c r="L543"/>
  <c r="L48"/>
  <c r="L573"/>
  <c r="L983"/>
  <c r="L328"/>
  <c r="L878"/>
  <c r="L204"/>
  <c r="L89"/>
  <c r="L853"/>
  <c r="L555"/>
  <c r="L1039"/>
  <c r="L1029"/>
  <c r="L990"/>
  <c r="L938"/>
  <c r="L896"/>
  <c r="L925"/>
  <c r="L671"/>
  <c r="L431"/>
  <c r="L716"/>
  <c r="L601"/>
  <c r="L843"/>
  <c r="L769"/>
  <c r="L883"/>
  <c r="L961"/>
  <c r="L412"/>
  <c r="L491"/>
  <c r="L217"/>
  <c r="L367"/>
  <c r="L439"/>
  <c r="L230"/>
  <c r="L655"/>
  <c r="L70"/>
  <c r="L362"/>
  <c r="L791"/>
  <c r="L353"/>
  <c r="L267"/>
  <c r="L88"/>
  <c r="L627"/>
  <c r="L455"/>
  <c r="L44"/>
  <c r="L954"/>
  <c r="L837"/>
  <c r="L284"/>
  <c r="L71"/>
  <c r="L155"/>
  <c r="L341"/>
  <c r="L472"/>
  <c r="L670"/>
  <c r="L1022"/>
  <c r="L841"/>
  <c r="L534"/>
  <c r="L603"/>
  <c r="L232"/>
  <c r="L513"/>
  <c r="L628"/>
  <c r="L674"/>
  <c r="L222"/>
  <c r="L944"/>
  <c r="L488"/>
  <c r="L468"/>
  <c r="L785"/>
  <c r="L632"/>
  <c r="L737"/>
  <c r="L413"/>
  <c r="L956"/>
  <c r="L658"/>
  <c r="L45"/>
  <c r="L745"/>
  <c r="L102"/>
  <c r="L321"/>
  <c r="L255"/>
  <c r="L849"/>
  <c r="L702"/>
  <c r="L729"/>
  <c r="L1017"/>
  <c r="L618"/>
  <c r="L935"/>
  <c r="L947"/>
  <c r="L171"/>
  <c r="L948"/>
  <c r="L886"/>
  <c r="L604"/>
  <c r="L506"/>
  <c r="L1040"/>
  <c r="L943"/>
  <c r="L252"/>
  <c r="L507"/>
  <c r="L787"/>
  <c r="L348"/>
  <c r="L899"/>
  <c r="L653"/>
  <c r="L288"/>
  <c r="L444"/>
  <c r="L949"/>
  <c r="L1046"/>
  <c r="L470"/>
  <c r="L958"/>
  <c r="L857"/>
  <c r="L781"/>
  <c r="L911"/>
  <c r="L901"/>
  <c r="L386"/>
  <c r="L964"/>
  <c r="L788"/>
  <c r="L187"/>
  <c r="L782"/>
  <c r="L602"/>
  <c r="L239"/>
  <c r="L145"/>
  <c r="L1044"/>
  <c r="L755"/>
  <c r="L1037"/>
  <c r="L720"/>
  <c r="L390"/>
  <c r="L480"/>
  <c r="L723"/>
  <c r="L776"/>
  <c r="L922"/>
  <c r="L719"/>
  <c r="L229"/>
  <c r="L941"/>
  <c r="L524"/>
  <c r="L1000"/>
  <c r="L403"/>
  <c r="L218"/>
  <c r="L414"/>
  <c r="L156"/>
  <c r="L396"/>
  <c r="L641"/>
  <c r="L361"/>
  <c r="L548"/>
  <c r="L223"/>
  <c r="L663"/>
  <c r="L1018"/>
  <c r="L681"/>
  <c r="L450"/>
  <c r="L458"/>
  <c r="L371"/>
  <c r="L149"/>
  <c r="L96"/>
  <c r="L94"/>
  <c r="L106"/>
  <c r="L282"/>
  <c r="L657"/>
  <c r="L482"/>
  <c r="L952"/>
  <c r="L974"/>
  <c r="L266"/>
  <c r="L749"/>
  <c r="L245"/>
  <c r="L295"/>
  <c r="L920"/>
  <c r="L820"/>
  <c r="L294"/>
  <c r="L357"/>
  <c r="L519"/>
  <c r="L988"/>
  <c r="L571"/>
  <c r="L859"/>
  <c r="L802"/>
  <c r="L65"/>
  <c r="L893"/>
  <c r="L379"/>
  <c r="L41"/>
  <c r="L998"/>
  <c r="L669"/>
  <c r="L527"/>
  <c r="L433"/>
  <c r="L80"/>
  <c r="L558"/>
  <c r="L1031"/>
  <c r="L178"/>
  <c r="L709"/>
  <c r="L1036"/>
  <c r="L202"/>
  <c r="L928"/>
  <c r="L775"/>
  <c r="L1021"/>
  <c r="L567"/>
  <c r="L700"/>
  <c r="L608"/>
  <c r="L100"/>
  <c r="L692"/>
  <c r="L56"/>
  <c r="L200"/>
  <c r="L718"/>
  <c r="L542"/>
  <c r="L656"/>
  <c r="L582"/>
  <c r="L553"/>
  <c r="L122"/>
  <c r="L216"/>
  <c r="L256"/>
  <c r="L389"/>
  <c r="L773"/>
  <c r="L478"/>
  <c r="L264"/>
  <c r="L233"/>
  <c r="L346"/>
  <c r="L957"/>
  <c r="L125"/>
  <c r="L50"/>
  <c r="L662"/>
  <c r="L152"/>
  <c r="L62"/>
  <c r="L1014"/>
  <c r="L237"/>
  <c r="L584"/>
  <c r="L757"/>
  <c r="L244"/>
  <c r="L1048"/>
  <c r="L668"/>
  <c r="L1001"/>
  <c r="L544"/>
  <c r="L654"/>
  <c r="L690"/>
  <c r="L392"/>
  <c r="L904"/>
  <c r="L977"/>
  <c r="L847"/>
  <c r="L39"/>
  <c r="L585"/>
  <c r="L520"/>
  <c r="L105"/>
  <c r="L441"/>
  <c r="L828"/>
  <c r="L734"/>
  <c r="L285"/>
  <c r="L139"/>
  <c r="L803"/>
  <c r="L177"/>
  <c r="L701"/>
  <c r="L419"/>
  <c r="L570"/>
  <c r="L405"/>
  <c r="L672"/>
  <c r="L415"/>
  <c r="L910"/>
  <c r="L497"/>
  <c r="L175"/>
  <c r="L906"/>
  <c r="L917"/>
  <c r="L905"/>
  <c r="L576"/>
  <c r="L1011"/>
  <c r="L902"/>
  <c r="L154"/>
  <c r="L366"/>
  <c r="L550"/>
  <c r="L296"/>
  <c r="L673"/>
  <c r="L713"/>
  <c r="L493"/>
  <c r="L365"/>
  <c r="L777"/>
  <c r="L336"/>
  <c r="L422"/>
  <c r="L374"/>
  <c r="L443"/>
  <c r="L224"/>
  <c r="L104"/>
  <c r="L705"/>
  <c r="L406"/>
  <c r="L648"/>
  <c r="L615"/>
  <c r="L456"/>
  <c r="L323"/>
  <c r="L786"/>
  <c r="L315"/>
  <c r="L320"/>
  <c r="L428"/>
  <c r="L521"/>
  <c r="L631"/>
  <c r="L982"/>
  <c r="L490"/>
  <c r="L375"/>
  <c r="L517"/>
  <c r="L535"/>
  <c r="L72"/>
  <c r="L298"/>
  <c r="L727"/>
  <c r="L540"/>
  <c r="L840"/>
  <c r="L790"/>
  <c r="L311"/>
  <c r="L394"/>
  <c r="L955"/>
  <c r="L578"/>
  <c r="L856"/>
  <c r="L819"/>
  <c r="L740"/>
  <c r="L795"/>
  <c r="L130"/>
  <c r="L247"/>
  <c r="L304"/>
  <c r="L309"/>
  <c r="L761"/>
  <c r="L984"/>
  <c r="L970"/>
  <c r="L514"/>
  <c r="L577"/>
  <c r="L816"/>
  <c r="L616"/>
  <c r="L243"/>
  <c r="L838"/>
  <c r="L804"/>
  <c r="L940"/>
  <c r="L190"/>
  <c r="L459"/>
  <c r="L242"/>
  <c r="L270"/>
  <c r="L860"/>
  <c r="L717"/>
  <c r="L934"/>
  <c r="L504"/>
  <c r="L537"/>
  <c r="L234"/>
  <c r="L588"/>
  <c r="L86"/>
  <c r="L536"/>
  <c r="L317"/>
  <c r="L176"/>
  <c r="L185"/>
  <c r="L858"/>
  <c r="L822"/>
  <c r="L600"/>
  <c r="L1025"/>
  <c r="L141"/>
  <c r="L401"/>
  <c r="L116"/>
  <c r="L1034"/>
  <c r="L707"/>
  <c r="L823"/>
  <c r="L150"/>
  <c r="L687"/>
  <c r="L250"/>
  <c r="L1045"/>
  <c r="L440"/>
  <c r="L318"/>
  <c r="L950"/>
  <c r="L784"/>
  <c r="L257"/>
  <c r="L551"/>
  <c r="L568"/>
  <c r="L272"/>
  <c r="L201"/>
  <c r="L850"/>
  <c r="L385"/>
  <c r="L621"/>
  <c r="L199"/>
  <c r="L833"/>
  <c r="L500"/>
  <c r="L762"/>
  <c r="L808"/>
  <c r="L57"/>
  <c r="L923"/>
  <c r="L945"/>
  <c r="L530"/>
  <c r="L872"/>
  <c r="L446"/>
  <c r="L163"/>
  <c r="L526"/>
  <c r="L1010"/>
  <c r="L756"/>
  <c r="L898"/>
  <c r="L471"/>
  <c r="L409"/>
  <c r="L314"/>
  <c r="L157"/>
  <c r="L148"/>
  <c r="L770"/>
  <c r="L329"/>
  <c r="L49"/>
  <c r="L1043"/>
  <c r="L562"/>
  <c r="L696"/>
  <c r="L888"/>
  <c r="L862"/>
  <c r="L383"/>
  <c r="L170"/>
  <c r="L538"/>
  <c r="L436"/>
  <c r="L454"/>
  <c r="L659"/>
  <c r="L124"/>
  <c r="L359"/>
  <c r="L733"/>
  <c r="L59"/>
  <c r="L77"/>
  <c r="L399"/>
  <c r="L69"/>
  <c r="L246"/>
  <c r="L561"/>
  <c r="L384"/>
  <c r="L996"/>
  <c r="L449"/>
  <c r="L667"/>
  <c r="L793"/>
  <c r="L167"/>
  <c r="L552"/>
  <c r="L142"/>
  <c r="L95"/>
  <c r="L931"/>
  <c r="L225"/>
  <c r="L609"/>
  <c r="L358"/>
  <c r="L134"/>
  <c r="L430"/>
  <c r="L354"/>
  <c r="L969"/>
  <c r="L398"/>
  <c r="L281"/>
  <c r="L153"/>
  <c r="L84"/>
  <c r="L287"/>
  <c r="L262"/>
  <c r="L726"/>
  <c r="L481"/>
  <c r="L722"/>
  <c r="L437"/>
  <c r="L586"/>
  <c r="L647"/>
  <c r="L421"/>
  <c r="L347"/>
  <c r="L881"/>
  <c r="L864"/>
  <c r="L590"/>
  <c r="L466"/>
  <c r="L798"/>
  <c r="L809"/>
  <c r="L844"/>
  <c r="L416"/>
  <c r="L310"/>
  <c r="L995"/>
  <c r="L221"/>
  <c r="L363"/>
  <c r="L121"/>
  <c r="L596"/>
  <c r="L592"/>
  <c r="L638"/>
  <c r="L661"/>
  <c r="L420"/>
  <c r="L751"/>
  <c r="L78"/>
  <c r="L312"/>
  <c r="L182"/>
  <c r="L301"/>
  <c r="L209"/>
  <c r="L93"/>
  <c r="L968"/>
  <c r="L382"/>
  <c r="L747"/>
  <c r="L498"/>
  <c r="L352"/>
  <c r="L1032"/>
  <c r="L959"/>
  <c r="L589"/>
  <c r="L240"/>
  <c r="L79"/>
  <c r="L882"/>
  <c r="L53"/>
  <c r="L574"/>
  <c r="L211"/>
  <c r="L174"/>
  <c r="L487"/>
  <c r="L539"/>
  <c r="L108"/>
  <c r="L338"/>
  <c r="L614"/>
  <c r="L339"/>
  <c r="L912"/>
  <c r="L101"/>
  <c r="L112"/>
  <c r="L743"/>
  <c r="L877"/>
  <c r="L373"/>
  <c r="L451"/>
  <c r="L774"/>
  <c r="L61"/>
  <c r="L391"/>
  <c r="L801"/>
  <c r="L356"/>
  <c r="L457"/>
  <c r="L146"/>
  <c r="L452"/>
  <c r="L495"/>
  <c r="L51"/>
  <c r="L344"/>
  <c r="L400"/>
  <c r="L1023"/>
  <c r="L821"/>
  <c r="L595"/>
  <c r="L307"/>
  <c r="L483"/>
  <c r="L501"/>
  <c r="L143"/>
  <c r="L612"/>
  <c r="L1008"/>
  <c r="L962"/>
  <c r="L241"/>
  <c r="L1013"/>
  <c r="L302"/>
  <c r="L916"/>
  <c r="L135"/>
  <c r="L68"/>
  <c r="L464"/>
  <c r="L114"/>
  <c r="L792"/>
  <c r="L640"/>
  <c r="L512"/>
  <c r="L277"/>
  <c r="L735"/>
  <c r="L337"/>
  <c r="L140"/>
  <c r="L660"/>
  <c r="L1012"/>
  <c r="L725"/>
  <c r="L132"/>
  <c r="L688"/>
  <c r="L1038"/>
  <c r="L327"/>
  <c r="L66"/>
  <c r="L783"/>
  <c r="L319"/>
  <c r="L765"/>
  <c r="L634"/>
  <c r="L679"/>
  <c r="L393"/>
  <c r="L111"/>
  <c r="L83"/>
  <c r="L453"/>
  <c r="L369"/>
  <c r="L397"/>
  <c r="L817"/>
  <c r="L683"/>
  <c r="L564"/>
  <c r="L529"/>
  <c r="L965"/>
  <c r="L698"/>
  <c r="L960"/>
  <c r="L508"/>
  <c r="L736"/>
  <c r="L40"/>
  <c r="L73"/>
  <c r="L885"/>
  <c r="L545"/>
  <c r="L887"/>
  <c r="L161"/>
  <c r="L991"/>
  <c r="L418"/>
  <c r="L249"/>
  <c r="L248"/>
  <c r="L599"/>
  <c r="L642"/>
  <c r="L908"/>
  <c r="L532"/>
  <c r="L37"/>
  <c r="L372"/>
  <c r="L967"/>
  <c r="L381"/>
  <c r="L699"/>
  <c r="L407"/>
  <c r="L800"/>
  <c r="L645"/>
  <c r="L198"/>
  <c r="L261"/>
  <c r="L992"/>
  <c r="L188"/>
  <c r="L895"/>
  <c r="L854"/>
  <c r="L129"/>
  <c r="L796"/>
  <c r="L525"/>
  <c r="L332"/>
  <c r="L195"/>
  <c r="L322"/>
  <c r="L345"/>
  <c r="L136"/>
  <c r="L258"/>
  <c r="L913"/>
  <c r="L475"/>
  <c r="L764"/>
  <c r="L606"/>
  <c r="L1019"/>
  <c r="L855"/>
  <c r="L636"/>
  <c r="L607"/>
  <c r="L189"/>
  <c r="L274"/>
  <c r="L297"/>
  <c r="L496"/>
  <c r="L650"/>
  <c r="L874"/>
  <c r="L251"/>
  <c r="L997"/>
  <c r="L343"/>
  <c r="L280"/>
  <c r="L236"/>
  <c r="L861"/>
  <c r="L694"/>
  <c r="L682"/>
  <c r="L81"/>
  <c r="L427"/>
  <c r="L1002"/>
  <c r="L914"/>
  <c r="L370"/>
  <c r="L986"/>
  <c r="L138"/>
  <c r="L637"/>
  <c r="L158"/>
  <c r="L292"/>
  <c r="L467"/>
  <c r="L815"/>
  <c r="L826"/>
  <c r="L866"/>
  <c r="L1050"/>
  <c r="L300"/>
  <c r="L377"/>
  <c r="L708"/>
  <c r="L994"/>
  <c r="L812"/>
  <c r="L739"/>
  <c r="L486"/>
  <c r="L930"/>
  <c r="L269"/>
  <c r="L238"/>
  <c r="L1005"/>
  <c r="L291"/>
  <c r="L220"/>
  <c r="L463"/>
  <c r="L565"/>
  <c r="L110"/>
  <c r="L42"/>
  <c r="L260"/>
  <c r="L732"/>
  <c r="L848"/>
  <c r="L417"/>
  <c r="L516"/>
  <c r="L924"/>
  <c r="L46"/>
  <c r="L933"/>
  <c r="L852"/>
  <c r="L643"/>
  <c r="L752"/>
  <c r="L753"/>
  <c r="L115"/>
  <c r="L164"/>
  <c r="L54"/>
  <c r="L465"/>
  <c r="L593"/>
  <c r="L797"/>
  <c r="L387"/>
  <c r="L316"/>
  <c r="L979"/>
  <c r="L890"/>
  <c r="L651"/>
  <c r="L191"/>
  <c r="L331"/>
  <c r="L953"/>
  <c r="L597"/>
  <c r="L126"/>
  <c r="L583"/>
  <c r="L208"/>
  <c r="L903"/>
  <c r="L268"/>
  <c r="L408"/>
  <c r="L633"/>
  <c r="L697"/>
  <c r="L273"/>
  <c r="L549"/>
  <c r="L159"/>
  <c r="L563"/>
  <c r="L652"/>
  <c r="L897"/>
  <c r="L1035"/>
  <c r="L1047"/>
  <c r="L197"/>
  <c r="L818"/>
  <c r="L133"/>
  <c r="L442"/>
  <c r="L253"/>
  <c r="L813"/>
  <c r="L891"/>
  <c r="L611"/>
  <c r="L271"/>
  <c r="L851"/>
  <c r="L712"/>
  <c r="L768"/>
  <c r="L289"/>
  <c r="L594"/>
  <c r="L741"/>
  <c r="L575"/>
  <c r="L214"/>
  <c r="L523"/>
  <c r="L127"/>
  <c r="L646"/>
  <c r="L334"/>
  <c r="L402"/>
  <c r="L763"/>
  <c r="L213"/>
  <c r="L340"/>
  <c r="L909"/>
  <c r="L351"/>
  <c r="L489"/>
  <c r="L228"/>
  <c r="L484"/>
  <c r="L918"/>
  <c r="L624"/>
  <c r="L350"/>
  <c r="L569"/>
  <c r="L278"/>
  <c r="L128"/>
  <c r="L429"/>
  <c r="L395"/>
  <c r="L179"/>
  <c r="L183"/>
  <c r="L123"/>
  <c r="L937"/>
  <c r="L117"/>
  <c r="L279"/>
  <c r="L900"/>
  <c r="L87"/>
  <c r="L1026"/>
  <c r="L978"/>
  <c r="L724"/>
  <c r="L435"/>
  <c r="L750"/>
  <c r="L92"/>
  <c r="L680"/>
  <c r="L511"/>
  <c r="L1007"/>
  <c r="L721"/>
  <c r="L473"/>
  <c r="L591"/>
  <c r="L824"/>
  <c r="L286"/>
  <c r="L528"/>
  <c r="L704"/>
  <c r="L479"/>
  <c r="L1042"/>
  <c r="L75"/>
  <c r="L1015"/>
  <c r="L767"/>
  <c r="L60"/>
  <c r="L423"/>
  <c r="L438"/>
  <c r="L492"/>
  <c r="L780"/>
  <c r="L639"/>
  <c r="L265"/>
  <c r="L546"/>
  <c r="L368"/>
  <c r="L746"/>
  <c r="L119"/>
  <c r="L425"/>
  <c r="L626"/>
  <c r="L676"/>
  <c r="L635"/>
  <c r="L342"/>
  <c r="L58"/>
  <c r="L845"/>
  <c r="L254"/>
  <c r="L1051"/>
  <c r="L276"/>
  <c r="L380"/>
  <c r="L160"/>
  <c r="L629"/>
  <c r="L388"/>
  <c r="L665"/>
  <c r="L1030"/>
  <c r="L870"/>
  <c r="L742"/>
  <c r="L205"/>
  <c r="L476"/>
  <c r="L649"/>
  <c r="L559"/>
  <c r="L989"/>
  <c r="L971"/>
  <c r="L907"/>
  <c r="L807"/>
  <c r="L503"/>
  <c r="L151"/>
  <c r="L172"/>
  <c r="L447"/>
  <c r="L738"/>
  <c r="L806"/>
  <c r="L873"/>
  <c r="L829"/>
  <c r="L547"/>
  <c r="L926"/>
  <c r="L617"/>
  <c r="L972"/>
  <c r="L644"/>
  <c r="L1060" l="1"/>
  <c r="L1055"/>
  <c r="L1059"/>
  <c r="L1056"/>
  <c r="L1061"/>
  <c r="L1052"/>
  <c r="L1058"/>
  <c r="L1053"/>
  <c r="L1057"/>
  <c r="L1054"/>
  <c r="B1062"/>
  <c r="L1062" s="1"/>
  <c r="D49"/>
  <c r="B1063" l="1"/>
  <c r="L1063" s="1"/>
  <c r="D50"/>
  <c r="B1064" l="1"/>
  <c r="D51"/>
  <c r="B1065" l="1"/>
  <c r="L1065" s="1"/>
  <c r="L1064"/>
  <c r="D52"/>
  <c r="B1066" l="1"/>
  <c r="B1067" s="1"/>
  <c r="D53"/>
  <c r="B1068" l="1"/>
  <c r="L1068" s="1"/>
  <c r="L1066"/>
  <c r="L1067"/>
  <c r="D54"/>
  <c r="B1069" l="1"/>
  <c r="D55"/>
  <c r="B1070" l="1"/>
  <c r="L1070" s="1"/>
  <c r="L1069"/>
  <c r="D56"/>
  <c r="B1071" l="1"/>
  <c r="B1072" s="1"/>
  <c r="D57"/>
  <c r="B1073" l="1"/>
  <c r="B1074" s="1"/>
  <c r="B1075" s="1"/>
  <c r="B1076" s="1"/>
  <c r="B1077" s="1"/>
  <c r="B1078" s="1"/>
  <c r="B1079" s="1"/>
  <c r="B1080" s="1"/>
  <c r="L1071"/>
  <c r="L1072"/>
  <c r="D58"/>
  <c r="L1073" l="1"/>
  <c r="L1075"/>
  <c r="L1074"/>
  <c r="L1078"/>
  <c r="L1077"/>
  <c r="L1079"/>
  <c r="L1080"/>
  <c r="L1076"/>
  <c r="B1081"/>
  <c r="D59"/>
  <c r="B1082" l="1"/>
  <c r="L1082" s="1"/>
  <c r="L1081"/>
  <c r="D60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D407" s="1"/>
  <c r="D408" s="1"/>
  <c r="D409" s="1"/>
  <c r="D410" s="1"/>
  <c r="D411" s="1"/>
  <c r="D412" s="1"/>
  <c r="D413" s="1"/>
  <c r="D414" s="1"/>
  <c r="D415" s="1"/>
  <c r="D416" s="1"/>
  <c r="D417" s="1"/>
  <c r="D418" s="1"/>
  <c r="D419" s="1"/>
  <c r="D420" s="1"/>
  <c r="D421" s="1"/>
  <c r="D422" s="1"/>
  <c r="D423" s="1"/>
  <c r="D424" s="1"/>
  <c r="D425" s="1"/>
  <c r="D426" s="1"/>
  <c r="D427" s="1"/>
  <c r="D428" s="1"/>
  <c r="D429" s="1"/>
  <c r="D430" s="1"/>
  <c r="D431" s="1"/>
  <c r="D432" s="1"/>
  <c r="D433" s="1"/>
  <c r="D434" s="1"/>
  <c r="D435" s="1"/>
  <c r="D436" s="1"/>
  <c r="D437" s="1"/>
  <c r="D438" s="1"/>
  <c r="D439" s="1"/>
  <c r="D440" s="1"/>
  <c r="D441" s="1"/>
  <c r="D442" s="1"/>
  <c r="D443" s="1"/>
  <c r="D444" s="1"/>
  <c r="D445" s="1"/>
  <c r="D446" s="1"/>
  <c r="D447" s="1"/>
  <c r="D448" s="1"/>
  <c r="D449" s="1"/>
  <c r="D450" s="1"/>
  <c r="D451" s="1"/>
  <c r="D452" s="1"/>
  <c r="D453" s="1"/>
  <c r="D454" s="1"/>
  <c r="D455" s="1"/>
  <c r="D456" s="1"/>
  <c r="D457" s="1"/>
  <c r="D458" s="1"/>
  <c r="D459" s="1"/>
  <c r="D460" s="1"/>
  <c r="D461" s="1"/>
  <c r="D462" s="1"/>
  <c r="D463" s="1"/>
  <c r="D464" s="1"/>
  <c r="D465" s="1"/>
  <c r="D466" s="1"/>
  <c r="D467" s="1"/>
  <c r="D468" s="1"/>
  <c r="D469" s="1"/>
  <c r="D470" s="1"/>
  <c r="D471" s="1"/>
  <c r="D472" s="1"/>
  <c r="D473" s="1"/>
  <c r="D474" s="1"/>
  <c r="D475" s="1"/>
  <c r="D476" s="1"/>
  <c r="D477" s="1"/>
  <c r="D478" s="1"/>
  <c r="D479" s="1"/>
  <c r="D480" s="1"/>
  <c r="D481" s="1"/>
  <c r="D482" s="1"/>
  <c r="D483" s="1"/>
  <c r="D484" s="1"/>
  <c r="D485" s="1"/>
  <c r="D486" s="1"/>
  <c r="D487" s="1"/>
  <c r="D488" s="1"/>
  <c r="D489" s="1"/>
  <c r="D490" s="1"/>
  <c r="D491" s="1"/>
  <c r="D492" s="1"/>
  <c r="D493" s="1"/>
  <c r="D494" s="1"/>
  <c r="D495" s="1"/>
  <c r="D496" s="1"/>
  <c r="D497" s="1"/>
  <c r="D498" s="1"/>
  <c r="D499" s="1"/>
  <c r="D500" s="1"/>
  <c r="D501" s="1"/>
  <c r="D502" s="1"/>
  <c r="D503" s="1"/>
  <c r="D504" s="1"/>
  <c r="D505" s="1"/>
  <c r="D506" s="1"/>
  <c r="D507" s="1"/>
  <c r="D508" s="1"/>
  <c r="D509" s="1"/>
  <c r="D510" s="1"/>
  <c r="D511" s="1"/>
  <c r="D512" s="1"/>
  <c r="D513" s="1"/>
  <c r="D514" s="1"/>
  <c r="D515" s="1"/>
  <c r="D516" s="1"/>
  <c r="D517" s="1"/>
  <c r="D518" s="1"/>
  <c r="D519" s="1"/>
  <c r="D520" s="1"/>
  <c r="D521" s="1"/>
  <c r="D522" s="1"/>
  <c r="D523" s="1"/>
  <c r="D524" s="1"/>
  <c r="D525" s="1"/>
  <c r="D526" s="1"/>
  <c r="D527" s="1"/>
  <c r="D528" s="1"/>
  <c r="D529" s="1"/>
  <c r="D530" s="1"/>
  <c r="D531" s="1"/>
  <c r="D532" s="1"/>
  <c r="D533" s="1"/>
  <c r="D534" s="1"/>
  <c r="D535" s="1"/>
  <c r="D536" s="1"/>
  <c r="D537" s="1"/>
  <c r="D538" s="1"/>
  <c r="D539" s="1"/>
  <c r="D540" s="1"/>
  <c r="D541" s="1"/>
  <c r="D542" s="1"/>
  <c r="D543" s="1"/>
  <c r="D544" s="1"/>
  <c r="D545" s="1"/>
  <c r="D546" s="1"/>
  <c r="D547" s="1"/>
  <c r="D548" s="1"/>
  <c r="D549" s="1"/>
  <c r="D550" s="1"/>
  <c r="D551" s="1"/>
  <c r="D552" s="1"/>
  <c r="D553" s="1"/>
  <c r="D554" s="1"/>
  <c r="D555" s="1"/>
  <c r="D556" s="1"/>
  <c r="D557" s="1"/>
  <c r="D558" s="1"/>
  <c r="D559" s="1"/>
  <c r="D560" s="1"/>
  <c r="D561" s="1"/>
  <c r="D562" s="1"/>
  <c r="D563" s="1"/>
  <c r="D564" s="1"/>
  <c r="D565" s="1"/>
  <c r="D566" s="1"/>
  <c r="D567" s="1"/>
  <c r="D568" s="1"/>
  <c r="D569" s="1"/>
  <c r="D570" s="1"/>
  <c r="D571" s="1"/>
  <c r="D572" s="1"/>
  <c r="D573" s="1"/>
  <c r="D574" s="1"/>
  <c r="D575" s="1"/>
  <c r="D576" s="1"/>
  <c r="D577" s="1"/>
  <c r="D578" s="1"/>
  <c r="D579" s="1"/>
  <c r="D580" s="1"/>
  <c r="D581" s="1"/>
  <c r="D582" s="1"/>
  <c r="D583" s="1"/>
  <c r="D584" s="1"/>
  <c r="D585" s="1"/>
  <c r="D586" s="1"/>
  <c r="D587" s="1"/>
  <c r="D588" s="1"/>
  <c r="D589" s="1"/>
  <c r="D590" s="1"/>
  <c r="D591" s="1"/>
  <c r="D592" s="1"/>
  <c r="D593" s="1"/>
  <c r="D594" s="1"/>
  <c r="D595" s="1"/>
  <c r="D596" s="1"/>
  <c r="D597" s="1"/>
  <c r="D598" s="1"/>
  <c r="D599" s="1"/>
  <c r="D600" s="1"/>
  <c r="D601" s="1"/>
  <c r="D602" s="1"/>
  <c r="D603" s="1"/>
  <c r="D604" s="1"/>
  <c r="D605" s="1"/>
  <c r="D606" s="1"/>
  <c r="D607" s="1"/>
  <c r="D608" s="1"/>
  <c r="D609" s="1"/>
  <c r="D610" s="1"/>
  <c r="D611" s="1"/>
  <c r="D612" s="1"/>
  <c r="D613" s="1"/>
  <c r="D614" s="1"/>
  <c r="D615" s="1"/>
  <c r="D616" s="1"/>
  <c r="D617" s="1"/>
  <c r="D618" s="1"/>
  <c r="D619" s="1"/>
  <c r="D620" s="1"/>
  <c r="D621" s="1"/>
  <c r="D622" s="1"/>
  <c r="D623" s="1"/>
  <c r="D624" s="1"/>
  <c r="D625" s="1"/>
  <c r="D626" s="1"/>
  <c r="D627" s="1"/>
  <c r="D628" s="1"/>
  <c r="D629" s="1"/>
  <c r="D630" s="1"/>
  <c r="D631" s="1"/>
  <c r="D632" s="1"/>
  <c r="D633" s="1"/>
  <c r="D634" s="1"/>
  <c r="D635" s="1"/>
  <c r="D636" s="1"/>
  <c r="D637" s="1"/>
  <c r="D638" s="1"/>
  <c r="D639" s="1"/>
  <c r="D640" s="1"/>
  <c r="D641" s="1"/>
  <c r="D642" s="1"/>
  <c r="D643" s="1"/>
  <c r="D644" s="1"/>
  <c r="D645" s="1"/>
  <c r="D646" s="1"/>
  <c r="D647" s="1"/>
  <c r="D648" s="1"/>
  <c r="D649" s="1"/>
  <c r="D650" s="1"/>
  <c r="D651" s="1"/>
  <c r="D652" s="1"/>
  <c r="D653" s="1"/>
  <c r="D654" s="1"/>
  <c r="D655" s="1"/>
  <c r="D656" s="1"/>
  <c r="D657" s="1"/>
  <c r="D658" s="1"/>
  <c r="D659" s="1"/>
  <c r="D660" s="1"/>
  <c r="D661" s="1"/>
  <c r="D662" s="1"/>
  <c r="D663" s="1"/>
  <c r="D664" s="1"/>
  <c r="D665" s="1"/>
  <c r="D666" s="1"/>
  <c r="D667" s="1"/>
  <c r="D668" s="1"/>
  <c r="D669" s="1"/>
  <c r="D670" s="1"/>
  <c r="D671" s="1"/>
  <c r="D672" s="1"/>
  <c r="D673" s="1"/>
  <c r="D674" s="1"/>
  <c r="D675" s="1"/>
  <c r="D676" s="1"/>
  <c r="D677" s="1"/>
  <c r="D678" s="1"/>
  <c r="D679" s="1"/>
  <c r="D680" s="1"/>
  <c r="D681" s="1"/>
  <c r="D682" s="1"/>
  <c r="D683" s="1"/>
  <c r="D684" s="1"/>
  <c r="D685" s="1"/>
  <c r="D686" s="1"/>
  <c r="D687" s="1"/>
  <c r="D688" s="1"/>
  <c r="D689" s="1"/>
  <c r="D690" s="1"/>
  <c r="D691" s="1"/>
  <c r="D692" s="1"/>
  <c r="D693" s="1"/>
  <c r="D694" s="1"/>
  <c r="D695" s="1"/>
  <c r="D696" s="1"/>
  <c r="D697" s="1"/>
  <c r="D698" s="1"/>
  <c r="D699" s="1"/>
  <c r="D700" s="1"/>
  <c r="D701" s="1"/>
  <c r="D702" s="1"/>
  <c r="D703" s="1"/>
  <c r="D704" s="1"/>
  <c r="D705" s="1"/>
  <c r="D706" s="1"/>
  <c r="D707" s="1"/>
  <c r="D708" s="1"/>
  <c r="D709" s="1"/>
  <c r="D710" s="1"/>
  <c r="D711" s="1"/>
  <c r="D712" s="1"/>
  <c r="D713" s="1"/>
  <c r="D714" s="1"/>
  <c r="D715" s="1"/>
  <c r="D716" s="1"/>
  <c r="D717" s="1"/>
  <c r="D718" s="1"/>
  <c r="D719" s="1"/>
  <c r="D720" s="1"/>
  <c r="D721" s="1"/>
  <c r="D722" s="1"/>
  <c r="D723" s="1"/>
  <c r="D724" s="1"/>
  <c r="D725" s="1"/>
  <c r="D726" s="1"/>
  <c r="D727" s="1"/>
  <c r="D728" s="1"/>
  <c r="D729" s="1"/>
  <c r="D730" s="1"/>
  <c r="D731" s="1"/>
  <c r="D732" s="1"/>
  <c r="D733" s="1"/>
  <c r="D734" s="1"/>
  <c r="D735" s="1"/>
  <c r="D736" s="1"/>
  <c r="D737" s="1"/>
  <c r="D738" s="1"/>
  <c r="D739" s="1"/>
  <c r="D740" s="1"/>
  <c r="D741" s="1"/>
  <c r="D742" s="1"/>
  <c r="D743" s="1"/>
  <c r="D744" s="1"/>
  <c r="D745" s="1"/>
  <c r="D746" s="1"/>
  <c r="D747" s="1"/>
  <c r="D748" s="1"/>
  <c r="D749" s="1"/>
  <c r="D750" s="1"/>
  <c r="D751" s="1"/>
  <c r="D752" s="1"/>
  <c r="D753" s="1"/>
  <c r="D754" s="1"/>
  <c r="D755" s="1"/>
  <c r="D756" s="1"/>
  <c r="D757" s="1"/>
  <c r="D758" s="1"/>
  <c r="D759" s="1"/>
  <c r="D760" s="1"/>
  <c r="D761" s="1"/>
  <c r="D762" s="1"/>
  <c r="D763" s="1"/>
  <c r="D764" s="1"/>
  <c r="D765" s="1"/>
  <c r="D766" s="1"/>
  <c r="D767" s="1"/>
  <c r="D768" s="1"/>
  <c r="D769" s="1"/>
  <c r="D770" s="1"/>
  <c r="D771" s="1"/>
  <c r="D772" s="1"/>
  <c r="D773" s="1"/>
  <c r="D774" s="1"/>
  <c r="D775" s="1"/>
  <c r="D776" s="1"/>
  <c r="D777" s="1"/>
  <c r="D778" s="1"/>
  <c r="D779" s="1"/>
  <c r="D780" s="1"/>
  <c r="D781" s="1"/>
  <c r="D782" s="1"/>
  <c r="D783" s="1"/>
  <c r="D784" s="1"/>
  <c r="D785" s="1"/>
  <c r="D786" s="1"/>
  <c r="D787" s="1"/>
  <c r="D788" s="1"/>
  <c r="D789" s="1"/>
  <c r="D790" s="1"/>
  <c r="D791" s="1"/>
  <c r="D792" s="1"/>
  <c r="D793" s="1"/>
  <c r="D794" s="1"/>
  <c r="D795" s="1"/>
  <c r="D796" s="1"/>
  <c r="D797" s="1"/>
  <c r="D798" s="1"/>
  <c r="D799" s="1"/>
  <c r="D800" s="1"/>
  <c r="D801" s="1"/>
  <c r="D802" s="1"/>
  <c r="D803" s="1"/>
  <c r="D804" s="1"/>
  <c r="D805" s="1"/>
  <c r="D806" s="1"/>
  <c r="D807" s="1"/>
  <c r="D808" s="1"/>
  <c r="D809" s="1"/>
  <c r="D810" s="1"/>
  <c r="D811" s="1"/>
  <c r="D812" s="1"/>
  <c r="D813" s="1"/>
  <c r="D814" s="1"/>
  <c r="D815" s="1"/>
  <c r="D816" s="1"/>
  <c r="D817" s="1"/>
  <c r="D818" s="1"/>
  <c r="D819" s="1"/>
  <c r="D820" s="1"/>
  <c r="D821" s="1"/>
  <c r="D822" s="1"/>
  <c r="D823" s="1"/>
  <c r="D824" s="1"/>
  <c r="D825" s="1"/>
  <c r="D826" s="1"/>
  <c r="D827" s="1"/>
  <c r="D828" s="1"/>
  <c r="D829" s="1"/>
  <c r="D830" s="1"/>
  <c r="D831" s="1"/>
  <c r="D832" s="1"/>
  <c r="D833" s="1"/>
  <c r="D834" s="1"/>
  <c r="D835" s="1"/>
  <c r="D836" s="1"/>
  <c r="D837" s="1"/>
  <c r="D838" s="1"/>
  <c r="D839" s="1"/>
  <c r="D840" s="1"/>
  <c r="D841" s="1"/>
  <c r="D842" s="1"/>
  <c r="D843" s="1"/>
  <c r="D844" s="1"/>
  <c r="D845" s="1"/>
  <c r="D846" s="1"/>
  <c r="D847" s="1"/>
  <c r="D848" s="1"/>
  <c r="D849" s="1"/>
  <c r="D850" s="1"/>
  <c r="D851" s="1"/>
  <c r="D852" s="1"/>
  <c r="D853" s="1"/>
  <c r="D854" s="1"/>
  <c r="D855" s="1"/>
  <c r="D856" s="1"/>
  <c r="D857" s="1"/>
  <c r="D858" s="1"/>
  <c r="D859" s="1"/>
  <c r="D860" s="1"/>
  <c r="D861" s="1"/>
  <c r="D862" s="1"/>
  <c r="D863" s="1"/>
  <c r="D864" s="1"/>
  <c r="D865" s="1"/>
  <c r="D866" s="1"/>
  <c r="D867" s="1"/>
  <c r="D868" s="1"/>
  <c r="D869" s="1"/>
  <c r="D870" s="1"/>
  <c r="D871" s="1"/>
  <c r="D872" s="1"/>
  <c r="D873" s="1"/>
  <c r="D874" s="1"/>
  <c r="D875" s="1"/>
  <c r="D876" s="1"/>
  <c r="D877" s="1"/>
  <c r="D878" s="1"/>
  <c r="D879" s="1"/>
  <c r="D880" s="1"/>
  <c r="D881" s="1"/>
  <c r="D882" s="1"/>
  <c r="D883" s="1"/>
  <c r="D884" s="1"/>
  <c r="D885" s="1"/>
  <c r="D886" s="1"/>
  <c r="D887" s="1"/>
  <c r="D888" s="1"/>
  <c r="D889" s="1"/>
  <c r="D890" s="1"/>
  <c r="D891" s="1"/>
  <c r="D892" s="1"/>
  <c r="D893" s="1"/>
  <c r="D894" s="1"/>
  <c r="D895" s="1"/>
  <c r="D896" s="1"/>
  <c r="D897" s="1"/>
  <c r="D898" s="1"/>
  <c r="D899" s="1"/>
  <c r="D900" s="1"/>
  <c r="D901" s="1"/>
  <c r="D902" s="1"/>
  <c r="D903" s="1"/>
  <c r="D904" s="1"/>
  <c r="D905" s="1"/>
  <c r="D906" s="1"/>
  <c r="D907" s="1"/>
  <c r="D908" s="1"/>
  <c r="D909" s="1"/>
  <c r="D910" s="1"/>
  <c r="D911" s="1"/>
  <c r="D912" s="1"/>
  <c r="D913" s="1"/>
  <c r="D914" s="1"/>
  <c r="D915" s="1"/>
  <c r="D916" s="1"/>
  <c r="D917" s="1"/>
  <c r="D918" s="1"/>
  <c r="D919" s="1"/>
  <c r="D920" s="1"/>
  <c r="D921" s="1"/>
  <c r="D922" s="1"/>
  <c r="D923" s="1"/>
  <c r="D924" s="1"/>
  <c r="D925" s="1"/>
  <c r="D926" s="1"/>
  <c r="D927" s="1"/>
  <c r="D928" s="1"/>
  <c r="D929" s="1"/>
  <c r="D930" s="1"/>
  <c r="D931" s="1"/>
  <c r="D932" s="1"/>
  <c r="D933" s="1"/>
  <c r="D934" s="1"/>
  <c r="D935" s="1"/>
  <c r="D936" s="1"/>
  <c r="D937" s="1"/>
  <c r="D938" s="1"/>
  <c r="D939" s="1"/>
  <c r="D940" s="1"/>
  <c r="D941" s="1"/>
  <c r="D942" s="1"/>
  <c r="D943" s="1"/>
  <c r="D944" s="1"/>
  <c r="D945" s="1"/>
  <c r="D946" s="1"/>
  <c r="D947" s="1"/>
  <c r="D948" s="1"/>
  <c r="D949" s="1"/>
  <c r="D950" s="1"/>
  <c r="D951" s="1"/>
  <c r="D952" s="1"/>
  <c r="D953" s="1"/>
  <c r="D954" s="1"/>
  <c r="D955" s="1"/>
  <c r="D956" s="1"/>
  <c r="D957" s="1"/>
  <c r="D958" s="1"/>
  <c r="D959" s="1"/>
  <c r="D960" s="1"/>
  <c r="D961" s="1"/>
  <c r="D962" s="1"/>
  <c r="D963" s="1"/>
  <c r="D964" s="1"/>
  <c r="D965" s="1"/>
  <c r="D966" s="1"/>
  <c r="D967" s="1"/>
  <c r="D968" s="1"/>
  <c r="D969" s="1"/>
  <c r="D970" s="1"/>
  <c r="D971" s="1"/>
  <c r="D972" s="1"/>
  <c r="D973" s="1"/>
  <c r="D974" s="1"/>
  <c r="D975" s="1"/>
  <c r="D976" s="1"/>
  <c r="D977" s="1"/>
  <c r="D978" s="1"/>
  <c r="D979" s="1"/>
  <c r="D980" s="1"/>
  <c r="D981" s="1"/>
  <c r="D982" s="1"/>
  <c r="D983" s="1"/>
  <c r="D984" s="1"/>
  <c r="D985" s="1"/>
  <c r="D986" s="1"/>
  <c r="D987" s="1"/>
  <c r="D988" s="1"/>
  <c r="D989" s="1"/>
  <c r="D990" s="1"/>
  <c r="D991" s="1"/>
  <c r="D992" s="1"/>
  <c r="D993" s="1"/>
  <c r="D994" s="1"/>
  <c r="D995" s="1"/>
  <c r="D996" s="1"/>
  <c r="D997" s="1"/>
  <c r="D998" s="1"/>
  <c r="D999" s="1"/>
  <c r="D1000" s="1"/>
  <c r="D1001" s="1"/>
  <c r="D1002" s="1"/>
  <c r="D1003" s="1"/>
  <c r="D1004" s="1"/>
  <c r="D1005" s="1"/>
  <c r="D1006" s="1"/>
  <c r="D1007" s="1"/>
  <c r="D1008" s="1"/>
  <c r="D1009" s="1"/>
  <c r="D1010" s="1"/>
  <c r="D1011" s="1"/>
  <c r="D1012" s="1"/>
  <c r="D1013" s="1"/>
  <c r="D1014" s="1"/>
  <c r="D1015" s="1"/>
  <c r="D1016" s="1"/>
  <c r="D1017" s="1"/>
  <c r="D1018" s="1"/>
  <c r="D1019" s="1"/>
  <c r="D1020" s="1"/>
  <c r="D1021" s="1"/>
  <c r="D1022" s="1"/>
  <c r="D1023" s="1"/>
  <c r="D1024" s="1"/>
  <c r="D1025" s="1"/>
  <c r="D1026" s="1"/>
  <c r="N54"/>
  <c r="N51"/>
  <c r="N53"/>
  <c r="N52"/>
  <c r="N58"/>
  <c r="N59"/>
  <c r="N55"/>
  <c r="N49"/>
  <c r="N56"/>
  <c r="N57"/>
  <c r="N60" l="1"/>
  <c r="B1083"/>
  <c r="N65"/>
  <c r="N62"/>
  <c r="N70"/>
  <c r="N77"/>
  <c r="N69"/>
  <c r="N61"/>
  <c r="N63"/>
  <c r="N73"/>
  <c r="N98"/>
  <c r="N76"/>
  <c r="N71"/>
  <c r="N96"/>
  <c r="N81"/>
  <c r="N103"/>
  <c r="N115"/>
  <c r="N101"/>
  <c r="N92"/>
  <c r="N86"/>
  <c r="N138"/>
  <c r="N113"/>
  <c r="N112"/>
  <c r="N110"/>
  <c r="N146"/>
  <c r="N130"/>
  <c r="N135"/>
  <c r="N122"/>
  <c r="N90"/>
  <c r="N116"/>
  <c r="N97"/>
  <c r="N95"/>
  <c r="N89"/>
  <c r="N124"/>
  <c r="N67"/>
  <c r="N211"/>
  <c r="N162"/>
  <c r="N148"/>
  <c r="N177"/>
  <c r="N141"/>
  <c r="N150"/>
  <c r="N134"/>
  <c r="N149"/>
  <c r="N218"/>
  <c r="N154"/>
  <c r="N189"/>
  <c r="N161"/>
  <c r="N200"/>
  <c r="N198"/>
  <c r="N191"/>
  <c r="N182"/>
  <c r="N152"/>
  <c r="N99"/>
  <c r="N165"/>
  <c r="N142"/>
  <c r="N178"/>
  <c r="N83"/>
  <c r="N75"/>
  <c r="N78"/>
  <c r="N79"/>
  <c r="N68"/>
  <c r="N307"/>
  <c r="N238"/>
  <c r="N321"/>
  <c r="N288"/>
  <c r="N252"/>
  <c r="N271"/>
  <c r="N260"/>
  <c r="N296"/>
  <c r="N212"/>
  <c r="N210"/>
  <c r="N209"/>
  <c r="N199"/>
  <c r="N188"/>
  <c r="N232"/>
  <c r="N183"/>
  <c r="N181"/>
  <c r="N239"/>
  <c r="N314"/>
  <c r="N186"/>
  <c r="N167"/>
  <c r="N325"/>
  <c r="N240"/>
  <c r="N136"/>
  <c r="N179"/>
  <c r="N153"/>
  <c r="N261"/>
  <c r="N163"/>
  <c r="N236"/>
  <c r="N121"/>
  <c r="N166"/>
  <c r="N229"/>
  <c r="N192"/>
  <c r="N270"/>
  <c r="N258"/>
  <c r="N105"/>
  <c r="N104"/>
  <c r="N120"/>
  <c r="N249"/>
  <c r="N143"/>
  <c r="N245"/>
  <c r="N93"/>
  <c r="N132"/>
  <c r="N125"/>
  <c r="N114"/>
  <c r="N180"/>
  <c r="N85"/>
  <c r="N230"/>
  <c r="N568"/>
  <c r="N492"/>
  <c r="N501"/>
  <c r="N455"/>
  <c r="N456"/>
  <c r="N505"/>
  <c r="N370"/>
  <c r="N503"/>
  <c r="N430"/>
  <c r="N399"/>
  <c r="N404"/>
  <c r="N472"/>
  <c r="N418"/>
  <c r="N493"/>
  <c r="N508"/>
  <c r="N334"/>
  <c r="N507"/>
  <c r="N343"/>
  <c r="N355"/>
  <c r="N382"/>
  <c r="N497"/>
  <c r="N424"/>
  <c r="N388"/>
  <c r="N446"/>
  <c r="N433"/>
  <c r="N419"/>
  <c r="N362"/>
  <c r="N327"/>
  <c r="N329"/>
  <c r="N282"/>
  <c r="N284"/>
  <c r="N449"/>
  <c r="N278"/>
  <c r="N273"/>
  <c r="N286"/>
  <c r="N277"/>
  <c r="N333"/>
  <c r="N268"/>
  <c r="N380"/>
  <c r="N445"/>
  <c r="N293"/>
  <c r="N389"/>
  <c r="N465"/>
  <c r="N332"/>
  <c r="N197"/>
  <c r="N259"/>
  <c r="N320"/>
  <c r="N294"/>
  <c r="N216"/>
  <c r="N203"/>
  <c r="N432"/>
  <c r="N267"/>
  <c r="N506"/>
  <c r="N309"/>
  <c r="N359"/>
  <c r="N317"/>
  <c r="N306"/>
  <c r="N363"/>
  <c r="N411"/>
  <c r="N285"/>
  <c r="N159"/>
  <c r="N194"/>
  <c r="N170"/>
  <c r="N195"/>
  <c r="N361"/>
  <c r="N384"/>
  <c r="N256"/>
  <c r="N243"/>
  <c r="N322"/>
  <c r="N393"/>
  <c r="N324"/>
  <c r="N345"/>
  <c r="N289"/>
  <c r="N129"/>
  <c r="N156"/>
  <c r="N381"/>
  <c r="N349"/>
  <c r="N111"/>
  <c r="N447"/>
  <c r="N137"/>
  <c r="N106"/>
  <c r="N118"/>
  <c r="N108"/>
  <c r="N391"/>
  <c r="N107"/>
  <c r="N109"/>
  <c r="N279"/>
  <c r="N123"/>
  <c r="N298"/>
  <c r="N127"/>
  <c r="N80"/>
  <c r="N246"/>
  <c r="N300"/>
  <c r="N84"/>
  <c r="N64"/>
  <c r="N892"/>
  <c r="N730"/>
  <c r="N771"/>
  <c r="N816"/>
  <c r="N889"/>
  <c r="N694"/>
  <c r="N696"/>
  <c r="N642"/>
  <c r="N802"/>
  <c r="N745"/>
  <c r="N840"/>
  <c r="N807"/>
  <c r="N789"/>
  <c r="N668"/>
  <c r="N729"/>
  <c r="N635"/>
  <c r="N709"/>
  <c r="N865"/>
  <c r="N683"/>
  <c r="N570"/>
  <c r="N555"/>
  <c r="N524"/>
  <c r="N601"/>
  <c r="N526"/>
  <c r="N629"/>
  <c r="N545"/>
  <c r="N598"/>
  <c r="N530"/>
  <c r="N792"/>
  <c r="N517"/>
  <c r="N547"/>
  <c r="N542"/>
  <c r="N603"/>
  <c r="N538"/>
  <c r="N820"/>
  <c r="N477"/>
  <c r="N604"/>
  <c r="N595"/>
  <c r="N534"/>
  <c r="N461"/>
  <c r="N772"/>
  <c r="N489"/>
  <c r="N714"/>
  <c r="N762"/>
  <c r="N481"/>
  <c r="N817"/>
  <c r="N435"/>
  <c r="N770"/>
  <c r="N513"/>
  <c r="N578"/>
  <c r="N487"/>
  <c r="N648"/>
  <c r="N599"/>
  <c r="N607"/>
  <c r="N579"/>
  <c r="N480"/>
  <c r="N422"/>
  <c r="N590"/>
  <c r="N546"/>
  <c r="N786"/>
  <c r="N733"/>
  <c r="N511"/>
  <c r="N543"/>
  <c r="N415"/>
  <c r="N397"/>
  <c r="N654"/>
  <c r="N620"/>
  <c r="N401"/>
  <c r="N726"/>
  <c r="N588"/>
  <c r="N751"/>
  <c r="N444"/>
  <c r="N630"/>
  <c r="N521"/>
  <c r="N428"/>
  <c r="N469"/>
  <c r="N485"/>
  <c r="N794"/>
  <c r="N369"/>
  <c r="N421"/>
  <c r="N907"/>
  <c r="N898"/>
  <c r="N365"/>
  <c r="N470"/>
  <c r="N520"/>
  <c r="N490"/>
  <c r="N494"/>
  <c r="N375"/>
  <c r="N913"/>
  <c r="N360"/>
  <c r="N379"/>
  <c r="N488"/>
  <c r="N886"/>
  <c r="N842"/>
  <c r="N491"/>
  <c r="N532"/>
  <c r="N474"/>
  <c r="N450"/>
  <c r="N498"/>
  <c r="N567"/>
  <c r="N755"/>
  <c r="N510"/>
  <c r="N679"/>
  <c r="N482"/>
  <c r="N376"/>
  <c r="N707"/>
  <c r="N535"/>
  <c r="N678"/>
  <c r="N330"/>
  <c r="N528"/>
  <c r="N392"/>
  <c r="N342"/>
  <c r="N706"/>
  <c r="N378"/>
  <c r="N347"/>
  <c r="N667"/>
  <c r="N350"/>
  <c r="N328"/>
  <c r="N713"/>
  <c r="N583"/>
  <c r="N443"/>
  <c r="N577"/>
  <c r="N791"/>
  <c r="N878"/>
  <c r="N597"/>
  <c r="N414"/>
  <c r="N341"/>
  <c r="N292"/>
  <c r="N275"/>
  <c r="N868"/>
  <c r="N454"/>
  <c r="N495"/>
  <c r="N813"/>
  <c r="N525"/>
  <c r="N585"/>
  <c r="N395"/>
  <c r="N233"/>
  <c r="N364"/>
  <c r="N557"/>
  <c r="N358"/>
  <c r="N339"/>
  <c r="N591"/>
  <c r="N304"/>
  <c r="N471"/>
  <c r="N323"/>
  <c r="N299"/>
  <c r="N750"/>
  <c r="N561"/>
  <c r="N797"/>
  <c r="N533"/>
  <c r="N201"/>
  <c r="N250"/>
  <c r="N219"/>
  <c r="N352"/>
  <c r="N255"/>
  <c r="N196"/>
  <c r="N699"/>
  <c r="N265"/>
  <c r="N646"/>
  <c r="N367"/>
  <c r="N310"/>
  <c r="N173"/>
  <c r="N247"/>
  <c r="N176"/>
  <c r="N431"/>
  <c r="N204"/>
  <c r="N754"/>
  <c r="N336"/>
  <c r="N651"/>
  <c r="N208"/>
  <c r="N463"/>
  <c r="N346"/>
  <c r="N692"/>
  <c r="N187"/>
  <c r="N348"/>
  <c r="N624"/>
  <c r="N627"/>
  <c r="N550"/>
  <c r="N168"/>
  <c r="N220"/>
  <c r="N514"/>
  <c r="N151"/>
  <c r="N139"/>
  <c r="N169"/>
  <c r="N368"/>
  <c r="N244"/>
  <c r="N155"/>
  <c r="N280"/>
  <c r="N628"/>
  <c r="N556"/>
  <c r="N479"/>
  <c r="N478"/>
  <c r="N559"/>
  <c r="N795"/>
  <c r="N788"/>
  <c r="N206"/>
  <c r="N224"/>
  <c r="N451"/>
  <c r="N371"/>
  <c r="N457"/>
  <c r="N527"/>
  <c r="N303"/>
  <c r="N253"/>
  <c r="N287"/>
  <c r="N426"/>
  <c r="N338"/>
  <c r="N205"/>
  <c r="N402"/>
  <c r="N228"/>
  <c r="N276"/>
  <c r="N316"/>
  <c r="N145"/>
  <c r="N386"/>
  <c r="N744"/>
  <c r="N160"/>
  <c r="N102"/>
  <c r="N1011"/>
  <c r="N1021"/>
  <c r="N981"/>
  <c r="N975"/>
  <c r="N976"/>
  <c r="N927"/>
  <c r="N1010"/>
  <c r="N893"/>
  <c r="N1005"/>
  <c r="N1008"/>
  <c r="N928"/>
  <c r="N942"/>
  <c r="N905"/>
  <c r="N1004"/>
  <c r="N918"/>
  <c r="N978"/>
  <c r="N867"/>
  <c r="N1002"/>
  <c r="N932"/>
  <c r="N949"/>
  <c r="N945"/>
  <c r="N861"/>
  <c r="N1000"/>
  <c r="N836"/>
  <c r="N1015"/>
  <c r="N919"/>
  <c r="N992"/>
  <c r="N821"/>
  <c r="N881"/>
  <c r="N959"/>
  <c r="N957"/>
  <c r="N895"/>
  <c r="N897"/>
  <c r="N947"/>
  <c r="N963"/>
  <c r="N830"/>
  <c r="N829"/>
  <c r="N964"/>
  <c r="N922"/>
  <c r="N901"/>
  <c r="N1003"/>
  <c r="N925"/>
  <c r="N812"/>
  <c r="N847"/>
  <c r="N806"/>
  <c r="N883"/>
  <c r="N863"/>
  <c r="N968"/>
  <c r="N951"/>
  <c r="N785"/>
  <c r="N985"/>
  <c r="N778"/>
  <c r="N875"/>
  <c r="N1026"/>
  <c r="N849"/>
  <c r="N753"/>
  <c r="N844"/>
  <c r="N960"/>
  <c r="N787"/>
  <c r="N931"/>
  <c r="N704"/>
  <c r="N697"/>
  <c r="N986"/>
  <c r="N705"/>
  <c r="N680"/>
  <c r="N982"/>
  <c r="N990"/>
  <c r="N974"/>
  <c r="N765"/>
  <c r="N955"/>
  <c r="N869"/>
  <c r="N819"/>
  <c r="N851"/>
  <c r="N769"/>
  <c r="N761"/>
  <c r="N857"/>
  <c r="N894"/>
  <c r="N763"/>
  <c r="N884"/>
  <c r="N961"/>
  <c r="N748"/>
  <c r="N810"/>
  <c r="N777"/>
  <c r="N989"/>
  <c r="N708"/>
  <c r="N943"/>
  <c r="N870"/>
  <c r="N775"/>
  <c r="N916"/>
  <c r="N994"/>
  <c r="N655"/>
  <c r="N818"/>
  <c r="N941"/>
  <c r="N805"/>
  <c r="N700"/>
  <c r="N719"/>
  <c r="N658"/>
  <c r="N838"/>
  <c r="N924"/>
  <c r="N695"/>
  <c r="N691"/>
  <c r="N885"/>
  <c r="N966"/>
  <c r="N735"/>
  <c r="N717"/>
  <c r="N582"/>
  <c r="N602"/>
  <c r="N664"/>
  <c r="N752"/>
  <c r="N592"/>
  <c r="N999"/>
  <c r="N766"/>
  <c r="N724"/>
  <c r="N623"/>
  <c r="N702"/>
  <c r="N665"/>
  <c r="N634"/>
  <c r="N879"/>
  <c r="N727"/>
  <c r="N841"/>
  <c r="N756"/>
  <c r="N1001"/>
  <c r="N896"/>
  <c r="N560"/>
  <c r="N716"/>
  <c r="N824"/>
  <c r="N814"/>
  <c r="N660"/>
  <c r="N914"/>
  <c r="N871"/>
  <c r="N815"/>
  <c r="N780"/>
  <c r="N1022"/>
  <c r="N781"/>
  <c r="N616"/>
  <c r="N1017"/>
  <c r="N619"/>
  <c r="N926"/>
  <c r="N529"/>
  <c r="N681"/>
  <c r="N633"/>
  <c r="N622"/>
  <c r="N723"/>
  <c r="N687"/>
  <c r="N988"/>
  <c r="N877"/>
  <c r="N537"/>
  <c r="N946"/>
  <c r="N998"/>
  <c r="N617"/>
  <c r="N921"/>
  <c r="N652"/>
  <c r="N983"/>
  <c r="N855"/>
  <c r="N573"/>
  <c r="N571"/>
  <c r="N971"/>
  <c r="N843"/>
  <c r="N437"/>
  <c r="N874"/>
  <c r="N423"/>
  <c r="N969"/>
  <c r="N1016"/>
  <c r="N519"/>
  <c r="N862"/>
  <c r="N653"/>
  <c r="N728"/>
  <c r="N935"/>
  <c r="N891"/>
  <c r="N759"/>
  <c r="N920"/>
  <c r="N767"/>
  <c r="N826"/>
  <c r="N910"/>
  <c r="N731"/>
  <c r="N673"/>
  <c r="N899"/>
  <c r="N460"/>
  <c r="N688"/>
  <c r="N509"/>
  <c r="N504"/>
  <c r="N965"/>
  <c r="N944"/>
  <c r="N987"/>
  <c r="N473"/>
  <c r="N825"/>
  <c r="N839"/>
  <c r="N887"/>
  <c r="N459"/>
  <c r="N834"/>
  <c r="N718"/>
  <c r="N934"/>
  <c r="N385"/>
  <c r="N689"/>
  <c r="N372"/>
  <c r="N774"/>
  <c r="N923"/>
  <c r="N740"/>
  <c r="N558"/>
  <c r="N682"/>
  <c r="N929"/>
  <c r="N912"/>
  <c r="N580"/>
  <c r="N782"/>
  <c r="N938"/>
  <c r="N872"/>
  <c r="N784"/>
  <c r="N581"/>
  <c r="N882"/>
  <c r="N429"/>
  <c r="N662"/>
  <c r="N676"/>
  <c r="N440"/>
  <c r="N344"/>
  <c r="N742"/>
  <c r="N466"/>
  <c r="N318"/>
  <c r="N302"/>
  <c r="N808"/>
  <c r="N993"/>
  <c r="N636"/>
  <c r="N390"/>
  <c r="N308"/>
  <c r="N609"/>
  <c r="N586"/>
  <c r="N626"/>
  <c r="N319"/>
  <c r="N760"/>
  <c r="N845"/>
  <c r="N610"/>
  <c r="N645"/>
  <c r="N301"/>
  <c r="N326"/>
  <c r="N283"/>
  <c r="N972"/>
  <c r="N476"/>
  <c r="N486"/>
  <c r="N721"/>
  <c r="N313"/>
  <c r="N732"/>
  <c r="N798"/>
  <c r="N888"/>
  <c r="N262"/>
  <c r="N417"/>
  <c r="N930"/>
  <c r="N811"/>
  <c r="N281"/>
  <c r="N995"/>
  <c r="N690"/>
  <c r="N436"/>
  <c r="N408"/>
  <c r="N823"/>
  <c r="N549"/>
  <c r="N991"/>
  <c r="N996"/>
  <c r="N305"/>
  <c r="N618"/>
  <c r="N522"/>
  <c r="N804"/>
  <c r="N562"/>
  <c r="N548"/>
  <c r="N850"/>
  <c r="N351"/>
  <c r="N643"/>
  <c r="N940"/>
  <c r="N531"/>
  <c r="N743"/>
  <c r="N295"/>
  <c r="N846"/>
  <c r="N221"/>
  <c r="N496"/>
  <c r="N353"/>
  <c r="N409"/>
  <c r="N1012"/>
  <c r="N356"/>
  <c r="N587"/>
  <c r="N441"/>
  <c r="N954"/>
  <c r="N499"/>
  <c r="N900"/>
  <c r="N405"/>
  <c r="N734"/>
  <c r="N876"/>
  <c r="N822"/>
  <c r="N621"/>
  <c r="N596"/>
  <c r="N837"/>
  <c r="N502"/>
  <c r="N553"/>
  <c r="N563"/>
  <c r="N650"/>
  <c r="N725"/>
  <c r="N312"/>
  <c r="N190"/>
  <c r="N977"/>
  <c r="N997"/>
  <c r="N980"/>
  <c r="N948"/>
  <c r="N272"/>
  <c r="N962"/>
  <c r="N483"/>
  <c r="N412"/>
  <c r="N544"/>
  <c r="N1025"/>
  <c r="N698"/>
  <c r="N890"/>
  <c r="N373"/>
  <c r="N274"/>
  <c r="N297"/>
  <c r="N605"/>
  <c r="N569"/>
  <c r="N720"/>
  <c r="N235"/>
  <c r="N572"/>
  <c r="N257"/>
  <c r="N835"/>
  <c r="N852"/>
  <c r="N140"/>
  <c r="N600"/>
  <c r="N458"/>
  <c r="N523"/>
  <c r="N413"/>
  <c r="N438"/>
  <c r="N448"/>
  <c r="N565"/>
  <c r="N917"/>
  <c r="N701"/>
  <c r="N215"/>
  <c r="N512"/>
  <c r="N606"/>
  <c r="N1013"/>
  <c r="N540"/>
  <c r="N746"/>
  <c r="N242"/>
  <c r="N354"/>
  <c r="N406"/>
  <c r="N237"/>
  <c r="N484"/>
  <c r="N119"/>
  <c r="N131"/>
  <c r="N515"/>
  <c r="N94"/>
  <c r="N225"/>
  <c r="N383"/>
  <c r="N263"/>
  <c r="N91"/>
  <c r="N74"/>
  <c r="N453"/>
  <c r="N66"/>
  <c r="N973"/>
  <c r="N936"/>
  <c r="N854"/>
  <c r="N764"/>
  <c r="N873"/>
  <c r="N937"/>
  <c r="N674"/>
  <c r="N736"/>
  <c r="N1024"/>
  <c r="N611"/>
  <c r="N710"/>
  <c r="N671"/>
  <c r="N657"/>
  <c r="N608"/>
  <c r="N584"/>
  <c r="N984"/>
  <c r="N915"/>
  <c r="N552"/>
  <c r="N541"/>
  <c r="N551"/>
  <c r="N410"/>
  <c r="N686"/>
  <c r="N637"/>
  <c r="N594"/>
  <c r="N251"/>
  <c r="N374"/>
  <c r="N801"/>
  <c r="N248"/>
  <c r="N311"/>
  <c r="N641"/>
  <c r="N439"/>
  <c r="N638"/>
  <c r="N290"/>
  <c r="N442"/>
  <c r="N953"/>
  <c r="N202"/>
  <c r="N554"/>
  <c r="N337"/>
  <c r="N612"/>
  <c r="N174"/>
  <c r="N427"/>
  <c r="N647"/>
  <c r="N164"/>
  <c r="N518"/>
  <c r="N172"/>
  <c r="N387"/>
  <c r="N158"/>
  <c r="N128"/>
  <c r="N576"/>
  <c r="N809"/>
  <c r="N1014"/>
  <c r="N87"/>
  <c r="N234"/>
  <c r="D1027"/>
  <c r="N906"/>
  <c r="N866"/>
  <c r="N933"/>
  <c r="N956"/>
  <c r="N703"/>
  <c r="N663"/>
  <c r="N831"/>
  <c r="N908"/>
  <c r="N1019"/>
  <c r="N832"/>
  <c r="N880"/>
  <c r="N747"/>
  <c r="N675"/>
  <c r="N467"/>
  <c r="N468"/>
  <c r="N952"/>
  <c r="N656"/>
  <c r="N416"/>
  <c r="N853"/>
  <c r="N407"/>
  <c r="N340"/>
  <c r="N903"/>
  <c r="N394"/>
  <c r="N666"/>
  <c r="N712"/>
  <c r="N241"/>
  <c r="N639"/>
  <c r="N848"/>
  <c r="N396"/>
  <c r="N575"/>
  <c r="N403"/>
  <c r="N475"/>
  <c r="N539"/>
  <c r="N315"/>
  <c r="N979"/>
  <c r="N856"/>
  <c r="N226"/>
  <c r="N377"/>
  <c r="N661"/>
  <c r="N266"/>
  <c r="N614"/>
  <c r="N574"/>
  <c r="N950"/>
  <c r="N269"/>
  <c r="N217"/>
  <c r="N82"/>
  <c r="N749"/>
  <c r="N615"/>
  <c r="N222"/>
  <c r="N909"/>
  <c r="N939"/>
  <c r="N904"/>
  <c r="N757"/>
  <c r="N779"/>
  <c r="N799"/>
  <c r="N970"/>
  <c r="N958"/>
  <c r="N1023"/>
  <c r="N649"/>
  <c r="N739"/>
  <c r="N672"/>
  <c r="N684"/>
  <c r="N800"/>
  <c r="N803"/>
  <c r="N715"/>
  <c r="N1009"/>
  <c r="N593"/>
  <c r="N631"/>
  <c r="N677"/>
  <c r="N420"/>
  <c r="N1018"/>
  <c r="N783"/>
  <c r="N790"/>
  <c r="N827"/>
  <c r="N452"/>
  <c r="N828"/>
  <c r="N1006"/>
  <c r="N833"/>
  <c r="N231"/>
  <c r="N227"/>
  <c r="N400"/>
  <c r="N693"/>
  <c r="N737"/>
  <c r="N659"/>
  <c r="N859"/>
  <c r="N773"/>
  <c r="N776"/>
  <c r="N1020"/>
  <c r="N500"/>
  <c r="N2"/>
  <c r="N3"/>
  <c r="N4"/>
  <c r="N5"/>
  <c r="N7"/>
  <c r="N8"/>
  <c r="N9"/>
  <c r="N6"/>
  <c r="N10"/>
  <c r="N11"/>
  <c r="N254"/>
  <c r="N669"/>
  <c r="N464"/>
  <c r="N357"/>
  <c r="N796"/>
  <c r="N175"/>
  <c r="N741"/>
  <c r="N670"/>
  <c r="N564"/>
  <c r="N566"/>
  <c r="N722"/>
  <c r="N967"/>
  <c r="N425"/>
  <c r="N640"/>
  <c r="N858"/>
  <c r="N632"/>
  <c r="N902"/>
  <c r="N625"/>
  <c r="N291"/>
  <c r="N860"/>
  <c r="N911"/>
  <c r="N644"/>
  <c r="N462"/>
  <c r="N214"/>
  <c r="N1007"/>
  <c r="N88"/>
  <c r="N758"/>
  <c r="N793"/>
  <c r="N864"/>
  <c r="N213"/>
  <c r="N589"/>
  <c r="N29"/>
  <c r="N19"/>
  <c r="N26"/>
  <c r="N16"/>
  <c r="N23"/>
  <c r="N21"/>
  <c r="N18"/>
  <c r="N20"/>
  <c r="N14"/>
  <c r="N15"/>
  <c r="N22"/>
  <c r="N25"/>
  <c r="N24"/>
  <c r="N13"/>
  <c r="N17"/>
  <c r="N27"/>
  <c r="N30"/>
  <c r="N28"/>
  <c r="N12"/>
  <c r="N31"/>
  <c r="N32"/>
  <c r="N34"/>
  <c r="N33"/>
  <c r="N35"/>
  <c r="N36"/>
  <c r="N39"/>
  <c r="N38"/>
  <c r="N37"/>
  <c r="N41"/>
  <c r="N40"/>
  <c r="N42"/>
  <c r="N43"/>
  <c r="N44"/>
  <c r="N45"/>
  <c r="N46"/>
  <c r="N47"/>
  <c r="N184"/>
  <c r="N126"/>
  <c r="N193"/>
  <c r="N72"/>
  <c r="N171"/>
  <c r="N157"/>
  <c r="N144"/>
  <c r="N335"/>
  <c r="N185"/>
  <c r="N434"/>
  <c r="N48"/>
  <c r="N100"/>
  <c r="N117"/>
  <c r="N147"/>
  <c r="N768"/>
  <c r="N331"/>
  <c r="N50"/>
  <c r="N133"/>
  <c r="N366"/>
  <c r="N223"/>
  <c r="N536"/>
  <c r="N264"/>
  <c r="N685"/>
  <c r="N613"/>
  <c r="N207"/>
  <c r="N516"/>
  <c r="N738"/>
  <c r="N711"/>
  <c r="N398"/>
  <c r="B1084" l="1"/>
  <c r="L1084" s="1"/>
  <c r="L1083"/>
  <c r="D1028"/>
  <c r="D1029" s="1"/>
  <c r="D1030" s="1"/>
  <c r="D1031" s="1"/>
  <c r="N1027"/>
  <c r="B1085" l="1"/>
  <c r="L1085" s="1"/>
  <c r="N1030"/>
  <c r="N1028"/>
  <c r="D1032"/>
  <c r="D1033" s="1"/>
  <c r="N1031"/>
  <c r="N1029"/>
  <c r="B1086" l="1"/>
  <c r="L1086" s="1"/>
  <c r="N1032"/>
  <c r="D1034"/>
  <c r="N1033"/>
  <c r="B1087" l="1"/>
  <c r="D1035"/>
  <c r="N1035" s="1"/>
  <c r="N1034"/>
  <c r="B1088" l="1"/>
  <c r="L1088" s="1"/>
  <c r="L1087"/>
  <c r="D1036"/>
  <c r="D1037" s="1"/>
  <c r="D1038" s="1"/>
  <c r="D1039" s="1"/>
  <c r="B1089" l="1"/>
  <c r="N1037"/>
  <c r="N1038"/>
  <c r="N1036"/>
  <c r="D1040"/>
  <c r="N1039"/>
  <c r="B1090" l="1"/>
  <c r="L1090" s="1"/>
  <c r="L1089"/>
  <c r="D1041"/>
  <c r="N1041" s="1"/>
  <c r="N1040"/>
  <c r="B1091" l="1"/>
  <c r="D1042"/>
  <c r="B1092" l="1"/>
  <c r="L1091"/>
  <c r="D1043"/>
  <c r="N1042"/>
  <c r="B1093" l="1"/>
  <c r="B1094" s="1"/>
  <c r="B1095" s="1"/>
  <c r="B1096" s="1"/>
  <c r="B1097" s="1"/>
  <c r="L1092"/>
  <c r="D1044"/>
  <c r="N1044" s="1"/>
  <c r="N1043"/>
  <c r="B1098" l="1"/>
  <c r="B1099" s="1"/>
  <c r="B1100" s="1"/>
  <c r="B1101" s="1"/>
  <c r="B1102" s="1"/>
  <c r="B1103" s="1"/>
  <c r="B1104" s="1"/>
  <c r="B1105" s="1"/>
  <c r="B1106" s="1"/>
  <c r="B1107" s="1"/>
  <c r="L1096"/>
  <c r="L1095"/>
  <c r="L1097"/>
  <c r="L1094"/>
  <c r="L1093"/>
  <c r="D1045"/>
  <c r="N1045" s="1"/>
  <c r="L1100" l="1"/>
  <c r="L1103"/>
  <c r="L1099"/>
  <c r="L1104"/>
  <c r="L1101"/>
  <c r="L1098"/>
  <c r="L1105"/>
  <c r="L1102"/>
  <c r="L1107"/>
  <c r="L1106"/>
  <c r="B1108"/>
  <c r="D1046"/>
  <c r="B1109" l="1"/>
  <c r="L1109" s="1"/>
  <c r="L1108"/>
  <c r="D1047"/>
  <c r="N1046"/>
  <c r="B1110" l="1"/>
  <c r="D1048"/>
  <c r="N1047"/>
  <c r="B1111" l="1"/>
  <c r="L1111" s="1"/>
  <c r="L1110"/>
  <c r="D1049"/>
  <c r="N1049" s="1"/>
  <c r="N1048"/>
  <c r="B1112" l="1"/>
  <c r="B1113" s="1"/>
  <c r="B1114" s="1"/>
  <c r="B1115" s="1"/>
  <c r="D1050"/>
  <c r="B1116" l="1"/>
  <c r="L1116" s="1"/>
  <c r="L1114"/>
  <c r="L1115"/>
  <c r="L1113"/>
  <c r="L1112"/>
  <c r="D1051"/>
  <c r="D1052" s="1"/>
  <c r="N1052" s="1"/>
  <c r="N1050"/>
  <c r="B1117" l="1"/>
  <c r="N1051"/>
  <c r="D1053"/>
  <c r="N1053" s="1"/>
  <c r="B1118" l="1"/>
  <c r="L1118" s="1"/>
  <c r="L1117"/>
  <c r="D1054"/>
  <c r="D1055" s="1"/>
  <c r="D1056" s="1"/>
  <c r="D1057" s="1"/>
  <c r="D1058" s="1"/>
  <c r="D1059" s="1"/>
  <c r="D1060" s="1"/>
  <c r="B1119" l="1"/>
  <c r="N1055"/>
  <c r="N1056"/>
  <c r="N1054"/>
  <c r="N1058"/>
  <c r="N1057"/>
  <c r="N1059"/>
  <c r="N1060"/>
  <c r="D1061"/>
  <c r="B1120" l="1"/>
  <c r="L1120" s="1"/>
  <c r="L1119"/>
  <c r="D1062"/>
  <c r="N1062" s="1"/>
  <c r="N1061"/>
  <c r="B1121" l="1"/>
  <c r="B1122" s="1"/>
  <c r="B1123" s="1"/>
  <c r="B1124" s="1"/>
  <c r="B1125" s="1"/>
  <c r="B1126" s="1"/>
  <c r="D1063"/>
  <c r="D1064" s="1"/>
  <c r="D1065" s="1"/>
  <c r="D1066" s="1"/>
  <c r="B1127" l="1"/>
  <c r="L1127" s="1"/>
  <c r="L1121"/>
  <c r="L1126"/>
  <c r="L1123"/>
  <c r="L1125"/>
  <c r="L1124"/>
  <c r="L1122"/>
  <c r="D1067"/>
  <c r="N1067" s="1"/>
  <c r="N1064"/>
  <c r="N1063"/>
  <c r="N1065"/>
  <c r="N1066"/>
  <c r="B1128" l="1"/>
  <c r="B1129" s="1"/>
  <c r="B1130" s="1"/>
  <c r="L3420" s="1"/>
  <c r="D1068"/>
  <c r="L7187" l="1"/>
  <c r="L5505"/>
  <c r="L7377"/>
  <c r="L5475"/>
  <c r="L1263"/>
  <c r="L2167"/>
  <c r="L3476"/>
  <c r="L7601"/>
  <c r="L3639"/>
  <c r="L4043"/>
  <c r="L2191"/>
  <c r="L6550"/>
  <c r="L5320"/>
  <c r="L1551"/>
  <c r="L3122"/>
  <c r="L7246"/>
  <c r="L2309"/>
  <c r="L6611"/>
  <c r="L2235"/>
  <c r="L5887"/>
  <c r="L4099"/>
  <c r="L2719"/>
  <c r="L5933"/>
  <c r="L6708"/>
  <c r="L7004"/>
  <c r="L4771"/>
  <c r="L3635"/>
  <c r="L2230"/>
  <c r="L4280"/>
  <c r="L4827"/>
  <c r="L7886"/>
  <c r="L4170"/>
  <c r="L7688"/>
  <c r="L6735"/>
  <c r="L6078"/>
  <c r="L3814"/>
  <c r="L5743"/>
  <c r="L3134"/>
  <c r="L5624"/>
  <c r="L3716"/>
  <c r="L1264"/>
  <c r="L2672"/>
  <c r="L2521"/>
  <c r="L7717"/>
  <c r="L1768"/>
  <c r="L3741"/>
  <c r="L3778"/>
  <c r="L4301"/>
  <c r="L4116"/>
  <c r="L7254"/>
  <c r="L5574"/>
  <c r="L2827"/>
  <c r="L6339"/>
  <c r="L3038"/>
  <c r="L6007"/>
  <c r="L7687"/>
  <c r="L1912"/>
  <c r="L2409"/>
  <c r="L7618"/>
  <c r="L5989"/>
  <c r="L1444"/>
  <c r="L6823"/>
  <c r="L4323"/>
  <c r="L7626"/>
  <c r="L6034"/>
  <c r="L2849"/>
  <c r="L3861"/>
  <c r="L5131"/>
  <c r="L1608"/>
  <c r="L4293"/>
  <c r="L2394"/>
  <c r="L5251"/>
  <c r="L1852"/>
  <c r="L4946"/>
  <c r="L2037"/>
  <c r="L3069"/>
  <c r="L4868"/>
  <c r="L1544"/>
  <c r="L7355"/>
  <c r="L1304"/>
  <c r="L5935"/>
  <c r="L2502"/>
  <c r="L1300"/>
  <c r="L5551"/>
  <c r="L6911"/>
  <c r="L1579"/>
  <c r="L7286"/>
  <c r="L6024"/>
  <c r="L1364"/>
  <c r="L7797"/>
  <c r="L6436"/>
  <c r="L1885"/>
  <c r="L5495"/>
  <c r="L2024"/>
  <c r="L3691"/>
  <c r="L6212"/>
  <c r="L2799"/>
  <c r="L3685"/>
  <c r="L6503"/>
  <c r="L3488"/>
  <c r="L1578"/>
  <c r="L4381"/>
  <c r="L6958"/>
  <c r="L4186"/>
  <c r="L2372"/>
  <c r="L2538"/>
  <c r="L4160"/>
  <c r="L4118"/>
  <c r="L4557"/>
  <c r="L4409"/>
  <c r="L6368"/>
  <c r="L6263"/>
  <c r="L1560"/>
  <c r="L5105"/>
  <c r="L7426"/>
  <c r="L3798"/>
  <c r="L1200"/>
  <c r="L6672"/>
  <c r="L5120"/>
  <c r="L4645"/>
  <c r="L3504"/>
  <c r="L1148"/>
  <c r="L1944"/>
  <c r="L3713"/>
  <c r="L7228"/>
  <c r="L7478"/>
  <c r="L2773"/>
  <c r="L2935"/>
  <c r="L1772"/>
  <c r="L5859"/>
  <c r="L3053"/>
  <c r="L6895"/>
  <c r="L6651"/>
  <c r="L1595"/>
  <c r="L1501"/>
  <c r="L1760"/>
  <c r="L7092"/>
  <c r="L1876"/>
  <c r="L3060"/>
  <c r="L4630"/>
  <c r="L7659"/>
  <c r="L7854"/>
  <c r="L2595"/>
  <c r="L2845"/>
  <c r="L3994"/>
  <c r="L6369"/>
  <c r="L7617"/>
  <c r="L4360"/>
  <c r="L2030"/>
  <c r="L3386"/>
  <c r="L1449"/>
  <c r="L5095"/>
  <c r="L1752"/>
  <c r="L7609"/>
  <c r="L4726"/>
  <c r="L1242"/>
  <c r="L6237"/>
  <c r="L5437"/>
  <c r="L2508"/>
  <c r="L4423"/>
  <c r="L2344"/>
  <c r="L6489"/>
  <c r="L5076"/>
  <c r="L1879"/>
  <c r="L7568"/>
  <c r="L4480"/>
  <c r="L1182"/>
  <c r="L2288"/>
  <c r="L5710"/>
  <c r="L2382"/>
  <c r="L1166"/>
  <c r="L7211"/>
  <c r="L4491"/>
  <c r="L3597"/>
  <c r="L6191"/>
  <c r="L2260"/>
  <c r="L6177"/>
  <c r="L3630"/>
  <c r="L6446"/>
  <c r="L1520"/>
  <c r="L1539"/>
  <c r="L3988"/>
  <c r="L4790"/>
  <c r="L7099"/>
  <c r="L7981"/>
  <c r="L3503"/>
  <c r="L2360"/>
  <c r="L6140"/>
  <c r="L3474"/>
  <c r="L3907"/>
  <c r="L6145"/>
  <c r="L3202"/>
  <c r="L3930"/>
  <c r="L1467"/>
  <c r="L7795"/>
  <c r="L3184"/>
  <c r="L7143"/>
  <c r="L3795"/>
  <c r="L6789"/>
  <c r="L3075"/>
  <c r="L5775"/>
  <c r="L7951"/>
  <c r="L6121"/>
  <c r="L4999"/>
  <c r="L5066"/>
  <c r="L6553"/>
  <c r="L5292"/>
  <c r="L1914"/>
  <c r="L1530"/>
  <c r="L7462"/>
  <c r="L7288"/>
  <c r="L4355"/>
  <c r="L5527"/>
  <c r="L2183"/>
  <c r="L7753"/>
  <c r="L5819"/>
  <c r="L2616"/>
  <c r="L7300"/>
  <c r="L2086"/>
  <c r="L7421"/>
  <c r="L2943"/>
  <c r="L3636"/>
  <c r="L1142"/>
  <c r="L4034"/>
  <c r="L6519"/>
  <c r="L1290"/>
  <c r="L1225"/>
  <c r="L6352"/>
  <c r="L2129"/>
  <c r="L7551"/>
  <c r="L2811"/>
  <c r="L3507"/>
  <c r="L2753"/>
  <c r="L4937"/>
  <c r="L2385"/>
  <c r="L5586"/>
  <c r="L6053"/>
  <c r="L7139"/>
  <c r="L5960"/>
  <c r="L3670"/>
  <c r="L5797"/>
  <c r="L4686"/>
  <c r="L3766"/>
  <c r="L4303"/>
  <c r="L3183"/>
  <c r="L4649"/>
  <c r="L5489"/>
  <c r="L3559"/>
  <c r="L3293"/>
  <c r="L5178"/>
  <c r="L2061"/>
  <c r="L5891"/>
  <c r="L2826"/>
  <c r="L1320"/>
  <c r="L4450"/>
  <c r="L4685"/>
  <c r="L4311"/>
  <c r="L2500"/>
  <c r="L5496"/>
  <c r="L4137"/>
  <c r="L2439"/>
  <c r="L7881"/>
  <c r="L1199"/>
  <c r="L3081"/>
  <c r="L2054"/>
  <c r="L6679"/>
  <c r="L2008"/>
  <c r="L5599"/>
  <c r="L3395"/>
  <c r="L2293"/>
  <c r="L3519"/>
  <c r="L4316"/>
  <c r="L1979"/>
  <c r="L7656"/>
  <c r="L7729"/>
  <c r="L3909"/>
  <c r="L5243"/>
  <c r="L3124"/>
  <c r="L3102"/>
  <c r="L4222"/>
  <c r="L4191"/>
  <c r="L5093"/>
  <c r="L1155"/>
  <c r="L3105"/>
  <c r="L2622"/>
  <c r="L4710"/>
  <c r="L6215"/>
  <c r="L7100"/>
  <c r="L2411"/>
  <c r="L7145"/>
  <c r="L3619"/>
  <c r="L3672"/>
  <c r="L1942"/>
  <c r="L2923"/>
  <c r="L2363"/>
  <c r="L6332"/>
  <c r="L1674"/>
  <c r="L7403"/>
  <c r="L3793"/>
  <c r="L2103"/>
  <c r="L4200"/>
  <c r="L7735"/>
  <c r="L2177"/>
  <c r="L2380"/>
  <c r="L4831"/>
  <c r="L1582"/>
  <c r="L2378"/>
  <c r="L7251"/>
  <c r="L1893"/>
  <c r="L7521"/>
  <c r="L7635"/>
  <c r="L5870"/>
  <c r="L6680"/>
  <c r="L5838"/>
  <c r="L5469"/>
  <c r="L5474"/>
  <c r="L6235"/>
  <c r="L1607"/>
  <c r="L3967"/>
  <c r="L7841"/>
  <c r="L4071"/>
  <c r="L7456"/>
  <c r="L4520"/>
  <c r="L6657"/>
  <c r="L2236"/>
  <c r="L1822"/>
  <c r="L7960"/>
  <c r="L2216"/>
  <c r="L2818"/>
  <c r="L7667"/>
  <c r="L4273"/>
  <c r="L1807"/>
  <c r="L5218"/>
  <c r="L7513"/>
  <c r="L2812"/>
  <c r="L5454"/>
  <c r="L6375"/>
  <c r="L4951"/>
  <c r="L4094"/>
  <c r="L1909"/>
  <c r="L1289"/>
  <c r="L3900"/>
  <c r="L1186"/>
  <c r="L7634"/>
  <c r="L6984"/>
  <c r="L7910"/>
  <c r="L2785"/>
  <c r="L2637"/>
  <c r="L4368"/>
  <c r="L6772"/>
  <c r="L7986"/>
  <c r="L6698"/>
  <c r="L7692"/>
  <c r="L7081"/>
  <c r="L7114"/>
  <c r="L7524"/>
  <c r="L4095"/>
  <c r="L6905"/>
  <c r="L2449"/>
  <c r="L4346"/>
  <c r="L1362"/>
  <c r="L3453"/>
  <c r="L3806"/>
  <c r="L4828"/>
  <c r="L7318"/>
  <c r="L7670"/>
  <c r="L3266"/>
  <c r="L6028"/>
  <c r="L5937"/>
  <c r="L5332"/>
  <c r="L5628"/>
  <c r="L3383"/>
  <c r="L5657"/>
  <c r="L4735"/>
  <c r="L2140"/>
  <c r="L3555"/>
  <c r="L6010"/>
  <c r="L4927"/>
  <c r="L5063"/>
  <c r="L7104"/>
  <c r="L3422"/>
  <c r="L6350"/>
  <c r="L7512"/>
  <c r="L4903"/>
  <c r="L1981"/>
  <c r="L4776"/>
  <c r="L7244"/>
  <c r="L1805"/>
  <c r="L2443"/>
  <c r="L1804"/>
  <c r="L1612"/>
  <c r="L7633"/>
  <c r="L4594"/>
  <c r="L6517"/>
  <c r="L3322"/>
  <c r="L4658"/>
  <c r="L7227"/>
  <c r="L6507"/>
  <c r="L2871"/>
  <c r="L3441"/>
  <c r="L5703"/>
  <c r="L3100"/>
  <c r="L3527"/>
  <c r="L3133"/>
  <c r="L6740"/>
  <c r="L5701"/>
  <c r="L2656"/>
  <c r="L7214"/>
  <c r="L3499"/>
  <c r="L6575"/>
  <c r="L4695"/>
  <c r="L1898"/>
  <c r="L3550"/>
  <c r="L1461"/>
  <c r="L6054"/>
  <c r="L7186"/>
  <c r="L4876"/>
  <c r="L5742"/>
  <c r="L3805"/>
  <c r="L4787"/>
  <c r="L2983"/>
  <c r="L5377"/>
  <c r="L1510"/>
  <c r="L4234"/>
  <c r="L2744"/>
  <c r="L6934"/>
  <c r="L4285"/>
  <c r="L1827"/>
  <c r="L6250"/>
  <c r="L3175"/>
  <c r="L7515"/>
  <c r="L3466"/>
  <c r="L5594"/>
  <c r="L6040"/>
  <c r="L6252"/>
  <c r="L6492"/>
  <c r="L2151"/>
  <c r="L3316"/>
  <c r="L5400"/>
  <c r="L1761"/>
  <c r="L7867"/>
  <c r="L7714"/>
  <c r="L2654"/>
  <c r="L1965"/>
  <c r="L7434"/>
  <c r="L1156"/>
  <c r="L2860"/>
  <c r="L6005"/>
  <c r="L5904"/>
  <c r="L4843"/>
  <c r="L2340"/>
  <c r="L4560"/>
  <c r="L6897"/>
  <c r="L3258"/>
  <c r="L2862"/>
  <c r="L2496"/>
  <c r="L5018"/>
  <c r="L3363"/>
  <c r="L1253"/>
  <c r="L7895"/>
  <c r="L5414"/>
  <c r="L2802"/>
  <c r="L2469"/>
  <c r="L4105"/>
  <c r="L7706"/>
  <c r="L2973"/>
  <c r="L7458"/>
  <c r="L1668"/>
  <c r="L2727"/>
  <c r="L7756"/>
  <c r="L5752"/>
  <c r="L6232"/>
  <c r="L2447"/>
  <c r="L1507"/>
  <c r="L3817"/>
  <c r="L7914"/>
  <c r="L7686"/>
  <c r="L1417"/>
  <c r="L2150"/>
  <c r="L7406"/>
  <c r="L4344"/>
  <c r="L4792"/>
  <c r="L6938"/>
  <c r="L4811"/>
  <c r="L2825"/>
  <c r="L2571"/>
  <c r="L3131"/>
  <c r="L4272"/>
  <c r="L4486"/>
  <c r="L2304"/>
  <c r="L2975"/>
  <c r="L2843"/>
  <c r="L2703"/>
  <c r="L1356"/>
  <c r="L6570"/>
  <c r="L6554"/>
  <c r="L5052"/>
  <c r="L3618"/>
  <c r="L7105"/>
  <c r="L3867"/>
  <c r="L2379"/>
  <c r="L5248"/>
  <c r="L3359"/>
  <c r="L6328"/>
  <c r="L5813"/>
  <c r="L2192"/>
  <c r="L1386"/>
  <c r="L5547"/>
  <c r="L7084"/>
  <c r="L6678"/>
  <c r="L4822"/>
  <c r="L7297"/>
  <c r="L7080"/>
  <c r="L1384"/>
  <c r="L4239"/>
  <c r="L4151"/>
  <c r="L2757"/>
  <c r="L2108"/>
  <c r="L4067"/>
  <c r="L2667"/>
  <c r="L2864"/>
  <c r="L2730"/>
  <c r="L5872"/>
  <c r="L6393"/>
  <c r="L6762"/>
  <c r="L3510"/>
  <c r="L5486"/>
  <c r="L4585"/>
  <c r="L6947"/>
  <c r="L2830"/>
  <c r="L2720"/>
  <c r="L5487"/>
  <c r="L5557"/>
  <c r="L5720"/>
  <c r="L5449"/>
  <c r="L6136"/>
  <c r="L7888"/>
  <c r="L3130"/>
  <c r="L2100"/>
  <c r="L1513"/>
  <c r="L4495"/>
  <c r="L2427"/>
  <c r="L3858"/>
  <c r="L5635"/>
  <c r="L6788"/>
  <c r="L1519"/>
  <c r="L2991"/>
  <c r="L7628"/>
  <c r="L7652"/>
  <c r="L5571"/>
  <c r="L3185"/>
  <c r="L6641"/>
  <c r="L4208"/>
  <c r="L6998"/>
  <c r="L4691"/>
  <c r="L6923"/>
  <c r="L6857"/>
  <c r="L1197"/>
  <c r="L4944"/>
  <c r="L6532"/>
  <c r="L4819"/>
  <c r="L1964"/>
  <c r="L3058"/>
  <c r="L7730"/>
  <c r="L4026"/>
  <c r="L1552"/>
  <c r="L4986"/>
  <c r="L2624"/>
  <c r="L7166"/>
  <c r="L1333"/>
  <c r="L1702"/>
  <c r="L6092"/>
  <c r="L5315"/>
  <c r="L3224"/>
  <c r="L3773"/>
  <c r="L1146"/>
  <c r="L4192"/>
  <c r="L7650"/>
  <c r="L5805"/>
  <c r="L6384"/>
  <c r="L6516"/>
  <c r="L6809"/>
  <c r="L3839"/>
  <c r="L7170"/>
  <c r="L1686"/>
  <c r="L1167"/>
  <c r="L1957"/>
  <c r="L1873"/>
  <c r="L2062"/>
  <c r="L2729"/>
  <c r="L4298"/>
  <c r="L2852"/>
  <c r="L3554"/>
  <c r="L5513"/>
  <c r="L4090"/>
  <c r="L1764"/>
  <c r="L5955"/>
  <c r="L5128"/>
  <c r="L4997"/>
  <c r="L7031"/>
  <c r="L3040"/>
  <c r="L7636"/>
  <c r="L5522"/>
  <c r="L5102"/>
  <c r="L5038"/>
  <c r="L3601"/>
  <c r="L1439"/>
  <c r="L3896"/>
  <c r="L5417"/>
  <c r="L1315"/>
  <c r="L5820"/>
  <c r="L4746"/>
  <c r="L3565"/>
  <c r="L5111"/>
  <c r="L5446"/>
  <c r="L1589"/>
  <c r="L1720"/>
  <c r="L7408"/>
  <c r="L2011"/>
  <c r="L6607"/>
  <c r="L7879"/>
  <c r="L1920"/>
  <c r="L7333"/>
  <c r="L4839"/>
  <c r="L6860"/>
  <c r="L5709"/>
  <c r="L2158"/>
  <c r="L3894"/>
  <c r="L7356"/>
  <c r="L1382"/>
  <c r="L6604"/>
  <c r="L4659"/>
  <c r="L4610"/>
  <c r="L5511"/>
  <c r="L1986"/>
  <c r="L5389"/>
  <c r="L2064"/>
  <c r="L1464"/>
  <c r="L1745"/>
  <c r="L6808"/>
  <c r="L1583"/>
  <c r="L6141"/>
  <c r="L6916"/>
  <c r="L3749"/>
  <c r="L7284"/>
  <c r="L4075"/>
  <c r="L2763"/>
  <c r="L7721"/>
  <c r="L7327"/>
  <c r="L2245"/>
  <c r="L4990"/>
  <c r="L6148"/>
  <c r="L2793"/>
  <c r="L6199"/>
  <c r="L1567"/>
  <c r="L6597"/>
  <c r="L3088"/>
  <c r="L4098"/>
  <c r="L3729"/>
  <c r="L3355"/>
  <c r="L3540"/>
  <c r="L4504"/>
  <c r="L6087"/>
  <c r="L6317"/>
  <c r="L3647"/>
  <c r="L4196"/>
  <c r="L7685"/>
  <c r="L6022"/>
  <c r="L7701"/>
  <c r="L1709"/>
  <c r="L4420"/>
  <c r="L1880"/>
  <c r="L7055"/>
  <c r="L1989"/>
  <c r="L2399"/>
  <c r="L3457"/>
  <c r="L3522"/>
  <c r="L7020"/>
  <c r="L4661"/>
  <c r="L5645"/>
  <c r="L3710"/>
  <c r="L5565"/>
  <c r="L3961"/>
  <c r="L2728"/>
  <c r="L1458"/>
  <c r="L2226"/>
  <c r="L7289"/>
  <c r="L4982"/>
  <c r="L2266"/>
  <c r="L5614"/>
  <c r="L4024"/>
  <c r="L7448"/>
  <c r="L7285"/>
  <c r="L7185"/>
  <c r="L7673"/>
  <c r="L2819"/>
  <c r="L5783"/>
  <c r="L6775"/>
  <c r="L6821"/>
  <c r="L2436"/>
  <c r="L7179"/>
  <c r="L5796"/>
  <c r="L3902"/>
  <c r="L3852"/>
  <c r="L3067"/>
  <c r="L6964"/>
  <c r="L3028"/>
  <c r="L7269"/>
  <c r="L5225"/>
  <c r="L2918"/>
  <c r="L2937"/>
  <c r="L2762"/>
  <c r="L6398"/>
  <c r="L7560"/>
  <c r="L2558"/>
  <c r="L7409"/>
  <c r="L7445"/>
  <c r="L7897"/>
  <c r="L6331"/>
  <c r="L2776"/>
  <c r="L3560"/>
  <c r="L4605"/>
  <c r="L2952"/>
  <c r="L6760"/>
  <c r="L6245"/>
  <c r="L2786"/>
  <c r="L5010"/>
  <c r="L2066"/>
  <c r="L5445"/>
  <c r="L5877"/>
  <c r="L1633"/>
  <c r="L3456"/>
  <c r="L4921"/>
  <c r="L6606"/>
  <c r="L5175"/>
  <c r="L5884"/>
  <c r="L4920"/>
  <c r="L1203"/>
  <c r="L1826"/>
  <c r="L5559"/>
  <c r="L7597"/>
  <c r="L3289"/>
  <c r="L3022"/>
  <c r="L7496"/>
  <c r="L1262"/>
  <c r="L6847"/>
  <c r="L5878"/>
  <c r="L1228"/>
  <c r="L4078"/>
  <c r="L5894"/>
  <c r="L6334"/>
  <c r="L7985"/>
  <c r="L3536"/>
  <c r="L1647"/>
  <c r="L4924"/>
  <c r="L5078"/>
  <c r="L1423"/>
  <c r="L7764"/>
  <c r="L1695"/>
  <c r="L7957"/>
  <c r="L2794"/>
  <c r="L5244"/>
  <c r="L2073"/>
  <c r="L6932"/>
  <c r="L7691"/>
  <c r="L1154"/>
  <c r="L7894"/>
  <c r="L2813"/>
  <c r="L7518"/>
  <c r="L7759"/>
  <c r="L2613"/>
  <c r="L4109"/>
  <c r="L7713"/>
  <c r="L7954"/>
  <c r="L5931"/>
  <c r="L3489"/>
  <c r="L7030"/>
  <c r="L2166"/>
  <c r="L3146"/>
  <c r="L3686"/>
  <c r="L7279"/>
  <c r="L3445"/>
  <c r="L5778"/>
  <c r="L3099"/>
  <c r="L6924"/>
  <c r="L6849"/>
  <c r="L5695"/>
  <c r="L4166"/>
  <c r="L3719"/>
  <c r="L6000"/>
  <c r="L4422"/>
  <c r="L7475"/>
  <c r="L7258"/>
  <c r="L7665"/>
  <c r="L3011"/>
  <c r="L5040"/>
  <c r="L2423"/>
  <c r="L6748"/>
  <c r="L6391"/>
  <c r="L6297"/>
  <c r="L4525"/>
  <c r="L6178"/>
  <c r="L5510"/>
  <c r="L5079"/>
  <c r="L5483"/>
  <c r="L7302"/>
  <c r="L1757"/>
  <c r="L4179"/>
  <c r="L5358"/>
  <c r="L5754"/>
  <c r="L7149"/>
  <c r="L4802"/>
  <c r="L7836"/>
  <c r="L7709"/>
  <c r="L6460"/>
  <c r="L1354"/>
  <c r="L6004"/>
  <c r="L4055"/>
  <c r="L6244"/>
  <c r="L5541"/>
  <c r="L4030"/>
  <c r="L3654"/>
  <c r="L7818"/>
  <c r="L2804"/>
  <c r="L5155"/>
  <c r="L1485"/>
  <c r="L5996"/>
  <c r="L4162"/>
  <c r="L2580"/>
  <c r="L5421"/>
  <c r="L5464"/>
  <c r="L7443"/>
  <c r="L4487"/>
  <c r="L6749"/>
  <c r="L6715"/>
  <c r="L5027"/>
  <c r="L3463"/>
  <c r="L1173"/>
  <c r="L4979"/>
  <c r="L6834"/>
  <c r="L6928"/>
  <c r="L4397"/>
  <c r="L3819"/>
  <c r="L2889"/>
  <c r="L3310"/>
  <c r="L5447"/>
  <c r="L4558"/>
  <c r="L2410"/>
  <c r="L5858"/>
  <c r="L3330"/>
  <c r="L5692"/>
  <c r="L3268"/>
  <c r="L2217"/>
  <c r="L1762"/>
  <c r="L5630"/>
  <c r="L3802"/>
  <c r="L3788"/>
  <c r="L2856"/>
  <c r="L1881"/>
  <c r="L2509"/>
  <c r="L2865"/>
  <c r="L7564"/>
  <c r="L7755"/>
  <c r="L3952"/>
  <c r="L4869"/>
  <c r="L3613"/>
  <c r="L4269"/>
  <c r="L6217"/>
  <c r="L6023"/>
  <c r="L1543"/>
  <c r="L2874"/>
  <c r="L4398"/>
  <c r="L4051"/>
  <c r="L5379"/>
  <c r="L3727"/>
  <c r="L1236"/>
  <c r="L4260"/>
  <c r="L7183"/>
  <c r="L2886"/>
  <c r="L2373"/>
  <c r="L7684"/>
  <c r="L4466"/>
  <c r="L2274"/>
  <c r="L7799"/>
  <c r="L3313"/>
  <c r="L7391"/>
  <c r="L7389"/>
  <c r="L1722"/>
  <c r="L3609"/>
  <c r="L4096"/>
  <c r="L4108"/>
  <c r="L6376"/>
  <c r="L6412"/>
  <c r="L4257"/>
  <c r="L5480"/>
  <c r="L4895"/>
  <c r="L5662"/>
  <c r="L1958"/>
  <c r="L2269"/>
  <c r="L1210"/>
  <c r="L4678"/>
  <c r="L5471"/>
  <c r="L2644"/>
  <c r="L3493"/>
  <c r="L5569"/>
  <c r="L7341"/>
  <c r="L7651"/>
  <c r="L3068"/>
  <c r="L5892"/>
  <c r="L1743"/>
  <c r="L4135"/>
  <c r="L6409"/>
  <c r="L1550"/>
  <c r="L7561"/>
  <c r="L5681"/>
  <c r="L2840"/>
  <c r="L2961"/>
  <c r="L3610"/>
  <c r="L6494"/>
  <c r="L4104"/>
  <c r="L3403"/>
  <c r="L5828"/>
  <c r="L5213"/>
  <c r="L5556"/>
  <c r="L5182"/>
  <c r="L6978"/>
  <c r="L2307"/>
  <c r="L5189"/>
  <c r="L5734"/>
  <c r="L5074"/>
  <c r="L2520"/>
  <c r="L5711"/>
  <c r="L6603"/>
  <c r="L1407"/>
  <c r="L7181"/>
  <c r="L3451"/>
  <c r="L3402"/>
  <c r="L1741"/>
  <c r="L3693"/>
  <c r="L1797"/>
  <c r="L1824"/>
  <c r="L1412"/>
  <c r="L6463"/>
  <c r="L7996"/>
  <c r="L2997"/>
  <c r="L3535"/>
  <c r="L7425"/>
  <c r="L1416"/>
  <c r="L7565"/>
  <c r="L2162"/>
  <c r="L5166"/>
  <c r="L5736"/>
  <c r="L6825"/>
  <c r="L3347"/>
  <c r="L5488"/>
  <c r="L1708"/>
  <c r="L3473"/>
  <c r="L4338"/>
  <c r="L6128"/>
  <c r="L4892"/>
  <c r="L2516"/>
  <c r="L7938"/>
  <c r="L7569"/>
  <c r="L6107"/>
  <c r="L2931"/>
  <c r="L1344"/>
  <c r="L5512"/>
  <c r="L1585"/>
  <c r="L7890"/>
  <c r="L7062"/>
  <c r="L4693"/>
  <c r="L3127"/>
  <c r="L2023"/>
  <c r="L1692"/>
  <c r="L7866"/>
  <c r="L6364"/>
  <c r="L3129"/>
  <c r="L6690"/>
  <c r="L7563"/>
  <c r="L6990"/>
  <c r="L3567"/>
  <c r="L4808"/>
  <c r="L7930"/>
  <c r="L4977"/>
  <c r="L7752"/>
  <c r="L1801"/>
  <c r="L6731"/>
  <c r="L1928"/>
  <c r="L3299"/>
  <c r="L3344"/>
  <c r="L4144"/>
  <c r="L3371"/>
  <c r="L7566"/>
  <c r="L7889"/>
  <c r="L6180"/>
  <c r="L1806"/>
  <c r="L6190"/>
  <c r="L2291"/>
  <c r="L7600"/>
  <c r="L1132"/>
  <c r="L2388"/>
  <c r="L2212"/>
  <c r="L4633"/>
  <c r="L7106"/>
  <c r="L2955"/>
  <c r="L3055"/>
  <c r="L4742"/>
  <c r="L7274"/>
  <c r="L4050"/>
  <c r="L3696"/>
  <c r="L3794"/>
  <c r="L7750"/>
  <c r="L2187"/>
  <c r="L3940"/>
  <c r="L2437"/>
  <c r="L7501"/>
  <c r="L7237"/>
  <c r="L7643"/>
  <c r="L4378"/>
  <c r="L3508"/>
  <c r="L6796"/>
  <c r="L5125"/>
  <c r="L1955"/>
  <c r="L4217"/>
  <c r="L2128"/>
  <c r="L5129"/>
  <c r="L5245"/>
  <c r="L6360"/>
  <c r="L7928"/>
  <c r="L1697"/>
  <c r="L6712"/>
  <c r="L6233"/>
  <c r="L5515"/>
  <c r="L3792"/>
  <c r="L2234"/>
  <c r="L7123"/>
  <c r="L3523"/>
  <c r="L7418"/>
  <c r="L6327"/>
  <c r="L7840"/>
  <c r="L4187"/>
  <c r="L1302"/>
  <c r="L5393"/>
  <c r="L7849"/>
  <c r="L1359"/>
  <c r="L2569"/>
  <c r="L1555"/>
  <c r="L6033"/>
  <c r="L4403"/>
  <c r="L4804"/>
  <c r="L6255"/>
  <c r="L7517"/>
  <c r="L6214"/>
  <c r="L7477"/>
  <c r="L6420"/>
  <c r="L6600"/>
  <c r="L3599"/>
  <c r="L6039"/>
  <c r="L2144"/>
  <c r="L2406"/>
  <c r="L6844"/>
  <c r="L2480"/>
  <c r="L7390"/>
  <c r="L5744"/>
  <c r="L2915"/>
  <c r="L2012"/>
  <c r="L7908"/>
  <c r="L6804"/>
  <c r="L2882"/>
  <c r="L4879"/>
  <c r="L6568"/>
  <c r="L7057"/>
  <c r="L3152"/>
  <c r="L5684"/>
  <c r="L7107"/>
  <c r="L3584"/>
  <c r="L5200"/>
  <c r="L2481"/>
  <c r="L6253"/>
  <c r="L1261"/>
  <c r="L6616"/>
  <c r="L7533"/>
  <c r="L2587"/>
  <c r="L5137"/>
  <c r="L7984"/>
  <c r="L7310"/>
  <c r="L1652"/>
  <c r="L2420"/>
  <c r="L6030"/>
  <c r="L7095"/>
  <c r="L5145"/>
  <c r="L2599"/>
  <c r="L1996"/>
  <c r="L4625"/>
  <c r="L5255"/>
  <c r="L6219"/>
  <c r="L4904"/>
  <c r="L2947"/>
  <c r="L3089"/>
  <c r="L2984"/>
  <c r="L5903"/>
  <c r="L6361"/>
  <c r="L7811"/>
  <c r="L4119"/>
  <c r="L6957"/>
  <c r="L6389"/>
  <c r="L1684"/>
  <c r="L7807"/>
  <c r="L7394"/>
  <c r="L6050"/>
  <c r="L3824"/>
  <c r="L5222"/>
  <c r="L6453"/>
  <c r="L2517"/>
  <c r="L2034"/>
  <c r="L2688"/>
  <c r="L4300"/>
  <c r="L2221"/>
  <c r="L5864"/>
  <c r="L4590"/>
  <c r="L6910"/>
  <c r="L3259"/>
  <c r="L6208"/>
  <c r="L1175"/>
  <c r="L7361"/>
  <c r="L7221"/>
  <c r="L4755"/>
  <c r="L6725"/>
  <c r="L3955"/>
  <c r="L3799"/>
  <c r="L2097"/>
  <c r="L7761"/>
  <c r="L7278"/>
  <c r="L5869"/>
  <c r="L6132"/>
  <c r="L5298"/>
  <c r="L1347"/>
  <c r="L5346"/>
  <c r="L3173"/>
  <c r="L1531"/>
  <c r="L4017"/>
  <c r="L5087"/>
  <c r="L6176"/>
  <c r="L7945"/>
  <c r="L6495"/>
  <c r="L1758"/>
  <c r="L1454"/>
  <c r="L5308"/>
  <c r="L1999"/>
  <c r="L5043"/>
  <c r="L1522"/>
  <c r="L1517"/>
  <c r="L6404"/>
  <c r="L1641"/>
  <c r="L7088"/>
  <c r="L2707"/>
  <c r="L7268"/>
  <c r="L3228"/>
  <c r="L6304"/>
  <c r="L2229"/>
  <c r="L3346"/>
  <c r="L1775"/>
  <c r="L4623"/>
  <c r="L2760"/>
  <c r="L1476"/>
  <c r="L3004"/>
  <c r="L3629"/>
  <c r="L4915"/>
  <c r="L4864"/>
  <c r="L5355"/>
  <c r="L1982"/>
  <c r="L7201"/>
  <c r="L3947"/>
  <c r="L4434"/>
  <c r="L2743"/>
  <c r="L2222"/>
  <c r="L3298"/>
  <c r="L5967"/>
  <c r="L4003"/>
  <c r="L1388"/>
  <c r="L1151"/>
  <c r="L5821"/>
  <c r="L4220"/>
  <c r="L5604"/>
  <c r="L7154"/>
  <c r="L6229"/>
  <c r="L2958"/>
  <c r="L7238"/>
  <c r="L6103"/>
  <c r="L6648"/>
  <c r="L2265"/>
  <c r="L7812"/>
  <c r="L4655"/>
  <c r="L6249"/>
  <c r="L3603"/>
  <c r="L5974"/>
  <c r="L5943"/>
  <c r="L4314"/>
  <c r="L1673"/>
  <c r="L3980"/>
  <c r="L1669"/>
  <c r="L3378"/>
  <c r="L7022"/>
  <c r="L7508"/>
  <c r="L1810"/>
  <c r="L5685"/>
  <c r="L7828"/>
  <c r="L7592"/>
  <c r="L2869"/>
  <c r="L3649"/>
  <c r="L6887"/>
  <c r="L1943"/>
  <c r="L5055"/>
  <c r="L1336"/>
  <c r="L1445"/>
  <c r="L2560"/>
  <c r="L7940"/>
  <c r="L2631"/>
  <c r="L7298"/>
  <c r="L4310"/>
  <c r="L4334"/>
  <c r="L2988"/>
  <c r="L1611"/>
  <c r="L3318"/>
  <c r="L2331"/>
  <c r="L2769"/>
  <c r="L3775"/>
  <c r="L6936"/>
  <c r="L3779"/>
  <c r="L6383"/>
  <c r="L6434"/>
  <c r="L3933"/>
  <c r="L2489"/>
  <c r="L5968"/>
  <c r="L5534"/>
  <c r="L7472"/>
  <c r="L2149"/>
  <c r="L5163"/>
  <c r="L2584"/>
  <c r="L1655"/>
  <c r="L5921"/>
  <c r="L3689"/>
  <c r="L5069"/>
  <c r="L1858"/>
  <c r="L5787"/>
  <c r="L3922"/>
  <c r="L7093"/>
  <c r="L4756"/>
  <c r="L2421"/>
  <c r="L1597"/>
  <c r="L2873"/>
  <c r="L2795"/>
  <c r="L2550"/>
  <c r="L5938"/>
  <c r="L3966"/>
  <c r="L5322"/>
  <c r="L2713"/>
  <c r="L5992"/>
  <c r="L2305"/>
  <c r="L5721"/>
  <c r="L6216"/>
  <c r="L2589"/>
  <c r="L7540"/>
  <c r="L6798"/>
  <c r="L1408"/>
  <c r="L1368"/>
  <c r="L2543"/>
  <c r="L1405"/>
  <c r="L1748"/>
  <c r="L4006"/>
  <c r="L2299"/>
  <c r="L5747"/>
  <c r="L2891"/>
  <c r="L6325"/>
  <c r="L3178"/>
  <c r="L6473"/>
  <c r="L4443"/>
  <c r="L2736"/>
  <c r="L4909"/>
  <c r="L3412"/>
  <c r="L7784"/>
  <c r="L6782"/>
  <c r="L3156"/>
  <c r="L3374"/>
  <c r="L4248"/>
  <c r="L1802"/>
  <c r="L1198"/>
  <c r="L6211"/>
  <c r="L3284"/>
  <c r="L6234"/>
  <c r="L1474"/>
  <c r="L4950"/>
  <c r="L5792"/>
  <c r="L3995"/>
  <c r="L6714"/>
  <c r="L5484"/>
  <c r="L7781"/>
  <c r="L1683"/>
  <c r="L2754"/>
  <c r="L3010"/>
  <c r="L1381"/>
  <c r="L6221"/>
  <c r="L2157"/>
  <c r="L3044"/>
  <c r="L3579"/>
  <c r="L5698"/>
  <c r="L6818"/>
  <c r="L4555"/>
  <c r="L7674"/>
  <c r="L6157"/>
  <c r="L5741"/>
  <c r="L4541"/>
  <c r="L3526"/>
  <c r="L6521"/>
  <c r="L7798"/>
  <c r="L3699"/>
  <c r="L7395"/>
  <c r="L7949"/>
  <c r="L2652"/>
  <c r="L4995"/>
  <c r="L2899"/>
  <c r="L4767"/>
  <c r="L2007"/>
  <c r="L2207"/>
  <c r="L4674"/>
  <c r="L3048"/>
  <c r="L1311"/>
  <c r="L7091"/>
  <c r="L6540"/>
  <c r="L2448"/>
  <c r="L5123"/>
  <c r="L6971"/>
  <c r="L6283"/>
  <c r="L3242"/>
  <c r="L7090"/>
  <c r="L7171"/>
  <c r="L3826"/>
  <c r="L5448"/>
  <c r="L3791"/>
  <c r="L1725"/>
  <c r="L4057"/>
  <c r="L4481"/>
  <c r="L6814"/>
  <c r="L7159"/>
  <c r="L5973"/>
  <c r="L6289"/>
  <c r="L6371"/>
  <c r="L3351"/>
  <c r="L2297"/>
  <c r="L2351"/>
  <c r="L6366"/>
  <c r="L2431"/>
  <c r="L1704"/>
  <c r="L4490"/>
  <c r="L6682"/>
  <c r="L5350"/>
  <c r="L3965"/>
  <c r="L1134"/>
  <c r="L5440"/>
  <c r="L6510"/>
  <c r="L5470"/>
  <c r="L3682"/>
  <c r="L2731"/>
  <c r="L5924"/>
  <c r="L2570"/>
  <c r="L6726"/>
  <c r="L5655"/>
  <c r="L4335"/>
  <c r="L4957"/>
  <c r="L6046"/>
  <c r="L3187"/>
  <c r="L4749"/>
  <c r="L6751"/>
  <c r="L7968"/>
  <c r="L4441"/>
  <c r="L7049"/>
  <c r="L7134"/>
  <c r="L3092"/>
  <c r="L5623"/>
  <c r="L4738"/>
  <c r="L3957"/>
  <c r="L5114"/>
  <c r="L3837"/>
  <c r="L1312"/>
  <c r="L3841"/>
  <c r="L1447"/>
  <c r="L3253"/>
  <c r="L4462"/>
  <c r="L4201"/>
  <c r="L5854"/>
  <c r="L7306"/>
  <c r="L1435"/>
  <c r="L6012"/>
  <c r="L4543"/>
  <c r="L3460"/>
  <c r="L5167"/>
  <c r="L7614"/>
  <c r="L4653"/>
  <c r="L1135"/>
  <c r="L5897"/>
  <c r="L1316"/>
  <c r="L3831"/>
  <c r="L5283"/>
  <c r="L1524"/>
  <c r="L2186"/>
  <c r="L2001"/>
  <c r="L2018"/>
  <c r="L6943"/>
  <c r="L5598"/>
  <c r="L2185"/>
  <c r="L2514"/>
  <c r="L5402"/>
  <c r="L1330"/>
  <c r="L5177"/>
  <c r="L3158"/>
  <c r="L6076"/>
  <c r="L3232"/>
  <c r="L7488"/>
  <c r="L5982"/>
  <c r="L2256"/>
  <c r="L2576"/>
  <c r="L7707"/>
  <c r="L7069"/>
  <c r="L2120"/>
  <c r="L5664"/>
  <c r="L7133"/>
  <c r="L3364"/>
  <c r="L6194"/>
  <c r="L4177"/>
  <c r="L4404"/>
  <c r="L1664"/>
  <c r="L6878"/>
  <c r="L3905"/>
  <c r="L2953"/>
  <c r="L4859"/>
  <c r="L1763"/>
  <c r="L7880"/>
  <c r="L2657"/>
  <c r="L1599"/>
  <c r="L4540"/>
  <c r="L6972"/>
  <c r="L7637"/>
  <c r="L5429"/>
  <c r="L1250"/>
  <c r="L4066"/>
  <c r="L5374"/>
  <c r="L7871"/>
  <c r="L6644"/>
  <c r="L7988"/>
  <c r="L2977"/>
  <c r="L1671"/>
  <c r="L6839"/>
  <c r="L7368"/>
  <c r="L4100"/>
  <c r="L3145"/>
  <c r="L6410"/>
  <c r="L2578"/>
  <c r="L3221"/>
  <c r="L3992"/>
  <c r="L7350"/>
  <c r="L4666"/>
  <c r="L5597"/>
  <c r="L1413"/>
  <c r="L2877"/>
  <c r="L5457"/>
  <c r="L1172"/>
  <c r="L4509"/>
  <c r="L2080"/>
  <c r="L7191"/>
  <c r="L4849"/>
  <c r="L1657"/>
  <c r="L6181"/>
  <c r="L1598"/>
  <c r="L4793"/>
  <c r="L7255"/>
  <c r="L7015"/>
  <c r="L3879"/>
  <c r="L7505"/>
  <c r="L7773"/>
  <c r="L7050"/>
  <c r="L4572"/>
  <c r="L3862"/>
  <c r="L3290"/>
  <c r="L6127"/>
  <c r="L5183"/>
  <c r="L6658"/>
  <c r="L6741"/>
  <c r="L6326"/>
  <c r="L3634"/>
  <c r="L6705"/>
  <c r="L2048"/>
  <c r="L1707"/>
  <c r="L7720"/>
  <c r="L1954"/>
  <c r="L2761"/>
  <c r="L2693"/>
  <c r="L6856"/>
  <c r="L5491"/>
  <c r="L1542"/>
  <c r="L5367"/>
  <c r="L2883"/>
  <c r="L6576"/>
  <c r="L5798"/>
  <c r="L7188"/>
  <c r="L7144"/>
  <c r="L4536"/>
  <c r="L7694"/>
  <c r="L6162"/>
  <c r="L3737"/>
  <c r="L5666"/>
  <c r="L6041"/>
  <c r="L1518"/>
  <c r="L3084"/>
  <c r="L6037"/>
  <c r="L6271"/>
  <c r="L1869"/>
  <c r="L5750"/>
  <c r="L3485"/>
  <c r="L6340"/>
  <c r="L5771"/>
  <c r="L6602"/>
  <c r="L7616"/>
  <c r="L7044"/>
  <c r="L7203"/>
  <c r="L1839"/>
  <c r="L1328"/>
  <c r="L5312"/>
  <c r="L2546"/>
  <c r="L4456"/>
  <c r="L1837"/>
  <c r="L2461"/>
  <c r="L4112"/>
  <c r="L3398"/>
  <c r="L3396"/>
  <c r="L4712"/>
  <c r="L1809"/>
  <c r="L5452"/>
  <c r="L1508"/>
  <c r="L4473"/>
  <c r="L4971"/>
  <c r="L2677"/>
  <c r="L5237"/>
  <c r="L5893"/>
  <c r="L6284"/>
  <c r="L6316"/>
  <c r="L4159"/>
  <c r="L5794"/>
  <c r="L7141"/>
  <c r="L5929"/>
  <c r="L2789"/>
  <c r="L1973"/>
  <c r="L1224"/>
  <c r="L7071"/>
  <c r="L5404"/>
  <c r="L5412"/>
  <c r="L3913"/>
  <c r="L5749"/>
  <c r="L2336"/>
  <c r="L6661"/>
  <c r="L4240"/>
  <c r="L3859"/>
  <c r="L7794"/>
  <c r="L6159"/>
  <c r="L2052"/>
  <c r="L5801"/>
  <c r="L3024"/>
  <c r="L4176"/>
  <c r="L7594"/>
  <c r="L7065"/>
  <c r="L1784"/>
  <c r="L2478"/>
  <c r="L5363"/>
  <c r="L2505"/>
  <c r="L3389"/>
  <c r="L3511"/>
  <c r="L7973"/>
  <c r="L6862"/>
  <c r="L5124"/>
  <c r="L6684"/>
  <c r="L3012"/>
  <c r="L4447"/>
  <c r="L2487"/>
  <c r="L7813"/>
  <c r="L4953"/>
  <c r="L7543"/>
  <c r="L3917"/>
  <c r="L6274"/>
  <c r="L5882"/>
  <c r="L6373"/>
  <c r="L7939"/>
  <c r="L7388"/>
  <c r="L2093"/>
  <c r="L6200"/>
  <c r="L6633"/>
  <c r="L4835"/>
  <c r="L4862"/>
  <c r="L3581"/>
  <c r="L6079"/>
  <c r="L2689"/>
  <c r="L7109"/>
  <c r="L5641"/>
  <c r="L5032"/>
  <c r="L7810"/>
  <c r="L4643"/>
  <c r="L5714"/>
  <c r="L6893"/>
  <c r="L1747"/>
  <c r="L5026"/>
  <c r="L5210"/>
  <c r="L5228"/>
  <c r="L5333"/>
  <c r="L4416"/>
  <c r="L5593"/>
  <c r="L2532"/>
  <c r="L2387"/>
  <c r="L3295"/>
  <c r="L4484"/>
  <c r="L6917"/>
  <c r="L2282"/>
  <c r="L3849"/>
  <c r="L5494"/>
  <c r="L3087"/>
  <c r="L1974"/>
  <c r="L4296"/>
  <c r="L6812"/>
  <c r="L1968"/>
  <c r="L2705"/>
  <c r="L2462"/>
  <c r="L7630"/>
  <c r="L7026"/>
  <c r="L4962"/>
  <c r="L4870"/>
  <c r="L2692"/>
  <c r="L2896"/>
  <c r="L2225"/>
  <c r="L6144"/>
  <c r="L6980"/>
  <c r="L7305"/>
  <c r="L2700"/>
  <c r="L4769"/>
  <c r="L5276"/>
  <c r="L2745"/>
  <c r="L1904"/>
  <c r="L3936"/>
  <c r="L7146"/>
  <c r="L6438"/>
  <c r="L2321"/>
  <c r="L2995"/>
  <c r="L7347"/>
  <c r="L4252"/>
  <c r="L4945"/>
  <c r="L3780"/>
  <c r="L4485"/>
  <c r="L6565"/>
  <c r="L7320"/>
  <c r="L2228"/>
  <c r="L6922"/>
  <c r="L1348"/>
  <c r="L6723"/>
  <c r="L6270"/>
  <c r="L5834"/>
  <c r="L3943"/>
  <c r="L7432"/>
  <c r="L6329"/>
  <c r="L5981"/>
  <c r="L2564"/>
  <c r="L6757"/>
  <c r="L7912"/>
  <c r="L1267"/>
  <c r="L5002"/>
  <c r="L7417"/>
  <c r="L7067"/>
  <c r="L5509"/>
  <c r="L5122"/>
  <c r="L6246"/>
  <c r="L3985"/>
  <c r="L3314"/>
  <c r="L4815"/>
  <c r="L4586"/>
  <c r="L2254"/>
  <c r="L6530"/>
  <c r="L5059"/>
  <c r="L5633"/>
  <c r="L4394"/>
  <c r="L4120"/>
  <c r="L6890"/>
  <c r="L3237"/>
  <c r="L4885"/>
  <c r="L4514"/>
  <c r="L2903"/>
  <c r="L5669"/>
  <c r="L3066"/>
  <c r="L3287"/>
  <c r="L5330"/>
  <c r="L1211"/>
  <c r="L6688"/>
  <c r="L6059"/>
  <c r="L3104"/>
  <c r="L5620"/>
  <c r="L2485"/>
  <c r="L2929"/>
  <c r="L4989"/>
  <c r="L6578"/>
  <c r="L1854"/>
  <c r="L7130"/>
  <c r="L3982"/>
  <c r="L4163"/>
  <c r="L6511"/>
  <c r="L2658"/>
  <c r="L4014"/>
  <c r="L1564"/>
  <c r="L4940"/>
  <c r="L6424"/>
  <c r="L3732"/>
  <c r="L1623"/>
  <c r="L7961"/>
  <c r="L6306"/>
  <c r="L6962"/>
  <c r="L6314"/>
  <c r="L2685"/>
  <c r="L3470"/>
  <c r="L6363"/>
  <c r="L5616"/>
  <c r="L2545"/>
  <c r="L6687"/>
  <c r="L5280"/>
  <c r="L1133"/>
  <c r="L4967"/>
  <c r="L5133"/>
  <c r="L3895"/>
  <c r="L4532"/>
  <c r="L4347"/>
  <c r="L3731"/>
  <c r="L7007"/>
  <c r="L1230"/>
  <c r="L5162"/>
  <c r="L6166"/>
  <c r="L2006"/>
  <c r="L4981"/>
  <c r="L3200"/>
  <c r="L2121"/>
  <c r="L2248"/>
  <c r="L1462"/>
  <c r="L5646"/>
  <c r="L1634"/>
  <c r="L4696"/>
  <c r="L3433"/>
  <c r="L1451"/>
  <c r="L2623"/>
  <c r="L5898"/>
  <c r="L6776"/>
  <c r="L6979"/>
  <c r="L4717"/>
  <c r="L2621"/>
  <c r="L2285"/>
  <c r="L5861"/>
  <c r="L6455"/>
  <c r="L4883"/>
  <c r="L2243"/>
  <c r="L1727"/>
  <c r="L5724"/>
  <c r="L5660"/>
  <c r="L5800"/>
  <c r="L3568"/>
  <c r="L1310"/>
  <c r="L5751"/>
  <c r="L7695"/>
  <c r="L2993"/>
  <c r="L1240"/>
  <c r="L3057"/>
  <c r="L4340"/>
  <c r="L2575"/>
  <c r="L6195"/>
  <c r="L2790"/>
  <c r="L6238"/>
  <c r="L6269"/>
  <c r="L4396"/>
  <c r="L5347"/>
  <c r="L3884"/>
  <c r="L5637"/>
  <c r="L6009"/>
  <c r="L6038"/>
  <c r="L7483"/>
  <c r="L3976"/>
  <c r="L5085"/>
  <c r="L7177"/>
  <c r="L7874"/>
  <c r="L6937"/>
  <c r="L1437"/>
  <c r="L4077"/>
  <c r="L4799"/>
  <c r="L6992"/>
  <c r="L7096"/>
  <c r="L5531"/>
  <c r="L3673"/>
  <c r="L5028"/>
  <c r="L5022"/>
  <c r="L7848"/>
  <c r="L5925"/>
  <c r="L7905"/>
  <c r="L5042"/>
  <c r="L1475"/>
  <c r="L3578"/>
  <c r="L4437"/>
  <c r="L4875"/>
  <c r="L3684"/>
  <c r="L5506"/>
  <c r="L7919"/>
  <c r="L6620"/>
  <c r="L3789"/>
  <c r="L1730"/>
  <c r="L7165"/>
  <c r="L2771"/>
  <c r="L5205"/>
  <c r="L5153"/>
  <c r="L5535"/>
  <c r="L7780"/>
  <c r="L1391"/>
  <c r="L1136"/>
  <c r="L4947"/>
  <c r="L3556"/>
  <c r="L2342"/>
  <c r="L4410"/>
  <c r="L6268"/>
  <c r="L7778"/>
  <c r="L1355"/>
  <c r="L6925"/>
  <c r="L2699"/>
  <c r="L5956"/>
  <c r="L2491"/>
  <c r="L5538"/>
  <c r="L3687"/>
  <c r="L4212"/>
  <c r="L3854"/>
  <c r="L7063"/>
  <c r="L5084"/>
  <c r="L4748"/>
  <c r="L7591"/>
  <c r="L6294"/>
  <c r="L2041"/>
  <c r="L7156"/>
  <c r="L4562"/>
  <c r="L2455"/>
  <c r="L5270"/>
  <c r="L1714"/>
  <c r="L3598"/>
  <c r="L7013"/>
  <c r="L6899"/>
  <c r="L6254"/>
  <c r="L3563"/>
  <c r="L6801"/>
  <c r="L2125"/>
  <c r="L5339"/>
  <c r="L1373"/>
  <c r="L7663"/>
  <c r="L4375"/>
  <c r="L3906"/>
  <c r="L6496"/>
  <c r="L5648"/>
  <c r="L5238"/>
  <c r="L5271"/>
  <c r="L5835"/>
  <c r="L3626"/>
  <c r="L7344"/>
  <c r="L2264"/>
  <c r="L5170"/>
  <c r="L5621"/>
  <c r="L5383"/>
  <c r="L5070"/>
  <c r="L4702"/>
  <c r="L2870"/>
  <c r="L7842"/>
  <c r="L7392"/>
  <c r="L6482"/>
  <c r="L6803"/>
  <c r="L1370"/>
  <c r="L1711"/>
  <c r="L1637"/>
  <c r="L3171"/>
  <c r="L5360"/>
  <c r="L5840"/>
  <c r="L6951"/>
  <c r="L1329"/>
  <c r="L7805"/>
  <c r="L6991"/>
  <c r="L4634"/>
  <c r="L2329"/>
  <c r="L1663"/>
  <c r="L5083"/>
  <c r="L4279"/>
  <c r="L7222"/>
  <c r="L5077"/>
  <c r="L7850"/>
  <c r="L3191"/>
  <c r="L2337"/>
  <c r="L3958"/>
  <c r="L3368"/>
  <c r="L7005"/>
  <c r="L6382"/>
  <c r="L7574"/>
  <c r="L5035"/>
  <c r="L7119"/>
  <c r="L5193"/>
  <c r="L2069"/>
  <c r="L4126"/>
  <c r="L6676"/>
  <c r="L4548"/>
  <c r="L6875"/>
  <c r="L1765"/>
  <c r="L1322"/>
  <c r="L5478"/>
  <c r="L4088"/>
  <c r="L3039"/>
  <c r="L4936"/>
  <c r="L2289"/>
  <c r="L4596"/>
  <c r="L2807"/>
  <c r="L5000"/>
  <c r="L1882"/>
  <c r="L7454"/>
  <c r="L4823"/>
  <c r="L6174"/>
  <c r="L1627"/>
  <c r="L1833"/>
  <c r="L5806"/>
  <c r="L3276"/>
  <c r="L4564"/>
  <c r="L7474"/>
  <c r="L2068"/>
  <c r="L7964"/>
  <c r="L7387"/>
  <c r="L1936"/>
  <c r="L3998"/>
  <c r="L1783"/>
  <c r="L4122"/>
  <c r="L6337"/>
  <c r="L5822"/>
  <c r="L4553"/>
  <c r="L4519"/>
  <c r="L2872"/>
  <c r="L2488"/>
  <c r="L1946"/>
  <c r="L2557"/>
  <c r="L2710"/>
  <c r="L1470"/>
  <c r="L1650"/>
  <c r="L4896"/>
  <c r="L6522"/>
  <c r="L5560"/>
  <c r="L7277"/>
  <c r="L4577"/>
  <c r="L2724"/>
  <c r="L5595"/>
  <c r="L2643"/>
  <c r="L4779"/>
  <c r="L2153"/>
  <c r="L3769"/>
  <c r="L4595"/>
  <c r="L2694"/>
  <c r="L7891"/>
  <c r="L6282"/>
  <c r="L5481"/>
  <c r="L5468"/>
  <c r="L5983"/>
  <c r="L7642"/>
  <c r="L4173"/>
  <c r="L5249"/>
  <c r="L1363"/>
  <c r="L7495"/>
  <c r="L5953"/>
  <c r="L5359"/>
  <c r="L7276"/>
  <c r="L4886"/>
  <c r="L3283"/>
  <c r="L2109"/>
  <c r="L3091"/>
  <c r="L6921"/>
  <c r="L7429"/>
  <c r="L2535"/>
  <c r="L4739"/>
  <c r="L6305"/>
  <c r="L6504"/>
  <c r="L2926"/>
  <c r="L2450"/>
  <c r="L5602"/>
  <c r="L5568"/>
  <c r="L2112"/>
  <c r="L3180"/>
  <c r="L3516"/>
  <c r="L4294"/>
  <c r="L6843"/>
  <c r="L3702"/>
  <c r="L5873"/>
  <c r="L2099"/>
  <c r="L6508"/>
  <c r="L4629"/>
  <c r="L3034"/>
  <c r="L7323"/>
  <c r="L4575"/>
  <c r="L1185"/>
  <c r="L3033"/>
  <c r="L7553"/>
  <c r="L4734"/>
  <c r="L7089"/>
  <c r="L6342"/>
  <c r="L6995"/>
  <c r="L4583"/>
  <c r="L6559"/>
  <c r="L5365"/>
  <c r="L3631"/>
  <c r="L5252"/>
  <c r="L1703"/>
  <c r="L3159"/>
  <c r="L2737"/>
  <c r="L1576"/>
  <c r="L3214"/>
  <c r="L3937"/>
  <c r="L7555"/>
  <c r="L5224"/>
  <c r="L3264"/>
  <c r="L1377"/>
  <c r="L6261"/>
  <c r="L1626"/>
  <c r="L6402"/>
  <c r="L3528"/>
  <c r="L1212"/>
  <c r="L4582"/>
  <c r="L3029"/>
  <c r="L3671"/>
  <c r="L5525"/>
  <c r="L1270"/>
  <c r="L7662"/>
  <c r="L3126"/>
  <c r="L1972"/>
  <c r="L2089"/>
  <c r="L6499"/>
  <c r="L7078"/>
  <c r="L3222"/>
  <c r="L3492"/>
  <c r="L2601"/>
  <c r="L7348"/>
  <c r="L4542"/>
  <c r="L3521"/>
  <c r="L7776"/>
  <c r="L2332"/>
  <c r="L2609"/>
  <c r="L2170"/>
  <c r="L1698"/>
  <c r="L1288"/>
  <c r="L4637"/>
  <c r="L3623"/>
  <c r="L2147"/>
  <c r="L1643"/>
  <c r="L7875"/>
  <c r="L1678"/>
  <c r="L2074"/>
  <c r="L4932"/>
  <c r="L1353"/>
  <c r="L4809"/>
  <c r="L2772"/>
  <c r="L5392"/>
  <c r="L1906"/>
  <c r="L5668"/>
  <c r="L4069"/>
  <c r="L5699"/>
  <c r="L2919"/>
  <c r="L5689"/>
  <c r="L7263"/>
  <c r="L4797"/>
  <c r="L4494"/>
  <c r="L1159"/>
  <c r="L5644"/>
  <c r="L5584"/>
  <c r="L7916"/>
  <c r="L6547"/>
  <c r="L5204"/>
  <c r="L1849"/>
  <c r="L3079"/>
  <c r="L2003"/>
  <c r="L1218"/>
  <c r="L6683"/>
  <c r="L2964"/>
  <c r="L6377"/>
  <c r="L5582"/>
  <c r="L2211"/>
  <c r="L6413"/>
  <c r="L3047"/>
  <c r="L3181"/>
  <c r="L7872"/>
  <c r="L1694"/>
  <c r="L2863"/>
  <c r="L3774"/>
  <c r="L4045"/>
  <c r="L3263"/>
  <c r="L1945"/>
  <c r="L3677"/>
  <c r="L4727"/>
  <c r="L4185"/>
  <c r="L5871"/>
  <c r="L7923"/>
  <c r="L2292"/>
  <c r="L2474"/>
  <c r="L4503"/>
  <c r="L4429"/>
  <c r="L3285"/>
  <c r="L7365"/>
  <c r="L3206"/>
  <c r="L2231"/>
  <c r="L1292"/>
  <c r="L4181"/>
  <c r="L2904"/>
  <c r="L5755"/>
  <c r="L7669"/>
  <c r="L3110"/>
  <c r="L4284"/>
  <c r="L1794"/>
  <c r="L3856"/>
  <c r="L3025"/>
  <c r="L4224"/>
  <c r="L6202"/>
  <c r="L3333"/>
  <c r="L7702"/>
  <c r="L3425"/>
  <c r="L3925"/>
  <c r="L3656"/>
  <c r="L6081"/>
  <c r="L5987"/>
  <c r="L4906"/>
  <c r="L5306"/>
  <c r="L7124"/>
  <c r="L7583"/>
  <c r="L6548"/>
  <c r="L1528"/>
  <c r="L7440"/>
  <c r="L7826"/>
  <c r="L1324"/>
  <c r="L5679"/>
  <c r="L3302"/>
  <c r="L5208"/>
  <c r="L1624"/>
  <c r="L4348"/>
  <c r="L6771"/>
  <c r="L5498"/>
  <c r="L5984"/>
  <c r="L3974"/>
  <c r="L5091"/>
  <c r="L1889"/>
  <c r="L2770"/>
  <c r="L4476"/>
  <c r="L3138"/>
  <c r="L4161"/>
  <c r="L6465"/>
  <c r="L3932"/>
  <c r="L4874"/>
  <c r="L2218"/>
  <c r="L5476"/>
  <c r="L5336"/>
  <c r="L4040"/>
  <c r="L5827"/>
  <c r="L2678"/>
  <c r="L4716"/>
  <c r="L4677"/>
  <c r="L4672"/>
  <c r="L5230"/>
  <c r="L2310"/>
  <c r="L5001"/>
  <c r="L6183"/>
  <c r="L7025"/>
  <c r="L4228"/>
  <c r="L4523"/>
  <c r="L6766"/>
  <c r="L3968"/>
  <c r="L2130"/>
  <c r="L6908"/>
  <c r="L1961"/>
  <c r="L3674"/>
  <c r="L2029"/>
  <c r="L5174"/>
  <c r="L3753"/>
  <c r="L7385"/>
  <c r="L5731"/>
  <c r="L1499"/>
  <c r="L5104"/>
  <c r="L6451"/>
  <c r="L6094"/>
  <c r="L3169"/>
  <c r="L5477"/>
  <c r="L4237"/>
  <c r="L6417"/>
  <c r="L4276"/>
  <c r="L7393"/>
  <c r="L7745"/>
  <c r="L3357"/>
  <c r="L6702"/>
  <c r="L2671"/>
  <c r="L4952"/>
  <c r="L2841"/>
  <c r="L7098"/>
  <c r="L4732"/>
  <c r="L5683"/>
  <c r="L2971"/>
  <c r="L2415"/>
  <c r="L3785"/>
  <c r="L7900"/>
  <c r="L7002"/>
  <c r="L7537"/>
  <c r="L5632"/>
  <c r="L2847"/>
  <c r="L4005"/>
  <c r="L4624"/>
  <c r="L4680"/>
  <c r="L2136"/>
  <c r="L7956"/>
  <c r="L2767"/>
  <c r="L7958"/>
  <c r="L1667"/>
  <c r="L5917"/>
  <c r="L5922"/>
  <c r="L2696"/>
  <c r="L3198"/>
  <c r="L2544"/>
  <c r="L7509"/>
  <c r="L3032"/>
  <c r="L3056"/>
  <c r="L3410"/>
  <c r="L5181"/>
  <c r="L2585"/>
  <c r="L7731"/>
  <c r="L2101"/>
  <c r="L7546"/>
  <c r="L3286"/>
  <c r="L2598"/>
  <c r="L7884"/>
  <c r="L4337"/>
  <c r="L3616"/>
  <c r="L6888"/>
  <c r="L5362"/>
  <c r="L4554"/>
  <c r="L7035"/>
  <c r="L4701"/>
  <c r="L5381"/>
  <c r="L6764"/>
  <c r="L5791"/>
  <c r="L3809"/>
  <c r="L5618"/>
  <c r="L4707"/>
  <c r="L7317"/>
  <c r="L6529"/>
  <c r="L6919"/>
  <c r="L4081"/>
  <c r="L4976"/>
  <c r="L5115"/>
  <c r="L1846"/>
  <c r="L5659"/>
  <c r="L4918"/>
  <c r="L4164"/>
  <c r="L3751"/>
  <c r="L4389"/>
  <c r="L4470"/>
  <c r="L7710"/>
  <c r="L6188"/>
  <c r="L3375"/>
  <c r="L3873"/>
  <c r="L1369"/>
  <c r="L7467"/>
  <c r="L3997"/>
  <c r="L2765"/>
  <c r="L7712"/>
  <c r="L1814"/>
  <c r="L4124"/>
  <c r="L2402"/>
  <c r="L4563"/>
  <c r="L3236"/>
  <c r="L1616"/>
  <c r="L7261"/>
  <c r="L4992"/>
  <c r="L2962"/>
  <c r="L6536"/>
  <c r="L1303"/>
  <c r="L7076"/>
  <c r="L1350"/>
  <c r="L6832"/>
  <c r="L3440"/>
  <c r="L1283"/>
  <c r="L6139"/>
  <c r="L2314"/>
  <c r="L6716"/>
  <c r="L4464"/>
  <c r="L3539"/>
  <c r="L7363"/>
  <c r="L7054"/>
  <c r="L2442"/>
  <c r="L6470"/>
  <c r="L3148"/>
  <c r="L2210"/>
  <c r="L4402"/>
  <c r="L3823"/>
  <c r="L2323"/>
  <c r="L3724"/>
  <c r="L5264"/>
  <c r="L4131"/>
  <c r="L5065"/>
  <c r="L7990"/>
  <c r="L4425"/>
  <c r="L1654"/>
  <c r="L4613"/>
  <c r="L3963"/>
  <c r="L4453"/>
  <c r="L4810"/>
  <c r="L2781"/>
  <c r="L2746"/>
  <c r="L2404"/>
  <c r="L2499"/>
  <c r="L7342"/>
  <c r="L2820"/>
  <c r="L7779"/>
  <c r="L4210"/>
  <c r="L5209"/>
  <c r="L7962"/>
  <c r="L1696"/>
  <c r="L7051"/>
  <c r="L4460"/>
  <c r="L3920"/>
  <c r="L4650"/>
  <c r="L4308"/>
  <c r="L7047"/>
  <c r="L4991"/>
  <c r="L1389"/>
  <c r="L3880"/>
  <c r="L5455"/>
  <c r="L1419"/>
  <c r="L6969"/>
  <c r="L4887"/>
  <c r="L4061"/>
  <c r="L5844"/>
  <c r="L6042"/>
  <c r="L6295"/>
  <c r="L6609"/>
  <c r="L7937"/>
  <c r="L7966"/>
  <c r="L7267"/>
  <c r="L4654"/>
  <c r="L3430"/>
  <c r="L6388"/>
  <c r="L1294"/>
  <c r="L3307"/>
  <c r="L2193"/>
  <c r="L4440"/>
  <c r="L3551"/>
  <c r="L5539"/>
  <c r="L6146"/>
  <c r="L6277"/>
  <c r="L5767"/>
  <c r="L6055"/>
  <c r="L6385"/>
  <c r="L1661"/>
  <c r="L2239"/>
  <c r="L7976"/>
  <c r="L6515"/>
  <c r="L1998"/>
  <c r="L7316"/>
  <c r="L1930"/>
  <c r="L3249"/>
  <c r="L5321"/>
  <c r="L7507"/>
  <c r="L4897"/>
  <c r="L3588"/>
  <c r="L3426"/>
  <c r="L2909"/>
  <c r="L4128"/>
  <c r="L3803"/>
  <c r="L7646"/>
  <c r="L6874"/>
  <c r="L1830"/>
  <c r="L7548"/>
  <c r="L7111"/>
  <c r="L1418"/>
  <c r="L6108"/>
  <c r="L1712"/>
  <c r="L6884"/>
  <c r="L1613"/>
  <c r="L7195"/>
  <c r="L5199"/>
  <c r="L4150"/>
  <c r="L2529"/>
  <c r="L6720"/>
  <c r="L4333"/>
  <c r="L6220"/>
  <c r="L5603"/>
  <c r="L1493"/>
  <c r="L7411"/>
  <c r="L5737"/>
  <c r="L3348"/>
  <c r="L1649"/>
  <c r="L1534"/>
  <c r="L1398"/>
  <c r="L4471"/>
  <c r="L1410"/>
  <c r="L1590"/>
  <c r="L3252"/>
  <c r="L5847"/>
  <c r="L4417"/>
  <c r="L5327"/>
  <c r="L5092"/>
  <c r="L7547"/>
  <c r="L3296"/>
  <c r="L3770"/>
  <c r="L6940"/>
  <c r="L4566"/>
  <c r="L1901"/>
  <c r="L4330"/>
  <c r="L7299"/>
  <c r="L7865"/>
  <c r="L1665"/>
  <c r="L5554"/>
  <c r="L3667"/>
  <c r="L7532"/>
  <c r="L6864"/>
  <c r="L2936"/>
  <c r="L4262"/>
  <c r="L3851"/>
  <c r="L7216"/>
  <c r="L7587"/>
  <c r="L6728"/>
  <c r="L2173"/>
  <c r="L5493"/>
  <c r="L7168"/>
  <c r="L4146"/>
  <c r="L4919"/>
  <c r="L4356"/>
  <c r="L4764"/>
  <c r="L3309"/>
  <c r="L1870"/>
  <c r="L1535"/>
  <c r="L7924"/>
  <c r="L3409"/>
  <c r="L6026"/>
  <c r="L3950"/>
  <c r="L3723"/>
  <c r="L3177"/>
  <c r="L4058"/>
  <c r="L1677"/>
  <c r="L1457"/>
  <c r="L4467"/>
  <c r="L7364"/>
  <c r="L4806"/>
  <c r="L5372"/>
  <c r="L5942"/>
  <c r="L4671"/>
  <c r="L6485"/>
  <c r="L1138"/>
  <c r="L5140"/>
  <c r="L6461"/>
  <c r="L7856"/>
  <c r="L7271"/>
  <c r="L5672"/>
  <c r="L2155"/>
  <c r="L3786"/>
  <c r="L4608"/>
  <c r="L7697"/>
  <c r="L5326"/>
  <c r="L6974"/>
  <c r="L6210"/>
  <c r="L3883"/>
  <c r="L4837"/>
  <c r="L6793"/>
  <c r="L7422"/>
  <c r="L1274"/>
  <c r="L5382"/>
  <c r="L7142"/>
  <c r="L2405"/>
  <c r="L6478"/>
  <c r="L7658"/>
  <c r="L3518"/>
  <c r="L2426"/>
  <c r="L2085"/>
  <c r="L5450"/>
  <c r="L3168"/>
  <c r="L3016"/>
  <c r="L2686"/>
  <c r="L7682"/>
  <c r="L5278"/>
  <c r="L7240"/>
  <c r="L2861"/>
  <c r="L7075"/>
  <c r="L7604"/>
  <c r="L4757"/>
  <c r="L2161"/>
  <c r="L2640"/>
  <c r="L2659"/>
  <c r="L2280"/>
  <c r="L3840"/>
  <c r="L3633"/>
  <c r="L2058"/>
  <c r="L4513"/>
  <c r="L5504"/>
  <c r="L2996"/>
  <c r="L1865"/>
  <c r="L3082"/>
  <c r="L5080"/>
  <c r="L4700"/>
  <c r="L4227"/>
  <c r="L7830"/>
  <c r="L7834"/>
  <c r="L1162"/>
  <c r="L4156"/>
  <c r="L3342"/>
  <c r="L7016"/>
  <c r="L1227"/>
  <c r="L7681"/>
  <c r="L7726"/>
  <c r="L4457"/>
  <c r="L2533"/>
  <c r="L6206"/>
  <c r="L2600"/>
  <c r="L6811"/>
  <c r="L5740"/>
  <c r="L6827"/>
  <c r="L3771"/>
  <c r="L7252"/>
  <c r="L4640"/>
  <c r="L4609"/>
  <c r="L1342"/>
  <c r="L3245"/>
  <c r="L1201"/>
  <c r="L3139"/>
  <c r="L7407"/>
  <c r="L7590"/>
  <c r="L2605"/>
  <c r="L4824"/>
  <c r="L1569"/>
  <c r="L1967"/>
  <c r="L3541"/>
  <c r="L2246"/>
  <c r="L7321"/>
  <c r="L1204"/>
  <c r="L3714"/>
  <c r="L3711"/>
  <c r="L5467"/>
  <c r="L4380"/>
  <c r="L5188"/>
  <c r="L7625"/>
  <c r="L3680"/>
  <c r="L4900"/>
  <c r="L7803"/>
  <c r="L3061"/>
  <c r="L3120"/>
  <c r="L7611"/>
  <c r="L5808"/>
  <c r="L4846"/>
  <c r="L7654"/>
  <c r="L4174"/>
  <c r="L2835"/>
  <c r="L6248"/>
  <c r="L4175"/>
  <c r="L4511"/>
  <c r="L3532"/>
  <c r="L1188"/>
  <c r="L7272"/>
  <c r="L7942"/>
  <c r="L6761"/>
  <c r="L7536"/>
  <c r="L6637"/>
  <c r="L7029"/>
  <c r="L1459"/>
  <c r="L4446"/>
  <c r="L7831"/>
  <c r="L4413"/>
  <c r="L6265"/>
  <c r="L5910"/>
  <c r="L5972"/>
  <c r="L6015"/>
  <c r="L6021"/>
  <c r="L3356"/>
  <c r="L3533"/>
  <c r="L1422"/>
  <c r="L6224"/>
  <c r="L4101"/>
  <c r="L5037"/>
  <c r="L3494"/>
  <c r="L2255"/>
  <c r="L2866"/>
  <c r="L2165"/>
  <c r="L7147"/>
  <c r="L3123"/>
  <c r="L3320"/>
  <c r="L3421"/>
  <c r="L6704"/>
  <c r="L6474"/>
  <c r="L7224"/>
  <c r="L7816"/>
  <c r="L7245"/>
  <c r="L2010"/>
  <c r="L3030"/>
  <c r="L6668"/>
  <c r="L3668"/>
  <c r="L7059"/>
  <c r="L4454"/>
  <c r="L2531"/>
  <c r="L2267"/>
  <c r="L2296"/>
  <c r="L5713"/>
  <c r="L5651"/>
  <c r="L6480"/>
  <c r="L7860"/>
  <c r="L4097"/>
  <c r="L5879"/>
  <c r="L1835"/>
  <c r="L2998"/>
  <c r="L4493"/>
  <c r="L3628"/>
  <c r="L6242"/>
  <c r="L4836"/>
  <c r="L3648"/>
  <c r="L6247"/>
  <c r="L2664"/>
  <c r="L4127"/>
  <c r="L6380"/>
  <c r="L7931"/>
  <c r="L1452"/>
  <c r="L5500"/>
  <c r="L5050"/>
  <c r="L3638"/>
  <c r="L7131"/>
  <c r="L5369"/>
  <c r="L1179"/>
  <c r="L6450"/>
  <c r="L7085"/>
  <c r="L6610"/>
  <c r="L6106"/>
  <c r="L1614"/>
  <c r="L7751"/>
  <c r="L7118"/>
  <c r="L6432"/>
  <c r="L7487"/>
  <c r="L4136"/>
  <c r="L1553"/>
  <c r="L2632"/>
  <c r="L3569"/>
  <c r="L1190"/>
  <c r="L4816"/>
  <c r="L5138"/>
  <c r="L6090"/>
  <c r="L4044"/>
  <c r="L3141"/>
  <c r="L4322"/>
  <c r="L4898"/>
  <c r="L7210"/>
  <c r="L1691"/>
  <c r="L2433"/>
  <c r="L6231"/>
  <c r="L6781"/>
  <c r="L1948"/>
  <c r="L6452"/>
  <c r="L4938"/>
  <c r="L4426"/>
  <c r="L4282"/>
  <c r="L2361"/>
  <c r="L7332"/>
  <c r="L6308"/>
  <c r="L5548"/>
  <c r="L7918"/>
  <c r="L1351"/>
  <c r="L2607"/>
  <c r="L5886"/>
  <c r="L3115"/>
  <c r="L1546"/>
  <c r="L7525"/>
  <c r="L4890"/>
  <c r="L5150"/>
  <c r="L1774"/>
  <c r="L5919"/>
  <c r="L1176"/>
  <c r="L5014"/>
  <c r="L7357"/>
  <c r="L7489"/>
  <c r="L4856"/>
  <c r="L5206"/>
  <c r="L3335"/>
  <c r="L3500"/>
  <c r="L5259"/>
  <c r="L6744"/>
  <c r="L5916"/>
  <c r="L6589"/>
  <c r="L7103"/>
  <c r="L4620"/>
  <c r="L5998"/>
  <c r="L5691"/>
  <c r="L4569"/>
  <c r="L6952"/>
  <c r="L4863"/>
  <c r="L4287"/>
  <c r="L6643"/>
  <c r="L4631"/>
  <c r="L2934"/>
  <c r="L3954"/>
  <c r="L5435"/>
  <c r="L1496"/>
  <c r="L6709"/>
  <c r="L2298"/>
  <c r="L2551"/>
  <c r="L6625"/>
  <c r="L6512"/>
  <c r="L7858"/>
  <c r="L5012"/>
  <c r="L4292"/>
  <c r="L7708"/>
  <c r="L4035"/>
  <c r="L4983"/>
  <c r="L2043"/>
  <c r="L7927"/>
  <c r="L1406"/>
  <c r="L6533"/>
  <c r="L1374"/>
  <c r="L2775"/>
  <c r="L1502"/>
  <c r="L1630"/>
  <c r="L4068"/>
  <c r="L4324"/>
  <c r="L5349"/>
  <c r="L5761"/>
  <c r="L6476"/>
  <c r="L4158"/>
  <c r="L1947"/>
  <c r="L3166"/>
  <c r="L6472"/>
  <c r="L3163"/>
  <c r="L3782"/>
  <c r="L6558"/>
  <c r="L3935"/>
  <c r="L2306"/>
  <c r="L2178"/>
  <c r="L2132"/>
  <c r="L1815"/>
  <c r="L7070"/>
  <c r="L7579"/>
  <c r="L7593"/>
  <c r="L1715"/>
  <c r="L2084"/>
  <c r="L5605"/>
  <c r="L4321"/>
  <c r="L4752"/>
  <c r="L6355"/>
  <c r="L1773"/>
  <c r="L2646"/>
  <c r="L1766"/>
  <c r="L3051"/>
  <c r="L1580"/>
  <c r="L3490"/>
  <c r="L6577"/>
  <c r="L5676"/>
  <c r="L3292"/>
  <c r="L1811"/>
  <c r="L1574"/>
  <c r="L6758"/>
  <c r="L2459"/>
  <c r="L2050"/>
  <c r="L1600"/>
  <c r="L6083"/>
  <c r="L4754"/>
  <c r="L5380"/>
  <c r="L7699"/>
  <c r="L3999"/>
  <c r="L6411"/>
  <c r="L1130"/>
  <c r="L5433"/>
  <c r="L7853"/>
  <c r="L1178"/>
  <c r="L7384"/>
  <c r="L2855"/>
  <c r="L3487"/>
  <c r="L3317"/>
  <c r="L3447"/>
  <c r="L6639"/>
  <c r="L1453"/>
  <c r="L3220"/>
  <c r="L1295"/>
  <c r="L5517"/>
  <c r="L1911"/>
  <c r="L3303"/>
  <c r="L6017"/>
  <c r="L6381"/>
  <c r="L6421"/>
  <c r="L1245"/>
  <c r="L3612"/>
  <c r="L4418"/>
  <c r="L5473"/>
  <c r="L7982"/>
  <c r="L6370"/>
  <c r="L4407"/>
  <c r="L6001"/>
  <c r="L6395"/>
  <c r="L7727"/>
  <c r="L5889"/>
  <c r="L7847"/>
  <c r="L1680"/>
  <c r="L2615"/>
  <c r="L2515"/>
  <c r="L5250"/>
  <c r="L5016"/>
  <c r="L1191"/>
  <c r="L1421"/>
  <c r="L5803"/>
  <c r="L1581"/>
  <c r="L4729"/>
  <c r="L7172"/>
  <c r="L4617"/>
  <c r="L4669"/>
  <c r="L1729"/>
  <c r="L7326"/>
  <c r="L4626"/>
  <c r="L2507"/>
  <c r="L1256"/>
  <c r="L6070"/>
  <c r="L1952"/>
  <c r="L2796"/>
  <c r="L6815"/>
  <c r="L5426"/>
  <c r="L7530"/>
  <c r="L5830"/>
  <c r="L6213"/>
  <c r="L1317"/>
  <c r="L3757"/>
  <c r="L1208"/>
  <c r="L6414"/>
  <c r="L5173"/>
  <c r="L6840"/>
  <c r="L5031"/>
  <c r="L6307"/>
  <c r="L2203"/>
  <c r="L4054"/>
  <c r="L6281"/>
  <c r="L2096"/>
  <c r="L5530"/>
  <c r="L3111"/>
  <c r="L4184"/>
  <c r="L2365"/>
  <c r="L6093"/>
  <c r="L7359"/>
  <c r="L4878"/>
  <c r="L5613"/>
  <c r="L4618"/>
  <c r="L6486"/>
  <c r="L6863"/>
  <c r="L5545"/>
  <c r="L6163"/>
  <c r="L3857"/>
  <c r="L3167"/>
  <c r="L2454"/>
  <c r="L6018"/>
  <c r="L4138"/>
  <c r="L5647"/>
  <c r="L6794"/>
  <c r="L1254"/>
  <c r="L2892"/>
  <c r="L1160"/>
  <c r="L4770"/>
  <c r="L3800"/>
  <c r="L2617"/>
  <c r="L4070"/>
  <c r="L3392"/>
  <c r="L6065"/>
  <c r="L6580"/>
  <c r="L3149"/>
  <c r="L7655"/>
  <c r="L4592"/>
  <c r="L1875"/>
  <c r="L6889"/>
  <c r="L4939"/>
  <c r="L4774"/>
  <c r="L3064"/>
  <c r="L2348"/>
  <c r="L3481"/>
  <c r="L3698"/>
  <c r="L4015"/>
  <c r="L4730"/>
  <c r="L1791"/>
  <c r="L1751"/>
  <c r="L2530"/>
  <c r="L1792"/>
  <c r="L1933"/>
  <c r="L6954"/>
  <c r="L3664"/>
  <c r="L7824"/>
  <c r="L2797"/>
  <c r="L3747"/>
  <c r="L3189"/>
  <c r="L2346"/>
  <c r="L3712"/>
  <c r="L4076"/>
  <c r="L3845"/>
  <c r="L5866"/>
  <c r="L7896"/>
  <c r="L1194"/>
  <c r="L3843"/>
  <c r="L3660"/>
  <c r="L5627"/>
  <c r="L7433"/>
  <c r="L7414"/>
  <c r="L4115"/>
  <c r="L6933"/>
  <c r="L5171"/>
  <c r="L4766"/>
  <c r="L2090"/>
  <c r="L3072"/>
  <c r="L7021"/>
  <c r="L7782"/>
  <c r="L4361"/>
  <c r="L5241"/>
  <c r="L7877"/>
  <c r="L3497"/>
  <c r="L5774"/>
  <c r="L1962"/>
  <c r="L2115"/>
  <c r="L1886"/>
  <c r="L6150"/>
  <c r="L5932"/>
  <c r="L3365"/>
  <c r="L2446"/>
  <c r="L1383"/>
  <c r="L7097"/>
  <c r="L1403"/>
  <c r="L7922"/>
  <c r="L7120"/>
  <c r="L4713"/>
  <c r="L1331"/>
  <c r="L5706"/>
  <c r="L6566"/>
  <c r="L3147"/>
  <c r="L4213"/>
  <c r="L4401"/>
  <c r="L5395"/>
  <c r="L5874"/>
  <c r="L1733"/>
  <c r="L6636"/>
  <c r="L2817"/>
  <c r="L2756"/>
  <c r="L3607"/>
  <c r="L1365"/>
  <c r="L4488"/>
  <c r="L7788"/>
  <c r="L7494"/>
  <c r="L5184"/>
  <c r="L5905"/>
  <c r="L6133"/>
  <c r="L7724"/>
  <c r="L6096"/>
  <c r="L6618"/>
  <c r="L6066"/>
  <c r="L1916"/>
  <c r="L1533"/>
  <c r="L7739"/>
  <c r="L3327"/>
  <c r="L5954"/>
  <c r="L2920"/>
  <c r="L3787"/>
  <c r="L6160"/>
  <c r="L6138"/>
  <c r="L7844"/>
  <c r="L3704"/>
  <c r="L6184"/>
  <c r="L4798"/>
  <c r="L7077"/>
  <c r="L3665"/>
  <c r="L6824"/>
  <c r="L4433"/>
  <c r="L3897"/>
  <c r="L7003"/>
  <c r="L6750"/>
  <c r="L3397"/>
  <c r="L2715"/>
  <c r="L7696"/>
  <c r="L6541"/>
  <c r="L1469"/>
  <c r="L5608"/>
  <c r="L5759"/>
  <c r="L6431"/>
  <c r="L2682"/>
  <c r="L4483"/>
  <c r="L4134"/>
  <c r="L6671"/>
  <c r="L1468"/>
  <c r="L3304"/>
  <c r="L1625"/>
  <c r="L1251"/>
  <c r="L3611"/>
  <c r="L2092"/>
  <c r="L5985"/>
  <c r="L4025"/>
  <c r="L3063"/>
  <c r="L4395"/>
  <c r="L4155"/>
  <c r="L5319"/>
  <c r="L7371"/>
  <c r="L2330"/>
  <c r="L2479"/>
  <c r="L4036"/>
  <c r="L3534"/>
  <c r="L3036"/>
  <c r="L5072"/>
  <c r="L4720"/>
  <c r="L3847"/>
  <c r="L2209"/>
  <c r="L6209"/>
  <c r="L5108"/>
  <c r="L2053"/>
  <c r="L5341"/>
  <c r="L1221"/>
  <c r="L2171"/>
  <c r="L6586"/>
  <c r="L6647"/>
  <c r="L6142"/>
  <c r="L3339"/>
  <c r="L7845"/>
  <c r="L3300"/>
  <c r="L2075"/>
  <c r="L5458"/>
  <c r="L3190"/>
  <c r="L6386"/>
  <c r="L2614"/>
  <c r="L1286"/>
  <c r="L2152"/>
  <c r="L7722"/>
  <c r="L5490"/>
  <c r="L1816"/>
  <c r="L4711"/>
  <c r="L3005"/>
  <c r="L4411"/>
  <c r="L2755"/>
  <c r="L5492"/>
  <c r="L6836"/>
  <c r="L4218"/>
  <c r="L6777"/>
  <c r="L5717"/>
  <c r="L6058"/>
  <c r="L3586"/>
  <c r="L4926"/>
  <c r="L4020"/>
  <c r="L1874"/>
  <c r="L2154"/>
  <c r="L1334"/>
  <c r="L6035"/>
  <c r="L2355"/>
  <c r="L5272"/>
  <c r="L2655"/>
  <c r="L5344"/>
  <c r="L3830"/>
  <c r="L1357"/>
  <c r="L4550"/>
  <c r="L6484"/>
  <c r="L2647"/>
  <c r="L1425"/>
  <c r="L4784"/>
  <c r="L6344"/>
  <c r="L6201"/>
  <c r="L5158"/>
  <c r="L3086"/>
  <c r="L1994"/>
  <c r="L7122"/>
  <c r="L2119"/>
  <c r="L5585"/>
  <c r="L4190"/>
  <c r="L5546"/>
  <c r="L3501"/>
  <c r="L6102"/>
  <c r="L5811"/>
  <c r="L3241"/>
  <c r="L6791"/>
  <c r="L5639"/>
  <c r="L7196"/>
  <c r="L6920"/>
  <c r="L6449"/>
  <c r="L1488"/>
  <c r="L4182"/>
  <c r="L4750"/>
  <c r="L1603"/>
  <c r="L1992"/>
  <c r="L7129"/>
  <c r="L5047"/>
  <c r="L6032"/>
  <c r="L5575"/>
  <c r="L2908"/>
  <c r="L1232"/>
  <c r="L4060"/>
  <c r="L2606"/>
  <c r="L6427"/>
  <c r="L2780"/>
  <c r="L6152"/>
  <c r="L5671"/>
  <c r="L4352"/>
  <c r="L5837"/>
  <c r="L7825"/>
  <c r="L4230"/>
  <c r="L2945"/>
  <c r="L7484"/>
  <c r="L5258"/>
  <c r="L2894"/>
  <c r="L5993"/>
  <c r="L4305"/>
  <c r="L6047"/>
  <c r="L6119"/>
  <c r="L4901"/>
  <c r="L6903"/>
  <c r="L5901"/>
  <c r="L6880"/>
  <c r="L5279"/>
  <c r="L7397"/>
  <c r="L6262"/>
  <c r="L3941"/>
  <c r="L3467"/>
  <c r="L7041"/>
  <c r="L1959"/>
  <c r="L4704"/>
  <c r="L3260"/>
  <c r="L5532"/>
  <c r="L2392"/>
  <c r="L7711"/>
  <c r="L4290"/>
  <c r="L2741"/>
  <c r="L4304"/>
  <c r="L1899"/>
  <c r="L3280"/>
  <c r="L5156"/>
  <c r="L2441"/>
  <c r="L6256"/>
  <c r="L2413"/>
  <c r="L1514"/>
  <c r="L3645"/>
  <c r="L7247"/>
  <c r="L3450"/>
  <c r="L4281"/>
  <c r="L4615"/>
  <c r="L1738"/>
  <c r="L4559"/>
  <c r="L3103"/>
  <c r="L7351"/>
  <c r="L4725"/>
  <c r="L4125"/>
  <c r="L1615"/>
  <c r="L2494"/>
  <c r="L5288"/>
  <c r="L3469"/>
  <c r="L2972"/>
  <c r="L5906"/>
  <c r="L7575"/>
  <c r="L7480"/>
  <c r="L7531"/>
  <c r="L7290"/>
  <c r="L5508"/>
  <c r="L4424"/>
  <c r="L4778"/>
  <c r="L6670"/>
  <c r="L3583"/>
  <c r="L5729"/>
  <c r="L3548"/>
  <c r="L4648"/>
  <c r="L1847"/>
  <c r="L6660"/>
  <c r="L1819"/>
  <c r="L2791"/>
  <c r="L3542"/>
  <c r="L4721"/>
  <c r="L5781"/>
  <c r="L4073"/>
  <c r="L2747"/>
  <c r="L6459"/>
  <c r="L6011"/>
  <c r="L6025"/>
  <c r="L3362"/>
  <c r="L5025"/>
  <c r="L6123"/>
  <c r="L7424"/>
  <c r="L4660"/>
  <c r="L3734"/>
  <c r="L7231"/>
  <c r="L7027"/>
  <c r="L7178"/>
  <c r="L2806"/>
  <c r="L1235"/>
  <c r="L6120"/>
  <c r="L6786"/>
  <c r="L1498"/>
  <c r="L5920"/>
  <c r="L3605"/>
  <c r="L6153"/>
  <c r="L4056"/>
  <c r="L3203"/>
  <c r="L5261"/>
  <c r="L4064"/>
  <c r="L5313"/>
  <c r="L2574"/>
  <c r="L2944"/>
  <c r="L5219"/>
  <c r="L6020"/>
  <c r="L3953"/>
  <c r="L4247"/>
  <c r="L3423"/>
  <c r="L5075"/>
  <c r="L5818"/>
  <c r="L4923"/>
  <c r="L6696"/>
  <c r="L3558"/>
  <c r="L3882"/>
  <c r="L6167"/>
  <c r="L6537"/>
  <c r="L4442"/>
  <c r="L5036"/>
  <c r="L4007"/>
  <c r="L4091"/>
  <c r="L4505"/>
  <c r="L6086"/>
  <c r="L7032"/>
  <c r="L7301"/>
  <c r="L6939"/>
  <c r="L7817"/>
  <c r="L4379"/>
  <c r="L2985"/>
  <c r="L4194"/>
  <c r="L6415"/>
  <c r="L7864"/>
  <c r="L2527"/>
  <c r="L4382"/>
  <c r="L1140"/>
  <c r="L6161"/>
  <c r="L7762"/>
  <c r="L5441"/>
  <c r="L1645"/>
  <c r="L2630"/>
  <c r="L2377"/>
  <c r="L6043"/>
  <c r="L1195"/>
  <c r="L2704"/>
  <c r="L7056"/>
  <c r="L6583"/>
  <c r="L5030"/>
  <c r="L3431"/>
  <c r="L2032"/>
  <c r="L4818"/>
  <c r="L1601"/>
  <c r="L5912"/>
  <c r="L2241"/>
  <c r="L4452"/>
  <c r="L2878"/>
  <c r="L7234"/>
  <c r="L4216"/>
  <c r="L1937"/>
  <c r="L1223"/>
  <c r="L5186"/>
  <c r="L2957"/>
  <c r="L7061"/>
  <c r="L6632"/>
  <c r="L2740"/>
  <c r="L6110"/>
  <c r="L1991"/>
  <c r="L7402"/>
  <c r="L4826"/>
  <c r="L2214"/>
  <c r="L3743"/>
  <c r="L7175"/>
  <c r="L1721"/>
  <c r="L5988"/>
  <c r="L1844"/>
  <c r="L3946"/>
  <c r="L4830"/>
  <c r="L7598"/>
  <c r="L3119"/>
  <c r="L7876"/>
  <c r="L4198"/>
  <c r="L4313"/>
  <c r="L5588"/>
  <c r="L7498"/>
  <c r="L7412"/>
  <c r="L4331"/>
  <c r="L4251"/>
  <c r="L6807"/>
  <c r="L6906"/>
  <c r="L2782"/>
  <c r="L2397"/>
  <c r="L5472"/>
  <c r="L5997"/>
  <c r="L6877"/>
  <c r="L4350"/>
  <c r="L5401"/>
  <c r="L2278"/>
  <c r="L4019"/>
  <c r="L4893"/>
  <c r="L1887"/>
  <c r="L5842"/>
  <c r="L6164"/>
  <c r="L5318"/>
  <c r="L5021"/>
  <c r="L2954"/>
  <c r="L6502"/>
  <c r="L5215"/>
  <c r="L1548"/>
  <c r="L7102"/>
  <c r="L6629"/>
  <c r="L4916"/>
  <c r="L5008"/>
  <c r="L3570"/>
  <c r="L7979"/>
  <c r="L2959"/>
  <c r="L4286"/>
  <c r="L3491"/>
  <c r="L5587"/>
  <c r="L2691"/>
  <c r="L7612"/>
  <c r="L4372"/>
  <c r="L6732"/>
  <c r="L2271"/>
  <c r="L5839"/>
  <c r="L7541"/>
  <c r="L2107"/>
  <c r="L4021"/>
  <c r="L1409"/>
  <c r="L3744"/>
  <c r="L6883"/>
  <c r="L6193"/>
  <c r="L1800"/>
  <c r="L3054"/>
  <c r="L5862"/>
  <c r="L7128"/>
  <c r="L1220"/>
  <c r="L6653"/>
  <c r="L2368"/>
  <c r="L6437"/>
  <c r="L6892"/>
  <c r="L7765"/>
  <c r="L1753"/>
  <c r="L3379"/>
  <c r="L4584"/>
  <c r="L1575"/>
  <c r="L3269"/>
  <c r="L6151"/>
  <c r="L1832"/>
  <c r="L2016"/>
  <c r="L6973"/>
  <c r="L4760"/>
  <c r="L6736"/>
  <c r="L7379"/>
  <c r="L3562"/>
  <c r="L7382"/>
  <c r="L1558"/>
  <c r="L5940"/>
  <c r="L5424"/>
  <c r="L7544"/>
  <c r="L7401"/>
  <c r="L1701"/>
  <c r="L7266"/>
  <c r="L2047"/>
  <c r="L2059"/>
  <c r="L2184"/>
  <c r="L2350"/>
  <c r="L7743"/>
  <c r="L1380"/>
  <c r="L5765"/>
  <c r="L4149"/>
  <c r="L2994"/>
  <c r="L2417"/>
  <c r="L7160"/>
  <c r="L6526"/>
  <c r="L5902"/>
  <c r="L7554"/>
  <c r="L2301"/>
  <c r="L3128"/>
  <c r="L1149"/>
  <c r="L5343"/>
  <c r="L7366"/>
  <c r="L1487"/>
  <c r="L1639"/>
  <c r="L6204"/>
  <c r="L3321"/>
  <c r="L7074"/>
  <c r="L4911"/>
  <c r="L3945"/>
  <c r="L3977"/>
  <c r="L6810"/>
  <c r="L7723"/>
  <c r="L7339"/>
  <c r="L6842"/>
  <c r="L4768"/>
  <c r="L7126"/>
  <c r="L3971"/>
  <c r="L4611"/>
  <c r="L1918"/>
  <c r="L2160"/>
  <c r="L5479"/>
  <c r="L2834"/>
  <c r="L3596"/>
  <c r="L3434"/>
  <c r="L5951"/>
  <c r="L5198"/>
  <c r="L2283"/>
  <c r="L2495"/>
  <c r="L6885"/>
  <c r="L4933"/>
  <c r="L4365"/>
  <c r="L1853"/>
  <c r="L7436"/>
  <c r="L3390"/>
  <c r="L7516"/>
  <c r="L2457"/>
  <c r="L4312"/>
  <c r="L6468"/>
  <c r="L1269"/>
  <c r="L7386"/>
  <c r="L3921"/>
  <c r="L1466"/>
  <c r="L5403"/>
  <c r="L3730"/>
  <c r="L6596"/>
  <c r="L7048"/>
  <c r="L2844"/>
  <c r="L7821"/>
  <c r="L2982"/>
  <c r="L6454"/>
  <c r="L2628"/>
  <c r="L3625"/>
  <c r="L6845"/>
  <c r="L7734"/>
  <c r="L1717"/>
  <c r="L5665"/>
  <c r="L4400"/>
  <c r="L4219"/>
  <c r="L3838"/>
  <c r="L5419"/>
  <c r="L3415"/>
  <c r="L4496"/>
  <c r="L3820"/>
  <c r="L1640"/>
  <c r="L7259"/>
  <c r="L1169"/>
  <c r="L6372"/>
  <c r="L5353"/>
  <c r="L2787"/>
  <c r="L6795"/>
  <c r="L3165"/>
  <c r="L3969"/>
  <c r="L2286"/>
  <c r="L4668"/>
  <c r="L6564"/>
  <c r="L3125"/>
  <c r="L6914"/>
  <c r="L7334"/>
  <c r="L3229"/>
  <c r="L5521"/>
  <c r="L3777"/>
  <c r="L1859"/>
  <c r="L6555"/>
  <c r="L5334"/>
  <c r="L4189"/>
  <c r="L7893"/>
  <c r="L2044"/>
  <c r="L5351"/>
  <c r="L7315"/>
  <c r="L5965"/>
  <c r="L1778"/>
  <c r="L7281"/>
  <c r="L3019"/>
  <c r="L4805"/>
  <c r="L5098"/>
  <c r="L4080"/>
  <c r="L6820"/>
  <c r="L7189"/>
  <c r="L2989"/>
  <c r="L6865"/>
  <c r="L7198"/>
  <c r="L6960"/>
  <c r="L4591"/>
  <c r="L2022"/>
  <c r="L7468"/>
  <c r="L1951"/>
  <c r="L3496"/>
  <c r="L3233"/>
  <c r="L5235"/>
  <c r="L6278"/>
  <c r="L3783"/>
  <c r="L7492"/>
  <c r="L6291"/>
  <c r="L2356"/>
  <c r="L2774"/>
  <c r="L6967"/>
  <c r="L6871"/>
  <c r="L7608"/>
  <c r="L6950"/>
  <c r="L4791"/>
  <c r="L5636"/>
  <c r="L7827"/>
  <c r="L4254"/>
  <c r="L1983"/>
  <c r="L3182"/>
  <c r="L7887"/>
  <c r="L4942"/>
  <c r="L5857"/>
  <c r="L4580"/>
  <c r="L5804"/>
  <c r="L5826"/>
  <c r="L1332"/>
  <c r="L5253"/>
  <c r="L1966"/>
  <c r="L5420"/>
  <c r="L5203"/>
  <c r="L4289"/>
  <c r="L4705"/>
  <c r="L6345"/>
  <c r="L3703"/>
  <c r="L5388"/>
  <c r="L6341"/>
  <c r="L7581"/>
  <c r="L7173"/>
  <c r="L3498"/>
  <c r="L2697"/>
  <c r="L4603"/>
  <c r="L2942"/>
  <c r="L7215"/>
  <c r="L1660"/>
  <c r="L2036"/>
  <c r="L1184"/>
  <c r="L1529"/>
  <c r="L4142"/>
  <c r="L7809"/>
  <c r="L3272"/>
  <c r="L2163"/>
  <c r="L1676"/>
  <c r="L3153"/>
  <c r="L7499"/>
  <c r="L2506"/>
  <c r="L1921"/>
  <c r="L5015"/>
  <c r="L3151"/>
  <c r="L2312"/>
  <c r="L2126"/>
  <c r="L1131"/>
  <c r="L5687"/>
  <c r="L5416"/>
  <c r="L4472"/>
  <c r="L2987"/>
  <c r="L4143"/>
  <c r="L5732"/>
  <c r="L6965"/>
  <c r="L4544"/>
  <c r="L6099"/>
  <c r="L4317"/>
  <c r="L7534"/>
  <c r="L1850"/>
  <c r="L7343"/>
  <c r="L2639"/>
  <c r="L2946"/>
  <c r="L1896"/>
  <c r="L1484"/>
  <c r="L1940"/>
  <c r="L3218"/>
  <c r="L6051"/>
  <c r="L4795"/>
  <c r="L3706"/>
  <c r="L4855"/>
  <c r="L6330"/>
  <c r="L3776"/>
  <c r="L2698"/>
  <c r="L6545"/>
  <c r="L3981"/>
  <c r="L1746"/>
  <c r="L7040"/>
  <c r="L4309"/>
  <c r="L2300"/>
  <c r="L1619"/>
  <c r="L6828"/>
  <c r="L7328"/>
  <c r="L2563"/>
  <c r="L7367"/>
  <c r="L4199"/>
  <c r="L4046"/>
  <c r="L5728"/>
  <c r="L5179"/>
  <c r="L5650"/>
  <c r="L6488"/>
  <c r="L5643"/>
  <c r="L5398"/>
  <c r="L1831"/>
  <c r="L4263"/>
  <c r="L7589"/>
  <c r="L5034"/>
  <c r="L3137"/>
  <c r="L2046"/>
  <c r="L4741"/>
  <c r="L1592"/>
  <c r="L6779"/>
  <c r="L2879"/>
  <c r="L4987"/>
  <c r="L4733"/>
  <c r="L6060"/>
  <c r="L2281"/>
  <c r="L3113"/>
  <c r="L7052"/>
  <c r="L7715"/>
  <c r="L1181"/>
  <c r="L6109"/>
  <c r="L5812"/>
  <c r="L1922"/>
  <c r="L4606"/>
  <c r="L3666"/>
  <c r="L2875"/>
  <c r="L2537"/>
  <c r="L7678"/>
  <c r="L3337"/>
  <c r="L3855"/>
  <c r="L5762"/>
  <c r="L3377"/>
  <c r="L5461"/>
  <c r="L7855"/>
  <c r="L6896"/>
  <c r="L7819"/>
  <c r="L4838"/>
  <c r="L1526"/>
  <c r="L5963"/>
  <c r="L2460"/>
  <c r="L6170"/>
  <c r="L5211"/>
  <c r="L6019"/>
  <c r="L2033"/>
  <c r="L3801"/>
  <c r="L3758"/>
  <c r="L6861"/>
  <c r="L4709"/>
  <c r="L3437"/>
  <c r="L2035"/>
  <c r="L2013"/>
  <c r="L6986"/>
  <c r="L6879"/>
  <c r="L3975"/>
  <c r="L7596"/>
  <c r="L1243"/>
  <c r="L7497"/>
  <c r="L6904"/>
  <c r="L2642"/>
  <c r="L3000"/>
  <c r="L1129"/>
  <c r="L4699"/>
  <c r="L7471"/>
  <c r="L1500"/>
  <c r="L4049"/>
  <c r="L2932"/>
  <c r="L3455"/>
  <c r="L5573"/>
  <c r="L7157"/>
  <c r="L7206"/>
  <c r="L2803"/>
  <c r="L5231"/>
  <c r="L3142"/>
  <c r="L2992"/>
  <c r="L2208"/>
  <c r="L6343"/>
  <c r="L7661"/>
  <c r="L1685"/>
  <c r="L6276"/>
  <c r="L7345"/>
  <c r="L3708"/>
  <c r="L6469"/>
  <c r="L2014"/>
  <c r="L3530"/>
  <c r="L2498"/>
  <c r="L7493"/>
  <c r="L3701"/>
  <c r="L2853"/>
  <c r="L2181"/>
  <c r="L7993"/>
  <c r="L6763"/>
  <c r="L4139"/>
  <c r="L2067"/>
  <c r="L1929"/>
  <c r="L5049"/>
  <c r="L1995"/>
  <c r="L3898"/>
  <c r="L7873"/>
  <c r="L6830"/>
  <c r="L3112"/>
  <c r="L4193"/>
  <c r="L5514"/>
  <c r="L5305"/>
  <c r="L6994"/>
  <c r="L7410"/>
  <c r="L7737"/>
  <c r="L6335"/>
  <c r="L2542"/>
  <c r="L4782"/>
  <c r="L5386"/>
  <c r="L2634"/>
  <c r="L7770"/>
  <c r="L7353"/>
  <c r="L5591"/>
  <c r="L4041"/>
  <c r="L4204"/>
  <c r="L6483"/>
  <c r="L4641"/>
  <c r="L1252"/>
  <c r="L2290"/>
  <c r="L1271"/>
  <c r="L4117"/>
  <c r="L2194"/>
  <c r="L6654"/>
  <c r="L2320"/>
  <c r="L5302"/>
  <c r="L3910"/>
  <c r="L4009"/>
  <c r="L3655"/>
  <c r="L7068"/>
  <c r="L3046"/>
  <c r="L5148"/>
  <c r="L4698"/>
  <c r="L5119"/>
  <c r="L7528"/>
  <c r="L5814"/>
  <c r="L7038"/>
  <c r="L2319"/>
  <c r="L6057"/>
  <c r="L1563"/>
  <c r="L2403"/>
  <c r="L5375"/>
  <c r="L4042"/>
  <c r="L7248"/>
  <c r="L7413"/>
  <c r="L5007"/>
  <c r="L1481"/>
  <c r="L4153"/>
  <c r="L5936"/>
  <c r="L1813"/>
  <c r="L2890"/>
  <c r="L1651"/>
  <c r="L6073"/>
  <c r="L4342"/>
  <c r="L1187"/>
  <c r="L5046"/>
  <c r="L7375"/>
  <c r="L3107"/>
  <c r="L6118"/>
  <c r="L3959"/>
  <c r="L1313"/>
  <c r="L4963"/>
  <c r="L5285"/>
  <c r="L4833"/>
  <c r="L5284"/>
  <c r="L5309"/>
  <c r="L3223"/>
  <c r="L4528"/>
  <c r="L6968"/>
  <c r="L5265"/>
  <c r="L2204"/>
  <c r="L4670"/>
  <c r="L1749"/>
  <c r="L4578"/>
  <c r="L2723"/>
  <c r="L3192"/>
  <c r="L6858"/>
  <c r="L2591"/>
  <c r="L4851"/>
  <c r="L6135"/>
  <c r="L4931"/>
  <c r="L4288"/>
  <c r="L2484"/>
  <c r="L7485"/>
  <c r="L7287"/>
  <c r="L4832"/>
  <c r="L4215"/>
  <c r="L3062"/>
  <c r="L7140"/>
  <c r="L1231"/>
  <c r="L6171"/>
  <c r="L7346"/>
  <c r="L6196"/>
  <c r="L7719"/>
  <c r="L5852"/>
  <c r="L5406"/>
  <c r="L7573"/>
  <c r="L2701"/>
  <c r="L5207"/>
  <c r="L1734"/>
  <c r="L1602"/>
  <c r="L7162"/>
  <c r="L3790"/>
  <c r="L1618"/>
  <c r="L1272"/>
  <c r="L6448"/>
  <c r="L5970"/>
  <c r="L6730"/>
  <c r="L2554"/>
  <c r="L4167"/>
  <c r="L3577"/>
  <c r="L6100"/>
  <c r="L1343"/>
  <c r="L6982"/>
  <c r="L3614"/>
  <c r="L5564"/>
  <c r="L7273"/>
  <c r="L5649"/>
  <c r="L5851"/>
  <c r="L1719"/>
  <c r="L7161"/>
  <c r="L6724"/>
  <c r="L2384"/>
  <c r="L7647"/>
  <c r="L7457"/>
  <c r="L7400"/>
  <c r="L6101"/>
  <c r="L7556"/>
  <c r="L5024"/>
  <c r="L7789"/>
  <c r="L3721"/>
  <c r="L7504"/>
  <c r="L4147"/>
  <c r="L7036"/>
  <c r="L4607"/>
  <c r="L5291"/>
  <c r="L7878"/>
  <c r="L6711"/>
  <c r="L6783"/>
  <c r="L3834"/>
  <c r="L4993"/>
  <c r="L2518"/>
  <c r="L3358"/>
  <c r="L6669"/>
  <c r="L5733"/>
  <c r="L4023"/>
  <c r="L7349"/>
  <c r="L6074"/>
  <c r="L5850"/>
  <c r="L6727"/>
  <c r="L7749"/>
  <c r="L7510"/>
  <c r="L5746"/>
  <c r="L1483"/>
  <c r="L4719"/>
  <c r="L3331"/>
  <c r="L1395"/>
  <c r="L1890"/>
  <c r="L4891"/>
  <c r="L4518"/>
  <c r="L1213"/>
  <c r="L7151"/>
  <c r="L7823"/>
  <c r="L5100"/>
  <c r="L3972"/>
  <c r="L6623"/>
  <c r="L4197"/>
  <c r="L5289"/>
  <c r="L6525"/>
  <c r="L6497"/>
  <c r="L6275"/>
  <c r="L7747"/>
  <c r="L3566"/>
  <c r="L1593"/>
  <c r="L5366"/>
  <c r="L6125"/>
  <c r="L3459"/>
  <c r="L1217"/>
  <c r="L2327"/>
  <c r="L1477"/>
  <c r="L5099"/>
  <c r="L1277"/>
  <c r="L4829"/>
  <c r="L5221"/>
  <c r="L6031"/>
  <c r="L5867"/>
  <c r="L1278"/>
  <c r="L6699"/>
  <c r="L2738"/>
  <c r="L2451"/>
  <c r="L6356"/>
  <c r="L2651"/>
  <c r="L7132"/>
  <c r="L2970"/>
  <c r="L5686"/>
  <c r="L2986"/>
  <c r="L6745"/>
  <c r="L5340"/>
  <c r="L6837"/>
  <c r="L3505"/>
  <c r="L7771"/>
  <c r="L2395"/>
  <c r="L6462"/>
  <c r="L6505"/>
  <c r="L7514"/>
  <c r="L3404"/>
  <c r="L2726"/>
  <c r="L3942"/>
  <c r="L6806"/>
  <c r="L7785"/>
  <c r="L6531"/>
  <c r="L6471"/>
  <c r="L1659"/>
  <c r="L2318"/>
  <c r="L7657"/>
  <c r="L4478"/>
  <c r="L7427"/>
  <c r="L7622"/>
  <c r="L7944"/>
  <c r="L5109"/>
  <c r="L4858"/>
  <c r="L2345"/>
  <c r="L1796"/>
  <c r="L6266"/>
  <c r="L1988"/>
  <c r="L5680"/>
  <c r="L5991"/>
  <c r="L7481"/>
  <c r="L1941"/>
  <c r="L3301"/>
  <c r="L7127"/>
  <c r="L4930"/>
  <c r="L6207"/>
  <c r="L1549"/>
  <c r="L3904"/>
  <c r="L7461"/>
  <c r="L5297"/>
  <c r="L6619"/>
  <c r="L7138"/>
  <c r="L4445"/>
  <c r="L5785"/>
  <c r="L1226"/>
  <c r="L7447"/>
  <c r="L6584"/>
  <c r="L2638"/>
  <c r="L1490"/>
  <c r="L3989"/>
  <c r="L4275"/>
  <c r="L1515"/>
  <c r="L7741"/>
  <c r="L3916"/>
  <c r="L2702"/>
  <c r="L7039"/>
  <c r="L4439"/>
  <c r="L7975"/>
  <c r="L2913"/>
  <c r="L7557"/>
  <c r="L3927"/>
  <c r="L6752"/>
  <c r="L5542"/>
  <c r="L1672"/>
  <c r="L6737"/>
  <c r="L5013"/>
  <c r="L6655"/>
  <c r="L4211"/>
  <c r="L5357"/>
  <c r="L2876"/>
  <c r="L2464"/>
  <c r="L7001"/>
  <c r="L6642"/>
  <c r="L6003"/>
  <c r="L5507"/>
  <c r="L3700"/>
  <c r="L5552"/>
  <c r="L5567"/>
  <c r="L6769"/>
  <c r="L1161"/>
  <c r="L1621"/>
  <c r="L5434"/>
  <c r="L1864"/>
  <c r="L2237"/>
  <c r="L6071"/>
  <c r="L6279"/>
  <c r="L3621"/>
  <c r="L7311"/>
  <c r="L4683"/>
  <c r="L6926"/>
  <c r="L4231"/>
  <c r="L3549"/>
  <c r="L2174"/>
  <c r="L7562"/>
  <c r="L4223"/>
  <c r="L2252"/>
  <c r="L1523"/>
  <c r="L2921"/>
  <c r="L3160"/>
  <c r="L1644"/>
  <c r="L7037"/>
  <c r="L5868"/>
  <c r="L1829"/>
  <c r="L6876"/>
  <c r="L5883"/>
  <c r="L2559"/>
  <c r="L5096"/>
  <c r="L3733"/>
  <c r="L7680"/>
  <c r="L2925"/>
  <c r="L4053"/>
  <c r="L7398"/>
  <c r="L3275"/>
  <c r="L2303"/>
  <c r="L3085"/>
  <c r="L2859"/>
  <c r="L3219"/>
  <c r="L4907"/>
  <c r="L5397"/>
  <c r="L4238"/>
  <c r="L5134"/>
  <c r="L4537"/>
  <c r="L7208"/>
  <c r="L7265"/>
  <c r="L5009"/>
  <c r="L7150"/>
  <c r="L5356"/>
  <c r="L3889"/>
  <c r="L4601"/>
  <c r="L7904"/>
  <c r="L7666"/>
  <c r="L3254"/>
  <c r="L5576"/>
  <c r="L1379"/>
  <c r="L7502"/>
  <c r="L6787"/>
  <c r="L5611"/>
  <c r="L2633"/>
  <c r="L7360"/>
  <c r="L7619"/>
  <c r="L6627"/>
  <c r="L1143"/>
  <c r="L1895"/>
  <c r="L7455"/>
  <c r="L3014"/>
  <c r="L4847"/>
  <c r="L2180"/>
  <c r="L6062"/>
  <c r="L5716"/>
  <c r="L2732"/>
  <c r="L7660"/>
  <c r="L1287"/>
  <c r="L4171"/>
  <c r="L7423"/>
  <c r="L6929"/>
  <c r="L5763"/>
  <c r="L2523"/>
  <c r="L3860"/>
  <c r="L1392"/>
  <c r="L2133"/>
  <c r="L2590"/>
  <c r="L7538"/>
  <c r="L7917"/>
  <c r="L1871"/>
  <c r="L7337"/>
  <c r="L3248"/>
  <c r="L4250"/>
  <c r="L7152"/>
  <c r="L7744"/>
  <c r="L2681"/>
  <c r="L2851"/>
  <c r="L7419"/>
  <c r="L1561"/>
  <c r="L2510"/>
  <c r="L4512"/>
  <c r="L4415"/>
  <c r="L7192"/>
  <c r="L2690"/>
  <c r="L1428"/>
  <c r="L4455"/>
  <c r="L7239"/>
  <c r="L4871"/>
  <c r="L2353"/>
  <c r="L6239"/>
  <c r="L7404"/>
  <c r="L2604"/>
  <c r="L4183"/>
  <c r="L2910"/>
  <c r="L1798"/>
  <c r="L5139"/>
  <c r="L1862"/>
  <c r="L1591"/>
  <c r="L5674"/>
  <c r="L5118"/>
  <c r="L6826"/>
  <c r="L3369"/>
  <c r="L3027"/>
  <c r="L2674"/>
  <c r="L5415"/>
  <c r="L1910"/>
  <c r="L4102"/>
  <c r="L3207"/>
  <c r="L3877"/>
  <c r="L1700"/>
  <c r="L7415"/>
  <c r="L5462"/>
  <c r="L7638"/>
  <c r="L1756"/>
  <c r="L4315"/>
  <c r="L5373"/>
  <c r="L7769"/>
  <c r="L2407"/>
  <c r="L6866"/>
  <c r="L5323"/>
  <c r="L4214"/>
  <c r="L3863"/>
  <c r="L3140"/>
  <c r="L4581"/>
  <c r="L5824"/>
  <c r="L4089"/>
  <c r="L6590"/>
  <c r="L6544"/>
  <c r="L3991"/>
  <c r="L4765"/>
  <c r="L6280"/>
  <c r="L5385"/>
  <c r="L4327"/>
  <c r="L6697"/>
  <c r="L5425"/>
  <c r="L3136"/>
  <c r="L4647"/>
  <c r="L1769"/>
  <c r="L2076"/>
  <c r="L1925"/>
  <c r="L2541"/>
  <c r="L3176"/>
  <c r="L3448"/>
  <c r="L2572"/>
  <c r="L1568"/>
  <c r="L2948"/>
  <c r="L5242"/>
  <c r="L5160"/>
  <c r="L3291"/>
  <c r="L6819"/>
  <c r="L7732"/>
  <c r="L4074"/>
  <c r="L6416"/>
  <c r="L6257"/>
  <c r="L6349"/>
  <c r="L2887"/>
  <c r="L3384"/>
  <c r="L2244"/>
  <c r="L3486"/>
  <c r="L7137"/>
  <c r="L6692"/>
  <c r="L2279"/>
  <c r="L5853"/>
  <c r="L2676"/>
  <c r="L2662"/>
  <c r="L7010"/>
  <c r="L6236"/>
  <c r="L2374"/>
  <c r="L4867"/>
  <c r="L2706"/>
  <c r="L2095"/>
  <c r="L3646"/>
  <c r="L4621"/>
  <c r="L5345"/>
  <c r="L7690"/>
  <c r="L1638"/>
  <c r="L2261"/>
  <c r="L7606"/>
  <c r="L7153"/>
  <c r="L7438"/>
  <c r="L7018"/>
  <c r="L5328"/>
  <c r="L5562"/>
  <c r="L3810"/>
  <c r="L7043"/>
  <c r="L3594"/>
  <c r="L7308"/>
  <c r="L5600"/>
  <c r="L1976"/>
  <c r="L6407"/>
  <c r="L4665"/>
  <c r="L6831"/>
  <c r="L1299"/>
  <c r="L2009"/>
  <c r="L6955"/>
  <c r="L4697"/>
  <c r="L3683"/>
  <c r="L1795"/>
  <c r="L4369"/>
  <c r="L4121"/>
  <c r="L6158"/>
  <c r="L7009"/>
  <c r="L1547"/>
  <c r="L2897"/>
  <c r="L4320"/>
  <c r="L2549"/>
  <c r="L3045"/>
  <c r="L5286"/>
  <c r="L6785"/>
  <c r="L4492"/>
  <c r="L5088"/>
  <c r="L2593"/>
  <c r="L5558"/>
  <c r="L4209"/>
  <c r="L7995"/>
  <c r="L4632"/>
  <c r="L7381"/>
  <c r="L7205"/>
  <c r="L3608"/>
  <c r="L4172"/>
  <c r="L3461"/>
  <c r="L7911"/>
  <c r="L7291"/>
  <c r="L7212"/>
  <c r="L2716"/>
  <c r="L3002"/>
  <c r="L2082"/>
  <c r="L1759"/>
  <c r="L5432"/>
  <c r="L5786"/>
  <c r="L5293"/>
  <c r="L6185"/>
  <c r="L2354"/>
  <c r="L3049"/>
  <c r="L7679"/>
  <c r="L6048"/>
  <c r="L3728"/>
  <c r="L7906"/>
  <c r="L7728"/>
  <c r="L2714"/>
  <c r="L6467"/>
  <c r="L1977"/>
  <c r="L3235"/>
  <c r="L7627"/>
  <c r="L4958"/>
  <c r="L3888"/>
  <c r="L2370"/>
  <c r="L7072"/>
  <c r="L6662"/>
  <c r="L1908"/>
  <c r="L5240"/>
  <c r="L3813"/>
  <c r="L7194"/>
  <c r="L2850"/>
  <c r="L1491"/>
  <c r="L7169"/>
  <c r="L5846"/>
  <c r="L3580"/>
  <c r="L7012"/>
  <c r="L7892"/>
  <c r="L7209"/>
  <c r="L2612"/>
  <c r="L7970"/>
  <c r="L5700"/>
  <c r="L7814"/>
  <c r="L4111"/>
  <c r="L7909"/>
  <c r="L5281"/>
  <c r="L6608"/>
  <c r="L1970"/>
  <c r="L3354"/>
  <c r="L3715"/>
  <c r="L1456"/>
  <c r="L5928"/>
  <c r="L5658"/>
  <c r="L3212"/>
  <c r="L1803"/>
  <c r="L5934"/>
  <c r="L1787"/>
  <c r="L4736"/>
  <c r="L7963"/>
  <c r="L6105"/>
  <c r="L1460"/>
  <c r="L4451"/>
  <c r="L6913"/>
  <c r="L1842"/>
  <c r="L3026"/>
  <c r="L1219"/>
  <c r="L2206"/>
  <c r="L3199"/>
  <c r="L6848"/>
  <c r="L2636"/>
  <c r="L2641"/>
  <c r="L7262"/>
  <c r="L4377"/>
  <c r="L5033"/>
  <c r="L5880"/>
  <c r="L2842"/>
  <c r="L2620"/>
  <c r="L5256"/>
  <c r="L3325"/>
  <c r="L7808"/>
  <c r="L2145"/>
  <c r="L6098"/>
  <c r="L1482"/>
  <c r="L6710"/>
  <c r="L4048"/>
  <c r="L4675"/>
  <c r="L6930"/>
  <c r="L4132"/>
  <c r="L6394"/>
  <c r="L6149"/>
  <c r="L5149"/>
  <c r="L1863"/>
  <c r="L4435"/>
  <c r="L4515"/>
  <c r="L7058"/>
  <c r="L5005"/>
  <c r="L1504"/>
  <c r="L3216"/>
  <c r="L1340"/>
  <c r="L7213"/>
  <c r="L2635"/>
  <c r="L5550"/>
  <c r="L6774"/>
  <c r="L5816"/>
  <c r="L6418"/>
  <c r="L5142"/>
  <c r="L1739"/>
  <c r="L2468"/>
  <c r="L5694"/>
  <c r="L7969"/>
  <c r="L6346"/>
  <c r="L4113"/>
  <c r="L3745"/>
  <c r="L1399"/>
  <c r="L1984"/>
  <c r="L2005"/>
  <c r="L1144"/>
  <c r="L2199"/>
  <c r="L3923"/>
  <c r="L2885"/>
  <c r="L7653"/>
  <c r="L5957"/>
  <c r="L4619"/>
  <c r="L3294"/>
  <c r="L7453"/>
  <c r="L4507"/>
  <c r="L3679"/>
  <c r="L6759"/>
  <c r="L7136"/>
  <c r="L3117"/>
  <c r="L3944"/>
  <c r="L3439"/>
  <c r="L6833"/>
  <c r="L3435"/>
  <c r="L6310"/>
  <c r="L4636"/>
  <c r="L3023"/>
  <c r="L1268"/>
  <c r="L2960"/>
  <c r="L1866"/>
  <c r="L6977"/>
  <c r="L3197"/>
  <c r="L1255"/>
  <c r="L1480"/>
  <c r="L2202"/>
  <c r="L5704"/>
  <c r="L3401"/>
  <c r="L3919"/>
  <c r="L4072"/>
  <c r="L4449"/>
  <c r="L2916"/>
  <c r="L7176"/>
  <c r="L4244"/>
  <c r="L5760"/>
  <c r="L6591"/>
  <c r="L4573"/>
  <c r="L2898"/>
  <c r="L3928"/>
  <c r="L2555"/>
  <c r="L4517"/>
  <c r="L5378"/>
  <c r="L7082"/>
  <c r="L4530"/>
  <c r="L3763"/>
  <c r="L5342"/>
  <c r="L4363"/>
  <c r="L3352"/>
  <c r="L6918"/>
  <c r="L4059"/>
  <c r="L3114"/>
  <c r="L5533"/>
  <c r="L2548"/>
  <c r="L1731"/>
  <c r="L3678"/>
  <c r="L7428"/>
  <c r="L5526"/>
  <c r="L5725"/>
  <c r="L2195"/>
  <c r="L6770"/>
  <c r="L4722"/>
  <c r="L2156"/>
  <c r="L6912"/>
  <c r="L3659"/>
  <c r="L2927"/>
  <c r="L2490"/>
  <c r="L2735"/>
  <c r="L7613"/>
  <c r="L2709"/>
  <c r="L4788"/>
  <c r="L4943"/>
  <c r="L5236"/>
  <c r="L1319"/>
  <c r="L2219"/>
  <c r="L4994"/>
  <c r="L6444"/>
  <c r="L6569"/>
  <c r="L2492"/>
  <c r="L4600"/>
  <c r="L4812"/>
  <c r="L4783"/>
  <c r="L2949"/>
  <c r="L2091"/>
  <c r="L3274"/>
  <c r="L7193"/>
  <c r="L3571"/>
  <c r="L5408"/>
  <c r="L7883"/>
  <c r="L4371"/>
  <c r="L6617"/>
  <c r="L6513"/>
  <c r="L2476"/>
  <c r="L5220"/>
  <c r="L4349"/>
  <c r="L5612"/>
  <c r="L6323"/>
  <c r="L1823"/>
  <c r="L3267"/>
  <c r="L2511"/>
  <c r="L5041"/>
  <c r="L2357"/>
  <c r="L5329"/>
  <c r="L5039"/>
  <c r="L4789"/>
  <c r="L1280"/>
  <c r="L3288"/>
  <c r="L7420"/>
  <c r="L1393"/>
  <c r="L7571"/>
  <c r="L6650"/>
  <c r="L4499"/>
  <c r="L6456"/>
  <c r="L5941"/>
  <c r="L6593"/>
  <c r="L2463"/>
  <c r="L3483"/>
  <c r="L1147"/>
  <c r="L6077"/>
  <c r="L3908"/>
  <c r="L7783"/>
  <c r="L2556"/>
  <c r="L6240"/>
  <c r="L6675"/>
  <c r="L4568"/>
  <c r="L5638"/>
  <c r="L6347"/>
  <c r="L1275"/>
  <c r="L4386"/>
  <c r="L5466"/>
  <c r="L6378"/>
  <c r="L1969"/>
  <c r="L5073"/>
  <c r="L4013"/>
  <c r="L2687"/>
  <c r="L2907"/>
  <c r="L3576"/>
  <c r="L6901"/>
  <c r="L1913"/>
  <c r="L2540"/>
  <c r="L2588"/>
  <c r="L6225"/>
  <c r="L7257"/>
  <c r="L7314"/>
  <c r="L2829"/>
  <c r="L6628"/>
  <c r="L4062"/>
  <c r="L6169"/>
  <c r="L2930"/>
  <c r="L3869"/>
  <c r="L4905"/>
  <c r="L4772"/>
  <c r="L4850"/>
  <c r="L5057"/>
  <c r="L1620"/>
  <c r="L4459"/>
  <c r="L2941"/>
  <c r="L2123"/>
  <c r="L4283"/>
  <c r="L7950"/>
  <c r="L4681"/>
  <c r="L1993"/>
  <c r="L7373"/>
  <c r="L7199"/>
  <c r="L1420"/>
  <c r="L1587"/>
  <c r="L1385"/>
  <c r="L6797"/>
  <c r="L2238"/>
  <c r="L1790"/>
  <c r="L3106"/>
  <c r="L3738"/>
  <c r="L1786"/>
  <c r="L2868"/>
  <c r="L7693"/>
  <c r="L2333"/>
  <c r="L3462"/>
  <c r="L4031"/>
  <c r="L7955"/>
  <c r="L3887"/>
  <c r="L5540"/>
  <c r="L1346"/>
  <c r="L2391"/>
  <c r="L6605"/>
  <c r="L5394"/>
  <c r="L4656"/>
  <c r="L3277"/>
  <c r="L1554"/>
  <c r="L5810"/>
  <c r="L1646"/>
  <c r="L2111"/>
  <c r="L2660"/>
  <c r="L1782"/>
  <c r="L6996"/>
  <c r="L7405"/>
  <c r="L1202"/>
  <c r="L7933"/>
  <c r="L2116"/>
  <c r="L1586"/>
  <c r="L6945"/>
  <c r="L4364"/>
  <c r="L1545"/>
  <c r="L5370"/>
  <c r="L4845"/>
  <c r="L4599"/>
  <c r="L1868"/>
  <c r="L2547"/>
  <c r="L5090"/>
  <c r="L5667"/>
  <c r="L7113"/>
  <c r="L4758"/>
  <c r="L2445"/>
  <c r="L3573"/>
  <c r="L2779"/>
  <c r="L3797"/>
  <c r="L6137"/>
  <c r="L5776"/>
  <c r="L1174"/>
  <c r="L6549"/>
  <c r="L4297"/>
  <c r="L7249"/>
  <c r="L2583"/>
  <c r="L1718"/>
  <c r="L3093"/>
  <c r="L7837"/>
  <c r="L3226"/>
  <c r="L7829"/>
  <c r="L6894"/>
  <c r="L7046"/>
  <c r="L7442"/>
  <c r="L1834"/>
  <c r="L3990"/>
  <c r="L1636"/>
  <c r="L1400"/>
  <c r="L6333"/>
  <c r="L3305"/>
  <c r="L7861"/>
  <c r="L5202"/>
  <c r="L4614"/>
  <c r="L4114"/>
  <c r="L6124"/>
  <c r="L5214"/>
  <c r="L1897"/>
  <c r="L3816"/>
  <c r="L5003"/>
  <c r="L6397"/>
  <c r="L4639"/>
  <c r="L7500"/>
  <c r="L6685"/>
  <c r="L1387"/>
  <c r="L7607"/>
  <c r="L7352"/>
  <c r="L2675"/>
  <c r="L4966"/>
  <c r="L7852"/>
  <c r="L5690"/>
  <c r="L5841"/>
  <c r="L3661"/>
  <c r="L3911"/>
  <c r="L4535"/>
  <c r="L2060"/>
  <c r="L5688"/>
  <c r="L3739"/>
  <c r="L6949"/>
  <c r="L2809"/>
  <c r="L6222"/>
  <c r="L1241"/>
  <c r="L3345"/>
  <c r="L6442"/>
  <c r="L4587"/>
  <c r="L5909"/>
  <c r="L4428"/>
  <c r="L4004"/>
  <c r="L1209"/>
  <c r="L3853"/>
  <c r="L4038"/>
  <c r="L2528"/>
  <c r="L1442"/>
  <c r="L6112"/>
  <c r="L6303"/>
  <c r="L3059"/>
  <c r="L7582"/>
  <c r="L5132"/>
  <c r="L5029"/>
  <c r="L1434"/>
  <c r="L3143"/>
  <c r="L3951"/>
  <c r="L2102"/>
  <c r="L7602"/>
  <c r="L6902"/>
  <c r="L4245"/>
  <c r="L5390"/>
  <c r="L3332"/>
  <c r="L3240"/>
  <c r="L6585"/>
  <c r="L4780"/>
  <c r="L2748"/>
  <c r="L3890"/>
  <c r="L7083"/>
  <c r="L2534"/>
  <c r="L2324"/>
  <c r="L2836"/>
  <c r="L7444"/>
  <c r="L4461"/>
  <c r="L5044"/>
  <c r="L1168"/>
  <c r="L4010"/>
  <c r="L5053"/>
  <c r="L4821"/>
  <c r="L1258"/>
  <c r="L7921"/>
  <c r="L4889"/>
  <c r="L6358"/>
  <c r="L7535"/>
  <c r="L6447"/>
  <c r="L3385"/>
  <c r="L4221"/>
  <c r="L1401"/>
  <c r="L5911"/>
  <c r="L5436"/>
  <c r="L6738"/>
  <c r="L5290"/>
  <c r="L4516"/>
  <c r="L7774"/>
  <c r="L2343"/>
  <c r="L1610"/>
  <c r="L7486"/>
  <c r="L5223"/>
  <c r="L3772"/>
  <c r="L5117"/>
  <c r="L7024"/>
  <c r="L4628"/>
  <c r="L7437"/>
  <c r="L7000"/>
  <c r="L2015"/>
  <c r="L7164"/>
  <c r="L2412"/>
  <c r="L3587"/>
  <c r="L3464"/>
  <c r="L3821"/>
  <c r="L1828"/>
  <c r="L2051"/>
  <c r="L5503"/>
  <c r="L2367"/>
  <c r="L4694"/>
  <c r="L6287"/>
  <c r="L6729"/>
  <c r="L7325"/>
  <c r="L7549"/>
  <c r="L5809"/>
  <c r="L3657"/>
  <c r="L5144"/>
  <c r="L1222"/>
  <c r="L4207"/>
  <c r="L4552"/>
  <c r="L2428"/>
  <c r="L3341"/>
  <c r="L5294"/>
  <c r="L4928"/>
  <c r="L2965"/>
  <c r="L2169"/>
  <c r="L6615"/>
  <c r="L5106"/>
  <c r="L7595"/>
  <c r="L7971"/>
  <c r="L4469"/>
  <c r="L2881"/>
  <c r="L7539"/>
  <c r="L4751"/>
  <c r="L5054"/>
  <c r="L3343"/>
  <c r="L3454"/>
  <c r="L4662"/>
  <c r="L2259"/>
  <c r="L1867"/>
  <c r="L5652"/>
  <c r="L1923"/>
  <c r="L2912"/>
  <c r="L4546"/>
  <c r="L1397"/>
  <c r="L7522"/>
  <c r="L7331"/>
  <c r="L3234"/>
  <c r="L5986"/>
  <c r="L1318"/>
  <c r="L4524"/>
  <c r="L4737"/>
  <c r="L1836"/>
  <c r="L4421"/>
  <c r="L3912"/>
  <c r="L5314"/>
  <c r="L4336"/>
  <c r="L3804"/>
  <c r="L2258"/>
  <c r="L4107"/>
  <c r="L2565"/>
  <c r="L6192"/>
  <c r="L7362"/>
  <c r="L1781"/>
  <c r="L6841"/>
  <c r="L1495"/>
  <c r="L5068"/>
  <c r="L2602"/>
  <c r="L4408"/>
  <c r="L5460"/>
  <c r="L5549"/>
  <c r="L5524"/>
  <c r="L4477"/>
  <c r="L5045"/>
  <c r="L7452"/>
  <c r="L7220"/>
  <c r="L4232"/>
  <c r="L4141"/>
  <c r="L2376"/>
  <c r="L3759"/>
  <c r="L6286"/>
  <c r="L5497"/>
  <c r="L7312"/>
  <c r="L6780"/>
  <c r="L2783"/>
  <c r="L6581"/>
  <c r="L5071"/>
  <c r="L2390"/>
  <c r="L4644"/>
  <c r="L3949"/>
  <c r="L2963"/>
  <c r="L2389"/>
  <c r="L2251"/>
  <c r="L5201"/>
  <c r="L3273"/>
  <c r="L4002"/>
  <c r="L7399"/>
  <c r="L4551"/>
  <c r="L7792"/>
  <c r="L4168"/>
  <c r="L1742"/>
  <c r="L2750"/>
  <c r="L4652"/>
  <c r="L6313"/>
  <c r="L1238"/>
  <c r="L4357"/>
  <c r="L2272"/>
  <c r="L4414"/>
  <c r="L3239"/>
  <c r="L7793"/>
  <c r="L3915"/>
  <c r="L4627"/>
  <c r="L5520"/>
  <c r="L1371"/>
  <c r="L1642"/>
  <c r="L7376"/>
  <c r="L6172"/>
  <c r="L1662"/>
  <c r="L3591"/>
  <c r="L2504"/>
  <c r="L7946"/>
  <c r="L7296"/>
  <c r="L2831"/>
  <c r="L2734"/>
  <c r="L1572"/>
  <c r="L7559"/>
  <c r="L6228"/>
  <c r="L6592"/>
  <c r="L6458"/>
  <c r="L7324"/>
  <c r="L4894"/>
  <c r="L7676"/>
  <c r="L4037"/>
  <c r="L5316"/>
  <c r="L5335"/>
  <c r="L4165"/>
  <c r="L4027"/>
  <c r="L5829"/>
  <c r="L1215"/>
  <c r="L3978"/>
  <c r="L5629"/>
  <c r="L2751"/>
  <c r="L3585"/>
  <c r="L1298"/>
  <c r="L6873"/>
  <c r="L7570"/>
  <c r="L5756"/>
  <c r="L4663"/>
  <c r="L2315"/>
  <c r="L7396"/>
  <c r="L5431"/>
  <c r="L2526"/>
  <c r="L2124"/>
  <c r="L5529"/>
  <c r="L1293"/>
  <c r="L2928"/>
  <c r="L1323"/>
  <c r="L7605"/>
  <c r="L3394"/>
  <c r="L3502"/>
  <c r="L4861"/>
  <c r="L3524"/>
  <c r="L1244"/>
  <c r="L6387"/>
  <c r="L3881"/>
  <c r="L6567"/>
  <c r="L4723"/>
  <c r="L3231"/>
  <c r="L2088"/>
  <c r="L2742"/>
  <c r="L7624"/>
  <c r="L2581"/>
  <c r="L2233"/>
  <c r="L3329"/>
  <c r="L2471"/>
  <c r="L3720"/>
  <c r="L4265"/>
  <c r="L6134"/>
  <c r="L2905"/>
  <c r="L2070"/>
  <c r="L1506"/>
  <c r="L2414"/>
  <c r="L7219"/>
  <c r="L2922"/>
  <c r="L1606"/>
  <c r="L5143"/>
  <c r="L3413"/>
  <c r="L1690"/>
  <c r="L5064"/>
  <c r="L4980"/>
  <c r="L2536"/>
  <c r="L7439"/>
  <c r="L3021"/>
  <c r="L5062"/>
  <c r="L4501"/>
  <c r="L6746"/>
  <c r="L5563"/>
  <c r="L7112"/>
  <c r="L3829"/>
  <c r="L4714"/>
  <c r="L1163"/>
  <c r="L6293"/>
  <c r="L5067"/>
  <c r="L2087"/>
  <c r="L3278"/>
  <c r="L2078"/>
  <c r="L3697"/>
  <c r="L6891"/>
  <c r="L1825"/>
  <c r="L4332"/>
  <c r="L1927"/>
  <c r="L6491"/>
  <c r="L6665"/>
  <c r="L7094"/>
  <c r="L2438"/>
  <c r="L5885"/>
  <c r="L7846"/>
  <c r="L3244"/>
  <c r="L3736"/>
  <c r="L1770"/>
  <c r="L6614"/>
  <c r="L3373"/>
  <c r="L3281"/>
  <c r="L4145"/>
  <c r="L2788"/>
  <c r="L1675"/>
  <c r="L1152"/>
  <c r="L7977"/>
  <c r="L4052"/>
  <c r="L2408"/>
  <c r="L5730"/>
  <c r="L7746"/>
  <c r="L2430"/>
  <c r="L2383"/>
  <c r="L3429"/>
  <c r="L3350"/>
  <c r="L5845"/>
  <c r="L3929"/>
  <c r="L2966"/>
  <c r="L6348"/>
  <c r="L6543"/>
  <c r="L7336"/>
  <c r="L6539"/>
  <c r="L3705"/>
  <c r="L4884"/>
  <c r="L3031"/>
  <c r="L1338"/>
  <c r="L6767"/>
  <c r="L6186"/>
  <c r="L2522"/>
  <c r="L3761"/>
  <c r="L1666"/>
  <c r="L1632"/>
  <c r="L2967"/>
  <c r="L1509"/>
  <c r="L4448"/>
  <c r="L7459"/>
  <c r="L6288"/>
  <c r="L3899"/>
  <c r="L3328"/>
  <c r="L2800"/>
  <c r="L2065"/>
  <c r="L6722"/>
  <c r="L6498"/>
  <c r="L7270"/>
  <c r="L1960"/>
  <c r="L4761"/>
  <c r="L3217"/>
  <c r="L7463"/>
  <c r="L5994"/>
  <c r="L2083"/>
  <c r="L5959"/>
  <c r="L5817"/>
  <c r="L4264"/>
  <c r="L6551"/>
  <c r="L1883"/>
  <c r="L3215"/>
  <c r="L4588"/>
  <c r="L1248"/>
  <c r="L6179"/>
  <c r="L2895"/>
  <c r="L3926"/>
  <c r="L7672"/>
  <c r="L2021"/>
  <c r="L6425"/>
  <c r="L4383"/>
  <c r="L5147"/>
  <c r="L2026"/>
  <c r="L6976"/>
  <c r="L3208"/>
  <c r="L1276"/>
  <c r="L2838"/>
  <c r="L6016"/>
  <c r="L1438"/>
  <c r="L2400"/>
  <c r="L5915"/>
  <c r="L3781"/>
  <c r="L7465"/>
  <c r="L1538"/>
  <c r="L2519"/>
  <c r="L4914"/>
  <c r="L5023"/>
  <c r="L2792"/>
  <c r="L5722"/>
  <c r="L4079"/>
  <c r="L6713"/>
  <c r="L3572"/>
  <c r="L1926"/>
  <c r="L3694"/>
  <c r="L5499"/>
  <c r="L5930"/>
  <c r="L2104"/>
  <c r="L2801"/>
  <c r="L5217"/>
  <c r="L4249"/>
  <c r="L1327"/>
  <c r="L7934"/>
  <c r="L7431"/>
  <c r="L5964"/>
  <c r="L7620"/>
  <c r="L7683"/>
  <c r="L1441"/>
  <c r="L7313"/>
  <c r="L4949"/>
  <c r="L4912"/>
  <c r="L4295"/>
  <c r="L5579"/>
  <c r="L3641"/>
  <c r="L7264"/>
  <c r="L7649"/>
  <c r="L1366"/>
  <c r="L7256"/>
  <c r="L2733"/>
  <c r="L2562"/>
  <c r="L4256"/>
  <c r="L7275"/>
  <c r="L6129"/>
  <c r="L7115"/>
  <c r="L3878"/>
  <c r="L5082"/>
  <c r="L1214"/>
  <c r="L4745"/>
  <c r="L2055"/>
  <c r="L1713"/>
  <c r="L4616"/>
  <c r="L5977"/>
  <c r="L1150"/>
  <c r="L3380"/>
  <c r="L5126"/>
  <c r="L2322"/>
  <c r="L6338"/>
  <c r="L2098"/>
  <c r="L4687"/>
  <c r="L3194"/>
  <c r="L7116"/>
  <c r="L6829"/>
  <c r="L5141"/>
  <c r="L2317"/>
  <c r="L1536"/>
  <c r="L4960"/>
  <c r="L6260"/>
  <c r="L5596"/>
  <c r="L6612"/>
  <c r="L4825"/>
  <c r="L4325"/>
  <c r="L3042"/>
  <c r="L4412"/>
  <c r="L2718"/>
  <c r="L5352"/>
  <c r="L7011"/>
  <c r="L1521"/>
  <c r="L4753"/>
  <c r="L2335"/>
  <c r="L7664"/>
  <c r="L3765"/>
  <c r="L3726"/>
  <c r="L7943"/>
  <c r="L3018"/>
  <c r="L4775"/>
  <c r="L2398"/>
  <c r="L5519"/>
  <c r="L4646"/>
  <c r="L3101"/>
  <c r="L3446"/>
  <c r="L7952"/>
  <c r="L2215"/>
  <c r="L7335"/>
  <c r="L7703"/>
  <c r="L5555"/>
  <c r="L2784"/>
  <c r="L3279"/>
  <c r="L4534"/>
  <c r="L2695"/>
  <c r="L6835"/>
  <c r="L7716"/>
  <c r="L4781"/>
  <c r="L5439"/>
  <c r="L2552"/>
  <c r="L3652"/>
  <c r="L2141"/>
  <c r="L4001"/>
  <c r="L2466"/>
  <c r="L4521"/>
  <c r="L5011"/>
  <c r="L7832"/>
  <c r="L6111"/>
  <c r="L2900"/>
  <c r="L1321"/>
  <c r="L2561"/>
  <c r="L6173"/>
  <c r="L6435"/>
  <c r="L3471"/>
  <c r="L7742"/>
  <c r="L1430"/>
  <c r="L2917"/>
  <c r="L3261"/>
  <c r="L2223"/>
  <c r="L1682"/>
  <c r="L4388"/>
  <c r="L2828"/>
  <c r="L5625"/>
  <c r="L3097"/>
  <c r="L7125"/>
  <c r="L1455"/>
  <c r="L5246"/>
  <c r="L5089"/>
  <c r="L4367"/>
  <c r="L1605"/>
  <c r="L5876"/>
  <c r="L1440"/>
  <c r="L6027"/>
  <c r="L7552"/>
  <c r="L2711"/>
  <c r="L4965"/>
  <c r="L4130"/>
  <c r="L4676"/>
  <c r="L2880"/>
  <c r="L1710"/>
  <c r="L1841"/>
  <c r="L5615"/>
  <c r="L6518"/>
  <c r="L3833"/>
  <c r="L2858"/>
  <c r="L2725"/>
  <c r="L4988"/>
  <c r="L7207"/>
  <c r="L3600"/>
  <c r="L6638"/>
  <c r="L1872"/>
  <c r="L7121"/>
  <c r="L5304"/>
  <c r="L3172"/>
  <c r="L1206"/>
  <c r="L1527"/>
  <c r="L6717"/>
  <c r="L4598"/>
  <c r="L5194"/>
  <c r="L6117"/>
  <c r="L7736"/>
  <c r="L5303"/>
  <c r="L7380"/>
  <c r="L3193"/>
  <c r="L7983"/>
  <c r="L5113"/>
  <c r="L4195"/>
  <c r="L2031"/>
  <c r="L2418"/>
  <c r="L5311"/>
  <c r="L1737"/>
  <c r="L5338"/>
  <c r="L5006"/>
  <c r="L4359"/>
  <c r="L6872"/>
  <c r="L1153"/>
  <c r="L6560"/>
  <c r="L6379"/>
  <c r="L5368"/>
  <c r="L2019"/>
  <c r="L1511"/>
  <c r="L7338"/>
  <c r="L6677"/>
  <c r="L2137"/>
  <c r="L5640"/>
  <c r="L7550"/>
  <c r="L6399"/>
  <c r="L4925"/>
  <c r="L1771"/>
  <c r="L4526"/>
  <c r="L3319"/>
  <c r="L3405"/>
  <c r="L1726"/>
  <c r="L5682"/>
  <c r="L6126"/>
  <c r="L2257"/>
  <c r="L6754"/>
  <c r="L4498"/>
  <c r="L7469"/>
  <c r="L7449"/>
  <c r="L2424"/>
  <c r="L5422"/>
  <c r="L4243"/>
  <c r="L6867"/>
  <c r="L3872"/>
  <c r="L6571"/>
  <c r="L6013"/>
  <c r="L6552"/>
  <c r="L6336"/>
  <c r="L5831"/>
  <c r="L1345"/>
  <c r="L4690"/>
  <c r="L7340"/>
  <c r="L3416"/>
  <c r="L4744"/>
  <c r="L5396"/>
  <c r="L3514"/>
  <c r="L7042"/>
  <c r="L6881"/>
  <c r="L6063"/>
  <c r="L2512"/>
  <c r="L6527"/>
  <c r="L5161"/>
  <c r="L6706"/>
  <c r="L5780"/>
  <c r="L2911"/>
  <c r="L1281"/>
  <c r="L5693"/>
  <c r="L3707"/>
  <c r="L7994"/>
  <c r="L6089"/>
  <c r="L4202"/>
  <c r="L4370"/>
  <c r="L3822"/>
  <c r="L4848"/>
  <c r="L4602"/>
  <c r="L7217"/>
  <c r="L2375"/>
  <c r="L4259"/>
  <c r="L3812"/>
  <c r="L1821"/>
  <c r="L1273"/>
  <c r="L6113"/>
  <c r="L6487"/>
  <c r="L5185"/>
  <c r="L1656"/>
  <c r="L6927"/>
  <c r="L7450"/>
  <c r="L2313"/>
  <c r="L6506"/>
  <c r="L1788"/>
  <c r="L7204"/>
  <c r="L6743"/>
  <c r="L1785"/>
  <c r="L5707"/>
  <c r="L2470"/>
  <c r="L2814"/>
  <c r="L4345"/>
  <c r="L3595"/>
  <c r="L5337"/>
  <c r="L3828"/>
  <c r="L3557"/>
  <c r="L6259"/>
  <c r="L3077"/>
  <c r="L6707"/>
  <c r="L3144"/>
  <c r="L7223"/>
  <c r="L6813"/>
  <c r="L1689"/>
  <c r="L5465"/>
  <c r="L3135"/>
  <c r="L3452"/>
  <c r="L6324"/>
  <c r="L3205"/>
  <c r="L3477"/>
  <c r="L4092"/>
  <c r="L2401"/>
  <c r="L6524"/>
  <c r="L3512"/>
  <c r="L3361"/>
  <c r="L4399"/>
  <c r="L1705"/>
  <c r="L7503"/>
  <c r="L2250"/>
  <c r="L3238"/>
  <c r="L2553"/>
  <c r="L6061"/>
  <c r="L2371"/>
  <c r="L7992"/>
  <c r="L7631"/>
  <c r="L2419"/>
  <c r="L7182"/>
  <c r="L7815"/>
  <c r="L2940"/>
  <c r="L2650"/>
  <c r="L2341"/>
  <c r="L1308"/>
  <c r="L6898"/>
  <c r="L3407"/>
  <c r="L7632"/>
  <c r="L3041"/>
  <c r="L3552"/>
  <c r="L1352"/>
  <c r="L2159"/>
  <c r="L2328"/>
  <c r="L6049"/>
  <c r="L6961"/>
  <c r="L1935"/>
  <c r="L2240"/>
  <c r="L7466"/>
  <c r="L2717"/>
  <c r="L5190"/>
  <c r="L1777"/>
  <c r="L4318"/>
  <c r="L7033"/>
  <c r="L2981"/>
  <c r="L2038"/>
  <c r="L6941"/>
  <c r="L3643"/>
  <c r="L6433"/>
  <c r="L3308"/>
  <c r="L4319"/>
  <c r="L4844"/>
  <c r="L5197"/>
  <c r="L3642"/>
  <c r="L5895"/>
  <c r="L3529"/>
  <c r="L2477"/>
  <c r="L1414"/>
  <c r="L2708"/>
  <c r="L1402"/>
  <c r="L4527"/>
  <c r="L6292"/>
  <c r="L5266"/>
  <c r="L2338"/>
  <c r="L4261"/>
  <c r="L4935"/>
  <c r="L5958"/>
  <c r="L2114"/>
  <c r="L3818"/>
  <c r="L6719"/>
  <c r="L2200"/>
  <c r="L6694"/>
  <c r="L2308"/>
  <c r="L1265"/>
  <c r="L4277"/>
  <c r="L5735"/>
  <c r="L4533"/>
  <c r="L3718"/>
  <c r="L4956"/>
  <c r="L3901"/>
  <c r="L2808"/>
  <c r="L2175"/>
  <c r="L7378"/>
  <c r="L7260"/>
  <c r="L4169"/>
  <c r="L7529"/>
  <c r="L7506"/>
  <c r="L2577"/>
  <c r="L2196"/>
  <c r="L2815"/>
  <c r="L5543"/>
  <c r="L4959"/>
  <c r="L6855"/>
  <c r="L3312"/>
  <c r="L1635"/>
  <c r="L6970"/>
  <c r="L5112"/>
  <c r="L2979"/>
  <c r="L5176"/>
  <c r="L2262"/>
  <c r="L7947"/>
  <c r="L7787"/>
  <c r="L2568"/>
  <c r="L1840"/>
  <c r="L3164"/>
  <c r="L2072"/>
  <c r="L1479"/>
  <c r="L1170"/>
  <c r="L7479"/>
  <c r="L6315"/>
  <c r="L6405"/>
  <c r="L4008"/>
  <c r="L2105"/>
  <c r="L2071"/>
  <c r="L3098"/>
  <c r="L5391"/>
  <c r="L3885"/>
  <c r="L6870"/>
  <c r="L3324"/>
  <c r="L4948"/>
  <c r="L3756"/>
  <c r="L1843"/>
  <c r="L4908"/>
  <c r="L4236"/>
  <c r="L4178"/>
  <c r="L3553"/>
  <c r="L4974"/>
  <c r="L3589"/>
  <c r="L4857"/>
  <c r="L4087"/>
  <c r="L3334"/>
  <c r="L1139"/>
  <c r="L2969"/>
  <c r="L3939"/>
  <c r="L1433"/>
  <c r="L2684"/>
  <c r="L1716"/>
  <c r="L6309"/>
  <c r="L5758"/>
  <c r="L5849"/>
  <c r="L4157"/>
  <c r="L5708"/>
  <c r="L6528"/>
  <c r="L5169"/>
  <c r="L5233"/>
  <c r="L1284"/>
  <c r="L4622"/>
  <c r="L6691"/>
  <c r="L7586"/>
  <c r="L1279"/>
  <c r="L5865"/>
  <c r="L1443"/>
  <c r="L2822"/>
  <c r="L2000"/>
  <c r="L3257"/>
  <c r="L2649"/>
  <c r="L3784"/>
  <c r="L7567"/>
  <c r="L2990"/>
  <c r="L7925"/>
  <c r="L6988"/>
  <c r="L1584"/>
  <c r="L1282"/>
  <c r="L3080"/>
  <c r="L7580"/>
  <c r="L2603"/>
  <c r="L3387"/>
  <c r="L3382"/>
  <c r="L6285"/>
  <c r="L5348"/>
  <c r="L7229"/>
  <c r="L5944"/>
  <c r="L6036"/>
  <c r="L3336"/>
  <c r="L7572"/>
  <c r="L4047"/>
  <c r="L3009"/>
  <c r="L4570"/>
  <c r="L4082"/>
  <c r="L2848"/>
  <c r="L2597"/>
  <c r="L6264"/>
  <c r="L2497"/>
  <c r="L2270"/>
  <c r="L6989"/>
  <c r="L6852"/>
  <c r="L4329"/>
  <c r="L6523"/>
  <c r="L3844"/>
  <c r="L2432"/>
  <c r="L5739"/>
  <c r="L2854"/>
  <c r="L1463"/>
  <c r="L3866"/>
  <c r="L7603"/>
  <c r="L6075"/>
  <c r="L7851"/>
  <c r="L6272"/>
  <c r="L6686"/>
  <c r="L1818"/>
  <c r="L1233"/>
  <c r="L4545"/>
  <c r="L5086"/>
  <c r="L2176"/>
  <c r="L6509"/>
  <c r="L2665"/>
  <c r="L4270"/>
  <c r="L1396"/>
  <c r="L7294"/>
  <c r="L7585"/>
  <c r="L5642"/>
  <c r="L7718"/>
  <c r="L1497"/>
  <c r="L5528"/>
  <c r="L2179"/>
  <c r="L4373"/>
  <c r="L3478"/>
  <c r="L1390"/>
  <c r="L6601"/>
  <c r="L2131"/>
  <c r="L6359"/>
  <c r="L5896"/>
  <c r="L7576"/>
  <c r="L6312"/>
  <c r="L4255"/>
  <c r="L5268"/>
  <c r="L2669"/>
  <c r="L6131"/>
  <c r="L7806"/>
  <c r="L1812"/>
  <c r="L4638"/>
  <c r="L7623"/>
  <c r="L4954"/>
  <c r="L5802"/>
  <c r="L6440"/>
  <c r="L1492"/>
  <c r="L3118"/>
  <c r="L2347"/>
  <c r="L7615"/>
  <c r="L5364"/>
  <c r="L3760"/>
  <c r="L2106"/>
  <c r="L3934"/>
  <c r="L3157"/>
  <c r="L5757"/>
  <c r="L5626"/>
  <c r="L3742"/>
  <c r="L3892"/>
  <c r="L4786"/>
  <c r="L3408"/>
  <c r="L4438"/>
  <c r="L4341"/>
  <c r="L3475"/>
  <c r="L5978"/>
  <c r="L5832"/>
  <c r="L7901"/>
  <c r="L1565"/>
  <c r="L7117"/>
  <c r="L1237"/>
  <c r="L1503"/>
  <c r="L1486"/>
  <c r="L2524"/>
  <c r="L6396"/>
  <c r="L2573"/>
  <c r="L4642"/>
  <c r="L2619"/>
  <c r="L4970"/>
  <c r="L2369"/>
  <c r="L1516"/>
  <c r="L5254"/>
  <c r="L2020"/>
  <c r="L5855"/>
  <c r="L5727"/>
  <c r="L3617"/>
  <c r="L7902"/>
  <c r="L3411"/>
  <c r="L3622"/>
  <c r="L1740"/>
  <c r="L1793"/>
  <c r="L1699"/>
  <c r="L5442"/>
  <c r="L7740"/>
  <c r="L2582"/>
  <c r="L4762"/>
  <c r="L5152"/>
  <c r="L7754"/>
  <c r="L1566"/>
  <c r="L7523"/>
  <c r="L1808"/>
  <c r="L7700"/>
  <c r="L4929"/>
  <c r="L2893"/>
  <c r="L6296"/>
  <c r="L4180"/>
  <c r="L3767"/>
  <c r="L7045"/>
  <c r="L4242"/>
  <c r="L3850"/>
  <c r="L4258"/>
  <c r="L6490"/>
  <c r="L6115"/>
  <c r="L1723"/>
  <c r="L2352"/>
  <c r="L6652"/>
  <c r="L3842"/>
  <c r="L2017"/>
  <c r="L2846"/>
  <c r="L5287"/>
  <c r="L5051"/>
  <c r="L7319"/>
  <c r="L1679"/>
  <c r="L4444"/>
  <c r="L5443"/>
  <c r="L1877"/>
  <c r="L3531"/>
  <c r="L1755"/>
  <c r="L5485"/>
  <c r="L1301"/>
  <c r="L3073"/>
  <c r="L7978"/>
  <c r="L4841"/>
  <c r="L4917"/>
  <c r="L3179"/>
  <c r="L6869"/>
  <c r="L1838"/>
  <c r="L7641"/>
  <c r="L7542"/>
  <c r="L6630"/>
  <c r="L6067"/>
  <c r="L6479"/>
  <c r="L6290"/>
  <c r="L3717"/>
  <c r="L5764"/>
  <c r="L1892"/>
  <c r="L3480"/>
  <c r="L1358"/>
  <c r="L5719"/>
  <c r="L6500"/>
  <c r="L2118"/>
  <c r="L4362"/>
  <c r="L1932"/>
  <c r="L3669"/>
  <c r="L7034"/>
  <c r="L4093"/>
  <c r="L3948"/>
  <c r="L6983"/>
  <c r="L6374"/>
  <c r="L6985"/>
  <c r="L4033"/>
  <c r="L4205"/>
  <c r="L2586"/>
  <c r="L1164"/>
  <c r="L7197"/>
  <c r="L6390"/>
  <c r="L5875"/>
  <c r="L4715"/>
  <c r="L6218"/>
  <c r="L4028"/>
  <c r="L2482"/>
  <c r="L5275"/>
  <c r="L2999"/>
  <c r="L2648"/>
  <c r="L4392"/>
  <c r="L7167"/>
  <c r="L5107"/>
  <c r="L6203"/>
  <c r="L2232"/>
  <c r="L6816"/>
  <c r="L3740"/>
  <c r="L4612"/>
  <c r="L4777"/>
  <c r="L5116"/>
  <c r="L5299"/>
  <c r="L2475"/>
  <c r="L3265"/>
  <c r="L2042"/>
  <c r="L4387"/>
  <c r="L4489"/>
  <c r="L3419"/>
  <c r="L7558"/>
  <c r="L3983"/>
  <c r="L5561"/>
  <c r="L4500"/>
  <c r="L1907"/>
  <c r="L4576"/>
  <c r="L2057"/>
  <c r="L5961"/>
  <c r="L1183"/>
  <c r="L2134"/>
  <c r="L2956"/>
  <c r="L7822"/>
  <c r="L6147"/>
  <c r="L4374"/>
  <c r="L3065"/>
  <c r="L6542"/>
  <c r="L2683"/>
  <c r="L4353"/>
  <c r="L1234"/>
  <c r="L6205"/>
  <c r="L3472"/>
  <c r="L4148"/>
  <c r="L5673"/>
  <c r="L2608"/>
  <c r="L4393"/>
  <c r="L6457"/>
  <c r="L1192"/>
  <c r="L4882"/>
  <c r="L4651"/>
  <c r="L6850"/>
  <c r="L6464"/>
  <c r="L1732"/>
  <c r="L2039"/>
  <c r="L3620"/>
  <c r="L2094"/>
  <c r="L7800"/>
  <c r="L2458"/>
  <c r="L3017"/>
  <c r="L5121"/>
  <c r="L3121"/>
  <c r="L1196"/>
  <c r="L6156"/>
  <c r="L4436"/>
  <c r="L2190"/>
  <c r="L7226"/>
  <c r="L6742"/>
  <c r="L5172"/>
  <c r="L4747"/>
  <c r="L4110"/>
  <c r="L5296"/>
  <c r="L3640"/>
  <c r="L1776"/>
  <c r="L4589"/>
  <c r="L6423"/>
  <c r="L3582"/>
  <c r="L3509"/>
  <c r="L6085"/>
  <c r="L5418"/>
  <c r="L6299"/>
  <c r="L2810"/>
  <c r="L4510"/>
  <c r="L5971"/>
  <c r="L4506"/>
  <c r="L7108"/>
  <c r="L3015"/>
  <c r="L1337"/>
  <c r="L3825"/>
  <c r="L1888"/>
  <c r="L3366"/>
  <c r="L6251"/>
  <c r="L3003"/>
  <c r="L4129"/>
  <c r="L7929"/>
  <c r="L3893"/>
  <c r="L3722"/>
  <c r="L6963"/>
  <c r="L6734"/>
  <c r="L5423"/>
  <c r="L3604"/>
  <c r="L2146"/>
  <c r="L6422"/>
  <c r="L7243"/>
  <c r="L1411"/>
  <c r="L5768"/>
  <c r="L3644"/>
  <c r="L2253"/>
  <c r="L5578"/>
  <c r="L1489"/>
  <c r="L5856"/>
  <c r="L2974"/>
  <c r="L4482"/>
  <c r="L6354"/>
  <c r="L4475"/>
  <c r="L4902"/>
  <c r="L3376"/>
  <c r="L1573"/>
  <c r="L5795"/>
  <c r="L3210"/>
  <c r="L6900"/>
  <c r="L6667"/>
  <c r="L7644"/>
  <c r="L1512"/>
  <c r="L2902"/>
  <c r="L2422"/>
  <c r="L3663"/>
  <c r="L6072"/>
  <c r="L7767"/>
  <c r="L7640"/>
  <c r="L1404"/>
  <c r="L1285"/>
  <c r="L2566"/>
  <c r="L5619"/>
  <c r="L7200"/>
  <c r="L4431"/>
  <c r="L1291"/>
  <c r="L5502"/>
  <c r="L3762"/>
  <c r="L2938"/>
  <c r="L3096"/>
  <c r="L3811"/>
  <c r="L1949"/>
  <c r="L6993"/>
  <c r="L5653"/>
  <c r="L5779"/>
  <c r="L4339"/>
  <c r="L1900"/>
  <c r="L2311"/>
  <c r="L4233"/>
  <c r="L3428"/>
  <c r="L4268"/>
  <c r="L6243"/>
  <c r="L5212"/>
  <c r="L2950"/>
  <c r="L4679"/>
  <c r="L7791"/>
  <c r="L4226"/>
  <c r="L4922"/>
  <c r="L1735"/>
  <c r="L5413"/>
  <c r="L2334"/>
  <c r="L6674"/>
  <c r="L2739"/>
  <c r="L4743"/>
  <c r="L3876"/>
  <c r="L6227"/>
  <c r="L5946"/>
  <c r="L6300"/>
  <c r="L1848"/>
  <c r="L7460"/>
  <c r="L5307"/>
  <c r="L2901"/>
  <c r="L5387"/>
  <c r="L2501"/>
  <c r="L5753"/>
  <c r="L7293"/>
  <c r="L5631"/>
  <c r="L5537"/>
  <c r="L5405"/>
  <c r="L3090"/>
  <c r="L4556"/>
  <c r="L3230"/>
  <c r="L2002"/>
  <c r="L4984"/>
  <c r="L7163"/>
  <c r="L5863"/>
  <c r="L4188"/>
  <c r="L7704"/>
  <c r="L5738"/>
  <c r="L4427"/>
  <c r="L2625"/>
  <c r="L4635"/>
  <c r="L3688"/>
  <c r="L2429"/>
  <c r="L2276"/>
  <c r="L1505"/>
  <c r="L5675"/>
  <c r="L6481"/>
  <c r="L1465"/>
  <c r="L1325"/>
  <c r="L4763"/>
  <c r="L1934"/>
  <c r="L3418"/>
  <c r="L2661"/>
  <c r="L1878"/>
  <c r="L7903"/>
  <c r="L5939"/>
  <c r="L5146"/>
  <c r="L5833"/>
  <c r="L3094"/>
  <c r="L6931"/>
  <c r="L2444"/>
  <c r="L2138"/>
  <c r="L3495"/>
  <c r="L4406"/>
  <c r="L6273"/>
  <c r="L5361"/>
  <c r="L1372"/>
  <c r="L4343"/>
  <c r="L3262"/>
  <c r="L4852"/>
  <c r="L1594"/>
  <c r="L5702"/>
  <c r="L7777"/>
  <c r="L6942"/>
  <c r="L1975"/>
  <c r="L5715"/>
  <c r="L7843"/>
  <c r="L7527"/>
  <c r="L2914"/>
  <c r="L7155"/>
  <c r="L5020"/>
  <c r="L5300"/>
  <c r="L5180"/>
  <c r="L2465"/>
  <c r="L4271"/>
  <c r="L5263"/>
  <c r="L7648"/>
  <c r="L1537"/>
  <c r="L2148"/>
  <c r="L3513"/>
  <c r="L3150"/>
  <c r="L4018"/>
  <c r="L6091"/>
  <c r="L4328"/>
  <c r="L2823"/>
  <c r="L1158"/>
  <c r="L7599"/>
  <c r="L6915"/>
  <c r="L7796"/>
  <c r="L1145"/>
  <c r="L6621"/>
  <c r="L1306"/>
  <c r="L2224"/>
  <c r="L3070"/>
  <c r="L6258"/>
  <c r="L3681"/>
  <c r="L2273"/>
  <c r="L4834"/>
  <c r="L2339"/>
  <c r="L5409"/>
  <c r="L2610"/>
  <c r="L6104"/>
  <c r="L3956"/>
  <c r="L7369"/>
  <c r="L6069"/>
  <c r="L5881"/>
  <c r="L7948"/>
  <c r="L6792"/>
  <c r="L3370"/>
  <c r="L6168"/>
  <c r="L6572"/>
  <c r="L1856"/>
  <c r="L2596"/>
  <c r="L5570"/>
  <c r="L7578"/>
  <c r="L3417"/>
  <c r="L2805"/>
  <c r="L1375"/>
  <c r="L3615"/>
  <c r="L1924"/>
  <c r="L6959"/>
  <c r="L5923"/>
  <c r="L6406"/>
  <c r="L3748"/>
  <c r="L7801"/>
  <c r="L3393"/>
  <c r="L5926"/>
  <c r="L2768"/>
  <c r="L2456"/>
  <c r="L3735"/>
  <c r="L4326"/>
  <c r="L3013"/>
  <c r="L2127"/>
  <c r="L2440"/>
  <c r="L7748"/>
  <c r="L3593"/>
  <c r="L6846"/>
  <c r="L4229"/>
  <c r="L5451"/>
  <c r="L2205"/>
  <c r="L6613"/>
  <c r="L3353"/>
  <c r="L1193"/>
  <c r="L4975"/>
  <c r="L5888"/>
  <c r="L6520"/>
  <c r="L2143"/>
  <c r="L4432"/>
  <c r="L3196"/>
  <c r="L3297"/>
  <c r="L7064"/>
  <c r="L4302"/>
  <c r="L3282"/>
  <c r="L7282"/>
  <c r="L4567"/>
  <c r="L2168"/>
  <c r="L4497"/>
  <c r="L4539"/>
  <c r="L3020"/>
  <c r="L7053"/>
  <c r="L5195"/>
  <c r="L6365"/>
  <c r="L5913"/>
  <c r="L7520"/>
  <c r="L2539"/>
  <c r="L6143"/>
  <c r="L7868"/>
  <c r="L5277"/>
  <c r="L6886"/>
  <c r="L5784"/>
  <c r="L7980"/>
  <c r="L4206"/>
  <c r="L3315"/>
  <c r="L3360"/>
  <c r="L3870"/>
  <c r="L6475"/>
  <c r="L5269"/>
  <c r="L4860"/>
  <c r="L3414"/>
  <c r="L4565"/>
  <c r="L3651"/>
  <c r="L7907"/>
  <c r="L7019"/>
  <c r="L1855"/>
  <c r="L7639"/>
  <c r="L2666"/>
  <c r="L1349"/>
  <c r="L5165"/>
  <c r="L1557"/>
  <c r="L6582"/>
  <c r="L6535"/>
  <c r="L4278"/>
  <c r="L5523"/>
  <c r="L2663"/>
  <c r="L7280"/>
  <c r="L3543"/>
  <c r="L6122"/>
  <c r="L7519"/>
  <c r="L1207"/>
  <c r="L1688"/>
  <c r="L6987"/>
  <c r="L5697"/>
  <c r="L2110"/>
  <c r="L7775"/>
  <c r="L4474"/>
  <c r="L7014"/>
  <c r="L5518"/>
  <c r="L5566"/>
  <c r="L3836"/>
  <c r="L5310"/>
  <c r="L7470"/>
  <c r="L2242"/>
  <c r="L1604"/>
  <c r="L3449"/>
  <c r="L1820"/>
  <c r="L1446"/>
  <c r="L1617"/>
  <c r="L5232"/>
  <c r="L2933"/>
  <c r="L5949"/>
  <c r="L6082"/>
  <c r="L3340"/>
  <c r="L4910"/>
  <c r="L3962"/>
  <c r="L2386"/>
  <c r="L4667"/>
  <c r="L1658"/>
  <c r="L6997"/>
  <c r="L6392"/>
  <c r="L4803"/>
  <c r="L5094"/>
  <c r="L7295"/>
  <c r="L3444"/>
  <c r="L4854"/>
  <c r="L3442"/>
  <c r="L3438"/>
  <c r="L5151"/>
  <c r="L5376"/>
  <c r="L3750"/>
  <c r="L6802"/>
  <c r="L2503"/>
  <c r="L1216"/>
  <c r="L4299"/>
  <c r="L5399"/>
  <c r="L1309"/>
  <c r="L5782"/>
  <c r="L4865"/>
  <c r="L5459"/>
  <c r="L5061"/>
  <c r="L1706"/>
  <c r="L7135"/>
  <c r="L6981"/>
  <c r="L4465"/>
  <c r="L3987"/>
  <c r="L2220"/>
  <c r="L7304"/>
  <c r="L5592"/>
  <c r="L6084"/>
  <c r="L4731"/>
  <c r="L3006"/>
  <c r="L2079"/>
  <c r="L7869"/>
  <c r="L4012"/>
  <c r="L6645"/>
  <c r="L1978"/>
  <c r="L4065"/>
  <c r="L3035"/>
  <c r="L3768"/>
  <c r="L7006"/>
  <c r="L7926"/>
  <c r="L5900"/>
  <c r="L4708"/>
  <c r="L5696"/>
  <c r="L3938"/>
  <c r="L6430"/>
  <c r="L2857"/>
  <c r="L3008"/>
  <c r="L7491"/>
  <c r="L4692"/>
  <c r="L5966"/>
  <c r="L7230"/>
  <c r="L4430"/>
  <c r="L6695"/>
  <c r="L5969"/>
  <c r="L3545"/>
  <c r="L2198"/>
  <c r="L2122"/>
  <c r="L7870"/>
  <c r="L5976"/>
  <c r="L7885"/>
  <c r="L5999"/>
  <c r="L4820"/>
  <c r="L2366"/>
  <c r="L2349"/>
  <c r="L5815"/>
  <c r="L5907"/>
  <c r="L6700"/>
  <c r="L1472"/>
  <c r="L5607"/>
  <c r="L2326"/>
  <c r="L4154"/>
  <c r="L2027"/>
  <c r="L1165"/>
  <c r="L6646"/>
  <c r="L7629"/>
  <c r="L3752"/>
  <c r="L6851"/>
  <c r="L7838"/>
  <c r="L4866"/>
  <c r="L6822"/>
  <c r="L3243"/>
  <c r="L6197"/>
  <c r="L4032"/>
  <c r="L4934"/>
  <c r="L4084"/>
  <c r="L5229"/>
  <c r="L3195"/>
  <c r="L7768"/>
  <c r="L3007"/>
  <c r="L2712"/>
  <c r="L3547"/>
  <c r="L6165"/>
  <c r="L4664"/>
  <c r="L1259"/>
  <c r="L6631"/>
  <c r="L3170"/>
  <c r="L1360"/>
  <c r="L6298"/>
  <c r="L6320"/>
  <c r="L5081"/>
  <c r="L4306"/>
  <c r="L5825"/>
  <c r="L1724"/>
  <c r="L1431"/>
  <c r="L6799"/>
  <c r="L5948"/>
  <c r="L5234"/>
  <c r="L3807"/>
  <c r="L3458"/>
  <c r="L4384"/>
  <c r="L5273"/>
  <c r="L4022"/>
  <c r="L3815"/>
  <c r="L5127"/>
  <c r="L1938"/>
  <c r="L6318"/>
  <c r="L2567"/>
  <c r="L1494"/>
  <c r="L3338"/>
  <c r="L5136"/>
  <c r="L7862"/>
  <c r="L5580"/>
  <c r="L2766"/>
  <c r="L2396"/>
  <c r="L5712"/>
  <c r="L3561"/>
  <c r="L2798"/>
  <c r="L7833"/>
  <c r="L4955"/>
  <c r="L2025"/>
  <c r="L5056"/>
  <c r="L6956"/>
  <c r="L7689"/>
  <c r="L6534"/>
  <c r="L3964"/>
  <c r="L1532"/>
  <c r="L7967"/>
  <c r="L4274"/>
  <c r="L1339"/>
  <c r="L6649"/>
  <c r="L3391"/>
  <c r="L5191"/>
  <c r="L6790"/>
  <c r="L1861"/>
  <c r="L7329"/>
  <c r="L4706"/>
  <c r="L6400"/>
  <c r="L3323"/>
  <c r="L1367"/>
  <c r="L3155"/>
  <c r="L2284"/>
  <c r="L7241"/>
  <c r="L5790"/>
  <c r="L6311"/>
  <c r="L6044"/>
  <c r="L6659"/>
  <c r="L1376"/>
  <c r="L6673"/>
  <c r="L6006"/>
  <c r="L5544"/>
  <c r="L6546"/>
  <c r="L4813"/>
  <c r="L6664"/>
  <c r="L2364"/>
  <c r="L4872"/>
  <c r="L4996"/>
  <c r="L4840"/>
  <c r="L7073"/>
  <c r="L1917"/>
  <c r="L1990"/>
  <c r="L3246"/>
  <c r="L1648"/>
  <c r="L7863"/>
  <c r="L5952"/>
  <c r="L1956"/>
  <c r="L5773"/>
  <c r="L3083"/>
  <c r="L7645"/>
  <c r="L5410"/>
  <c r="L4873"/>
  <c r="L5060"/>
  <c r="L7882"/>
  <c r="L5788"/>
  <c r="L3755"/>
  <c r="L2764"/>
  <c r="L1137"/>
  <c r="L3970"/>
  <c r="L7464"/>
  <c r="L5371"/>
  <c r="L6322"/>
  <c r="L2778"/>
  <c r="L6640"/>
  <c r="L1894"/>
  <c r="L6230"/>
  <c r="L2362"/>
  <c r="L5572"/>
  <c r="L5048"/>
  <c r="L2867"/>
  <c r="L7584"/>
  <c r="L4801"/>
  <c r="L4085"/>
  <c r="L3479"/>
  <c r="L3632"/>
  <c r="L7725"/>
  <c r="L7330"/>
  <c r="L6561"/>
  <c r="L4759"/>
  <c r="L7835"/>
  <c r="L7899"/>
  <c r="L4796"/>
  <c r="L3538"/>
  <c r="L5384"/>
  <c r="L4718"/>
  <c r="L2287"/>
  <c r="L1971"/>
  <c r="L3525"/>
  <c r="L7989"/>
  <c r="L6008"/>
  <c r="L1631"/>
  <c r="L5301"/>
  <c r="L6773"/>
  <c r="L2486"/>
  <c r="L4817"/>
  <c r="L6088"/>
  <c r="L4266"/>
  <c r="L3116"/>
  <c r="L3174"/>
  <c r="L4011"/>
  <c r="L2722"/>
  <c r="L3986"/>
  <c r="L3871"/>
  <c r="L2472"/>
  <c r="L1577"/>
  <c r="L7354"/>
  <c r="L3043"/>
  <c r="L3154"/>
  <c r="L2040"/>
  <c r="L7490"/>
  <c r="L7060"/>
  <c r="L4941"/>
  <c r="L1205"/>
  <c r="L4103"/>
  <c r="L7953"/>
  <c r="L6853"/>
  <c r="L5748"/>
  <c r="L3653"/>
  <c r="L3537"/>
  <c r="L7790"/>
  <c r="L1326"/>
  <c r="L4351"/>
  <c r="L1628"/>
  <c r="L6095"/>
  <c r="L6624"/>
  <c r="L6626"/>
  <c r="L5990"/>
  <c r="L7857"/>
  <c r="L2824"/>
  <c r="L3256"/>
  <c r="L4106"/>
  <c r="L7087"/>
  <c r="L4291"/>
  <c r="L6579"/>
  <c r="L2358"/>
  <c r="L4888"/>
  <c r="L2077"/>
  <c r="L1570"/>
  <c r="L3709"/>
  <c r="L7184"/>
  <c r="L4140"/>
  <c r="L7309"/>
  <c r="L2381"/>
  <c r="L7936"/>
  <c r="L7283"/>
  <c r="L7991"/>
  <c r="L6946"/>
  <c r="L5430"/>
  <c r="L3690"/>
  <c r="L5677"/>
  <c r="L2906"/>
  <c r="L5407"/>
  <c r="L1296"/>
  <c r="L3311"/>
  <c r="L6598"/>
  <c r="L3271"/>
  <c r="L1247"/>
  <c r="L4029"/>
  <c r="L1266"/>
  <c r="L6747"/>
  <c r="L5135"/>
  <c r="L3564"/>
  <c r="L6321"/>
  <c r="L4000"/>
  <c r="L1779"/>
  <c r="L7526"/>
  <c r="L1305"/>
  <c r="L6755"/>
  <c r="L6944"/>
  <c r="L3076"/>
  <c r="L2668"/>
  <c r="L1754"/>
  <c r="L5848"/>
  <c r="L2594"/>
  <c r="L2268"/>
  <c r="L6966"/>
  <c r="L3592"/>
  <c r="L1471"/>
  <c r="L3306"/>
  <c r="L3515"/>
  <c r="L6703"/>
  <c r="L1980"/>
  <c r="L6226"/>
  <c r="L6800"/>
  <c r="L4479"/>
  <c r="L3427"/>
  <c r="L6907"/>
  <c r="L5908"/>
  <c r="L2645"/>
  <c r="L6594"/>
  <c r="L6768"/>
  <c r="L4354"/>
  <c r="L2653"/>
  <c r="L6562"/>
  <c r="L7180"/>
  <c r="L6689"/>
  <c r="L4529"/>
  <c r="L5661"/>
  <c r="L6656"/>
  <c r="L1629"/>
  <c r="L1341"/>
  <c r="L5324"/>
  <c r="L6241"/>
  <c r="L2467"/>
  <c r="L1157"/>
  <c r="L7322"/>
  <c r="L2434"/>
  <c r="L3924"/>
  <c r="L5705"/>
  <c r="L6441"/>
  <c r="L2172"/>
  <c r="L2117"/>
  <c r="L4689"/>
  <c r="L5260"/>
  <c r="L7675"/>
  <c r="L1780"/>
  <c r="L1361"/>
  <c r="L5769"/>
  <c r="L1744"/>
  <c r="L6574"/>
  <c r="L4597"/>
  <c r="L5836"/>
  <c r="L3201"/>
  <c r="L4842"/>
  <c r="L7292"/>
  <c r="L6859"/>
  <c r="L4133"/>
  <c r="L2833"/>
  <c r="L5979"/>
  <c r="L4241"/>
  <c r="L2473"/>
  <c r="L6701"/>
  <c r="L4235"/>
  <c r="L4794"/>
  <c r="L6403"/>
  <c r="L2453"/>
  <c r="L6975"/>
  <c r="L2670"/>
  <c r="L1314"/>
  <c r="L1884"/>
  <c r="L6666"/>
  <c r="L6426"/>
  <c r="L4684"/>
  <c r="L3484"/>
  <c r="L3891"/>
  <c r="L1903"/>
  <c r="L5583"/>
  <c r="L2135"/>
  <c r="L2277"/>
  <c r="L4773"/>
  <c r="L6765"/>
  <c r="L6622"/>
  <c r="L3372"/>
  <c r="L3161"/>
  <c r="L5463"/>
  <c r="L7101"/>
  <c r="L5718"/>
  <c r="L7476"/>
  <c r="L3848"/>
  <c r="L5295"/>
  <c r="L1378"/>
  <c r="L5282"/>
  <c r="L2483"/>
  <c r="L7959"/>
  <c r="L7017"/>
  <c r="L1478"/>
  <c r="L2056"/>
  <c r="L5103"/>
  <c r="L3213"/>
  <c r="L5482"/>
  <c r="L5216"/>
  <c r="L3326"/>
  <c r="L7023"/>
  <c r="L1902"/>
  <c r="L2113"/>
  <c r="L5257"/>
  <c r="L2759"/>
  <c r="L5581"/>
  <c r="L1905"/>
  <c r="L5678"/>
  <c r="L7110"/>
  <c r="L1919"/>
  <c r="L6116"/>
  <c r="L3227"/>
  <c r="L4728"/>
  <c r="L5226"/>
  <c r="L1767"/>
  <c r="L7671"/>
  <c r="L7358"/>
  <c r="L1857"/>
  <c r="L3406"/>
  <c r="L5130"/>
  <c r="L7974"/>
  <c r="L1189"/>
  <c r="L5536"/>
  <c r="L2359"/>
  <c r="L3627"/>
  <c r="L6439"/>
  <c r="L5239"/>
  <c r="L5927"/>
  <c r="L7920"/>
  <c r="L5187"/>
  <c r="L6408"/>
  <c r="L6718"/>
  <c r="L7898"/>
  <c r="L3381"/>
  <c r="L3037"/>
  <c r="L4391"/>
  <c r="L1609"/>
  <c r="L3074"/>
  <c r="L1931"/>
  <c r="L6634"/>
  <c r="L2004"/>
  <c r="L1736"/>
  <c r="L6130"/>
  <c r="L4571"/>
  <c r="L1750"/>
  <c r="L4458"/>
  <c r="L3835"/>
  <c r="L4724"/>
  <c r="L5945"/>
  <c r="L5745"/>
  <c r="L2452"/>
  <c r="L5157"/>
  <c r="L5227"/>
  <c r="L5723"/>
  <c r="L5610"/>
  <c r="L7233"/>
  <c r="L4203"/>
  <c r="L3650"/>
  <c r="L5196"/>
  <c r="L4593"/>
  <c r="L2592"/>
  <c r="L3247"/>
  <c r="L1953"/>
  <c r="L5317"/>
  <c r="L7935"/>
  <c r="L5589"/>
  <c r="L5843"/>
  <c r="L4463"/>
  <c r="L3764"/>
  <c r="L7972"/>
  <c r="L3832"/>
  <c r="L7086"/>
  <c r="L5617"/>
  <c r="L7372"/>
  <c r="L3865"/>
  <c r="L2295"/>
  <c r="L2263"/>
  <c r="L5192"/>
  <c r="L2832"/>
  <c r="L1860"/>
  <c r="L6357"/>
  <c r="L7763"/>
  <c r="L3108"/>
  <c r="L4740"/>
  <c r="L5975"/>
  <c r="L5606"/>
  <c r="L6068"/>
  <c r="L4016"/>
  <c r="L1851"/>
  <c r="L4307"/>
  <c r="L2294"/>
  <c r="L7232"/>
  <c r="L2393"/>
  <c r="L6663"/>
  <c r="L4800"/>
  <c r="L6014"/>
  <c r="L1681"/>
  <c r="L7303"/>
  <c r="L2249"/>
  <c r="L5444"/>
  <c r="L5670"/>
  <c r="L5058"/>
  <c r="L7804"/>
  <c r="L3270"/>
  <c r="L6563"/>
  <c r="L2188"/>
  <c r="L1128"/>
  <c r="L3465"/>
  <c r="L6429"/>
  <c r="L3624"/>
  <c r="L3204"/>
  <c r="L1525"/>
  <c r="L3658"/>
  <c r="L4083"/>
  <c r="L5438"/>
  <c r="L5823"/>
  <c r="L5777"/>
  <c r="L1556"/>
  <c r="L3436"/>
  <c r="L7435"/>
  <c r="L6784"/>
  <c r="L1429"/>
  <c r="L7079"/>
  <c r="L5577"/>
  <c r="L5110"/>
  <c r="L7430"/>
  <c r="L3846"/>
  <c r="L1257"/>
  <c r="L4985"/>
  <c r="L3432"/>
  <c r="L3546"/>
  <c r="L6351"/>
  <c r="L3251"/>
  <c r="L5354"/>
  <c r="L7820"/>
  <c r="L1177"/>
  <c r="L2139"/>
  <c r="L7473"/>
  <c r="L6029"/>
  <c r="L6538"/>
  <c r="L5267"/>
  <c r="L3250"/>
  <c r="L4123"/>
  <c r="L1915"/>
  <c r="L2525"/>
  <c r="L7482"/>
  <c r="L4913"/>
  <c r="L6419"/>
  <c r="L5772"/>
  <c r="L6753"/>
  <c r="L6301"/>
  <c r="L6302"/>
  <c r="L6838"/>
  <c r="L2752"/>
  <c r="L6948"/>
  <c r="L3575"/>
  <c r="L5789"/>
  <c r="L5247"/>
  <c r="L1394"/>
  <c r="L6733"/>
  <c r="L3676"/>
  <c r="L4419"/>
  <c r="L6514"/>
  <c r="L2425"/>
  <c r="L1985"/>
  <c r="L6189"/>
  <c r="L5097"/>
  <c r="L3637"/>
  <c r="L7250"/>
  <c r="L7668"/>
  <c r="L7758"/>
  <c r="L1987"/>
  <c r="L4682"/>
  <c r="L1670"/>
  <c r="L2227"/>
  <c r="L3918"/>
  <c r="L7915"/>
  <c r="L6367"/>
  <c r="L2579"/>
  <c r="L4807"/>
  <c r="L4703"/>
  <c r="L7374"/>
  <c r="L3868"/>
  <c r="L1432"/>
  <c r="L4508"/>
  <c r="L1693"/>
  <c r="L5609"/>
  <c r="L2679"/>
  <c r="L7698"/>
  <c r="L2777"/>
  <c r="L2275"/>
  <c r="L1171"/>
  <c r="L6599"/>
  <c r="L1622"/>
  <c r="L3186"/>
  <c r="L6443"/>
  <c r="L3367"/>
  <c r="L3255"/>
  <c r="L5017"/>
  <c r="L6319"/>
  <c r="L2164"/>
  <c r="L5914"/>
  <c r="L7859"/>
  <c r="L4502"/>
  <c r="L2618"/>
  <c r="L3001"/>
  <c r="L1963"/>
  <c r="L7839"/>
  <c r="L7383"/>
  <c r="L6114"/>
  <c r="L3808"/>
  <c r="L3482"/>
  <c r="L7772"/>
  <c r="L7577"/>
  <c r="L5766"/>
  <c r="L4253"/>
  <c r="L3211"/>
  <c r="L3746"/>
  <c r="L6052"/>
  <c r="L2888"/>
  <c r="L5331"/>
  <c r="L2416"/>
  <c r="L5726"/>
  <c r="L7066"/>
  <c r="L4814"/>
  <c r="L4574"/>
  <c r="L5807"/>
  <c r="L3692"/>
  <c r="L3225"/>
  <c r="L1799"/>
  <c r="L3520"/>
  <c r="L2627"/>
  <c r="L4877"/>
  <c r="L7987"/>
  <c r="L1817"/>
  <c r="L6097"/>
  <c r="L3078"/>
  <c r="L3506"/>
  <c r="L3349"/>
  <c r="L3796"/>
  <c r="L6056"/>
  <c r="L6693"/>
  <c r="L7253"/>
  <c r="L6868"/>
  <c r="L3979"/>
  <c r="L4579"/>
  <c r="L1436"/>
  <c r="L4880"/>
  <c r="L6223"/>
  <c r="L7511"/>
  <c r="L3095"/>
  <c r="L6002"/>
  <c r="L3864"/>
  <c r="L2435"/>
  <c r="L3695"/>
  <c r="L1559"/>
  <c r="L4152"/>
  <c r="L4673"/>
  <c r="L5154"/>
  <c r="L4968"/>
  <c r="L2978"/>
  <c r="L4978"/>
  <c r="L6595"/>
  <c r="L1335"/>
  <c r="L7148"/>
  <c r="L5159"/>
  <c r="L5274"/>
  <c r="L7028"/>
  <c r="L6681"/>
  <c r="L7802"/>
  <c r="L4267"/>
  <c r="L3517"/>
  <c r="L7965"/>
  <c r="L2182"/>
  <c r="L7370"/>
  <c r="L5456"/>
  <c r="L7190"/>
  <c r="L3424"/>
  <c r="L4657"/>
  <c r="L6756"/>
  <c r="L2247"/>
  <c r="L1427"/>
  <c r="L5164"/>
  <c r="L4899"/>
  <c r="L6935"/>
  <c r="L5950"/>
  <c r="L2951"/>
  <c r="L2028"/>
  <c r="L5411"/>
  <c r="L5793"/>
  <c r="L6854"/>
  <c r="L4385"/>
  <c r="L6428"/>
  <c r="L1789"/>
  <c r="L7446"/>
  <c r="L3574"/>
  <c r="L5453"/>
  <c r="L6477"/>
  <c r="L7757"/>
  <c r="L5995"/>
  <c r="L4086"/>
  <c r="L3109"/>
  <c r="L2939"/>
  <c r="L1239"/>
  <c r="L5601"/>
  <c r="L1728"/>
  <c r="L5918"/>
  <c r="L3590"/>
  <c r="L3875"/>
  <c r="L3400"/>
  <c r="L6175"/>
  <c r="L7174"/>
  <c r="L6466"/>
  <c r="L7235"/>
  <c r="L1473"/>
  <c r="L1249"/>
  <c r="L7545"/>
  <c r="L4853"/>
  <c r="L5168"/>
  <c r="L1588"/>
  <c r="L6909"/>
  <c r="L5004"/>
  <c r="L6587"/>
  <c r="L3071"/>
  <c r="L4881"/>
  <c r="L4961"/>
  <c r="L4604"/>
  <c r="L1229"/>
  <c r="L5427"/>
  <c r="L6739"/>
  <c r="L4358"/>
  <c r="L2063"/>
  <c r="L4468"/>
  <c r="L4039"/>
  <c r="L6805"/>
  <c r="L7738"/>
  <c r="L5770"/>
  <c r="L6573"/>
  <c r="L7225"/>
  <c r="L7760"/>
  <c r="L6493"/>
  <c r="L5553"/>
  <c r="L6401"/>
  <c r="L2045"/>
  <c r="L1415"/>
  <c r="L6556"/>
  <c r="L6353"/>
  <c r="L2049"/>
  <c r="L1540"/>
  <c r="L3984"/>
  <c r="L6198"/>
  <c r="L3931"/>
  <c r="L3443"/>
  <c r="L2680"/>
  <c r="L6501"/>
  <c r="L6882"/>
  <c r="L5516"/>
  <c r="L3162"/>
  <c r="L1687"/>
  <c r="L6155"/>
  <c r="L6588"/>
  <c r="L1562"/>
  <c r="L5428"/>
  <c r="L3874"/>
  <c r="L7786"/>
  <c r="L4688"/>
  <c r="L6778"/>
  <c r="L6953"/>
  <c r="L2611"/>
  <c r="L5019"/>
  <c r="L7733"/>
  <c r="L4998"/>
  <c r="L1297"/>
  <c r="L2816"/>
  <c r="L1426"/>
  <c r="L3754"/>
  <c r="L3050"/>
  <c r="L7932"/>
  <c r="L6721"/>
  <c r="L2626"/>
  <c r="L5899"/>
  <c r="L7941"/>
  <c r="L7610"/>
  <c r="L2839"/>
  <c r="L6445"/>
  <c r="L3209"/>
  <c r="L5622"/>
  <c r="L2142"/>
  <c r="L7218"/>
  <c r="L6064"/>
  <c r="L2081"/>
  <c r="L2673"/>
  <c r="L1307"/>
  <c r="L1653"/>
  <c r="L4973"/>
  <c r="L4522"/>
  <c r="L2201"/>
  <c r="L3388"/>
  <c r="L2629"/>
  <c r="L2189"/>
  <c r="L6362"/>
  <c r="L7008"/>
  <c r="L5634"/>
  <c r="L3602"/>
  <c r="L2493"/>
  <c r="L5325"/>
  <c r="L4538"/>
  <c r="L4561"/>
  <c r="L7158"/>
  <c r="L2968"/>
  <c r="L4549"/>
  <c r="L3960"/>
  <c r="L1571"/>
  <c r="L5656"/>
  <c r="L3544"/>
  <c r="L6182"/>
  <c r="L2976"/>
  <c r="L1424"/>
  <c r="L4376"/>
  <c r="L6999"/>
  <c r="L4390"/>
  <c r="L5262"/>
  <c r="L1950"/>
  <c r="L7242"/>
  <c r="L1596"/>
  <c r="L3662"/>
  <c r="L2821"/>
  <c r="L3996"/>
  <c r="L3903"/>
  <c r="L2924"/>
  <c r="L3606"/>
  <c r="L4964"/>
  <c r="L6187"/>
  <c r="L1180"/>
  <c r="L1450"/>
  <c r="L7202"/>
  <c r="L5962"/>
  <c r="L2213"/>
  <c r="L3132"/>
  <c r="L7705"/>
  <c r="L6635"/>
  <c r="L3725"/>
  <c r="L2721"/>
  <c r="L1141"/>
  <c r="L3399"/>
  <c r="L7677"/>
  <c r="L6817"/>
  <c r="L3827"/>
  <c r="L4366"/>
  <c r="L1845"/>
  <c r="L2837"/>
  <c r="L4972"/>
  <c r="L2513"/>
  <c r="L7416"/>
  <c r="L1260"/>
  <c r="L5501"/>
  <c r="L5980"/>
  <c r="L1246"/>
  <c r="L4246"/>
  <c r="L2302"/>
  <c r="L4785"/>
  <c r="L1891"/>
  <c r="L4063"/>
  <c r="L5947"/>
  <c r="L2980"/>
  <c r="L7766"/>
  <c r="L5101"/>
  <c r="L3052"/>
  <c r="L7451"/>
  <c r="L4225"/>
  <c r="L5590"/>
  <c r="L7913"/>
  <c r="L3468"/>
  <c r="L5890"/>
  <c r="L2884"/>
  <c r="L2758"/>
  <c r="L6267"/>
  <c r="L1448"/>
  <c r="L1997"/>
  <c r="L3886"/>
  <c r="L3993"/>
  <c r="L5663"/>
  <c r="L2325"/>
  <c r="L3914"/>
  <c r="L5860"/>
  <c r="L3675"/>
  <c r="L6080"/>
  <c r="L1939"/>
  <c r="L7236"/>
  <c r="L6154"/>
  <c r="L5799"/>
  <c r="L4547"/>
  <c r="L5654"/>
  <c r="L4969"/>
  <c r="L7307"/>
  <c r="L6557"/>
  <c r="L4531"/>
  <c r="L4405"/>
  <c r="L2316"/>
  <c r="L7621"/>
  <c r="L7588"/>
  <c r="L6045"/>
  <c r="L3188"/>
  <c r="L3973"/>
  <c r="L2749"/>
  <c r="L7441"/>
  <c r="L1541"/>
  <c r="L2197"/>
  <c r="D1069"/>
  <c r="N1069" s="1"/>
  <c r="N1068"/>
  <c r="K2" l="1"/>
  <c r="K1"/>
  <c r="D1070"/>
  <c r="D1071" l="1"/>
  <c r="D1072" s="1"/>
  <c r="N1072" s="1"/>
  <c r="N1070"/>
  <c r="N1071" l="1"/>
  <c r="D1073"/>
  <c r="D1074" l="1"/>
  <c r="N1074" s="1"/>
  <c r="N1073"/>
  <c r="D1075" l="1"/>
  <c r="D1076" l="1"/>
  <c r="N1076" s="1"/>
  <c r="N1075"/>
  <c r="D1077" l="1"/>
  <c r="D1078" s="1"/>
  <c r="D1079" s="1"/>
  <c r="D1080" s="1"/>
  <c r="D1081" l="1"/>
  <c r="N1081" s="1"/>
  <c r="N1078"/>
  <c r="N1077"/>
  <c r="N1079"/>
  <c r="N1080"/>
  <c r="D1082" l="1"/>
  <c r="D1083" l="1"/>
  <c r="N1083" s="1"/>
  <c r="N1082"/>
  <c r="D1084" l="1"/>
  <c r="D1085" l="1"/>
  <c r="N1085" s="1"/>
  <c r="N1084"/>
  <c r="D1086" l="1"/>
  <c r="D1087" l="1"/>
  <c r="N1087" s="1"/>
  <c r="N1086"/>
  <c r="D1088" l="1"/>
  <c r="D1089" s="1"/>
  <c r="D1090" l="1"/>
  <c r="N1090" s="1"/>
  <c r="N1089"/>
  <c r="N1088"/>
  <c r="D1091" l="1"/>
  <c r="D1092" l="1"/>
  <c r="D1093" s="1"/>
  <c r="N1091"/>
  <c r="N1093" l="1"/>
  <c r="N1092"/>
  <c r="D1094"/>
  <c r="D1095" l="1"/>
  <c r="N1095" s="1"/>
  <c r="N1094"/>
  <c r="D1096" l="1"/>
  <c r="D1097" l="1"/>
  <c r="D1098" s="1"/>
  <c r="N1098" s="1"/>
  <c r="N1096"/>
  <c r="N1097" l="1"/>
  <c r="D1099"/>
  <c r="D1100" l="1"/>
  <c r="N1100" s="1"/>
  <c r="N1099"/>
  <c r="D1101" l="1"/>
  <c r="D1102" l="1"/>
  <c r="N1102" s="1"/>
  <c r="N1101"/>
  <c r="D1103" l="1"/>
  <c r="D1104" s="1"/>
  <c r="D1105" s="1"/>
  <c r="D1106" s="1"/>
  <c r="D1107" s="1"/>
  <c r="D1108" s="1"/>
  <c r="D1109" s="1"/>
  <c r="D1110" s="1"/>
  <c r="D1111" s="1"/>
  <c r="D1112" s="1"/>
  <c r="D1113" s="1"/>
  <c r="D1114" s="1"/>
  <c r="D1115" s="1"/>
  <c r="D1116" s="1"/>
  <c r="D1117" s="1"/>
  <c r="D1118" s="1"/>
  <c r="D1119" s="1"/>
  <c r="D1120" s="1"/>
  <c r="D1121" s="1"/>
  <c r="D1122" s="1"/>
  <c r="D1123" s="1"/>
  <c r="D1124" s="1"/>
  <c r="D1125" s="1"/>
  <c r="D1126" s="1"/>
  <c r="D1127" s="1"/>
  <c r="D1128" s="1"/>
  <c r="D1129" s="1"/>
  <c r="D1130" s="1"/>
  <c r="N1565" l="1"/>
  <c r="N6973"/>
  <c r="N4157"/>
  <c r="N4525"/>
  <c r="N3587"/>
  <c r="N5999"/>
  <c r="N7715"/>
  <c r="N2715"/>
  <c r="N5681"/>
  <c r="N2561"/>
  <c r="N6382"/>
  <c r="N7220"/>
  <c r="N3604"/>
  <c r="N4529"/>
  <c r="N2015"/>
  <c r="N6992"/>
  <c r="N4517"/>
  <c r="N4143"/>
  <c r="N3159"/>
  <c r="N4685"/>
  <c r="N5709"/>
  <c r="N7368"/>
  <c r="N7224"/>
  <c r="N1624"/>
  <c r="N3869"/>
  <c r="N7821"/>
  <c r="N2370"/>
  <c r="N3241"/>
  <c r="N4180"/>
  <c r="N5810"/>
  <c r="N4895"/>
  <c r="N4212"/>
  <c r="N3238"/>
  <c r="N1222"/>
  <c r="N4176"/>
  <c r="N3434"/>
  <c r="N5494"/>
  <c r="N7429"/>
  <c r="N7703"/>
  <c r="N7651"/>
  <c r="N7129"/>
  <c r="N1580"/>
  <c r="N4045"/>
  <c r="N7933"/>
  <c r="N6511"/>
  <c r="N1194"/>
  <c r="N7987"/>
  <c r="N4937"/>
  <c r="N4438"/>
  <c r="N1486"/>
  <c r="N3515"/>
  <c r="N5456"/>
  <c r="N7691"/>
  <c r="N7531"/>
  <c r="N4697"/>
  <c r="N7044"/>
  <c r="N4475"/>
  <c r="N5793"/>
  <c r="N5758"/>
  <c r="N2940"/>
  <c r="N7564"/>
  <c r="N5014"/>
  <c r="N3965"/>
  <c r="N5183"/>
  <c r="N5912"/>
  <c r="N4501"/>
  <c r="N5811"/>
  <c r="N4641"/>
  <c r="N4977"/>
  <c r="N1915"/>
  <c r="N3956"/>
  <c r="N2945"/>
  <c r="N2827"/>
  <c r="N1666"/>
  <c r="N3968"/>
  <c r="N1187"/>
  <c r="N1513"/>
  <c r="N3972"/>
  <c r="N1760"/>
  <c r="N5230"/>
  <c r="N6588"/>
  <c r="N6369"/>
  <c r="N3589"/>
  <c r="N4388"/>
  <c r="N3276"/>
  <c r="N6378"/>
  <c r="N3770"/>
  <c r="N2613"/>
  <c r="N5618"/>
  <c r="N4145"/>
  <c r="N7903"/>
  <c r="N5816"/>
  <c r="N2519"/>
  <c r="N3566"/>
  <c r="N3308"/>
  <c r="N1871"/>
  <c r="N2071"/>
  <c r="N4773"/>
  <c r="N3026"/>
  <c r="N1984"/>
  <c r="N7990"/>
  <c r="N4532"/>
  <c r="N7376"/>
  <c r="N6506"/>
  <c r="N2614"/>
  <c r="N4361"/>
  <c r="N2469"/>
  <c r="N7733"/>
  <c r="N7453"/>
  <c r="N2236"/>
  <c r="N7492"/>
  <c r="N1851"/>
  <c r="N2948"/>
  <c r="N1480"/>
  <c r="N6624"/>
  <c r="N5299"/>
  <c r="N2855"/>
  <c r="N3445"/>
  <c r="N3244"/>
  <c r="N1190"/>
  <c r="N5274"/>
  <c r="N6687"/>
  <c r="N5948"/>
  <c r="N7528"/>
  <c r="N4158"/>
  <c r="N7172"/>
  <c r="N1293"/>
  <c r="N7642"/>
  <c r="N1420"/>
  <c r="N4599"/>
  <c r="N2881"/>
  <c r="N1660"/>
  <c r="N5933"/>
  <c r="N4238"/>
  <c r="N3482"/>
  <c r="N5441"/>
  <c r="N1147"/>
  <c r="N4590"/>
  <c r="N3385"/>
  <c r="N6503"/>
  <c r="N1650"/>
  <c r="N7125"/>
  <c r="N6109"/>
  <c r="N4241"/>
  <c r="N2642"/>
  <c r="N3326"/>
  <c r="N3234"/>
  <c r="N1745"/>
  <c r="N1885"/>
  <c r="N2819"/>
  <c r="N6853"/>
  <c r="N5200"/>
  <c r="N3758"/>
  <c r="N1899"/>
  <c r="N7351"/>
  <c r="N1497"/>
  <c r="N6017"/>
  <c r="N6830"/>
  <c r="N2287"/>
  <c r="N1280"/>
  <c r="N6592"/>
  <c r="N3827"/>
  <c r="N4401"/>
  <c r="N6092"/>
  <c r="N7811"/>
  <c r="N1656"/>
  <c r="N3775"/>
  <c r="N7919"/>
  <c r="N5990"/>
  <c r="N4555"/>
  <c r="N2252"/>
  <c r="N4538"/>
  <c r="N3196"/>
  <c r="N7273"/>
  <c r="N2094"/>
  <c r="N4566"/>
  <c r="N4598"/>
  <c r="N5495"/>
  <c r="N3682"/>
  <c r="N2116"/>
  <c r="N2090"/>
  <c r="N3242"/>
  <c r="N7870"/>
  <c r="N5842"/>
  <c r="N3033"/>
  <c r="N7128"/>
  <c r="N3392"/>
  <c r="N6207"/>
  <c r="N4336"/>
  <c r="N7988"/>
  <c r="N6887"/>
  <c r="N1363"/>
  <c r="N2138"/>
  <c r="N2508"/>
  <c r="N6881"/>
  <c r="N3267"/>
  <c r="N2955"/>
  <c r="N4252"/>
  <c r="N2976"/>
  <c r="N2454"/>
  <c r="N2757"/>
  <c r="N5741"/>
  <c r="N3360"/>
  <c r="N5704"/>
  <c r="N6581"/>
  <c r="N6822"/>
  <c r="N2032"/>
  <c r="N7022"/>
  <c r="N3802"/>
  <c r="N5983"/>
  <c r="N7507"/>
  <c r="N2102"/>
  <c r="N2007"/>
  <c r="N4740"/>
  <c r="N5884"/>
  <c r="N6275"/>
  <c r="N4390"/>
  <c r="N2422"/>
  <c r="N1579"/>
  <c r="N4882"/>
  <c r="N2225"/>
  <c r="N1421"/>
  <c r="N6527"/>
  <c r="N7465"/>
  <c r="N3919"/>
  <c r="N1294"/>
  <c r="N2555"/>
  <c r="N7266"/>
  <c r="N2563"/>
  <c r="N5553"/>
  <c r="N2290"/>
  <c r="N3433"/>
  <c r="N5926"/>
  <c r="N5377"/>
  <c r="N2620"/>
  <c r="N1494"/>
  <c r="N7608"/>
  <c r="N6919"/>
  <c r="N1788"/>
  <c r="N4244"/>
  <c r="N3177"/>
  <c r="N3513"/>
  <c r="N6363"/>
  <c r="N4199"/>
  <c r="N7420"/>
  <c r="N1196"/>
  <c r="N4907"/>
  <c r="N7863"/>
  <c r="N6210"/>
  <c r="N3953"/>
  <c r="N6846"/>
  <c r="N4972"/>
  <c r="N7932"/>
  <c r="N5416"/>
  <c r="N1630"/>
  <c r="N2101"/>
  <c r="N2010"/>
  <c r="N4923"/>
  <c r="N4164"/>
  <c r="N4315"/>
  <c r="N1221"/>
  <c r="N7305"/>
  <c r="N6622"/>
  <c r="N2336"/>
  <c r="N2548"/>
  <c r="N4133"/>
  <c r="N4377"/>
  <c r="N4245"/>
  <c r="N5613"/>
  <c r="N4186"/>
  <c r="N4616"/>
  <c r="N2058"/>
  <c r="N1894"/>
  <c r="N3779"/>
  <c r="N7216"/>
  <c r="N4171"/>
  <c r="N7617"/>
  <c r="N1446"/>
  <c r="N4453"/>
  <c r="N3348"/>
  <c r="N1695"/>
  <c r="N5887"/>
  <c r="N6649"/>
  <c r="N7723"/>
  <c r="N3288"/>
  <c r="N2487"/>
  <c r="N6497"/>
  <c r="N5829"/>
  <c r="N6571"/>
  <c r="N7171"/>
  <c r="N3975"/>
  <c r="N6482"/>
  <c r="N1887"/>
  <c r="N6976"/>
  <c r="N2949"/>
  <c r="N6575"/>
  <c r="N3370"/>
  <c r="N2731"/>
  <c r="N2108"/>
  <c r="N7378"/>
  <c r="N4658"/>
  <c r="N6905"/>
  <c r="N5876"/>
  <c r="N2284"/>
  <c r="N2952"/>
  <c r="N5914"/>
  <c r="N6042"/>
  <c r="N1593"/>
  <c r="N2628"/>
  <c r="N2676"/>
  <c r="N7668"/>
  <c r="N7443"/>
  <c r="N5952"/>
  <c r="N4272"/>
  <c r="N3786"/>
  <c r="N7230"/>
  <c r="N7921"/>
  <c r="N5663"/>
  <c r="N3042"/>
  <c r="N3518"/>
  <c r="N3227"/>
  <c r="N6796"/>
  <c r="N3346"/>
  <c r="N7871"/>
  <c r="N7484"/>
  <c r="N2360"/>
  <c r="N3461"/>
  <c r="N6182"/>
  <c r="N1783"/>
  <c r="N3712"/>
  <c r="N3067"/>
  <c r="N5557"/>
  <c r="N7356"/>
  <c r="N3084"/>
  <c r="N3979"/>
  <c r="N6456"/>
  <c r="N7442"/>
  <c r="N5731"/>
  <c r="N6453"/>
  <c r="N5642"/>
  <c r="N7982"/>
  <c r="N3764"/>
  <c r="N5774"/>
  <c r="N2478"/>
  <c r="N2263"/>
  <c r="N7209"/>
  <c r="N3282"/>
  <c r="N4900"/>
  <c r="N2397"/>
  <c r="N5590"/>
  <c r="N6376"/>
  <c r="N6231"/>
  <c r="N7173"/>
  <c r="N2590"/>
  <c r="N2675"/>
  <c r="N7071"/>
  <c r="N2587"/>
  <c r="N5227"/>
  <c r="N7008"/>
  <c r="N1548"/>
  <c r="N7417"/>
  <c r="N1813"/>
  <c r="N7032"/>
  <c r="N2981"/>
  <c r="N7328"/>
  <c r="N6866"/>
  <c r="N1667"/>
  <c r="N3116"/>
  <c r="N1877"/>
  <c r="N5527"/>
  <c r="N4707"/>
  <c r="N5073"/>
  <c r="N7006"/>
  <c r="N5700"/>
  <c r="N5046"/>
  <c r="N5040"/>
  <c r="N3373"/>
  <c r="N3885"/>
  <c r="N3496"/>
  <c r="N5628"/>
  <c r="N6144"/>
  <c r="N5387"/>
  <c r="N1356"/>
  <c r="N6475"/>
  <c r="N6006"/>
  <c r="N2193"/>
  <c r="N4754"/>
  <c r="N6842"/>
  <c r="N7566"/>
  <c r="N3160"/>
  <c r="N6782"/>
  <c r="N5588"/>
  <c r="N5510"/>
  <c r="N2356"/>
  <c r="N3001"/>
  <c r="N1959"/>
  <c r="N5508"/>
  <c r="N6373"/>
  <c r="N1403"/>
  <c r="N1573"/>
  <c r="N6068"/>
  <c r="N3395"/>
  <c r="N4894"/>
  <c r="N6319"/>
  <c r="N2890"/>
  <c r="N3642"/>
  <c r="N7591"/>
  <c r="N7423"/>
  <c r="N1818"/>
  <c r="N3969"/>
  <c r="N3732"/>
  <c r="N2579"/>
  <c r="N2669"/>
  <c r="N5117"/>
  <c r="N6156"/>
  <c r="N5268"/>
  <c r="N7915"/>
  <c r="N7080"/>
  <c r="N7246"/>
  <c r="N5916"/>
  <c r="N2666"/>
  <c r="N3491"/>
  <c r="N4511"/>
  <c r="N1452"/>
  <c r="N2779"/>
  <c r="N2600"/>
  <c r="N7323"/>
  <c r="N7386"/>
  <c r="N4861"/>
  <c r="N2725"/>
  <c r="N3421"/>
  <c r="N7956"/>
  <c r="N7652"/>
  <c r="N2170"/>
  <c r="N1278"/>
  <c r="N3584"/>
  <c r="N3131"/>
  <c r="N4337"/>
  <c r="N6535"/>
  <c r="N4294"/>
  <c r="N1397"/>
  <c r="N2060"/>
  <c r="N1161"/>
  <c r="N3142"/>
  <c r="N7573"/>
  <c r="N5154"/>
  <c r="N3760"/>
  <c r="N2182"/>
  <c r="N6873"/>
  <c r="N5880"/>
  <c r="N6532"/>
  <c r="N7161"/>
  <c r="N4702"/>
  <c r="N3576"/>
  <c r="N1979"/>
  <c r="N1531"/>
  <c r="N2300"/>
  <c r="N6399"/>
  <c r="N6599"/>
  <c r="N1530"/>
  <c r="N7207"/>
  <c r="N2992"/>
  <c r="N7737"/>
  <c r="N5925"/>
  <c r="N2210"/>
  <c r="N2831"/>
  <c r="N7595"/>
  <c r="N6738"/>
  <c r="N4762"/>
  <c r="N4402"/>
  <c r="N2449"/>
  <c r="N5309"/>
  <c r="N1995"/>
  <c r="N4207"/>
  <c r="N6961"/>
  <c r="N6052"/>
  <c r="N1803"/>
  <c r="N7911"/>
  <c r="N3119"/>
  <c r="N1825"/>
  <c r="N4753"/>
  <c r="N6793"/>
  <c r="N2706"/>
  <c r="N1322"/>
  <c r="N2303"/>
  <c r="N4243"/>
  <c r="N1408"/>
  <c r="N5089"/>
  <c r="N7562"/>
  <c r="N1313"/>
  <c r="N3059"/>
  <c r="N2566"/>
  <c r="N2880"/>
  <c r="N1249"/>
  <c r="N7767"/>
  <c r="N3598"/>
  <c r="N4001"/>
  <c r="N6224"/>
  <c r="N2402"/>
  <c r="N3638"/>
  <c r="N6665"/>
  <c r="N7834"/>
  <c r="N2351"/>
  <c r="N2459"/>
  <c r="N6131"/>
  <c r="N4050"/>
  <c r="N7554"/>
  <c r="N1752"/>
  <c r="N5661"/>
  <c r="N5449"/>
  <c r="N4197"/>
  <c r="N3422"/>
  <c r="N5176"/>
  <c r="N6784"/>
  <c r="N7375"/>
  <c r="N2719"/>
  <c r="N7728"/>
  <c r="N6449"/>
  <c r="N5444"/>
  <c r="N1428"/>
  <c r="N2183"/>
  <c r="N1488"/>
  <c r="N3460"/>
  <c r="N2733"/>
  <c r="N3034"/>
  <c r="N1724"/>
  <c r="N4774"/>
  <c r="N5790"/>
  <c r="N7954"/>
  <c r="N3646"/>
  <c r="N5818"/>
  <c r="N5213"/>
  <c r="N1564"/>
  <c r="N1590"/>
  <c r="N6147"/>
  <c r="N2154"/>
  <c r="N4393"/>
  <c r="N3387"/>
  <c r="N1503"/>
  <c r="N5258"/>
  <c r="N6116"/>
  <c r="N6991"/>
  <c r="N5407"/>
  <c r="N6728"/>
  <c r="N4313"/>
  <c r="N3277"/>
  <c r="N3438"/>
  <c r="N2616"/>
  <c r="N4611"/>
  <c r="N6485"/>
  <c r="N3644"/>
  <c r="N5964"/>
  <c r="N6099"/>
  <c r="N5626"/>
  <c r="N5249"/>
  <c r="N5234"/>
  <c r="N3237"/>
  <c r="N2713"/>
  <c r="N5517"/>
  <c r="N6712"/>
  <c r="N1314"/>
  <c r="N1848"/>
  <c r="N1589"/>
  <c r="N2462"/>
  <c r="N6995"/>
  <c r="N7677"/>
  <c r="N3536"/>
  <c r="N2698"/>
  <c r="N2782"/>
  <c r="N6487"/>
  <c r="N7657"/>
  <c r="N7199"/>
  <c r="N1312"/>
  <c r="N3430"/>
  <c r="N4332"/>
  <c r="N4733"/>
  <c r="N6985"/>
  <c r="N4988"/>
  <c r="N7567"/>
  <c r="N4472"/>
  <c r="N1618"/>
  <c r="N7598"/>
  <c r="N6088"/>
  <c r="N2077"/>
  <c r="N4953"/>
  <c r="N6334"/>
  <c r="N7371"/>
  <c r="N6940"/>
  <c r="N5632"/>
  <c r="N7499"/>
  <c r="N4792"/>
  <c r="N4009"/>
  <c r="N5060"/>
  <c r="N7503"/>
  <c r="N4790"/>
  <c r="N3720"/>
  <c r="N7340"/>
  <c r="N2817"/>
  <c r="N2974"/>
  <c r="N3337"/>
  <c r="N6522"/>
  <c r="N2958"/>
  <c r="N2191"/>
  <c r="N5791"/>
  <c r="N5649"/>
  <c r="N7282"/>
  <c r="N6270"/>
  <c r="N2938"/>
  <c r="N4806"/>
  <c r="N2596"/>
  <c r="N5239"/>
  <c r="N7796"/>
  <c r="N6348"/>
  <c r="N1295"/>
  <c r="N4833"/>
  <c r="N3166"/>
  <c r="N1787"/>
  <c r="N7649"/>
  <c r="N6716"/>
  <c r="N1921"/>
  <c r="N3982"/>
  <c r="N5193"/>
  <c r="N7961"/>
  <c r="N3093"/>
  <c r="N4262"/>
  <c r="N4422"/>
  <c r="N4100"/>
  <c r="N1394"/>
  <c r="N5897"/>
  <c r="N1173"/>
  <c r="N6434"/>
  <c r="N6255"/>
  <c r="N5427"/>
  <c r="N3710"/>
  <c r="N3039"/>
  <c r="N4000"/>
  <c r="N2019"/>
  <c r="N3122"/>
  <c r="N7088"/>
  <c r="N5138"/>
  <c r="N1646"/>
  <c r="N1504"/>
  <c r="N4367"/>
  <c r="N6703"/>
  <c r="N4778"/>
  <c r="N1458"/>
  <c r="N4841"/>
  <c r="N7973"/>
  <c r="N1906"/>
  <c r="N5421"/>
  <c r="N5018"/>
  <c r="N1411"/>
  <c r="N4686"/>
  <c r="N2492"/>
  <c r="N4548"/>
  <c r="N5179"/>
  <c r="N3897"/>
  <c r="N4352"/>
  <c r="N4325"/>
  <c r="N3700"/>
  <c r="N6115"/>
  <c r="N5595"/>
  <c r="N5147"/>
  <c r="N1864"/>
  <c r="N5953"/>
  <c r="N5477"/>
  <c r="N3887"/>
  <c r="N4366"/>
  <c r="N7316"/>
  <c r="N3880"/>
  <c r="N2322"/>
  <c r="N7200"/>
  <c r="N2914"/>
  <c r="N7304"/>
  <c r="N1574"/>
  <c r="N4810"/>
  <c r="N3550"/>
  <c r="N4595"/>
  <c r="N4372"/>
  <c r="N4117"/>
  <c r="N4763"/>
  <c r="N7047"/>
  <c r="N7754"/>
  <c r="N1632"/>
  <c r="N6421"/>
  <c r="N5969"/>
  <c r="N5192"/>
  <c r="N1292"/>
  <c r="N6223"/>
  <c r="N2652"/>
  <c r="N7511"/>
  <c r="N6514"/>
  <c r="N3466"/>
  <c r="N4785"/>
  <c r="N4461"/>
  <c r="N1743"/>
  <c r="N5263"/>
  <c r="N5701"/>
  <c r="N1985"/>
  <c r="N4540"/>
  <c r="N3605"/>
  <c r="N5301"/>
  <c r="N4600"/>
  <c r="N1606"/>
  <c r="N3028"/>
  <c r="N4078"/>
  <c r="N5067"/>
  <c r="N4167"/>
  <c r="N3291"/>
  <c r="N3213"/>
  <c r="N4403"/>
  <c r="N6555"/>
  <c r="N4413"/>
  <c r="N5279"/>
  <c r="N5232"/>
  <c r="N5490"/>
  <c r="N3902"/>
  <c r="N4606"/>
  <c r="N2172"/>
  <c r="N5569"/>
  <c r="N1514"/>
  <c r="N7284"/>
  <c r="N2036"/>
  <c r="N7175"/>
  <c r="N4967"/>
  <c r="N6789"/>
  <c r="N7826"/>
  <c r="N7855"/>
  <c r="N7410"/>
  <c r="N4536"/>
  <c r="N6096"/>
  <c r="N3106"/>
  <c r="N7123"/>
  <c r="N6641"/>
  <c r="N5354"/>
  <c r="N1812"/>
  <c r="N2044"/>
  <c r="N5217"/>
  <c r="N4436"/>
  <c r="N3475"/>
  <c r="N4281"/>
  <c r="N1991"/>
  <c r="N2474"/>
  <c r="N7252"/>
  <c r="N3756"/>
  <c r="N1823"/>
  <c r="N1153"/>
  <c r="N3940"/>
  <c r="N6872"/>
  <c r="N1586"/>
  <c r="N6691"/>
  <c r="N7744"/>
  <c r="N7810"/>
  <c r="N2670"/>
  <c r="N1455"/>
  <c r="N5358"/>
  <c r="N4456"/>
  <c r="N1635"/>
  <c r="N3519"/>
  <c r="N4523"/>
  <c r="N6258"/>
  <c r="N1265"/>
  <c r="N5835"/>
  <c r="N3331"/>
  <c r="N7249"/>
  <c r="N7267"/>
  <c r="N4716"/>
  <c r="N5324"/>
  <c r="N1622"/>
  <c r="N7039"/>
  <c r="N5352"/>
  <c r="N5662"/>
  <c r="N4448"/>
  <c r="N3322"/>
  <c r="N6086"/>
  <c r="N6337"/>
  <c r="N4550"/>
  <c r="N2253"/>
  <c r="N3174"/>
  <c r="N2766"/>
  <c r="N4800"/>
  <c r="N1430"/>
  <c r="N6951"/>
  <c r="N4399"/>
  <c r="N6117"/>
  <c r="N6602"/>
  <c r="N7360"/>
  <c r="N1453"/>
  <c r="N5873"/>
  <c r="N2005"/>
  <c r="N2166"/>
  <c r="N6155"/>
  <c r="N7245"/>
  <c r="N2291"/>
  <c r="N3441"/>
  <c r="N5483"/>
  <c r="N3068"/>
  <c r="N5056"/>
  <c r="N2345"/>
  <c r="N7761"/>
  <c r="N2321"/>
  <c r="N3352"/>
  <c r="N6142"/>
  <c r="N5541"/>
  <c r="N5356"/>
  <c r="N1884"/>
  <c r="N7075"/>
  <c r="N4459"/>
  <c r="N4347"/>
  <c r="N5413"/>
  <c r="N6184"/>
  <c r="N2588"/>
  <c r="N2944"/>
  <c r="N1344"/>
  <c r="N5404"/>
  <c r="N7658"/>
  <c r="N6633"/>
  <c r="N6412"/>
  <c r="N1773"/>
  <c r="N5722"/>
  <c r="N7466"/>
  <c r="N4603"/>
  <c r="N6175"/>
  <c r="N4931"/>
  <c r="N1296"/>
  <c r="N5528"/>
  <c r="N6826"/>
  <c r="N5849"/>
  <c r="N5414"/>
  <c r="N3904"/>
  <c r="N3404"/>
  <c r="N5599"/>
  <c r="N3468"/>
  <c r="N2465"/>
  <c r="N7140"/>
  <c r="N2216"/>
  <c r="N7258"/>
  <c r="N5749"/>
  <c r="N2085"/>
  <c r="N4989"/>
  <c r="N3620"/>
  <c r="N2335"/>
  <c r="N3275"/>
  <c r="N7569"/>
  <c r="N2899"/>
  <c r="N1512"/>
  <c r="N1715"/>
  <c r="N3848"/>
  <c r="N4955"/>
  <c r="N3273"/>
  <c r="N7087"/>
  <c r="N6345"/>
  <c r="N4505"/>
  <c r="N4152"/>
  <c r="N1198"/>
  <c r="N4450"/>
  <c r="N4179"/>
  <c r="N2589"/>
  <c r="N2440"/>
  <c r="N6534"/>
  <c r="N5930"/>
  <c r="N1683"/>
  <c r="N1607"/>
  <c r="N1255"/>
  <c r="N2775"/>
  <c r="N2292"/>
  <c r="N5660"/>
  <c r="N4856"/>
  <c r="N3053"/>
  <c r="N5300"/>
  <c r="N1219"/>
  <c r="N1389"/>
  <c r="N1103"/>
  <c r="N4398"/>
  <c r="N5488"/>
  <c r="N6383"/>
  <c r="N5641"/>
  <c r="N4941"/>
  <c r="N5220"/>
  <c r="N3586"/>
  <c r="N1977"/>
  <c r="N1429"/>
  <c r="N3973"/>
  <c r="N4042"/>
  <c r="N1142"/>
  <c r="N7116"/>
  <c r="N3271"/>
  <c r="N2339"/>
  <c r="N5128"/>
  <c r="N6466"/>
  <c r="N1820"/>
  <c r="N7226"/>
  <c r="N6071"/>
  <c r="N1680"/>
  <c r="N2921"/>
  <c r="N1533"/>
  <c r="N2383"/>
  <c r="N2438"/>
  <c r="N6753"/>
  <c r="N4802"/>
  <c r="N1525"/>
  <c r="N1712"/>
  <c r="N1203"/>
  <c r="N5293"/>
  <c r="N6974"/>
  <c r="N4014"/>
  <c r="N1337"/>
  <c r="N3074"/>
  <c r="N4742"/>
  <c r="N2460"/>
  <c r="N1115"/>
  <c r="N1891"/>
  <c r="N5401"/>
  <c r="N7861"/>
  <c r="N4096"/>
  <c r="N7150"/>
  <c r="N5245"/>
  <c r="N7365"/>
  <c r="N7394"/>
  <c r="N5235"/>
  <c r="N6344"/>
  <c r="N6108"/>
  <c r="N7487"/>
  <c r="N7517"/>
  <c r="N7558"/>
  <c r="N3673"/>
  <c r="N2343"/>
  <c r="N4378"/>
  <c r="N7906"/>
  <c r="N7046"/>
  <c r="N7181"/>
  <c r="N6295"/>
  <c r="N7059"/>
  <c r="N6746"/>
  <c r="N5467"/>
  <c r="N6573"/>
  <c r="N4021"/>
  <c r="N5985"/>
  <c r="N3399"/>
  <c r="N7103"/>
  <c r="N4859"/>
  <c r="N5850"/>
  <c r="N3452"/>
  <c r="N6578"/>
  <c r="N6635"/>
  <c r="N2513"/>
  <c r="N5740"/>
  <c r="N6440"/>
  <c r="N2810"/>
  <c r="N1493"/>
  <c r="N2656"/>
  <c r="N3653"/>
  <c r="N3390"/>
  <c r="N3906"/>
  <c r="N1166"/>
  <c r="N1890"/>
  <c r="N7816"/>
  <c r="N1291"/>
  <c r="N3413"/>
  <c r="N6073"/>
  <c r="N3436"/>
  <c r="N3012"/>
  <c r="N3256"/>
  <c r="N1781"/>
  <c r="N6639"/>
  <c r="N3121"/>
  <c r="N4852"/>
  <c r="N1111"/>
  <c r="N3606"/>
  <c r="N1113"/>
  <c r="N4662"/>
  <c r="N1532"/>
  <c r="N3470"/>
  <c r="N3010"/>
  <c r="N3333"/>
  <c r="N2493"/>
  <c r="N5713"/>
  <c r="N2971"/>
  <c r="N7156"/>
  <c r="N1676"/>
  <c r="N4195"/>
  <c r="N2040"/>
  <c r="N2221"/>
  <c r="N1527"/>
  <c r="N4889"/>
  <c r="N6901"/>
  <c r="N5296"/>
  <c r="N6268"/>
  <c r="N3072"/>
  <c r="N5591"/>
  <c r="N6533"/>
  <c r="N4008"/>
  <c r="N3140"/>
  <c r="N1484"/>
  <c r="N1731"/>
  <c r="N5516"/>
  <c r="N5323"/>
  <c r="N7004"/>
  <c r="N2294"/>
  <c r="N1948"/>
  <c r="N7801"/>
  <c r="N6019"/>
  <c r="N7935"/>
  <c r="N6781"/>
  <c r="N3328"/>
  <c r="N4073"/>
  <c r="N7052"/>
  <c r="N5418"/>
  <c r="N3250"/>
  <c r="N3523"/>
  <c r="N5629"/>
  <c r="N4545"/>
  <c r="N2514"/>
  <c r="N4578"/>
  <c r="N1150"/>
  <c r="N7713"/>
  <c r="N2219"/>
  <c r="N4614"/>
  <c r="N6953"/>
  <c r="N2056"/>
  <c r="N3985"/>
  <c r="N5834"/>
  <c r="N3520"/>
  <c r="N5412"/>
  <c r="N2752"/>
  <c r="N4507"/>
  <c r="N2798"/>
  <c r="N3895"/>
  <c r="N1498"/>
  <c r="N3113"/>
  <c r="N3100"/>
  <c r="N3503"/>
  <c r="N1518"/>
  <c r="N6916"/>
  <c r="N3509"/>
  <c r="N2553"/>
  <c r="N2417"/>
  <c r="N3888"/>
  <c r="N3338"/>
  <c r="N3823"/>
  <c r="N7620"/>
  <c r="N6733"/>
  <c r="N5458"/>
  <c r="N7555"/>
  <c r="N6783"/>
  <c r="N5564"/>
  <c r="N5157"/>
  <c r="N5330"/>
  <c r="N6437"/>
  <c r="N5575"/>
  <c r="N6417"/>
  <c r="N7678"/>
  <c r="N2895"/>
  <c r="N3410"/>
  <c r="N3070"/>
  <c r="N5630"/>
  <c r="N2364"/>
  <c r="N5706"/>
  <c r="N1380"/>
  <c r="N6907"/>
  <c r="N5875"/>
  <c r="N2048"/>
  <c r="N1469"/>
  <c r="N1828"/>
  <c r="N2451"/>
  <c r="N1212"/>
  <c r="N4134"/>
  <c r="N2200"/>
  <c r="N6800"/>
  <c r="N1133"/>
  <c r="N3647"/>
  <c r="N5478"/>
  <c r="N3891"/>
  <c r="N5937"/>
  <c r="N6879"/>
  <c r="N6632"/>
  <c r="N6304"/>
  <c r="N6917"/>
  <c r="N1306"/>
  <c r="N1857"/>
  <c r="N4237"/>
  <c r="N5198"/>
  <c r="N5558"/>
  <c r="N3495"/>
  <c r="N3947"/>
  <c r="N4120"/>
  <c r="N3041"/>
  <c r="N2833"/>
  <c r="N2211"/>
  <c r="N2927"/>
  <c r="N6325"/>
  <c r="N1520"/>
  <c r="N3287"/>
  <c r="N7237"/>
  <c r="N2130"/>
  <c r="N7178"/>
  <c r="N6090"/>
  <c r="N3834"/>
  <c r="N1691"/>
  <c r="N5644"/>
  <c r="N5460"/>
  <c r="N2267"/>
  <c r="N1749"/>
  <c r="N2544"/>
  <c r="N6267"/>
  <c r="N7970"/>
  <c r="N5044"/>
  <c r="N1159"/>
  <c r="N3664"/>
  <c r="N7254"/>
  <c r="N6856"/>
  <c r="N6329"/>
  <c r="N6257"/>
  <c r="N3073"/>
  <c r="N3233"/>
  <c r="N6315"/>
  <c r="N7382"/>
  <c r="N1164"/>
  <c r="N7743"/>
  <c r="N1971"/>
  <c r="N3918"/>
  <c r="N2806"/>
  <c r="N7777"/>
  <c r="N3876"/>
  <c r="N1952"/>
  <c r="N2575"/>
  <c r="N3649"/>
  <c r="N5164"/>
  <c r="N2701"/>
  <c r="N6165"/>
  <c r="N1600"/>
  <c r="N7946"/>
  <c r="N2250"/>
  <c r="N6627"/>
  <c r="N5908"/>
  <c r="N5318"/>
  <c r="N7285"/>
  <c r="N6178"/>
  <c r="N7243"/>
  <c r="N6508"/>
  <c r="N5688"/>
  <c r="N5107"/>
  <c r="N2017"/>
  <c r="N3548"/>
  <c r="N1721"/>
  <c r="N7469"/>
  <c r="N5440"/>
  <c r="N2223"/>
  <c r="N7232"/>
  <c r="N6139"/>
  <c r="N2430"/>
  <c r="N3180"/>
  <c r="N2095"/>
  <c r="N7176"/>
  <c r="N5314"/>
  <c r="N2053"/>
  <c r="N1131"/>
  <c r="N4460"/>
  <c r="N4746"/>
  <c r="N1301"/>
  <c r="N2286"/>
  <c r="N1368"/>
  <c r="N2028"/>
  <c r="N4887"/>
  <c r="N2576"/>
  <c r="N3590"/>
  <c r="N7613"/>
  <c r="N5506"/>
  <c r="N5025"/>
  <c r="N2084"/>
  <c r="N3991"/>
  <c r="N6850"/>
  <c r="N2830"/>
  <c r="N2308"/>
  <c r="N3103"/>
  <c r="N3771"/>
  <c r="N1937"/>
  <c r="N4416"/>
  <c r="N1983"/>
  <c r="N6087"/>
  <c r="N7853"/>
  <c r="N3494"/>
  <c r="N1627"/>
  <c r="N6422"/>
  <c r="N7460"/>
  <c r="N2496"/>
  <c r="N1780"/>
  <c r="N7248"/>
  <c r="N1951"/>
  <c r="N1535"/>
  <c r="N6619"/>
  <c r="N2443"/>
  <c r="N7702"/>
  <c r="N7813"/>
  <c r="N1538"/>
  <c r="N4632"/>
  <c r="N4257"/>
  <c r="N2377"/>
  <c r="N7888"/>
  <c r="N4946"/>
  <c r="N2063"/>
  <c r="N2900"/>
  <c r="N1171"/>
  <c r="N1733"/>
  <c r="N5544"/>
  <c r="N2035"/>
  <c r="N3821"/>
  <c r="N2843"/>
  <c r="N3878"/>
  <c r="N4101"/>
  <c r="N4640"/>
  <c r="N3989"/>
  <c r="N2205"/>
  <c r="N3417"/>
  <c r="N7852"/>
  <c r="N4121"/>
  <c r="N7352"/>
  <c r="N4888"/>
  <c r="N4503"/>
  <c r="N7341"/>
  <c r="N1637"/>
  <c r="N1616"/>
  <c r="N1490"/>
  <c r="N4371"/>
  <c r="N4338"/>
  <c r="N2764"/>
  <c r="N5652"/>
  <c r="N3849"/>
  <c r="N6630"/>
  <c r="N2531"/>
  <c r="N5646"/>
  <c r="N5869"/>
  <c r="N5640"/>
  <c r="N3858"/>
  <c r="N7428"/>
  <c r="N3818"/>
  <c r="N4884"/>
  <c r="N2324"/>
  <c r="N2246"/>
  <c r="N7244"/>
  <c r="N3877"/>
  <c r="N5769"/>
  <c r="N2663"/>
  <c r="N3088"/>
  <c r="N6358"/>
  <c r="N6299"/>
  <c r="N7512"/>
  <c r="N2074"/>
  <c r="N1384"/>
  <c r="N4394"/>
  <c r="N1483"/>
  <c r="N7719"/>
  <c r="N6477"/>
  <c r="N3492"/>
  <c r="N4583"/>
  <c r="N4624"/>
  <c r="N5780"/>
  <c r="N6648"/>
  <c r="N2018"/>
  <c r="N3629"/>
  <c r="N5397"/>
  <c r="N7031"/>
  <c r="N7553"/>
  <c r="N1839"/>
  <c r="N7002"/>
  <c r="N3614"/>
  <c r="N6080"/>
  <c r="N3697"/>
  <c r="N2950"/>
  <c r="N2736"/>
  <c r="N5656"/>
  <c r="N3266"/>
  <c r="N6708"/>
  <c r="N6661"/>
  <c r="N4939"/>
  <c r="N1268"/>
  <c r="N1137"/>
  <c r="N1702"/>
  <c r="N5609"/>
  <c r="N2234"/>
  <c r="N7412"/>
  <c r="N4170"/>
  <c r="N4031"/>
  <c r="N7957"/>
  <c r="N7338"/>
  <c r="N3841"/>
  <c r="N1476"/>
  <c r="N5795"/>
  <c r="N7277"/>
  <c r="N3065"/>
  <c r="N3473"/>
  <c r="N5993"/>
  <c r="N6616"/>
  <c r="N5988"/>
  <c r="N1909"/>
  <c r="N5698"/>
  <c r="N3368"/>
  <c r="N1758"/>
  <c r="N3318"/>
  <c r="N4901"/>
  <c r="N2159"/>
  <c r="N6795"/>
  <c r="N2862"/>
  <c r="N7357"/>
  <c r="N5813"/>
  <c r="N5668"/>
  <c r="N3117"/>
  <c r="N3199"/>
  <c r="N7688"/>
  <c r="N4919"/>
  <c r="N3696"/>
  <c r="N1348"/>
  <c r="N4466"/>
  <c r="N6145"/>
  <c r="N3145"/>
  <c r="N1419"/>
  <c r="N7067"/>
  <c r="N7576"/>
  <c r="N3220"/>
  <c r="N7787"/>
  <c r="N6516"/>
  <c r="N3252"/>
  <c r="N5951"/>
  <c r="N1931"/>
  <c r="N7068"/>
  <c r="N6786"/>
  <c r="N5133"/>
  <c r="N6958"/>
  <c r="N4734"/>
  <c r="N5761"/>
  <c r="N5556"/>
  <c r="N2268"/>
  <c r="N1709"/>
  <c r="N2778"/>
  <c r="N5188"/>
  <c r="N7597"/>
  <c r="N2889"/>
  <c r="N7674"/>
  <c r="N2275"/>
  <c r="N4765"/>
  <c r="N7227"/>
  <c r="N7043"/>
  <c r="N2054"/>
  <c r="N1169"/>
  <c r="N6696"/>
  <c r="N5862"/>
  <c r="N7905"/>
  <c r="N6600"/>
  <c r="N3740"/>
  <c r="N6968"/>
  <c r="N2278"/>
  <c r="N3633"/>
  <c r="N6129"/>
  <c r="N4634"/>
  <c r="N1396"/>
  <c r="N2149"/>
  <c r="N6988"/>
  <c r="N1797"/>
  <c r="N4316"/>
  <c r="N7344"/>
  <c r="N2935"/>
  <c r="N7339"/>
  <c r="N3960"/>
  <c r="N5534"/>
  <c r="N6335"/>
  <c r="N5041"/>
  <c r="N3894"/>
  <c r="N5373"/>
  <c r="N4731"/>
  <c r="N2283"/>
  <c r="N7062"/>
  <c r="N7526"/>
  <c r="N3909"/>
  <c r="N1930"/>
  <c r="N3456"/>
  <c r="N1563"/>
  <c r="N5292"/>
  <c r="N5058"/>
  <c r="N4187"/>
  <c r="N7310"/>
  <c r="N1156"/>
  <c r="N4320"/>
  <c r="N6243"/>
  <c r="N3350"/>
  <c r="N6436"/>
  <c r="N3499"/>
  <c r="N4588"/>
  <c r="N4285"/>
  <c r="N4340"/>
  <c r="N3154"/>
  <c r="N4867"/>
  <c r="N6813"/>
  <c r="N1982"/>
  <c r="N3599"/>
  <c r="N3027"/>
  <c r="N5166"/>
  <c r="N1872"/>
  <c r="N5019"/>
  <c r="N5247"/>
  <c r="N2708"/>
  <c r="N3175"/>
  <c r="N1922"/>
  <c r="N6404"/>
  <c r="N7820"/>
  <c r="N6420"/>
  <c r="N3467"/>
  <c r="N1412"/>
  <c r="N5809"/>
  <c r="N4513"/>
  <c r="N6694"/>
  <c r="N2079"/>
  <c r="N6595"/>
  <c r="N7064"/>
  <c r="N3463"/>
  <c r="N5909"/>
  <c r="N5886"/>
  <c r="N1330"/>
  <c r="N2626"/>
  <c r="N4520"/>
  <c r="N6802"/>
  <c r="N5861"/>
  <c r="N3051"/>
  <c r="N5017"/>
  <c r="N2720"/>
  <c r="N4944"/>
  <c r="N3383"/>
  <c r="N7636"/>
  <c r="N5112"/>
  <c r="N3222"/>
  <c r="N2942"/>
  <c r="N5702"/>
  <c r="N4345"/>
  <c r="N4903"/>
  <c r="N3707"/>
  <c r="N6610"/>
  <c r="N1675"/>
  <c r="N1942"/>
  <c r="N3223"/>
  <c r="N1696"/>
  <c r="N7582"/>
  <c r="N7287"/>
  <c r="N6063"/>
  <c r="N6360"/>
  <c r="N2483"/>
  <c r="N2045"/>
  <c r="N5362"/>
  <c r="N5290"/>
  <c r="N7218"/>
  <c r="N2631"/>
  <c r="N2309"/>
  <c r="N7673"/>
  <c r="N2567"/>
  <c r="N4360"/>
  <c r="N3782"/>
  <c r="N3139"/>
  <c r="N4659"/>
  <c r="N2781"/>
  <c r="N1357"/>
  <c r="N5836"/>
  <c r="N1509"/>
  <c r="N1976"/>
  <c r="N4200"/>
  <c r="N6891"/>
  <c r="N2645"/>
  <c r="N4667"/>
  <c r="N7755"/>
  <c r="N2249"/>
  <c r="N5143"/>
  <c r="N6007"/>
  <c r="N5415"/>
  <c r="N3553"/>
  <c r="N6113"/>
  <c r="N2879"/>
  <c r="N7868"/>
  <c r="N7814"/>
  <c r="N4730"/>
  <c r="N6837"/>
  <c r="N4146"/>
  <c r="N6560"/>
  <c r="N6841"/>
  <c r="N3172"/>
  <c r="N3294"/>
  <c r="N1186"/>
  <c r="N6391"/>
  <c r="N6390"/>
  <c r="N5315"/>
  <c r="N5304"/>
  <c r="N6095"/>
  <c r="N2691"/>
  <c r="N1802"/>
  <c r="N3146"/>
  <c r="N4129"/>
  <c r="N6203"/>
  <c r="N6293"/>
  <c r="N1879"/>
  <c r="N6680"/>
  <c r="N2866"/>
  <c r="N4750"/>
  <c r="N3843"/>
  <c r="N3082"/>
  <c r="N4087"/>
  <c r="N4652"/>
  <c r="N4770"/>
  <c r="N6811"/>
  <c r="N4877"/>
  <c r="N7025"/>
  <c r="N6394"/>
  <c r="N5395"/>
  <c r="N2330"/>
  <c r="N4987"/>
  <c r="N7038"/>
  <c r="N2354"/>
  <c r="N2072"/>
  <c r="N7122"/>
  <c r="N2092"/>
  <c r="N1376"/>
  <c r="N1811"/>
  <c r="N4049"/>
  <c r="N6996"/>
  <c r="N2188"/>
  <c r="N3195"/>
  <c r="N3023"/>
  <c r="N1645"/>
  <c r="N4653"/>
  <c r="N7682"/>
  <c r="N5097"/>
  <c r="N6248"/>
  <c r="N6288"/>
  <c r="N5497"/>
  <c r="N3516"/>
  <c r="N7091"/>
  <c r="N6849"/>
  <c r="N5291"/>
  <c r="N7655"/>
  <c r="N2552"/>
  <c r="N1765"/>
  <c r="N7898"/>
  <c r="N2710"/>
  <c r="N2920"/>
  <c r="N3134"/>
  <c r="N7938"/>
  <c r="N5605"/>
  <c r="N6467"/>
  <c r="N6865"/>
  <c r="N7413"/>
  <c r="N6948"/>
  <c r="N6031"/>
  <c r="N2790"/>
  <c r="N1856"/>
  <c r="N5093"/>
  <c r="N4369"/>
  <c r="N3753"/>
  <c r="N2972"/>
  <c r="N7133"/>
  <c r="N6282"/>
  <c r="N7300"/>
  <c r="N2639"/>
  <c r="N5071"/>
  <c r="N2690"/>
  <c r="N1207"/>
  <c r="N4269"/>
  <c r="N4592"/>
  <c r="N5447"/>
  <c r="N2357"/>
  <c r="N4341"/>
  <c r="N1932"/>
  <c r="N4998"/>
  <c r="N5486"/>
  <c r="N7281"/>
  <c r="N3957"/>
  <c r="N7222"/>
  <c r="N5898"/>
  <c r="N4835"/>
  <c r="N5023"/>
  <c r="N4945"/>
  <c r="N1596"/>
  <c r="N4295"/>
  <c r="N7083"/>
  <c r="N7107"/>
  <c r="N1591"/>
  <c r="N1874"/>
  <c r="N2435"/>
  <c r="N4677"/>
  <c r="N6454"/>
  <c r="N2659"/>
  <c r="N3634"/>
  <c r="N7750"/>
  <c r="N5367"/>
  <c r="N6126"/>
  <c r="N1727"/>
  <c r="N4562"/>
  <c r="N3792"/>
  <c r="N1928"/>
  <c r="N2871"/>
  <c r="N4492"/>
  <c r="N6396"/>
  <c r="N7794"/>
  <c r="N5257"/>
  <c r="N5493"/>
  <c r="N1929"/>
  <c r="N4248"/>
  <c r="N6946"/>
  <c r="N6107"/>
  <c r="N6704"/>
  <c r="N1883"/>
  <c r="N4666"/>
  <c r="N5396"/>
  <c r="N6971"/>
  <c r="N1793"/>
  <c r="N1191"/>
  <c r="N7355"/>
  <c r="N5074"/>
  <c r="N7014"/>
  <c r="N4274"/>
  <c r="N5728"/>
  <c r="N1907"/>
  <c r="N6259"/>
  <c r="N4627"/>
  <c r="N4722"/>
  <c r="N5357"/>
  <c r="N4706"/>
  <c r="N1610"/>
  <c r="N3501"/>
  <c r="N5958"/>
  <c r="N7975"/>
  <c r="N3411"/>
  <c r="N3824"/>
  <c r="N1694"/>
  <c r="N3183"/>
  <c r="N4847"/>
  <c r="N5592"/>
  <c r="N4695"/>
  <c r="N3490"/>
  <c r="N5727"/>
  <c r="N1210"/>
  <c r="N4240"/>
  <c r="N7803"/>
  <c r="N2677"/>
  <c r="N4820"/>
  <c r="N5114"/>
  <c r="N2315"/>
  <c r="N4751"/>
  <c r="N6978"/>
  <c r="N7485"/>
  <c r="N7708"/>
  <c r="N7263"/>
  <c r="N2390"/>
  <c r="N1903"/>
  <c r="N6263"/>
  <c r="N6046"/>
  <c r="N2727"/>
  <c r="N6364"/>
  <c r="N2622"/>
  <c r="N4214"/>
  <c r="N7095"/>
  <c r="N3263"/>
  <c r="N3535"/>
  <c r="N4331"/>
  <c r="N7160"/>
  <c r="N1252"/>
  <c r="N7718"/>
  <c r="N7479"/>
  <c r="N5241"/>
  <c r="N3358"/>
  <c r="N6339"/>
  <c r="N1878"/>
  <c r="N6431"/>
  <c r="N3132"/>
  <c r="N2039"/>
  <c r="N3302"/>
  <c r="N3789"/>
  <c r="N1897"/>
  <c r="N2572"/>
  <c r="N1960"/>
  <c r="N6530"/>
  <c r="N4036"/>
  <c r="N4447"/>
  <c r="N4102"/>
  <c r="N6476"/>
  <c r="N6911"/>
  <c r="N3375"/>
  <c r="N4845"/>
  <c r="N6943"/>
  <c r="N4574"/>
  <c r="N3046"/>
  <c r="N2853"/>
  <c r="N6915"/>
  <c r="N6550"/>
  <c r="N3769"/>
  <c r="N2753"/>
  <c r="N3091"/>
  <c r="N5723"/>
  <c r="N2416"/>
  <c r="N4391"/>
  <c r="N3631"/>
  <c r="N6322"/>
  <c r="N6432"/>
  <c r="N6162"/>
  <c r="N4464"/>
  <c r="N3231"/>
  <c r="N5858"/>
  <c r="N4318"/>
  <c r="N1658"/>
  <c r="N4916"/>
  <c r="N3560"/>
  <c r="N2489"/>
  <c r="N4140"/>
  <c r="N5624"/>
  <c r="N4208"/>
  <c r="N2632"/>
  <c r="N1510"/>
  <c r="N2941"/>
  <c r="N7877"/>
  <c r="N2960"/>
  <c r="N3320"/>
  <c r="N4290"/>
  <c r="N1592"/>
  <c r="N7545"/>
  <c r="N2803"/>
  <c r="N4925"/>
  <c r="N6186"/>
  <c r="N2082"/>
  <c r="N5680"/>
  <c r="N2799"/>
  <c r="N5924"/>
  <c r="N6342"/>
  <c r="N6469"/>
  <c r="N5446"/>
  <c r="N1416"/>
  <c r="N2835"/>
  <c r="N7459"/>
  <c r="N1465"/>
  <c r="N2975"/>
  <c r="N4582"/>
  <c r="N3711"/>
  <c r="N6176"/>
  <c r="N7769"/>
  <c r="N7179"/>
  <c r="N4863"/>
  <c r="N2758"/>
  <c r="N1105"/>
  <c r="N4849"/>
  <c r="N2407"/>
  <c r="N5752"/>
  <c r="N4112"/>
  <c r="N2591"/>
  <c r="N7644"/>
  <c r="N4735"/>
  <c r="N5848"/>
  <c r="N1235"/>
  <c r="N7324"/>
  <c r="N7104"/>
  <c r="N7072"/>
  <c r="N7732"/>
  <c r="N5337"/>
  <c r="N2704"/>
  <c r="N4054"/>
  <c r="N6836"/>
  <c r="N5976"/>
  <c r="N2269"/>
  <c r="N7629"/>
  <c r="N5451"/>
  <c r="N7206"/>
  <c r="N3171"/>
  <c r="N3706"/>
  <c r="N2961"/>
  <c r="N4969"/>
  <c r="N7711"/>
  <c r="N6999"/>
  <c r="N5763"/>
  <c r="N1996"/>
  <c r="N3173"/>
  <c r="N4713"/>
  <c r="N1902"/>
  <c r="N6018"/>
  <c r="N2157"/>
  <c r="N4259"/>
  <c r="N4221"/>
  <c r="N7893"/>
  <c r="N1964"/>
  <c r="N5940"/>
  <c r="N3562"/>
  <c r="N3915"/>
  <c r="N3927"/>
  <c r="N5738"/>
  <c r="N4474"/>
  <c r="N1508"/>
  <c r="N1541"/>
  <c r="N5375"/>
  <c r="N2461"/>
  <c r="N3185"/>
  <c r="N2847"/>
  <c r="N4534"/>
  <c r="N3735"/>
  <c r="N3790"/>
  <c r="N1114"/>
  <c r="N2738"/>
  <c r="N5570"/>
  <c r="N4664"/>
  <c r="N2167"/>
  <c r="N2089"/>
  <c r="N4414"/>
  <c r="N2834"/>
  <c r="N5872"/>
  <c r="N3773"/>
  <c r="N2854"/>
  <c r="N6814"/>
  <c r="N4560"/>
  <c r="N1989"/>
  <c r="N6249"/>
  <c r="N3020"/>
  <c r="N5587"/>
  <c r="N5938"/>
  <c r="N1776"/>
  <c r="N1167"/>
  <c r="N4063"/>
  <c r="N5717"/>
  <c r="N7024"/>
  <c r="N7809"/>
  <c r="N5260"/>
  <c r="N7132"/>
  <c r="N6775"/>
  <c r="N3745"/>
  <c r="N6033"/>
  <c r="N7015"/>
  <c r="N1329"/>
  <c r="N7347"/>
  <c r="N2947"/>
  <c r="N6547"/>
  <c r="N6452"/>
  <c r="N6357"/>
  <c r="N4748"/>
  <c r="N6237"/>
  <c r="N6372"/>
  <c r="N3862"/>
  <c r="N2241"/>
  <c r="N6531"/>
  <c r="N5545"/>
  <c r="N6883"/>
  <c r="N1571"/>
  <c r="N7265"/>
  <c r="N1261"/>
  <c r="N4727"/>
  <c r="N7568"/>
  <c r="N2582"/>
  <c r="N3822"/>
  <c r="N6110"/>
  <c r="N5346"/>
  <c r="N3641"/>
  <c r="N5039"/>
  <c r="N5202"/>
  <c r="N6809"/>
  <c r="N4432"/>
  <c r="N2229"/>
  <c r="N6874"/>
  <c r="N1778"/>
  <c r="N5710"/>
  <c r="N1661"/>
  <c r="N6923"/>
  <c r="N7841"/>
  <c r="N5882"/>
  <c r="N3138"/>
  <c r="N5016"/>
  <c r="N5151"/>
  <c r="N6058"/>
  <c r="N2217"/>
  <c r="N5353"/>
  <c r="N2470"/>
  <c r="N4870"/>
  <c r="N6419"/>
  <c r="N1489"/>
  <c r="N6808"/>
  <c r="N3808"/>
  <c r="N6202"/>
  <c r="N6077"/>
  <c r="N4966"/>
  <c r="N4965"/>
  <c r="N7329"/>
  <c r="N1263"/>
  <c r="N1454"/>
  <c r="N3048"/>
  <c r="N7856"/>
  <c r="N2270"/>
  <c r="N4896"/>
  <c r="N4593"/>
  <c r="N1838"/>
  <c r="N4473"/>
  <c r="N5942"/>
  <c r="N5175"/>
  <c r="N7983"/>
  <c r="N1729"/>
  <c r="N1558"/>
  <c r="N7571"/>
  <c r="N6133"/>
  <c r="N7406"/>
  <c r="N2839"/>
  <c r="N2851"/>
  <c r="N4865"/>
  <c r="N7817"/>
  <c r="N7416"/>
  <c r="N6356"/>
  <c r="N6379"/>
  <c r="N7196"/>
  <c r="N7758"/>
  <c r="N1583"/>
  <c r="N2545"/>
  <c r="N2848"/>
  <c r="N2696"/>
  <c r="N2586"/>
  <c r="N5384"/>
  <c r="N4043"/>
  <c r="N3019"/>
  <c r="N7028"/>
  <c r="N6353"/>
  <c r="N4339"/>
  <c r="N6197"/>
  <c r="N7069"/>
  <c r="N5027"/>
  <c r="N7432"/>
  <c r="N3754"/>
  <c r="N7965"/>
  <c r="N5390"/>
  <c r="N7601"/>
  <c r="N3974"/>
  <c r="N2174"/>
  <c r="N2615"/>
  <c r="N5180"/>
  <c r="N1954"/>
  <c r="N6408"/>
  <c r="N6067"/>
  <c r="N3813"/>
  <c r="N3239"/>
  <c r="N7892"/>
  <c r="N3332"/>
  <c r="N5514"/>
  <c r="N1175"/>
  <c r="N4705"/>
  <c r="N3086"/>
  <c r="N6748"/>
  <c r="N4326"/>
  <c r="N6935"/>
  <c r="N3934"/>
  <c r="N1766"/>
  <c r="N6111"/>
  <c r="N6309"/>
  <c r="N7953"/>
  <c r="N1634"/>
  <c r="N3292"/>
  <c r="N6169"/>
  <c r="N6101"/>
  <c r="N4881"/>
  <c r="N1399"/>
  <c r="N1251"/>
  <c r="N6158"/>
  <c r="N3462"/>
  <c r="N1180"/>
  <c r="N3043"/>
  <c r="N1270"/>
  <c r="N5554"/>
  <c r="N7009"/>
  <c r="N7662"/>
  <c r="N5997"/>
  <c r="N4012"/>
  <c r="N5130"/>
  <c r="N4680"/>
  <c r="N1652"/>
  <c r="N5767"/>
  <c r="N2918"/>
  <c r="N3306"/>
  <c r="N2258"/>
  <c r="N6025"/>
  <c r="N7656"/>
  <c r="N3472"/>
  <c r="N1517"/>
  <c r="N2668"/>
  <c r="N4348"/>
  <c r="N7392"/>
  <c r="N1215"/>
  <c r="N3198"/>
  <c r="N7169"/>
  <c r="N7523"/>
  <c r="N1602"/>
  <c r="N3639"/>
  <c r="N7873"/>
  <c r="N2439"/>
  <c r="N4738"/>
  <c r="N5830"/>
  <c r="N2537"/>
  <c r="N7918"/>
  <c r="N2705"/>
  <c r="N7869"/>
  <c r="N3464"/>
  <c r="N2505"/>
  <c r="N6960"/>
  <c r="N3661"/>
  <c r="N5476"/>
  <c r="N4135"/>
  <c r="N7033"/>
  <c r="N3734"/>
  <c r="N6123"/>
  <c r="N5236"/>
  <c r="N2355"/>
  <c r="N2266"/>
  <c r="N1816"/>
  <c r="N5033"/>
  <c r="N6106"/>
  <c r="N1523"/>
  <c r="N4812"/>
  <c r="N6857"/>
  <c r="N7833"/>
  <c r="N3406"/>
  <c r="N1273"/>
  <c r="N3866"/>
  <c r="N7735"/>
  <c r="N4708"/>
  <c r="N7989"/>
  <c r="N4557"/>
  <c r="N4934"/>
  <c r="N7520"/>
  <c r="N1657"/>
  <c r="N5756"/>
  <c r="N6821"/>
  <c r="N7455"/>
  <c r="N6945"/>
  <c r="N6164"/>
  <c r="N5643"/>
  <c r="N6924"/>
  <c r="N3716"/>
  <c r="N1896"/>
  <c r="N6054"/>
  <c r="N3645"/>
  <c r="N5589"/>
  <c r="N4959"/>
  <c r="N5281"/>
  <c r="N5053"/>
  <c r="N3814"/>
  <c r="N4723"/>
  <c r="N1750"/>
  <c r="N1569"/>
  <c r="N1639"/>
  <c r="N2369"/>
  <c r="N7606"/>
  <c r="N7012"/>
  <c r="N3335"/>
  <c r="N4636"/>
  <c r="N3950"/>
  <c r="N4118"/>
  <c r="N7875"/>
  <c r="N5196"/>
  <c r="N5601"/>
  <c r="N7661"/>
  <c r="N3327"/>
  <c r="N2621"/>
  <c r="N5615"/>
  <c r="N2480"/>
  <c r="N7409"/>
  <c r="N1206"/>
  <c r="N6590"/>
  <c r="N4151"/>
  <c r="N6306"/>
  <c r="N2488"/>
  <c r="N3691"/>
  <c r="N7089"/>
  <c r="N5267"/>
  <c r="N2876"/>
  <c r="N7193"/>
  <c r="N3714"/>
  <c r="N4409"/>
  <c r="N5068"/>
  <c r="N3954"/>
  <c r="N3108"/>
  <c r="N6234"/>
  <c r="N5980"/>
  <c r="N3293"/>
  <c r="N5552"/>
  <c r="N3665"/>
  <c r="N3926"/>
  <c r="N5271"/>
  <c r="N3807"/>
  <c r="N1771"/>
  <c r="N3316"/>
  <c r="N5540"/>
  <c r="N7467"/>
  <c r="N6777"/>
  <c r="N7596"/>
  <c r="N2808"/>
  <c r="N2692"/>
  <c r="N2057"/>
  <c r="N3402"/>
  <c r="N5370"/>
  <c r="N5405"/>
  <c r="N4671"/>
  <c r="N2447"/>
  <c r="N4938"/>
  <c r="N6884"/>
  <c r="N2824"/>
  <c r="N3702"/>
  <c r="N6209"/>
  <c r="N3427"/>
  <c r="N7981"/>
  <c r="N1168"/>
  <c r="N7372"/>
  <c r="N6913"/>
  <c r="N1231"/>
  <c r="N3447"/>
  <c r="N2546"/>
  <c r="N4984"/>
  <c r="N3730"/>
  <c r="N1790"/>
  <c r="N1869"/>
  <c r="N2633"/>
  <c r="N6278"/>
  <c r="N4104"/>
  <c r="N1822"/>
  <c r="N4253"/>
  <c r="N6064"/>
  <c r="N1241"/>
  <c r="N3704"/>
  <c r="N6138"/>
  <c r="N6366"/>
  <c r="N3883"/>
  <c r="N6502"/>
  <c r="N6355"/>
  <c r="N3506"/>
  <c r="N4192"/>
  <c r="N1866"/>
  <c r="N1300"/>
  <c r="N2716"/>
  <c r="N1641"/>
  <c r="N6103"/>
  <c r="N5223"/>
  <c r="N1629"/>
  <c r="N7889"/>
  <c r="N6833"/>
  <c r="N4878"/>
  <c r="N2076"/>
  <c r="N4174"/>
  <c r="N6028"/>
  <c r="N2558"/>
  <c r="N6903"/>
  <c r="N4139"/>
  <c r="N6812"/>
  <c r="N6875"/>
  <c r="N2256"/>
  <c r="N1697"/>
  <c r="N5689"/>
  <c r="N7217"/>
  <c r="N3721"/>
  <c r="N1319"/>
  <c r="N5987"/>
  <c r="N2908"/>
  <c r="N2832"/>
  <c r="N1379"/>
  <c r="N3736"/>
  <c r="N5099"/>
  <c r="N6285"/>
  <c r="N5965"/>
  <c r="N3511"/>
  <c r="N5049"/>
  <c r="N2897"/>
  <c r="N7534"/>
  <c r="N2013"/>
  <c r="N1522"/>
  <c r="N5403"/>
  <c r="N1197"/>
  <c r="N5303"/>
  <c r="N3978"/>
  <c r="N7941"/>
  <c r="N5342"/>
  <c r="N3963"/>
  <c r="N6824"/>
  <c r="N1456"/>
  <c r="N4899"/>
  <c r="N5207"/>
  <c r="N6642"/>
  <c r="N5178"/>
  <c r="N2657"/>
  <c r="N4493"/>
  <c r="N6702"/>
  <c r="N1671"/>
  <c r="N6944"/>
  <c r="N7400"/>
  <c r="N2405"/>
  <c r="N4643"/>
  <c r="N2685"/>
  <c r="N6000"/>
  <c r="N1477"/>
  <c r="N4189"/>
  <c r="N4714"/>
  <c r="N6656"/>
  <c r="N1943"/>
  <c r="N4099"/>
  <c r="N2922"/>
  <c r="N2341"/>
  <c r="N2479"/>
  <c r="N5335"/>
  <c r="N2425"/>
  <c r="N6745"/>
  <c r="N3055"/>
  <c r="N1717"/>
  <c r="N3230"/>
  <c r="N7522"/>
  <c r="N4420"/>
  <c r="N6443"/>
  <c r="N5878"/>
  <c r="N7505"/>
  <c r="N4648"/>
  <c r="N7943"/>
  <c r="N1243"/>
  <c r="N5815"/>
  <c r="N4589"/>
  <c r="N5095"/>
  <c r="N3412"/>
  <c r="N6673"/>
  <c r="N5943"/>
  <c r="N2707"/>
  <c r="N7516"/>
  <c r="N6949"/>
  <c r="N6393"/>
  <c r="N2022"/>
  <c r="N6966"/>
  <c r="N1670"/>
  <c r="N3158"/>
  <c r="N2420"/>
  <c r="N6177"/>
  <c r="N7192"/>
  <c r="N7099"/>
  <c r="N7434"/>
  <c r="N2517"/>
  <c r="N1692"/>
  <c r="N3400"/>
  <c r="N2495"/>
  <c r="N1143"/>
  <c r="N5329"/>
  <c r="N3424"/>
  <c r="N4039"/>
  <c r="N7742"/>
  <c r="N2305"/>
  <c r="N3295"/>
  <c r="N3056"/>
  <c r="N7843"/>
  <c r="N6731"/>
  <c r="N6281"/>
  <c r="N7395"/>
  <c r="N3419"/>
  <c r="N6102"/>
  <c r="N2695"/>
  <c r="N6594"/>
  <c r="N2998"/>
  <c r="N4620"/>
  <c r="N4427"/>
  <c r="N6174"/>
  <c r="N6261"/>
  <c r="N1552"/>
  <c r="N5928"/>
  <c r="N3530"/>
  <c r="N2448"/>
  <c r="N4530"/>
  <c r="N5084"/>
  <c r="N4694"/>
  <c r="N2674"/>
  <c r="N7812"/>
  <c r="N7748"/>
  <c r="N6614"/>
  <c r="N3380"/>
  <c r="N6043"/>
  <c r="N2404"/>
  <c r="N1450"/>
  <c r="N4166"/>
  <c r="N7565"/>
  <c r="N1214"/>
  <c r="N2114"/>
  <c r="N1826"/>
  <c r="N2027"/>
  <c r="N2617"/>
  <c r="N5977"/>
  <c r="N1962"/>
  <c r="N6401"/>
  <c r="N2310"/>
  <c r="N7496"/>
  <c r="N1990"/>
  <c r="N7672"/>
  <c r="N2841"/>
  <c r="N7763"/>
  <c r="N2206"/>
  <c r="N5865"/>
  <c r="N1536"/>
  <c r="N3216"/>
  <c r="N4261"/>
  <c r="N2503"/>
  <c r="N7018"/>
  <c r="N5100"/>
  <c r="N2673"/>
  <c r="N4123"/>
  <c r="N4831"/>
  <c r="N4092"/>
  <c r="N7383"/>
  <c r="N4346"/>
  <c r="N1904"/>
  <c r="N4676"/>
  <c r="N4085"/>
  <c r="N1331"/>
  <c r="N3541"/>
  <c r="N7278"/>
  <c r="N5160"/>
  <c r="N4061"/>
  <c r="N3609"/>
  <c r="N5902"/>
  <c r="N1924"/>
  <c r="N4573"/>
  <c r="N5333"/>
  <c r="N4964"/>
  <c r="N7247"/>
  <c r="N5259"/>
  <c r="N6529"/>
  <c r="N3489"/>
  <c r="N3022"/>
  <c r="N2061"/>
  <c r="N5443"/>
  <c r="N3057"/>
  <c r="N1415"/>
  <c r="N7721"/>
  <c r="N6016"/>
  <c r="N6484"/>
  <c r="N1947"/>
  <c r="N5994"/>
  <c r="N3450"/>
  <c r="N5131"/>
  <c r="N6435"/>
  <c r="N1148"/>
  <c r="N6692"/>
  <c r="N4283"/>
  <c r="N6326"/>
  <c r="N3658"/>
  <c r="N2344"/>
  <c r="N2795"/>
  <c r="N4784"/>
  <c r="N2009"/>
  <c r="N6253"/>
  <c r="N3692"/>
  <c r="N1449"/>
  <c r="N1901"/>
  <c r="N4251"/>
  <c r="N2987"/>
  <c r="N3310"/>
  <c r="N1297"/>
  <c r="N5251"/>
  <c r="N6298"/>
  <c r="N4271"/>
  <c r="N7381"/>
  <c r="N7650"/>
  <c r="N4217"/>
  <c r="N1269"/>
  <c r="N6932"/>
  <c r="N1756"/>
  <c r="N2055"/>
  <c r="N1472"/>
  <c r="N7486"/>
  <c r="N4349"/>
  <c r="N3844"/>
  <c r="N4106"/>
  <c r="N1326"/>
  <c r="N4335"/>
  <c r="N7298"/>
  <c r="N4526"/>
  <c r="N5388"/>
  <c r="N3021"/>
  <c r="N3588"/>
  <c r="N7665"/>
  <c r="N3007"/>
  <c r="N7611"/>
  <c r="N3874"/>
  <c r="N1575"/>
  <c r="N7714"/>
  <c r="N1152"/>
  <c r="N5992"/>
  <c r="N6354"/>
  <c r="N7488"/>
  <c r="N3498"/>
  <c r="N2325"/>
  <c r="N4572"/>
  <c r="N1253"/>
  <c r="N5110"/>
  <c r="N3249"/>
  <c r="N4375"/>
  <c r="N1423"/>
  <c r="N1545"/>
  <c r="N3307"/>
  <c r="N6124"/>
  <c r="N6922"/>
  <c r="N7451"/>
  <c r="N2484"/>
  <c r="N4415"/>
  <c r="N7972"/>
  <c r="N4564"/>
  <c r="N3254"/>
  <c r="N6425"/>
  <c r="N7078"/>
  <c r="N1377"/>
  <c r="N3069"/>
  <c r="N5583"/>
  <c r="N1145"/>
  <c r="N4860"/>
  <c r="N1395"/>
  <c r="N1873"/>
  <c r="N3324"/>
  <c r="N6013"/>
  <c r="N7603"/>
  <c r="N5364"/>
  <c r="N7405"/>
  <c r="N7575"/>
  <c r="N5695"/>
  <c r="N4406"/>
  <c r="N2068"/>
  <c r="N1664"/>
  <c r="N4721"/>
  <c r="N5739"/>
  <c r="N5824"/>
  <c r="N4165"/>
  <c r="N5201"/>
  <c r="N5238"/>
  <c r="N3670"/>
  <c r="N7542"/>
  <c r="N3666"/>
  <c r="N7781"/>
  <c r="N6029"/>
  <c r="N3559"/>
  <c r="N4516"/>
  <c r="N3544"/>
  <c r="N3155"/>
  <c r="N6700"/>
  <c r="N4482"/>
  <c r="N3353"/>
  <c r="N6844"/>
  <c r="N4304"/>
  <c r="N6840"/>
  <c r="N4980"/>
  <c r="N2371"/>
  <c r="N6664"/>
  <c r="N4387"/>
  <c r="N6024"/>
  <c r="N5989"/>
  <c r="N7411"/>
  <c r="N2875"/>
  <c r="N2181"/>
  <c r="N3936"/>
  <c r="N5205"/>
  <c r="N2295"/>
  <c r="N7074"/>
  <c r="N2788"/>
  <c r="N6543"/>
  <c r="N7951"/>
  <c r="N3788"/>
  <c r="N2966"/>
  <c r="N3794"/>
  <c r="N5222"/>
  <c r="N7106"/>
  <c r="N3363"/>
  <c r="N4108"/>
  <c r="N1925"/>
  <c r="N3176"/>
  <c r="N3274"/>
  <c r="N1706"/>
  <c r="N5042"/>
  <c r="N3214"/>
  <c r="N4481"/>
  <c r="N4499"/>
  <c r="N3684"/>
  <c r="N5394"/>
  <c r="N6705"/>
  <c r="N6501"/>
  <c r="N2331"/>
  <c r="N2928"/>
  <c r="N4386"/>
  <c r="N7630"/>
  <c r="N6349"/>
  <c r="N3783"/>
  <c r="N4149"/>
  <c r="N1227"/>
  <c r="N6688"/>
  <c r="N5287"/>
  <c r="N6314"/>
  <c r="N1614"/>
  <c r="N5991"/>
  <c r="N7696"/>
  <c r="N2411"/>
  <c r="N6062"/>
  <c r="N4755"/>
  <c r="N4097"/>
  <c r="N6898"/>
  <c r="N6153"/>
  <c r="N3955"/>
  <c r="N4776"/>
  <c r="N3729"/>
  <c r="N2730"/>
  <c r="N1934"/>
  <c r="N4069"/>
  <c r="N7311"/>
  <c r="N4729"/>
  <c r="N5484"/>
  <c r="N5523"/>
  <c r="N5637"/>
  <c r="N2932"/>
  <c r="N4757"/>
  <c r="N3776"/>
  <c r="N1576"/>
  <c r="N5846"/>
  <c r="N5452"/>
  <c r="N4688"/>
  <c r="N7762"/>
  <c r="N6520"/>
  <c r="N1342"/>
  <c r="N7109"/>
  <c r="N6964"/>
  <c r="N7058"/>
  <c r="N6670"/>
  <c r="N4514"/>
  <c r="N3384"/>
  <c r="N7789"/>
  <c r="N7131"/>
  <c r="N4651"/>
  <c r="N2655"/>
  <c r="N7731"/>
  <c r="N5066"/>
  <c r="N5638"/>
  <c r="N4411"/>
  <c r="N3688"/>
  <c r="N7334"/>
  <c r="N1436"/>
  <c r="N5798"/>
  <c r="N2709"/>
  <c r="N1833"/>
  <c r="N7923"/>
  <c r="N2050"/>
  <c r="N5566"/>
  <c r="N1633"/>
  <c r="N4254"/>
  <c r="N6365"/>
  <c r="N5694"/>
  <c r="N3911"/>
  <c r="N2125"/>
  <c r="N1134"/>
  <c r="N7646"/>
  <c r="N5568"/>
  <c r="N1487"/>
  <c r="N2662"/>
  <c r="N6120"/>
  <c r="N7883"/>
  <c r="N2184"/>
  <c r="N7904"/>
  <c r="N6536"/>
  <c r="N7139"/>
  <c r="N4610"/>
  <c r="N2145"/>
  <c r="N6867"/>
  <c r="N6629"/>
  <c r="N6754"/>
  <c r="N4793"/>
  <c r="N1678"/>
  <c r="N2891"/>
  <c r="N2107"/>
  <c r="N3112"/>
  <c r="N5735"/>
  <c r="N1307"/>
  <c r="N6843"/>
  <c r="N3157"/>
  <c r="N5492"/>
  <c r="N2525"/>
  <c r="N1843"/>
  <c r="N2872"/>
  <c r="N2989"/>
  <c r="N1728"/>
  <c r="N3345"/>
  <c r="N6668"/>
  <c r="N6955"/>
  <c r="N4885"/>
  <c r="N7724"/>
  <c r="N6524"/>
  <c r="N2595"/>
  <c r="N6706"/>
  <c r="N6283"/>
  <c r="N2529"/>
  <c r="N2683"/>
  <c r="N3024"/>
  <c r="N5821"/>
  <c r="N4284"/>
  <c r="N1628"/>
  <c r="N7396"/>
  <c r="N4353"/>
  <c r="N2562"/>
  <c r="N6528"/>
  <c r="N2688"/>
  <c r="N2571"/>
  <c r="N4719"/>
  <c r="N3846"/>
  <c r="N6979"/>
  <c r="N7100"/>
  <c r="N4822"/>
  <c r="N1640"/>
  <c r="N1663"/>
  <c r="N5348"/>
  <c r="N6277"/>
  <c r="N2729"/>
  <c r="N6070"/>
  <c r="N1997"/>
  <c r="N7190"/>
  <c r="N1920"/>
  <c r="N2574"/>
  <c r="N6765"/>
  <c r="N4113"/>
  <c r="N3382"/>
  <c r="N2316"/>
  <c r="N2892"/>
  <c r="N6869"/>
  <c r="N6834"/>
  <c r="N2494"/>
  <c r="N4426"/>
  <c r="N3038"/>
  <c r="N7687"/>
  <c r="N2413"/>
  <c r="N1572"/>
  <c r="N1849"/>
  <c r="N1339"/>
  <c r="N5295"/>
  <c r="N5297"/>
  <c r="N6296"/>
  <c r="N2431"/>
  <c r="N1524"/>
  <c r="N1184"/>
  <c r="N6428"/>
  <c r="N3951"/>
  <c r="N6759"/>
  <c r="N2641"/>
  <c r="N3882"/>
  <c r="N2983"/>
  <c r="N7214"/>
  <c r="N2346"/>
  <c r="N7279"/>
  <c r="N3674"/>
  <c r="N1810"/>
  <c r="N5919"/>
  <c r="N5612"/>
  <c r="N3709"/>
  <c r="N7780"/>
  <c r="N5838"/>
  <c r="N1146"/>
  <c r="N2518"/>
  <c r="N2427"/>
  <c r="N6004"/>
  <c r="N5765"/>
  <c r="N3484"/>
  <c r="N1672"/>
  <c r="N6032"/>
  <c r="N2903"/>
  <c r="N5118"/>
  <c r="N5674"/>
  <c r="N1725"/>
  <c r="N7705"/>
  <c r="N7913"/>
  <c r="N4439"/>
  <c r="N4647"/>
  <c r="N7478"/>
  <c r="N3480"/>
  <c r="N1328"/>
  <c r="N3743"/>
  <c r="N5972"/>
  <c r="N4194"/>
  <c r="N1404"/>
  <c r="N3705"/>
  <c r="N4701"/>
  <c r="N6294"/>
  <c r="N7922"/>
  <c r="N7262"/>
  <c r="N3748"/>
  <c r="N4926"/>
  <c r="N2353"/>
  <c r="N2746"/>
  <c r="N2842"/>
  <c r="N1445"/>
  <c r="N6957"/>
  <c r="N5998"/>
  <c r="N7578"/>
  <c r="N5270"/>
  <c r="N6468"/>
  <c r="N2382"/>
  <c r="N1459"/>
  <c r="N3444"/>
  <c r="N4681"/>
  <c r="N1585"/>
  <c r="N5336"/>
  <c r="N5181"/>
  <c r="N3899"/>
  <c r="N7539"/>
  <c r="N3304"/>
  <c r="N6863"/>
  <c r="N7752"/>
  <c r="N6586"/>
  <c r="N7152"/>
  <c r="N2466"/>
  <c r="N6892"/>
  <c r="N2540"/>
  <c r="N4842"/>
  <c r="N6183"/>
  <c r="N3946"/>
  <c r="N2959"/>
  <c r="N5736"/>
  <c r="N7208"/>
  <c r="N5831"/>
  <c r="N2453"/>
  <c r="N7373"/>
  <c r="N2373"/>
  <c r="N3537"/>
  <c r="N5651"/>
  <c r="N7949"/>
  <c r="N3315"/>
  <c r="N6972"/>
  <c r="N4292"/>
  <c r="N1846"/>
  <c r="N4512"/>
  <c r="N1540"/>
  <c r="N7977"/>
  <c r="N1968"/>
  <c r="N7574"/>
  <c r="N1626"/>
  <c r="N2301"/>
  <c r="N7153"/>
  <c r="N4983"/>
  <c r="N4423"/>
  <c r="N1315"/>
  <c r="N1764"/>
  <c r="N7431"/>
  <c r="N1353"/>
  <c r="N5653"/>
  <c r="N5048"/>
  <c r="N4163"/>
  <c r="N2969"/>
  <c r="N4539"/>
  <c r="N7474"/>
  <c r="N6723"/>
  <c r="N4408"/>
  <c r="N3300"/>
  <c r="N3830"/>
  <c r="N5480"/>
  <c r="N1317"/>
  <c r="N1141"/>
  <c r="N1870"/>
  <c r="N4159"/>
  <c r="N6937"/>
  <c r="N4204"/>
  <c r="N3857"/>
  <c r="N4767"/>
  <c r="N6415"/>
  <c r="N7389"/>
  <c r="N3930"/>
  <c r="N4065"/>
  <c r="N4068"/>
  <c r="N7157"/>
  <c r="N7640"/>
  <c r="N7240"/>
  <c r="N5676"/>
  <c r="N1506"/>
  <c r="N7824"/>
  <c r="N2977"/>
  <c r="N6389"/>
  <c r="N5136"/>
  <c r="N2198"/>
  <c r="N5298"/>
  <c r="N2993"/>
  <c r="N6056"/>
  <c r="N2456"/>
  <c r="N6505"/>
  <c r="N1935"/>
  <c r="N2400"/>
  <c r="N5472"/>
  <c r="N6574"/>
  <c r="N4857"/>
  <c r="N5650"/>
  <c r="N6790"/>
  <c r="N4880"/>
  <c r="N5891"/>
  <c r="N5288"/>
  <c r="N6636"/>
  <c r="N5277"/>
  <c r="N4683"/>
  <c r="N6227"/>
  <c r="N7158"/>
  <c r="N7404"/>
  <c r="N6002"/>
  <c r="N1923"/>
  <c r="N4060"/>
  <c r="N4670"/>
  <c r="N7027"/>
  <c r="N2712"/>
  <c r="N5603"/>
  <c r="N2296"/>
  <c r="N1228"/>
  <c r="N6929"/>
  <c r="N6921"/>
  <c r="N1969"/>
  <c r="N7041"/>
  <c r="N1485"/>
  <c r="N7321"/>
  <c r="N6719"/>
  <c r="N2124"/>
  <c r="N4768"/>
  <c r="N2464"/>
  <c r="N7521"/>
  <c r="N4076"/>
  <c r="N3246"/>
  <c r="N1829"/>
  <c r="N1784"/>
  <c r="N7994"/>
  <c r="N1177"/>
  <c r="N5996"/>
  <c r="N4330"/>
  <c r="N4515"/>
  <c r="N5376"/>
  <c r="N7854"/>
  <c r="N2693"/>
  <c r="N4263"/>
  <c r="N4968"/>
  <c r="N2202"/>
  <c r="N6405"/>
  <c r="N6710"/>
  <c r="N1271"/>
  <c r="N4003"/>
  <c r="N5101"/>
  <c r="N1386"/>
  <c r="N1597"/>
  <c r="N7726"/>
  <c r="N2026"/>
  <c r="N3206"/>
  <c r="N5832"/>
  <c r="N3054"/>
  <c r="N3933"/>
  <c r="N1441"/>
  <c r="N3889"/>
  <c r="N3210"/>
  <c r="N1123"/>
  <c r="N7867"/>
  <c r="N3616"/>
  <c r="N5956"/>
  <c r="N3341"/>
  <c r="N1913"/>
  <c r="N3124"/>
  <c r="N6167"/>
  <c r="N5841"/>
  <c r="N1262"/>
  <c r="N4758"/>
  <c r="N7844"/>
  <c r="N5325"/>
  <c r="N3817"/>
  <c r="N6847"/>
  <c r="N1463"/>
  <c r="N5984"/>
  <c r="N4154"/>
  <c r="N6714"/>
  <c r="N2412"/>
  <c r="N4355"/>
  <c r="N6831"/>
  <c r="N1940"/>
  <c r="N6667"/>
  <c r="N3976"/>
  <c r="N7635"/>
  <c r="N1549"/>
  <c r="N7168"/>
  <c r="N5149"/>
  <c r="N6444"/>
  <c r="N6104"/>
  <c r="N4840"/>
  <c r="N3725"/>
  <c r="N6558"/>
  <c r="N5779"/>
  <c r="N5852"/>
  <c r="N5351"/>
  <c r="N5253"/>
  <c r="N1690"/>
  <c r="N7302"/>
  <c r="N1830"/>
  <c r="N7335"/>
  <c r="N4813"/>
  <c r="N6900"/>
  <c r="N1814"/>
  <c r="N4687"/>
  <c r="N4805"/>
  <c r="N5145"/>
  <c r="N1275"/>
  <c r="N1438"/>
  <c r="N2406"/>
  <c r="N4211"/>
  <c r="N4407"/>
  <c r="N3941"/>
  <c r="N6567"/>
  <c r="N4675"/>
  <c r="N3305"/>
  <c r="N4305"/>
  <c r="N7884"/>
  <c r="N2957"/>
  <c r="N7616"/>
  <c r="N6242"/>
  <c r="N1774"/>
  <c r="N5326"/>
  <c r="N6473"/>
  <c r="N6474"/>
  <c r="N6462"/>
  <c r="N7839"/>
  <c r="N5974"/>
  <c r="N1338"/>
  <c r="N7165"/>
  <c r="N5981"/>
  <c r="N7876"/>
  <c r="N5142"/>
  <c r="N1582"/>
  <c r="N4604"/>
  <c r="N2794"/>
  <c r="N1841"/>
  <c r="N3018"/>
  <c r="N2598"/>
  <c r="N2132"/>
  <c r="N3595"/>
  <c r="N7084"/>
  <c r="N7494"/>
  <c r="N2192"/>
  <c r="N2796"/>
  <c r="N3619"/>
  <c r="N4027"/>
  <c r="N5322"/>
  <c r="N2274"/>
  <c r="N6672"/>
  <c r="N7211"/>
  <c r="N6297"/>
  <c r="N7550"/>
  <c r="N2475"/>
  <c r="N2910"/>
  <c r="N1859"/>
  <c r="N3211"/>
  <c r="N2569"/>
  <c r="N3547"/>
  <c r="N3279"/>
  <c r="N3443"/>
  <c r="N3165"/>
  <c r="N7374"/>
  <c r="N6368"/>
  <c r="N7256"/>
  <c r="N1409"/>
  <c r="N3618"/>
  <c r="N7296"/>
  <c r="N2033"/>
  <c r="N5211"/>
  <c r="N6362"/>
  <c r="N4026"/>
  <c r="N6788"/>
  <c r="N2001"/>
  <c r="N5950"/>
  <c r="N5371"/>
  <c r="N7020"/>
  <c r="N4235"/>
  <c r="N4794"/>
  <c r="N3607"/>
  <c r="N6381"/>
  <c r="N6612"/>
  <c r="N7380"/>
  <c r="N2163"/>
  <c r="N2509"/>
  <c r="N4483"/>
  <c r="N2650"/>
  <c r="N3850"/>
  <c r="N7850"/>
  <c r="N5276"/>
  <c r="N6713"/>
  <c r="N3795"/>
  <c r="N3336"/>
  <c r="N1601"/>
  <c r="N4020"/>
  <c r="N1562"/>
  <c r="N1333"/>
  <c r="N2792"/>
  <c r="N2534"/>
  <c r="N7712"/>
  <c r="N7272"/>
  <c r="N4443"/>
  <c r="N7293"/>
  <c r="N1815"/>
  <c r="N7920"/>
  <c r="N5960"/>
  <c r="N6241"/>
  <c r="N5703"/>
  <c r="N1136"/>
  <c r="N2699"/>
  <c r="N3334"/>
  <c r="N5537"/>
  <c r="N3036"/>
  <c r="N4485"/>
  <c r="N7029"/>
  <c r="N6407"/>
  <c r="N2802"/>
  <c r="N7927"/>
  <c r="N2238"/>
  <c r="N6041"/>
  <c r="N7653"/>
  <c r="N5714"/>
  <c r="N7398"/>
  <c r="N2965"/>
  <c r="N6023"/>
  <c r="N7183"/>
  <c r="N3845"/>
  <c r="N5479"/>
  <c r="N4874"/>
  <c r="N2722"/>
  <c r="N3997"/>
  <c r="N2512"/>
  <c r="N6835"/>
  <c r="N3860"/>
  <c r="N1861"/>
  <c r="N6762"/>
  <c r="N6411"/>
  <c r="N5152"/>
  <c r="N4960"/>
  <c r="N7621"/>
  <c r="N1528"/>
  <c r="N5979"/>
  <c r="N4137"/>
  <c r="N5126"/>
  <c r="N3319"/>
  <c r="N6542"/>
  <c r="N1205"/>
  <c r="N7377"/>
  <c r="N1677"/>
  <c r="N7198"/>
  <c r="N3944"/>
  <c r="N3217"/>
  <c r="N2177"/>
  <c r="N4981"/>
  <c r="N4736"/>
  <c r="N6671"/>
  <c r="N7676"/>
  <c r="N4162"/>
  <c r="N1739"/>
  <c r="N3449"/>
  <c r="N3690"/>
  <c r="N5747"/>
  <c r="N3071"/>
  <c r="N6494"/>
  <c r="N3218"/>
  <c r="N2317"/>
  <c r="N1323"/>
  <c r="N3035"/>
  <c r="N7730"/>
  <c r="N1554"/>
  <c r="N3898"/>
  <c r="N7604"/>
  <c r="N6308"/>
  <c r="N7599"/>
  <c r="N5273"/>
  <c r="N4440"/>
  <c r="N5550"/>
  <c r="N2759"/>
  <c r="N4126"/>
  <c r="N7425"/>
  <c r="N4535"/>
  <c r="N6020"/>
  <c r="N1516"/>
  <c r="N3286"/>
  <c r="N7348"/>
  <c r="N5560"/>
  <c r="N7185"/>
  <c r="N3221"/>
  <c r="N3962"/>
  <c r="N5269"/>
  <c r="N3493"/>
  <c r="N6631"/>
  <c r="N2233"/>
  <c r="N7667"/>
  <c r="N3937"/>
  <c r="N3003"/>
  <c r="N5077"/>
  <c r="N5305"/>
  <c r="N5903"/>
  <c r="N5504"/>
  <c r="N1366"/>
  <c r="N4373"/>
  <c r="N1782"/>
  <c r="N5608"/>
  <c r="N5669"/>
  <c r="N6604"/>
  <c r="N7747"/>
  <c r="N1847"/>
  <c r="N2189"/>
  <c r="N3678"/>
  <c r="N2348"/>
  <c r="N4950"/>
  <c r="N1112"/>
  <c r="N1594"/>
  <c r="N2906"/>
  <c r="N5573"/>
  <c r="N1623"/>
  <c r="N6480"/>
  <c r="N7837"/>
  <c r="N6770"/>
  <c r="N2104"/>
  <c r="N1742"/>
  <c r="N6954"/>
  <c r="N5614"/>
  <c r="N5310"/>
  <c r="N7154"/>
  <c r="N3583"/>
  <c r="N2100"/>
  <c r="N1325"/>
  <c r="N7930"/>
  <c r="N5968"/>
  <c r="N2578"/>
  <c r="N6445"/>
  <c r="N5515"/>
  <c r="N5248"/>
  <c r="N3330"/>
  <c r="N2312"/>
  <c r="N7819"/>
  <c r="N7681"/>
  <c r="N2156"/>
  <c r="N4424"/>
  <c r="N1659"/>
  <c r="N6740"/>
  <c r="N6885"/>
  <c r="N1807"/>
  <c r="N4951"/>
  <c r="N2118"/>
  <c r="N6613"/>
  <c r="N1414"/>
  <c r="N4836"/>
  <c r="N5422"/>
  <c r="N2635"/>
  <c r="N2828"/>
  <c r="N3663"/>
  <c r="N7510"/>
  <c r="N5982"/>
  <c r="N1557"/>
  <c r="N1237"/>
  <c r="N2127"/>
  <c r="N3570"/>
  <c r="N7306"/>
  <c r="N4397"/>
  <c r="N1500"/>
  <c r="N1346"/>
  <c r="N5895"/>
  <c r="N3952"/>
  <c r="N1107"/>
  <c r="N3181"/>
  <c r="N7700"/>
  <c r="N4823"/>
  <c r="N4691"/>
  <c r="N3539"/>
  <c r="N7110"/>
  <c r="N7546"/>
  <c r="N4543"/>
  <c r="N5729"/>
  <c r="N3787"/>
  <c r="N5864"/>
  <c r="N7367"/>
  <c r="N7725"/>
  <c r="N6034"/>
  <c r="N6970"/>
  <c r="N4905"/>
  <c r="N4103"/>
  <c r="N3465"/>
  <c r="N4495"/>
  <c r="N5654"/>
  <c r="N4605"/>
  <c r="N1900"/>
  <c r="N2861"/>
  <c r="N4089"/>
  <c r="N3561"/>
  <c r="N6340"/>
  <c r="N3750"/>
  <c r="N7786"/>
  <c r="N2543"/>
  <c r="N4942"/>
  <c r="N7054"/>
  <c r="N3660"/>
  <c r="N4985"/>
  <c r="N2760"/>
  <c r="N1665"/>
  <c r="N3123"/>
  <c r="N7536"/>
  <c r="N2486"/>
  <c r="N2059"/>
  <c r="N6829"/>
  <c r="N7337"/>
  <c r="N6545"/>
  <c r="N1462"/>
  <c r="N2000"/>
  <c r="N1201"/>
  <c r="N5445"/>
  <c r="N6744"/>
  <c r="N6301"/>
  <c r="N4846"/>
  <c r="N5146"/>
  <c r="N3890"/>
  <c r="N5411"/>
  <c r="N2122"/>
  <c r="N2761"/>
  <c r="N4782"/>
  <c r="N3552"/>
  <c r="N7143"/>
  <c r="N6676"/>
  <c r="N5307"/>
  <c r="N4239"/>
  <c r="N2242"/>
  <c r="N4709"/>
  <c r="N5159"/>
  <c r="N7119"/>
  <c r="N3833"/>
  <c r="N4720"/>
  <c r="N5745"/>
  <c r="N6618"/>
  <c r="N1129"/>
  <c r="N3477"/>
  <c r="N1128"/>
  <c r="N2436"/>
  <c r="N7275"/>
  <c r="N1193"/>
  <c r="N5382"/>
  <c r="N5319"/>
  <c r="N4638"/>
  <c r="N5963"/>
  <c r="N2917"/>
  <c r="N2069"/>
  <c r="N5432"/>
  <c r="N5341"/>
  <c r="N3540"/>
  <c r="N1435"/>
  <c r="N7241"/>
  <c r="N1939"/>
  <c r="N6583"/>
  <c r="N7007"/>
  <c r="N7773"/>
  <c r="N2856"/>
  <c r="N1620"/>
  <c r="N1735"/>
  <c r="N5057"/>
  <c r="N5129"/>
  <c r="N7709"/>
  <c r="N1651"/>
  <c r="N2805"/>
  <c r="N7001"/>
  <c r="N3442"/>
  <c r="N6229"/>
  <c r="N2638"/>
  <c r="N6582"/>
  <c r="N7637"/>
  <c r="N5036"/>
  <c r="N6677"/>
  <c r="N3564"/>
  <c r="N7506"/>
  <c r="N2647"/>
  <c r="N1767"/>
  <c r="N2936"/>
  <c r="N4484"/>
  <c r="N5167"/>
  <c r="N1289"/>
  <c r="N1248"/>
  <c r="N2681"/>
  <c r="N6734"/>
  <c r="N6195"/>
  <c r="N3761"/>
  <c r="N1287"/>
  <c r="N4480"/>
  <c r="N1753"/>
  <c r="N4376"/>
  <c r="N7330"/>
  <c r="N7187"/>
  <c r="N4047"/>
  <c r="N3622"/>
  <c r="N1994"/>
  <c r="N7832"/>
  <c r="N2155"/>
  <c r="N4799"/>
  <c r="N6233"/>
  <c r="N4584"/>
  <c r="N6732"/>
  <c r="N6596"/>
  <c r="N3323"/>
  <c r="N4343"/>
  <c r="N2564"/>
  <c r="N2112"/>
  <c r="N6423"/>
  <c r="N2605"/>
  <c r="N3767"/>
  <c r="N3189"/>
  <c r="N3508"/>
  <c r="N1200"/>
  <c r="N5856"/>
  <c r="N2547"/>
  <c r="N7482"/>
  <c r="N6823"/>
  <c r="N1417"/>
  <c r="N2482"/>
  <c r="N2333"/>
  <c r="N4236"/>
  <c r="N6430"/>
  <c r="N6226"/>
  <c r="N5773"/>
  <c r="N5103"/>
  <c r="N6021"/>
  <c r="N5378"/>
  <c r="N2916"/>
  <c r="N7223"/>
  <c r="N2141"/>
  <c r="N7680"/>
  <c r="N5778"/>
  <c r="N3727"/>
  <c r="N6518"/>
  <c r="N1681"/>
  <c r="N1638"/>
  <c r="N3182"/>
  <c r="N2568"/>
  <c r="N2793"/>
  <c r="N1217"/>
  <c r="N6001"/>
  <c r="N7276"/>
  <c r="N4834"/>
  <c r="N5338"/>
  <c r="N6625"/>
  <c r="N7194"/>
  <c r="N1302"/>
  <c r="N2012"/>
  <c r="N2894"/>
  <c r="N5808"/>
  <c r="N1708"/>
  <c r="N5262"/>
  <c r="N2797"/>
  <c r="N2625"/>
  <c r="N3366"/>
  <c r="N5261"/>
  <c r="N2528"/>
  <c r="N7746"/>
  <c r="N7079"/>
  <c r="N6172"/>
  <c r="N5312"/>
  <c r="N2375"/>
  <c r="N2640"/>
  <c r="N4451"/>
  <c r="N5000"/>
  <c r="N3149"/>
  <c r="N3999"/>
  <c r="N6993"/>
  <c r="N5751"/>
  <c r="N7403"/>
  <c r="N6644"/>
  <c r="N7148"/>
  <c r="N4509"/>
  <c r="N6521"/>
  <c r="N2823"/>
  <c r="N3859"/>
  <c r="N4883"/>
  <c r="N7082"/>
  <c r="N7902"/>
  <c r="N7422"/>
  <c r="N6720"/>
  <c r="N4801"/>
  <c r="N3667"/>
  <c r="N5607"/>
  <c r="N7203"/>
  <c r="N1246"/>
  <c r="N1266"/>
  <c r="N4454"/>
  <c r="N7415"/>
  <c r="N5464"/>
  <c r="N6027"/>
  <c r="N2624"/>
  <c r="N1209"/>
  <c r="N3098"/>
  <c r="N2601"/>
  <c r="N6554"/>
  <c r="N3111"/>
  <c r="N3458"/>
  <c r="N7322"/>
  <c r="N7660"/>
  <c r="N3228"/>
  <c r="N3269"/>
  <c r="N3545"/>
  <c r="N4381"/>
  <c r="N1854"/>
  <c r="N3938"/>
  <c r="N2185"/>
  <c r="N7958"/>
  <c r="N6093"/>
  <c r="N2180"/>
  <c r="N2541"/>
  <c r="N4209"/>
  <c r="N5671"/>
  <c r="N1973"/>
  <c r="N1405"/>
  <c r="N6179"/>
  <c r="N4109"/>
  <c r="N2585"/>
  <c r="N6359"/>
  <c r="N5532"/>
  <c r="N6620"/>
  <c r="N7384"/>
  <c r="N1679"/>
  <c r="N2551"/>
  <c r="N4830"/>
  <c r="N5853"/>
  <c r="N6990"/>
  <c r="N6196"/>
  <c r="N2536"/>
  <c r="N2913"/>
  <c r="N5500"/>
  <c r="N7626"/>
  <c r="N3281"/>
  <c r="N7851"/>
  <c r="N5332"/>
  <c r="N6548"/>
  <c r="N1474"/>
  <c r="N4674"/>
  <c r="N5840"/>
  <c r="N7437"/>
  <c r="N6717"/>
  <c r="N3474"/>
  <c r="N4491"/>
  <c r="N7350"/>
  <c r="N7766"/>
  <c r="N6747"/>
  <c r="N2860"/>
  <c r="N7255"/>
  <c r="N1722"/>
  <c r="N6735"/>
  <c r="N5892"/>
  <c r="N4037"/>
  <c r="N5020"/>
  <c r="N3556"/>
  <c r="N1986"/>
  <c r="N1401"/>
  <c r="N5995"/>
  <c r="N6539"/>
  <c r="N3418"/>
  <c r="N2319"/>
  <c r="N1772"/>
  <c r="N5246"/>
  <c r="N5502"/>
  <c r="N6262"/>
  <c r="N6441"/>
  <c r="N2801"/>
  <c r="N7167"/>
  <c r="N6761"/>
  <c r="N7995"/>
  <c r="N2789"/>
  <c r="N1299"/>
  <c r="N2429"/>
  <c r="N1345"/>
  <c r="N4396"/>
  <c r="N4287"/>
  <c r="N7741"/>
  <c r="N5839"/>
  <c r="N7136"/>
  <c r="N7470"/>
  <c r="N6180"/>
  <c r="N5784"/>
  <c r="N4246"/>
  <c r="N5691"/>
  <c r="N7581"/>
  <c r="N6201"/>
  <c r="N4554"/>
  <c r="N7458"/>
  <c r="N5285"/>
  <c r="N4609"/>
  <c r="N2334"/>
  <c r="N2224"/>
  <c r="N6805"/>
  <c r="N3235"/>
  <c r="N3329"/>
  <c r="N4816"/>
  <c r="N2776"/>
  <c r="N5061"/>
  <c r="N2812"/>
  <c r="N2272"/>
  <c r="N2262"/>
  <c r="N7111"/>
  <c r="N7695"/>
  <c r="N6889"/>
  <c r="N6074"/>
  <c r="N3351"/>
  <c r="N5683"/>
  <c r="N3819"/>
  <c r="N4430"/>
  <c r="N2665"/>
  <c r="N6136"/>
  <c r="N3393"/>
  <c r="N1723"/>
  <c r="N5631"/>
  <c r="N7114"/>
  <c r="N1961"/>
  <c r="N2878"/>
  <c r="N7993"/>
  <c r="N7689"/>
  <c r="N1643"/>
  <c r="N1507"/>
  <c r="N2610"/>
  <c r="N2264"/>
  <c r="N3766"/>
  <c r="N4384"/>
  <c r="N6457"/>
  <c r="N1308"/>
  <c r="N3603"/>
  <c r="N7202"/>
  <c r="N2376"/>
  <c r="N6628"/>
  <c r="N7056"/>
  <c r="N7317"/>
  <c r="N2904"/>
  <c r="N4726"/>
  <c r="N3557"/>
  <c r="N1537"/>
  <c r="N1335"/>
  <c r="N6198"/>
  <c r="N6076"/>
  <c r="N5115"/>
  <c r="N7475"/>
  <c r="N5539"/>
  <c r="N3090"/>
  <c r="N6769"/>
  <c r="N1457"/>
  <c r="N7472"/>
  <c r="N1785"/>
  <c r="N2367"/>
  <c r="N2424"/>
  <c r="N2946"/>
  <c r="N3842"/>
  <c r="N7594"/>
  <c r="N3015"/>
  <c r="N2226"/>
  <c r="N6371"/>
  <c r="N6141"/>
  <c r="N5308"/>
  <c r="N6977"/>
  <c r="N6827"/>
  <c r="N4829"/>
  <c r="N6361"/>
  <c r="N4400"/>
  <c r="N7615"/>
  <c r="N7519"/>
  <c r="N1876"/>
  <c r="N2840"/>
  <c r="N5881"/>
  <c r="N2049"/>
  <c r="N1840"/>
  <c r="N5385"/>
  <c r="N7827"/>
  <c r="N2826"/>
  <c r="N4072"/>
  <c r="N3741"/>
  <c r="N3837"/>
  <c r="N1648"/>
  <c r="N6559"/>
  <c r="N2087"/>
  <c r="N4541"/>
  <c r="N1686"/>
  <c r="N3738"/>
  <c r="N7788"/>
  <c r="N4308"/>
  <c r="N1551"/>
  <c r="N2289"/>
  <c r="N1933"/>
  <c r="N1972"/>
  <c r="N7881"/>
  <c r="N1369"/>
  <c r="N1559"/>
  <c r="N4764"/>
  <c r="N5013"/>
  <c r="N1479"/>
  <c r="N6271"/>
  <c r="N3141"/>
  <c r="N5634"/>
  <c r="N2984"/>
  <c r="N6220"/>
  <c r="N7070"/>
  <c r="N4218"/>
  <c r="N3652"/>
  <c r="N1860"/>
  <c r="N7967"/>
  <c r="N3524"/>
  <c r="N1613"/>
  <c r="N5402"/>
  <c r="N3996"/>
  <c r="N4781"/>
  <c r="N7361"/>
  <c r="N2031"/>
  <c r="N6838"/>
  <c r="N4510"/>
  <c r="N5080"/>
  <c r="N2990"/>
  <c r="N2846"/>
  <c r="N5482"/>
  <c r="N3699"/>
  <c r="N7353"/>
  <c r="N5755"/>
  <c r="N2235"/>
  <c r="N3739"/>
  <c r="N4155"/>
  <c r="N2594"/>
  <c r="N1178"/>
  <c r="N7295"/>
  <c r="N7019"/>
  <c r="N3245"/>
  <c r="N7968"/>
  <c r="N7894"/>
  <c r="N6125"/>
  <c r="N4745"/>
  <c r="N4524"/>
  <c r="N6082"/>
  <c r="N5859"/>
  <c r="N4201"/>
  <c r="N6191"/>
  <c r="N6880"/>
  <c r="N5519"/>
  <c r="N5917"/>
  <c r="N4205"/>
  <c r="N2485"/>
  <c r="N1218"/>
  <c r="N1272"/>
  <c r="N6300"/>
  <c r="N6933"/>
  <c r="N2126"/>
  <c r="N5327"/>
  <c r="N3212"/>
  <c r="N2419"/>
  <c r="N1865"/>
  <c r="N4710"/>
  <c r="N3251"/>
  <c r="N4210"/>
  <c r="N1364"/>
  <c r="N1789"/>
  <c r="N3317"/>
  <c r="N4744"/>
  <c r="N5690"/>
  <c r="N1174"/>
  <c r="N2471"/>
  <c r="N7414"/>
  <c r="N7113"/>
  <c r="N2002"/>
  <c r="N4752"/>
  <c r="N6546"/>
  <c r="N3809"/>
  <c r="N6679"/>
  <c r="N4788"/>
  <c r="N7452"/>
  <c r="N4779"/>
  <c r="N6045"/>
  <c r="N2327"/>
  <c r="N7960"/>
  <c r="N4455"/>
  <c r="N2800"/>
  <c r="N1605"/>
  <c r="N2885"/>
  <c r="N5340"/>
  <c r="N4234"/>
  <c r="N2717"/>
  <c r="N3394"/>
  <c r="N5106"/>
  <c r="N4184"/>
  <c r="N3209"/>
  <c r="N4168"/>
  <c r="N4142"/>
  <c r="N5659"/>
  <c r="N4993"/>
  <c r="N5431"/>
  <c r="N2859"/>
  <c r="N7692"/>
  <c r="N7559"/>
  <c r="N5679"/>
  <c r="N3325"/>
  <c r="N3549"/>
  <c r="N5807"/>
  <c r="N4306"/>
  <c r="N7885"/>
  <c r="N1478"/>
  <c r="N7831"/>
  <c r="N3608"/>
  <c r="N5208"/>
  <c r="N3423"/>
  <c r="N5621"/>
  <c r="N6317"/>
  <c r="N4547"/>
  <c r="N3202"/>
  <c r="N6036"/>
  <c r="N7610"/>
  <c r="N5645"/>
  <c r="N6057"/>
  <c r="N1863"/>
  <c r="N2930"/>
  <c r="N7387"/>
  <c r="N4769"/>
  <c r="N7872"/>
  <c r="N7845"/>
  <c r="N6969"/>
  <c r="N3701"/>
  <c r="N2711"/>
  <c r="N1119"/>
  <c r="N4612"/>
  <c r="N5347"/>
  <c r="N3314"/>
  <c r="N3724"/>
  <c r="N3278"/>
  <c r="N1912"/>
  <c r="N2135"/>
  <c r="N6384"/>
  <c r="N1734"/>
  <c r="N6240"/>
  <c r="N4277"/>
  <c r="N7238"/>
  <c r="N3942"/>
  <c r="N3303"/>
  <c r="N1254"/>
  <c r="N4228"/>
  <c r="N6771"/>
  <c r="N3488"/>
  <c r="N2658"/>
  <c r="N5606"/>
  <c r="N7602"/>
  <c r="N2105"/>
  <c r="N4392"/>
  <c r="N5237"/>
  <c r="N1285"/>
  <c r="N4048"/>
  <c r="N3340"/>
  <c r="N5111"/>
  <c r="N3977"/>
  <c r="N6014"/>
  <c r="N7561"/>
  <c r="N6729"/>
  <c r="N3205"/>
  <c r="N5250"/>
  <c r="N2073"/>
  <c r="N7697"/>
  <c r="N6767"/>
  <c r="N4053"/>
  <c r="N7426"/>
  <c r="N5866"/>
  <c r="N2556"/>
  <c r="N7093"/>
  <c r="N2526"/>
  <c r="N6316"/>
  <c r="N4002"/>
  <c r="N4928"/>
  <c r="N4672"/>
  <c r="N4125"/>
  <c r="N6651"/>
  <c r="N1176"/>
  <c r="N1282"/>
  <c r="N4289"/>
  <c r="N6682"/>
  <c r="N7259"/>
  <c r="N5022"/>
  <c r="N7720"/>
  <c r="N1375"/>
  <c r="N6215"/>
  <c r="N7331"/>
  <c r="N6998"/>
  <c r="N2199"/>
  <c r="N2468"/>
  <c r="N1967"/>
  <c r="N6247"/>
  <c r="N1316"/>
  <c r="N2780"/>
  <c r="N1862"/>
  <c r="N5379"/>
  <c r="N3861"/>
  <c r="N7320"/>
  <c r="N7706"/>
  <c r="N3045"/>
  <c r="N7454"/>
  <c r="N4468"/>
  <c r="N2634"/>
  <c r="N3364"/>
  <c r="N5182"/>
  <c r="N4814"/>
  <c r="N6605"/>
  <c r="N1744"/>
  <c r="N3573"/>
  <c r="N4912"/>
  <c r="N5278"/>
  <c r="N3376"/>
  <c r="N1470"/>
  <c r="N6292"/>
  <c r="N2648"/>
  <c r="N5734"/>
  <c r="N7525"/>
  <c r="N7017"/>
  <c r="N3971"/>
  <c r="N2203"/>
  <c r="N4815"/>
  <c r="N1341"/>
  <c r="N5536"/>
  <c r="N6461"/>
  <c r="N1953"/>
  <c r="N7040"/>
  <c r="N3995"/>
  <c r="N2560"/>
  <c r="N2313"/>
  <c r="N5457"/>
  <c r="N1796"/>
  <c r="N2204"/>
  <c r="N5801"/>
  <c r="N4280"/>
  <c r="N3602"/>
  <c r="N1432"/>
  <c r="N5024"/>
  <c r="N3455"/>
  <c r="N5468"/>
  <c r="N2280"/>
  <c r="N7325"/>
  <c r="N5226"/>
  <c r="N4082"/>
  <c r="N7638"/>
  <c r="N7476"/>
  <c r="N1149"/>
  <c r="N5177"/>
  <c r="N3632"/>
  <c r="N3114"/>
  <c r="N7280"/>
  <c r="N5699"/>
  <c r="N4055"/>
  <c r="N5210"/>
  <c r="N1288"/>
  <c r="N3377"/>
  <c r="N1550"/>
  <c r="N1791"/>
  <c r="N2886"/>
  <c r="N4655"/>
  <c r="N5760"/>
  <c r="N7782"/>
  <c r="N4429"/>
  <c r="N4249"/>
  <c r="N5737"/>
  <c r="N4807"/>
  <c r="N6626"/>
  <c r="N6963"/>
  <c r="N2689"/>
  <c r="N6022"/>
  <c r="N6050"/>
  <c r="N4869"/>
  <c r="N6606"/>
  <c r="N3357"/>
  <c r="N7753"/>
  <c r="N6333"/>
  <c r="N3881"/>
  <c r="N3964"/>
  <c r="N2245"/>
  <c r="N7548"/>
  <c r="N6580"/>
  <c r="N2671"/>
  <c r="N4622"/>
  <c r="N1277"/>
  <c r="N6486"/>
  <c r="N2247"/>
  <c r="N2646"/>
  <c r="N2550"/>
  <c r="N1165"/>
  <c r="N3800"/>
  <c r="N7862"/>
  <c r="N3939"/>
  <c r="N7805"/>
  <c r="N3510"/>
  <c r="N6284"/>
  <c r="N7036"/>
  <c r="N6392"/>
  <c r="N1636"/>
  <c r="N7631"/>
  <c r="N6205"/>
  <c r="N4715"/>
  <c r="N6370"/>
  <c r="N5122"/>
  <c r="N7204"/>
  <c r="N6645"/>
  <c r="N2311"/>
  <c r="N6758"/>
  <c r="N6459"/>
  <c r="N2905"/>
  <c r="N5812"/>
  <c r="N4559"/>
  <c r="N5113"/>
  <c r="N7446"/>
  <c r="N7261"/>
  <c r="N1817"/>
  <c r="N6105"/>
  <c r="N6549"/>
  <c r="N5360"/>
  <c r="N7332"/>
  <c r="N4537"/>
  <c r="N5929"/>
  <c r="N5579"/>
  <c r="N2231"/>
  <c r="N3471"/>
  <c r="N4961"/>
  <c r="N2165"/>
  <c r="N5802"/>
  <c r="N2257"/>
  <c r="N3747"/>
  <c r="N2515"/>
  <c r="N7489"/>
  <c r="N6741"/>
  <c r="N4242"/>
  <c r="N6114"/>
  <c r="N6216"/>
  <c r="N6188"/>
  <c r="N4487"/>
  <c r="N1444"/>
  <c r="N4892"/>
  <c r="N7228"/>
  <c r="N7572"/>
  <c r="N2623"/>
  <c r="N6061"/>
  <c r="N3689"/>
  <c r="N6239"/>
  <c r="N6513"/>
  <c r="N6743"/>
  <c r="N4642"/>
  <c r="N3349"/>
  <c r="N2106"/>
  <c r="N4585"/>
  <c r="N5203"/>
  <c r="N3081"/>
  <c r="N2684"/>
  <c r="N4327"/>
  <c r="N5204"/>
  <c r="N4088"/>
  <c r="N6556"/>
  <c r="N6751"/>
  <c r="N5461"/>
  <c r="N1529"/>
  <c r="N3391"/>
  <c r="N2243"/>
  <c r="N5009"/>
  <c r="N5091"/>
  <c r="N7830"/>
  <c r="N3913"/>
  <c r="N7950"/>
  <c r="N7162"/>
  <c r="N5750"/>
  <c r="N7776"/>
  <c r="N5686"/>
  <c r="N1867"/>
  <c r="N1748"/>
  <c r="N1365"/>
  <c r="N2664"/>
  <c r="N3388"/>
  <c r="N3128"/>
  <c r="N6561"/>
  <c r="N5939"/>
  <c r="N2062"/>
  <c r="N2070"/>
  <c r="N2445"/>
  <c r="N2065"/>
  <c r="N2603"/>
  <c r="N2951"/>
  <c r="N2739"/>
  <c r="N1539"/>
  <c r="N3204"/>
  <c r="N3998"/>
  <c r="N5874"/>
  <c r="N5429"/>
  <c r="N2414"/>
  <c r="N6318"/>
  <c r="N5904"/>
  <c r="N2593"/>
  <c r="N1471"/>
  <c r="N1963"/>
  <c r="N4038"/>
  <c r="N5546"/>
  <c r="N6931"/>
  <c r="N4469"/>
  <c r="N4712"/>
  <c r="N7463"/>
  <c r="N4467"/>
  <c r="N3903"/>
  <c r="N3037"/>
  <c r="N3983"/>
  <c r="N7535"/>
  <c r="N2850"/>
  <c r="N2350"/>
  <c r="N1786"/>
  <c r="N3099"/>
  <c r="N3240"/>
  <c r="N2755"/>
  <c r="N2096"/>
  <c r="N3873"/>
  <c r="N3313"/>
  <c r="N7297"/>
  <c r="N5150"/>
  <c r="N5787"/>
  <c r="N2501"/>
  <c r="N7034"/>
  <c r="N4299"/>
  <c r="N6579"/>
  <c r="N5197"/>
  <c r="N5744"/>
  <c r="N1718"/>
  <c r="N1466"/>
  <c r="N1140"/>
  <c r="N3265"/>
  <c r="N4203"/>
  <c r="N6320"/>
  <c r="N3986"/>
  <c r="N3089"/>
  <c r="N6975"/>
  <c r="N7397"/>
  <c r="N7980"/>
  <c r="N6130"/>
  <c r="N4693"/>
  <c r="N4898"/>
  <c r="N3367"/>
  <c r="N5693"/>
  <c r="N3726"/>
  <c r="N6003"/>
  <c r="N7891"/>
  <c r="N6213"/>
  <c r="N6159"/>
  <c r="N7704"/>
  <c r="N7313"/>
  <c r="N1158"/>
  <c r="N3804"/>
  <c r="N4004"/>
  <c r="N5743"/>
  <c r="N4850"/>
  <c r="N7270"/>
  <c r="N5611"/>
  <c r="N1352"/>
  <c r="N4630"/>
  <c r="N5978"/>
  <c r="N5685"/>
  <c r="N5096"/>
  <c r="N2667"/>
  <c r="N3870"/>
  <c r="N2818"/>
  <c r="N4412"/>
  <c r="N5006"/>
  <c r="N5667"/>
  <c r="N6015"/>
  <c r="N2644"/>
  <c r="N7634"/>
  <c r="N4728"/>
  <c r="N7798"/>
  <c r="N7124"/>
  <c r="N3551"/>
  <c r="N2686"/>
  <c r="N7490"/>
  <c r="N3648"/>
  <c r="N5434"/>
  <c r="N2963"/>
  <c r="N6236"/>
  <c r="N2520"/>
  <c r="N5975"/>
  <c r="N7401"/>
  <c r="N3981"/>
  <c r="N5028"/>
  <c r="N4368"/>
  <c r="N6495"/>
  <c r="N6906"/>
  <c r="N6927"/>
  <c r="N5015"/>
  <c r="N3354"/>
  <c r="N4091"/>
  <c r="N3532"/>
  <c r="N4567"/>
  <c r="N5530"/>
  <c r="N7515"/>
  <c r="N3170"/>
  <c r="N6980"/>
  <c r="N7286"/>
  <c r="N3718"/>
  <c r="N4293"/>
  <c r="N6752"/>
  <c r="N5565"/>
  <c r="N3825"/>
  <c r="N5804"/>
  <c r="N2081"/>
  <c r="N3347"/>
  <c r="N4974"/>
  <c r="N6324"/>
  <c r="N4188"/>
  <c r="N6983"/>
  <c r="N6638"/>
  <c r="N7580"/>
  <c r="N4909"/>
  <c r="N7540"/>
  <c r="N3574"/>
  <c r="N1978"/>
  <c r="N3812"/>
  <c r="N2896"/>
  <c r="N5857"/>
  <c r="N2396"/>
  <c r="N6845"/>
  <c r="N6585"/>
  <c r="N6730"/>
  <c r="N6481"/>
  <c r="N2151"/>
  <c r="N3008"/>
  <c r="N7740"/>
  <c r="N3839"/>
  <c r="N6161"/>
  <c r="N6269"/>
  <c r="N1751"/>
  <c r="N3311"/>
  <c r="N5104"/>
  <c r="N2136"/>
  <c r="N6479"/>
  <c r="N5715"/>
  <c r="N1999"/>
  <c r="N1966"/>
  <c r="N4067"/>
  <c r="N4175"/>
  <c r="N5070"/>
  <c r="N2281"/>
  <c r="N5748"/>
  <c r="N2143"/>
  <c r="N7130"/>
  <c r="N5920"/>
  <c r="N2282"/>
  <c r="N2787"/>
  <c r="N6414"/>
  <c r="N5879"/>
  <c r="N2349"/>
  <c r="N4169"/>
  <c r="N3879"/>
  <c r="N6251"/>
  <c r="N3801"/>
  <c r="N5254"/>
  <c r="N7716"/>
  <c r="N2279"/>
  <c r="N4282"/>
  <c r="N6151"/>
  <c r="N4342"/>
  <c r="N4669"/>
  <c r="N5029"/>
  <c r="N4875"/>
  <c r="N7739"/>
  <c r="N3011"/>
  <c r="N3372"/>
  <c r="N7393"/>
  <c r="N3768"/>
  <c r="N3713"/>
  <c r="N2814"/>
  <c r="N4333"/>
  <c r="N1798"/>
  <c r="N4902"/>
  <c r="N5511"/>
  <c r="N5868"/>
  <c r="N5822"/>
  <c r="N4122"/>
  <c r="N4615"/>
  <c r="N5932"/>
  <c r="N1910"/>
  <c r="N4356"/>
  <c r="N2627"/>
  <c r="N4992"/>
  <c r="N4264"/>
  <c r="N1546"/>
  <c r="N4580"/>
  <c r="N4307"/>
  <c r="N1426"/>
  <c r="N1388"/>
  <c r="N7315"/>
  <c r="N2893"/>
  <c r="N6310"/>
  <c r="N1233"/>
  <c r="N5538"/>
  <c r="N5855"/>
  <c r="N3126"/>
  <c r="N4970"/>
  <c r="N4682"/>
  <c r="N1674"/>
  <c r="N6928"/>
  <c r="N1340"/>
  <c r="N5344"/>
  <c r="N6621"/>
  <c r="N1160"/>
  <c r="N6134"/>
  <c r="N4929"/>
  <c r="N5086"/>
  <c r="N4586"/>
  <c r="N7791"/>
  <c r="N6244"/>
  <c r="N5726"/>
  <c r="N6200"/>
  <c r="N4219"/>
  <c r="N3988"/>
  <c r="N7299"/>
  <c r="N5825"/>
  <c r="N2337"/>
  <c r="N2352"/>
  <c r="N3856"/>
  <c r="N1561"/>
  <c r="N2762"/>
  <c r="N7065"/>
  <c r="N3136"/>
  <c r="N3414"/>
  <c r="N6774"/>
  <c r="N7749"/>
  <c r="N3565"/>
  <c r="N2985"/>
  <c r="N2774"/>
  <c r="N4828"/>
  <c r="N3992"/>
  <c r="N7342"/>
  <c r="N3669"/>
  <c r="N6173"/>
  <c r="N2783"/>
  <c r="N2097"/>
  <c r="N7847"/>
  <c r="N5967"/>
  <c r="N1116"/>
  <c r="N2911"/>
  <c r="N6331"/>
  <c r="N7366"/>
  <c r="N2530"/>
  <c r="N7890"/>
  <c r="N5854"/>
  <c r="N6597"/>
  <c r="N6351"/>
  <c r="N7354"/>
  <c r="N4848"/>
  <c r="N7433"/>
  <c r="N6252"/>
  <c r="N3397"/>
  <c r="N3829"/>
  <c r="N2807"/>
  <c r="N7066"/>
  <c r="N7215"/>
  <c r="N2446"/>
  <c r="N7388"/>
  <c r="N2176"/>
  <c r="N1642"/>
  <c r="N7879"/>
  <c r="N7727"/>
  <c r="N4040"/>
  <c r="N2580"/>
  <c r="N1587"/>
  <c r="N6499"/>
  <c r="N2612"/>
  <c r="N6140"/>
  <c r="N4551"/>
  <c r="N5907"/>
  <c r="N6221"/>
  <c r="N6232"/>
  <c r="N5871"/>
  <c r="N3236"/>
  <c r="N2320"/>
  <c r="N2994"/>
  <c r="N1684"/>
  <c r="N1868"/>
  <c r="N6890"/>
  <c r="N3680"/>
  <c r="N2643"/>
  <c r="N7055"/>
  <c r="N5155"/>
  <c r="N7201"/>
  <c r="N2901"/>
  <c r="N1274"/>
  <c r="N4329"/>
  <c r="N7045"/>
  <c r="N5219"/>
  <c r="N7829"/>
  <c r="N3077"/>
  <c r="N3147"/>
  <c r="N2822"/>
  <c r="N7236"/>
  <c r="N5442"/>
  <c r="N2784"/>
  <c r="N7108"/>
  <c r="N1792"/>
  <c r="N5505"/>
  <c r="N1427"/>
  <c r="N7473"/>
  <c r="N1881"/>
  <c r="N2276"/>
  <c r="N6228"/>
  <c r="N2954"/>
  <c r="N3261"/>
  <c r="N1431"/>
  <c r="N2129"/>
  <c r="N6328"/>
  <c r="N4879"/>
  <c r="N4718"/>
  <c r="N4851"/>
  <c r="N1437"/>
  <c r="N3935"/>
  <c r="N6736"/>
  <c r="N1393"/>
  <c r="N7784"/>
  <c r="N3796"/>
  <c r="N1157"/>
  <c r="N6005"/>
  <c r="N2437"/>
  <c r="N2953"/>
  <c r="N6256"/>
  <c r="N4270"/>
  <c r="N7822"/>
  <c r="N1124"/>
  <c r="N5123"/>
  <c r="N2379"/>
  <c r="N4949"/>
  <c r="N3806"/>
  <c r="N6652"/>
  <c r="N7098"/>
  <c r="N6876"/>
  <c r="N7003"/>
  <c r="N2037"/>
  <c r="N4921"/>
  <c r="N4825"/>
  <c r="N4379"/>
  <c r="N6660"/>
  <c r="N2194"/>
  <c r="N4717"/>
  <c r="N6525"/>
  <c r="N4114"/>
  <c r="N2133"/>
  <c r="N5163"/>
  <c r="N2573"/>
  <c r="N4796"/>
  <c r="N3162"/>
  <c r="N6189"/>
  <c r="N7848"/>
  <c r="N5173"/>
  <c r="N7319"/>
  <c r="N7177"/>
  <c r="N2088"/>
  <c r="N7928"/>
  <c r="N1442"/>
  <c r="N2179"/>
  <c r="N3994"/>
  <c r="N2970"/>
  <c r="N4940"/>
  <c r="N5764"/>
  <c r="N5548"/>
  <c r="N7770"/>
  <c r="N7671"/>
  <c r="N6012"/>
  <c r="N5602"/>
  <c r="N3563"/>
  <c r="N1281"/>
  <c r="N3733"/>
  <c r="N7552"/>
  <c r="N3144"/>
  <c r="N7188"/>
  <c r="N4302"/>
  <c r="N5577"/>
  <c r="N6920"/>
  <c r="N5962"/>
  <c r="N5393"/>
  <c r="N6724"/>
  <c r="N4839"/>
  <c r="N7448"/>
  <c r="N4177"/>
  <c r="N3772"/>
  <c r="N2714"/>
  <c r="N7639"/>
  <c r="N4932"/>
  <c r="N4030"/>
  <c r="N1794"/>
  <c r="N2504"/>
  <c r="N3193"/>
  <c r="N5083"/>
  <c r="N5491"/>
  <c r="N5724"/>
  <c r="N2255"/>
  <c r="N7073"/>
  <c r="N4843"/>
  <c r="N5670"/>
  <c r="N3078"/>
  <c r="N2996"/>
  <c r="N2678"/>
  <c r="N2410"/>
  <c r="N4288"/>
  <c r="N2943"/>
  <c r="N1259"/>
  <c r="N6727"/>
  <c r="N6395"/>
  <c r="N1515"/>
  <c r="N2366"/>
  <c r="N7309"/>
  <c r="N3698"/>
  <c r="N2214"/>
  <c r="N3798"/>
  <c r="N4136"/>
  <c r="N2726"/>
  <c r="N7000"/>
  <c r="N2240"/>
  <c r="N2702"/>
  <c r="N5011"/>
  <c r="N2791"/>
  <c r="N1258"/>
  <c r="N7846"/>
  <c r="N4359"/>
  <c r="N6235"/>
  <c r="N5161"/>
  <c r="N6989"/>
  <c r="N4011"/>
  <c r="N7450"/>
  <c r="N7092"/>
  <c r="N3980"/>
  <c r="N2103"/>
  <c r="N1673"/>
  <c r="N2134"/>
  <c r="N4202"/>
  <c r="N1987"/>
  <c r="N7529"/>
  <c r="N7288"/>
  <c r="N5165"/>
  <c r="N1250"/>
  <c r="N7343"/>
  <c r="N1240"/>
  <c r="N2148"/>
  <c r="N3662"/>
  <c r="N5768"/>
  <c r="N2723"/>
  <c r="N5426"/>
  <c r="N7518"/>
  <c r="N1130"/>
  <c r="N6820"/>
  <c r="N4449"/>
  <c r="N7800"/>
  <c r="N2064"/>
  <c r="N4471"/>
  <c r="N7865"/>
  <c r="N3050"/>
  <c r="N1267"/>
  <c r="N7077"/>
  <c r="N3611"/>
  <c r="N1544"/>
  <c r="N4544"/>
  <c r="N6336"/>
  <c r="N4798"/>
  <c r="N4629"/>
  <c r="N7698"/>
  <c r="N5772"/>
  <c r="N7992"/>
  <c r="N1208"/>
  <c r="N7513"/>
  <c r="N5098"/>
  <c r="N7886"/>
  <c r="N1182"/>
  <c r="N3378"/>
  <c r="N3575"/>
  <c r="N4858"/>
  <c r="N1117"/>
  <c r="N3531"/>
  <c r="N2869"/>
  <c r="N1653"/>
  <c r="N5837"/>
  <c r="N1763"/>
  <c r="N7590"/>
  <c r="N6442"/>
  <c r="N4419"/>
  <c r="N4077"/>
  <c r="N5732"/>
  <c r="N3526"/>
  <c r="N5720"/>
  <c r="N6323"/>
  <c r="N7061"/>
  <c r="N6098"/>
  <c r="N6011"/>
  <c r="N3164"/>
  <c r="N2212"/>
  <c r="N5450"/>
  <c r="N7149"/>
  <c r="N3615"/>
  <c r="N2858"/>
  <c r="N6593"/>
  <c r="N1688"/>
  <c r="N5705"/>
  <c r="N3030"/>
  <c r="N5343"/>
  <c r="N1343"/>
  <c r="N6772"/>
  <c r="N4673"/>
  <c r="N2770"/>
  <c r="N7115"/>
  <c r="N1875"/>
  <c r="N5079"/>
  <c r="N2602"/>
  <c r="N1367"/>
  <c r="N3931"/>
  <c r="N4803"/>
  <c r="N3369"/>
  <c r="N2273"/>
  <c r="N5597"/>
  <c r="N5469"/>
  <c r="N1304"/>
  <c r="N6851"/>
  <c r="N2384"/>
  <c r="N3095"/>
  <c r="N5762"/>
  <c r="N6377"/>
  <c r="N1824"/>
  <c r="N7231"/>
  <c r="N2398"/>
  <c r="N2687"/>
  <c r="N4303"/>
  <c r="N7166"/>
  <c r="N5026"/>
  <c r="N2867"/>
  <c r="N6871"/>
  <c r="N7745"/>
  <c r="N2991"/>
  <c r="N3731"/>
  <c r="N1220"/>
  <c r="N3612"/>
  <c r="N7929"/>
  <c r="N5132"/>
  <c r="N6947"/>
  <c r="N1392"/>
  <c r="N1406"/>
  <c r="N2293"/>
  <c r="N6552"/>
  <c r="N1257"/>
  <c r="N5666"/>
  <c r="N6986"/>
  <c r="N2046"/>
  <c r="N5708"/>
  <c r="N6902"/>
  <c r="N2491"/>
  <c r="N2078"/>
  <c r="N3389"/>
  <c r="N2763"/>
  <c r="N1608"/>
  <c r="N6799"/>
  <c r="N7757"/>
  <c r="N7508"/>
  <c r="N1577"/>
  <c r="N5289"/>
  <c r="N1244"/>
  <c r="N6219"/>
  <c r="N4383"/>
  <c r="N5870"/>
  <c r="N6078"/>
  <c r="N3253"/>
  <c r="N3863"/>
  <c r="N1804"/>
  <c r="N7180"/>
  <c r="N6060"/>
  <c r="N5559"/>
  <c r="N5655"/>
  <c r="N3810"/>
  <c r="N1505"/>
  <c r="N1556"/>
  <c r="N2399"/>
  <c r="N6818"/>
  <c r="N6725"/>
  <c r="N3579"/>
  <c r="N3224"/>
  <c r="N4354"/>
  <c r="N1216"/>
  <c r="N5001"/>
  <c r="N4625"/>
  <c r="N5647"/>
  <c r="N4995"/>
  <c r="N3312"/>
  <c r="N4976"/>
  <c r="N7551"/>
  <c r="N2811"/>
  <c r="N3092"/>
  <c r="N7647"/>
  <c r="N4172"/>
  <c r="N4772"/>
  <c r="N5805"/>
  <c r="N7527"/>
  <c r="N6458"/>
  <c r="N5021"/>
  <c r="N6380"/>
  <c r="N2038"/>
  <c r="N2978"/>
  <c r="N7806"/>
  <c r="N6683"/>
  <c r="N6936"/>
  <c r="N5075"/>
  <c r="N2980"/>
  <c r="N3104"/>
  <c r="N4322"/>
  <c r="N3507"/>
  <c r="N7790"/>
  <c r="N6341"/>
  <c r="N3580"/>
  <c r="N6663"/>
  <c r="N6047"/>
  <c r="N1492"/>
  <c r="N2679"/>
  <c r="N2838"/>
  <c r="N4260"/>
  <c r="N1779"/>
  <c r="N3626"/>
  <c r="N3005"/>
  <c r="N5489"/>
  <c r="N3717"/>
  <c r="N3929"/>
  <c r="N3229"/>
  <c r="N5617"/>
  <c r="N7101"/>
  <c r="N3097"/>
  <c r="N4873"/>
  <c r="N7836"/>
  <c r="N5284"/>
  <c r="N4022"/>
  <c r="N3079"/>
  <c r="N7765"/>
  <c r="N1836"/>
  <c r="N7808"/>
  <c r="N2611"/>
  <c r="N1425"/>
  <c r="N5355"/>
  <c r="N6623"/>
  <c r="N3191"/>
  <c r="N4661"/>
  <c r="N4144"/>
  <c r="N1754"/>
  <c r="N3572"/>
  <c r="N2549"/>
  <c r="N2455"/>
  <c r="N4749"/>
  <c r="N7974"/>
  <c r="N2197"/>
  <c r="N2649"/>
  <c r="N3151"/>
  <c r="N3296"/>
  <c r="N5002"/>
  <c r="N7985"/>
  <c r="N5770"/>
  <c r="N5496"/>
  <c r="N6312"/>
  <c r="N6941"/>
  <c r="N5399"/>
  <c r="N2533"/>
  <c r="N2403"/>
  <c r="N7628"/>
  <c r="N1276"/>
  <c r="N4216"/>
  <c r="N1716"/>
  <c r="N4808"/>
  <c r="N4506"/>
  <c r="N5455"/>
  <c r="N3379"/>
  <c r="N2153"/>
  <c r="N7607"/>
  <c r="N1327"/>
  <c r="N5922"/>
  <c r="N7910"/>
  <c r="N5481"/>
  <c r="N2744"/>
  <c r="N4488"/>
  <c r="N6274"/>
  <c r="N6910"/>
  <c r="N7491"/>
  <c r="N6938"/>
  <c r="N5466"/>
  <c r="N4644"/>
  <c r="N4124"/>
  <c r="N3628"/>
  <c r="N2340"/>
  <c r="N5845"/>
  <c r="N4130"/>
  <c r="N5931"/>
  <c r="N4797"/>
  <c r="N1371"/>
  <c r="N7264"/>
  <c r="N5622"/>
  <c r="N1852"/>
  <c r="N4319"/>
  <c r="N3225"/>
  <c r="N7669"/>
  <c r="N2968"/>
  <c r="N7645"/>
  <c r="N1245"/>
  <c r="N5945"/>
  <c r="N1284"/>
  <c r="N3521"/>
  <c r="N3415"/>
  <c r="N2581"/>
  <c r="N5430"/>
  <c r="N4478"/>
  <c r="N2150"/>
  <c r="N4558"/>
  <c r="N6387"/>
  <c r="N4033"/>
  <c r="N1837"/>
  <c r="N5212"/>
  <c r="N7541"/>
  <c r="N4034"/>
  <c r="N2423"/>
  <c r="N4225"/>
  <c r="N3405"/>
  <c r="N7225"/>
  <c r="N4160"/>
  <c r="N5334"/>
  <c r="N5081"/>
  <c r="N4434"/>
  <c r="N1662"/>
  <c r="N5503"/>
  <c r="N7327"/>
  <c r="N4344"/>
  <c r="N4893"/>
  <c r="N6291"/>
  <c r="N3156"/>
  <c r="N5820"/>
  <c r="N6402"/>
  <c r="N1578"/>
  <c r="N1418"/>
  <c r="N2680"/>
  <c r="N5409"/>
  <c r="N2441"/>
  <c r="N5860"/>
  <c r="N3910"/>
  <c r="N2380"/>
  <c r="N3828"/>
  <c r="N3780"/>
  <c r="N2785"/>
  <c r="N7931"/>
  <c r="N3058"/>
  <c r="N1615"/>
  <c r="N7793"/>
  <c r="N5636"/>
  <c r="N4855"/>
  <c r="N4906"/>
  <c r="N4156"/>
  <c r="N3542"/>
  <c r="N1213"/>
  <c r="N3811"/>
  <c r="N4954"/>
  <c r="N2661"/>
  <c r="N7155"/>
  <c r="N5598"/>
  <c r="N4035"/>
  <c r="N3912"/>
  <c r="N5619"/>
  <c r="N7864"/>
  <c r="N5047"/>
  <c r="N2584"/>
  <c r="N1264"/>
  <c r="N7944"/>
  <c r="N5065"/>
  <c r="N7495"/>
  <c r="N5584"/>
  <c r="N4486"/>
  <c r="N6433"/>
  <c r="N3763"/>
  <c r="N2506"/>
  <c r="N4809"/>
  <c r="N4696"/>
  <c r="N7120"/>
  <c r="N3435"/>
  <c r="N3723"/>
  <c r="N2923"/>
  <c r="N4141"/>
  <c r="N1685"/>
  <c r="N3600"/>
  <c r="N4997"/>
  <c r="N7849"/>
  <c r="N1835"/>
  <c r="N7421"/>
  <c r="N7292"/>
  <c r="N5240"/>
  <c r="N4775"/>
  <c r="N3120"/>
  <c r="N7191"/>
  <c r="N4819"/>
  <c r="N5915"/>
  <c r="N7717"/>
  <c r="N6118"/>
  <c r="N5078"/>
  <c r="N5007"/>
  <c r="N4575"/>
  <c r="N6065"/>
  <c r="N5448"/>
  <c r="N6686"/>
  <c r="N2939"/>
  <c r="N4178"/>
  <c r="N3851"/>
  <c r="N7407"/>
  <c r="N4462"/>
  <c r="N4279"/>
  <c r="N5094"/>
  <c r="N5973"/>
  <c r="N7189"/>
  <c r="N1850"/>
  <c r="N5184"/>
  <c r="N5863"/>
  <c r="N5092"/>
  <c r="N7909"/>
  <c r="N6674"/>
  <c r="N6519"/>
  <c r="N7815"/>
  <c r="N2740"/>
  <c r="N5893"/>
  <c r="N7775"/>
  <c r="N7701"/>
  <c r="N3908"/>
  <c r="N4789"/>
  <c r="N4276"/>
  <c r="N6212"/>
  <c r="N1407"/>
  <c r="N1980"/>
  <c r="N1185"/>
  <c r="N1949"/>
  <c r="N6429"/>
  <c r="N4913"/>
  <c r="N4866"/>
  <c r="N4115"/>
  <c r="N3040"/>
  <c r="N2391"/>
  <c r="N5730"/>
  <c r="N5437"/>
  <c r="N7126"/>
  <c r="N1746"/>
  <c r="N2524"/>
  <c r="N5052"/>
  <c r="N3636"/>
  <c r="N2751"/>
  <c r="N4637"/>
  <c r="N2051"/>
  <c r="N1644"/>
  <c r="N7807"/>
  <c r="N6075"/>
  <c r="N4897"/>
  <c r="N6119"/>
  <c r="N4153"/>
  <c r="N5032"/>
  <c r="N4904"/>
  <c r="N5847"/>
  <c r="N2220"/>
  <c r="N5682"/>
  <c r="N1162"/>
  <c r="N6994"/>
  <c r="N5707"/>
  <c r="N7370"/>
  <c r="N6451"/>
  <c r="N3152"/>
  <c r="N1737"/>
  <c r="N4490"/>
  <c r="N4617"/>
  <c r="N1858"/>
  <c r="N4700"/>
  <c r="N4334"/>
  <c r="N3943"/>
  <c r="N6152"/>
  <c r="N7783"/>
  <c r="N5684"/>
  <c r="N1889"/>
  <c r="N6166"/>
  <c r="N1975"/>
  <c r="N6643"/>
  <c r="N3201"/>
  <c r="N7497"/>
  <c r="N6515"/>
  <c r="N3657"/>
  <c r="N7182"/>
  <c r="N6825"/>
  <c r="N1905"/>
  <c r="N6959"/>
  <c r="N5361"/>
  <c r="N5034"/>
  <c r="N4679"/>
  <c r="N3371"/>
  <c r="N3855"/>
  <c r="N4075"/>
  <c r="N7764"/>
  <c r="N4935"/>
  <c r="N1526"/>
  <c r="N1957"/>
  <c r="N4477"/>
  <c r="N5242"/>
  <c r="N5883"/>
  <c r="N4193"/>
  <c r="N5280"/>
  <c r="N6693"/>
  <c r="N6066"/>
  <c r="N1303"/>
  <c r="N5168"/>
  <c r="N4328"/>
  <c r="N5746"/>
  <c r="N7369"/>
  <c r="N5085"/>
  <c r="N1361"/>
  <c r="N3226"/>
  <c r="N1647"/>
  <c r="N4191"/>
  <c r="N6287"/>
  <c r="N2637"/>
  <c r="N4018"/>
  <c r="N4032"/>
  <c r="N5436"/>
  <c r="N5697"/>
  <c r="N5785"/>
  <c r="N3826"/>
  <c r="N4079"/>
  <c r="N4619"/>
  <c r="N2786"/>
  <c r="N2175"/>
  <c r="N4690"/>
  <c r="N4498"/>
  <c r="N6678"/>
  <c r="N6562"/>
  <c r="N2024"/>
  <c r="N4553"/>
  <c r="N7948"/>
  <c r="N2609"/>
  <c r="N4267"/>
  <c r="N3129"/>
  <c r="N4601"/>
  <c r="N7533"/>
  <c r="N5918"/>
  <c r="N4385"/>
  <c r="N7430"/>
  <c r="N3006"/>
  <c r="N5105"/>
  <c r="N1654"/>
  <c r="N2926"/>
  <c r="N5216"/>
  <c r="N5320"/>
  <c r="N3852"/>
  <c r="N6804"/>
  <c r="N2476"/>
  <c r="N4321"/>
  <c r="N3031"/>
  <c r="N1311"/>
  <c r="N1495"/>
  <c r="N4382"/>
  <c r="N3440"/>
  <c r="N7444"/>
  <c r="N6742"/>
  <c r="N7438"/>
  <c r="N7549"/>
  <c r="N2857"/>
  <c r="N1179"/>
  <c r="N2232"/>
  <c r="N7144"/>
  <c r="N3179"/>
  <c r="N6858"/>
  <c r="N6406"/>
  <c r="N5275"/>
  <c r="N5037"/>
  <c r="N7600"/>
  <c r="N4444"/>
  <c r="N7269"/>
  <c r="N6272"/>
  <c r="N3961"/>
  <c r="N7947"/>
  <c r="N1821"/>
  <c r="N6154"/>
  <c r="N5803"/>
  <c r="N7481"/>
  <c r="N2583"/>
  <c r="N3029"/>
  <c r="N4323"/>
  <c r="N3270"/>
  <c r="N5593"/>
  <c r="N3514"/>
  <c r="N2433"/>
  <c r="N4811"/>
  <c r="N6653"/>
  <c r="N2209"/>
  <c r="N5158"/>
  <c r="N6187"/>
  <c r="N7205"/>
  <c r="N5843"/>
  <c r="N3207"/>
  <c r="N6797"/>
  <c r="N1279"/>
  <c r="N7684"/>
  <c r="N1434"/>
  <c r="N3672"/>
  <c r="N4533"/>
  <c r="N3259"/>
  <c r="N7964"/>
  <c r="N4150"/>
  <c r="N3993"/>
  <c r="N3163"/>
  <c r="N7283"/>
  <c r="N3791"/>
  <c r="N6848"/>
  <c r="N2732"/>
  <c r="N5454"/>
  <c r="N3694"/>
  <c r="N5692"/>
  <c r="N1918"/>
  <c r="N6711"/>
  <c r="N7612"/>
  <c r="N5435"/>
  <c r="N3593"/>
  <c r="N2066"/>
  <c r="N6148"/>
  <c r="N4581"/>
  <c r="N1370"/>
  <c r="N2444"/>
  <c r="N2986"/>
  <c r="N4654"/>
  <c r="N4107"/>
  <c r="N6570"/>
  <c r="N3161"/>
  <c r="N1958"/>
  <c r="N1310"/>
  <c r="N7035"/>
  <c r="N4596"/>
  <c r="N3243"/>
  <c r="N5635"/>
  <c r="N6112"/>
  <c r="N1707"/>
  <c r="N7163"/>
  <c r="N6289"/>
  <c r="N6455"/>
  <c r="N7778"/>
  <c r="N2195"/>
  <c r="N1955"/>
  <c r="N6965"/>
  <c r="N1305"/>
  <c r="N3280"/>
  <c r="N6218"/>
  <c r="N5719"/>
  <c r="N2307"/>
  <c r="N5475"/>
  <c r="N2306"/>
  <c r="N2432"/>
  <c r="N3751"/>
  <c r="N2442"/>
  <c r="N6206"/>
  <c r="N1382"/>
  <c r="N7560"/>
  <c r="N5156"/>
  <c r="N2119"/>
  <c r="N7592"/>
  <c r="N2450"/>
  <c r="N3248"/>
  <c r="N3014"/>
  <c r="N6601"/>
  <c r="N4015"/>
  <c r="N6864"/>
  <c r="N3655"/>
  <c r="N2769"/>
  <c r="N7151"/>
  <c r="N5777"/>
  <c r="N6914"/>
  <c r="N1777"/>
  <c r="N2973"/>
  <c r="N5625"/>
  <c r="N5794"/>
  <c r="N6792"/>
  <c r="N3527"/>
  <c r="N6756"/>
  <c r="N4908"/>
  <c r="N6038"/>
  <c r="N6350"/>
  <c r="N3816"/>
  <c r="N6446"/>
  <c r="N2538"/>
  <c r="N7772"/>
  <c r="N4017"/>
  <c r="N2982"/>
  <c r="N2389"/>
  <c r="N4917"/>
  <c r="N7880"/>
  <c r="N2178"/>
  <c r="N3815"/>
  <c r="N7500"/>
  <c r="N2030"/>
  <c r="N2919"/>
  <c r="N1898"/>
  <c r="N5905"/>
  <c r="N5753"/>
  <c r="N7643"/>
  <c r="N2907"/>
  <c r="N1827"/>
  <c r="N2299"/>
  <c r="N6803"/>
  <c r="N7086"/>
  <c r="N2120"/>
  <c r="N6260"/>
  <c r="N1125"/>
  <c r="N4052"/>
  <c r="N5311"/>
  <c r="N5471"/>
  <c r="N5955"/>
  <c r="N4576"/>
  <c r="N3359"/>
  <c r="N1120"/>
  <c r="N2510"/>
  <c r="N4561"/>
  <c r="N3900"/>
  <c r="N7260"/>
  <c r="N7532"/>
  <c r="N4181"/>
  <c r="N3990"/>
  <c r="N2298"/>
  <c r="N5672"/>
  <c r="N3799"/>
  <c r="N3075"/>
  <c r="N5525"/>
  <c r="N4362"/>
  <c r="N5501"/>
  <c r="N2767"/>
  <c r="N4435"/>
  <c r="N7828"/>
  <c r="N7818"/>
  <c r="N3064"/>
  <c r="N3984"/>
  <c r="N3190"/>
  <c r="N7942"/>
  <c r="N5206"/>
  <c r="N2747"/>
  <c r="N5428"/>
  <c r="N7866"/>
  <c r="N2093"/>
  <c r="N2452"/>
  <c r="N3625"/>
  <c r="N4760"/>
  <c r="N4982"/>
  <c r="N4911"/>
  <c r="N7359"/>
  <c r="N1354"/>
  <c r="N6926"/>
  <c r="N7979"/>
  <c r="N2868"/>
  <c r="N6566"/>
  <c r="N4132"/>
  <c r="N5906"/>
  <c r="N7094"/>
  <c r="N7021"/>
  <c r="N6697"/>
  <c r="N3865"/>
  <c r="N6464"/>
  <c r="N1736"/>
  <c r="N6886"/>
  <c r="N6749"/>
  <c r="N5082"/>
  <c r="N7971"/>
  <c r="N4565"/>
  <c r="N7760"/>
  <c r="N6816"/>
  <c r="N3679"/>
  <c r="N3687"/>
  <c r="N6659"/>
  <c r="N5524"/>
  <c r="N2836"/>
  <c r="N3017"/>
  <c r="N5051"/>
  <c r="N5797"/>
  <c r="N5687"/>
  <c r="N4602"/>
  <c r="N5594"/>
  <c r="N7897"/>
  <c r="N3831"/>
  <c r="N2288"/>
  <c r="N7609"/>
  <c r="N7857"/>
  <c r="N3268"/>
  <c r="N3197"/>
  <c r="N2408"/>
  <c r="N7945"/>
  <c r="N3571"/>
  <c r="N6127"/>
  <c r="N6896"/>
  <c r="N6039"/>
  <c r="N2498"/>
  <c r="N7336"/>
  <c r="N3087"/>
  <c r="N2929"/>
  <c r="N3836"/>
  <c r="N2201"/>
  <c r="N3623"/>
  <c r="N5368"/>
  <c r="N3797"/>
  <c r="N2467"/>
  <c r="N5766"/>
  <c r="N5716"/>
  <c r="N7937"/>
  <c r="N3650"/>
  <c r="N7802"/>
  <c r="N1738"/>
  <c r="N7955"/>
  <c r="N6722"/>
  <c r="N7901"/>
  <c r="N1286"/>
  <c r="N3453"/>
  <c r="N2532"/>
  <c r="N6470"/>
  <c r="N2271"/>
  <c r="N5616"/>
  <c r="N2111"/>
  <c r="N2654"/>
  <c r="N2260"/>
  <c r="N4973"/>
  <c r="N5543"/>
  <c r="N7751"/>
  <c r="N7440"/>
  <c r="N1584"/>
  <c r="N7289"/>
  <c r="N3407"/>
  <c r="N4868"/>
  <c r="N6313"/>
  <c r="N1945"/>
  <c r="N5229"/>
  <c r="N2332"/>
  <c r="N6832"/>
  <c r="N4777"/>
  <c r="N3481"/>
  <c r="N3546"/>
  <c r="N6424"/>
  <c r="N7504"/>
  <c r="N2497"/>
  <c r="N5935"/>
  <c r="N7797"/>
  <c r="N1714"/>
  <c r="N2502"/>
  <c r="N4023"/>
  <c r="N4922"/>
  <c r="N2933"/>
  <c r="N6956"/>
  <c r="N6757"/>
  <c r="N2619"/>
  <c r="N4311"/>
  <c r="N5721"/>
  <c r="N1944"/>
  <c r="N5513"/>
  <c r="N7694"/>
  <c r="N6030"/>
  <c r="N4732"/>
  <c r="N1106"/>
  <c r="N3529"/>
  <c r="N2137"/>
  <c r="N3355"/>
  <c r="N2139"/>
  <c r="N1693"/>
  <c r="N4528"/>
  <c r="N2173"/>
  <c r="N4930"/>
  <c r="N1321"/>
  <c r="N5038"/>
  <c r="N2500"/>
  <c r="N1534"/>
  <c r="N2098"/>
  <c r="N7257"/>
  <c r="N4081"/>
  <c r="N2347"/>
  <c r="N6925"/>
  <c r="N2809"/>
  <c r="N6768"/>
  <c r="N7010"/>
  <c r="N6950"/>
  <c r="N4704"/>
  <c r="N3425"/>
  <c r="N7593"/>
  <c r="N1555"/>
  <c r="N4791"/>
  <c r="N6523"/>
  <c r="N4527"/>
  <c r="N5889"/>
  <c r="N3868"/>
  <c r="N3109"/>
  <c r="N7060"/>
  <c r="N7170"/>
  <c r="N7235"/>
  <c r="N5313"/>
  <c r="N2171"/>
  <c r="N3592"/>
  <c r="N5321"/>
  <c r="N6603"/>
  <c r="N4854"/>
  <c r="N3820"/>
  <c r="N7090"/>
  <c r="N5005"/>
  <c r="N7142"/>
  <c r="N3500"/>
  <c r="N4657"/>
  <c r="N2821"/>
  <c r="N4500"/>
  <c r="N7795"/>
  <c r="N5195"/>
  <c r="N3283"/>
  <c r="N6374"/>
  <c r="N1747"/>
  <c r="N1669"/>
  <c r="N2559"/>
  <c r="N2988"/>
  <c r="N5934"/>
  <c r="N5581"/>
  <c r="N1809"/>
  <c r="N4725"/>
  <c r="N5533"/>
  <c r="N4312"/>
  <c r="N3835"/>
  <c r="N3555"/>
  <c r="N5050"/>
  <c r="N4862"/>
  <c r="N6690"/>
  <c r="N1619"/>
  <c r="N6669"/>
  <c r="N6094"/>
  <c r="N5064"/>
  <c r="N3686"/>
  <c r="N3803"/>
  <c r="N5664"/>
  <c r="N1567"/>
  <c r="N3755"/>
  <c r="N6168"/>
  <c r="N4591"/>
  <c r="N4952"/>
  <c r="N3528"/>
  <c r="N1400"/>
  <c r="N2006"/>
  <c r="N2372"/>
  <c r="N6246"/>
  <c r="N7693"/>
  <c r="N2213"/>
  <c r="N2523"/>
  <c r="N5419"/>
  <c r="N2254"/>
  <c r="N2187"/>
  <c r="N3167"/>
  <c r="N5140"/>
  <c r="N1155"/>
  <c r="N7081"/>
  <c r="N7427"/>
  <c r="N5529"/>
  <c r="N2218"/>
  <c r="N3722"/>
  <c r="N1720"/>
  <c r="N2047"/>
  <c r="N3695"/>
  <c r="N3200"/>
  <c r="N3567"/>
  <c r="N1845"/>
  <c r="N7346"/>
  <c r="N7362"/>
  <c r="N2728"/>
  <c r="N3512"/>
  <c r="N5102"/>
  <c r="N7623"/>
  <c r="N1855"/>
  <c r="N5522"/>
  <c r="N1324"/>
  <c r="N1511"/>
  <c r="N4128"/>
  <c r="N3118"/>
  <c r="N6807"/>
  <c r="N1886"/>
  <c r="N3232"/>
  <c r="N4827"/>
  <c r="N6496"/>
  <c r="N5877"/>
  <c r="N4871"/>
  <c r="N7138"/>
  <c r="N3290"/>
  <c r="N2863"/>
  <c r="N3396"/>
  <c r="N2844"/>
  <c r="N6427"/>
  <c r="N1362"/>
  <c r="N5712"/>
  <c r="N4864"/>
  <c r="N4222"/>
  <c r="N1229"/>
  <c r="N4297"/>
  <c r="N1713"/>
  <c r="N6069"/>
  <c r="N7402"/>
  <c r="N7147"/>
  <c r="N2820"/>
  <c r="N3298"/>
  <c r="N4441"/>
  <c r="N2113"/>
  <c r="N5776"/>
  <c r="N7480"/>
  <c r="N1139"/>
  <c r="N5345"/>
  <c r="N3083"/>
  <c r="N3426"/>
  <c r="N2735"/>
  <c r="N3135"/>
  <c r="N7587"/>
  <c r="N2694"/>
  <c r="N6755"/>
  <c r="N1378"/>
  <c r="N6185"/>
  <c r="N7738"/>
  <c r="N2227"/>
  <c r="N3344"/>
  <c r="N2021"/>
  <c r="N3624"/>
  <c r="N2237"/>
  <c r="N1553"/>
  <c r="N4646"/>
  <c r="N1998"/>
  <c r="N3448"/>
  <c r="N4994"/>
  <c r="N1762"/>
  <c r="N3420"/>
  <c r="N1800"/>
  <c r="N2239"/>
  <c r="N3967"/>
  <c r="N4071"/>
  <c r="N7625"/>
  <c r="N3568"/>
  <c r="N2745"/>
  <c r="N5531"/>
  <c r="N6397"/>
  <c r="N3487"/>
  <c r="N5819"/>
  <c r="N7307"/>
  <c r="N5927"/>
  <c r="N4476"/>
  <c r="N3637"/>
  <c r="N7963"/>
  <c r="N1649"/>
  <c r="N1710"/>
  <c r="N1682"/>
  <c r="N1970"/>
  <c r="N4891"/>
  <c r="N7326"/>
  <c r="N2825"/>
  <c r="N6504"/>
  <c r="N6040"/>
  <c r="N5302"/>
  <c r="N1256"/>
  <c r="N2140"/>
  <c r="N2773"/>
  <c r="N3478"/>
  <c r="N4148"/>
  <c r="N1965"/>
  <c r="N3127"/>
  <c r="N1988"/>
  <c r="N7461"/>
  <c r="N4224"/>
  <c r="N3854"/>
  <c r="N2121"/>
  <c r="N5954"/>
  <c r="N1974"/>
  <c r="N4927"/>
  <c r="N6764"/>
  <c r="N1755"/>
  <c r="N4692"/>
  <c r="N5507"/>
  <c r="N3917"/>
  <c r="N1189"/>
  <c r="N3534"/>
  <c r="N3009"/>
  <c r="N6051"/>
  <c r="N7333"/>
  <c r="N7096"/>
  <c r="N7408"/>
  <c r="N2230"/>
  <c r="N6211"/>
  <c r="N7624"/>
  <c r="N6450"/>
  <c r="N4853"/>
  <c r="N4649"/>
  <c r="N1127"/>
  <c r="N6868"/>
  <c r="N5782"/>
  <c r="N4442"/>
  <c r="N2365"/>
  <c r="N4571"/>
  <c r="N2653"/>
  <c r="N3872"/>
  <c r="N6967"/>
  <c r="N4309"/>
  <c r="N3101"/>
  <c r="N2599"/>
  <c r="N5218"/>
  <c r="N3502"/>
  <c r="N7976"/>
  <c r="N6264"/>
  <c r="N7544"/>
  <c r="N7917"/>
  <c r="N2481"/>
  <c r="N6607"/>
  <c r="N3505"/>
  <c r="N2401"/>
  <c r="N4255"/>
  <c r="N6699"/>
  <c r="N5119"/>
  <c r="N6375"/>
  <c r="N6478"/>
  <c r="N5266"/>
  <c r="N4508"/>
  <c r="N2604"/>
  <c r="N5306"/>
  <c r="N5561"/>
  <c r="N4064"/>
  <c r="N7051"/>
  <c r="N4431"/>
  <c r="N6409"/>
  <c r="N4826"/>
  <c r="N4265"/>
  <c r="N3643"/>
  <c r="N7146"/>
  <c r="N2511"/>
  <c r="N3107"/>
  <c r="N6199"/>
  <c r="N2381"/>
  <c r="N5826"/>
  <c r="N4737"/>
  <c r="N6810"/>
  <c r="N5547"/>
  <c r="N7579"/>
  <c r="N7419"/>
  <c r="N3538"/>
  <c r="N2864"/>
  <c r="N7991"/>
  <c r="N2507"/>
  <c r="N5189"/>
  <c r="N7914"/>
  <c r="N6709"/>
  <c r="N7239"/>
  <c r="N7294"/>
  <c r="N6083"/>
  <c r="N6157"/>
  <c r="N6779"/>
  <c r="N7063"/>
  <c r="N5851"/>
  <c r="N7759"/>
  <c r="N5059"/>
  <c r="N6266"/>
  <c r="N7213"/>
  <c r="N2651"/>
  <c r="N4300"/>
  <c r="N2964"/>
  <c r="N5148"/>
  <c r="N4665"/>
  <c r="N7785"/>
  <c r="N6321"/>
  <c r="N1732"/>
  <c r="N3080"/>
  <c r="N5555"/>
  <c r="N6862"/>
  <c r="N2277"/>
  <c r="N4920"/>
  <c r="N1108"/>
  <c r="N4890"/>
  <c r="N4433"/>
  <c r="N7005"/>
  <c r="N6416"/>
  <c r="N5423"/>
  <c r="N6410"/>
  <c r="N7105"/>
  <c r="N4569"/>
  <c r="N4771"/>
  <c r="N7127"/>
  <c r="N1199"/>
  <c r="N7543"/>
  <c r="N2457"/>
  <c r="N2636"/>
  <c r="N2472"/>
  <c r="N3928"/>
  <c r="N6194"/>
  <c r="N5076"/>
  <c r="N7707"/>
  <c r="N1655"/>
  <c r="N7212"/>
  <c r="N1631"/>
  <c r="N1698"/>
  <c r="N6049"/>
  <c r="N1819"/>
  <c r="N3522"/>
  <c r="N5673"/>
  <c r="N3374"/>
  <c r="N7537"/>
  <c r="N3742"/>
  <c r="N5191"/>
  <c r="N4410"/>
  <c r="N1447"/>
  <c r="N4173"/>
  <c r="N4818"/>
  <c r="N5627"/>
  <c r="N1687"/>
  <c r="N4502"/>
  <c r="N4608"/>
  <c r="N2418"/>
  <c r="N2597"/>
  <c r="N6584"/>
  <c r="N1938"/>
  <c r="N4286"/>
  <c r="N7736"/>
  <c r="N4213"/>
  <c r="N1135"/>
  <c r="N5255"/>
  <c r="N1726"/>
  <c r="N5265"/>
  <c r="N2374"/>
  <c r="N4936"/>
  <c r="N1499"/>
  <c r="N6192"/>
  <c r="N5817"/>
  <c r="N7250"/>
  <c r="N4086"/>
  <c r="N3486"/>
  <c r="N7471"/>
  <c r="N4324"/>
  <c r="N5425"/>
  <c r="N7588"/>
  <c r="N5742"/>
  <c r="N6721"/>
  <c r="N1138"/>
  <c r="N6828"/>
  <c r="N3297"/>
  <c r="N4698"/>
  <c r="N4962"/>
  <c r="N3832"/>
  <c r="N5054"/>
  <c r="N3032"/>
  <c r="N4783"/>
  <c r="N4948"/>
  <c r="N2041"/>
  <c r="N4258"/>
  <c r="N3970"/>
  <c r="N4131"/>
  <c r="N1926"/>
  <c r="N2388"/>
  <c r="N7457"/>
  <c r="N3744"/>
  <c r="N2409"/>
  <c r="N6084"/>
  <c r="N4552"/>
  <c r="N6544"/>
  <c r="N5675"/>
  <c r="N7722"/>
  <c r="N1391"/>
  <c r="N7441"/>
  <c r="N5885"/>
  <c r="N1104"/>
  <c r="N7318"/>
  <c r="N6912"/>
  <c r="N7916"/>
  <c r="N5453"/>
  <c r="N1188"/>
  <c r="N4568"/>
  <c r="N6352"/>
  <c r="N2086"/>
  <c r="N3677"/>
  <c r="N2248"/>
  <c r="N6507"/>
  <c r="N6815"/>
  <c r="N2915"/>
  <c r="N1892"/>
  <c r="N3864"/>
  <c r="N5658"/>
  <c r="N5144"/>
  <c r="N6715"/>
  <c r="N4986"/>
  <c r="N5571"/>
  <c r="N3299"/>
  <c r="N1919"/>
  <c r="N7085"/>
  <c r="N7577"/>
  <c r="N6413"/>
  <c r="N7464"/>
  <c r="N2342"/>
  <c r="N4542"/>
  <c r="N6079"/>
  <c r="N5620"/>
  <c r="N4489"/>
  <c r="N5470"/>
  <c r="N1349"/>
  <c r="N1799"/>
  <c r="N5209"/>
  <c r="N6617"/>
  <c r="N3262"/>
  <c r="N7583"/>
  <c r="N2428"/>
  <c r="N7385"/>
  <c r="N4739"/>
  <c r="N4876"/>
  <c r="N1806"/>
  <c r="N3893"/>
  <c r="N6981"/>
  <c r="N1908"/>
  <c r="N4914"/>
  <c r="N6037"/>
  <c r="N3784"/>
  <c r="N3749"/>
  <c r="N5986"/>
  <c r="N6439"/>
  <c r="N6398"/>
  <c r="N5512"/>
  <c r="N7633"/>
  <c r="N1599"/>
  <c r="N6572"/>
  <c r="N4110"/>
  <c r="N5806"/>
  <c r="N4437"/>
  <c r="N5228"/>
  <c r="N2109"/>
  <c r="N4956"/>
  <c r="N4182"/>
  <c r="N6135"/>
  <c r="N3892"/>
  <c r="N7666"/>
  <c r="N6488"/>
  <c r="N3871"/>
  <c r="N2358"/>
  <c r="N4971"/>
  <c r="N3013"/>
  <c r="N6908"/>
  <c r="N7887"/>
  <c r="N1916"/>
  <c r="N1699"/>
  <c r="N3635"/>
  <c r="N3264"/>
  <c r="N5185"/>
  <c r="N1118"/>
  <c r="N1424"/>
  <c r="N1808"/>
  <c r="N2539"/>
  <c r="N4395"/>
  <c r="N5526"/>
  <c r="N2361"/>
  <c r="N6640"/>
  <c r="N4577"/>
  <c r="N1473"/>
  <c r="N5215"/>
  <c r="N1882"/>
  <c r="N2362"/>
  <c r="N1351"/>
  <c r="N1757"/>
  <c r="N7229"/>
  <c r="N3987"/>
  <c r="N2697"/>
  <c r="N5359"/>
  <c r="N7756"/>
  <c r="N3446"/>
  <c r="N6899"/>
  <c r="N4958"/>
  <c r="N2490"/>
  <c r="N3178"/>
  <c r="N1888"/>
  <c r="N3884"/>
  <c r="N3063"/>
  <c r="N6666"/>
  <c r="N5109"/>
  <c r="N3094"/>
  <c r="N6893"/>
  <c r="N1741"/>
  <c r="N2003"/>
  <c r="N4660"/>
  <c r="N1895"/>
  <c r="N4991"/>
  <c r="N5264"/>
  <c r="N7308"/>
  <c r="N4363"/>
  <c r="N4059"/>
  <c r="N6143"/>
  <c r="N5400"/>
  <c r="N3381"/>
  <c r="N2607"/>
  <c r="N4597"/>
  <c r="N4633"/>
  <c r="N5030"/>
  <c r="N5391"/>
  <c r="N6634"/>
  <c r="N2147"/>
  <c r="N5788"/>
  <c r="N5108"/>
  <c r="N6035"/>
  <c r="N3454"/>
  <c r="N4317"/>
  <c r="N2902"/>
  <c r="N4761"/>
  <c r="N6589"/>
  <c r="N6509"/>
  <c r="N3004"/>
  <c r="N7184"/>
  <c r="N7538"/>
  <c r="N6760"/>
  <c r="N2020"/>
  <c r="N4844"/>
  <c r="N3076"/>
  <c r="N7268"/>
  <c r="N1460"/>
  <c r="N2363"/>
  <c r="N7493"/>
  <c r="N5374"/>
  <c r="N5585"/>
  <c r="N3362"/>
  <c r="N6010"/>
  <c r="N2527"/>
  <c r="N5134"/>
  <c r="N2160"/>
  <c r="N7501"/>
  <c r="N4494"/>
  <c r="N4795"/>
  <c r="N6685"/>
  <c r="N7874"/>
  <c r="N4041"/>
  <c r="N2394"/>
  <c r="N1402"/>
  <c r="N3578"/>
  <c r="N6163"/>
  <c r="N7859"/>
  <c r="N7925"/>
  <c r="N1842"/>
  <c r="N4084"/>
  <c r="N5473"/>
  <c r="N7242"/>
  <c r="N2395"/>
  <c r="N3621"/>
  <c r="N5936"/>
  <c r="N7779"/>
  <c r="N3257"/>
  <c r="N2131"/>
  <c r="N2208"/>
  <c r="N2741"/>
  <c r="N4645"/>
  <c r="N2415"/>
  <c r="N1611"/>
  <c r="N7896"/>
  <c r="N6987"/>
  <c r="N2909"/>
  <c r="N6385"/>
  <c r="N3886"/>
  <c r="N2499"/>
  <c r="N1360"/>
  <c r="N7141"/>
  <c r="N3247"/>
  <c r="N4358"/>
  <c r="N1283"/>
  <c r="N1132"/>
  <c r="N2215"/>
  <c r="N7908"/>
  <c r="N4025"/>
  <c r="N1172"/>
  <c r="N4310"/>
  <c r="N3184"/>
  <c r="N3681"/>
  <c r="N4029"/>
  <c r="N5381"/>
  <c r="N1617"/>
  <c r="N1144"/>
  <c r="N7399"/>
  <c r="N5350"/>
  <c r="N4223"/>
  <c r="N2931"/>
  <c r="N4220"/>
  <c r="N2749"/>
  <c r="N5153"/>
  <c r="N5551"/>
  <c r="N4206"/>
  <c r="N6877"/>
  <c r="N2115"/>
  <c r="N6303"/>
  <c r="N7102"/>
  <c r="N1612"/>
  <c r="N1496"/>
  <c r="N7418"/>
  <c r="N5781"/>
  <c r="N2477"/>
  <c r="N4910"/>
  <c r="N1946"/>
  <c r="N5328"/>
  <c r="N6332"/>
  <c r="N2912"/>
  <c r="N2338"/>
  <c r="N7670"/>
  <c r="N6171"/>
  <c r="N6426"/>
  <c r="N5225"/>
  <c r="N3591"/>
  <c r="N6338"/>
  <c r="N4766"/>
  <c r="N4278"/>
  <c r="N4479"/>
  <c r="N5970"/>
  <c r="N5174"/>
  <c r="N6939"/>
  <c r="N5383"/>
  <c r="N7477"/>
  <c r="N1298"/>
  <c r="N6222"/>
  <c r="N1880"/>
  <c r="N5921"/>
  <c r="N7858"/>
  <c r="N3215"/>
  <c r="N2302"/>
  <c r="N5008"/>
  <c r="N1467"/>
  <c r="N3676"/>
  <c r="N6448"/>
  <c r="N5509"/>
  <c r="N4465"/>
  <c r="N1547"/>
  <c r="N3793"/>
  <c r="N6698"/>
  <c r="N4626"/>
  <c r="N1560"/>
  <c r="N4365"/>
  <c r="N6280"/>
  <c r="N6388"/>
  <c r="N2997"/>
  <c r="N6798"/>
  <c r="N7349"/>
  <c r="N2703"/>
  <c r="N3052"/>
  <c r="N5055"/>
  <c r="N6181"/>
  <c r="N2043"/>
  <c r="N4579"/>
  <c r="N2865"/>
  <c r="N5567"/>
  <c r="N6684"/>
  <c r="N6859"/>
  <c r="N1422"/>
  <c r="N6794"/>
  <c r="N7589"/>
  <c r="N7882"/>
  <c r="N6773"/>
  <c r="N4978"/>
  <c r="N6657"/>
  <c r="N4296"/>
  <c r="N6801"/>
  <c r="N3838"/>
  <c r="N4233"/>
  <c r="N2570"/>
  <c r="N7456"/>
  <c r="N7303"/>
  <c r="N4531"/>
  <c r="N5170"/>
  <c r="N7435"/>
  <c r="N2772"/>
  <c r="N1941"/>
  <c r="N4699"/>
  <c r="N2285"/>
  <c r="N6132"/>
  <c r="N6327"/>
  <c r="N2004"/>
  <c r="N4979"/>
  <c r="N6305"/>
  <c r="N6053"/>
  <c r="N7134"/>
  <c r="N1719"/>
  <c r="N1358"/>
  <c r="N5420"/>
  <c r="N1332"/>
  <c r="N5596"/>
  <c r="N7978"/>
  <c r="N2123"/>
  <c r="N6517"/>
  <c r="N6026"/>
  <c r="N2244"/>
  <c r="N6438"/>
  <c r="N6591"/>
  <c r="N2251"/>
  <c r="N5121"/>
  <c r="N6498"/>
  <c r="N2962"/>
  <c r="N6276"/>
  <c r="N1701"/>
  <c r="N1151"/>
  <c r="N6493"/>
  <c r="N6500"/>
  <c r="N6750"/>
  <c r="N1668"/>
  <c r="N5190"/>
  <c r="N2768"/>
  <c r="N1992"/>
  <c r="N6250"/>
  <c r="N2630"/>
  <c r="N5725"/>
  <c r="N6904"/>
  <c r="N3432"/>
  <c r="N4016"/>
  <c r="N4425"/>
  <c r="N2888"/>
  <c r="N7345"/>
  <c r="N4364"/>
  <c r="N7135"/>
  <c r="N2967"/>
  <c r="N4470"/>
  <c r="N1238"/>
  <c r="N6654"/>
  <c r="N6598"/>
  <c r="N5941"/>
  <c r="N1831"/>
  <c r="N7940"/>
  <c r="N3002"/>
  <c r="N1350"/>
  <c r="N3533"/>
  <c r="N3781"/>
  <c r="N4747"/>
  <c r="N5171"/>
  <c r="N6286"/>
  <c r="N5911"/>
  <c r="N6551"/>
  <c r="N7049"/>
  <c r="N3356"/>
  <c r="N1202"/>
  <c r="N2721"/>
  <c r="N7838"/>
  <c r="N6952"/>
  <c r="N5243"/>
  <c r="N7145"/>
  <c r="N4563"/>
  <c r="N2682"/>
  <c r="N7271"/>
  <c r="N7447"/>
  <c r="N2378"/>
  <c r="N6739"/>
  <c r="N1570"/>
  <c r="N1481"/>
  <c r="N7436"/>
  <c r="N5439"/>
  <c r="N3416"/>
  <c r="N4446"/>
  <c r="N4273"/>
  <c r="N7563"/>
  <c r="N4996"/>
  <c r="N1700"/>
  <c r="N2099"/>
  <c r="N1914"/>
  <c r="N5572"/>
  <c r="N5574"/>
  <c r="N1981"/>
  <c r="N1373"/>
  <c r="N5187"/>
  <c r="N6564"/>
  <c r="N3840"/>
  <c r="N2849"/>
  <c r="N3569"/>
  <c r="N6897"/>
  <c r="N1482"/>
  <c r="N6882"/>
  <c r="N5438"/>
  <c r="N2577"/>
  <c r="N1336"/>
  <c r="N5331"/>
  <c r="N6072"/>
  <c r="N2228"/>
  <c r="N7053"/>
  <c r="N3386"/>
  <c r="N3192"/>
  <c r="N4947"/>
  <c r="N3150"/>
  <c r="N3916"/>
  <c r="N7050"/>
  <c r="N7679"/>
  <c r="N5120"/>
  <c r="N3451"/>
  <c r="N1398"/>
  <c r="N6245"/>
  <c r="N2142"/>
  <c r="N7619"/>
  <c r="N6538"/>
  <c r="N7996"/>
  <c r="N5800"/>
  <c r="N7934"/>
  <c r="N1936"/>
  <c r="N2458"/>
  <c r="N6400"/>
  <c r="N7912"/>
  <c r="N3143"/>
  <c r="N4759"/>
  <c r="N5799"/>
  <c r="N3459"/>
  <c r="N3630"/>
  <c r="N1374"/>
  <c r="N4963"/>
  <c r="N6347"/>
  <c r="N1468"/>
  <c r="N5844"/>
  <c r="N2925"/>
  <c r="N6658"/>
  <c r="N3774"/>
  <c r="N6089"/>
  <c r="N6984"/>
  <c r="N5463"/>
  <c r="N2385"/>
  <c r="N7312"/>
  <c r="N6273"/>
  <c r="N7210"/>
  <c r="N1588"/>
  <c r="N4230"/>
  <c r="N1381"/>
  <c r="N5369"/>
  <c r="N5896"/>
  <c r="N7439"/>
  <c r="N4915"/>
  <c r="N7390"/>
  <c r="N4786"/>
  <c r="N4570"/>
  <c r="N6460"/>
  <c r="N7195"/>
  <c r="N1566"/>
  <c r="N2771"/>
  <c r="N5283"/>
  <c r="N3949"/>
  <c r="N4010"/>
  <c r="N6463"/>
  <c r="N7424"/>
  <c r="N2804"/>
  <c r="N4756"/>
  <c r="N5366"/>
  <c r="N3581"/>
  <c r="N4301"/>
  <c r="N6894"/>
  <c r="N1893"/>
  <c r="N5424"/>
  <c r="N2014"/>
  <c r="N7530"/>
  <c r="N5535"/>
  <c r="N4357"/>
  <c r="N7057"/>
  <c r="N1461"/>
  <c r="N6855"/>
  <c r="N6962"/>
  <c r="N2207"/>
  <c r="N4421"/>
  <c r="N7792"/>
  <c r="N6982"/>
  <c r="N2169"/>
  <c r="N1604"/>
  <c r="N6208"/>
  <c r="N3485"/>
  <c r="N6934"/>
  <c r="N5194"/>
  <c r="N2742"/>
  <c r="N3483"/>
  <c r="N3285"/>
  <c r="N7622"/>
  <c r="N1451"/>
  <c r="N3194"/>
  <c r="N7013"/>
  <c r="N3255"/>
  <c r="N5406"/>
  <c r="N7774"/>
  <c r="N7685"/>
  <c r="N6695"/>
  <c r="N4458"/>
  <c r="N1383"/>
  <c r="N3401"/>
  <c r="N6170"/>
  <c r="N5317"/>
  <c r="N3924"/>
  <c r="N5069"/>
  <c r="N7825"/>
  <c r="N3932"/>
  <c r="N2067"/>
  <c r="N1491"/>
  <c r="N4083"/>
  <c r="N2261"/>
  <c r="N5823"/>
  <c r="N7699"/>
  <c r="N1372"/>
  <c r="N4051"/>
  <c r="N1433"/>
  <c r="N5224"/>
  <c r="N3219"/>
  <c r="N7233"/>
  <c r="N6097"/>
  <c r="N2152"/>
  <c r="N2222"/>
  <c r="N4066"/>
  <c r="N6569"/>
  <c r="N2734"/>
  <c r="N6780"/>
  <c r="N1927"/>
  <c r="N4587"/>
  <c r="N4417"/>
  <c r="N5398"/>
  <c r="N3016"/>
  <c r="N7939"/>
  <c r="N7137"/>
  <c r="N6689"/>
  <c r="N2884"/>
  <c r="N4496"/>
  <c r="N3431"/>
  <c r="N2164"/>
  <c r="N3102"/>
  <c r="N4190"/>
  <c r="N1805"/>
  <c r="N3148"/>
  <c r="N6403"/>
  <c r="N7962"/>
  <c r="N7900"/>
  <c r="N3867"/>
  <c r="N6662"/>
  <c r="N4924"/>
  <c r="N3907"/>
  <c r="N6565"/>
  <c r="N6909"/>
  <c r="N5888"/>
  <c r="N3066"/>
  <c r="N6737"/>
  <c r="N2754"/>
  <c r="N5386"/>
  <c r="N5392"/>
  <c r="N2326"/>
  <c r="N2075"/>
  <c r="N5949"/>
  <c r="N4741"/>
  <c r="N5783"/>
  <c r="N4518"/>
  <c r="N2743"/>
  <c r="N2023"/>
  <c r="N5923"/>
  <c r="N1347"/>
  <c r="N2522"/>
  <c r="N5124"/>
  <c r="N4832"/>
  <c r="N7314"/>
  <c r="N6085"/>
  <c r="N1917"/>
  <c r="N5966"/>
  <c r="N3025"/>
  <c r="N4028"/>
  <c r="N3061"/>
  <c r="N7118"/>
  <c r="N3398"/>
  <c r="N3208"/>
  <c r="N3719"/>
  <c r="N3922"/>
  <c r="N6526"/>
  <c r="N7174"/>
  <c r="N4314"/>
  <c r="N7969"/>
  <c r="N1581"/>
  <c r="N5678"/>
  <c r="N4838"/>
  <c r="N4389"/>
  <c r="N6122"/>
  <c r="N7219"/>
  <c r="N6091"/>
  <c r="N5485"/>
  <c r="N6121"/>
  <c r="N1121"/>
  <c r="N2034"/>
  <c r="N7966"/>
  <c r="N5012"/>
  <c r="N5696"/>
  <c r="N5759"/>
  <c r="N4006"/>
  <c r="N4556"/>
  <c r="N1705"/>
  <c r="N1911"/>
  <c r="N7468"/>
  <c r="N7186"/>
  <c r="N6637"/>
  <c r="N1126"/>
  <c r="N7556"/>
  <c r="N2146"/>
  <c r="N6918"/>
  <c r="N7936"/>
  <c r="N5498"/>
  <c r="N2434"/>
  <c r="N6861"/>
  <c r="N4013"/>
  <c r="N1390"/>
  <c r="N7483"/>
  <c r="N3920"/>
  <c r="N4057"/>
  <c r="N3901"/>
  <c r="N7959"/>
  <c r="N1223"/>
  <c r="N5961"/>
  <c r="N6707"/>
  <c r="N6860"/>
  <c r="N3403"/>
  <c r="N1956"/>
  <c r="N7641"/>
  <c r="N3047"/>
  <c r="N4594"/>
  <c r="N7547"/>
  <c r="N6254"/>
  <c r="N2700"/>
  <c r="N6330"/>
  <c r="N4613"/>
  <c r="N1761"/>
  <c r="N4098"/>
  <c r="N2554"/>
  <c r="N7804"/>
  <c r="N6778"/>
  <c r="N4351"/>
  <c r="N2829"/>
  <c r="N6008"/>
  <c r="N3289"/>
  <c r="N6611"/>
  <c r="N4268"/>
  <c r="N4093"/>
  <c r="N2297"/>
  <c r="N5796"/>
  <c r="N7121"/>
  <c r="N3671"/>
  <c r="N5757"/>
  <c r="N2265"/>
  <c r="N7498"/>
  <c r="N2521"/>
  <c r="N2473"/>
  <c r="N5389"/>
  <c r="N7842"/>
  <c r="N5521"/>
  <c r="N3060"/>
  <c r="N2168"/>
  <c r="N6214"/>
  <c r="N5910"/>
  <c r="N4639"/>
  <c r="N6718"/>
  <c r="N6817"/>
  <c r="N6302"/>
  <c r="N1568"/>
  <c r="N4957"/>
  <c r="N4058"/>
  <c r="N6150"/>
  <c r="N1834"/>
  <c r="N4684"/>
  <c r="N1192"/>
  <c r="N1309"/>
  <c r="N7648"/>
  <c r="N4080"/>
  <c r="N4428"/>
  <c r="N5127"/>
  <c r="N4227"/>
  <c r="N6609"/>
  <c r="N2091"/>
  <c r="N2186"/>
  <c r="N6009"/>
  <c r="N2359"/>
  <c r="N3656"/>
  <c r="N2898"/>
  <c r="N5665"/>
  <c r="N6490"/>
  <c r="N4404"/>
  <c r="N2463"/>
  <c r="N1439"/>
  <c r="N5010"/>
  <c r="N2956"/>
  <c r="N5045"/>
  <c r="N7164"/>
  <c r="N2979"/>
  <c r="N5459"/>
  <c r="N6681"/>
  <c r="N4215"/>
  <c r="N4504"/>
  <c r="N4628"/>
  <c r="N6238"/>
  <c r="N7159"/>
  <c r="N3096"/>
  <c r="N6492"/>
  <c r="N5408"/>
  <c r="N7445"/>
  <c r="N3959"/>
  <c r="N3577"/>
  <c r="N4275"/>
  <c r="N4196"/>
  <c r="N6839"/>
  <c r="N6081"/>
  <c r="N7675"/>
  <c r="N4521"/>
  <c r="N1501"/>
  <c r="N3683"/>
  <c r="N6128"/>
  <c r="N2421"/>
  <c r="N4095"/>
  <c r="N2158"/>
  <c r="N4183"/>
  <c r="N4090"/>
  <c r="N3805"/>
  <c r="N4062"/>
  <c r="N7823"/>
  <c r="N3479"/>
  <c r="N1195"/>
  <c r="N7462"/>
  <c r="N3437"/>
  <c r="N5162"/>
  <c r="N2718"/>
  <c r="N3543"/>
  <c r="N5141"/>
  <c r="N2815"/>
  <c r="N6290"/>
  <c r="N1993"/>
  <c r="N4380"/>
  <c r="N3737"/>
  <c r="N1759"/>
  <c r="N1226"/>
  <c r="N2877"/>
  <c r="N1109"/>
  <c r="N6265"/>
  <c r="N3169"/>
  <c r="N1290"/>
  <c r="N7097"/>
  <c r="N5072"/>
  <c r="N3457"/>
  <c r="N3945"/>
  <c r="N7771"/>
  <c r="N2387"/>
  <c r="N5125"/>
  <c r="N3558"/>
  <c r="N2516"/>
  <c r="N3923"/>
  <c r="N1154"/>
  <c r="N2304"/>
  <c r="N2052"/>
  <c r="N2672"/>
  <c r="N5867"/>
  <c r="N5789"/>
  <c r="N5913"/>
  <c r="N1519"/>
  <c r="N4044"/>
  <c r="N5971"/>
  <c r="N1521"/>
  <c r="N7016"/>
  <c r="N1543"/>
  <c r="N3284"/>
  <c r="N3343"/>
  <c r="N7076"/>
  <c r="N4650"/>
  <c r="N4147"/>
  <c r="N4463"/>
  <c r="N5135"/>
  <c r="N3409"/>
  <c r="N7363"/>
  <c r="N4405"/>
  <c r="N4711"/>
  <c r="N2748"/>
  <c r="N1689"/>
  <c r="N2606"/>
  <c r="N5339"/>
  <c r="N3777"/>
  <c r="N4007"/>
  <c r="N5894"/>
  <c r="N4546"/>
  <c r="N5576"/>
  <c r="N3594"/>
  <c r="N7290"/>
  <c r="N2392"/>
  <c r="N3085"/>
  <c r="N5139"/>
  <c r="N3049"/>
  <c r="N7627"/>
  <c r="N5946"/>
  <c r="N2756"/>
  <c r="N7023"/>
  <c r="N3778"/>
  <c r="N4999"/>
  <c r="N5043"/>
  <c r="N5957"/>
  <c r="N3339"/>
  <c r="N3439"/>
  <c r="N4522"/>
  <c r="N1318"/>
  <c r="N1239"/>
  <c r="N6204"/>
  <c r="N6472"/>
  <c r="N2813"/>
  <c r="N6512"/>
  <c r="N4226"/>
  <c r="N1595"/>
  <c r="N5004"/>
  <c r="N6386"/>
  <c r="N6647"/>
  <c r="N5542"/>
  <c r="N4291"/>
  <c r="N5900"/>
  <c r="N6346"/>
  <c r="N5582"/>
  <c r="N7605"/>
  <c r="N3627"/>
  <c r="N3187"/>
  <c r="N3258"/>
  <c r="N6193"/>
  <c r="N7690"/>
  <c r="N3685"/>
  <c r="N7251"/>
  <c r="N1413"/>
  <c r="N6489"/>
  <c r="N6701"/>
  <c r="N7449"/>
  <c r="N6343"/>
  <c r="N2161"/>
  <c r="N5087"/>
  <c r="N3517"/>
  <c r="N5487"/>
  <c r="N2608"/>
  <c r="N7840"/>
  <c r="N4445"/>
  <c r="N7291"/>
  <c r="N3728"/>
  <c r="N3365"/>
  <c r="N7984"/>
  <c r="N1230"/>
  <c r="N2029"/>
  <c r="N3668"/>
  <c r="N1387"/>
  <c r="N5272"/>
  <c r="N6137"/>
  <c r="N3137"/>
  <c r="N3105"/>
  <c r="N7197"/>
  <c r="N3309"/>
  <c r="N4105"/>
  <c r="N5563"/>
  <c r="N5433"/>
  <c r="N5786"/>
  <c r="N6483"/>
  <c r="N6675"/>
  <c r="N7358"/>
  <c r="N1844"/>
  <c r="N7659"/>
  <c r="N6576"/>
  <c r="N5754"/>
  <c r="N1703"/>
  <c r="N1711"/>
  <c r="N4056"/>
  <c r="N7037"/>
  <c r="N6655"/>
  <c r="N7509"/>
  <c r="N5604"/>
  <c r="N3746"/>
  <c r="N4127"/>
  <c r="N4198"/>
  <c r="N2328"/>
  <c r="N3408"/>
  <c r="N6819"/>
  <c r="N3759"/>
  <c r="N7364"/>
  <c r="N6553"/>
  <c r="N7048"/>
  <c r="N3752"/>
  <c r="N4231"/>
  <c r="N7663"/>
  <c r="N7835"/>
  <c r="N5633"/>
  <c r="N3651"/>
  <c r="N7379"/>
  <c r="N2190"/>
  <c r="N1234"/>
  <c r="N3062"/>
  <c r="N6776"/>
  <c r="N5316"/>
  <c r="N4656"/>
  <c r="N5286"/>
  <c r="N1475"/>
  <c r="N5231"/>
  <c r="N5031"/>
  <c r="N3765"/>
  <c r="N5578"/>
  <c r="N5792"/>
  <c r="N7584"/>
  <c r="N5417"/>
  <c r="N2660"/>
  <c r="N6100"/>
  <c r="N1464"/>
  <c r="N1775"/>
  <c r="N6048"/>
  <c r="N4623"/>
  <c r="N4635"/>
  <c r="N6044"/>
  <c r="N7570"/>
  <c r="N2196"/>
  <c r="N6307"/>
  <c r="N5244"/>
  <c r="N5199"/>
  <c r="N5221"/>
  <c r="N3186"/>
  <c r="N2816"/>
  <c r="N2883"/>
  <c r="N1225"/>
  <c r="N3925"/>
  <c r="N7117"/>
  <c r="N5294"/>
  <c r="N7924"/>
  <c r="N3613"/>
  <c r="N2737"/>
  <c r="N5063"/>
  <c r="N3429"/>
  <c r="N6608"/>
  <c r="N3342"/>
  <c r="N3130"/>
  <c r="N7011"/>
  <c r="N6766"/>
  <c r="N6888"/>
  <c r="N3203"/>
  <c r="N3361"/>
  <c r="N1598"/>
  <c r="N5733"/>
  <c r="N3785"/>
  <c r="N5657"/>
  <c r="N2999"/>
  <c r="N1183"/>
  <c r="N4804"/>
  <c r="N4247"/>
  <c r="N7952"/>
  <c r="N5549"/>
  <c r="N6587"/>
  <c r="N3762"/>
  <c r="N4232"/>
  <c r="N1355"/>
  <c r="N5711"/>
  <c r="N2882"/>
  <c r="N6279"/>
  <c r="N2162"/>
  <c r="N4678"/>
  <c r="N3948"/>
  <c r="N2329"/>
  <c r="N5137"/>
  <c r="N2259"/>
  <c r="N3847"/>
  <c r="N3476"/>
  <c r="N3153"/>
  <c r="N1224"/>
  <c r="N6763"/>
  <c r="N2535"/>
  <c r="N5462"/>
  <c r="N1247"/>
  <c r="N5828"/>
  <c r="N4933"/>
  <c r="N2750"/>
  <c r="N3966"/>
  <c r="N7614"/>
  <c r="N5833"/>
  <c r="N4618"/>
  <c r="N6367"/>
  <c r="N6563"/>
  <c r="N6557"/>
  <c r="N4418"/>
  <c r="N6785"/>
  <c r="N1443"/>
  <c r="N3469"/>
  <c r="N1603"/>
  <c r="N5214"/>
  <c r="N5349"/>
  <c r="N4837"/>
  <c r="N2011"/>
  <c r="N2008"/>
  <c r="N6806"/>
  <c r="N3896"/>
  <c r="N7514"/>
  <c r="N6541"/>
  <c r="N4621"/>
  <c r="N4229"/>
  <c r="N4497"/>
  <c r="N4374"/>
  <c r="N5890"/>
  <c r="N6225"/>
  <c r="N3853"/>
  <c r="N7686"/>
  <c r="N7710"/>
  <c r="N3585"/>
  <c r="N7586"/>
  <c r="N7234"/>
  <c r="N2368"/>
  <c r="N5814"/>
  <c r="N5003"/>
  <c r="N5088"/>
  <c r="N5610"/>
  <c r="N7664"/>
  <c r="N6537"/>
  <c r="N5639"/>
  <c r="N4298"/>
  <c r="N3525"/>
  <c r="N5233"/>
  <c r="N3914"/>
  <c r="N6059"/>
  <c r="N7557"/>
  <c r="N7026"/>
  <c r="N5677"/>
  <c r="N1770"/>
  <c r="N2393"/>
  <c r="N1359"/>
  <c r="N5365"/>
  <c r="N3921"/>
  <c r="N6787"/>
  <c r="N3958"/>
  <c r="N4990"/>
  <c r="N6870"/>
  <c r="N7274"/>
  <c r="N4266"/>
  <c r="N2386"/>
  <c r="N2873"/>
  <c r="N5474"/>
  <c r="N1769"/>
  <c r="N4743"/>
  <c r="N1242"/>
  <c r="N5959"/>
  <c r="N4519"/>
  <c r="N2426"/>
  <c r="N2870"/>
  <c r="N5372"/>
  <c r="N3133"/>
  <c r="N2629"/>
  <c r="N3301"/>
  <c r="N4668"/>
  <c r="N4703"/>
  <c r="N4607"/>
  <c r="N6997"/>
  <c r="N7860"/>
  <c r="N2887"/>
  <c r="N7895"/>
  <c r="N3260"/>
  <c r="N4094"/>
  <c r="N6895"/>
  <c r="N1211"/>
  <c r="N3504"/>
  <c r="N7729"/>
  <c r="N3617"/>
  <c r="N4024"/>
  <c r="N5186"/>
  <c r="N5718"/>
  <c r="N3168"/>
  <c r="N6540"/>
  <c r="N5465"/>
  <c r="N4724"/>
  <c r="N4111"/>
  <c r="N4350"/>
  <c r="N3110"/>
  <c r="N2042"/>
  <c r="N4824"/>
  <c r="N5827"/>
  <c r="N1609"/>
  <c r="N6447"/>
  <c r="N2845"/>
  <c r="N6230"/>
  <c r="N2318"/>
  <c r="N4886"/>
  <c r="N1163"/>
  <c r="N2117"/>
  <c r="N4074"/>
  <c r="N7253"/>
  <c r="N4046"/>
  <c r="N4872"/>
  <c r="N3693"/>
  <c r="N4452"/>
  <c r="N4185"/>
  <c r="N3596"/>
  <c r="N4918"/>
  <c r="N6646"/>
  <c r="N7654"/>
  <c r="N4138"/>
  <c r="N1204"/>
  <c r="N5901"/>
  <c r="N1625"/>
  <c r="N3188"/>
  <c r="N2934"/>
  <c r="N4663"/>
  <c r="N5252"/>
  <c r="N3115"/>
  <c r="N7907"/>
  <c r="N5580"/>
  <c r="N7632"/>
  <c r="N1853"/>
  <c r="N3659"/>
  <c r="N5410"/>
  <c r="N5775"/>
  <c r="N5944"/>
  <c r="N3675"/>
  <c r="N2144"/>
  <c r="N6160"/>
  <c r="N1832"/>
  <c r="N3497"/>
  <c r="N3757"/>
  <c r="N5600"/>
  <c r="N3582"/>
  <c r="N6852"/>
  <c r="N6615"/>
  <c r="N7301"/>
  <c r="N7799"/>
  <c r="N6217"/>
  <c r="N2592"/>
  <c r="N2080"/>
  <c r="N1236"/>
  <c r="N6942"/>
  <c r="N7683"/>
  <c r="N3321"/>
  <c r="N3044"/>
  <c r="N2083"/>
  <c r="N3640"/>
  <c r="N4116"/>
  <c r="N6726"/>
  <c r="N5090"/>
  <c r="N7618"/>
  <c r="N6510"/>
  <c r="N1502"/>
  <c r="N1950"/>
  <c r="N4787"/>
  <c r="N4256"/>
  <c r="N5116"/>
  <c r="N1621"/>
  <c r="N7524"/>
  <c r="N3597"/>
  <c r="N2724"/>
  <c r="N7926"/>
  <c r="N3654"/>
  <c r="N3715"/>
  <c r="N1181"/>
  <c r="N3875"/>
  <c r="N6650"/>
  <c r="N4817"/>
  <c r="N1801"/>
  <c r="N6311"/>
  <c r="N4119"/>
  <c r="N5035"/>
  <c r="N1410"/>
  <c r="N5562"/>
  <c r="N1122"/>
  <c r="N2937"/>
  <c r="N7030"/>
  <c r="N4689"/>
  <c r="N2852"/>
  <c r="N2777"/>
  <c r="N1320"/>
  <c r="N4370"/>
  <c r="N3703"/>
  <c r="N5947"/>
  <c r="N6465"/>
  <c r="N6190"/>
  <c r="N5282"/>
  <c r="N7899"/>
  <c r="N1232"/>
  <c r="N5256"/>
  <c r="N5169"/>
  <c r="N4943"/>
  <c r="N5380"/>
  <c r="N1334"/>
  <c r="N2765"/>
  <c r="N1385"/>
  <c r="N3000"/>
  <c r="N3601"/>
  <c r="N2025"/>
  <c r="N5586"/>
  <c r="N2995"/>
  <c r="N4250"/>
  <c r="N3554"/>
  <c r="N6146"/>
  <c r="N6418"/>
  <c r="N6055"/>
  <c r="N1170"/>
  <c r="N7734"/>
  <c r="N3905"/>
  <c r="N2837"/>
  <c r="N2924"/>
  <c r="N2323"/>
  <c r="N6577"/>
  <c r="N5363"/>
  <c r="N2565"/>
  <c r="N2557"/>
  <c r="N4457"/>
  <c r="N5623"/>
  <c r="N4631"/>
  <c r="N3708"/>
  <c r="N4019"/>
  <c r="N6791"/>
  <c r="N4005"/>
  <c r="N7878"/>
  <c r="N4821"/>
  <c r="N5172"/>
  <c r="N5062"/>
  <c r="N4070"/>
  <c r="N1768"/>
  <c r="N7986"/>
  <c r="N4549"/>
  <c r="N1260"/>
  <c r="N4161"/>
  <c r="N1110"/>
  <c r="N3272"/>
  <c r="N7112"/>
  <c r="N5648"/>
  <c r="N5499"/>
  <c r="N6491"/>
  <c r="N7042"/>
  <c r="N6471"/>
  <c r="N7391"/>
  <c r="N2542"/>
  <c r="N1448"/>
  <c r="N5518"/>
  <c r="N2016"/>
  <c r="N1704"/>
  <c r="N2314"/>
  <c r="N1440"/>
  <c r="N6878"/>
  <c r="N4975"/>
  <c r="N6568"/>
  <c r="N5899"/>
  <c r="N4780"/>
  <c r="N2874"/>
  <c r="N5771"/>
  <c r="N7768"/>
  <c r="N2618"/>
  <c r="N7585"/>
  <c r="N6930"/>
  <c r="N2110"/>
  <c r="N5520"/>
  <c r="N1795"/>
  <c r="N6854"/>
  <c r="N7502"/>
  <c r="N3428"/>
  <c r="N3610"/>
  <c r="N6149"/>
  <c r="N1542"/>
  <c r="N7221"/>
  <c r="N1740"/>
  <c r="N1730"/>
  <c r="N2128"/>
  <c r="N3125"/>
  <c r="M2" l="1"/>
  <c r="M1"/>
</calcChain>
</file>

<file path=xl/sharedStrings.xml><?xml version="1.0" encoding="utf-8"?>
<sst xmlns="http://schemas.openxmlformats.org/spreadsheetml/2006/main" count="2340" uniqueCount="1085">
  <si>
    <t>ΠΡΟΣΘΗΚΗ ΣΤΟΝ ΚΑΤΑΛΟΓΟ</t>
  </si>
  <si>
    <t>ΠΡΟΣΘΗΚΗ ΣΤΟ STOCK</t>
  </si>
  <si>
    <t>ΟΔΗΓΙΕΣ</t>
  </si>
  <si>
    <t>Είδος Κίνησης</t>
  </si>
  <si>
    <t>Ποσότητα</t>
  </si>
  <si>
    <t>Προϊόν</t>
  </si>
  <si>
    <t>Υποκατηγορία</t>
  </si>
  <si>
    <t>Τιμή αγοράς</t>
  </si>
  <si>
    <t>Τιμή Πώλησης χωρίς ΦΠΑ</t>
  </si>
  <si>
    <t>Τιμή Πώλησης με ΦΠΑ</t>
  </si>
  <si>
    <t>Τρέχουσα Ποσότητα</t>
  </si>
  <si>
    <t>Νέα Ποσότητα</t>
  </si>
  <si>
    <r>
      <rPr>
        <b/>
        <sz val="12"/>
        <color theme="1"/>
        <rFont val="Calibri"/>
        <family val="2"/>
        <charset val="161"/>
        <scheme val="minor"/>
      </rPr>
      <t xml:space="preserve">*ΠΡΟΣΟΧΗ </t>
    </r>
    <r>
      <rPr>
        <sz val="10"/>
        <color theme="1"/>
        <rFont val="Calibri"/>
        <family val="2"/>
        <charset val="161"/>
        <scheme val="minor"/>
      </rPr>
      <t xml:space="preserve">
Οι τιμές με γκρι χρώμα εμφανίζονται αυτόματα επιλέγοντας το προϊόν. </t>
    </r>
  </si>
  <si>
    <t>ΕΙΣΑΓΩΓΗ</t>
  </si>
  <si>
    <t>ΕΞΑΓΩΓΗ</t>
  </si>
  <si>
    <t>ΑΛΛΑΓΗ</t>
  </si>
  <si>
    <t>Για εισαγωγή ή εξαγωγή στην αποθήκη προσθέστε την ποσότητα,  το προϊόν στα κελιά B,C έπειτα προσθέστε τις αντίστοιχες τιμές και επιλέξτε το είδος κίνησης που θέλετε. Τέλος πατήστε το κουμπί ΠΡΟΣΘΗΚΗ ΣΤΟ STOCK</t>
  </si>
  <si>
    <t>Συνολικη ποσοτητα αποθηκης</t>
  </si>
  <si>
    <t xml:space="preserve">ΘΗΛ 1/2 </t>
  </si>
  <si>
    <t>ΘΗΛ 3/4</t>
  </si>
  <si>
    <t>ΘΗΛ 1''</t>
  </si>
  <si>
    <t>ΘΗΛ 1 1/4''</t>
  </si>
  <si>
    <t>ΘΗΛ 1 1/2''</t>
  </si>
  <si>
    <t>ΘΗΛ 2''</t>
  </si>
  <si>
    <t>ΘΗΛ 3''</t>
  </si>
  <si>
    <t>Α/Θ 1/2</t>
  </si>
  <si>
    <t>Α/Θ 3/4</t>
  </si>
  <si>
    <t>Α/Θ 1''</t>
  </si>
  <si>
    <t>Α/Θ 1 1/4''</t>
  </si>
  <si>
    <t>Α/Θ 1 1/2''</t>
  </si>
  <si>
    <t>Α/Θ 2''</t>
  </si>
  <si>
    <t>Α/Θ 3''</t>
  </si>
  <si>
    <t>1/2</t>
  </si>
  <si>
    <t>3/4</t>
  </si>
  <si>
    <t>1''</t>
  </si>
  <si>
    <t>1 1/4''</t>
  </si>
  <si>
    <t>1 1/2''</t>
  </si>
  <si>
    <t>2''</t>
  </si>
  <si>
    <t>3''</t>
  </si>
  <si>
    <t>ΑΡΣ 1/2</t>
  </si>
  <si>
    <t>ΑΡΣ 3/4</t>
  </si>
  <si>
    <t>ΑΡΣ 1''</t>
  </si>
  <si>
    <t>ΑΡΣ 1 1/4''</t>
  </si>
  <si>
    <t>ΑΡΣ 1 1/2''</t>
  </si>
  <si>
    <t>ΑΡΣ 2''</t>
  </si>
  <si>
    <t>ΑΡΣ 3''</t>
  </si>
  <si>
    <t>10 cm 1/2</t>
  </si>
  <si>
    <t>10 cm 3/4</t>
  </si>
  <si>
    <t>10 cm 1''</t>
  </si>
  <si>
    <t>10 cm 1 1/4''</t>
  </si>
  <si>
    <t>10 cm 2''</t>
  </si>
  <si>
    <t>10 cm 1 1/2''</t>
  </si>
  <si>
    <t>10 cm 3''</t>
  </si>
  <si>
    <t>15 cm 1/2</t>
  </si>
  <si>
    <t>15 cm 3/4</t>
  </si>
  <si>
    <t>15 cm 1''</t>
  </si>
  <si>
    <t>15 cm 1 1/4''</t>
  </si>
  <si>
    <t>15 cm 1 1/2''</t>
  </si>
  <si>
    <t>15 cm 2''</t>
  </si>
  <si>
    <t>15 cm 3''</t>
  </si>
  <si>
    <t>20 cm 1/2</t>
  </si>
  <si>
    <t>20 cm 3/4</t>
  </si>
  <si>
    <t>20 cm 1''</t>
  </si>
  <si>
    <t>20 cm 1 1/4''</t>
  </si>
  <si>
    <t>20 cm 1 1/2''</t>
  </si>
  <si>
    <t>20 cm 2''</t>
  </si>
  <si>
    <t>20 cm 3''</t>
  </si>
  <si>
    <t>1 1/2'' Χ 1 1/4''</t>
  </si>
  <si>
    <t>1 1/4'' Χ 1''</t>
  </si>
  <si>
    <t>1'' Χ 3/4</t>
  </si>
  <si>
    <t>1'' Χ 1/2</t>
  </si>
  <si>
    <t>3/4 Χ 1/2</t>
  </si>
  <si>
    <t>1/2 Χ 3/8</t>
  </si>
  <si>
    <t>ΣΥΣΤΟΛΗ ΑΜΕΡΙΚΗΣ</t>
  </si>
  <si>
    <t>1 1/2'' Χ 3/4</t>
  </si>
  <si>
    <t>1 1/2'' Χ 1''</t>
  </si>
  <si>
    <t>1 1/4'' Χ 1/2</t>
  </si>
  <si>
    <t>1/2 Χ 1/4</t>
  </si>
  <si>
    <t>3/8 Χ 1/4</t>
  </si>
  <si>
    <t>1'' Χ 3/4 Χ 1/2</t>
  </si>
  <si>
    <t>1'' Χ 1/2 Χ 3/4</t>
  </si>
  <si>
    <t>1/2 Χ 1'' Χ 1/2</t>
  </si>
  <si>
    <t>1/2 Χ 3/4 Χ 1/2</t>
  </si>
  <si>
    <t>1 1/2'' Χ 1/2 Χ 1 1/2''</t>
  </si>
  <si>
    <t>1 1/4'' Χ 1/2 Χ 1 1/4''</t>
  </si>
  <si>
    <t xml:space="preserve">ΠΡΟΕΚΤΑΣΗ </t>
  </si>
  <si>
    <t>10 mm 1/2</t>
  </si>
  <si>
    <t>20 mm 1/2</t>
  </si>
  <si>
    <t>10 mm 3/4</t>
  </si>
  <si>
    <t>25 mm 1/2</t>
  </si>
  <si>
    <t>20 mm 3/4</t>
  </si>
  <si>
    <t>25 mm 3/4</t>
  </si>
  <si>
    <t>30 mm 1/2</t>
  </si>
  <si>
    <t>30 mm 3/4</t>
  </si>
  <si>
    <t>40 mm 1/2</t>
  </si>
  <si>
    <t>40 mm 3/4</t>
  </si>
  <si>
    <t>50 mm 1/2</t>
  </si>
  <si>
    <t>50 mm 3/4</t>
  </si>
  <si>
    <t>2'' X 1''</t>
  </si>
  <si>
    <t>2'' X 1 1/4''</t>
  </si>
  <si>
    <t>ΒΑΝΑ BUGATTI</t>
  </si>
  <si>
    <t>Θ/Θ 1/2</t>
  </si>
  <si>
    <t>Θ/Θ 3/4</t>
  </si>
  <si>
    <t>Θ/Θ 1''</t>
  </si>
  <si>
    <t>Θ/Θ 1 1/4''</t>
  </si>
  <si>
    <t>Θ/Θ 1 1/2''</t>
  </si>
  <si>
    <t>Θ/Θ 2''</t>
  </si>
  <si>
    <t>Θ/Θ 3''</t>
  </si>
  <si>
    <t>Α/Θ  1/2</t>
  </si>
  <si>
    <t>1/2 Χ 1/2</t>
  </si>
  <si>
    <t>1/2 Χ 3/4</t>
  </si>
  <si>
    <t xml:space="preserve">ΒΑΝΑ BUGATTI </t>
  </si>
  <si>
    <t>ΡΑΚΟΡ 1/2</t>
  </si>
  <si>
    <t>ΡΑΚΟΡ 3/4</t>
  </si>
  <si>
    <t>ΡΑΚΟΡ 1''</t>
  </si>
  <si>
    <t>ΡΑΚΟΡ 1 1/4''</t>
  </si>
  <si>
    <t>ΡΑΚΟΡ 1 1/2''</t>
  </si>
  <si>
    <t>ΓΩΝΙΑ PPR</t>
  </si>
  <si>
    <t>Φ20</t>
  </si>
  <si>
    <t>Φ25</t>
  </si>
  <si>
    <t>Φ32</t>
  </si>
  <si>
    <r>
      <t>45</t>
    </r>
    <r>
      <rPr>
        <vertAlign val="superscript"/>
        <sz val="11"/>
        <color theme="1"/>
        <rFont val="Calibri"/>
        <family val="2"/>
        <charset val="161"/>
        <scheme val="minor"/>
      </rPr>
      <t xml:space="preserve">ο </t>
    </r>
    <r>
      <rPr>
        <sz val="11"/>
        <color theme="1"/>
        <rFont val="Calibri"/>
        <family val="2"/>
        <charset val="161"/>
        <scheme val="minor"/>
      </rPr>
      <t>Φ20</t>
    </r>
  </si>
  <si>
    <r>
      <t>45</t>
    </r>
    <r>
      <rPr>
        <vertAlign val="superscript"/>
        <sz val="11"/>
        <color theme="1"/>
        <rFont val="Calibri"/>
        <family val="2"/>
        <charset val="161"/>
        <scheme val="minor"/>
      </rPr>
      <t>ο</t>
    </r>
    <r>
      <rPr>
        <sz val="11"/>
        <color theme="1"/>
        <rFont val="Calibri"/>
        <family val="2"/>
        <charset val="161"/>
        <scheme val="minor"/>
      </rPr>
      <t xml:space="preserve"> Φ25</t>
    </r>
  </si>
  <si>
    <r>
      <t>45</t>
    </r>
    <r>
      <rPr>
        <vertAlign val="superscript"/>
        <sz val="11"/>
        <color theme="1"/>
        <rFont val="Calibri"/>
        <family val="2"/>
        <charset val="161"/>
        <scheme val="minor"/>
      </rPr>
      <t xml:space="preserve">ο </t>
    </r>
    <r>
      <rPr>
        <sz val="11"/>
        <color theme="1"/>
        <rFont val="Calibri"/>
        <family val="2"/>
        <charset val="161"/>
        <scheme val="minor"/>
      </rPr>
      <t>Φ32</t>
    </r>
  </si>
  <si>
    <t>ΜΟΥΦΑ PPR</t>
  </si>
  <si>
    <t>ΤΑΦ PPR</t>
  </si>
  <si>
    <t>ΤΑΠΑ PPR</t>
  </si>
  <si>
    <t>ΘΗΛ Φ20</t>
  </si>
  <si>
    <t>ΘΗΛ Φ25</t>
  </si>
  <si>
    <t>ΘΗΛ Φ32</t>
  </si>
  <si>
    <t xml:space="preserve">ΤΑΦ PPR </t>
  </si>
  <si>
    <t>ΜΑΣΤΟΣ PPR</t>
  </si>
  <si>
    <t xml:space="preserve">ΒΑΝΑ PPR </t>
  </si>
  <si>
    <t>ΕΝΤΟΙΧ. Φ20</t>
  </si>
  <si>
    <t>ΕΝΤΟΙΧ. Φ25</t>
  </si>
  <si>
    <t>ΕΝΤΟΙΧ. Φ32</t>
  </si>
  <si>
    <t>ΣΤΗΡΙΓΜΑΤΑ PPR</t>
  </si>
  <si>
    <t xml:space="preserve">Φ20 </t>
  </si>
  <si>
    <t xml:space="preserve">ΒΕ PPR </t>
  </si>
  <si>
    <t>ΒΑΣΗ ΥΔΡ. PPR</t>
  </si>
  <si>
    <t>Φ20 Χ 1/2</t>
  </si>
  <si>
    <t>ΤΑΠΕΣ ΔΟΚΙΜΗΣ</t>
  </si>
  <si>
    <t>ΘΗΛ Φ20 Χ 1/2</t>
  </si>
  <si>
    <t>ΘΗΛ Φ25 Χ 3/4</t>
  </si>
  <si>
    <t>ΘΗΛ Φ32 Χ 1''</t>
  </si>
  <si>
    <t>ΑΡΣ Φ20 Χ 1/2</t>
  </si>
  <si>
    <t>ΑΡΣ Φ25 Χ 3/4</t>
  </si>
  <si>
    <t>ΑΡΣ Φ32 Χ 1''</t>
  </si>
  <si>
    <t>Μ. ΠΑΡΟΧΗ Φ20 Χ 1/2</t>
  </si>
  <si>
    <t>Μ. ΠΑΡΟΧΗ Φ25 Χ 3/4</t>
  </si>
  <si>
    <t>Μ. ΠΑΡΟΧΗ Φ32 Χ 1''</t>
  </si>
  <si>
    <t>ΘΗΛ Μ.ΑΥΤΙΑ Φ20 Χ 1/2</t>
  </si>
  <si>
    <t>ΘΗΛ Μ.ΑΥΤΙΑ Φ25 Χ 3/4</t>
  </si>
  <si>
    <t>ΘΗΛ Μ.ΑΥΤΙΑ Φ32 Χ 1''</t>
  </si>
  <si>
    <t>ΒΑΝΑΚΙ ΜΙΝΙ</t>
  </si>
  <si>
    <t xml:space="preserve">Α/Θ 1/2 </t>
  </si>
  <si>
    <t>ΣΥΣΤΟΛH  PPR</t>
  </si>
  <si>
    <t>ΣΥΣΤΟΛIKO ΤΑΦ PPR</t>
  </si>
  <si>
    <t>Φ25 Χ Φ20 Χ Φ25</t>
  </si>
  <si>
    <t xml:space="preserve">Φ32 Χ Φ25 </t>
  </si>
  <si>
    <t xml:space="preserve">Φ25 Χ Φ20 </t>
  </si>
  <si>
    <t>Συνολική Τιμή Αγοράς</t>
  </si>
  <si>
    <t>ΣΠΙΡΑΛ 100CM</t>
  </si>
  <si>
    <t>ΣΠΙΡΑΛ 80CM</t>
  </si>
  <si>
    <t xml:space="preserve">ΣΠΙΡΑΛ 20CM </t>
  </si>
  <si>
    <t>ΣΠΙΡΑΛ 30CM</t>
  </si>
  <si>
    <t>A/Θ 1/2</t>
  </si>
  <si>
    <t>ΣΠΙΡΑΛ 40CM</t>
  </si>
  <si>
    <t>ΣΠΙΡΑΛ 50CM</t>
  </si>
  <si>
    <t>ΣΠΙΡΑΛ 60CM</t>
  </si>
  <si>
    <t>ΣΠΙΡΑΛ ΓΩΝΙΑ 80CM</t>
  </si>
  <si>
    <t>ΣΠΙΡΑΛ ΓΩΝΙΑ 50CM</t>
  </si>
  <si>
    <t>Θ/Θ 3/8</t>
  </si>
  <si>
    <t>3/8</t>
  </si>
  <si>
    <t>Α/Θ 1'' Χ 1''</t>
  </si>
  <si>
    <t>Θ/Θ 3/8 Χ 1/4</t>
  </si>
  <si>
    <t>Α/Θ 3/8 Χ 1/4</t>
  </si>
  <si>
    <t>Θ/Θ 1/2 Χ 3/8</t>
  </si>
  <si>
    <t>Θ/Θ 1/2 Χ 1/2</t>
  </si>
  <si>
    <t>Α/Θ 3/4 Χ 3/4</t>
  </si>
  <si>
    <t>ΣΠΙΡΑΛ ΓΩΝΙΑ 60CM</t>
  </si>
  <si>
    <t>Συνολική Τιμή Πώλησης με ΦΠΑ</t>
  </si>
  <si>
    <t>Τιμή αγοράς (τμχ)</t>
  </si>
  <si>
    <t>Τιμή Πώλησης με ΦΠΑ (τμχ)</t>
  </si>
  <si>
    <t>Τιμή Πώλησης χωρίς ΦΠΑ (τμχ)</t>
  </si>
  <si>
    <t>Συνολική Τιμή αγοράς / προιόν</t>
  </si>
  <si>
    <t>Συνολική Τιμή Πώλησης με ΦΠΑ / προιόν</t>
  </si>
  <si>
    <t>Συνολικη ποσοτητα προϊόντων &lt;= 3</t>
  </si>
  <si>
    <t>ΓΩΝΙΑ PVC</t>
  </si>
  <si>
    <t>Φ40</t>
  </si>
  <si>
    <t>Φ50</t>
  </si>
  <si>
    <t>Φ63</t>
  </si>
  <si>
    <t>Φ75</t>
  </si>
  <si>
    <t>Φ100</t>
  </si>
  <si>
    <t>Φ125</t>
  </si>
  <si>
    <t>Φ140</t>
  </si>
  <si>
    <t>Φ200</t>
  </si>
  <si>
    <t>ΗΜΙΓΩΝΙΑ PVC</t>
  </si>
  <si>
    <t>ΤΑΦ PVC</t>
  </si>
  <si>
    <t>ΗΜΙΤΑΦ PVC</t>
  </si>
  <si>
    <t>ΤΑΠΑ PVC</t>
  </si>
  <si>
    <t>ΚΑΠΕΛΟ PVC</t>
  </si>
  <si>
    <t>ΣΥΣΤΟΛΗ ΑΜ. PVC</t>
  </si>
  <si>
    <t>Φ40 Χ Φ32</t>
  </si>
  <si>
    <t>Φ50 Χ Φ32</t>
  </si>
  <si>
    <t>Φ50 Χ Φ40</t>
  </si>
  <si>
    <t>Φ63 Χ Φ50</t>
  </si>
  <si>
    <t>Φ75 Χ Φ50</t>
  </si>
  <si>
    <t>Φ75 Χ Φ63</t>
  </si>
  <si>
    <t>Φ100 Χ Φ50</t>
  </si>
  <si>
    <t>Φ100 Χ Φ63</t>
  </si>
  <si>
    <t>Φ100 Χ Φ75</t>
  </si>
  <si>
    <t>Φ125 Χ Φ100</t>
  </si>
  <si>
    <t>ΣΥΣΤΟΛΗ ΑΓΓ. PVC</t>
  </si>
  <si>
    <t>ΔΙΑΣΤΟΛΗ ΑΓΓ. PVC</t>
  </si>
  <si>
    <t>ΑΡΣ  Φ100 Χ Φ75</t>
  </si>
  <si>
    <t>ΑΡΣ Φ75 Χ Φ50</t>
  </si>
  <si>
    <t>ΑΡΣ Φ40 Χ Φ32</t>
  </si>
  <si>
    <t>ΜΟΥΦΑ PVC</t>
  </si>
  <si>
    <t>ΜΟΥΦΑ ΛΑΣΤΙΧΟ PVC</t>
  </si>
  <si>
    <t xml:space="preserve">Ψ PVC </t>
  </si>
  <si>
    <t>ΛΑΙΜΟ ΕΠΙΣΚΕΥΗΣ PVC</t>
  </si>
  <si>
    <t xml:space="preserve">Φ63 </t>
  </si>
  <si>
    <t>ΛΑΙΜΟ ΕΠΙΣΚ. ΛΑΣΤΙΧΟ PVC</t>
  </si>
  <si>
    <t>ΣΙΦΩΝΙ ΜΠΑΛΚΟΝΙΟΥ PVC</t>
  </si>
  <si>
    <t xml:space="preserve">ΜΟΥΦΑ PVC </t>
  </si>
  <si>
    <t>ΣΥΣΤΟΛΙΚΟ ΤΑΦ PVC</t>
  </si>
  <si>
    <t>ΣΥΣΤΟΛΙΚΟ ΗΜΙΤΑΦ PVC</t>
  </si>
  <si>
    <r>
      <t>ΑΡΔΕΥΤΙΚΗ ΓΩΝΙΑ 90</t>
    </r>
    <r>
      <rPr>
        <vertAlign val="superscript"/>
        <sz val="11"/>
        <color theme="1"/>
        <rFont val="Calibri"/>
        <family val="2"/>
        <charset val="161"/>
        <scheme val="minor"/>
      </rPr>
      <t>ο</t>
    </r>
  </si>
  <si>
    <t xml:space="preserve">ΘΗΛΥΚΗ </t>
  </si>
  <si>
    <t>ΑΡΔΕΥΤΙΚΗ ΓΩΝΙΑ 45ο</t>
  </si>
  <si>
    <t>INTERPLAST</t>
  </si>
  <si>
    <t xml:space="preserve"> 6 X 10</t>
  </si>
  <si>
    <t>ΜΕΤΑΤΡΟΠΕΑΣ PVC</t>
  </si>
  <si>
    <t>Π/Κ 6 Χ 10</t>
  </si>
  <si>
    <t>6 Χ 10 Χ Φ100</t>
  </si>
  <si>
    <t xml:space="preserve">ΤΑΦ ΠΛΑΓΙΟ PVC </t>
  </si>
  <si>
    <t>6 Χ 10 Χ Φ50</t>
  </si>
  <si>
    <t xml:space="preserve">ΤΑΦ ΚΑΘΕΤΟ PVC </t>
  </si>
  <si>
    <t xml:space="preserve">1/2 </t>
  </si>
  <si>
    <t>ΠΡΟΕΚΤΑΣΗ ΒΑΝΑΣ ΕΝΤΟΙΧΙΣΜΟΥ</t>
  </si>
  <si>
    <t xml:space="preserve">ΕΚΕΝΤΡΟ ΛΑΣΤΙΧΟ </t>
  </si>
  <si>
    <t>ΣΠΙΡΑΛ ΛΕΚΑΝΗΣ</t>
  </si>
  <si>
    <t xml:space="preserve">Φ100 </t>
  </si>
  <si>
    <t xml:space="preserve">ΓΩΝΙΑ ΛΕΚΑΝΗΣ ΝΙΚΟΛ </t>
  </si>
  <si>
    <t>ΠΕΡΣΙΔΑ ΕΞΑΕΡΣΙΜΟΥ ΜΕΤΑΛΛΙΚΗ</t>
  </si>
  <si>
    <t>14 Χ 14</t>
  </si>
  <si>
    <t xml:space="preserve">ΣΧΑΡΑ ΣΙΦΩΝΙΟΥ </t>
  </si>
  <si>
    <t>VALSIR</t>
  </si>
  <si>
    <t>ΜΑΣΤΟΣ ΟΡΕΙΧΑΛΚΟΥ</t>
  </si>
  <si>
    <t>ΘΗΛ. Φ35 Χ 1 1/4''</t>
  </si>
  <si>
    <t>ΑΡΣ. Φ35 Χ 1 1/4''</t>
  </si>
  <si>
    <t>ΘΗΛ. Φ28 Χ 1''</t>
  </si>
  <si>
    <t>ΑΡΣ. Φ28 Χ 1''</t>
  </si>
  <si>
    <t>ΑΡΣ. Φ15 Χ 3/4</t>
  </si>
  <si>
    <t>ΑΡΣ. Φ22 Χ 1/2</t>
  </si>
  <si>
    <t>ΘΗΛ. Φ15 Χ 1/2</t>
  </si>
  <si>
    <t>ΑΡΣ. Φ15 Χ 1/2</t>
  </si>
  <si>
    <t>ΘΗΛ. Φ18 Χ 1/2</t>
  </si>
  <si>
    <t>ΑΡΣ. Φ18 Χ 1/2</t>
  </si>
  <si>
    <t>ΘΗΛ. Φ22 Χ 3/4</t>
  </si>
  <si>
    <t>ΑΡΣ. Φ22 Χ 3/4</t>
  </si>
  <si>
    <t>ΤΑΦ ΟΡΕΙΧΑΛΚΟΥ</t>
  </si>
  <si>
    <t xml:space="preserve">Φ15 Χ 1/2 Χ Φ15 </t>
  </si>
  <si>
    <t xml:space="preserve">ΓΩΝΙΑ ΧΑΛΚΟΥ </t>
  </si>
  <si>
    <t>Θ/Θ Φ15</t>
  </si>
  <si>
    <t>Θ/Θ Φ18</t>
  </si>
  <si>
    <t>Θ/Θ Φ22</t>
  </si>
  <si>
    <t>Θ/Θ Φ28</t>
  </si>
  <si>
    <t>Θ/Θ Φ35</t>
  </si>
  <si>
    <t>Α/Θ Φ15</t>
  </si>
  <si>
    <t>Α/Θ Φ18</t>
  </si>
  <si>
    <t>Α/Θ Φ22</t>
  </si>
  <si>
    <t>Α/Θ Φ28</t>
  </si>
  <si>
    <t>Α/Θ Φ35</t>
  </si>
  <si>
    <t>ΚΑΜΠΥΛΗ ΧΑΛΚΟΥ</t>
  </si>
  <si>
    <t>ΗΜΙΓΩΝΙΑ ΧΑΛΚΟΥ</t>
  </si>
  <si>
    <t>ΜΟΥΦΑ ΧΑΛΚΟΥ</t>
  </si>
  <si>
    <t xml:space="preserve">Φ15 </t>
  </si>
  <si>
    <t>Φ18</t>
  </si>
  <si>
    <t>Φ22</t>
  </si>
  <si>
    <t>Φ28</t>
  </si>
  <si>
    <t>Φ35</t>
  </si>
  <si>
    <t>ΤΑΦ ΧΑΛΚΟΥ</t>
  </si>
  <si>
    <t>ΒΕ ΧΑΛΚΟΥ</t>
  </si>
  <si>
    <t>ΗΜΙΒΕ ΧΑΛΚΟΥ</t>
  </si>
  <si>
    <t>ΤΑΠΑ ΧΑΛΚΟΥ</t>
  </si>
  <si>
    <t>ΣΥΣΤΟΛΗ ΧΑΛΚΟΥ</t>
  </si>
  <si>
    <t>Φ18 Χ Φ15</t>
  </si>
  <si>
    <t>Φ18 Χ Φ22</t>
  </si>
  <si>
    <t>Φ15 Χ Φ22</t>
  </si>
  <si>
    <t>Φ28 Χ Φ15</t>
  </si>
  <si>
    <t>Φ28 Χ Φ22</t>
  </si>
  <si>
    <t>Φ28 Χ Φ18</t>
  </si>
  <si>
    <t>Φ35 Χ Φ28</t>
  </si>
  <si>
    <t>Φ18 Χ Φ15 Χ Φ18</t>
  </si>
  <si>
    <t>Φ22 Χ Φ15 Χ Φ22</t>
  </si>
  <si>
    <t>Φ22 Χ Φ15 Χ Φ18</t>
  </si>
  <si>
    <t>Φ22 Χ Φ18 Χ Φ18</t>
  </si>
  <si>
    <t>Φ18 Χ Φ15 Χ Φ15</t>
  </si>
  <si>
    <t>Φ28 Χ Φ15 Χ Φ28</t>
  </si>
  <si>
    <t>Φ28 Χ Φ18 Χ Φ28</t>
  </si>
  <si>
    <t>Φ22 Χ Φ18 Χ Φ22</t>
  </si>
  <si>
    <t>Φ22 Χ Φ22 Χ Φ15</t>
  </si>
  <si>
    <t>Φ28 Χ Φ22 Χ Φ18</t>
  </si>
  <si>
    <t>ΜΟΝΩΣΗ ΜΑΥΡΗ ISOPIPE</t>
  </si>
  <si>
    <t xml:space="preserve">9 Χ 18 </t>
  </si>
  <si>
    <t>9 Χ 22</t>
  </si>
  <si>
    <t>9 Χ 28</t>
  </si>
  <si>
    <t>9 Χ 35</t>
  </si>
  <si>
    <t>9 Χ 42</t>
  </si>
  <si>
    <t>ΜΟΝΩΣΗ ΛΕΥΚΗ ISOPIPE</t>
  </si>
  <si>
    <t>4''</t>
  </si>
  <si>
    <t>3 1/2''</t>
  </si>
  <si>
    <t>ΣΤΗΡΙΓΜΑ ΜΕΤΑΛΛΙΚΟ ΒΙΔΑ</t>
  </si>
  <si>
    <t>Φ110</t>
  </si>
  <si>
    <t>Μ10</t>
  </si>
  <si>
    <t>30 CM</t>
  </si>
  <si>
    <t>50 CM</t>
  </si>
  <si>
    <t>100 CM</t>
  </si>
  <si>
    <t xml:space="preserve">ΚΑΝΑΛΙ A/C </t>
  </si>
  <si>
    <t>-</t>
  </si>
  <si>
    <t>ΚΑΝΑΛΙ 4CM X 3CM</t>
  </si>
  <si>
    <t xml:space="preserve">ΡΑΚΟΡ ΥΔΡΟΜΕΤΡΩΝ </t>
  </si>
  <si>
    <t>ΤΑΠΑ ΣΩΜΑΤΩΝ</t>
  </si>
  <si>
    <t>ΕΞΑΕΡΙΣΤΙΚΟ ΣΩΜΑΤΩΝ</t>
  </si>
  <si>
    <t>ΠΑΡΟΧΗ ΔΕΞΑΜΕΝΗΣ</t>
  </si>
  <si>
    <t>ΑΡΣ. Φ16</t>
  </si>
  <si>
    <t>ΑΡΣ. Φ18</t>
  </si>
  <si>
    <t>ΑΡΣ. Φ20 Χ 1/2</t>
  </si>
  <si>
    <t>ΑΡΣ. Φ20 Χ 3/4</t>
  </si>
  <si>
    <t>ΑΡΣ. Φ26</t>
  </si>
  <si>
    <t>ΑΡΣ. Φ15</t>
  </si>
  <si>
    <t>ΑΡΣ. Φ18 Χ 2</t>
  </si>
  <si>
    <t>ΑΡΣ. Φ18 Χ 2,5</t>
  </si>
  <si>
    <t>ΑΡΣ. Φ22</t>
  </si>
  <si>
    <t>ΑΡΣ. Φ28</t>
  </si>
  <si>
    <t>ΑΡΣ. Φ32</t>
  </si>
  <si>
    <t>ΣΥΝΔΕΣΜΟΣ ΠΛΑΣΤ.</t>
  </si>
  <si>
    <t>Φ15</t>
  </si>
  <si>
    <t>Φ16</t>
  </si>
  <si>
    <t>Φ18 Χ 2</t>
  </si>
  <si>
    <t>Φ18 Χ 2,5</t>
  </si>
  <si>
    <t>Φ22 Χ 3/4</t>
  </si>
  <si>
    <t>Φ22 Χ Φ18</t>
  </si>
  <si>
    <t>ΑΡΣ. Φ16 Χ 1/2</t>
  </si>
  <si>
    <t>Φ26 Χ 3/4 Χ Φ26</t>
  </si>
  <si>
    <t>Φ20 Χ 3/4 Χ Φ20</t>
  </si>
  <si>
    <t>ΑΡΣ. Φ18 Χ 1/2 Χ Φ18</t>
  </si>
  <si>
    <t>ΑΝΤΙΨΥΚΤΙΚΟ ΗΛΙΑΚΟΥ</t>
  </si>
  <si>
    <t>1L</t>
  </si>
  <si>
    <t>ΚΟΛΛΑ PVC</t>
  </si>
  <si>
    <t>500ML</t>
  </si>
  <si>
    <t>BRIO 200-M</t>
  </si>
  <si>
    <t>ΨΥΚΤΙΚΟ ΥΓΡΟ ROTHENBERGER</t>
  </si>
  <si>
    <t>ESBE VRG131 ΤΡΙΩΔΗ</t>
  </si>
  <si>
    <t>ESBE VTA532</t>
  </si>
  <si>
    <t xml:space="preserve">ΒΑΣΗ ΜΟΝΗ ΑΤΛΑΣ </t>
  </si>
  <si>
    <t>ΜΠΛΕ</t>
  </si>
  <si>
    <t>ΑΣΠΡΗ</t>
  </si>
  <si>
    <t>ΚΛΕΙΔΙ ΑΤΛΑΣ</t>
  </si>
  <si>
    <t>ΜΑΥΡΟ</t>
  </si>
  <si>
    <t>ΑΣΠΡΟ</t>
  </si>
  <si>
    <t>ΣΠΙΡΑΛ ΜΕΤΡΙΤΗ ΑΕΡΙΟΥ</t>
  </si>
  <si>
    <t>ΣΠΙΡΑΛ ΑΕΡΙΟΥ</t>
  </si>
  <si>
    <t>ΚΟΡΜΟΣ ΗΛ/ΒΑΝΑΣ BUGATTI</t>
  </si>
  <si>
    <t>ΣΤΙΡΗΓΜΑ ΧΑΛΚΟΥ ΜΟΝΟ</t>
  </si>
  <si>
    <t>ΣΤΙΡΗΓΜΑ ΧΑΛΚΟΥ ΔΙΠΛΟ</t>
  </si>
  <si>
    <t>ΜΑΝΟΜΕΤΡΟ ΚΑΘΕΤΟ</t>
  </si>
  <si>
    <t>6BAR</t>
  </si>
  <si>
    <t>10ΒΑR</t>
  </si>
  <si>
    <t>ΜΑΝΟΜΕΤΡΟ ΠΛΑΤΗΣ</t>
  </si>
  <si>
    <t>MANOMETΡΟ ΠΛΑΤΗΣ</t>
  </si>
  <si>
    <t>10BAR</t>
  </si>
  <si>
    <t>1/2 X 3/4</t>
  </si>
  <si>
    <t>AΡΣ. 1/2</t>
  </si>
  <si>
    <t>ΜΕΙΩΤΗΣ CALEFFI</t>
  </si>
  <si>
    <t>Φ16 Χ Φ18</t>
  </si>
  <si>
    <t>3/4 Χ Φ16</t>
  </si>
  <si>
    <t>ΒΑΝΑ ΜΕ ΑΙΣΘΗΤΗΡΙΟ GIACOMINI</t>
  </si>
  <si>
    <t>ΠΑΣΤΑ VALSIR 150ML</t>
  </si>
  <si>
    <t>MOTEΡ ΠΕΛΕΤ</t>
  </si>
  <si>
    <t>ΑΝΤΙΣΤΑΣΗ ΠΕΛΕΤ</t>
  </si>
  <si>
    <t>ΗΛΕΚΤΡΟΒΑΝΑ JES ΤΡΙΩΔΗ</t>
  </si>
  <si>
    <t xml:space="preserve">ΗΛΕΚΤΡΟΒΑΝΑ JES </t>
  </si>
  <si>
    <t xml:space="preserve">TEFLON </t>
  </si>
  <si>
    <t>LOCTITTE 160gr</t>
  </si>
  <si>
    <t xml:space="preserve">ΠΑΣΤΑ </t>
  </si>
  <si>
    <t>ΘΕΡΜΟΣΤΑΤΗΣ ΕΠΑΦΗΣ IMIT</t>
  </si>
  <si>
    <t>ΘΕΡΜΟΜΕΤΡΟ / ΜΑΝΟΜΕΤΡΟ</t>
  </si>
  <si>
    <t>KΥΚΛΟΦΟΡΗΤΗΣ AXON</t>
  </si>
  <si>
    <t>32/60</t>
  </si>
  <si>
    <t>ΚΥΚΛΟΦΟΡΗΤΗΣ SALMSON</t>
  </si>
  <si>
    <t>40/25</t>
  </si>
  <si>
    <t>60/25</t>
  </si>
  <si>
    <t>40/32</t>
  </si>
  <si>
    <t>60/32</t>
  </si>
  <si>
    <t>80/32</t>
  </si>
  <si>
    <t>ΡΑΚΟΡ ΚΥΚΛΟΦΟΡΗΤΗ</t>
  </si>
  <si>
    <t>NG 12</t>
  </si>
  <si>
    <t>NG 18</t>
  </si>
  <si>
    <t>NG 25</t>
  </si>
  <si>
    <t>NG 35</t>
  </si>
  <si>
    <t>NG 50</t>
  </si>
  <si>
    <t>NG 80</t>
  </si>
  <si>
    <t>NG 100</t>
  </si>
  <si>
    <t>S 12</t>
  </si>
  <si>
    <t>S 18</t>
  </si>
  <si>
    <t>S 33</t>
  </si>
  <si>
    <t>DD 8</t>
  </si>
  <si>
    <t>DD 12</t>
  </si>
  <si>
    <t>DD 18</t>
  </si>
  <si>
    <t>DE 25</t>
  </si>
  <si>
    <t>DE 33</t>
  </si>
  <si>
    <t>DE 60</t>
  </si>
  <si>
    <t>HW 25</t>
  </si>
  <si>
    <t>ΠΛΑΚΕ ΣΤΡ. 9L</t>
  </si>
  <si>
    <t>ΠΛΑΚΕ ΟΡΘ. 8L</t>
  </si>
  <si>
    <t>ΣΩΜΑ COPA</t>
  </si>
  <si>
    <t>22/900/700</t>
  </si>
  <si>
    <t>22/600/700</t>
  </si>
  <si>
    <t>400/800</t>
  </si>
  <si>
    <t>400/1400</t>
  </si>
  <si>
    <t>ΣΩΜΑ COPA W/C</t>
  </si>
  <si>
    <t>800/1800</t>
  </si>
  <si>
    <t>29</t>
  </si>
  <si>
    <t>12000BTU</t>
  </si>
  <si>
    <t>BOILER SONNE</t>
  </si>
  <si>
    <t>200L</t>
  </si>
  <si>
    <t>BOILER MAGNA KΑΘΕΤΟ ΑΡ.</t>
  </si>
  <si>
    <t>80L</t>
  </si>
  <si>
    <t>ΒΑΣΗ ΗΛΙΑΚΟΥ SONNE</t>
  </si>
  <si>
    <t>ΚΑΘΡΕΥΤΗΣ ΗΛΙΑΚΟΥ SONNE</t>
  </si>
  <si>
    <t>ΚΑΘΡΕΥΤΗΣ ΗΛΙΑΚΟΥ HELIONAL</t>
  </si>
  <si>
    <t xml:space="preserve">BΑΣΗ ΗΛΙΑΚΟΥ </t>
  </si>
  <si>
    <t>ΣΩΛΗΝΑ ΑΡΔ. ΦΛΑΤΖΑ</t>
  </si>
  <si>
    <t>Φ90</t>
  </si>
  <si>
    <t>ΣΩΛΗΝΑ PVC</t>
  </si>
  <si>
    <t>6 X 10</t>
  </si>
  <si>
    <t>40 Χ 40</t>
  </si>
  <si>
    <t>20 Χ 20</t>
  </si>
  <si>
    <t>25 Χ 25</t>
  </si>
  <si>
    <t>30 Χ 30</t>
  </si>
  <si>
    <t>Φ110 Χ Φ100</t>
  </si>
  <si>
    <t>Φ100 Χ Φ90</t>
  </si>
  <si>
    <t>ΣΩΛΗΝΑ VALSIR 1,5M</t>
  </si>
  <si>
    <t>ΣΩΛΗΝΑ VALSIR 1M</t>
  </si>
  <si>
    <t>ΣΩΛΗΝΑ VALSIR 0,50Μ</t>
  </si>
  <si>
    <t>ΣΩΛΗΝΑ VALSIR 0,75Μ</t>
  </si>
  <si>
    <t>ΣΩΛΗΝΑ VALSIR 2Μ</t>
  </si>
  <si>
    <t>ΜΟΥΦΑ SOLI</t>
  </si>
  <si>
    <t>ΓΩΝΙΑ ΝΙΠΤΗΡΑ SOLI</t>
  </si>
  <si>
    <t>Φ32 Χ Φ40</t>
  </si>
  <si>
    <t>ΓΩΝΙΑ ΜΠΑΝΙΕΡΑΣ</t>
  </si>
  <si>
    <t>Φ40 Χ 1 1/4''</t>
  </si>
  <si>
    <t>Φ40 Χ 1 1/2''</t>
  </si>
  <si>
    <t xml:space="preserve">ΣΥΣΤΟΛΗ PVC </t>
  </si>
  <si>
    <t>Φ32 Χ 1''</t>
  </si>
  <si>
    <t>Φ26 Χ 3</t>
  </si>
  <si>
    <t>Φ16 Χ 2</t>
  </si>
  <si>
    <t>Φ20 Χ 2</t>
  </si>
  <si>
    <t>Φ25 Χ 2 1/2</t>
  </si>
  <si>
    <t>Φ22 Χ 3</t>
  </si>
  <si>
    <t xml:space="preserve">Φ28 </t>
  </si>
  <si>
    <t>ΣΠΙΡΑΛ ΠΛΑΣΤ ΜΠΛΕ</t>
  </si>
  <si>
    <t>Φ17 Χ 2</t>
  </si>
  <si>
    <t>ΣΩΛΗΝΑ SOLI</t>
  </si>
  <si>
    <t>ΠΙΝΑΚΑΣ ΥΔΡΟΛΙΨΙΑΣ</t>
  </si>
  <si>
    <t>45 Χ 35</t>
  </si>
  <si>
    <t>45 Χ 40</t>
  </si>
  <si>
    <t>45 Χ50</t>
  </si>
  <si>
    <t>60 Χ 45</t>
  </si>
  <si>
    <t>ΣΩΛΗΝΑ PPR</t>
  </si>
  <si>
    <t>ΣΩΛΗΝΑ ΧΑΛΚΟΥ</t>
  </si>
  <si>
    <t>ΤΑΦ ΙΝΟΧ</t>
  </si>
  <si>
    <t>Φ130</t>
  </si>
  <si>
    <t>ΗΜΙΓΩΝΙΑ ΙΝΟΧ</t>
  </si>
  <si>
    <t>ΓΩΝΙΑ ΙΝΟΧ</t>
  </si>
  <si>
    <t>ΣΩΛΗΝΑ ΙΝΟΧ 100CM</t>
  </si>
  <si>
    <t>ΣΩΛΗΝΑ ΙΝΟΧ 50CM</t>
  </si>
  <si>
    <t>Φ120</t>
  </si>
  <si>
    <t>Φ150</t>
  </si>
  <si>
    <t>ΚΑΠΕΛΟ ΠΕΡΙΣΤΡ. ΙΝΟΧ</t>
  </si>
  <si>
    <t>Φ80</t>
  </si>
  <si>
    <t>ΗΜΙΤΑΦ ΙΝΟΧ</t>
  </si>
  <si>
    <t>ΣΥΣΤΟΛΗ ΙΝΟΧ</t>
  </si>
  <si>
    <t>Φ150 Χ Φ120</t>
  </si>
  <si>
    <t>Φ130 Χ Φ150</t>
  </si>
  <si>
    <t>Φ150 Χ Φ80</t>
  </si>
  <si>
    <t>ΠΕΡΑΣΜΑ ΣΤΕΓΗΣ ΙΝΟΧ</t>
  </si>
  <si>
    <t>Φ15Ο</t>
  </si>
  <si>
    <t>Φ180</t>
  </si>
  <si>
    <t>Φ200 Χ Φ150</t>
  </si>
  <si>
    <t>Φ250 Χ Φ300</t>
  </si>
  <si>
    <t>ΣΤΗΡΙΓΜΑ ΙΝΟΧ</t>
  </si>
  <si>
    <t>ΣΤΗΡΙΓΜΑ ΟΡΟΦΗΣ ΙΝΟΧ</t>
  </si>
  <si>
    <t>ΣΤΗΡΙΓΜΑ ΜΕ ΑΥΤΙΑ ΙΝΟΧ</t>
  </si>
  <si>
    <t>ΣΤΗΡΙΓΜΑ 10CM</t>
  </si>
  <si>
    <t>ΣΤΗΡΙΓΜΑ 20CM</t>
  </si>
  <si>
    <t>ΔΑΧΤΥΛΙΔΙ ΠΕΡΑΣΜΑ ΣΤΕΓΗΣ ΙΝΟΧ</t>
  </si>
  <si>
    <t>ΜΠΑΤ. ΝΙΠ. ΛΕΥΚΗ KEVON</t>
  </si>
  <si>
    <t>81WX8123</t>
  </si>
  <si>
    <t>ΜΠΑΤ. ΝΙΠ. KEVON</t>
  </si>
  <si>
    <t>81CR23</t>
  </si>
  <si>
    <t>ΜΠΑΤ. ΛΟΥΤ. KEVON</t>
  </si>
  <si>
    <t>81CR8141</t>
  </si>
  <si>
    <t>MΠΑΤ. ΛΟΥΤ. ΛΕΥΚΗ KEVON</t>
  </si>
  <si>
    <t>81WX8150</t>
  </si>
  <si>
    <t>ΜΠΑΤ. ΤΟΙΧΟΥ ΜΟΝΗ ΚΡΥΟ FIORE</t>
  </si>
  <si>
    <t>24CR0322</t>
  </si>
  <si>
    <t>MΠΑΤ. ΛΟΥΤ. ΚΥRO</t>
  </si>
  <si>
    <t>86CR8141</t>
  </si>
  <si>
    <t>ΜΠΑΤ. ΝΙΠ. KYRO</t>
  </si>
  <si>
    <t>86CR8110</t>
  </si>
  <si>
    <t>MΠΑΤ. ΝΙΠ. CLASSIC LINE</t>
  </si>
  <si>
    <t>24CR0359</t>
  </si>
  <si>
    <t>ΜΠΑΤ. ΛΟΥΤ. ALTURA MIA</t>
  </si>
  <si>
    <t>29CR1500</t>
  </si>
  <si>
    <t>ΜΠΑΤ.ΝΙΠ. ALTURA MIA</t>
  </si>
  <si>
    <t>29CR2710</t>
  </si>
  <si>
    <t>ΜΠΑΤ. ΤΟΙΧΟΥ ΡΟΥΞΟΥΝΗ CLASSIC LINE</t>
  </si>
  <si>
    <t>MΠΑΤ. ΠΑΓΚΟΥ ΚΡΥΟ CLASSIC LINE</t>
  </si>
  <si>
    <t>24CR0331</t>
  </si>
  <si>
    <t>MΠΑΤ. ΝΙΠ. ΓΕΦΥΡΑ CLASSIC LINE</t>
  </si>
  <si>
    <t>24CR0243</t>
  </si>
  <si>
    <t>ΜΠΑΤ. ΚΟΥΖ. ΨΥΛΗ ALTURA MIA</t>
  </si>
  <si>
    <t>MΠΑΤ. ΠΑΓΚΟΥ ΚΡΥΟ CANEL</t>
  </si>
  <si>
    <t>25MM</t>
  </si>
  <si>
    <t>ΜΠΑΤ. ΝΙΠ. IRIS</t>
  </si>
  <si>
    <t>ΜΠΑΤ. ΛΟΥΤ. IRIS</t>
  </si>
  <si>
    <t>MΠΑΤ. ΛΟΥΤ. JAMAICA</t>
  </si>
  <si>
    <t>ΜΠΑΤ. ΝΙΠ. JAMAICA</t>
  </si>
  <si>
    <t>ΜΠΑΤ. ΛΟΥΤ. BLACK BOX</t>
  </si>
  <si>
    <t>ΜΠΑΤ. ΝΙΠ. BLACK BOX</t>
  </si>
  <si>
    <t xml:space="preserve">ΜΠΑΤ. ΝΙΠ. ΑΥΤΟΜΑΤΗ </t>
  </si>
  <si>
    <t>MCM</t>
  </si>
  <si>
    <t>ΠΟΔΟΒΑΛΒΙΔΑ ΚΡΥΟ</t>
  </si>
  <si>
    <t>ΡΟΥΞΟΥΝΙ ΠΑΓΚΟΥ</t>
  </si>
  <si>
    <t>BYΣΜΑΤΑ ΛΕΥΚΑ</t>
  </si>
  <si>
    <t>ΝΟ 6</t>
  </si>
  <si>
    <t>ΝΟ 8</t>
  </si>
  <si>
    <t>ΝΟ 10</t>
  </si>
  <si>
    <t>ΝΟ 12</t>
  </si>
  <si>
    <t>ΒΥΣΜΑΤΑ ΜΑΥΡΑ</t>
  </si>
  <si>
    <t>ΖΟΥΜΠΟΚΑΡΦΑ</t>
  </si>
  <si>
    <t>18ΜΜ</t>
  </si>
  <si>
    <t xml:space="preserve">ΚΟΛΛΑ SOLI </t>
  </si>
  <si>
    <t>125CC</t>
  </si>
  <si>
    <t>ΒΑΣΗ ΣΥΛΛΕΚΤΗ</t>
  </si>
  <si>
    <t>Φ90 Χ 1 1/2''</t>
  </si>
  <si>
    <t>ΗΛΕΚΤΡΟΝΙΚΟΣ ΕΛΕΓΚΤΗΣ ΑΝΤΛΙΑΣ NAKAYAMA 1100W</t>
  </si>
  <si>
    <t>2BAR</t>
  </si>
  <si>
    <t>ΤΑΦ VALSIR</t>
  </si>
  <si>
    <t>ΤΑΦ ΚΑΘΑΡΙΣΜΟΥ VALSIR</t>
  </si>
  <si>
    <t>ΓΩΝΙΑ 87o VALSIR</t>
  </si>
  <si>
    <t>ΓΩΝΙΑ 67ο VALSIR</t>
  </si>
  <si>
    <t>ΓΩΝΙΑ 30ο VALSIR</t>
  </si>
  <si>
    <t>ΓΩΝΙΑ 15ο VALSIR</t>
  </si>
  <si>
    <t>ΗΜΙΤΑΦ ΣΥΣΤ. VALSIR</t>
  </si>
  <si>
    <t>Φ110 Χ Φ50</t>
  </si>
  <si>
    <t>ΤΑΦ ΣΥΣΤ. VALSIR</t>
  </si>
  <si>
    <t>ΗΜΙΤΦ ΣΥΣΤ. VALSIR</t>
  </si>
  <si>
    <t>Φ110 Χ Φ40</t>
  </si>
  <si>
    <t>ΓΩΝΙΑ 45ο VALSIR</t>
  </si>
  <si>
    <t>ΓΩΝΙΑ 87ο VALSIR</t>
  </si>
  <si>
    <t>ΣΥΣΤΟΛΗ VALSIR</t>
  </si>
  <si>
    <t>Φ125 Χ Φ110</t>
  </si>
  <si>
    <t>ΚΑΘΑΡΙΣΤΙΚΟ ΑΛΑΤΩΝ 5 ΛΙΤΡΑ</t>
  </si>
  <si>
    <t>ΓΩΝΙΑ ΔΑΠΕΔΟΥ ΣΩΜΑΤΟΣ</t>
  </si>
  <si>
    <t>ΣΧΑΡΑ ΜΕΤΑΛΛΙΚΗ</t>
  </si>
  <si>
    <t>12 Χ 12</t>
  </si>
  <si>
    <t>ΒΑΛΒΙΔΑ ΝΕΡΟΧΥΤΗ INOX</t>
  </si>
  <si>
    <t>ΣΙΦΩΝΗ ΝΕΡΟΧΥΤΗ</t>
  </si>
  <si>
    <t>ΒΑΛΒΙΔΑ ΜΠΑΝΙΕΡΑΣ FIORE</t>
  </si>
  <si>
    <t>ΜΕΣΑΙΑ</t>
  </si>
  <si>
    <t>ΜΙΚΡΗ</t>
  </si>
  <si>
    <t>ΔΑΠΕΔΟΥ ΜΕΓΑΛΗ</t>
  </si>
  <si>
    <t xml:space="preserve">ΑΣΦΑΛΕΙΑ </t>
  </si>
  <si>
    <t>10Α</t>
  </si>
  <si>
    <t>1/4</t>
  </si>
  <si>
    <t>ΑΠΟΧΕΤΕΥΣΗ A/C</t>
  </si>
  <si>
    <t>ΜΕΓΑΛΗ</t>
  </si>
  <si>
    <t>ΠΥΚΝΩΤΗΣ</t>
  </si>
  <si>
    <t>55ΜF</t>
  </si>
  <si>
    <t>45MF</t>
  </si>
  <si>
    <t>40MF</t>
  </si>
  <si>
    <t>35MF</t>
  </si>
  <si>
    <t>25MF</t>
  </si>
  <si>
    <t>3,15MF</t>
  </si>
  <si>
    <t>2MF</t>
  </si>
  <si>
    <t>ΦΙΛΤΡΟ ΠΕΤΡ.</t>
  </si>
  <si>
    <t>ΛΑΣΤΙΧΟ ΑΕΡΟΣ SPEK</t>
  </si>
  <si>
    <t>ΦΛΑΤΖΑ ΦΛΟΤΕΡ</t>
  </si>
  <si>
    <t>ΦΙΛΤΡΑΚΙ ΜΠΑΤ. ΑΡΣ.</t>
  </si>
  <si>
    <t>ΚΕΑΘEIO</t>
  </si>
  <si>
    <t>5CM</t>
  </si>
  <si>
    <t>10CM</t>
  </si>
  <si>
    <t>15CM</t>
  </si>
  <si>
    <t>20CM</t>
  </si>
  <si>
    <t>ΜΗΧΑΝΙΣΜΟΣ Β.Τ. Α</t>
  </si>
  <si>
    <t>ΜΗΧΑΝΙΣΜΟΣ ΚΕΡ. ΚΟΚΚ.</t>
  </si>
  <si>
    <t>ΜΗΧΑΝΙΣΜΟΣ ΚΕΡ. ΜΠΛΕ</t>
  </si>
  <si>
    <t>ΜΗΧΑΝΙΣΜΟΣ</t>
  </si>
  <si>
    <t>ΜΗΧΑΝΙΣΜΟΣB.T. B</t>
  </si>
  <si>
    <t>ΜΗΧΑΝΙΣΜΟΣ ΘΕΡ. X.Π. FIORE</t>
  </si>
  <si>
    <t>ΜΗΧΑΝΙΣΜΟΣ ΘΕΡ. Μ.Π. FIORE</t>
  </si>
  <si>
    <t>ΜΗΧΑΝΙΣΜΟΣ ΘΕΡ. FIORE</t>
  </si>
  <si>
    <t>ΓΩΝΙΑ ΡΑΚΟΡ</t>
  </si>
  <si>
    <t>ΦΛΑΤΖΑ GEBERIT</t>
  </si>
  <si>
    <t>ΣΥΣΤΟΛΗ ΠΛΥΝΤ.</t>
  </si>
  <si>
    <t>ΒΑΣΗ ΚΑΠΑΚΙ ΛΕΚΑΝΗΣ WC3</t>
  </si>
  <si>
    <t>ΒΑΣΗ ΚΑΠΑΚΙ ΛΕΚΑΝΗΣ ΜΕΤΑΛΛΙΚΗ</t>
  </si>
  <si>
    <t>ΒΑΣΗ ΣΩΜΑΤΟΣ ΦΕΤΕΣ</t>
  </si>
  <si>
    <t xml:space="preserve">ΤΑΦ Μ. ΠΑΡΟΧΗ PPR </t>
  </si>
  <si>
    <t>ΑΡΣ. Φ32 Χ 1''</t>
  </si>
  <si>
    <t>ΡΟΖΕΤΑ ΜΠΑΤΑΡΙΑΣ</t>
  </si>
  <si>
    <t>ΤΑΠΑ ΝΙΠΤΗΡΑ</t>
  </si>
  <si>
    <t>Φ37</t>
  </si>
  <si>
    <t>ΡΟΖΕΤΑ ΟΡ. ΦΛΑΤ</t>
  </si>
  <si>
    <t>ΣΤΗΡΙΓΜΑ ΝΙΠΤΗΡΑ</t>
  </si>
  <si>
    <t>4CM</t>
  </si>
  <si>
    <t>ΠΕΝΤΑΟΔΟ ΟΡ.</t>
  </si>
  <si>
    <t>ΝΙΠΕΛ ΟΡ.</t>
  </si>
  <si>
    <t>ΜΟΥΦΕΣ ΟΡ.</t>
  </si>
  <si>
    <t>ΤΑΠΑ ΟΡ.</t>
  </si>
  <si>
    <t>ΡΑΚΟΡ ΜΠΑΤ.</t>
  </si>
  <si>
    <t>ΑΡΣ. 1/2</t>
  </si>
  <si>
    <t xml:space="preserve">ΒΑΣΗ ΜΠΑΤ. </t>
  </si>
  <si>
    <t>1 ΤΡΥΠΑ</t>
  </si>
  <si>
    <t>2 ΤΡΥΠΕΣ</t>
  </si>
  <si>
    <t>ΚΑΜΙΝΑΔΑ ΠΛΑΣΤΙΚΗ ΤΑΦ ΜΕΤΡΗΣΗΣ</t>
  </si>
  <si>
    <t>ΚΑΜΙΝΑΔΑ ΠΛΑΣΤΙΚΗ ΗΜΙΤΑΦ ΜΕΤΡΗΣΗΣ</t>
  </si>
  <si>
    <t>Φ80 Χ Φ63</t>
  </si>
  <si>
    <t>ΚΑΜΙΝΑΔΑ ΠΛΑΣΤΙΚΗ ΓΩΝΙΑ 30ο</t>
  </si>
  <si>
    <t>ΚΑΜΙΝΑΔΑ ΠΛΑΣΤΙΚΗ ΓΩΝΙΑ 60ο</t>
  </si>
  <si>
    <t>ΚΑΜΙΝΑΔΑ ΠΛΑΣΤΙΚΗ ΓΩΝΙΑ 45ο</t>
  </si>
  <si>
    <t>ΚΑΜΙΝΑΔΑ ΠΛΑΣΤΙΚΗ ΓΩΝΙΑ 87ο</t>
  </si>
  <si>
    <t>ΣΠΙΡΑΛ ΚΟΥΖΙΝΑΣ 150CM</t>
  </si>
  <si>
    <t>ΤΗΛΕΦΩΝΟ ΝΤΟΥΖ</t>
  </si>
  <si>
    <t>CLARETTA</t>
  </si>
  <si>
    <t>DELTA</t>
  </si>
  <si>
    <t>ΕΙΣΑΓΩΓΗ ΠΛΥΝΤ. ΛΑΣΤΙΧΟ</t>
  </si>
  <si>
    <t>2Μ</t>
  </si>
  <si>
    <t>1,5Μ</t>
  </si>
  <si>
    <t>ΚΑΜΠΥΛΗ ΛΑΣΤΙΧΟΥ ΠΛΥΝΤ.</t>
  </si>
  <si>
    <t>ΝΙΠΕΛ ΠΛΑΣΤ.</t>
  </si>
  <si>
    <t>ΣΤΗΡΙΓΜΑ ΝΤΟΥΖ VIOSPIRAL</t>
  </si>
  <si>
    <t>ΜΕΤΑΛΛΙΚΟ</t>
  </si>
  <si>
    <t>ΒΑΛΒΙΔΑ ΝΙΠ. ΜΕΤΑΛΛΙΚΗ</t>
  </si>
  <si>
    <t>ΒΑΛΒΙΔΑ ΛΟΥΤΡΟΥ ΟΡ.</t>
  </si>
  <si>
    <t>1 1/2'' Χ Φ40</t>
  </si>
  <si>
    <t>ΤΑΠΑ ΝΙΠΤΗΡΑ ΜΕΤΑΛΛΙΚΗ ΣΕΤ</t>
  </si>
  <si>
    <t>ΒΑΣΗ ΣΤΗΡΙΞΗΣ KAZANAKI VIOSPIRAL</t>
  </si>
  <si>
    <t>ΒΑΛΒΙΔΑ ΛΟΥΤΡΟΥ ΣΕΤ</t>
  </si>
  <si>
    <t>ΤΑΠΑ ΛΑΣΤΙΧΟ ΜΕ ΑΛΥΣΙΔΑ ΝΙΠΤΗΡΑ</t>
  </si>
  <si>
    <t>ΒΑΛΒΙΔΑ ΠΛΑΣΤΙΚΗ ΝΙΠΤ.</t>
  </si>
  <si>
    <t>1 1/4'' Χ Φ63</t>
  </si>
  <si>
    <t>ΣΥΦΩΝ ΣΠΙΡΑΛ Β.Τ.</t>
  </si>
  <si>
    <t>1 1/4'' Χ Φ32</t>
  </si>
  <si>
    <t>Φ70</t>
  </si>
  <si>
    <t>ΜΗΧΑΝΙΣΜΟΣ ΑΕΡΟΣ SPEK</t>
  </si>
  <si>
    <t>ΑΝΤΑΛΛΑΚΤΙΚΟ ΦΙΛΤΡΟ ΝΕΡΟΥ 10'' ΑΤΛΑΣ</t>
  </si>
  <si>
    <t>ΑΝΘΡΑΚΑ</t>
  </si>
  <si>
    <t>ΑΝΤΑΛΛΑΚΤΙΚΟ ΦΙΛΤΡΟ ΝΕΡΟΥ 0,5 MATRIX</t>
  </si>
  <si>
    <t>ΑΝΤΑΛΛΑΚΤΙΚΟ ΦΙΛΤΡΟ ΝΕΡΟΥ</t>
  </si>
  <si>
    <t>R2</t>
  </si>
  <si>
    <t>ΦΛΑΤΖΑ ΚΑΖΑΝΑΚΙ ΕΜΑΝΟΥΕΛΑ</t>
  </si>
  <si>
    <t>ΦΛΑΤΖΑ ΚΑΖΑΝΑΚΙ AVEIRO</t>
  </si>
  <si>
    <t>ΦΛΟΤΕΡ ΠΛΑΣΤ. SPEK</t>
  </si>
  <si>
    <t>ΦΛΟΤΕΡ ΟΡ. SPEK</t>
  </si>
  <si>
    <t>ΦΛΟΤΕΡ KARIBA NORMA</t>
  </si>
  <si>
    <t>ΦΛΟΤΕΡ ΟΡ.</t>
  </si>
  <si>
    <t>ΦΛΑΤΖΑ ΜΕΤΑΛΛΙΚΗ</t>
  </si>
  <si>
    <t>ΦΟΥΣΚΑ ΦΛΟΤΕΡ ΜΙΚΡΗ</t>
  </si>
  <si>
    <t>ΣΕΤ ΒΙΔΕΣ ΚΑΖΑΝΑΚΙ</t>
  </si>
  <si>
    <t>ΚΑΖΑΝΑΚΙ ΠΛΑΣΤ. KARIBA</t>
  </si>
  <si>
    <t>ΦΙΑΛΗ MAP GAZ</t>
  </si>
  <si>
    <t>ΑΛΟΙΦΗ ΧΑΛΚΟΥ</t>
  </si>
  <si>
    <t>Συνολική Τιμή Πώλησης με ΦΠΑ (αποθήκης)</t>
  </si>
  <si>
    <t>Συνολική Τιμή αγοράς (αποθήκης)</t>
  </si>
  <si>
    <t>Search</t>
  </si>
  <si>
    <t>Data Valdiation Prep. Product</t>
  </si>
  <si>
    <t>Data Valdiation Prep. Sub</t>
  </si>
  <si>
    <t>search</t>
  </si>
  <si>
    <t>ΘΗΛ. Φ16</t>
  </si>
  <si>
    <t>ΘΗΛ. Φ18</t>
  </si>
  <si>
    <t>ΘΗΛ. Φ20 Χ 1/2</t>
  </si>
  <si>
    <t>ΘΗΛ. Φ20 Χ 3/4</t>
  </si>
  <si>
    <t>ΘΗΛ. Φ26</t>
  </si>
  <si>
    <t>ΘΗΛ. Φ15</t>
  </si>
  <si>
    <t>ΘΗΛ. Φ18 Χ 2</t>
  </si>
  <si>
    <t>ΘΗΛ. Φ18 Χ 2,5</t>
  </si>
  <si>
    <t>ΘΗΛ. Φ22</t>
  </si>
  <si>
    <t>ΘΗΛ. Φ28</t>
  </si>
  <si>
    <t>ΘΗΛ. Φ32</t>
  </si>
  <si>
    <t>ΘΗΛ. Φ16 Χ 1/2</t>
  </si>
  <si>
    <t>ΘΗΛ. Φ18 Χ 1/2 Χ Φ18</t>
  </si>
  <si>
    <t>ΘΗΛ. Φ15 Χ 1/2 Χ Φ15</t>
  </si>
  <si>
    <t>ΘΗΛ. 1/2</t>
  </si>
  <si>
    <t>ΘΗΛ. 3/4</t>
  </si>
  <si>
    <t>ΦΙΛΤΡΑΚΙ ΜΠΑΤ. ΘΗΛ.</t>
  </si>
  <si>
    <t>ΘΗΛ. 1''</t>
  </si>
  <si>
    <t>ΣΥΣΤΟΛΙΚΟ ΤΑΦ ΓΑΛ</t>
  </si>
  <si>
    <t>1'' Χ 1/2 Χ 1''</t>
  </si>
  <si>
    <t>ΛΑΣΤΙΧΟ ΗΛΙΑΚΟΥ</t>
  </si>
  <si>
    <t>1 1/2'' Χ 1/2</t>
  </si>
  <si>
    <t>ΒΑΝΑΚΙ ΑΣΦΑΛΕΙΑΣ</t>
  </si>
  <si>
    <t xml:space="preserve">Για επεξεργασία ήδη υπάρχοντος ακολουθείστε τις οδηγίες όπως παραπάνω και έπειτα πατήστε το κουμπί ΠΡΟΣΘΗΚΗ ΣΤΟΝ ΚΑΤΑΛΟΓΟ. </t>
  </si>
  <si>
    <t>ΣΥΣΤΟΛΗ ΑΓΓΛΙΑΣ ΓΑΛ</t>
  </si>
  <si>
    <t>ΣΥΣΤΟΛΙΚΟ ΝΙΠΕΛ ΓΑΛ</t>
  </si>
  <si>
    <t>ΣΥΣΤΟΛΗ ΑΜΕΡΙΚΗΣ ΓΑΛ</t>
  </si>
  <si>
    <t>1 1/4'' Χ  1/2</t>
  </si>
  <si>
    <t>2'' Χ 1 1/4''</t>
  </si>
  <si>
    <t>ΣΥΣΤΟΛΗ ΑΜΕΡΙΚΗΣ ΟΡ</t>
  </si>
  <si>
    <t>ΣΥΣΤΟΛΙΚΟ ΝΙΠΕΛ ΟΡ</t>
  </si>
  <si>
    <t>ΒΑΝΑΚΙ ΓΩΝΙΑΚΟ B.F. ΜΕ ΡΟΖΕΤΑ</t>
  </si>
  <si>
    <t xml:space="preserve">ΒΑΝΑΚΙ ΓΩΝΙΑΚΟ B.F. ΜΕ ΡΟΖΕΤΑ </t>
  </si>
  <si>
    <t>ΓΩΝΙΑ PPR ΘΗΛΥΚΗ</t>
  </si>
  <si>
    <t>ΛΕΒΗΤΑΣ RIELLO TREGI</t>
  </si>
  <si>
    <t>3N</t>
  </si>
  <si>
    <t>4N</t>
  </si>
  <si>
    <t>ΘΕΡΜΟΣΙΦΩΝΑΣ MAGNA ΚΑΘΕΤΟΣ</t>
  </si>
  <si>
    <t xml:space="preserve">A/C  CARRIER VENTUS SUPREME </t>
  </si>
  <si>
    <t>ΣΠΙΡΑΛ ΝΙΠΤΗΡΑ 50 CM</t>
  </si>
  <si>
    <t xml:space="preserve">Φ125 Χ Φ100 </t>
  </si>
  <si>
    <t>ΑΡΣ Φ125 Χ Φ100</t>
  </si>
  <si>
    <t>ΜΟΥΦΑ ΑΡΔ.</t>
  </si>
  <si>
    <t>ΙΝΟΧ Φ50</t>
  </si>
  <si>
    <t xml:space="preserve">ΔΙΑΣΤΟΛΗ ΑΓΓ. ΑΡΣ. PVC </t>
  </si>
  <si>
    <t xml:space="preserve">ΜΗΧΑΝΟΣΙΦΩΝΑΣ SPECIAL PVC </t>
  </si>
  <si>
    <t>ΣΥΣΤΟΛΙΚΟ HMIΤΑΦ PVC</t>
  </si>
  <si>
    <t>ΓΩΝΙΑ ΚΑΘΕΤΗ PVC</t>
  </si>
  <si>
    <t>ΠΡΟΕΚΤΑΣΗ ΠΑΤΩΣΙΦΩΝΟΥ PVC</t>
  </si>
  <si>
    <t>ΗΜΙΓΩΝΙΑ ΚΑΘΕΤΗ PVC</t>
  </si>
  <si>
    <t>ΚΑΝΟΥΛΑ BUGATTI</t>
  </si>
  <si>
    <t>ΚΑΝΟΥΛΑ DF BUGATTI</t>
  </si>
  <si>
    <t>ΚΕΦΑΛΑΡΙ ΕΝΤΟΙΧΙΣΜΟΥ</t>
  </si>
  <si>
    <t>Φ25 Χ 3/4</t>
  </si>
  <si>
    <t>ΤΟΥΡΚΙΑΣ</t>
  </si>
  <si>
    <t>ΣΥΣΤΟΛΙΚΟ ΤΑΦ ΧΑΛΚΟΥ</t>
  </si>
  <si>
    <t>ΣΤΗΡΙΓΜΑ ΜΕΤΑΛΛΙΚΟ Β.Τ. RIM</t>
  </si>
  <si>
    <t>ΣΤΗΡΙΓΜΑ ΜΕΤΑΛΛΙΚΟ ΛΑΣΤ Β.Τ. PRATIKO</t>
  </si>
  <si>
    <t>ΣΤΗΡΙΓΜΑ ΜΕΤΑΛΛΙΚΟ B.T. RIM</t>
  </si>
  <si>
    <t>ΣΤΗΡΙΓΜΑ ΜΕΤΑΛΛΙΚΟ B.T. PRATIKO</t>
  </si>
  <si>
    <t>Μ8</t>
  </si>
  <si>
    <t>NTIZOΣΤΡΙΦΩΝO 80MM</t>
  </si>
  <si>
    <t>NTIZOΣΤΡΙΦΩΝO 100MM</t>
  </si>
  <si>
    <t>NTIZOΣΤΡΙΦΩΝO 120MM</t>
  </si>
  <si>
    <t>ΡΑΚΟΡ ΠΟΛ. TIEMME</t>
  </si>
  <si>
    <t>ΡΑΚΟΡ ΠΛΑΣΤ. TIEMME</t>
  </si>
  <si>
    <t>Φ22 Χ Φ22</t>
  </si>
  <si>
    <t>ΑΡΣ. Φ40 X 1 1/4''</t>
  </si>
  <si>
    <t>ΘΗΛ. Φ40X 1 1/4''</t>
  </si>
  <si>
    <t>ΘΥΛ. 1/2</t>
  </si>
  <si>
    <t>ΑΡΣ.3/4</t>
  </si>
  <si>
    <t>ΥΓΡΟ ΑΠΟΦΡΑΚΤΙΚΟ ANTITUBE</t>
  </si>
  <si>
    <t>ΔΟΧΕΙΟ ΔΙΑΣΤΟΛΗΣ REFLEX</t>
  </si>
  <si>
    <t>ΣΩΜΑ SPLENDID</t>
  </si>
  <si>
    <t>ΣΩΜΑ SPLENDID W/C</t>
  </si>
  <si>
    <t xml:space="preserve">ΓΩΝΙΑ ΓΑΛ  G.F </t>
  </si>
  <si>
    <t>ΝΙΠΕΛ ΓΑΛ G.F</t>
  </si>
  <si>
    <t>ΜΟΥΦΑ ΓΑΛ G.F</t>
  </si>
  <si>
    <t>ΤΑΦ ΓΑΛ G.F</t>
  </si>
  <si>
    <t>ΤΑΠΑ ΓΑΛ G.F</t>
  </si>
  <si>
    <t>ΡΑΚΟΡ ΓΑΛ G.F</t>
  </si>
  <si>
    <t>ΣΩΛ/ΜΑΣΤΟΣ ΓΑΛ RIM</t>
  </si>
  <si>
    <t xml:space="preserve">ΣΩΛΗΝΑ PVC UNIFAS </t>
  </si>
  <si>
    <t>Φ15 X 0,8</t>
  </si>
  <si>
    <t>Φ18 X 0,8</t>
  </si>
  <si>
    <t>Φ22 X 0,9</t>
  </si>
  <si>
    <t>Φ28 X 0,9</t>
  </si>
  <si>
    <t>Φ35 X 1,00</t>
  </si>
  <si>
    <t>Φ42</t>
  </si>
  <si>
    <t xml:space="preserve">ΜΟΥΦΑ SOLI </t>
  </si>
  <si>
    <t>Φ57/50</t>
  </si>
  <si>
    <t>Φ57/63</t>
  </si>
  <si>
    <t>Φ32 Χ 1 1/2''</t>
  </si>
  <si>
    <t>ΓΩΝΙΑ ΜΠΑΝΙΕΡΑΣ ΟΡ SOLI</t>
  </si>
  <si>
    <t>ΣΩΛΗΝΑ ΠΛΑΣΤ. ΕΝΔΟΔ. GIACOMINI</t>
  </si>
  <si>
    <t>ΚΑΠΕΛΟ ΑΠΛΟ ΙΝΟΧ</t>
  </si>
  <si>
    <t>ΣΩΛΗΝΑ ΓΑΛ</t>
  </si>
  <si>
    <t>ΣΠΙΡΑΛ ΠΛΑΣΤ ΚΟΚΚΙΝΟ</t>
  </si>
  <si>
    <t>ΣΠΙΡΑΛ ΠΛΑΣΤ</t>
  </si>
  <si>
    <t>ΣΩΛΗΝΑ ΠΛΑΣΤ ΜΑΥΡΗ COMOPEX</t>
  </si>
  <si>
    <t>ΣΩΛΗΝΑ ΠΛΑΣΤ ΛΕΥΚΗ COMOPEX</t>
  </si>
  <si>
    <t>ΣΩΛΗΝΑ ΠΛΑΣΤ ΜΠΛΕ COMOFLEX</t>
  </si>
  <si>
    <t>ΣΩΛΗΝΑ ΠΟΛ UPONOR</t>
  </si>
  <si>
    <t>ΣΩΛΗΝΑ ΠΟΛ GIACOMINI</t>
  </si>
  <si>
    <t>ΣΩΛΗΝΑ ΠΟΛ ΜΟΝΩΜΕΝΗ GIACOMINI</t>
  </si>
  <si>
    <t>ΦΡΕΑΤΙΟ ΠΛΑΣΤ</t>
  </si>
  <si>
    <t>ΚΑΠΑΚΙ ΦΡΕΑΤΙΟΥ ΠΛΑΣΤ</t>
  </si>
  <si>
    <t>ΛΕΒΗΤΑΣ ΣΥΜΠ WOLF COB</t>
  </si>
  <si>
    <t>ΘΕΡΜΟΜΕΤΡΟ ΕΒΑΠΤ</t>
  </si>
  <si>
    <t>ΘΕΡΜΟΜΕΤΡΟ ΕΒΑΠΤ ΜΙΚΡΟ</t>
  </si>
  <si>
    <t>ΘΕΡΜΟΜΕΤΡΟ ΕΒΑΠΤ HANSA</t>
  </si>
  <si>
    <t>ΘΕΡΜΟΣΤΑΤΗΣ ΕΒΑΠΤ HANSA</t>
  </si>
  <si>
    <t>ΘΕΡΜΟΑΣΤΑΤΗΣ ΕΒΑΠΤ IMIT</t>
  </si>
  <si>
    <t>ΗΛΕΚΤΡΟΒΑΝΑ CIM</t>
  </si>
  <si>
    <t>ΜΑΓΝΗΤΙΚΗ ΠΕΤΡ ΚΛ ΡΟΗΣ CEME</t>
  </si>
  <si>
    <t>ΜΑΓΝΗΤΙΚΗ ΠΕΤΡ ΑΝ ΡΟΗΣ CEME</t>
  </si>
  <si>
    <t>ΡΑΚΟΡ ΔΙΑΚ DANFOSS</t>
  </si>
  <si>
    <t>ΡΑΚΟΡ ΔΙΑΚ CALEFFI</t>
  </si>
  <si>
    <t>ΙΣΙΟΣ ΔΙΑΚ ΣΩΜ CALEFFI</t>
  </si>
  <si>
    <t>ΓΩΝΙΑΚΟΣ ΔΙΑΚ ΣΩΜ CALEFFI</t>
  </si>
  <si>
    <t>ΓΩΝΙΑΚΟΣ ΔΙΑΚ ΣΩΜ GIACOMINI</t>
  </si>
  <si>
    <t>AYTOMATO ΕΞΑΕΡ PINTOSSIC</t>
  </si>
  <si>
    <t>AYTΟΜΑΤΟ ΕΞΑΕΡ PINTOSSIC</t>
  </si>
  <si>
    <t>ΑΥΤΟΜΑΤΟ ΕΞΑΕΡ SATURN</t>
  </si>
  <si>
    <t>ΑΥΤΟΜΑΤΟΣ ΠΛΗΡΩΤΗΣ CALEFFI</t>
  </si>
  <si>
    <t>BAΛΒΙΔΑ ΑΣΦ CALEFFI 3BAR</t>
  </si>
  <si>
    <t>BΑΛΒΙΔΑ ΑΣΦ PRESCOR 3BAR</t>
  </si>
  <si>
    <t>ΒΑΛΒΙΔΑ ΑΣΦ CALEFFI SOLAR 3BAR</t>
  </si>
  <si>
    <t>ΒΑΛΒΙΔΑ ΑΣΦ CALEFFI 4ΒΑR</t>
  </si>
  <si>
    <t>BΑΛΒΙΔΑ ΑΣΦ CALEFFI 3ΒΑR</t>
  </si>
  <si>
    <t>ΒΑΛΒΙΔΑ ΑΣΦ CALEFFI 3ΒΑR</t>
  </si>
  <si>
    <t>ΒΙΔΕΣ ΣΤΙΡ ΧΑΛΚΟΥ</t>
  </si>
  <si>
    <t>ΒΑΛΒΙΔΑ ΨΥΞΗΣ ΜΕ ΕΣΘ CALEFFI</t>
  </si>
  <si>
    <r>
      <t>ΒΑΛΒΙΔΑ ΑΣΦ 90</t>
    </r>
    <r>
      <rPr>
        <vertAlign val="superscript"/>
        <sz val="11"/>
        <color theme="1"/>
        <rFont val="Calibri"/>
        <family val="2"/>
        <charset val="161"/>
        <scheme val="minor"/>
      </rPr>
      <t>ο</t>
    </r>
    <r>
      <rPr>
        <sz val="11"/>
        <color theme="1"/>
        <rFont val="Calibri"/>
        <family val="2"/>
        <charset val="161"/>
        <scheme val="minor"/>
      </rPr>
      <t>C 3BAR CALEFFI</t>
    </r>
  </si>
  <si>
    <t>ΘΕΡΜΟΣΤΑΤΗΣ ΞΥΛ ΑΛΥΣΙΔΑ ICMA</t>
  </si>
  <si>
    <t>ΣΥΣΚΕΥΗ ΦΙΛΤΡΟΥ ΠΟΣ ΝΕΡΟΥ Κ. ΠΑΓΚΟΥ + ΒΡΥΣΗ 10''</t>
  </si>
  <si>
    <t>ΓΩΝΙΑ ΠΛΑΣΤ</t>
  </si>
  <si>
    <t>ΡΑΚΟΡ ΣΥΣΦ PPR</t>
  </si>
  <si>
    <t>ΤΑΦ ΠΛΑΣΤ</t>
  </si>
  <si>
    <t>ΤΑΦ ΠΟΛ</t>
  </si>
  <si>
    <t>ΓΩΝΙΑ ΠΟΛ</t>
  </si>
  <si>
    <t>ΡΑΚΟΡ ΣΥΣΦ ΧΑΛΚΟΥ</t>
  </si>
  <si>
    <t>ΣΥΝΔΕΣΜΟΣ ΣΥΣΦ ΧΑΛΚΟΥ</t>
  </si>
  <si>
    <t>ΡΑΚΟΡ ΣΥΣΦ ΣΙΔΕΡ ΟΡ CIM</t>
  </si>
  <si>
    <t>ΣΥΝΔΕΣΜΟΣ ΠΛΑΣΤ BUGATTI</t>
  </si>
  <si>
    <t>ΡΑΚΟΡ ΠΛΑΣΤ BUGATTI</t>
  </si>
  <si>
    <t>ΓΩΝΙΑ ΗΛΙΑΚΟΥ OΡ TIEMME</t>
  </si>
  <si>
    <t>ΓΩΝΙΑ ΗΛΙΑΚΟΥ OΡTIEMME</t>
  </si>
  <si>
    <t>ΓΩΝΙΑ ΠΛΑΣΤ OΡ TIEMME</t>
  </si>
  <si>
    <t>ΣΥΝΔΕΣΜΟΣ ΠΛΑΣΤ TIEMME</t>
  </si>
  <si>
    <t>ΓΩΝΙΑ ΕΛΙΚ ΙΝΟΧ</t>
  </si>
  <si>
    <t>ΗΜΙΓΩΝΙΑ ΕΛΙΚ ΙΝΟΧ</t>
  </si>
  <si>
    <t>ΣΩΛΗΝΑ ΕΛΙΚ ΙΝΟΧ 100CM</t>
  </si>
  <si>
    <t>ΣΩΛΗΝΑ ΙΝΟΧ 25CM</t>
  </si>
  <si>
    <t>ΣΠΙΡΑΛ ΑΛΟΥΜΙΝΙΟΥ</t>
  </si>
  <si>
    <t>24CR0283</t>
  </si>
  <si>
    <t>29CR4631</t>
  </si>
  <si>
    <t>ΜΠΑΤ. ΚΟΥΖ. KRAMER TEVERE</t>
  </si>
  <si>
    <t>TV620</t>
  </si>
  <si>
    <t>40ΜΜ</t>
  </si>
  <si>
    <t>ΣΥΛΙΚΟΝΗ ΛΕΥΚΗ WURTH</t>
  </si>
  <si>
    <t>ΣΥΛΙΚΟΝΗ ΔΙΑΦΑΝΗ WURTH</t>
  </si>
  <si>
    <t>1/2 X 1'' X 1/2</t>
  </si>
  <si>
    <t>ΔΙΑΚΟΠΤΗΣ ΣΩΜ VENTIL</t>
  </si>
  <si>
    <t>8 ΤΡΥΠΕΣ Φ120</t>
  </si>
  <si>
    <t>ΟΒΑΛ ΜΙΚΡΗ</t>
  </si>
  <si>
    <t>ΟΒΑΛ ΜΕΓΑΛΗ</t>
  </si>
  <si>
    <t>ΣΥΛΛΕΚΤΗΣ ΟΡ 2 ΠΑΡΟΧΩΝ</t>
  </si>
  <si>
    <t>ΣΥΛΛΕΚΤΗΣ ΟΡ 3 ΠΑΡΟΧΩΝ</t>
  </si>
  <si>
    <t>ΣΥΛΛΕΚΤΗΣ ΟΡ 4 ΠΑΡΟΧΩΝ</t>
  </si>
  <si>
    <t>ΣΥΛΛΕΚΤΗΣ ΟΠ 5 ΠΑΡΟΧΩΝ</t>
  </si>
  <si>
    <t>ΤΑΦ ΟΡ ΣΥΛΛΕΚΤΗ</t>
  </si>
  <si>
    <t>ΦΙΛΤΡΟ ΟΡ ΛΟΞΟ GIACOMINI</t>
  </si>
  <si>
    <t>ΒΑΛΒΙΔΑ ΑΝΤ YORK</t>
  </si>
  <si>
    <t xml:space="preserve">ΑΝΤΙΣΤΑΣΗ ΘΕΡΜ 4000W </t>
  </si>
  <si>
    <t>ΑΝΤΙΣΤΑΣΗ ΘΕΡΜ 4000W</t>
  </si>
  <si>
    <t>ΘΕΡΜΟΣΤΑΤΗΣ ΘΕΡΜ</t>
  </si>
  <si>
    <t>ΒΑΛΒΙΔΑ ΑΝΤ ΟΡ</t>
  </si>
  <si>
    <t>4 ΕΠΑΦΩΝ</t>
  </si>
  <si>
    <t>ΒΑΛΒΙΔΑ ΘΕΡΜ ΑΝΤ 12-14</t>
  </si>
  <si>
    <t>ΒΑΛΒΙΔΑ ΗΛΙΑΚΟΥ Β.Τ.</t>
  </si>
  <si>
    <t>ΒΑΛΒΙΔΑ ΝΕΡΟΧΥΤΗ BONOMINI</t>
  </si>
  <si>
    <t>ΒΑΛΒΙΔΑ ΝΙΠΤΗΡΑ ΜΕΤΑΛΛΙΚΗ</t>
  </si>
  <si>
    <t>ΤΑΦ 70ο VALSIR</t>
  </si>
  <si>
    <t>ΒΑΣΗ ΣΩΜΑΤΟΣ ΔΑΠΕΔΟΥ WEMEFA</t>
  </si>
  <si>
    <t>ΣΥΣΤΟΛΗ ΜΕ ΛΑΣΤΙΧΟ REDI</t>
  </si>
  <si>
    <t>ΓΩΝΙΑ PVC 22ο REDI</t>
  </si>
  <si>
    <t>ΓΩΝΙΑ ΚΟΝΤΗ PVC 30ο REDI</t>
  </si>
  <si>
    <t>ΤΑΙΝΙΑ ΦΑΡΔΙΑ ΛΕΥΚΗ WONDER</t>
  </si>
  <si>
    <t>ΤΑΙΝΙΑ ΣΤΕΝΗ ΛΕΥΚΗ WONDER</t>
  </si>
  <si>
    <t>ΤΑΙΝΙΑ ΦΑΡΔΙΑ ΜΑΥΡΗ WONDER</t>
  </si>
  <si>
    <t>ΤΑΙΝΙΑ ΣΤΕΝΗ ΜΑΥΡΗ WONDER</t>
  </si>
  <si>
    <t>ΣΧΑΡΑ ΜΕΤΑΛΛΙΚΗ ΣΤΡ</t>
  </si>
  <si>
    <t>ΒΑΛΒΙΔΑ ΝΕΡΟΧΥΤΗ ΜΕ ΥΠΕΡ ΙΝΟΧ</t>
  </si>
  <si>
    <t>ΤΑΦ ΠΛΑΣΤ A/C</t>
  </si>
  <si>
    <t>ΣΥΝΔΕΣΜΟΣ ΠΛΑΣΤ A/C</t>
  </si>
  <si>
    <t>ΨΗ ΠΛΑΣΤ A/C</t>
  </si>
  <si>
    <t>ΚΑΠΑΚΙ ΤΕΡΜ ΚΑΝΑΛΙ A/C</t>
  </si>
  <si>
    <t>ΓΩΝΙΑ ΠΛΑΓΙΑ ΚΑΝΑΛΙ A/C</t>
  </si>
  <si>
    <t>ΓΩΝΙΑ ΕΣΩΤΕΡΙΚΗ ΚΑΝΑΛΙ A/C</t>
  </si>
  <si>
    <t>ΓΩΝΙΑ ΕΞΩΤΕΡΙΚΗ ΚΑΝΑΛΙ A/C</t>
  </si>
  <si>
    <t>ΣΩΛΗΝΑ ΧΑΛΚΟΥ A/C</t>
  </si>
  <si>
    <t>1/4 X 0,8</t>
  </si>
  <si>
    <t>3/8 X 0,8</t>
  </si>
  <si>
    <t>5/8 X 1</t>
  </si>
  <si>
    <t>3/4 X 1</t>
  </si>
  <si>
    <t>1/2 0,8</t>
  </si>
  <si>
    <t>ΒΑΣΗ ΣΕΤ A/C</t>
  </si>
  <si>
    <t>ΒΑΣΗ ΟΡΟΦΗΣ ΣΕΤ A/C</t>
  </si>
  <si>
    <t>ΔΑΠΕΔΟΥ ΜΙΚΡΗ</t>
  </si>
  <si>
    <t>7Ε</t>
  </si>
  <si>
    <t xml:space="preserve">ΜΠΟΥΤΟΝ ΑΕΡΟΣ SPEK </t>
  </si>
  <si>
    <t>Ν2</t>
  </si>
  <si>
    <t>Ν7Ε</t>
  </si>
  <si>
    <t>Ν1</t>
  </si>
  <si>
    <t>ΦΛΑΤΖΑ ΑΕΡΟΣ SPEK ΦΟΥΣΚΑ</t>
  </si>
  <si>
    <t>ΦΛΟΤΕΡ ΟΡ. ΠΥΘΜΕΝΟΣ ALCAPLAST</t>
  </si>
  <si>
    <t>ΦΛΟΤΕΡ ΠΛΑΣΤ. ΠΥΘΜΕΝΟΣ ALCAPLAST</t>
  </si>
  <si>
    <t>ΦΛΟΤΕΡ ΟΡ. ΠΛΑΓΙΟ ALCAPLAST</t>
  </si>
  <si>
    <t>ΣΥΦΩΝ ΣΠΙΡΑΛ ΡΑΚΟΡ SPEK</t>
  </si>
  <si>
    <t>ΠΑΡΟΧΗ ΠΛΥΝΤ. ΓΙΑ ΣΥΦΩΝΗ ALCAPLAST</t>
  </si>
  <si>
    <t>ΒΑΛΒΙΔΑ ΑΥΤ ΜΕΤΑΛΛΙΚΗ Μ. ΥΠΕΡ</t>
  </si>
  <si>
    <t>ΒΑΛΒΙΔΑ ΑΥΤ. ΜΕΤΑΛΛΙΚΗ Χ. ΥΠΕΡ</t>
  </si>
  <si>
    <t>ΣΠΙΡΑΛ ΛΟΥΤΡΟΥ 150CM VIOSPIRAL</t>
  </si>
  <si>
    <t>JULIA BLISTER</t>
  </si>
  <si>
    <t>FIORE</t>
  </si>
  <si>
    <t>ΒΑΣΗ ΤΗΛΕΦΩΝΟΥ FIORE</t>
  </si>
  <si>
    <t>ΒΑΣΗ ΤΗΛΕΦΩΝΟΥ</t>
  </si>
  <si>
    <t>ΓΩΝΑΤΟ ΜΠΑΤ FIORE</t>
  </si>
  <si>
    <t>ΓΩΝΑΤΟ ΜΠΑΤ ΚΑΝΑΔΑ</t>
  </si>
  <si>
    <t>ΓΩΝΑΤΟ ΜΠΑΤ REGINA</t>
  </si>
  <si>
    <t>ΡΑΚΟΡ ΜΠΑΤ REGINA</t>
  </si>
  <si>
    <t>ΡΟΖΕΤΑ ΠΟΜΠΕ BF</t>
  </si>
  <si>
    <t>ΡΟΖΕΤΑ ΙΣΙΑ BF</t>
  </si>
  <si>
    <t>ΑΡΣ. 1/2 X Φ10</t>
  </si>
  <si>
    <t>ΘΗΛ. 1/2 Χ Φ10</t>
  </si>
  <si>
    <t>ΜΗΧΑΝΙΣΜΟΣ ΘΕΡ. Χ.Π. SEDAL</t>
  </si>
  <si>
    <t>ΜΗΧΑΝΙΣΜΟΣ ΘΕΡ. Μ.Π. SEDAL</t>
  </si>
  <si>
    <t>ΕΞΟΔΟΣ ΠΛ ΕΚ  ALCAPLAST</t>
  </si>
  <si>
    <t>ΤΑΠΑ ΚΑΝΑΛΙ ALCAPLAST</t>
  </si>
  <si>
    <t>ΠΕΡΣΙΔΑ ΕΞΑΕΡΣΙΜΟΥ  ΣΤΡΟΓ ΠΛ</t>
  </si>
  <si>
    <t xml:space="preserve">ΠΕΡΣΙΔΑ ΣΥΣΤΟΛΙΚΗ </t>
  </si>
  <si>
    <t>Φ125-100</t>
  </si>
  <si>
    <t>75X60X2000</t>
  </si>
  <si>
    <t>ΚΑΜΙΝΑΔΑ ΠΛΑΣΤΙΚΗ  Φ80</t>
  </si>
  <si>
    <t>ΚΑΜΙΝΑΔΑ ΠΛΑΣΤΙΚΗ Φ80</t>
  </si>
  <si>
    <t>ΚΑΜΙΝΑΔΑ ΠΛΑΣΤΙΚΗ + Σ Μ Φ80</t>
  </si>
  <si>
    <t>25 CM</t>
  </si>
  <si>
    <t>ΓΩΝΙΑ ΤΕΡΜ ΠΟΛ AYT</t>
  </si>
  <si>
    <t>ΓΩΝΙΑ ΤΕΡΜ. ΠΛΑΣΤ AYT</t>
  </si>
  <si>
    <t>ΣΥΣΚΕΥΗ ΦΙΛΤΟΥ ΠΟΣ ΝΕΡΟΥ 10'' ATLAS</t>
  </si>
  <si>
    <t>ΣΥΣΚΕΥΗ ΦΙΛΤΡΟΥ ΠΟΣ ΝΕΡΟΥ 10'' ATLAS</t>
  </si>
  <si>
    <t>ΑΥΤΟΜΑΤΟ ΕΞΑΕΡ CALEFFI ΟΡ</t>
  </si>
  <si>
    <t>ΒΑΛΒΙΔΑ ΑΣΦ GIACOMINI SOLAR 6BAR</t>
  </si>
  <si>
    <t>BAΛΒΙΔΑ ΑΣΦ SOLAR 3ΒΑR</t>
  </si>
  <si>
    <t>ΦΛΑΤΖΑ ΚΟΝΙΚΗ 100 TEM</t>
  </si>
  <si>
    <t>ΦΛΑΤΖΑ ΛΑΣΤΙΧΟ 50 TEM</t>
  </si>
  <si>
    <t>ΦΛΑΤΖΑ ΛΑΣΤΙΧΟ 100TEM</t>
  </si>
  <si>
    <t>ΚΕΡΑΜΙΚΟ</t>
  </si>
  <si>
    <t>ΑΝΤΑΛΛΑΚΤΙΚΟ ΦΙΛΤΡΟ ΝΕΡΟΥ 5'' ΑΤΛΑΣ</t>
  </si>
  <si>
    <t>ΝΗΜΑ</t>
  </si>
  <si>
    <t>ΑΝΘΡΑΚΑΣ</t>
  </si>
  <si>
    <t>ΚΑΠΑΚΗ ΛΕΚΑΚΗΣ ΛΕΥΚΟ LAMAPLAST WC5</t>
  </si>
  <si>
    <t xml:space="preserve">ΛΕΥΚΟ </t>
  </si>
  <si>
    <t xml:space="preserve">ΤΣΕΡΚΙ ΣΤΕΝΟ </t>
  </si>
  <si>
    <t>ΤΣΕΡΚΙ ΦΑΡΔΥ</t>
  </si>
  <si>
    <t>ΡΑΚΟΡ ΣΥΣΦ. ΣΙΔΕΡ. ΟΡ. CIM</t>
  </si>
  <si>
    <t xml:space="preserve">ΣΥΣΤΟΛΗ ΑΜΕΡΙΚΗΣ ΓΑΛ </t>
  </si>
  <si>
    <t>ΚΑΠΑΚΗ ΛΕΚΑΚΗΣ ΛΕΥΚΟ LAMAPLAST WC3</t>
  </si>
  <si>
    <t>ΚΑΠΑΚΗ ΛΕΚΑΚΗΣ ΛΕΥΚΟ LAMAPLAST WC4</t>
  </si>
  <si>
    <t xml:space="preserve">ΜΠΑΤΑΡΙΑ ΚΟΥΖ ΧΑΜ  SILVIA </t>
  </si>
  <si>
    <t xml:space="preserve">ΓΡΑΝΙΤΗΣ </t>
  </si>
  <si>
    <t>ΘΥΛ Φ32 Χ 1''</t>
  </si>
  <si>
    <t>ΒΑΛΒΙΔΑ ΑΣΦ CALEFFI 3BAR</t>
  </si>
  <si>
    <t>ΒΑΛΒΙΔΑ ΑΣΦ CALEFFI 6-8BAR</t>
  </si>
  <si>
    <t>ΘΥΛ 1/2</t>
  </si>
  <si>
    <t>ΒΑΛΒΙΔΑ ΑΣΦ CALEFFI 1,5BAR</t>
  </si>
  <si>
    <t xml:space="preserve">ΚΥΚΛΟΦΟΡΗΤΗΣ SHIMGE </t>
  </si>
  <si>
    <t>25/6</t>
  </si>
  <si>
    <t>ΜΟΤΕΡ ΗΛ/ΒΑΝΑΣ BUGATTI</t>
  </si>
  <si>
    <t>ΚΑΝΑΒΙ 250GR</t>
  </si>
  <si>
    <t>ΕΞΑΓΩΓΗ ΠΛΥΝΤ ΛΑΣΤΙΧΟ</t>
  </si>
  <si>
    <t>ΔΙΑΣΤΟΛΗ PVC</t>
  </si>
  <si>
    <t>Φ140 Χ Φ125</t>
  </si>
  <si>
    <t>Φ160 Χ Φ140</t>
  </si>
  <si>
    <t>ΥΓΡΟ ΚΑΘΑΡΙΣΜΟΥ A/C ΕΣ</t>
  </si>
  <si>
    <t>4L</t>
  </si>
  <si>
    <t>ΣΥΣΤΟΛΗ ΑΜ PVC</t>
  </si>
  <si>
    <t>6 Χ 10</t>
  </si>
  <si>
    <t>ΓΩΝΙΑ PVC ΠΛ/ΚΑΘ</t>
  </si>
  <si>
    <t>ΠΛΑΙΣΙΟ ΦΡΕΑΤΙΟΥ</t>
  </si>
  <si>
    <t>ΚΥΚΛΟΦΟΡΗΤΗΣ ESBE ΞΥΛΟΛΕΒΗΤΑ</t>
  </si>
  <si>
    <t>LTC141</t>
  </si>
  <si>
    <t>ΘΕΡΜΟΣΤΑΤΗΣ ESBE ΠΟΥΡΟ</t>
  </si>
  <si>
    <t>VTC500/LTC100</t>
  </si>
  <si>
    <t>16 Χ 1</t>
  </si>
  <si>
    <t>18 Χ 1</t>
  </si>
  <si>
    <t>ΚΟΛΛΑ LOXEAL</t>
  </si>
  <si>
    <t>55-14</t>
  </si>
  <si>
    <t>ΚΟΛΛΑ LOXEAL ΥΓΡΟ TEFLON</t>
  </si>
  <si>
    <t>18-10</t>
  </si>
  <si>
    <t>ΣΥΣΤΟΛΗ ΠΛΥΝΤ ΣΥΡΤΑΡΩΤΟ</t>
  </si>
  <si>
    <t>ΛΑΣΤΙΧΟ ΑΝΤΙΣΤΑΣΗΣ</t>
  </si>
  <si>
    <t>6 ΤΡΥΠΕΣ</t>
  </si>
  <si>
    <t>ΑΝΤΙΣΤΑΣΗ EVIL</t>
  </si>
  <si>
    <t>ΒΑΣΗ ΔΙΠΛΗ ΑΤΛΑΣ</t>
  </si>
  <si>
    <t>ΦΛΑΤΖΑ ΛΑΣΤΙΧΟ BONOMINI</t>
  </si>
  <si>
    <t>ΦΛΑΤΖΑ ΦΙΜΠΕΡ</t>
  </si>
  <si>
    <t>ΦΛΑΤΖΑ ΦΙΜΠΕΡ 100ΤΜΧ</t>
  </si>
  <si>
    <t>ΦΛΑΤΖΑ ΦΙΜΠΕΡ 50ΤΜΧ</t>
  </si>
  <si>
    <t>ΣΥΦΩΝ ΣΠΙΡΑΛ ΝΙΠΤ. BONOMINI</t>
  </si>
  <si>
    <t>ΑΝΤΑΛΛΑΚΤΙΚΟ ΦΙΛΤΡΟ ΝΕΡΟΥ MIGNON ΑΤΛΑΣ</t>
  </si>
  <si>
    <t>ΣΥΣΚΕΥΗ ΦΙΛΤΡΟΥ ΠΟΣ ΝΕΡΟΥ 10'' ΑΤΛΑΣ</t>
  </si>
  <si>
    <t>ΚΑΖΑΝΑΚΙ ΠΛΑΣΤ ΣΤΡΟΓΓΥΛΟ SPEK NEMO</t>
  </si>
  <si>
    <t>2,5ΜΜ</t>
  </si>
  <si>
    <t>ΚΟΛΛΗΣΗ ΧΑΛΚΟΥ FELDER 200GR</t>
  </si>
  <si>
    <t>ΡΑΚΟΡ ΣΥΝΔ SIROFLEX</t>
  </si>
  <si>
    <t>ΦΛΑΤΖΑ ΛΑΣΤΙΧΟ ΚΟΝΙΚΗ</t>
  </si>
  <si>
    <t>ΑΥΤΟΜΑΤΟΣ ΣΥΝΔ</t>
  </si>
  <si>
    <t>ΘΕΡΜΟΣΙΦΩΝΑΣ MAGNA ΠΑΤΑΡΙ</t>
  </si>
  <si>
    <t>ΜΠΑΤΑΡΙΑ ΤΟΙΧΟΥ ΚΟΥΖ TEVERE</t>
  </si>
  <si>
    <t>ΜΠΑΤΑΡΙΑ ΚΟΥΖ TEVERE PLUS</t>
  </si>
  <si>
    <t>ΜΠΑΤΑΡΙΑ ΚΟΥΖ ΨΥΛΗ TEVERE</t>
  </si>
  <si>
    <t>ΣΤΗΛΗ ΝΤΟΥΖ 2 ΡΟΩΝ</t>
  </si>
  <si>
    <t>33/900/400</t>
  </si>
  <si>
    <t>ΣΩΜΑ SPLEΝDID</t>
  </si>
  <si>
    <t>ΜΟΤΕΡ ΗΛ/ΒΑΝΑΣ SIEMENS</t>
  </si>
  <si>
    <t>ΜΟΝΩΣΗ ΜΑΥΡΗ</t>
  </si>
  <si>
    <t>9 Χ 10</t>
  </si>
  <si>
    <t>9 Χ 12</t>
  </si>
  <si>
    <t xml:space="preserve">ΑΡΣ </t>
  </si>
  <si>
    <t>ΡΑΚΟΡ ΔΙΑΚ ΧΑΛΚΟΥ GIACOMINI</t>
  </si>
  <si>
    <t>ΓΩΝΙΑ ΥΔΡΟΛΙΨΙΑΣ ΜΕ ΣΩΛΗΝΑΚΙ</t>
  </si>
  <si>
    <t>16 Χ 16</t>
  </si>
  <si>
    <t>ΡΑΚΟΡ ΔΙΑΚ ΠΛΑΣΤ GIACOMINI</t>
  </si>
  <si>
    <t>ΜΗΧΑΝΟΣΙΦΩΝΑΣ REDI PVC</t>
  </si>
  <si>
    <t>Φ32 Χ 3</t>
  </si>
  <si>
    <t>ΠΕΡΙΣΤΡΟΦΙΚΟ ΚΑΠΕΛΟ ΙΝΟΧ Τ200</t>
  </si>
  <si>
    <t>5 ΤΡΥΠΕΣ Φ140</t>
  </si>
  <si>
    <t xml:space="preserve">25 Χ 25 </t>
  </si>
  <si>
    <t>ΣΥΦΩΝΙ ΔΑΠΕΔΟΥ PVC</t>
  </si>
  <si>
    <t>ΣΩΛΗΝΑ VALSIR 1,5Μ</t>
  </si>
  <si>
    <t>ΑΦΑΛΑΤΙΚΟ ΥΓΡΟ</t>
  </si>
  <si>
    <t>ΣΥΦΩΝ ΚΟΥΖΙΝΑΣ ΜΕ ΠΑΡ ΠΛΥΝ</t>
  </si>
  <si>
    <t>ΜΠΑΤΑΡΙΑ ΛΟΥΤΡΟΥ KRAMER</t>
  </si>
  <si>
    <t>RAMEVA</t>
  </si>
  <si>
    <t>ΣΥΦΩΝ ΚΟΥΖΙΝΑ ΛΙΠΟΣΥΛΛΕΚΤΗΣ</t>
  </si>
  <si>
    <t>ΣΥΦΩΝ ΚΟΥΖΙΝΑΣ ΔΙΠΛΟ</t>
  </si>
  <si>
    <t>ΚΑΖΑΝΑΚΙ ΠΛΑΣΤ. SPEK ΤΡΥΤΩΝ</t>
  </si>
  <si>
    <t>ΦΟΥΣΚΑ ΦΛΟΤΕΡ ΜΕΓΑΛΗ Φ150</t>
  </si>
  <si>
    <t>ΓΑΝΤΙΑ COFRA NMBLE</t>
  </si>
  <si>
    <t>ΚΑΘΑΡΙΣΤΙΚΟ ΚΑΥΣΤΗΡΑ FELDER</t>
  </si>
  <si>
    <t>ΣΩΜΑ FIX</t>
  </si>
  <si>
    <t>33/900/700</t>
  </si>
  <si>
    <t>ΦΙΛΤΡΟ ΠΕΤΡ COB WOLF</t>
  </si>
  <si>
    <t>ΜΟΝΑΔΑ BM WOLF</t>
  </si>
  <si>
    <t>ΒΑΣΗ ΤΟΙΧΟΥ BM WOLF</t>
  </si>
  <si>
    <t>ΑΙΣΘΗΤΗΡΙΟ BOILER WOLF</t>
  </si>
  <si>
    <t>Φ32 Χ 1 1/4''</t>
  </si>
  <si>
    <t>Φ300</t>
  </si>
  <si>
    <t>ΚΑΠΕΛΟ ΑΝΤΙΑΝΕΜΙΚΟ ΙΝΟΧ</t>
  </si>
  <si>
    <t>Φ180 Χ Φ150</t>
  </si>
  <si>
    <t>ΤΑΙΝΙΑ ΑΛΟΥΜΙΝΙΟΥ</t>
  </si>
  <si>
    <t>50Μ</t>
  </si>
  <si>
    <t>10Μ</t>
  </si>
  <si>
    <t>ΝΙΠΕΛ ΚΑΥΣΤΗΡΑ RIELLO</t>
  </si>
  <si>
    <t>1/2 X 3/8</t>
  </si>
  <si>
    <t>ΣΤΗΡΗΓΜΑ ΠΟΛ ΠΛΑΣΤΙΚΑ</t>
  </si>
  <si>
    <t>ΒΑΝΑ ΤΡΙΩΔΗ</t>
  </si>
  <si>
    <t>ΒΑΝΑΚΙ ΕΚΚΕΝΩΣΗΣ</t>
  </si>
  <si>
    <t>ΒΑΝΑ BUGATTI DF</t>
  </si>
  <si>
    <t>ΣΩΛΗΝΑ VALSIR 3M</t>
  </si>
  <si>
    <t>ΘΕΡΜΟΣΤΑΤΗΣ ΛΕΒΗΤΑ ΑΠΟΣΤ.</t>
  </si>
  <si>
    <t>0-90οC</t>
  </si>
  <si>
    <t>ΠΡΟΕΚΤΑΣΗ ΒΑΝΑΣ CIM</t>
  </si>
  <si>
    <t>ΘΕΡΜΟΜΕΤΡΟ ΤΑΜΠΛΟ ΛΕΒΗΤΑ</t>
  </si>
  <si>
    <t>Φ52</t>
  </si>
  <si>
    <t>ΘΕΡΜΟΣΤΑΤΗΣ ΧΩΡΟΥ SIEMENS</t>
  </si>
  <si>
    <t>ΜΟΝΗΣ ΕΠΑΦΗΣ</t>
  </si>
  <si>
    <t>ΔΙΠΛΗΣ ΕΠΑΦΗΣ</t>
  </si>
  <si>
    <t>ΗΛΕΚΤΡΟΝΙΚΟΣ</t>
  </si>
  <si>
    <t>ΤΗΛ</t>
  </si>
  <si>
    <t>ΑΥΤΟΜΑΤΟΣ ΠΛΗΡΩΤΗΣ ΙCMA</t>
  </si>
  <si>
    <t>VTC512</t>
  </si>
  <si>
    <t>ΒΑΝΑ ΤΡΙΩΔΗ ESBE 55o 1 1/2''</t>
  </si>
  <si>
    <t>ΡΑΚΟΡ ΣΥΣΦ ΣΙΔΕΡ</t>
  </si>
  <si>
    <t>ΒΑΛΒΙΔΑ ΑΣΦΑΛΕΙΑΣ 4BAR</t>
  </si>
  <si>
    <t>ΘΗΛ 1/2</t>
  </si>
  <si>
    <t>ΣΧΑΡΑ ΔΑΠΕΔΟΥ ΙΝΟΧ</t>
  </si>
  <si>
    <t>ΣΥΦΩΝ ΣΠΙΡΑΛ ΚΟΥΖ. BONOMINI</t>
  </si>
  <si>
    <t>ΜΗΧΑΝΙΣΜΟΣ ΚΑΖΑΝΑΚΙ SPEK</t>
  </si>
  <si>
    <t>N1</t>
  </si>
  <si>
    <t>5 ΤΡΥΠΕΣ</t>
  </si>
  <si>
    <t>ΡΟΥΞΟΥΝΙ ΠΑΓΚΟΥ REGINA</t>
  </si>
  <si>
    <t>ΠΙΕΖΟΣΤΑΤΗΣ ΝΕΡΟΥ</t>
  </si>
  <si>
    <t>ΠΙΕΖΟΣΤΑΤΗΣ ΝΕΡΟΥ ΜΕ ΜΑΝΟΜΕΤΡΟ</t>
  </si>
  <si>
    <t>ΠΙΕΖΟΣΤΑΤΗΣ ΝΕΡΟΥ ΟΘΟΝΗΣ</t>
  </si>
  <si>
    <t>HS210</t>
  </si>
  <si>
    <t>AQUA STOP</t>
  </si>
  <si>
    <t>ΣΥΣΤΟΛΗ ΠΙΕΖΟΣΤΑΤΗ ΚΟΝΙΚΗ</t>
  </si>
  <si>
    <t>ΣΥΣΤΟΛΗ ΠΙΕΖΟΣΤΑΤΗ ΙΣΙΑ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</si>
</sst>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rgb="FF000000"/>
      <name val="Calibri"/>
      <family val="2"/>
      <charset val="161"/>
    </font>
    <font>
      <u/>
      <sz val="11"/>
      <color theme="10"/>
      <name val="Calibri"/>
      <family val="2"/>
      <charset val="161"/>
    </font>
    <font>
      <b/>
      <sz val="12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vertAlign val="superscript"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8" fillId="8" borderId="0" applyNumberFormat="0" applyBorder="0" applyAlignment="0" applyProtection="0"/>
    <xf numFmtId="0" fontId="10" fillId="9" borderId="2" applyNumberFormat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</cellStyleXfs>
  <cellXfs count="38">
    <xf numFmtId="0" fontId="0" fillId="0" borderId="0" xfId="0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2" applyAlignmen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3" borderId="1" xfId="0" applyFill="1" applyBorder="1" applyProtection="1"/>
    <xf numFmtId="0" fontId="0" fillId="0" borderId="1" xfId="0" applyBorder="1" applyAlignment="1" applyProtection="1">
      <alignment wrapText="1"/>
      <protection locked="0"/>
    </xf>
    <xf numFmtId="0" fontId="4" fillId="4" borderId="0" xfId="0" applyFont="1" applyFill="1" applyProtection="1"/>
    <xf numFmtId="0" fontId="5" fillId="4" borderId="0" xfId="0" applyFont="1" applyFill="1" applyAlignment="1" applyProtection="1">
      <alignment horizontal="left" vertical="center"/>
    </xf>
    <xf numFmtId="0" fontId="0" fillId="0" borderId="0" xfId="0" applyProtection="1"/>
    <xf numFmtId="0" fontId="1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left" vertical="center" wrapText="1"/>
    </xf>
    <xf numFmtId="0" fontId="6" fillId="4" borderId="0" xfId="0" applyFont="1" applyFill="1" applyAlignment="1" applyProtection="1">
      <alignment wrapText="1"/>
    </xf>
    <xf numFmtId="0" fontId="1" fillId="4" borderId="0" xfId="0" applyFont="1" applyFill="1" applyProtection="1"/>
    <xf numFmtId="0" fontId="0" fillId="4" borderId="0" xfId="0" applyFont="1" applyFill="1" applyAlignment="1" applyProtection="1">
      <alignment horizontal="center" vertical="center" wrapText="1"/>
    </xf>
    <xf numFmtId="0" fontId="0" fillId="6" borderId="1" xfId="0" applyFill="1" applyBorder="1" applyProtection="1">
      <protection locked="0"/>
    </xf>
    <xf numFmtId="49" fontId="0" fillId="0" borderId="1" xfId="0" applyNumberFormat="1" applyBorder="1" applyAlignment="1" applyProtection="1">
      <alignment wrapText="1"/>
      <protection locked="0"/>
    </xf>
    <xf numFmtId="49" fontId="0" fillId="0" borderId="0" xfId="0" applyNumberFormat="1" applyProtection="1">
      <protection locked="0"/>
    </xf>
    <xf numFmtId="0" fontId="0" fillId="7" borderId="0" xfId="0" applyFill="1"/>
    <xf numFmtId="0" fontId="2" fillId="0" borderId="1" xfId="1" applyFill="1" applyBorder="1" applyProtection="1">
      <protection locked="0"/>
    </xf>
    <xf numFmtId="0" fontId="6" fillId="0" borderId="0" xfId="0" applyFont="1" applyAlignment="1" applyProtection="1">
      <alignment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5" borderId="1" xfId="0" applyFont="1" applyFill="1" applyBorder="1" applyAlignment="1" applyProtection="1">
      <alignment horizontal="center" vertical="center" wrapText="1"/>
    </xf>
    <xf numFmtId="0" fontId="0" fillId="5" borderId="1" xfId="0" applyFill="1" applyBorder="1" applyProtection="1"/>
    <xf numFmtId="49" fontId="1" fillId="2" borderId="1" xfId="0" applyNumberFormat="1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wrapText="1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/>
    <xf numFmtId="4" fontId="0" fillId="0" borderId="1" xfId="0" applyNumberFormat="1" applyBorder="1" applyProtection="1">
      <protection locked="0"/>
    </xf>
    <xf numFmtId="0" fontId="8" fillId="8" borderId="1" xfId="3" applyBorder="1" applyProtection="1">
      <protection locked="0"/>
    </xf>
    <xf numFmtId="0" fontId="8" fillId="8" borderId="1" xfId="3" applyBorder="1" applyAlignment="1" applyProtection="1">
      <alignment wrapText="1"/>
      <protection locked="0"/>
    </xf>
    <xf numFmtId="0" fontId="10" fillId="9" borderId="2" xfId="4" applyProtection="1">
      <protection locked="0"/>
    </xf>
    <xf numFmtId="0" fontId="10" fillId="9" borderId="2" xfId="4" applyAlignment="1" applyProtection="1">
      <alignment wrapText="1"/>
      <protection locked="0"/>
    </xf>
    <xf numFmtId="49" fontId="10" fillId="9" borderId="2" xfId="4" applyNumberFormat="1" applyAlignment="1" applyProtection="1">
      <alignment wrapText="1"/>
      <protection locked="0"/>
    </xf>
    <xf numFmtId="0" fontId="9" fillId="11" borderId="2" xfId="6" applyBorder="1" applyProtection="1"/>
    <xf numFmtId="0" fontId="9" fillId="11" borderId="1" xfId="6" applyBorder="1" applyProtection="1"/>
    <xf numFmtId="0" fontId="9" fillId="10" borderId="1" xfId="5" applyBorder="1" applyAlignment="1" applyProtection="1">
      <alignment horizontal="center" vertical="center" wrapText="1"/>
    </xf>
  </cellXfs>
  <cellStyles count="7">
    <cellStyle name="20% - Έμφαση1" xfId="5" builtinId="30"/>
    <cellStyle name="40% - Έμφαση1" xfId="6" builtinId="31"/>
    <cellStyle name="60% - Έμφαση1" xfId="3" builtinId="32"/>
    <cellStyle name="Έξοδος" xfId="4" builtinId="21"/>
    <cellStyle name="Κανονικό" xfId="0" builtinId="0"/>
    <cellStyle name="Κανονικό 2" xfId="1"/>
    <cellStyle name="Υπερ-σύνδεση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110490</xdr:colOff>
      <xdr:row>0</xdr:row>
      <xdr:rowOff>55244</xdr:rowOff>
    </xdr:from>
    <xdr:to>
      <xdr:col>10</xdr:col>
      <xdr:colOff>571500</xdr:colOff>
      <xdr:row>1</xdr:row>
      <xdr:rowOff>106680</xdr:rowOff>
    </xdr:to>
    <xdr:sp macro="[0]!DatabaseSofkos" textlink="">
      <xdr:nvSpPr>
        <xdr:cNvPr id="2" name="1 - Στρογγυλεμένο ορθογώνιο"/>
        <xdr:cNvSpPr/>
      </xdr:nvSpPr>
      <xdr:spPr>
        <a:xfrm>
          <a:off x="9726930" y="55244"/>
          <a:ext cx="1352550" cy="4171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l-GR" sz="1050" b="1"/>
            <a:t>ΠΡΟΣΘΗΚΗ</a:t>
          </a:r>
          <a:r>
            <a:rPr lang="el-GR" sz="1100" b="1"/>
            <a:t> ΣΤΟ </a:t>
          </a:r>
          <a:r>
            <a:rPr lang="en-US" sz="1100" b="1"/>
            <a:t>STOCK</a:t>
          </a:r>
        </a:p>
      </xdr:txBody>
    </xdr:sp>
    <xdr:clientData/>
  </xdr:twoCellAnchor>
  <xdr:twoCellAnchor>
    <xdr:from>
      <xdr:col>6</xdr:col>
      <xdr:colOff>129540</xdr:colOff>
      <xdr:row>4</xdr:row>
      <xdr:rowOff>260985</xdr:rowOff>
    </xdr:from>
    <xdr:to>
      <xdr:col>8</xdr:col>
      <xdr:colOff>43815</xdr:colOff>
      <xdr:row>5</xdr:row>
      <xdr:rowOff>384810</xdr:rowOff>
    </xdr:to>
    <xdr:sp macro="[0]!AddChange" textlink="">
      <xdr:nvSpPr>
        <xdr:cNvPr id="4" name="3 - Στρογγυλεμένο ορθογώνιο"/>
        <xdr:cNvSpPr/>
      </xdr:nvSpPr>
      <xdr:spPr>
        <a:xfrm>
          <a:off x="8111490" y="2042160"/>
          <a:ext cx="1657350" cy="5048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l-GR" sz="1100" b="1"/>
            <a:t>ΠΡΟΣΘΗΚΗ ΣΤΟΝ ΚΑΤΑΛΟΓΟ</a:t>
          </a:r>
          <a:endParaRPr lang="el-GR" sz="1050" b="1"/>
        </a:p>
      </xdr:txBody>
    </xdr:sp>
    <xdr:clientData/>
  </xdr:twoCellAnchor>
  <xdr:twoCellAnchor>
    <xdr:from>
      <xdr:col>8</xdr:col>
      <xdr:colOff>217170</xdr:colOff>
      <xdr:row>4</xdr:row>
      <xdr:rowOff>291465</xdr:rowOff>
    </xdr:from>
    <xdr:to>
      <xdr:col>9</xdr:col>
      <xdr:colOff>674370</xdr:colOff>
      <xdr:row>5</xdr:row>
      <xdr:rowOff>398145</xdr:rowOff>
    </xdr:to>
    <xdr:sp macro="[0]!_xludf.cLEAR" textlink="">
      <xdr:nvSpPr>
        <xdr:cNvPr id="5" name="4 - Στρογγυλεμένο ορθογώνιο"/>
        <xdr:cNvSpPr/>
      </xdr:nvSpPr>
      <xdr:spPr>
        <a:xfrm>
          <a:off x="9942195" y="2072640"/>
          <a:ext cx="1371600" cy="48768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l-GR" sz="1100"/>
            <a:t>ΕΚΚΑΘΑΡΙΣΗ</a:t>
          </a:r>
          <a:r>
            <a:rPr lang="el-GR" sz="1100" baseline="0"/>
            <a:t> ΦΟΡΜΑΣ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184785</xdr:rowOff>
    </xdr:from>
    <xdr:to>
      <xdr:col>6</xdr:col>
      <xdr:colOff>424815</xdr:colOff>
      <xdr:row>9</xdr:row>
      <xdr:rowOff>161925</xdr:rowOff>
    </xdr:to>
    <xdr:sp macro="[0]!lowQuantity" textlink="">
      <xdr:nvSpPr>
        <xdr:cNvPr id="2" name="Στρογγυλεμένο ορθογώνιο 1"/>
        <xdr:cNvSpPr/>
      </xdr:nvSpPr>
      <xdr:spPr>
        <a:xfrm>
          <a:off x="9079229" y="1137285"/>
          <a:ext cx="1746886" cy="112014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l-GR" sz="1200"/>
            <a:t>ΠΡΟΙΟΝΤΑ</a:t>
          </a:r>
          <a:r>
            <a:rPr lang="el-GR" sz="1200" baseline="0"/>
            <a:t> ΜΕ ΧΑΜΗΛΗ </a:t>
          </a:r>
          <a:r>
            <a:rPr lang="el-GR" sz="1200"/>
            <a:t>ΠΟΣΟΤΗΤΑ</a:t>
          </a:r>
        </a:p>
      </xdr:txBody>
    </xdr:sp>
    <xdr:clientData/>
  </xdr:twoCellAnchor>
  <xdr:twoCellAnchor>
    <xdr:from>
      <xdr:col>6</xdr:col>
      <xdr:colOff>683895</xdr:colOff>
      <xdr:row>4</xdr:row>
      <xdr:rowOff>0</xdr:rowOff>
    </xdr:from>
    <xdr:to>
      <xdr:col>8</xdr:col>
      <xdr:colOff>340995</xdr:colOff>
      <xdr:row>9</xdr:row>
      <xdr:rowOff>114300</xdr:rowOff>
    </xdr:to>
    <xdr:sp macro="[0]!low_clear" textlink="">
      <xdr:nvSpPr>
        <xdr:cNvPr id="3" name="2 - Στρογγυλεμένο ορθογώνιο"/>
        <xdr:cNvSpPr/>
      </xdr:nvSpPr>
      <xdr:spPr>
        <a:xfrm>
          <a:off x="11437620" y="952500"/>
          <a:ext cx="1752600" cy="1066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l-GR" sz="1200"/>
            <a:t>ΕΚΚΑΘΑΡΙΣΗ</a:t>
          </a:r>
          <a:r>
            <a:rPr lang="el-GR" sz="1200" baseline="0"/>
            <a:t> ΠΙΝΑΚΑ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Φύλλο1"/>
  <dimension ref="A1:R14"/>
  <sheetViews>
    <sheetView showGridLines="0" workbookViewId="0">
      <selection activeCell="C11" sqref="C11"/>
    </sheetView>
  </sheetViews>
  <sheetFormatPr defaultColWidth="9.140625" defaultRowHeight="15"/>
  <cols>
    <col min="1" max="1" width="22.42578125" style="2" customWidth="1"/>
    <col min="2" max="2" width="27.42578125" style="2" customWidth="1"/>
    <col min="3" max="3" width="25.28515625" style="2" customWidth="1"/>
    <col min="4" max="4" width="15.7109375" style="2" customWidth="1"/>
    <col min="5" max="5" width="14.7109375" style="2" customWidth="1"/>
    <col min="6" max="6" width="14.140625" style="2" customWidth="1"/>
    <col min="7" max="7" width="13" style="4" customWidth="1"/>
    <col min="8" max="8" width="13.140625" style="4" customWidth="1"/>
    <col min="9" max="9" width="13.7109375" style="2" customWidth="1"/>
    <col min="10" max="10" width="13" style="2" customWidth="1"/>
    <col min="11" max="16384" width="9.140625" style="2"/>
  </cols>
  <sheetData>
    <row r="1" spans="1:18" s="1" customFormat="1" ht="60">
      <c r="A1" s="22" t="s">
        <v>11</v>
      </c>
      <c r="B1" s="22" t="s">
        <v>5</v>
      </c>
      <c r="C1" s="22" t="s">
        <v>6</v>
      </c>
      <c r="D1" s="22" t="s">
        <v>7</v>
      </c>
      <c r="E1" s="22" t="s">
        <v>8</v>
      </c>
      <c r="F1" s="22" t="s">
        <v>9</v>
      </c>
      <c r="G1" s="22" t="s">
        <v>161</v>
      </c>
      <c r="H1" s="22" t="s">
        <v>181</v>
      </c>
      <c r="I1" s="22" t="s">
        <v>3</v>
      </c>
    </row>
    <row r="2" spans="1:18" ht="31.15" customHeight="1">
      <c r="A2" s="5"/>
      <c r="B2" s="7"/>
      <c r="C2" s="17"/>
      <c r="D2" s="6">
        <f>IFERROR(INDEX(Αποθήκη_Στοκ!$F:$F,MATCH(1,INDEX((Αποθήκη_Στοκ!C:C=$B2)*(Αποθήκη_Στοκ!E:E=$C2),),0),COLUMN(A1)), "Δεν βρέθηκε")</f>
        <v>0</v>
      </c>
      <c r="E2" s="6">
        <f>IFERROR(INDEX(Αποθήκη_Στοκ!$G:$G,MATCH(1,INDEX((Αποθήκη_Στοκ!C:C=$B2)*(Αποθήκη_Στοκ!E:E=$C2),),0),COLUMN(A1)), "Δεν βρέθηκε")</f>
        <v>0</v>
      </c>
      <c r="F2" s="6">
        <f>IFERROR(INDEX(Αποθήκη_Στοκ!$H:$H,MATCH(1,INDEX((Αποθήκη_Στοκ!C:C=$B2)*(Αποθήκη_Στοκ!E:E=$C2),),0),COLUMN(A1)), "Δεν βρέθηκε")</f>
        <v>0</v>
      </c>
      <c r="G2" s="6">
        <f>IFERROR((A2*D2), "Δεν βρέθηκε")</f>
        <v>0</v>
      </c>
      <c r="H2" s="6">
        <f>IFERROR((A2*F2),"Δεν βρέθηκε")</f>
        <v>0</v>
      </c>
      <c r="I2" s="16" t="s">
        <v>13</v>
      </c>
    </row>
    <row r="3" spans="1:18">
      <c r="A3" s="23" t="s">
        <v>10</v>
      </c>
    </row>
    <row r="4" spans="1:18" ht="34.9" customHeight="1">
      <c r="A4" s="24">
        <f>IFERROR(INDEX(Αποθήκη_Στοκ!$A:$A,MATCH(1,INDEX((Αποθήκη_Στοκ!C:C=$B2)*(Αποθήκη_Στοκ!E:E=$C2),),0),COLUMN(A1)), "Δεν βρέθηκε το προιόν")</f>
        <v>0</v>
      </c>
      <c r="M4" s="3"/>
    </row>
    <row r="5" spans="1:18" s="1" customFormat="1" ht="30">
      <c r="A5" s="22" t="s">
        <v>5</v>
      </c>
      <c r="B5" s="22" t="s">
        <v>6</v>
      </c>
      <c r="C5" s="22" t="s">
        <v>7</v>
      </c>
      <c r="D5" s="22" t="s">
        <v>8</v>
      </c>
      <c r="E5" s="22" t="s">
        <v>9</v>
      </c>
      <c r="F5" s="22" t="s">
        <v>3</v>
      </c>
      <c r="I5" s="2"/>
      <c r="J5" s="2"/>
      <c r="K5" s="2"/>
      <c r="L5" s="3"/>
      <c r="M5" s="2"/>
      <c r="N5" s="2"/>
      <c r="O5" s="2"/>
      <c r="P5" s="2"/>
      <c r="Q5" s="2"/>
      <c r="R5" s="2"/>
    </row>
    <row r="6" spans="1:18" ht="32.450000000000003" customHeight="1">
      <c r="A6" s="7"/>
      <c r="B6" s="17"/>
      <c r="C6" s="17"/>
      <c r="D6" s="20"/>
      <c r="E6" s="6">
        <f>D6+(D6*0.24)</f>
        <v>0</v>
      </c>
      <c r="F6" s="7" t="s">
        <v>15</v>
      </c>
      <c r="G6" s="2"/>
      <c r="H6" s="2"/>
      <c r="L6" s="3"/>
    </row>
    <row r="7" spans="1:18">
      <c r="A7" s="23" t="s">
        <v>10</v>
      </c>
    </row>
    <row r="8" spans="1:18" ht="35.25" customHeight="1">
      <c r="A8" s="24">
        <f>IFERROR(INDEX(Αποθήκη_Στοκ!$A:$A,MATCH(1,INDEX((Αποθήκη_Στοκ!C:C=$A6)*(Αποθήκη_Στοκ!E:E=$B6),),0),COLUMN(A1)), "Δεν βρέθηκε το προιόν")</f>
        <v>0</v>
      </c>
    </row>
    <row r="9" spans="1:18" ht="13.5" customHeight="1"/>
    <row r="10" spans="1:18" ht="30.75" customHeight="1">
      <c r="A10" s="22" t="s">
        <v>678</v>
      </c>
      <c r="B10" s="26">
        <f>SUM(Αποθήκη_Στοκ!J:J)</f>
        <v>40217.878520000049</v>
      </c>
    </row>
    <row r="11" spans="1:18" ht="30" customHeight="1">
      <c r="A11" s="22" t="s">
        <v>679</v>
      </c>
      <c r="B11" s="26">
        <f>SUM(Αποθήκη_Στοκ!I:I)</f>
        <v>23035.727249999989</v>
      </c>
    </row>
    <row r="12" spans="1:18" ht="30">
      <c r="A12" s="22" t="s">
        <v>17</v>
      </c>
      <c r="B12" s="26">
        <f>SUM(Αποθήκη_Στοκ!A:A)</f>
        <v>14115.144999999999</v>
      </c>
    </row>
    <row r="13" spans="1:18" ht="30">
      <c r="A13" s="22" t="s">
        <v>187</v>
      </c>
      <c r="B13" s="26">
        <f>COUNTIFS(Αποθήκη_Στοκ!A:A,"&lt;=3")</f>
        <v>558</v>
      </c>
      <c r="C13" s="4"/>
    </row>
    <row r="14" spans="1:18" ht="54.75">
      <c r="A14" s="21" t="s">
        <v>12</v>
      </c>
    </row>
  </sheetData>
  <dataValidations count="4">
    <dataValidation type="list" allowBlank="1" showInputMessage="1" showErrorMessage="1" sqref="F6">
      <formula1>Προσθήκη</formula1>
    </dataValidation>
    <dataValidation type="list" allowBlank="1" showInputMessage="1" showErrorMessage="1" sqref="I2">
      <formula1>Κίνηση</formula1>
    </dataValidation>
    <dataValidation type="list" allowBlank="1" showInputMessage="1" sqref="B2">
      <formula1>val_list_prod</formula1>
    </dataValidation>
    <dataValidation type="list" allowBlank="1" showInputMessage="1" sqref="C2">
      <formula1>val_list_sub</formula1>
    </dataValidation>
  </dataValidations>
  <pageMargins left="0.7" right="0.7" top="0.75" bottom="0.75" header="0.3" footer="0.3"/>
  <pageSetup paperSize="9" orientation="portrait" horizontalDpi="4294967294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2"/>
  <dimension ref="A1:N7997"/>
  <sheetViews>
    <sheetView showGridLines="0" tabSelected="1" workbookViewId="0">
      <pane ySplit="1" topLeftCell="A2" activePane="bottomLeft" state="frozen"/>
      <selection pane="bottomLeft" activeCell="U88" sqref="U88"/>
    </sheetView>
  </sheetViews>
  <sheetFormatPr defaultColWidth="9.140625" defaultRowHeight="15"/>
  <cols>
    <col min="1" max="1" width="15.7109375" style="5" customWidth="1"/>
    <col min="2" max="2" width="15.7109375" style="5" hidden="1" customWidth="1"/>
    <col min="3" max="3" width="39.85546875" style="7" customWidth="1"/>
    <col min="4" max="4" width="39.85546875" style="7" hidden="1" customWidth="1"/>
    <col min="5" max="5" width="25.5703125" style="17" customWidth="1"/>
    <col min="6" max="6" width="17" style="5" customWidth="1"/>
    <col min="7" max="7" width="18.5703125" style="5" customWidth="1"/>
    <col min="8" max="8" width="19.85546875" style="28" customWidth="1"/>
    <col min="9" max="10" width="17" style="28" customWidth="1"/>
    <col min="11" max="11" width="22.42578125" style="4" hidden="1" customWidth="1"/>
    <col min="12" max="12" width="25.7109375" style="4" hidden="1" customWidth="1"/>
    <col min="13" max="13" width="9.140625" style="2" hidden="1" customWidth="1"/>
    <col min="14" max="14" width="18.42578125" style="2" hidden="1" customWidth="1"/>
    <col min="15" max="16384" width="9.140625" style="2"/>
  </cols>
  <sheetData>
    <row r="1" spans="1:14" ht="48.75" customHeight="1">
      <c r="A1" s="22" t="s">
        <v>4</v>
      </c>
      <c r="B1" s="22" t="s">
        <v>680</v>
      </c>
      <c r="C1" s="22" t="s">
        <v>5</v>
      </c>
      <c r="D1" s="22" t="s">
        <v>680</v>
      </c>
      <c r="E1" s="25" t="s">
        <v>6</v>
      </c>
      <c r="F1" s="22" t="s">
        <v>182</v>
      </c>
      <c r="G1" s="22" t="s">
        <v>184</v>
      </c>
      <c r="H1" s="37" t="s">
        <v>183</v>
      </c>
      <c r="I1" s="37" t="s">
        <v>185</v>
      </c>
      <c r="J1" s="37" t="s">
        <v>186</v>
      </c>
      <c r="K1" s="4">
        <f>(COUNTIF(L2:L1996,"?*"))</f>
        <v>1129</v>
      </c>
      <c r="L1" s="27" t="s">
        <v>681</v>
      </c>
      <c r="M1" s="2">
        <f>(COUNTIF(N15:N1996,"?*"))</f>
        <v>1116</v>
      </c>
      <c r="N1" s="27" t="s">
        <v>682</v>
      </c>
    </row>
    <row r="2" spans="1:14">
      <c r="A2" s="32">
        <v>31</v>
      </c>
      <c r="B2" s="32">
        <f>IF(ISNUMBER(SEARCH('Φόρμα Εισαγωγής'!$B$2,C2)),MAX($B$1:B1)+1,0)</f>
        <v>1</v>
      </c>
      <c r="C2" s="33" t="s">
        <v>780</v>
      </c>
      <c r="D2" s="33">
        <f>IF(ISNUMBER(SEARCH('Φόρμα Εισαγωγής'!$C$2,E2)),MAX($D$1:D1)+1,0)</f>
        <v>1</v>
      </c>
      <c r="E2" s="34" t="s">
        <v>32</v>
      </c>
      <c r="F2" s="32">
        <v>1.4</v>
      </c>
      <c r="G2" s="32">
        <v>2</v>
      </c>
      <c r="H2" s="35">
        <f t="shared" ref="H2:H16" si="0">G2+(G2*0.24)</f>
        <v>2.48</v>
      </c>
      <c r="I2" s="35">
        <f t="shared" ref="I2:I16" si="1">F2*A2</f>
        <v>43.4</v>
      </c>
      <c r="J2" s="35">
        <f t="shared" ref="J2:J16" si="2">H2*A2</f>
        <v>76.88</v>
      </c>
      <c r="K2" s="4" t="str">
        <f ca="1">OFFSET($L$2,,,COUNTIF($L$2:$L$1996,"?*"))</f>
        <v>ΣΩΛΗΝΑ ΓΑΛ</v>
      </c>
      <c r="L2" s="4" t="str">
        <f>IFERROR(VLOOKUP(ROWS($L$2:L2),$B$2:$C$1996,2,0),"")</f>
        <v>ΣΩΛΗΝΑ ΓΑΛ</v>
      </c>
      <c r="M2" s="2" t="str">
        <f ca="1">OFFSET($N$2,,,COUNTIF($N$2:$N$1996,"?*"))</f>
        <v>1/2</v>
      </c>
      <c r="N2" s="2" t="str">
        <f>IFERROR(VLOOKUP(ROWS($N$2:N2),$D$2:$E$1996,2,0),"")</f>
        <v>1/2</v>
      </c>
    </row>
    <row r="3" spans="1:14">
      <c r="A3" s="32">
        <v>31.5</v>
      </c>
      <c r="B3" s="32">
        <f>IF(ISNUMBER(SEARCH('Φόρμα Εισαγωγής'!$B$2,C3)),MAX($B$1:B2)+1,0)</f>
        <v>2</v>
      </c>
      <c r="C3" s="33" t="s">
        <v>780</v>
      </c>
      <c r="D3" s="33">
        <f>IF(ISNUMBER(SEARCH('Φόρμα Εισαγωγής'!$C$2,E3)),MAX($D$1:D2)+1,0)</f>
        <v>2</v>
      </c>
      <c r="E3" s="34" t="s">
        <v>33</v>
      </c>
      <c r="F3" s="32">
        <v>1.8</v>
      </c>
      <c r="G3" s="32">
        <v>2.5499999999999998</v>
      </c>
      <c r="H3" s="35">
        <f t="shared" si="0"/>
        <v>3.1619999999999999</v>
      </c>
      <c r="I3" s="35">
        <f t="shared" si="1"/>
        <v>56.7</v>
      </c>
      <c r="J3" s="35">
        <f t="shared" si="2"/>
        <v>99.602999999999994</v>
      </c>
      <c r="L3" s="4" t="str">
        <f>IFERROR(VLOOKUP(ROWS($L$2:L3),$B$2:$C$1996,2,0),"")</f>
        <v>ΣΩΛΗΝΑ ΓΑΛ</v>
      </c>
      <c r="N3" s="2" t="str">
        <f>IFERROR(VLOOKUP(ROWS($N$2:N3),$D$2:$E$1996,2,0),"")</f>
        <v>3/4</v>
      </c>
    </row>
    <row r="4" spans="1:14">
      <c r="A4" s="32">
        <v>9</v>
      </c>
      <c r="B4" s="32">
        <f>IF(ISNUMBER(SEARCH('Φόρμα Εισαγωγής'!$B$2,C4)),MAX($B$1:B3)+1,0)</f>
        <v>3</v>
      </c>
      <c r="C4" s="33" t="s">
        <v>780</v>
      </c>
      <c r="D4" s="33">
        <f>IF(ISNUMBER(SEARCH('Φόρμα Εισαγωγής'!$C$2,E4)),MAX($D$1:D3)+1,0)</f>
        <v>3</v>
      </c>
      <c r="E4" s="34" t="s">
        <v>34</v>
      </c>
      <c r="F4" s="32">
        <v>2.64</v>
      </c>
      <c r="G4" s="32">
        <v>3.7</v>
      </c>
      <c r="H4" s="35">
        <f t="shared" si="0"/>
        <v>4.5880000000000001</v>
      </c>
      <c r="I4" s="35">
        <f t="shared" si="1"/>
        <v>23.76</v>
      </c>
      <c r="J4" s="35">
        <f t="shared" si="2"/>
        <v>41.292000000000002</v>
      </c>
      <c r="L4" s="4" t="str">
        <f>IFERROR(VLOOKUP(ROWS($L$2:L4),$B$2:$C$1996,2,0),"")</f>
        <v>ΣΩΛΗΝΑ ΓΑΛ</v>
      </c>
      <c r="N4" s="2" t="str">
        <f>IFERROR(VLOOKUP(ROWS($N$2:N4),$D$2:$E$1996,2,0),"")</f>
        <v>1''</v>
      </c>
    </row>
    <row r="5" spans="1:14">
      <c r="A5" s="32">
        <v>13.5</v>
      </c>
      <c r="B5" s="32">
        <f>IF(ISNUMBER(SEARCH('Φόρμα Εισαγωγής'!$B$2,C5)),MAX($B$1:B4)+1,0)</f>
        <v>4</v>
      </c>
      <c r="C5" s="33" t="s">
        <v>780</v>
      </c>
      <c r="D5" s="33">
        <f>IF(ISNUMBER(SEARCH('Φόρμα Εισαγωγής'!$C$2,E5)),MAX($D$1:D4)+1,0)</f>
        <v>4</v>
      </c>
      <c r="E5" s="34" t="s">
        <v>35</v>
      </c>
      <c r="F5" s="32">
        <v>3.4</v>
      </c>
      <c r="G5" s="32">
        <v>4.8</v>
      </c>
      <c r="H5" s="35">
        <f t="shared" si="0"/>
        <v>5.952</v>
      </c>
      <c r="I5" s="35">
        <f t="shared" si="1"/>
        <v>45.9</v>
      </c>
      <c r="J5" s="35">
        <f t="shared" si="2"/>
        <v>80.352000000000004</v>
      </c>
      <c r="L5" s="4" t="str">
        <f>IFERROR(VLOOKUP(ROWS($L$2:L5),$B$2:$C$1996,2,0),"")</f>
        <v>ΣΩΛΗΝΑ ΓΑΛ</v>
      </c>
      <c r="N5" s="2" t="str">
        <f>IFERROR(VLOOKUP(ROWS($N$2:N5),$D$2:$E$1996,2,0),"")</f>
        <v>1 1/4''</v>
      </c>
    </row>
    <row r="6" spans="1:14">
      <c r="A6" s="32">
        <v>8</v>
      </c>
      <c r="B6" s="32">
        <f>IF(ISNUMBER(SEARCH('Φόρμα Εισαγωγής'!$B$2,C6)),MAX($B$1:B5)+1,0)</f>
        <v>5</v>
      </c>
      <c r="C6" s="33" t="s">
        <v>780</v>
      </c>
      <c r="D6" s="33">
        <f>IF(ISNUMBER(SEARCH('Φόρμα Εισαγωγής'!$C$2,E6)),MAX($D$1:D5)+1,0)</f>
        <v>5</v>
      </c>
      <c r="E6" s="34" t="s">
        <v>36</v>
      </c>
      <c r="F6" s="32">
        <v>4</v>
      </c>
      <c r="G6" s="32">
        <v>5.6</v>
      </c>
      <c r="H6" s="35">
        <f t="shared" si="0"/>
        <v>6.9439999999999991</v>
      </c>
      <c r="I6" s="35">
        <f t="shared" si="1"/>
        <v>32</v>
      </c>
      <c r="J6" s="35">
        <f t="shared" si="2"/>
        <v>55.551999999999992</v>
      </c>
      <c r="L6" s="4" t="str">
        <f>IFERROR(VLOOKUP(ROWS($L$2:L6),$B$2:$C$1996,2,0),"")</f>
        <v>ΣΩΛΗΝΑ ΓΑΛ</v>
      </c>
      <c r="N6" s="2" t="str">
        <f>IFERROR(VLOOKUP(ROWS($N$2:N6),$D$2:$E$1996,2,0),"")</f>
        <v>1 1/2''</v>
      </c>
    </row>
    <row r="7" spans="1:14">
      <c r="A7" s="32">
        <v>6</v>
      </c>
      <c r="B7" s="32">
        <f>IF(ISNUMBER(SEARCH('Φόρμα Εισαγωγής'!$B$2,C7)),MAX($B$1:B6)+1,0)</f>
        <v>6</v>
      </c>
      <c r="C7" s="33" t="s">
        <v>780</v>
      </c>
      <c r="D7" s="33">
        <f>IF(ISNUMBER(SEARCH('Φόρμα Εισαγωγής'!$C$2,E7)),MAX($D$1:D6)+1,0)</f>
        <v>6</v>
      </c>
      <c r="E7" s="34" t="s">
        <v>37</v>
      </c>
      <c r="F7" s="32">
        <v>5.4</v>
      </c>
      <c r="G7" s="32">
        <v>7.5</v>
      </c>
      <c r="H7" s="35">
        <f t="shared" si="0"/>
        <v>9.3000000000000007</v>
      </c>
      <c r="I7" s="35">
        <f t="shared" si="1"/>
        <v>32.400000000000006</v>
      </c>
      <c r="J7" s="35">
        <f t="shared" si="2"/>
        <v>55.800000000000004</v>
      </c>
      <c r="L7" s="4" t="str">
        <f>IFERROR(VLOOKUP(ROWS($L$2:L7),$B$2:$C$1996,2,0),"")</f>
        <v>ΣΩΛΗΝΑ ΓΑΛ</v>
      </c>
      <c r="N7" s="2" t="str">
        <f>IFERROR(VLOOKUP(ROWS($N$2:N7),$D$2:$E$1996,2,0),"")</f>
        <v>2''</v>
      </c>
    </row>
    <row r="8" spans="1:14">
      <c r="A8" s="32">
        <v>38</v>
      </c>
      <c r="B8" s="32">
        <f>IF(ISNUMBER(SEARCH('Φόρμα Εισαγωγής'!$B$2,C8)),MAX($B$1:B7)+1,0)</f>
        <v>7</v>
      </c>
      <c r="C8" s="33" t="s">
        <v>760</v>
      </c>
      <c r="D8" s="33">
        <f>IF(ISNUMBER(SEARCH('Φόρμα Εισαγωγής'!$C$2,E8)),MAX($D$1:D7)+1,0)</f>
        <v>7</v>
      </c>
      <c r="E8" s="34" t="s">
        <v>32</v>
      </c>
      <c r="F8" s="32">
        <v>0.3</v>
      </c>
      <c r="G8" s="32">
        <v>0.45</v>
      </c>
      <c r="H8" s="35">
        <f>G8+(G8*0.24)</f>
        <v>0.55800000000000005</v>
      </c>
      <c r="I8" s="35">
        <f>F8*A8</f>
        <v>11.4</v>
      </c>
      <c r="J8" s="35">
        <f>H8*A8</f>
        <v>21.204000000000001</v>
      </c>
      <c r="L8" s="4" t="str">
        <f>IFERROR(VLOOKUP(ROWS($L$2:L8),$B$2:$C$1996,2,0),"")</f>
        <v>ΝΙΠΕΛ ΓΑΛ G.F</v>
      </c>
      <c r="N8" s="2" t="str">
        <f>IFERROR(VLOOKUP(ROWS($N$2:N8),$D$2:$E$1996,2,0),"")</f>
        <v>1/2</v>
      </c>
    </row>
    <row r="9" spans="1:14">
      <c r="A9" s="32">
        <v>25</v>
      </c>
      <c r="B9" s="32">
        <f>IF(ISNUMBER(SEARCH('Φόρμα Εισαγωγής'!$B$2,C9)),MAX($B$1:B8)+1,0)</f>
        <v>8</v>
      </c>
      <c r="C9" s="33" t="s">
        <v>760</v>
      </c>
      <c r="D9" s="33">
        <f>IF(ISNUMBER(SEARCH('Φόρμα Εισαγωγής'!$C$2,E9)),MAX($D$1:D8)+1,0)</f>
        <v>8</v>
      </c>
      <c r="E9" s="34" t="s">
        <v>33</v>
      </c>
      <c r="F9" s="32">
        <v>0.4</v>
      </c>
      <c r="G9" s="32">
        <v>0.55000000000000004</v>
      </c>
      <c r="H9" s="35">
        <f t="shared" si="0"/>
        <v>0.68200000000000005</v>
      </c>
      <c r="I9" s="35">
        <f t="shared" si="1"/>
        <v>10</v>
      </c>
      <c r="J9" s="35">
        <f t="shared" si="2"/>
        <v>17.05</v>
      </c>
      <c r="L9" s="4" t="str">
        <f>IFERROR(VLOOKUP(ROWS($L$2:L9),$B$2:$C$1996,2,0),"")</f>
        <v>ΝΙΠΕΛ ΓΑΛ G.F</v>
      </c>
      <c r="N9" s="2" t="str">
        <f>IFERROR(VLOOKUP(ROWS($N$2:N9),$D$2:$E$1996,2,0),"")</f>
        <v>3/4</v>
      </c>
    </row>
    <row r="10" spans="1:14">
      <c r="A10" s="32">
        <v>38</v>
      </c>
      <c r="B10" s="32">
        <f>IF(ISNUMBER(SEARCH('Φόρμα Εισαγωγής'!$B$2,C10)),MAX($B$1:B9)+1,0)</f>
        <v>9</v>
      </c>
      <c r="C10" s="33" t="s">
        <v>760</v>
      </c>
      <c r="D10" s="33">
        <f>IF(ISNUMBER(SEARCH('Φόρμα Εισαγωγής'!$C$2,E10)),MAX($D$1:D9)+1,0)</f>
        <v>9</v>
      </c>
      <c r="E10" s="34" t="s">
        <v>34</v>
      </c>
      <c r="F10" s="32">
        <v>0.55000000000000004</v>
      </c>
      <c r="G10" s="32">
        <v>0.8</v>
      </c>
      <c r="H10" s="35">
        <f t="shared" si="0"/>
        <v>0.99199999999999999</v>
      </c>
      <c r="I10" s="35">
        <f t="shared" si="1"/>
        <v>20.900000000000002</v>
      </c>
      <c r="J10" s="35">
        <f t="shared" si="2"/>
        <v>37.695999999999998</v>
      </c>
      <c r="L10" s="4" t="str">
        <f>IFERROR(VLOOKUP(ROWS($L$2:L10),$B$2:$C$1996,2,0),"")</f>
        <v>ΝΙΠΕΛ ΓΑΛ G.F</v>
      </c>
      <c r="N10" s="2" t="str">
        <f>IFERROR(VLOOKUP(ROWS($N$2:N10),$D$2:$E$1996,2,0),"")</f>
        <v>1''</v>
      </c>
    </row>
    <row r="11" spans="1:14">
      <c r="A11" s="32">
        <v>15</v>
      </c>
      <c r="B11" s="32">
        <f>IF(ISNUMBER(SEARCH('Φόρμα Εισαγωγής'!$B$2,C11)),MAX($B$1:B10)+1,0)</f>
        <v>10</v>
      </c>
      <c r="C11" s="33" t="s">
        <v>760</v>
      </c>
      <c r="D11" s="33">
        <f>IF(ISNUMBER(SEARCH('Φόρμα Εισαγωγής'!$C$2,E11)),MAX($D$1:D10)+1,0)</f>
        <v>10</v>
      </c>
      <c r="E11" s="34" t="s">
        <v>35</v>
      </c>
      <c r="F11" s="32">
        <v>0.95</v>
      </c>
      <c r="G11" s="32">
        <v>1.35</v>
      </c>
      <c r="H11" s="35">
        <f t="shared" si="0"/>
        <v>1.6740000000000002</v>
      </c>
      <c r="I11" s="35">
        <f t="shared" si="1"/>
        <v>14.25</v>
      </c>
      <c r="J11" s="35">
        <f t="shared" si="2"/>
        <v>25.110000000000003</v>
      </c>
      <c r="L11" s="4" t="str">
        <f>IFERROR(VLOOKUP(ROWS($L$2:L11),$B$2:$C$1996,2,0),"")</f>
        <v>ΝΙΠΕΛ ΓΑΛ G.F</v>
      </c>
      <c r="N11" s="2" t="str">
        <f>IFERROR(VLOOKUP(ROWS($N$2:N11),$D$2:$E$1996,2,0),"")</f>
        <v>1 1/4''</v>
      </c>
    </row>
    <row r="12" spans="1:14">
      <c r="A12" s="32">
        <v>11</v>
      </c>
      <c r="B12" s="32">
        <f>IF(ISNUMBER(SEARCH('Φόρμα Εισαγωγής'!$B$2,C12)),MAX($B$1:B11)+1,0)</f>
        <v>11</v>
      </c>
      <c r="C12" s="33" t="s">
        <v>760</v>
      </c>
      <c r="D12" s="33">
        <f>IF(ISNUMBER(SEARCH('Φόρμα Εισαγωγής'!$C$2,E12)),MAX($D$1:D11)+1,0)</f>
        <v>11</v>
      </c>
      <c r="E12" s="34" t="s">
        <v>36</v>
      </c>
      <c r="F12" s="32">
        <v>1</v>
      </c>
      <c r="G12" s="32">
        <v>1.4</v>
      </c>
      <c r="H12" s="35">
        <f t="shared" si="0"/>
        <v>1.7359999999999998</v>
      </c>
      <c r="I12" s="35">
        <f t="shared" si="1"/>
        <v>11</v>
      </c>
      <c r="J12" s="35">
        <f t="shared" si="2"/>
        <v>19.095999999999997</v>
      </c>
      <c r="L12" s="4" t="str">
        <f>IFERROR(VLOOKUP(ROWS($L$2:L12),$B$2:$C$1996,2,0),"")</f>
        <v>ΝΙΠΕΛ ΓΑΛ G.F</v>
      </c>
      <c r="N12" s="2" t="str">
        <f>IFERROR(VLOOKUP(ROWS($N$2:N12),$D$2:$E$1996,2,0),"")</f>
        <v>1 1/2''</v>
      </c>
    </row>
    <row r="13" spans="1:14">
      <c r="A13" s="32">
        <v>6</v>
      </c>
      <c r="B13" s="32">
        <f>IF(ISNUMBER(SEARCH('Φόρμα Εισαγωγής'!$B$2,C13)),MAX($B$1:B12)+1,0)</f>
        <v>12</v>
      </c>
      <c r="C13" s="33" t="s">
        <v>760</v>
      </c>
      <c r="D13" s="33">
        <f>IF(ISNUMBER(SEARCH('Φόρμα Εισαγωγής'!$C$2,E13)),MAX($D$1:D12)+1,0)</f>
        <v>12</v>
      </c>
      <c r="E13" s="34" t="s">
        <v>37</v>
      </c>
      <c r="F13" s="32">
        <v>2</v>
      </c>
      <c r="G13" s="32">
        <v>2.8</v>
      </c>
      <c r="H13" s="35">
        <f t="shared" si="0"/>
        <v>3.4719999999999995</v>
      </c>
      <c r="I13" s="35">
        <f t="shared" si="1"/>
        <v>12</v>
      </c>
      <c r="J13" s="35">
        <f t="shared" si="2"/>
        <v>20.831999999999997</v>
      </c>
      <c r="L13" s="4" t="str">
        <f>IFERROR(VLOOKUP(ROWS($L$2:L13),$B$2:$C$1996,2,0),"")</f>
        <v>ΝΙΠΕΛ ΓΑΛ G.F</v>
      </c>
      <c r="N13" s="2" t="str">
        <f>IFERROR(VLOOKUP(ROWS($N$2:N13),$D$2:$E$1996,2,0),"")</f>
        <v>2''</v>
      </c>
    </row>
    <row r="14" spans="1:14">
      <c r="A14" s="32">
        <v>0</v>
      </c>
      <c r="B14" s="32">
        <f>IF(ISNUMBER(SEARCH('Φόρμα Εισαγωγής'!$B$2,C14)),MAX($B$1:B13)+1,0)</f>
        <v>13</v>
      </c>
      <c r="C14" s="33" t="s">
        <v>760</v>
      </c>
      <c r="D14" s="33">
        <f>IF(ISNUMBER(SEARCH('Φόρμα Εισαγωγής'!$C$2,E14)),MAX($D$1:D13)+1,0)</f>
        <v>13</v>
      </c>
      <c r="E14" s="34" t="s">
        <v>38</v>
      </c>
      <c r="F14" s="32">
        <v>4.5</v>
      </c>
      <c r="G14" s="32">
        <v>6.3</v>
      </c>
      <c r="H14" s="35">
        <f t="shared" si="0"/>
        <v>7.8119999999999994</v>
      </c>
      <c r="I14" s="35">
        <f t="shared" si="1"/>
        <v>0</v>
      </c>
      <c r="J14" s="35">
        <f t="shared" si="2"/>
        <v>0</v>
      </c>
      <c r="L14" s="4" t="str">
        <f>IFERROR(VLOOKUP(ROWS($L$2:L14),$B$2:$C$1996,2,0),"")</f>
        <v>ΝΙΠΕΛ ΓΑΛ G.F</v>
      </c>
      <c r="N14" s="2" t="str">
        <f>IFERROR(VLOOKUP(ROWS($N$2:N14),$D$2:$E$1996,2,0),"")</f>
        <v>3''</v>
      </c>
    </row>
    <row r="15" spans="1:14">
      <c r="A15" s="32">
        <v>26</v>
      </c>
      <c r="B15" s="32">
        <f>IF(ISNUMBER(SEARCH('Φόρμα Εισαγωγής'!$B$2,C15)),MAX($B$1:B14)+1,0)</f>
        <v>14</v>
      </c>
      <c r="C15" s="33" t="s">
        <v>759</v>
      </c>
      <c r="D15" s="33">
        <f>IF(ISNUMBER(SEARCH('Φόρμα Εισαγωγής'!$C$2,E15)),MAX($D$1:D14)+1,0)</f>
        <v>14</v>
      </c>
      <c r="E15" s="34" t="s">
        <v>18</v>
      </c>
      <c r="F15" s="32">
        <v>0.28999999999999998</v>
      </c>
      <c r="G15" s="32">
        <v>0.4</v>
      </c>
      <c r="H15" s="35">
        <f t="shared" si="0"/>
        <v>0.496</v>
      </c>
      <c r="I15" s="35">
        <f t="shared" si="1"/>
        <v>7.5399999999999991</v>
      </c>
      <c r="J15" s="35">
        <f t="shared" si="2"/>
        <v>12.896000000000001</v>
      </c>
      <c r="L15" s="4" t="str">
        <f>IFERROR(VLOOKUP(ROWS($L$2:L15),$B$2:$C$1996,2,0),"")</f>
        <v xml:space="preserve">ΓΩΝΙΑ ΓΑΛ  G.F </v>
      </c>
      <c r="N15" s="2" t="str">
        <f>IFERROR(VLOOKUP(ROWS($N$2:N15),$D$2:$E$1996,2,0),"")</f>
        <v xml:space="preserve">ΘΗΛ 1/2 </v>
      </c>
    </row>
    <row r="16" spans="1:14">
      <c r="A16" s="32">
        <v>31</v>
      </c>
      <c r="B16" s="32">
        <f>IF(ISNUMBER(SEARCH('Φόρμα Εισαγωγής'!$B$2,C16)),MAX($B$1:B15)+1,0)</f>
        <v>15</v>
      </c>
      <c r="C16" s="33" t="s">
        <v>759</v>
      </c>
      <c r="D16" s="33">
        <f>IF(ISNUMBER(SEARCH('Φόρμα Εισαγωγής'!$C$2,E16)),MAX($D$1:D15)+1,0)</f>
        <v>15</v>
      </c>
      <c r="E16" s="34" t="s">
        <v>19</v>
      </c>
      <c r="F16" s="32">
        <v>0.45</v>
      </c>
      <c r="G16" s="32">
        <v>0.65</v>
      </c>
      <c r="H16" s="35">
        <f t="shared" si="0"/>
        <v>0.80600000000000005</v>
      </c>
      <c r="I16" s="35">
        <f t="shared" si="1"/>
        <v>13.950000000000001</v>
      </c>
      <c r="J16" s="35">
        <f t="shared" si="2"/>
        <v>24.986000000000001</v>
      </c>
      <c r="L16" s="4" t="str">
        <f>IFERROR(VLOOKUP(ROWS($L$2:L16),$B$2:$C$1996,2,0),"")</f>
        <v xml:space="preserve">ΓΩΝΙΑ ΓΑΛ  G.F </v>
      </c>
      <c r="N16" s="2" t="str">
        <f>IFERROR(VLOOKUP(ROWS($N$2:N16),$D$2:$E$1996,2,0),"")</f>
        <v>ΘΗΛ 3/4</v>
      </c>
    </row>
    <row r="17" spans="1:14">
      <c r="A17" s="32">
        <v>48</v>
      </c>
      <c r="B17" s="32">
        <f>IF(ISNUMBER(SEARCH('Φόρμα Εισαγωγής'!$B$2,C17)),MAX($B$1:B16)+1,0)</f>
        <v>16</v>
      </c>
      <c r="C17" s="33" t="s">
        <v>759</v>
      </c>
      <c r="D17" s="33">
        <f>IF(ISNUMBER(SEARCH('Φόρμα Εισαγωγής'!$C$2,E17)),MAX($D$1:D16)+1,0)</f>
        <v>16</v>
      </c>
      <c r="E17" s="34" t="s">
        <v>20</v>
      </c>
      <c r="F17" s="32">
        <v>0.65</v>
      </c>
      <c r="G17" s="32">
        <v>0.95</v>
      </c>
      <c r="H17" s="35">
        <f t="shared" ref="H17:H105" si="3">G17+(G17*0.24)</f>
        <v>1.1779999999999999</v>
      </c>
      <c r="I17" s="35">
        <f t="shared" ref="I17:I105" si="4">F17*A17</f>
        <v>31.200000000000003</v>
      </c>
      <c r="J17" s="35">
        <f t="shared" ref="J17:J105" si="5">H17*A17</f>
        <v>56.543999999999997</v>
      </c>
      <c r="L17" s="4" t="str">
        <f>IFERROR(VLOOKUP(ROWS($L$2:L17),$B$2:$C$1996,2,0),"")</f>
        <v xml:space="preserve">ΓΩΝΙΑ ΓΑΛ  G.F </v>
      </c>
      <c r="N17" s="2" t="str">
        <f>IFERROR(VLOOKUP(ROWS($N$2:N17),$D$2:$E$1996,2,0),"")</f>
        <v>ΘΗΛ 1''</v>
      </c>
    </row>
    <row r="18" spans="1:14">
      <c r="A18" s="32">
        <v>22</v>
      </c>
      <c r="B18" s="32">
        <f>IF(ISNUMBER(SEARCH('Φόρμα Εισαγωγής'!$B$2,C18)),MAX($B$1:B17)+1,0)</f>
        <v>17</v>
      </c>
      <c r="C18" s="33" t="s">
        <v>759</v>
      </c>
      <c r="D18" s="33">
        <f>IF(ISNUMBER(SEARCH('Φόρμα Εισαγωγής'!$C$2,E18)),MAX($D$1:D17)+1,0)</f>
        <v>17</v>
      </c>
      <c r="E18" s="34" t="s">
        <v>21</v>
      </c>
      <c r="F18" s="32">
        <v>1.3</v>
      </c>
      <c r="G18" s="32">
        <v>1.85</v>
      </c>
      <c r="H18" s="35">
        <f t="shared" si="3"/>
        <v>2.294</v>
      </c>
      <c r="I18" s="35">
        <f t="shared" si="4"/>
        <v>28.6</v>
      </c>
      <c r="J18" s="35">
        <f t="shared" si="5"/>
        <v>50.468000000000004</v>
      </c>
      <c r="L18" s="4" t="str">
        <f>IFERROR(VLOOKUP(ROWS($L$2:L18),$B$2:$C$1996,2,0),"")</f>
        <v xml:space="preserve">ΓΩΝΙΑ ΓΑΛ  G.F </v>
      </c>
      <c r="N18" s="2" t="str">
        <f>IFERROR(VLOOKUP(ROWS($N$2:N18),$D$2:$E$1996,2,0),"")</f>
        <v>ΘΗΛ 1 1/4''</v>
      </c>
    </row>
    <row r="19" spans="1:14">
      <c r="A19" s="32">
        <v>19</v>
      </c>
      <c r="B19" s="32">
        <f>IF(ISNUMBER(SEARCH('Φόρμα Εισαγωγής'!$B$2,C19)),MAX($B$1:B18)+1,0)</f>
        <v>18</v>
      </c>
      <c r="C19" s="33" t="s">
        <v>759</v>
      </c>
      <c r="D19" s="33">
        <f>IF(ISNUMBER(SEARCH('Φόρμα Εισαγωγής'!$C$2,E19)),MAX($D$1:D18)+1,0)</f>
        <v>18</v>
      </c>
      <c r="E19" s="34" t="s">
        <v>21</v>
      </c>
      <c r="F19" s="32">
        <v>1</v>
      </c>
      <c r="G19" s="32">
        <v>1.4</v>
      </c>
      <c r="H19" s="35">
        <f t="shared" si="3"/>
        <v>1.7359999999999998</v>
      </c>
      <c r="I19" s="35">
        <f t="shared" si="4"/>
        <v>19</v>
      </c>
      <c r="J19" s="35">
        <f t="shared" si="5"/>
        <v>32.983999999999995</v>
      </c>
      <c r="L19" s="4" t="str">
        <f>IFERROR(VLOOKUP(ROWS($L$2:L19),$B$2:$C$1996,2,0),"")</f>
        <v xml:space="preserve">ΓΩΝΙΑ ΓΑΛ  G.F </v>
      </c>
      <c r="N19" s="2" t="str">
        <f>IFERROR(VLOOKUP(ROWS($N$2:N19),$D$2:$E$1996,2,0),"")</f>
        <v>ΘΗΛ 1 1/4''</v>
      </c>
    </row>
    <row r="20" spans="1:14">
      <c r="A20" s="32">
        <v>6</v>
      </c>
      <c r="B20" s="32">
        <f>IF(ISNUMBER(SEARCH('Φόρμα Εισαγωγής'!$B$2,C20)),MAX($B$1:B19)+1,0)</f>
        <v>19</v>
      </c>
      <c r="C20" s="33" t="s">
        <v>759</v>
      </c>
      <c r="D20" s="33">
        <f>IF(ISNUMBER(SEARCH('Φόρμα Εισαγωγής'!$C$2,E20)),MAX($D$1:D19)+1,0)</f>
        <v>19</v>
      </c>
      <c r="E20" s="34" t="s">
        <v>22</v>
      </c>
      <c r="F20" s="32">
        <v>2.15</v>
      </c>
      <c r="G20" s="32">
        <v>3</v>
      </c>
      <c r="H20" s="35">
        <f t="shared" si="3"/>
        <v>3.7199999999999998</v>
      </c>
      <c r="I20" s="35">
        <f t="shared" si="4"/>
        <v>12.899999999999999</v>
      </c>
      <c r="J20" s="35">
        <f t="shared" si="5"/>
        <v>22.32</v>
      </c>
      <c r="L20" s="4" t="str">
        <f>IFERROR(VLOOKUP(ROWS($L$2:L20),$B$2:$C$1996,2,0),"")</f>
        <v xml:space="preserve">ΓΩΝΙΑ ΓΑΛ  G.F </v>
      </c>
      <c r="N20" s="2" t="str">
        <f>IFERROR(VLOOKUP(ROWS($N$2:N20),$D$2:$E$1996,2,0),"")</f>
        <v>ΘΗΛ 1 1/2''</v>
      </c>
    </row>
    <row r="21" spans="1:14">
      <c r="A21" s="32">
        <v>4</v>
      </c>
      <c r="B21" s="32">
        <f>IF(ISNUMBER(SEARCH('Φόρμα Εισαγωγής'!$B$2,C21)),MAX($B$1:B20)+1,0)</f>
        <v>20</v>
      </c>
      <c r="C21" s="33" t="s">
        <v>759</v>
      </c>
      <c r="D21" s="33">
        <f>IF(ISNUMBER(SEARCH('Φόρμα Εισαγωγής'!$C$2,E21)),MAX($D$1:D20)+1,0)</f>
        <v>20</v>
      </c>
      <c r="E21" s="34" t="s">
        <v>23</v>
      </c>
      <c r="F21" s="32">
        <v>2.5</v>
      </c>
      <c r="G21" s="32">
        <v>3.5</v>
      </c>
      <c r="H21" s="35">
        <f t="shared" si="3"/>
        <v>4.34</v>
      </c>
      <c r="I21" s="35">
        <f t="shared" si="4"/>
        <v>10</v>
      </c>
      <c r="J21" s="35">
        <f t="shared" si="5"/>
        <v>17.36</v>
      </c>
      <c r="L21" s="4" t="str">
        <f>IFERROR(VLOOKUP(ROWS($L$2:L21),$B$2:$C$1996,2,0),"")</f>
        <v xml:space="preserve">ΓΩΝΙΑ ΓΑΛ  G.F </v>
      </c>
      <c r="N21" s="2" t="str">
        <f>IFERROR(VLOOKUP(ROWS($N$2:N21),$D$2:$E$1996,2,0),"")</f>
        <v>ΘΗΛ 2''</v>
      </c>
    </row>
    <row r="22" spans="1:14">
      <c r="A22" s="32">
        <v>2</v>
      </c>
      <c r="B22" s="32">
        <f>IF(ISNUMBER(SEARCH('Φόρμα Εισαγωγής'!$B$2,C22)),MAX($B$1:B21)+1,0)</f>
        <v>21</v>
      </c>
      <c r="C22" s="33" t="s">
        <v>759</v>
      </c>
      <c r="D22" s="33">
        <f>IF(ISNUMBER(SEARCH('Φόρμα Εισαγωγής'!$C$2,E22)),MAX($D$1:D21)+1,0)</f>
        <v>21</v>
      </c>
      <c r="E22" s="34" t="s">
        <v>24</v>
      </c>
      <c r="F22" s="32">
        <v>11</v>
      </c>
      <c r="G22" s="32">
        <v>15.5</v>
      </c>
      <c r="H22" s="35">
        <f t="shared" si="3"/>
        <v>19.22</v>
      </c>
      <c r="I22" s="35">
        <f t="shared" si="4"/>
        <v>22</v>
      </c>
      <c r="J22" s="35">
        <f t="shared" si="5"/>
        <v>38.44</v>
      </c>
      <c r="L22" s="4" t="str">
        <f>IFERROR(VLOOKUP(ROWS($L$2:L22),$B$2:$C$1996,2,0),"")</f>
        <v xml:space="preserve">ΓΩΝΙΑ ΓΑΛ  G.F </v>
      </c>
      <c r="N22" s="2" t="str">
        <f>IFERROR(VLOOKUP(ROWS($N$2:N22),$D$2:$E$1996,2,0),"")</f>
        <v>ΘΗΛ 3''</v>
      </c>
    </row>
    <row r="23" spans="1:14">
      <c r="A23" s="32">
        <v>13</v>
      </c>
      <c r="B23" s="32">
        <f>IF(ISNUMBER(SEARCH('Φόρμα Εισαγωγής'!$B$2,C23)),MAX($B$1:B22)+1,0)</f>
        <v>22</v>
      </c>
      <c r="C23" s="33" t="s">
        <v>759</v>
      </c>
      <c r="D23" s="33">
        <f>IF(ISNUMBER(SEARCH('Φόρμα Εισαγωγής'!$C$2,E23)),MAX($D$1:D22)+1,0)</f>
        <v>22</v>
      </c>
      <c r="E23" s="34" t="s">
        <v>25</v>
      </c>
      <c r="F23" s="32">
        <v>0.35</v>
      </c>
      <c r="G23" s="32">
        <v>0.5</v>
      </c>
      <c r="H23" s="35">
        <f t="shared" si="3"/>
        <v>0.62</v>
      </c>
      <c r="I23" s="35">
        <f t="shared" si="4"/>
        <v>4.55</v>
      </c>
      <c r="J23" s="35">
        <f t="shared" si="5"/>
        <v>8.06</v>
      </c>
      <c r="L23" s="4" t="str">
        <f>IFERROR(VLOOKUP(ROWS($L$2:L23),$B$2:$C$1996,2,0),"")</f>
        <v xml:space="preserve">ΓΩΝΙΑ ΓΑΛ  G.F </v>
      </c>
      <c r="N23" s="2" t="str">
        <f>IFERROR(VLOOKUP(ROWS($N$2:N23),$D$2:$E$1996,2,0),"")</f>
        <v>Α/Θ 1/2</v>
      </c>
    </row>
    <row r="24" spans="1:14">
      <c r="A24" s="32">
        <v>22</v>
      </c>
      <c r="B24" s="32">
        <f>IF(ISNUMBER(SEARCH('Φόρμα Εισαγωγής'!$B$2,C24)),MAX($B$1:B23)+1,0)</f>
        <v>23</v>
      </c>
      <c r="C24" s="33" t="s">
        <v>759</v>
      </c>
      <c r="D24" s="33">
        <f>IF(ISNUMBER(SEARCH('Φόρμα Εισαγωγής'!$C$2,E24)),MAX($D$1:D23)+1,0)</f>
        <v>23</v>
      </c>
      <c r="E24" s="34" t="s">
        <v>26</v>
      </c>
      <c r="F24" s="32">
        <v>0.5</v>
      </c>
      <c r="G24" s="32">
        <v>0.75</v>
      </c>
      <c r="H24" s="35">
        <f t="shared" si="3"/>
        <v>0.92999999999999994</v>
      </c>
      <c r="I24" s="35">
        <f t="shared" si="4"/>
        <v>11</v>
      </c>
      <c r="J24" s="35">
        <f t="shared" si="5"/>
        <v>20.459999999999997</v>
      </c>
      <c r="L24" s="4" t="str">
        <f>IFERROR(VLOOKUP(ROWS($L$2:L24),$B$2:$C$1996,2,0),"")</f>
        <v xml:space="preserve">ΓΩΝΙΑ ΓΑΛ  G.F </v>
      </c>
      <c r="N24" s="2" t="str">
        <f>IFERROR(VLOOKUP(ROWS($N$2:N24),$D$2:$E$1996,2,0),"")</f>
        <v>Α/Θ 3/4</v>
      </c>
    </row>
    <row r="25" spans="1:14">
      <c r="A25" s="32">
        <v>15</v>
      </c>
      <c r="B25" s="32">
        <f>IF(ISNUMBER(SEARCH('Φόρμα Εισαγωγής'!$B$2,C25)),MAX($B$1:B24)+1,0)</f>
        <v>24</v>
      </c>
      <c r="C25" s="33" t="s">
        <v>759</v>
      </c>
      <c r="D25" s="33">
        <f>IF(ISNUMBER(SEARCH('Φόρμα Εισαγωγής'!$C$2,E25)),MAX($D$1:D24)+1,0)</f>
        <v>24</v>
      </c>
      <c r="E25" s="34" t="s">
        <v>27</v>
      </c>
      <c r="F25" s="32">
        <v>0.9</v>
      </c>
      <c r="G25" s="32">
        <v>1.25</v>
      </c>
      <c r="H25" s="35">
        <f t="shared" si="3"/>
        <v>1.55</v>
      </c>
      <c r="I25" s="35">
        <f t="shared" si="4"/>
        <v>13.5</v>
      </c>
      <c r="J25" s="35">
        <f t="shared" si="5"/>
        <v>23.25</v>
      </c>
      <c r="L25" s="4" t="str">
        <f>IFERROR(VLOOKUP(ROWS($L$2:L25),$B$2:$C$1996,2,0),"")</f>
        <v xml:space="preserve">ΓΩΝΙΑ ΓΑΛ  G.F </v>
      </c>
      <c r="N25" s="2" t="str">
        <f>IFERROR(VLOOKUP(ROWS($N$2:N25),$D$2:$E$1996,2,0),"")</f>
        <v>Α/Θ 1''</v>
      </c>
    </row>
    <row r="26" spans="1:14">
      <c r="A26" s="32">
        <v>22</v>
      </c>
      <c r="B26" s="32">
        <f>IF(ISNUMBER(SEARCH('Φόρμα Εισαγωγής'!$B$2,C26)),MAX($B$1:B25)+1,0)</f>
        <v>25</v>
      </c>
      <c r="C26" s="33" t="s">
        <v>759</v>
      </c>
      <c r="D26" s="33">
        <f>IF(ISNUMBER(SEARCH('Φόρμα Εισαγωγής'!$C$2,E26)),MAX($D$1:D25)+1,0)</f>
        <v>25</v>
      </c>
      <c r="E26" s="34" t="s">
        <v>28</v>
      </c>
      <c r="F26" s="32">
        <v>1.5</v>
      </c>
      <c r="G26" s="32">
        <v>2.1</v>
      </c>
      <c r="H26" s="35">
        <f t="shared" si="3"/>
        <v>2.6040000000000001</v>
      </c>
      <c r="I26" s="35">
        <f t="shared" si="4"/>
        <v>33</v>
      </c>
      <c r="J26" s="35">
        <f t="shared" si="5"/>
        <v>57.288000000000004</v>
      </c>
      <c r="L26" s="4" t="str">
        <f>IFERROR(VLOOKUP(ROWS($L$2:L26),$B$2:$C$1996,2,0),"")</f>
        <v xml:space="preserve">ΓΩΝΙΑ ΓΑΛ  G.F </v>
      </c>
      <c r="N26" s="2" t="str">
        <f>IFERROR(VLOOKUP(ROWS($N$2:N26),$D$2:$E$1996,2,0),"")</f>
        <v>Α/Θ 1 1/4''</v>
      </c>
    </row>
    <row r="27" spans="1:14">
      <c r="A27" s="32">
        <v>5</v>
      </c>
      <c r="B27" s="32">
        <f>IF(ISNUMBER(SEARCH('Φόρμα Εισαγωγής'!$B$2,C27)),MAX($B$1:B26)+1,0)</f>
        <v>26</v>
      </c>
      <c r="C27" s="33" t="s">
        <v>759</v>
      </c>
      <c r="D27" s="33">
        <f>IF(ISNUMBER(SEARCH('Φόρμα Εισαγωγής'!$C$2,E27)),MAX($D$1:D26)+1,0)</f>
        <v>26</v>
      </c>
      <c r="E27" s="34" t="s">
        <v>29</v>
      </c>
      <c r="F27" s="32">
        <v>2.2999999999999998</v>
      </c>
      <c r="G27" s="32">
        <v>3.3</v>
      </c>
      <c r="H27" s="35">
        <f t="shared" si="3"/>
        <v>4.0919999999999996</v>
      </c>
      <c r="I27" s="35">
        <f t="shared" si="4"/>
        <v>11.5</v>
      </c>
      <c r="J27" s="35">
        <f t="shared" si="5"/>
        <v>20.459999999999997</v>
      </c>
      <c r="L27" s="4" t="str">
        <f>IFERROR(VLOOKUP(ROWS($L$2:L27),$B$2:$C$1996,2,0),"")</f>
        <v xml:space="preserve">ΓΩΝΙΑ ΓΑΛ  G.F </v>
      </c>
      <c r="N27" s="2" t="str">
        <f>IFERROR(VLOOKUP(ROWS($N$2:N27),$D$2:$E$1996,2,0),"")</f>
        <v>Α/Θ 1 1/2''</v>
      </c>
    </row>
    <row r="28" spans="1:14">
      <c r="A28" s="32">
        <v>1</v>
      </c>
      <c r="B28" s="32">
        <f>IF(ISNUMBER(SEARCH('Φόρμα Εισαγωγής'!$B$2,C28)),MAX($B$1:B27)+1,0)</f>
        <v>27</v>
      </c>
      <c r="C28" s="33" t="s">
        <v>759</v>
      </c>
      <c r="D28" s="33">
        <f>IF(ISNUMBER(SEARCH('Φόρμα Εισαγωγής'!$C$2,E28)),MAX($D$1:D27)+1,0)</f>
        <v>27</v>
      </c>
      <c r="E28" s="34" t="s">
        <v>30</v>
      </c>
      <c r="F28" s="32">
        <v>3</v>
      </c>
      <c r="G28" s="32">
        <v>4.2</v>
      </c>
      <c r="H28" s="35">
        <f t="shared" si="3"/>
        <v>5.2080000000000002</v>
      </c>
      <c r="I28" s="35">
        <f t="shared" si="4"/>
        <v>3</v>
      </c>
      <c r="J28" s="35">
        <f t="shared" si="5"/>
        <v>5.2080000000000002</v>
      </c>
      <c r="L28" s="4" t="str">
        <f>IFERROR(VLOOKUP(ROWS($L$2:L28),$B$2:$C$1996,2,0),"")</f>
        <v xml:space="preserve">ΓΩΝΙΑ ΓΑΛ  G.F </v>
      </c>
      <c r="N28" s="2" t="str">
        <f>IFERROR(VLOOKUP(ROWS($N$2:N28),$D$2:$E$1996,2,0),"")</f>
        <v>Α/Θ 2''</v>
      </c>
    </row>
    <row r="29" spans="1:14">
      <c r="A29" s="32">
        <v>2</v>
      </c>
      <c r="B29" s="32">
        <f>IF(ISNUMBER(SEARCH('Φόρμα Εισαγωγής'!$B$2,C29)),MAX($B$1:B28)+1,0)</f>
        <v>28</v>
      </c>
      <c r="C29" s="33" t="s">
        <v>759</v>
      </c>
      <c r="D29" s="33">
        <f>IF(ISNUMBER(SEARCH('Φόρμα Εισαγωγής'!$C$2,E29)),MAX($D$1:D28)+1,0)</f>
        <v>28</v>
      </c>
      <c r="E29" s="34" t="s">
        <v>31</v>
      </c>
      <c r="F29" s="32">
        <v>10.5</v>
      </c>
      <c r="G29" s="32">
        <v>15</v>
      </c>
      <c r="H29" s="35">
        <f t="shared" si="3"/>
        <v>18.600000000000001</v>
      </c>
      <c r="I29" s="35">
        <f t="shared" si="4"/>
        <v>21</v>
      </c>
      <c r="J29" s="35">
        <f t="shared" si="5"/>
        <v>37.200000000000003</v>
      </c>
      <c r="L29" s="4" t="str">
        <f>IFERROR(VLOOKUP(ROWS($L$2:L29),$B$2:$C$1996,2,0),"")</f>
        <v xml:space="preserve">ΓΩΝΙΑ ΓΑΛ  G.F </v>
      </c>
      <c r="N29" s="2" t="str">
        <f>IFERROR(VLOOKUP(ROWS($N$2:N29),$D$2:$E$1996,2,0),"")</f>
        <v>Α/Θ 3''</v>
      </c>
    </row>
    <row r="30" spans="1:14">
      <c r="A30" s="32">
        <v>39</v>
      </c>
      <c r="B30" s="32">
        <f>IF(ISNUMBER(SEARCH('Φόρμα Εισαγωγής'!$B$2,C30)),MAX($B$1:B29)+1,0)</f>
        <v>29</v>
      </c>
      <c r="C30" s="33" t="s">
        <v>761</v>
      </c>
      <c r="D30" s="33">
        <f>IF(ISNUMBER(SEARCH('Φόρμα Εισαγωγής'!$C$2,E30)),MAX($D$1:D29)+1,0)</f>
        <v>29</v>
      </c>
      <c r="E30" s="34" t="s">
        <v>32</v>
      </c>
      <c r="F30" s="32">
        <v>0.35</v>
      </c>
      <c r="G30" s="32">
        <v>0.5</v>
      </c>
      <c r="H30" s="35">
        <f t="shared" ref="H30:H36" si="6">G30+(G30*0.24)</f>
        <v>0.62</v>
      </c>
      <c r="I30" s="35">
        <f t="shared" ref="I30:I36" si="7">F30*A30</f>
        <v>13.649999999999999</v>
      </c>
      <c r="J30" s="35">
        <f t="shared" ref="J30:J36" si="8">H30*A30</f>
        <v>24.18</v>
      </c>
      <c r="L30" s="4" t="str">
        <f>IFERROR(VLOOKUP(ROWS($L$2:L30),$B$2:$C$1996,2,0),"")</f>
        <v>ΜΟΥΦΑ ΓΑΛ G.F</v>
      </c>
      <c r="N30" s="2" t="str">
        <f>IFERROR(VLOOKUP(ROWS($N$2:N30),$D$2:$E$1996,2,0),"")</f>
        <v>1/2</v>
      </c>
    </row>
    <row r="31" spans="1:14">
      <c r="A31" s="32">
        <v>21</v>
      </c>
      <c r="B31" s="32">
        <f>IF(ISNUMBER(SEARCH('Φόρμα Εισαγωγής'!$B$2,C31)),MAX($B$1:B30)+1,0)</f>
        <v>30</v>
      </c>
      <c r="C31" s="33" t="s">
        <v>761</v>
      </c>
      <c r="D31" s="33">
        <f>IF(ISNUMBER(SEARCH('Φόρμα Εισαγωγής'!$C$2,E31)),MAX($D$1:D30)+1,0)</f>
        <v>30</v>
      </c>
      <c r="E31" s="34" t="s">
        <v>33</v>
      </c>
      <c r="F31" s="32">
        <v>0.5</v>
      </c>
      <c r="G31" s="32">
        <v>0.7</v>
      </c>
      <c r="H31" s="35">
        <f t="shared" si="6"/>
        <v>0.86799999999999988</v>
      </c>
      <c r="I31" s="35">
        <f t="shared" si="7"/>
        <v>10.5</v>
      </c>
      <c r="J31" s="35">
        <f t="shared" si="8"/>
        <v>18.227999999999998</v>
      </c>
      <c r="L31" s="4" t="str">
        <f>IFERROR(VLOOKUP(ROWS($L$2:L31),$B$2:$C$1996,2,0),"")</f>
        <v>ΜΟΥΦΑ ΓΑΛ G.F</v>
      </c>
      <c r="N31" s="2" t="str">
        <f>IFERROR(VLOOKUP(ROWS($N$2:N31),$D$2:$E$1996,2,0),"")</f>
        <v>3/4</v>
      </c>
    </row>
    <row r="32" spans="1:14">
      <c r="A32" s="32">
        <v>29</v>
      </c>
      <c r="B32" s="32">
        <f>IF(ISNUMBER(SEARCH('Φόρμα Εισαγωγής'!$B$2,C32)),MAX($B$1:B31)+1,0)</f>
        <v>31</v>
      </c>
      <c r="C32" s="33" t="s">
        <v>761</v>
      </c>
      <c r="D32" s="33">
        <f>IF(ISNUMBER(SEARCH('Φόρμα Εισαγωγής'!$C$2,E32)),MAX($D$1:D31)+1,0)</f>
        <v>31</v>
      </c>
      <c r="E32" s="34" t="s">
        <v>34</v>
      </c>
      <c r="F32" s="32">
        <v>0.6</v>
      </c>
      <c r="G32" s="32">
        <v>0.85</v>
      </c>
      <c r="H32" s="35">
        <f t="shared" si="6"/>
        <v>1.054</v>
      </c>
      <c r="I32" s="35">
        <f t="shared" si="7"/>
        <v>17.399999999999999</v>
      </c>
      <c r="J32" s="35">
        <f t="shared" si="8"/>
        <v>30.566000000000003</v>
      </c>
      <c r="L32" s="4" t="str">
        <f>IFERROR(VLOOKUP(ROWS($L$2:L32),$B$2:$C$1996,2,0),"")</f>
        <v>ΜΟΥΦΑ ΓΑΛ G.F</v>
      </c>
      <c r="N32" s="2" t="str">
        <f>IFERROR(VLOOKUP(ROWS($N$2:N32),$D$2:$E$1996,2,0),"")</f>
        <v>1''</v>
      </c>
    </row>
    <row r="33" spans="1:14">
      <c r="A33" s="32">
        <v>23</v>
      </c>
      <c r="B33" s="32">
        <f>IF(ISNUMBER(SEARCH('Φόρμα Εισαγωγής'!$B$2,C33)),MAX($B$1:B32)+1,0)</f>
        <v>32</v>
      </c>
      <c r="C33" s="33" t="s">
        <v>761</v>
      </c>
      <c r="D33" s="33">
        <f>IF(ISNUMBER(SEARCH('Φόρμα Εισαγωγής'!$C$2,E33)),MAX($D$1:D32)+1,0)</f>
        <v>32</v>
      </c>
      <c r="E33" s="34" t="s">
        <v>35</v>
      </c>
      <c r="F33" s="32">
        <v>1</v>
      </c>
      <c r="G33" s="32">
        <v>1.4</v>
      </c>
      <c r="H33" s="35">
        <f t="shared" si="6"/>
        <v>1.7359999999999998</v>
      </c>
      <c r="I33" s="35">
        <f t="shared" si="7"/>
        <v>23</v>
      </c>
      <c r="J33" s="35">
        <f t="shared" si="8"/>
        <v>39.927999999999997</v>
      </c>
      <c r="L33" s="4" t="str">
        <f>IFERROR(VLOOKUP(ROWS($L$2:L33),$B$2:$C$1996,2,0),"")</f>
        <v>ΜΟΥΦΑ ΓΑΛ G.F</v>
      </c>
      <c r="N33" s="2" t="str">
        <f>IFERROR(VLOOKUP(ROWS($N$2:N33),$D$2:$E$1996,2,0),"")</f>
        <v>1 1/4''</v>
      </c>
    </row>
    <row r="34" spans="1:14">
      <c r="A34" s="32">
        <v>10</v>
      </c>
      <c r="B34" s="32">
        <f>IF(ISNUMBER(SEARCH('Φόρμα Εισαγωγής'!$B$2,C34)),MAX($B$1:B33)+1,0)</f>
        <v>33</v>
      </c>
      <c r="C34" s="33" t="s">
        <v>761</v>
      </c>
      <c r="D34" s="33">
        <f>IF(ISNUMBER(SEARCH('Φόρμα Εισαγωγής'!$C$2,E34)),MAX($D$1:D33)+1,0)</f>
        <v>33</v>
      </c>
      <c r="E34" s="34" t="s">
        <v>36</v>
      </c>
      <c r="F34" s="32">
        <v>1.3</v>
      </c>
      <c r="G34" s="32">
        <v>1.85</v>
      </c>
      <c r="H34" s="35">
        <f t="shared" si="6"/>
        <v>2.294</v>
      </c>
      <c r="I34" s="35">
        <f t="shared" si="7"/>
        <v>13</v>
      </c>
      <c r="J34" s="35">
        <f t="shared" si="8"/>
        <v>22.94</v>
      </c>
      <c r="L34" s="4" t="str">
        <f>IFERROR(VLOOKUP(ROWS($L$2:L34),$B$2:$C$1996,2,0),"")</f>
        <v>ΜΟΥΦΑ ΓΑΛ G.F</v>
      </c>
      <c r="N34" s="2" t="str">
        <f>IFERROR(VLOOKUP(ROWS($N$2:N34),$D$2:$E$1996,2,0),"")</f>
        <v>1 1/2''</v>
      </c>
    </row>
    <row r="35" spans="1:14">
      <c r="A35" s="32">
        <v>0</v>
      </c>
      <c r="B35" s="32">
        <f>IF(ISNUMBER(SEARCH('Φόρμα Εισαγωγής'!$B$2,C35)),MAX($B$1:B34)+1,0)</f>
        <v>34</v>
      </c>
      <c r="C35" s="33" t="s">
        <v>761</v>
      </c>
      <c r="D35" s="33">
        <f>IF(ISNUMBER(SEARCH('Φόρμα Εισαγωγής'!$C$2,E35)),MAX($D$1:D34)+1,0)</f>
        <v>34</v>
      </c>
      <c r="E35" s="34" t="s">
        <v>37</v>
      </c>
      <c r="F35" s="32">
        <v>2</v>
      </c>
      <c r="G35" s="32">
        <v>2.8</v>
      </c>
      <c r="H35" s="35">
        <f t="shared" si="6"/>
        <v>3.4719999999999995</v>
      </c>
      <c r="I35" s="35">
        <f t="shared" si="7"/>
        <v>0</v>
      </c>
      <c r="J35" s="35">
        <f t="shared" si="8"/>
        <v>0</v>
      </c>
      <c r="L35" s="4" t="str">
        <f>IFERROR(VLOOKUP(ROWS($L$2:L35),$B$2:$C$1996,2,0),"")</f>
        <v>ΜΟΥΦΑ ΓΑΛ G.F</v>
      </c>
      <c r="N35" s="2" t="str">
        <f>IFERROR(VLOOKUP(ROWS($N$2:N35),$D$2:$E$1996,2,0),"")</f>
        <v>2''</v>
      </c>
    </row>
    <row r="36" spans="1:14">
      <c r="A36" s="32">
        <v>5</v>
      </c>
      <c r="B36" s="32">
        <f>IF(ISNUMBER(SEARCH('Φόρμα Εισαγωγής'!$B$2,C36)),MAX($B$1:B35)+1,0)</f>
        <v>35</v>
      </c>
      <c r="C36" s="33" t="s">
        <v>761</v>
      </c>
      <c r="D36" s="33">
        <f>IF(ISNUMBER(SEARCH('Φόρμα Εισαγωγής'!$C$2,E36)),MAX($D$1:D35)+1,0)</f>
        <v>35</v>
      </c>
      <c r="E36" s="34" t="s">
        <v>38</v>
      </c>
      <c r="F36" s="32">
        <v>7.2</v>
      </c>
      <c r="G36" s="32">
        <v>10</v>
      </c>
      <c r="H36" s="35">
        <f t="shared" si="6"/>
        <v>12.4</v>
      </c>
      <c r="I36" s="35">
        <f t="shared" si="7"/>
        <v>36</v>
      </c>
      <c r="J36" s="35">
        <f t="shared" si="8"/>
        <v>62</v>
      </c>
      <c r="L36" s="4" t="str">
        <f>IFERROR(VLOOKUP(ROWS($L$2:L36),$B$2:$C$1996,2,0),"")</f>
        <v>ΜΟΥΦΑ ΓΑΛ G.F</v>
      </c>
      <c r="N36" s="2" t="str">
        <f>IFERROR(VLOOKUP(ROWS($N$2:N36),$D$2:$E$1996,2,0),"")</f>
        <v>3''</v>
      </c>
    </row>
    <row r="37" spans="1:14">
      <c r="A37" s="32">
        <v>17</v>
      </c>
      <c r="B37" s="32">
        <f>IF(ISNUMBER(SEARCH('Φόρμα Εισαγωγής'!$B$2,C37)),MAX($B$1:B36)+1,0)</f>
        <v>36</v>
      </c>
      <c r="C37" s="33" t="s">
        <v>762</v>
      </c>
      <c r="D37" s="33">
        <f>IF(ISNUMBER(SEARCH('Φόρμα Εισαγωγής'!$C$2,E37)),MAX($D$1:D36)+1,0)</f>
        <v>36</v>
      </c>
      <c r="E37" s="34" t="s">
        <v>32</v>
      </c>
      <c r="F37" s="32">
        <v>0.4</v>
      </c>
      <c r="G37" s="32">
        <v>0.6</v>
      </c>
      <c r="H37" s="35">
        <f t="shared" si="3"/>
        <v>0.74399999999999999</v>
      </c>
      <c r="I37" s="35">
        <f t="shared" si="4"/>
        <v>6.8000000000000007</v>
      </c>
      <c r="J37" s="35">
        <f t="shared" si="5"/>
        <v>12.648</v>
      </c>
      <c r="L37" s="4" t="str">
        <f>IFERROR(VLOOKUP(ROWS($L$2:L37),$B$2:$C$1996,2,0),"")</f>
        <v>ΤΑΦ ΓΑΛ G.F</v>
      </c>
      <c r="N37" s="2" t="str">
        <f>IFERROR(VLOOKUP(ROWS($N$2:N37),$D$2:$E$1996,2,0),"")</f>
        <v>1/2</v>
      </c>
    </row>
    <row r="38" spans="1:14">
      <c r="A38" s="32">
        <v>34</v>
      </c>
      <c r="B38" s="32">
        <f>IF(ISNUMBER(SEARCH('Φόρμα Εισαγωγής'!$B$2,C38)),MAX($B$1:B37)+1,0)</f>
        <v>37</v>
      </c>
      <c r="C38" s="33" t="s">
        <v>762</v>
      </c>
      <c r="D38" s="33">
        <f>IF(ISNUMBER(SEARCH('Φόρμα Εισαγωγής'!$C$2,E38)),MAX($D$1:D37)+1,0)</f>
        <v>37</v>
      </c>
      <c r="E38" s="34" t="s">
        <v>33</v>
      </c>
      <c r="F38" s="32">
        <v>0.65</v>
      </c>
      <c r="G38" s="32">
        <v>0.9</v>
      </c>
      <c r="H38" s="35">
        <f t="shared" si="3"/>
        <v>1.1160000000000001</v>
      </c>
      <c r="I38" s="35">
        <f t="shared" si="4"/>
        <v>22.1</v>
      </c>
      <c r="J38" s="35">
        <f t="shared" si="5"/>
        <v>37.944000000000003</v>
      </c>
      <c r="L38" s="4" t="str">
        <f>IFERROR(VLOOKUP(ROWS($L$2:L38),$B$2:$C$1996,2,0),"")</f>
        <v>ΤΑΦ ΓΑΛ G.F</v>
      </c>
      <c r="N38" s="2" t="str">
        <f>IFERROR(VLOOKUP(ROWS($N$2:N38),$D$2:$E$1996,2,0),"")</f>
        <v>3/4</v>
      </c>
    </row>
    <row r="39" spans="1:14">
      <c r="A39" s="32">
        <v>13</v>
      </c>
      <c r="B39" s="32">
        <f>IF(ISNUMBER(SEARCH('Φόρμα Εισαγωγής'!$B$2,C39)),MAX($B$1:B38)+1,0)</f>
        <v>38</v>
      </c>
      <c r="C39" s="33" t="s">
        <v>762</v>
      </c>
      <c r="D39" s="33">
        <f>IF(ISNUMBER(SEARCH('Φόρμα Εισαγωγής'!$C$2,E39)),MAX($D$1:D38)+1,0)</f>
        <v>38</v>
      </c>
      <c r="E39" s="34" t="s">
        <v>34</v>
      </c>
      <c r="F39" s="32">
        <v>1</v>
      </c>
      <c r="G39" s="32">
        <v>1.4</v>
      </c>
      <c r="H39" s="35">
        <f t="shared" si="3"/>
        <v>1.7359999999999998</v>
      </c>
      <c r="I39" s="35">
        <f t="shared" si="4"/>
        <v>13</v>
      </c>
      <c r="J39" s="35">
        <f t="shared" si="5"/>
        <v>22.567999999999998</v>
      </c>
      <c r="L39" s="4" t="str">
        <f>IFERROR(VLOOKUP(ROWS($L$2:L39),$B$2:$C$1996,2,0),"")</f>
        <v>ΤΑΦ ΓΑΛ G.F</v>
      </c>
      <c r="N39" s="2" t="str">
        <f>IFERROR(VLOOKUP(ROWS($N$2:N39),$D$2:$E$1996,2,0),"")</f>
        <v>1''</v>
      </c>
    </row>
    <row r="40" spans="1:14">
      <c r="A40" s="32">
        <v>23</v>
      </c>
      <c r="B40" s="32">
        <f>IF(ISNUMBER(SEARCH('Φόρμα Εισαγωγής'!$B$2,C40)),MAX($B$1:B39)+1,0)</f>
        <v>39</v>
      </c>
      <c r="C40" s="33" t="s">
        <v>762</v>
      </c>
      <c r="D40" s="33">
        <f>IF(ISNUMBER(SEARCH('Φόρμα Εισαγωγής'!$C$2,E40)),MAX($D$1:D39)+1,0)</f>
        <v>39</v>
      </c>
      <c r="E40" s="34" t="s">
        <v>35</v>
      </c>
      <c r="F40" s="32">
        <v>1.8</v>
      </c>
      <c r="G40" s="32">
        <v>2.5</v>
      </c>
      <c r="H40" s="35">
        <f t="shared" si="3"/>
        <v>3.1</v>
      </c>
      <c r="I40" s="35">
        <f t="shared" si="4"/>
        <v>41.4</v>
      </c>
      <c r="J40" s="35">
        <f t="shared" si="5"/>
        <v>71.3</v>
      </c>
      <c r="L40" s="4" t="str">
        <f>IFERROR(VLOOKUP(ROWS($L$2:L40),$B$2:$C$1996,2,0),"")</f>
        <v>ΤΑΦ ΓΑΛ G.F</v>
      </c>
      <c r="N40" s="2" t="str">
        <f>IFERROR(VLOOKUP(ROWS($N$2:N40),$D$2:$E$1996,2,0),"")</f>
        <v>1 1/4''</v>
      </c>
    </row>
    <row r="41" spans="1:14">
      <c r="A41" s="32">
        <v>4</v>
      </c>
      <c r="B41" s="32">
        <f>IF(ISNUMBER(SEARCH('Φόρμα Εισαγωγής'!$B$2,C41)),MAX($B$1:B40)+1,0)</f>
        <v>40</v>
      </c>
      <c r="C41" s="33" t="s">
        <v>762</v>
      </c>
      <c r="D41" s="33">
        <f>IF(ISNUMBER(SEARCH('Φόρμα Εισαγωγής'!$C$2,E41)),MAX($D$1:D40)+1,0)</f>
        <v>40</v>
      </c>
      <c r="E41" s="34" t="s">
        <v>36</v>
      </c>
      <c r="F41" s="32">
        <v>2.8</v>
      </c>
      <c r="G41" s="32">
        <v>4</v>
      </c>
      <c r="H41" s="35">
        <f t="shared" si="3"/>
        <v>4.96</v>
      </c>
      <c r="I41" s="35">
        <f t="shared" si="4"/>
        <v>11.2</v>
      </c>
      <c r="J41" s="35">
        <f t="shared" si="5"/>
        <v>19.84</v>
      </c>
      <c r="L41" s="4" t="str">
        <f>IFERROR(VLOOKUP(ROWS($L$2:L41),$B$2:$C$1996,2,0),"")</f>
        <v>ΤΑΦ ΓΑΛ G.F</v>
      </c>
      <c r="N41" s="2" t="str">
        <f>IFERROR(VLOOKUP(ROWS($N$2:N41),$D$2:$E$1996,2,0),"")</f>
        <v>1 1/2''</v>
      </c>
    </row>
    <row r="42" spans="1:14">
      <c r="A42" s="32">
        <v>0</v>
      </c>
      <c r="B42" s="32">
        <f>IF(ISNUMBER(SEARCH('Φόρμα Εισαγωγής'!$B$2,C42)),MAX($B$1:B41)+1,0)</f>
        <v>41</v>
      </c>
      <c r="C42" s="33" t="s">
        <v>762</v>
      </c>
      <c r="D42" s="33">
        <f>IF(ISNUMBER(SEARCH('Φόρμα Εισαγωγής'!$C$2,E42)),MAX($D$1:D41)+1,0)</f>
        <v>41</v>
      </c>
      <c r="E42" s="34" t="s">
        <v>37</v>
      </c>
      <c r="F42" s="32">
        <v>3.9</v>
      </c>
      <c r="G42" s="32">
        <v>5.5</v>
      </c>
      <c r="H42" s="35">
        <f t="shared" si="3"/>
        <v>6.82</v>
      </c>
      <c r="I42" s="35">
        <f t="shared" si="4"/>
        <v>0</v>
      </c>
      <c r="J42" s="35">
        <f t="shared" si="5"/>
        <v>0</v>
      </c>
      <c r="L42" s="4" t="str">
        <f>IFERROR(VLOOKUP(ROWS($L$2:L42),$B$2:$C$1996,2,0),"")</f>
        <v>ΤΑΦ ΓΑΛ G.F</v>
      </c>
      <c r="N42" s="2" t="str">
        <f>IFERROR(VLOOKUP(ROWS($N$2:N42),$D$2:$E$1996,2,0),"")</f>
        <v>2''</v>
      </c>
    </row>
    <row r="43" spans="1:14">
      <c r="A43" s="32">
        <v>0</v>
      </c>
      <c r="B43" s="32">
        <f>IF(ISNUMBER(SEARCH('Φόρμα Εισαγωγής'!$B$2,C43)),MAX($B$1:B42)+1,0)</f>
        <v>42</v>
      </c>
      <c r="C43" s="33" t="s">
        <v>762</v>
      </c>
      <c r="D43" s="33">
        <f>IF(ISNUMBER(SEARCH('Φόρμα Εισαγωγής'!$C$2,E43)),MAX($D$1:D42)+1,0)</f>
        <v>42</v>
      </c>
      <c r="E43" s="34" t="s">
        <v>38</v>
      </c>
      <c r="F43" s="32">
        <v>12.5</v>
      </c>
      <c r="G43" s="32">
        <v>17.5</v>
      </c>
      <c r="H43" s="35">
        <f t="shared" si="3"/>
        <v>21.7</v>
      </c>
      <c r="I43" s="35">
        <f t="shared" si="4"/>
        <v>0</v>
      </c>
      <c r="J43" s="35">
        <f t="shared" si="5"/>
        <v>0</v>
      </c>
      <c r="L43" s="4" t="str">
        <f>IFERROR(VLOOKUP(ROWS($L$2:L43),$B$2:$C$1996,2,0),"")</f>
        <v>ΤΑΦ ΓΑΛ G.F</v>
      </c>
      <c r="N43" s="2" t="str">
        <f>IFERROR(VLOOKUP(ROWS($N$2:N43),$D$2:$E$1996,2,0),"")</f>
        <v>3''</v>
      </c>
    </row>
    <row r="44" spans="1:14">
      <c r="A44" s="32">
        <v>29</v>
      </c>
      <c r="B44" s="32">
        <f>IF(ISNUMBER(SEARCH('Φόρμα Εισαγωγής'!$B$2,C44)),MAX($B$1:B43)+1,0)</f>
        <v>43</v>
      </c>
      <c r="C44" s="33" t="s">
        <v>763</v>
      </c>
      <c r="D44" s="33">
        <f>IF(ISNUMBER(SEARCH('Φόρμα Εισαγωγής'!$C$2,E44)),MAX($D$1:D43)+1,0)</f>
        <v>43</v>
      </c>
      <c r="E44" s="34" t="s">
        <v>18</v>
      </c>
      <c r="F44" s="32">
        <v>0.4</v>
      </c>
      <c r="G44" s="32">
        <v>0.6</v>
      </c>
      <c r="H44" s="35">
        <f t="shared" si="3"/>
        <v>0.74399999999999999</v>
      </c>
      <c r="I44" s="35">
        <f t="shared" si="4"/>
        <v>11.600000000000001</v>
      </c>
      <c r="J44" s="35">
        <f t="shared" si="5"/>
        <v>21.576000000000001</v>
      </c>
      <c r="L44" s="4" t="str">
        <f>IFERROR(VLOOKUP(ROWS($L$2:L44),$B$2:$C$1996,2,0),"")</f>
        <v>ΤΑΠΑ ΓΑΛ G.F</v>
      </c>
      <c r="N44" s="2" t="str">
        <f>IFERROR(VLOOKUP(ROWS($N$2:N44),$D$2:$E$1996,2,0),"")</f>
        <v xml:space="preserve">ΘΗΛ 1/2 </v>
      </c>
    </row>
    <row r="45" spans="1:14">
      <c r="A45" s="32">
        <v>19</v>
      </c>
      <c r="B45" s="32">
        <f>IF(ISNUMBER(SEARCH('Φόρμα Εισαγωγής'!$B$2,C45)),MAX($B$1:B44)+1,0)</f>
        <v>44</v>
      </c>
      <c r="C45" s="33" t="s">
        <v>763</v>
      </c>
      <c r="D45" s="33">
        <f>IF(ISNUMBER(SEARCH('Φόρμα Εισαγωγής'!$C$2,E45)),MAX($D$1:D44)+1,0)</f>
        <v>44</v>
      </c>
      <c r="E45" s="34" t="s">
        <v>19</v>
      </c>
      <c r="F45" s="32">
        <v>0.45</v>
      </c>
      <c r="G45" s="32">
        <v>0.65</v>
      </c>
      <c r="H45" s="35">
        <f t="shared" si="3"/>
        <v>0.80600000000000005</v>
      </c>
      <c r="I45" s="35">
        <f t="shared" si="4"/>
        <v>8.5500000000000007</v>
      </c>
      <c r="J45" s="35">
        <f t="shared" si="5"/>
        <v>15.314</v>
      </c>
      <c r="L45" s="4" t="str">
        <f>IFERROR(VLOOKUP(ROWS($L$2:L45),$B$2:$C$1996,2,0),"")</f>
        <v>ΤΑΠΑ ΓΑΛ G.F</v>
      </c>
      <c r="N45" s="2" t="str">
        <f>IFERROR(VLOOKUP(ROWS($N$2:N45),$D$2:$E$1996,2,0),"")</f>
        <v>ΘΗΛ 3/4</v>
      </c>
    </row>
    <row r="46" spans="1:14">
      <c r="A46" s="32">
        <v>22</v>
      </c>
      <c r="B46" s="32">
        <f>IF(ISNUMBER(SEARCH('Φόρμα Εισαγωγής'!$B$2,C46)),MAX($B$1:B45)+1,0)</f>
        <v>45</v>
      </c>
      <c r="C46" s="33" t="s">
        <v>763</v>
      </c>
      <c r="D46" s="33">
        <f>IF(ISNUMBER(SEARCH('Φόρμα Εισαγωγής'!$C$2,E46)),MAX($D$1:D45)+1,0)</f>
        <v>45</v>
      </c>
      <c r="E46" s="34" t="s">
        <v>20</v>
      </c>
      <c r="F46" s="32">
        <v>0.5</v>
      </c>
      <c r="G46" s="32">
        <v>0.7</v>
      </c>
      <c r="H46" s="35">
        <f t="shared" si="3"/>
        <v>0.86799999999999988</v>
      </c>
      <c r="I46" s="35">
        <f t="shared" si="4"/>
        <v>11</v>
      </c>
      <c r="J46" s="35">
        <f t="shared" si="5"/>
        <v>19.095999999999997</v>
      </c>
      <c r="L46" s="4" t="str">
        <f>IFERROR(VLOOKUP(ROWS($L$2:L46),$B$2:$C$1996,2,0),"")</f>
        <v>ΤΑΠΑ ΓΑΛ G.F</v>
      </c>
      <c r="N46" s="2" t="str">
        <f>IFERROR(VLOOKUP(ROWS($N$2:N46),$D$2:$E$1996,2,0),"")</f>
        <v>ΘΗΛ 1''</v>
      </c>
    </row>
    <row r="47" spans="1:14">
      <c r="A47" s="32">
        <v>5</v>
      </c>
      <c r="B47" s="32">
        <f>IF(ISNUMBER(SEARCH('Φόρμα Εισαγωγής'!$B$2,C47)),MAX($B$1:B46)+1,0)</f>
        <v>46</v>
      </c>
      <c r="C47" s="33" t="s">
        <v>763</v>
      </c>
      <c r="D47" s="33">
        <f>IF(ISNUMBER(SEARCH('Φόρμα Εισαγωγής'!$C$2,E47)),MAX($D$1:D46)+1,0)</f>
        <v>46</v>
      </c>
      <c r="E47" s="34" t="s">
        <v>21</v>
      </c>
      <c r="F47" s="32">
        <v>0.8</v>
      </c>
      <c r="G47" s="32">
        <v>1.2</v>
      </c>
      <c r="H47" s="35">
        <f t="shared" si="3"/>
        <v>1.488</v>
      </c>
      <c r="I47" s="35">
        <f t="shared" si="4"/>
        <v>4</v>
      </c>
      <c r="J47" s="35">
        <f t="shared" si="5"/>
        <v>7.4399999999999995</v>
      </c>
      <c r="L47" s="4" t="str">
        <f>IFERROR(VLOOKUP(ROWS($L$2:L47),$B$2:$C$1996,2,0),"")</f>
        <v>ΤΑΠΑ ΓΑΛ G.F</v>
      </c>
      <c r="N47" s="2" t="str">
        <f>IFERROR(VLOOKUP(ROWS($N$2:N47),$D$2:$E$1996,2,0),"")</f>
        <v>ΘΗΛ 1 1/4''</v>
      </c>
    </row>
    <row r="48" spans="1:14">
      <c r="A48" s="32">
        <v>0</v>
      </c>
      <c r="B48" s="32">
        <f>IF(ISNUMBER(SEARCH('Φόρμα Εισαγωγής'!$B$2,C48)),MAX($B$1:B47)+1,0)</f>
        <v>47</v>
      </c>
      <c r="C48" s="33" t="s">
        <v>763</v>
      </c>
      <c r="D48" s="33">
        <f>IF(ISNUMBER(SEARCH('Φόρμα Εισαγωγής'!$C$2,E48)),MAX($D$1:D47)+1,0)</f>
        <v>47</v>
      </c>
      <c r="E48" s="34" t="s">
        <v>22</v>
      </c>
      <c r="F48" s="32">
        <v>1</v>
      </c>
      <c r="G48" s="32">
        <v>1.4</v>
      </c>
      <c r="H48" s="35">
        <f t="shared" si="3"/>
        <v>1.7359999999999998</v>
      </c>
      <c r="I48" s="35">
        <f t="shared" si="4"/>
        <v>0</v>
      </c>
      <c r="J48" s="35">
        <f t="shared" si="5"/>
        <v>0</v>
      </c>
      <c r="L48" s="4" t="str">
        <f>IFERROR(VLOOKUP(ROWS($L$2:L48),$B$2:$C$1996,2,0),"")</f>
        <v>ΤΑΠΑ ΓΑΛ G.F</v>
      </c>
      <c r="N48" s="2" t="str">
        <f>IFERROR(VLOOKUP(ROWS($N$2:N48),$D$2:$E$1996,2,0),"")</f>
        <v>ΘΗΛ 1 1/2''</v>
      </c>
    </row>
    <row r="49" spans="1:14">
      <c r="A49" s="32">
        <v>1</v>
      </c>
      <c r="B49" s="32">
        <f>IF(ISNUMBER(SEARCH('Φόρμα Εισαγωγής'!$B$2,C49)),MAX($B$1:B48)+1,0)</f>
        <v>48</v>
      </c>
      <c r="C49" s="33" t="s">
        <v>763</v>
      </c>
      <c r="D49" s="33">
        <f>IF(ISNUMBER(SEARCH('Φόρμα Εισαγωγής'!$C$2,E49)),MAX($D$1:D48)+1,0)</f>
        <v>48</v>
      </c>
      <c r="E49" s="34" t="s">
        <v>23</v>
      </c>
      <c r="F49" s="32">
        <v>1.85</v>
      </c>
      <c r="G49" s="32">
        <v>2.6</v>
      </c>
      <c r="H49" s="35">
        <f t="shared" si="3"/>
        <v>3.2240000000000002</v>
      </c>
      <c r="I49" s="35">
        <f t="shared" si="4"/>
        <v>1.85</v>
      </c>
      <c r="J49" s="35">
        <f t="shared" si="5"/>
        <v>3.2240000000000002</v>
      </c>
      <c r="L49" s="4" t="str">
        <f>IFERROR(VLOOKUP(ROWS($L$2:L49),$B$2:$C$1996,2,0),"")</f>
        <v>ΤΑΠΑ ΓΑΛ G.F</v>
      </c>
      <c r="N49" s="2" t="str">
        <f>IFERROR(VLOOKUP(ROWS($N$2:N49),$D$2:$E$1996,2,0),"")</f>
        <v>ΘΗΛ 2''</v>
      </c>
    </row>
    <row r="50" spans="1:14">
      <c r="A50" s="32">
        <v>0</v>
      </c>
      <c r="B50" s="32">
        <f>IF(ISNUMBER(SEARCH('Φόρμα Εισαγωγής'!$B$2,C50)),MAX($B$1:B49)+1,0)</f>
        <v>49</v>
      </c>
      <c r="C50" s="33" t="s">
        <v>763</v>
      </c>
      <c r="D50" s="33">
        <f>IF(ISNUMBER(SEARCH('Φόρμα Εισαγωγής'!$C$2,E50)),MAX($D$1:D49)+1,0)</f>
        <v>49</v>
      </c>
      <c r="E50" s="34" t="s">
        <v>24</v>
      </c>
      <c r="F50" s="32">
        <v>4.3</v>
      </c>
      <c r="G50" s="32">
        <v>6</v>
      </c>
      <c r="H50" s="35">
        <f t="shared" si="3"/>
        <v>7.4399999999999995</v>
      </c>
      <c r="I50" s="35">
        <f t="shared" si="4"/>
        <v>0</v>
      </c>
      <c r="J50" s="35">
        <f t="shared" si="5"/>
        <v>0</v>
      </c>
      <c r="L50" s="4" t="str">
        <f>IFERROR(VLOOKUP(ROWS($L$2:L50),$B$2:$C$1996,2,0),"")</f>
        <v>ΤΑΠΑ ΓΑΛ G.F</v>
      </c>
      <c r="N50" s="2" t="str">
        <f>IFERROR(VLOOKUP(ROWS($N$2:N50),$D$2:$E$1996,2,0),"")</f>
        <v>ΘΗΛ 3''</v>
      </c>
    </row>
    <row r="51" spans="1:14">
      <c r="A51" s="32">
        <v>29</v>
      </c>
      <c r="B51" s="32">
        <f>IF(ISNUMBER(SEARCH('Φόρμα Εισαγωγής'!$B$2,C51)),MAX($B$1:B50)+1,0)</f>
        <v>50</v>
      </c>
      <c r="C51" s="33" t="s">
        <v>763</v>
      </c>
      <c r="D51" s="33">
        <f>IF(ISNUMBER(SEARCH('Φόρμα Εισαγωγής'!$C$2,E51)),MAX($D$1:D50)+1,0)</f>
        <v>50</v>
      </c>
      <c r="E51" s="34" t="s">
        <v>39</v>
      </c>
      <c r="F51" s="32">
        <v>0.25</v>
      </c>
      <c r="G51" s="32">
        <v>0.35</v>
      </c>
      <c r="H51" s="35">
        <f t="shared" si="3"/>
        <v>0.43399999999999994</v>
      </c>
      <c r="I51" s="35">
        <f t="shared" si="4"/>
        <v>7.25</v>
      </c>
      <c r="J51" s="35">
        <f t="shared" si="5"/>
        <v>12.585999999999999</v>
      </c>
      <c r="L51" s="4" t="str">
        <f>IFERROR(VLOOKUP(ROWS($L$2:L51),$B$2:$C$1996,2,0),"")</f>
        <v>ΤΑΠΑ ΓΑΛ G.F</v>
      </c>
      <c r="N51" s="2" t="str">
        <f>IFERROR(VLOOKUP(ROWS($N$2:N51),$D$2:$E$1996,2,0),"")</f>
        <v>ΑΡΣ 1/2</v>
      </c>
    </row>
    <row r="52" spans="1:14">
      <c r="A52" s="32">
        <v>13</v>
      </c>
      <c r="B52" s="32">
        <f>IF(ISNUMBER(SEARCH('Φόρμα Εισαγωγής'!$B$2,C52)),MAX($B$1:B51)+1,0)</f>
        <v>51</v>
      </c>
      <c r="C52" s="33" t="s">
        <v>763</v>
      </c>
      <c r="D52" s="33">
        <f>IF(ISNUMBER(SEARCH('Φόρμα Εισαγωγής'!$C$2,E52)),MAX($D$1:D51)+1,0)</f>
        <v>51</v>
      </c>
      <c r="E52" s="34" t="s">
        <v>40</v>
      </c>
      <c r="F52" s="32">
        <v>0.3</v>
      </c>
      <c r="G52" s="32">
        <v>0.45</v>
      </c>
      <c r="H52" s="35">
        <f t="shared" si="3"/>
        <v>0.55800000000000005</v>
      </c>
      <c r="I52" s="35">
        <f t="shared" si="4"/>
        <v>3.9</v>
      </c>
      <c r="J52" s="35">
        <f t="shared" si="5"/>
        <v>7.2540000000000004</v>
      </c>
      <c r="L52" s="4" t="str">
        <f>IFERROR(VLOOKUP(ROWS($L$2:L52),$B$2:$C$1996,2,0),"")</f>
        <v>ΤΑΠΑ ΓΑΛ G.F</v>
      </c>
      <c r="N52" s="2" t="str">
        <f>IFERROR(VLOOKUP(ROWS($N$2:N52),$D$2:$E$1996,2,0),"")</f>
        <v>ΑΡΣ 3/4</v>
      </c>
    </row>
    <row r="53" spans="1:14">
      <c r="A53" s="32">
        <v>16</v>
      </c>
      <c r="B53" s="32">
        <f>IF(ISNUMBER(SEARCH('Φόρμα Εισαγωγής'!$B$2,C53)),MAX($B$1:B52)+1,0)</f>
        <v>52</v>
      </c>
      <c r="C53" s="33" t="s">
        <v>763</v>
      </c>
      <c r="D53" s="33">
        <f>IF(ISNUMBER(SEARCH('Φόρμα Εισαγωγής'!$C$2,E53)),MAX($D$1:D52)+1,0)</f>
        <v>52</v>
      </c>
      <c r="E53" s="34" t="s">
        <v>41</v>
      </c>
      <c r="F53" s="32">
        <v>0.35</v>
      </c>
      <c r="G53" s="32">
        <v>0.5</v>
      </c>
      <c r="H53" s="35">
        <f t="shared" si="3"/>
        <v>0.62</v>
      </c>
      <c r="I53" s="35">
        <f t="shared" si="4"/>
        <v>5.6</v>
      </c>
      <c r="J53" s="35">
        <f t="shared" si="5"/>
        <v>9.92</v>
      </c>
      <c r="L53" s="4" t="str">
        <f>IFERROR(VLOOKUP(ROWS($L$2:L53),$B$2:$C$1996,2,0),"")</f>
        <v>ΤΑΠΑ ΓΑΛ G.F</v>
      </c>
      <c r="N53" s="2" t="str">
        <f>IFERROR(VLOOKUP(ROWS($N$2:N53),$D$2:$E$1996,2,0),"")</f>
        <v>ΑΡΣ 1''</v>
      </c>
    </row>
    <row r="54" spans="1:14">
      <c r="A54" s="32">
        <v>11</v>
      </c>
      <c r="B54" s="32">
        <f>IF(ISNUMBER(SEARCH('Φόρμα Εισαγωγής'!$B$2,C54)),MAX($B$1:B53)+1,0)</f>
        <v>53</v>
      </c>
      <c r="C54" s="33" t="s">
        <v>763</v>
      </c>
      <c r="D54" s="33">
        <f>IF(ISNUMBER(SEARCH('Φόρμα Εισαγωγής'!$C$2,E54)),MAX($D$1:D53)+1,0)</f>
        <v>53</v>
      </c>
      <c r="E54" s="34" t="s">
        <v>42</v>
      </c>
      <c r="F54" s="32">
        <v>0.65</v>
      </c>
      <c r="G54" s="32">
        <v>0.9</v>
      </c>
      <c r="H54" s="35">
        <f t="shared" si="3"/>
        <v>1.1160000000000001</v>
      </c>
      <c r="I54" s="35">
        <f t="shared" si="4"/>
        <v>7.15</v>
      </c>
      <c r="J54" s="35">
        <f t="shared" si="5"/>
        <v>12.276000000000002</v>
      </c>
      <c r="L54" s="4" t="str">
        <f>IFERROR(VLOOKUP(ROWS($L$2:L54),$B$2:$C$1996,2,0),"")</f>
        <v>ΤΑΠΑ ΓΑΛ G.F</v>
      </c>
      <c r="N54" s="2" t="str">
        <f>IFERROR(VLOOKUP(ROWS($N$2:N54),$D$2:$E$1996,2,0),"")</f>
        <v>ΑΡΣ 1 1/4''</v>
      </c>
    </row>
    <row r="55" spans="1:14">
      <c r="A55" s="32">
        <v>0</v>
      </c>
      <c r="B55" s="32">
        <f>IF(ISNUMBER(SEARCH('Φόρμα Εισαγωγής'!$B$2,C55)),MAX($B$1:B54)+1,0)</f>
        <v>54</v>
      </c>
      <c r="C55" s="33" t="s">
        <v>763</v>
      </c>
      <c r="D55" s="33">
        <f>IF(ISNUMBER(SEARCH('Φόρμα Εισαγωγής'!$C$2,E55)),MAX($D$1:D54)+1,0)</f>
        <v>54</v>
      </c>
      <c r="E55" s="34" t="s">
        <v>43</v>
      </c>
      <c r="F55" s="32">
        <v>1</v>
      </c>
      <c r="G55" s="32">
        <v>1.4</v>
      </c>
      <c r="H55" s="35">
        <f t="shared" si="3"/>
        <v>1.7359999999999998</v>
      </c>
      <c r="I55" s="35">
        <f t="shared" si="4"/>
        <v>0</v>
      </c>
      <c r="J55" s="35">
        <f t="shared" si="5"/>
        <v>0</v>
      </c>
      <c r="L55" s="4" t="str">
        <f>IFERROR(VLOOKUP(ROWS($L$2:L55),$B$2:$C$1996,2,0),"")</f>
        <v>ΤΑΠΑ ΓΑΛ G.F</v>
      </c>
      <c r="N55" s="2" t="str">
        <f>IFERROR(VLOOKUP(ROWS($N$2:N55),$D$2:$E$1996,2,0),"")</f>
        <v>ΑΡΣ 1 1/2''</v>
      </c>
    </row>
    <row r="56" spans="1:14">
      <c r="A56" s="32">
        <v>0</v>
      </c>
      <c r="B56" s="32">
        <f>IF(ISNUMBER(SEARCH('Φόρμα Εισαγωγής'!$B$2,C56)),MAX($B$1:B55)+1,0)</f>
        <v>55</v>
      </c>
      <c r="C56" s="33" t="s">
        <v>763</v>
      </c>
      <c r="D56" s="33">
        <f>IF(ISNUMBER(SEARCH('Φόρμα Εισαγωγής'!$C$2,E56)),MAX($D$1:D55)+1,0)</f>
        <v>55</v>
      </c>
      <c r="E56" s="34" t="s">
        <v>44</v>
      </c>
      <c r="F56" s="32">
        <v>1.45</v>
      </c>
      <c r="G56" s="32">
        <v>2</v>
      </c>
      <c r="H56" s="35">
        <f t="shared" si="3"/>
        <v>2.48</v>
      </c>
      <c r="I56" s="35">
        <f t="shared" si="4"/>
        <v>0</v>
      </c>
      <c r="J56" s="35">
        <f t="shared" si="5"/>
        <v>0</v>
      </c>
      <c r="L56" s="4" t="str">
        <f>IFERROR(VLOOKUP(ROWS($L$2:L56),$B$2:$C$1996,2,0),"")</f>
        <v>ΤΑΠΑ ΓΑΛ G.F</v>
      </c>
      <c r="N56" s="2" t="str">
        <f>IFERROR(VLOOKUP(ROWS($N$2:N56),$D$2:$E$1996,2,0),"")</f>
        <v>ΑΡΣ 2''</v>
      </c>
    </row>
    <row r="57" spans="1:14">
      <c r="A57" s="32">
        <v>0</v>
      </c>
      <c r="B57" s="32">
        <f>IF(ISNUMBER(SEARCH('Φόρμα Εισαγωγής'!$B$2,C57)),MAX($B$1:B56)+1,0)</f>
        <v>56</v>
      </c>
      <c r="C57" s="33" t="s">
        <v>763</v>
      </c>
      <c r="D57" s="33">
        <f>IF(ISNUMBER(SEARCH('Φόρμα Εισαγωγής'!$C$2,E57)),MAX($D$1:D56)+1,0)</f>
        <v>56</v>
      </c>
      <c r="E57" s="34" t="s">
        <v>45</v>
      </c>
      <c r="F57" s="32">
        <v>4.2</v>
      </c>
      <c r="G57" s="32">
        <v>6</v>
      </c>
      <c r="H57" s="35">
        <f t="shared" si="3"/>
        <v>7.4399999999999995</v>
      </c>
      <c r="I57" s="35">
        <f t="shared" si="4"/>
        <v>0</v>
      </c>
      <c r="J57" s="35">
        <f t="shared" si="5"/>
        <v>0</v>
      </c>
      <c r="L57" s="4" t="str">
        <f>IFERROR(VLOOKUP(ROWS($L$2:L57),$B$2:$C$1996,2,0),"")</f>
        <v>ΤΑΠΑ ΓΑΛ G.F</v>
      </c>
      <c r="N57" s="2" t="str">
        <f>IFERROR(VLOOKUP(ROWS($N$2:N57),$D$2:$E$1996,2,0),"")</f>
        <v>ΑΡΣ 3''</v>
      </c>
    </row>
    <row r="58" spans="1:14">
      <c r="A58" s="32">
        <v>12</v>
      </c>
      <c r="B58" s="32">
        <f>IF(ISNUMBER(SEARCH('Φόρμα Εισαγωγής'!$B$2,C58)),MAX($B$1:B57)+1,0)</f>
        <v>57</v>
      </c>
      <c r="C58" s="33" t="s">
        <v>764</v>
      </c>
      <c r="D58" s="33">
        <f>IF(ISNUMBER(SEARCH('Φόρμα Εισαγωγής'!$C$2,E58)),MAX($D$1:D57)+1,0)</f>
        <v>57</v>
      </c>
      <c r="E58" s="34" t="s">
        <v>18</v>
      </c>
      <c r="F58" s="32">
        <v>1.8</v>
      </c>
      <c r="G58" s="32">
        <v>2.5</v>
      </c>
      <c r="H58" s="35">
        <f t="shared" si="3"/>
        <v>3.1</v>
      </c>
      <c r="I58" s="35">
        <f t="shared" si="4"/>
        <v>21.6</v>
      </c>
      <c r="J58" s="35">
        <f t="shared" si="5"/>
        <v>37.200000000000003</v>
      </c>
      <c r="L58" s="4" t="str">
        <f>IFERROR(VLOOKUP(ROWS($L$2:L58),$B$2:$C$1996,2,0),"")</f>
        <v>ΡΑΚΟΡ ΓΑΛ G.F</v>
      </c>
      <c r="N58" s="2" t="str">
        <f>IFERROR(VLOOKUP(ROWS($N$2:N58),$D$2:$E$1996,2,0),"")</f>
        <v xml:space="preserve">ΘΗΛ 1/2 </v>
      </c>
    </row>
    <row r="59" spans="1:14">
      <c r="A59" s="32">
        <v>0</v>
      </c>
      <c r="B59" s="32">
        <f>IF(ISNUMBER(SEARCH('Φόρμα Εισαγωγής'!$B$2,C59)),MAX($B$1:B58)+1,0)</f>
        <v>58</v>
      </c>
      <c r="C59" s="33" t="s">
        <v>764</v>
      </c>
      <c r="D59" s="33">
        <f>IF(ISNUMBER(SEARCH('Φόρμα Εισαγωγής'!$C$2,E59)),MAX($D$1:D58)+1,0)</f>
        <v>58</v>
      </c>
      <c r="E59" s="34" t="s">
        <v>19</v>
      </c>
      <c r="F59" s="32">
        <v>1.85</v>
      </c>
      <c r="G59" s="32">
        <v>2.6</v>
      </c>
      <c r="H59" s="35">
        <f t="shared" si="3"/>
        <v>3.2240000000000002</v>
      </c>
      <c r="I59" s="35">
        <f t="shared" si="4"/>
        <v>0</v>
      </c>
      <c r="J59" s="35">
        <f t="shared" si="5"/>
        <v>0</v>
      </c>
      <c r="L59" s="4" t="str">
        <f>IFERROR(VLOOKUP(ROWS($L$2:L59),$B$2:$C$1996,2,0),"")</f>
        <v>ΡΑΚΟΡ ΓΑΛ G.F</v>
      </c>
      <c r="N59" s="2" t="str">
        <f>IFERROR(VLOOKUP(ROWS($N$2:N59),$D$2:$E$1996,2,0),"")</f>
        <v>ΘΗΛ 3/4</v>
      </c>
    </row>
    <row r="60" spans="1:14">
      <c r="A60" s="32">
        <v>12</v>
      </c>
      <c r="B60" s="32">
        <f>IF(ISNUMBER(SEARCH('Φόρμα Εισαγωγής'!$B$2,C60)),MAX($B$1:B59)+1,0)</f>
        <v>59</v>
      </c>
      <c r="C60" s="33" t="s">
        <v>764</v>
      </c>
      <c r="D60" s="33">
        <f>IF(ISNUMBER(SEARCH('Φόρμα Εισαγωγής'!$C$2,E60)),MAX($D$1:D59)+1,0)</f>
        <v>59</v>
      </c>
      <c r="E60" s="34" t="s">
        <v>20</v>
      </c>
      <c r="F60" s="32">
        <v>2</v>
      </c>
      <c r="G60" s="32">
        <v>2.9</v>
      </c>
      <c r="H60" s="35">
        <f t="shared" si="3"/>
        <v>3.5960000000000001</v>
      </c>
      <c r="I60" s="35">
        <f t="shared" si="4"/>
        <v>24</v>
      </c>
      <c r="J60" s="35">
        <f t="shared" si="5"/>
        <v>43.152000000000001</v>
      </c>
      <c r="L60" s="4" t="str">
        <f>IFERROR(VLOOKUP(ROWS($L$2:L60),$B$2:$C$1996,2,0),"")</f>
        <v>ΡΑΚΟΡ ΓΑΛ G.F</v>
      </c>
      <c r="N60" s="2" t="str">
        <f>IFERROR(VLOOKUP(ROWS($N$2:N60),$D$2:$E$1996,2,0),"")</f>
        <v>ΘΗΛ 1''</v>
      </c>
    </row>
    <row r="61" spans="1:14">
      <c r="A61" s="32">
        <v>10</v>
      </c>
      <c r="B61" s="32">
        <f>IF(ISNUMBER(SEARCH('Φόρμα Εισαγωγής'!$B$2,C61)),MAX($B$1:B60)+1,0)</f>
        <v>60</v>
      </c>
      <c r="C61" s="33" t="s">
        <v>764</v>
      </c>
      <c r="D61" s="33">
        <f>IF(ISNUMBER(SEARCH('Φόρμα Εισαγωγής'!$C$2,E61)),MAX($D$1:D60)+1,0)</f>
        <v>60</v>
      </c>
      <c r="E61" s="34" t="s">
        <v>21</v>
      </c>
      <c r="F61" s="32">
        <v>3.35</v>
      </c>
      <c r="G61" s="32">
        <v>4.7</v>
      </c>
      <c r="H61" s="35">
        <f t="shared" si="3"/>
        <v>5.8280000000000003</v>
      </c>
      <c r="I61" s="35">
        <f t="shared" si="4"/>
        <v>33.5</v>
      </c>
      <c r="J61" s="35">
        <f t="shared" si="5"/>
        <v>58.28</v>
      </c>
      <c r="L61" s="4" t="str">
        <f>IFERROR(VLOOKUP(ROWS($L$2:L61),$B$2:$C$1996,2,0),"")</f>
        <v>ΡΑΚΟΡ ΓΑΛ G.F</v>
      </c>
      <c r="N61" s="2" t="str">
        <f>IFERROR(VLOOKUP(ROWS($N$2:N61),$D$2:$E$1996,2,0),"")</f>
        <v>ΘΗΛ 1 1/4''</v>
      </c>
    </row>
    <row r="62" spans="1:14">
      <c r="A62" s="32">
        <v>1</v>
      </c>
      <c r="B62" s="32">
        <f>IF(ISNUMBER(SEARCH('Φόρμα Εισαγωγής'!$B$2,C62)),MAX($B$1:B61)+1,0)</f>
        <v>61</v>
      </c>
      <c r="C62" s="33" t="s">
        <v>764</v>
      </c>
      <c r="D62" s="33">
        <f>IF(ISNUMBER(SEARCH('Φόρμα Εισαγωγής'!$C$2,E62)),MAX($D$1:D61)+1,0)</f>
        <v>61</v>
      </c>
      <c r="E62" s="34" t="s">
        <v>22</v>
      </c>
      <c r="F62" s="32">
        <v>3.9</v>
      </c>
      <c r="G62" s="32">
        <v>5.5</v>
      </c>
      <c r="H62" s="35">
        <f t="shared" si="3"/>
        <v>6.82</v>
      </c>
      <c r="I62" s="35">
        <f t="shared" si="4"/>
        <v>3.9</v>
      </c>
      <c r="J62" s="35">
        <f t="shared" si="5"/>
        <v>6.82</v>
      </c>
      <c r="L62" s="4" t="str">
        <f>IFERROR(VLOOKUP(ROWS($L$2:L62),$B$2:$C$1996,2,0),"")</f>
        <v>ΡΑΚΟΡ ΓΑΛ G.F</v>
      </c>
      <c r="N62" s="2" t="str">
        <f>IFERROR(VLOOKUP(ROWS($N$2:N62),$D$2:$E$1996,2,0),"")</f>
        <v>ΘΗΛ 1 1/2''</v>
      </c>
    </row>
    <row r="63" spans="1:14">
      <c r="A63" s="32">
        <v>0</v>
      </c>
      <c r="B63" s="32">
        <f>IF(ISNUMBER(SEARCH('Φόρμα Εισαγωγής'!$B$2,C63)),MAX($B$1:B62)+1,0)</f>
        <v>62</v>
      </c>
      <c r="C63" s="33" t="s">
        <v>764</v>
      </c>
      <c r="D63" s="33">
        <f>IF(ISNUMBER(SEARCH('Φόρμα Εισαγωγής'!$C$2,E63)),MAX($D$1:D62)+1,0)</f>
        <v>62</v>
      </c>
      <c r="E63" s="34" t="s">
        <v>23</v>
      </c>
      <c r="F63" s="32">
        <v>6.6</v>
      </c>
      <c r="G63" s="32">
        <v>9.1999999999999993</v>
      </c>
      <c r="H63" s="35">
        <f t="shared" si="3"/>
        <v>11.407999999999999</v>
      </c>
      <c r="I63" s="35">
        <f t="shared" si="4"/>
        <v>0</v>
      </c>
      <c r="J63" s="35">
        <f t="shared" si="5"/>
        <v>0</v>
      </c>
      <c r="L63" s="4" t="str">
        <f>IFERROR(VLOOKUP(ROWS($L$2:L63),$B$2:$C$1996,2,0),"")</f>
        <v>ΡΑΚΟΡ ΓΑΛ G.F</v>
      </c>
      <c r="N63" s="2" t="str">
        <f>IFERROR(VLOOKUP(ROWS($N$2:N63),$D$2:$E$1996,2,0),"")</f>
        <v>ΘΗΛ 2''</v>
      </c>
    </row>
    <row r="64" spans="1:14">
      <c r="A64" s="32">
        <v>0</v>
      </c>
      <c r="B64" s="32">
        <f>IF(ISNUMBER(SEARCH('Φόρμα Εισαγωγής'!$B$2,C64)),MAX($B$1:B63)+1,0)</f>
        <v>63</v>
      </c>
      <c r="C64" s="33" t="s">
        <v>764</v>
      </c>
      <c r="D64" s="33">
        <f>IF(ISNUMBER(SEARCH('Φόρμα Εισαγωγής'!$C$2,E64)),MAX($D$1:D63)+1,0)</f>
        <v>63</v>
      </c>
      <c r="E64" s="34" t="s">
        <v>24</v>
      </c>
      <c r="F64" s="32">
        <v>20.9</v>
      </c>
      <c r="G64" s="32">
        <v>29.2</v>
      </c>
      <c r="H64" s="35">
        <f t="shared" si="3"/>
        <v>36.207999999999998</v>
      </c>
      <c r="I64" s="35">
        <f t="shared" si="4"/>
        <v>0</v>
      </c>
      <c r="J64" s="35">
        <f t="shared" si="5"/>
        <v>0</v>
      </c>
      <c r="L64" s="4" t="str">
        <f>IFERROR(VLOOKUP(ROWS($L$2:L64),$B$2:$C$1996,2,0),"")</f>
        <v>ΡΑΚΟΡ ΓΑΛ G.F</v>
      </c>
      <c r="N64" s="2" t="str">
        <f>IFERROR(VLOOKUP(ROWS($N$2:N64),$D$2:$E$1996,2,0),"")</f>
        <v>ΘΗΛ 3''</v>
      </c>
    </row>
    <row r="65" spans="1:14">
      <c r="A65" s="32">
        <v>0</v>
      </c>
      <c r="B65" s="32">
        <f>IF(ISNUMBER(SEARCH('Φόρμα Εισαγωγής'!$B$2,C65)),MAX($B$1:B64)+1,0)</f>
        <v>64</v>
      </c>
      <c r="C65" s="33" t="s">
        <v>764</v>
      </c>
      <c r="D65" s="33">
        <f>IF(ISNUMBER(SEARCH('Φόρμα Εισαγωγής'!$C$2,E65)),MAX($D$1:D64)+1,0)</f>
        <v>64</v>
      </c>
      <c r="E65" s="34" t="s">
        <v>25</v>
      </c>
      <c r="F65" s="32">
        <v>1.85</v>
      </c>
      <c r="G65" s="32">
        <v>2.6</v>
      </c>
      <c r="H65" s="35">
        <f t="shared" si="3"/>
        <v>3.2240000000000002</v>
      </c>
      <c r="I65" s="35">
        <f t="shared" si="4"/>
        <v>0</v>
      </c>
      <c r="J65" s="35">
        <f t="shared" si="5"/>
        <v>0</v>
      </c>
      <c r="L65" s="4" t="str">
        <f>IFERROR(VLOOKUP(ROWS($L$2:L65),$B$2:$C$1996,2,0),"")</f>
        <v>ΡΑΚΟΡ ΓΑΛ G.F</v>
      </c>
      <c r="N65" s="2" t="str">
        <f>IFERROR(VLOOKUP(ROWS($N$2:N65),$D$2:$E$1996,2,0),"")</f>
        <v>Α/Θ 1/2</v>
      </c>
    </row>
    <row r="66" spans="1:14">
      <c r="A66" s="32">
        <v>3</v>
      </c>
      <c r="B66" s="32">
        <f>IF(ISNUMBER(SEARCH('Φόρμα Εισαγωγής'!$B$2,C66)),MAX($B$1:B65)+1,0)</f>
        <v>65</v>
      </c>
      <c r="C66" s="33" t="s">
        <v>764</v>
      </c>
      <c r="D66" s="33">
        <f>IF(ISNUMBER(SEARCH('Φόρμα Εισαγωγής'!$C$2,E66)),MAX($D$1:D65)+1,0)</f>
        <v>65</v>
      </c>
      <c r="E66" s="34" t="s">
        <v>26</v>
      </c>
      <c r="F66" s="32">
        <v>1.9</v>
      </c>
      <c r="G66" s="32">
        <v>2.7</v>
      </c>
      <c r="H66" s="35">
        <f t="shared" si="3"/>
        <v>3.3480000000000003</v>
      </c>
      <c r="I66" s="35">
        <f t="shared" si="4"/>
        <v>5.6999999999999993</v>
      </c>
      <c r="J66" s="35">
        <f t="shared" si="5"/>
        <v>10.044</v>
      </c>
      <c r="L66" s="4" t="str">
        <f>IFERROR(VLOOKUP(ROWS($L$2:L66),$B$2:$C$1996,2,0),"")</f>
        <v>ΡΑΚΟΡ ΓΑΛ G.F</v>
      </c>
      <c r="N66" s="2" t="str">
        <f>IFERROR(VLOOKUP(ROWS($N$2:N66),$D$2:$E$1996,2,0),"")</f>
        <v>Α/Θ 3/4</v>
      </c>
    </row>
    <row r="67" spans="1:14">
      <c r="A67" s="32">
        <v>1</v>
      </c>
      <c r="B67" s="32">
        <f>IF(ISNUMBER(SEARCH('Φόρμα Εισαγωγής'!$B$2,C67)),MAX($B$1:B66)+1,0)</f>
        <v>66</v>
      </c>
      <c r="C67" s="33" t="s">
        <v>764</v>
      </c>
      <c r="D67" s="33">
        <f>IF(ISNUMBER(SEARCH('Φόρμα Εισαγωγής'!$C$2,E67)),MAX($D$1:D66)+1,0)</f>
        <v>66</v>
      </c>
      <c r="E67" s="34" t="s">
        <v>27</v>
      </c>
      <c r="F67" s="32">
        <v>2.25</v>
      </c>
      <c r="G67" s="32">
        <v>3.2</v>
      </c>
      <c r="H67" s="35">
        <f t="shared" si="3"/>
        <v>3.968</v>
      </c>
      <c r="I67" s="35">
        <f t="shared" si="4"/>
        <v>2.25</v>
      </c>
      <c r="J67" s="35">
        <f t="shared" si="5"/>
        <v>3.968</v>
      </c>
      <c r="L67" s="4" t="str">
        <f>IFERROR(VLOOKUP(ROWS($L$2:L67),$B$2:$C$1996,2,0),"")</f>
        <v>ΡΑΚΟΡ ΓΑΛ G.F</v>
      </c>
      <c r="N67" s="2" t="str">
        <f>IFERROR(VLOOKUP(ROWS($N$2:N67),$D$2:$E$1996,2,0),"")</f>
        <v>Α/Θ 1''</v>
      </c>
    </row>
    <row r="68" spans="1:14">
      <c r="A68" s="32">
        <v>0</v>
      </c>
      <c r="B68" s="32">
        <f>IF(ISNUMBER(SEARCH('Φόρμα Εισαγωγής'!$B$2,C68)),MAX($B$1:B67)+1,0)</f>
        <v>67</v>
      </c>
      <c r="C68" s="33" t="s">
        <v>764</v>
      </c>
      <c r="D68" s="33">
        <f>IF(ISNUMBER(SEARCH('Φόρμα Εισαγωγής'!$C$2,E68)),MAX($D$1:D67)+1,0)</f>
        <v>67</v>
      </c>
      <c r="E68" s="34" t="s">
        <v>28</v>
      </c>
      <c r="F68" s="32">
        <v>3.6</v>
      </c>
      <c r="G68" s="32">
        <v>5</v>
      </c>
      <c r="H68" s="35">
        <f t="shared" si="3"/>
        <v>6.2</v>
      </c>
      <c r="I68" s="35">
        <f t="shared" si="4"/>
        <v>0</v>
      </c>
      <c r="J68" s="35">
        <f t="shared" si="5"/>
        <v>0</v>
      </c>
      <c r="L68" s="4" t="str">
        <f>IFERROR(VLOOKUP(ROWS($L$2:L68),$B$2:$C$1996,2,0),"")</f>
        <v>ΡΑΚΟΡ ΓΑΛ G.F</v>
      </c>
      <c r="N68" s="2" t="str">
        <f>IFERROR(VLOOKUP(ROWS($N$2:N68),$D$2:$E$1996,2,0),"")</f>
        <v>Α/Θ 1 1/4''</v>
      </c>
    </row>
    <row r="69" spans="1:14">
      <c r="A69" s="32">
        <v>0</v>
      </c>
      <c r="B69" s="32">
        <f>IF(ISNUMBER(SEARCH('Φόρμα Εισαγωγής'!$B$2,C69)),MAX($B$1:B68)+1,0)</f>
        <v>68</v>
      </c>
      <c r="C69" s="33" t="s">
        <v>764</v>
      </c>
      <c r="D69" s="33">
        <f>IF(ISNUMBER(SEARCH('Φόρμα Εισαγωγής'!$C$2,E69)),MAX($D$1:D68)+1,0)</f>
        <v>68</v>
      </c>
      <c r="E69" s="34" t="s">
        <v>29</v>
      </c>
      <c r="F69" s="32">
        <v>4.55</v>
      </c>
      <c r="G69" s="32">
        <v>6.4</v>
      </c>
      <c r="H69" s="35">
        <f t="shared" si="3"/>
        <v>7.9359999999999999</v>
      </c>
      <c r="I69" s="35">
        <f t="shared" si="4"/>
        <v>0</v>
      </c>
      <c r="J69" s="35">
        <f t="shared" si="5"/>
        <v>0</v>
      </c>
      <c r="L69" s="4" t="str">
        <f>IFERROR(VLOOKUP(ROWS($L$2:L69),$B$2:$C$1996,2,0),"")</f>
        <v>ΡΑΚΟΡ ΓΑΛ G.F</v>
      </c>
      <c r="N69" s="2" t="str">
        <f>IFERROR(VLOOKUP(ROWS($N$2:N69),$D$2:$E$1996,2,0),"")</f>
        <v>Α/Θ 1 1/2''</v>
      </c>
    </row>
    <row r="70" spans="1:14">
      <c r="A70" s="32">
        <v>0</v>
      </c>
      <c r="B70" s="32">
        <f>IF(ISNUMBER(SEARCH('Φόρμα Εισαγωγής'!$B$2,C70)),MAX($B$1:B69)+1,0)</f>
        <v>69</v>
      </c>
      <c r="C70" s="33" t="s">
        <v>764</v>
      </c>
      <c r="D70" s="33">
        <f>IF(ISNUMBER(SEARCH('Φόρμα Εισαγωγής'!$C$2,E70)),MAX($D$1:D69)+1,0)</f>
        <v>69</v>
      </c>
      <c r="E70" s="34" t="s">
        <v>30</v>
      </c>
      <c r="F70" s="32">
        <v>7.25</v>
      </c>
      <c r="G70" s="32">
        <v>10.199999999999999</v>
      </c>
      <c r="H70" s="35">
        <f t="shared" si="3"/>
        <v>12.648</v>
      </c>
      <c r="I70" s="35">
        <f t="shared" si="4"/>
        <v>0</v>
      </c>
      <c r="J70" s="35">
        <f t="shared" si="5"/>
        <v>0</v>
      </c>
      <c r="L70" s="4" t="str">
        <f>IFERROR(VLOOKUP(ROWS($L$2:L70),$B$2:$C$1996,2,0),"")</f>
        <v>ΡΑΚΟΡ ΓΑΛ G.F</v>
      </c>
      <c r="N70" s="2" t="str">
        <f>IFERROR(VLOOKUP(ROWS($N$2:N70),$D$2:$E$1996,2,0),"")</f>
        <v>Α/Θ 2''</v>
      </c>
    </row>
    <row r="71" spans="1:14">
      <c r="A71" s="32">
        <v>0</v>
      </c>
      <c r="B71" s="32">
        <f>IF(ISNUMBER(SEARCH('Φόρμα Εισαγωγής'!$B$2,C71)),MAX($B$1:B70)+1,0)</f>
        <v>70</v>
      </c>
      <c r="C71" s="33" t="s">
        <v>764</v>
      </c>
      <c r="D71" s="33">
        <f>IF(ISNUMBER(SEARCH('Φόρμα Εισαγωγής'!$C$2,E71)),MAX($D$1:D70)+1,0)</f>
        <v>70</v>
      </c>
      <c r="E71" s="34" t="s">
        <v>31</v>
      </c>
      <c r="F71" s="32">
        <v>25.55</v>
      </c>
      <c r="G71" s="32">
        <v>35.799999999999997</v>
      </c>
      <c r="H71" s="35">
        <f t="shared" si="3"/>
        <v>44.391999999999996</v>
      </c>
      <c r="I71" s="35">
        <f t="shared" si="4"/>
        <v>0</v>
      </c>
      <c r="J71" s="35">
        <f t="shared" si="5"/>
        <v>0</v>
      </c>
      <c r="L71" s="4" t="str">
        <f>IFERROR(VLOOKUP(ROWS($L$2:L71),$B$2:$C$1996,2,0),"")</f>
        <v>ΡΑΚΟΡ ΓΑΛ G.F</v>
      </c>
      <c r="N71" s="2" t="str">
        <f>IFERROR(VLOOKUP(ROWS($N$2:N71),$D$2:$E$1996,2,0),"")</f>
        <v>Α/Θ 3''</v>
      </c>
    </row>
    <row r="72" spans="1:14">
      <c r="A72" s="32">
        <v>1</v>
      </c>
      <c r="B72" s="32">
        <f>IF(ISNUMBER(SEARCH('Φόρμα Εισαγωγής'!$B$2,C72)),MAX($B$1:B71)+1,0)</f>
        <v>71</v>
      </c>
      <c r="C72" s="33" t="s">
        <v>708</v>
      </c>
      <c r="D72" s="33">
        <f>IF(ISNUMBER(SEARCH('Φόρμα Εισαγωγής'!$C$2,E72)),MAX($D$1:D71)+1,0)</f>
        <v>71</v>
      </c>
      <c r="E72" s="34" t="s">
        <v>712</v>
      </c>
      <c r="F72" s="32">
        <v>3.1</v>
      </c>
      <c r="G72" s="32">
        <v>4.3499999999999996</v>
      </c>
      <c r="H72" s="35">
        <f t="shared" ref="H72:H104" si="9">G72+(G72*0.24)</f>
        <v>5.3939999999999992</v>
      </c>
      <c r="I72" s="35">
        <f t="shared" ref="I72:I104" si="10">F72*A72</f>
        <v>3.1</v>
      </c>
      <c r="J72" s="35">
        <f t="shared" ref="J72:J104" si="11">H72*A72</f>
        <v>5.3939999999999992</v>
      </c>
      <c r="L72" s="4" t="str">
        <f>IFERROR(VLOOKUP(ROWS($L$2:L72),$B$2:$C$1996,2,0),"")</f>
        <v>ΣΥΣΤΟΛΗ ΑΓΓΛΙΑΣ ΓΑΛ</v>
      </c>
      <c r="N72" s="2" t="str">
        <f>IFERROR(VLOOKUP(ROWS($N$2:N72),$D$2:$E$1996,2,0),"")</f>
        <v>2'' Χ 1 1/4''</v>
      </c>
    </row>
    <row r="73" spans="1:14" ht="15.6" customHeight="1">
      <c r="A73" s="32">
        <v>10</v>
      </c>
      <c r="B73" s="32">
        <f>IF(ISNUMBER(SEARCH('Φόρμα Εισαγωγής'!$B$2,C73)),MAX($B$1:B72)+1,0)</f>
        <v>72</v>
      </c>
      <c r="C73" s="33" t="s">
        <v>708</v>
      </c>
      <c r="D73" s="33">
        <f>IF(ISNUMBER(SEARCH('Φόρμα Εισαγωγής'!$C$2,E73)),MAX($D$1:D72)+1,0)</f>
        <v>72</v>
      </c>
      <c r="E73" s="34" t="s">
        <v>67</v>
      </c>
      <c r="F73" s="32">
        <v>2.1</v>
      </c>
      <c r="G73" s="32">
        <v>3</v>
      </c>
      <c r="H73" s="35">
        <f t="shared" si="9"/>
        <v>3.7199999999999998</v>
      </c>
      <c r="I73" s="35">
        <f t="shared" si="10"/>
        <v>21</v>
      </c>
      <c r="J73" s="35">
        <f t="shared" si="11"/>
        <v>37.199999999999996</v>
      </c>
      <c r="L73" s="4" t="str">
        <f>IFERROR(VLOOKUP(ROWS($L$2:L73),$B$2:$C$1996,2,0),"")</f>
        <v>ΣΥΣΤΟΛΗ ΑΓΓΛΙΑΣ ΓΑΛ</v>
      </c>
      <c r="N73" s="2" t="str">
        <f>IFERROR(VLOOKUP(ROWS($N$2:N73),$D$2:$E$1996,2,0),"")</f>
        <v>1 1/2'' Χ 1 1/4''</v>
      </c>
    </row>
    <row r="74" spans="1:14">
      <c r="A74" s="32">
        <v>4</v>
      </c>
      <c r="B74" s="32">
        <f>IF(ISNUMBER(SEARCH('Φόρμα Εισαγωγής'!$B$2,C74)),MAX($B$1:B73)+1,0)</f>
        <v>73</v>
      </c>
      <c r="C74" s="33" t="s">
        <v>708</v>
      </c>
      <c r="D74" s="33">
        <f>IF(ISNUMBER(SEARCH('Φόρμα Εισαγωγής'!$C$2,E74)),MAX($D$1:D73)+1,0)</f>
        <v>73</v>
      </c>
      <c r="E74" s="34" t="s">
        <v>711</v>
      </c>
      <c r="F74" s="32">
        <v>1.4</v>
      </c>
      <c r="G74" s="32">
        <v>2</v>
      </c>
      <c r="H74" s="35">
        <f t="shared" si="9"/>
        <v>2.48</v>
      </c>
      <c r="I74" s="35">
        <f t="shared" si="10"/>
        <v>5.6</v>
      </c>
      <c r="J74" s="35">
        <f t="shared" si="11"/>
        <v>9.92</v>
      </c>
      <c r="L74" s="4" t="str">
        <f>IFERROR(VLOOKUP(ROWS($L$2:L74),$B$2:$C$1996,2,0),"")</f>
        <v>ΣΥΣΤΟΛΗ ΑΓΓΛΙΑΣ ΓΑΛ</v>
      </c>
      <c r="N74" s="2" t="str">
        <f>IFERROR(VLOOKUP(ROWS($N$2:N74),$D$2:$E$1996,2,0),"")</f>
        <v>1 1/4'' Χ  1/2</v>
      </c>
    </row>
    <row r="75" spans="1:14">
      <c r="A75" s="32">
        <v>7</v>
      </c>
      <c r="B75" s="32">
        <f>IF(ISNUMBER(SEARCH('Φόρμα Εισαγωγής'!$B$2,C75)),MAX($B$1:B74)+1,0)</f>
        <v>74</v>
      </c>
      <c r="C75" s="33" t="s">
        <v>708</v>
      </c>
      <c r="D75" s="33">
        <f>IF(ISNUMBER(SEARCH('Φόρμα Εισαγωγής'!$C$2,E75)),MAX($D$1:D74)+1,0)</f>
        <v>74</v>
      </c>
      <c r="E75" s="34" t="s">
        <v>68</v>
      </c>
      <c r="F75" s="32">
        <v>1.4</v>
      </c>
      <c r="G75" s="32">
        <v>2</v>
      </c>
      <c r="H75" s="35">
        <f t="shared" si="9"/>
        <v>2.48</v>
      </c>
      <c r="I75" s="35">
        <f t="shared" si="10"/>
        <v>9.7999999999999989</v>
      </c>
      <c r="J75" s="35">
        <f t="shared" si="11"/>
        <v>17.36</v>
      </c>
      <c r="L75" s="4" t="str">
        <f>IFERROR(VLOOKUP(ROWS($L$2:L75),$B$2:$C$1996,2,0),"")</f>
        <v>ΣΥΣΤΟΛΗ ΑΓΓΛΙΑΣ ΓΑΛ</v>
      </c>
      <c r="N75" s="2" t="str">
        <f>IFERROR(VLOOKUP(ROWS($N$2:N75),$D$2:$E$1996,2,0),"")</f>
        <v>1 1/4'' Χ 1''</v>
      </c>
    </row>
    <row r="76" spans="1:14">
      <c r="A76" s="32">
        <v>1</v>
      </c>
      <c r="B76" s="32">
        <f>IF(ISNUMBER(SEARCH('Φόρμα Εισαγωγής'!$B$2,C76)),MAX($B$1:B75)+1,0)</f>
        <v>75</v>
      </c>
      <c r="C76" s="33" t="s">
        <v>708</v>
      </c>
      <c r="D76" s="33">
        <f>IF(ISNUMBER(SEARCH('Φόρμα Εισαγωγής'!$C$2,E76)),MAX($D$1:D75)+1,0)</f>
        <v>75</v>
      </c>
      <c r="E76" s="34" t="s">
        <v>74</v>
      </c>
      <c r="F76" s="32">
        <v>2.15</v>
      </c>
      <c r="G76" s="32">
        <v>3</v>
      </c>
      <c r="H76" s="35">
        <f t="shared" si="9"/>
        <v>3.7199999999999998</v>
      </c>
      <c r="I76" s="35">
        <f t="shared" si="10"/>
        <v>2.15</v>
      </c>
      <c r="J76" s="35">
        <f t="shared" si="11"/>
        <v>3.7199999999999998</v>
      </c>
      <c r="L76" s="4" t="str">
        <f>IFERROR(VLOOKUP(ROWS($L$2:L76),$B$2:$C$1996,2,0),"")</f>
        <v>ΣΥΣΤΟΛΗ ΑΓΓΛΙΑΣ ΓΑΛ</v>
      </c>
      <c r="N76" s="2" t="str">
        <f>IFERROR(VLOOKUP(ROWS($N$2:N76),$D$2:$E$1996,2,0),"")</f>
        <v>1 1/2'' Χ 3/4</v>
      </c>
    </row>
    <row r="77" spans="1:14">
      <c r="A77" s="32">
        <v>17</v>
      </c>
      <c r="B77" s="32">
        <f>IF(ISNUMBER(SEARCH('Φόρμα Εισαγωγής'!$B$2,C77)),MAX($B$1:B76)+1,0)</f>
        <v>76</v>
      </c>
      <c r="C77" s="33" t="s">
        <v>708</v>
      </c>
      <c r="D77" s="33">
        <f>IF(ISNUMBER(SEARCH('Φόρμα Εισαγωγής'!$C$2,E77)),MAX($D$1:D76)+1,0)</f>
        <v>76</v>
      </c>
      <c r="E77" s="34" t="s">
        <v>69</v>
      </c>
      <c r="F77" s="32">
        <v>0.8</v>
      </c>
      <c r="G77" s="32">
        <v>1.1499999999999999</v>
      </c>
      <c r="H77" s="35">
        <f t="shared" si="9"/>
        <v>1.4259999999999999</v>
      </c>
      <c r="I77" s="35">
        <f t="shared" si="10"/>
        <v>13.600000000000001</v>
      </c>
      <c r="J77" s="35">
        <f t="shared" si="11"/>
        <v>24.241999999999997</v>
      </c>
      <c r="L77" s="4" t="str">
        <f>IFERROR(VLOOKUP(ROWS($L$2:L77),$B$2:$C$1996,2,0),"")</f>
        <v>ΣΥΣΤΟΛΗ ΑΓΓΛΙΑΣ ΓΑΛ</v>
      </c>
      <c r="N77" s="2" t="str">
        <f>IFERROR(VLOOKUP(ROWS($N$2:N77),$D$2:$E$1996,2,0),"")</f>
        <v>1'' Χ 3/4</v>
      </c>
    </row>
    <row r="78" spans="1:14">
      <c r="A78" s="32">
        <v>19</v>
      </c>
      <c r="B78" s="32">
        <f>IF(ISNUMBER(SEARCH('Φόρμα Εισαγωγής'!$B$2,C78)),MAX($B$1:B77)+1,0)</f>
        <v>77</v>
      </c>
      <c r="C78" s="33" t="s">
        <v>708</v>
      </c>
      <c r="D78" s="33">
        <f>IF(ISNUMBER(SEARCH('Φόρμα Εισαγωγής'!$C$2,E78)),MAX($D$1:D77)+1,0)</f>
        <v>77</v>
      </c>
      <c r="E78" s="34" t="s">
        <v>70</v>
      </c>
      <c r="F78" s="32">
        <v>0.8</v>
      </c>
      <c r="G78" s="32">
        <v>1.1499999999999999</v>
      </c>
      <c r="H78" s="35">
        <f t="shared" si="9"/>
        <v>1.4259999999999999</v>
      </c>
      <c r="I78" s="35">
        <f t="shared" si="10"/>
        <v>15.200000000000001</v>
      </c>
      <c r="J78" s="35">
        <f t="shared" si="11"/>
        <v>27.093999999999998</v>
      </c>
      <c r="L78" s="4" t="str">
        <f>IFERROR(VLOOKUP(ROWS($L$2:L78),$B$2:$C$1996,2,0),"")</f>
        <v>ΣΥΣΤΟΛΗ ΑΓΓΛΙΑΣ ΓΑΛ</v>
      </c>
      <c r="N78" s="2" t="str">
        <f>IFERROR(VLOOKUP(ROWS($N$2:N78),$D$2:$E$1996,2,0),"")</f>
        <v>1'' Χ 1/2</v>
      </c>
    </row>
    <row r="79" spans="1:14">
      <c r="A79" s="32">
        <v>28</v>
      </c>
      <c r="B79" s="32">
        <f>IF(ISNUMBER(SEARCH('Φόρμα Εισαγωγής'!$B$2,C79)),MAX($B$1:B78)+1,0)</f>
        <v>78</v>
      </c>
      <c r="C79" s="33" t="s">
        <v>708</v>
      </c>
      <c r="D79" s="33">
        <f>IF(ISNUMBER(SEARCH('Φόρμα Εισαγωγής'!$C$2,E79)),MAX($D$1:D78)+1,0)</f>
        <v>78</v>
      </c>
      <c r="E79" s="34" t="s">
        <v>71</v>
      </c>
      <c r="F79" s="32">
        <v>0.35</v>
      </c>
      <c r="G79" s="32">
        <v>0.5</v>
      </c>
      <c r="H79" s="35">
        <f t="shared" si="9"/>
        <v>0.62</v>
      </c>
      <c r="I79" s="35">
        <f t="shared" si="10"/>
        <v>9.7999999999999989</v>
      </c>
      <c r="J79" s="35">
        <f t="shared" si="11"/>
        <v>17.36</v>
      </c>
      <c r="L79" s="4" t="str">
        <f>IFERROR(VLOOKUP(ROWS($L$2:L79),$B$2:$C$1996,2,0),"")</f>
        <v>ΣΥΣΤΟΛΗ ΑΓΓΛΙΑΣ ΓΑΛ</v>
      </c>
      <c r="N79" s="2" t="str">
        <f>IFERROR(VLOOKUP(ROWS($N$2:N79),$D$2:$E$1996,2,0),"")</f>
        <v>3/4 Χ 1/2</v>
      </c>
    </row>
    <row r="80" spans="1:14">
      <c r="A80" s="32">
        <v>0</v>
      </c>
      <c r="B80" s="32">
        <f>IF(ISNUMBER(SEARCH('Φόρμα Εισαγωγής'!$B$2,C80)),MAX($B$1:B79)+1,0)</f>
        <v>79</v>
      </c>
      <c r="C80" s="33" t="s">
        <v>709</v>
      </c>
      <c r="D80" s="33">
        <f>IF(ISNUMBER(SEARCH('Φόρμα Εισαγωγής'!$C$2,E80)),MAX($D$1:D79)+1,0)</f>
        <v>79</v>
      </c>
      <c r="E80" s="34" t="s">
        <v>67</v>
      </c>
      <c r="F80" s="32">
        <v>2.85</v>
      </c>
      <c r="G80" s="32">
        <v>4</v>
      </c>
      <c r="H80" s="35">
        <f t="shared" si="9"/>
        <v>4.96</v>
      </c>
      <c r="I80" s="35">
        <f t="shared" si="10"/>
        <v>0</v>
      </c>
      <c r="J80" s="35">
        <f t="shared" si="11"/>
        <v>0</v>
      </c>
      <c r="L80" s="4" t="str">
        <f>IFERROR(VLOOKUP(ROWS($L$2:L80),$B$2:$C$1996,2,0),"")</f>
        <v>ΣΥΣΤΟΛΙΚΟ ΝΙΠΕΛ ΓΑΛ</v>
      </c>
      <c r="N80" s="2" t="str">
        <f>IFERROR(VLOOKUP(ROWS($N$2:N80),$D$2:$E$1996,2,0),"")</f>
        <v>1 1/2'' Χ 1 1/4''</v>
      </c>
    </row>
    <row r="81" spans="1:14">
      <c r="A81" s="32">
        <v>19</v>
      </c>
      <c r="B81" s="32">
        <f>IF(ISNUMBER(SEARCH('Φόρμα Εισαγωγής'!$B$2,C81)),MAX($B$1:B80)+1,0)</f>
        <v>80</v>
      </c>
      <c r="C81" s="33" t="s">
        <v>709</v>
      </c>
      <c r="D81" s="33">
        <f>IF(ISNUMBER(SEARCH('Φόρμα Εισαγωγής'!$C$2,E81)),MAX($D$1:D80)+1,0)</f>
        <v>80</v>
      </c>
      <c r="E81" s="34" t="s">
        <v>68</v>
      </c>
      <c r="F81" s="32">
        <v>1.95</v>
      </c>
      <c r="G81" s="32">
        <v>2.7</v>
      </c>
      <c r="H81" s="35">
        <f t="shared" si="9"/>
        <v>3.3480000000000003</v>
      </c>
      <c r="I81" s="35">
        <f t="shared" si="10"/>
        <v>37.049999999999997</v>
      </c>
      <c r="J81" s="35">
        <f t="shared" si="11"/>
        <v>63.612000000000009</v>
      </c>
      <c r="L81" s="4" t="str">
        <f>IFERROR(VLOOKUP(ROWS($L$2:L81),$B$2:$C$1996,2,0),"")</f>
        <v>ΣΥΣΤΟΛΙΚΟ ΝΙΠΕΛ ΓΑΛ</v>
      </c>
      <c r="N81" s="2" t="str">
        <f>IFERROR(VLOOKUP(ROWS($N$2:N81),$D$2:$E$1996,2,0),"")</f>
        <v>1 1/4'' Χ 1''</v>
      </c>
    </row>
    <row r="82" spans="1:14">
      <c r="A82" s="32">
        <v>9</v>
      </c>
      <c r="B82" s="32">
        <f>IF(ISNUMBER(SEARCH('Φόρμα Εισαγωγής'!$B$2,C82)),MAX($B$1:B81)+1,0)</f>
        <v>81</v>
      </c>
      <c r="C82" s="33" t="s">
        <v>709</v>
      </c>
      <c r="D82" s="33">
        <f>IF(ISNUMBER(SEARCH('Φόρμα Εισαγωγής'!$C$2,E82)),MAX($D$1:D81)+1,0)</f>
        <v>81</v>
      </c>
      <c r="E82" s="34" t="s">
        <v>69</v>
      </c>
      <c r="F82" s="32">
        <v>1.25</v>
      </c>
      <c r="G82" s="32">
        <v>1.75</v>
      </c>
      <c r="H82" s="35">
        <f t="shared" si="9"/>
        <v>2.17</v>
      </c>
      <c r="I82" s="35">
        <f t="shared" si="10"/>
        <v>11.25</v>
      </c>
      <c r="J82" s="35">
        <f t="shared" si="11"/>
        <v>19.53</v>
      </c>
      <c r="L82" s="4" t="str">
        <f>IFERROR(VLOOKUP(ROWS($L$2:L82),$B$2:$C$1996,2,0),"")</f>
        <v>ΣΥΣΤΟΛΙΚΟ ΝΙΠΕΛ ΓΑΛ</v>
      </c>
      <c r="N82" s="2" t="str">
        <f>IFERROR(VLOOKUP(ROWS($N$2:N82),$D$2:$E$1996,2,0),"")</f>
        <v>1'' Χ 3/4</v>
      </c>
    </row>
    <row r="83" spans="1:14">
      <c r="A83" s="32">
        <v>4</v>
      </c>
      <c r="B83" s="32">
        <f>IF(ISNUMBER(SEARCH('Φόρμα Εισαγωγής'!$B$2,C83)),MAX($B$1:B82)+1,0)</f>
        <v>82</v>
      </c>
      <c r="C83" s="33" t="s">
        <v>709</v>
      </c>
      <c r="D83" s="33">
        <f>IF(ISNUMBER(SEARCH('Φόρμα Εισαγωγής'!$C$2,E83)),MAX($D$1:D82)+1,0)</f>
        <v>82</v>
      </c>
      <c r="E83" s="34" t="s">
        <v>70</v>
      </c>
      <c r="F83" s="32">
        <v>1.25</v>
      </c>
      <c r="G83" s="32">
        <v>1.75</v>
      </c>
      <c r="H83" s="35">
        <f t="shared" si="9"/>
        <v>2.17</v>
      </c>
      <c r="I83" s="35">
        <f t="shared" si="10"/>
        <v>5</v>
      </c>
      <c r="J83" s="35">
        <f t="shared" si="11"/>
        <v>8.68</v>
      </c>
      <c r="L83" s="4" t="str">
        <f>IFERROR(VLOOKUP(ROWS($L$2:L83),$B$2:$C$1996,2,0),"")</f>
        <v>ΣΥΣΤΟΛΙΚΟ ΝΙΠΕΛ ΓΑΛ</v>
      </c>
      <c r="N83" s="2" t="str">
        <f>IFERROR(VLOOKUP(ROWS($N$2:N83),$D$2:$E$1996,2,0),"")</f>
        <v>1'' Χ 1/2</v>
      </c>
    </row>
    <row r="84" spans="1:14">
      <c r="A84" s="32">
        <v>17</v>
      </c>
      <c r="B84" s="32">
        <f>IF(ISNUMBER(SEARCH('Φόρμα Εισαγωγής'!$B$2,C84)),MAX($B$1:B83)+1,0)</f>
        <v>83</v>
      </c>
      <c r="C84" s="33" t="s">
        <v>709</v>
      </c>
      <c r="D84" s="33">
        <f>IF(ISNUMBER(SEARCH('Φόρμα Εισαγωγής'!$C$2,E84)),MAX($D$1:D83)+1,0)</f>
        <v>83</v>
      </c>
      <c r="E84" s="34" t="s">
        <v>71</v>
      </c>
      <c r="F84" s="32">
        <v>0.62</v>
      </c>
      <c r="G84" s="32">
        <v>0.9</v>
      </c>
      <c r="H84" s="35">
        <f t="shared" si="9"/>
        <v>1.1160000000000001</v>
      </c>
      <c r="I84" s="35">
        <f t="shared" si="10"/>
        <v>10.54</v>
      </c>
      <c r="J84" s="35">
        <f t="shared" si="11"/>
        <v>18.972000000000001</v>
      </c>
      <c r="L84" s="4" t="str">
        <f>IFERROR(VLOOKUP(ROWS($L$2:L84),$B$2:$C$1996,2,0),"")</f>
        <v>ΣΥΣΤΟΛΙΚΟ ΝΙΠΕΛ ΓΑΛ</v>
      </c>
      <c r="N84" s="2" t="str">
        <f>IFERROR(VLOOKUP(ROWS($N$2:N84),$D$2:$E$1996,2,0),"")</f>
        <v>3/4 Χ 1/2</v>
      </c>
    </row>
    <row r="85" spans="1:14">
      <c r="A85" s="32">
        <v>28</v>
      </c>
      <c r="B85" s="32">
        <f>IF(ISNUMBER(SEARCH('Φόρμα Εισαγωγής'!$B$2,C85)),MAX($B$1:B84)+1,0)</f>
        <v>84</v>
      </c>
      <c r="C85" s="33" t="s">
        <v>714</v>
      </c>
      <c r="D85" s="33">
        <f>IF(ISNUMBER(SEARCH('Φόρμα Εισαγωγής'!$C$2,E85)),MAX($D$1:D84)+1,0)</f>
        <v>84</v>
      </c>
      <c r="E85" s="34" t="s">
        <v>72</v>
      </c>
      <c r="F85" s="32">
        <v>0.88</v>
      </c>
      <c r="G85" s="32">
        <v>1.25</v>
      </c>
      <c r="H85" s="35">
        <f t="shared" si="9"/>
        <v>1.55</v>
      </c>
      <c r="I85" s="35">
        <f t="shared" si="10"/>
        <v>24.64</v>
      </c>
      <c r="J85" s="35">
        <f t="shared" si="11"/>
        <v>43.4</v>
      </c>
      <c r="L85" s="4" t="str">
        <f>IFERROR(VLOOKUP(ROWS($L$2:L85),$B$2:$C$1996,2,0),"")</f>
        <v>ΣΥΣΤΟΛΙΚΟ ΝΙΠΕΛ ΟΡ</v>
      </c>
      <c r="N85" s="2" t="str">
        <f>IFERROR(VLOOKUP(ROWS($N$2:N85),$D$2:$E$1996,2,0),"")</f>
        <v>1/2 Χ 3/8</v>
      </c>
    </row>
    <row r="86" spans="1:14">
      <c r="A86" s="32">
        <v>1</v>
      </c>
      <c r="B86" s="32">
        <f>IF(ISNUMBER(SEARCH('Φόρμα Εισαγωγής'!$B$2,C86)),MAX($B$1:B85)+1,0)</f>
        <v>85</v>
      </c>
      <c r="C86" s="33" t="s">
        <v>710</v>
      </c>
      <c r="D86" s="33">
        <f>IF(ISNUMBER(SEARCH('Φόρμα Εισαγωγής'!$C$2,E86)),MAX($D$1:D85)+1,0)</f>
        <v>85</v>
      </c>
      <c r="E86" s="34" t="s">
        <v>74</v>
      </c>
      <c r="F86" s="32">
        <v>1.1000000000000001</v>
      </c>
      <c r="G86" s="32">
        <v>1.5</v>
      </c>
      <c r="H86" s="35">
        <f t="shared" si="9"/>
        <v>1.8599999999999999</v>
      </c>
      <c r="I86" s="35">
        <f t="shared" si="10"/>
        <v>1.1000000000000001</v>
      </c>
      <c r="J86" s="35">
        <f t="shared" si="11"/>
        <v>1.8599999999999999</v>
      </c>
      <c r="L86" s="4" t="str">
        <f>IFERROR(VLOOKUP(ROWS($L$2:L86),$B$2:$C$1996,2,0),"")</f>
        <v>ΣΥΣΤΟΛΗ ΑΜΕΡΙΚΗΣ ΓΑΛ</v>
      </c>
      <c r="N86" s="2" t="str">
        <f>IFERROR(VLOOKUP(ROWS($N$2:N86),$D$2:$E$1996,2,0),"")</f>
        <v>1 1/2'' Χ 3/4</v>
      </c>
    </row>
    <row r="87" spans="1:14">
      <c r="A87" s="32">
        <v>8</v>
      </c>
      <c r="B87" s="32">
        <f>IF(ISNUMBER(SEARCH('Φόρμα Εισαγωγής'!$B$2,C87)),MAX($B$1:B86)+1,0)</f>
        <v>86</v>
      </c>
      <c r="C87" s="33" t="s">
        <v>710</v>
      </c>
      <c r="D87" s="33">
        <f>IF(ISNUMBER(SEARCH('Φόρμα Εισαγωγής'!$C$2,E87)),MAX($D$1:D86)+1,0)</f>
        <v>86</v>
      </c>
      <c r="E87" s="34" t="s">
        <v>75</v>
      </c>
      <c r="F87" s="32">
        <v>1.1000000000000001</v>
      </c>
      <c r="G87" s="32">
        <v>1.5</v>
      </c>
      <c r="H87" s="35">
        <f t="shared" si="9"/>
        <v>1.8599999999999999</v>
      </c>
      <c r="I87" s="35">
        <f t="shared" si="10"/>
        <v>8.8000000000000007</v>
      </c>
      <c r="J87" s="35">
        <f t="shared" si="11"/>
        <v>14.879999999999999</v>
      </c>
      <c r="L87" s="4" t="str">
        <f>IFERROR(VLOOKUP(ROWS($L$2:L87),$B$2:$C$1996,2,0),"")</f>
        <v>ΣΥΣΤΟΛΗ ΑΜΕΡΙΚΗΣ ΓΑΛ</v>
      </c>
      <c r="N87" s="2" t="str">
        <f>IFERROR(VLOOKUP(ROWS($N$2:N87),$D$2:$E$1996,2,0),"")</f>
        <v>1 1/2'' Χ 1''</v>
      </c>
    </row>
    <row r="88" spans="1:14">
      <c r="A88" s="32">
        <v>12</v>
      </c>
      <c r="B88" s="32">
        <f>IF(ISNUMBER(SEARCH('Φόρμα Εισαγωγής'!$B$2,C88)),MAX($B$1:B87)+1,0)</f>
        <v>87</v>
      </c>
      <c r="C88" s="33" t="s">
        <v>710</v>
      </c>
      <c r="D88" s="33">
        <f>IF(ISNUMBER(SEARCH('Φόρμα Εισαγωγής'!$C$2,E88)),MAX($D$1:D87)+1,0)</f>
        <v>87</v>
      </c>
      <c r="E88" s="34" t="s">
        <v>68</v>
      </c>
      <c r="F88" s="32">
        <v>0.75</v>
      </c>
      <c r="G88" s="32">
        <v>1.1000000000000001</v>
      </c>
      <c r="H88" s="35">
        <f t="shared" si="9"/>
        <v>1.3640000000000001</v>
      </c>
      <c r="I88" s="35">
        <f t="shared" si="10"/>
        <v>9</v>
      </c>
      <c r="J88" s="35">
        <f t="shared" si="11"/>
        <v>16.368000000000002</v>
      </c>
      <c r="L88" s="4" t="str">
        <f>IFERROR(VLOOKUP(ROWS($L$2:L88),$B$2:$C$1996,2,0),"")</f>
        <v>ΣΥΣΤΟΛΗ ΑΜΕΡΙΚΗΣ ΓΑΛ</v>
      </c>
      <c r="N88" s="2" t="str">
        <f>IFERROR(VLOOKUP(ROWS($N$2:N88),$D$2:$E$1996,2,0),"")</f>
        <v>1 1/4'' Χ 1''</v>
      </c>
    </row>
    <row r="89" spans="1:14">
      <c r="A89" s="32">
        <v>7</v>
      </c>
      <c r="B89" s="32">
        <f>IF(ISNUMBER(SEARCH('Φόρμα Εισαγωγής'!$B$2,C89)),MAX($B$1:B88)+1,0)</f>
        <v>88</v>
      </c>
      <c r="C89" s="33" t="s">
        <v>951</v>
      </c>
      <c r="D89" s="33">
        <f>IF(ISNUMBER(SEARCH('Φόρμα Εισαγωγής'!$C$2,E89)),MAX($D$1:D88)+1,0)</f>
        <v>88</v>
      </c>
      <c r="E89" s="34" t="s">
        <v>76</v>
      </c>
      <c r="F89" s="32">
        <v>0.75</v>
      </c>
      <c r="G89" s="32">
        <v>1.1000000000000001</v>
      </c>
      <c r="H89" s="35">
        <f t="shared" si="9"/>
        <v>1.3640000000000001</v>
      </c>
      <c r="I89" s="35">
        <f t="shared" si="10"/>
        <v>5.25</v>
      </c>
      <c r="J89" s="35">
        <f t="shared" si="11"/>
        <v>9.548</v>
      </c>
      <c r="L89" s="4" t="str">
        <f>IFERROR(VLOOKUP(ROWS($L$2:L89),$B$2:$C$1996,2,0),"")</f>
        <v xml:space="preserve">ΣΥΣΤΟΛΗ ΑΜΕΡΙΚΗΣ ΓΑΛ </v>
      </c>
      <c r="N89" s="2" t="str">
        <f>IFERROR(VLOOKUP(ROWS($N$2:N89),$D$2:$E$1996,2,0),"")</f>
        <v>1 1/4'' Χ 1/2</v>
      </c>
    </row>
    <row r="90" spans="1:14">
      <c r="A90" s="32">
        <v>8</v>
      </c>
      <c r="B90" s="32">
        <f>IF(ISNUMBER(SEARCH('Φόρμα Εισαγωγής'!$B$2,C90)),MAX($B$1:B89)+1,0)</f>
        <v>89</v>
      </c>
      <c r="C90" s="33" t="s">
        <v>710</v>
      </c>
      <c r="D90" s="33">
        <f>IF(ISNUMBER(SEARCH('Φόρμα Εισαγωγής'!$C$2,E90)),MAX($D$1:D89)+1,0)</f>
        <v>89</v>
      </c>
      <c r="E90" s="34" t="s">
        <v>69</v>
      </c>
      <c r="F90" s="32">
        <v>0.5</v>
      </c>
      <c r="G90" s="32">
        <v>0.75</v>
      </c>
      <c r="H90" s="35">
        <f t="shared" si="9"/>
        <v>0.92999999999999994</v>
      </c>
      <c r="I90" s="35">
        <f t="shared" si="10"/>
        <v>4</v>
      </c>
      <c r="J90" s="35">
        <f t="shared" si="11"/>
        <v>7.4399999999999995</v>
      </c>
      <c r="L90" s="4" t="str">
        <f>IFERROR(VLOOKUP(ROWS($L$2:L90),$B$2:$C$1996,2,0),"")</f>
        <v>ΣΥΣΤΟΛΗ ΑΜΕΡΙΚΗΣ ΓΑΛ</v>
      </c>
      <c r="N90" s="2" t="str">
        <f>IFERROR(VLOOKUP(ROWS($N$2:N90),$D$2:$E$1996,2,0),"")</f>
        <v>1'' Χ 3/4</v>
      </c>
    </row>
    <row r="91" spans="1:14">
      <c r="A91" s="32">
        <v>4</v>
      </c>
      <c r="B91" s="32">
        <f>IF(ISNUMBER(SEARCH('Φόρμα Εισαγωγής'!$B$2,C91)),MAX($B$1:B90)+1,0)</f>
        <v>90</v>
      </c>
      <c r="C91" s="33" t="s">
        <v>710</v>
      </c>
      <c r="D91" s="33">
        <f>IF(ISNUMBER(SEARCH('Φόρμα Εισαγωγής'!$C$2,E91)),MAX($D$1:D90)+1,0)</f>
        <v>90</v>
      </c>
      <c r="E91" s="34" t="s">
        <v>70</v>
      </c>
      <c r="F91" s="32">
        <v>0.5</v>
      </c>
      <c r="G91" s="32">
        <v>0.75</v>
      </c>
      <c r="H91" s="35">
        <f t="shared" si="9"/>
        <v>0.92999999999999994</v>
      </c>
      <c r="I91" s="35">
        <f t="shared" si="10"/>
        <v>2</v>
      </c>
      <c r="J91" s="35">
        <f t="shared" si="11"/>
        <v>3.7199999999999998</v>
      </c>
      <c r="L91" s="4" t="str">
        <f>IFERROR(VLOOKUP(ROWS($L$2:L91),$B$2:$C$1996,2,0),"")</f>
        <v>ΣΥΣΤΟΛΗ ΑΜΕΡΙΚΗΣ ΓΑΛ</v>
      </c>
      <c r="N91" s="2" t="str">
        <f>IFERROR(VLOOKUP(ROWS($N$2:N91),$D$2:$E$1996,2,0),"")</f>
        <v>1'' Χ 1/2</v>
      </c>
    </row>
    <row r="92" spans="1:14">
      <c r="A92" s="32">
        <v>20</v>
      </c>
      <c r="B92" s="32">
        <f>IF(ISNUMBER(SEARCH('Φόρμα Εισαγωγής'!$B$2,C92)),MAX($B$1:B91)+1,0)</f>
        <v>91</v>
      </c>
      <c r="C92" s="33" t="s">
        <v>710</v>
      </c>
      <c r="D92" s="33">
        <f>IF(ISNUMBER(SEARCH('Φόρμα Εισαγωγής'!$C$2,E92)),MAX($D$1:D91)+1,0)</f>
        <v>91</v>
      </c>
      <c r="E92" s="34" t="s">
        <v>71</v>
      </c>
      <c r="F92" s="32">
        <v>0.35</v>
      </c>
      <c r="G92" s="32">
        <v>0.5</v>
      </c>
      <c r="H92" s="35">
        <f t="shared" si="9"/>
        <v>0.62</v>
      </c>
      <c r="I92" s="35">
        <f t="shared" si="10"/>
        <v>7</v>
      </c>
      <c r="J92" s="35">
        <f t="shared" si="11"/>
        <v>12.4</v>
      </c>
      <c r="L92" s="4" t="str">
        <f>IFERROR(VLOOKUP(ROWS($L$2:L92),$B$2:$C$1996,2,0),"")</f>
        <v>ΣΥΣΤΟΛΗ ΑΜΕΡΙΚΗΣ ΓΑΛ</v>
      </c>
      <c r="N92" s="2" t="str">
        <f>IFERROR(VLOOKUP(ROWS($N$2:N92),$D$2:$E$1996,2,0),"")</f>
        <v>3/4 Χ 1/2</v>
      </c>
    </row>
    <row r="93" spans="1:14">
      <c r="A93" s="32">
        <v>31</v>
      </c>
      <c r="B93" s="32">
        <f>IF(ISNUMBER(SEARCH('Φόρμα Εισαγωγής'!$B$2,C93)),MAX($B$1:B92)+1,0)</f>
        <v>92</v>
      </c>
      <c r="C93" s="33" t="s">
        <v>713</v>
      </c>
      <c r="D93" s="33">
        <f>IF(ISNUMBER(SEARCH('Φόρμα Εισαγωγής'!$C$2,E93)),MAX($D$1:D92)+1,0)</f>
        <v>92</v>
      </c>
      <c r="E93" s="34" t="s">
        <v>72</v>
      </c>
      <c r="F93" s="32">
        <v>0.6</v>
      </c>
      <c r="G93" s="32">
        <v>0.85</v>
      </c>
      <c r="H93" s="35">
        <f t="shared" si="9"/>
        <v>1.054</v>
      </c>
      <c r="I93" s="35">
        <f t="shared" si="10"/>
        <v>18.599999999999998</v>
      </c>
      <c r="J93" s="35">
        <f t="shared" si="11"/>
        <v>32.673999999999999</v>
      </c>
      <c r="L93" s="4" t="str">
        <f>IFERROR(VLOOKUP(ROWS($L$2:L93),$B$2:$C$1996,2,0),"")</f>
        <v>ΣΥΣΤΟΛΗ ΑΜΕΡΙΚΗΣ ΟΡ</v>
      </c>
      <c r="N93" s="2" t="str">
        <f>IFERROR(VLOOKUP(ROWS($N$2:N93),$D$2:$E$1996,2,0),"")</f>
        <v>1/2 Χ 3/8</v>
      </c>
    </row>
    <row r="94" spans="1:14">
      <c r="A94" s="32">
        <v>4</v>
      </c>
      <c r="B94" s="32">
        <f>IF(ISNUMBER(SEARCH('Φόρμα Εισαγωγής'!$B$2,C94)),MAX($B$1:B93)+1,0)</f>
        <v>93</v>
      </c>
      <c r="C94" s="33" t="s">
        <v>713</v>
      </c>
      <c r="D94" s="33">
        <f>IF(ISNUMBER(SEARCH('Φόρμα Εισαγωγής'!$C$2,E94)),MAX($D$1:D93)+1,0)</f>
        <v>93</v>
      </c>
      <c r="E94" s="34" t="s">
        <v>77</v>
      </c>
      <c r="F94" s="32">
        <v>0.65</v>
      </c>
      <c r="G94" s="32">
        <v>0.95</v>
      </c>
      <c r="H94" s="35">
        <f t="shared" si="9"/>
        <v>1.1779999999999999</v>
      </c>
      <c r="I94" s="35">
        <f t="shared" si="10"/>
        <v>2.6</v>
      </c>
      <c r="J94" s="35">
        <f t="shared" si="11"/>
        <v>4.7119999999999997</v>
      </c>
      <c r="L94" s="4" t="str">
        <f>IFERROR(VLOOKUP(ROWS($L$2:L94),$B$2:$C$1996,2,0),"")</f>
        <v>ΣΥΣΤΟΛΗ ΑΜΕΡΙΚΗΣ ΟΡ</v>
      </c>
      <c r="N94" s="2" t="str">
        <f>IFERROR(VLOOKUP(ROWS($N$2:N94),$D$2:$E$1996,2,0),"")</f>
        <v>1/2 Χ 1/4</v>
      </c>
    </row>
    <row r="95" spans="1:14">
      <c r="A95" s="32">
        <v>2</v>
      </c>
      <c r="B95" s="32">
        <f>IF(ISNUMBER(SEARCH('Φόρμα Εισαγωγής'!$B$2,C95)),MAX($B$1:B94)+1,0)</f>
        <v>94</v>
      </c>
      <c r="C95" s="33" t="s">
        <v>713</v>
      </c>
      <c r="D95" s="33">
        <f>IF(ISNUMBER(SEARCH('Φόρμα Εισαγωγής'!$C$2,E95)),MAX($D$1:D94)+1,0)</f>
        <v>94</v>
      </c>
      <c r="E95" s="34" t="s">
        <v>78</v>
      </c>
      <c r="F95" s="32">
        <v>0.6</v>
      </c>
      <c r="G95" s="32">
        <v>0.85</v>
      </c>
      <c r="H95" s="35">
        <f t="shared" si="9"/>
        <v>1.054</v>
      </c>
      <c r="I95" s="35">
        <f t="shared" si="10"/>
        <v>1.2</v>
      </c>
      <c r="J95" s="35">
        <f t="shared" si="11"/>
        <v>2.1080000000000001</v>
      </c>
      <c r="L95" s="4" t="str">
        <f>IFERROR(VLOOKUP(ROWS($L$2:L95),$B$2:$C$1996,2,0),"")</f>
        <v>ΣΥΣΤΟΛΗ ΑΜΕΡΙΚΗΣ ΟΡ</v>
      </c>
      <c r="N95" s="2" t="str">
        <f>IFERROR(VLOOKUP(ROWS($N$2:N95),$D$2:$E$1996,2,0),"")</f>
        <v>3/8 Χ 1/4</v>
      </c>
    </row>
    <row r="96" spans="1:14">
      <c r="A96" s="32">
        <v>8</v>
      </c>
      <c r="B96" s="32">
        <f>IF(ISNUMBER(SEARCH('Φόρμα Εισαγωγής'!$B$2,C96)),MAX($B$1:B95)+1,0)</f>
        <v>95</v>
      </c>
      <c r="C96" s="33" t="s">
        <v>710</v>
      </c>
      <c r="D96" s="33">
        <f>IF(ISNUMBER(SEARCH('Φόρμα Εισαγωγής'!$C$2,E96)),MAX($D$1:D95)+1,0)</f>
        <v>95</v>
      </c>
      <c r="E96" s="34" t="s">
        <v>98</v>
      </c>
      <c r="F96" s="32">
        <v>2</v>
      </c>
      <c r="G96" s="32">
        <v>2.8</v>
      </c>
      <c r="H96" s="35">
        <f t="shared" si="9"/>
        <v>3.4719999999999995</v>
      </c>
      <c r="I96" s="35">
        <f t="shared" si="10"/>
        <v>16</v>
      </c>
      <c r="J96" s="35">
        <f t="shared" si="11"/>
        <v>27.775999999999996</v>
      </c>
      <c r="L96" s="4" t="str">
        <f>IFERROR(VLOOKUP(ROWS($L$2:L96),$B$2:$C$1996,2,0),"")</f>
        <v>ΣΥΣΤΟΛΗ ΑΜΕΡΙΚΗΣ ΓΑΛ</v>
      </c>
      <c r="N96" s="2" t="str">
        <f>IFERROR(VLOOKUP(ROWS($N$2:N96),$D$2:$E$1996,2,0),"")</f>
        <v>2'' X 1''</v>
      </c>
    </row>
    <row r="97" spans="1:14">
      <c r="A97" s="32">
        <v>7</v>
      </c>
      <c r="B97" s="32">
        <f>IF(ISNUMBER(SEARCH('Φόρμα Εισαγωγής'!$B$2,C97)),MAX($B$1:B96)+1,0)</f>
        <v>96</v>
      </c>
      <c r="C97" s="33" t="s">
        <v>710</v>
      </c>
      <c r="D97" s="33">
        <f>IF(ISNUMBER(SEARCH('Φόρμα Εισαγωγής'!$C$2,E97)),MAX($D$1:D96)+1,0)</f>
        <v>96</v>
      </c>
      <c r="E97" s="34" t="s">
        <v>99</v>
      </c>
      <c r="F97" s="32">
        <v>2</v>
      </c>
      <c r="G97" s="32">
        <v>2.8</v>
      </c>
      <c r="H97" s="35">
        <f t="shared" si="9"/>
        <v>3.4719999999999995</v>
      </c>
      <c r="I97" s="35">
        <f t="shared" si="10"/>
        <v>14</v>
      </c>
      <c r="J97" s="35">
        <f t="shared" si="11"/>
        <v>24.303999999999995</v>
      </c>
      <c r="L97" s="4" t="str">
        <f>IFERROR(VLOOKUP(ROWS($L$2:L97),$B$2:$C$1996,2,0),"")</f>
        <v>ΣΥΣΤΟΛΗ ΑΜΕΡΙΚΗΣ ΓΑΛ</v>
      </c>
      <c r="N97" s="2" t="str">
        <f>IFERROR(VLOOKUP(ROWS($N$2:N97),$D$2:$E$1996,2,0),"")</f>
        <v>2'' X 1 1/4''</v>
      </c>
    </row>
    <row r="98" spans="1:14">
      <c r="A98" s="32">
        <v>0</v>
      </c>
      <c r="B98" s="32">
        <f>IF(ISNUMBER(SEARCH('Φόρμα Εισαγωγής'!$B$2,C98)),MAX($B$1:B97)+1,0)</f>
        <v>97</v>
      </c>
      <c r="C98" s="33" t="s">
        <v>702</v>
      </c>
      <c r="D98" s="33">
        <f>IF(ISNUMBER(SEARCH('Φόρμα Εισαγωγής'!$C$2,E98)),MAX($D$1:D97)+1,0)</f>
        <v>97</v>
      </c>
      <c r="E98" s="34" t="s">
        <v>79</v>
      </c>
      <c r="F98" s="32">
        <v>1.65</v>
      </c>
      <c r="G98" s="32">
        <v>2.2999999999999998</v>
      </c>
      <c r="H98" s="35">
        <f t="shared" si="9"/>
        <v>2.8519999999999999</v>
      </c>
      <c r="I98" s="35">
        <f t="shared" si="10"/>
        <v>0</v>
      </c>
      <c r="J98" s="35">
        <f t="shared" si="11"/>
        <v>0</v>
      </c>
      <c r="L98" s="4" t="str">
        <f>IFERROR(VLOOKUP(ROWS($L$2:L98),$B$2:$C$1996,2,0),"")</f>
        <v>ΣΥΣΤΟΛΙΚΟ ΤΑΦ ΓΑΛ</v>
      </c>
      <c r="N98" s="2" t="str">
        <f>IFERROR(VLOOKUP(ROWS($N$2:N98),$D$2:$E$1996,2,0),"")</f>
        <v>1'' Χ 3/4 Χ 1/2</v>
      </c>
    </row>
    <row r="99" spans="1:14">
      <c r="A99" s="32">
        <v>0</v>
      </c>
      <c r="B99" s="32">
        <f>IF(ISNUMBER(SEARCH('Φόρμα Εισαγωγής'!$B$2,C99)),MAX($B$1:B98)+1,0)</f>
        <v>98</v>
      </c>
      <c r="C99" s="33" t="s">
        <v>702</v>
      </c>
      <c r="D99" s="33">
        <f>IF(ISNUMBER(SEARCH('Φόρμα Εισαγωγής'!$C$2,E99)),MAX($D$1:D98)+1,0)</f>
        <v>98</v>
      </c>
      <c r="E99" s="34" t="s">
        <v>80</v>
      </c>
      <c r="F99" s="32">
        <v>1.65</v>
      </c>
      <c r="G99" s="32">
        <v>2.2999999999999998</v>
      </c>
      <c r="H99" s="35">
        <f t="shared" si="9"/>
        <v>2.8519999999999999</v>
      </c>
      <c r="I99" s="35">
        <f t="shared" si="10"/>
        <v>0</v>
      </c>
      <c r="J99" s="35">
        <f t="shared" si="11"/>
        <v>0</v>
      </c>
      <c r="L99" s="4" t="str">
        <f>IFERROR(VLOOKUP(ROWS($L$2:L99),$B$2:$C$1996,2,0),"")</f>
        <v>ΣΥΣΤΟΛΙΚΟ ΤΑΦ ΓΑΛ</v>
      </c>
      <c r="N99" s="2" t="str">
        <f>IFERROR(VLOOKUP(ROWS($N$2:N99),$D$2:$E$1996,2,0),"")</f>
        <v>1'' Χ 1/2 Χ 3/4</v>
      </c>
    </row>
    <row r="100" spans="1:14">
      <c r="A100" s="32">
        <v>0</v>
      </c>
      <c r="B100" s="32">
        <f>IF(ISNUMBER(SEARCH('Φόρμα Εισαγωγής'!$B$2,C100)),MAX($B$1:B99)+1,0)</f>
        <v>99</v>
      </c>
      <c r="C100" s="33" t="s">
        <v>702</v>
      </c>
      <c r="D100" s="33">
        <f>IF(ISNUMBER(SEARCH('Φόρμα Εισαγωγής'!$C$2,E100)),MAX($D$1:D99)+1,0)</f>
        <v>99</v>
      </c>
      <c r="E100" s="34" t="s">
        <v>81</v>
      </c>
      <c r="F100" s="32">
        <v>1.65</v>
      </c>
      <c r="G100" s="32">
        <v>2.2999999999999998</v>
      </c>
      <c r="H100" s="35">
        <f t="shared" si="9"/>
        <v>2.8519999999999999</v>
      </c>
      <c r="I100" s="35">
        <f t="shared" si="10"/>
        <v>0</v>
      </c>
      <c r="J100" s="35">
        <f t="shared" si="11"/>
        <v>0</v>
      </c>
      <c r="L100" s="4" t="str">
        <f>IFERROR(VLOOKUP(ROWS($L$2:L100),$B$2:$C$1996,2,0),"")</f>
        <v>ΣΥΣΤΟΛΙΚΟ ΤΑΦ ΓΑΛ</v>
      </c>
      <c r="N100" s="2" t="str">
        <f>IFERROR(VLOOKUP(ROWS($N$2:N100),$D$2:$E$1996,2,0),"")</f>
        <v>1/2 Χ 1'' Χ 1/2</v>
      </c>
    </row>
    <row r="101" spans="1:14">
      <c r="A101" s="32">
        <v>0</v>
      </c>
      <c r="B101" s="32">
        <f>IF(ISNUMBER(SEARCH('Φόρμα Εισαγωγής'!$B$2,C101)),MAX($B$1:B100)+1,0)</f>
        <v>100</v>
      </c>
      <c r="C101" s="33" t="s">
        <v>702</v>
      </c>
      <c r="D101" s="33">
        <f>IF(ISNUMBER(SEARCH('Φόρμα Εισαγωγής'!$C$2,E101)),MAX($D$1:D100)+1,0)</f>
        <v>100</v>
      </c>
      <c r="E101" s="34" t="s">
        <v>82</v>
      </c>
      <c r="F101" s="32">
        <v>0.9</v>
      </c>
      <c r="G101" s="32">
        <v>1.25</v>
      </c>
      <c r="H101" s="35">
        <f t="shared" si="9"/>
        <v>1.55</v>
      </c>
      <c r="I101" s="35">
        <f t="shared" si="10"/>
        <v>0</v>
      </c>
      <c r="J101" s="35">
        <f t="shared" si="11"/>
        <v>0</v>
      </c>
      <c r="L101" s="4" t="str">
        <f>IFERROR(VLOOKUP(ROWS($L$2:L101),$B$2:$C$1996,2,0),"")</f>
        <v>ΣΥΣΤΟΛΙΚΟ ΤΑΦ ΓΑΛ</v>
      </c>
      <c r="N101" s="2" t="str">
        <f>IFERROR(VLOOKUP(ROWS($N$2:N101),$D$2:$E$1996,2,0),"")</f>
        <v>1/2 Χ 3/4 Χ 1/2</v>
      </c>
    </row>
    <row r="102" spans="1:14">
      <c r="A102" s="32">
        <v>1</v>
      </c>
      <c r="B102" s="32">
        <f>IF(ISNUMBER(SEARCH('Φόρμα Εισαγωγής'!$B$2,C102)),MAX($B$1:B101)+1,0)</f>
        <v>101</v>
      </c>
      <c r="C102" s="33" t="s">
        <v>702</v>
      </c>
      <c r="D102" s="33">
        <f>IF(ISNUMBER(SEARCH('Φόρμα Εισαγωγής'!$C$2,E102)),MAX($D$1:D101)+1,0)</f>
        <v>101</v>
      </c>
      <c r="E102" s="34" t="s">
        <v>83</v>
      </c>
      <c r="F102" s="32">
        <v>4</v>
      </c>
      <c r="G102" s="32">
        <v>5.6</v>
      </c>
      <c r="H102" s="35">
        <f t="shared" si="9"/>
        <v>6.9439999999999991</v>
      </c>
      <c r="I102" s="35">
        <f t="shared" si="10"/>
        <v>4</v>
      </c>
      <c r="J102" s="35">
        <f t="shared" si="11"/>
        <v>6.9439999999999991</v>
      </c>
      <c r="L102" s="4" t="str">
        <f>IFERROR(VLOOKUP(ROWS($L$2:L102),$B$2:$C$1996,2,0),"")</f>
        <v>ΣΥΣΤΟΛΙΚΟ ΤΑΦ ΓΑΛ</v>
      </c>
      <c r="N102" s="2" t="str">
        <f>IFERROR(VLOOKUP(ROWS($N$2:N102),$D$2:$E$1996,2,0),"")</f>
        <v>1 1/2'' Χ 1/2 Χ 1 1/2''</v>
      </c>
    </row>
    <row r="103" spans="1:14">
      <c r="A103" s="32">
        <v>1</v>
      </c>
      <c r="B103" s="32">
        <f>IF(ISNUMBER(SEARCH('Φόρμα Εισαγωγής'!$B$2,C103)),MAX($B$1:B102)+1,0)</f>
        <v>102</v>
      </c>
      <c r="C103" s="33" t="s">
        <v>702</v>
      </c>
      <c r="D103" s="33">
        <f>IF(ISNUMBER(SEARCH('Φόρμα Εισαγωγής'!$C$2,E103)),MAX($D$1:D102)+1,0)</f>
        <v>102</v>
      </c>
      <c r="E103" s="34" t="s">
        <v>84</v>
      </c>
      <c r="F103" s="32">
        <v>2.75</v>
      </c>
      <c r="G103" s="32">
        <v>3.85</v>
      </c>
      <c r="H103" s="35">
        <f t="shared" si="9"/>
        <v>4.774</v>
      </c>
      <c r="I103" s="35">
        <f t="shared" si="10"/>
        <v>2.75</v>
      </c>
      <c r="J103" s="35">
        <f t="shared" si="11"/>
        <v>4.774</v>
      </c>
      <c r="L103" s="4" t="str">
        <f>IFERROR(VLOOKUP(ROWS($L$2:L103),$B$2:$C$1996,2,0),"")</f>
        <v>ΣΥΣΤΟΛΙΚΟ ΤΑΦ ΓΑΛ</v>
      </c>
      <c r="N103" s="2" t="str">
        <f>IFERROR(VLOOKUP(ROWS($N$2:N103),$D$2:$E$1996,2,0),"")</f>
        <v>1 1/4'' Χ 1/2 Χ 1 1/4''</v>
      </c>
    </row>
    <row r="104" spans="1:14">
      <c r="A104" s="32">
        <v>18</v>
      </c>
      <c r="B104" s="32">
        <f>IF(ISNUMBER(SEARCH('Φόρμα Εισαγωγής'!$B$2,C104)),MAX($B$1:B103)+1,0)</f>
        <v>103</v>
      </c>
      <c r="C104" s="33" t="s">
        <v>765</v>
      </c>
      <c r="D104" s="33">
        <f>IF(ISNUMBER(SEARCH('Φόρμα Εισαγωγής'!$C$2,E104)),MAX($D$1:D103)+1,0)</f>
        <v>103</v>
      </c>
      <c r="E104" s="34" t="s">
        <v>46</v>
      </c>
      <c r="F104" s="32">
        <v>0.3</v>
      </c>
      <c r="G104" s="32">
        <v>0.45</v>
      </c>
      <c r="H104" s="35">
        <f t="shared" si="9"/>
        <v>0.55800000000000005</v>
      </c>
      <c r="I104" s="35">
        <f t="shared" si="10"/>
        <v>5.3999999999999995</v>
      </c>
      <c r="J104" s="35">
        <f t="shared" si="11"/>
        <v>10.044</v>
      </c>
      <c r="L104" s="4" t="str">
        <f>IFERROR(VLOOKUP(ROWS($L$2:L104),$B$2:$C$1996,2,0),"")</f>
        <v>ΣΩΛ/ΜΑΣΤΟΣ ΓΑΛ RIM</v>
      </c>
      <c r="N104" s="2" t="str">
        <f>IFERROR(VLOOKUP(ROWS($N$2:N104),$D$2:$E$1996,2,0),"")</f>
        <v>10 cm 1/2</v>
      </c>
    </row>
    <row r="105" spans="1:14">
      <c r="A105" s="32">
        <v>17</v>
      </c>
      <c r="B105" s="32">
        <f>IF(ISNUMBER(SEARCH('Φόρμα Εισαγωγής'!$B$2,C105)),MAX($B$1:B104)+1,0)</f>
        <v>104</v>
      </c>
      <c r="C105" s="33" t="s">
        <v>765</v>
      </c>
      <c r="D105" s="33">
        <f>IF(ISNUMBER(SEARCH('Φόρμα Εισαγωγής'!$C$2,E105)),MAX($D$1:D104)+1,0)</f>
        <v>104</v>
      </c>
      <c r="E105" s="34" t="s">
        <v>47</v>
      </c>
      <c r="F105" s="32">
        <v>0.35</v>
      </c>
      <c r="G105" s="32">
        <v>0.5</v>
      </c>
      <c r="H105" s="35">
        <f t="shared" si="3"/>
        <v>0.62</v>
      </c>
      <c r="I105" s="35">
        <f t="shared" si="4"/>
        <v>5.9499999999999993</v>
      </c>
      <c r="J105" s="35">
        <f t="shared" si="5"/>
        <v>10.54</v>
      </c>
      <c r="L105" s="4" t="str">
        <f>IFERROR(VLOOKUP(ROWS($L$2:L105),$B$2:$C$1996,2,0),"")</f>
        <v>ΣΩΛ/ΜΑΣΤΟΣ ΓΑΛ RIM</v>
      </c>
      <c r="N105" s="2" t="str">
        <f>IFERROR(VLOOKUP(ROWS($N$2:N105),$D$2:$E$1996,2,0),"")</f>
        <v>10 cm 3/4</v>
      </c>
    </row>
    <row r="106" spans="1:14">
      <c r="A106" s="32">
        <v>16</v>
      </c>
      <c r="B106" s="32">
        <f>IF(ISNUMBER(SEARCH('Φόρμα Εισαγωγής'!$B$2,C106)),MAX($B$1:B105)+1,0)</f>
        <v>105</v>
      </c>
      <c r="C106" s="33" t="s">
        <v>765</v>
      </c>
      <c r="D106" s="33">
        <f>IF(ISNUMBER(SEARCH('Φόρμα Εισαγωγής'!$C$2,E106)),MAX($D$1:D105)+1,0)</f>
        <v>105</v>
      </c>
      <c r="E106" s="34" t="s">
        <v>48</v>
      </c>
      <c r="F106" s="32">
        <v>0.45</v>
      </c>
      <c r="G106" s="32">
        <v>0.65</v>
      </c>
      <c r="H106" s="35">
        <f t="shared" ref="H106:H137" si="12">G106+(G106*0.24)</f>
        <v>0.80600000000000005</v>
      </c>
      <c r="I106" s="35">
        <f t="shared" ref="I106:I137" si="13">F106*A106</f>
        <v>7.2</v>
      </c>
      <c r="J106" s="35">
        <f t="shared" ref="J106:J137" si="14">H106*A106</f>
        <v>12.896000000000001</v>
      </c>
      <c r="L106" s="4" t="str">
        <f>IFERROR(VLOOKUP(ROWS($L$2:L106),$B$2:$C$1996,2,0),"")</f>
        <v>ΣΩΛ/ΜΑΣΤΟΣ ΓΑΛ RIM</v>
      </c>
      <c r="N106" s="2" t="str">
        <f>IFERROR(VLOOKUP(ROWS($N$2:N106),$D$2:$E$1996,2,0),"")</f>
        <v>10 cm 1''</v>
      </c>
    </row>
    <row r="107" spans="1:14">
      <c r="A107" s="32">
        <v>7</v>
      </c>
      <c r="B107" s="32">
        <f>IF(ISNUMBER(SEARCH('Φόρμα Εισαγωγής'!$B$2,C107)),MAX($B$1:B106)+1,0)</f>
        <v>106</v>
      </c>
      <c r="C107" s="33" t="s">
        <v>765</v>
      </c>
      <c r="D107" s="33">
        <f>IF(ISNUMBER(SEARCH('Φόρμα Εισαγωγής'!$C$2,E107)),MAX($D$1:D106)+1,0)</f>
        <v>106</v>
      </c>
      <c r="E107" s="34" t="s">
        <v>49</v>
      </c>
      <c r="F107" s="32">
        <v>0.6</v>
      </c>
      <c r="G107" s="32">
        <v>0.85</v>
      </c>
      <c r="H107" s="35">
        <f t="shared" si="12"/>
        <v>1.054</v>
      </c>
      <c r="I107" s="35">
        <f t="shared" si="13"/>
        <v>4.2</v>
      </c>
      <c r="J107" s="35">
        <f t="shared" si="14"/>
        <v>7.3780000000000001</v>
      </c>
      <c r="L107" s="4" t="str">
        <f>IFERROR(VLOOKUP(ROWS($L$2:L107),$B$2:$C$1996,2,0),"")</f>
        <v>ΣΩΛ/ΜΑΣΤΟΣ ΓΑΛ RIM</v>
      </c>
      <c r="N107" s="2" t="str">
        <f>IFERROR(VLOOKUP(ROWS($N$2:N107),$D$2:$E$1996,2,0),"")</f>
        <v>10 cm 1 1/4''</v>
      </c>
    </row>
    <row r="108" spans="1:14">
      <c r="A108" s="32">
        <v>5</v>
      </c>
      <c r="B108" s="32">
        <f>IF(ISNUMBER(SEARCH('Φόρμα Εισαγωγής'!$B$2,C108)),MAX($B$1:B107)+1,0)</f>
        <v>107</v>
      </c>
      <c r="C108" s="33" t="s">
        <v>765</v>
      </c>
      <c r="D108" s="33">
        <f>IF(ISNUMBER(SEARCH('Φόρμα Εισαγωγής'!$C$2,E108)),MAX($D$1:D107)+1,0)</f>
        <v>107</v>
      </c>
      <c r="E108" s="34" t="s">
        <v>51</v>
      </c>
      <c r="F108" s="32">
        <v>0.7</v>
      </c>
      <c r="G108" s="32">
        <v>1</v>
      </c>
      <c r="H108" s="35">
        <f t="shared" si="12"/>
        <v>1.24</v>
      </c>
      <c r="I108" s="35">
        <f t="shared" si="13"/>
        <v>3.5</v>
      </c>
      <c r="J108" s="35">
        <f t="shared" si="14"/>
        <v>6.2</v>
      </c>
      <c r="L108" s="4" t="str">
        <f>IFERROR(VLOOKUP(ROWS($L$2:L108),$B$2:$C$1996,2,0),"")</f>
        <v>ΣΩΛ/ΜΑΣΤΟΣ ΓΑΛ RIM</v>
      </c>
      <c r="N108" s="2" t="str">
        <f>IFERROR(VLOOKUP(ROWS($N$2:N108),$D$2:$E$1996,2,0),"")</f>
        <v>10 cm 1 1/2''</v>
      </c>
    </row>
    <row r="109" spans="1:14">
      <c r="A109" s="32">
        <v>2</v>
      </c>
      <c r="B109" s="32">
        <f>IF(ISNUMBER(SEARCH('Φόρμα Εισαγωγής'!$B$2,C109)),MAX($B$1:B108)+1,0)</f>
        <v>108</v>
      </c>
      <c r="C109" s="33" t="s">
        <v>765</v>
      </c>
      <c r="D109" s="33">
        <f>IF(ISNUMBER(SEARCH('Φόρμα Εισαγωγής'!$C$2,E109)),MAX($D$1:D108)+1,0)</f>
        <v>108</v>
      </c>
      <c r="E109" s="34" t="s">
        <v>50</v>
      </c>
      <c r="F109" s="32">
        <v>1</v>
      </c>
      <c r="G109" s="32">
        <v>1.4</v>
      </c>
      <c r="H109" s="35">
        <f t="shared" si="12"/>
        <v>1.7359999999999998</v>
      </c>
      <c r="I109" s="35">
        <f t="shared" si="13"/>
        <v>2</v>
      </c>
      <c r="J109" s="35">
        <f t="shared" si="14"/>
        <v>3.4719999999999995</v>
      </c>
      <c r="L109" s="4" t="str">
        <f>IFERROR(VLOOKUP(ROWS($L$2:L109),$B$2:$C$1996,2,0),"")</f>
        <v>ΣΩΛ/ΜΑΣΤΟΣ ΓΑΛ RIM</v>
      </c>
      <c r="N109" s="2" t="str">
        <f>IFERROR(VLOOKUP(ROWS($N$2:N109),$D$2:$E$1996,2,0),"")</f>
        <v>10 cm 2''</v>
      </c>
    </row>
    <row r="110" spans="1:14">
      <c r="A110" s="32">
        <v>0</v>
      </c>
      <c r="B110" s="32">
        <f>IF(ISNUMBER(SEARCH('Φόρμα Εισαγωγής'!$B$2,C110)),MAX($B$1:B109)+1,0)</f>
        <v>109</v>
      </c>
      <c r="C110" s="33" t="s">
        <v>765</v>
      </c>
      <c r="D110" s="33">
        <f>IF(ISNUMBER(SEARCH('Φόρμα Εισαγωγής'!$C$2,E110)),MAX($D$1:D109)+1,0)</f>
        <v>109</v>
      </c>
      <c r="E110" s="34" t="s">
        <v>52</v>
      </c>
      <c r="F110" s="32">
        <v>1.95</v>
      </c>
      <c r="G110" s="32">
        <v>2.75</v>
      </c>
      <c r="H110" s="35">
        <f t="shared" si="12"/>
        <v>3.41</v>
      </c>
      <c r="I110" s="35">
        <f t="shared" si="13"/>
        <v>0</v>
      </c>
      <c r="J110" s="35">
        <f t="shared" si="14"/>
        <v>0</v>
      </c>
      <c r="L110" s="4" t="str">
        <f>IFERROR(VLOOKUP(ROWS($L$2:L110),$B$2:$C$1996,2,0),"")</f>
        <v>ΣΩΛ/ΜΑΣΤΟΣ ΓΑΛ RIM</v>
      </c>
      <c r="N110" s="2" t="str">
        <f>IFERROR(VLOOKUP(ROWS($N$2:N110),$D$2:$E$1996,2,0),"")</f>
        <v>10 cm 3''</v>
      </c>
    </row>
    <row r="111" spans="1:14">
      <c r="A111" s="32">
        <v>25</v>
      </c>
      <c r="B111" s="32">
        <f>IF(ISNUMBER(SEARCH('Φόρμα Εισαγωγής'!$B$2,C111)),MAX($B$1:B110)+1,0)</f>
        <v>110</v>
      </c>
      <c r="C111" s="33" t="s">
        <v>765</v>
      </c>
      <c r="D111" s="33">
        <f>IF(ISNUMBER(SEARCH('Φόρμα Εισαγωγής'!$C$2,E111)),MAX($D$1:D110)+1,0)</f>
        <v>110</v>
      </c>
      <c r="E111" s="34" t="s">
        <v>53</v>
      </c>
      <c r="F111" s="32">
        <v>0.36</v>
      </c>
      <c r="G111" s="32">
        <v>0.5</v>
      </c>
      <c r="H111" s="35">
        <f t="shared" si="12"/>
        <v>0.62</v>
      </c>
      <c r="I111" s="35">
        <f t="shared" si="13"/>
        <v>9</v>
      </c>
      <c r="J111" s="35">
        <f t="shared" si="14"/>
        <v>15.5</v>
      </c>
      <c r="L111" s="4" t="str">
        <f>IFERROR(VLOOKUP(ROWS($L$2:L111),$B$2:$C$1996,2,0),"")</f>
        <v>ΣΩΛ/ΜΑΣΤΟΣ ΓΑΛ RIM</v>
      </c>
      <c r="N111" s="2" t="str">
        <f>IFERROR(VLOOKUP(ROWS($N$2:N111),$D$2:$E$1996,2,0),"")</f>
        <v>15 cm 1/2</v>
      </c>
    </row>
    <row r="112" spans="1:14">
      <c r="A112" s="32">
        <v>23</v>
      </c>
      <c r="B112" s="32">
        <f>IF(ISNUMBER(SEARCH('Φόρμα Εισαγωγής'!$B$2,C112)),MAX($B$1:B111)+1,0)</f>
        <v>111</v>
      </c>
      <c r="C112" s="33" t="s">
        <v>765</v>
      </c>
      <c r="D112" s="33">
        <f>IF(ISNUMBER(SEARCH('Φόρμα Εισαγωγής'!$C$2,E112)),MAX($D$1:D111)+1,0)</f>
        <v>111</v>
      </c>
      <c r="E112" s="34" t="s">
        <v>54</v>
      </c>
      <c r="F112" s="32">
        <v>0.4</v>
      </c>
      <c r="G112" s="32">
        <v>0.6</v>
      </c>
      <c r="H112" s="35">
        <f t="shared" si="12"/>
        <v>0.74399999999999999</v>
      </c>
      <c r="I112" s="35">
        <f t="shared" si="13"/>
        <v>9.2000000000000011</v>
      </c>
      <c r="J112" s="35">
        <f t="shared" si="14"/>
        <v>17.111999999999998</v>
      </c>
      <c r="L112" s="4" t="str">
        <f>IFERROR(VLOOKUP(ROWS($L$2:L112),$B$2:$C$1996,2,0),"")</f>
        <v>ΣΩΛ/ΜΑΣΤΟΣ ΓΑΛ RIM</v>
      </c>
      <c r="N112" s="2" t="str">
        <f>IFERROR(VLOOKUP(ROWS($N$2:N112),$D$2:$E$1996,2,0),"")</f>
        <v>15 cm 3/4</v>
      </c>
    </row>
    <row r="113" spans="1:14">
      <c r="A113" s="32">
        <v>18</v>
      </c>
      <c r="B113" s="32">
        <f>IF(ISNUMBER(SEARCH('Φόρμα Εισαγωγής'!$B$2,C113)),MAX($B$1:B112)+1,0)</f>
        <v>112</v>
      </c>
      <c r="C113" s="33" t="s">
        <v>765</v>
      </c>
      <c r="D113" s="33">
        <f>IF(ISNUMBER(SEARCH('Φόρμα Εισαγωγής'!$C$2,E113)),MAX($D$1:D112)+1,0)</f>
        <v>112</v>
      </c>
      <c r="E113" s="34" t="s">
        <v>55</v>
      </c>
      <c r="F113" s="32">
        <v>0.6</v>
      </c>
      <c r="G113" s="32">
        <v>0.9</v>
      </c>
      <c r="H113" s="35">
        <f t="shared" si="12"/>
        <v>1.1160000000000001</v>
      </c>
      <c r="I113" s="35">
        <f t="shared" si="13"/>
        <v>10.799999999999999</v>
      </c>
      <c r="J113" s="35">
        <f t="shared" si="14"/>
        <v>20.088000000000001</v>
      </c>
      <c r="L113" s="4" t="str">
        <f>IFERROR(VLOOKUP(ROWS($L$2:L113),$B$2:$C$1996,2,0),"")</f>
        <v>ΣΩΛ/ΜΑΣΤΟΣ ΓΑΛ RIM</v>
      </c>
      <c r="N113" s="2" t="str">
        <f>IFERROR(VLOOKUP(ROWS($N$2:N113),$D$2:$E$1996,2,0),"")</f>
        <v>15 cm 1''</v>
      </c>
    </row>
    <row r="114" spans="1:14">
      <c r="A114" s="32">
        <v>3</v>
      </c>
      <c r="B114" s="32">
        <f>IF(ISNUMBER(SEARCH('Φόρμα Εισαγωγής'!$B$2,C114)),MAX($B$1:B113)+1,0)</f>
        <v>113</v>
      </c>
      <c r="C114" s="33" t="s">
        <v>765</v>
      </c>
      <c r="D114" s="33">
        <f>IF(ISNUMBER(SEARCH('Φόρμα Εισαγωγής'!$C$2,E114)),MAX($D$1:D113)+1,0)</f>
        <v>113</v>
      </c>
      <c r="E114" s="34" t="s">
        <v>56</v>
      </c>
      <c r="F114" s="32">
        <v>0.8</v>
      </c>
      <c r="G114" s="32">
        <v>1.2</v>
      </c>
      <c r="H114" s="35">
        <f t="shared" si="12"/>
        <v>1.488</v>
      </c>
      <c r="I114" s="35">
        <f t="shared" si="13"/>
        <v>2.4000000000000004</v>
      </c>
      <c r="J114" s="35">
        <f t="shared" si="14"/>
        <v>4.4640000000000004</v>
      </c>
      <c r="L114" s="4" t="str">
        <f>IFERROR(VLOOKUP(ROWS($L$2:L114),$B$2:$C$1996,2,0),"")</f>
        <v>ΣΩΛ/ΜΑΣΤΟΣ ΓΑΛ RIM</v>
      </c>
      <c r="N114" s="2" t="str">
        <f>IFERROR(VLOOKUP(ROWS($N$2:N114),$D$2:$E$1996,2,0),"")</f>
        <v>15 cm 1 1/4''</v>
      </c>
    </row>
    <row r="115" spans="1:14">
      <c r="A115" s="32">
        <v>5</v>
      </c>
      <c r="B115" s="32">
        <f>IF(ISNUMBER(SEARCH('Φόρμα Εισαγωγής'!$B$2,C115)),MAX($B$1:B114)+1,0)</f>
        <v>114</v>
      </c>
      <c r="C115" s="33" t="s">
        <v>765</v>
      </c>
      <c r="D115" s="33">
        <f>IF(ISNUMBER(SEARCH('Φόρμα Εισαγωγής'!$C$2,E115)),MAX($D$1:D114)+1,0)</f>
        <v>114</v>
      </c>
      <c r="E115" s="34" t="s">
        <v>57</v>
      </c>
      <c r="F115" s="32">
        <v>0.9</v>
      </c>
      <c r="G115" s="32">
        <v>1.25</v>
      </c>
      <c r="H115" s="35">
        <f t="shared" si="12"/>
        <v>1.55</v>
      </c>
      <c r="I115" s="35">
        <f t="shared" si="13"/>
        <v>4.5</v>
      </c>
      <c r="J115" s="35">
        <f t="shared" si="14"/>
        <v>7.75</v>
      </c>
      <c r="L115" s="4" t="str">
        <f>IFERROR(VLOOKUP(ROWS($L$2:L115),$B$2:$C$1996,2,0),"")</f>
        <v>ΣΩΛ/ΜΑΣΤΟΣ ΓΑΛ RIM</v>
      </c>
      <c r="N115" s="2" t="str">
        <f>IFERROR(VLOOKUP(ROWS($N$2:N115),$D$2:$E$1996,2,0),"")</f>
        <v>15 cm 1 1/2''</v>
      </c>
    </row>
    <row r="116" spans="1:14">
      <c r="A116" s="32">
        <v>0</v>
      </c>
      <c r="B116" s="32">
        <f>IF(ISNUMBER(SEARCH('Φόρμα Εισαγωγής'!$B$2,C116)),MAX($B$1:B115)+1,0)</f>
        <v>115</v>
      </c>
      <c r="C116" s="33" t="s">
        <v>765</v>
      </c>
      <c r="D116" s="33">
        <f>IF(ISNUMBER(SEARCH('Φόρμα Εισαγωγής'!$C$2,E116)),MAX($D$1:D115)+1,0)</f>
        <v>115</v>
      </c>
      <c r="E116" s="34" t="s">
        <v>58</v>
      </c>
      <c r="F116" s="32">
        <v>1.2</v>
      </c>
      <c r="G116" s="32">
        <v>1.7</v>
      </c>
      <c r="H116" s="35">
        <f t="shared" si="12"/>
        <v>2.1080000000000001</v>
      </c>
      <c r="I116" s="35">
        <f t="shared" si="13"/>
        <v>0</v>
      </c>
      <c r="J116" s="35">
        <f t="shared" si="14"/>
        <v>0</v>
      </c>
      <c r="L116" s="4" t="str">
        <f>IFERROR(VLOOKUP(ROWS($L$2:L116),$B$2:$C$1996,2,0),"")</f>
        <v>ΣΩΛ/ΜΑΣΤΟΣ ΓΑΛ RIM</v>
      </c>
      <c r="N116" s="2" t="str">
        <f>IFERROR(VLOOKUP(ROWS($N$2:N116),$D$2:$E$1996,2,0),"")</f>
        <v>15 cm 2''</v>
      </c>
    </row>
    <row r="117" spans="1:14">
      <c r="A117" s="32">
        <v>2</v>
      </c>
      <c r="B117" s="32">
        <f>IF(ISNUMBER(SEARCH('Φόρμα Εισαγωγής'!$B$2,C117)),MAX($B$1:B116)+1,0)</f>
        <v>116</v>
      </c>
      <c r="C117" s="33" t="s">
        <v>765</v>
      </c>
      <c r="D117" s="33">
        <f>IF(ISNUMBER(SEARCH('Φόρμα Εισαγωγής'!$C$2,E117)),MAX($D$1:D116)+1,0)</f>
        <v>116</v>
      </c>
      <c r="E117" s="34" t="s">
        <v>59</v>
      </c>
      <c r="F117" s="32">
        <v>1.45</v>
      </c>
      <c r="G117" s="32">
        <v>3.5</v>
      </c>
      <c r="H117" s="35">
        <f t="shared" si="12"/>
        <v>4.34</v>
      </c>
      <c r="I117" s="35">
        <f t="shared" si="13"/>
        <v>2.9</v>
      </c>
      <c r="J117" s="35">
        <f t="shared" si="14"/>
        <v>8.68</v>
      </c>
      <c r="L117" s="4" t="str">
        <f>IFERROR(VLOOKUP(ROWS($L$2:L117),$B$2:$C$1996,2,0),"")</f>
        <v>ΣΩΛ/ΜΑΣΤΟΣ ΓΑΛ RIM</v>
      </c>
      <c r="N117" s="2" t="str">
        <f>IFERROR(VLOOKUP(ROWS($N$2:N117),$D$2:$E$1996,2,0),"")</f>
        <v>15 cm 3''</v>
      </c>
    </row>
    <row r="118" spans="1:14">
      <c r="A118" s="32">
        <v>19</v>
      </c>
      <c r="B118" s="32">
        <f>IF(ISNUMBER(SEARCH('Φόρμα Εισαγωγής'!$B$2,C118)),MAX($B$1:B117)+1,0)</f>
        <v>117</v>
      </c>
      <c r="C118" s="33" t="s">
        <v>765</v>
      </c>
      <c r="D118" s="33">
        <f>IF(ISNUMBER(SEARCH('Φόρμα Εισαγωγής'!$C$2,E118)),MAX($D$1:D117)+1,0)</f>
        <v>117</v>
      </c>
      <c r="E118" s="34" t="s">
        <v>60</v>
      </c>
      <c r="F118" s="32">
        <v>0.45</v>
      </c>
      <c r="G118" s="32">
        <v>0.65</v>
      </c>
      <c r="H118" s="35">
        <f t="shared" si="12"/>
        <v>0.80600000000000005</v>
      </c>
      <c r="I118" s="35">
        <f t="shared" si="13"/>
        <v>8.5500000000000007</v>
      </c>
      <c r="J118" s="35">
        <f t="shared" si="14"/>
        <v>15.314</v>
      </c>
      <c r="L118" s="4" t="str">
        <f>IFERROR(VLOOKUP(ROWS($L$2:L118),$B$2:$C$1996,2,0),"")</f>
        <v>ΣΩΛ/ΜΑΣΤΟΣ ΓΑΛ RIM</v>
      </c>
      <c r="N118" s="2" t="str">
        <f>IFERROR(VLOOKUP(ROWS($N$2:N118),$D$2:$E$1996,2,0),"")</f>
        <v>20 cm 1/2</v>
      </c>
    </row>
    <row r="119" spans="1:14">
      <c r="A119" s="32">
        <v>22</v>
      </c>
      <c r="B119" s="32">
        <f>IF(ISNUMBER(SEARCH('Φόρμα Εισαγωγής'!$B$2,C119)),MAX($B$1:B118)+1,0)</f>
        <v>118</v>
      </c>
      <c r="C119" s="33" t="s">
        <v>765</v>
      </c>
      <c r="D119" s="33">
        <f>IF(ISNUMBER(SEARCH('Φόρμα Εισαγωγής'!$C$2,E119)),MAX($D$1:D118)+1,0)</f>
        <v>118</v>
      </c>
      <c r="E119" s="34" t="s">
        <v>61</v>
      </c>
      <c r="F119" s="32">
        <v>0.55000000000000004</v>
      </c>
      <c r="G119" s="32">
        <v>0.8</v>
      </c>
      <c r="H119" s="35">
        <f t="shared" si="12"/>
        <v>0.99199999999999999</v>
      </c>
      <c r="I119" s="35">
        <f t="shared" si="13"/>
        <v>12.100000000000001</v>
      </c>
      <c r="J119" s="35">
        <f t="shared" si="14"/>
        <v>21.823999999999998</v>
      </c>
      <c r="L119" s="4" t="str">
        <f>IFERROR(VLOOKUP(ROWS($L$2:L119),$B$2:$C$1996,2,0),"")</f>
        <v>ΣΩΛ/ΜΑΣΤΟΣ ΓΑΛ RIM</v>
      </c>
      <c r="N119" s="2" t="str">
        <f>IFERROR(VLOOKUP(ROWS($N$2:N119),$D$2:$E$1996,2,0),"")</f>
        <v>20 cm 3/4</v>
      </c>
    </row>
    <row r="120" spans="1:14">
      <c r="A120" s="32">
        <v>11</v>
      </c>
      <c r="B120" s="32">
        <f>IF(ISNUMBER(SEARCH('Φόρμα Εισαγωγής'!$B$2,C120)),MAX($B$1:B119)+1,0)</f>
        <v>119</v>
      </c>
      <c r="C120" s="33" t="s">
        <v>765</v>
      </c>
      <c r="D120" s="33">
        <f>IF(ISNUMBER(SEARCH('Φόρμα Εισαγωγής'!$C$2,E120)),MAX($D$1:D119)+1,0)</f>
        <v>119</v>
      </c>
      <c r="E120" s="34" t="s">
        <v>62</v>
      </c>
      <c r="F120" s="32">
        <v>0.75</v>
      </c>
      <c r="G120" s="32">
        <v>1.05</v>
      </c>
      <c r="H120" s="35">
        <f t="shared" si="12"/>
        <v>1.302</v>
      </c>
      <c r="I120" s="35">
        <f t="shared" si="13"/>
        <v>8.25</v>
      </c>
      <c r="J120" s="35">
        <f t="shared" si="14"/>
        <v>14.322000000000001</v>
      </c>
      <c r="L120" s="4" t="str">
        <f>IFERROR(VLOOKUP(ROWS($L$2:L120),$B$2:$C$1996,2,0),"")</f>
        <v>ΣΩΛ/ΜΑΣΤΟΣ ΓΑΛ RIM</v>
      </c>
      <c r="N120" s="2" t="str">
        <f>IFERROR(VLOOKUP(ROWS($N$2:N120),$D$2:$E$1996,2,0),"")</f>
        <v>20 cm 1''</v>
      </c>
    </row>
    <row r="121" spans="1:14">
      <c r="A121" s="32">
        <v>7</v>
      </c>
      <c r="B121" s="32">
        <f>IF(ISNUMBER(SEARCH('Φόρμα Εισαγωγής'!$B$2,C121)),MAX($B$1:B120)+1,0)</f>
        <v>120</v>
      </c>
      <c r="C121" s="33" t="s">
        <v>765</v>
      </c>
      <c r="D121" s="33">
        <f>IF(ISNUMBER(SEARCH('Φόρμα Εισαγωγής'!$C$2,E121)),MAX($D$1:D120)+1,0)</f>
        <v>120</v>
      </c>
      <c r="E121" s="34" t="s">
        <v>63</v>
      </c>
      <c r="F121" s="32">
        <v>0.95</v>
      </c>
      <c r="G121" s="32">
        <v>1.35</v>
      </c>
      <c r="H121" s="35">
        <f t="shared" si="12"/>
        <v>1.6740000000000002</v>
      </c>
      <c r="I121" s="35">
        <f t="shared" si="13"/>
        <v>6.6499999999999995</v>
      </c>
      <c r="J121" s="35">
        <f t="shared" si="14"/>
        <v>11.718000000000002</v>
      </c>
      <c r="L121" s="4" t="str">
        <f>IFERROR(VLOOKUP(ROWS($L$2:L121),$B$2:$C$1996,2,0),"")</f>
        <v>ΣΩΛ/ΜΑΣΤΟΣ ΓΑΛ RIM</v>
      </c>
      <c r="N121" s="2" t="str">
        <f>IFERROR(VLOOKUP(ROWS($N$2:N121),$D$2:$E$1996,2,0),"")</f>
        <v>20 cm 1 1/4''</v>
      </c>
    </row>
    <row r="122" spans="1:14">
      <c r="A122" s="32">
        <v>0</v>
      </c>
      <c r="B122" s="32">
        <f>IF(ISNUMBER(SEARCH('Φόρμα Εισαγωγής'!$B$2,C122)),MAX($B$1:B121)+1,0)</f>
        <v>121</v>
      </c>
      <c r="C122" s="33" t="s">
        <v>765</v>
      </c>
      <c r="D122" s="33">
        <f>IF(ISNUMBER(SEARCH('Φόρμα Εισαγωγής'!$C$2,E122)),MAX($D$1:D121)+1,0)</f>
        <v>121</v>
      </c>
      <c r="E122" s="34" t="s">
        <v>64</v>
      </c>
      <c r="F122" s="32">
        <v>1.1499999999999999</v>
      </c>
      <c r="G122" s="32">
        <v>1.6</v>
      </c>
      <c r="H122" s="35">
        <f t="shared" si="12"/>
        <v>1.984</v>
      </c>
      <c r="I122" s="35">
        <f t="shared" si="13"/>
        <v>0</v>
      </c>
      <c r="J122" s="35">
        <f t="shared" si="14"/>
        <v>0</v>
      </c>
      <c r="L122" s="4" t="str">
        <f>IFERROR(VLOOKUP(ROWS($L$2:L122),$B$2:$C$1996,2,0),"")</f>
        <v>ΣΩΛ/ΜΑΣΤΟΣ ΓΑΛ RIM</v>
      </c>
      <c r="N122" s="2" t="str">
        <f>IFERROR(VLOOKUP(ROWS($N$2:N122),$D$2:$E$1996,2,0),"")</f>
        <v>20 cm 1 1/2''</v>
      </c>
    </row>
    <row r="123" spans="1:14">
      <c r="A123" s="32">
        <v>4</v>
      </c>
      <c r="B123" s="32">
        <f>IF(ISNUMBER(SEARCH('Φόρμα Εισαγωγής'!$B$2,C123)),MAX($B$1:B122)+1,0)</f>
        <v>122</v>
      </c>
      <c r="C123" s="33" t="s">
        <v>765</v>
      </c>
      <c r="D123" s="33">
        <f>IF(ISNUMBER(SEARCH('Φόρμα Εισαγωγής'!$C$2,E123)),MAX($D$1:D122)+1,0)</f>
        <v>122</v>
      </c>
      <c r="E123" s="34" t="s">
        <v>65</v>
      </c>
      <c r="F123" s="32">
        <v>1.55</v>
      </c>
      <c r="G123" s="32">
        <v>2.2000000000000002</v>
      </c>
      <c r="H123" s="35">
        <f t="shared" si="12"/>
        <v>2.7280000000000002</v>
      </c>
      <c r="I123" s="35">
        <f t="shared" si="13"/>
        <v>6.2</v>
      </c>
      <c r="J123" s="35">
        <f t="shared" si="14"/>
        <v>10.912000000000001</v>
      </c>
      <c r="L123" s="4" t="str">
        <f>IFERROR(VLOOKUP(ROWS($L$2:L123),$B$2:$C$1996,2,0),"")</f>
        <v>ΣΩΛ/ΜΑΣΤΟΣ ΓΑΛ RIM</v>
      </c>
      <c r="N123" s="2" t="str">
        <f>IFERROR(VLOOKUP(ROWS($N$2:N123),$D$2:$E$1996,2,0),"")</f>
        <v>20 cm 2''</v>
      </c>
    </row>
    <row r="124" spans="1:14">
      <c r="A124" s="32">
        <v>0</v>
      </c>
      <c r="B124" s="32">
        <f>IF(ISNUMBER(SEARCH('Φόρμα Εισαγωγής'!$B$2,C124)),MAX($B$1:B123)+1,0)</f>
        <v>123</v>
      </c>
      <c r="C124" s="33" t="s">
        <v>765</v>
      </c>
      <c r="D124" s="33">
        <f>IF(ISNUMBER(SEARCH('Φόρμα Εισαγωγής'!$C$2,E124)),MAX($D$1:D123)+1,0)</f>
        <v>123</v>
      </c>
      <c r="E124" s="34" t="s">
        <v>66</v>
      </c>
      <c r="F124" s="32">
        <v>3</v>
      </c>
      <c r="G124" s="32">
        <v>4.2</v>
      </c>
      <c r="H124" s="35">
        <f t="shared" si="12"/>
        <v>5.2080000000000002</v>
      </c>
      <c r="I124" s="35">
        <f t="shared" si="13"/>
        <v>0</v>
      </c>
      <c r="J124" s="35">
        <f t="shared" si="14"/>
        <v>0</v>
      </c>
      <c r="L124" s="4" t="str">
        <f>IFERROR(VLOOKUP(ROWS($L$2:L124),$B$2:$C$1996,2,0),"")</f>
        <v>ΣΩΛ/ΜΑΣΤΟΣ ΓΑΛ RIM</v>
      </c>
      <c r="N124" s="2" t="str">
        <f>IFERROR(VLOOKUP(ROWS($N$2:N124),$D$2:$E$1996,2,0),"")</f>
        <v>20 cm 3''</v>
      </c>
    </row>
    <row r="125" spans="1:14">
      <c r="A125" s="5">
        <v>47</v>
      </c>
      <c r="B125" s="32">
        <f>IF(ISNUMBER(SEARCH('Φόρμα Εισαγωγής'!$B$2,C125)),MAX($B$1:B124)+1,0)</f>
        <v>124</v>
      </c>
      <c r="C125" s="7" t="s">
        <v>85</v>
      </c>
      <c r="D125" s="33">
        <f>IF(ISNUMBER(SEARCH('Φόρμα Εισαγωγής'!$C$2,E125)),MAX($D$1:D124)+1,0)</f>
        <v>124</v>
      </c>
      <c r="E125" s="17" t="s">
        <v>86</v>
      </c>
      <c r="F125" s="5">
        <v>0.7</v>
      </c>
      <c r="G125" s="5">
        <v>1</v>
      </c>
      <c r="H125" s="36">
        <f t="shared" si="12"/>
        <v>1.24</v>
      </c>
      <c r="I125" s="36">
        <f t="shared" si="13"/>
        <v>32.9</v>
      </c>
      <c r="J125" s="36">
        <f t="shared" si="14"/>
        <v>58.28</v>
      </c>
      <c r="L125" s="4" t="str">
        <f>IFERROR(VLOOKUP(ROWS($L$2:L125),$B$2:$C$1996,2,0),"")</f>
        <v xml:space="preserve">ΠΡΟΕΚΤΑΣΗ </v>
      </c>
      <c r="N125" s="2" t="str">
        <f>IFERROR(VLOOKUP(ROWS($N$2:N125),$D$2:$E$1996,2,0),"")</f>
        <v>10 mm 1/2</v>
      </c>
    </row>
    <row r="126" spans="1:14">
      <c r="A126" s="5">
        <v>10</v>
      </c>
      <c r="B126" s="32">
        <f>IF(ISNUMBER(SEARCH('Φόρμα Εισαγωγής'!$B$2,C126)),MAX($B$1:B125)+1,0)</f>
        <v>125</v>
      </c>
      <c r="C126" s="7" t="s">
        <v>85</v>
      </c>
      <c r="D126" s="33">
        <f>IF(ISNUMBER(SEARCH('Φόρμα Εισαγωγής'!$C$2,E126)),MAX($D$1:D125)+1,0)</f>
        <v>125</v>
      </c>
      <c r="E126" s="17" t="s">
        <v>88</v>
      </c>
      <c r="F126" s="5">
        <v>1.25</v>
      </c>
      <c r="G126" s="5">
        <v>1.7</v>
      </c>
      <c r="H126" s="6">
        <f t="shared" si="12"/>
        <v>2.1080000000000001</v>
      </c>
      <c r="I126" s="6">
        <f t="shared" si="13"/>
        <v>12.5</v>
      </c>
      <c r="J126" s="6">
        <f t="shared" si="14"/>
        <v>21.080000000000002</v>
      </c>
      <c r="L126" s="4" t="str">
        <f>IFERROR(VLOOKUP(ROWS($L$2:L126),$B$2:$C$1996,2,0),"")</f>
        <v xml:space="preserve">ΠΡΟΕΚΤΑΣΗ </v>
      </c>
      <c r="N126" s="2" t="str">
        <f>IFERROR(VLOOKUP(ROWS($N$2:N126),$D$2:$E$1996,2,0),"")</f>
        <v>10 mm 3/4</v>
      </c>
    </row>
    <row r="127" spans="1:14">
      <c r="A127" s="5">
        <v>14</v>
      </c>
      <c r="B127" s="32">
        <f>IF(ISNUMBER(SEARCH('Φόρμα Εισαγωγής'!$B$2,C127)),MAX($B$1:B126)+1,0)</f>
        <v>126</v>
      </c>
      <c r="C127" s="7" t="s">
        <v>85</v>
      </c>
      <c r="D127" s="33">
        <f>IF(ISNUMBER(SEARCH('Φόρμα Εισαγωγής'!$C$2,E127)),MAX($D$1:D126)+1,0)</f>
        <v>126</v>
      </c>
      <c r="E127" s="17" t="s">
        <v>87</v>
      </c>
      <c r="F127" s="5">
        <v>0.95</v>
      </c>
      <c r="G127" s="5">
        <v>1.3</v>
      </c>
      <c r="H127" s="6">
        <f t="shared" si="12"/>
        <v>1.6120000000000001</v>
      </c>
      <c r="I127" s="6">
        <f t="shared" si="13"/>
        <v>13.299999999999999</v>
      </c>
      <c r="J127" s="6">
        <f t="shared" si="14"/>
        <v>22.568000000000001</v>
      </c>
      <c r="L127" s="4" t="str">
        <f>IFERROR(VLOOKUP(ROWS($L$2:L127),$B$2:$C$1996,2,0),"")</f>
        <v xml:space="preserve">ΠΡΟΕΚΤΑΣΗ </v>
      </c>
      <c r="N127" s="2" t="str">
        <f>IFERROR(VLOOKUP(ROWS($N$2:N127),$D$2:$E$1996,2,0),"")</f>
        <v>20 mm 1/2</v>
      </c>
    </row>
    <row r="128" spans="1:14">
      <c r="A128" s="5">
        <v>9</v>
      </c>
      <c r="B128" s="32">
        <f>IF(ISNUMBER(SEARCH('Φόρμα Εισαγωγής'!$B$2,C128)),MAX($B$1:B127)+1,0)</f>
        <v>127</v>
      </c>
      <c r="C128" s="7" t="s">
        <v>85</v>
      </c>
      <c r="D128" s="33">
        <f>IF(ISNUMBER(SEARCH('Φόρμα Εισαγωγής'!$C$2,E128)),MAX($D$1:D127)+1,0)</f>
        <v>127</v>
      </c>
      <c r="E128" s="17" t="s">
        <v>90</v>
      </c>
      <c r="F128" s="5">
        <v>1.4</v>
      </c>
      <c r="G128" s="5">
        <v>2</v>
      </c>
      <c r="H128" s="6">
        <f t="shared" si="12"/>
        <v>2.48</v>
      </c>
      <c r="I128" s="6">
        <f t="shared" si="13"/>
        <v>12.6</v>
      </c>
      <c r="J128" s="6">
        <f t="shared" si="14"/>
        <v>22.32</v>
      </c>
      <c r="L128" s="4" t="str">
        <f>IFERROR(VLOOKUP(ROWS($L$2:L128),$B$2:$C$1996,2,0),"")</f>
        <v xml:space="preserve">ΠΡΟΕΚΤΑΣΗ </v>
      </c>
      <c r="N128" s="2" t="str">
        <f>IFERROR(VLOOKUP(ROWS($N$2:N128),$D$2:$E$1996,2,0),"")</f>
        <v>20 mm 3/4</v>
      </c>
    </row>
    <row r="129" spans="1:14">
      <c r="A129" s="5">
        <v>32</v>
      </c>
      <c r="B129" s="32">
        <f>IF(ISNUMBER(SEARCH('Φόρμα Εισαγωγής'!$B$2,C129)),MAX($B$1:B128)+1,0)</f>
        <v>128</v>
      </c>
      <c r="C129" s="7" t="s">
        <v>85</v>
      </c>
      <c r="D129" s="33">
        <f>IF(ISNUMBER(SEARCH('Φόρμα Εισαγωγής'!$C$2,E129)),MAX($D$1:D128)+1,0)</f>
        <v>128</v>
      </c>
      <c r="E129" s="17" t="s">
        <v>89</v>
      </c>
      <c r="F129" s="5">
        <v>1</v>
      </c>
      <c r="G129" s="5">
        <v>1.4</v>
      </c>
      <c r="H129" s="6">
        <f t="shared" si="12"/>
        <v>1.7359999999999998</v>
      </c>
      <c r="I129" s="6">
        <f t="shared" si="13"/>
        <v>32</v>
      </c>
      <c r="J129" s="6">
        <f t="shared" si="14"/>
        <v>55.551999999999992</v>
      </c>
      <c r="L129" s="4" t="str">
        <f>IFERROR(VLOOKUP(ROWS($L$2:L129),$B$2:$C$1996,2,0),"")</f>
        <v xml:space="preserve">ΠΡΟΕΚΤΑΣΗ </v>
      </c>
      <c r="N129" s="2" t="str">
        <f>IFERROR(VLOOKUP(ROWS($N$2:N129),$D$2:$E$1996,2,0),"")</f>
        <v>25 mm 1/2</v>
      </c>
    </row>
    <row r="130" spans="1:14">
      <c r="A130" s="5">
        <v>9</v>
      </c>
      <c r="B130" s="32">
        <f>IF(ISNUMBER(SEARCH('Φόρμα Εισαγωγής'!$B$2,C130)),MAX($B$1:B129)+1,0)</f>
        <v>129</v>
      </c>
      <c r="C130" s="7" t="s">
        <v>85</v>
      </c>
      <c r="D130" s="33">
        <f>IF(ISNUMBER(SEARCH('Φόρμα Εισαγωγής'!$C$2,E130)),MAX($D$1:D129)+1,0)</f>
        <v>129</v>
      </c>
      <c r="E130" s="17" t="s">
        <v>91</v>
      </c>
      <c r="F130" s="5">
        <v>1.6</v>
      </c>
      <c r="G130" s="5">
        <v>2.25</v>
      </c>
      <c r="H130" s="6">
        <f t="shared" si="12"/>
        <v>2.79</v>
      </c>
      <c r="I130" s="6">
        <f t="shared" si="13"/>
        <v>14.4</v>
      </c>
      <c r="J130" s="6">
        <f t="shared" si="14"/>
        <v>25.11</v>
      </c>
      <c r="L130" s="4" t="str">
        <f>IFERROR(VLOOKUP(ROWS($L$2:L130),$B$2:$C$1996,2,0),"")</f>
        <v xml:space="preserve">ΠΡΟΕΚΤΑΣΗ </v>
      </c>
      <c r="N130" s="2" t="str">
        <f>IFERROR(VLOOKUP(ROWS($N$2:N130),$D$2:$E$1996,2,0),"")</f>
        <v>25 mm 3/4</v>
      </c>
    </row>
    <row r="131" spans="1:14">
      <c r="A131" s="5">
        <v>12</v>
      </c>
      <c r="B131" s="32">
        <f>IF(ISNUMBER(SEARCH('Φόρμα Εισαγωγής'!$B$2,C131)),MAX($B$1:B130)+1,0)</f>
        <v>130</v>
      </c>
      <c r="C131" s="7" t="s">
        <v>85</v>
      </c>
      <c r="D131" s="33">
        <f>IF(ISNUMBER(SEARCH('Φόρμα Εισαγωγής'!$C$2,E131)),MAX($D$1:D130)+1,0)</f>
        <v>130</v>
      </c>
      <c r="E131" s="17" t="s">
        <v>92</v>
      </c>
      <c r="F131" s="5">
        <v>1.2</v>
      </c>
      <c r="G131" s="5">
        <v>1.7</v>
      </c>
      <c r="H131" s="6">
        <f t="shared" si="12"/>
        <v>2.1080000000000001</v>
      </c>
      <c r="I131" s="6">
        <f t="shared" si="13"/>
        <v>14.399999999999999</v>
      </c>
      <c r="J131" s="6">
        <f t="shared" si="14"/>
        <v>25.295999999999999</v>
      </c>
      <c r="L131" s="4" t="str">
        <f>IFERROR(VLOOKUP(ROWS($L$2:L131),$B$2:$C$1996,2,0),"")</f>
        <v xml:space="preserve">ΠΡΟΕΚΤΑΣΗ </v>
      </c>
      <c r="N131" s="2" t="str">
        <f>IFERROR(VLOOKUP(ROWS($N$2:N131),$D$2:$E$1996,2,0),"")</f>
        <v>30 mm 1/2</v>
      </c>
    </row>
    <row r="132" spans="1:14">
      <c r="A132" s="5">
        <v>8</v>
      </c>
      <c r="B132" s="32">
        <f>IF(ISNUMBER(SEARCH('Φόρμα Εισαγωγής'!$B$2,C132)),MAX($B$1:B131)+1,0)</f>
        <v>131</v>
      </c>
      <c r="C132" s="7" t="s">
        <v>85</v>
      </c>
      <c r="D132" s="33">
        <f>IF(ISNUMBER(SEARCH('Φόρμα Εισαγωγής'!$C$2,E132)),MAX($D$1:D131)+1,0)</f>
        <v>131</v>
      </c>
      <c r="E132" s="17" t="s">
        <v>93</v>
      </c>
      <c r="F132" s="5">
        <v>1.7</v>
      </c>
      <c r="G132" s="5">
        <v>2.4</v>
      </c>
      <c r="H132" s="6">
        <f t="shared" si="12"/>
        <v>2.976</v>
      </c>
      <c r="I132" s="6">
        <f t="shared" si="13"/>
        <v>13.6</v>
      </c>
      <c r="J132" s="6">
        <f t="shared" si="14"/>
        <v>23.808</v>
      </c>
      <c r="L132" s="4" t="str">
        <f>IFERROR(VLOOKUP(ROWS($L$2:L132),$B$2:$C$1996,2,0),"")</f>
        <v xml:space="preserve">ΠΡΟΕΚΤΑΣΗ </v>
      </c>
      <c r="N132" s="2" t="str">
        <f>IFERROR(VLOOKUP(ROWS($N$2:N132),$D$2:$E$1996,2,0),"")</f>
        <v>30 mm 3/4</v>
      </c>
    </row>
    <row r="133" spans="1:14">
      <c r="A133" s="5">
        <v>14</v>
      </c>
      <c r="B133" s="32">
        <f>IF(ISNUMBER(SEARCH('Φόρμα Εισαγωγής'!$B$2,C133)),MAX($B$1:B132)+1,0)</f>
        <v>132</v>
      </c>
      <c r="C133" s="7" t="s">
        <v>85</v>
      </c>
      <c r="D133" s="33">
        <f>IF(ISNUMBER(SEARCH('Φόρμα Εισαγωγής'!$C$2,E133)),MAX($D$1:D132)+1,0)</f>
        <v>132</v>
      </c>
      <c r="E133" s="17" t="s">
        <v>94</v>
      </c>
      <c r="F133" s="5">
        <v>1.55</v>
      </c>
      <c r="G133" s="5">
        <v>2.2000000000000002</v>
      </c>
      <c r="H133" s="6">
        <f t="shared" si="12"/>
        <v>2.7280000000000002</v>
      </c>
      <c r="I133" s="6">
        <f t="shared" si="13"/>
        <v>21.7</v>
      </c>
      <c r="J133" s="6">
        <f t="shared" si="14"/>
        <v>38.192</v>
      </c>
      <c r="L133" s="4" t="str">
        <f>IFERROR(VLOOKUP(ROWS($L$2:L133),$B$2:$C$1996,2,0),"")</f>
        <v xml:space="preserve">ΠΡΟΕΚΤΑΣΗ </v>
      </c>
      <c r="N133" s="2" t="str">
        <f>IFERROR(VLOOKUP(ROWS($N$2:N133),$D$2:$E$1996,2,0),"")</f>
        <v>40 mm 1/2</v>
      </c>
    </row>
    <row r="134" spans="1:14">
      <c r="A134" s="5">
        <v>7</v>
      </c>
      <c r="B134" s="32">
        <f>IF(ISNUMBER(SEARCH('Φόρμα Εισαγωγής'!$B$2,C134)),MAX($B$1:B133)+1,0)</f>
        <v>133</v>
      </c>
      <c r="C134" s="7" t="s">
        <v>85</v>
      </c>
      <c r="D134" s="33">
        <f>IF(ISNUMBER(SEARCH('Φόρμα Εισαγωγής'!$C$2,E134)),MAX($D$1:D133)+1,0)</f>
        <v>133</v>
      </c>
      <c r="E134" s="17" t="s">
        <v>95</v>
      </c>
      <c r="F134" s="5">
        <v>2</v>
      </c>
      <c r="G134" s="5">
        <v>2.9</v>
      </c>
      <c r="H134" s="6">
        <f t="shared" si="12"/>
        <v>3.5960000000000001</v>
      </c>
      <c r="I134" s="6">
        <f t="shared" si="13"/>
        <v>14</v>
      </c>
      <c r="J134" s="6">
        <f t="shared" si="14"/>
        <v>25.172000000000001</v>
      </c>
      <c r="L134" s="4" t="str">
        <f>IFERROR(VLOOKUP(ROWS($L$2:L134),$B$2:$C$1996,2,0),"")</f>
        <v xml:space="preserve">ΠΡΟΕΚΤΑΣΗ </v>
      </c>
      <c r="N134" s="2" t="str">
        <f>IFERROR(VLOOKUP(ROWS($N$2:N134),$D$2:$E$1996,2,0),"")</f>
        <v>40 mm 3/4</v>
      </c>
    </row>
    <row r="135" spans="1:14">
      <c r="A135" s="5">
        <v>3</v>
      </c>
      <c r="B135" s="32">
        <f>IF(ISNUMBER(SEARCH('Φόρμα Εισαγωγής'!$B$2,C135)),MAX($B$1:B134)+1,0)</f>
        <v>134</v>
      </c>
      <c r="C135" s="7" t="s">
        <v>85</v>
      </c>
      <c r="D135" s="33">
        <f>IF(ISNUMBER(SEARCH('Φόρμα Εισαγωγής'!$C$2,E135)),MAX($D$1:D134)+1,0)</f>
        <v>134</v>
      </c>
      <c r="E135" s="17" t="s">
        <v>96</v>
      </c>
      <c r="F135" s="5">
        <v>1.9</v>
      </c>
      <c r="G135" s="5">
        <v>2.7</v>
      </c>
      <c r="H135" s="6">
        <f t="shared" si="12"/>
        <v>3.3480000000000003</v>
      </c>
      <c r="I135" s="6">
        <f t="shared" si="13"/>
        <v>5.6999999999999993</v>
      </c>
      <c r="J135" s="6">
        <f t="shared" si="14"/>
        <v>10.044</v>
      </c>
      <c r="L135" s="4" t="str">
        <f>IFERROR(VLOOKUP(ROWS($L$2:L135),$B$2:$C$1996,2,0),"")</f>
        <v xml:space="preserve">ΠΡΟΕΚΤΑΣΗ </v>
      </c>
      <c r="N135" s="2" t="str">
        <f>IFERROR(VLOOKUP(ROWS($N$2:N135),$D$2:$E$1996,2,0),"")</f>
        <v>50 mm 1/2</v>
      </c>
    </row>
    <row r="136" spans="1:14">
      <c r="A136" s="5">
        <v>3</v>
      </c>
      <c r="B136" s="32">
        <f>IF(ISNUMBER(SEARCH('Φόρμα Εισαγωγής'!$B$2,C136)),MAX($B$1:B135)+1,0)</f>
        <v>135</v>
      </c>
      <c r="C136" s="7" t="s">
        <v>85</v>
      </c>
      <c r="D136" s="33">
        <f>IF(ISNUMBER(SEARCH('Φόρμα Εισαγωγής'!$C$2,E136)),MAX($D$1:D135)+1,0)</f>
        <v>135</v>
      </c>
      <c r="E136" s="17" t="s">
        <v>97</v>
      </c>
      <c r="F136" s="5">
        <v>2.4</v>
      </c>
      <c r="G136" s="5">
        <v>3.4</v>
      </c>
      <c r="H136" s="6">
        <f t="shared" si="12"/>
        <v>4.2160000000000002</v>
      </c>
      <c r="I136" s="6">
        <f t="shared" si="13"/>
        <v>7.1999999999999993</v>
      </c>
      <c r="J136" s="6">
        <f t="shared" si="14"/>
        <v>12.648</v>
      </c>
      <c r="L136" s="4" t="str">
        <f>IFERROR(VLOOKUP(ROWS($L$2:L136),$B$2:$C$1996,2,0),"")</f>
        <v xml:space="preserve">ΠΡΟΕΚΤΑΣΗ </v>
      </c>
      <c r="N136" s="2" t="str">
        <f>IFERROR(VLOOKUP(ROWS($N$2:N136),$D$2:$E$1996,2,0),"")</f>
        <v>50 mm 3/4</v>
      </c>
    </row>
    <row r="137" spans="1:14">
      <c r="A137" s="5">
        <v>30</v>
      </c>
      <c r="B137" s="32">
        <f>IF(ISNUMBER(SEARCH('Φόρμα Εισαγωγής'!$B$2,C137)),MAX($B$1:B136)+1,0)</f>
        <v>136</v>
      </c>
      <c r="C137" s="7" t="s">
        <v>100</v>
      </c>
      <c r="D137" s="33">
        <f>IF(ISNUMBER(SEARCH('Φόρμα Εισαγωγής'!$C$2,E137)),MAX($D$1:D136)+1,0)</f>
        <v>136</v>
      </c>
      <c r="E137" s="17" t="s">
        <v>101</v>
      </c>
      <c r="F137" s="5">
        <v>2.62</v>
      </c>
      <c r="G137" s="5">
        <v>3.65</v>
      </c>
      <c r="H137" s="6">
        <f t="shared" si="12"/>
        <v>4.5259999999999998</v>
      </c>
      <c r="I137" s="6">
        <f t="shared" si="13"/>
        <v>78.600000000000009</v>
      </c>
      <c r="J137" s="6">
        <f t="shared" si="14"/>
        <v>135.78</v>
      </c>
      <c r="L137" s="4" t="str">
        <f>IFERROR(VLOOKUP(ROWS($L$2:L137),$B$2:$C$1996,2,0),"")</f>
        <v>ΒΑΝΑ BUGATTI</v>
      </c>
      <c r="N137" s="2" t="str">
        <f>IFERROR(VLOOKUP(ROWS($N$2:N137),$D$2:$E$1996,2,0),"")</f>
        <v>Θ/Θ 1/2</v>
      </c>
    </row>
    <row r="138" spans="1:14">
      <c r="A138" s="5">
        <v>4</v>
      </c>
      <c r="B138" s="32">
        <f>IF(ISNUMBER(SEARCH('Φόρμα Εισαγωγής'!$B$2,C138)),MAX($B$1:B137)+1,0)</f>
        <v>137</v>
      </c>
      <c r="C138" s="7" t="s">
        <v>100</v>
      </c>
      <c r="D138" s="33">
        <f>IF(ISNUMBER(SEARCH('Φόρμα Εισαγωγής'!$C$2,E138)),MAX($D$1:D137)+1,0)</f>
        <v>137</v>
      </c>
      <c r="E138" s="17" t="s">
        <v>102</v>
      </c>
      <c r="F138" s="5">
        <v>3.85</v>
      </c>
      <c r="G138" s="5">
        <v>5.35</v>
      </c>
      <c r="H138" s="6">
        <f t="shared" ref="H138:H197" si="15">G138+(G138*0.24)</f>
        <v>6.6339999999999995</v>
      </c>
      <c r="I138" s="6">
        <f t="shared" ref="I138:I197" si="16">F138*A138</f>
        <v>15.4</v>
      </c>
      <c r="J138" s="6">
        <f t="shared" ref="J138:J197" si="17">H138*A138</f>
        <v>26.535999999999998</v>
      </c>
      <c r="L138" s="4" t="str">
        <f>IFERROR(VLOOKUP(ROWS($L$2:L138),$B$2:$C$1996,2,0),"")</f>
        <v>ΒΑΝΑ BUGATTI</v>
      </c>
      <c r="N138" s="2" t="str">
        <f>IFERROR(VLOOKUP(ROWS($N$2:N138),$D$2:$E$1996,2,0),"")</f>
        <v>Θ/Θ 3/4</v>
      </c>
    </row>
    <row r="139" spans="1:14">
      <c r="A139" s="5">
        <v>7</v>
      </c>
      <c r="B139" s="32">
        <f>IF(ISNUMBER(SEARCH('Φόρμα Εισαγωγής'!$B$2,C139)),MAX($B$1:B138)+1,0)</f>
        <v>138</v>
      </c>
      <c r="C139" s="7" t="s">
        <v>100</v>
      </c>
      <c r="D139" s="33">
        <f>IF(ISNUMBER(SEARCH('Φόρμα Εισαγωγής'!$C$2,E139)),MAX($D$1:D138)+1,0)</f>
        <v>138</v>
      </c>
      <c r="E139" s="17" t="s">
        <v>103</v>
      </c>
      <c r="F139" s="5">
        <v>5.85</v>
      </c>
      <c r="G139" s="5">
        <v>8.1999999999999993</v>
      </c>
      <c r="H139" s="6">
        <f t="shared" si="15"/>
        <v>10.167999999999999</v>
      </c>
      <c r="I139" s="6">
        <f t="shared" si="16"/>
        <v>40.949999999999996</v>
      </c>
      <c r="J139" s="6">
        <f t="shared" si="17"/>
        <v>71.175999999999988</v>
      </c>
      <c r="L139" s="4" t="str">
        <f>IFERROR(VLOOKUP(ROWS($L$2:L139),$B$2:$C$1996,2,0),"")</f>
        <v>ΒΑΝΑ BUGATTI</v>
      </c>
      <c r="N139" s="2" t="str">
        <f>IFERROR(VLOOKUP(ROWS($N$2:N139),$D$2:$E$1996,2,0),"")</f>
        <v>Θ/Θ 1''</v>
      </c>
    </row>
    <row r="140" spans="1:14">
      <c r="A140" s="5">
        <v>5</v>
      </c>
      <c r="B140" s="32">
        <f>IF(ISNUMBER(SEARCH('Φόρμα Εισαγωγής'!$B$2,C140)),MAX($B$1:B139)+1,0)</f>
        <v>139</v>
      </c>
      <c r="C140" s="7" t="s">
        <v>100</v>
      </c>
      <c r="D140" s="33">
        <f>IF(ISNUMBER(SEARCH('Φόρμα Εισαγωγής'!$C$2,E140)),MAX($D$1:D139)+1,0)</f>
        <v>139</v>
      </c>
      <c r="E140" s="17" t="s">
        <v>104</v>
      </c>
      <c r="F140" s="5">
        <v>10</v>
      </c>
      <c r="G140" s="5">
        <v>14</v>
      </c>
      <c r="H140" s="6">
        <f t="shared" si="15"/>
        <v>17.36</v>
      </c>
      <c r="I140" s="6">
        <f t="shared" si="16"/>
        <v>50</v>
      </c>
      <c r="J140" s="6">
        <f t="shared" si="17"/>
        <v>86.8</v>
      </c>
      <c r="L140" s="4" t="str">
        <f>IFERROR(VLOOKUP(ROWS($L$2:L140),$B$2:$C$1996,2,0),"")</f>
        <v>ΒΑΝΑ BUGATTI</v>
      </c>
      <c r="N140" s="2" t="str">
        <f>IFERROR(VLOOKUP(ROWS($N$2:N140),$D$2:$E$1996,2,0),"")</f>
        <v>Θ/Θ 1 1/4''</v>
      </c>
    </row>
    <row r="141" spans="1:14">
      <c r="A141" s="5">
        <v>0</v>
      </c>
      <c r="B141" s="32">
        <f>IF(ISNUMBER(SEARCH('Φόρμα Εισαγωγής'!$B$2,C141)),MAX($B$1:B140)+1,0)</f>
        <v>140</v>
      </c>
      <c r="C141" s="7" t="s">
        <v>100</v>
      </c>
      <c r="D141" s="33">
        <f>IF(ISNUMBER(SEARCH('Φόρμα Εισαγωγής'!$C$2,E141)),MAX($D$1:D140)+1,0)</f>
        <v>140</v>
      </c>
      <c r="E141" s="17" t="s">
        <v>105</v>
      </c>
      <c r="F141" s="5">
        <v>14.5</v>
      </c>
      <c r="G141" s="5">
        <v>20</v>
      </c>
      <c r="H141" s="6">
        <f t="shared" si="15"/>
        <v>24.8</v>
      </c>
      <c r="I141" s="6">
        <f t="shared" si="16"/>
        <v>0</v>
      </c>
      <c r="J141" s="6">
        <f t="shared" si="17"/>
        <v>0</v>
      </c>
      <c r="L141" s="4" t="str">
        <f>IFERROR(VLOOKUP(ROWS($L$2:L141),$B$2:$C$1996,2,0),"")</f>
        <v>ΒΑΝΑ BUGATTI</v>
      </c>
      <c r="N141" s="2" t="str">
        <f>IFERROR(VLOOKUP(ROWS($N$2:N141),$D$2:$E$1996,2,0),"")</f>
        <v>Θ/Θ 1 1/2''</v>
      </c>
    </row>
    <row r="142" spans="1:14">
      <c r="A142" s="5">
        <v>2</v>
      </c>
      <c r="B142" s="32">
        <f>IF(ISNUMBER(SEARCH('Φόρμα Εισαγωγής'!$B$2,C142)),MAX($B$1:B141)+1,0)</f>
        <v>141</v>
      </c>
      <c r="C142" s="7" t="s">
        <v>100</v>
      </c>
      <c r="D142" s="33">
        <f>IF(ISNUMBER(SEARCH('Φόρμα Εισαγωγής'!$C$2,E142)),MAX($D$1:D141)+1,0)</f>
        <v>141</v>
      </c>
      <c r="E142" s="17" t="s">
        <v>106</v>
      </c>
      <c r="F142" s="5">
        <v>23.5</v>
      </c>
      <c r="G142" s="5">
        <v>33</v>
      </c>
      <c r="H142" s="6">
        <f t="shared" si="15"/>
        <v>40.92</v>
      </c>
      <c r="I142" s="6">
        <f t="shared" si="16"/>
        <v>47</v>
      </c>
      <c r="J142" s="6">
        <f t="shared" si="17"/>
        <v>81.84</v>
      </c>
      <c r="L142" s="4" t="str">
        <f>IFERROR(VLOOKUP(ROWS($L$2:L142),$B$2:$C$1996,2,0),"")</f>
        <v>ΒΑΝΑ BUGATTI</v>
      </c>
      <c r="N142" s="2" t="str">
        <f>IFERROR(VLOOKUP(ROWS($N$2:N142),$D$2:$E$1996,2,0),"")</f>
        <v>Θ/Θ 2''</v>
      </c>
    </row>
    <row r="143" spans="1:14">
      <c r="A143" s="5">
        <v>0</v>
      </c>
      <c r="B143" s="32">
        <f>IF(ISNUMBER(SEARCH('Φόρμα Εισαγωγής'!$B$2,C143)),MAX($B$1:B142)+1,0)</f>
        <v>142</v>
      </c>
      <c r="C143" s="7" t="s">
        <v>100</v>
      </c>
      <c r="D143" s="33">
        <f>IF(ISNUMBER(SEARCH('Φόρμα Εισαγωγής'!$C$2,E143)),MAX($D$1:D142)+1,0)</f>
        <v>142</v>
      </c>
      <c r="E143" s="17" t="s">
        <v>107</v>
      </c>
      <c r="F143" s="5">
        <v>82.6</v>
      </c>
      <c r="G143" s="5">
        <v>116</v>
      </c>
      <c r="H143" s="6">
        <f t="shared" si="15"/>
        <v>143.84</v>
      </c>
      <c r="I143" s="6">
        <f t="shared" si="16"/>
        <v>0</v>
      </c>
      <c r="J143" s="6">
        <f t="shared" si="17"/>
        <v>0</v>
      </c>
      <c r="L143" s="4" t="str">
        <f>IFERROR(VLOOKUP(ROWS($L$2:L143),$B$2:$C$1996,2,0),"")</f>
        <v>ΒΑΝΑ BUGATTI</v>
      </c>
      <c r="N143" s="2" t="str">
        <f>IFERROR(VLOOKUP(ROWS($N$2:N143),$D$2:$E$1996,2,0),"")</f>
        <v>Θ/Θ 3''</v>
      </c>
    </row>
    <row r="144" spans="1:14">
      <c r="A144" s="5">
        <v>18</v>
      </c>
      <c r="B144" s="32">
        <f>IF(ISNUMBER(SEARCH('Φόρμα Εισαγωγής'!$B$2,C144)),MAX($B$1:B143)+1,0)</f>
        <v>143</v>
      </c>
      <c r="C144" s="7" t="s">
        <v>100</v>
      </c>
      <c r="D144" s="33">
        <f>IF(ISNUMBER(SEARCH('Φόρμα Εισαγωγής'!$C$2,E144)),MAX($D$1:D143)+1,0)</f>
        <v>143</v>
      </c>
      <c r="E144" s="17" t="s">
        <v>108</v>
      </c>
      <c r="F144" s="5">
        <v>2.82</v>
      </c>
      <c r="G144" s="5">
        <v>4</v>
      </c>
      <c r="H144" s="6">
        <f t="shared" si="15"/>
        <v>4.96</v>
      </c>
      <c r="I144" s="6">
        <f t="shared" si="16"/>
        <v>50.76</v>
      </c>
      <c r="J144" s="6">
        <f t="shared" si="17"/>
        <v>89.28</v>
      </c>
      <c r="L144" s="4" t="str">
        <f>IFERROR(VLOOKUP(ROWS($L$2:L144),$B$2:$C$1996,2,0),"")</f>
        <v>ΒΑΝΑ BUGATTI</v>
      </c>
      <c r="N144" s="2" t="str">
        <f>IFERROR(VLOOKUP(ROWS($N$2:N144),$D$2:$E$1996,2,0),"")</f>
        <v>Α/Θ  1/2</v>
      </c>
    </row>
    <row r="145" spans="1:14">
      <c r="A145" s="5">
        <v>0</v>
      </c>
      <c r="B145" s="32">
        <f>IF(ISNUMBER(SEARCH('Φόρμα Εισαγωγής'!$B$2,C145)),MAX($B$1:B144)+1,0)</f>
        <v>144</v>
      </c>
      <c r="C145" s="7" t="s">
        <v>100</v>
      </c>
      <c r="D145" s="33">
        <f>IF(ISNUMBER(SEARCH('Φόρμα Εισαγωγής'!$C$2,E145)),MAX($D$1:D144)+1,0)</f>
        <v>144</v>
      </c>
      <c r="E145" s="17" t="s">
        <v>26</v>
      </c>
      <c r="F145" s="5">
        <v>4</v>
      </c>
      <c r="G145" s="5">
        <v>5.65</v>
      </c>
      <c r="H145" s="6">
        <f t="shared" si="15"/>
        <v>7.0060000000000002</v>
      </c>
      <c r="I145" s="6">
        <f t="shared" si="16"/>
        <v>0</v>
      </c>
      <c r="J145" s="6">
        <f t="shared" si="17"/>
        <v>0</v>
      </c>
      <c r="L145" s="4" t="str">
        <f>IFERROR(VLOOKUP(ROWS($L$2:L145),$B$2:$C$1996,2,0),"")</f>
        <v>ΒΑΝΑ BUGATTI</v>
      </c>
      <c r="N145" s="2" t="str">
        <f>IFERROR(VLOOKUP(ROWS($N$2:N145),$D$2:$E$1996,2,0),"")</f>
        <v>Α/Θ 3/4</v>
      </c>
    </row>
    <row r="146" spans="1:14">
      <c r="A146" s="5">
        <v>0</v>
      </c>
      <c r="B146" s="32">
        <f>IF(ISNUMBER(SEARCH('Φόρμα Εισαγωγής'!$B$2,C146)),MAX($B$1:B145)+1,0)</f>
        <v>145</v>
      </c>
      <c r="C146" s="7" t="s">
        <v>100</v>
      </c>
      <c r="D146" s="33">
        <f>IF(ISNUMBER(SEARCH('Φόρμα Εισαγωγής'!$C$2,E146)),MAX($D$1:D145)+1,0)</f>
        <v>145</v>
      </c>
      <c r="E146" s="17" t="s">
        <v>27</v>
      </c>
      <c r="F146" s="5">
        <v>7</v>
      </c>
      <c r="G146" s="5">
        <v>10</v>
      </c>
      <c r="H146" s="6">
        <f t="shared" si="15"/>
        <v>12.4</v>
      </c>
      <c r="I146" s="6">
        <f t="shared" si="16"/>
        <v>0</v>
      </c>
      <c r="J146" s="6">
        <f t="shared" si="17"/>
        <v>0</v>
      </c>
      <c r="L146" s="4" t="str">
        <f>IFERROR(VLOOKUP(ROWS($L$2:L146),$B$2:$C$1996,2,0),"")</f>
        <v>ΒΑΝΑ BUGATTI</v>
      </c>
      <c r="N146" s="2" t="str">
        <f>IFERROR(VLOOKUP(ROWS($N$2:N146),$D$2:$E$1996,2,0),"")</f>
        <v>Α/Θ 1''</v>
      </c>
    </row>
    <row r="147" spans="1:14">
      <c r="A147" s="5">
        <v>0</v>
      </c>
      <c r="B147" s="32">
        <f>IF(ISNUMBER(SEARCH('Φόρμα Εισαγωγής'!$B$2,C147)),MAX($B$1:B146)+1,0)</f>
        <v>146</v>
      </c>
      <c r="C147" s="7" t="s">
        <v>100</v>
      </c>
      <c r="D147" s="33">
        <f>IF(ISNUMBER(SEARCH('Φόρμα Εισαγωγής'!$C$2,E147)),MAX($D$1:D146)+1,0)</f>
        <v>146</v>
      </c>
      <c r="E147" s="17" t="s">
        <v>28</v>
      </c>
      <c r="F147" s="5">
        <v>12</v>
      </c>
      <c r="G147" s="5">
        <v>17</v>
      </c>
      <c r="H147" s="6">
        <f t="shared" si="15"/>
        <v>21.08</v>
      </c>
      <c r="I147" s="6">
        <f t="shared" si="16"/>
        <v>0</v>
      </c>
      <c r="J147" s="6">
        <f t="shared" si="17"/>
        <v>0</v>
      </c>
      <c r="L147" s="4" t="str">
        <f>IFERROR(VLOOKUP(ROWS($L$2:L147),$B$2:$C$1996,2,0),"")</f>
        <v>ΒΑΝΑ BUGATTI</v>
      </c>
      <c r="N147" s="2" t="str">
        <f>IFERROR(VLOOKUP(ROWS($N$2:N147),$D$2:$E$1996,2,0),"")</f>
        <v>Α/Θ 1 1/4''</v>
      </c>
    </row>
    <row r="148" spans="1:14">
      <c r="A148" s="5">
        <v>0</v>
      </c>
      <c r="B148" s="32">
        <f>IF(ISNUMBER(SEARCH('Φόρμα Εισαγωγής'!$B$2,C148)),MAX($B$1:B147)+1,0)</f>
        <v>147</v>
      </c>
      <c r="C148" s="7" t="s">
        <v>100</v>
      </c>
      <c r="D148" s="33">
        <f>IF(ISNUMBER(SEARCH('Φόρμα Εισαγωγής'!$C$2,E148)),MAX($D$1:D147)+1,0)</f>
        <v>147</v>
      </c>
      <c r="E148" s="17" t="s">
        <v>29</v>
      </c>
      <c r="F148" s="5">
        <v>17.3</v>
      </c>
      <c r="G148" s="5">
        <v>24.5</v>
      </c>
      <c r="H148" s="6">
        <f t="shared" si="15"/>
        <v>30.38</v>
      </c>
      <c r="I148" s="6">
        <f t="shared" si="16"/>
        <v>0</v>
      </c>
      <c r="J148" s="6">
        <f t="shared" si="17"/>
        <v>0</v>
      </c>
      <c r="L148" s="4" t="str">
        <f>IFERROR(VLOOKUP(ROWS($L$2:L148),$B$2:$C$1996,2,0),"")</f>
        <v>ΒΑΝΑ BUGATTI</v>
      </c>
      <c r="N148" s="2" t="str">
        <f>IFERROR(VLOOKUP(ROWS($N$2:N148),$D$2:$E$1996,2,0),"")</f>
        <v>Α/Θ 1 1/2''</v>
      </c>
    </row>
    <row r="149" spans="1:14">
      <c r="A149" s="5">
        <v>0</v>
      </c>
      <c r="B149" s="32">
        <f>IF(ISNUMBER(SEARCH('Φόρμα Εισαγωγής'!$B$2,C149)),MAX($B$1:B148)+1,0)</f>
        <v>148</v>
      </c>
      <c r="C149" s="7" t="s">
        <v>100</v>
      </c>
      <c r="D149" s="33">
        <f>IF(ISNUMBER(SEARCH('Φόρμα Εισαγωγής'!$C$2,E149)),MAX($D$1:D148)+1,0)</f>
        <v>148</v>
      </c>
      <c r="E149" s="17" t="s">
        <v>30</v>
      </c>
      <c r="F149" s="5">
        <v>27.25</v>
      </c>
      <c r="G149" s="5">
        <v>38.200000000000003</v>
      </c>
      <c r="H149" s="6">
        <f t="shared" si="15"/>
        <v>47.368000000000002</v>
      </c>
      <c r="I149" s="6">
        <f t="shared" si="16"/>
        <v>0</v>
      </c>
      <c r="J149" s="6">
        <f t="shared" si="17"/>
        <v>0</v>
      </c>
      <c r="L149" s="4" t="str">
        <f>IFERROR(VLOOKUP(ROWS($L$2:L149),$B$2:$C$1996,2,0),"")</f>
        <v>ΒΑΝΑ BUGATTI</v>
      </c>
      <c r="N149" s="2" t="str">
        <f>IFERROR(VLOOKUP(ROWS($N$2:N149),$D$2:$E$1996,2,0),"")</f>
        <v>Α/Θ 2''</v>
      </c>
    </row>
    <row r="150" spans="1:14">
      <c r="A150" s="5">
        <v>26</v>
      </c>
      <c r="B150" s="32">
        <f>IF(ISNUMBER(SEARCH('Φόρμα Εισαγωγής'!$B$2,C150)),MAX($B$1:B149)+1,0)</f>
        <v>149</v>
      </c>
      <c r="C150" s="7" t="s">
        <v>111</v>
      </c>
      <c r="D150" s="33">
        <f>IF(ISNUMBER(SEARCH('Φόρμα Εισαγωγής'!$C$2,E150)),MAX($D$1:D149)+1,0)</f>
        <v>149</v>
      </c>
      <c r="E150" s="17" t="s">
        <v>112</v>
      </c>
      <c r="F150" s="5">
        <v>4.3</v>
      </c>
      <c r="G150" s="5">
        <v>6</v>
      </c>
      <c r="H150" s="6">
        <f t="shared" si="15"/>
        <v>7.4399999999999995</v>
      </c>
      <c r="I150" s="6">
        <f t="shared" si="16"/>
        <v>111.8</v>
      </c>
      <c r="J150" s="6">
        <f t="shared" si="17"/>
        <v>193.44</v>
      </c>
      <c r="L150" s="4" t="str">
        <f>IFERROR(VLOOKUP(ROWS($L$2:L150),$B$2:$C$1996,2,0),"")</f>
        <v xml:space="preserve">ΒΑΝΑ BUGATTI </v>
      </c>
      <c r="N150" s="2" t="str">
        <f>IFERROR(VLOOKUP(ROWS($N$2:N150),$D$2:$E$1996,2,0),"")</f>
        <v>ΡΑΚΟΡ 1/2</v>
      </c>
    </row>
    <row r="151" spans="1:14">
      <c r="A151" s="5">
        <v>8</v>
      </c>
      <c r="B151" s="32">
        <f>IF(ISNUMBER(SEARCH('Φόρμα Εισαγωγής'!$B$2,C151)),MAX($B$1:B150)+1,0)</f>
        <v>150</v>
      </c>
      <c r="C151" s="7" t="s">
        <v>111</v>
      </c>
      <c r="D151" s="33">
        <f>IF(ISNUMBER(SEARCH('Φόρμα Εισαγωγής'!$C$2,E151)),MAX($D$1:D150)+1,0)</f>
        <v>150</v>
      </c>
      <c r="E151" s="17" t="s">
        <v>113</v>
      </c>
      <c r="F151" s="5">
        <v>6</v>
      </c>
      <c r="G151" s="5">
        <v>8.4</v>
      </c>
      <c r="H151" s="6">
        <f t="shared" si="15"/>
        <v>10.416</v>
      </c>
      <c r="I151" s="6">
        <f t="shared" si="16"/>
        <v>48</v>
      </c>
      <c r="J151" s="6">
        <f t="shared" si="17"/>
        <v>83.328000000000003</v>
      </c>
      <c r="L151" s="4" t="str">
        <f>IFERROR(VLOOKUP(ROWS($L$2:L151),$B$2:$C$1996,2,0),"")</f>
        <v xml:space="preserve">ΒΑΝΑ BUGATTI </v>
      </c>
      <c r="N151" s="2" t="str">
        <f>IFERROR(VLOOKUP(ROWS($N$2:N151),$D$2:$E$1996,2,0),"")</f>
        <v>ΡΑΚΟΡ 3/4</v>
      </c>
    </row>
    <row r="152" spans="1:14">
      <c r="A152" s="5">
        <v>1</v>
      </c>
      <c r="B152" s="32">
        <f>IF(ISNUMBER(SEARCH('Φόρμα Εισαγωγής'!$B$2,C152)),MAX($B$1:B151)+1,0)</f>
        <v>151</v>
      </c>
      <c r="C152" s="7" t="s">
        <v>111</v>
      </c>
      <c r="D152" s="33">
        <f>IF(ISNUMBER(SEARCH('Φόρμα Εισαγωγής'!$C$2,E152)),MAX($D$1:D151)+1,0)</f>
        <v>151</v>
      </c>
      <c r="E152" s="17" t="s">
        <v>114</v>
      </c>
      <c r="F152" s="5">
        <v>9.4</v>
      </c>
      <c r="G152" s="5">
        <v>13.1</v>
      </c>
      <c r="H152" s="6">
        <f t="shared" si="15"/>
        <v>16.244</v>
      </c>
      <c r="I152" s="6">
        <f t="shared" si="16"/>
        <v>9.4</v>
      </c>
      <c r="J152" s="6">
        <f t="shared" si="17"/>
        <v>16.244</v>
      </c>
      <c r="L152" s="4" t="str">
        <f>IFERROR(VLOOKUP(ROWS($L$2:L152),$B$2:$C$1996,2,0),"")</f>
        <v xml:space="preserve">ΒΑΝΑ BUGATTI </v>
      </c>
      <c r="N152" s="2" t="str">
        <f>IFERROR(VLOOKUP(ROWS($N$2:N152),$D$2:$E$1996,2,0),"")</f>
        <v>ΡΑΚΟΡ 1''</v>
      </c>
    </row>
    <row r="153" spans="1:14">
      <c r="A153" s="5">
        <v>4</v>
      </c>
      <c r="B153" s="32">
        <f>IF(ISNUMBER(SEARCH('Φόρμα Εισαγωγής'!$B$2,C153)),MAX($B$1:B152)+1,0)</f>
        <v>152</v>
      </c>
      <c r="C153" s="7" t="s">
        <v>111</v>
      </c>
      <c r="D153" s="33">
        <f>IF(ISNUMBER(SEARCH('Φόρμα Εισαγωγής'!$C$2,E153)),MAX($D$1:D152)+1,0)</f>
        <v>152</v>
      </c>
      <c r="E153" s="17" t="s">
        <v>115</v>
      </c>
      <c r="F153" s="5">
        <v>16.2</v>
      </c>
      <c r="G153" s="5">
        <v>22.6</v>
      </c>
      <c r="H153" s="6">
        <f t="shared" si="15"/>
        <v>28.024000000000001</v>
      </c>
      <c r="I153" s="6">
        <f t="shared" si="16"/>
        <v>64.8</v>
      </c>
      <c r="J153" s="6">
        <f t="shared" si="17"/>
        <v>112.096</v>
      </c>
      <c r="L153" s="4" t="str">
        <f>IFERROR(VLOOKUP(ROWS($L$2:L153),$B$2:$C$1996,2,0),"")</f>
        <v xml:space="preserve">ΒΑΝΑ BUGATTI </v>
      </c>
      <c r="N153" s="2" t="str">
        <f>IFERROR(VLOOKUP(ROWS($N$2:N153),$D$2:$E$1996,2,0),"")</f>
        <v>ΡΑΚΟΡ 1 1/4''</v>
      </c>
    </row>
    <row r="154" spans="1:14">
      <c r="A154" s="5">
        <v>3</v>
      </c>
      <c r="B154" s="32">
        <f>IF(ISNUMBER(SEARCH('Φόρμα Εισαγωγής'!$B$2,C154)),MAX($B$1:B153)+1,0)</f>
        <v>153</v>
      </c>
      <c r="C154" s="7" t="s">
        <v>111</v>
      </c>
      <c r="D154" s="33">
        <f>IF(ISNUMBER(SEARCH('Φόρμα Εισαγωγής'!$C$2,E154)),MAX($D$1:D153)+1,0)</f>
        <v>153</v>
      </c>
      <c r="E154" s="17" t="s">
        <v>116</v>
      </c>
      <c r="F154" s="5">
        <v>22.4</v>
      </c>
      <c r="G154" s="5">
        <v>32</v>
      </c>
      <c r="H154" s="6">
        <f t="shared" si="15"/>
        <v>39.68</v>
      </c>
      <c r="I154" s="6">
        <f t="shared" si="16"/>
        <v>67.199999999999989</v>
      </c>
      <c r="J154" s="6">
        <f t="shared" si="17"/>
        <v>119.03999999999999</v>
      </c>
      <c r="L154" s="4" t="str">
        <f>IFERROR(VLOOKUP(ROWS($L$2:L154),$B$2:$C$1996,2,0),"")</f>
        <v xml:space="preserve">ΒΑΝΑ BUGATTI </v>
      </c>
      <c r="N154" s="2" t="str">
        <f>IFERROR(VLOOKUP(ROWS($N$2:N154),$D$2:$E$1996,2,0),"")</f>
        <v>ΡΑΚΟΡ 1 1/2''</v>
      </c>
    </row>
    <row r="155" spans="1:14">
      <c r="A155" s="5">
        <v>9</v>
      </c>
      <c r="B155" s="32">
        <f>IF(ISNUMBER(SEARCH('Φόρμα Εισαγωγής'!$B$2,C155)),MAX($B$1:B154)+1,0)</f>
        <v>154</v>
      </c>
      <c r="C155" s="7" t="s">
        <v>716</v>
      </c>
      <c r="D155" s="33">
        <f>IF(ISNUMBER(SEARCH('Φόρμα Εισαγωγής'!$C$2,E155)),MAX($D$1:D154)+1,0)</f>
        <v>154</v>
      </c>
      <c r="E155" s="17" t="s">
        <v>109</v>
      </c>
      <c r="F155" s="5">
        <v>3.35</v>
      </c>
      <c r="G155" s="5">
        <v>4.7</v>
      </c>
      <c r="H155" s="6">
        <f t="shared" si="15"/>
        <v>5.8280000000000003</v>
      </c>
      <c r="I155" s="6">
        <f t="shared" si="16"/>
        <v>30.150000000000002</v>
      </c>
      <c r="J155" s="6">
        <f t="shared" si="17"/>
        <v>52.452000000000005</v>
      </c>
      <c r="L155" s="4" t="str">
        <f>IFERROR(VLOOKUP(ROWS($L$2:L155),$B$2:$C$1996,2,0),"")</f>
        <v xml:space="preserve">ΒΑΝΑΚΙ ΓΩΝΙΑΚΟ B.F. ΜΕ ΡΟΖΕΤΑ </v>
      </c>
      <c r="N155" s="2" t="str">
        <f>IFERROR(VLOOKUP(ROWS($N$2:N155),$D$2:$E$1996,2,0),"")</f>
        <v>1/2 Χ 1/2</v>
      </c>
    </row>
    <row r="156" spans="1:14">
      <c r="A156" s="5">
        <v>11</v>
      </c>
      <c r="B156" s="32">
        <f>IF(ISNUMBER(SEARCH('Φόρμα Εισαγωγής'!$B$2,C156)),MAX($B$1:B155)+1,0)</f>
        <v>155</v>
      </c>
      <c r="C156" s="7" t="s">
        <v>715</v>
      </c>
      <c r="D156" s="33">
        <f>IF(ISNUMBER(SEARCH('Φόρμα Εισαγωγής'!$C$2,E156)),MAX($D$1:D155)+1,0)</f>
        <v>155</v>
      </c>
      <c r="E156" s="17" t="s">
        <v>110</v>
      </c>
      <c r="F156" s="5">
        <v>3.55</v>
      </c>
      <c r="G156" s="5">
        <v>5</v>
      </c>
      <c r="H156" s="6">
        <f t="shared" si="15"/>
        <v>6.2</v>
      </c>
      <c r="I156" s="6">
        <f t="shared" si="16"/>
        <v>39.049999999999997</v>
      </c>
      <c r="J156" s="6">
        <f t="shared" si="17"/>
        <v>68.2</v>
      </c>
      <c r="L156" s="4" t="str">
        <f>IFERROR(VLOOKUP(ROWS($L$2:L156),$B$2:$C$1996,2,0),"")</f>
        <v>ΒΑΝΑΚΙ ΓΩΝΙΑΚΟ B.F. ΜΕ ΡΟΖΕΤΑ</v>
      </c>
      <c r="N156" s="2" t="str">
        <f>IFERROR(VLOOKUP(ROWS($N$2:N156),$D$2:$E$1996,2,0),"")</f>
        <v>1/2 Χ 3/4</v>
      </c>
    </row>
    <row r="157" spans="1:14">
      <c r="A157" s="5">
        <v>366</v>
      </c>
      <c r="B157" s="32">
        <f>IF(ISNUMBER(SEARCH('Φόρμα Εισαγωγής'!$B$2,C157)),MAX($B$1:B156)+1,0)</f>
        <v>156</v>
      </c>
      <c r="C157" s="7" t="s">
        <v>117</v>
      </c>
      <c r="D157" s="33">
        <f>IF(ISNUMBER(SEARCH('Φόρμα Εισαγωγής'!$C$2,E157)),MAX($D$1:D156)+1,0)</f>
        <v>156</v>
      </c>
      <c r="E157" s="17" t="s">
        <v>118</v>
      </c>
      <c r="F157" s="5">
        <v>0.16</v>
      </c>
      <c r="G157" s="5">
        <v>0.25</v>
      </c>
      <c r="H157" s="6">
        <f t="shared" si="15"/>
        <v>0.31</v>
      </c>
      <c r="I157" s="6">
        <f t="shared" si="16"/>
        <v>58.56</v>
      </c>
      <c r="J157" s="6">
        <f t="shared" si="17"/>
        <v>113.46</v>
      </c>
      <c r="L157" s="4" t="str">
        <f>IFERROR(VLOOKUP(ROWS($L$2:L157),$B$2:$C$1996,2,0),"")</f>
        <v>ΓΩΝΙΑ PPR</v>
      </c>
      <c r="N157" s="2" t="str">
        <f>IFERROR(VLOOKUP(ROWS($N$2:N157),$D$2:$E$1996,2,0),"")</f>
        <v>Φ20</v>
      </c>
    </row>
    <row r="158" spans="1:14">
      <c r="A158" s="5">
        <v>118</v>
      </c>
      <c r="B158" s="32">
        <f>IF(ISNUMBER(SEARCH('Φόρμα Εισαγωγής'!$B$2,C158)),MAX($B$1:B157)+1,0)</f>
        <v>157</v>
      </c>
      <c r="C158" s="7" t="s">
        <v>117</v>
      </c>
      <c r="D158" s="33">
        <f>IF(ISNUMBER(SEARCH('Φόρμα Εισαγωγής'!$C$2,E158)),MAX($D$1:D157)+1,0)</f>
        <v>157</v>
      </c>
      <c r="E158" s="17" t="s">
        <v>119</v>
      </c>
      <c r="F158" s="5">
        <v>0.25</v>
      </c>
      <c r="G158" s="5">
        <v>0.35</v>
      </c>
      <c r="H158" s="6">
        <f t="shared" si="15"/>
        <v>0.43399999999999994</v>
      </c>
      <c r="I158" s="6">
        <f t="shared" si="16"/>
        <v>29.5</v>
      </c>
      <c r="J158" s="6">
        <f t="shared" si="17"/>
        <v>51.211999999999996</v>
      </c>
      <c r="L158" s="4" t="str">
        <f>IFERROR(VLOOKUP(ROWS($L$2:L158),$B$2:$C$1996,2,0),"")</f>
        <v>ΓΩΝΙΑ PPR</v>
      </c>
      <c r="N158" s="2" t="str">
        <f>IFERROR(VLOOKUP(ROWS($N$2:N158),$D$2:$E$1996,2,0),"")</f>
        <v>Φ25</v>
      </c>
    </row>
    <row r="159" spans="1:14">
      <c r="A159" s="5">
        <v>40</v>
      </c>
      <c r="B159" s="32">
        <f>IF(ISNUMBER(SEARCH('Φόρμα Εισαγωγής'!$B$2,C159)),MAX($B$1:B158)+1,0)</f>
        <v>158</v>
      </c>
      <c r="C159" s="7" t="s">
        <v>117</v>
      </c>
      <c r="D159" s="33">
        <f>IF(ISNUMBER(SEARCH('Φόρμα Εισαγωγής'!$C$2,E159)),MAX($D$1:D158)+1,0)</f>
        <v>158</v>
      </c>
      <c r="E159" s="17" t="s">
        <v>120</v>
      </c>
      <c r="F159" s="5">
        <v>0.41</v>
      </c>
      <c r="G159" s="5">
        <v>0.6</v>
      </c>
      <c r="H159" s="6">
        <f t="shared" si="15"/>
        <v>0.74399999999999999</v>
      </c>
      <c r="I159" s="6">
        <f t="shared" si="16"/>
        <v>16.399999999999999</v>
      </c>
      <c r="J159" s="6">
        <f t="shared" si="17"/>
        <v>29.759999999999998</v>
      </c>
      <c r="L159" s="4" t="str">
        <f>IFERROR(VLOOKUP(ROWS($L$2:L159),$B$2:$C$1996,2,0),"")</f>
        <v>ΓΩΝΙΑ PPR</v>
      </c>
      <c r="N159" s="2" t="str">
        <f>IFERROR(VLOOKUP(ROWS($N$2:N159),$D$2:$E$1996,2,0),"")</f>
        <v>Φ32</v>
      </c>
    </row>
    <row r="160" spans="1:14" ht="17.25">
      <c r="A160" s="5">
        <v>124</v>
      </c>
      <c r="B160" s="32">
        <f>IF(ISNUMBER(SEARCH('Φόρμα Εισαγωγής'!$B$2,C160)),MAX($B$1:B159)+1,0)</f>
        <v>159</v>
      </c>
      <c r="C160" s="7" t="s">
        <v>117</v>
      </c>
      <c r="D160" s="33">
        <f>IF(ISNUMBER(SEARCH('Φόρμα Εισαγωγής'!$C$2,E160)),MAX($D$1:D159)+1,0)</f>
        <v>159</v>
      </c>
      <c r="E160" s="17" t="s">
        <v>121</v>
      </c>
      <c r="F160" s="5">
        <v>0.17</v>
      </c>
      <c r="G160" s="5">
        <v>0.25</v>
      </c>
      <c r="H160" s="6">
        <f t="shared" si="15"/>
        <v>0.31</v>
      </c>
      <c r="I160" s="6">
        <f t="shared" si="16"/>
        <v>21.080000000000002</v>
      </c>
      <c r="J160" s="6">
        <f t="shared" si="17"/>
        <v>38.44</v>
      </c>
      <c r="L160" s="4" t="str">
        <f>IFERROR(VLOOKUP(ROWS($L$2:L160),$B$2:$C$1996,2,0),"")</f>
        <v>ΓΩΝΙΑ PPR</v>
      </c>
      <c r="N160" s="2" t="str">
        <f>IFERROR(VLOOKUP(ROWS($N$2:N160),$D$2:$E$1996,2,0),"")</f>
        <v>45ο Φ20</v>
      </c>
    </row>
    <row r="161" spans="1:14" ht="17.25">
      <c r="A161" s="5">
        <v>12</v>
      </c>
      <c r="B161" s="32">
        <f>IF(ISNUMBER(SEARCH('Φόρμα Εισαγωγής'!$B$2,C161)),MAX($B$1:B160)+1,0)</f>
        <v>160</v>
      </c>
      <c r="C161" s="7" t="s">
        <v>117</v>
      </c>
      <c r="D161" s="33">
        <f>IF(ISNUMBER(SEARCH('Φόρμα Εισαγωγής'!$C$2,E161)),MAX($D$1:D160)+1,0)</f>
        <v>160</v>
      </c>
      <c r="E161" s="17" t="s">
        <v>122</v>
      </c>
      <c r="F161" s="5">
        <v>0.25</v>
      </c>
      <c r="G161" s="5">
        <v>0.35</v>
      </c>
      <c r="H161" s="6">
        <f t="shared" si="15"/>
        <v>0.43399999999999994</v>
      </c>
      <c r="I161" s="6">
        <f t="shared" si="16"/>
        <v>3</v>
      </c>
      <c r="J161" s="6">
        <f t="shared" si="17"/>
        <v>5.2079999999999993</v>
      </c>
      <c r="L161" s="4" t="str">
        <f>IFERROR(VLOOKUP(ROWS($L$2:L161),$B$2:$C$1996,2,0),"")</f>
        <v>ΓΩΝΙΑ PPR</v>
      </c>
      <c r="N161" s="2" t="str">
        <f>IFERROR(VLOOKUP(ROWS($N$2:N161),$D$2:$E$1996,2,0),"")</f>
        <v>45ο Φ25</v>
      </c>
    </row>
    <row r="162" spans="1:14" ht="17.25">
      <c r="A162" s="5">
        <v>0</v>
      </c>
      <c r="B162" s="32">
        <f>IF(ISNUMBER(SEARCH('Φόρμα Εισαγωγής'!$B$2,C162)),MAX($B$1:B161)+1,0)</f>
        <v>161</v>
      </c>
      <c r="C162" s="7" t="s">
        <v>117</v>
      </c>
      <c r="D162" s="33">
        <f>IF(ISNUMBER(SEARCH('Φόρμα Εισαγωγής'!$C$2,E162)),MAX($D$1:D161)+1,0)</f>
        <v>161</v>
      </c>
      <c r="E162" s="17" t="s">
        <v>123</v>
      </c>
      <c r="F162" s="5">
        <v>0.48</v>
      </c>
      <c r="G162" s="5">
        <v>0.7</v>
      </c>
      <c r="H162" s="6">
        <f t="shared" si="15"/>
        <v>0.86799999999999988</v>
      </c>
      <c r="I162" s="6">
        <f t="shared" si="16"/>
        <v>0</v>
      </c>
      <c r="J162" s="6">
        <f t="shared" si="17"/>
        <v>0</v>
      </c>
      <c r="L162" s="4" t="str">
        <f>IFERROR(VLOOKUP(ROWS($L$2:L162),$B$2:$C$1996,2,0),"")</f>
        <v>ΓΩΝΙΑ PPR</v>
      </c>
      <c r="N162" s="2" t="str">
        <f>IFERROR(VLOOKUP(ROWS($N$2:N162),$D$2:$E$1996,2,0),"")</f>
        <v>45ο Φ32</v>
      </c>
    </row>
    <row r="163" spans="1:14">
      <c r="A163" s="5">
        <v>185</v>
      </c>
      <c r="B163" s="32">
        <f>IF(ISNUMBER(SEARCH('Φόρμα Εισαγωγής'!$B$2,C163)),MAX($B$1:B162)+1,0)</f>
        <v>162</v>
      </c>
      <c r="C163" s="7" t="s">
        <v>124</v>
      </c>
      <c r="D163" s="33">
        <f>IF(ISNUMBER(SEARCH('Φόρμα Εισαγωγής'!$C$2,E163)),MAX($D$1:D162)+1,0)</f>
        <v>162</v>
      </c>
      <c r="E163" s="17" t="s">
        <v>118</v>
      </c>
      <c r="F163" s="5">
        <v>0.13</v>
      </c>
      <c r="G163" s="5">
        <v>0.2</v>
      </c>
      <c r="H163" s="6">
        <f t="shared" si="15"/>
        <v>0.248</v>
      </c>
      <c r="I163" s="6">
        <f t="shared" si="16"/>
        <v>24.05</v>
      </c>
      <c r="J163" s="6">
        <f t="shared" si="17"/>
        <v>45.88</v>
      </c>
      <c r="L163" s="4" t="str">
        <f>IFERROR(VLOOKUP(ROWS($L$2:L163),$B$2:$C$1996,2,0),"")</f>
        <v>ΜΟΥΦΑ PPR</v>
      </c>
      <c r="N163" s="2" t="str">
        <f>IFERROR(VLOOKUP(ROWS($N$2:N163),$D$2:$E$1996,2,0),"")</f>
        <v>Φ20</v>
      </c>
    </row>
    <row r="164" spans="1:14">
      <c r="A164" s="5">
        <v>83</v>
      </c>
      <c r="B164" s="32">
        <f>IF(ISNUMBER(SEARCH('Φόρμα Εισαγωγής'!$B$2,C164)),MAX($B$1:B163)+1,0)</f>
        <v>163</v>
      </c>
      <c r="C164" s="7" t="s">
        <v>124</v>
      </c>
      <c r="D164" s="33">
        <f>IF(ISNUMBER(SEARCH('Φόρμα Εισαγωγής'!$C$2,E164)),MAX($D$1:D163)+1,0)</f>
        <v>163</v>
      </c>
      <c r="E164" s="17" t="s">
        <v>119</v>
      </c>
      <c r="F164" s="5">
        <v>0.19</v>
      </c>
      <c r="G164" s="5">
        <v>0.3</v>
      </c>
      <c r="H164" s="6">
        <f t="shared" si="15"/>
        <v>0.372</v>
      </c>
      <c r="I164" s="6">
        <f t="shared" si="16"/>
        <v>15.77</v>
      </c>
      <c r="J164" s="6">
        <f t="shared" si="17"/>
        <v>30.876000000000001</v>
      </c>
      <c r="L164" s="4" t="str">
        <f>IFERROR(VLOOKUP(ROWS($L$2:L164),$B$2:$C$1996,2,0),"")</f>
        <v>ΜΟΥΦΑ PPR</v>
      </c>
      <c r="N164" s="2" t="str">
        <f>IFERROR(VLOOKUP(ROWS($N$2:N164),$D$2:$E$1996,2,0),"")</f>
        <v>Φ25</v>
      </c>
    </row>
    <row r="165" spans="1:14">
      <c r="A165" s="5">
        <v>0</v>
      </c>
      <c r="B165" s="32">
        <f>IF(ISNUMBER(SEARCH('Φόρμα Εισαγωγής'!$B$2,C165)),MAX($B$1:B164)+1,0)</f>
        <v>164</v>
      </c>
      <c r="C165" s="7" t="s">
        <v>124</v>
      </c>
      <c r="D165" s="33">
        <f>IF(ISNUMBER(SEARCH('Φόρμα Εισαγωγής'!$C$2,E165)),MAX($D$1:D164)+1,0)</f>
        <v>164</v>
      </c>
      <c r="E165" s="17" t="s">
        <v>120</v>
      </c>
      <c r="F165" s="5">
        <v>0.26</v>
      </c>
      <c r="G165" s="5">
        <v>0.37</v>
      </c>
      <c r="H165" s="6">
        <f t="shared" si="15"/>
        <v>0.45879999999999999</v>
      </c>
      <c r="I165" s="6">
        <f t="shared" si="16"/>
        <v>0</v>
      </c>
      <c r="J165" s="6">
        <f t="shared" si="17"/>
        <v>0</v>
      </c>
      <c r="L165" s="4" t="str">
        <f>IFERROR(VLOOKUP(ROWS($L$2:L165),$B$2:$C$1996,2,0),"")</f>
        <v>ΜΟΥΦΑ PPR</v>
      </c>
      <c r="N165" s="2" t="str">
        <f>IFERROR(VLOOKUP(ROWS($N$2:N165),$D$2:$E$1996,2,0),"")</f>
        <v>Φ32</v>
      </c>
    </row>
    <row r="166" spans="1:14">
      <c r="A166" s="5">
        <v>87</v>
      </c>
      <c r="B166" s="32">
        <f>IF(ISNUMBER(SEARCH('Φόρμα Εισαγωγής'!$B$2,C166)),MAX($B$1:B165)+1,0)</f>
        <v>165</v>
      </c>
      <c r="C166" s="7" t="s">
        <v>125</v>
      </c>
      <c r="D166" s="33">
        <f>IF(ISNUMBER(SEARCH('Φόρμα Εισαγωγής'!$C$2,E166)),MAX($D$1:D165)+1,0)</f>
        <v>165</v>
      </c>
      <c r="E166" s="17" t="s">
        <v>118</v>
      </c>
      <c r="F166" s="5">
        <v>0.19</v>
      </c>
      <c r="G166" s="5">
        <v>0.27</v>
      </c>
      <c r="H166" s="6">
        <f t="shared" si="15"/>
        <v>0.33479999999999999</v>
      </c>
      <c r="I166" s="6">
        <f t="shared" si="16"/>
        <v>16.53</v>
      </c>
      <c r="J166" s="6">
        <f t="shared" si="17"/>
        <v>29.127599999999997</v>
      </c>
      <c r="L166" s="4" t="str">
        <f>IFERROR(VLOOKUP(ROWS($L$2:L166),$B$2:$C$1996,2,0),"")</f>
        <v>ΤΑΦ PPR</v>
      </c>
      <c r="N166" s="2" t="str">
        <f>IFERROR(VLOOKUP(ROWS($N$2:N166),$D$2:$E$1996,2,0),"")</f>
        <v>Φ20</v>
      </c>
    </row>
    <row r="167" spans="1:14">
      <c r="A167" s="5">
        <v>87</v>
      </c>
      <c r="B167" s="32">
        <f>IF(ISNUMBER(SEARCH('Φόρμα Εισαγωγής'!$B$2,C167)),MAX($B$1:B166)+1,0)</f>
        <v>166</v>
      </c>
      <c r="C167" s="7" t="s">
        <v>125</v>
      </c>
      <c r="D167" s="33">
        <f>IF(ISNUMBER(SEARCH('Φόρμα Εισαγωγής'!$C$2,E167)),MAX($D$1:D166)+1,0)</f>
        <v>166</v>
      </c>
      <c r="E167" s="17" t="s">
        <v>119</v>
      </c>
      <c r="F167" s="5">
        <v>0.32</v>
      </c>
      <c r="G167" s="5">
        <v>0.5</v>
      </c>
      <c r="H167" s="6">
        <f t="shared" si="15"/>
        <v>0.62</v>
      </c>
      <c r="I167" s="6">
        <f t="shared" si="16"/>
        <v>27.84</v>
      </c>
      <c r="J167" s="6">
        <f t="shared" si="17"/>
        <v>53.94</v>
      </c>
      <c r="L167" s="4" t="str">
        <f>IFERROR(VLOOKUP(ROWS($L$2:L167),$B$2:$C$1996,2,0),"")</f>
        <v>ΤΑΦ PPR</v>
      </c>
      <c r="N167" s="2" t="str">
        <f>IFERROR(VLOOKUP(ROWS($N$2:N167),$D$2:$E$1996,2,0),"")</f>
        <v>Φ25</v>
      </c>
    </row>
    <row r="168" spans="1:14">
      <c r="A168" s="5">
        <v>0</v>
      </c>
      <c r="B168" s="32">
        <f>IF(ISNUMBER(SEARCH('Φόρμα Εισαγωγής'!$B$2,C168)),MAX($B$1:B167)+1,0)</f>
        <v>167</v>
      </c>
      <c r="C168" s="7" t="s">
        <v>125</v>
      </c>
      <c r="D168" s="33">
        <f>IF(ISNUMBER(SEARCH('Φόρμα Εισαγωγής'!$C$2,E168)),MAX($D$1:D167)+1,0)</f>
        <v>167</v>
      </c>
      <c r="E168" s="17" t="s">
        <v>120</v>
      </c>
      <c r="F168" s="5">
        <v>0.49</v>
      </c>
      <c r="G168" s="5">
        <v>0.7</v>
      </c>
      <c r="H168" s="6">
        <f t="shared" si="15"/>
        <v>0.86799999999999988</v>
      </c>
      <c r="I168" s="6">
        <f t="shared" si="16"/>
        <v>0</v>
      </c>
      <c r="J168" s="6">
        <f t="shared" si="17"/>
        <v>0</v>
      </c>
      <c r="L168" s="4" t="str">
        <f>IFERROR(VLOOKUP(ROWS($L$2:L168),$B$2:$C$1996,2,0),"")</f>
        <v>ΤΑΦ PPR</v>
      </c>
      <c r="N168" s="2" t="str">
        <f>IFERROR(VLOOKUP(ROWS($N$2:N168),$D$2:$E$1996,2,0),"")</f>
        <v>Φ32</v>
      </c>
    </row>
    <row r="169" spans="1:14">
      <c r="A169" s="5">
        <v>202</v>
      </c>
      <c r="B169" s="32">
        <f>IF(ISNUMBER(SEARCH('Φόρμα Εισαγωγής'!$B$2,C169)),MAX($B$1:B168)+1,0)</f>
        <v>168</v>
      </c>
      <c r="C169" s="7" t="s">
        <v>126</v>
      </c>
      <c r="D169" s="33">
        <f>IF(ISNUMBER(SEARCH('Φόρμα Εισαγωγής'!$C$2,E169)),MAX($D$1:D168)+1,0)</f>
        <v>168</v>
      </c>
      <c r="E169" s="17" t="s">
        <v>127</v>
      </c>
      <c r="F169" s="5">
        <v>0.14000000000000001</v>
      </c>
      <c r="G169" s="5">
        <v>0.2</v>
      </c>
      <c r="H169" s="6">
        <f t="shared" si="15"/>
        <v>0.248</v>
      </c>
      <c r="I169" s="6">
        <f t="shared" si="16"/>
        <v>28.28</v>
      </c>
      <c r="J169" s="6">
        <f t="shared" si="17"/>
        <v>50.095999999999997</v>
      </c>
      <c r="L169" s="4" t="str">
        <f>IFERROR(VLOOKUP(ROWS($L$2:L169),$B$2:$C$1996,2,0),"")</f>
        <v>ΤΑΠΑ PPR</v>
      </c>
      <c r="N169" s="2" t="str">
        <f>IFERROR(VLOOKUP(ROWS($N$2:N169),$D$2:$E$1996,2,0),"")</f>
        <v>ΘΗΛ Φ20</v>
      </c>
    </row>
    <row r="170" spans="1:14">
      <c r="A170" s="5">
        <v>0</v>
      </c>
      <c r="B170" s="32">
        <f>IF(ISNUMBER(SEARCH('Φόρμα Εισαγωγής'!$B$2,C170)),MAX($B$1:B169)+1,0)</f>
        <v>169</v>
      </c>
      <c r="C170" s="7" t="s">
        <v>126</v>
      </c>
      <c r="D170" s="33">
        <f>IF(ISNUMBER(SEARCH('Φόρμα Εισαγωγής'!$C$2,E170)),MAX($D$1:D169)+1,0)</f>
        <v>169</v>
      </c>
      <c r="E170" s="17" t="s">
        <v>128</v>
      </c>
      <c r="F170" s="5">
        <v>0.19</v>
      </c>
      <c r="G170" s="5">
        <v>0.27</v>
      </c>
      <c r="H170" s="6">
        <f t="shared" si="15"/>
        <v>0.33479999999999999</v>
      </c>
      <c r="I170" s="6">
        <f t="shared" si="16"/>
        <v>0</v>
      </c>
      <c r="J170" s="6">
        <f t="shared" si="17"/>
        <v>0</v>
      </c>
      <c r="L170" s="4" t="str">
        <f>IFERROR(VLOOKUP(ROWS($L$2:L170),$B$2:$C$1996,2,0),"")</f>
        <v>ΤΑΠΑ PPR</v>
      </c>
      <c r="N170" s="2" t="str">
        <f>IFERROR(VLOOKUP(ROWS($N$2:N170),$D$2:$E$1996,2,0),"")</f>
        <v>ΘΗΛ Φ25</v>
      </c>
    </row>
    <row r="171" spans="1:14">
      <c r="A171" s="5">
        <v>0</v>
      </c>
      <c r="B171" s="32">
        <f>IF(ISNUMBER(SEARCH('Φόρμα Εισαγωγής'!$B$2,C171)),MAX($B$1:B170)+1,0)</f>
        <v>170</v>
      </c>
      <c r="C171" s="7" t="s">
        <v>126</v>
      </c>
      <c r="D171" s="33">
        <f>IF(ISNUMBER(SEARCH('Φόρμα Εισαγωγής'!$C$2,E171)),MAX($D$1:D170)+1,0)</f>
        <v>170</v>
      </c>
      <c r="E171" s="17" t="s">
        <v>129</v>
      </c>
      <c r="F171" s="5">
        <v>0.25</v>
      </c>
      <c r="G171" s="5">
        <v>0.35</v>
      </c>
      <c r="H171" s="6">
        <f t="shared" si="15"/>
        <v>0.43399999999999994</v>
      </c>
      <c r="I171" s="6">
        <f t="shared" si="16"/>
        <v>0</v>
      </c>
      <c r="J171" s="6">
        <f t="shared" si="17"/>
        <v>0</v>
      </c>
      <c r="L171" s="4" t="str">
        <f>IFERROR(VLOOKUP(ROWS($L$2:L171),$B$2:$C$1996,2,0),"")</f>
        <v>ΤΑΠΑ PPR</v>
      </c>
      <c r="N171" s="2" t="str">
        <f>IFERROR(VLOOKUP(ROWS($N$2:N171),$D$2:$E$1996,2,0),"")</f>
        <v>ΘΗΛ Φ32</v>
      </c>
    </row>
    <row r="172" spans="1:14">
      <c r="A172" s="5">
        <v>96</v>
      </c>
      <c r="B172" s="32">
        <f>IF(ISNUMBER(SEARCH('Φόρμα Εισαγωγής'!$B$2,C172)),MAX($B$1:B171)+1,0)</f>
        <v>171</v>
      </c>
      <c r="C172" s="7" t="s">
        <v>717</v>
      </c>
      <c r="D172" s="33">
        <f>IF(ISNUMBER(SEARCH('Φόρμα Εισαγωγής'!$C$2,E172)),MAX($D$1:D171)+1,0)</f>
        <v>171</v>
      </c>
      <c r="E172" s="17" t="s">
        <v>142</v>
      </c>
      <c r="F172" s="5">
        <v>1.17</v>
      </c>
      <c r="G172" s="5">
        <v>1.65</v>
      </c>
      <c r="H172" s="6">
        <f t="shared" si="15"/>
        <v>2.0459999999999998</v>
      </c>
      <c r="I172" s="6">
        <f t="shared" si="16"/>
        <v>112.32</v>
      </c>
      <c r="J172" s="6">
        <f t="shared" si="17"/>
        <v>196.416</v>
      </c>
      <c r="L172" s="4" t="str">
        <f>IFERROR(VLOOKUP(ROWS($L$2:L172),$B$2:$C$1996,2,0),"")</f>
        <v>ΓΩΝΙΑ PPR ΘΗΛΥΚΗ</v>
      </c>
      <c r="N172" s="2" t="str">
        <f>IFERROR(VLOOKUP(ROWS($N$2:N172),$D$2:$E$1996,2,0),"")</f>
        <v>ΘΗΛ Φ20 Χ 1/2</v>
      </c>
    </row>
    <row r="173" spans="1:14">
      <c r="A173" s="5">
        <v>4</v>
      </c>
      <c r="B173" s="32">
        <f>IF(ISNUMBER(SEARCH('Φόρμα Εισαγωγής'!$B$2,C173)),MAX($B$1:B172)+1,0)</f>
        <v>172</v>
      </c>
      <c r="C173" s="7" t="s">
        <v>717</v>
      </c>
      <c r="D173" s="33">
        <f>IF(ISNUMBER(SEARCH('Φόρμα Εισαγωγής'!$C$2,E173)),MAX($D$1:D172)+1,0)</f>
        <v>172</v>
      </c>
      <c r="E173" s="17" t="s">
        <v>143</v>
      </c>
      <c r="F173" s="5">
        <v>1.77</v>
      </c>
      <c r="G173" s="5">
        <v>2.5</v>
      </c>
      <c r="H173" s="6">
        <f t="shared" si="15"/>
        <v>3.1</v>
      </c>
      <c r="I173" s="6">
        <f t="shared" si="16"/>
        <v>7.08</v>
      </c>
      <c r="J173" s="6">
        <f t="shared" si="17"/>
        <v>12.4</v>
      </c>
      <c r="L173" s="4" t="str">
        <f>IFERROR(VLOOKUP(ROWS($L$2:L173),$B$2:$C$1996,2,0),"")</f>
        <v>ΓΩΝΙΑ PPR ΘΗΛΥΚΗ</v>
      </c>
      <c r="N173" s="2" t="str">
        <f>IFERROR(VLOOKUP(ROWS($N$2:N173),$D$2:$E$1996,2,0),"")</f>
        <v>ΘΗΛ Φ25 Χ 3/4</v>
      </c>
    </row>
    <row r="174" spans="1:14">
      <c r="A174" s="5">
        <v>0</v>
      </c>
      <c r="B174" s="32">
        <f>IF(ISNUMBER(SEARCH('Φόρμα Εισαγωγής'!$B$2,C174)),MAX($B$1:B173)+1,0)</f>
        <v>173</v>
      </c>
      <c r="C174" s="7" t="s">
        <v>717</v>
      </c>
      <c r="D174" s="33">
        <f>IF(ISNUMBER(SEARCH('Φόρμα Εισαγωγής'!$C$2,E174)),MAX($D$1:D173)+1,0)</f>
        <v>173</v>
      </c>
      <c r="E174" s="17" t="s">
        <v>144</v>
      </c>
      <c r="F174" s="5">
        <v>3.17</v>
      </c>
      <c r="G174" s="5">
        <v>4.45</v>
      </c>
      <c r="H174" s="6">
        <f t="shared" si="15"/>
        <v>5.5180000000000007</v>
      </c>
      <c r="I174" s="6">
        <f t="shared" si="16"/>
        <v>0</v>
      </c>
      <c r="J174" s="6">
        <f t="shared" si="17"/>
        <v>0</v>
      </c>
      <c r="L174" s="4" t="str">
        <f>IFERROR(VLOOKUP(ROWS($L$2:L174),$B$2:$C$1996,2,0),"")</f>
        <v>ΓΩΝΙΑ PPR ΘΗΛΥΚΗ</v>
      </c>
      <c r="N174" s="2" t="str">
        <f>IFERROR(VLOOKUP(ROWS($N$2:N174),$D$2:$E$1996,2,0),"")</f>
        <v>ΘΗΛ Φ32 Χ 1''</v>
      </c>
    </row>
    <row r="175" spans="1:14">
      <c r="A175" s="5">
        <v>11</v>
      </c>
      <c r="B175" s="32">
        <f>IF(ISNUMBER(SEARCH('Φόρμα Εισαγωγής'!$B$2,C175)),MAX($B$1:B174)+1,0)</f>
        <v>174</v>
      </c>
      <c r="C175" s="7" t="s">
        <v>717</v>
      </c>
      <c r="D175" s="33">
        <f>IF(ISNUMBER(SEARCH('Φόρμα Εισαγωγής'!$C$2,E175)),MAX($D$1:D174)+1,0)</f>
        <v>174</v>
      </c>
      <c r="E175" s="17" t="s">
        <v>151</v>
      </c>
      <c r="F175" s="5">
        <v>1.25</v>
      </c>
      <c r="G175" s="5">
        <v>1.8</v>
      </c>
      <c r="H175" s="6">
        <f t="shared" si="15"/>
        <v>2.2320000000000002</v>
      </c>
      <c r="I175" s="6">
        <f t="shared" si="16"/>
        <v>13.75</v>
      </c>
      <c r="J175" s="6">
        <f t="shared" si="17"/>
        <v>24.552000000000003</v>
      </c>
      <c r="L175" s="4" t="str">
        <f>IFERROR(VLOOKUP(ROWS($L$2:L175),$B$2:$C$1996,2,0),"")</f>
        <v>ΓΩΝΙΑ PPR ΘΗΛΥΚΗ</v>
      </c>
      <c r="N175" s="2" t="str">
        <f>IFERROR(VLOOKUP(ROWS($N$2:N175),$D$2:$E$1996,2,0),"")</f>
        <v>ΘΗΛ Μ.ΑΥΤΙΑ Φ20 Χ 1/2</v>
      </c>
    </row>
    <row r="176" spans="1:14">
      <c r="A176" s="5">
        <v>0</v>
      </c>
      <c r="B176" s="32">
        <f>IF(ISNUMBER(SEARCH('Φόρμα Εισαγωγής'!$B$2,C176)),MAX($B$1:B175)+1,0)</f>
        <v>175</v>
      </c>
      <c r="C176" s="7" t="s">
        <v>717</v>
      </c>
      <c r="D176" s="33">
        <f>IF(ISNUMBER(SEARCH('Φόρμα Εισαγωγής'!$C$2,E176)),MAX($D$1:D175)+1,0)</f>
        <v>175</v>
      </c>
      <c r="E176" s="17" t="s">
        <v>152</v>
      </c>
      <c r="H176" s="6">
        <f t="shared" si="15"/>
        <v>0</v>
      </c>
      <c r="I176" s="6">
        <f t="shared" si="16"/>
        <v>0</v>
      </c>
      <c r="J176" s="6">
        <f t="shared" si="17"/>
        <v>0</v>
      </c>
      <c r="L176" s="4" t="str">
        <f>IFERROR(VLOOKUP(ROWS($L$2:L176),$B$2:$C$1996,2,0),"")</f>
        <v>ΓΩΝΙΑ PPR ΘΗΛΥΚΗ</v>
      </c>
      <c r="N176" s="2" t="str">
        <f>IFERROR(VLOOKUP(ROWS($N$2:N176),$D$2:$E$1996,2,0),"")</f>
        <v>ΘΗΛ Μ.ΑΥΤΙΑ Φ25 Χ 3/4</v>
      </c>
    </row>
    <row r="177" spans="1:14">
      <c r="A177" s="5">
        <v>0</v>
      </c>
      <c r="B177" s="32">
        <f>IF(ISNUMBER(SEARCH('Φόρμα Εισαγωγής'!$B$2,C177)),MAX($B$1:B176)+1,0)</f>
        <v>176</v>
      </c>
      <c r="C177" s="7" t="s">
        <v>717</v>
      </c>
      <c r="D177" s="33">
        <f>IF(ISNUMBER(SEARCH('Φόρμα Εισαγωγής'!$C$2,E177)),MAX($D$1:D176)+1,0)</f>
        <v>176</v>
      </c>
      <c r="E177" s="17" t="s">
        <v>153</v>
      </c>
      <c r="H177" s="6">
        <f t="shared" si="15"/>
        <v>0</v>
      </c>
      <c r="I177" s="6">
        <f t="shared" si="16"/>
        <v>0</v>
      </c>
      <c r="J177" s="6">
        <f t="shared" si="17"/>
        <v>0</v>
      </c>
      <c r="L177" s="4" t="str">
        <f>IFERROR(VLOOKUP(ROWS($L$2:L177),$B$2:$C$1996,2,0),"")</f>
        <v>ΓΩΝΙΑ PPR ΘΗΛΥΚΗ</v>
      </c>
      <c r="N177" s="2" t="str">
        <f>IFERROR(VLOOKUP(ROWS($N$2:N177),$D$2:$E$1996,2,0),"")</f>
        <v>ΘΗΛ Μ.ΑΥΤΙΑ Φ32 Χ 1''</v>
      </c>
    </row>
    <row r="178" spans="1:14" ht="18" customHeight="1">
      <c r="A178" s="5">
        <v>64</v>
      </c>
      <c r="B178" s="32">
        <f>IF(ISNUMBER(SEARCH('Φόρμα Εισαγωγής'!$B$2,C178)),MAX($B$1:B177)+1,0)</f>
        <v>177</v>
      </c>
      <c r="C178" s="7" t="s">
        <v>130</v>
      </c>
      <c r="D178" s="33">
        <f>IF(ISNUMBER(SEARCH('Φόρμα Εισαγωγής'!$C$2,E178)),MAX($D$1:D177)+1,0)</f>
        <v>177</v>
      </c>
      <c r="E178" s="17" t="s">
        <v>148</v>
      </c>
      <c r="F178" s="5">
        <v>1.39</v>
      </c>
      <c r="G178" s="5">
        <v>2</v>
      </c>
      <c r="H178" s="6">
        <f t="shared" si="15"/>
        <v>2.48</v>
      </c>
      <c r="I178" s="6">
        <f t="shared" si="16"/>
        <v>88.96</v>
      </c>
      <c r="J178" s="6">
        <f t="shared" si="17"/>
        <v>158.72</v>
      </c>
      <c r="L178" s="4" t="str">
        <f>IFERROR(VLOOKUP(ROWS($L$2:L178),$B$2:$C$1996,2,0),"")</f>
        <v xml:space="preserve">ΤΑΦ PPR </v>
      </c>
      <c r="N178" s="2" t="str">
        <f>IFERROR(VLOOKUP(ROWS($N$2:N178),$D$2:$E$1996,2,0),"")</f>
        <v>Μ. ΠΑΡΟΧΗ Φ20 Χ 1/2</v>
      </c>
    </row>
    <row r="179" spans="1:14" ht="17.45" customHeight="1">
      <c r="A179" s="5">
        <v>1</v>
      </c>
      <c r="B179" s="32">
        <f>IF(ISNUMBER(SEARCH('Φόρμα Εισαγωγής'!$B$2,C179)),MAX($B$1:B178)+1,0)</f>
        <v>178</v>
      </c>
      <c r="C179" s="7" t="s">
        <v>130</v>
      </c>
      <c r="D179" s="33">
        <f>IF(ISNUMBER(SEARCH('Φόρμα Εισαγωγής'!$C$2,E179)),MAX($D$1:D178)+1,0)</f>
        <v>178</v>
      </c>
      <c r="E179" s="17" t="s">
        <v>149</v>
      </c>
      <c r="F179" s="5">
        <v>2.1</v>
      </c>
      <c r="G179" s="5">
        <v>3</v>
      </c>
      <c r="H179" s="6">
        <f t="shared" si="15"/>
        <v>3.7199999999999998</v>
      </c>
      <c r="I179" s="6">
        <f t="shared" si="16"/>
        <v>2.1</v>
      </c>
      <c r="J179" s="6">
        <f t="shared" si="17"/>
        <v>3.7199999999999998</v>
      </c>
      <c r="L179" s="4" t="str">
        <f>IFERROR(VLOOKUP(ROWS($L$2:L179),$B$2:$C$1996,2,0),"")</f>
        <v xml:space="preserve">ΤΑΦ PPR </v>
      </c>
      <c r="N179" s="2" t="str">
        <f>IFERROR(VLOOKUP(ROWS($N$2:N179),$D$2:$E$1996,2,0),"")</f>
        <v>Μ. ΠΑΡΟΧΗ Φ25 Χ 3/4</v>
      </c>
    </row>
    <row r="180" spans="1:14">
      <c r="A180" s="5">
        <v>0</v>
      </c>
      <c r="B180" s="32">
        <f>IF(ISNUMBER(SEARCH('Φόρμα Εισαγωγής'!$B$2,C180)),MAX($B$1:B179)+1,0)</f>
        <v>179</v>
      </c>
      <c r="C180" s="7" t="s">
        <v>130</v>
      </c>
      <c r="D180" s="33">
        <f>IF(ISNUMBER(SEARCH('Φόρμα Εισαγωγής'!$C$2,E180)),MAX($D$1:D179)+1,0)</f>
        <v>179</v>
      </c>
      <c r="E180" s="17" t="s">
        <v>150</v>
      </c>
      <c r="F180" s="5">
        <v>4</v>
      </c>
      <c r="G180" s="5">
        <v>5.6</v>
      </c>
      <c r="H180" s="6">
        <f t="shared" si="15"/>
        <v>6.9439999999999991</v>
      </c>
      <c r="I180" s="6">
        <f t="shared" si="16"/>
        <v>0</v>
      </c>
      <c r="J180" s="6">
        <f t="shared" si="17"/>
        <v>0</v>
      </c>
      <c r="L180" s="4" t="str">
        <f>IFERROR(VLOOKUP(ROWS($L$2:L180),$B$2:$C$1996,2,0),"")</f>
        <v xml:space="preserve">ΤΑΦ PPR </v>
      </c>
      <c r="N180" s="2" t="str">
        <f>IFERROR(VLOOKUP(ROWS($N$2:N180),$D$2:$E$1996,2,0),"")</f>
        <v>Μ. ΠΑΡΟΧΗ Φ32 Χ 1''</v>
      </c>
    </row>
    <row r="181" spans="1:14">
      <c r="A181" s="5">
        <v>81</v>
      </c>
      <c r="B181" s="32">
        <f>IF(ISNUMBER(SEARCH('Φόρμα Εισαγωγής'!$B$2,C181)),MAX($B$1:B180)+1,0)</f>
        <v>180</v>
      </c>
      <c r="C181" s="7" t="s">
        <v>131</v>
      </c>
      <c r="D181" s="33">
        <f>IF(ISNUMBER(SEARCH('Φόρμα Εισαγωγής'!$C$2,E181)),MAX($D$1:D180)+1,0)</f>
        <v>180</v>
      </c>
      <c r="E181" s="17" t="s">
        <v>145</v>
      </c>
      <c r="F181" s="5">
        <v>1.22</v>
      </c>
      <c r="G181" s="5">
        <v>1.7</v>
      </c>
      <c r="H181" s="6">
        <f t="shared" si="15"/>
        <v>2.1080000000000001</v>
      </c>
      <c r="I181" s="6">
        <f t="shared" si="16"/>
        <v>98.82</v>
      </c>
      <c r="J181" s="6">
        <f t="shared" si="17"/>
        <v>170.74800000000002</v>
      </c>
      <c r="L181" s="4" t="str">
        <f>IFERROR(VLOOKUP(ROWS($L$2:L181),$B$2:$C$1996,2,0),"")</f>
        <v>ΜΑΣΤΟΣ PPR</v>
      </c>
      <c r="N181" s="2" t="str">
        <f>IFERROR(VLOOKUP(ROWS($N$2:N181),$D$2:$E$1996,2,0),"")</f>
        <v>ΑΡΣ Φ20 Χ 1/2</v>
      </c>
    </row>
    <row r="182" spans="1:14">
      <c r="A182" s="5">
        <v>5</v>
      </c>
      <c r="B182" s="32">
        <f>IF(ISNUMBER(SEARCH('Φόρμα Εισαγωγής'!$B$2,C182)),MAX($B$1:B181)+1,0)</f>
        <v>181</v>
      </c>
      <c r="C182" s="7" t="s">
        <v>131</v>
      </c>
      <c r="D182" s="33">
        <f>IF(ISNUMBER(SEARCH('Φόρμα Εισαγωγής'!$C$2,E182)),MAX($D$1:D181)+1,0)</f>
        <v>181</v>
      </c>
      <c r="E182" s="17" t="s">
        <v>146</v>
      </c>
      <c r="F182" s="5">
        <v>1.94</v>
      </c>
      <c r="G182" s="5">
        <v>2.75</v>
      </c>
      <c r="H182" s="6">
        <f t="shared" si="15"/>
        <v>3.41</v>
      </c>
      <c r="I182" s="6">
        <f t="shared" si="16"/>
        <v>9.6999999999999993</v>
      </c>
      <c r="J182" s="6">
        <f t="shared" si="17"/>
        <v>17.05</v>
      </c>
      <c r="L182" s="4" t="str">
        <f>IFERROR(VLOOKUP(ROWS($L$2:L182),$B$2:$C$1996,2,0),"")</f>
        <v>ΜΑΣΤΟΣ PPR</v>
      </c>
      <c r="N182" s="2" t="str">
        <f>IFERROR(VLOOKUP(ROWS($N$2:N182),$D$2:$E$1996,2,0),"")</f>
        <v>ΑΡΣ Φ25 Χ 3/4</v>
      </c>
    </row>
    <row r="183" spans="1:14">
      <c r="A183" s="5">
        <v>20</v>
      </c>
      <c r="B183" s="32">
        <f>IF(ISNUMBER(SEARCH('Φόρμα Εισαγωγής'!$B$2,C183)),MAX($B$1:B182)+1,0)</f>
        <v>182</v>
      </c>
      <c r="C183" s="7" t="s">
        <v>131</v>
      </c>
      <c r="D183" s="33">
        <f>IF(ISNUMBER(SEARCH('Φόρμα Εισαγωγής'!$C$2,E183)),MAX($D$1:D182)+1,0)</f>
        <v>182</v>
      </c>
      <c r="E183" s="17" t="s">
        <v>147</v>
      </c>
      <c r="F183" s="5">
        <v>3.85</v>
      </c>
      <c r="G183" s="5">
        <v>5.4</v>
      </c>
      <c r="H183" s="6">
        <f t="shared" si="15"/>
        <v>6.6960000000000006</v>
      </c>
      <c r="I183" s="6">
        <f t="shared" si="16"/>
        <v>77</v>
      </c>
      <c r="J183" s="6">
        <f t="shared" si="17"/>
        <v>133.92000000000002</v>
      </c>
      <c r="L183" s="4" t="str">
        <f>IFERROR(VLOOKUP(ROWS($L$2:L183),$B$2:$C$1996,2,0),"")</f>
        <v>ΜΑΣΤΟΣ PPR</v>
      </c>
      <c r="N183" s="2" t="str">
        <f>IFERROR(VLOOKUP(ROWS($N$2:N183),$D$2:$E$1996,2,0),"")</f>
        <v>ΑΡΣ Φ32 Χ 1''</v>
      </c>
    </row>
    <row r="184" spans="1:14">
      <c r="A184" s="5">
        <v>46</v>
      </c>
      <c r="B184" s="32">
        <f>IF(ISNUMBER(SEARCH('Φόρμα Εισαγωγής'!$B$2,C184)),MAX($B$1:B183)+1,0)</f>
        <v>183</v>
      </c>
      <c r="C184" s="7" t="s">
        <v>131</v>
      </c>
      <c r="D184" s="33">
        <f>IF(ISNUMBER(SEARCH('Φόρμα Εισαγωγής'!$C$2,E184)),MAX($D$1:D183)+1,0)</f>
        <v>183</v>
      </c>
      <c r="E184" s="17" t="s">
        <v>142</v>
      </c>
      <c r="F184" s="5">
        <v>1.2</v>
      </c>
      <c r="G184" s="5">
        <v>1.6</v>
      </c>
      <c r="H184" s="6">
        <f t="shared" si="15"/>
        <v>1.984</v>
      </c>
      <c r="I184" s="6">
        <f t="shared" si="16"/>
        <v>55.199999999999996</v>
      </c>
      <c r="J184" s="6">
        <f t="shared" si="17"/>
        <v>91.263999999999996</v>
      </c>
      <c r="L184" s="4" t="str">
        <f>IFERROR(VLOOKUP(ROWS($L$2:L184),$B$2:$C$1996,2,0),"")</f>
        <v>ΜΑΣΤΟΣ PPR</v>
      </c>
      <c r="N184" s="2" t="str">
        <f>IFERROR(VLOOKUP(ROWS($N$2:N184),$D$2:$E$1996,2,0),"")</f>
        <v>ΘΗΛ Φ20 Χ 1/2</v>
      </c>
    </row>
    <row r="185" spans="1:14">
      <c r="A185" s="5">
        <v>0</v>
      </c>
      <c r="B185" s="32">
        <f>IF(ISNUMBER(SEARCH('Φόρμα Εισαγωγής'!$B$2,C185)),MAX($B$1:B184)+1,0)</f>
        <v>184</v>
      </c>
      <c r="C185" s="7" t="s">
        <v>131</v>
      </c>
      <c r="D185" s="33">
        <f>IF(ISNUMBER(SEARCH('Φόρμα Εισαγωγής'!$C$2,E185)),MAX($D$1:D184)+1,0)</f>
        <v>184</v>
      </c>
      <c r="E185" s="17" t="s">
        <v>143</v>
      </c>
      <c r="F185" s="5">
        <v>1.58</v>
      </c>
      <c r="G185" s="5">
        <v>2.2000000000000002</v>
      </c>
      <c r="H185" s="6">
        <f t="shared" si="15"/>
        <v>2.7280000000000002</v>
      </c>
      <c r="I185" s="6">
        <f t="shared" si="16"/>
        <v>0</v>
      </c>
      <c r="J185" s="6">
        <f t="shared" si="17"/>
        <v>0</v>
      </c>
      <c r="L185" s="4" t="str">
        <f>IFERROR(VLOOKUP(ROWS($L$2:L185),$B$2:$C$1996,2,0),"")</f>
        <v>ΜΑΣΤΟΣ PPR</v>
      </c>
      <c r="N185" s="2" t="str">
        <f>IFERROR(VLOOKUP(ROWS($N$2:N185),$D$2:$E$1996,2,0),"")</f>
        <v>ΘΗΛ Φ25 Χ 3/4</v>
      </c>
    </row>
    <row r="186" spans="1:14">
      <c r="A186" s="5">
        <v>0</v>
      </c>
      <c r="B186" s="32">
        <f>IF(ISNUMBER(SEARCH('Φόρμα Εισαγωγής'!$B$2,C186)),MAX($B$1:B185)+1,0)</f>
        <v>185</v>
      </c>
      <c r="C186" s="7" t="s">
        <v>131</v>
      </c>
      <c r="D186" s="33">
        <f>IF(ISNUMBER(SEARCH('Φόρμα Εισαγωγής'!$C$2,E186)),MAX($D$1:D185)+1,0)</f>
        <v>185</v>
      </c>
      <c r="E186" s="17" t="s">
        <v>144</v>
      </c>
      <c r="F186" s="5">
        <v>3.1</v>
      </c>
      <c r="G186" s="5">
        <v>4.3499999999999996</v>
      </c>
      <c r="H186" s="6">
        <f t="shared" si="15"/>
        <v>5.3939999999999992</v>
      </c>
      <c r="I186" s="6">
        <f t="shared" si="16"/>
        <v>0</v>
      </c>
      <c r="J186" s="6">
        <f t="shared" si="17"/>
        <v>0</v>
      </c>
      <c r="L186" s="4" t="str">
        <f>IFERROR(VLOOKUP(ROWS($L$2:L186),$B$2:$C$1996,2,0),"")</f>
        <v>ΜΑΣΤΟΣ PPR</v>
      </c>
      <c r="N186" s="2" t="str">
        <f>IFERROR(VLOOKUP(ROWS($N$2:N186),$D$2:$E$1996,2,0),"")</f>
        <v>ΘΗΛ Φ32 Χ 1''</v>
      </c>
    </row>
    <row r="187" spans="1:14">
      <c r="A187" s="5">
        <v>20</v>
      </c>
      <c r="B187" s="32">
        <f>IF(ISNUMBER(SEARCH('Φόρμα Εισαγωγής'!$B$2,C187)),MAX($B$1:B186)+1,0)</f>
        <v>186</v>
      </c>
      <c r="C187" s="7" t="s">
        <v>132</v>
      </c>
      <c r="D187" s="33">
        <f>IF(ISNUMBER(SEARCH('Φόρμα Εισαγωγής'!$C$2,E187)),MAX($D$1:D186)+1,0)</f>
        <v>186</v>
      </c>
      <c r="E187" s="17" t="s">
        <v>133</v>
      </c>
      <c r="F187" s="5">
        <v>9.25</v>
      </c>
      <c r="G187" s="5">
        <v>13</v>
      </c>
      <c r="H187" s="6">
        <f t="shared" si="15"/>
        <v>16.12</v>
      </c>
      <c r="I187" s="6">
        <f t="shared" si="16"/>
        <v>185</v>
      </c>
      <c r="J187" s="6">
        <f t="shared" si="17"/>
        <v>322.40000000000003</v>
      </c>
      <c r="L187" s="4" t="str">
        <f>IFERROR(VLOOKUP(ROWS($L$2:L187),$B$2:$C$1996,2,0),"")</f>
        <v xml:space="preserve">ΒΑΝΑ PPR </v>
      </c>
      <c r="N187" s="2" t="str">
        <f>IFERROR(VLOOKUP(ROWS($N$2:N187),$D$2:$E$1996,2,0),"")</f>
        <v>ΕΝΤΟΙΧ. Φ20</v>
      </c>
    </row>
    <row r="188" spans="1:14">
      <c r="A188" s="5">
        <v>0</v>
      </c>
      <c r="B188" s="32">
        <f>IF(ISNUMBER(SEARCH('Φόρμα Εισαγωγής'!$B$2,C188)),MAX($B$1:B187)+1,0)</f>
        <v>187</v>
      </c>
      <c r="C188" s="7" t="s">
        <v>132</v>
      </c>
      <c r="D188" s="33">
        <f>IF(ISNUMBER(SEARCH('Φόρμα Εισαγωγής'!$C$2,E188)),MAX($D$1:D187)+1,0)</f>
        <v>187</v>
      </c>
      <c r="E188" s="17" t="s">
        <v>134</v>
      </c>
      <c r="F188" s="5">
        <v>12.7</v>
      </c>
      <c r="G188" s="5">
        <v>18</v>
      </c>
      <c r="H188" s="6">
        <f t="shared" si="15"/>
        <v>22.32</v>
      </c>
      <c r="I188" s="6">
        <f t="shared" si="16"/>
        <v>0</v>
      </c>
      <c r="J188" s="6">
        <f t="shared" si="17"/>
        <v>0</v>
      </c>
      <c r="L188" s="4" t="str">
        <f>IFERROR(VLOOKUP(ROWS($L$2:L188),$B$2:$C$1996,2,0),"")</f>
        <v xml:space="preserve">ΒΑΝΑ PPR </v>
      </c>
      <c r="N188" s="2" t="str">
        <f>IFERROR(VLOOKUP(ROWS($N$2:N188),$D$2:$E$1996,2,0),"")</f>
        <v>ΕΝΤΟΙΧ. Φ25</v>
      </c>
    </row>
    <row r="189" spans="1:14">
      <c r="A189" s="5">
        <v>0</v>
      </c>
      <c r="B189" s="32">
        <f>IF(ISNUMBER(SEARCH('Φόρμα Εισαγωγής'!$B$2,C189)),MAX($B$1:B188)+1,0)</f>
        <v>188</v>
      </c>
      <c r="C189" s="7" t="s">
        <v>132</v>
      </c>
      <c r="D189" s="33">
        <f>IF(ISNUMBER(SEARCH('Φόρμα Εισαγωγής'!$C$2,E189)),MAX($D$1:D188)+1,0)</f>
        <v>188</v>
      </c>
      <c r="E189" s="17" t="s">
        <v>135</v>
      </c>
      <c r="F189" s="5">
        <v>14.2</v>
      </c>
      <c r="G189" s="5">
        <v>20</v>
      </c>
      <c r="H189" s="6">
        <f t="shared" si="15"/>
        <v>24.8</v>
      </c>
      <c r="I189" s="6">
        <f t="shared" si="16"/>
        <v>0</v>
      </c>
      <c r="J189" s="6">
        <f t="shared" si="17"/>
        <v>0</v>
      </c>
      <c r="L189" s="4" t="str">
        <f>IFERROR(VLOOKUP(ROWS($L$2:L189),$B$2:$C$1996,2,0),"")</f>
        <v xml:space="preserve">ΒΑΝΑ PPR </v>
      </c>
      <c r="N189" s="2" t="str">
        <f>IFERROR(VLOOKUP(ROWS($N$2:N189),$D$2:$E$1996,2,0),"")</f>
        <v>ΕΝΤΟΙΧ. Φ32</v>
      </c>
    </row>
    <row r="190" spans="1:14">
      <c r="A190" s="5">
        <v>202</v>
      </c>
      <c r="B190" s="32">
        <f>IF(ISNUMBER(SEARCH('Φόρμα Εισαγωγής'!$B$2,C190)),MAX($B$1:B189)+1,0)</f>
        <v>189</v>
      </c>
      <c r="C190" s="7" t="s">
        <v>136</v>
      </c>
      <c r="D190" s="33">
        <f>IF(ISNUMBER(SEARCH('Φόρμα Εισαγωγής'!$C$2,E190)),MAX($D$1:D189)+1,0)</f>
        <v>189</v>
      </c>
      <c r="E190" s="17" t="s">
        <v>137</v>
      </c>
      <c r="F190" s="5">
        <v>0.1</v>
      </c>
      <c r="G190" s="5">
        <v>0.14000000000000001</v>
      </c>
      <c r="H190" s="6">
        <f t="shared" si="15"/>
        <v>0.17360000000000003</v>
      </c>
      <c r="I190" s="6">
        <f t="shared" si="16"/>
        <v>20.200000000000003</v>
      </c>
      <c r="J190" s="6">
        <f t="shared" si="17"/>
        <v>35.067200000000007</v>
      </c>
      <c r="L190" s="4" t="str">
        <f>IFERROR(VLOOKUP(ROWS($L$2:L190),$B$2:$C$1996,2,0),"")</f>
        <v>ΣΤΗΡΙΓΜΑΤΑ PPR</v>
      </c>
      <c r="N190" s="2" t="str">
        <f>IFERROR(VLOOKUP(ROWS($N$2:N190),$D$2:$E$1996,2,0),"")</f>
        <v xml:space="preserve">Φ20 </v>
      </c>
    </row>
    <row r="191" spans="1:14">
      <c r="A191" s="5">
        <v>153</v>
      </c>
      <c r="B191" s="32">
        <f>IF(ISNUMBER(SEARCH('Φόρμα Εισαγωγής'!$B$2,C191)),MAX($B$1:B190)+1,0)</f>
        <v>190</v>
      </c>
      <c r="C191" s="7" t="s">
        <v>136</v>
      </c>
      <c r="D191" s="33">
        <f>IF(ISNUMBER(SEARCH('Φόρμα Εισαγωγής'!$C$2,E191)),MAX($D$1:D190)+1,0)</f>
        <v>190</v>
      </c>
      <c r="E191" s="17" t="s">
        <v>119</v>
      </c>
      <c r="F191" s="5">
        <v>0.11</v>
      </c>
      <c r="G191" s="5">
        <v>0.16</v>
      </c>
      <c r="H191" s="6">
        <f t="shared" si="15"/>
        <v>0.19839999999999999</v>
      </c>
      <c r="I191" s="6">
        <f t="shared" si="16"/>
        <v>16.830000000000002</v>
      </c>
      <c r="J191" s="6">
        <f t="shared" si="17"/>
        <v>30.3552</v>
      </c>
      <c r="L191" s="4" t="str">
        <f>IFERROR(VLOOKUP(ROWS($L$2:L191),$B$2:$C$1996,2,0),"")</f>
        <v>ΣΤΗΡΙΓΜΑΤΑ PPR</v>
      </c>
      <c r="N191" s="2" t="str">
        <f>IFERROR(VLOOKUP(ROWS($N$2:N191),$D$2:$E$1996,2,0),"")</f>
        <v>Φ25</v>
      </c>
    </row>
    <row r="192" spans="1:14">
      <c r="A192" s="5">
        <v>1</v>
      </c>
      <c r="B192" s="32">
        <f>IF(ISNUMBER(SEARCH('Φόρμα Εισαγωγής'!$B$2,C192)),MAX($B$1:B191)+1,0)</f>
        <v>191</v>
      </c>
      <c r="C192" s="7" t="s">
        <v>136</v>
      </c>
      <c r="D192" s="33">
        <f>IF(ISNUMBER(SEARCH('Φόρμα Εισαγωγής'!$C$2,E192)),MAX($D$1:D191)+1,0)</f>
        <v>191</v>
      </c>
      <c r="E192" s="17" t="s">
        <v>120</v>
      </c>
      <c r="F192" s="5">
        <v>0.12</v>
      </c>
      <c r="G192" s="5">
        <v>0.17</v>
      </c>
      <c r="H192" s="6">
        <f t="shared" si="15"/>
        <v>0.21080000000000002</v>
      </c>
      <c r="I192" s="6">
        <f t="shared" si="16"/>
        <v>0.12</v>
      </c>
      <c r="J192" s="6">
        <f t="shared" si="17"/>
        <v>0.21080000000000002</v>
      </c>
      <c r="L192" s="4" t="str">
        <f>IFERROR(VLOOKUP(ROWS($L$2:L192),$B$2:$C$1996,2,0),"")</f>
        <v>ΣΤΗΡΙΓΜΑΤΑ PPR</v>
      </c>
      <c r="N192" s="2" t="str">
        <f>IFERROR(VLOOKUP(ROWS($N$2:N192),$D$2:$E$1996,2,0),"")</f>
        <v>Φ32</v>
      </c>
    </row>
    <row r="193" spans="1:14">
      <c r="A193" s="5">
        <v>43</v>
      </c>
      <c r="B193" s="32">
        <f>IF(ISNUMBER(SEARCH('Φόρμα Εισαγωγής'!$B$2,C193)),MAX($B$1:B192)+1,0)</f>
        <v>192</v>
      </c>
      <c r="C193" s="7" t="s">
        <v>138</v>
      </c>
      <c r="D193" s="33">
        <f>IF(ISNUMBER(SEARCH('Φόρμα Εισαγωγής'!$C$2,E193)),MAX($D$1:D192)+1,0)</f>
        <v>192</v>
      </c>
      <c r="E193" s="17" t="s">
        <v>137</v>
      </c>
      <c r="F193" s="5">
        <v>0.49</v>
      </c>
      <c r="G193" s="5">
        <v>0.7</v>
      </c>
      <c r="H193" s="6">
        <f t="shared" si="15"/>
        <v>0.86799999999999988</v>
      </c>
      <c r="I193" s="6">
        <f t="shared" si="16"/>
        <v>21.07</v>
      </c>
      <c r="J193" s="6">
        <f t="shared" si="17"/>
        <v>37.323999999999998</v>
      </c>
      <c r="L193" s="4" t="str">
        <f>IFERROR(VLOOKUP(ROWS($L$2:L193),$B$2:$C$1996,2,0),"")</f>
        <v xml:space="preserve">ΒΕ PPR </v>
      </c>
      <c r="N193" s="2" t="str">
        <f>IFERROR(VLOOKUP(ROWS($N$2:N193),$D$2:$E$1996,2,0),"")</f>
        <v xml:space="preserve">Φ20 </v>
      </c>
    </row>
    <row r="194" spans="1:14">
      <c r="A194" s="5">
        <v>3</v>
      </c>
      <c r="B194" s="32">
        <f>IF(ISNUMBER(SEARCH('Φόρμα Εισαγωγής'!$B$2,C194)),MAX($B$1:B193)+1,0)</f>
        <v>193</v>
      </c>
      <c r="C194" s="7" t="s">
        <v>138</v>
      </c>
      <c r="D194" s="33">
        <f>IF(ISNUMBER(SEARCH('Φόρμα Εισαγωγής'!$C$2,E194)),MAX($D$1:D193)+1,0)</f>
        <v>193</v>
      </c>
      <c r="E194" s="17" t="s">
        <v>119</v>
      </c>
      <c r="F194" s="5">
        <v>0.74</v>
      </c>
      <c r="G194" s="5">
        <v>1.1000000000000001</v>
      </c>
      <c r="H194" s="6">
        <f t="shared" si="15"/>
        <v>1.3640000000000001</v>
      </c>
      <c r="I194" s="6">
        <f t="shared" si="16"/>
        <v>2.2199999999999998</v>
      </c>
      <c r="J194" s="6">
        <f t="shared" si="17"/>
        <v>4.0920000000000005</v>
      </c>
      <c r="L194" s="4" t="str">
        <f>IFERROR(VLOOKUP(ROWS($L$2:L194),$B$2:$C$1996,2,0),"")</f>
        <v xml:space="preserve">ΒΕ PPR </v>
      </c>
      <c r="N194" s="2" t="str">
        <f>IFERROR(VLOOKUP(ROWS($N$2:N194),$D$2:$E$1996,2,0),"")</f>
        <v>Φ25</v>
      </c>
    </row>
    <row r="195" spans="1:14">
      <c r="A195" s="5">
        <v>0</v>
      </c>
      <c r="B195" s="32">
        <f>IF(ISNUMBER(SEARCH('Φόρμα Εισαγωγής'!$B$2,C195)),MAX($B$1:B194)+1,0)</f>
        <v>194</v>
      </c>
      <c r="C195" s="7" t="s">
        <v>138</v>
      </c>
      <c r="D195" s="33">
        <f>IF(ISNUMBER(SEARCH('Φόρμα Εισαγωγής'!$C$2,E195)),MAX($D$1:D194)+1,0)</f>
        <v>194</v>
      </c>
      <c r="E195" s="17" t="s">
        <v>120</v>
      </c>
      <c r="F195" s="5">
        <v>0.95</v>
      </c>
      <c r="G195" s="5">
        <v>1.35</v>
      </c>
      <c r="H195" s="6">
        <f t="shared" si="15"/>
        <v>1.6740000000000002</v>
      </c>
      <c r="I195" s="6">
        <f t="shared" si="16"/>
        <v>0</v>
      </c>
      <c r="J195" s="6">
        <f t="shared" si="17"/>
        <v>0</v>
      </c>
      <c r="L195" s="4" t="str">
        <f>IFERROR(VLOOKUP(ROWS($L$2:L195),$B$2:$C$1996,2,0),"")</f>
        <v xml:space="preserve">ΒΕ PPR </v>
      </c>
      <c r="N195" s="2" t="str">
        <f>IFERROR(VLOOKUP(ROWS($N$2:N195),$D$2:$E$1996,2,0),"")</f>
        <v>Φ32</v>
      </c>
    </row>
    <row r="196" spans="1:14">
      <c r="A196" s="5">
        <v>4</v>
      </c>
      <c r="B196" s="32">
        <f>IF(ISNUMBER(SEARCH('Φόρμα Εισαγωγής'!$B$2,C196)),MAX($B$1:B195)+1,0)</f>
        <v>195</v>
      </c>
      <c r="C196" s="7" t="s">
        <v>139</v>
      </c>
      <c r="D196" s="33">
        <f>IF(ISNUMBER(SEARCH('Φόρμα Εισαγωγής'!$C$2,E196)),MAX($D$1:D195)+1,0)</f>
        <v>195</v>
      </c>
      <c r="E196" s="17" t="s">
        <v>140</v>
      </c>
      <c r="F196" s="5">
        <v>4.95</v>
      </c>
      <c r="G196" s="5">
        <v>7</v>
      </c>
      <c r="H196" s="6">
        <f t="shared" si="15"/>
        <v>8.68</v>
      </c>
      <c r="I196" s="6">
        <f t="shared" si="16"/>
        <v>19.8</v>
      </c>
      <c r="J196" s="6">
        <f t="shared" si="17"/>
        <v>34.72</v>
      </c>
      <c r="L196" s="4" t="str">
        <f>IFERROR(VLOOKUP(ROWS($L$2:L196),$B$2:$C$1996,2,0),"")</f>
        <v>ΒΑΣΗ ΥΔΡ. PPR</v>
      </c>
      <c r="N196" s="2" t="str">
        <f>IFERROR(VLOOKUP(ROWS($N$2:N196),$D$2:$E$1996,2,0),"")</f>
        <v>Φ20 Χ 1/2</v>
      </c>
    </row>
    <row r="197" spans="1:14">
      <c r="A197" s="5">
        <v>80</v>
      </c>
      <c r="B197" s="32">
        <f>IF(ISNUMBER(SEARCH('Φόρμα Εισαγωγής'!$B$2,C197)),MAX($B$1:B196)+1,0)</f>
        <v>196</v>
      </c>
      <c r="C197" s="7" t="s">
        <v>141</v>
      </c>
      <c r="D197" s="33">
        <f>IF(ISNUMBER(SEARCH('Φόρμα Εισαγωγής'!$C$2,E197)),MAX($D$1:D196)+1,0)</f>
        <v>196</v>
      </c>
      <c r="E197" s="17" t="s">
        <v>32</v>
      </c>
      <c r="F197" s="5">
        <v>0.12</v>
      </c>
      <c r="G197" s="5">
        <v>0.2</v>
      </c>
      <c r="H197" s="6">
        <f t="shared" si="15"/>
        <v>0.248</v>
      </c>
      <c r="I197" s="6">
        <f t="shared" si="16"/>
        <v>9.6</v>
      </c>
      <c r="J197" s="6">
        <f t="shared" si="17"/>
        <v>19.84</v>
      </c>
      <c r="L197" s="4" t="str">
        <f>IFERROR(VLOOKUP(ROWS($L$2:L197),$B$2:$C$1996,2,0),"")</f>
        <v>ΤΑΠΕΣ ΔΟΚΙΜΗΣ</v>
      </c>
      <c r="N197" s="2" t="str">
        <f>IFERROR(VLOOKUP(ROWS($N$2:N197),$D$2:$E$1996,2,0),"")</f>
        <v>1/2</v>
      </c>
    </row>
    <row r="198" spans="1:14">
      <c r="A198" s="5">
        <v>21</v>
      </c>
      <c r="B198" s="32">
        <f>IF(ISNUMBER(SEARCH('Φόρμα Εισαγωγής'!$B$2,C198)),MAX($B$1:B197)+1,0)</f>
        <v>197</v>
      </c>
      <c r="C198" s="7" t="s">
        <v>154</v>
      </c>
      <c r="D198" s="33">
        <f>IF(ISNUMBER(SEARCH('Φόρμα Εισαγωγής'!$C$2,E198)),MAX($D$1:D197)+1,0)</f>
        <v>197</v>
      </c>
      <c r="E198" s="17" t="s">
        <v>155</v>
      </c>
      <c r="F198" s="5">
        <v>1.9</v>
      </c>
      <c r="G198" s="5">
        <v>2.7</v>
      </c>
      <c r="H198" s="6">
        <f t="shared" ref="H198:H261" si="18">G198+(G198*0.24)</f>
        <v>3.3480000000000003</v>
      </c>
      <c r="I198" s="6">
        <f t="shared" ref="I198:I261" si="19">F198*A198</f>
        <v>39.9</v>
      </c>
      <c r="J198" s="6">
        <f t="shared" ref="J198:J261" si="20">H198*A198</f>
        <v>70.308000000000007</v>
      </c>
      <c r="L198" s="4" t="str">
        <f>IFERROR(VLOOKUP(ROWS($L$2:L198),$B$2:$C$1996,2,0),"")</f>
        <v>ΒΑΝΑΚΙ ΜΙΝΙ</v>
      </c>
      <c r="N198" s="2" t="str">
        <f>IFERROR(VLOOKUP(ROWS($N$2:N198),$D$2:$E$1996,2,0),"")</f>
        <v xml:space="preserve">Α/Θ 1/2 </v>
      </c>
    </row>
    <row r="199" spans="1:14">
      <c r="A199" s="5">
        <v>8</v>
      </c>
      <c r="B199" s="32">
        <f>IF(ISNUMBER(SEARCH('Φόρμα Εισαγωγής'!$B$2,C199)),MAX($B$1:B198)+1,0)</f>
        <v>198</v>
      </c>
      <c r="C199" s="7" t="s">
        <v>157</v>
      </c>
      <c r="D199" s="33">
        <f>IF(ISNUMBER(SEARCH('Φόρμα Εισαγωγής'!$C$2,E199)),MAX($D$1:D198)+1,0)</f>
        <v>198</v>
      </c>
      <c r="E199" s="17" t="s">
        <v>158</v>
      </c>
      <c r="F199" s="5">
        <v>0.33</v>
      </c>
      <c r="G199" s="5">
        <v>0.47</v>
      </c>
      <c r="H199" s="6">
        <f t="shared" si="18"/>
        <v>0.58279999999999998</v>
      </c>
      <c r="I199" s="6">
        <f t="shared" si="19"/>
        <v>2.64</v>
      </c>
      <c r="J199" s="6">
        <f t="shared" si="20"/>
        <v>4.6623999999999999</v>
      </c>
      <c r="L199" s="4" t="str">
        <f>IFERROR(VLOOKUP(ROWS($L$2:L199),$B$2:$C$1996,2,0),"")</f>
        <v>ΣΥΣΤΟΛIKO ΤΑΦ PPR</v>
      </c>
      <c r="N199" s="2" t="str">
        <f>IFERROR(VLOOKUP(ROWS($N$2:N199),$D$2:$E$1996,2,0),"")</f>
        <v>Φ25 Χ Φ20 Χ Φ25</v>
      </c>
    </row>
    <row r="200" spans="1:14">
      <c r="A200" s="5">
        <v>50</v>
      </c>
      <c r="B200" s="32">
        <f>IF(ISNUMBER(SEARCH('Φόρμα Εισαγωγής'!$B$2,C200)),MAX($B$1:B199)+1,0)</f>
        <v>199</v>
      </c>
      <c r="C200" s="7" t="s">
        <v>156</v>
      </c>
      <c r="D200" s="33">
        <f>IF(ISNUMBER(SEARCH('Φόρμα Εισαγωγής'!$C$2,E200)),MAX($D$1:D199)+1,0)</f>
        <v>199</v>
      </c>
      <c r="E200" s="17" t="s">
        <v>159</v>
      </c>
      <c r="F200" s="5">
        <v>0.3</v>
      </c>
      <c r="G200" s="5">
        <v>0.45</v>
      </c>
      <c r="H200" s="6">
        <f t="shared" si="18"/>
        <v>0.55800000000000005</v>
      </c>
      <c r="I200" s="6">
        <f t="shared" si="19"/>
        <v>15</v>
      </c>
      <c r="J200" s="6">
        <f t="shared" si="20"/>
        <v>27.900000000000002</v>
      </c>
      <c r="L200" s="4" t="str">
        <f>IFERROR(VLOOKUP(ROWS($L$2:L200),$B$2:$C$1996,2,0),"")</f>
        <v>ΣΥΣΤΟΛH  PPR</v>
      </c>
      <c r="N200" s="2" t="str">
        <f>IFERROR(VLOOKUP(ROWS($N$2:N200),$D$2:$E$1996,2,0),"")</f>
        <v xml:space="preserve">Φ32 Χ Φ25 </v>
      </c>
    </row>
    <row r="201" spans="1:14">
      <c r="A201" s="5">
        <v>54</v>
      </c>
      <c r="B201" s="32">
        <f>IF(ISNUMBER(SEARCH('Φόρμα Εισαγωγής'!$B$2,C201)),MAX($B$1:B200)+1,0)</f>
        <v>200</v>
      </c>
      <c r="C201" s="7" t="s">
        <v>156</v>
      </c>
      <c r="D201" s="33">
        <f>IF(ISNUMBER(SEARCH('Φόρμα Εισαγωγής'!$C$2,E201)),MAX($D$1:D200)+1,0)</f>
        <v>200</v>
      </c>
      <c r="E201" s="17" t="s">
        <v>160</v>
      </c>
      <c r="F201" s="5">
        <v>0.22</v>
      </c>
      <c r="G201" s="5">
        <v>0.3</v>
      </c>
      <c r="H201" s="6">
        <f t="shared" si="18"/>
        <v>0.372</v>
      </c>
      <c r="I201" s="6">
        <f t="shared" si="19"/>
        <v>11.88</v>
      </c>
      <c r="J201" s="6">
        <f t="shared" si="20"/>
        <v>20.088000000000001</v>
      </c>
      <c r="L201" s="4" t="str">
        <f>IFERROR(VLOOKUP(ROWS($L$2:L201),$B$2:$C$1996,2,0),"")</f>
        <v>ΣΥΣΤΟΛH  PPR</v>
      </c>
      <c r="N201" s="2" t="str">
        <f>IFERROR(VLOOKUP(ROWS($N$2:N201),$D$2:$E$1996,2,0),"")</f>
        <v xml:space="preserve">Φ25 Χ Φ20 </v>
      </c>
    </row>
    <row r="202" spans="1:14">
      <c r="A202" s="5">
        <v>28</v>
      </c>
      <c r="B202" s="32">
        <f>IF(ISNUMBER(SEARCH('Φόρμα Εισαγωγής'!$B$2,C202)),MAX($B$1:B201)+1,0)</f>
        <v>201</v>
      </c>
      <c r="C202" s="7" t="s">
        <v>117</v>
      </c>
      <c r="D202" s="33">
        <f>IF(ISNUMBER(SEARCH('Φόρμα Εισαγωγής'!$C$2,E202)),MAX($D$1:D201)+1,0)</f>
        <v>201</v>
      </c>
      <c r="E202" s="17" t="s">
        <v>145</v>
      </c>
      <c r="F202" s="5">
        <v>1.38</v>
      </c>
      <c r="G202" s="5">
        <v>2</v>
      </c>
      <c r="H202" s="6">
        <f t="shared" si="18"/>
        <v>2.48</v>
      </c>
      <c r="I202" s="6">
        <f t="shared" si="19"/>
        <v>38.64</v>
      </c>
      <c r="J202" s="6">
        <f t="shared" si="20"/>
        <v>69.44</v>
      </c>
      <c r="L202" s="4" t="str">
        <f>IFERROR(VLOOKUP(ROWS($L$2:L202),$B$2:$C$1996,2,0),"")</f>
        <v>ΓΩΝΙΑ PPR</v>
      </c>
      <c r="N202" s="2" t="str">
        <f>IFERROR(VLOOKUP(ROWS($N$2:N202),$D$2:$E$1996,2,0),"")</f>
        <v>ΑΡΣ Φ20 Χ 1/2</v>
      </c>
    </row>
    <row r="203" spans="1:14">
      <c r="A203" s="5">
        <v>5</v>
      </c>
      <c r="B203" s="32">
        <f>IF(ISNUMBER(SEARCH('Φόρμα Εισαγωγής'!$B$2,C203)),MAX($B$1:B202)+1,0)</f>
        <v>202</v>
      </c>
      <c r="C203" s="5" t="s">
        <v>162</v>
      </c>
      <c r="D203" s="33">
        <f>IF(ISNUMBER(SEARCH('Φόρμα Εισαγωγής'!$C$2,E203)),MAX($D$1:D202)+1,0)</f>
        <v>202</v>
      </c>
      <c r="E203" s="5" t="s">
        <v>101</v>
      </c>
      <c r="F203" s="5">
        <v>2.29</v>
      </c>
      <c r="G203" s="5">
        <v>3.2</v>
      </c>
      <c r="H203" s="6">
        <f t="shared" si="18"/>
        <v>3.968</v>
      </c>
      <c r="I203" s="6">
        <f t="shared" si="19"/>
        <v>11.45</v>
      </c>
      <c r="J203" s="6">
        <f t="shared" si="20"/>
        <v>19.84</v>
      </c>
      <c r="L203" s="4" t="str">
        <f>IFERROR(VLOOKUP(ROWS($L$2:L203),$B$2:$C$1996,2,0),"")</f>
        <v>ΣΠΙΡΑΛ 100CM</v>
      </c>
      <c r="N203" s="2" t="str">
        <f>IFERROR(VLOOKUP(ROWS($N$2:N203),$D$2:$E$1996,2,0),"")</f>
        <v>Θ/Θ 1/2</v>
      </c>
    </row>
    <row r="204" spans="1:14">
      <c r="A204" s="5">
        <v>3</v>
      </c>
      <c r="B204" s="32">
        <f>IF(ISNUMBER(SEARCH('Φόρμα Εισαγωγής'!$B$2,C204)),MAX($B$1:B203)+1,0)</f>
        <v>203</v>
      </c>
      <c r="C204" s="5" t="s">
        <v>163</v>
      </c>
      <c r="D204" s="33">
        <f>IF(ISNUMBER(SEARCH('Φόρμα Εισαγωγής'!$C$2,E204)),MAX($D$1:D203)+1,0)</f>
        <v>203</v>
      </c>
      <c r="E204" s="5" t="s">
        <v>101</v>
      </c>
      <c r="F204" s="5">
        <v>1.94</v>
      </c>
      <c r="G204" s="5">
        <v>2.7</v>
      </c>
      <c r="H204" s="6">
        <f t="shared" si="18"/>
        <v>3.3480000000000003</v>
      </c>
      <c r="I204" s="6">
        <f t="shared" si="19"/>
        <v>5.82</v>
      </c>
      <c r="J204" s="6">
        <f t="shared" si="20"/>
        <v>10.044</v>
      </c>
      <c r="L204" s="4" t="str">
        <f>IFERROR(VLOOKUP(ROWS($L$2:L204),$B$2:$C$1996,2,0),"")</f>
        <v>ΣΠΙΡΑΛ 80CM</v>
      </c>
      <c r="N204" s="2" t="str">
        <f>IFERROR(VLOOKUP(ROWS($N$2:N204),$D$2:$E$1996,2,0),"")</f>
        <v>Θ/Θ 1/2</v>
      </c>
    </row>
    <row r="205" spans="1:14">
      <c r="A205" s="5">
        <v>7</v>
      </c>
      <c r="B205" s="32">
        <f>IF(ISNUMBER(SEARCH('Φόρμα Εισαγωγής'!$B$2,C205)),MAX($B$1:B204)+1,0)</f>
        <v>204</v>
      </c>
      <c r="C205" s="5" t="s">
        <v>164</v>
      </c>
      <c r="D205" s="33">
        <f>IF(ISNUMBER(SEARCH('Φόρμα Εισαγωγής'!$C$2,E205)),MAX($D$1:D204)+1,0)</f>
        <v>204</v>
      </c>
      <c r="E205" s="5" t="s">
        <v>101</v>
      </c>
      <c r="F205" s="5">
        <v>1.0900000000000001</v>
      </c>
      <c r="G205" s="5">
        <v>1.55</v>
      </c>
      <c r="H205" s="6">
        <f t="shared" si="18"/>
        <v>1.9220000000000002</v>
      </c>
      <c r="I205" s="6">
        <f t="shared" si="19"/>
        <v>7.6300000000000008</v>
      </c>
      <c r="J205" s="6">
        <f t="shared" si="20"/>
        <v>13.454000000000001</v>
      </c>
      <c r="L205" s="4" t="str">
        <f>IFERROR(VLOOKUP(ROWS($L$2:L205),$B$2:$C$1996,2,0),"")</f>
        <v xml:space="preserve">ΣΠΙΡΑΛ 20CM </v>
      </c>
      <c r="N205" s="2" t="str">
        <f>IFERROR(VLOOKUP(ROWS($N$2:N205),$D$2:$E$1996,2,0),"")</f>
        <v>Θ/Θ 1/2</v>
      </c>
    </row>
    <row r="206" spans="1:14">
      <c r="A206" s="5">
        <v>11</v>
      </c>
      <c r="B206" s="32">
        <f>IF(ISNUMBER(SEARCH('Φόρμα Εισαγωγής'!$B$2,C206)),MAX($B$1:B205)+1,0)</f>
        <v>205</v>
      </c>
      <c r="C206" s="5" t="s">
        <v>164</v>
      </c>
      <c r="D206" s="33">
        <f>IF(ISNUMBER(SEARCH('Φόρμα Εισαγωγής'!$C$2,E206)),MAX($D$1:D205)+1,0)</f>
        <v>205</v>
      </c>
      <c r="E206" s="5" t="s">
        <v>25</v>
      </c>
      <c r="F206" s="5">
        <v>1.1000000000000001</v>
      </c>
      <c r="G206" s="5">
        <v>1.6</v>
      </c>
      <c r="H206" s="6">
        <f t="shared" si="18"/>
        <v>1.984</v>
      </c>
      <c r="I206" s="6">
        <f t="shared" si="19"/>
        <v>12.100000000000001</v>
      </c>
      <c r="J206" s="6">
        <f t="shared" si="20"/>
        <v>21.823999999999998</v>
      </c>
      <c r="L206" s="4" t="str">
        <f>IFERROR(VLOOKUP(ROWS($L$2:L206),$B$2:$C$1996,2,0),"")</f>
        <v xml:space="preserve">ΣΠΙΡΑΛ 20CM </v>
      </c>
      <c r="N206" s="2" t="str">
        <f>IFERROR(VLOOKUP(ROWS($N$2:N206),$D$2:$E$1996,2,0),"")</f>
        <v>Α/Θ 1/2</v>
      </c>
    </row>
    <row r="207" spans="1:14">
      <c r="A207" s="5">
        <v>8</v>
      </c>
      <c r="B207" s="32">
        <f>IF(ISNUMBER(SEARCH('Φόρμα Εισαγωγής'!$B$2,C207)),MAX($B$1:B206)+1,0)</f>
        <v>206</v>
      </c>
      <c r="C207" s="5" t="s">
        <v>165</v>
      </c>
      <c r="D207" s="33">
        <f>IF(ISNUMBER(SEARCH('Φόρμα Εισαγωγής'!$C$2,E207)),MAX($D$1:D206)+1,0)</f>
        <v>206</v>
      </c>
      <c r="E207" s="5" t="s">
        <v>101</v>
      </c>
      <c r="F207" s="5">
        <v>1.19</v>
      </c>
      <c r="G207" s="5">
        <v>1.7</v>
      </c>
      <c r="H207" s="6">
        <f t="shared" si="18"/>
        <v>2.1080000000000001</v>
      </c>
      <c r="I207" s="6">
        <f t="shared" si="19"/>
        <v>9.52</v>
      </c>
      <c r="J207" s="6">
        <f t="shared" si="20"/>
        <v>16.864000000000001</v>
      </c>
      <c r="L207" s="4" t="str">
        <f>IFERROR(VLOOKUP(ROWS($L$2:L207),$B$2:$C$1996,2,0),"")</f>
        <v>ΣΠΙΡΑΛ 30CM</v>
      </c>
      <c r="N207" s="2" t="str">
        <f>IFERROR(VLOOKUP(ROWS($N$2:N207),$D$2:$E$1996,2,0),"")</f>
        <v>Θ/Θ 1/2</v>
      </c>
    </row>
    <row r="208" spans="1:14">
      <c r="A208" s="5">
        <v>10</v>
      </c>
      <c r="B208" s="32">
        <f>IF(ISNUMBER(SEARCH('Φόρμα Εισαγωγής'!$B$2,C208)),MAX($B$1:B207)+1,0)</f>
        <v>207</v>
      </c>
      <c r="C208" s="5" t="s">
        <v>165</v>
      </c>
      <c r="D208" s="33">
        <f>IF(ISNUMBER(SEARCH('Φόρμα Εισαγωγής'!$C$2,E208)),MAX($D$1:D207)+1,0)</f>
        <v>207</v>
      </c>
      <c r="E208" s="5" t="s">
        <v>166</v>
      </c>
      <c r="F208" s="5">
        <v>1.22</v>
      </c>
      <c r="G208" s="5">
        <v>1.7</v>
      </c>
      <c r="H208" s="6">
        <f t="shared" si="18"/>
        <v>2.1080000000000001</v>
      </c>
      <c r="I208" s="6">
        <f t="shared" si="19"/>
        <v>12.2</v>
      </c>
      <c r="J208" s="6">
        <f t="shared" si="20"/>
        <v>21.080000000000002</v>
      </c>
      <c r="L208" s="4" t="str">
        <f>IFERROR(VLOOKUP(ROWS($L$2:L208),$B$2:$C$1996,2,0),"")</f>
        <v>ΣΠΙΡΑΛ 30CM</v>
      </c>
      <c r="N208" s="2" t="str">
        <f>IFERROR(VLOOKUP(ROWS($N$2:N208),$D$2:$E$1996,2,0),"")</f>
        <v>A/Θ 1/2</v>
      </c>
    </row>
    <row r="209" spans="1:14">
      <c r="A209" s="5">
        <v>6</v>
      </c>
      <c r="B209" s="32">
        <f>IF(ISNUMBER(SEARCH('Φόρμα Εισαγωγής'!$B$2,C209)),MAX($B$1:B208)+1,0)</f>
        <v>208</v>
      </c>
      <c r="C209" s="5" t="s">
        <v>167</v>
      </c>
      <c r="D209" s="33">
        <f>IF(ISNUMBER(SEARCH('Φόρμα Εισαγωγής'!$C$2,E209)),MAX($D$1:D208)+1,0)</f>
        <v>208</v>
      </c>
      <c r="E209" s="5" t="s">
        <v>101</v>
      </c>
      <c r="F209" s="5">
        <v>1.34</v>
      </c>
      <c r="G209" s="5">
        <v>1.9</v>
      </c>
      <c r="H209" s="6">
        <f t="shared" si="18"/>
        <v>2.3559999999999999</v>
      </c>
      <c r="I209" s="6">
        <f t="shared" si="19"/>
        <v>8.0400000000000009</v>
      </c>
      <c r="J209" s="6">
        <f t="shared" si="20"/>
        <v>14.135999999999999</v>
      </c>
      <c r="L209" s="4" t="str">
        <f>IFERROR(VLOOKUP(ROWS($L$2:L209),$B$2:$C$1996,2,0),"")</f>
        <v>ΣΠΙΡΑΛ 40CM</v>
      </c>
      <c r="N209" s="2" t="str">
        <f>IFERROR(VLOOKUP(ROWS($N$2:N209),$D$2:$E$1996,2,0),"")</f>
        <v>Θ/Θ 1/2</v>
      </c>
    </row>
    <row r="210" spans="1:14">
      <c r="A210" s="5">
        <v>4</v>
      </c>
      <c r="B210" s="32">
        <f>IF(ISNUMBER(SEARCH('Φόρμα Εισαγωγής'!$B$2,C210)),MAX($B$1:B209)+1,0)</f>
        <v>209</v>
      </c>
      <c r="C210" s="5" t="s">
        <v>167</v>
      </c>
      <c r="D210" s="33">
        <f>IF(ISNUMBER(SEARCH('Φόρμα Εισαγωγής'!$C$2,E210)),MAX($D$1:D209)+1,0)</f>
        <v>209</v>
      </c>
      <c r="E210" s="5" t="s">
        <v>25</v>
      </c>
      <c r="F210" s="5">
        <v>1.37</v>
      </c>
      <c r="G210" s="5">
        <v>2</v>
      </c>
      <c r="H210" s="6">
        <f t="shared" si="18"/>
        <v>2.48</v>
      </c>
      <c r="I210" s="6">
        <f t="shared" si="19"/>
        <v>5.48</v>
      </c>
      <c r="J210" s="6">
        <f t="shared" si="20"/>
        <v>9.92</v>
      </c>
      <c r="L210" s="4" t="str">
        <f>IFERROR(VLOOKUP(ROWS($L$2:L210),$B$2:$C$1996,2,0),"")</f>
        <v>ΣΠΙΡΑΛ 40CM</v>
      </c>
      <c r="N210" s="2" t="str">
        <f>IFERROR(VLOOKUP(ROWS($N$2:N210),$D$2:$E$1996,2,0),"")</f>
        <v>Α/Θ 1/2</v>
      </c>
    </row>
    <row r="211" spans="1:14">
      <c r="A211" s="5">
        <v>14</v>
      </c>
      <c r="B211" s="32">
        <f>IF(ISNUMBER(SEARCH('Φόρμα Εισαγωγής'!$B$2,C211)),MAX($B$1:B210)+1,0)</f>
        <v>210</v>
      </c>
      <c r="C211" s="5" t="s">
        <v>168</v>
      </c>
      <c r="D211" s="33">
        <f>IF(ISNUMBER(SEARCH('Φόρμα Εισαγωγής'!$C$2,E211)),MAX($D$1:D210)+1,0)</f>
        <v>210</v>
      </c>
      <c r="E211" s="5" t="s">
        <v>101</v>
      </c>
      <c r="F211" s="5">
        <v>1.51</v>
      </c>
      <c r="G211" s="5">
        <v>2.2000000000000002</v>
      </c>
      <c r="H211" s="6">
        <f t="shared" si="18"/>
        <v>2.7280000000000002</v>
      </c>
      <c r="I211" s="6">
        <f t="shared" si="19"/>
        <v>21.14</v>
      </c>
      <c r="J211" s="6">
        <f t="shared" si="20"/>
        <v>38.192</v>
      </c>
      <c r="L211" s="4" t="str">
        <f>IFERROR(VLOOKUP(ROWS($L$2:L211),$B$2:$C$1996,2,0),"")</f>
        <v>ΣΠΙΡΑΛ 50CM</v>
      </c>
      <c r="N211" s="2" t="str">
        <f>IFERROR(VLOOKUP(ROWS($N$2:N211),$D$2:$E$1996,2,0),"")</f>
        <v>Θ/Θ 1/2</v>
      </c>
    </row>
    <row r="212" spans="1:14">
      <c r="A212" s="5">
        <v>5</v>
      </c>
      <c r="B212" s="32">
        <f>IF(ISNUMBER(SEARCH('Φόρμα Εισαγωγής'!$B$2,C212)),MAX($B$1:B211)+1,0)</f>
        <v>211</v>
      </c>
      <c r="C212" s="5" t="s">
        <v>168</v>
      </c>
      <c r="D212" s="33">
        <f>IF(ISNUMBER(SEARCH('Φόρμα Εισαγωγής'!$C$2,E212)),MAX($D$1:D211)+1,0)</f>
        <v>211</v>
      </c>
      <c r="E212" s="5" t="s">
        <v>166</v>
      </c>
      <c r="F212" s="5">
        <v>1.53</v>
      </c>
      <c r="G212" s="5">
        <v>2.2000000000000002</v>
      </c>
      <c r="H212" s="6">
        <f t="shared" si="18"/>
        <v>2.7280000000000002</v>
      </c>
      <c r="I212" s="6">
        <f t="shared" si="19"/>
        <v>7.65</v>
      </c>
      <c r="J212" s="6">
        <f t="shared" si="20"/>
        <v>13.64</v>
      </c>
      <c r="L212" s="4" t="str">
        <f>IFERROR(VLOOKUP(ROWS($L$2:L212),$B$2:$C$1996,2,0),"")</f>
        <v>ΣΠΙΡΑΛ 50CM</v>
      </c>
      <c r="N212" s="2" t="str">
        <f>IFERROR(VLOOKUP(ROWS($N$2:N212),$D$2:$E$1996,2,0),"")</f>
        <v>A/Θ 1/2</v>
      </c>
    </row>
    <row r="213" spans="1:14">
      <c r="A213" s="5">
        <v>7</v>
      </c>
      <c r="B213" s="32">
        <f>IF(ISNUMBER(SEARCH('Φόρμα Εισαγωγής'!$B$2,C213)),MAX($B$1:B212)+1,0)</f>
        <v>212</v>
      </c>
      <c r="C213" s="5" t="s">
        <v>169</v>
      </c>
      <c r="D213" s="33">
        <f>IF(ISNUMBER(SEARCH('Φόρμα Εισαγωγής'!$C$2,E213)),MAX($D$1:D212)+1,0)</f>
        <v>212</v>
      </c>
      <c r="E213" s="5" t="s">
        <v>101</v>
      </c>
      <c r="F213" s="5">
        <v>1.64</v>
      </c>
      <c r="G213" s="5">
        <v>2.2999999999999998</v>
      </c>
      <c r="H213" s="6">
        <f t="shared" si="18"/>
        <v>2.8519999999999999</v>
      </c>
      <c r="I213" s="6">
        <f t="shared" si="19"/>
        <v>11.479999999999999</v>
      </c>
      <c r="J213" s="6">
        <f t="shared" si="20"/>
        <v>19.963999999999999</v>
      </c>
      <c r="L213" s="4" t="str">
        <f>IFERROR(VLOOKUP(ROWS($L$2:L213),$B$2:$C$1996,2,0),"")</f>
        <v>ΣΠΙΡΑΛ 60CM</v>
      </c>
      <c r="N213" s="2" t="str">
        <f>IFERROR(VLOOKUP(ROWS($N$2:N213),$D$2:$E$1996,2,0),"")</f>
        <v>Θ/Θ 1/2</v>
      </c>
    </row>
    <row r="214" spans="1:14">
      <c r="A214" s="5">
        <v>0</v>
      </c>
      <c r="B214" s="32">
        <f>IF(ISNUMBER(SEARCH('Φόρμα Εισαγωγής'!$B$2,C214)),MAX($B$1:B213)+1,0)</f>
        <v>213</v>
      </c>
      <c r="C214" s="5" t="s">
        <v>169</v>
      </c>
      <c r="D214" s="33">
        <f>IF(ISNUMBER(SEARCH('Φόρμα Εισαγωγής'!$C$2,E214)),MAX($D$1:D213)+1,0)</f>
        <v>213</v>
      </c>
      <c r="E214" s="5" t="s">
        <v>25</v>
      </c>
      <c r="F214" s="5">
        <v>1.67</v>
      </c>
      <c r="G214" s="5">
        <v>2.4</v>
      </c>
      <c r="H214" s="6">
        <f t="shared" si="18"/>
        <v>2.976</v>
      </c>
      <c r="I214" s="6">
        <f t="shared" si="19"/>
        <v>0</v>
      </c>
      <c r="J214" s="6">
        <f t="shared" si="20"/>
        <v>0</v>
      </c>
      <c r="L214" s="4" t="str">
        <f>IFERROR(VLOOKUP(ROWS($L$2:L214),$B$2:$C$1996,2,0),"")</f>
        <v>ΣΠΙΡΑΛ 60CM</v>
      </c>
      <c r="N214" s="2" t="str">
        <f>IFERROR(VLOOKUP(ROWS($N$2:N214),$D$2:$E$1996,2,0),"")</f>
        <v>Α/Θ 1/2</v>
      </c>
    </row>
    <row r="215" spans="1:14">
      <c r="A215" s="5">
        <v>1</v>
      </c>
      <c r="B215" s="32">
        <f>IF(ISNUMBER(SEARCH('Φόρμα Εισαγωγής'!$B$2,C215)),MAX($B$1:B214)+1,0)</f>
        <v>214</v>
      </c>
      <c r="C215" s="5" t="s">
        <v>163</v>
      </c>
      <c r="D215" s="33">
        <f>IF(ISNUMBER(SEARCH('Φόρμα Εισαγωγής'!$C$2,E215)),MAX($D$1:D214)+1,0)</f>
        <v>214</v>
      </c>
      <c r="E215" s="5" t="s">
        <v>166</v>
      </c>
      <c r="F215" s="5">
        <v>1.96</v>
      </c>
      <c r="G215" s="5">
        <v>2.8</v>
      </c>
      <c r="H215" s="6">
        <f t="shared" si="18"/>
        <v>3.4719999999999995</v>
      </c>
      <c r="I215" s="6">
        <f t="shared" si="19"/>
        <v>1.96</v>
      </c>
      <c r="J215" s="6">
        <f t="shared" si="20"/>
        <v>3.4719999999999995</v>
      </c>
      <c r="L215" s="4" t="str">
        <f>IFERROR(VLOOKUP(ROWS($L$2:L215),$B$2:$C$1996,2,0),"")</f>
        <v>ΣΠΙΡΑΛ 80CM</v>
      </c>
      <c r="N215" s="2" t="str">
        <f>IFERROR(VLOOKUP(ROWS($N$2:N215),$D$2:$E$1996,2,0),"")</f>
        <v>A/Θ 1/2</v>
      </c>
    </row>
    <row r="216" spans="1:14">
      <c r="A216" s="5">
        <v>1</v>
      </c>
      <c r="B216" s="32">
        <f>IF(ISNUMBER(SEARCH('Φόρμα Εισαγωγής'!$B$2,C216)),MAX($B$1:B215)+1,0)</f>
        <v>215</v>
      </c>
      <c r="C216" s="5" t="s">
        <v>163</v>
      </c>
      <c r="D216" s="33">
        <f>IF(ISNUMBER(SEARCH('Φόρμα Εισαγωγής'!$C$2,E216)),MAX($D$1:D215)+1,0)</f>
        <v>215</v>
      </c>
      <c r="E216" s="5" t="s">
        <v>175</v>
      </c>
      <c r="F216" s="5">
        <v>1.75</v>
      </c>
      <c r="G216" s="5">
        <v>2.5</v>
      </c>
      <c r="H216" s="6">
        <f t="shared" si="18"/>
        <v>3.1</v>
      </c>
      <c r="I216" s="6">
        <f t="shared" si="19"/>
        <v>1.75</v>
      </c>
      <c r="J216" s="6">
        <f t="shared" si="20"/>
        <v>3.1</v>
      </c>
      <c r="L216" s="4" t="str">
        <f>IFERROR(VLOOKUP(ROWS($L$2:L216),$B$2:$C$1996,2,0),"")</f>
        <v>ΣΠΙΡΑΛ 80CM</v>
      </c>
      <c r="N216" s="2" t="str">
        <f>IFERROR(VLOOKUP(ROWS($N$2:N216),$D$2:$E$1996,2,0),"")</f>
        <v>Θ/Θ 3/8 Χ 1/4</v>
      </c>
    </row>
    <row r="217" spans="1:14">
      <c r="A217" s="5">
        <v>8</v>
      </c>
      <c r="B217" s="32">
        <f>IF(ISNUMBER(SEARCH('Φόρμα Εισαγωγής'!$B$2,C217)),MAX($B$1:B216)+1,0)</f>
        <v>216</v>
      </c>
      <c r="C217" s="5" t="s">
        <v>170</v>
      </c>
      <c r="D217" s="33">
        <f>IF(ISNUMBER(SEARCH('Φόρμα Εισαγωγής'!$C$2,E217)),MAX($D$1:D216)+1,0)</f>
        <v>216</v>
      </c>
      <c r="E217" s="5" t="s">
        <v>175</v>
      </c>
      <c r="F217" s="5">
        <v>2.4</v>
      </c>
      <c r="G217" s="5">
        <v>3.5</v>
      </c>
      <c r="H217" s="6">
        <f t="shared" si="18"/>
        <v>4.34</v>
      </c>
      <c r="I217" s="6">
        <f t="shared" si="19"/>
        <v>19.2</v>
      </c>
      <c r="J217" s="6">
        <f t="shared" si="20"/>
        <v>34.72</v>
      </c>
      <c r="L217" s="4" t="str">
        <f>IFERROR(VLOOKUP(ROWS($L$2:L217),$B$2:$C$1996,2,0),"")</f>
        <v>ΣΠΙΡΑΛ ΓΩΝΙΑ 80CM</v>
      </c>
      <c r="N217" s="2" t="str">
        <f>IFERROR(VLOOKUP(ROWS($N$2:N217),$D$2:$E$1996,2,0),"")</f>
        <v>Θ/Θ 3/8 Χ 1/4</v>
      </c>
    </row>
    <row r="218" spans="1:14">
      <c r="A218" s="5">
        <v>2</v>
      </c>
      <c r="B218" s="32">
        <f>IF(ISNUMBER(SEARCH('Φόρμα Εισαγωγής'!$B$2,C218)),MAX($B$1:B217)+1,0)</f>
        <v>217</v>
      </c>
      <c r="C218" s="5" t="s">
        <v>170</v>
      </c>
      <c r="D218" s="33">
        <f>IF(ISNUMBER(SEARCH('Φόρμα Εισαγωγής'!$C$2,E218)),MAX($D$1:D217)+1,0)</f>
        <v>217</v>
      </c>
      <c r="E218" s="5" t="s">
        <v>176</v>
      </c>
      <c r="F218" s="5">
        <v>2.4500000000000002</v>
      </c>
      <c r="G218" s="5">
        <v>3.5</v>
      </c>
      <c r="H218" s="6">
        <f t="shared" si="18"/>
        <v>4.34</v>
      </c>
      <c r="I218" s="6">
        <f t="shared" si="19"/>
        <v>4.9000000000000004</v>
      </c>
      <c r="J218" s="6">
        <f t="shared" si="20"/>
        <v>8.68</v>
      </c>
      <c r="L218" s="4" t="str">
        <f>IFERROR(VLOOKUP(ROWS($L$2:L218),$B$2:$C$1996,2,0),"")</f>
        <v>ΣΠΙΡΑΛ ΓΩΝΙΑ 80CM</v>
      </c>
      <c r="N218" s="2" t="str">
        <f>IFERROR(VLOOKUP(ROWS($N$2:N218),$D$2:$E$1996,2,0),"")</f>
        <v>Α/Θ 3/8 Χ 1/4</v>
      </c>
    </row>
    <row r="219" spans="1:14">
      <c r="A219" s="5">
        <v>4</v>
      </c>
      <c r="B219" s="32">
        <f>IF(ISNUMBER(SEARCH('Φόρμα Εισαγωγής'!$B$2,C219)),MAX($B$1:B218)+1,0)</f>
        <v>218</v>
      </c>
      <c r="C219" s="5" t="s">
        <v>168</v>
      </c>
      <c r="D219" s="33">
        <f>IF(ISNUMBER(SEARCH('Φόρμα Εισαγωγής'!$C$2,E219)),MAX($D$1:D218)+1,0)</f>
        <v>218</v>
      </c>
      <c r="E219" s="5" t="s">
        <v>177</v>
      </c>
      <c r="F219" s="5">
        <v>1.7</v>
      </c>
      <c r="G219" s="5">
        <v>2.5</v>
      </c>
      <c r="H219" s="6">
        <f t="shared" si="18"/>
        <v>3.1</v>
      </c>
      <c r="I219" s="6">
        <f t="shared" si="19"/>
        <v>6.8</v>
      </c>
      <c r="J219" s="6">
        <f t="shared" si="20"/>
        <v>12.4</v>
      </c>
      <c r="L219" s="4" t="str">
        <f>IFERROR(VLOOKUP(ROWS($L$2:L219),$B$2:$C$1996,2,0),"")</f>
        <v>ΣΠΙΡΑΛ 50CM</v>
      </c>
      <c r="N219" s="2" t="str">
        <f>IFERROR(VLOOKUP(ROWS($N$2:N219),$D$2:$E$1996,2,0),"")</f>
        <v>Θ/Θ 1/2 Χ 3/8</v>
      </c>
    </row>
    <row r="220" spans="1:14">
      <c r="A220" s="5">
        <v>5</v>
      </c>
      <c r="B220" s="32">
        <f>IF(ISNUMBER(SEARCH('Φόρμα Εισαγωγής'!$B$2,C220)),MAX($B$1:B219)+1,0)</f>
        <v>219</v>
      </c>
      <c r="C220" s="5" t="s">
        <v>171</v>
      </c>
      <c r="D220" s="33">
        <f>IF(ISNUMBER(SEARCH('Φόρμα Εισαγωγής'!$C$2,E220)),MAX($D$1:D219)+1,0)</f>
        <v>219</v>
      </c>
      <c r="E220" s="5" t="s">
        <v>178</v>
      </c>
      <c r="F220" s="5">
        <v>2.5</v>
      </c>
      <c r="G220" s="5">
        <v>3.5</v>
      </c>
      <c r="H220" s="6">
        <f t="shared" si="18"/>
        <v>4.34</v>
      </c>
      <c r="I220" s="6">
        <f t="shared" si="19"/>
        <v>12.5</v>
      </c>
      <c r="J220" s="6">
        <f t="shared" si="20"/>
        <v>21.7</v>
      </c>
      <c r="L220" s="4" t="str">
        <f>IFERROR(VLOOKUP(ROWS($L$2:L220),$B$2:$C$1996,2,0),"")</f>
        <v>ΣΠΙΡΑΛ ΓΩΝΙΑ 50CM</v>
      </c>
      <c r="N220" s="2" t="str">
        <f>IFERROR(VLOOKUP(ROWS($N$2:N220),$D$2:$E$1996,2,0),"")</f>
        <v>Θ/Θ 1/2 Χ 1/2</v>
      </c>
    </row>
    <row r="221" spans="1:14">
      <c r="A221" s="5">
        <v>1</v>
      </c>
      <c r="B221" s="32">
        <f>IF(ISNUMBER(SEARCH('Φόρμα Εισαγωγής'!$B$2,C221)),MAX($B$1:B220)+1,0)</f>
        <v>220</v>
      </c>
      <c r="C221" s="5" t="s">
        <v>163</v>
      </c>
      <c r="D221" s="33">
        <f>IF(ISNUMBER(SEARCH('Φόρμα Εισαγωγής'!$C$2,E221)),MAX($D$1:D220)+1,0)</f>
        <v>220</v>
      </c>
      <c r="E221" s="5" t="s">
        <v>172</v>
      </c>
      <c r="F221" s="5">
        <v>1.75</v>
      </c>
      <c r="G221" s="5">
        <v>2.5</v>
      </c>
      <c r="H221" s="6">
        <f t="shared" si="18"/>
        <v>3.1</v>
      </c>
      <c r="I221" s="6">
        <f t="shared" si="19"/>
        <v>1.75</v>
      </c>
      <c r="J221" s="6">
        <f t="shared" si="20"/>
        <v>3.1</v>
      </c>
      <c r="L221" s="4" t="str">
        <f>IFERROR(VLOOKUP(ROWS($L$2:L221),$B$2:$C$1996,2,0),"")</f>
        <v>ΣΠΙΡΑΛ 80CM</v>
      </c>
      <c r="N221" s="2" t="str">
        <f>IFERROR(VLOOKUP(ROWS($N$2:N221),$D$2:$E$1996,2,0),"")</f>
        <v>Θ/Θ 3/8</v>
      </c>
    </row>
    <row r="222" spans="1:14">
      <c r="A222" s="5">
        <v>10</v>
      </c>
      <c r="B222" s="32">
        <f>IF(ISNUMBER(SEARCH('Φόρμα Εισαγωγής'!$B$2,C222)),MAX($B$1:B221)+1,0)</f>
        <v>221</v>
      </c>
      <c r="C222" s="5" t="s">
        <v>723</v>
      </c>
      <c r="D222" s="33">
        <f>IF(ISNUMBER(SEARCH('Φόρμα Εισαγωγής'!$C$2,E222)),MAX($D$1:D221)+1,0)</f>
        <v>221</v>
      </c>
      <c r="E222" s="5" t="s">
        <v>32</v>
      </c>
      <c r="F222" s="5">
        <v>1.3</v>
      </c>
      <c r="G222" s="5">
        <v>1.9</v>
      </c>
      <c r="H222" s="6">
        <f t="shared" si="18"/>
        <v>2.3559999999999999</v>
      </c>
      <c r="I222" s="6">
        <f t="shared" si="19"/>
        <v>13</v>
      </c>
      <c r="J222" s="6">
        <f t="shared" si="20"/>
        <v>23.56</v>
      </c>
      <c r="L222" s="4" t="str">
        <f>IFERROR(VLOOKUP(ROWS($L$2:L222),$B$2:$C$1996,2,0),"")</f>
        <v>ΣΠΙΡΑΛ ΝΙΠΤΗΡΑ 50 CM</v>
      </c>
      <c r="N222" s="2" t="str">
        <f>IFERROR(VLOOKUP(ROWS($N$2:N222),$D$2:$E$1996,2,0),"")</f>
        <v>1/2</v>
      </c>
    </row>
    <row r="223" spans="1:14">
      <c r="A223" s="5">
        <v>4</v>
      </c>
      <c r="B223" s="32">
        <f>IF(ISNUMBER(SEARCH('Φόρμα Εισαγωγής'!$B$2,C223)),MAX($B$1:B222)+1,0)</f>
        <v>222</v>
      </c>
      <c r="C223" s="5" t="s">
        <v>723</v>
      </c>
      <c r="D223" s="33">
        <f>IF(ISNUMBER(SEARCH('Φόρμα Εισαγωγής'!$C$2,E223)),MAX($D$1:D222)+1,0)</f>
        <v>222</v>
      </c>
      <c r="E223" s="5" t="s">
        <v>173</v>
      </c>
      <c r="F223" s="5">
        <v>1.3</v>
      </c>
      <c r="G223" s="5">
        <v>1.9</v>
      </c>
      <c r="H223" s="6">
        <f t="shared" si="18"/>
        <v>2.3559999999999999</v>
      </c>
      <c r="I223" s="6">
        <f t="shared" si="19"/>
        <v>5.2</v>
      </c>
      <c r="J223" s="6">
        <f t="shared" si="20"/>
        <v>9.4239999999999995</v>
      </c>
      <c r="L223" s="4" t="str">
        <f>IFERROR(VLOOKUP(ROWS($L$2:L223),$B$2:$C$1996,2,0),"")</f>
        <v>ΣΠΙΡΑΛ ΝΙΠΤΗΡΑ 50 CM</v>
      </c>
      <c r="N223" s="2" t="str">
        <f>IFERROR(VLOOKUP(ROWS($N$2:N223),$D$2:$E$1996,2,0),"")</f>
        <v>3/8</v>
      </c>
    </row>
    <row r="224" spans="1:14">
      <c r="A224" s="5">
        <v>2</v>
      </c>
      <c r="B224" s="32">
        <f>IF(ISNUMBER(SEARCH('Φόρμα Εισαγωγής'!$B$2,C224)),MAX($B$1:B223)+1,0)</f>
        <v>223</v>
      </c>
      <c r="C224" s="5" t="s">
        <v>169</v>
      </c>
      <c r="D224" s="33">
        <f>IF(ISNUMBER(SEARCH('Φόρμα Εισαγωγής'!$C$2,E224)),MAX($D$1:D223)+1,0)</f>
        <v>223</v>
      </c>
      <c r="E224" s="5" t="s">
        <v>174</v>
      </c>
      <c r="F224" s="5">
        <v>6.5</v>
      </c>
      <c r="G224" s="5">
        <v>10</v>
      </c>
      <c r="H224" s="6">
        <f t="shared" si="18"/>
        <v>12.4</v>
      </c>
      <c r="I224" s="6">
        <f t="shared" si="19"/>
        <v>13</v>
      </c>
      <c r="J224" s="6">
        <f t="shared" si="20"/>
        <v>24.8</v>
      </c>
      <c r="L224" s="4" t="str">
        <f>IFERROR(VLOOKUP(ROWS($L$2:L224),$B$2:$C$1996,2,0),"")</f>
        <v>ΣΠΙΡΑΛ 60CM</v>
      </c>
      <c r="N224" s="2" t="str">
        <f>IFERROR(VLOOKUP(ROWS($N$2:N224),$D$2:$E$1996,2,0),"")</f>
        <v>Α/Θ 1'' Χ 1''</v>
      </c>
    </row>
    <row r="225" spans="1:14">
      <c r="A225" s="5">
        <v>3</v>
      </c>
      <c r="B225" s="32">
        <f>IF(ISNUMBER(SEARCH('Φόρμα Εισαγωγής'!$B$2,C225)),MAX($B$1:B224)+1,0)</f>
        <v>224</v>
      </c>
      <c r="C225" s="5" t="s">
        <v>169</v>
      </c>
      <c r="D225" s="33">
        <f>IF(ISNUMBER(SEARCH('Φόρμα Εισαγωγής'!$C$2,E225)),MAX($D$1:D224)+1,0)</f>
        <v>224</v>
      </c>
      <c r="E225" s="5" t="s">
        <v>179</v>
      </c>
      <c r="F225" s="5">
        <v>4</v>
      </c>
      <c r="G225" s="5">
        <v>6</v>
      </c>
      <c r="H225" s="6">
        <f t="shared" si="18"/>
        <v>7.4399999999999995</v>
      </c>
      <c r="I225" s="6">
        <f t="shared" si="19"/>
        <v>12</v>
      </c>
      <c r="J225" s="6">
        <f t="shared" si="20"/>
        <v>22.32</v>
      </c>
      <c r="L225" s="4" t="str">
        <f>IFERROR(VLOOKUP(ROWS($L$2:L225),$B$2:$C$1996,2,0),"")</f>
        <v>ΣΠΙΡΑΛ 60CM</v>
      </c>
      <c r="N225" s="2" t="str">
        <f>IFERROR(VLOOKUP(ROWS($N$2:N225),$D$2:$E$1996,2,0),"")</f>
        <v>Α/Θ 3/4 Χ 3/4</v>
      </c>
    </row>
    <row r="226" spans="1:14">
      <c r="A226" s="5">
        <v>2</v>
      </c>
      <c r="B226" s="32">
        <f>IF(ISNUMBER(SEARCH('Φόρμα Εισαγωγής'!$B$2,C226)),MAX($B$1:B225)+1,0)</f>
        <v>225</v>
      </c>
      <c r="C226" s="5" t="s">
        <v>163</v>
      </c>
      <c r="D226" s="33">
        <f>IF(ISNUMBER(SEARCH('Φόρμα Εισαγωγής'!$C$2,E226)),MAX($D$1:D225)+1,0)</f>
        <v>225</v>
      </c>
      <c r="E226" s="5" t="s">
        <v>174</v>
      </c>
      <c r="F226" s="5">
        <v>7.2</v>
      </c>
      <c r="G226" s="5">
        <v>12</v>
      </c>
      <c r="H226" s="6">
        <f t="shared" si="18"/>
        <v>14.879999999999999</v>
      </c>
      <c r="I226" s="6">
        <f t="shared" si="19"/>
        <v>14.4</v>
      </c>
      <c r="J226" s="6">
        <f t="shared" si="20"/>
        <v>29.759999999999998</v>
      </c>
      <c r="L226" s="4" t="str">
        <f>IFERROR(VLOOKUP(ROWS($L$2:L226),$B$2:$C$1996,2,0),"")</f>
        <v>ΣΠΙΡΑΛ 80CM</v>
      </c>
      <c r="N226" s="2" t="str">
        <f>IFERROR(VLOOKUP(ROWS($N$2:N226),$D$2:$E$1996,2,0),"")</f>
        <v>Α/Θ 1'' Χ 1''</v>
      </c>
    </row>
    <row r="227" spans="1:14">
      <c r="A227" s="5">
        <v>1</v>
      </c>
      <c r="B227" s="32">
        <f>IF(ISNUMBER(SEARCH('Φόρμα Εισαγωγής'!$B$2,C227)),MAX($B$1:B226)+1,0)</f>
        <v>226</v>
      </c>
      <c r="C227" s="5" t="s">
        <v>180</v>
      </c>
      <c r="D227" s="33">
        <f>IF(ISNUMBER(SEARCH('Φόρμα Εισαγωγής'!$C$2,E227)),MAX($D$1:D226)+1,0)</f>
        <v>226</v>
      </c>
      <c r="E227" s="5" t="s">
        <v>174</v>
      </c>
      <c r="F227" s="5">
        <v>7</v>
      </c>
      <c r="G227" s="5">
        <v>10</v>
      </c>
      <c r="H227" s="6">
        <f t="shared" si="18"/>
        <v>12.4</v>
      </c>
      <c r="I227" s="6">
        <f t="shared" si="19"/>
        <v>7</v>
      </c>
      <c r="J227" s="6">
        <f t="shared" si="20"/>
        <v>12.4</v>
      </c>
      <c r="L227" s="4" t="str">
        <f>IFERROR(VLOOKUP(ROWS($L$2:L227),$B$2:$C$1996,2,0),"")</f>
        <v>ΣΠΙΡΑΛ ΓΩΝΙΑ 60CM</v>
      </c>
      <c r="N227" s="2" t="str">
        <f>IFERROR(VLOOKUP(ROWS($N$2:N227),$D$2:$E$1996,2,0),"")</f>
        <v>Α/Θ 1'' Χ 1''</v>
      </c>
    </row>
    <row r="228" spans="1:14">
      <c r="A228" s="5">
        <v>38</v>
      </c>
      <c r="B228" s="32">
        <f>IF(ISNUMBER(SEARCH('Φόρμα Εισαγωγής'!$B$2,C228)),MAX($B$1:B227)+1,0)</f>
        <v>227</v>
      </c>
      <c r="C228" s="7" t="s">
        <v>188</v>
      </c>
      <c r="D228" s="33">
        <f>IF(ISNUMBER(SEARCH('Φόρμα Εισαγωγής'!$C$2,E228)),MAX($D$1:D227)+1,0)</f>
        <v>227</v>
      </c>
      <c r="E228" s="17" t="s">
        <v>120</v>
      </c>
      <c r="F228" s="5">
        <v>0.34</v>
      </c>
      <c r="G228" s="5">
        <v>0.47</v>
      </c>
      <c r="H228" s="6">
        <f t="shared" si="18"/>
        <v>0.58279999999999998</v>
      </c>
      <c r="I228" s="6">
        <f t="shared" si="19"/>
        <v>12.920000000000002</v>
      </c>
      <c r="J228" s="6">
        <f t="shared" si="20"/>
        <v>22.1464</v>
      </c>
      <c r="L228" s="4" t="str">
        <f>IFERROR(VLOOKUP(ROWS($L$2:L228),$B$2:$C$1996,2,0),"")</f>
        <v>ΓΩΝΙΑ PVC</v>
      </c>
      <c r="N228" s="2" t="str">
        <f>IFERROR(VLOOKUP(ROWS($N$2:N228),$D$2:$E$1996,2,0),"")</f>
        <v>Φ32</v>
      </c>
    </row>
    <row r="229" spans="1:14">
      <c r="A229" s="5">
        <v>29</v>
      </c>
      <c r="B229" s="32">
        <f>IF(ISNUMBER(SEARCH('Φόρμα Εισαγωγής'!$B$2,C229)),MAX($B$1:B228)+1,0)</f>
        <v>228</v>
      </c>
      <c r="C229" s="7" t="s">
        <v>188</v>
      </c>
      <c r="D229" s="33">
        <f>IF(ISNUMBER(SEARCH('Φόρμα Εισαγωγής'!$C$2,E229)),MAX($D$1:D228)+1,0)</f>
        <v>228</v>
      </c>
      <c r="E229" s="17" t="s">
        <v>189</v>
      </c>
      <c r="F229" s="5">
        <v>0.36</v>
      </c>
      <c r="G229" s="5">
        <v>0.5</v>
      </c>
      <c r="H229" s="6">
        <f t="shared" si="18"/>
        <v>0.62</v>
      </c>
      <c r="I229" s="6">
        <f t="shared" si="19"/>
        <v>10.44</v>
      </c>
      <c r="J229" s="6">
        <f t="shared" si="20"/>
        <v>17.98</v>
      </c>
      <c r="L229" s="4" t="str">
        <f>IFERROR(VLOOKUP(ROWS($L$2:L229),$B$2:$C$1996,2,0),"")</f>
        <v>ΓΩΝΙΑ PVC</v>
      </c>
      <c r="N229" s="2" t="str">
        <f>IFERROR(VLOOKUP(ROWS($N$2:N229),$D$2:$E$1996,2,0),"")</f>
        <v>Φ40</v>
      </c>
    </row>
    <row r="230" spans="1:14">
      <c r="A230" s="5">
        <v>52</v>
      </c>
      <c r="B230" s="32">
        <f>IF(ISNUMBER(SEARCH('Φόρμα Εισαγωγής'!$B$2,C230)),MAX($B$1:B229)+1,0)</f>
        <v>229</v>
      </c>
      <c r="C230" s="7" t="s">
        <v>188</v>
      </c>
      <c r="D230" s="33">
        <f>IF(ISNUMBER(SEARCH('Φόρμα Εισαγωγής'!$C$2,E230)),MAX($D$1:D229)+1,0)</f>
        <v>229</v>
      </c>
      <c r="E230" s="17" t="s">
        <v>190</v>
      </c>
      <c r="F230" s="5">
        <v>0.42</v>
      </c>
      <c r="G230" s="5">
        <v>0.6</v>
      </c>
      <c r="H230" s="6">
        <f t="shared" si="18"/>
        <v>0.74399999999999999</v>
      </c>
      <c r="I230" s="6">
        <f t="shared" si="19"/>
        <v>21.84</v>
      </c>
      <c r="J230" s="6">
        <f t="shared" si="20"/>
        <v>38.688000000000002</v>
      </c>
      <c r="L230" s="4" t="str">
        <f>IFERROR(VLOOKUP(ROWS($L$2:L230),$B$2:$C$1996,2,0),"")</f>
        <v>ΓΩΝΙΑ PVC</v>
      </c>
      <c r="N230" s="2" t="str">
        <f>IFERROR(VLOOKUP(ROWS($N$2:N230),$D$2:$E$1996,2,0),"")</f>
        <v>Φ50</v>
      </c>
    </row>
    <row r="231" spans="1:14">
      <c r="A231" s="5">
        <v>19</v>
      </c>
      <c r="B231" s="32">
        <f>IF(ISNUMBER(SEARCH('Φόρμα Εισαγωγής'!$B$2,C231)),MAX($B$1:B230)+1,0)</f>
        <v>230</v>
      </c>
      <c r="C231" s="7" t="s">
        <v>188</v>
      </c>
      <c r="D231" s="33">
        <f>IF(ISNUMBER(SEARCH('Φόρμα Εισαγωγής'!$C$2,E231)),MAX($D$1:D230)+1,0)</f>
        <v>230</v>
      </c>
      <c r="E231" s="17" t="s">
        <v>191</v>
      </c>
      <c r="F231" s="5">
        <v>0.5</v>
      </c>
      <c r="G231" s="5">
        <v>0.72</v>
      </c>
      <c r="H231" s="6">
        <f t="shared" si="18"/>
        <v>0.89279999999999993</v>
      </c>
      <c r="I231" s="6">
        <f t="shared" si="19"/>
        <v>9.5</v>
      </c>
      <c r="J231" s="6">
        <f t="shared" si="20"/>
        <v>16.963199999999997</v>
      </c>
      <c r="L231" s="4" t="str">
        <f>IFERROR(VLOOKUP(ROWS($L$2:L231),$B$2:$C$1996,2,0),"")</f>
        <v>ΓΩΝΙΑ PVC</v>
      </c>
      <c r="N231" s="2" t="str">
        <f>IFERROR(VLOOKUP(ROWS($N$2:N231),$D$2:$E$1996,2,0),"")</f>
        <v>Φ63</v>
      </c>
    </row>
    <row r="232" spans="1:14">
      <c r="A232" s="5">
        <v>24</v>
      </c>
      <c r="B232" s="32">
        <f>IF(ISNUMBER(SEARCH('Φόρμα Εισαγωγής'!$B$2,C232)),MAX($B$1:B231)+1,0)</f>
        <v>231</v>
      </c>
      <c r="C232" s="7" t="s">
        <v>188</v>
      </c>
      <c r="D232" s="33">
        <f>IF(ISNUMBER(SEARCH('Φόρμα Εισαγωγής'!$C$2,E232)),MAX($D$1:D231)+1,0)</f>
        <v>231</v>
      </c>
      <c r="E232" s="17" t="s">
        <v>192</v>
      </c>
      <c r="F232" s="5">
        <v>0.65</v>
      </c>
      <c r="G232" s="5">
        <v>0.9</v>
      </c>
      <c r="H232" s="6">
        <f t="shared" si="18"/>
        <v>1.1160000000000001</v>
      </c>
      <c r="I232" s="6">
        <f t="shared" si="19"/>
        <v>15.600000000000001</v>
      </c>
      <c r="J232" s="6">
        <f t="shared" si="20"/>
        <v>26.784000000000002</v>
      </c>
      <c r="L232" s="4" t="str">
        <f>IFERROR(VLOOKUP(ROWS($L$2:L232),$B$2:$C$1996,2,0),"")</f>
        <v>ΓΩΝΙΑ PVC</v>
      </c>
      <c r="N232" s="2" t="str">
        <f>IFERROR(VLOOKUP(ROWS($N$2:N232),$D$2:$E$1996,2,0),"")</f>
        <v>Φ75</v>
      </c>
    </row>
    <row r="233" spans="1:14">
      <c r="A233" s="5">
        <v>44</v>
      </c>
      <c r="B233" s="32">
        <f>IF(ISNUMBER(SEARCH('Φόρμα Εισαγωγής'!$B$2,C233)),MAX($B$1:B232)+1,0)</f>
        <v>232</v>
      </c>
      <c r="C233" s="7" t="s">
        <v>188</v>
      </c>
      <c r="D233" s="33">
        <f>IF(ISNUMBER(SEARCH('Φόρμα Εισαγωγής'!$C$2,E233)),MAX($D$1:D232)+1,0)</f>
        <v>232</v>
      </c>
      <c r="E233" s="17" t="s">
        <v>193</v>
      </c>
      <c r="F233" s="5">
        <v>0.94</v>
      </c>
      <c r="G233" s="5">
        <v>1.32</v>
      </c>
      <c r="H233" s="6">
        <f t="shared" si="18"/>
        <v>1.6368</v>
      </c>
      <c r="I233" s="6">
        <f t="shared" si="19"/>
        <v>41.36</v>
      </c>
      <c r="J233" s="6">
        <f t="shared" si="20"/>
        <v>72.019199999999998</v>
      </c>
      <c r="L233" s="4" t="str">
        <f>IFERROR(VLOOKUP(ROWS($L$2:L233),$B$2:$C$1996,2,0),"")</f>
        <v>ΓΩΝΙΑ PVC</v>
      </c>
      <c r="N233" s="2" t="str">
        <f>IFERROR(VLOOKUP(ROWS($N$2:N233),$D$2:$E$1996,2,0),"")</f>
        <v>Φ100</v>
      </c>
    </row>
    <row r="234" spans="1:14">
      <c r="A234" s="5">
        <v>29</v>
      </c>
      <c r="B234" s="32">
        <f>IF(ISNUMBER(SEARCH('Φόρμα Εισαγωγής'!$B$2,C234)),MAX($B$1:B233)+1,0)</f>
        <v>233</v>
      </c>
      <c r="C234" s="7" t="s">
        <v>188</v>
      </c>
      <c r="D234" s="33">
        <f>IF(ISNUMBER(SEARCH('Φόρμα Εισαγωγής'!$C$2,E234)),MAX($D$1:D233)+1,0)</f>
        <v>233</v>
      </c>
      <c r="E234" s="17" t="s">
        <v>194</v>
      </c>
      <c r="F234" s="5">
        <v>1.45</v>
      </c>
      <c r="G234" s="5">
        <v>2.1</v>
      </c>
      <c r="H234" s="6">
        <f t="shared" si="18"/>
        <v>2.6040000000000001</v>
      </c>
      <c r="I234" s="6">
        <f t="shared" si="19"/>
        <v>42.05</v>
      </c>
      <c r="J234" s="6">
        <f t="shared" si="20"/>
        <v>75.516000000000005</v>
      </c>
      <c r="L234" s="4" t="str">
        <f>IFERROR(VLOOKUP(ROWS($L$2:L234),$B$2:$C$1996,2,0),"")</f>
        <v>ΓΩΝΙΑ PVC</v>
      </c>
      <c r="N234" s="2" t="str">
        <f>IFERROR(VLOOKUP(ROWS($N$2:N234),$D$2:$E$1996,2,0),"")</f>
        <v>Φ125</v>
      </c>
    </row>
    <row r="235" spans="1:14">
      <c r="A235" s="5">
        <v>0</v>
      </c>
      <c r="B235" s="32">
        <f>IF(ISNUMBER(SEARCH('Φόρμα Εισαγωγής'!$B$2,C235)),MAX($B$1:B234)+1,0)</f>
        <v>234</v>
      </c>
      <c r="C235" s="7" t="s">
        <v>188</v>
      </c>
      <c r="D235" s="33">
        <f>IF(ISNUMBER(SEARCH('Φόρμα Εισαγωγής'!$C$2,E235)),MAX($D$1:D234)+1,0)</f>
        <v>234</v>
      </c>
      <c r="E235" s="17" t="s">
        <v>195</v>
      </c>
      <c r="F235" s="5">
        <v>2.92</v>
      </c>
      <c r="G235" s="5">
        <v>4.0999999999999996</v>
      </c>
      <c r="H235" s="6">
        <f t="shared" si="18"/>
        <v>5.0839999999999996</v>
      </c>
      <c r="I235" s="6">
        <f t="shared" si="19"/>
        <v>0</v>
      </c>
      <c r="J235" s="6">
        <f t="shared" si="20"/>
        <v>0</v>
      </c>
      <c r="L235" s="4" t="str">
        <f>IFERROR(VLOOKUP(ROWS($L$2:L235),$B$2:$C$1996,2,0),"")</f>
        <v>ΓΩΝΙΑ PVC</v>
      </c>
      <c r="N235" s="2" t="str">
        <f>IFERROR(VLOOKUP(ROWS($N$2:N235),$D$2:$E$1996,2,0),"")</f>
        <v>Φ140</v>
      </c>
    </row>
    <row r="236" spans="1:14">
      <c r="A236" s="5">
        <v>0</v>
      </c>
      <c r="B236" s="32">
        <f>IF(ISNUMBER(SEARCH('Φόρμα Εισαγωγής'!$B$2,C236)),MAX($B$1:B235)+1,0)</f>
        <v>235</v>
      </c>
      <c r="C236" s="7" t="s">
        <v>188</v>
      </c>
      <c r="D236" s="33">
        <f>IF(ISNUMBER(SEARCH('Φόρμα Εισαγωγής'!$C$2,E236)),MAX($D$1:D235)+1,0)</f>
        <v>235</v>
      </c>
      <c r="E236" s="17" t="s">
        <v>196</v>
      </c>
      <c r="F236" s="5">
        <v>8.1</v>
      </c>
      <c r="G236" s="5">
        <v>13.4</v>
      </c>
      <c r="H236" s="6">
        <f t="shared" si="18"/>
        <v>16.616</v>
      </c>
      <c r="I236" s="6">
        <f t="shared" si="19"/>
        <v>0</v>
      </c>
      <c r="J236" s="6">
        <f t="shared" si="20"/>
        <v>0</v>
      </c>
      <c r="L236" s="4" t="str">
        <f>IFERROR(VLOOKUP(ROWS($L$2:L236),$B$2:$C$1996,2,0),"")</f>
        <v>ΓΩΝΙΑ PVC</v>
      </c>
      <c r="N236" s="2" t="str">
        <f>IFERROR(VLOOKUP(ROWS($N$2:N236),$D$2:$E$1996,2,0),"")</f>
        <v>Φ200</v>
      </c>
    </row>
    <row r="237" spans="1:14">
      <c r="A237" s="5">
        <v>31</v>
      </c>
      <c r="B237" s="32">
        <f>IF(ISNUMBER(SEARCH('Φόρμα Εισαγωγής'!$B$2,C237)),MAX($B$1:B236)+1,0)</f>
        <v>236</v>
      </c>
      <c r="C237" s="7" t="s">
        <v>197</v>
      </c>
      <c r="D237" s="33">
        <f>IF(ISNUMBER(SEARCH('Φόρμα Εισαγωγής'!$C$2,E237)),MAX($D$1:D236)+1,0)</f>
        <v>236</v>
      </c>
      <c r="E237" s="17" t="s">
        <v>120</v>
      </c>
      <c r="F237" s="5">
        <v>0.34</v>
      </c>
      <c r="G237" s="5">
        <v>0.47</v>
      </c>
      <c r="H237" s="6">
        <f t="shared" si="18"/>
        <v>0.58279999999999998</v>
      </c>
      <c r="I237" s="6">
        <f t="shared" si="19"/>
        <v>10.540000000000001</v>
      </c>
      <c r="J237" s="6">
        <f t="shared" si="20"/>
        <v>18.066800000000001</v>
      </c>
      <c r="L237" s="4" t="str">
        <f>IFERROR(VLOOKUP(ROWS($L$2:L237),$B$2:$C$1996,2,0),"")</f>
        <v>ΗΜΙΓΩΝΙΑ PVC</v>
      </c>
      <c r="N237" s="2" t="str">
        <f>IFERROR(VLOOKUP(ROWS($N$2:N237),$D$2:$E$1996,2,0),"")</f>
        <v>Φ32</v>
      </c>
    </row>
    <row r="238" spans="1:14">
      <c r="A238" s="5">
        <v>20</v>
      </c>
      <c r="B238" s="32">
        <f>IF(ISNUMBER(SEARCH('Φόρμα Εισαγωγής'!$B$2,C238)),MAX($B$1:B237)+1,0)</f>
        <v>237</v>
      </c>
      <c r="C238" s="7" t="s">
        <v>197</v>
      </c>
      <c r="D238" s="33">
        <f>IF(ISNUMBER(SEARCH('Φόρμα Εισαγωγής'!$C$2,E238)),MAX($D$1:D237)+1,0)</f>
        <v>237</v>
      </c>
      <c r="E238" s="17" t="s">
        <v>189</v>
      </c>
      <c r="F238" s="5">
        <v>0.36</v>
      </c>
      <c r="G238" s="5">
        <v>0.5</v>
      </c>
      <c r="H238" s="6">
        <f t="shared" si="18"/>
        <v>0.62</v>
      </c>
      <c r="I238" s="6">
        <f t="shared" si="19"/>
        <v>7.1999999999999993</v>
      </c>
      <c r="J238" s="6">
        <f t="shared" si="20"/>
        <v>12.4</v>
      </c>
      <c r="L238" s="4" t="str">
        <f>IFERROR(VLOOKUP(ROWS($L$2:L238),$B$2:$C$1996,2,0),"")</f>
        <v>ΗΜΙΓΩΝΙΑ PVC</v>
      </c>
      <c r="N238" s="2" t="str">
        <f>IFERROR(VLOOKUP(ROWS($N$2:N238),$D$2:$E$1996,2,0),"")</f>
        <v>Φ40</v>
      </c>
    </row>
    <row r="239" spans="1:14">
      <c r="A239" s="5">
        <v>28</v>
      </c>
      <c r="B239" s="32">
        <f>IF(ISNUMBER(SEARCH('Φόρμα Εισαγωγής'!$B$2,C239)),MAX($B$1:B238)+1,0)</f>
        <v>238</v>
      </c>
      <c r="C239" s="7" t="s">
        <v>197</v>
      </c>
      <c r="D239" s="33">
        <f>IF(ISNUMBER(SEARCH('Φόρμα Εισαγωγής'!$C$2,E239)),MAX($D$1:D238)+1,0)</f>
        <v>238</v>
      </c>
      <c r="E239" s="17" t="s">
        <v>190</v>
      </c>
      <c r="F239" s="5">
        <v>0.42</v>
      </c>
      <c r="G239" s="5">
        <v>0.6</v>
      </c>
      <c r="H239" s="6">
        <f t="shared" si="18"/>
        <v>0.74399999999999999</v>
      </c>
      <c r="I239" s="6">
        <f t="shared" si="19"/>
        <v>11.76</v>
      </c>
      <c r="J239" s="6">
        <f t="shared" si="20"/>
        <v>20.832000000000001</v>
      </c>
      <c r="L239" s="4" t="str">
        <f>IFERROR(VLOOKUP(ROWS($L$2:L239),$B$2:$C$1996,2,0),"")</f>
        <v>ΗΜΙΓΩΝΙΑ PVC</v>
      </c>
      <c r="N239" s="2" t="str">
        <f>IFERROR(VLOOKUP(ROWS($N$2:N239),$D$2:$E$1996,2,0),"")</f>
        <v>Φ50</v>
      </c>
    </row>
    <row r="240" spans="1:14">
      <c r="A240" s="5">
        <v>20</v>
      </c>
      <c r="B240" s="32">
        <f>IF(ISNUMBER(SEARCH('Φόρμα Εισαγωγής'!$B$2,C240)),MAX($B$1:B239)+1,0)</f>
        <v>239</v>
      </c>
      <c r="C240" s="7" t="s">
        <v>197</v>
      </c>
      <c r="D240" s="33">
        <f>IF(ISNUMBER(SEARCH('Φόρμα Εισαγωγής'!$C$2,E240)),MAX($D$1:D239)+1,0)</f>
        <v>239</v>
      </c>
      <c r="E240" s="17" t="s">
        <v>191</v>
      </c>
      <c r="F240" s="5">
        <v>0.5</v>
      </c>
      <c r="G240" s="5">
        <v>0.72</v>
      </c>
      <c r="H240" s="6">
        <f t="shared" si="18"/>
        <v>0.89279999999999993</v>
      </c>
      <c r="I240" s="6">
        <f t="shared" si="19"/>
        <v>10</v>
      </c>
      <c r="J240" s="6">
        <f t="shared" si="20"/>
        <v>17.855999999999998</v>
      </c>
      <c r="L240" s="4" t="str">
        <f>IFERROR(VLOOKUP(ROWS($L$2:L240),$B$2:$C$1996,2,0),"")</f>
        <v>ΗΜΙΓΩΝΙΑ PVC</v>
      </c>
      <c r="N240" s="2" t="str">
        <f>IFERROR(VLOOKUP(ROWS($N$2:N240),$D$2:$E$1996,2,0),"")</f>
        <v>Φ63</v>
      </c>
    </row>
    <row r="241" spans="1:14">
      <c r="A241" s="5">
        <v>21</v>
      </c>
      <c r="B241" s="32">
        <f>IF(ISNUMBER(SEARCH('Φόρμα Εισαγωγής'!$B$2,C241)),MAX($B$1:B240)+1,0)</f>
        <v>240</v>
      </c>
      <c r="C241" s="7" t="s">
        <v>197</v>
      </c>
      <c r="D241" s="33">
        <f>IF(ISNUMBER(SEARCH('Φόρμα Εισαγωγής'!$C$2,E241)),MAX($D$1:D240)+1,0)</f>
        <v>240</v>
      </c>
      <c r="E241" s="17" t="s">
        <v>192</v>
      </c>
      <c r="F241" s="5">
        <v>0.65</v>
      </c>
      <c r="G241" s="5">
        <v>0.9</v>
      </c>
      <c r="H241" s="6">
        <f t="shared" si="18"/>
        <v>1.1160000000000001</v>
      </c>
      <c r="I241" s="6">
        <f t="shared" si="19"/>
        <v>13.65</v>
      </c>
      <c r="J241" s="6">
        <f t="shared" si="20"/>
        <v>23.436000000000003</v>
      </c>
      <c r="L241" s="4" t="str">
        <f>IFERROR(VLOOKUP(ROWS($L$2:L241),$B$2:$C$1996,2,0),"")</f>
        <v>ΗΜΙΓΩΝΙΑ PVC</v>
      </c>
      <c r="N241" s="2" t="str">
        <f>IFERROR(VLOOKUP(ROWS($N$2:N241),$D$2:$E$1996,2,0),"")</f>
        <v>Φ75</v>
      </c>
    </row>
    <row r="242" spans="1:14">
      <c r="A242" s="5">
        <v>15</v>
      </c>
      <c r="B242" s="32">
        <f>IF(ISNUMBER(SEARCH('Φόρμα Εισαγωγής'!$B$2,C242)),MAX($B$1:B241)+1,0)</f>
        <v>241</v>
      </c>
      <c r="C242" s="7" t="s">
        <v>197</v>
      </c>
      <c r="D242" s="33">
        <f>IF(ISNUMBER(SEARCH('Φόρμα Εισαγωγής'!$C$2,E242)),MAX($D$1:D241)+1,0)</f>
        <v>241</v>
      </c>
      <c r="E242" s="17" t="s">
        <v>193</v>
      </c>
      <c r="F242" s="5">
        <v>0.94</v>
      </c>
      <c r="G242" s="5">
        <v>1.32</v>
      </c>
      <c r="H242" s="6">
        <f t="shared" si="18"/>
        <v>1.6368</v>
      </c>
      <c r="I242" s="6">
        <f t="shared" si="19"/>
        <v>14.1</v>
      </c>
      <c r="J242" s="6">
        <f t="shared" si="20"/>
        <v>24.552</v>
      </c>
      <c r="L242" s="4" t="str">
        <f>IFERROR(VLOOKUP(ROWS($L$2:L242),$B$2:$C$1996,2,0),"")</f>
        <v>ΗΜΙΓΩΝΙΑ PVC</v>
      </c>
      <c r="N242" s="2" t="str">
        <f>IFERROR(VLOOKUP(ROWS($N$2:N242),$D$2:$E$1996,2,0),"")</f>
        <v>Φ100</v>
      </c>
    </row>
    <row r="243" spans="1:14">
      <c r="A243" s="5">
        <v>3</v>
      </c>
      <c r="B243" s="32">
        <f>IF(ISNUMBER(SEARCH('Φόρμα Εισαγωγής'!$B$2,C243)),MAX($B$1:B242)+1,0)</f>
        <v>242</v>
      </c>
      <c r="C243" s="7" t="s">
        <v>197</v>
      </c>
      <c r="D243" s="33">
        <f>IF(ISNUMBER(SEARCH('Φόρμα Εισαγωγής'!$C$2,E243)),MAX($D$1:D242)+1,0)</f>
        <v>242</v>
      </c>
      <c r="E243" s="17" t="s">
        <v>194</v>
      </c>
      <c r="F243" s="5">
        <v>1.45</v>
      </c>
      <c r="G243" s="5">
        <v>2.1</v>
      </c>
      <c r="H243" s="6">
        <f t="shared" si="18"/>
        <v>2.6040000000000001</v>
      </c>
      <c r="I243" s="6">
        <f t="shared" si="19"/>
        <v>4.3499999999999996</v>
      </c>
      <c r="J243" s="6">
        <f t="shared" si="20"/>
        <v>7.8120000000000003</v>
      </c>
      <c r="L243" s="4" t="str">
        <f>IFERROR(VLOOKUP(ROWS($L$2:L243),$B$2:$C$1996,2,0),"")</f>
        <v>ΗΜΙΓΩΝΙΑ PVC</v>
      </c>
      <c r="N243" s="2" t="str">
        <f>IFERROR(VLOOKUP(ROWS($N$2:N243),$D$2:$E$1996,2,0),"")</f>
        <v>Φ125</v>
      </c>
    </row>
    <row r="244" spans="1:14">
      <c r="A244" s="5">
        <v>0</v>
      </c>
      <c r="B244" s="32">
        <f>IF(ISNUMBER(SEARCH('Φόρμα Εισαγωγής'!$B$2,C244)),MAX($B$1:B243)+1,0)</f>
        <v>243</v>
      </c>
      <c r="C244" s="7" t="s">
        <v>197</v>
      </c>
      <c r="D244" s="33">
        <f>IF(ISNUMBER(SEARCH('Φόρμα Εισαγωγής'!$C$2,E244)),MAX($D$1:D243)+1,0)</f>
        <v>243</v>
      </c>
      <c r="E244" s="17" t="s">
        <v>195</v>
      </c>
      <c r="F244" s="5">
        <v>2.92</v>
      </c>
      <c r="G244" s="5">
        <v>4.0999999999999996</v>
      </c>
      <c r="H244" s="6">
        <f t="shared" si="18"/>
        <v>5.0839999999999996</v>
      </c>
      <c r="I244" s="6">
        <f t="shared" si="19"/>
        <v>0</v>
      </c>
      <c r="J244" s="6">
        <f t="shared" si="20"/>
        <v>0</v>
      </c>
      <c r="L244" s="4" t="str">
        <f>IFERROR(VLOOKUP(ROWS($L$2:L244),$B$2:$C$1996,2,0),"")</f>
        <v>ΗΜΙΓΩΝΙΑ PVC</v>
      </c>
      <c r="N244" s="2" t="str">
        <f>IFERROR(VLOOKUP(ROWS($N$2:N244),$D$2:$E$1996,2,0),"")</f>
        <v>Φ140</v>
      </c>
    </row>
    <row r="245" spans="1:14">
      <c r="A245" s="5">
        <v>0</v>
      </c>
      <c r="B245" s="32">
        <f>IF(ISNUMBER(SEARCH('Φόρμα Εισαγωγής'!$B$2,C245)),MAX($B$1:B244)+1,0)</f>
        <v>244</v>
      </c>
      <c r="C245" s="7" t="s">
        <v>197</v>
      </c>
      <c r="D245" s="33">
        <f>IF(ISNUMBER(SEARCH('Φόρμα Εισαγωγής'!$C$2,E245)),MAX($D$1:D244)+1,0)</f>
        <v>244</v>
      </c>
      <c r="E245" s="17" t="s">
        <v>196</v>
      </c>
      <c r="F245" s="5">
        <v>8.1</v>
      </c>
      <c r="G245" s="5">
        <v>13.4</v>
      </c>
      <c r="H245" s="6">
        <f t="shared" si="18"/>
        <v>16.616</v>
      </c>
      <c r="I245" s="6">
        <f t="shared" si="19"/>
        <v>0</v>
      </c>
      <c r="J245" s="6">
        <f t="shared" si="20"/>
        <v>0</v>
      </c>
      <c r="L245" s="4" t="str">
        <f>IFERROR(VLOOKUP(ROWS($L$2:L245),$B$2:$C$1996,2,0),"")</f>
        <v>ΗΜΙΓΩΝΙΑ PVC</v>
      </c>
      <c r="N245" s="2" t="str">
        <f>IFERROR(VLOOKUP(ROWS($N$2:N245),$D$2:$E$1996,2,0),"")</f>
        <v>Φ200</v>
      </c>
    </row>
    <row r="246" spans="1:14">
      <c r="A246" s="5">
        <v>14</v>
      </c>
      <c r="B246" s="32">
        <f>IF(ISNUMBER(SEARCH('Φόρμα Εισαγωγής'!$B$2,C246)),MAX($B$1:B245)+1,0)</f>
        <v>245</v>
      </c>
      <c r="C246" s="7" t="s">
        <v>198</v>
      </c>
      <c r="D246" s="33">
        <f>IF(ISNUMBER(SEARCH('Φόρμα Εισαγωγής'!$C$2,E246)),MAX($D$1:D245)+1,0)</f>
        <v>245</v>
      </c>
      <c r="E246" s="17" t="s">
        <v>120</v>
      </c>
      <c r="F246" s="5">
        <v>0.46</v>
      </c>
      <c r="G246" s="5">
        <v>0.65</v>
      </c>
      <c r="H246" s="6">
        <f t="shared" si="18"/>
        <v>0.80600000000000005</v>
      </c>
      <c r="I246" s="6">
        <f t="shared" si="19"/>
        <v>6.44</v>
      </c>
      <c r="J246" s="6">
        <f t="shared" si="20"/>
        <v>11.284000000000001</v>
      </c>
      <c r="L246" s="4" t="str">
        <f>IFERROR(VLOOKUP(ROWS($L$2:L246),$B$2:$C$1996,2,0),"")</f>
        <v>ΤΑΦ PVC</v>
      </c>
      <c r="N246" s="2" t="str">
        <f>IFERROR(VLOOKUP(ROWS($N$2:N246),$D$2:$E$1996,2,0),"")</f>
        <v>Φ32</v>
      </c>
    </row>
    <row r="247" spans="1:14">
      <c r="A247" s="5">
        <v>16</v>
      </c>
      <c r="B247" s="32">
        <f>IF(ISNUMBER(SEARCH('Φόρμα Εισαγωγής'!$B$2,C247)),MAX($B$1:B246)+1,0)</f>
        <v>246</v>
      </c>
      <c r="C247" s="7" t="s">
        <v>198</v>
      </c>
      <c r="D247" s="33">
        <f>IF(ISNUMBER(SEARCH('Φόρμα Εισαγωγής'!$C$2,E247)),MAX($D$1:D246)+1,0)</f>
        <v>246</v>
      </c>
      <c r="E247" s="17" t="s">
        <v>189</v>
      </c>
      <c r="F247" s="5">
        <v>0.48</v>
      </c>
      <c r="G247" s="5">
        <v>0.7</v>
      </c>
      <c r="H247" s="6">
        <f t="shared" si="18"/>
        <v>0.86799999999999988</v>
      </c>
      <c r="I247" s="6">
        <f t="shared" si="19"/>
        <v>7.68</v>
      </c>
      <c r="J247" s="6">
        <f t="shared" si="20"/>
        <v>13.887999999999998</v>
      </c>
      <c r="L247" s="4" t="str">
        <f>IFERROR(VLOOKUP(ROWS($L$2:L247),$B$2:$C$1996,2,0),"")</f>
        <v>ΤΑΦ PVC</v>
      </c>
      <c r="N247" s="2" t="str">
        <f>IFERROR(VLOOKUP(ROWS($N$2:N247),$D$2:$E$1996,2,0),"")</f>
        <v>Φ40</v>
      </c>
    </row>
    <row r="248" spans="1:14">
      <c r="A248" s="5">
        <v>20</v>
      </c>
      <c r="B248" s="32">
        <f>IF(ISNUMBER(SEARCH('Φόρμα Εισαγωγής'!$B$2,C248)),MAX($B$1:B247)+1,0)</f>
        <v>247</v>
      </c>
      <c r="C248" s="7" t="s">
        <v>198</v>
      </c>
      <c r="D248" s="33">
        <f>IF(ISNUMBER(SEARCH('Φόρμα Εισαγωγής'!$C$2,E248)),MAX($D$1:D247)+1,0)</f>
        <v>247</v>
      </c>
      <c r="E248" s="17" t="s">
        <v>190</v>
      </c>
      <c r="F248" s="5">
        <v>0.53</v>
      </c>
      <c r="G248" s="5">
        <v>0.75</v>
      </c>
      <c r="H248" s="6">
        <f t="shared" si="18"/>
        <v>0.92999999999999994</v>
      </c>
      <c r="I248" s="6">
        <f t="shared" si="19"/>
        <v>10.600000000000001</v>
      </c>
      <c r="J248" s="6">
        <f t="shared" si="20"/>
        <v>18.599999999999998</v>
      </c>
      <c r="L248" s="4" t="str">
        <f>IFERROR(VLOOKUP(ROWS($L$2:L248),$B$2:$C$1996,2,0),"")</f>
        <v>ΤΑΦ PVC</v>
      </c>
      <c r="N248" s="2" t="str">
        <f>IFERROR(VLOOKUP(ROWS($N$2:N248),$D$2:$E$1996,2,0),"")</f>
        <v>Φ50</v>
      </c>
    </row>
    <row r="249" spans="1:14">
      <c r="A249" s="5">
        <v>13</v>
      </c>
      <c r="B249" s="32">
        <f>IF(ISNUMBER(SEARCH('Φόρμα Εισαγωγής'!$B$2,C249)),MAX($B$1:B248)+1,0)</f>
        <v>248</v>
      </c>
      <c r="C249" s="7" t="s">
        <v>198</v>
      </c>
      <c r="D249" s="33">
        <f>IF(ISNUMBER(SEARCH('Φόρμα Εισαγωγής'!$C$2,E249)),MAX($D$1:D248)+1,0)</f>
        <v>248</v>
      </c>
      <c r="E249" s="17" t="s">
        <v>191</v>
      </c>
      <c r="F249" s="5">
        <v>0.6</v>
      </c>
      <c r="G249" s="5">
        <v>0.85</v>
      </c>
      <c r="H249" s="6">
        <f t="shared" si="18"/>
        <v>1.054</v>
      </c>
      <c r="I249" s="6">
        <f t="shared" si="19"/>
        <v>7.8</v>
      </c>
      <c r="J249" s="6">
        <f t="shared" si="20"/>
        <v>13.702</v>
      </c>
      <c r="L249" s="4" t="str">
        <f>IFERROR(VLOOKUP(ROWS($L$2:L249),$B$2:$C$1996,2,0),"")</f>
        <v>ΤΑΦ PVC</v>
      </c>
      <c r="N249" s="2" t="str">
        <f>IFERROR(VLOOKUP(ROWS($N$2:N249),$D$2:$E$1996,2,0),"")</f>
        <v>Φ63</v>
      </c>
    </row>
    <row r="250" spans="1:14">
      <c r="A250" s="5">
        <v>15</v>
      </c>
      <c r="B250" s="32">
        <f>IF(ISNUMBER(SEARCH('Φόρμα Εισαγωγής'!$B$2,C250)),MAX($B$1:B249)+1,0)</f>
        <v>249</v>
      </c>
      <c r="C250" s="7" t="s">
        <v>198</v>
      </c>
      <c r="D250" s="33">
        <f>IF(ISNUMBER(SEARCH('Φόρμα Εισαγωγής'!$C$2,E250)),MAX($D$1:D249)+1,0)</f>
        <v>249</v>
      </c>
      <c r="E250" s="17" t="s">
        <v>192</v>
      </c>
      <c r="F250" s="5">
        <v>0.75</v>
      </c>
      <c r="G250" s="5">
        <v>1</v>
      </c>
      <c r="H250" s="6">
        <f t="shared" si="18"/>
        <v>1.24</v>
      </c>
      <c r="I250" s="6">
        <f t="shared" si="19"/>
        <v>11.25</v>
      </c>
      <c r="J250" s="6">
        <f t="shared" si="20"/>
        <v>18.600000000000001</v>
      </c>
      <c r="L250" s="4" t="str">
        <f>IFERROR(VLOOKUP(ROWS($L$2:L250),$B$2:$C$1996,2,0),"")</f>
        <v>ΤΑΦ PVC</v>
      </c>
      <c r="N250" s="2" t="str">
        <f>IFERROR(VLOOKUP(ROWS($N$2:N250),$D$2:$E$1996,2,0),"")</f>
        <v>Φ75</v>
      </c>
    </row>
    <row r="251" spans="1:14">
      <c r="A251" s="5">
        <v>13</v>
      </c>
      <c r="B251" s="32">
        <f>IF(ISNUMBER(SEARCH('Φόρμα Εισαγωγής'!$B$2,C251)),MAX($B$1:B250)+1,0)</f>
        <v>250</v>
      </c>
      <c r="C251" s="7" t="s">
        <v>198</v>
      </c>
      <c r="D251" s="33">
        <f>IF(ISNUMBER(SEARCH('Φόρμα Εισαγωγής'!$C$2,E251)),MAX($D$1:D250)+1,0)</f>
        <v>250</v>
      </c>
      <c r="E251" s="17" t="s">
        <v>193</v>
      </c>
      <c r="F251" s="5">
        <v>1</v>
      </c>
      <c r="G251" s="5">
        <v>1.4</v>
      </c>
      <c r="H251" s="6">
        <f t="shared" si="18"/>
        <v>1.7359999999999998</v>
      </c>
      <c r="I251" s="6">
        <f t="shared" si="19"/>
        <v>13</v>
      </c>
      <c r="J251" s="6">
        <f t="shared" si="20"/>
        <v>22.567999999999998</v>
      </c>
      <c r="L251" s="4" t="str">
        <f>IFERROR(VLOOKUP(ROWS($L$2:L251),$B$2:$C$1996,2,0),"")</f>
        <v>ΤΑΦ PVC</v>
      </c>
      <c r="N251" s="2" t="str">
        <f>IFERROR(VLOOKUP(ROWS($N$2:N251),$D$2:$E$1996,2,0),"")</f>
        <v>Φ100</v>
      </c>
    </row>
    <row r="252" spans="1:14">
      <c r="A252" s="5">
        <v>4</v>
      </c>
      <c r="B252" s="32">
        <f>IF(ISNUMBER(SEARCH('Φόρμα Εισαγωγής'!$B$2,C252)),MAX($B$1:B251)+1,0)</f>
        <v>251</v>
      </c>
      <c r="C252" s="7" t="s">
        <v>198</v>
      </c>
      <c r="D252" s="33">
        <f>IF(ISNUMBER(SEARCH('Φόρμα Εισαγωγής'!$C$2,E252)),MAX($D$1:D251)+1,0)</f>
        <v>251</v>
      </c>
      <c r="E252" s="17" t="s">
        <v>194</v>
      </c>
      <c r="F252" s="5">
        <v>1.6</v>
      </c>
      <c r="G252" s="5">
        <v>2.25</v>
      </c>
      <c r="H252" s="6">
        <f t="shared" si="18"/>
        <v>2.79</v>
      </c>
      <c r="I252" s="6">
        <f t="shared" si="19"/>
        <v>6.4</v>
      </c>
      <c r="J252" s="6">
        <f t="shared" si="20"/>
        <v>11.16</v>
      </c>
      <c r="L252" s="4" t="str">
        <f>IFERROR(VLOOKUP(ROWS($L$2:L252),$B$2:$C$1996,2,0),"")</f>
        <v>ΤΑΦ PVC</v>
      </c>
      <c r="N252" s="2" t="str">
        <f>IFERROR(VLOOKUP(ROWS($N$2:N252),$D$2:$E$1996,2,0),"")</f>
        <v>Φ125</v>
      </c>
    </row>
    <row r="253" spans="1:14">
      <c r="A253" s="5">
        <v>0</v>
      </c>
      <c r="B253" s="32">
        <f>IF(ISNUMBER(SEARCH('Φόρμα Εισαγωγής'!$B$2,C253)),MAX($B$1:B252)+1,0)</f>
        <v>252</v>
      </c>
      <c r="C253" s="7" t="s">
        <v>198</v>
      </c>
      <c r="D253" s="33">
        <f>IF(ISNUMBER(SEARCH('Φόρμα Εισαγωγής'!$C$2,E253)),MAX($D$1:D252)+1,0)</f>
        <v>252</v>
      </c>
      <c r="E253" s="17" t="s">
        <v>195</v>
      </c>
      <c r="F253" s="5">
        <v>3.2</v>
      </c>
      <c r="G253" s="5">
        <v>4.5</v>
      </c>
      <c r="H253" s="6">
        <f t="shared" si="18"/>
        <v>5.58</v>
      </c>
      <c r="I253" s="6">
        <f t="shared" si="19"/>
        <v>0</v>
      </c>
      <c r="J253" s="6">
        <f t="shared" si="20"/>
        <v>0</v>
      </c>
      <c r="L253" s="4" t="str">
        <f>IFERROR(VLOOKUP(ROWS($L$2:L253),$B$2:$C$1996,2,0),"")</f>
        <v>ΤΑΦ PVC</v>
      </c>
      <c r="N253" s="2" t="str">
        <f>IFERROR(VLOOKUP(ROWS($N$2:N253),$D$2:$E$1996,2,0),"")</f>
        <v>Φ140</v>
      </c>
    </row>
    <row r="254" spans="1:14">
      <c r="A254" s="5">
        <v>0</v>
      </c>
      <c r="B254" s="32">
        <f>IF(ISNUMBER(SEARCH('Φόρμα Εισαγωγής'!$B$2,C254)),MAX($B$1:B253)+1,0)</f>
        <v>253</v>
      </c>
      <c r="C254" s="7" t="s">
        <v>198</v>
      </c>
      <c r="D254" s="33">
        <f>IF(ISNUMBER(SEARCH('Φόρμα Εισαγωγής'!$C$2,E254)),MAX($D$1:D253)+1,0)</f>
        <v>253</v>
      </c>
      <c r="E254" s="17" t="s">
        <v>196</v>
      </c>
      <c r="F254" s="5">
        <v>8.1999999999999993</v>
      </c>
      <c r="G254" s="5">
        <v>11.5</v>
      </c>
      <c r="H254" s="6">
        <f t="shared" si="18"/>
        <v>14.26</v>
      </c>
      <c r="I254" s="6">
        <f t="shared" si="19"/>
        <v>0</v>
      </c>
      <c r="J254" s="6">
        <f t="shared" si="20"/>
        <v>0</v>
      </c>
      <c r="L254" s="4" t="str">
        <f>IFERROR(VLOOKUP(ROWS($L$2:L254),$B$2:$C$1996,2,0),"")</f>
        <v>ΤΑΦ PVC</v>
      </c>
      <c r="N254" s="2" t="str">
        <f>IFERROR(VLOOKUP(ROWS($N$2:N254),$D$2:$E$1996,2,0),"")</f>
        <v>Φ200</v>
      </c>
    </row>
    <row r="255" spans="1:14">
      <c r="A255" s="5">
        <v>11</v>
      </c>
      <c r="B255" s="32">
        <f>IF(ISNUMBER(SEARCH('Φόρμα Εισαγωγής'!$B$2,C255)),MAX($B$1:B254)+1,0)</f>
        <v>254</v>
      </c>
      <c r="C255" s="7" t="s">
        <v>199</v>
      </c>
      <c r="D255" s="33">
        <f>IF(ISNUMBER(SEARCH('Φόρμα Εισαγωγής'!$C$2,E255)),MAX($D$1:D254)+1,0)</f>
        <v>254</v>
      </c>
      <c r="E255" s="17" t="s">
        <v>120</v>
      </c>
      <c r="F255" s="5">
        <v>0.46</v>
      </c>
      <c r="G255" s="5">
        <v>0.65</v>
      </c>
      <c r="H255" s="6">
        <f t="shared" si="18"/>
        <v>0.80600000000000005</v>
      </c>
      <c r="I255" s="6">
        <f t="shared" si="19"/>
        <v>5.0600000000000005</v>
      </c>
      <c r="J255" s="6">
        <f t="shared" si="20"/>
        <v>8.8659999999999997</v>
      </c>
      <c r="L255" s="4" t="str">
        <f>IFERROR(VLOOKUP(ROWS($L$2:L255),$B$2:$C$1996,2,0),"")</f>
        <v>ΗΜΙΤΑΦ PVC</v>
      </c>
      <c r="N255" s="2" t="str">
        <f>IFERROR(VLOOKUP(ROWS($N$2:N255),$D$2:$E$1996,2,0),"")</f>
        <v>Φ32</v>
      </c>
    </row>
    <row r="256" spans="1:14">
      <c r="A256" s="5">
        <v>8</v>
      </c>
      <c r="B256" s="32">
        <f>IF(ISNUMBER(SEARCH('Φόρμα Εισαγωγής'!$B$2,C256)),MAX($B$1:B255)+1,0)</f>
        <v>255</v>
      </c>
      <c r="C256" s="7" t="s">
        <v>199</v>
      </c>
      <c r="D256" s="33">
        <f>IF(ISNUMBER(SEARCH('Φόρμα Εισαγωγής'!$C$2,E256)),MAX($D$1:D255)+1,0)</f>
        <v>255</v>
      </c>
      <c r="E256" s="17" t="s">
        <v>189</v>
      </c>
      <c r="F256" s="5">
        <v>0.48</v>
      </c>
      <c r="G256" s="5">
        <v>0.7</v>
      </c>
      <c r="H256" s="6">
        <f t="shared" si="18"/>
        <v>0.86799999999999988</v>
      </c>
      <c r="I256" s="6">
        <f t="shared" si="19"/>
        <v>3.84</v>
      </c>
      <c r="J256" s="6">
        <f t="shared" si="20"/>
        <v>6.9439999999999991</v>
      </c>
      <c r="L256" s="4" t="str">
        <f>IFERROR(VLOOKUP(ROWS($L$2:L256),$B$2:$C$1996,2,0),"")</f>
        <v>ΗΜΙΤΑΦ PVC</v>
      </c>
      <c r="N256" s="2" t="str">
        <f>IFERROR(VLOOKUP(ROWS($N$2:N256),$D$2:$E$1996,2,0),"")</f>
        <v>Φ40</v>
      </c>
    </row>
    <row r="257" spans="1:14">
      <c r="A257" s="5">
        <v>17</v>
      </c>
      <c r="B257" s="32">
        <f>IF(ISNUMBER(SEARCH('Φόρμα Εισαγωγής'!$B$2,C257)),MAX($B$1:B256)+1,0)</f>
        <v>256</v>
      </c>
      <c r="C257" s="7" t="s">
        <v>199</v>
      </c>
      <c r="D257" s="33">
        <f>IF(ISNUMBER(SEARCH('Φόρμα Εισαγωγής'!$C$2,E257)),MAX($D$1:D256)+1,0)</f>
        <v>256</v>
      </c>
      <c r="E257" s="17" t="s">
        <v>190</v>
      </c>
      <c r="F257" s="5">
        <v>0.53</v>
      </c>
      <c r="G257" s="5">
        <v>0.75</v>
      </c>
      <c r="H257" s="6">
        <f t="shared" si="18"/>
        <v>0.92999999999999994</v>
      </c>
      <c r="I257" s="6">
        <f t="shared" si="19"/>
        <v>9.01</v>
      </c>
      <c r="J257" s="6">
        <f t="shared" si="20"/>
        <v>15.809999999999999</v>
      </c>
      <c r="L257" s="4" t="str">
        <f>IFERROR(VLOOKUP(ROWS($L$2:L257),$B$2:$C$1996,2,0),"")</f>
        <v>ΗΜΙΤΑΦ PVC</v>
      </c>
      <c r="N257" s="2" t="str">
        <f>IFERROR(VLOOKUP(ROWS($N$2:N257),$D$2:$E$1996,2,0),"")</f>
        <v>Φ50</v>
      </c>
    </row>
    <row r="258" spans="1:14">
      <c r="A258" s="5">
        <v>10</v>
      </c>
      <c r="B258" s="32">
        <f>IF(ISNUMBER(SEARCH('Φόρμα Εισαγωγής'!$B$2,C258)),MAX($B$1:B257)+1,0)</f>
        <v>257</v>
      </c>
      <c r="C258" s="7" t="s">
        <v>199</v>
      </c>
      <c r="D258" s="33">
        <f>IF(ISNUMBER(SEARCH('Φόρμα Εισαγωγής'!$C$2,E258)),MAX($D$1:D257)+1,0)</f>
        <v>257</v>
      </c>
      <c r="E258" s="17" t="s">
        <v>191</v>
      </c>
      <c r="F258" s="5">
        <v>0.6</v>
      </c>
      <c r="G258" s="5">
        <v>0.85</v>
      </c>
      <c r="H258" s="6">
        <f t="shared" si="18"/>
        <v>1.054</v>
      </c>
      <c r="I258" s="6">
        <f t="shared" si="19"/>
        <v>6</v>
      </c>
      <c r="J258" s="6">
        <f t="shared" si="20"/>
        <v>10.540000000000001</v>
      </c>
      <c r="L258" s="4" t="str">
        <f>IFERROR(VLOOKUP(ROWS($L$2:L258),$B$2:$C$1996,2,0),"")</f>
        <v>ΗΜΙΤΑΦ PVC</v>
      </c>
      <c r="N258" s="2" t="str">
        <f>IFERROR(VLOOKUP(ROWS($N$2:N258),$D$2:$E$1996,2,0),"")</f>
        <v>Φ63</v>
      </c>
    </row>
    <row r="259" spans="1:14">
      <c r="A259" s="5">
        <v>25</v>
      </c>
      <c r="B259" s="32">
        <f>IF(ISNUMBER(SEARCH('Φόρμα Εισαγωγής'!$B$2,C259)),MAX($B$1:B258)+1,0)</f>
        <v>258</v>
      </c>
      <c r="C259" s="7" t="s">
        <v>199</v>
      </c>
      <c r="D259" s="33">
        <f>IF(ISNUMBER(SEARCH('Φόρμα Εισαγωγής'!$C$2,E259)),MAX($D$1:D258)+1,0)</f>
        <v>258</v>
      </c>
      <c r="E259" s="17" t="s">
        <v>192</v>
      </c>
      <c r="F259" s="5">
        <v>0.75</v>
      </c>
      <c r="G259" s="5">
        <v>1</v>
      </c>
      <c r="H259" s="6">
        <f t="shared" si="18"/>
        <v>1.24</v>
      </c>
      <c r="I259" s="6">
        <f t="shared" si="19"/>
        <v>18.75</v>
      </c>
      <c r="J259" s="6">
        <f t="shared" si="20"/>
        <v>31</v>
      </c>
      <c r="L259" s="4" t="str">
        <f>IFERROR(VLOOKUP(ROWS($L$2:L259),$B$2:$C$1996,2,0),"")</f>
        <v>ΗΜΙΤΑΦ PVC</v>
      </c>
      <c r="N259" s="2" t="str">
        <f>IFERROR(VLOOKUP(ROWS($N$2:N259),$D$2:$E$1996,2,0),"")</f>
        <v>Φ75</v>
      </c>
    </row>
    <row r="260" spans="1:14">
      <c r="A260" s="5">
        <v>11</v>
      </c>
      <c r="B260" s="32">
        <f>IF(ISNUMBER(SEARCH('Φόρμα Εισαγωγής'!$B$2,C260)),MAX($B$1:B259)+1,0)</f>
        <v>259</v>
      </c>
      <c r="C260" s="7" t="s">
        <v>199</v>
      </c>
      <c r="D260" s="33">
        <f>IF(ISNUMBER(SEARCH('Φόρμα Εισαγωγής'!$C$2,E260)),MAX($D$1:D259)+1,0)</f>
        <v>259</v>
      </c>
      <c r="E260" s="17" t="s">
        <v>193</v>
      </c>
      <c r="F260" s="5">
        <v>1</v>
      </c>
      <c r="G260" s="5">
        <v>1.4</v>
      </c>
      <c r="H260" s="6">
        <f t="shared" si="18"/>
        <v>1.7359999999999998</v>
      </c>
      <c r="I260" s="6">
        <f t="shared" si="19"/>
        <v>11</v>
      </c>
      <c r="J260" s="6">
        <f t="shared" si="20"/>
        <v>19.095999999999997</v>
      </c>
      <c r="L260" s="4" t="str">
        <f>IFERROR(VLOOKUP(ROWS($L$2:L260),$B$2:$C$1996,2,0),"")</f>
        <v>ΗΜΙΤΑΦ PVC</v>
      </c>
      <c r="N260" s="2" t="str">
        <f>IFERROR(VLOOKUP(ROWS($N$2:N260),$D$2:$E$1996,2,0),"")</f>
        <v>Φ100</v>
      </c>
    </row>
    <row r="261" spans="1:14">
      <c r="A261" s="5">
        <v>7</v>
      </c>
      <c r="B261" s="32">
        <f>IF(ISNUMBER(SEARCH('Φόρμα Εισαγωγής'!$B$2,C261)),MAX($B$1:B260)+1,0)</f>
        <v>260</v>
      </c>
      <c r="C261" s="7" t="s">
        <v>199</v>
      </c>
      <c r="D261" s="33">
        <f>IF(ISNUMBER(SEARCH('Φόρμα Εισαγωγής'!$C$2,E261)),MAX($D$1:D260)+1,0)</f>
        <v>260</v>
      </c>
      <c r="E261" s="17" t="s">
        <v>194</v>
      </c>
      <c r="F261" s="5">
        <v>1.6</v>
      </c>
      <c r="G261" s="5">
        <v>2.25</v>
      </c>
      <c r="H261" s="6">
        <f t="shared" si="18"/>
        <v>2.79</v>
      </c>
      <c r="I261" s="6">
        <f t="shared" si="19"/>
        <v>11.200000000000001</v>
      </c>
      <c r="J261" s="6">
        <f t="shared" si="20"/>
        <v>19.53</v>
      </c>
      <c r="L261" s="4" t="str">
        <f>IFERROR(VLOOKUP(ROWS($L$2:L261),$B$2:$C$1996,2,0),"")</f>
        <v>ΗΜΙΤΑΦ PVC</v>
      </c>
      <c r="N261" s="2" t="str">
        <f>IFERROR(VLOOKUP(ROWS($N$2:N261),$D$2:$E$1996,2,0),"")</f>
        <v>Φ125</v>
      </c>
    </row>
    <row r="262" spans="1:14">
      <c r="A262" s="5">
        <v>0</v>
      </c>
      <c r="B262" s="32">
        <f>IF(ISNUMBER(SEARCH('Φόρμα Εισαγωγής'!$B$2,C262)),MAX($B$1:B261)+1,0)</f>
        <v>261</v>
      </c>
      <c r="C262" s="7" t="s">
        <v>199</v>
      </c>
      <c r="D262" s="33">
        <f>IF(ISNUMBER(SEARCH('Φόρμα Εισαγωγής'!$C$2,E262)),MAX($D$1:D261)+1,0)</f>
        <v>261</v>
      </c>
      <c r="E262" s="17" t="s">
        <v>195</v>
      </c>
      <c r="F262" s="5">
        <v>3.2</v>
      </c>
      <c r="G262" s="5">
        <v>4.5</v>
      </c>
      <c r="H262" s="6">
        <f t="shared" ref="H262:H325" si="21">G262+(G262*0.24)</f>
        <v>5.58</v>
      </c>
      <c r="I262" s="6">
        <f t="shared" ref="I262:I325" si="22">F262*A262</f>
        <v>0</v>
      </c>
      <c r="J262" s="6">
        <f t="shared" ref="J262:J325" si="23">H262*A262</f>
        <v>0</v>
      </c>
      <c r="L262" s="4" t="str">
        <f>IFERROR(VLOOKUP(ROWS($L$2:L262),$B$2:$C$1996,2,0),"")</f>
        <v>ΗΜΙΤΑΦ PVC</v>
      </c>
      <c r="N262" s="2" t="str">
        <f>IFERROR(VLOOKUP(ROWS($N$2:N262),$D$2:$E$1996,2,0),"")</f>
        <v>Φ140</v>
      </c>
    </row>
    <row r="263" spans="1:14">
      <c r="A263" s="5">
        <v>0</v>
      </c>
      <c r="B263" s="32">
        <f>IF(ISNUMBER(SEARCH('Φόρμα Εισαγωγής'!$B$2,C263)),MAX($B$1:B262)+1,0)</f>
        <v>262</v>
      </c>
      <c r="C263" s="7" t="s">
        <v>199</v>
      </c>
      <c r="D263" s="33">
        <f>IF(ISNUMBER(SEARCH('Φόρμα Εισαγωγής'!$C$2,E263)),MAX($D$1:D262)+1,0)</f>
        <v>262</v>
      </c>
      <c r="E263" s="17" t="s">
        <v>196</v>
      </c>
      <c r="F263" s="5">
        <v>8.1999999999999993</v>
      </c>
      <c r="G263" s="5">
        <v>11.5</v>
      </c>
      <c r="H263" s="6">
        <f t="shared" si="21"/>
        <v>14.26</v>
      </c>
      <c r="I263" s="6">
        <f t="shared" si="22"/>
        <v>0</v>
      </c>
      <c r="J263" s="6">
        <f t="shared" si="23"/>
        <v>0</v>
      </c>
      <c r="L263" s="4" t="str">
        <f>IFERROR(VLOOKUP(ROWS($L$2:L263),$B$2:$C$1996,2,0),"")</f>
        <v>ΗΜΙΤΑΦ PVC</v>
      </c>
      <c r="N263" s="2" t="str">
        <f>IFERROR(VLOOKUP(ROWS($N$2:N263),$D$2:$E$1996,2,0),"")</f>
        <v>Φ200</v>
      </c>
    </row>
    <row r="264" spans="1:14">
      <c r="A264" s="5">
        <v>0</v>
      </c>
      <c r="B264" s="32">
        <f>IF(ISNUMBER(SEARCH('Φόρμα Εισαγωγής'!$B$2,C264)),MAX($B$1:B263)+1,0)</f>
        <v>263</v>
      </c>
      <c r="C264" s="7" t="s">
        <v>200</v>
      </c>
      <c r="D264" s="33">
        <f>IF(ISNUMBER(SEARCH('Φόρμα Εισαγωγής'!$C$2,E264)),MAX($D$1:D263)+1,0)</f>
        <v>263</v>
      </c>
      <c r="E264" s="17" t="s">
        <v>120</v>
      </c>
      <c r="H264" s="6">
        <f t="shared" si="21"/>
        <v>0</v>
      </c>
      <c r="I264" s="6">
        <f t="shared" si="22"/>
        <v>0</v>
      </c>
      <c r="J264" s="6">
        <f t="shared" si="23"/>
        <v>0</v>
      </c>
      <c r="L264" s="4" t="str">
        <f>IFERROR(VLOOKUP(ROWS($L$2:L264),$B$2:$C$1996,2,0),"")</f>
        <v>ΤΑΠΑ PVC</v>
      </c>
      <c r="N264" s="2" t="str">
        <f>IFERROR(VLOOKUP(ROWS($N$2:N264),$D$2:$E$1996,2,0),"")</f>
        <v>Φ32</v>
      </c>
    </row>
    <row r="265" spans="1:14">
      <c r="A265" s="5">
        <v>55</v>
      </c>
      <c r="B265" s="32">
        <f>IF(ISNUMBER(SEARCH('Φόρμα Εισαγωγής'!$B$2,C265)),MAX($B$1:B264)+1,0)</f>
        <v>264</v>
      </c>
      <c r="C265" s="7" t="s">
        <v>200</v>
      </c>
      <c r="D265" s="33">
        <f>IF(ISNUMBER(SEARCH('Φόρμα Εισαγωγής'!$C$2,E265)),MAX($D$1:D264)+1,0)</f>
        <v>264</v>
      </c>
      <c r="E265" s="17" t="s">
        <v>189</v>
      </c>
      <c r="F265" s="5">
        <v>0.46</v>
      </c>
      <c r="G265" s="5">
        <v>0.65</v>
      </c>
      <c r="H265" s="6">
        <f t="shared" si="21"/>
        <v>0.80600000000000005</v>
      </c>
      <c r="I265" s="6">
        <f t="shared" si="22"/>
        <v>25.3</v>
      </c>
      <c r="J265" s="6">
        <f t="shared" si="23"/>
        <v>44.330000000000005</v>
      </c>
      <c r="L265" s="4" t="str">
        <f>IFERROR(VLOOKUP(ROWS($L$2:L265),$B$2:$C$1996,2,0),"")</f>
        <v>ΤΑΠΑ PVC</v>
      </c>
      <c r="N265" s="2" t="str">
        <f>IFERROR(VLOOKUP(ROWS($N$2:N265),$D$2:$E$1996,2,0),"")</f>
        <v>Φ40</v>
      </c>
    </row>
    <row r="266" spans="1:14">
      <c r="A266" s="5">
        <v>18</v>
      </c>
      <c r="B266" s="32">
        <f>IF(ISNUMBER(SEARCH('Φόρμα Εισαγωγής'!$B$2,C266)),MAX($B$1:B265)+1,0)</f>
        <v>265</v>
      </c>
      <c r="C266" s="7" t="s">
        <v>200</v>
      </c>
      <c r="D266" s="33">
        <f>IF(ISNUMBER(SEARCH('Φόρμα Εισαγωγής'!$C$2,E266)),MAX($D$1:D265)+1,0)</f>
        <v>265</v>
      </c>
      <c r="E266" s="17" t="s">
        <v>190</v>
      </c>
      <c r="F266" s="5">
        <v>0.5</v>
      </c>
      <c r="G266" s="5">
        <v>0.72</v>
      </c>
      <c r="H266" s="6">
        <f t="shared" si="21"/>
        <v>0.89279999999999993</v>
      </c>
      <c r="I266" s="6">
        <f t="shared" si="22"/>
        <v>9</v>
      </c>
      <c r="J266" s="6">
        <f t="shared" si="23"/>
        <v>16.070399999999999</v>
      </c>
      <c r="L266" s="4" t="str">
        <f>IFERROR(VLOOKUP(ROWS($L$2:L266),$B$2:$C$1996,2,0),"")</f>
        <v>ΤΑΠΑ PVC</v>
      </c>
      <c r="N266" s="2" t="str">
        <f>IFERROR(VLOOKUP(ROWS($N$2:N266),$D$2:$E$1996,2,0),"")</f>
        <v>Φ50</v>
      </c>
    </row>
    <row r="267" spans="1:14">
      <c r="A267" s="5">
        <v>0</v>
      </c>
      <c r="B267" s="32">
        <f>IF(ISNUMBER(SEARCH('Φόρμα Εισαγωγής'!$B$2,C267)),MAX($B$1:B266)+1,0)</f>
        <v>266</v>
      </c>
      <c r="C267" s="7" t="s">
        <v>200</v>
      </c>
      <c r="D267" s="33">
        <f>IF(ISNUMBER(SEARCH('Φόρμα Εισαγωγής'!$C$2,E267)),MAX($D$1:D266)+1,0)</f>
        <v>266</v>
      </c>
      <c r="E267" s="17" t="s">
        <v>191</v>
      </c>
      <c r="F267" s="5">
        <v>0.55000000000000004</v>
      </c>
      <c r="G267" s="5">
        <v>0.75</v>
      </c>
      <c r="H267" s="6">
        <f t="shared" si="21"/>
        <v>0.92999999999999994</v>
      </c>
      <c r="I267" s="6">
        <f t="shared" si="22"/>
        <v>0</v>
      </c>
      <c r="J267" s="6">
        <f t="shared" si="23"/>
        <v>0</v>
      </c>
      <c r="L267" s="4" t="str">
        <f>IFERROR(VLOOKUP(ROWS($L$2:L267),$B$2:$C$1996,2,0),"")</f>
        <v>ΤΑΠΑ PVC</v>
      </c>
      <c r="N267" s="2" t="str">
        <f>IFERROR(VLOOKUP(ROWS($N$2:N267),$D$2:$E$1996,2,0),"")</f>
        <v>Φ63</v>
      </c>
    </row>
    <row r="268" spans="1:14">
      <c r="A268" s="5">
        <v>16</v>
      </c>
      <c r="B268" s="32">
        <f>IF(ISNUMBER(SEARCH('Φόρμα Εισαγωγής'!$B$2,C268)),MAX($B$1:B267)+1,0)</f>
        <v>267</v>
      </c>
      <c r="C268" s="7" t="s">
        <v>200</v>
      </c>
      <c r="D268" s="33">
        <f>IF(ISNUMBER(SEARCH('Φόρμα Εισαγωγής'!$C$2,E268)),MAX($D$1:D267)+1,0)</f>
        <v>267</v>
      </c>
      <c r="E268" s="17" t="s">
        <v>192</v>
      </c>
      <c r="F268" s="5">
        <v>0.6</v>
      </c>
      <c r="G268" s="5">
        <v>0.85</v>
      </c>
      <c r="H268" s="6">
        <f t="shared" si="21"/>
        <v>1.054</v>
      </c>
      <c r="I268" s="6">
        <f t="shared" si="22"/>
        <v>9.6</v>
      </c>
      <c r="J268" s="6">
        <f t="shared" si="23"/>
        <v>16.864000000000001</v>
      </c>
      <c r="L268" s="4" t="str">
        <f>IFERROR(VLOOKUP(ROWS($L$2:L268),$B$2:$C$1996,2,0),"")</f>
        <v>ΤΑΠΑ PVC</v>
      </c>
      <c r="N268" s="2" t="str">
        <f>IFERROR(VLOOKUP(ROWS($N$2:N268),$D$2:$E$1996,2,0),"")</f>
        <v>Φ75</v>
      </c>
    </row>
    <row r="269" spans="1:14">
      <c r="A269" s="5">
        <v>34</v>
      </c>
      <c r="B269" s="32">
        <f>IF(ISNUMBER(SEARCH('Φόρμα Εισαγωγής'!$B$2,C269)),MAX($B$1:B268)+1,0)</f>
        <v>268</v>
      </c>
      <c r="C269" s="7" t="s">
        <v>200</v>
      </c>
      <c r="D269" s="33">
        <f>IF(ISNUMBER(SEARCH('Φόρμα Εισαγωγής'!$C$2,E269)),MAX($D$1:D268)+1,0)</f>
        <v>268</v>
      </c>
      <c r="E269" s="17" t="s">
        <v>193</v>
      </c>
      <c r="F269" s="5">
        <v>0.75</v>
      </c>
      <c r="G269" s="5">
        <v>1.1000000000000001</v>
      </c>
      <c r="H269" s="6">
        <f t="shared" si="21"/>
        <v>1.3640000000000001</v>
      </c>
      <c r="I269" s="6">
        <f t="shared" si="22"/>
        <v>25.5</v>
      </c>
      <c r="J269" s="6">
        <f t="shared" si="23"/>
        <v>46.376000000000005</v>
      </c>
      <c r="L269" s="4" t="str">
        <f>IFERROR(VLOOKUP(ROWS($L$2:L269),$B$2:$C$1996,2,0),"")</f>
        <v>ΤΑΠΑ PVC</v>
      </c>
      <c r="N269" s="2" t="str">
        <f>IFERROR(VLOOKUP(ROWS($N$2:N269),$D$2:$E$1996,2,0),"")</f>
        <v>Φ100</v>
      </c>
    </row>
    <row r="270" spans="1:14">
      <c r="A270" s="5">
        <v>5</v>
      </c>
      <c r="B270" s="32">
        <f>IF(ISNUMBER(SEARCH('Φόρμα Εισαγωγής'!$B$2,C270)),MAX($B$1:B269)+1,0)</f>
        <v>269</v>
      </c>
      <c r="C270" s="7" t="s">
        <v>200</v>
      </c>
      <c r="D270" s="33">
        <f>IF(ISNUMBER(SEARCH('Φόρμα Εισαγωγής'!$C$2,E270)),MAX($D$1:D269)+1,0)</f>
        <v>269</v>
      </c>
      <c r="E270" s="17" t="s">
        <v>194</v>
      </c>
      <c r="F270" s="5">
        <v>1.2</v>
      </c>
      <c r="G270" s="5">
        <v>1.65</v>
      </c>
      <c r="H270" s="6">
        <f t="shared" si="21"/>
        <v>2.0459999999999998</v>
      </c>
      <c r="I270" s="6">
        <f t="shared" si="22"/>
        <v>6</v>
      </c>
      <c r="J270" s="6">
        <f t="shared" si="23"/>
        <v>10.229999999999999</v>
      </c>
      <c r="L270" s="4" t="str">
        <f>IFERROR(VLOOKUP(ROWS($L$2:L270),$B$2:$C$1996,2,0),"")</f>
        <v>ΤΑΠΑ PVC</v>
      </c>
      <c r="N270" s="2" t="str">
        <f>IFERROR(VLOOKUP(ROWS($N$2:N270),$D$2:$E$1996,2,0),"")</f>
        <v>Φ125</v>
      </c>
    </row>
    <row r="271" spans="1:14">
      <c r="A271" s="5">
        <v>5</v>
      </c>
      <c r="B271" s="32">
        <f>IF(ISNUMBER(SEARCH('Φόρμα Εισαγωγής'!$B$2,C271)),MAX($B$1:B270)+1,0)</f>
        <v>270</v>
      </c>
      <c r="C271" s="7" t="s">
        <v>200</v>
      </c>
      <c r="D271" s="33">
        <f>IF(ISNUMBER(SEARCH('Φόρμα Εισαγωγής'!$C$2,E271)),MAX($D$1:D270)+1,0)</f>
        <v>270</v>
      </c>
      <c r="E271" s="17" t="s">
        <v>195</v>
      </c>
      <c r="F271" s="5">
        <v>1.9</v>
      </c>
      <c r="G271" s="5">
        <v>2.7</v>
      </c>
      <c r="H271" s="6">
        <f t="shared" si="21"/>
        <v>3.3480000000000003</v>
      </c>
      <c r="I271" s="6">
        <f t="shared" si="22"/>
        <v>9.5</v>
      </c>
      <c r="J271" s="6">
        <f t="shared" si="23"/>
        <v>16.740000000000002</v>
      </c>
      <c r="L271" s="4" t="str">
        <f>IFERROR(VLOOKUP(ROWS($L$2:L271),$B$2:$C$1996,2,0),"")</f>
        <v>ΤΑΠΑ PVC</v>
      </c>
      <c r="N271" s="2" t="str">
        <f>IFERROR(VLOOKUP(ROWS($N$2:N271),$D$2:$E$1996,2,0),"")</f>
        <v>Φ140</v>
      </c>
    </row>
    <row r="272" spans="1:14">
      <c r="A272" s="5">
        <v>0</v>
      </c>
      <c r="B272" s="32">
        <f>IF(ISNUMBER(SEARCH('Φόρμα Εισαγωγής'!$B$2,C272)),MAX($B$1:B271)+1,0)</f>
        <v>271</v>
      </c>
      <c r="C272" s="7" t="s">
        <v>200</v>
      </c>
      <c r="D272" s="33">
        <f>IF(ISNUMBER(SEARCH('Φόρμα Εισαγωγής'!$C$2,E272)),MAX($D$1:D271)+1,0)</f>
        <v>271</v>
      </c>
      <c r="E272" s="17" t="s">
        <v>196</v>
      </c>
      <c r="F272" s="5">
        <v>3.45</v>
      </c>
      <c r="G272" s="5">
        <v>4.8499999999999996</v>
      </c>
      <c r="H272" s="6">
        <f t="shared" si="21"/>
        <v>6.0139999999999993</v>
      </c>
      <c r="I272" s="6">
        <f t="shared" si="22"/>
        <v>0</v>
      </c>
      <c r="J272" s="6">
        <f t="shared" si="23"/>
        <v>0</v>
      </c>
      <c r="L272" s="4" t="str">
        <f>IFERROR(VLOOKUP(ROWS($L$2:L272),$B$2:$C$1996,2,0),"")</f>
        <v>ΤΑΠΑ PVC</v>
      </c>
      <c r="N272" s="2" t="str">
        <f>IFERROR(VLOOKUP(ROWS($N$2:N272),$D$2:$E$1996,2,0),"")</f>
        <v>Φ200</v>
      </c>
    </row>
    <row r="273" spans="1:14">
      <c r="A273" s="5">
        <v>9</v>
      </c>
      <c r="B273" s="32">
        <f>IF(ISNUMBER(SEARCH('Φόρμα Εισαγωγής'!$B$2,C273)),MAX($B$1:B272)+1,0)</f>
        <v>272</v>
      </c>
      <c r="C273" s="7" t="s">
        <v>201</v>
      </c>
      <c r="D273" s="33">
        <f>IF(ISNUMBER(SEARCH('Φόρμα Εισαγωγής'!$C$2,E273)),MAX($D$1:D272)+1,0)</f>
        <v>272</v>
      </c>
      <c r="E273" s="17" t="s">
        <v>190</v>
      </c>
      <c r="F273" s="5">
        <v>0.6</v>
      </c>
      <c r="G273" s="5">
        <v>0.85</v>
      </c>
      <c r="H273" s="6">
        <f t="shared" si="21"/>
        <v>1.054</v>
      </c>
      <c r="I273" s="6">
        <f t="shared" si="22"/>
        <v>5.3999999999999995</v>
      </c>
      <c r="J273" s="6">
        <f t="shared" si="23"/>
        <v>9.4860000000000007</v>
      </c>
      <c r="L273" s="4" t="str">
        <f>IFERROR(VLOOKUP(ROWS($L$2:L273),$B$2:$C$1996,2,0),"")</f>
        <v>ΚΑΠΕΛΟ PVC</v>
      </c>
      <c r="N273" s="2" t="str">
        <f>IFERROR(VLOOKUP(ROWS($N$2:N273),$D$2:$E$1996,2,0),"")</f>
        <v>Φ50</v>
      </c>
    </row>
    <row r="274" spans="1:14">
      <c r="A274" s="5">
        <v>0</v>
      </c>
      <c r="B274" s="32">
        <f>IF(ISNUMBER(SEARCH('Φόρμα Εισαγωγής'!$B$2,C274)),MAX($B$1:B273)+1,0)</f>
        <v>273</v>
      </c>
      <c r="C274" s="7" t="s">
        <v>201</v>
      </c>
      <c r="D274" s="33">
        <f>IF(ISNUMBER(SEARCH('Φόρμα Εισαγωγής'!$C$2,E274)),MAX($D$1:D273)+1,0)</f>
        <v>273</v>
      </c>
      <c r="E274" s="17" t="s">
        <v>191</v>
      </c>
      <c r="F274" s="5">
        <v>0.7</v>
      </c>
      <c r="G274" s="5">
        <v>1</v>
      </c>
      <c r="H274" s="6">
        <f t="shared" si="21"/>
        <v>1.24</v>
      </c>
      <c r="I274" s="6">
        <f t="shared" si="22"/>
        <v>0</v>
      </c>
      <c r="J274" s="6">
        <f t="shared" si="23"/>
        <v>0</v>
      </c>
      <c r="L274" s="4" t="str">
        <f>IFERROR(VLOOKUP(ROWS($L$2:L274),$B$2:$C$1996,2,0),"")</f>
        <v>ΚΑΠΕΛΟ PVC</v>
      </c>
      <c r="N274" s="2" t="str">
        <f>IFERROR(VLOOKUP(ROWS($N$2:N274),$D$2:$E$1996,2,0),"")</f>
        <v>Φ63</v>
      </c>
    </row>
    <row r="275" spans="1:14">
      <c r="A275" s="5">
        <v>15</v>
      </c>
      <c r="B275" s="32">
        <f>IF(ISNUMBER(SEARCH('Φόρμα Εισαγωγής'!$B$2,C275)),MAX($B$1:B274)+1,0)</f>
        <v>274</v>
      </c>
      <c r="C275" s="7" t="s">
        <v>201</v>
      </c>
      <c r="D275" s="33">
        <f>IF(ISNUMBER(SEARCH('Φόρμα Εισαγωγής'!$C$2,E275)),MAX($D$1:D274)+1,0)</f>
        <v>274</v>
      </c>
      <c r="E275" s="17" t="s">
        <v>192</v>
      </c>
      <c r="F275" s="5">
        <v>0.75</v>
      </c>
      <c r="G275" s="5">
        <v>1.1000000000000001</v>
      </c>
      <c r="H275" s="6">
        <f t="shared" si="21"/>
        <v>1.3640000000000001</v>
      </c>
      <c r="I275" s="6">
        <f t="shared" si="22"/>
        <v>11.25</v>
      </c>
      <c r="J275" s="6">
        <f t="shared" si="23"/>
        <v>20.46</v>
      </c>
      <c r="L275" s="4" t="str">
        <f>IFERROR(VLOOKUP(ROWS($L$2:L275),$B$2:$C$1996,2,0),"")</f>
        <v>ΚΑΠΕΛΟ PVC</v>
      </c>
      <c r="N275" s="2" t="str">
        <f>IFERROR(VLOOKUP(ROWS($N$2:N275),$D$2:$E$1996,2,0),"")</f>
        <v>Φ75</v>
      </c>
    </row>
    <row r="276" spans="1:14">
      <c r="A276" s="5">
        <v>4</v>
      </c>
      <c r="B276" s="32">
        <f>IF(ISNUMBER(SEARCH('Φόρμα Εισαγωγής'!$B$2,C276)),MAX($B$1:B275)+1,0)</f>
        <v>275</v>
      </c>
      <c r="C276" s="7" t="s">
        <v>201</v>
      </c>
      <c r="D276" s="33">
        <f>IF(ISNUMBER(SEARCH('Φόρμα Εισαγωγής'!$C$2,E276)),MAX($D$1:D275)+1,0)</f>
        <v>275</v>
      </c>
      <c r="E276" s="17" t="s">
        <v>193</v>
      </c>
      <c r="F276" s="5">
        <v>0.95</v>
      </c>
      <c r="G276" s="5">
        <v>1.4</v>
      </c>
      <c r="H276" s="6">
        <f t="shared" si="21"/>
        <v>1.7359999999999998</v>
      </c>
      <c r="I276" s="6">
        <f t="shared" si="22"/>
        <v>3.8</v>
      </c>
      <c r="J276" s="6">
        <f t="shared" si="23"/>
        <v>6.9439999999999991</v>
      </c>
      <c r="L276" s="4" t="str">
        <f>IFERROR(VLOOKUP(ROWS($L$2:L276),$B$2:$C$1996,2,0),"")</f>
        <v>ΚΑΠΕΛΟ PVC</v>
      </c>
      <c r="N276" s="2" t="str">
        <f>IFERROR(VLOOKUP(ROWS($N$2:N276),$D$2:$E$1996,2,0),"")</f>
        <v>Φ100</v>
      </c>
    </row>
    <row r="277" spans="1:14">
      <c r="A277" s="5">
        <v>0</v>
      </c>
      <c r="B277" s="32">
        <f>IF(ISNUMBER(SEARCH('Φόρμα Εισαγωγής'!$B$2,C277)),MAX($B$1:B276)+1,0)</f>
        <v>276</v>
      </c>
      <c r="C277" s="7" t="s">
        <v>201</v>
      </c>
      <c r="D277" s="33">
        <f>IF(ISNUMBER(SEARCH('Φόρμα Εισαγωγής'!$C$2,E277)),MAX($D$1:D276)+1,0)</f>
        <v>276</v>
      </c>
      <c r="E277" s="17" t="s">
        <v>194</v>
      </c>
      <c r="F277" s="5">
        <v>1.35</v>
      </c>
      <c r="G277" s="5">
        <v>1.9</v>
      </c>
      <c r="H277" s="6">
        <f t="shared" si="21"/>
        <v>2.3559999999999999</v>
      </c>
      <c r="I277" s="6">
        <f t="shared" si="22"/>
        <v>0</v>
      </c>
      <c r="J277" s="6">
        <f t="shared" si="23"/>
        <v>0</v>
      </c>
      <c r="L277" s="4" t="str">
        <f>IFERROR(VLOOKUP(ROWS($L$2:L277),$B$2:$C$1996,2,0),"")</f>
        <v>ΚΑΠΕΛΟ PVC</v>
      </c>
      <c r="N277" s="2" t="str">
        <f>IFERROR(VLOOKUP(ROWS($N$2:N277),$D$2:$E$1996,2,0),"")</f>
        <v>Φ125</v>
      </c>
    </row>
    <row r="278" spans="1:14">
      <c r="A278" s="5">
        <v>0</v>
      </c>
      <c r="B278" s="32">
        <f>IF(ISNUMBER(SEARCH('Φόρμα Εισαγωγής'!$B$2,C278)),MAX($B$1:B277)+1,0)</f>
        <v>277</v>
      </c>
      <c r="C278" s="7" t="s">
        <v>201</v>
      </c>
      <c r="D278" s="33">
        <f>IF(ISNUMBER(SEARCH('Φόρμα Εισαγωγής'!$C$2,E278)),MAX($D$1:D277)+1,0)</f>
        <v>277</v>
      </c>
      <c r="E278" s="17" t="s">
        <v>195</v>
      </c>
      <c r="H278" s="6">
        <f t="shared" si="21"/>
        <v>0</v>
      </c>
      <c r="I278" s="6">
        <f t="shared" si="22"/>
        <v>0</v>
      </c>
      <c r="J278" s="6">
        <f t="shared" si="23"/>
        <v>0</v>
      </c>
      <c r="L278" s="4" t="str">
        <f>IFERROR(VLOOKUP(ROWS($L$2:L278),$B$2:$C$1996,2,0),"")</f>
        <v>ΚΑΠΕΛΟ PVC</v>
      </c>
      <c r="N278" s="2" t="str">
        <f>IFERROR(VLOOKUP(ROWS($N$2:N278),$D$2:$E$1996,2,0),"")</f>
        <v>Φ140</v>
      </c>
    </row>
    <row r="279" spans="1:14">
      <c r="A279" s="5">
        <v>0</v>
      </c>
      <c r="B279" s="32">
        <f>IF(ISNUMBER(SEARCH('Φόρμα Εισαγωγής'!$B$2,C279)),MAX($B$1:B278)+1,0)</f>
        <v>278</v>
      </c>
      <c r="C279" s="7" t="s">
        <v>201</v>
      </c>
      <c r="D279" s="33">
        <f>IF(ISNUMBER(SEARCH('Φόρμα Εισαγωγής'!$C$2,E279)),MAX($D$1:D278)+1,0)</f>
        <v>278</v>
      </c>
      <c r="E279" s="17" t="s">
        <v>196</v>
      </c>
      <c r="H279" s="6">
        <f t="shared" si="21"/>
        <v>0</v>
      </c>
      <c r="I279" s="6">
        <f t="shared" si="22"/>
        <v>0</v>
      </c>
      <c r="J279" s="6">
        <f t="shared" si="23"/>
        <v>0</v>
      </c>
      <c r="L279" s="4" t="str">
        <f>IFERROR(VLOOKUP(ROWS($L$2:L279),$B$2:$C$1996,2,0),"")</f>
        <v>ΚΑΠΕΛΟ PVC</v>
      </c>
      <c r="N279" s="2" t="str">
        <f>IFERROR(VLOOKUP(ROWS($N$2:N279),$D$2:$E$1996,2,0),"")</f>
        <v>Φ200</v>
      </c>
    </row>
    <row r="280" spans="1:14">
      <c r="A280" s="5">
        <v>18</v>
      </c>
      <c r="B280" s="32">
        <f>IF(ISNUMBER(SEARCH('Φόρμα Εισαγωγής'!$B$2,C280)),MAX($B$1:B279)+1,0)</f>
        <v>279</v>
      </c>
      <c r="C280" s="7" t="s">
        <v>202</v>
      </c>
      <c r="D280" s="33">
        <f>IF(ISNUMBER(SEARCH('Φόρμα Εισαγωγής'!$C$2,E280)),MAX($D$1:D279)+1,0)</f>
        <v>279</v>
      </c>
      <c r="E280" s="17" t="s">
        <v>203</v>
      </c>
      <c r="F280" s="5">
        <v>0.35</v>
      </c>
      <c r="G280" s="5">
        <v>0.5</v>
      </c>
      <c r="H280" s="6">
        <f t="shared" si="21"/>
        <v>0.62</v>
      </c>
      <c r="I280" s="6">
        <f t="shared" si="22"/>
        <v>6.3</v>
      </c>
      <c r="J280" s="6">
        <f t="shared" si="23"/>
        <v>11.16</v>
      </c>
      <c r="L280" s="4" t="str">
        <f>IFERROR(VLOOKUP(ROWS($L$2:L280),$B$2:$C$1996,2,0),"")</f>
        <v>ΣΥΣΤΟΛΗ ΑΜ. PVC</v>
      </c>
      <c r="N280" s="2" t="str">
        <f>IFERROR(VLOOKUP(ROWS($N$2:N280),$D$2:$E$1996,2,0),"")</f>
        <v>Φ40 Χ Φ32</v>
      </c>
    </row>
    <row r="281" spans="1:14">
      <c r="A281" s="5">
        <v>27</v>
      </c>
      <c r="B281" s="32">
        <f>IF(ISNUMBER(SEARCH('Φόρμα Εισαγωγής'!$B$2,C281)),MAX($B$1:B280)+1,0)</f>
        <v>280</v>
      </c>
      <c r="C281" s="7" t="s">
        <v>202</v>
      </c>
      <c r="D281" s="33">
        <f>IF(ISNUMBER(SEARCH('Φόρμα Εισαγωγής'!$C$2,E281)),MAX($D$1:D280)+1,0)</f>
        <v>280</v>
      </c>
      <c r="E281" s="17" t="s">
        <v>204</v>
      </c>
      <c r="F281" s="5">
        <v>0.4</v>
      </c>
      <c r="G281" s="5">
        <v>0.55000000000000004</v>
      </c>
      <c r="H281" s="6">
        <f t="shared" si="21"/>
        <v>0.68200000000000005</v>
      </c>
      <c r="I281" s="6">
        <f t="shared" si="22"/>
        <v>10.8</v>
      </c>
      <c r="J281" s="6">
        <f t="shared" si="23"/>
        <v>18.414000000000001</v>
      </c>
      <c r="L281" s="4" t="str">
        <f>IFERROR(VLOOKUP(ROWS($L$2:L281),$B$2:$C$1996,2,0),"")</f>
        <v>ΣΥΣΤΟΛΗ ΑΜ. PVC</v>
      </c>
      <c r="N281" s="2" t="str">
        <f>IFERROR(VLOOKUP(ROWS($N$2:N281),$D$2:$E$1996,2,0),"")</f>
        <v>Φ50 Χ Φ32</v>
      </c>
    </row>
    <row r="282" spans="1:14">
      <c r="A282" s="5">
        <v>37</v>
      </c>
      <c r="B282" s="32">
        <f>IF(ISNUMBER(SEARCH('Φόρμα Εισαγωγής'!$B$2,C282)),MAX($B$1:B281)+1,0)</f>
        <v>281</v>
      </c>
      <c r="C282" s="7" t="s">
        <v>202</v>
      </c>
      <c r="D282" s="33">
        <f>IF(ISNUMBER(SEARCH('Φόρμα Εισαγωγής'!$C$2,E282)),MAX($D$1:D281)+1,0)</f>
        <v>281</v>
      </c>
      <c r="E282" s="17" t="s">
        <v>205</v>
      </c>
      <c r="F282" s="5">
        <v>0.42</v>
      </c>
      <c r="G282" s="5">
        <v>0.6</v>
      </c>
      <c r="H282" s="6">
        <f t="shared" si="21"/>
        <v>0.74399999999999999</v>
      </c>
      <c r="I282" s="6">
        <f t="shared" si="22"/>
        <v>15.54</v>
      </c>
      <c r="J282" s="6">
        <f t="shared" si="23"/>
        <v>27.527999999999999</v>
      </c>
      <c r="L282" s="4" t="str">
        <f>IFERROR(VLOOKUP(ROWS($L$2:L282),$B$2:$C$1996,2,0),"")</f>
        <v>ΣΥΣΤΟΛΗ ΑΜ. PVC</v>
      </c>
      <c r="N282" s="2" t="str">
        <f>IFERROR(VLOOKUP(ROWS($N$2:N282),$D$2:$E$1996,2,0),"")</f>
        <v>Φ50 Χ Φ40</v>
      </c>
    </row>
    <row r="283" spans="1:14">
      <c r="A283" s="5">
        <v>18</v>
      </c>
      <c r="B283" s="32">
        <f>IF(ISNUMBER(SEARCH('Φόρμα Εισαγωγής'!$B$2,C283)),MAX($B$1:B282)+1,0)</f>
        <v>282</v>
      </c>
      <c r="C283" s="7" t="s">
        <v>202</v>
      </c>
      <c r="D283" s="33">
        <f>IF(ISNUMBER(SEARCH('Φόρμα Εισαγωγής'!$C$2,E283)),MAX($D$1:D282)+1,0)</f>
        <v>282</v>
      </c>
      <c r="E283" s="17" t="s">
        <v>206</v>
      </c>
      <c r="F283" s="5">
        <v>0.48</v>
      </c>
      <c r="G283" s="5">
        <v>0.7</v>
      </c>
      <c r="H283" s="6">
        <f t="shared" si="21"/>
        <v>0.86799999999999988</v>
      </c>
      <c r="I283" s="6">
        <f t="shared" si="22"/>
        <v>8.64</v>
      </c>
      <c r="J283" s="6">
        <f t="shared" si="23"/>
        <v>15.623999999999999</v>
      </c>
      <c r="L283" s="4" t="str">
        <f>IFERROR(VLOOKUP(ROWS($L$2:L283),$B$2:$C$1996,2,0),"")</f>
        <v>ΣΥΣΤΟΛΗ ΑΜ. PVC</v>
      </c>
      <c r="N283" s="2" t="str">
        <f>IFERROR(VLOOKUP(ROWS($N$2:N283),$D$2:$E$1996,2,0),"")</f>
        <v>Φ63 Χ Φ50</v>
      </c>
    </row>
    <row r="284" spans="1:14">
      <c r="A284" s="5">
        <v>17</v>
      </c>
      <c r="B284" s="32">
        <f>IF(ISNUMBER(SEARCH('Φόρμα Εισαγωγής'!$B$2,C284)),MAX($B$1:B283)+1,0)</f>
        <v>283</v>
      </c>
      <c r="C284" s="7" t="s">
        <v>202</v>
      </c>
      <c r="D284" s="33">
        <f>IF(ISNUMBER(SEARCH('Φόρμα Εισαγωγής'!$C$2,E284)),MAX($D$1:D283)+1,0)</f>
        <v>283</v>
      </c>
      <c r="E284" s="17" t="s">
        <v>207</v>
      </c>
      <c r="F284" s="5">
        <v>0.55000000000000004</v>
      </c>
      <c r="G284" s="5">
        <v>0.8</v>
      </c>
      <c r="H284" s="6">
        <f t="shared" si="21"/>
        <v>0.99199999999999999</v>
      </c>
      <c r="I284" s="6">
        <f t="shared" si="22"/>
        <v>9.3500000000000014</v>
      </c>
      <c r="J284" s="6">
        <f t="shared" si="23"/>
        <v>16.864000000000001</v>
      </c>
      <c r="L284" s="4" t="str">
        <f>IFERROR(VLOOKUP(ROWS($L$2:L284),$B$2:$C$1996,2,0),"")</f>
        <v>ΣΥΣΤΟΛΗ ΑΜ. PVC</v>
      </c>
      <c r="N284" s="2" t="str">
        <f>IFERROR(VLOOKUP(ROWS($N$2:N284),$D$2:$E$1996,2,0),"")</f>
        <v>Φ75 Χ Φ50</v>
      </c>
    </row>
    <row r="285" spans="1:14">
      <c r="A285" s="5">
        <v>10</v>
      </c>
      <c r="B285" s="32">
        <f>IF(ISNUMBER(SEARCH('Φόρμα Εισαγωγής'!$B$2,C285)),MAX($B$1:B284)+1,0)</f>
        <v>284</v>
      </c>
      <c r="C285" s="7" t="s">
        <v>202</v>
      </c>
      <c r="D285" s="33">
        <f>IF(ISNUMBER(SEARCH('Φόρμα Εισαγωγής'!$C$2,E285)),MAX($D$1:D284)+1,0)</f>
        <v>284</v>
      </c>
      <c r="E285" s="17" t="s">
        <v>208</v>
      </c>
      <c r="F285" s="5">
        <v>0.55000000000000004</v>
      </c>
      <c r="G285" s="5">
        <v>0.8</v>
      </c>
      <c r="H285" s="6">
        <f t="shared" si="21"/>
        <v>0.99199999999999999</v>
      </c>
      <c r="I285" s="6">
        <f t="shared" si="22"/>
        <v>5.5</v>
      </c>
      <c r="J285" s="6">
        <f t="shared" si="23"/>
        <v>9.92</v>
      </c>
      <c r="L285" s="4" t="str">
        <f>IFERROR(VLOOKUP(ROWS($L$2:L285),$B$2:$C$1996,2,0),"")</f>
        <v>ΣΥΣΤΟΛΗ ΑΜ. PVC</v>
      </c>
      <c r="N285" s="2" t="str">
        <f>IFERROR(VLOOKUP(ROWS($N$2:N285),$D$2:$E$1996,2,0),"")</f>
        <v>Φ75 Χ Φ63</v>
      </c>
    </row>
    <row r="286" spans="1:14">
      <c r="A286" s="5">
        <v>27</v>
      </c>
      <c r="B286" s="32">
        <f>IF(ISNUMBER(SEARCH('Φόρμα Εισαγωγής'!$B$2,C286)),MAX($B$1:B285)+1,0)</f>
        <v>285</v>
      </c>
      <c r="C286" s="7" t="s">
        <v>202</v>
      </c>
      <c r="D286" s="33">
        <f>IF(ISNUMBER(SEARCH('Φόρμα Εισαγωγής'!$C$2,E286)),MAX($D$1:D285)+1,0)</f>
        <v>285</v>
      </c>
      <c r="E286" s="17" t="s">
        <v>209</v>
      </c>
      <c r="F286" s="5">
        <v>0.55000000000000004</v>
      </c>
      <c r="G286" s="5">
        <v>0.85</v>
      </c>
      <c r="H286" s="6">
        <f t="shared" si="21"/>
        <v>1.054</v>
      </c>
      <c r="I286" s="6">
        <f t="shared" si="22"/>
        <v>14.850000000000001</v>
      </c>
      <c r="J286" s="6">
        <f t="shared" si="23"/>
        <v>28.458000000000002</v>
      </c>
      <c r="L286" s="4" t="str">
        <f>IFERROR(VLOOKUP(ROWS($L$2:L286),$B$2:$C$1996,2,0),"")</f>
        <v>ΣΥΣΤΟΛΗ ΑΜ. PVC</v>
      </c>
      <c r="N286" s="2" t="str">
        <f>IFERROR(VLOOKUP(ROWS($N$2:N286),$D$2:$E$1996,2,0),"")</f>
        <v>Φ100 Χ Φ50</v>
      </c>
    </row>
    <row r="287" spans="1:14">
      <c r="A287" s="5">
        <v>7</v>
      </c>
      <c r="B287" s="32">
        <f>IF(ISNUMBER(SEARCH('Φόρμα Εισαγωγής'!$B$2,C287)),MAX($B$1:B286)+1,0)</f>
        <v>286</v>
      </c>
      <c r="C287" s="7" t="s">
        <v>202</v>
      </c>
      <c r="D287" s="33">
        <f>IF(ISNUMBER(SEARCH('Φόρμα Εισαγωγής'!$C$2,E287)),MAX($D$1:D286)+1,0)</f>
        <v>286</v>
      </c>
      <c r="E287" s="17" t="s">
        <v>210</v>
      </c>
      <c r="F287" s="5">
        <v>0.6</v>
      </c>
      <c r="G287" s="5">
        <v>0.9</v>
      </c>
      <c r="H287" s="6">
        <f t="shared" si="21"/>
        <v>1.1160000000000001</v>
      </c>
      <c r="I287" s="6">
        <f t="shared" si="22"/>
        <v>4.2</v>
      </c>
      <c r="J287" s="6">
        <f t="shared" si="23"/>
        <v>7.8120000000000012</v>
      </c>
      <c r="L287" s="4" t="str">
        <f>IFERROR(VLOOKUP(ROWS($L$2:L287),$B$2:$C$1996,2,0),"")</f>
        <v>ΣΥΣΤΟΛΗ ΑΜ. PVC</v>
      </c>
      <c r="N287" s="2" t="str">
        <f>IFERROR(VLOOKUP(ROWS($N$2:N287),$D$2:$E$1996,2,0),"")</f>
        <v>Φ100 Χ Φ63</v>
      </c>
    </row>
    <row r="288" spans="1:14">
      <c r="A288" s="5">
        <v>14</v>
      </c>
      <c r="B288" s="32">
        <f>IF(ISNUMBER(SEARCH('Φόρμα Εισαγωγής'!$B$2,C288)),MAX($B$1:B287)+1,0)</f>
        <v>287</v>
      </c>
      <c r="C288" s="7" t="s">
        <v>202</v>
      </c>
      <c r="D288" s="33">
        <f>IF(ISNUMBER(SEARCH('Φόρμα Εισαγωγής'!$C$2,E288)),MAX($D$1:D287)+1,0)</f>
        <v>287</v>
      </c>
      <c r="E288" s="17" t="s">
        <v>211</v>
      </c>
      <c r="F288" s="5">
        <v>0.63</v>
      </c>
      <c r="G288" s="5">
        <v>0.95</v>
      </c>
      <c r="H288" s="6">
        <f t="shared" si="21"/>
        <v>1.1779999999999999</v>
      </c>
      <c r="I288" s="6">
        <f t="shared" si="22"/>
        <v>8.82</v>
      </c>
      <c r="J288" s="6">
        <f t="shared" si="23"/>
        <v>16.491999999999997</v>
      </c>
      <c r="L288" s="4" t="str">
        <f>IFERROR(VLOOKUP(ROWS($L$2:L288),$B$2:$C$1996,2,0),"")</f>
        <v>ΣΥΣΤΟΛΗ ΑΜ. PVC</v>
      </c>
      <c r="N288" s="2" t="str">
        <f>IFERROR(VLOOKUP(ROWS($N$2:N288),$D$2:$E$1996,2,0),"")</f>
        <v>Φ100 Χ Φ75</v>
      </c>
    </row>
    <row r="289" spans="1:14">
      <c r="A289" s="5">
        <v>18</v>
      </c>
      <c r="B289" s="32">
        <f>IF(ISNUMBER(SEARCH('Φόρμα Εισαγωγής'!$B$2,C289)),MAX($B$1:B288)+1,0)</f>
        <v>288</v>
      </c>
      <c r="C289" s="7" t="s">
        <v>202</v>
      </c>
      <c r="D289" s="33">
        <f>IF(ISNUMBER(SEARCH('Φόρμα Εισαγωγής'!$C$2,E289)),MAX($D$1:D288)+1,0)</f>
        <v>288</v>
      </c>
      <c r="E289" s="17" t="s">
        <v>212</v>
      </c>
      <c r="F289" s="5">
        <v>1.24</v>
      </c>
      <c r="G289" s="5">
        <v>1.75</v>
      </c>
      <c r="H289" s="6">
        <f t="shared" si="21"/>
        <v>2.17</v>
      </c>
      <c r="I289" s="6">
        <f t="shared" si="22"/>
        <v>22.32</v>
      </c>
      <c r="J289" s="6">
        <f t="shared" si="23"/>
        <v>39.06</v>
      </c>
      <c r="L289" s="4" t="str">
        <f>IFERROR(VLOOKUP(ROWS($L$2:L289),$B$2:$C$1996,2,0),"")</f>
        <v>ΣΥΣΤΟΛΗ ΑΜ. PVC</v>
      </c>
      <c r="N289" s="2" t="str">
        <f>IFERROR(VLOOKUP(ROWS($N$2:N289),$D$2:$E$1996,2,0),"")</f>
        <v>Φ125 Χ Φ100</v>
      </c>
    </row>
    <row r="290" spans="1:14">
      <c r="A290" s="5">
        <v>23</v>
      </c>
      <c r="B290" s="32">
        <f>IF(ISNUMBER(SEARCH('Φόρμα Εισαγωγής'!$B$2,C290)),MAX($B$1:B289)+1,0)</f>
        <v>289</v>
      </c>
      <c r="C290" s="7" t="s">
        <v>213</v>
      </c>
      <c r="D290" s="33">
        <f>IF(ISNUMBER(SEARCH('Φόρμα Εισαγωγής'!$C$2,E290)),MAX($D$1:D289)+1,0)</f>
        <v>289</v>
      </c>
      <c r="E290" s="17" t="s">
        <v>205</v>
      </c>
      <c r="F290" s="5">
        <v>0.47</v>
      </c>
      <c r="G290" s="5">
        <v>0.65</v>
      </c>
      <c r="H290" s="6">
        <f t="shared" si="21"/>
        <v>0.80600000000000005</v>
      </c>
      <c r="I290" s="6">
        <f t="shared" si="22"/>
        <v>10.809999999999999</v>
      </c>
      <c r="J290" s="6">
        <f t="shared" si="23"/>
        <v>18.538</v>
      </c>
      <c r="L290" s="4" t="str">
        <f>IFERROR(VLOOKUP(ROWS($L$2:L290),$B$2:$C$1996,2,0),"")</f>
        <v>ΣΥΣΤΟΛΗ ΑΓΓ. PVC</v>
      </c>
      <c r="N290" s="2" t="str">
        <f>IFERROR(VLOOKUP(ROWS($N$2:N290),$D$2:$E$1996,2,0),"")</f>
        <v>Φ50 Χ Φ40</v>
      </c>
    </row>
    <row r="291" spans="1:14">
      <c r="A291" s="5">
        <v>18</v>
      </c>
      <c r="B291" s="32">
        <f>IF(ISNUMBER(SEARCH('Φόρμα Εισαγωγής'!$B$2,C291)),MAX($B$1:B290)+1,0)</f>
        <v>290</v>
      </c>
      <c r="C291" s="7" t="s">
        <v>213</v>
      </c>
      <c r="D291" s="33">
        <f>IF(ISNUMBER(SEARCH('Φόρμα Εισαγωγής'!$C$2,E291)),MAX($D$1:D290)+1,0)</f>
        <v>290</v>
      </c>
      <c r="E291" s="17" t="s">
        <v>203</v>
      </c>
      <c r="F291" s="5">
        <v>0.47</v>
      </c>
      <c r="G291" s="5">
        <v>0.65</v>
      </c>
      <c r="H291" s="6">
        <f t="shared" si="21"/>
        <v>0.80600000000000005</v>
      </c>
      <c r="I291" s="6">
        <f t="shared" si="22"/>
        <v>8.4599999999999991</v>
      </c>
      <c r="J291" s="6">
        <f t="shared" si="23"/>
        <v>14.508000000000001</v>
      </c>
      <c r="L291" s="4" t="str">
        <f>IFERROR(VLOOKUP(ROWS($L$2:L291),$B$2:$C$1996,2,0),"")</f>
        <v>ΣΥΣΤΟΛΗ ΑΓΓ. PVC</v>
      </c>
      <c r="N291" s="2" t="str">
        <f>IFERROR(VLOOKUP(ROWS($N$2:N291),$D$2:$E$1996,2,0),"")</f>
        <v>Φ40 Χ Φ32</v>
      </c>
    </row>
    <row r="292" spans="1:14">
      <c r="A292" s="5">
        <v>1</v>
      </c>
      <c r="B292" s="32">
        <f>IF(ISNUMBER(SEARCH('Φόρμα Εισαγωγής'!$B$2,C292)),MAX($B$1:B291)+1,0)</f>
        <v>291</v>
      </c>
      <c r="C292" s="7" t="s">
        <v>213</v>
      </c>
      <c r="D292" s="33">
        <f>IF(ISNUMBER(SEARCH('Φόρμα Εισαγωγής'!$C$2,E292)),MAX($D$1:D291)+1,0)</f>
        <v>291</v>
      </c>
      <c r="E292" s="17" t="s">
        <v>206</v>
      </c>
      <c r="F292" s="5">
        <v>0.55000000000000004</v>
      </c>
      <c r="G292" s="5">
        <v>0.8</v>
      </c>
      <c r="H292" s="6">
        <f t="shared" si="21"/>
        <v>0.99199999999999999</v>
      </c>
      <c r="I292" s="6">
        <f t="shared" si="22"/>
        <v>0.55000000000000004</v>
      </c>
      <c r="J292" s="6">
        <f t="shared" si="23"/>
        <v>0.99199999999999999</v>
      </c>
      <c r="L292" s="4" t="str">
        <f>IFERROR(VLOOKUP(ROWS($L$2:L292),$B$2:$C$1996,2,0),"")</f>
        <v>ΣΥΣΤΟΛΗ ΑΓΓ. PVC</v>
      </c>
      <c r="N292" s="2" t="str">
        <f>IFERROR(VLOOKUP(ROWS($N$2:N292),$D$2:$E$1996,2,0),"")</f>
        <v>Φ63 Χ Φ50</v>
      </c>
    </row>
    <row r="293" spans="1:14">
      <c r="A293" s="5">
        <v>20</v>
      </c>
      <c r="B293" s="32">
        <f>IF(ISNUMBER(SEARCH('Φόρμα Εισαγωγής'!$B$2,C293)),MAX($B$1:B292)+1,0)</f>
        <v>292</v>
      </c>
      <c r="C293" s="7" t="s">
        <v>213</v>
      </c>
      <c r="D293" s="33">
        <f>IF(ISNUMBER(SEARCH('Φόρμα Εισαγωγής'!$C$2,E293)),MAX($D$1:D292)+1,0)</f>
        <v>292</v>
      </c>
      <c r="E293" s="17" t="s">
        <v>207</v>
      </c>
      <c r="F293" s="5">
        <v>0.6</v>
      </c>
      <c r="G293" s="5">
        <v>0.85</v>
      </c>
      <c r="H293" s="6">
        <f t="shared" si="21"/>
        <v>1.054</v>
      </c>
      <c r="I293" s="6">
        <f t="shared" si="22"/>
        <v>12</v>
      </c>
      <c r="J293" s="6">
        <f t="shared" si="23"/>
        <v>21.080000000000002</v>
      </c>
      <c r="L293" s="4" t="str">
        <f>IFERROR(VLOOKUP(ROWS($L$2:L293),$B$2:$C$1996,2,0),"")</f>
        <v>ΣΥΣΤΟΛΗ ΑΓΓ. PVC</v>
      </c>
      <c r="N293" s="2" t="str">
        <f>IFERROR(VLOOKUP(ROWS($N$2:N293),$D$2:$E$1996,2,0),"")</f>
        <v>Φ75 Χ Φ50</v>
      </c>
    </row>
    <row r="294" spans="1:14">
      <c r="A294" s="5">
        <v>6</v>
      </c>
      <c r="B294" s="32">
        <f>IF(ISNUMBER(SEARCH('Φόρμα Εισαγωγής'!$B$2,C294)),MAX($B$1:B293)+1,0)</f>
        <v>293</v>
      </c>
      <c r="C294" s="7" t="s">
        <v>213</v>
      </c>
      <c r="D294" s="33">
        <f>IF(ISNUMBER(SEARCH('Φόρμα Εισαγωγής'!$C$2,E294)),MAX($D$1:D293)+1,0)</f>
        <v>293</v>
      </c>
      <c r="E294" s="17" t="s">
        <v>208</v>
      </c>
      <c r="F294" s="5">
        <v>0.6</v>
      </c>
      <c r="G294" s="5">
        <v>0.85</v>
      </c>
      <c r="H294" s="6">
        <f t="shared" si="21"/>
        <v>1.054</v>
      </c>
      <c r="I294" s="6">
        <f t="shared" si="22"/>
        <v>3.5999999999999996</v>
      </c>
      <c r="J294" s="6">
        <f t="shared" si="23"/>
        <v>6.3239999999999998</v>
      </c>
      <c r="L294" s="4" t="str">
        <f>IFERROR(VLOOKUP(ROWS($L$2:L294),$B$2:$C$1996,2,0),"")</f>
        <v>ΣΥΣΤΟΛΗ ΑΓΓ. PVC</v>
      </c>
      <c r="N294" s="2" t="str">
        <f>IFERROR(VLOOKUP(ROWS($N$2:N294),$D$2:$E$1996,2,0),"")</f>
        <v>Φ75 Χ Φ63</v>
      </c>
    </row>
    <row r="295" spans="1:14">
      <c r="A295" s="5">
        <v>11</v>
      </c>
      <c r="B295" s="32">
        <f>IF(ISNUMBER(SEARCH('Φόρμα Εισαγωγής'!$B$2,C295)),MAX($B$1:B294)+1,0)</f>
        <v>294</v>
      </c>
      <c r="C295" s="7" t="s">
        <v>213</v>
      </c>
      <c r="D295" s="33">
        <f>IF(ISNUMBER(SEARCH('Φόρμα Εισαγωγής'!$C$2,E295)),MAX($D$1:D294)+1,0)</f>
        <v>294</v>
      </c>
      <c r="E295" s="17" t="s">
        <v>211</v>
      </c>
      <c r="F295" s="5">
        <v>0.95</v>
      </c>
      <c r="G295" s="5">
        <v>1.35</v>
      </c>
      <c r="H295" s="6">
        <f t="shared" si="21"/>
        <v>1.6740000000000002</v>
      </c>
      <c r="I295" s="6">
        <f t="shared" si="22"/>
        <v>10.45</v>
      </c>
      <c r="J295" s="6">
        <f t="shared" si="23"/>
        <v>18.414000000000001</v>
      </c>
      <c r="L295" s="4" t="str">
        <f>IFERROR(VLOOKUP(ROWS($L$2:L295),$B$2:$C$1996,2,0),"")</f>
        <v>ΣΥΣΤΟΛΗ ΑΓΓ. PVC</v>
      </c>
      <c r="N295" s="2" t="str">
        <f>IFERROR(VLOOKUP(ROWS($N$2:N295),$D$2:$E$1996,2,0),"")</f>
        <v>Φ100 Χ Φ75</v>
      </c>
    </row>
    <row r="296" spans="1:14">
      <c r="A296" s="5">
        <v>9</v>
      </c>
      <c r="B296" s="32">
        <f>IF(ISNUMBER(SEARCH('Φόρμα Εισαγωγής'!$B$2,C296)),MAX($B$1:B295)+1,0)</f>
        <v>295</v>
      </c>
      <c r="C296" s="7" t="s">
        <v>213</v>
      </c>
      <c r="D296" s="33">
        <f>IF(ISNUMBER(SEARCH('Φόρμα Εισαγωγής'!$C$2,E296)),MAX($D$1:D295)+1,0)</f>
        <v>295</v>
      </c>
      <c r="E296" s="17" t="s">
        <v>209</v>
      </c>
      <c r="F296" s="5">
        <v>0.95</v>
      </c>
      <c r="G296" s="5">
        <v>1.35</v>
      </c>
      <c r="H296" s="6">
        <f t="shared" si="21"/>
        <v>1.6740000000000002</v>
      </c>
      <c r="I296" s="6">
        <f t="shared" si="22"/>
        <v>8.5499999999999989</v>
      </c>
      <c r="J296" s="6">
        <f t="shared" si="23"/>
        <v>15.066000000000001</v>
      </c>
      <c r="L296" s="4" t="str">
        <f>IFERROR(VLOOKUP(ROWS($L$2:L296),$B$2:$C$1996,2,0),"")</f>
        <v>ΣΥΣΤΟΛΗ ΑΓΓ. PVC</v>
      </c>
      <c r="N296" s="2" t="str">
        <f>IFERROR(VLOOKUP(ROWS($N$2:N296),$D$2:$E$1996,2,0),"")</f>
        <v>Φ100 Χ Φ50</v>
      </c>
    </row>
    <row r="297" spans="1:14">
      <c r="A297" s="5">
        <v>9</v>
      </c>
      <c r="B297" s="32">
        <f>IF(ISNUMBER(SEARCH('Φόρμα Εισαγωγής'!$B$2,C297)),MAX($B$1:B296)+1,0)</f>
        <v>296</v>
      </c>
      <c r="C297" s="7" t="s">
        <v>214</v>
      </c>
      <c r="D297" s="33">
        <f>IF(ISNUMBER(SEARCH('Φόρμα Εισαγωγής'!$C$2,E297)),MAX($D$1:D296)+1,0)</f>
        <v>296</v>
      </c>
      <c r="E297" s="17" t="s">
        <v>215</v>
      </c>
      <c r="F297" s="5">
        <v>0.95</v>
      </c>
      <c r="G297" s="5">
        <v>1.35</v>
      </c>
      <c r="H297" s="6">
        <f t="shared" si="21"/>
        <v>1.6740000000000002</v>
      </c>
      <c r="I297" s="6">
        <f t="shared" si="22"/>
        <v>8.5499999999999989</v>
      </c>
      <c r="J297" s="6">
        <f t="shared" si="23"/>
        <v>15.066000000000001</v>
      </c>
      <c r="L297" s="4" t="str">
        <f>IFERROR(VLOOKUP(ROWS($L$2:L297),$B$2:$C$1996,2,0),"")</f>
        <v>ΔΙΑΣΤΟΛΗ ΑΓΓ. PVC</v>
      </c>
      <c r="N297" s="2" t="str">
        <f>IFERROR(VLOOKUP(ROWS($N$2:N297),$D$2:$E$1996,2,0),"")</f>
        <v>ΑΡΣ  Φ100 Χ Φ75</v>
      </c>
    </row>
    <row r="298" spans="1:14">
      <c r="A298" s="5">
        <v>10</v>
      </c>
      <c r="B298" s="32">
        <f>IF(ISNUMBER(SEARCH('Φόρμα Εισαγωγής'!$B$2,C298)),MAX($B$1:B297)+1,0)</f>
        <v>297</v>
      </c>
      <c r="C298" s="7" t="s">
        <v>214</v>
      </c>
      <c r="D298" s="33">
        <f>IF(ISNUMBER(SEARCH('Φόρμα Εισαγωγής'!$C$2,E298)),MAX($D$1:D297)+1,0)</f>
        <v>297</v>
      </c>
      <c r="E298" s="17" t="s">
        <v>216</v>
      </c>
      <c r="F298" s="5">
        <v>0.6</v>
      </c>
      <c r="G298" s="5">
        <v>0.85</v>
      </c>
      <c r="H298" s="6">
        <f t="shared" si="21"/>
        <v>1.054</v>
      </c>
      <c r="I298" s="6">
        <f t="shared" si="22"/>
        <v>6</v>
      </c>
      <c r="J298" s="6">
        <f t="shared" si="23"/>
        <v>10.540000000000001</v>
      </c>
      <c r="L298" s="4" t="str">
        <f>IFERROR(VLOOKUP(ROWS($L$2:L298),$B$2:$C$1996,2,0),"")</f>
        <v>ΔΙΑΣΤΟΛΗ ΑΓΓ. PVC</v>
      </c>
      <c r="N298" s="2" t="str">
        <f>IFERROR(VLOOKUP(ROWS($N$2:N298),$D$2:$E$1996,2,0),"")</f>
        <v>ΑΡΣ Φ75 Χ Φ50</v>
      </c>
    </row>
    <row r="299" spans="1:14">
      <c r="A299" s="5">
        <v>23</v>
      </c>
      <c r="B299" s="32">
        <f>IF(ISNUMBER(SEARCH('Φόρμα Εισαγωγής'!$B$2,C299)),MAX($B$1:B298)+1,0)</f>
        <v>298</v>
      </c>
      <c r="C299" s="7" t="s">
        <v>214</v>
      </c>
      <c r="D299" s="33">
        <f>IF(ISNUMBER(SEARCH('Φόρμα Εισαγωγής'!$C$2,E299)),MAX($D$1:D298)+1,0)</f>
        <v>298</v>
      </c>
      <c r="E299" s="17" t="s">
        <v>217</v>
      </c>
      <c r="F299" s="5">
        <v>0.5</v>
      </c>
      <c r="G299" s="5">
        <v>0.7</v>
      </c>
      <c r="H299" s="6">
        <f t="shared" si="21"/>
        <v>0.86799999999999988</v>
      </c>
      <c r="I299" s="6">
        <f t="shared" si="22"/>
        <v>11.5</v>
      </c>
      <c r="J299" s="6">
        <f t="shared" si="23"/>
        <v>19.963999999999999</v>
      </c>
      <c r="L299" s="4" t="str">
        <f>IFERROR(VLOOKUP(ROWS($L$2:L299),$B$2:$C$1996,2,0),"")</f>
        <v>ΔΙΑΣΤΟΛΗ ΑΓΓ. PVC</v>
      </c>
      <c r="N299" s="2" t="str">
        <f>IFERROR(VLOOKUP(ROWS($N$2:N299),$D$2:$E$1996,2,0),"")</f>
        <v>ΑΡΣ Φ40 Χ Φ32</v>
      </c>
    </row>
    <row r="300" spans="1:14">
      <c r="A300" s="5">
        <v>12</v>
      </c>
      <c r="B300" s="32">
        <f>IF(ISNUMBER(SEARCH('Φόρμα Εισαγωγής'!$B$2,C300)),MAX($B$1:B299)+1,0)</f>
        <v>299</v>
      </c>
      <c r="C300" s="7" t="s">
        <v>213</v>
      </c>
      <c r="D300" s="33">
        <f>IF(ISNUMBER(SEARCH('Φόρμα Εισαγωγής'!$C$2,E300)),MAX($D$1:D299)+1,0)</f>
        <v>299</v>
      </c>
      <c r="E300" s="17" t="s">
        <v>724</v>
      </c>
      <c r="F300" s="5">
        <v>1.24</v>
      </c>
      <c r="G300" s="5">
        <v>1.75</v>
      </c>
      <c r="H300" s="6">
        <f t="shared" si="21"/>
        <v>2.17</v>
      </c>
      <c r="I300" s="6">
        <f t="shared" si="22"/>
        <v>14.879999999999999</v>
      </c>
      <c r="J300" s="6">
        <f t="shared" si="23"/>
        <v>26.04</v>
      </c>
      <c r="L300" s="4" t="str">
        <f>IFERROR(VLOOKUP(ROWS($L$2:L300),$B$2:$C$1996,2,0),"")</f>
        <v>ΣΥΣΤΟΛΗ ΑΓΓ. PVC</v>
      </c>
      <c r="N300" s="2" t="str">
        <f>IFERROR(VLOOKUP(ROWS($N$2:N300),$D$2:$E$1996,2,0),"")</f>
        <v xml:space="preserve">Φ125 Χ Φ100 </v>
      </c>
    </row>
    <row r="301" spans="1:14">
      <c r="A301" s="5">
        <v>4</v>
      </c>
      <c r="B301" s="32">
        <f>IF(ISNUMBER(SEARCH('Φόρμα Εισαγωγής'!$B$2,C301)),MAX($B$1:B300)+1,0)</f>
        <v>300</v>
      </c>
      <c r="C301" s="7" t="s">
        <v>214</v>
      </c>
      <c r="D301" s="33">
        <f>IF(ISNUMBER(SEARCH('Φόρμα Εισαγωγής'!$C$2,E301)),MAX($D$1:D300)+1,0)</f>
        <v>300</v>
      </c>
      <c r="E301" s="17" t="s">
        <v>725</v>
      </c>
      <c r="F301" s="5">
        <v>1.24</v>
      </c>
      <c r="G301" s="5">
        <v>1.75</v>
      </c>
      <c r="H301" s="6">
        <f t="shared" si="21"/>
        <v>2.17</v>
      </c>
      <c r="I301" s="6">
        <f t="shared" si="22"/>
        <v>4.96</v>
      </c>
      <c r="J301" s="6">
        <f t="shared" si="23"/>
        <v>8.68</v>
      </c>
      <c r="L301" s="4" t="str">
        <f>IFERROR(VLOOKUP(ROWS($L$2:L301),$B$2:$C$1996,2,0),"")</f>
        <v>ΔΙΑΣΤΟΛΗ ΑΓΓ. PVC</v>
      </c>
      <c r="N301" s="2" t="str">
        <f>IFERROR(VLOOKUP(ROWS($N$2:N301),$D$2:$E$1996,2,0),"")</f>
        <v>ΑΡΣ Φ125 Χ Φ100</v>
      </c>
    </row>
    <row r="302" spans="1:14">
      <c r="A302" s="5">
        <v>3</v>
      </c>
      <c r="B302" s="32">
        <f>IF(ISNUMBER(SEARCH('Φόρμα Εισαγωγής'!$B$2,C302)),MAX($B$1:B301)+1,0)</f>
        <v>301</v>
      </c>
      <c r="C302" s="7" t="s">
        <v>726</v>
      </c>
      <c r="D302" s="33">
        <f>IF(ISNUMBER(SEARCH('Φόρμα Εισαγωγής'!$C$2,E302)),MAX($D$1:D301)+1,0)</f>
        <v>301</v>
      </c>
      <c r="E302" s="17" t="s">
        <v>189</v>
      </c>
      <c r="F302" s="5">
        <v>1</v>
      </c>
      <c r="G302" s="5">
        <v>2</v>
      </c>
      <c r="H302" s="6">
        <f t="shared" si="21"/>
        <v>2.48</v>
      </c>
      <c r="I302" s="6">
        <f t="shared" si="22"/>
        <v>3</v>
      </c>
      <c r="J302" s="6">
        <f t="shared" si="23"/>
        <v>7.4399999999999995</v>
      </c>
      <c r="L302" s="4" t="str">
        <f>IFERROR(VLOOKUP(ROWS($L$2:L302),$B$2:$C$1996,2,0),"")</f>
        <v>ΜΟΥΦΑ ΑΡΔ.</v>
      </c>
      <c r="N302" s="2" t="str">
        <f>IFERROR(VLOOKUP(ROWS($N$2:N302),$D$2:$E$1996,2,0),"")</f>
        <v>Φ40</v>
      </c>
    </row>
    <row r="303" spans="1:14">
      <c r="A303" s="5">
        <v>0</v>
      </c>
      <c r="B303" s="32">
        <f>IF(ISNUMBER(SEARCH('Φόρμα Εισαγωγής'!$B$2,C303)),MAX($B$1:B302)+1,0)</f>
        <v>302</v>
      </c>
      <c r="C303" s="7" t="s">
        <v>218</v>
      </c>
      <c r="D303" s="33">
        <f>IF(ISNUMBER(SEARCH('Φόρμα Εισαγωγής'!$C$2,E303)),MAX($D$1:D302)+1,0)</f>
        <v>302</v>
      </c>
      <c r="E303" s="17" t="s">
        <v>190</v>
      </c>
      <c r="H303" s="6">
        <f t="shared" si="21"/>
        <v>0</v>
      </c>
      <c r="I303" s="6">
        <f t="shared" si="22"/>
        <v>0</v>
      </c>
      <c r="J303" s="6">
        <f t="shared" si="23"/>
        <v>0</v>
      </c>
      <c r="L303" s="4" t="str">
        <f>IFERROR(VLOOKUP(ROWS($L$2:L303),$B$2:$C$1996,2,0),"")</f>
        <v>ΜΟΥΦΑ PVC</v>
      </c>
      <c r="N303" s="2" t="str">
        <f>IFERROR(VLOOKUP(ROWS($N$2:N303),$D$2:$E$1996,2,0),"")</f>
        <v>Φ50</v>
      </c>
    </row>
    <row r="304" spans="1:14">
      <c r="A304" s="5">
        <v>6</v>
      </c>
      <c r="B304" s="32">
        <f>IF(ISNUMBER(SEARCH('Φόρμα Εισαγωγής'!$B$2,C304)),MAX($B$1:B303)+1,0)</f>
        <v>303</v>
      </c>
      <c r="C304" s="7" t="s">
        <v>219</v>
      </c>
      <c r="D304" s="33">
        <f>IF(ISNUMBER(SEARCH('Φόρμα Εισαγωγής'!$C$2,E304)),MAX($D$1:D303)+1,0)</f>
        <v>303</v>
      </c>
      <c r="E304" s="17" t="s">
        <v>189</v>
      </c>
      <c r="F304" s="5">
        <v>0.44</v>
      </c>
      <c r="G304" s="5">
        <v>0.65</v>
      </c>
      <c r="H304" s="6">
        <f t="shared" si="21"/>
        <v>0.80600000000000005</v>
      </c>
      <c r="I304" s="6">
        <f t="shared" si="22"/>
        <v>2.64</v>
      </c>
      <c r="J304" s="6">
        <f t="shared" si="23"/>
        <v>4.8360000000000003</v>
      </c>
      <c r="L304" s="4" t="str">
        <f>IFERROR(VLOOKUP(ROWS($L$2:L304),$B$2:$C$1996,2,0),"")</f>
        <v>ΜΟΥΦΑ ΛΑΣΤΙΧΟ PVC</v>
      </c>
      <c r="N304" s="2" t="str">
        <f>IFERROR(VLOOKUP(ROWS($N$2:N304),$D$2:$E$1996,2,0),"")</f>
        <v>Φ40</v>
      </c>
    </row>
    <row r="305" spans="1:14">
      <c r="A305" s="5">
        <v>8</v>
      </c>
      <c r="B305" s="32">
        <f>IF(ISNUMBER(SEARCH('Φόρμα Εισαγωγής'!$B$2,C305)),MAX($B$1:B304)+1,0)</f>
        <v>304</v>
      </c>
      <c r="C305" s="7" t="s">
        <v>219</v>
      </c>
      <c r="D305" s="33">
        <f>IF(ISNUMBER(SEARCH('Φόρμα Εισαγωγής'!$C$2,E305)),MAX($D$1:D304)+1,0)</f>
        <v>304</v>
      </c>
      <c r="E305" s="17" t="s">
        <v>190</v>
      </c>
      <c r="F305" s="5">
        <v>0.56999999999999995</v>
      </c>
      <c r="G305" s="5">
        <v>0.8</v>
      </c>
      <c r="H305" s="6">
        <f t="shared" si="21"/>
        <v>0.99199999999999999</v>
      </c>
      <c r="I305" s="6">
        <f t="shared" si="22"/>
        <v>4.5599999999999996</v>
      </c>
      <c r="J305" s="6">
        <f t="shared" si="23"/>
        <v>7.9359999999999999</v>
      </c>
      <c r="L305" s="4" t="str">
        <f>IFERROR(VLOOKUP(ROWS($L$2:L305),$B$2:$C$1996,2,0),"")</f>
        <v>ΜΟΥΦΑ ΛΑΣΤΙΧΟ PVC</v>
      </c>
      <c r="N305" s="2" t="str">
        <f>IFERROR(VLOOKUP(ROWS($N$2:N305),$D$2:$E$1996,2,0),"")</f>
        <v>Φ50</v>
      </c>
    </row>
    <row r="306" spans="1:14">
      <c r="A306" s="5">
        <v>6</v>
      </c>
      <c r="B306" s="32">
        <f>IF(ISNUMBER(SEARCH('Φόρμα Εισαγωγής'!$B$2,C306)),MAX($B$1:B305)+1,0)</f>
        <v>305</v>
      </c>
      <c r="C306" s="7" t="s">
        <v>220</v>
      </c>
      <c r="D306" s="33">
        <f>IF(ISNUMBER(SEARCH('Φόρμα Εισαγωγής'!$C$2,E306)),MAX($D$1:D305)+1,0)</f>
        <v>305</v>
      </c>
      <c r="E306" s="17" t="s">
        <v>193</v>
      </c>
      <c r="F306" s="5">
        <v>2.2000000000000002</v>
      </c>
      <c r="G306" s="5">
        <v>3</v>
      </c>
      <c r="H306" s="6">
        <f t="shared" si="21"/>
        <v>3.7199999999999998</v>
      </c>
      <c r="I306" s="6">
        <f t="shared" si="22"/>
        <v>13.200000000000001</v>
      </c>
      <c r="J306" s="6">
        <f t="shared" si="23"/>
        <v>22.32</v>
      </c>
      <c r="L306" s="4" t="str">
        <f>IFERROR(VLOOKUP(ROWS($L$2:L306),$B$2:$C$1996,2,0),"")</f>
        <v xml:space="preserve">Ψ PVC </v>
      </c>
      <c r="N306" s="2" t="str">
        <f>IFERROR(VLOOKUP(ROWS($N$2:N306),$D$2:$E$1996,2,0),"")</f>
        <v>Φ100</v>
      </c>
    </row>
    <row r="307" spans="1:14">
      <c r="A307" s="5">
        <v>4</v>
      </c>
      <c r="B307" s="32">
        <f>IF(ISNUMBER(SEARCH('Φόρμα Εισαγωγής'!$B$2,C307)),MAX($B$1:B306)+1,0)</f>
        <v>306</v>
      </c>
      <c r="C307" s="7" t="s">
        <v>221</v>
      </c>
      <c r="D307" s="33">
        <f>IF(ISNUMBER(SEARCH('Φόρμα Εισαγωγής'!$C$2,E307)),MAX($D$1:D306)+1,0)</f>
        <v>306</v>
      </c>
      <c r="E307" s="17" t="s">
        <v>222</v>
      </c>
      <c r="F307" s="5">
        <v>0.65</v>
      </c>
      <c r="G307" s="5">
        <v>0.95</v>
      </c>
      <c r="H307" s="6">
        <f t="shared" si="21"/>
        <v>1.1779999999999999</v>
      </c>
      <c r="I307" s="6">
        <f t="shared" si="22"/>
        <v>2.6</v>
      </c>
      <c r="J307" s="6">
        <f t="shared" si="23"/>
        <v>4.7119999999999997</v>
      </c>
      <c r="L307" s="4" t="str">
        <f>IFERROR(VLOOKUP(ROWS($L$2:L307),$B$2:$C$1996,2,0),"")</f>
        <v>ΛΑΙΜΟ ΕΠΙΣΚΕΥΗΣ PVC</v>
      </c>
      <c r="N307" s="2" t="str">
        <f>IFERROR(VLOOKUP(ROWS($N$2:N307),$D$2:$E$1996,2,0),"")</f>
        <v xml:space="preserve">Φ63 </v>
      </c>
    </row>
    <row r="308" spans="1:14">
      <c r="A308" s="5">
        <v>2</v>
      </c>
      <c r="B308" s="32">
        <f>IF(ISNUMBER(SEARCH('Φόρμα Εισαγωγής'!$B$2,C308)),MAX($B$1:B307)+1,0)</f>
        <v>307</v>
      </c>
      <c r="C308" s="7" t="s">
        <v>221</v>
      </c>
      <c r="D308" s="33">
        <f>IF(ISNUMBER(SEARCH('Φόρμα Εισαγωγής'!$C$2,E308)),MAX($D$1:D307)+1,0)</f>
        <v>307</v>
      </c>
      <c r="E308" s="17" t="s">
        <v>192</v>
      </c>
      <c r="F308" s="5">
        <v>0.83</v>
      </c>
      <c r="G308" s="5">
        <v>1.2</v>
      </c>
      <c r="H308" s="6">
        <f t="shared" si="21"/>
        <v>1.488</v>
      </c>
      <c r="I308" s="6">
        <f t="shared" si="22"/>
        <v>1.66</v>
      </c>
      <c r="J308" s="6">
        <f t="shared" si="23"/>
        <v>2.976</v>
      </c>
      <c r="L308" s="4" t="str">
        <f>IFERROR(VLOOKUP(ROWS($L$2:L308),$B$2:$C$1996,2,0),"")</f>
        <v>ΛΑΙΜΟ ΕΠΙΣΚΕΥΗΣ PVC</v>
      </c>
      <c r="N308" s="2" t="str">
        <f>IFERROR(VLOOKUP(ROWS($N$2:N308),$D$2:$E$1996,2,0),"")</f>
        <v>Φ75</v>
      </c>
    </row>
    <row r="309" spans="1:14">
      <c r="A309" s="5">
        <v>3</v>
      </c>
      <c r="B309" s="32">
        <f>IF(ISNUMBER(SEARCH('Φόρμα Εισαγωγής'!$B$2,C309)),MAX($B$1:B308)+1,0)</f>
        <v>308</v>
      </c>
      <c r="C309" s="7" t="s">
        <v>221</v>
      </c>
      <c r="D309" s="33">
        <f>IF(ISNUMBER(SEARCH('Φόρμα Εισαγωγής'!$C$2,E309)),MAX($D$1:D308)+1,0)</f>
        <v>308</v>
      </c>
      <c r="E309" s="17" t="s">
        <v>193</v>
      </c>
      <c r="F309" s="5">
        <v>1.1000000000000001</v>
      </c>
      <c r="G309" s="5">
        <v>1.5</v>
      </c>
      <c r="H309" s="6">
        <f t="shared" si="21"/>
        <v>1.8599999999999999</v>
      </c>
      <c r="I309" s="6">
        <f t="shared" si="22"/>
        <v>3.3000000000000003</v>
      </c>
      <c r="J309" s="6">
        <f t="shared" si="23"/>
        <v>5.58</v>
      </c>
      <c r="L309" s="4" t="str">
        <f>IFERROR(VLOOKUP(ROWS($L$2:L309),$B$2:$C$1996,2,0),"")</f>
        <v>ΛΑΙΜΟ ΕΠΙΣΚΕΥΗΣ PVC</v>
      </c>
      <c r="N309" s="2" t="str">
        <f>IFERROR(VLOOKUP(ROWS($N$2:N309),$D$2:$E$1996,2,0),"")</f>
        <v>Φ100</v>
      </c>
    </row>
    <row r="310" spans="1:14">
      <c r="A310" s="5">
        <v>3</v>
      </c>
      <c r="B310" s="32">
        <f>IF(ISNUMBER(SEARCH('Φόρμα Εισαγωγής'!$B$2,C310)),MAX($B$1:B309)+1,0)</f>
        <v>309</v>
      </c>
      <c r="C310" s="7" t="s">
        <v>221</v>
      </c>
      <c r="D310" s="33">
        <f>IF(ISNUMBER(SEARCH('Φόρμα Εισαγωγής'!$C$2,E310)),MAX($D$1:D309)+1,0)</f>
        <v>309</v>
      </c>
      <c r="E310" s="17" t="s">
        <v>194</v>
      </c>
      <c r="F310" s="5">
        <v>1.35</v>
      </c>
      <c r="G310" s="5">
        <v>1.9</v>
      </c>
      <c r="H310" s="6">
        <f t="shared" si="21"/>
        <v>2.3559999999999999</v>
      </c>
      <c r="I310" s="6">
        <f t="shared" si="22"/>
        <v>4.0500000000000007</v>
      </c>
      <c r="J310" s="6">
        <f t="shared" si="23"/>
        <v>7.0679999999999996</v>
      </c>
      <c r="L310" s="4" t="str">
        <f>IFERROR(VLOOKUP(ROWS($L$2:L310),$B$2:$C$1996,2,0),"")</f>
        <v>ΛΑΙΜΟ ΕΠΙΣΚΕΥΗΣ PVC</v>
      </c>
      <c r="N310" s="2" t="str">
        <f>IFERROR(VLOOKUP(ROWS($N$2:N310),$D$2:$E$1996,2,0),"")</f>
        <v>Φ125</v>
      </c>
    </row>
    <row r="311" spans="1:14" ht="16.149999999999999" customHeight="1">
      <c r="A311" s="5">
        <v>0</v>
      </c>
      <c r="B311" s="32">
        <f>IF(ISNUMBER(SEARCH('Φόρμα Εισαγωγής'!$B$2,C311)),MAX($B$1:B310)+1,0)</f>
        <v>310</v>
      </c>
      <c r="C311" s="7" t="s">
        <v>223</v>
      </c>
      <c r="D311" s="33">
        <f>IF(ISNUMBER(SEARCH('Φόρμα Εισαγωγής'!$C$2,E311)),MAX($D$1:D310)+1,0)</f>
        <v>310</v>
      </c>
      <c r="E311" s="17" t="s">
        <v>222</v>
      </c>
      <c r="H311" s="6">
        <f t="shared" si="21"/>
        <v>0</v>
      </c>
      <c r="I311" s="6">
        <f t="shared" si="22"/>
        <v>0</v>
      </c>
      <c r="J311" s="6">
        <f t="shared" si="23"/>
        <v>0</v>
      </c>
      <c r="L311" s="4" t="str">
        <f>IFERROR(VLOOKUP(ROWS($L$2:L311),$B$2:$C$1996,2,0),"")</f>
        <v>ΛΑΙΜΟ ΕΠΙΣΚ. ΛΑΣΤΙΧΟ PVC</v>
      </c>
      <c r="N311" s="2" t="str">
        <f>IFERROR(VLOOKUP(ROWS($N$2:N311),$D$2:$E$1996,2,0),"")</f>
        <v xml:space="preserve">Φ63 </v>
      </c>
    </row>
    <row r="312" spans="1:14" ht="15" customHeight="1">
      <c r="A312" s="5">
        <v>5</v>
      </c>
      <c r="B312" s="32">
        <f>IF(ISNUMBER(SEARCH('Φόρμα Εισαγωγής'!$B$2,C312)),MAX($B$1:B311)+1,0)</f>
        <v>311</v>
      </c>
      <c r="C312" s="7" t="s">
        <v>223</v>
      </c>
      <c r="D312" s="33">
        <f>IF(ISNUMBER(SEARCH('Φόρμα Εισαγωγής'!$C$2,E312)),MAX($D$1:D311)+1,0)</f>
        <v>311</v>
      </c>
      <c r="E312" s="17" t="s">
        <v>192</v>
      </c>
      <c r="F312" s="5">
        <v>0.94</v>
      </c>
      <c r="G312" s="5">
        <v>1.35</v>
      </c>
      <c r="H312" s="6">
        <f t="shared" si="21"/>
        <v>1.6740000000000002</v>
      </c>
      <c r="I312" s="6">
        <f t="shared" si="22"/>
        <v>4.6999999999999993</v>
      </c>
      <c r="J312" s="6">
        <f t="shared" si="23"/>
        <v>8.370000000000001</v>
      </c>
      <c r="L312" s="4" t="str">
        <f>IFERROR(VLOOKUP(ROWS($L$2:L312),$B$2:$C$1996,2,0),"")</f>
        <v>ΛΑΙΜΟ ΕΠΙΣΚ. ΛΑΣΤΙΧΟ PVC</v>
      </c>
      <c r="N312" s="2" t="str">
        <f>IFERROR(VLOOKUP(ROWS($N$2:N312),$D$2:$E$1996,2,0),"")</f>
        <v>Φ75</v>
      </c>
    </row>
    <row r="313" spans="1:14" ht="16.149999999999999" customHeight="1">
      <c r="A313" s="5">
        <v>3</v>
      </c>
      <c r="B313" s="32">
        <f>IF(ISNUMBER(SEARCH('Φόρμα Εισαγωγής'!$B$2,C313)),MAX($B$1:B312)+1,0)</f>
        <v>312</v>
      </c>
      <c r="C313" s="7" t="s">
        <v>223</v>
      </c>
      <c r="D313" s="33">
        <f>IF(ISNUMBER(SEARCH('Φόρμα Εισαγωγής'!$C$2,E313)),MAX($D$1:D312)+1,0)</f>
        <v>312</v>
      </c>
      <c r="E313" s="17" t="s">
        <v>193</v>
      </c>
      <c r="F313" s="5">
        <v>1.24</v>
      </c>
      <c r="G313" s="5">
        <v>1.75</v>
      </c>
      <c r="H313" s="6">
        <f t="shared" si="21"/>
        <v>2.17</v>
      </c>
      <c r="I313" s="6">
        <f t="shared" si="22"/>
        <v>3.7199999999999998</v>
      </c>
      <c r="J313" s="6">
        <f t="shared" si="23"/>
        <v>6.51</v>
      </c>
      <c r="L313" s="4" t="str">
        <f>IFERROR(VLOOKUP(ROWS($L$2:L313),$B$2:$C$1996,2,0),"")</f>
        <v>ΛΑΙΜΟ ΕΠΙΣΚ. ΛΑΣΤΙΧΟ PVC</v>
      </c>
      <c r="N313" s="2" t="str">
        <f>IFERROR(VLOOKUP(ROWS($N$2:N313),$D$2:$E$1996,2,0),"")</f>
        <v>Φ100</v>
      </c>
    </row>
    <row r="314" spans="1:14" ht="15" customHeight="1">
      <c r="A314" s="5">
        <v>4</v>
      </c>
      <c r="B314" s="32">
        <f>IF(ISNUMBER(SEARCH('Φόρμα Εισαγωγής'!$B$2,C314)),MAX($B$1:B313)+1,0)</f>
        <v>313</v>
      </c>
      <c r="C314" s="7" t="s">
        <v>223</v>
      </c>
      <c r="D314" s="33">
        <f>IF(ISNUMBER(SEARCH('Φόρμα Εισαγωγής'!$C$2,E314)),MAX($D$1:D313)+1,0)</f>
        <v>313</v>
      </c>
      <c r="E314" s="17" t="s">
        <v>194</v>
      </c>
      <c r="F314" s="5">
        <v>1.55</v>
      </c>
      <c r="G314" s="5">
        <v>2.2000000000000002</v>
      </c>
      <c r="H314" s="6">
        <f t="shared" si="21"/>
        <v>2.7280000000000002</v>
      </c>
      <c r="I314" s="6">
        <f t="shared" si="22"/>
        <v>6.2</v>
      </c>
      <c r="J314" s="6">
        <f t="shared" si="23"/>
        <v>10.912000000000001</v>
      </c>
      <c r="L314" s="4" t="str">
        <f>IFERROR(VLOOKUP(ROWS($L$2:L314),$B$2:$C$1996,2,0),"")</f>
        <v>ΛΑΙΜΟ ΕΠΙΣΚ. ΛΑΣΤΙΧΟ PVC</v>
      </c>
      <c r="N314" s="2" t="str">
        <f>IFERROR(VLOOKUP(ROWS($N$2:N314),$D$2:$E$1996,2,0),"")</f>
        <v>Φ125</v>
      </c>
    </row>
    <row r="315" spans="1:14">
      <c r="A315" s="5">
        <v>9</v>
      </c>
      <c r="B315" s="32">
        <f>IF(ISNUMBER(SEARCH('Φόρμα Εισαγωγής'!$B$2,C315)),MAX($B$1:B314)+1,0)</f>
        <v>314</v>
      </c>
      <c r="C315" s="7" t="s">
        <v>1024</v>
      </c>
      <c r="D315" s="33">
        <f>IF(ISNUMBER(SEARCH('Φόρμα Εισαγωγής'!$C$2,E315)),MAX($D$1:D314)+1,0)</f>
        <v>314</v>
      </c>
      <c r="E315" s="17" t="s">
        <v>727</v>
      </c>
      <c r="F315" s="5">
        <v>6.14</v>
      </c>
      <c r="G315" s="5">
        <v>8.6</v>
      </c>
      <c r="H315" s="6">
        <f t="shared" si="21"/>
        <v>10.664</v>
      </c>
      <c r="I315" s="6">
        <f t="shared" si="22"/>
        <v>55.26</v>
      </c>
      <c r="J315" s="6">
        <f t="shared" si="23"/>
        <v>95.975999999999999</v>
      </c>
      <c r="L315" s="4" t="str">
        <f>IFERROR(VLOOKUP(ROWS($L$2:L315),$B$2:$C$1996,2,0),"")</f>
        <v>ΣΥΦΩΝΙ ΔΑΠΕΔΟΥ PVC</v>
      </c>
      <c r="N315" s="2" t="str">
        <f>IFERROR(VLOOKUP(ROWS($N$2:N315),$D$2:$E$1996,2,0),"")</f>
        <v>ΙΝΟΧ Φ50</v>
      </c>
    </row>
    <row r="316" spans="1:14">
      <c r="A316" s="5">
        <v>4</v>
      </c>
      <c r="B316" s="32">
        <f>IF(ISNUMBER(SEARCH('Φόρμα Εισαγωγής'!$B$2,C316)),MAX($B$1:B315)+1,0)</f>
        <v>315</v>
      </c>
      <c r="C316" s="7" t="s">
        <v>224</v>
      </c>
      <c r="D316" s="33">
        <f>IF(ISNUMBER(SEARCH('Φόρμα Εισαγωγής'!$C$2,E316)),MAX($D$1:D315)+1,0)</f>
        <v>315</v>
      </c>
      <c r="E316" s="17" t="s">
        <v>189</v>
      </c>
      <c r="F316" s="5">
        <v>1.48</v>
      </c>
      <c r="G316" s="5">
        <v>2.2000000000000002</v>
      </c>
      <c r="H316" s="6">
        <f t="shared" si="21"/>
        <v>2.7280000000000002</v>
      </c>
      <c r="I316" s="6">
        <f t="shared" si="22"/>
        <v>5.92</v>
      </c>
      <c r="J316" s="6">
        <f t="shared" si="23"/>
        <v>10.912000000000001</v>
      </c>
      <c r="L316" s="4" t="str">
        <f>IFERROR(VLOOKUP(ROWS($L$2:L316),$B$2:$C$1996,2,0),"")</f>
        <v>ΣΙΦΩΝΙ ΜΠΑΛΚΟΝΙΟΥ PVC</v>
      </c>
      <c r="N316" s="2" t="str">
        <f>IFERROR(VLOOKUP(ROWS($N$2:N316),$D$2:$E$1996,2,0),"")</f>
        <v>Φ40</v>
      </c>
    </row>
    <row r="317" spans="1:14">
      <c r="A317" s="5">
        <v>10</v>
      </c>
      <c r="B317" s="32">
        <f>IF(ISNUMBER(SEARCH('Φόρμα Εισαγωγής'!$B$2,C317)),MAX($B$1:B316)+1,0)</f>
        <v>316</v>
      </c>
      <c r="C317" s="7" t="s">
        <v>728</v>
      </c>
      <c r="D317" s="33">
        <f>IF(ISNUMBER(SEARCH('Φόρμα Εισαγωγής'!$C$2,E317)),MAX($D$1:D316)+1,0)</f>
        <v>316</v>
      </c>
      <c r="E317" s="17" t="s">
        <v>206</v>
      </c>
      <c r="F317" s="5">
        <v>0.56000000000000005</v>
      </c>
      <c r="G317" s="5">
        <v>0.8</v>
      </c>
      <c r="H317" s="6">
        <f t="shared" si="21"/>
        <v>0.99199999999999999</v>
      </c>
      <c r="I317" s="6">
        <f t="shared" si="22"/>
        <v>5.6000000000000005</v>
      </c>
      <c r="J317" s="6">
        <f t="shared" si="23"/>
        <v>9.92</v>
      </c>
      <c r="L317" s="4" t="str">
        <f>IFERROR(VLOOKUP(ROWS($L$2:L317),$B$2:$C$1996,2,0),"")</f>
        <v xml:space="preserve">ΔΙΑΣΤΟΛΗ ΑΓΓ. ΑΡΣ. PVC </v>
      </c>
      <c r="N317" s="2" t="str">
        <f>IFERROR(VLOOKUP(ROWS($N$2:N317),$D$2:$E$1996,2,0),"")</f>
        <v>Φ63 Χ Φ50</v>
      </c>
    </row>
    <row r="318" spans="1:14">
      <c r="A318" s="5">
        <v>1</v>
      </c>
      <c r="B318" s="32">
        <f>IF(ISNUMBER(SEARCH('Φόρμα Εισαγωγής'!$B$2,C318)),MAX($B$1:B317)+1,0)</f>
        <v>317</v>
      </c>
      <c r="C318" s="7" t="s">
        <v>729</v>
      </c>
      <c r="D318" s="33">
        <f>IF(ISNUMBER(SEARCH('Φόρμα Εισαγωγής'!$C$2,E318)),MAX($D$1:D317)+1,0)</f>
        <v>317</v>
      </c>
      <c r="E318" s="17" t="s">
        <v>193</v>
      </c>
      <c r="F318" s="5">
        <v>5.8</v>
      </c>
      <c r="G318" s="5">
        <v>8.6999999999999993</v>
      </c>
      <c r="H318" s="6">
        <f t="shared" si="21"/>
        <v>10.787999999999998</v>
      </c>
      <c r="I318" s="6">
        <f t="shared" si="22"/>
        <v>5.8</v>
      </c>
      <c r="J318" s="6">
        <f t="shared" si="23"/>
        <v>10.787999999999998</v>
      </c>
      <c r="L318" s="4" t="str">
        <f>IFERROR(VLOOKUP(ROWS($L$2:L318),$B$2:$C$1996,2,0),"")</f>
        <v xml:space="preserve">ΜΗΧΑΝΟΣΙΦΩΝΑΣ SPECIAL PVC </v>
      </c>
      <c r="N318" s="2" t="str">
        <f>IFERROR(VLOOKUP(ROWS($N$2:N318),$D$2:$E$1996,2,0),"")</f>
        <v>Φ100</v>
      </c>
    </row>
    <row r="319" spans="1:14">
      <c r="A319" s="5">
        <v>1</v>
      </c>
      <c r="B319" s="32">
        <f>IF(ISNUMBER(SEARCH('Φόρμα Εισαγωγής'!$B$2,C319)),MAX($B$1:B318)+1,0)</f>
        <v>318</v>
      </c>
      <c r="C319" s="7" t="s">
        <v>225</v>
      </c>
      <c r="D319" s="33">
        <f>IF(ISNUMBER(SEARCH('Φόρμα Εισαγωγής'!$C$2,E319)),MAX($D$1:D318)+1,0)</f>
        <v>318</v>
      </c>
      <c r="E319" s="17" t="s">
        <v>192</v>
      </c>
      <c r="F319" s="5">
        <v>1</v>
      </c>
      <c r="G319" s="5">
        <v>2</v>
      </c>
      <c r="H319" s="6">
        <f t="shared" si="21"/>
        <v>2.48</v>
      </c>
      <c r="I319" s="6">
        <f t="shared" si="22"/>
        <v>1</v>
      </c>
      <c r="J319" s="6">
        <f t="shared" si="23"/>
        <v>2.48</v>
      </c>
      <c r="L319" s="4" t="str">
        <f>IFERROR(VLOOKUP(ROWS($L$2:L319),$B$2:$C$1996,2,0),"")</f>
        <v xml:space="preserve">ΜΟΥΦΑ PVC </v>
      </c>
      <c r="N319" s="2" t="str">
        <f>IFERROR(VLOOKUP(ROWS($N$2:N319),$D$2:$E$1996,2,0),"")</f>
        <v>Φ75</v>
      </c>
    </row>
    <row r="320" spans="1:14">
      <c r="A320" s="5">
        <v>1</v>
      </c>
      <c r="B320" s="32">
        <f>IF(ISNUMBER(SEARCH('Φόρμα Εισαγωγής'!$B$2,C320)),MAX($B$1:B319)+1,0)</f>
        <v>319</v>
      </c>
      <c r="C320" s="7" t="s">
        <v>730</v>
      </c>
      <c r="D320" s="33">
        <f>IF(ISNUMBER(SEARCH('Φόρμα Εισαγωγής'!$C$2,E320)),MAX($D$1:D319)+1,0)</f>
        <v>319</v>
      </c>
      <c r="E320" s="17" t="s">
        <v>207</v>
      </c>
      <c r="F320" s="5">
        <v>1.1499999999999999</v>
      </c>
      <c r="G320" s="5">
        <v>1.65</v>
      </c>
      <c r="H320" s="6">
        <f t="shared" si="21"/>
        <v>2.0459999999999998</v>
      </c>
      <c r="I320" s="6">
        <f t="shared" si="22"/>
        <v>1.1499999999999999</v>
      </c>
      <c r="J320" s="6">
        <f t="shared" si="23"/>
        <v>2.0459999999999998</v>
      </c>
      <c r="L320" s="4" t="str">
        <f>IFERROR(VLOOKUP(ROWS($L$2:L320),$B$2:$C$1996,2,0),"")</f>
        <v>ΣΥΣΤΟΛΙΚΟ HMIΤΑΦ PVC</v>
      </c>
      <c r="N320" s="2" t="str">
        <f>IFERROR(VLOOKUP(ROWS($N$2:N320),$D$2:$E$1996,2,0),"")</f>
        <v>Φ75 Χ Φ50</v>
      </c>
    </row>
    <row r="321" spans="1:14">
      <c r="A321" s="5">
        <v>8</v>
      </c>
      <c r="B321" s="32">
        <f>IF(ISNUMBER(SEARCH('Φόρμα Εισαγωγής'!$B$2,C321)),MAX($B$1:B320)+1,0)</f>
        <v>320</v>
      </c>
      <c r="C321" s="7" t="s">
        <v>226</v>
      </c>
      <c r="D321" s="33">
        <f>IF(ISNUMBER(SEARCH('Φόρμα Εισαγωγής'!$C$2,E321)),MAX($D$1:D320)+1,0)</f>
        <v>320</v>
      </c>
      <c r="E321" s="17" t="s">
        <v>209</v>
      </c>
      <c r="F321" s="5">
        <v>0.95</v>
      </c>
      <c r="G321" s="5">
        <v>1.35</v>
      </c>
      <c r="H321" s="6">
        <f t="shared" si="21"/>
        <v>1.6740000000000002</v>
      </c>
      <c r="I321" s="6">
        <f t="shared" si="22"/>
        <v>7.6</v>
      </c>
      <c r="J321" s="6">
        <f t="shared" si="23"/>
        <v>13.392000000000001</v>
      </c>
      <c r="L321" s="4" t="str">
        <f>IFERROR(VLOOKUP(ROWS($L$2:L321),$B$2:$C$1996,2,0),"")</f>
        <v>ΣΥΣΤΟΛΙΚΟ ΤΑΦ PVC</v>
      </c>
      <c r="N321" s="2" t="str">
        <f>IFERROR(VLOOKUP(ROWS($N$2:N321),$D$2:$E$1996,2,0),"")</f>
        <v>Φ100 Χ Φ50</v>
      </c>
    </row>
    <row r="322" spans="1:14">
      <c r="A322" s="5">
        <v>27</v>
      </c>
      <c r="B322" s="32">
        <f>IF(ISNUMBER(SEARCH('Φόρμα Εισαγωγής'!$B$2,C322)),MAX($B$1:B321)+1,0)</f>
        <v>321</v>
      </c>
      <c r="C322" s="7" t="s">
        <v>227</v>
      </c>
      <c r="D322" s="33">
        <f>IF(ISNUMBER(SEARCH('Φόρμα Εισαγωγής'!$C$2,E322)),MAX($D$1:D321)+1,0)</f>
        <v>321</v>
      </c>
      <c r="E322" s="17" t="s">
        <v>209</v>
      </c>
      <c r="F322" s="5">
        <v>0.95</v>
      </c>
      <c r="G322" s="5">
        <v>1.35</v>
      </c>
      <c r="H322" s="6">
        <f t="shared" si="21"/>
        <v>1.6740000000000002</v>
      </c>
      <c r="I322" s="6">
        <f t="shared" si="22"/>
        <v>25.65</v>
      </c>
      <c r="J322" s="6">
        <f t="shared" si="23"/>
        <v>45.198000000000008</v>
      </c>
      <c r="L322" s="4" t="str">
        <f>IFERROR(VLOOKUP(ROWS($L$2:L322),$B$2:$C$1996,2,0),"")</f>
        <v>ΣΥΣΤΟΛΙΚΟ ΗΜΙΤΑΦ PVC</v>
      </c>
      <c r="N322" s="2" t="str">
        <f>IFERROR(VLOOKUP(ROWS($N$2:N322),$D$2:$E$1996,2,0),"")</f>
        <v>Φ100 Χ Φ50</v>
      </c>
    </row>
    <row r="323" spans="1:14" ht="17.25">
      <c r="A323" s="5">
        <v>1</v>
      </c>
      <c r="B323" s="32">
        <f>IF(ISNUMBER(SEARCH('Φόρμα Εισαγωγής'!$B$2,C323)),MAX($B$1:B322)+1,0)</f>
        <v>322</v>
      </c>
      <c r="C323" s="7" t="s">
        <v>228</v>
      </c>
      <c r="D323" s="33">
        <f>IF(ISNUMBER(SEARCH('Φόρμα Εισαγωγής'!$C$2,E323)),MAX($D$1:D322)+1,0)</f>
        <v>322</v>
      </c>
      <c r="E323" s="17" t="s">
        <v>229</v>
      </c>
      <c r="F323" s="5">
        <v>1.5</v>
      </c>
      <c r="G323" s="5">
        <v>2.5</v>
      </c>
      <c r="H323" s="6">
        <f t="shared" si="21"/>
        <v>3.1</v>
      </c>
      <c r="I323" s="6">
        <f t="shared" si="22"/>
        <v>1.5</v>
      </c>
      <c r="J323" s="6">
        <f t="shared" si="23"/>
        <v>3.1</v>
      </c>
      <c r="L323" s="4" t="str">
        <f>IFERROR(VLOOKUP(ROWS($L$2:L323),$B$2:$C$1996,2,0),"")</f>
        <v>ΑΡΔΕΥΤΙΚΗ ΓΩΝΙΑ 90ο</v>
      </c>
      <c r="N323" s="2" t="str">
        <f>IFERROR(VLOOKUP(ROWS($N$2:N323),$D$2:$E$1996,2,0),"")</f>
        <v xml:space="preserve">ΘΗΛΥΚΗ </v>
      </c>
    </row>
    <row r="324" spans="1:14">
      <c r="A324" s="5">
        <v>2</v>
      </c>
      <c r="B324" s="32">
        <f>IF(ISNUMBER(SEARCH('Φόρμα Εισαγωγής'!$B$2,C324)),MAX($B$1:B323)+1,0)</f>
        <v>323</v>
      </c>
      <c r="C324" s="7" t="s">
        <v>230</v>
      </c>
      <c r="D324" s="33">
        <f>IF(ISNUMBER(SEARCH('Φόρμα Εισαγωγής'!$C$2,E324)),MAX($D$1:D323)+1,0)</f>
        <v>323</v>
      </c>
      <c r="E324" s="17" t="s">
        <v>229</v>
      </c>
      <c r="F324" s="5">
        <v>1.5</v>
      </c>
      <c r="G324" s="5">
        <v>2.5</v>
      </c>
      <c r="H324" s="6">
        <f t="shared" si="21"/>
        <v>3.1</v>
      </c>
      <c r="I324" s="6">
        <f t="shared" si="22"/>
        <v>3</v>
      </c>
      <c r="J324" s="6">
        <f t="shared" si="23"/>
        <v>6.2</v>
      </c>
      <c r="L324" s="4" t="str">
        <f>IFERROR(VLOOKUP(ROWS($L$2:L324),$B$2:$C$1996,2,0),"")</f>
        <v>ΑΡΔΕΥΤΙΚΗ ΓΩΝΙΑ 45ο</v>
      </c>
      <c r="N324" s="2" t="str">
        <f>IFERROR(VLOOKUP(ROWS($N$2:N324),$D$2:$E$1996,2,0),"")</f>
        <v xml:space="preserve">ΘΗΛΥΚΗ </v>
      </c>
    </row>
    <row r="325" spans="1:14">
      <c r="A325" s="5">
        <v>22</v>
      </c>
      <c r="B325" s="32">
        <f>IF(ISNUMBER(SEARCH('Φόρμα Εισαγωγής'!$B$2,C325)),MAX($B$1:B324)+1,0)</f>
        <v>324</v>
      </c>
      <c r="C325" s="7" t="s">
        <v>732</v>
      </c>
      <c r="D325" s="33">
        <f>IF(ISNUMBER(SEARCH('Φόρμα Εισαγωγής'!$C$2,E325)),MAX($D$1:D324)+1,0)</f>
        <v>324</v>
      </c>
      <c r="E325" s="17" t="s">
        <v>231</v>
      </c>
      <c r="F325" s="5">
        <v>0.5</v>
      </c>
      <c r="G325" s="5">
        <v>1</v>
      </c>
      <c r="H325" s="6">
        <f t="shared" si="21"/>
        <v>1.24</v>
      </c>
      <c r="I325" s="6">
        <f t="shared" si="22"/>
        <v>11</v>
      </c>
      <c r="J325" s="6">
        <f t="shared" si="23"/>
        <v>27.28</v>
      </c>
      <c r="L325" s="4" t="str">
        <f>IFERROR(VLOOKUP(ROWS($L$2:L325),$B$2:$C$1996,2,0),"")</f>
        <v>ΠΡΟΕΚΤΑΣΗ ΠΑΤΩΣΙΦΩΝΟΥ PVC</v>
      </c>
      <c r="N325" s="2" t="str">
        <f>IFERROR(VLOOKUP(ROWS($N$2:N325),$D$2:$E$1996,2,0),"")</f>
        <v>INTERPLAST</v>
      </c>
    </row>
    <row r="326" spans="1:14">
      <c r="A326" s="5">
        <v>4</v>
      </c>
      <c r="B326" s="32">
        <f>IF(ISNUMBER(SEARCH('Φόρμα Εισαγωγής'!$B$2,C326)),MAX($B$1:B325)+1,0)</f>
        <v>325</v>
      </c>
      <c r="C326" s="7" t="s">
        <v>731</v>
      </c>
      <c r="D326" s="33">
        <f>IF(ISNUMBER(SEARCH('Φόρμα Εισαγωγής'!$C$2,E326)),MAX($D$1:D325)+1,0)</f>
        <v>325</v>
      </c>
      <c r="E326" s="17" t="s">
        <v>232</v>
      </c>
      <c r="F326" s="5">
        <v>0.6</v>
      </c>
      <c r="G326" s="5">
        <v>0.85</v>
      </c>
      <c r="H326" s="6">
        <f t="shared" ref="H326:H389" si="24">G326+(G326*0.24)</f>
        <v>1.054</v>
      </c>
      <c r="I326" s="6">
        <f t="shared" ref="I326:I389" si="25">F326*A326</f>
        <v>2.4</v>
      </c>
      <c r="J326" s="6">
        <f t="shared" ref="J326:J389" si="26">H326*A326</f>
        <v>4.2160000000000002</v>
      </c>
      <c r="L326" s="4" t="str">
        <f>IFERROR(VLOOKUP(ROWS($L$2:L326),$B$2:$C$1996,2,0),"")</f>
        <v>ΓΩΝΙΑ ΚΑΘΕΤΗ PVC</v>
      </c>
      <c r="N326" s="2" t="str">
        <f>IFERROR(VLOOKUP(ROWS($N$2:N326),$D$2:$E$1996,2,0),"")</f>
        <v xml:space="preserve"> 6 X 10</v>
      </c>
    </row>
    <row r="327" spans="1:14">
      <c r="A327" s="5">
        <v>1</v>
      </c>
      <c r="B327" s="32">
        <f>IF(ISNUMBER(SEARCH('Φόρμα Εισαγωγής'!$B$2,C327)),MAX($B$1:B326)+1,0)</f>
        <v>326</v>
      </c>
      <c r="C327" s="7" t="s">
        <v>733</v>
      </c>
      <c r="D327" s="33">
        <f>IF(ISNUMBER(SEARCH('Φόρμα Εισαγωγής'!$C$2,E327)),MAX($D$1:D326)+1,0)</f>
        <v>326</v>
      </c>
      <c r="E327" s="17" t="s">
        <v>232</v>
      </c>
      <c r="F327" s="5">
        <v>0.6</v>
      </c>
      <c r="G327" s="5">
        <v>0.85</v>
      </c>
      <c r="H327" s="6">
        <f t="shared" si="24"/>
        <v>1.054</v>
      </c>
      <c r="I327" s="6">
        <f t="shared" si="25"/>
        <v>0.6</v>
      </c>
      <c r="J327" s="6">
        <f t="shared" si="26"/>
        <v>1.054</v>
      </c>
      <c r="L327" s="4" t="str">
        <f>IFERROR(VLOOKUP(ROWS($L$2:L327),$B$2:$C$1996,2,0),"")</f>
        <v>ΗΜΙΓΩΝΙΑ ΚΑΘΕΤΗ PVC</v>
      </c>
      <c r="N327" s="2" t="str">
        <f>IFERROR(VLOOKUP(ROWS($N$2:N327),$D$2:$E$1996,2,0),"")</f>
        <v xml:space="preserve"> 6 X 10</v>
      </c>
    </row>
    <row r="328" spans="1:14">
      <c r="A328" s="5">
        <v>5</v>
      </c>
      <c r="B328" s="32">
        <f>IF(ISNUMBER(SEARCH('Φόρμα Εισαγωγής'!$B$2,C328)),MAX($B$1:B327)+1,0)</f>
        <v>327</v>
      </c>
      <c r="C328" s="7" t="s">
        <v>233</v>
      </c>
      <c r="D328" s="33">
        <f>IF(ISNUMBER(SEARCH('Φόρμα Εισαγωγής'!$C$2,E328)),MAX($D$1:D327)+1,0)</f>
        <v>327</v>
      </c>
      <c r="E328" s="17" t="s">
        <v>234</v>
      </c>
      <c r="F328" s="5">
        <v>0.85</v>
      </c>
      <c r="G328" s="5">
        <v>1.2</v>
      </c>
      <c r="H328" s="6">
        <f t="shared" si="24"/>
        <v>1.488</v>
      </c>
      <c r="I328" s="6">
        <f t="shared" si="25"/>
        <v>4.25</v>
      </c>
      <c r="J328" s="6">
        <f t="shared" si="26"/>
        <v>7.4399999999999995</v>
      </c>
      <c r="L328" s="4" t="str">
        <f>IFERROR(VLOOKUP(ROWS($L$2:L328),$B$2:$C$1996,2,0),"")</f>
        <v>ΜΕΤΑΤΡΟΠΕΑΣ PVC</v>
      </c>
      <c r="N328" s="2" t="str">
        <f>IFERROR(VLOOKUP(ROWS($N$2:N328),$D$2:$E$1996,2,0),"")</f>
        <v>Π/Κ 6 Χ 10</v>
      </c>
    </row>
    <row r="329" spans="1:14">
      <c r="A329" s="5">
        <v>6</v>
      </c>
      <c r="B329" s="32">
        <f>IF(ISNUMBER(SEARCH('Φόρμα Εισαγωγής'!$B$2,C329)),MAX($B$1:B328)+1,0)</f>
        <v>328</v>
      </c>
      <c r="C329" s="7" t="s">
        <v>233</v>
      </c>
      <c r="D329" s="33">
        <f>IF(ISNUMBER(SEARCH('Φόρμα Εισαγωγής'!$C$2,E329)),MAX($D$1:D328)+1,0)</f>
        <v>328</v>
      </c>
      <c r="E329" s="17" t="s">
        <v>235</v>
      </c>
      <c r="F329" s="5">
        <v>0.85</v>
      </c>
      <c r="G329" s="5">
        <v>1.2</v>
      </c>
      <c r="H329" s="6">
        <f t="shared" si="24"/>
        <v>1.488</v>
      </c>
      <c r="I329" s="6">
        <f t="shared" si="25"/>
        <v>5.0999999999999996</v>
      </c>
      <c r="J329" s="6">
        <f t="shared" si="26"/>
        <v>8.9280000000000008</v>
      </c>
      <c r="L329" s="4" t="str">
        <f>IFERROR(VLOOKUP(ROWS($L$2:L329),$B$2:$C$1996,2,0),"")</f>
        <v>ΜΕΤΑΤΡΟΠΕΑΣ PVC</v>
      </c>
      <c r="N329" s="2" t="str">
        <f>IFERROR(VLOOKUP(ROWS($N$2:N329),$D$2:$E$1996,2,0),"")</f>
        <v>6 Χ 10 Χ Φ100</v>
      </c>
    </row>
    <row r="330" spans="1:14">
      <c r="A330" s="5">
        <v>1</v>
      </c>
      <c r="B330" s="32">
        <f>IF(ISNUMBER(SEARCH('Φόρμα Εισαγωγής'!$B$2,C330)),MAX($B$1:B329)+1,0)</f>
        <v>329</v>
      </c>
      <c r="C330" s="7" t="s">
        <v>236</v>
      </c>
      <c r="D330" s="33">
        <f>IF(ISNUMBER(SEARCH('Φόρμα Εισαγωγής'!$C$2,E330)),MAX($D$1:D329)+1,0)</f>
        <v>329</v>
      </c>
      <c r="E330" s="17" t="s">
        <v>237</v>
      </c>
      <c r="F330" s="5">
        <v>1.1000000000000001</v>
      </c>
      <c r="G330" s="5">
        <v>1.55</v>
      </c>
      <c r="H330" s="6">
        <f t="shared" si="24"/>
        <v>1.9220000000000002</v>
      </c>
      <c r="I330" s="6">
        <f t="shared" si="25"/>
        <v>1.1000000000000001</v>
      </c>
      <c r="J330" s="6">
        <f t="shared" si="26"/>
        <v>1.9220000000000002</v>
      </c>
      <c r="L330" s="4" t="str">
        <f>IFERROR(VLOOKUP(ROWS($L$2:L330),$B$2:$C$1996,2,0),"")</f>
        <v xml:space="preserve">ΤΑΦ ΠΛΑΓΙΟ PVC </v>
      </c>
      <c r="N330" s="2" t="str">
        <f>IFERROR(VLOOKUP(ROWS($N$2:N330),$D$2:$E$1996,2,0),"")</f>
        <v>6 Χ 10 Χ Φ50</v>
      </c>
    </row>
    <row r="331" spans="1:14">
      <c r="A331" s="5">
        <v>1</v>
      </c>
      <c r="B331" s="32">
        <f>IF(ISNUMBER(SEARCH('Φόρμα Εισαγωγής'!$B$2,C331)),MAX($B$1:B330)+1,0)</f>
        <v>330</v>
      </c>
      <c r="C331" s="7" t="s">
        <v>238</v>
      </c>
      <c r="D331" s="33">
        <f>IF(ISNUMBER(SEARCH('Φόρμα Εισαγωγής'!$C$2,E331)),MAX($D$1:D330)+1,0)</f>
        <v>330</v>
      </c>
      <c r="E331" s="17" t="s">
        <v>237</v>
      </c>
      <c r="F331" s="5">
        <v>1.1000000000000001</v>
      </c>
      <c r="G331" s="5">
        <v>1.55</v>
      </c>
      <c r="H331" s="6">
        <f t="shared" si="24"/>
        <v>1.9220000000000002</v>
      </c>
      <c r="I331" s="6">
        <f t="shared" si="25"/>
        <v>1.1000000000000001</v>
      </c>
      <c r="J331" s="6">
        <f t="shared" si="26"/>
        <v>1.9220000000000002</v>
      </c>
      <c r="L331" s="4" t="str">
        <f>IFERROR(VLOOKUP(ROWS($L$2:L331),$B$2:$C$1996,2,0),"")</f>
        <v xml:space="preserve">ΤΑΦ ΚΑΘΕΤΟ PVC </v>
      </c>
      <c r="N331" s="2" t="str">
        <f>IFERROR(VLOOKUP(ROWS($N$2:N331),$D$2:$E$1996,2,0),"")</f>
        <v>6 Χ 10 Χ Φ50</v>
      </c>
    </row>
    <row r="332" spans="1:14">
      <c r="A332" s="5">
        <v>2</v>
      </c>
      <c r="B332" s="32">
        <f>IF(ISNUMBER(SEARCH('Φόρμα Εισαγωγής'!$B$2,C332)),MAX($B$1:B331)+1,0)</f>
        <v>331</v>
      </c>
      <c r="C332" s="7" t="s">
        <v>734</v>
      </c>
      <c r="D332" s="33">
        <f>IF(ISNUMBER(SEARCH('Φόρμα Εισαγωγής'!$C$2,E332)),MAX($D$1:D331)+1,0)</f>
        <v>331</v>
      </c>
      <c r="E332" s="17" t="s">
        <v>239</v>
      </c>
      <c r="F332" s="5">
        <v>3.1</v>
      </c>
      <c r="G332" s="5">
        <v>4.3</v>
      </c>
      <c r="H332" s="6">
        <f t="shared" si="24"/>
        <v>5.3319999999999999</v>
      </c>
      <c r="I332" s="6">
        <f t="shared" si="25"/>
        <v>6.2</v>
      </c>
      <c r="J332" s="6">
        <f t="shared" si="26"/>
        <v>10.664</v>
      </c>
      <c r="L332" s="4" t="str">
        <f>IFERROR(VLOOKUP(ROWS($L$2:L332),$B$2:$C$1996,2,0),"")</f>
        <v>ΚΑΝΟΥΛΑ BUGATTI</v>
      </c>
      <c r="N332" s="2" t="str">
        <f>IFERROR(VLOOKUP(ROWS($N$2:N332),$D$2:$E$1996,2,0),"")</f>
        <v xml:space="preserve">1/2 </v>
      </c>
    </row>
    <row r="333" spans="1:14">
      <c r="A333" s="5">
        <v>2</v>
      </c>
      <c r="B333" s="32">
        <f>IF(ISNUMBER(SEARCH('Φόρμα Εισαγωγής'!$B$2,C333)),MAX($B$1:B332)+1,0)</f>
        <v>332</v>
      </c>
      <c r="C333" s="7" t="s">
        <v>735</v>
      </c>
      <c r="D333" s="33">
        <f>IF(ISNUMBER(SEARCH('Φόρμα Εισαγωγής'!$C$2,E333)),MAX($D$1:D332)+1,0)</f>
        <v>332</v>
      </c>
      <c r="E333" s="17" t="s">
        <v>32</v>
      </c>
      <c r="F333" s="5">
        <v>4.3499999999999996</v>
      </c>
      <c r="G333" s="5">
        <v>6.1</v>
      </c>
      <c r="H333" s="6">
        <f t="shared" si="24"/>
        <v>7.5640000000000001</v>
      </c>
      <c r="I333" s="6">
        <f t="shared" si="25"/>
        <v>8.6999999999999993</v>
      </c>
      <c r="J333" s="6">
        <f t="shared" si="26"/>
        <v>15.128</v>
      </c>
      <c r="L333" s="4" t="str">
        <f>IFERROR(VLOOKUP(ROWS($L$2:L333),$B$2:$C$1996,2,0),"")</f>
        <v>ΚΑΝΟΥΛΑ DF BUGATTI</v>
      </c>
      <c r="N333" s="2" t="str">
        <f>IFERROR(VLOOKUP(ROWS($N$2:N333),$D$2:$E$1996,2,0),"")</f>
        <v>1/2</v>
      </c>
    </row>
    <row r="334" spans="1:14">
      <c r="A334" s="5">
        <v>3</v>
      </c>
      <c r="B334" s="32">
        <f>IF(ISNUMBER(SEARCH('Φόρμα Εισαγωγής'!$B$2,C334)),MAX($B$1:B333)+1,0)</f>
        <v>333</v>
      </c>
      <c r="C334" s="7" t="s">
        <v>734</v>
      </c>
      <c r="D334" s="33">
        <f>IF(ISNUMBER(SEARCH('Φόρμα Εισαγωγής'!$C$2,E334)),MAX($D$1:D333)+1,0)</f>
        <v>333</v>
      </c>
      <c r="E334" s="17" t="s">
        <v>33</v>
      </c>
      <c r="F334" s="5">
        <v>4.3</v>
      </c>
      <c r="G334" s="5">
        <v>6</v>
      </c>
      <c r="H334" s="6">
        <f t="shared" si="24"/>
        <v>7.4399999999999995</v>
      </c>
      <c r="I334" s="6">
        <f t="shared" si="25"/>
        <v>12.899999999999999</v>
      </c>
      <c r="J334" s="6">
        <f t="shared" si="26"/>
        <v>22.32</v>
      </c>
      <c r="L334" s="4" t="str">
        <f>IFERROR(VLOOKUP(ROWS($L$2:L334),$B$2:$C$1996,2,0),"")</f>
        <v>ΚΑΝΟΥΛΑ BUGATTI</v>
      </c>
      <c r="N334" s="2" t="str">
        <f>IFERROR(VLOOKUP(ROWS($N$2:N334),$D$2:$E$1996,2,0),"")</f>
        <v>3/4</v>
      </c>
    </row>
    <row r="335" spans="1:14">
      <c r="A335" s="5">
        <v>3</v>
      </c>
      <c r="B335" s="32">
        <f>IF(ISNUMBER(SEARCH('Φόρμα Εισαγωγής'!$B$2,C335)),MAX($B$1:B334)+1,0)</f>
        <v>334</v>
      </c>
      <c r="C335" s="7" t="s">
        <v>736</v>
      </c>
      <c r="D335" s="33">
        <f>IF(ISNUMBER(SEARCH('Φόρμα Εισαγωγής'!$C$2,E335)),MAX($D$1:D334)+1,0)</f>
        <v>334</v>
      </c>
      <c r="E335" s="17" t="s">
        <v>737</v>
      </c>
      <c r="F335" s="5">
        <v>6</v>
      </c>
      <c r="G335" s="5">
        <v>8.5</v>
      </c>
      <c r="H335" s="6">
        <f t="shared" si="24"/>
        <v>10.54</v>
      </c>
      <c r="I335" s="6">
        <f t="shared" si="25"/>
        <v>18</v>
      </c>
      <c r="J335" s="6">
        <f t="shared" si="26"/>
        <v>31.619999999999997</v>
      </c>
      <c r="L335" s="4" t="str">
        <f>IFERROR(VLOOKUP(ROWS($L$2:L335),$B$2:$C$1996,2,0),"")</f>
        <v>ΚΕΦΑΛΑΡΙ ΕΝΤΟΙΧΙΣΜΟΥ</v>
      </c>
      <c r="N335" s="2" t="str">
        <f>IFERROR(VLOOKUP(ROWS($N$2:N335),$D$2:$E$1996,2,0),"")</f>
        <v>Φ25 Χ 3/4</v>
      </c>
    </row>
    <row r="336" spans="1:14">
      <c r="A336" s="5">
        <v>8</v>
      </c>
      <c r="B336" s="32">
        <f>IF(ISNUMBER(SEARCH('Φόρμα Εισαγωγής'!$B$2,C336)),MAX($B$1:B335)+1,0)</f>
        <v>335</v>
      </c>
      <c r="C336" s="7" t="s">
        <v>736</v>
      </c>
      <c r="D336" s="33">
        <f>IF(ISNUMBER(SEARCH('Φόρμα Εισαγωγής'!$C$2,E336)),MAX($D$1:D335)+1,0)</f>
        <v>335</v>
      </c>
      <c r="E336" s="17" t="s">
        <v>140</v>
      </c>
      <c r="F336" s="5">
        <v>4.8</v>
      </c>
      <c r="G336" s="5">
        <v>6.8</v>
      </c>
      <c r="H336" s="6">
        <f t="shared" si="24"/>
        <v>8.4320000000000004</v>
      </c>
      <c r="I336" s="6">
        <f t="shared" si="25"/>
        <v>38.4</v>
      </c>
      <c r="J336" s="6">
        <f t="shared" si="26"/>
        <v>67.456000000000003</v>
      </c>
      <c r="L336" s="4" t="str">
        <f>IFERROR(VLOOKUP(ROWS($L$2:L336),$B$2:$C$1996,2,0),"")</f>
        <v>ΚΕΦΑΛΑΡΙ ΕΝΤΟΙΧΙΣΜΟΥ</v>
      </c>
      <c r="N336" s="2" t="str">
        <f>IFERROR(VLOOKUP(ROWS($N$2:N336),$D$2:$E$1996,2,0),"")</f>
        <v>Φ20 Χ 1/2</v>
      </c>
    </row>
    <row r="337" spans="1:14" ht="16.899999999999999" customHeight="1">
      <c r="A337" s="5">
        <v>10</v>
      </c>
      <c r="B337" s="32">
        <f>IF(ISNUMBER(SEARCH('Φόρμα Εισαγωγής'!$B$2,C337)),MAX($B$1:B336)+1,0)</f>
        <v>336</v>
      </c>
      <c r="C337" s="7" t="s">
        <v>240</v>
      </c>
      <c r="D337" s="33">
        <f>IF(ISNUMBER(SEARCH('Φόρμα Εισαγωγής'!$C$2,E337)),MAX($D$1:D336)+1,0)</f>
        <v>336</v>
      </c>
      <c r="E337" s="17" t="s">
        <v>738</v>
      </c>
      <c r="F337" s="5">
        <v>1.6</v>
      </c>
      <c r="G337" s="5">
        <v>2.5</v>
      </c>
      <c r="H337" s="6">
        <f t="shared" si="24"/>
        <v>3.1</v>
      </c>
      <c r="I337" s="6">
        <f t="shared" si="25"/>
        <v>16</v>
      </c>
      <c r="J337" s="6">
        <f t="shared" si="26"/>
        <v>31</v>
      </c>
      <c r="L337" s="4" t="str">
        <f>IFERROR(VLOOKUP(ROWS($L$2:L337),$B$2:$C$1996,2,0),"")</f>
        <v>ΠΡΟΕΚΤΑΣΗ ΒΑΝΑΣ ΕΝΤΟΙΧΙΣΜΟΥ</v>
      </c>
      <c r="N337" s="2" t="str">
        <f>IFERROR(VLOOKUP(ROWS($N$2:N337),$D$2:$E$1996,2,0),"")</f>
        <v>ΤΟΥΡΚΙΑΣ</v>
      </c>
    </row>
    <row r="338" spans="1:14">
      <c r="A338" s="5">
        <v>5</v>
      </c>
      <c r="B338" s="32">
        <f>IF(ISNUMBER(SEARCH('Φόρμα Εισαγωγής'!$B$2,C338)),MAX($B$1:B337)+1,0)</f>
        <v>337</v>
      </c>
      <c r="C338" s="7" t="s">
        <v>240</v>
      </c>
      <c r="D338" s="33">
        <f>IF(ISNUMBER(SEARCH('Φόρμα Εισαγωγής'!$C$2,E338)),MAX($D$1:D337)+1,0)</f>
        <v>337</v>
      </c>
      <c r="E338" s="17" t="s">
        <v>231</v>
      </c>
      <c r="F338" s="5">
        <v>1.6</v>
      </c>
      <c r="G338" s="5">
        <v>2.5</v>
      </c>
      <c r="H338" s="6">
        <f t="shared" si="24"/>
        <v>3.1</v>
      </c>
      <c r="I338" s="6">
        <f t="shared" si="25"/>
        <v>8</v>
      </c>
      <c r="J338" s="6">
        <f t="shared" si="26"/>
        <v>15.5</v>
      </c>
      <c r="L338" s="4" t="str">
        <f>IFERROR(VLOOKUP(ROWS($L$2:L338),$B$2:$C$1996,2,0),"")</f>
        <v>ΠΡΟΕΚΤΑΣΗ ΒΑΝΑΣ ΕΝΤΟΙΧΙΣΜΟΥ</v>
      </c>
      <c r="N338" s="2" t="str">
        <f>IFERROR(VLOOKUP(ROWS($N$2:N338),$D$2:$E$1996,2,0),"")</f>
        <v>INTERPLAST</v>
      </c>
    </row>
    <row r="339" spans="1:14">
      <c r="A339" s="5">
        <v>3</v>
      </c>
      <c r="B339" s="32">
        <f>IF(ISNUMBER(SEARCH('Φόρμα Εισαγωγής'!$B$2,C339)),MAX($B$1:B338)+1,0)</f>
        <v>338</v>
      </c>
      <c r="C339" s="7" t="s">
        <v>241</v>
      </c>
      <c r="D339" s="33">
        <f>IF(ISNUMBER(SEARCH('Φόρμα Εισαγωγής'!$C$2,E339)),MAX($D$1:D338)+1,0)</f>
        <v>338</v>
      </c>
      <c r="E339" s="17" t="s">
        <v>193</v>
      </c>
      <c r="F339" s="5">
        <v>1.1000000000000001</v>
      </c>
      <c r="G339" s="5">
        <v>1.5</v>
      </c>
      <c r="H339" s="6">
        <f t="shared" si="24"/>
        <v>1.8599999999999999</v>
      </c>
      <c r="I339" s="6">
        <f t="shared" si="25"/>
        <v>3.3000000000000003</v>
      </c>
      <c r="J339" s="6">
        <f t="shared" si="26"/>
        <v>5.58</v>
      </c>
      <c r="L339" s="4" t="str">
        <f>IFERROR(VLOOKUP(ROWS($L$2:L339),$B$2:$C$1996,2,0),"")</f>
        <v xml:space="preserve">ΕΚΕΝΤΡΟ ΛΑΣΤΙΧΟ </v>
      </c>
      <c r="N339" s="2" t="str">
        <f>IFERROR(VLOOKUP(ROWS($N$2:N339),$D$2:$E$1996,2,0),"")</f>
        <v>Φ100</v>
      </c>
    </row>
    <row r="340" spans="1:14">
      <c r="A340" s="5">
        <v>3</v>
      </c>
      <c r="B340" s="32">
        <f>IF(ISNUMBER(SEARCH('Φόρμα Εισαγωγής'!$B$2,C340)),MAX($B$1:B339)+1,0)</f>
        <v>339</v>
      </c>
      <c r="C340" s="7" t="s">
        <v>922</v>
      </c>
      <c r="D340" s="33">
        <f>IF(ISNUMBER(SEARCH('Φόρμα Εισαγωγής'!$C$2,E340)),MAX($D$1:D339)+1,0)</f>
        <v>339</v>
      </c>
      <c r="E340" s="17" t="s">
        <v>193</v>
      </c>
      <c r="F340" s="5">
        <v>3.8</v>
      </c>
      <c r="G340" s="5">
        <v>5.32</v>
      </c>
      <c r="H340" s="6">
        <f t="shared" si="24"/>
        <v>6.5968</v>
      </c>
      <c r="I340" s="6">
        <f t="shared" si="25"/>
        <v>11.399999999999999</v>
      </c>
      <c r="J340" s="6">
        <f t="shared" si="26"/>
        <v>19.790399999999998</v>
      </c>
      <c r="L340" s="4" t="str">
        <f>IFERROR(VLOOKUP(ROWS($L$2:L340),$B$2:$C$1996,2,0),"")</f>
        <v>ΕΞΟΔΟΣ ΠΛ ΕΚ  ALCAPLAST</v>
      </c>
      <c r="N340" s="2" t="str">
        <f>IFERROR(VLOOKUP(ROWS($N$2:N340),$D$2:$E$1996,2,0),"")</f>
        <v>Φ100</v>
      </c>
    </row>
    <row r="341" spans="1:14">
      <c r="A341" s="5">
        <v>2</v>
      </c>
      <c r="B341" s="32">
        <f>IF(ISNUMBER(SEARCH('Φόρμα Εισαγωγής'!$B$2,C341)),MAX($B$1:B340)+1,0)</f>
        <v>340</v>
      </c>
      <c r="C341" s="7" t="s">
        <v>923</v>
      </c>
      <c r="D341" s="33">
        <f>IF(ISNUMBER(SEARCH('Φόρμα Εισαγωγής'!$C$2,E341)),MAX($D$1:D340)+1,0)</f>
        <v>340</v>
      </c>
      <c r="E341" s="17" t="s">
        <v>192</v>
      </c>
      <c r="F341" s="5">
        <v>1.1000000000000001</v>
      </c>
      <c r="G341" s="5">
        <v>1.55</v>
      </c>
      <c r="H341" s="6">
        <f t="shared" si="24"/>
        <v>1.9220000000000002</v>
      </c>
      <c r="I341" s="6">
        <f t="shared" si="25"/>
        <v>2.2000000000000002</v>
      </c>
      <c r="J341" s="6">
        <f t="shared" si="26"/>
        <v>3.8440000000000003</v>
      </c>
      <c r="L341" s="4" t="str">
        <f>IFERROR(VLOOKUP(ROWS($L$2:L341),$B$2:$C$1996,2,0),"")</f>
        <v>ΤΑΠΑ ΚΑΝΑΛΙ ALCAPLAST</v>
      </c>
      <c r="N341" s="2" t="str">
        <f>IFERROR(VLOOKUP(ROWS($N$2:N341),$D$2:$E$1996,2,0),"")</f>
        <v>Φ75</v>
      </c>
    </row>
    <row r="342" spans="1:14">
      <c r="A342" s="5">
        <v>2</v>
      </c>
      <c r="B342" s="32">
        <f>IF(ISNUMBER(SEARCH('Φόρμα Εισαγωγής'!$B$2,C342)),MAX($B$1:B341)+1,0)</f>
        <v>341</v>
      </c>
      <c r="C342" s="7" t="s">
        <v>242</v>
      </c>
      <c r="D342" s="33">
        <f>IF(ISNUMBER(SEARCH('Φόρμα Εισαγωγής'!$C$2,E342)),MAX($D$1:D341)+1,0)</f>
        <v>341</v>
      </c>
      <c r="E342" s="17" t="s">
        <v>243</v>
      </c>
      <c r="F342" s="5">
        <v>3.5</v>
      </c>
      <c r="G342" s="5">
        <v>5</v>
      </c>
      <c r="H342" s="6">
        <f t="shared" si="24"/>
        <v>6.2</v>
      </c>
      <c r="I342" s="6">
        <f t="shared" si="25"/>
        <v>7</v>
      </c>
      <c r="J342" s="6">
        <f t="shared" si="26"/>
        <v>12.4</v>
      </c>
      <c r="L342" s="4" t="str">
        <f>IFERROR(VLOOKUP(ROWS($L$2:L342),$B$2:$C$1996,2,0),"")</f>
        <v>ΣΠΙΡΑΛ ΛΕΚΑΝΗΣ</v>
      </c>
      <c r="N342" s="2" t="str">
        <f>IFERROR(VLOOKUP(ROWS($N$2:N342),$D$2:$E$1996,2,0),"")</f>
        <v xml:space="preserve">Φ100 </v>
      </c>
    </row>
    <row r="343" spans="1:14">
      <c r="A343" s="5">
        <v>2</v>
      </c>
      <c r="B343" s="32">
        <f>IF(ISNUMBER(SEARCH('Φόρμα Εισαγωγής'!$B$2,C343)),MAX($B$1:B342)+1,0)</f>
        <v>342</v>
      </c>
      <c r="C343" s="7" t="s">
        <v>244</v>
      </c>
      <c r="D343" s="33">
        <f>IF(ISNUMBER(SEARCH('Φόρμα Εισαγωγής'!$C$2,E343)),MAX($D$1:D342)+1,0)</f>
        <v>342</v>
      </c>
      <c r="E343" s="17" t="s">
        <v>193</v>
      </c>
      <c r="F343" s="5">
        <v>8</v>
      </c>
      <c r="G343" s="5">
        <v>10</v>
      </c>
      <c r="H343" s="6">
        <f t="shared" si="24"/>
        <v>12.4</v>
      </c>
      <c r="I343" s="6">
        <f t="shared" si="25"/>
        <v>16</v>
      </c>
      <c r="J343" s="6">
        <f t="shared" si="26"/>
        <v>24.8</v>
      </c>
      <c r="L343" s="4" t="str">
        <f>IFERROR(VLOOKUP(ROWS($L$2:L343),$B$2:$C$1996,2,0),"")</f>
        <v xml:space="preserve">ΓΩΝΙΑ ΛΕΚΑΝΗΣ ΝΙΚΟΛ </v>
      </c>
      <c r="N343" s="2" t="str">
        <f>IFERROR(VLOOKUP(ROWS($N$2:N343),$D$2:$E$1996,2,0),"")</f>
        <v>Φ100</v>
      </c>
    </row>
    <row r="344" spans="1:14">
      <c r="A344" s="5">
        <v>3</v>
      </c>
      <c r="B344" s="32">
        <f>IF(ISNUMBER(SEARCH('Φόρμα Εισαγωγής'!$B$2,C344)),MAX($B$1:B343)+1,0)</f>
        <v>343</v>
      </c>
      <c r="C344" s="7" t="s">
        <v>925</v>
      </c>
      <c r="D344" s="33">
        <f>IF(ISNUMBER(SEARCH('Φόρμα Εισαγωγής'!$C$2,E344)),MAX($D$1:D343)+1,0)</f>
        <v>343</v>
      </c>
      <c r="E344" s="17" t="s">
        <v>926</v>
      </c>
      <c r="F344" s="5">
        <v>1.3</v>
      </c>
      <c r="G344" s="5">
        <v>1.9</v>
      </c>
      <c r="H344" s="6">
        <f t="shared" si="24"/>
        <v>2.3559999999999999</v>
      </c>
      <c r="I344" s="6">
        <f t="shared" si="25"/>
        <v>3.9000000000000004</v>
      </c>
      <c r="J344" s="6">
        <f t="shared" si="26"/>
        <v>7.0679999999999996</v>
      </c>
      <c r="L344" s="4" t="str">
        <f>IFERROR(VLOOKUP(ROWS($L$2:L344),$B$2:$C$1996,2,0),"")</f>
        <v xml:space="preserve">ΠΕΡΣΙΔΑ ΣΥΣΤΟΛΙΚΗ </v>
      </c>
      <c r="N344" s="2" t="str">
        <f>IFERROR(VLOOKUP(ROWS($N$2:N344),$D$2:$E$1996,2,0),"")</f>
        <v>Φ125-100</v>
      </c>
    </row>
    <row r="345" spans="1:14">
      <c r="A345" s="5">
        <v>1</v>
      </c>
      <c r="B345" s="32">
        <f>IF(ISNUMBER(SEARCH('Φόρμα Εισαγωγής'!$B$2,C345)),MAX($B$1:B344)+1,0)</f>
        <v>344</v>
      </c>
      <c r="C345" s="7" t="s">
        <v>924</v>
      </c>
      <c r="D345" s="33">
        <f>IF(ISNUMBER(SEARCH('Φόρμα Εισαγωγής'!$C$2,E345)),MAX($D$1:D344)+1,0)</f>
        <v>344</v>
      </c>
      <c r="E345" s="17" t="s">
        <v>195</v>
      </c>
      <c r="F345" s="5">
        <v>1.4</v>
      </c>
      <c r="G345" s="5">
        <v>2</v>
      </c>
      <c r="H345" s="6">
        <f t="shared" si="24"/>
        <v>2.48</v>
      </c>
      <c r="I345" s="6">
        <f t="shared" si="25"/>
        <v>1.4</v>
      </c>
      <c r="J345" s="6">
        <f t="shared" si="26"/>
        <v>2.48</v>
      </c>
      <c r="L345" s="4" t="str">
        <f>IFERROR(VLOOKUP(ROWS($L$2:L345),$B$2:$C$1996,2,0),"")</f>
        <v>ΠΕΡΣΙΔΑ ΕΞΑΕΡΣΙΜΟΥ  ΣΤΡΟΓ ΠΛ</v>
      </c>
      <c r="N345" s="2" t="str">
        <f>IFERROR(VLOOKUP(ROWS($N$2:N345),$D$2:$E$1996,2,0),"")</f>
        <v>Φ140</v>
      </c>
    </row>
    <row r="346" spans="1:14">
      <c r="A346" s="5">
        <v>2</v>
      </c>
      <c r="B346" s="32">
        <f>IF(ISNUMBER(SEARCH('Φόρμα Εισαγωγής'!$B$2,C346)),MAX($B$1:B345)+1,0)</f>
        <v>345</v>
      </c>
      <c r="C346" s="7" t="s">
        <v>245</v>
      </c>
      <c r="D346" s="33">
        <f>IF(ISNUMBER(SEARCH('Φόρμα Εισαγωγής'!$C$2,E346)),MAX($D$1:D345)+1,0)</f>
        <v>345</v>
      </c>
      <c r="E346" s="17" t="s">
        <v>246</v>
      </c>
      <c r="F346" s="5">
        <v>3.6</v>
      </c>
      <c r="G346" s="5">
        <v>5.0999999999999996</v>
      </c>
      <c r="H346" s="6">
        <f t="shared" si="24"/>
        <v>6.3239999999999998</v>
      </c>
      <c r="I346" s="6">
        <f t="shared" si="25"/>
        <v>7.2</v>
      </c>
      <c r="J346" s="6">
        <f t="shared" si="26"/>
        <v>12.648</v>
      </c>
      <c r="L346" s="4" t="str">
        <f>IFERROR(VLOOKUP(ROWS($L$2:L346),$B$2:$C$1996,2,0),"")</f>
        <v>ΠΕΡΣΙΔΑ ΕΞΑΕΡΣΙΜΟΥ ΜΕΤΑΛΛΙΚΗ</v>
      </c>
      <c r="N346" s="2" t="str">
        <f>IFERROR(VLOOKUP(ROWS($N$2:N346),$D$2:$E$1996,2,0),"")</f>
        <v>14 Χ 14</v>
      </c>
    </row>
    <row r="347" spans="1:14">
      <c r="A347" s="5">
        <v>2</v>
      </c>
      <c r="B347" s="32">
        <f>IF(ISNUMBER(SEARCH('Φόρμα Εισαγωγής'!$B$2,C347)),MAX($B$1:B346)+1,0)</f>
        <v>346</v>
      </c>
      <c r="C347" s="7" t="s">
        <v>247</v>
      </c>
      <c r="D347" s="33">
        <f>IF(ISNUMBER(SEARCH('Φόρμα Εισαγωγής'!$C$2,E347)),MAX($D$1:D346)+1,0)</f>
        <v>346</v>
      </c>
      <c r="E347" s="17" t="s">
        <v>248</v>
      </c>
      <c r="F347" s="5">
        <v>3.75</v>
      </c>
      <c r="G347" s="5">
        <v>5.3</v>
      </c>
      <c r="H347" s="6">
        <f t="shared" si="24"/>
        <v>6.5720000000000001</v>
      </c>
      <c r="I347" s="6">
        <f t="shared" si="25"/>
        <v>7.5</v>
      </c>
      <c r="J347" s="6">
        <f t="shared" si="26"/>
        <v>13.144</v>
      </c>
      <c r="L347" s="4" t="str">
        <f>IFERROR(VLOOKUP(ROWS($L$2:L347),$B$2:$C$1996,2,0),"")</f>
        <v xml:space="preserve">ΣΧΑΡΑ ΣΙΦΩΝΙΟΥ </v>
      </c>
      <c r="N347" s="2" t="str">
        <f>IFERROR(VLOOKUP(ROWS($N$2:N347),$D$2:$E$1996,2,0),"")</f>
        <v>VALSIR</v>
      </c>
    </row>
    <row r="348" spans="1:14">
      <c r="A348" s="5">
        <v>5</v>
      </c>
      <c r="B348" s="32">
        <f>IF(ISNUMBER(SEARCH('Φόρμα Εισαγωγής'!$B$2,C348)),MAX($B$1:B347)+1,0)</f>
        <v>347</v>
      </c>
      <c r="C348" s="7" t="s">
        <v>249</v>
      </c>
      <c r="D348" s="33">
        <f>IF(ISNUMBER(SEARCH('Φόρμα Εισαγωγής'!$C$2,E348)),MAX($D$1:D347)+1,0)</f>
        <v>347</v>
      </c>
      <c r="E348" s="17" t="s">
        <v>250</v>
      </c>
      <c r="F348" s="5">
        <v>2.4500000000000002</v>
      </c>
      <c r="G348" s="5">
        <v>3.45</v>
      </c>
      <c r="H348" s="6">
        <f t="shared" si="24"/>
        <v>4.2780000000000005</v>
      </c>
      <c r="I348" s="6">
        <f t="shared" si="25"/>
        <v>12.25</v>
      </c>
      <c r="J348" s="6">
        <f t="shared" si="26"/>
        <v>21.39</v>
      </c>
      <c r="L348" s="4" t="str">
        <f>IFERROR(VLOOKUP(ROWS($L$2:L348),$B$2:$C$1996,2,0),"")</f>
        <v>ΜΑΣΤΟΣ ΟΡΕΙΧΑΛΚΟΥ</v>
      </c>
      <c r="N348" s="2" t="str">
        <f>IFERROR(VLOOKUP(ROWS($N$2:N348),$D$2:$E$1996,2,0),"")</f>
        <v>ΘΗΛ. Φ35 Χ 1 1/4''</v>
      </c>
    </row>
    <row r="349" spans="1:14">
      <c r="A349" s="5">
        <v>5</v>
      </c>
      <c r="B349" s="32">
        <f>IF(ISNUMBER(SEARCH('Φόρμα Εισαγωγής'!$B$2,C349)),MAX($B$1:B348)+1,0)</f>
        <v>348</v>
      </c>
      <c r="C349" s="7" t="s">
        <v>249</v>
      </c>
      <c r="D349" s="33">
        <f>IF(ISNUMBER(SEARCH('Φόρμα Εισαγωγής'!$C$2,E349)),MAX($D$1:D348)+1,0)</f>
        <v>348</v>
      </c>
      <c r="E349" s="17" t="s">
        <v>251</v>
      </c>
      <c r="F349" s="5">
        <v>2.1</v>
      </c>
      <c r="G349" s="5">
        <v>2.9</v>
      </c>
      <c r="H349" s="6">
        <f t="shared" si="24"/>
        <v>3.5960000000000001</v>
      </c>
      <c r="I349" s="6">
        <f t="shared" si="25"/>
        <v>10.5</v>
      </c>
      <c r="J349" s="6">
        <f t="shared" si="26"/>
        <v>17.98</v>
      </c>
      <c r="L349" s="4" t="str">
        <f>IFERROR(VLOOKUP(ROWS($L$2:L349),$B$2:$C$1996,2,0),"")</f>
        <v>ΜΑΣΤΟΣ ΟΡΕΙΧΑΛΚΟΥ</v>
      </c>
      <c r="N349" s="2" t="str">
        <f>IFERROR(VLOOKUP(ROWS($N$2:N349),$D$2:$E$1996,2,0),"")</f>
        <v>ΑΡΣ. Φ35 Χ 1 1/4''</v>
      </c>
    </row>
    <row r="350" spans="1:14">
      <c r="A350" s="5">
        <v>18</v>
      </c>
      <c r="B350" s="32">
        <f>IF(ISNUMBER(SEARCH('Φόρμα Εισαγωγής'!$B$2,C350)),MAX($B$1:B349)+1,0)</f>
        <v>349</v>
      </c>
      <c r="C350" s="7" t="s">
        <v>249</v>
      </c>
      <c r="D350" s="33">
        <f>IF(ISNUMBER(SEARCH('Φόρμα Εισαγωγής'!$C$2,E350)),MAX($D$1:D349)+1,0)</f>
        <v>349</v>
      </c>
      <c r="E350" s="17" t="s">
        <v>252</v>
      </c>
      <c r="F350" s="5">
        <v>1.46</v>
      </c>
      <c r="G350" s="5">
        <v>2.1</v>
      </c>
      <c r="H350" s="6">
        <f t="shared" si="24"/>
        <v>2.6040000000000001</v>
      </c>
      <c r="I350" s="6">
        <f t="shared" si="25"/>
        <v>26.28</v>
      </c>
      <c r="J350" s="6">
        <f t="shared" si="26"/>
        <v>46.872</v>
      </c>
      <c r="L350" s="4" t="str">
        <f>IFERROR(VLOOKUP(ROWS($L$2:L350),$B$2:$C$1996,2,0),"")</f>
        <v>ΜΑΣΤΟΣ ΟΡΕΙΧΑΛΚΟΥ</v>
      </c>
      <c r="N350" s="2" t="str">
        <f>IFERROR(VLOOKUP(ROWS($N$2:N350),$D$2:$E$1996,2,0),"")</f>
        <v>ΘΗΛ. Φ28 Χ 1''</v>
      </c>
    </row>
    <row r="351" spans="1:14">
      <c r="A351" s="5">
        <v>2</v>
      </c>
      <c r="B351" s="32">
        <f>IF(ISNUMBER(SEARCH('Φόρμα Εισαγωγής'!$B$2,C351)),MAX($B$1:B350)+1,0)</f>
        <v>350</v>
      </c>
      <c r="C351" s="7" t="s">
        <v>249</v>
      </c>
      <c r="D351" s="33">
        <f>IF(ISNUMBER(SEARCH('Φόρμα Εισαγωγής'!$C$2,E351)),MAX($D$1:D350)+1,0)</f>
        <v>350</v>
      </c>
      <c r="E351" s="17" t="s">
        <v>253</v>
      </c>
      <c r="F351" s="5">
        <v>1.75</v>
      </c>
      <c r="G351" s="5">
        <v>2.4500000000000002</v>
      </c>
      <c r="H351" s="6">
        <f t="shared" si="24"/>
        <v>3.0380000000000003</v>
      </c>
      <c r="I351" s="6">
        <f t="shared" si="25"/>
        <v>3.5</v>
      </c>
      <c r="J351" s="6">
        <f t="shared" si="26"/>
        <v>6.0760000000000005</v>
      </c>
      <c r="L351" s="4" t="str">
        <f>IFERROR(VLOOKUP(ROWS($L$2:L351),$B$2:$C$1996,2,0),"")</f>
        <v>ΜΑΣΤΟΣ ΟΡΕΙΧΑΛΚΟΥ</v>
      </c>
      <c r="N351" s="2" t="str">
        <f>IFERROR(VLOOKUP(ROWS($N$2:N351),$D$2:$E$1996,2,0),"")</f>
        <v>ΑΡΣ. Φ28 Χ 1''</v>
      </c>
    </row>
    <row r="352" spans="1:14">
      <c r="A352" s="5">
        <v>2</v>
      </c>
      <c r="B352" s="32">
        <f>IF(ISNUMBER(SEARCH('Φόρμα Εισαγωγής'!$B$2,C352)),MAX($B$1:B351)+1,0)</f>
        <v>351</v>
      </c>
      <c r="C352" s="7" t="s">
        <v>249</v>
      </c>
      <c r="D352" s="33">
        <f>IF(ISNUMBER(SEARCH('Φόρμα Εισαγωγής'!$C$2,E352)),MAX($D$1:D351)+1,0)</f>
        <v>351</v>
      </c>
      <c r="E352" s="17" t="s">
        <v>254</v>
      </c>
      <c r="F352" s="5">
        <v>0.93</v>
      </c>
      <c r="G352" s="5">
        <v>1.3</v>
      </c>
      <c r="H352" s="6">
        <f t="shared" si="24"/>
        <v>1.6120000000000001</v>
      </c>
      <c r="I352" s="6">
        <f t="shared" si="25"/>
        <v>1.86</v>
      </c>
      <c r="J352" s="6">
        <f t="shared" si="26"/>
        <v>3.2240000000000002</v>
      </c>
      <c r="L352" s="4" t="str">
        <f>IFERROR(VLOOKUP(ROWS($L$2:L352),$B$2:$C$1996,2,0),"")</f>
        <v>ΜΑΣΤΟΣ ΟΡΕΙΧΑΛΚΟΥ</v>
      </c>
      <c r="N352" s="2" t="str">
        <f>IFERROR(VLOOKUP(ROWS($N$2:N352),$D$2:$E$1996,2,0),"")</f>
        <v>ΑΡΣ. Φ15 Χ 3/4</v>
      </c>
    </row>
    <row r="353" spans="1:14">
      <c r="A353" s="5">
        <v>1</v>
      </c>
      <c r="B353" s="32">
        <f>IF(ISNUMBER(SEARCH('Φόρμα Εισαγωγής'!$B$2,C353)),MAX($B$1:B352)+1,0)</f>
        <v>352</v>
      </c>
      <c r="C353" s="7" t="s">
        <v>249</v>
      </c>
      <c r="D353" s="33">
        <f>IF(ISNUMBER(SEARCH('Φόρμα Εισαγωγής'!$C$2,E353)),MAX($D$1:D352)+1,0)</f>
        <v>352</v>
      </c>
      <c r="E353" s="17" t="s">
        <v>255</v>
      </c>
      <c r="F353" s="5">
        <v>1.53</v>
      </c>
      <c r="G353" s="5">
        <v>2.2000000000000002</v>
      </c>
      <c r="H353" s="6">
        <f t="shared" si="24"/>
        <v>2.7280000000000002</v>
      </c>
      <c r="I353" s="6">
        <f t="shared" si="25"/>
        <v>1.53</v>
      </c>
      <c r="J353" s="6">
        <f t="shared" si="26"/>
        <v>2.7280000000000002</v>
      </c>
      <c r="L353" s="4" t="str">
        <f>IFERROR(VLOOKUP(ROWS($L$2:L353),$B$2:$C$1996,2,0),"")</f>
        <v>ΜΑΣΤΟΣ ΟΡΕΙΧΑΛΚΟΥ</v>
      </c>
      <c r="N353" s="2" t="str">
        <f>IFERROR(VLOOKUP(ROWS($N$2:N353),$D$2:$E$1996,2,0),"")</f>
        <v>ΑΡΣ. Φ22 Χ 1/2</v>
      </c>
    </row>
    <row r="354" spans="1:14">
      <c r="A354" s="5">
        <v>40</v>
      </c>
      <c r="B354" s="32">
        <f>IF(ISNUMBER(SEARCH('Φόρμα Εισαγωγής'!$B$2,C354)),MAX($B$1:B353)+1,0)</f>
        <v>353</v>
      </c>
      <c r="C354" s="7" t="s">
        <v>249</v>
      </c>
      <c r="D354" s="33">
        <f>IF(ISNUMBER(SEARCH('Φόρμα Εισαγωγής'!$C$2,E354)),MAX($D$1:D353)+1,0)</f>
        <v>353</v>
      </c>
      <c r="E354" s="17" t="s">
        <v>256</v>
      </c>
      <c r="F354" s="5">
        <v>0.77</v>
      </c>
      <c r="G354" s="5">
        <v>1.1000000000000001</v>
      </c>
      <c r="H354" s="6">
        <f t="shared" si="24"/>
        <v>1.3640000000000001</v>
      </c>
      <c r="I354" s="6">
        <f t="shared" si="25"/>
        <v>30.8</v>
      </c>
      <c r="J354" s="6">
        <f t="shared" si="26"/>
        <v>54.56</v>
      </c>
      <c r="L354" s="4" t="str">
        <f>IFERROR(VLOOKUP(ROWS($L$2:L354),$B$2:$C$1996,2,0),"")</f>
        <v>ΜΑΣΤΟΣ ΟΡΕΙΧΑΛΚΟΥ</v>
      </c>
      <c r="N354" s="2" t="str">
        <f>IFERROR(VLOOKUP(ROWS($N$2:N354),$D$2:$E$1996,2,0),"")</f>
        <v>ΘΗΛ. Φ15 Χ 1/2</v>
      </c>
    </row>
    <row r="355" spans="1:14">
      <c r="A355" s="5">
        <v>14</v>
      </c>
      <c r="B355" s="32">
        <f>IF(ISNUMBER(SEARCH('Φόρμα Εισαγωγής'!$B$2,C355)),MAX($B$1:B354)+1,0)</f>
        <v>354</v>
      </c>
      <c r="C355" s="7" t="s">
        <v>249</v>
      </c>
      <c r="D355" s="33">
        <f>IF(ISNUMBER(SEARCH('Φόρμα Εισαγωγής'!$C$2,E355)),MAX($D$1:D354)+1,0)</f>
        <v>354</v>
      </c>
      <c r="E355" s="17" t="s">
        <v>257</v>
      </c>
      <c r="F355" s="5">
        <v>0.66</v>
      </c>
      <c r="G355" s="5">
        <v>0.93</v>
      </c>
      <c r="H355" s="6">
        <f t="shared" si="24"/>
        <v>1.1532</v>
      </c>
      <c r="I355" s="6">
        <f t="shared" si="25"/>
        <v>9.24</v>
      </c>
      <c r="J355" s="6">
        <f t="shared" si="26"/>
        <v>16.1448</v>
      </c>
      <c r="L355" s="4" t="str">
        <f>IFERROR(VLOOKUP(ROWS($L$2:L355),$B$2:$C$1996,2,0),"")</f>
        <v>ΜΑΣΤΟΣ ΟΡΕΙΧΑΛΚΟΥ</v>
      </c>
      <c r="N355" s="2" t="str">
        <f>IFERROR(VLOOKUP(ROWS($N$2:N355),$D$2:$E$1996,2,0),"")</f>
        <v>ΑΡΣ. Φ15 Χ 1/2</v>
      </c>
    </row>
    <row r="356" spans="1:14">
      <c r="A356" s="5">
        <v>10</v>
      </c>
      <c r="B356" s="32">
        <f>IF(ISNUMBER(SEARCH('Φόρμα Εισαγωγής'!$B$2,C356)),MAX($B$1:B355)+1,0)</f>
        <v>355</v>
      </c>
      <c r="C356" s="7" t="s">
        <v>249</v>
      </c>
      <c r="D356" s="33">
        <f>IF(ISNUMBER(SEARCH('Φόρμα Εισαγωγής'!$C$2,E356)),MAX($D$1:D355)+1,0)</f>
        <v>355</v>
      </c>
      <c r="E356" s="17" t="s">
        <v>258</v>
      </c>
      <c r="F356" s="5">
        <v>0.52</v>
      </c>
      <c r="G356" s="5">
        <v>0.75</v>
      </c>
      <c r="H356" s="6">
        <f t="shared" si="24"/>
        <v>0.92999999999999994</v>
      </c>
      <c r="I356" s="6">
        <f t="shared" si="25"/>
        <v>5.2</v>
      </c>
      <c r="J356" s="6">
        <f t="shared" si="26"/>
        <v>9.2999999999999989</v>
      </c>
      <c r="L356" s="4" t="str">
        <f>IFERROR(VLOOKUP(ROWS($L$2:L356),$B$2:$C$1996,2,0),"")</f>
        <v>ΜΑΣΤΟΣ ΟΡΕΙΧΑΛΚΟΥ</v>
      </c>
      <c r="N356" s="2" t="str">
        <f>IFERROR(VLOOKUP(ROWS($N$2:N356),$D$2:$E$1996,2,0),"")</f>
        <v>ΘΗΛ. Φ18 Χ 1/2</v>
      </c>
    </row>
    <row r="357" spans="1:14">
      <c r="A357" s="5">
        <v>14</v>
      </c>
      <c r="B357" s="32">
        <f>IF(ISNUMBER(SEARCH('Φόρμα Εισαγωγής'!$B$2,C357)),MAX($B$1:B356)+1,0)</f>
        <v>356</v>
      </c>
      <c r="C357" s="7" t="s">
        <v>249</v>
      </c>
      <c r="D357" s="33">
        <f>IF(ISNUMBER(SEARCH('Φόρμα Εισαγωγής'!$C$2,E357)),MAX($D$1:D356)+1,0)</f>
        <v>356</v>
      </c>
      <c r="E357" s="17" t="s">
        <v>259</v>
      </c>
      <c r="F357" s="5">
        <v>0.39</v>
      </c>
      <c r="G357" s="5">
        <v>0.5</v>
      </c>
      <c r="H357" s="6">
        <f t="shared" si="24"/>
        <v>0.62</v>
      </c>
      <c r="I357" s="6">
        <f t="shared" si="25"/>
        <v>5.46</v>
      </c>
      <c r="J357" s="6">
        <f t="shared" si="26"/>
        <v>8.68</v>
      </c>
      <c r="L357" s="4" t="str">
        <f>IFERROR(VLOOKUP(ROWS($L$2:L357),$B$2:$C$1996,2,0),"")</f>
        <v>ΜΑΣΤΟΣ ΟΡΕΙΧΑΛΚΟΥ</v>
      </c>
      <c r="N357" s="2" t="str">
        <f>IFERROR(VLOOKUP(ROWS($N$2:N357),$D$2:$E$1996,2,0),"")</f>
        <v>ΑΡΣ. Φ18 Χ 1/2</v>
      </c>
    </row>
    <row r="358" spans="1:14">
      <c r="A358" s="5">
        <v>10</v>
      </c>
      <c r="B358" s="32">
        <f>IF(ISNUMBER(SEARCH('Φόρμα Εισαγωγής'!$B$2,C358)),MAX($B$1:B357)+1,0)</f>
        <v>357</v>
      </c>
      <c r="C358" s="7" t="s">
        <v>249</v>
      </c>
      <c r="D358" s="33">
        <f>IF(ISNUMBER(SEARCH('Φόρμα Εισαγωγής'!$C$2,E358)),MAX($D$1:D357)+1,0)</f>
        <v>357</v>
      </c>
      <c r="E358" s="17" t="s">
        <v>260</v>
      </c>
      <c r="F358" s="5">
        <v>1.26</v>
      </c>
      <c r="G358" s="5">
        <v>1.8</v>
      </c>
      <c r="H358" s="6">
        <f t="shared" si="24"/>
        <v>2.2320000000000002</v>
      </c>
      <c r="I358" s="6">
        <f t="shared" si="25"/>
        <v>12.6</v>
      </c>
      <c r="J358" s="6">
        <f t="shared" si="26"/>
        <v>22.32</v>
      </c>
      <c r="L358" s="4" t="str">
        <f>IFERROR(VLOOKUP(ROWS($L$2:L358),$B$2:$C$1996,2,0),"")</f>
        <v>ΜΑΣΤΟΣ ΟΡΕΙΧΑΛΚΟΥ</v>
      </c>
      <c r="N358" s="2" t="str">
        <f>IFERROR(VLOOKUP(ROWS($N$2:N358),$D$2:$E$1996,2,0),"")</f>
        <v>ΘΗΛ. Φ22 Χ 3/4</v>
      </c>
    </row>
    <row r="359" spans="1:14">
      <c r="A359" s="5">
        <v>11</v>
      </c>
      <c r="B359" s="32">
        <f>IF(ISNUMBER(SEARCH('Φόρμα Εισαγωγής'!$B$2,C359)),MAX($B$1:B358)+1,0)</f>
        <v>358</v>
      </c>
      <c r="C359" s="7" t="s">
        <v>249</v>
      </c>
      <c r="D359" s="33">
        <f>IF(ISNUMBER(SEARCH('Φόρμα Εισαγωγής'!$C$2,E359)),MAX($D$1:D358)+1,0)</f>
        <v>358</v>
      </c>
      <c r="E359" s="17" t="s">
        <v>261</v>
      </c>
      <c r="F359" s="5">
        <v>0.98</v>
      </c>
      <c r="G359" s="5">
        <v>1.4</v>
      </c>
      <c r="H359" s="6">
        <f t="shared" si="24"/>
        <v>1.7359999999999998</v>
      </c>
      <c r="I359" s="6">
        <f t="shared" si="25"/>
        <v>10.78</v>
      </c>
      <c r="J359" s="6">
        <f t="shared" si="26"/>
        <v>19.095999999999997</v>
      </c>
      <c r="L359" s="4" t="str">
        <f>IFERROR(VLOOKUP(ROWS($L$2:L359),$B$2:$C$1996,2,0),"")</f>
        <v>ΜΑΣΤΟΣ ΟΡΕΙΧΑΛΚΟΥ</v>
      </c>
      <c r="N359" s="2" t="str">
        <f>IFERROR(VLOOKUP(ROWS($N$2:N359),$D$2:$E$1996,2,0),"")</f>
        <v>ΑΡΣ. Φ22 Χ 3/4</v>
      </c>
    </row>
    <row r="360" spans="1:14">
      <c r="A360" s="5">
        <v>4</v>
      </c>
      <c r="B360" s="32">
        <f>IF(ISNUMBER(SEARCH('Φόρμα Εισαγωγής'!$B$2,C360)),MAX($B$1:B359)+1,0)</f>
        <v>359</v>
      </c>
      <c r="C360" s="7" t="s">
        <v>262</v>
      </c>
      <c r="D360" s="33">
        <f>IF(ISNUMBER(SEARCH('Φόρμα Εισαγωγής'!$C$2,E360)),MAX($D$1:D359)+1,0)</f>
        <v>359</v>
      </c>
      <c r="E360" s="17" t="s">
        <v>263</v>
      </c>
      <c r="F360" s="5">
        <v>1.1499999999999999</v>
      </c>
      <c r="G360" s="5">
        <v>1.6</v>
      </c>
      <c r="H360" s="6">
        <f t="shared" si="24"/>
        <v>1.984</v>
      </c>
      <c r="I360" s="6">
        <f t="shared" si="25"/>
        <v>4.5999999999999996</v>
      </c>
      <c r="J360" s="6">
        <f t="shared" si="26"/>
        <v>7.9359999999999999</v>
      </c>
      <c r="L360" s="4" t="str">
        <f>IFERROR(VLOOKUP(ROWS($L$2:L360),$B$2:$C$1996,2,0),"")</f>
        <v>ΤΑΦ ΟΡΕΙΧΑΛΚΟΥ</v>
      </c>
      <c r="N360" s="2" t="str">
        <f>IFERROR(VLOOKUP(ROWS($N$2:N360),$D$2:$E$1996,2,0),"")</f>
        <v xml:space="preserve">Φ15 Χ 1/2 Χ Φ15 </v>
      </c>
    </row>
    <row r="361" spans="1:14">
      <c r="A361" s="5">
        <v>77</v>
      </c>
      <c r="B361" s="32">
        <f>IF(ISNUMBER(SEARCH('Φόρμα Εισαγωγής'!$B$2,C361)),MAX($B$1:B360)+1,0)</f>
        <v>360</v>
      </c>
      <c r="C361" s="7" t="s">
        <v>264</v>
      </c>
      <c r="D361" s="33">
        <f>IF(ISNUMBER(SEARCH('Φόρμα Εισαγωγής'!$C$2,E361)),MAX($D$1:D360)+1,0)</f>
        <v>360</v>
      </c>
      <c r="E361" s="17" t="s">
        <v>265</v>
      </c>
      <c r="F361" s="5">
        <v>0.23</v>
      </c>
      <c r="G361" s="5">
        <v>0.35</v>
      </c>
      <c r="H361" s="6">
        <f t="shared" si="24"/>
        <v>0.43399999999999994</v>
      </c>
      <c r="I361" s="6">
        <f t="shared" si="25"/>
        <v>17.71</v>
      </c>
      <c r="J361" s="6">
        <f t="shared" si="26"/>
        <v>33.417999999999992</v>
      </c>
      <c r="L361" s="4" t="str">
        <f>IFERROR(VLOOKUP(ROWS($L$2:L361),$B$2:$C$1996,2,0),"")</f>
        <v xml:space="preserve">ΓΩΝΙΑ ΧΑΛΚΟΥ </v>
      </c>
      <c r="N361" s="2" t="str">
        <f>IFERROR(VLOOKUP(ROWS($N$2:N361),$D$2:$E$1996,2,0),"")</f>
        <v>Θ/Θ Φ15</v>
      </c>
    </row>
    <row r="362" spans="1:14">
      <c r="A362" s="5">
        <v>63</v>
      </c>
      <c r="B362" s="32">
        <f>IF(ISNUMBER(SEARCH('Φόρμα Εισαγωγής'!$B$2,C362)),MAX($B$1:B361)+1,0)</f>
        <v>361</v>
      </c>
      <c r="C362" s="7" t="s">
        <v>264</v>
      </c>
      <c r="D362" s="33">
        <f>IF(ISNUMBER(SEARCH('Φόρμα Εισαγωγής'!$C$2,E362)),MAX($D$1:D361)+1,0)</f>
        <v>361</v>
      </c>
      <c r="E362" s="17" t="s">
        <v>266</v>
      </c>
      <c r="F362" s="5">
        <v>0.35</v>
      </c>
      <c r="G362" s="5">
        <v>0.5</v>
      </c>
      <c r="H362" s="6">
        <f t="shared" si="24"/>
        <v>0.62</v>
      </c>
      <c r="I362" s="6">
        <f t="shared" si="25"/>
        <v>22.049999999999997</v>
      </c>
      <c r="J362" s="6">
        <f t="shared" si="26"/>
        <v>39.06</v>
      </c>
      <c r="L362" s="4" t="str">
        <f>IFERROR(VLOOKUP(ROWS($L$2:L362),$B$2:$C$1996,2,0),"")</f>
        <v xml:space="preserve">ΓΩΝΙΑ ΧΑΛΚΟΥ </v>
      </c>
      <c r="N362" s="2" t="str">
        <f>IFERROR(VLOOKUP(ROWS($N$2:N362),$D$2:$E$1996,2,0),"")</f>
        <v>Θ/Θ Φ18</v>
      </c>
    </row>
    <row r="363" spans="1:14">
      <c r="A363" s="5">
        <v>18</v>
      </c>
      <c r="B363" s="32">
        <f>IF(ISNUMBER(SEARCH('Φόρμα Εισαγωγής'!$B$2,C363)),MAX($B$1:B362)+1,0)</f>
        <v>362</v>
      </c>
      <c r="C363" s="7" t="s">
        <v>264</v>
      </c>
      <c r="D363" s="33">
        <f>IF(ISNUMBER(SEARCH('Φόρμα Εισαγωγής'!$C$2,E363)),MAX($D$1:D362)+1,0)</f>
        <v>362</v>
      </c>
      <c r="E363" s="17" t="s">
        <v>267</v>
      </c>
      <c r="F363" s="5">
        <v>0.55000000000000004</v>
      </c>
      <c r="G363" s="5">
        <v>0.8</v>
      </c>
      <c r="H363" s="6">
        <f t="shared" si="24"/>
        <v>0.99199999999999999</v>
      </c>
      <c r="I363" s="6">
        <f t="shared" si="25"/>
        <v>9.9</v>
      </c>
      <c r="J363" s="6">
        <f t="shared" si="26"/>
        <v>17.856000000000002</v>
      </c>
      <c r="L363" s="4" t="str">
        <f>IFERROR(VLOOKUP(ROWS($L$2:L363),$B$2:$C$1996,2,0),"")</f>
        <v xml:space="preserve">ΓΩΝΙΑ ΧΑΛΚΟΥ </v>
      </c>
      <c r="N363" s="2" t="str">
        <f>IFERROR(VLOOKUP(ROWS($N$2:N363),$D$2:$E$1996,2,0),"")</f>
        <v>Θ/Θ Φ22</v>
      </c>
    </row>
    <row r="364" spans="1:14">
      <c r="A364" s="5">
        <v>13</v>
      </c>
      <c r="B364" s="32">
        <f>IF(ISNUMBER(SEARCH('Φόρμα Εισαγωγής'!$B$2,C364)),MAX($B$1:B363)+1,0)</f>
        <v>363</v>
      </c>
      <c r="C364" s="7" t="s">
        <v>264</v>
      </c>
      <c r="D364" s="33">
        <f>IF(ISNUMBER(SEARCH('Φόρμα Εισαγωγής'!$C$2,E364)),MAX($D$1:D363)+1,0)</f>
        <v>363</v>
      </c>
      <c r="E364" s="17" t="s">
        <v>268</v>
      </c>
      <c r="F364" s="5">
        <v>1.1000000000000001</v>
      </c>
      <c r="G364" s="5">
        <v>1.5</v>
      </c>
      <c r="H364" s="6">
        <f t="shared" si="24"/>
        <v>1.8599999999999999</v>
      </c>
      <c r="I364" s="6">
        <f t="shared" si="25"/>
        <v>14.3</v>
      </c>
      <c r="J364" s="6">
        <f t="shared" si="26"/>
        <v>24.18</v>
      </c>
      <c r="L364" s="4" t="str">
        <f>IFERROR(VLOOKUP(ROWS($L$2:L364),$B$2:$C$1996,2,0),"")</f>
        <v xml:space="preserve">ΓΩΝΙΑ ΧΑΛΚΟΥ </v>
      </c>
      <c r="N364" s="2" t="str">
        <f>IFERROR(VLOOKUP(ROWS($N$2:N364),$D$2:$E$1996,2,0),"")</f>
        <v>Θ/Θ Φ28</v>
      </c>
    </row>
    <row r="365" spans="1:14">
      <c r="A365" s="5">
        <v>0</v>
      </c>
      <c r="B365" s="32">
        <f>IF(ISNUMBER(SEARCH('Φόρμα Εισαγωγής'!$B$2,C365)),MAX($B$1:B364)+1,0)</f>
        <v>364</v>
      </c>
      <c r="C365" s="7" t="s">
        <v>264</v>
      </c>
      <c r="D365" s="33">
        <f>IF(ISNUMBER(SEARCH('Φόρμα Εισαγωγής'!$C$2,E365)),MAX($D$1:D364)+1,0)</f>
        <v>364</v>
      </c>
      <c r="E365" s="17" t="s">
        <v>269</v>
      </c>
      <c r="F365" s="5">
        <v>1.75</v>
      </c>
      <c r="G365" s="5">
        <v>2.5</v>
      </c>
      <c r="H365" s="6">
        <f t="shared" si="24"/>
        <v>3.1</v>
      </c>
      <c r="I365" s="6">
        <f t="shared" si="25"/>
        <v>0</v>
      </c>
      <c r="J365" s="6">
        <f t="shared" si="26"/>
        <v>0</v>
      </c>
      <c r="L365" s="4" t="str">
        <f>IFERROR(VLOOKUP(ROWS($L$2:L365),$B$2:$C$1996,2,0),"")</f>
        <v xml:space="preserve">ΓΩΝΙΑ ΧΑΛΚΟΥ </v>
      </c>
      <c r="N365" s="2" t="str">
        <f>IFERROR(VLOOKUP(ROWS($N$2:N365),$D$2:$E$1996,2,0),"")</f>
        <v>Θ/Θ Φ35</v>
      </c>
    </row>
    <row r="366" spans="1:14">
      <c r="A366" s="5">
        <v>5</v>
      </c>
      <c r="B366" s="32">
        <f>IF(ISNUMBER(SEARCH('Φόρμα Εισαγωγής'!$B$2,C366)),MAX($B$1:B365)+1,0)</f>
        <v>365</v>
      </c>
      <c r="C366" s="7" t="s">
        <v>264</v>
      </c>
      <c r="D366" s="33">
        <f>IF(ISNUMBER(SEARCH('Φόρμα Εισαγωγής'!$C$2,E366)),MAX($D$1:D365)+1,0)</f>
        <v>365</v>
      </c>
      <c r="E366" s="17" t="s">
        <v>270</v>
      </c>
      <c r="F366" s="5">
        <v>0.23</v>
      </c>
      <c r="G366" s="5">
        <v>0.3</v>
      </c>
      <c r="H366" s="6">
        <f t="shared" si="24"/>
        <v>0.372</v>
      </c>
      <c r="I366" s="6">
        <f t="shared" si="25"/>
        <v>1.1500000000000001</v>
      </c>
      <c r="J366" s="6">
        <f t="shared" si="26"/>
        <v>1.8599999999999999</v>
      </c>
      <c r="L366" s="4" t="str">
        <f>IFERROR(VLOOKUP(ROWS($L$2:L366),$B$2:$C$1996,2,0),"")</f>
        <v xml:space="preserve">ΓΩΝΙΑ ΧΑΛΚΟΥ </v>
      </c>
      <c r="N366" s="2" t="str">
        <f>IFERROR(VLOOKUP(ROWS($N$2:N366),$D$2:$E$1996,2,0),"")</f>
        <v>Α/Θ Φ15</v>
      </c>
    </row>
    <row r="367" spans="1:14">
      <c r="A367" s="5">
        <v>14</v>
      </c>
      <c r="B367" s="32">
        <f>IF(ISNUMBER(SEARCH('Φόρμα Εισαγωγής'!$B$2,C367)),MAX($B$1:B366)+1,0)</f>
        <v>366</v>
      </c>
      <c r="C367" s="7" t="s">
        <v>264</v>
      </c>
      <c r="D367" s="33">
        <f>IF(ISNUMBER(SEARCH('Φόρμα Εισαγωγής'!$C$2,E367)),MAX($D$1:D366)+1,0)</f>
        <v>366</v>
      </c>
      <c r="E367" s="17" t="s">
        <v>271</v>
      </c>
      <c r="F367" s="5">
        <v>0.35</v>
      </c>
      <c r="G367" s="5">
        <v>0.5</v>
      </c>
      <c r="H367" s="6">
        <f t="shared" si="24"/>
        <v>0.62</v>
      </c>
      <c r="I367" s="6">
        <f t="shared" si="25"/>
        <v>4.8999999999999995</v>
      </c>
      <c r="J367" s="6">
        <f t="shared" si="26"/>
        <v>8.68</v>
      </c>
      <c r="L367" s="4" t="str">
        <f>IFERROR(VLOOKUP(ROWS($L$2:L367),$B$2:$C$1996,2,0),"")</f>
        <v xml:space="preserve">ΓΩΝΙΑ ΧΑΛΚΟΥ </v>
      </c>
      <c r="N367" s="2" t="str">
        <f>IFERROR(VLOOKUP(ROWS($N$2:N367),$D$2:$E$1996,2,0),"")</f>
        <v>Α/Θ Φ18</v>
      </c>
    </row>
    <row r="368" spans="1:14">
      <c r="A368" s="5">
        <v>7</v>
      </c>
      <c r="B368" s="32">
        <f>IF(ISNUMBER(SEARCH('Φόρμα Εισαγωγής'!$B$2,C368)),MAX($B$1:B367)+1,0)</f>
        <v>367</v>
      </c>
      <c r="C368" s="7" t="s">
        <v>264</v>
      </c>
      <c r="D368" s="33">
        <f>IF(ISNUMBER(SEARCH('Φόρμα Εισαγωγής'!$C$2,E368)),MAX($D$1:D367)+1,0)</f>
        <v>367</v>
      </c>
      <c r="E368" s="17" t="s">
        <v>272</v>
      </c>
      <c r="F368" s="5">
        <v>0.57999999999999996</v>
      </c>
      <c r="G368" s="5">
        <v>0.8</v>
      </c>
      <c r="H368" s="6">
        <f t="shared" si="24"/>
        <v>0.99199999999999999</v>
      </c>
      <c r="I368" s="6">
        <f t="shared" si="25"/>
        <v>4.0599999999999996</v>
      </c>
      <c r="J368" s="6">
        <f t="shared" si="26"/>
        <v>6.944</v>
      </c>
      <c r="L368" s="4" t="str">
        <f>IFERROR(VLOOKUP(ROWS($L$2:L368),$B$2:$C$1996,2,0),"")</f>
        <v xml:space="preserve">ΓΩΝΙΑ ΧΑΛΚΟΥ </v>
      </c>
      <c r="N368" s="2" t="str">
        <f>IFERROR(VLOOKUP(ROWS($N$2:N368),$D$2:$E$1996,2,0),"")</f>
        <v>Α/Θ Φ22</v>
      </c>
    </row>
    <row r="369" spans="1:14">
      <c r="A369" s="5">
        <v>8</v>
      </c>
      <c r="B369" s="32">
        <f>IF(ISNUMBER(SEARCH('Φόρμα Εισαγωγής'!$B$2,C369)),MAX($B$1:B368)+1,0)</f>
        <v>368</v>
      </c>
      <c r="C369" s="7" t="s">
        <v>264</v>
      </c>
      <c r="D369" s="33">
        <f>IF(ISNUMBER(SEARCH('Φόρμα Εισαγωγής'!$C$2,E369)),MAX($D$1:D368)+1,0)</f>
        <v>368</v>
      </c>
      <c r="E369" s="17" t="s">
        <v>273</v>
      </c>
      <c r="F369" s="5">
        <v>1.1000000000000001</v>
      </c>
      <c r="G369" s="5">
        <v>1.5</v>
      </c>
      <c r="H369" s="6">
        <f t="shared" si="24"/>
        <v>1.8599999999999999</v>
      </c>
      <c r="I369" s="6">
        <f t="shared" si="25"/>
        <v>8.8000000000000007</v>
      </c>
      <c r="J369" s="6">
        <f t="shared" si="26"/>
        <v>14.879999999999999</v>
      </c>
      <c r="L369" s="4" t="str">
        <f>IFERROR(VLOOKUP(ROWS($L$2:L369),$B$2:$C$1996,2,0),"")</f>
        <v xml:space="preserve">ΓΩΝΙΑ ΧΑΛΚΟΥ </v>
      </c>
      <c r="N369" s="2" t="str">
        <f>IFERROR(VLOOKUP(ROWS($N$2:N369),$D$2:$E$1996,2,0),"")</f>
        <v>Α/Θ Φ28</v>
      </c>
    </row>
    <row r="370" spans="1:14">
      <c r="A370" s="5">
        <v>0</v>
      </c>
      <c r="B370" s="32">
        <f>IF(ISNUMBER(SEARCH('Φόρμα Εισαγωγής'!$B$2,C370)),MAX($B$1:B369)+1,0)</f>
        <v>369</v>
      </c>
      <c r="C370" s="7" t="s">
        <v>264</v>
      </c>
      <c r="D370" s="33">
        <f>IF(ISNUMBER(SEARCH('Φόρμα Εισαγωγής'!$C$2,E370)),MAX($D$1:D369)+1,0)</f>
        <v>369</v>
      </c>
      <c r="E370" s="17" t="s">
        <v>274</v>
      </c>
      <c r="F370" s="5">
        <v>2.75</v>
      </c>
      <c r="G370" s="5">
        <v>3.9</v>
      </c>
      <c r="H370" s="6">
        <f t="shared" si="24"/>
        <v>4.8360000000000003</v>
      </c>
      <c r="I370" s="6">
        <f t="shared" si="25"/>
        <v>0</v>
      </c>
      <c r="J370" s="6">
        <f t="shared" si="26"/>
        <v>0</v>
      </c>
      <c r="L370" s="4" t="str">
        <f>IFERROR(VLOOKUP(ROWS($L$2:L370),$B$2:$C$1996,2,0),"")</f>
        <v xml:space="preserve">ΓΩΝΙΑ ΧΑΛΚΟΥ </v>
      </c>
      <c r="N370" s="2" t="str">
        <f>IFERROR(VLOOKUP(ROWS($N$2:N370),$D$2:$E$1996,2,0),"")</f>
        <v>Α/Θ Φ35</v>
      </c>
    </row>
    <row r="371" spans="1:14">
      <c r="A371" s="5">
        <v>0</v>
      </c>
      <c r="B371" s="32">
        <f>IF(ISNUMBER(SEARCH('Φόρμα Εισαγωγής'!$B$2,C371)),MAX($B$1:B370)+1,0)</f>
        <v>370</v>
      </c>
      <c r="C371" s="7" t="s">
        <v>275</v>
      </c>
      <c r="D371" s="33">
        <f>IF(ISNUMBER(SEARCH('Φόρμα Εισαγωγής'!$C$2,E371)),MAX($D$1:D370)+1,0)</f>
        <v>370</v>
      </c>
      <c r="E371" s="17" t="s">
        <v>265</v>
      </c>
      <c r="F371" s="5">
        <v>0.32</v>
      </c>
      <c r="G371" s="5">
        <v>0.45</v>
      </c>
      <c r="H371" s="6">
        <f t="shared" si="24"/>
        <v>0.55800000000000005</v>
      </c>
      <c r="I371" s="6">
        <f t="shared" si="25"/>
        <v>0</v>
      </c>
      <c r="J371" s="6">
        <f t="shared" si="26"/>
        <v>0</v>
      </c>
      <c r="L371" s="4" t="str">
        <f>IFERROR(VLOOKUP(ROWS($L$2:L371),$B$2:$C$1996,2,0),"")</f>
        <v>ΚΑΜΠΥΛΗ ΧΑΛΚΟΥ</v>
      </c>
      <c r="N371" s="2" t="str">
        <f>IFERROR(VLOOKUP(ROWS($N$2:N371),$D$2:$E$1996,2,0),"")</f>
        <v>Θ/Θ Φ15</v>
      </c>
    </row>
    <row r="372" spans="1:14">
      <c r="A372" s="5">
        <v>1</v>
      </c>
      <c r="B372" s="32">
        <f>IF(ISNUMBER(SEARCH('Φόρμα Εισαγωγής'!$B$2,C372)),MAX($B$1:B371)+1,0)</f>
        <v>371</v>
      </c>
      <c r="C372" s="7" t="s">
        <v>275</v>
      </c>
      <c r="D372" s="33">
        <f>IF(ISNUMBER(SEARCH('Φόρμα Εισαγωγής'!$C$2,E372)),MAX($D$1:D371)+1,0)</f>
        <v>371</v>
      </c>
      <c r="E372" s="17" t="s">
        <v>266</v>
      </c>
      <c r="F372" s="5">
        <v>0.46</v>
      </c>
      <c r="G372" s="5">
        <v>0.65</v>
      </c>
      <c r="H372" s="6">
        <f t="shared" si="24"/>
        <v>0.80600000000000005</v>
      </c>
      <c r="I372" s="6">
        <f t="shared" si="25"/>
        <v>0.46</v>
      </c>
      <c r="J372" s="6">
        <f t="shared" si="26"/>
        <v>0.80600000000000005</v>
      </c>
      <c r="L372" s="4" t="str">
        <f>IFERROR(VLOOKUP(ROWS($L$2:L372),$B$2:$C$1996,2,0),"")</f>
        <v>ΚΑΜΠΥΛΗ ΧΑΛΚΟΥ</v>
      </c>
      <c r="N372" s="2" t="str">
        <f>IFERROR(VLOOKUP(ROWS($N$2:N372),$D$2:$E$1996,2,0),"")</f>
        <v>Θ/Θ Φ18</v>
      </c>
    </row>
    <row r="373" spans="1:14">
      <c r="A373" s="5">
        <v>6</v>
      </c>
      <c r="B373" s="32">
        <f>IF(ISNUMBER(SEARCH('Φόρμα Εισαγωγής'!$B$2,C373)),MAX($B$1:B372)+1,0)</f>
        <v>372</v>
      </c>
      <c r="C373" s="7" t="s">
        <v>275</v>
      </c>
      <c r="D373" s="33">
        <f>IF(ISNUMBER(SEARCH('Φόρμα Εισαγωγής'!$C$2,E373)),MAX($D$1:D372)+1,0)</f>
        <v>372</v>
      </c>
      <c r="E373" s="17" t="s">
        <v>267</v>
      </c>
      <c r="F373" s="5">
        <v>0.68</v>
      </c>
      <c r="G373" s="5">
        <v>0.95</v>
      </c>
      <c r="H373" s="6">
        <f t="shared" si="24"/>
        <v>1.1779999999999999</v>
      </c>
      <c r="I373" s="6">
        <f t="shared" si="25"/>
        <v>4.08</v>
      </c>
      <c r="J373" s="6">
        <f t="shared" si="26"/>
        <v>7.0679999999999996</v>
      </c>
      <c r="L373" s="4" t="str">
        <f>IFERROR(VLOOKUP(ROWS($L$2:L373),$B$2:$C$1996,2,0),"")</f>
        <v>ΚΑΜΠΥΛΗ ΧΑΛΚΟΥ</v>
      </c>
      <c r="N373" s="2" t="str">
        <f>IFERROR(VLOOKUP(ROWS($N$2:N373),$D$2:$E$1996,2,0),"")</f>
        <v>Θ/Θ Φ22</v>
      </c>
    </row>
    <row r="374" spans="1:14">
      <c r="A374" s="5">
        <v>8</v>
      </c>
      <c r="B374" s="32">
        <f>IF(ISNUMBER(SEARCH('Φόρμα Εισαγωγής'!$B$2,C374)),MAX($B$1:B373)+1,0)</f>
        <v>373</v>
      </c>
      <c r="C374" s="7" t="s">
        <v>275</v>
      </c>
      <c r="D374" s="33">
        <f>IF(ISNUMBER(SEARCH('Φόρμα Εισαγωγής'!$C$2,E374)),MAX($D$1:D373)+1,0)</f>
        <v>373</v>
      </c>
      <c r="E374" s="17" t="s">
        <v>268</v>
      </c>
      <c r="F374" s="5">
        <v>1.2</v>
      </c>
      <c r="G374" s="5">
        <v>1.7</v>
      </c>
      <c r="H374" s="6">
        <f t="shared" si="24"/>
        <v>2.1080000000000001</v>
      </c>
      <c r="I374" s="6">
        <f t="shared" si="25"/>
        <v>9.6</v>
      </c>
      <c r="J374" s="6">
        <f t="shared" si="26"/>
        <v>16.864000000000001</v>
      </c>
      <c r="L374" s="4" t="str">
        <f>IFERROR(VLOOKUP(ROWS($L$2:L374),$B$2:$C$1996,2,0),"")</f>
        <v>ΚΑΜΠΥΛΗ ΧΑΛΚΟΥ</v>
      </c>
      <c r="N374" s="2" t="str">
        <f>IFERROR(VLOOKUP(ROWS($N$2:N374),$D$2:$E$1996,2,0),"")</f>
        <v>Θ/Θ Φ28</v>
      </c>
    </row>
    <row r="375" spans="1:14">
      <c r="A375" s="5">
        <v>0</v>
      </c>
      <c r="B375" s="32">
        <f>IF(ISNUMBER(SEARCH('Φόρμα Εισαγωγής'!$B$2,C375)),MAX($B$1:B374)+1,0)</f>
        <v>374</v>
      </c>
      <c r="C375" s="7" t="s">
        <v>275</v>
      </c>
      <c r="D375" s="33">
        <f>IF(ISNUMBER(SEARCH('Φόρμα Εισαγωγής'!$C$2,E375)),MAX($D$1:D374)+1,0)</f>
        <v>374</v>
      </c>
      <c r="E375" s="17" t="s">
        <v>269</v>
      </c>
      <c r="F375" s="5">
        <v>2.2000000000000002</v>
      </c>
      <c r="G375" s="5">
        <v>3.1</v>
      </c>
      <c r="H375" s="6">
        <f t="shared" si="24"/>
        <v>3.8440000000000003</v>
      </c>
      <c r="I375" s="6">
        <f t="shared" si="25"/>
        <v>0</v>
      </c>
      <c r="J375" s="6">
        <f t="shared" si="26"/>
        <v>0</v>
      </c>
      <c r="L375" s="4" t="str">
        <f>IFERROR(VLOOKUP(ROWS($L$2:L375),$B$2:$C$1996,2,0),"")</f>
        <v>ΚΑΜΠΥΛΗ ΧΑΛΚΟΥ</v>
      </c>
      <c r="N375" s="2" t="str">
        <f>IFERROR(VLOOKUP(ROWS($N$2:N375),$D$2:$E$1996,2,0),"")</f>
        <v>Θ/Θ Φ35</v>
      </c>
    </row>
    <row r="376" spans="1:14">
      <c r="A376" s="5">
        <v>25</v>
      </c>
      <c r="B376" s="32">
        <f>IF(ISNUMBER(SEARCH('Φόρμα Εισαγωγής'!$B$2,C376)),MAX($B$1:B375)+1,0)</f>
        <v>375</v>
      </c>
      <c r="C376" s="7" t="s">
        <v>276</v>
      </c>
      <c r="D376" s="33">
        <f>IF(ISNUMBER(SEARCH('Φόρμα Εισαγωγής'!$C$2,E376)),MAX($D$1:D375)+1,0)</f>
        <v>375</v>
      </c>
      <c r="E376" s="17" t="s">
        <v>265</v>
      </c>
      <c r="F376" s="5">
        <v>0.25</v>
      </c>
      <c r="G376" s="5">
        <v>0.36</v>
      </c>
      <c r="H376" s="6">
        <f t="shared" si="24"/>
        <v>0.44639999999999996</v>
      </c>
      <c r="I376" s="6">
        <f t="shared" si="25"/>
        <v>6.25</v>
      </c>
      <c r="J376" s="6">
        <f t="shared" si="26"/>
        <v>11.159999999999998</v>
      </c>
      <c r="L376" s="4" t="str">
        <f>IFERROR(VLOOKUP(ROWS($L$2:L376),$B$2:$C$1996,2,0),"")</f>
        <v>ΗΜΙΓΩΝΙΑ ΧΑΛΚΟΥ</v>
      </c>
      <c r="N376" s="2" t="str">
        <f>IFERROR(VLOOKUP(ROWS($N$2:N376),$D$2:$E$1996,2,0),"")</f>
        <v>Θ/Θ Φ15</v>
      </c>
    </row>
    <row r="377" spans="1:14">
      <c r="A377" s="5">
        <v>13</v>
      </c>
      <c r="B377" s="32">
        <f>IF(ISNUMBER(SEARCH('Φόρμα Εισαγωγής'!$B$2,C377)),MAX($B$1:B376)+1,0)</f>
        <v>376</v>
      </c>
      <c r="C377" s="7" t="s">
        <v>276</v>
      </c>
      <c r="D377" s="33">
        <f>IF(ISNUMBER(SEARCH('Φόρμα Εισαγωγής'!$C$2,E377)),MAX($D$1:D376)+1,0)</f>
        <v>376</v>
      </c>
      <c r="E377" s="17" t="s">
        <v>266</v>
      </c>
      <c r="F377" s="5">
        <v>0.36</v>
      </c>
      <c r="G377" s="5">
        <v>0.5</v>
      </c>
      <c r="H377" s="6">
        <f t="shared" si="24"/>
        <v>0.62</v>
      </c>
      <c r="I377" s="6">
        <f t="shared" si="25"/>
        <v>4.68</v>
      </c>
      <c r="J377" s="6">
        <f t="shared" si="26"/>
        <v>8.06</v>
      </c>
      <c r="L377" s="4" t="str">
        <f>IFERROR(VLOOKUP(ROWS($L$2:L377),$B$2:$C$1996,2,0),"")</f>
        <v>ΗΜΙΓΩΝΙΑ ΧΑΛΚΟΥ</v>
      </c>
      <c r="N377" s="2" t="str">
        <f>IFERROR(VLOOKUP(ROWS($N$2:N377),$D$2:$E$1996,2,0),"")</f>
        <v>Θ/Θ Φ18</v>
      </c>
    </row>
    <row r="378" spans="1:14">
      <c r="A378" s="5">
        <v>12</v>
      </c>
      <c r="B378" s="32">
        <f>IF(ISNUMBER(SEARCH('Φόρμα Εισαγωγής'!$B$2,C378)),MAX($B$1:B377)+1,0)</f>
        <v>377</v>
      </c>
      <c r="C378" s="7" t="s">
        <v>276</v>
      </c>
      <c r="D378" s="33">
        <f>IF(ISNUMBER(SEARCH('Φόρμα Εισαγωγής'!$C$2,E378)),MAX($D$1:D377)+1,0)</f>
        <v>377</v>
      </c>
      <c r="E378" s="17" t="s">
        <v>267</v>
      </c>
      <c r="F378" s="5">
        <v>0.57999999999999996</v>
      </c>
      <c r="G378" s="5">
        <v>0.8</v>
      </c>
      <c r="H378" s="6">
        <f t="shared" si="24"/>
        <v>0.99199999999999999</v>
      </c>
      <c r="I378" s="6">
        <f t="shared" si="25"/>
        <v>6.9599999999999991</v>
      </c>
      <c r="J378" s="6">
        <f t="shared" si="26"/>
        <v>11.904</v>
      </c>
      <c r="L378" s="4" t="str">
        <f>IFERROR(VLOOKUP(ROWS($L$2:L378),$B$2:$C$1996,2,0),"")</f>
        <v>ΗΜΙΓΩΝΙΑ ΧΑΛΚΟΥ</v>
      </c>
      <c r="N378" s="2" t="str">
        <f>IFERROR(VLOOKUP(ROWS($N$2:N378),$D$2:$E$1996,2,0),"")</f>
        <v>Θ/Θ Φ22</v>
      </c>
    </row>
    <row r="379" spans="1:14">
      <c r="A379" s="5">
        <v>11</v>
      </c>
      <c r="B379" s="32">
        <f>IF(ISNUMBER(SEARCH('Φόρμα Εισαγωγής'!$B$2,C379)),MAX($B$1:B378)+1,0)</f>
        <v>378</v>
      </c>
      <c r="C379" s="7" t="s">
        <v>276</v>
      </c>
      <c r="D379" s="33">
        <f>IF(ISNUMBER(SEARCH('Φόρμα Εισαγωγής'!$C$2,E379)),MAX($D$1:D378)+1,0)</f>
        <v>378</v>
      </c>
      <c r="E379" s="17" t="s">
        <v>268</v>
      </c>
      <c r="F379" s="5">
        <v>0.9</v>
      </c>
      <c r="G379" s="5">
        <v>1.3</v>
      </c>
      <c r="H379" s="6">
        <f t="shared" si="24"/>
        <v>1.6120000000000001</v>
      </c>
      <c r="I379" s="6">
        <f t="shared" si="25"/>
        <v>9.9</v>
      </c>
      <c r="J379" s="6">
        <f t="shared" si="26"/>
        <v>17.731999999999999</v>
      </c>
      <c r="L379" s="4" t="str">
        <f>IFERROR(VLOOKUP(ROWS($L$2:L379),$B$2:$C$1996,2,0),"")</f>
        <v>ΗΜΙΓΩΝΙΑ ΧΑΛΚΟΥ</v>
      </c>
      <c r="N379" s="2" t="str">
        <f>IFERROR(VLOOKUP(ROWS($N$2:N379),$D$2:$E$1996,2,0),"")</f>
        <v>Θ/Θ Φ28</v>
      </c>
    </row>
    <row r="380" spans="1:14">
      <c r="A380" s="5">
        <v>0</v>
      </c>
      <c r="B380" s="32">
        <f>IF(ISNUMBER(SEARCH('Φόρμα Εισαγωγής'!$B$2,C380)),MAX($B$1:B379)+1,0)</f>
        <v>379</v>
      </c>
      <c r="C380" s="7" t="s">
        <v>276</v>
      </c>
      <c r="D380" s="33">
        <f>IF(ISNUMBER(SEARCH('Φόρμα Εισαγωγής'!$C$2,E380)),MAX($D$1:D379)+1,0)</f>
        <v>379</v>
      </c>
      <c r="E380" s="17" t="s">
        <v>269</v>
      </c>
      <c r="F380" s="5">
        <v>2</v>
      </c>
      <c r="G380" s="5">
        <v>2.9</v>
      </c>
      <c r="H380" s="6">
        <f t="shared" si="24"/>
        <v>3.5960000000000001</v>
      </c>
      <c r="I380" s="6">
        <f t="shared" si="25"/>
        <v>0</v>
      </c>
      <c r="J380" s="6">
        <f t="shared" si="26"/>
        <v>0</v>
      </c>
      <c r="L380" s="4" t="str">
        <f>IFERROR(VLOOKUP(ROWS($L$2:L380),$B$2:$C$1996,2,0),"")</f>
        <v>ΗΜΙΓΩΝΙΑ ΧΑΛΚΟΥ</v>
      </c>
      <c r="N380" s="2" t="str">
        <f>IFERROR(VLOOKUP(ROWS($N$2:N380),$D$2:$E$1996,2,0),"")</f>
        <v>Θ/Θ Φ35</v>
      </c>
    </row>
    <row r="381" spans="1:14">
      <c r="A381" s="5">
        <v>23</v>
      </c>
      <c r="B381" s="32">
        <f>IF(ISNUMBER(SEARCH('Φόρμα Εισαγωγής'!$B$2,C381)),MAX($B$1:B380)+1,0)</f>
        <v>380</v>
      </c>
      <c r="C381" s="7" t="s">
        <v>276</v>
      </c>
      <c r="D381" s="33">
        <f>IF(ISNUMBER(SEARCH('Φόρμα Εισαγωγής'!$C$2,E381)),MAX($D$1:D380)+1,0)</f>
        <v>380</v>
      </c>
      <c r="E381" s="17" t="s">
        <v>270</v>
      </c>
      <c r="F381" s="5">
        <v>0.27</v>
      </c>
      <c r="G381" s="5">
        <v>0.4</v>
      </c>
      <c r="H381" s="6">
        <f t="shared" si="24"/>
        <v>0.496</v>
      </c>
      <c r="I381" s="6">
        <f t="shared" si="25"/>
        <v>6.2100000000000009</v>
      </c>
      <c r="J381" s="6">
        <f t="shared" si="26"/>
        <v>11.407999999999999</v>
      </c>
      <c r="L381" s="4" t="str">
        <f>IFERROR(VLOOKUP(ROWS($L$2:L381),$B$2:$C$1996,2,0),"")</f>
        <v>ΗΜΙΓΩΝΙΑ ΧΑΛΚΟΥ</v>
      </c>
      <c r="N381" s="2" t="str">
        <f>IFERROR(VLOOKUP(ROWS($N$2:N381),$D$2:$E$1996,2,0),"")</f>
        <v>Α/Θ Φ15</v>
      </c>
    </row>
    <row r="382" spans="1:14">
      <c r="A382" s="5">
        <v>12</v>
      </c>
      <c r="B382" s="32">
        <f>IF(ISNUMBER(SEARCH('Φόρμα Εισαγωγής'!$B$2,C382)),MAX($B$1:B381)+1,0)</f>
        <v>381</v>
      </c>
      <c r="C382" s="7" t="s">
        <v>276</v>
      </c>
      <c r="D382" s="33">
        <f>IF(ISNUMBER(SEARCH('Φόρμα Εισαγωγής'!$C$2,E382)),MAX($D$1:D381)+1,0)</f>
        <v>381</v>
      </c>
      <c r="E382" s="17" t="s">
        <v>271</v>
      </c>
      <c r="F382" s="5">
        <v>0.37</v>
      </c>
      <c r="G382" s="5">
        <v>0.55000000000000004</v>
      </c>
      <c r="H382" s="6">
        <f t="shared" si="24"/>
        <v>0.68200000000000005</v>
      </c>
      <c r="I382" s="6">
        <f t="shared" si="25"/>
        <v>4.4399999999999995</v>
      </c>
      <c r="J382" s="6">
        <f t="shared" si="26"/>
        <v>8.1840000000000011</v>
      </c>
      <c r="L382" s="4" t="str">
        <f>IFERROR(VLOOKUP(ROWS($L$2:L382),$B$2:$C$1996,2,0),"")</f>
        <v>ΗΜΙΓΩΝΙΑ ΧΑΛΚΟΥ</v>
      </c>
      <c r="N382" s="2" t="str">
        <f>IFERROR(VLOOKUP(ROWS($N$2:N382),$D$2:$E$1996,2,0),"")</f>
        <v>Α/Θ Φ18</v>
      </c>
    </row>
    <row r="383" spans="1:14">
      <c r="A383" s="5">
        <v>3</v>
      </c>
      <c r="B383" s="32">
        <f>IF(ISNUMBER(SEARCH('Φόρμα Εισαγωγής'!$B$2,C383)),MAX($B$1:B382)+1,0)</f>
        <v>382</v>
      </c>
      <c r="C383" s="7" t="s">
        <v>276</v>
      </c>
      <c r="D383" s="33">
        <f>IF(ISNUMBER(SEARCH('Φόρμα Εισαγωγής'!$C$2,E383)),MAX($D$1:D382)+1,0)</f>
        <v>382</v>
      </c>
      <c r="E383" s="17" t="s">
        <v>272</v>
      </c>
      <c r="F383" s="5">
        <v>0.6</v>
      </c>
      <c r="G383" s="5">
        <v>0.85</v>
      </c>
      <c r="H383" s="6">
        <f t="shared" si="24"/>
        <v>1.054</v>
      </c>
      <c r="I383" s="6">
        <f t="shared" si="25"/>
        <v>1.7999999999999998</v>
      </c>
      <c r="J383" s="6">
        <f t="shared" si="26"/>
        <v>3.1619999999999999</v>
      </c>
      <c r="L383" s="4" t="str">
        <f>IFERROR(VLOOKUP(ROWS($L$2:L383),$B$2:$C$1996,2,0),"")</f>
        <v>ΗΜΙΓΩΝΙΑ ΧΑΛΚΟΥ</v>
      </c>
      <c r="N383" s="2" t="str">
        <f>IFERROR(VLOOKUP(ROWS($N$2:N383),$D$2:$E$1996,2,0),"")</f>
        <v>Α/Θ Φ22</v>
      </c>
    </row>
    <row r="384" spans="1:14">
      <c r="A384" s="5">
        <v>7</v>
      </c>
      <c r="B384" s="32">
        <f>IF(ISNUMBER(SEARCH('Φόρμα Εισαγωγής'!$B$2,C384)),MAX($B$1:B383)+1,0)</f>
        <v>383</v>
      </c>
      <c r="C384" s="7" t="s">
        <v>276</v>
      </c>
      <c r="D384" s="33">
        <f>IF(ISNUMBER(SEARCH('Φόρμα Εισαγωγής'!$C$2,E384)),MAX($D$1:D383)+1,0)</f>
        <v>383</v>
      </c>
      <c r="E384" s="17" t="s">
        <v>273</v>
      </c>
      <c r="F384" s="5">
        <v>0.9</v>
      </c>
      <c r="G384" s="5">
        <v>1.25</v>
      </c>
      <c r="H384" s="6">
        <f t="shared" si="24"/>
        <v>1.55</v>
      </c>
      <c r="I384" s="6">
        <f t="shared" si="25"/>
        <v>6.3</v>
      </c>
      <c r="J384" s="6">
        <f t="shared" si="26"/>
        <v>10.85</v>
      </c>
      <c r="L384" s="4" t="str">
        <f>IFERROR(VLOOKUP(ROWS($L$2:L384),$B$2:$C$1996,2,0),"")</f>
        <v>ΗΜΙΓΩΝΙΑ ΧΑΛΚΟΥ</v>
      </c>
      <c r="N384" s="2" t="str">
        <f>IFERROR(VLOOKUP(ROWS($N$2:N384),$D$2:$E$1996,2,0),"")</f>
        <v>Α/Θ Φ28</v>
      </c>
    </row>
    <row r="385" spans="1:14">
      <c r="A385" s="5">
        <v>0</v>
      </c>
      <c r="B385" s="32">
        <f>IF(ISNUMBER(SEARCH('Φόρμα Εισαγωγής'!$B$2,C385)),MAX($B$1:B384)+1,0)</f>
        <v>384</v>
      </c>
      <c r="C385" s="7" t="s">
        <v>276</v>
      </c>
      <c r="D385" s="33">
        <f>IF(ISNUMBER(SEARCH('Φόρμα Εισαγωγής'!$C$2,E385)),MAX($D$1:D384)+1,0)</f>
        <v>384</v>
      </c>
      <c r="E385" s="17" t="s">
        <v>274</v>
      </c>
      <c r="F385" s="5">
        <v>2.35</v>
      </c>
      <c r="G385" s="5">
        <v>3.3</v>
      </c>
      <c r="H385" s="6">
        <f t="shared" si="24"/>
        <v>4.0919999999999996</v>
      </c>
      <c r="I385" s="6">
        <f t="shared" si="25"/>
        <v>0</v>
      </c>
      <c r="J385" s="6">
        <f t="shared" si="26"/>
        <v>0</v>
      </c>
      <c r="L385" s="4" t="str">
        <f>IFERROR(VLOOKUP(ROWS($L$2:L385),$B$2:$C$1996,2,0),"")</f>
        <v>ΗΜΙΓΩΝΙΑ ΧΑΛΚΟΥ</v>
      </c>
      <c r="N385" s="2" t="str">
        <f>IFERROR(VLOOKUP(ROWS($N$2:N385),$D$2:$E$1996,2,0),"")</f>
        <v>Α/Θ Φ35</v>
      </c>
    </row>
    <row r="386" spans="1:14">
      <c r="A386" s="5">
        <v>12</v>
      </c>
      <c r="B386" s="32">
        <f>IF(ISNUMBER(SEARCH('Φόρμα Εισαγωγής'!$B$2,C386)),MAX($B$1:B385)+1,0)</f>
        <v>385</v>
      </c>
      <c r="C386" s="7" t="s">
        <v>277</v>
      </c>
      <c r="D386" s="33">
        <f>IF(ISNUMBER(SEARCH('Φόρμα Εισαγωγής'!$C$2,E386)),MAX($D$1:D385)+1,0)</f>
        <v>385</v>
      </c>
      <c r="E386" s="17" t="s">
        <v>278</v>
      </c>
      <c r="F386" s="5">
        <v>0.14000000000000001</v>
      </c>
      <c r="G386" s="5">
        <v>0.2</v>
      </c>
      <c r="H386" s="6">
        <f t="shared" si="24"/>
        <v>0.248</v>
      </c>
      <c r="I386" s="6">
        <f t="shared" si="25"/>
        <v>1.6800000000000002</v>
      </c>
      <c r="J386" s="6">
        <f t="shared" si="26"/>
        <v>2.976</v>
      </c>
      <c r="L386" s="4" t="str">
        <f>IFERROR(VLOOKUP(ROWS($L$2:L386),$B$2:$C$1996,2,0),"")</f>
        <v>ΜΟΥΦΑ ΧΑΛΚΟΥ</v>
      </c>
      <c r="N386" s="2" t="str">
        <f>IFERROR(VLOOKUP(ROWS($N$2:N386),$D$2:$E$1996,2,0),"")</f>
        <v xml:space="preserve">Φ15 </v>
      </c>
    </row>
    <row r="387" spans="1:14">
      <c r="A387" s="5">
        <v>12</v>
      </c>
      <c r="B387" s="32">
        <f>IF(ISNUMBER(SEARCH('Φόρμα Εισαγωγής'!$B$2,C387)),MAX($B$1:B386)+1,0)</f>
        <v>386</v>
      </c>
      <c r="C387" s="7" t="s">
        <v>277</v>
      </c>
      <c r="D387" s="33">
        <f>IF(ISNUMBER(SEARCH('Φόρμα Εισαγωγής'!$C$2,E387)),MAX($D$1:D386)+1,0)</f>
        <v>386</v>
      </c>
      <c r="E387" s="17" t="s">
        <v>279</v>
      </c>
      <c r="F387" s="5">
        <v>0.2</v>
      </c>
      <c r="G387" s="5">
        <v>0.28000000000000003</v>
      </c>
      <c r="H387" s="6">
        <f t="shared" si="24"/>
        <v>0.34720000000000006</v>
      </c>
      <c r="I387" s="6">
        <f t="shared" si="25"/>
        <v>2.4000000000000004</v>
      </c>
      <c r="J387" s="6">
        <f t="shared" si="26"/>
        <v>4.1664000000000012</v>
      </c>
      <c r="L387" s="4" t="str">
        <f>IFERROR(VLOOKUP(ROWS($L$2:L387),$B$2:$C$1996,2,0),"")</f>
        <v>ΜΟΥΦΑ ΧΑΛΚΟΥ</v>
      </c>
      <c r="N387" s="2" t="str">
        <f>IFERROR(VLOOKUP(ROWS($N$2:N387),$D$2:$E$1996,2,0),"")</f>
        <v>Φ18</v>
      </c>
    </row>
    <row r="388" spans="1:14">
      <c r="A388" s="5">
        <v>15</v>
      </c>
      <c r="B388" s="32">
        <f>IF(ISNUMBER(SEARCH('Φόρμα Εισαγωγής'!$B$2,C388)),MAX($B$1:B387)+1,0)</f>
        <v>387</v>
      </c>
      <c r="C388" s="7" t="s">
        <v>277</v>
      </c>
      <c r="D388" s="33">
        <f>IF(ISNUMBER(SEARCH('Φόρμα Εισαγωγής'!$C$2,E388)),MAX($D$1:D387)+1,0)</f>
        <v>387</v>
      </c>
      <c r="E388" s="17" t="s">
        <v>280</v>
      </c>
      <c r="F388" s="5">
        <v>0.3</v>
      </c>
      <c r="G388" s="5">
        <v>0.45</v>
      </c>
      <c r="H388" s="6">
        <f t="shared" si="24"/>
        <v>0.55800000000000005</v>
      </c>
      <c r="I388" s="6">
        <f t="shared" si="25"/>
        <v>4.5</v>
      </c>
      <c r="J388" s="6">
        <f t="shared" si="26"/>
        <v>8.370000000000001</v>
      </c>
      <c r="L388" s="4" t="str">
        <f>IFERROR(VLOOKUP(ROWS($L$2:L388),$B$2:$C$1996,2,0),"")</f>
        <v>ΜΟΥΦΑ ΧΑΛΚΟΥ</v>
      </c>
      <c r="N388" s="2" t="str">
        <f>IFERROR(VLOOKUP(ROWS($N$2:N388),$D$2:$E$1996,2,0),"")</f>
        <v>Φ22</v>
      </c>
    </row>
    <row r="389" spans="1:14">
      <c r="A389" s="5">
        <v>19</v>
      </c>
      <c r="B389" s="32">
        <f>IF(ISNUMBER(SEARCH('Φόρμα Εισαγωγής'!$B$2,C389)),MAX($B$1:B388)+1,0)</f>
        <v>388</v>
      </c>
      <c r="C389" s="7" t="s">
        <v>277</v>
      </c>
      <c r="D389" s="33">
        <f>IF(ISNUMBER(SEARCH('Φόρμα Εισαγωγής'!$C$2,E389)),MAX($D$1:D388)+1,0)</f>
        <v>388</v>
      </c>
      <c r="E389" s="17" t="s">
        <v>281</v>
      </c>
      <c r="F389" s="5">
        <v>0.65</v>
      </c>
      <c r="G389" s="5">
        <v>0.9</v>
      </c>
      <c r="H389" s="6">
        <f t="shared" si="24"/>
        <v>1.1160000000000001</v>
      </c>
      <c r="I389" s="6">
        <f t="shared" si="25"/>
        <v>12.35</v>
      </c>
      <c r="J389" s="6">
        <f t="shared" si="26"/>
        <v>21.204000000000001</v>
      </c>
      <c r="L389" s="4" t="str">
        <f>IFERROR(VLOOKUP(ROWS($L$2:L389),$B$2:$C$1996,2,0),"")</f>
        <v>ΜΟΥΦΑ ΧΑΛΚΟΥ</v>
      </c>
      <c r="N389" s="2" t="str">
        <f>IFERROR(VLOOKUP(ROWS($N$2:N389),$D$2:$E$1996,2,0),"")</f>
        <v>Φ28</v>
      </c>
    </row>
    <row r="390" spans="1:14">
      <c r="A390" s="5">
        <v>6</v>
      </c>
      <c r="B390" s="32">
        <f>IF(ISNUMBER(SEARCH('Φόρμα Εισαγωγής'!$B$2,C390)),MAX($B$1:B389)+1,0)</f>
        <v>389</v>
      </c>
      <c r="C390" s="7" t="s">
        <v>277</v>
      </c>
      <c r="D390" s="33">
        <f>IF(ISNUMBER(SEARCH('Φόρμα Εισαγωγής'!$C$2,E390)),MAX($D$1:D389)+1,0)</f>
        <v>389</v>
      </c>
      <c r="E390" s="17" t="s">
        <v>282</v>
      </c>
      <c r="F390" s="5">
        <v>1</v>
      </c>
      <c r="G390" s="5">
        <v>1.5</v>
      </c>
      <c r="H390" s="6">
        <f t="shared" ref="H390:H453" si="27">G390+(G390*0.24)</f>
        <v>1.8599999999999999</v>
      </c>
      <c r="I390" s="6">
        <f t="shared" ref="I390:I453" si="28">F390*A390</f>
        <v>6</v>
      </c>
      <c r="J390" s="6">
        <f t="shared" ref="J390:J453" si="29">H390*A390</f>
        <v>11.16</v>
      </c>
      <c r="L390" s="4" t="str">
        <f>IFERROR(VLOOKUP(ROWS($L$2:L390),$B$2:$C$1996,2,0),"")</f>
        <v>ΜΟΥΦΑ ΧΑΛΚΟΥ</v>
      </c>
      <c r="N390" s="2" t="str">
        <f>IFERROR(VLOOKUP(ROWS($N$2:N390),$D$2:$E$1996,2,0),"")</f>
        <v>Φ35</v>
      </c>
    </row>
    <row r="391" spans="1:14">
      <c r="A391" s="5">
        <v>18</v>
      </c>
      <c r="B391" s="32">
        <f>IF(ISNUMBER(SEARCH('Φόρμα Εισαγωγής'!$B$2,C391)),MAX($B$1:B390)+1,0)</f>
        <v>390</v>
      </c>
      <c r="C391" s="7" t="s">
        <v>283</v>
      </c>
      <c r="D391" s="33">
        <f>IF(ISNUMBER(SEARCH('Φόρμα Εισαγωγής'!$C$2,E391)),MAX($D$1:D390)+1,0)</f>
        <v>390</v>
      </c>
      <c r="E391" s="17" t="s">
        <v>278</v>
      </c>
      <c r="F391" s="5">
        <v>0.4</v>
      </c>
      <c r="G391" s="5">
        <v>0.55000000000000004</v>
      </c>
      <c r="H391" s="6">
        <f t="shared" si="27"/>
        <v>0.68200000000000005</v>
      </c>
      <c r="I391" s="6">
        <f t="shared" si="28"/>
        <v>7.2</v>
      </c>
      <c r="J391" s="6">
        <f t="shared" si="29"/>
        <v>12.276000000000002</v>
      </c>
      <c r="L391" s="4" t="str">
        <f>IFERROR(VLOOKUP(ROWS($L$2:L391),$B$2:$C$1996,2,0),"")</f>
        <v>ΤΑΦ ΧΑΛΚΟΥ</v>
      </c>
      <c r="N391" s="2" t="str">
        <f>IFERROR(VLOOKUP(ROWS($N$2:N391),$D$2:$E$1996,2,0),"")</f>
        <v xml:space="preserve">Φ15 </v>
      </c>
    </row>
    <row r="392" spans="1:14">
      <c r="A392" s="5">
        <v>16</v>
      </c>
      <c r="B392" s="32">
        <f>IF(ISNUMBER(SEARCH('Φόρμα Εισαγωγής'!$B$2,C392)),MAX($B$1:B391)+1,0)</f>
        <v>391</v>
      </c>
      <c r="C392" s="7" t="s">
        <v>283</v>
      </c>
      <c r="D392" s="33">
        <f>IF(ISNUMBER(SEARCH('Φόρμα Εισαγωγής'!$C$2,E392)),MAX($D$1:D391)+1,0)</f>
        <v>391</v>
      </c>
      <c r="E392" s="17" t="s">
        <v>279</v>
      </c>
      <c r="F392" s="5">
        <v>0.7</v>
      </c>
      <c r="G392" s="5">
        <v>1</v>
      </c>
      <c r="H392" s="6">
        <f t="shared" si="27"/>
        <v>1.24</v>
      </c>
      <c r="I392" s="6">
        <f t="shared" si="28"/>
        <v>11.2</v>
      </c>
      <c r="J392" s="6">
        <f t="shared" si="29"/>
        <v>19.84</v>
      </c>
      <c r="L392" s="4" t="str">
        <f>IFERROR(VLOOKUP(ROWS($L$2:L392),$B$2:$C$1996,2,0),"")</f>
        <v>ΤΑΦ ΧΑΛΚΟΥ</v>
      </c>
      <c r="N392" s="2" t="str">
        <f>IFERROR(VLOOKUP(ROWS($N$2:N392),$D$2:$E$1996,2,0),"")</f>
        <v>Φ18</v>
      </c>
    </row>
    <row r="393" spans="1:14">
      <c r="A393" s="5">
        <v>14</v>
      </c>
      <c r="B393" s="32">
        <f>IF(ISNUMBER(SEARCH('Φόρμα Εισαγωγής'!$B$2,C393)),MAX($B$1:B392)+1,0)</f>
        <v>392</v>
      </c>
      <c r="C393" s="7" t="s">
        <v>283</v>
      </c>
      <c r="D393" s="33">
        <f>IF(ISNUMBER(SEARCH('Φόρμα Εισαγωγής'!$C$2,E393)),MAX($D$1:D392)+1,0)</f>
        <v>392</v>
      </c>
      <c r="E393" s="17" t="s">
        <v>280</v>
      </c>
      <c r="F393" s="5">
        <v>0.95</v>
      </c>
      <c r="G393" s="5">
        <v>1.35</v>
      </c>
      <c r="H393" s="6">
        <f t="shared" si="27"/>
        <v>1.6740000000000002</v>
      </c>
      <c r="I393" s="6">
        <f t="shared" si="28"/>
        <v>13.299999999999999</v>
      </c>
      <c r="J393" s="6">
        <f t="shared" si="29"/>
        <v>23.436000000000003</v>
      </c>
      <c r="L393" s="4" t="str">
        <f>IFERROR(VLOOKUP(ROWS($L$2:L393),$B$2:$C$1996,2,0),"")</f>
        <v>ΤΑΦ ΧΑΛΚΟΥ</v>
      </c>
      <c r="N393" s="2" t="str">
        <f>IFERROR(VLOOKUP(ROWS($N$2:N393),$D$2:$E$1996,2,0),"")</f>
        <v>Φ22</v>
      </c>
    </row>
    <row r="394" spans="1:14">
      <c r="A394" s="5">
        <v>9</v>
      </c>
      <c r="B394" s="32">
        <f>IF(ISNUMBER(SEARCH('Φόρμα Εισαγωγής'!$B$2,C394)),MAX($B$1:B393)+1,0)</f>
        <v>393</v>
      </c>
      <c r="C394" s="7" t="s">
        <v>283</v>
      </c>
      <c r="D394" s="33">
        <f>IF(ISNUMBER(SEARCH('Φόρμα Εισαγωγής'!$C$2,E394)),MAX($D$1:D393)+1,0)</f>
        <v>393</v>
      </c>
      <c r="E394" s="17" t="s">
        <v>281</v>
      </c>
      <c r="F394" s="5">
        <v>1.7</v>
      </c>
      <c r="G394" s="5">
        <v>2.4</v>
      </c>
      <c r="H394" s="6">
        <f t="shared" si="27"/>
        <v>2.976</v>
      </c>
      <c r="I394" s="6">
        <f t="shared" si="28"/>
        <v>15.299999999999999</v>
      </c>
      <c r="J394" s="6">
        <f t="shared" si="29"/>
        <v>26.783999999999999</v>
      </c>
      <c r="L394" s="4" t="str">
        <f>IFERROR(VLOOKUP(ROWS($L$2:L394),$B$2:$C$1996,2,0),"")</f>
        <v>ΤΑΦ ΧΑΛΚΟΥ</v>
      </c>
      <c r="N394" s="2" t="str">
        <f>IFERROR(VLOOKUP(ROWS($N$2:N394),$D$2:$E$1996,2,0),"")</f>
        <v>Φ28</v>
      </c>
    </row>
    <row r="395" spans="1:14">
      <c r="A395" s="5">
        <v>0</v>
      </c>
      <c r="B395" s="32">
        <f>IF(ISNUMBER(SEARCH('Φόρμα Εισαγωγής'!$B$2,C395)),MAX($B$1:B394)+1,0)</f>
        <v>394</v>
      </c>
      <c r="C395" s="7" t="s">
        <v>283</v>
      </c>
      <c r="D395" s="33">
        <f>IF(ISNUMBER(SEARCH('Φόρμα Εισαγωγής'!$C$2,E395)),MAX($D$1:D394)+1,0)</f>
        <v>394</v>
      </c>
      <c r="E395" s="17" t="s">
        <v>282</v>
      </c>
      <c r="F395" s="5">
        <v>3</v>
      </c>
      <c r="G395" s="5">
        <v>4.2</v>
      </c>
      <c r="H395" s="6">
        <f t="shared" si="27"/>
        <v>5.2080000000000002</v>
      </c>
      <c r="I395" s="6">
        <f t="shared" si="28"/>
        <v>0</v>
      </c>
      <c r="J395" s="6">
        <f t="shared" si="29"/>
        <v>0</v>
      </c>
      <c r="L395" s="4" t="str">
        <f>IFERROR(VLOOKUP(ROWS($L$2:L395),$B$2:$C$1996,2,0),"")</f>
        <v>ΤΑΦ ΧΑΛΚΟΥ</v>
      </c>
      <c r="N395" s="2" t="str">
        <f>IFERROR(VLOOKUP(ROWS($N$2:N395),$D$2:$E$1996,2,0),"")</f>
        <v>Φ35</v>
      </c>
    </row>
    <row r="396" spans="1:14">
      <c r="A396" s="5">
        <v>0</v>
      </c>
      <c r="B396" s="32">
        <f>IF(ISNUMBER(SEARCH('Φόρμα Εισαγωγής'!$B$2,C396)),MAX($B$1:B395)+1,0)</f>
        <v>395</v>
      </c>
      <c r="C396" s="7" t="s">
        <v>284</v>
      </c>
      <c r="D396" s="33">
        <f>IF(ISNUMBER(SEARCH('Φόρμα Εισαγωγής'!$C$2,E396)),MAX($D$1:D395)+1,0)</f>
        <v>395</v>
      </c>
      <c r="E396" s="17" t="s">
        <v>278</v>
      </c>
      <c r="F396" s="5">
        <v>0.94</v>
      </c>
      <c r="G396" s="5">
        <v>1.35</v>
      </c>
      <c r="H396" s="6">
        <f t="shared" si="27"/>
        <v>1.6740000000000002</v>
      </c>
      <c r="I396" s="6">
        <f t="shared" si="28"/>
        <v>0</v>
      </c>
      <c r="J396" s="6">
        <f t="shared" si="29"/>
        <v>0</v>
      </c>
      <c r="L396" s="4" t="str">
        <f>IFERROR(VLOOKUP(ROWS($L$2:L396),$B$2:$C$1996,2,0),"")</f>
        <v>ΒΕ ΧΑΛΚΟΥ</v>
      </c>
      <c r="N396" s="2" t="str">
        <f>IFERROR(VLOOKUP(ROWS($N$2:N396),$D$2:$E$1996,2,0),"")</f>
        <v xml:space="preserve">Φ15 </v>
      </c>
    </row>
    <row r="397" spans="1:14">
      <c r="A397" s="5">
        <v>5</v>
      </c>
      <c r="B397" s="32">
        <f>IF(ISNUMBER(SEARCH('Φόρμα Εισαγωγής'!$B$2,C397)),MAX($B$1:B396)+1,0)</f>
        <v>396</v>
      </c>
      <c r="C397" s="7" t="s">
        <v>284</v>
      </c>
      <c r="D397" s="33">
        <f>IF(ISNUMBER(SEARCH('Φόρμα Εισαγωγής'!$C$2,E397)),MAX($D$1:D396)+1,0)</f>
        <v>396</v>
      </c>
      <c r="E397" s="17" t="s">
        <v>279</v>
      </c>
      <c r="F397" s="5">
        <v>1.87</v>
      </c>
      <c r="G397" s="5">
        <v>2.6</v>
      </c>
      <c r="H397" s="6">
        <f t="shared" si="27"/>
        <v>3.2240000000000002</v>
      </c>
      <c r="I397" s="6">
        <f t="shared" si="28"/>
        <v>9.3500000000000014</v>
      </c>
      <c r="J397" s="6">
        <f t="shared" si="29"/>
        <v>16.12</v>
      </c>
      <c r="L397" s="4" t="str">
        <f>IFERROR(VLOOKUP(ROWS($L$2:L397),$B$2:$C$1996,2,0),"")</f>
        <v>ΒΕ ΧΑΛΚΟΥ</v>
      </c>
      <c r="N397" s="2" t="str">
        <f>IFERROR(VLOOKUP(ROWS($N$2:N397),$D$2:$E$1996,2,0),"")</f>
        <v>Φ18</v>
      </c>
    </row>
    <row r="398" spans="1:14">
      <c r="A398" s="5">
        <v>0</v>
      </c>
      <c r="B398" s="32">
        <f>IF(ISNUMBER(SEARCH('Φόρμα Εισαγωγής'!$B$2,C398)),MAX($B$1:B397)+1,0)</f>
        <v>397</v>
      </c>
      <c r="C398" s="7" t="s">
        <v>284</v>
      </c>
      <c r="D398" s="33">
        <f>IF(ISNUMBER(SEARCH('Φόρμα Εισαγωγής'!$C$2,E398)),MAX($D$1:D397)+1,0)</f>
        <v>397</v>
      </c>
      <c r="E398" s="17" t="s">
        <v>280</v>
      </c>
      <c r="F398" s="5">
        <v>2.48</v>
      </c>
      <c r="G398" s="5">
        <v>3.5</v>
      </c>
      <c r="H398" s="6">
        <f t="shared" si="27"/>
        <v>4.34</v>
      </c>
      <c r="I398" s="6">
        <f t="shared" si="28"/>
        <v>0</v>
      </c>
      <c r="J398" s="6">
        <f t="shared" si="29"/>
        <v>0</v>
      </c>
      <c r="L398" s="4" t="str">
        <f>IFERROR(VLOOKUP(ROWS($L$2:L398),$B$2:$C$1996,2,0),"")</f>
        <v>ΒΕ ΧΑΛΚΟΥ</v>
      </c>
      <c r="N398" s="2" t="str">
        <f>IFERROR(VLOOKUP(ROWS($N$2:N398),$D$2:$E$1996,2,0),"")</f>
        <v>Φ22</v>
      </c>
    </row>
    <row r="399" spans="1:14">
      <c r="A399" s="5">
        <v>0</v>
      </c>
      <c r="B399" s="32">
        <f>IF(ISNUMBER(SEARCH('Φόρμα Εισαγωγής'!$B$2,C399)),MAX($B$1:B398)+1,0)</f>
        <v>398</v>
      </c>
      <c r="C399" s="7" t="s">
        <v>284</v>
      </c>
      <c r="D399" s="33">
        <f>IF(ISNUMBER(SEARCH('Φόρμα Εισαγωγής'!$C$2,E399)),MAX($D$1:D398)+1,0)</f>
        <v>398</v>
      </c>
      <c r="E399" s="17" t="s">
        <v>281</v>
      </c>
      <c r="H399" s="6">
        <f t="shared" si="27"/>
        <v>0</v>
      </c>
      <c r="I399" s="6">
        <f t="shared" si="28"/>
        <v>0</v>
      </c>
      <c r="J399" s="6">
        <f t="shared" si="29"/>
        <v>0</v>
      </c>
      <c r="L399" s="4" t="str">
        <f>IFERROR(VLOOKUP(ROWS($L$2:L399),$B$2:$C$1996,2,0),"")</f>
        <v>ΒΕ ΧΑΛΚΟΥ</v>
      </c>
      <c r="N399" s="2" t="str">
        <f>IFERROR(VLOOKUP(ROWS($N$2:N399),$D$2:$E$1996,2,0),"")</f>
        <v>Φ28</v>
      </c>
    </row>
    <row r="400" spans="1:14">
      <c r="A400" s="5">
        <v>0</v>
      </c>
      <c r="B400" s="32">
        <f>IF(ISNUMBER(SEARCH('Φόρμα Εισαγωγής'!$B$2,C400)),MAX($B$1:B399)+1,0)</f>
        <v>399</v>
      </c>
      <c r="C400" s="7" t="s">
        <v>284</v>
      </c>
      <c r="D400" s="33">
        <f>IF(ISNUMBER(SEARCH('Φόρμα Εισαγωγής'!$C$2,E400)),MAX($D$1:D399)+1,0)</f>
        <v>399</v>
      </c>
      <c r="E400" s="17" t="s">
        <v>282</v>
      </c>
      <c r="H400" s="6">
        <f t="shared" si="27"/>
        <v>0</v>
      </c>
      <c r="I400" s="6">
        <f t="shared" si="28"/>
        <v>0</v>
      </c>
      <c r="J400" s="6">
        <f t="shared" si="29"/>
        <v>0</v>
      </c>
      <c r="L400" s="4" t="str">
        <f>IFERROR(VLOOKUP(ROWS($L$2:L400),$B$2:$C$1996,2,0),"")</f>
        <v>ΒΕ ΧΑΛΚΟΥ</v>
      </c>
      <c r="N400" s="2" t="str">
        <f>IFERROR(VLOOKUP(ROWS($N$2:N400),$D$2:$E$1996,2,0),"")</f>
        <v>Φ35</v>
      </c>
    </row>
    <row r="401" spans="1:14">
      <c r="A401" s="5">
        <v>5</v>
      </c>
      <c r="B401" s="32">
        <f>IF(ISNUMBER(SEARCH('Φόρμα Εισαγωγής'!$B$2,C401)),MAX($B$1:B400)+1,0)</f>
        <v>400</v>
      </c>
      <c r="C401" s="7" t="s">
        <v>285</v>
      </c>
      <c r="D401" s="33">
        <f>IF(ISNUMBER(SEARCH('Φόρμα Εισαγωγής'!$C$2,E401)),MAX($D$1:D400)+1,0)</f>
        <v>400</v>
      </c>
      <c r="E401" s="17" t="s">
        <v>278</v>
      </c>
      <c r="F401" s="5">
        <v>0.9</v>
      </c>
      <c r="G401" s="5">
        <v>1.25</v>
      </c>
      <c r="H401" s="6">
        <f t="shared" si="27"/>
        <v>1.55</v>
      </c>
      <c r="I401" s="6">
        <f t="shared" si="28"/>
        <v>4.5</v>
      </c>
      <c r="J401" s="6">
        <f t="shared" si="29"/>
        <v>7.75</v>
      </c>
      <c r="L401" s="4" t="str">
        <f>IFERROR(VLOOKUP(ROWS($L$2:L401),$B$2:$C$1996,2,0),"")</f>
        <v>ΗΜΙΒΕ ΧΑΛΚΟΥ</v>
      </c>
      <c r="N401" s="2" t="str">
        <f>IFERROR(VLOOKUP(ROWS($N$2:N401),$D$2:$E$1996,2,0),"")</f>
        <v xml:space="preserve">Φ15 </v>
      </c>
    </row>
    <row r="402" spans="1:14">
      <c r="A402" s="5">
        <v>3</v>
      </c>
      <c r="B402" s="32">
        <f>IF(ISNUMBER(SEARCH('Φόρμα Εισαγωγής'!$B$2,C402)),MAX($B$1:B401)+1,0)</f>
        <v>401</v>
      </c>
      <c r="C402" s="7" t="s">
        <v>285</v>
      </c>
      <c r="D402" s="33">
        <f>IF(ISNUMBER(SEARCH('Φόρμα Εισαγωγής'!$C$2,E402)),MAX($D$1:D401)+1,0)</f>
        <v>401</v>
      </c>
      <c r="E402" s="17" t="s">
        <v>279</v>
      </c>
      <c r="F402" s="5">
        <v>1.6</v>
      </c>
      <c r="G402" s="5">
        <v>2.25</v>
      </c>
      <c r="H402" s="6">
        <f t="shared" si="27"/>
        <v>2.79</v>
      </c>
      <c r="I402" s="6">
        <f t="shared" si="28"/>
        <v>4.8000000000000007</v>
      </c>
      <c r="J402" s="6">
        <f t="shared" si="29"/>
        <v>8.370000000000001</v>
      </c>
      <c r="L402" s="4" t="str">
        <f>IFERROR(VLOOKUP(ROWS($L$2:L402),$B$2:$C$1996,2,0),"")</f>
        <v>ΗΜΙΒΕ ΧΑΛΚΟΥ</v>
      </c>
      <c r="N402" s="2" t="str">
        <f>IFERROR(VLOOKUP(ROWS($N$2:N402),$D$2:$E$1996,2,0),"")</f>
        <v>Φ18</v>
      </c>
    </row>
    <row r="403" spans="1:14">
      <c r="A403" s="5">
        <v>2</v>
      </c>
      <c r="B403" s="32">
        <f>IF(ISNUMBER(SEARCH('Φόρμα Εισαγωγής'!$B$2,C403)),MAX($B$1:B402)+1,0)</f>
        <v>402</v>
      </c>
      <c r="C403" s="7" t="s">
        <v>285</v>
      </c>
      <c r="D403" s="33">
        <f>IF(ISNUMBER(SEARCH('Φόρμα Εισαγωγής'!$C$2,E403)),MAX($D$1:D402)+1,0)</f>
        <v>402</v>
      </c>
      <c r="E403" s="17" t="s">
        <v>280</v>
      </c>
      <c r="F403" s="5">
        <v>2.4</v>
      </c>
      <c r="G403" s="5">
        <v>3.4</v>
      </c>
      <c r="H403" s="6">
        <f t="shared" si="27"/>
        <v>4.2160000000000002</v>
      </c>
      <c r="I403" s="6">
        <f t="shared" si="28"/>
        <v>4.8</v>
      </c>
      <c r="J403" s="6">
        <f t="shared" si="29"/>
        <v>8.4320000000000004</v>
      </c>
      <c r="L403" s="4" t="str">
        <f>IFERROR(VLOOKUP(ROWS($L$2:L403),$B$2:$C$1996,2,0),"")</f>
        <v>ΗΜΙΒΕ ΧΑΛΚΟΥ</v>
      </c>
      <c r="N403" s="2" t="str">
        <f>IFERROR(VLOOKUP(ROWS($N$2:N403),$D$2:$E$1996,2,0),"")</f>
        <v>Φ22</v>
      </c>
    </row>
    <row r="404" spans="1:14">
      <c r="A404" s="5">
        <v>0</v>
      </c>
      <c r="B404" s="32">
        <f>IF(ISNUMBER(SEARCH('Φόρμα Εισαγωγής'!$B$2,C404)),MAX($B$1:B403)+1,0)</f>
        <v>403</v>
      </c>
      <c r="C404" s="7" t="s">
        <v>285</v>
      </c>
      <c r="D404" s="33">
        <f>IF(ISNUMBER(SEARCH('Φόρμα Εισαγωγής'!$C$2,E404)),MAX($D$1:D403)+1,0)</f>
        <v>403</v>
      </c>
      <c r="E404" s="17" t="s">
        <v>281</v>
      </c>
      <c r="H404" s="6">
        <f t="shared" si="27"/>
        <v>0</v>
      </c>
      <c r="I404" s="6">
        <f t="shared" si="28"/>
        <v>0</v>
      </c>
      <c r="J404" s="6">
        <f t="shared" si="29"/>
        <v>0</v>
      </c>
      <c r="L404" s="4" t="str">
        <f>IFERROR(VLOOKUP(ROWS($L$2:L404),$B$2:$C$1996,2,0),"")</f>
        <v>ΗΜΙΒΕ ΧΑΛΚΟΥ</v>
      </c>
      <c r="N404" s="2" t="str">
        <f>IFERROR(VLOOKUP(ROWS($N$2:N404),$D$2:$E$1996,2,0),"")</f>
        <v>Φ28</v>
      </c>
    </row>
    <row r="405" spans="1:14">
      <c r="A405" s="5">
        <v>0</v>
      </c>
      <c r="B405" s="32">
        <f>IF(ISNUMBER(SEARCH('Φόρμα Εισαγωγής'!$B$2,C405)),MAX($B$1:B404)+1,0)</f>
        <v>404</v>
      </c>
      <c r="C405" s="7" t="s">
        <v>285</v>
      </c>
      <c r="D405" s="33">
        <f>IF(ISNUMBER(SEARCH('Φόρμα Εισαγωγής'!$C$2,E405)),MAX($D$1:D404)+1,0)</f>
        <v>404</v>
      </c>
      <c r="E405" s="17" t="s">
        <v>282</v>
      </c>
      <c r="H405" s="6">
        <f t="shared" si="27"/>
        <v>0</v>
      </c>
      <c r="I405" s="6">
        <f t="shared" si="28"/>
        <v>0</v>
      </c>
      <c r="J405" s="6">
        <f t="shared" si="29"/>
        <v>0</v>
      </c>
      <c r="L405" s="4" t="str">
        <f>IFERROR(VLOOKUP(ROWS($L$2:L405),$B$2:$C$1996,2,0),"")</f>
        <v>ΗΜΙΒΕ ΧΑΛΚΟΥ</v>
      </c>
      <c r="N405" s="2" t="str">
        <f>IFERROR(VLOOKUP(ROWS($N$2:N405),$D$2:$E$1996,2,0),"")</f>
        <v>Φ35</v>
      </c>
    </row>
    <row r="406" spans="1:14">
      <c r="A406" s="5">
        <v>4</v>
      </c>
      <c r="B406" s="32">
        <f>IF(ISNUMBER(SEARCH('Φόρμα Εισαγωγής'!$B$2,C406)),MAX($B$1:B405)+1,0)</f>
        <v>405</v>
      </c>
      <c r="C406" s="7" t="s">
        <v>286</v>
      </c>
      <c r="D406" s="33">
        <f>IF(ISNUMBER(SEARCH('Φόρμα Εισαγωγής'!$C$2,E406)),MAX($D$1:D405)+1,0)</f>
        <v>405</v>
      </c>
      <c r="E406" s="17" t="s">
        <v>278</v>
      </c>
      <c r="F406" s="5">
        <v>0.18</v>
      </c>
      <c r="G406" s="5">
        <v>0.25</v>
      </c>
      <c r="H406" s="6">
        <f t="shared" si="27"/>
        <v>0.31</v>
      </c>
      <c r="I406" s="6">
        <f t="shared" si="28"/>
        <v>0.72</v>
      </c>
      <c r="J406" s="6">
        <f t="shared" si="29"/>
        <v>1.24</v>
      </c>
      <c r="L406" s="4" t="str">
        <f>IFERROR(VLOOKUP(ROWS($L$2:L406),$B$2:$C$1996,2,0),"")</f>
        <v>ΤΑΠΑ ΧΑΛΚΟΥ</v>
      </c>
      <c r="N406" s="2" t="str">
        <f>IFERROR(VLOOKUP(ROWS($N$2:N406),$D$2:$E$1996,2,0),"")</f>
        <v xml:space="preserve">Φ15 </v>
      </c>
    </row>
    <row r="407" spans="1:14">
      <c r="A407" s="5">
        <v>7</v>
      </c>
      <c r="B407" s="32">
        <f>IF(ISNUMBER(SEARCH('Φόρμα Εισαγωγής'!$B$2,C407)),MAX($B$1:B406)+1,0)</f>
        <v>406</v>
      </c>
      <c r="C407" s="7" t="s">
        <v>286</v>
      </c>
      <c r="D407" s="33">
        <f>IF(ISNUMBER(SEARCH('Φόρμα Εισαγωγής'!$C$2,E407)),MAX($D$1:D406)+1,0)</f>
        <v>406</v>
      </c>
      <c r="E407" s="17" t="s">
        <v>279</v>
      </c>
      <c r="F407" s="5">
        <v>0.24</v>
      </c>
      <c r="G407" s="5">
        <v>0.35</v>
      </c>
      <c r="H407" s="6">
        <f t="shared" si="27"/>
        <v>0.43399999999999994</v>
      </c>
      <c r="I407" s="6">
        <f t="shared" si="28"/>
        <v>1.68</v>
      </c>
      <c r="J407" s="6">
        <f t="shared" si="29"/>
        <v>3.0379999999999994</v>
      </c>
      <c r="L407" s="4" t="str">
        <f>IFERROR(VLOOKUP(ROWS($L$2:L407),$B$2:$C$1996,2,0),"")</f>
        <v>ΤΑΠΑ ΧΑΛΚΟΥ</v>
      </c>
      <c r="N407" s="2" t="str">
        <f>IFERROR(VLOOKUP(ROWS($N$2:N407),$D$2:$E$1996,2,0),"")</f>
        <v>Φ18</v>
      </c>
    </row>
    <row r="408" spans="1:14">
      <c r="A408" s="5">
        <v>0</v>
      </c>
      <c r="B408" s="32">
        <f>IF(ISNUMBER(SEARCH('Φόρμα Εισαγωγής'!$B$2,C408)),MAX($B$1:B407)+1,0)</f>
        <v>407</v>
      </c>
      <c r="C408" s="7" t="s">
        <v>286</v>
      </c>
      <c r="D408" s="33">
        <f>IF(ISNUMBER(SEARCH('Φόρμα Εισαγωγής'!$C$2,E408)),MAX($D$1:D407)+1,0)</f>
        <v>407</v>
      </c>
      <c r="E408" s="17" t="s">
        <v>280</v>
      </c>
      <c r="F408" s="5">
        <v>0.36</v>
      </c>
      <c r="G408" s="5">
        <v>0.5</v>
      </c>
      <c r="H408" s="6">
        <f t="shared" si="27"/>
        <v>0.62</v>
      </c>
      <c r="I408" s="6">
        <f t="shared" si="28"/>
        <v>0</v>
      </c>
      <c r="J408" s="6">
        <f t="shared" si="29"/>
        <v>0</v>
      </c>
      <c r="L408" s="4" t="str">
        <f>IFERROR(VLOOKUP(ROWS($L$2:L408),$B$2:$C$1996,2,0),"")</f>
        <v>ΤΑΠΑ ΧΑΛΚΟΥ</v>
      </c>
      <c r="N408" s="2" t="str">
        <f>IFERROR(VLOOKUP(ROWS($N$2:N408),$D$2:$E$1996,2,0),"")</f>
        <v>Φ22</v>
      </c>
    </row>
    <row r="409" spans="1:14">
      <c r="A409" s="5">
        <v>0</v>
      </c>
      <c r="B409" s="32">
        <f>IF(ISNUMBER(SEARCH('Φόρμα Εισαγωγής'!$B$2,C409)),MAX($B$1:B408)+1,0)</f>
        <v>408</v>
      </c>
      <c r="C409" s="7" t="s">
        <v>286</v>
      </c>
      <c r="D409" s="33">
        <f>IF(ISNUMBER(SEARCH('Φόρμα Εισαγωγής'!$C$2,E409)),MAX($D$1:D408)+1,0)</f>
        <v>408</v>
      </c>
      <c r="E409" s="17" t="s">
        <v>281</v>
      </c>
      <c r="F409" s="5">
        <v>0.5</v>
      </c>
      <c r="G409" s="5">
        <v>0.7</v>
      </c>
      <c r="H409" s="6">
        <f t="shared" si="27"/>
        <v>0.86799999999999988</v>
      </c>
      <c r="I409" s="6">
        <f t="shared" si="28"/>
        <v>0</v>
      </c>
      <c r="J409" s="6">
        <f t="shared" si="29"/>
        <v>0</v>
      </c>
      <c r="L409" s="4" t="str">
        <f>IFERROR(VLOOKUP(ROWS($L$2:L409),$B$2:$C$1996,2,0),"")</f>
        <v>ΤΑΠΑ ΧΑΛΚΟΥ</v>
      </c>
      <c r="N409" s="2" t="str">
        <f>IFERROR(VLOOKUP(ROWS($N$2:N409),$D$2:$E$1996,2,0),"")</f>
        <v>Φ28</v>
      </c>
    </row>
    <row r="410" spans="1:14">
      <c r="A410" s="5">
        <v>0</v>
      </c>
      <c r="B410" s="32">
        <f>IF(ISNUMBER(SEARCH('Φόρμα Εισαγωγής'!$B$2,C410)),MAX($B$1:B409)+1,0)</f>
        <v>409</v>
      </c>
      <c r="C410" s="7" t="s">
        <v>286</v>
      </c>
      <c r="D410" s="33">
        <f>IF(ISNUMBER(SEARCH('Φόρμα Εισαγωγής'!$C$2,E410)),MAX($D$1:D409)+1,0)</f>
        <v>409</v>
      </c>
      <c r="E410" s="17" t="s">
        <v>282</v>
      </c>
      <c r="F410" s="5">
        <v>1.43</v>
      </c>
      <c r="G410" s="5">
        <v>2</v>
      </c>
      <c r="H410" s="6">
        <f t="shared" si="27"/>
        <v>2.48</v>
      </c>
      <c r="I410" s="6">
        <f t="shared" si="28"/>
        <v>0</v>
      </c>
      <c r="J410" s="6">
        <f t="shared" si="29"/>
        <v>0</v>
      </c>
      <c r="L410" s="4" t="str">
        <f>IFERROR(VLOOKUP(ROWS($L$2:L410),$B$2:$C$1996,2,0),"")</f>
        <v>ΤΑΠΑ ΧΑΛΚΟΥ</v>
      </c>
      <c r="N410" s="2" t="str">
        <f>IFERROR(VLOOKUP(ROWS($N$2:N410),$D$2:$E$1996,2,0),"")</f>
        <v>Φ35</v>
      </c>
    </row>
    <row r="411" spans="1:14">
      <c r="A411" s="5">
        <v>5</v>
      </c>
      <c r="B411" s="32">
        <f>IF(ISNUMBER(SEARCH('Φόρμα Εισαγωγής'!$B$2,C411)),MAX($B$1:B410)+1,0)</f>
        <v>410</v>
      </c>
      <c r="C411" s="7" t="s">
        <v>287</v>
      </c>
      <c r="D411" s="33">
        <f>IF(ISNUMBER(SEARCH('Φόρμα Εισαγωγής'!$C$2,E411)),MAX($D$1:D410)+1,0)</f>
        <v>410</v>
      </c>
      <c r="E411" s="17" t="s">
        <v>288</v>
      </c>
      <c r="F411" s="5">
        <v>0.27</v>
      </c>
      <c r="G411" s="5">
        <v>0.38</v>
      </c>
      <c r="H411" s="6">
        <f t="shared" si="27"/>
        <v>0.47120000000000001</v>
      </c>
      <c r="I411" s="6">
        <f t="shared" si="28"/>
        <v>1.35</v>
      </c>
      <c r="J411" s="6">
        <f t="shared" si="29"/>
        <v>2.3559999999999999</v>
      </c>
      <c r="L411" s="4" t="str">
        <f>IFERROR(VLOOKUP(ROWS($L$2:L411),$B$2:$C$1996,2,0),"")</f>
        <v>ΣΥΣΤΟΛΗ ΧΑΛΚΟΥ</v>
      </c>
      <c r="N411" s="2" t="str">
        <f>IFERROR(VLOOKUP(ROWS($N$2:N411),$D$2:$E$1996,2,0),"")</f>
        <v>Φ18 Χ Φ15</v>
      </c>
    </row>
    <row r="412" spans="1:14">
      <c r="A412" s="5">
        <v>25</v>
      </c>
      <c r="B412" s="32">
        <f>IF(ISNUMBER(SEARCH('Φόρμα Εισαγωγής'!$B$2,C412)),MAX($B$1:B411)+1,0)</f>
        <v>411</v>
      </c>
      <c r="C412" s="7" t="s">
        <v>287</v>
      </c>
      <c r="D412" s="33">
        <f>IF(ISNUMBER(SEARCH('Φόρμα Εισαγωγής'!$C$2,E412)),MAX($D$1:D411)+1,0)</f>
        <v>411</v>
      </c>
      <c r="E412" s="17" t="s">
        <v>289</v>
      </c>
      <c r="F412" s="5">
        <v>0.36</v>
      </c>
      <c r="G412" s="5">
        <v>0.5</v>
      </c>
      <c r="H412" s="6">
        <f t="shared" si="27"/>
        <v>0.62</v>
      </c>
      <c r="I412" s="6">
        <f t="shared" si="28"/>
        <v>9</v>
      </c>
      <c r="J412" s="6">
        <f t="shared" si="29"/>
        <v>15.5</v>
      </c>
      <c r="L412" s="4" t="str">
        <f>IFERROR(VLOOKUP(ROWS($L$2:L412),$B$2:$C$1996,2,0),"")</f>
        <v>ΣΥΣΤΟΛΗ ΧΑΛΚΟΥ</v>
      </c>
      <c r="N412" s="2" t="str">
        <f>IFERROR(VLOOKUP(ROWS($N$2:N412),$D$2:$E$1996,2,0),"")</f>
        <v>Φ18 Χ Φ22</v>
      </c>
    </row>
    <row r="413" spans="1:14">
      <c r="A413" s="5">
        <v>24</v>
      </c>
      <c r="B413" s="32">
        <f>IF(ISNUMBER(SEARCH('Φόρμα Εισαγωγής'!$B$2,C413)),MAX($B$1:B412)+1,0)</f>
        <v>412</v>
      </c>
      <c r="C413" s="7" t="s">
        <v>287</v>
      </c>
      <c r="D413" s="33">
        <f>IF(ISNUMBER(SEARCH('Φόρμα Εισαγωγής'!$C$2,E413)),MAX($D$1:D412)+1,0)</f>
        <v>412</v>
      </c>
      <c r="E413" s="17" t="s">
        <v>290</v>
      </c>
      <c r="F413" s="5">
        <v>0.34</v>
      </c>
      <c r="G413" s="5">
        <v>0.48</v>
      </c>
      <c r="H413" s="6">
        <f t="shared" si="27"/>
        <v>0.59519999999999995</v>
      </c>
      <c r="I413" s="6">
        <f t="shared" si="28"/>
        <v>8.16</v>
      </c>
      <c r="J413" s="6">
        <f t="shared" si="29"/>
        <v>14.284799999999999</v>
      </c>
      <c r="L413" s="4" t="str">
        <f>IFERROR(VLOOKUP(ROWS($L$2:L413),$B$2:$C$1996,2,0),"")</f>
        <v>ΣΥΣΤΟΛΗ ΧΑΛΚΟΥ</v>
      </c>
      <c r="N413" s="2" t="str">
        <f>IFERROR(VLOOKUP(ROWS($N$2:N413),$D$2:$E$1996,2,0),"")</f>
        <v>Φ15 Χ Φ22</v>
      </c>
    </row>
    <row r="414" spans="1:14">
      <c r="A414" s="5">
        <v>10</v>
      </c>
      <c r="B414" s="32">
        <f>IF(ISNUMBER(SEARCH('Φόρμα Εισαγωγής'!$B$2,C414)),MAX($B$1:B413)+1,0)</f>
        <v>413</v>
      </c>
      <c r="C414" s="7" t="s">
        <v>287</v>
      </c>
      <c r="D414" s="33">
        <f>IF(ISNUMBER(SEARCH('Φόρμα Εισαγωγής'!$C$2,E414)),MAX($D$1:D413)+1,0)</f>
        <v>413</v>
      </c>
      <c r="E414" s="17" t="s">
        <v>291</v>
      </c>
      <c r="F414" s="5">
        <v>0.67</v>
      </c>
      <c r="G414" s="5">
        <v>0.95</v>
      </c>
      <c r="H414" s="6">
        <f t="shared" si="27"/>
        <v>1.1779999999999999</v>
      </c>
      <c r="I414" s="6">
        <f t="shared" si="28"/>
        <v>6.7</v>
      </c>
      <c r="J414" s="6">
        <f t="shared" si="29"/>
        <v>11.78</v>
      </c>
      <c r="L414" s="4" t="str">
        <f>IFERROR(VLOOKUP(ROWS($L$2:L414),$B$2:$C$1996,2,0),"")</f>
        <v>ΣΥΣΤΟΛΗ ΧΑΛΚΟΥ</v>
      </c>
      <c r="N414" s="2" t="str">
        <f>IFERROR(VLOOKUP(ROWS($N$2:N414),$D$2:$E$1996,2,0),"")</f>
        <v>Φ28 Χ Φ15</v>
      </c>
    </row>
    <row r="415" spans="1:14">
      <c r="A415" s="5">
        <v>10</v>
      </c>
      <c r="B415" s="32">
        <f>IF(ISNUMBER(SEARCH('Φόρμα Εισαγωγής'!$B$2,C415)),MAX($B$1:B414)+1,0)</f>
        <v>414</v>
      </c>
      <c r="C415" s="7" t="s">
        <v>287</v>
      </c>
      <c r="D415" s="33">
        <f>IF(ISNUMBER(SEARCH('Φόρμα Εισαγωγής'!$C$2,E415)),MAX($D$1:D414)+1,0)</f>
        <v>414</v>
      </c>
      <c r="E415" s="17" t="s">
        <v>292</v>
      </c>
      <c r="F415" s="5">
        <v>0.52</v>
      </c>
      <c r="G415" s="5">
        <v>0.75</v>
      </c>
      <c r="H415" s="6">
        <f t="shared" si="27"/>
        <v>0.92999999999999994</v>
      </c>
      <c r="I415" s="6">
        <f t="shared" si="28"/>
        <v>5.2</v>
      </c>
      <c r="J415" s="6">
        <f t="shared" si="29"/>
        <v>9.2999999999999989</v>
      </c>
      <c r="L415" s="4" t="str">
        <f>IFERROR(VLOOKUP(ROWS($L$2:L415),$B$2:$C$1996,2,0),"")</f>
        <v>ΣΥΣΤΟΛΗ ΧΑΛΚΟΥ</v>
      </c>
      <c r="N415" s="2" t="str">
        <f>IFERROR(VLOOKUP(ROWS($N$2:N415),$D$2:$E$1996,2,0),"")</f>
        <v>Φ28 Χ Φ22</v>
      </c>
    </row>
    <row r="416" spans="1:14">
      <c r="A416" s="5">
        <v>3</v>
      </c>
      <c r="B416" s="32">
        <f>IF(ISNUMBER(SEARCH('Φόρμα Εισαγωγής'!$B$2,C416)),MAX($B$1:B415)+1,0)</f>
        <v>415</v>
      </c>
      <c r="C416" s="7" t="s">
        <v>287</v>
      </c>
      <c r="D416" s="33">
        <f>IF(ISNUMBER(SEARCH('Φόρμα Εισαγωγής'!$C$2,E416)),MAX($D$1:D415)+1,0)</f>
        <v>415</v>
      </c>
      <c r="E416" s="17" t="s">
        <v>293</v>
      </c>
      <c r="F416" s="5">
        <v>0.5</v>
      </c>
      <c r="G416" s="5">
        <v>0.69</v>
      </c>
      <c r="H416" s="6">
        <f t="shared" si="27"/>
        <v>0.85559999999999992</v>
      </c>
      <c r="I416" s="6">
        <f t="shared" si="28"/>
        <v>1.5</v>
      </c>
      <c r="J416" s="6">
        <f t="shared" si="29"/>
        <v>2.5667999999999997</v>
      </c>
      <c r="L416" s="4" t="str">
        <f>IFERROR(VLOOKUP(ROWS($L$2:L416),$B$2:$C$1996,2,0),"")</f>
        <v>ΣΥΣΤΟΛΗ ΧΑΛΚΟΥ</v>
      </c>
      <c r="N416" s="2" t="str">
        <f>IFERROR(VLOOKUP(ROWS($N$2:N416),$D$2:$E$1996,2,0),"")</f>
        <v>Φ28 Χ Φ18</v>
      </c>
    </row>
    <row r="417" spans="1:14">
      <c r="A417" s="5">
        <v>9</v>
      </c>
      <c r="B417" s="32">
        <f>IF(ISNUMBER(SEARCH('Φόρμα Εισαγωγής'!$B$2,C417)),MAX($B$1:B416)+1,0)</f>
        <v>416</v>
      </c>
      <c r="C417" s="7" t="s">
        <v>287</v>
      </c>
      <c r="D417" s="33">
        <f>IF(ISNUMBER(SEARCH('Φόρμα Εισαγωγής'!$C$2,E417)),MAX($D$1:D416)+1,0)</f>
        <v>416</v>
      </c>
      <c r="E417" s="17" t="s">
        <v>294</v>
      </c>
      <c r="F417" s="5">
        <v>0.93</v>
      </c>
      <c r="G417" s="5">
        <v>1.3</v>
      </c>
      <c r="H417" s="6">
        <f t="shared" si="27"/>
        <v>1.6120000000000001</v>
      </c>
      <c r="I417" s="6">
        <f t="shared" si="28"/>
        <v>8.370000000000001</v>
      </c>
      <c r="J417" s="6">
        <f t="shared" si="29"/>
        <v>14.508000000000001</v>
      </c>
      <c r="L417" s="4" t="str">
        <f>IFERROR(VLOOKUP(ROWS($L$2:L417),$B$2:$C$1996,2,0),"")</f>
        <v>ΣΥΣΤΟΛΗ ΧΑΛΚΟΥ</v>
      </c>
      <c r="N417" s="2" t="str">
        <f>IFERROR(VLOOKUP(ROWS($N$2:N417),$D$2:$E$1996,2,0),"")</f>
        <v>Φ35 Χ Φ28</v>
      </c>
    </row>
    <row r="418" spans="1:14">
      <c r="A418" s="5">
        <v>5</v>
      </c>
      <c r="B418" s="32">
        <f>IF(ISNUMBER(SEARCH('Φόρμα Εισαγωγής'!$B$2,C418)),MAX($B$1:B417)+1,0)</f>
        <v>417</v>
      </c>
      <c r="C418" s="7" t="s">
        <v>739</v>
      </c>
      <c r="D418" s="33">
        <f>IF(ISNUMBER(SEARCH('Φόρμα Εισαγωγής'!$C$2,E418)),MAX($D$1:D417)+1,0)</f>
        <v>417</v>
      </c>
      <c r="E418" s="17" t="s">
        <v>295</v>
      </c>
      <c r="F418" s="5">
        <v>0.76</v>
      </c>
      <c r="G418" s="5">
        <v>1.1000000000000001</v>
      </c>
      <c r="H418" s="6">
        <f t="shared" si="27"/>
        <v>1.3640000000000001</v>
      </c>
      <c r="I418" s="6">
        <f t="shared" si="28"/>
        <v>3.8</v>
      </c>
      <c r="J418" s="6">
        <f t="shared" si="29"/>
        <v>6.82</v>
      </c>
      <c r="L418" s="4" t="str">
        <f>IFERROR(VLOOKUP(ROWS($L$2:L418),$B$2:$C$1996,2,0),"")</f>
        <v>ΣΥΣΤΟΛΙΚΟ ΤΑΦ ΧΑΛΚΟΥ</v>
      </c>
      <c r="N418" s="2" t="str">
        <f>IFERROR(VLOOKUP(ROWS($N$2:N418),$D$2:$E$1996,2,0),"")</f>
        <v>Φ18 Χ Φ15 Χ Φ18</v>
      </c>
    </row>
    <row r="419" spans="1:14">
      <c r="A419" s="5">
        <v>8</v>
      </c>
      <c r="B419" s="32">
        <f>IF(ISNUMBER(SEARCH('Φόρμα Εισαγωγής'!$B$2,C419)),MAX($B$1:B418)+1,0)</f>
        <v>418</v>
      </c>
      <c r="C419" s="7" t="s">
        <v>739</v>
      </c>
      <c r="D419" s="33">
        <f>IF(ISNUMBER(SEARCH('Φόρμα Εισαγωγής'!$C$2,E419)),MAX($D$1:D418)+1,0)</f>
        <v>418</v>
      </c>
      <c r="E419" s="17" t="s">
        <v>296</v>
      </c>
      <c r="F419" s="5">
        <v>0.92</v>
      </c>
      <c r="G419" s="5">
        <v>1.3</v>
      </c>
      <c r="H419" s="6">
        <f t="shared" si="27"/>
        <v>1.6120000000000001</v>
      </c>
      <c r="I419" s="6">
        <f t="shared" si="28"/>
        <v>7.36</v>
      </c>
      <c r="J419" s="6">
        <f t="shared" si="29"/>
        <v>12.896000000000001</v>
      </c>
      <c r="L419" s="4" t="str">
        <f>IFERROR(VLOOKUP(ROWS($L$2:L419),$B$2:$C$1996,2,0),"")</f>
        <v>ΣΥΣΤΟΛΙΚΟ ΤΑΦ ΧΑΛΚΟΥ</v>
      </c>
      <c r="N419" s="2" t="str">
        <f>IFERROR(VLOOKUP(ROWS($N$2:N419),$D$2:$E$1996,2,0),"")</f>
        <v>Φ22 Χ Φ15 Χ Φ22</v>
      </c>
    </row>
    <row r="420" spans="1:14">
      <c r="A420" s="5">
        <v>9</v>
      </c>
      <c r="B420" s="32">
        <f>IF(ISNUMBER(SEARCH('Φόρμα Εισαγωγής'!$B$2,C420)),MAX($B$1:B419)+1,0)</f>
        <v>419</v>
      </c>
      <c r="C420" s="7" t="s">
        <v>739</v>
      </c>
      <c r="D420" s="33">
        <f>IF(ISNUMBER(SEARCH('Φόρμα Εισαγωγής'!$C$2,E420)),MAX($D$1:D419)+1,0)</f>
        <v>419</v>
      </c>
      <c r="E420" s="17" t="s">
        <v>297</v>
      </c>
      <c r="F420" s="5">
        <v>0.98</v>
      </c>
      <c r="G420" s="5">
        <v>1.37</v>
      </c>
      <c r="H420" s="6">
        <f t="shared" si="27"/>
        <v>1.6988000000000001</v>
      </c>
      <c r="I420" s="6">
        <f t="shared" si="28"/>
        <v>8.82</v>
      </c>
      <c r="J420" s="6">
        <f t="shared" si="29"/>
        <v>15.289200000000001</v>
      </c>
      <c r="L420" s="4" t="str">
        <f>IFERROR(VLOOKUP(ROWS($L$2:L420),$B$2:$C$1996,2,0),"")</f>
        <v>ΣΥΣΤΟΛΙΚΟ ΤΑΦ ΧΑΛΚΟΥ</v>
      </c>
      <c r="N420" s="2" t="str">
        <f>IFERROR(VLOOKUP(ROWS($N$2:N420),$D$2:$E$1996,2,0),"")</f>
        <v>Φ22 Χ Φ15 Χ Φ18</v>
      </c>
    </row>
    <row r="421" spans="1:14">
      <c r="A421" s="5">
        <v>6</v>
      </c>
      <c r="B421" s="32">
        <f>IF(ISNUMBER(SEARCH('Φόρμα Εισαγωγής'!$B$2,C421)),MAX($B$1:B420)+1,0)</f>
        <v>420</v>
      </c>
      <c r="C421" s="7" t="s">
        <v>739</v>
      </c>
      <c r="D421" s="33">
        <f>IF(ISNUMBER(SEARCH('Φόρμα Εισαγωγής'!$C$2,E421)),MAX($D$1:D420)+1,0)</f>
        <v>420</v>
      </c>
      <c r="E421" s="17" t="s">
        <v>298</v>
      </c>
      <c r="F421" s="5">
        <v>0.98</v>
      </c>
      <c r="G421" s="5">
        <v>1.37</v>
      </c>
      <c r="H421" s="6">
        <f t="shared" si="27"/>
        <v>1.6988000000000001</v>
      </c>
      <c r="I421" s="6">
        <f t="shared" si="28"/>
        <v>5.88</v>
      </c>
      <c r="J421" s="6">
        <f t="shared" si="29"/>
        <v>10.1928</v>
      </c>
      <c r="L421" s="4" t="str">
        <f>IFERROR(VLOOKUP(ROWS($L$2:L421),$B$2:$C$1996,2,0),"")</f>
        <v>ΣΥΣΤΟΛΙΚΟ ΤΑΦ ΧΑΛΚΟΥ</v>
      </c>
      <c r="N421" s="2" t="str">
        <f>IFERROR(VLOOKUP(ROWS($N$2:N421),$D$2:$E$1996,2,0),"")</f>
        <v>Φ22 Χ Φ18 Χ Φ18</v>
      </c>
    </row>
    <row r="422" spans="1:14">
      <c r="A422" s="5">
        <v>10</v>
      </c>
      <c r="B422" s="32">
        <f>IF(ISNUMBER(SEARCH('Φόρμα Εισαγωγής'!$B$2,C422)),MAX($B$1:B421)+1,0)</f>
        <v>421</v>
      </c>
      <c r="C422" s="7" t="s">
        <v>739</v>
      </c>
      <c r="D422" s="33">
        <f>IF(ISNUMBER(SEARCH('Φόρμα Εισαγωγής'!$C$2,E422)),MAX($D$1:D421)+1,0)</f>
        <v>421</v>
      </c>
      <c r="E422" s="17" t="s">
        <v>299</v>
      </c>
      <c r="F422" s="5">
        <v>0.73</v>
      </c>
      <c r="G422" s="5">
        <v>1.1000000000000001</v>
      </c>
      <c r="H422" s="6">
        <f t="shared" si="27"/>
        <v>1.3640000000000001</v>
      </c>
      <c r="I422" s="6">
        <f t="shared" si="28"/>
        <v>7.3</v>
      </c>
      <c r="J422" s="6">
        <f t="shared" si="29"/>
        <v>13.64</v>
      </c>
      <c r="L422" s="4" t="str">
        <f>IFERROR(VLOOKUP(ROWS($L$2:L422),$B$2:$C$1996,2,0),"")</f>
        <v>ΣΥΣΤΟΛΙΚΟ ΤΑΦ ΧΑΛΚΟΥ</v>
      </c>
      <c r="N422" s="2" t="str">
        <f>IFERROR(VLOOKUP(ROWS($N$2:N422),$D$2:$E$1996,2,0),"")</f>
        <v>Φ18 Χ Φ15 Χ Φ15</v>
      </c>
    </row>
    <row r="423" spans="1:14">
      <c r="A423" s="5">
        <v>15</v>
      </c>
      <c r="B423" s="32">
        <f>IF(ISNUMBER(SEARCH('Φόρμα Εισαγωγής'!$B$2,C423)),MAX($B$1:B422)+1,0)</f>
        <v>422</v>
      </c>
      <c r="C423" s="7" t="s">
        <v>739</v>
      </c>
      <c r="D423" s="33">
        <f>IF(ISNUMBER(SEARCH('Φόρμα Εισαγωγής'!$C$2,E423)),MAX($D$1:D422)+1,0)</f>
        <v>422</v>
      </c>
      <c r="E423" s="17" t="s">
        <v>300</v>
      </c>
      <c r="F423" s="5">
        <v>1.49</v>
      </c>
      <c r="G423" s="5">
        <v>2.1</v>
      </c>
      <c r="H423" s="6">
        <f t="shared" si="27"/>
        <v>2.6040000000000001</v>
      </c>
      <c r="I423" s="6">
        <f t="shared" si="28"/>
        <v>22.35</v>
      </c>
      <c r="J423" s="6">
        <f t="shared" si="29"/>
        <v>39.06</v>
      </c>
      <c r="L423" s="4" t="str">
        <f>IFERROR(VLOOKUP(ROWS($L$2:L423),$B$2:$C$1996,2,0),"")</f>
        <v>ΣΥΣΤΟΛΙΚΟ ΤΑΦ ΧΑΛΚΟΥ</v>
      </c>
      <c r="N423" s="2" t="str">
        <f>IFERROR(VLOOKUP(ROWS($N$2:N423),$D$2:$E$1996,2,0),"")</f>
        <v>Φ28 Χ Φ15 Χ Φ28</v>
      </c>
    </row>
    <row r="424" spans="1:14">
      <c r="A424" s="5">
        <v>7</v>
      </c>
      <c r="B424" s="32">
        <f>IF(ISNUMBER(SEARCH('Φόρμα Εισαγωγής'!$B$2,C424)),MAX($B$1:B423)+1,0)</f>
        <v>423</v>
      </c>
      <c r="C424" s="7" t="s">
        <v>739</v>
      </c>
      <c r="D424" s="33">
        <f>IF(ISNUMBER(SEARCH('Φόρμα Εισαγωγής'!$C$2,E424)),MAX($D$1:D423)+1,0)</f>
        <v>423</v>
      </c>
      <c r="E424" s="17" t="s">
        <v>301</v>
      </c>
      <c r="F424" s="5">
        <v>1.52</v>
      </c>
      <c r="G424" s="5">
        <v>2.15</v>
      </c>
      <c r="H424" s="6">
        <f t="shared" si="27"/>
        <v>2.6659999999999999</v>
      </c>
      <c r="I424" s="6">
        <f t="shared" si="28"/>
        <v>10.64</v>
      </c>
      <c r="J424" s="6">
        <f t="shared" si="29"/>
        <v>18.661999999999999</v>
      </c>
      <c r="L424" s="4" t="str">
        <f>IFERROR(VLOOKUP(ROWS($L$2:L424),$B$2:$C$1996,2,0),"")</f>
        <v>ΣΥΣΤΟΛΙΚΟ ΤΑΦ ΧΑΛΚΟΥ</v>
      </c>
      <c r="N424" s="2" t="str">
        <f>IFERROR(VLOOKUP(ROWS($N$2:N424),$D$2:$E$1996,2,0),"")</f>
        <v>Φ28 Χ Φ18 Χ Φ28</v>
      </c>
    </row>
    <row r="425" spans="1:14">
      <c r="A425" s="5">
        <v>10</v>
      </c>
      <c r="B425" s="32">
        <f>IF(ISNUMBER(SEARCH('Φόρμα Εισαγωγής'!$B$2,C425)),MAX($B$1:B424)+1,0)</f>
        <v>424</v>
      </c>
      <c r="C425" s="7" t="s">
        <v>739</v>
      </c>
      <c r="D425" s="33">
        <f>IF(ISNUMBER(SEARCH('Φόρμα Εισαγωγής'!$C$2,E425)),MAX($D$1:D424)+1,0)</f>
        <v>424</v>
      </c>
      <c r="E425" s="17" t="s">
        <v>302</v>
      </c>
      <c r="F425" s="5">
        <v>1</v>
      </c>
      <c r="G425" s="5">
        <v>1.4</v>
      </c>
      <c r="H425" s="6">
        <f t="shared" si="27"/>
        <v>1.7359999999999998</v>
      </c>
      <c r="I425" s="6">
        <f t="shared" si="28"/>
        <v>10</v>
      </c>
      <c r="J425" s="6">
        <f t="shared" si="29"/>
        <v>17.36</v>
      </c>
      <c r="L425" s="4" t="str">
        <f>IFERROR(VLOOKUP(ROWS($L$2:L425),$B$2:$C$1996,2,0),"")</f>
        <v>ΣΥΣΤΟΛΙΚΟ ΤΑΦ ΧΑΛΚΟΥ</v>
      </c>
      <c r="N425" s="2" t="str">
        <f>IFERROR(VLOOKUP(ROWS($N$2:N425),$D$2:$E$1996,2,0),"")</f>
        <v>Φ22 Χ Φ18 Χ Φ22</v>
      </c>
    </row>
    <row r="426" spans="1:14">
      <c r="A426" s="5">
        <v>10</v>
      </c>
      <c r="B426" s="32">
        <f>IF(ISNUMBER(SEARCH('Φόρμα Εισαγωγής'!$B$2,C426)),MAX($B$1:B425)+1,0)</f>
        <v>425</v>
      </c>
      <c r="C426" s="7" t="s">
        <v>739</v>
      </c>
      <c r="D426" s="33">
        <f>IF(ISNUMBER(SEARCH('Φόρμα Εισαγωγής'!$C$2,E426)),MAX($D$1:D425)+1,0)</f>
        <v>425</v>
      </c>
      <c r="E426" s="17" t="s">
        <v>303</v>
      </c>
      <c r="F426" s="5">
        <v>1.17</v>
      </c>
      <c r="G426" s="5">
        <v>1.63</v>
      </c>
      <c r="H426" s="6">
        <f t="shared" si="27"/>
        <v>2.0211999999999999</v>
      </c>
      <c r="I426" s="6">
        <f t="shared" si="28"/>
        <v>11.7</v>
      </c>
      <c r="J426" s="6">
        <f t="shared" si="29"/>
        <v>20.212</v>
      </c>
      <c r="L426" s="4" t="str">
        <f>IFERROR(VLOOKUP(ROWS($L$2:L426),$B$2:$C$1996,2,0),"")</f>
        <v>ΣΥΣΤΟΛΙΚΟ ΤΑΦ ΧΑΛΚΟΥ</v>
      </c>
      <c r="N426" s="2" t="str">
        <f>IFERROR(VLOOKUP(ROWS($N$2:N426),$D$2:$E$1996,2,0),"")</f>
        <v>Φ22 Χ Φ22 Χ Φ15</v>
      </c>
    </row>
    <row r="427" spans="1:14">
      <c r="A427" s="5">
        <v>9</v>
      </c>
      <c r="B427" s="32">
        <f>IF(ISNUMBER(SEARCH('Φόρμα Εισαγωγής'!$B$2,C427)),MAX($B$1:B426)+1,0)</f>
        <v>426</v>
      </c>
      <c r="C427" s="7" t="s">
        <v>739</v>
      </c>
      <c r="D427" s="33">
        <f>IF(ISNUMBER(SEARCH('Φόρμα Εισαγωγής'!$C$2,E427)),MAX($D$1:D426)+1,0)</f>
        <v>426</v>
      </c>
      <c r="E427" s="17" t="s">
        <v>304</v>
      </c>
      <c r="F427" s="5">
        <v>3</v>
      </c>
      <c r="G427" s="5">
        <v>4.3</v>
      </c>
      <c r="H427" s="6">
        <f t="shared" si="27"/>
        <v>5.3319999999999999</v>
      </c>
      <c r="I427" s="6">
        <f t="shared" si="28"/>
        <v>27</v>
      </c>
      <c r="J427" s="6">
        <f t="shared" si="29"/>
        <v>47.988</v>
      </c>
      <c r="L427" s="4" t="str">
        <f>IFERROR(VLOOKUP(ROWS($L$2:L427),$B$2:$C$1996,2,0),"")</f>
        <v>ΣΥΣΤΟΛΙΚΟ ΤΑΦ ΧΑΛΚΟΥ</v>
      </c>
      <c r="N427" s="2" t="str">
        <f>IFERROR(VLOOKUP(ROWS($N$2:N427),$D$2:$E$1996,2,0),"")</f>
        <v>Φ28 Χ Φ22 Χ Φ18</v>
      </c>
    </row>
    <row r="428" spans="1:14">
      <c r="A428" s="5">
        <v>420</v>
      </c>
      <c r="B428" s="32">
        <f>IF(ISNUMBER(SEARCH('Φόρμα Εισαγωγής'!$B$2,C428)),MAX($B$1:B427)+1,0)</f>
        <v>427</v>
      </c>
      <c r="C428" s="7" t="s">
        <v>305</v>
      </c>
      <c r="D428" s="33">
        <f>IF(ISNUMBER(SEARCH('Φόρμα Εισαγωγής'!$C$2,E428)),MAX($D$1:D427)+1,0)</f>
        <v>427</v>
      </c>
      <c r="E428" s="17" t="s">
        <v>306</v>
      </c>
      <c r="F428" s="5">
        <v>0.25</v>
      </c>
      <c r="G428" s="5">
        <v>0.36</v>
      </c>
      <c r="H428" s="6">
        <f t="shared" si="27"/>
        <v>0.44639999999999996</v>
      </c>
      <c r="I428" s="6">
        <f t="shared" si="28"/>
        <v>105</v>
      </c>
      <c r="J428" s="6">
        <f t="shared" si="29"/>
        <v>187.48799999999997</v>
      </c>
      <c r="L428" s="4" t="str">
        <f>IFERROR(VLOOKUP(ROWS($L$2:L428),$B$2:$C$1996,2,0),"")</f>
        <v>ΜΟΝΩΣΗ ΜΑΥΡΗ ISOPIPE</v>
      </c>
      <c r="N428" s="2" t="str">
        <f>IFERROR(VLOOKUP(ROWS($N$2:N428),$D$2:$E$1996,2,0),"")</f>
        <v xml:space="preserve">9 Χ 18 </v>
      </c>
    </row>
    <row r="429" spans="1:14">
      <c r="A429" s="5">
        <v>105.5</v>
      </c>
      <c r="B429" s="32">
        <f>IF(ISNUMBER(SEARCH('Φόρμα Εισαγωγής'!$B$2,C429)),MAX($B$1:B428)+1,0)</f>
        <v>428</v>
      </c>
      <c r="C429" s="7" t="s">
        <v>305</v>
      </c>
      <c r="D429" s="33">
        <f>IF(ISNUMBER(SEARCH('Φόρμα Εισαγωγής'!$C$2,E429)),MAX($D$1:D428)+1,0)</f>
        <v>428</v>
      </c>
      <c r="E429" s="17" t="s">
        <v>307</v>
      </c>
      <c r="F429" s="5">
        <v>0.27</v>
      </c>
      <c r="G429" s="5">
        <v>0.37</v>
      </c>
      <c r="H429" s="6">
        <f t="shared" si="27"/>
        <v>0.45879999999999999</v>
      </c>
      <c r="I429" s="6">
        <f t="shared" si="28"/>
        <v>28.485000000000003</v>
      </c>
      <c r="J429" s="6">
        <f t="shared" si="29"/>
        <v>48.403399999999998</v>
      </c>
      <c r="L429" s="4" t="str">
        <f>IFERROR(VLOOKUP(ROWS($L$2:L429),$B$2:$C$1996,2,0),"")</f>
        <v>ΜΟΝΩΣΗ ΜΑΥΡΗ ISOPIPE</v>
      </c>
      <c r="N429" s="2" t="str">
        <f>IFERROR(VLOOKUP(ROWS($N$2:N429),$D$2:$E$1996,2,0),"")</f>
        <v>9 Χ 22</v>
      </c>
    </row>
    <row r="430" spans="1:14">
      <c r="A430" s="5">
        <v>150</v>
      </c>
      <c r="B430" s="32">
        <f>IF(ISNUMBER(SEARCH('Φόρμα Εισαγωγής'!$B$2,C430)),MAX($B$1:B429)+1,0)</f>
        <v>429</v>
      </c>
      <c r="C430" s="7" t="s">
        <v>305</v>
      </c>
      <c r="D430" s="33">
        <f>IF(ISNUMBER(SEARCH('Φόρμα Εισαγωγής'!$C$2,E430)),MAX($D$1:D429)+1,0)</f>
        <v>429</v>
      </c>
      <c r="E430" s="17" t="s">
        <v>308</v>
      </c>
      <c r="F430" s="5">
        <v>0.36</v>
      </c>
      <c r="G430" s="5">
        <v>0.5</v>
      </c>
      <c r="H430" s="6">
        <f t="shared" si="27"/>
        <v>0.62</v>
      </c>
      <c r="I430" s="6">
        <f t="shared" si="28"/>
        <v>54</v>
      </c>
      <c r="J430" s="6">
        <f t="shared" si="29"/>
        <v>93</v>
      </c>
      <c r="L430" s="4" t="str">
        <f>IFERROR(VLOOKUP(ROWS($L$2:L430),$B$2:$C$1996,2,0),"")</f>
        <v>ΜΟΝΩΣΗ ΜΑΥΡΗ ISOPIPE</v>
      </c>
      <c r="N430" s="2" t="str">
        <f>IFERROR(VLOOKUP(ROWS($N$2:N430),$D$2:$E$1996,2,0),"")</f>
        <v>9 Χ 28</v>
      </c>
    </row>
    <row r="431" spans="1:14">
      <c r="A431" s="5">
        <v>24</v>
      </c>
      <c r="B431" s="32">
        <f>IF(ISNUMBER(SEARCH('Φόρμα Εισαγωγής'!$B$2,C431)),MAX($B$1:B430)+1,0)</f>
        <v>430</v>
      </c>
      <c r="C431" s="7" t="s">
        <v>305</v>
      </c>
      <c r="D431" s="33">
        <f>IF(ISNUMBER(SEARCH('Φόρμα Εισαγωγής'!$C$2,E431)),MAX($D$1:D430)+1,0)</f>
        <v>430</v>
      </c>
      <c r="E431" s="17" t="s">
        <v>309</v>
      </c>
      <c r="F431" s="5">
        <v>0.39</v>
      </c>
      <c r="G431" s="5">
        <v>0.55000000000000004</v>
      </c>
      <c r="H431" s="6">
        <f t="shared" si="27"/>
        <v>0.68200000000000005</v>
      </c>
      <c r="I431" s="6">
        <f t="shared" si="28"/>
        <v>9.36</v>
      </c>
      <c r="J431" s="6">
        <f t="shared" si="29"/>
        <v>16.368000000000002</v>
      </c>
      <c r="L431" s="4" t="str">
        <f>IFERROR(VLOOKUP(ROWS($L$2:L431),$B$2:$C$1996,2,0),"")</f>
        <v>ΜΟΝΩΣΗ ΜΑΥΡΗ ISOPIPE</v>
      </c>
      <c r="N431" s="2" t="str">
        <f>IFERROR(VLOOKUP(ROWS($N$2:N431),$D$2:$E$1996,2,0),"")</f>
        <v>9 Χ 35</v>
      </c>
    </row>
    <row r="432" spans="1:14">
      <c r="A432" s="5">
        <v>57</v>
      </c>
      <c r="B432" s="32">
        <f>IF(ISNUMBER(SEARCH('Φόρμα Εισαγωγής'!$B$2,C432)),MAX($B$1:B431)+1,0)</f>
        <v>431</v>
      </c>
      <c r="C432" s="7" t="s">
        <v>305</v>
      </c>
      <c r="D432" s="33">
        <f>IF(ISNUMBER(SEARCH('Φόρμα Εισαγωγής'!$C$2,E432)),MAX($D$1:D431)+1,0)</f>
        <v>431</v>
      </c>
      <c r="E432" s="17" t="s">
        <v>310</v>
      </c>
      <c r="F432" s="5">
        <v>0.48</v>
      </c>
      <c r="G432" s="5">
        <v>0.67</v>
      </c>
      <c r="H432" s="6">
        <f t="shared" si="27"/>
        <v>0.83079999999999998</v>
      </c>
      <c r="I432" s="6">
        <f t="shared" si="28"/>
        <v>27.36</v>
      </c>
      <c r="J432" s="6">
        <f t="shared" si="29"/>
        <v>47.355599999999995</v>
      </c>
      <c r="L432" s="4" t="str">
        <f>IFERROR(VLOOKUP(ROWS($L$2:L432),$B$2:$C$1996,2,0),"")</f>
        <v>ΜΟΝΩΣΗ ΜΑΥΡΗ ISOPIPE</v>
      </c>
      <c r="N432" s="2" t="str">
        <f>IFERROR(VLOOKUP(ROWS($N$2:N432),$D$2:$E$1996,2,0),"")</f>
        <v>9 Χ 42</v>
      </c>
    </row>
    <row r="433" spans="1:14">
      <c r="A433" s="5">
        <v>70.5</v>
      </c>
      <c r="B433" s="32">
        <f>IF(ISNUMBER(SEARCH('Φόρμα Εισαγωγής'!$B$2,C433)),MAX($B$1:B432)+1,0)</f>
        <v>432</v>
      </c>
      <c r="C433" s="7" t="s">
        <v>311</v>
      </c>
      <c r="D433" s="33">
        <f>IF(ISNUMBER(SEARCH('Φόρμα Εισαγωγής'!$C$2,E433)),MAX($D$1:D432)+1,0)</f>
        <v>432</v>
      </c>
      <c r="E433" s="17" t="s">
        <v>306</v>
      </c>
      <c r="F433" s="5">
        <v>0.5</v>
      </c>
      <c r="G433" s="5">
        <v>0.7</v>
      </c>
      <c r="H433" s="6">
        <f t="shared" si="27"/>
        <v>0.86799999999999988</v>
      </c>
      <c r="I433" s="6">
        <f t="shared" si="28"/>
        <v>35.25</v>
      </c>
      <c r="J433" s="6">
        <f t="shared" si="29"/>
        <v>61.193999999999988</v>
      </c>
      <c r="L433" s="4" t="str">
        <f>IFERROR(VLOOKUP(ROWS($L$2:L433),$B$2:$C$1996,2,0),"")</f>
        <v>ΜΟΝΩΣΗ ΛΕΥΚΗ ISOPIPE</v>
      </c>
      <c r="N433" s="2" t="str">
        <f>IFERROR(VLOOKUP(ROWS($N$2:N433),$D$2:$E$1996,2,0),"")</f>
        <v xml:space="preserve">9 Χ 18 </v>
      </c>
    </row>
    <row r="434" spans="1:14">
      <c r="A434" s="5">
        <v>120</v>
      </c>
      <c r="B434" s="32">
        <f>IF(ISNUMBER(SEARCH('Φόρμα Εισαγωγής'!$B$2,C434)),MAX($B$1:B433)+1,0)</f>
        <v>433</v>
      </c>
      <c r="C434" s="7" t="s">
        <v>311</v>
      </c>
      <c r="D434" s="33">
        <f>IF(ISNUMBER(SEARCH('Φόρμα Εισαγωγής'!$C$2,E434)),MAX($D$1:D433)+1,0)</f>
        <v>433</v>
      </c>
      <c r="E434" s="17" t="s">
        <v>307</v>
      </c>
      <c r="F434" s="5">
        <v>0.6</v>
      </c>
      <c r="G434" s="5">
        <v>0.85</v>
      </c>
      <c r="H434" s="6">
        <f t="shared" si="27"/>
        <v>1.054</v>
      </c>
      <c r="I434" s="6">
        <f t="shared" si="28"/>
        <v>72</v>
      </c>
      <c r="J434" s="6">
        <f t="shared" si="29"/>
        <v>126.48</v>
      </c>
      <c r="L434" s="4" t="str">
        <f>IFERROR(VLOOKUP(ROWS($L$2:L434),$B$2:$C$1996,2,0),"")</f>
        <v>ΜΟΝΩΣΗ ΛΕΥΚΗ ISOPIPE</v>
      </c>
      <c r="N434" s="2" t="str">
        <f>IFERROR(VLOOKUP(ROWS($N$2:N434),$D$2:$E$1996,2,0),"")</f>
        <v>9 Χ 22</v>
      </c>
    </row>
    <row r="435" spans="1:14">
      <c r="A435" s="5">
        <v>60</v>
      </c>
      <c r="B435" s="32">
        <f>IF(ISNUMBER(SEARCH('Φόρμα Εισαγωγής'!$B$2,C435)),MAX($B$1:B434)+1,0)</f>
        <v>434</v>
      </c>
      <c r="C435" s="7" t="s">
        <v>740</v>
      </c>
      <c r="D435" s="33">
        <f>IF(ISNUMBER(SEARCH('Φόρμα Εισαγωγής'!$C$2,E435)),MAX($D$1:D434)+1,0)</f>
        <v>434</v>
      </c>
      <c r="E435" s="17" t="s">
        <v>32</v>
      </c>
      <c r="F435" s="5">
        <v>0.25</v>
      </c>
      <c r="G435" s="5">
        <v>0.35</v>
      </c>
      <c r="H435" s="6">
        <f t="shared" si="27"/>
        <v>0.43399999999999994</v>
      </c>
      <c r="I435" s="6">
        <f t="shared" si="28"/>
        <v>15</v>
      </c>
      <c r="J435" s="6">
        <f t="shared" si="29"/>
        <v>26.039999999999996</v>
      </c>
      <c r="L435" s="4" t="str">
        <f>IFERROR(VLOOKUP(ROWS($L$2:L435),$B$2:$C$1996,2,0),"")</f>
        <v>ΣΤΗΡΙΓΜΑ ΜΕΤΑΛΛΙΚΟ Β.Τ. RIM</v>
      </c>
      <c r="N435" s="2" t="str">
        <f>IFERROR(VLOOKUP(ROWS($N$2:N435),$D$2:$E$1996,2,0),"")</f>
        <v>1/2</v>
      </c>
    </row>
    <row r="436" spans="1:14" ht="18" customHeight="1">
      <c r="A436" s="5">
        <v>13</v>
      </c>
      <c r="B436" s="32">
        <f>IF(ISNUMBER(SEARCH('Φόρμα Εισαγωγής'!$B$2,C436)),MAX($B$1:B435)+1,0)</f>
        <v>435</v>
      </c>
      <c r="C436" s="7" t="s">
        <v>741</v>
      </c>
      <c r="D436" s="33">
        <f>IF(ISNUMBER(SEARCH('Φόρμα Εισαγωγής'!$C$2,E436)),MAX($D$1:D435)+1,0)</f>
        <v>435</v>
      </c>
      <c r="E436" s="17" t="s">
        <v>32</v>
      </c>
      <c r="F436" s="5">
        <v>0.8</v>
      </c>
      <c r="G436" s="5">
        <v>1.1499999999999999</v>
      </c>
      <c r="H436" s="6">
        <f t="shared" si="27"/>
        <v>1.4259999999999999</v>
      </c>
      <c r="I436" s="6">
        <f t="shared" si="28"/>
        <v>10.4</v>
      </c>
      <c r="J436" s="6">
        <f t="shared" si="29"/>
        <v>18.538</v>
      </c>
      <c r="L436" s="4" t="str">
        <f>IFERROR(VLOOKUP(ROWS($L$2:L436),$B$2:$C$1996,2,0),"")</f>
        <v>ΣΤΗΡΙΓΜΑ ΜΕΤΑΛΛΙΚΟ ΛΑΣΤ Β.Τ. PRATIKO</v>
      </c>
      <c r="N436" s="2" t="str">
        <f>IFERROR(VLOOKUP(ROWS($N$2:N436),$D$2:$E$1996,2,0),"")</f>
        <v>1/2</v>
      </c>
    </row>
    <row r="437" spans="1:14">
      <c r="A437" s="5">
        <v>46</v>
      </c>
      <c r="B437" s="32">
        <f>IF(ISNUMBER(SEARCH('Φόρμα Εισαγωγής'!$B$2,C437)),MAX($B$1:B436)+1,0)</f>
        <v>436</v>
      </c>
      <c r="C437" s="7" t="s">
        <v>742</v>
      </c>
      <c r="D437" s="33">
        <f>IF(ISNUMBER(SEARCH('Φόρμα Εισαγωγής'!$C$2,E437)),MAX($D$1:D436)+1,0)</f>
        <v>436</v>
      </c>
      <c r="E437" s="17" t="s">
        <v>33</v>
      </c>
      <c r="F437" s="5">
        <v>0.28000000000000003</v>
      </c>
      <c r="G437" s="5">
        <v>0.4</v>
      </c>
      <c r="H437" s="6">
        <f t="shared" si="27"/>
        <v>0.496</v>
      </c>
      <c r="I437" s="6">
        <f t="shared" si="28"/>
        <v>12.88</v>
      </c>
      <c r="J437" s="6">
        <f t="shared" si="29"/>
        <v>22.815999999999999</v>
      </c>
      <c r="L437" s="4" t="str">
        <f>IFERROR(VLOOKUP(ROWS($L$2:L437),$B$2:$C$1996,2,0),"")</f>
        <v>ΣΤΗΡΙΓΜΑ ΜΕΤΑΛΛΙΚΟ B.T. RIM</v>
      </c>
      <c r="N437" s="2" t="str">
        <f>IFERROR(VLOOKUP(ROWS($N$2:N437),$D$2:$E$1996,2,0),"")</f>
        <v>3/4</v>
      </c>
    </row>
    <row r="438" spans="1:14" ht="17.45" customHeight="1">
      <c r="A438" s="5">
        <v>47</v>
      </c>
      <c r="B438" s="32">
        <f>IF(ISNUMBER(SEARCH('Φόρμα Εισαγωγής'!$B$2,C438)),MAX($B$1:B437)+1,0)</f>
        <v>437</v>
      </c>
      <c r="C438" s="7" t="s">
        <v>741</v>
      </c>
      <c r="D438" s="33">
        <f>IF(ISNUMBER(SEARCH('Φόρμα Εισαγωγής'!$C$2,E438)),MAX($D$1:D437)+1,0)</f>
        <v>437</v>
      </c>
      <c r="E438" s="17" t="s">
        <v>33</v>
      </c>
      <c r="F438" s="5">
        <v>0.85</v>
      </c>
      <c r="G438" s="5">
        <v>1.2</v>
      </c>
      <c r="H438" s="6">
        <f t="shared" si="27"/>
        <v>1.488</v>
      </c>
      <c r="I438" s="6">
        <f t="shared" si="28"/>
        <v>39.949999999999996</v>
      </c>
      <c r="J438" s="6">
        <f t="shared" si="29"/>
        <v>69.935999999999993</v>
      </c>
      <c r="L438" s="4" t="str">
        <f>IFERROR(VLOOKUP(ROWS($L$2:L438),$B$2:$C$1996,2,0),"")</f>
        <v>ΣΤΗΡΙΓΜΑ ΜΕΤΑΛΛΙΚΟ ΛΑΣΤ Β.Τ. PRATIKO</v>
      </c>
      <c r="N438" s="2" t="str">
        <f>IFERROR(VLOOKUP(ROWS($N$2:N438),$D$2:$E$1996,2,0),"")</f>
        <v>3/4</v>
      </c>
    </row>
    <row r="439" spans="1:14">
      <c r="A439" s="5">
        <v>13</v>
      </c>
      <c r="B439" s="32">
        <f>IF(ISNUMBER(SEARCH('Φόρμα Εισαγωγής'!$B$2,C439)),MAX($B$1:B438)+1,0)</f>
        <v>438</v>
      </c>
      <c r="C439" s="7" t="s">
        <v>742</v>
      </c>
      <c r="D439" s="33">
        <f>IF(ISNUMBER(SEARCH('Φόρμα Εισαγωγής'!$C$2,E439)),MAX($D$1:D438)+1,0)</f>
        <v>438</v>
      </c>
      <c r="E439" s="17" t="s">
        <v>34</v>
      </c>
      <c r="F439" s="5">
        <v>0.3</v>
      </c>
      <c r="G439" s="5">
        <v>0.45</v>
      </c>
      <c r="H439" s="6">
        <f t="shared" si="27"/>
        <v>0.55800000000000005</v>
      </c>
      <c r="I439" s="6">
        <f t="shared" si="28"/>
        <v>3.9</v>
      </c>
      <c r="J439" s="6">
        <f t="shared" si="29"/>
        <v>7.2540000000000004</v>
      </c>
      <c r="L439" s="4" t="str">
        <f>IFERROR(VLOOKUP(ROWS($L$2:L439),$B$2:$C$1996,2,0),"")</f>
        <v>ΣΤΗΡΙΓΜΑ ΜΕΤΑΛΛΙΚΟ B.T. RIM</v>
      </c>
      <c r="N439" s="2" t="str">
        <f>IFERROR(VLOOKUP(ROWS($N$2:N439),$D$2:$E$1996,2,0),"")</f>
        <v>1''</v>
      </c>
    </row>
    <row r="440" spans="1:14">
      <c r="A440" s="5">
        <v>23</v>
      </c>
      <c r="B440" s="32">
        <f>IF(ISNUMBER(SEARCH('Φόρμα Εισαγωγής'!$B$2,C440)),MAX($B$1:B439)+1,0)</f>
        <v>439</v>
      </c>
      <c r="C440" s="7" t="s">
        <v>742</v>
      </c>
      <c r="D440" s="33">
        <f>IF(ISNUMBER(SEARCH('Φόρμα Εισαγωγής'!$C$2,E440)),MAX($D$1:D439)+1,0)</f>
        <v>439</v>
      </c>
      <c r="E440" s="17" t="s">
        <v>35</v>
      </c>
      <c r="F440" s="5">
        <v>0.35</v>
      </c>
      <c r="G440" s="5">
        <v>0.5</v>
      </c>
      <c r="H440" s="6">
        <f t="shared" si="27"/>
        <v>0.62</v>
      </c>
      <c r="I440" s="6">
        <f t="shared" si="28"/>
        <v>8.0499999999999989</v>
      </c>
      <c r="J440" s="6">
        <f t="shared" si="29"/>
        <v>14.26</v>
      </c>
      <c r="L440" s="4" t="str">
        <f>IFERROR(VLOOKUP(ROWS($L$2:L440),$B$2:$C$1996,2,0),"")</f>
        <v>ΣΤΗΡΙΓΜΑ ΜΕΤΑΛΛΙΚΟ B.T. RIM</v>
      </c>
      <c r="N440" s="2" t="str">
        <f>IFERROR(VLOOKUP(ROWS($N$2:N440),$D$2:$E$1996,2,0),"")</f>
        <v>1 1/4''</v>
      </c>
    </row>
    <row r="441" spans="1:14">
      <c r="A441" s="5">
        <v>20</v>
      </c>
      <c r="B441" s="32">
        <f>IF(ISNUMBER(SEARCH('Φόρμα Εισαγωγής'!$B$2,C441)),MAX($B$1:B440)+1,0)</f>
        <v>440</v>
      </c>
      <c r="C441" s="7" t="s">
        <v>742</v>
      </c>
      <c r="D441" s="33">
        <f>IF(ISNUMBER(SEARCH('Φόρμα Εισαγωγής'!$C$2,E441)),MAX($D$1:D440)+1,0)</f>
        <v>440</v>
      </c>
      <c r="E441" s="17" t="s">
        <v>36</v>
      </c>
      <c r="F441" s="5">
        <v>0.38</v>
      </c>
      <c r="G441" s="5">
        <v>0.55000000000000004</v>
      </c>
      <c r="H441" s="6">
        <f t="shared" si="27"/>
        <v>0.68200000000000005</v>
      </c>
      <c r="I441" s="6">
        <f t="shared" si="28"/>
        <v>7.6</v>
      </c>
      <c r="J441" s="6">
        <f t="shared" si="29"/>
        <v>13.64</v>
      </c>
      <c r="L441" s="4" t="str">
        <f>IFERROR(VLOOKUP(ROWS($L$2:L441),$B$2:$C$1996,2,0),"")</f>
        <v>ΣΤΗΡΙΓΜΑ ΜΕΤΑΛΛΙΚΟ B.T. RIM</v>
      </c>
      <c r="N441" s="2" t="str">
        <f>IFERROR(VLOOKUP(ROWS($N$2:N441),$D$2:$E$1996,2,0),"")</f>
        <v>1 1/2''</v>
      </c>
    </row>
    <row r="442" spans="1:14">
      <c r="A442" s="5">
        <v>10</v>
      </c>
      <c r="B442" s="32">
        <f>IF(ISNUMBER(SEARCH('Φόρμα Εισαγωγής'!$B$2,C442)),MAX($B$1:B441)+1,0)</f>
        <v>441</v>
      </c>
      <c r="C442" s="7" t="s">
        <v>742</v>
      </c>
      <c r="D442" s="33">
        <f>IF(ISNUMBER(SEARCH('Φόρμα Εισαγωγής'!$C$2,E442)),MAX($D$1:D441)+1,0)</f>
        <v>441</v>
      </c>
      <c r="E442" s="17" t="s">
        <v>37</v>
      </c>
      <c r="F442" s="5">
        <v>0.4</v>
      </c>
      <c r="G442" s="5">
        <v>0.6</v>
      </c>
      <c r="H442" s="6">
        <f t="shared" si="27"/>
        <v>0.74399999999999999</v>
      </c>
      <c r="I442" s="6">
        <f t="shared" si="28"/>
        <v>4</v>
      </c>
      <c r="J442" s="6">
        <f t="shared" si="29"/>
        <v>7.4399999999999995</v>
      </c>
      <c r="L442" s="4" t="str">
        <f>IFERROR(VLOOKUP(ROWS($L$2:L442),$B$2:$C$1996,2,0),"")</f>
        <v>ΣΤΗΡΙΓΜΑ ΜΕΤΑΛΛΙΚΟ B.T. RIM</v>
      </c>
      <c r="N442" s="2" t="str">
        <f>IFERROR(VLOOKUP(ROWS($N$2:N442),$D$2:$E$1996,2,0),"")</f>
        <v>2''</v>
      </c>
    </row>
    <row r="443" spans="1:14">
      <c r="A443" s="5">
        <v>20</v>
      </c>
      <c r="B443" s="32">
        <f>IF(ISNUMBER(SEARCH('Φόρμα Εισαγωγής'!$B$2,C443)),MAX($B$1:B442)+1,0)</f>
        <v>442</v>
      </c>
      <c r="C443" s="7" t="s">
        <v>742</v>
      </c>
      <c r="D443" s="33">
        <f>IF(ISNUMBER(SEARCH('Φόρμα Εισαγωγής'!$C$2,E443)),MAX($D$1:D442)+1,0)</f>
        <v>442</v>
      </c>
      <c r="E443" s="17" t="s">
        <v>38</v>
      </c>
      <c r="F443" s="5">
        <v>0.7</v>
      </c>
      <c r="G443" s="5">
        <v>1</v>
      </c>
      <c r="H443" s="6">
        <f t="shared" si="27"/>
        <v>1.24</v>
      </c>
      <c r="I443" s="6">
        <f t="shared" si="28"/>
        <v>14</v>
      </c>
      <c r="J443" s="6">
        <f t="shared" si="29"/>
        <v>24.8</v>
      </c>
      <c r="L443" s="4" t="str">
        <f>IFERROR(VLOOKUP(ROWS($L$2:L443),$B$2:$C$1996,2,0),"")</f>
        <v>ΣΤΗΡΙΓΜΑ ΜΕΤΑΛΛΙΚΟ B.T. RIM</v>
      </c>
      <c r="N443" s="2" t="str">
        <f>IFERROR(VLOOKUP(ROWS($N$2:N443),$D$2:$E$1996,2,0),"")</f>
        <v>3''</v>
      </c>
    </row>
    <row r="444" spans="1:14">
      <c r="A444" s="5">
        <v>17</v>
      </c>
      <c r="B444" s="32">
        <f>IF(ISNUMBER(SEARCH('Φόρμα Εισαγωγής'!$B$2,C444)),MAX($B$1:B443)+1,0)</f>
        <v>443</v>
      </c>
      <c r="C444" s="7" t="s">
        <v>742</v>
      </c>
      <c r="D444" s="33">
        <f>IF(ISNUMBER(SEARCH('Φόρμα Εισαγωγής'!$C$2,E444)),MAX($D$1:D443)+1,0)</f>
        <v>443</v>
      </c>
      <c r="E444" s="17" t="s">
        <v>312</v>
      </c>
      <c r="F444" s="5">
        <v>0.83</v>
      </c>
      <c r="G444" s="5">
        <v>1.2</v>
      </c>
      <c r="H444" s="6">
        <f t="shared" si="27"/>
        <v>1.488</v>
      </c>
      <c r="I444" s="6">
        <f t="shared" si="28"/>
        <v>14.11</v>
      </c>
      <c r="J444" s="6">
        <f t="shared" si="29"/>
        <v>25.295999999999999</v>
      </c>
      <c r="L444" s="4" t="str">
        <f>IFERROR(VLOOKUP(ROWS($L$2:L444),$B$2:$C$1996,2,0),"")</f>
        <v>ΣΤΗΡΙΓΜΑ ΜΕΤΑΛΛΙΚΟ B.T. RIM</v>
      </c>
      <c r="N444" s="2" t="str">
        <f>IFERROR(VLOOKUP(ROWS($N$2:N444),$D$2:$E$1996,2,0),"")</f>
        <v>4''</v>
      </c>
    </row>
    <row r="445" spans="1:14">
      <c r="A445" s="5">
        <v>0</v>
      </c>
      <c r="B445" s="32">
        <f>IF(ISNUMBER(SEARCH('Φόρμα Εισαγωγής'!$B$2,C445)),MAX($B$1:B444)+1,0)</f>
        <v>444</v>
      </c>
      <c r="C445" s="7" t="s">
        <v>742</v>
      </c>
      <c r="D445" s="33">
        <f>IF(ISNUMBER(SEARCH('Φόρμα Εισαγωγής'!$C$2,E445)),MAX($D$1:D444)+1,0)</f>
        <v>444</v>
      </c>
      <c r="E445" s="17" t="s">
        <v>313</v>
      </c>
      <c r="F445" s="5">
        <v>0.75</v>
      </c>
      <c r="G445" s="5">
        <v>1.1000000000000001</v>
      </c>
      <c r="H445" s="6">
        <f t="shared" si="27"/>
        <v>1.3640000000000001</v>
      </c>
      <c r="I445" s="6">
        <f t="shared" si="28"/>
        <v>0</v>
      </c>
      <c r="J445" s="6">
        <f t="shared" si="29"/>
        <v>0</v>
      </c>
      <c r="L445" s="4" t="str">
        <f>IFERROR(VLOOKUP(ROWS($L$2:L445),$B$2:$C$1996,2,0),"")</f>
        <v>ΣΤΗΡΙΓΜΑ ΜΕΤΑΛΛΙΚΟ B.T. RIM</v>
      </c>
      <c r="N445" s="2" t="str">
        <f>IFERROR(VLOOKUP(ROWS($N$2:N445),$D$2:$E$1996,2,0),"")</f>
        <v>3 1/2''</v>
      </c>
    </row>
    <row r="446" spans="1:14" ht="18.600000000000001" customHeight="1">
      <c r="A446" s="5">
        <v>17</v>
      </c>
      <c r="B446" s="32">
        <f>IF(ISNUMBER(SEARCH('Φόρμα Εισαγωγής'!$B$2,C446)),MAX($B$1:B445)+1,0)</f>
        <v>445</v>
      </c>
      <c r="C446" s="7" t="s">
        <v>314</v>
      </c>
      <c r="D446" s="33">
        <f>IF(ISNUMBER(SEARCH('Φόρμα Εισαγωγής'!$C$2,E446)),MAX($D$1:D445)+1,0)</f>
        <v>445</v>
      </c>
      <c r="E446" s="17" t="s">
        <v>315</v>
      </c>
      <c r="F446" s="5">
        <v>1.2</v>
      </c>
      <c r="G446" s="5">
        <v>1.7</v>
      </c>
      <c r="H446" s="6">
        <f t="shared" si="27"/>
        <v>2.1080000000000001</v>
      </c>
      <c r="I446" s="6">
        <f t="shared" si="28"/>
        <v>20.399999999999999</v>
      </c>
      <c r="J446" s="6">
        <f t="shared" si="29"/>
        <v>35.835999999999999</v>
      </c>
      <c r="L446" s="4" t="str">
        <f>IFERROR(VLOOKUP(ROWS($L$2:L446),$B$2:$C$1996,2,0),"")</f>
        <v>ΣΤΗΡΙΓΜΑ ΜΕΤΑΛΛΙΚΟ ΒΙΔΑ</v>
      </c>
      <c r="N446" s="2" t="str">
        <f>IFERROR(VLOOKUP(ROWS($N$2:N446),$D$2:$E$1996,2,0),"")</f>
        <v>Φ110</v>
      </c>
    </row>
    <row r="447" spans="1:14">
      <c r="A447" s="5">
        <v>59</v>
      </c>
      <c r="B447" s="32">
        <f>IF(ISNUMBER(SEARCH('Φόρμα Εισαγωγής'!$B$2,C447)),MAX($B$1:B446)+1,0)</f>
        <v>446</v>
      </c>
      <c r="C447" s="7" t="s">
        <v>743</v>
      </c>
      <c r="D447" s="33">
        <f>IF(ISNUMBER(SEARCH('Φόρμα Εισαγωγής'!$C$2,E447)),MAX($D$1:D446)+1,0)</f>
        <v>446</v>
      </c>
      <c r="E447" s="17" t="s">
        <v>192</v>
      </c>
      <c r="F447" s="5">
        <v>0.92</v>
      </c>
      <c r="G447" s="5">
        <v>1.3</v>
      </c>
      <c r="H447" s="6">
        <f t="shared" si="27"/>
        <v>1.6120000000000001</v>
      </c>
      <c r="I447" s="6">
        <f t="shared" si="28"/>
        <v>54.28</v>
      </c>
      <c r="J447" s="6">
        <f t="shared" si="29"/>
        <v>95.108000000000004</v>
      </c>
      <c r="L447" s="4" t="str">
        <f>IFERROR(VLOOKUP(ROWS($L$2:L447),$B$2:$C$1996,2,0),"")</f>
        <v>ΣΤΗΡΙΓΜΑ ΜΕΤΑΛΛΙΚΟ B.T. PRATIKO</v>
      </c>
      <c r="N447" s="2" t="str">
        <f>IFERROR(VLOOKUP(ROWS($N$2:N447),$D$2:$E$1996,2,0),"")</f>
        <v>Φ75</v>
      </c>
    </row>
    <row r="448" spans="1:14">
      <c r="A448" s="5">
        <v>8</v>
      </c>
      <c r="B448" s="32">
        <f>IF(ISNUMBER(SEARCH('Φόρμα Εισαγωγής'!$B$2,C448)),MAX($B$1:B447)+1,0)</f>
        <v>447</v>
      </c>
      <c r="C448" s="7" t="s">
        <v>743</v>
      </c>
      <c r="D448" s="33">
        <f>IF(ISNUMBER(SEARCH('Φόρμα Εισαγωγής'!$C$2,E448)),MAX($D$1:D447)+1,0)</f>
        <v>447</v>
      </c>
      <c r="E448" s="17" t="s">
        <v>194</v>
      </c>
      <c r="F448" s="5">
        <v>1.1499999999999999</v>
      </c>
      <c r="G448" s="5">
        <v>1.6</v>
      </c>
      <c r="H448" s="6">
        <f t="shared" si="27"/>
        <v>1.984</v>
      </c>
      <c r="I448" s="6">
        <f t="shared" si="28"/>
        <v>9.1999999999999993</v>
      </c>
      <c r="J448" s="6">
        <f t="shared" si="29"/>
        <v>15.872</v>
      </c>
      <c r="L448" s="4" t="str">
        <f>IFERROR(VLOOKUP(ROWS($L$2:L448),$B$2:$C$1996,2,0),"")</f>
        <v>ΣΤΗΡΙΓΜΑ ΜΕΤΑΛΛΙΚΟ B.T. PRATIKO</v>
      </c>
      <c r="N448" s="2" t="str">
        <f>IFERROR(VLOOKUP(ROWS($N$2:N448),$D$2:$E$1996,2,0),"")</f>
        <v>Φ125</v>
      </c>
    </row>
    <row r="449" spans="1:14" ht="18" customHeight="1">
      <c r="A449" s="5">
        <v>12</v>
      </c>
      <c r="B449" s="32">
        <f>IF(ISNUMBER(SEARCH('Φόρμα Εισαγωγής'!$B$2,C449)),MAX($B$1:B448)+1,0)</f>
        <v>448</v>
      </c>
      <c r="C449" s="7" t="s">
        <v>743</v>
      </c>
      <c r="D449" s="33">
        <f>IF(ISNUMBER(SEARCH('Φόρμα Εισαγωγής'!$C$2,E449)),MAX($D$1:D448)+1,0)</f>
        <v>448</v>
      </c>
      <c r="E449" s="17" t="s">
        <v>312</v>
      </c>
      <c r="F449" s="5">
        <v>1.1499999999999999</v>
      </c>
      <c r="G449" s="5">
        <v>1.6</v>
      </c>
      <c r="H449" s="6">
        <f t="shared" si="27"/>
        <v>1.984</v>
      </c>
      <c r="I449" s="6">
        <f t="shared" si="28"/>
        <v>13.799999999999999</v>
      </c>
      <c r="J449" s="6">
        <f t="shared" si="29"/>
        <v>23.808</v>
      </c>
      <c r="L449" s="4" t="str">
        <f>IFERROR(VLOOKUP(ROWS($L$2:L449),$B$2:$C$1996,2,0),"")</f>
        <v>ΣΤΗΡΙΓΜΑ ΜΕΤΑΛΛΙΚΟ B.T. PRATIKO</v>
      </c>
      <c r="N449" s="2" t="str">
        <f>IFERROR(VLOOKUP(ROWS($N$2:N449),$D$2:$E$1996,2,0),"")</f>
        <v>4''</v>
      </c>
    </row>
    <row r="450" spans="1:14">
      <c r="A450" s="5">
        <v>63</v>
      </c>
      <c r="B450" s="32">
        <f>IF(ISNUMBER(SEARCH('Φόρμα Εισαγωγής'!$B$2,C450)),MAX($B$1:B449)+1,0)</f>
        <v>449</v>
      </c>
      <c r="C450" s="7" t="s">
        <v>745</v>
      </c>
      <c r="D450" s="33">
        <f>IF(ISNUMBER(SEARCH('Φόρμα Εισαγωγής'!$C$2,E450)),MAX($D$1:D449)+1,0)</f>
        <v>449</v>
      </c>
      <c r="E450" s="17" t="s">
        <v>744</v>
      </c>
      <c r="F450" s="5">
        <v>0.09</v>
      </c>
      <c r="G450" s="5">
        <v>0.13</v>
      </c>
      <c r="H450" s="6">
        <f t="shared" si="27"/>
        <v>0.16120000000000001</v>
      </c>
      <c r="I450" s="6">
        <f t="shared" si="28"/>
        <v>5.67</v>
      </c>
      <c r="J450" s="6">
        <f t="shared" si="29"/>
        <v>10.1556</v>
      </c>
      <c r="L450" s="4" t="str">
        <f>IFERROR(VLOOKUP(ROWS($L$2:L450),$B$2:$C$1996,2,0),"")</f>
        <v>NTIZOΣΤΡΙΦΩΝO 80MM</v>
      </c>
      <c r="N450" s="2" t="str">
        <f>IFERROR(VLOOKUP(ROWS($N$2:N450),$D$2:$E$1996,2,0),"")</f>
        <v>Μ8</v>
      </c>
    </row>
    <row r="451" spans="1:14">
      <c r="A451" s="5">
        <v>18</v>
      </c>
      <c r="B451" s="32">
        <f>IF(ISNUMBER(SEARCH('Φόρμα Εισαγωγής'!$B$2,C451)),MAX($B$1:B450)+1,0)</f>
        <v>450</v>
      </c>
      <c r="C451" s="7" t="s">
        <v>746</v>
      </c>
      <c r="D451" s="33">
        <f>IF(ISNUMBER(SEARCH('Φόρμα Εισαγωγής'!$C$2,E451)),MAX($D$1:D450)+1,0)</f>
        <v>450</v>
      </c>
      <c r="E451" s="17" t="s">
        <v>316</v>
      </c>
      <c r="F451" s="5">
        <v>0.15</v>
      </c>
      <c r="G451" s="5">
        <v>0.22</v>
      </c>
      <c r="H451" s="6">
        <f t="shared" si="27"/>
        <v>0.27279999999999999</v>
      </c>
      <c r="I451" s="6">
        <f t="shared" si="28"/>
        <v>2.6999999999999997</v>
      </c>
      <c r="J451" s="6">
        <f t="shared" si="29"/>
        <v>4.9104000000000001</v>
      </c>
      <c r="L451" s="4" t="str">
        <f>IFERROR(VLOOKUP(ROWS($L$2:L451),$B$2:$C$1996,2,0),"")</f>
        <v>NTIZOΣΤΡΙΦΩΝO 100MM</v>
      </c>
      <c r="N451" s="2" t="str">
        <f>IFERROR(VLOOKUP(ROWS($N$2:N451),$D$2:$E$1996,2,0),"")</f>
        <v>Μ10</v>
      </c>
    </row>
    <row r="452" spans="1:14">
      <c r="A452" s="5">
        <v>27</v>
      </c>
      <c r="B452" s="32">
        <f>IF(ISNUMBER(SEARCH('Φόρμα Εισαγωγής'!$B$2,C452)),MAX($B$1:B451)+1,0)</f>
        <v>451</v>
      </c>
      <c r="C452" s="7" t="s">
        <v>747</v>
      </c>
      <c r="D452" s="33">
        <f>IF(ISNUMBER(SEARCH('Φόρμα Εισαγωγής'!$C$2,E452)),MAX($D$1:D451)+1,0)</f>
        <v>451</v>
      </c>
      <c r="E452" s="17" t="s">
        <v>316</v>
      </c>
      <c r="F452" s="5">
        <v>0.15</v>
      </c>
      <c r="G452" s="5">
        <v>0.22</v>
      </c>
      <c r="H452" s="6">
        <f t="shared" si="27"/>
        <v>0.27279999999999999</v>
      </c>
      <c r="I452" s="6">
        <f t="shared" si="28"/>
        <v>4.05</v>
      </c>
      <c r="J452" s="6">
        <f t="shared" si="29"/>
        <v>7.3655999999999997</v>
      </c>
      <c r="L452" s="4" t="str">
        <f>IFERROR(VLOOKUP(ROWS($L$2:L452),$B$2:$C$1996,2,0),"")</f>
        <v>NTIZOΣΤΡΙΦΩΝO 120MM</v>
      </c>
      <c r="N452" s="2" t="str">
        <f>IFERROR(VLOOKUP(ROWS($N$2:N452),$D$2:$E$1996,2,0),"")</f>
        <v>Μ10</v>
      </c>
    </row>
    <row r="453" spans="1:14">
      <c r="A453" s="5">
        <v>4</v>
      </c>
      <c r="B453" s="32">
        <f>IF(ISNUMBER(SEARCH('Φόρμα Εισαγωγής'!$B$2,C453)),MAX($B$1:B452)+1,0)</f>
        <v>452</v>
      </c>
      <c r="C453" s="7" t="s">
        <v>928</v>
      </c>
      <c r="D453" s="33">
        <f>IF(ISNUMBER(SEARCH('Φόρμα Εισαγωγής'!$C$2,E453)),MAX($D$1:D452)+1,0)</f>
        <v>452</v>
      </c>
      <c r="E453" s="17" t="s">
        <v>931</v>
      </c>
      <c r="F453" s="5">
        <v>3.6</v>
      </c>
      <c r="G453" s="5">
        <v>5.0999999999999996</v>
      </c>
      <c r="H453" s="6">
        <f t="shared" si="27"/>
        <v>6.3239999999999998</v>
      </c>
      <c r="I453" s="6">
        <f t="shared" si="28"/>
        <v>14.4</v>
      </c>
      <c r="J453" s="6">
        <f t="shared" si="29"/>
        <v>25.295999999999999</v>
      </c>
      <c r="L453" s="4" t="str">
        <f>IFERROR(VLOOKUP(ROWS($L$2:L453),$B$2:$C$1996,2,0),"")</f>
        <v>ΚΑΜΙΝΑΔΑ ΠΛΑΣΤΙΚΗ  Φ80</v>
      </c>
      <c r="N453" s="2" t="str">
        <f>IFERROR(VLOOKUP(ROWS($N$2:N453),$D$2:$E$1996,2,0),"")</f>
        <v>25 CM</v>
      </c>
    </row>
    <row r="454" spans="1:14" ht="14.45" customHeight="1">
      <c r="A454" s="5">
        <v>1</v>
      </c>
      <c r="B454" s="32">
        <f>IF(ISNUMBER(SEARCH('Φόρμα Εισαγωγής'!$B$2,C454)),MAX($B$1:B453)+1,0)</f>
        <v>453</v>
      </c>
      <c r="C454" s="7" t="s">
        <v>930</v>
      </c>
      <c r="D454" s="33">
        <f>IF(ISNUMBER(SEARCH('Φόρμα Εισαγωγής'!$C$2,E454)),MAX($D$1:D453)+1,0)</f>
        <v>453</v>
      </c>
      <c r="E454" s="17" t="s">
        <v>317</v>
      </c>
      <c r="F454" s="5">
        <v>11.1</v>
      </c>
      <c r="G454" s="5">
        <v>16</v>
      </c>
      <c r="H454" s="6">
        <f t="shared" ref="H454:H517" si="30">G454+(G454*0.24)</f>
        <v>19.84</v>
      </c>
      <c r="I454" s="6">
        <f t="shared" ref="I454:I517" si="31">F454*A454</f>
        <v>11.1</v>
      </c>
      <c r="J454" s="6">
        <f t="shared" ref="J454:J517" si="32">H454*A454</f>
        <v>19.84</v>
      </c>
      <c r="L454" s="4" t="str">
        <f>IFERROR(VLOOKUP(ROWS($L$2:L454),$B$2:$C$1996,2,0),"")</f>
        <v>ΚΑΜΙΝΑΔΑ ΠΛΑΣΤΙΚΗ + Σ Μ Φ80</v>
      </c>
      <c r="N454" s="2" t="str">
        <f>IFERROR(VLOOKUP(ROWS($N$2:N454),$D$2:$E$1996,2,0),"")</f>
        <v>30 CM</v>
      </c>
    </row>
    <row r="455" spans="1:14">
      <c r="A455" s="5">
        <v>2</v>
      </c>
      <c r="B455" s="32">
        <f>IF(ISNUMBER(SEARCH('Φόρμα Εισαγωγής'!$B$2,C455)),MAX($B$1:B454)+1,0)</f>
        <v>454</v>
      </c>
      <c r="C455" s="7" t="s">
        <v>929</v>
      </c>
      <c r="D455" s="33">
        <f>IF(ISNUMBER(SEARCH('Φόρμα Εισαγωγής'!$C$2,E455)),MAX($D$1:D454)+1,0)</f>
        <v>454</v>
      </c>
      <c r="E455" s="17" t="s">
        <v>318</v>
      </c>
      <c r="F455" s="5">
        <v>4.9000000000000004</v>
      </c>
      <c r="G455" s="5">
        <v>6.9</v>
      </c>
      <c r="H455" s="6">
        <f t="shared" si="30"/>
        <v>8.5560000000000009</v>
      </c>
      <c r="I455" s="6">
        <f t="shared" si="31"/>
        <v>9.8000000000000007</v>
      </c>
      <c r="J455" s="6">
        <f t="shared" si="32"/>
        <v>17.112000000000002</v>
      </c>
      <c r="L455" s="4" t="str">
        <f>IFERROR(VLOOKUP(ROWS($L$2:L455),$B$2:$C$1996,2,0),"")</f>
        <v>ΚΑΜΙΝΑΔΑ ΠΛΑΣΤΙΚΗ Φ80</v>
      </c>
      <c r="N455" s="2" t="str">
        <f>IFERROR(VLOOKUP(ROWS($N$2:N455),$D$2:$E$1996,2,0),"")</f>
        <v>50 CM</v>
      </c>
    </row>
    <row r="456" spans="1:14">
      <c r="A456" s="5">
        <v>1</v>
      </c>
      <c r="B456" s="32">
        <f>IF(ISNUMBER(SEARCH('Φόρμα Εισαγωγής'!$B$2,C456)),MAX($B$1:B455)+1,0)</f>
        <v>455</v>
      </c>
      <c r="C456" s="7" t="s">
        <v>929</v>
      </c>
      <c r="D456" s="33">
        <f>IF(ISNUMBER(SEARCH('Φόρμα Εισαγωγής'!$C$2,E456)),MAX($D$1:D455)+1,0)</f>
        <v>455</v>
      </c>
      <c r="E456" s="17" t="s">
        <v>319</v>
      </c>
      <c r="F456" s="5">
        <v>7.7</v>
      </c>
      <c r="G456" s="5">
        <v>10.8</v>
      </c>
      <c r="H456" s="6">
        <f t="shared" si="30"/>
        <v>13.392000000000001</v>
      </c>
      <c r="I456" s="6">
        <f t="shared" si="31"/>
        <v>7.7</v>
      </c>
      <c r="J456" s="6">
        <f t="shared" si="32"/>
        <v>13.392000000000001</v>
      </c>
      <c r="L456" s="4" t="str">
        <f>IFERROR(VLOOKUP(ROWS($L$2:L456),$B$2:$C$1996,2,0),"")</f>
        <v>ΚΑΜΙΝΑΔΑ ΠΛΑΣΤΙΚΗ Φ80</v>
      </c>
      <c r="N456" s="2" t="str">
        <f>IFERROR(VLOOKUP(ROWS($N$2:N456),$D$2:$E$1996,2,0),"")</f>
        <v>100 CM</v>
      </c>
    </row>
    <row r="457" spans="1:14">
      <c r="A457" s="5">
        <v>1</v>
      </c>
      <c r="B457" s="32">
        <f>IF(ISNUMBER(SEARCH('Φόρμα Εισαγωγής'!$B$2,C457)),MAX($B$1:B456)+1,0)</f>
        <v>456</v>
      </c>
      <c r="C457" s="7" t="s">
        <v>320</v>
      </c>
      <c r="D457" s="33">
        <f>IF(ISNUMBER(SEARCH('Φόρμα Εισαγωγής'!$C$2,E457)),MAX($D$1:D456)+1,0)</f>
        <v>456</v>
      </c>
      <c r="E457" s="17" t="s">
        <v>927</v>
      </c>
      <c r="F457" s="5">
        <v>3.1</v>
      </c>
      <c r="G457" s="5">
        <v>4.5</v>
      </c>
      <c r="H457" s="6">
        <f t="shared" si="30"/>
        <v>5.58</v>
      </c>
      <c r="I457" s="6">
        <f t="shared" si="31"/>
        <v>3.1</v>
      </c>
      <c r="J457" s="6">
        <f t="shared" si="32"/>
        <v>5.58</v>
      </c>
      <c r="L457" s="4" t="str">
        <f>IFERROR(VLOOKUP(ROWS($L$2:L457),$B$2:$C$1996,2,0),"")</f>
        <v xml:space="preserve">ΚΑΝΑΛΙ A/C </v>
      </c>
      <c r="N457" s="2" t="str">
        <f>IFERROR(VLOOKUP(ROWS($N$2:N457),$D$2:$E$1996,2,0),"")</f>
        <v>75X60X2000</v>
      </c>
    </row>
    <row r="458" spans="1:14">
      <c r="A458" s="5">
        <v>1</v>
      </c>
      <c r="B458" s="32">
        <f>IF(ISNUMBER(SEARCH('Φόρμα Εισαγωγής'!$B$2,C458)),MAX($B$1:B457)+1,0)</f>
        <v>457</v>
      </c>
      <c r="C458" s="7" t="s">
        <v>322</v>
      </c>
      <c r="D458" s="33">
        <f>IF(ISNUMBER(SEARCH('Φόρμα Εισαγωγής'!$C$2,E458)),MAX($D$1:D457)+1,0)</f>
        <v>457</v>
      </c>
      <c r="E458" s="17" t="s">
        <v>321</v>
      </c>
      <c r="F458" s="5">
        <v>3</v>
      </c>
      <c r="G458" s="5">
        <v>4.5</v>
      </c>
      <c r="H458" s="6">
        <f t="shared" si="30"/>
        <v>5.58</v>
      </c>
      <c r="I458" s="6">
        <f t="shared" si="31"/>
        <v>3</v>
      </c>
      <c r="J458" s="6">
        <f t="shared" si="32"/>
        <v>5.58</v>
      </c>
      <c r="L458" s="4" t="str">
        <f>IFERROR(VLOOKUP(ROWS($L$2:L458),$B$2:$C$1996,2,0),"")</f>
        <v>ΚΑΝΑΛΙ 4CM X 3CM</v>
      </c>
      <c r="N458" s="2" t="str">
        <f>IFERROR(VLOOKUP(ROWS($N$2:N458),$D$2:$E$1996,2,0),"")</f>
        <v>-</v>
      </c>
    </row>
    <row r="459" spans="1:14">
      <c r="A459" s="5">
        <v>35</v>
      </c>
      <c r="B459" s="32">
        <f>IF(ISNUMBER(SEARCH('Φόρμα Εισαγωγής'!$B$2,C459)),MAX($B$1:B458)+1,0)</f>
        <v>458</v>
      </c>
      <c r="C459" s="7" t="s">
        <v>323</v>
      </c>
      <c r="D459" s="33">
        <f>IF(ISNUMBER(SEARCH('Φόρμα Εισαγωγής'!$C$2,E459)),MAX($D$1:D458)+1,0)</f>
        <v>458</v>
      </c>
      <c r="E459" s="17" t="s">
        <v>110</v>
      </c>
      <c r="F459" s="5">
        <v>0.6</v>
      </c>
      <c r="G459" s="5">
        <v>0.85</v>
      </c>
      <c r="H459" s="6">
        <f t="shared" si="30"/>
        <v>1.054</v>
      </c>
      <c r="I459" s="6">
        <f t="shared" si="31"/>
        <v>21</v>
      </c>
      <c r="J459" s="6">
        <f t="shared" si="32"/>
        <v>36.89</v>
      </c>
      <c r="L459" s="4" t="str">
        <f>IFERROR(VLOOKUP(ROWS($L$2:L459),$B$2:$C$1996,2,0),"")</f>
        <v xml:space="preserve">ΡΑΚΟΡ ΥΔΡΟΜΕΤΡΩΝ </v>
      </c>
      <c r="N459" s="2" t="str">
        <f>IFERROR(VLOOKUP(ROWS($N$2:N459),$D$2:$E$1996,2,0),"")</f>
        <v>1/2 Χ 3/4</v>
      </c>
    </row>
    <row r="460" spans="1:14">
      <c r="A460" s="5">
        <v>10</v>
      </c>
      <c r="B460" s="32">
        <f>IF(ISNUMBER(SEARCH('Φόρμα Εισαγωγής'!$B$2,C460)),MAX($B$1:B459)+1,0)</f>
        <v>459</v>
      </c>
      <c r="C460" s="7" t="s">
        <v>324</v>
      </c>
      <c r="D460" s="33">
        <f>IF(ISNUMBER(SEARCH('Φόρμα Εισαγωγής'!$C$2,E460)),MAX($D$1:D459)+1,0)</f>
        <v>459</v>
      </c>
      <c r="E460" s="17" t="s">
        <v>32</v>
      </c>
      <c r="F460" s="5">
        <v>0.46</v>
      </c>
      <c r="G460" s="5">
        <v>0.65</v>
      </c>
      <c r="H460" s="6">
        <f t="shared" si="30"/>
        <v>0.80600000000000005</v>
      </c>
      <c r="I460" s="6">
        <f t="shared" si="31"/>
        <v>4.6000000000000005</v>
      </c>
      <c r="J460" s="6">
        <f t="shared" si="32"/>
        <v>8.06</v>
      </c>
      <c r="L460" s="4" t="str">
        <f>IFERROR(VLOOKUP(ROWS($L$2:L460),$B$2:$C$1996,2,0),"")</f>
        <v>ΤΑΠΑ ΣΩΜΑΤΩΝ</v>
      </c>
      <c r="N460" s="2" t="str">
        <f>IFERROR(VLOOKUP(ROWS($N$2:N460),$D$2:$E$1996,2,0),"")</f>
        <v>1/2</v>
      </c>
    </row>
    <row r="461" spans="1:14">
      <c r="A461" s="5">
        <v>18</v>
      </c>
      <c r="B461" s="32">
        <f>IF(ISNUMBER(SEARCH('Φόρμα Εισαγωγής'!$B$2,C461)),MAX($B$1:B460)+1,0)</f>
        <v>460</v>
      </c>
      <c r="C461" s="7" t="s">
        <v>325</v>
      </c>
      <c r="D461" s="33">
        <f>IF(ISNUMBER(SEARCH('Φόρμα Εισαγωγής'!$C$2,E461)),MAX($D$1:D460)+1,0)</f>
        <v>460</v>
      </c>
      <c r="E461" s="17" t="s">
        <v>32</v>
      </c>
      <c r="F461" s="5">
        <v>0.6</v>
      </c>
      <c r="G461" s="5">
        <v>0.85</v>
      </c>
      <c r="H461" s="6">
        <f t="shared" si="30"/>
        <v>1.054</v>
      </c>
      <c r="I461" s="6">
        <f t="shared" si="31"/>
        <v>10.799999999999999</v>
      </c>
      <c r="J461" s="6">
        <f t="shared" si="32"/>
        <v>18.972000000000001</v>
      </c>
      <c r="L461" s="4" t="str">
        <f>IFERROR(VLOOKUP(ROWS($L$2:L461),$B$2:$C$1996,2,0),"")</f>
        <v>ΕΞΑΕΡΙΣΤΙΚΟ ΣΩΜΑΤΩΝ</v>
      </c>
      <c r="N461" s="2" t="str">
        <f>IFERROR(VLOOKUP(ROWS($N$2:N461),$D$2:$E$1996,2,0),"")</f>
        <v>1/2</v>
      </c>
    </row>
    <row r="462" spans="1:14">
      <c r="A462" s="5">
        <v>5</v>
      </c>
      <c r="B462" s="32">
        <f>IF(ISNUMBER(SEARCH('Φόρμα Εισαγωγής'!$B$2,C462)),MAX($B$1:B461)+1,0)</f>
        <v>461</v>
      </c>
      <c r="C462" s="7" t="s">
        <v>326</v>
      </c>
      <c r="D462" s="33">
        <f>IF(ISNUMBER(SEARCH('Φόρμα Εισαγωγής'!$C$2,E462)),MAX($D$1:D461)+1,0)</f>
        <v>461</v>
      </c>
      <c r="E462" s="17" t="s">
        <v>32</v>
      </c>
      <c r="F462" s="5">
        <v>1.6</v>
      </c>
      <c r="G462" s="5">
        <v>2.25</v>
      </c>
      <c r="H462" s="6">
        <f t="shared" si="30"/>
        <v>2.79</v>
      </c>
      <c r="I462" s="6">
        <f t="shared" si="31"/>
        <v>8</v>
      </c>
      <c r="J462" s="6">
        <f t="shared" si="32"/>
        <v>13.95</v>
      </c>
      <c r="L462" s="4" t="str">
        <f>IFERROR(VLOOKUP(ROWS($L$2:L462),$B$2:$C$1996,2,0),"")</f>
        <v>ΠΑΡΟΧΗ ΔΕΞΑΜΕΝΗΣ</v>
      </c>
      <c r="N462" s="2" t="str">
        <f>IFERROR(VLOOKUP(ROWS($N$2:N462),$D$2:$E$1996,2,0),"")</f>
        <v>1/2</v>
      </c>
    </row>
    <row r="463" spans="1:14">
      <c r="A463" s="5">
        <v>3</v>
      </c>
      <c r="B463" s="32">
        <f>IF(ISNUMBER(SEARCH('Φόρμα Εισαγωγής'!$B$2,C463)),MAX($B$1:B462)+1,0)</f>
        <v>462</v>
      </c>
      <c r="C463" s="7" t="s">
        <v>326</v>
      </c>
      <c r="D463" s="33">
        <f>IF(ISNUMBER(SEARCH('Φόρμα Εισαγωγής'!$C$2,E463)),MAX($D$1:D462)+1,0)</f>
        <v>462</v>
      </c>
      <c r="E463" s="17" t="s">
        <v>33</v>
      </c>
      <c r="F463" s="5">
        <v>2.4500000000000002</v>
      </c>
      <c r="G463" s="5">
        <v>3.43</v>
      </c>
      <c r="H463" s="6">
        <f t="shared" si="30"/>
        <v>4.2532000000000005</v>
      </c>
      <c r="I463" s="6">
        <f t="shared" si="31"/>
        <v>7.3500000000000005</v>
      </c>
      <c r="J463" s="6">
        <f t="shared" si="32"/>
        <v>12.759600000000002</v>
      </c>
      <c r="L463" s="4" t="str">
        <f>IFERROR(VLOOKUP(ROWS($L$2:L463),$B$2:$C$1996,2,0),"")</f>
        <v>ΠΑΡΟΧΗ ΔΕΞΑΜΕΝΗΣ</v>
      </c>
      <c r="N463" s="2" t="str">
        <f>IFERROR(VLOOKUP(ROWS($N$2:N463),$D$2:$E$1996,2,0),"")</f>
        <v>3/4</v>
      </c>
    </row>
    <row r="464" spans="1:14">
      <c r="A464" s="5">
        <v>2</v>
      </c>
      <c r="B464" s="32">
        <f>IF(ISNUMBER(SEARCH('Φόρμα Εισαγωγής'!$B$2,C464)),MAX($B$1:B463)+1,0)</f>
        <v>463</v>
      </c>
      <c r="C464" s="7" t="s">
        <v>326</v>
      </c>
      <c r="D464" s="33">
        <f>IF(ISNUMBER(SEARCH('Φόρμα Εισαγωγής'!$C$2,E464)),MAX($D$1:D463)+1,0)</f>
        <v>463</v>
      </c>
      <c r="E464" s="17" t="s">
        <v>34</v>
      </c>
      <c r="F464" s="5">
        <v>3.35</v>
      </c>
      <c r="G464" s="5">
        <v>4.7</v>
      </c>
      <c r="H464" s="6">
        <f t="shared" si="30"/>
        <v>5.8280000000000003</v>
      </c>
      <c r="I464" s="6">
        <f t="shared" si="31"/>
        <v>6.7</v>
      </c>
      <c r="J464" s="6">
        <f t="shared" si="32"/>
        <v>11.656000000000001</v>
      </c>
      <c r="L464" s="4" t="str">
        <f>IFERROR(VLOOKUP(ROWS($L$2:L464),$B$2:$C$1996,2,0),"")</f>
        <v>ΠΑΡΟΧΗ ΔΕΞΑΜΕΝΗΣ</v>
      </c>
      <c r="N464" s="2" t="str">
        <f>IFERROR(VLOOKUP(ROWS($N$2:N464),$D$2:$E$1996,2,0),"")</f>
        <v>1''</v>
      </c>
    </row>
    <row r="465" spans="1:14">
      <c r="A465" s="5">
        <v>16</v>
      </c>
      <c r="B465" s="32">
        <f>IF(ISNUMBER(SEARCH('Φόρμα Εισαγωγής'!$B$2,C465)),MAX($B$1:B464)+1,0)</f>
        <v>464</v>
      </c>
      <c r="C465" s="7" t="s">
        <v>748</v>
      </c>
      <c r="D465" s="33">
        <f>IF(ISNUMBER(SEARCH('Φόρμα Εισαγωγής'!$C$2,E465)),MAX($D$1:D464)+1,0)</f>
        <v>464</v>
      </c>
      <c r="E465" s="17" t="s">
        <v>684</v>
      </c>
      <c r="F465" s="5">
        <v>1.55</v>
      </c>
      <c r="G465" s="5">
        <v>2.15</v>
      </c>
      <c r="H465" s="6">
        <f t="shared" si="30"/>
        <v>2.6659999999999999</v>
      </c>
      <c r="I465" s="6">
        <f t="shared" si="31"/>
        <v>24.8</v>
      </c>
      <c r="J465" s="6">
        <f t="shared" si="32"/>
        <v>42.655999999999999</v>
      </c>
      <c r="L465" s="4" t="str">
        <f>IFERROR(VLOOKUP(ROWS($L$2:L465),$B$2:$C$1996,2,0),"")</f>
        <v>ΡΑΚΟΡ ΠΟΛ. TIEMME</v>
      </c>
      <c r="N465" s="2" t="str">
        <f>IFERROR(VLOOKUP(ROWS($N$2:N465),$D$2:$E$1996,2,0),"")</f>
        <v>ΘΗΛ. Φ16</v>
      </c>
    </row>
    <row r="466" spans="1:14">
      <c r="A466" s="5">
        <v>9</v>
      </c>
      <c r="B466" s="32">
        <f>IF(ISNUMBER(SEARCH('Φόρμα Εισαγωγής'!$B$2,C466)),MAX($B$1:B465)+1,0)</f>
        <v>465</v>
      </c>
      <c r="C466" s="7" t="s">
        <v>748</v>
      </c>
      <c r="D466" s="33">
        <f>IF(ISNUMBER(SEARCH('Φόρμα Εισαγωγής'!$C$2,E466)),MAX($D$1:D465)+1,0)</f>
        <v>465</v>
      </c>
      <c r="E466" s="17" t="s">
        <v>685</v>
      </c>
      <c r="F466" s="5">
        <v>1.95</v>
      </c>
      <c r="G466" s="5">
        <v>2.75</v>
      </c>
      <c r="H466" s="6">
        <f t="shared" si="30"/>
        <v>3.41</v>
      </c>
      <c r="I466" s="6">
        <f t="shared" si="31"/>
        <v>17.55</v>
      </c>
      <c r="J466" s="6">
        <f t="shared" si="32"/>
        <v>30.69</v>
      </c>
      <c r="L466" s="4" t="str">
        <f>IFERROR(VLOOKUP(ROWS($L$2:L466),$B$2:$C$1996,2,0),"")</f>
        <v>ΡΑΚΟΡ ΠΟΛ. TIEMME</v>
      </c>
      <c r="N466" s="2" t="str">
        <f>IFERROR(VLOOKUP(ROWS($N$2:N466),$D$2:$E$1996,2,0),"")</f>
        <v>ΘΗΛ. Φ18</v>
      </c>
    </row>
    <row r="467" spans="1:14">
      <c r="A467" s="5">
        <v>4</v>
      </c>
      <c r="B467" s="32">
        <f>IF(ISNUMBER(SEARCH('Φόρμα Εισαγωγής'!$B$2,C467)),MAX($B$1:B466)+1,0)</f>
        <v>466</v>
      </c>
      <c r="C467" s="7" t="s">
        <v>748</v>
      </c>
      <c r="D467" s="33">
        <f>IF(ISNUMBER(SEARCH('Φόρμα Εισαγωγής'!$C$2,E467)),MAX($D$1:D466)+1,0)</f>
        <v>466</v>
      </c>
      <c r="E467" s="17" t="s">
        <v>686</v>
      </c>
      <c r="F467" s="5">
        <v>2</v>
      </c>
      <c r="G467" s="5">
        <v>2.8</v>
      </c>
      <c r="H467" s="6">
        <f t="shared" si="30"/>
        <v>3.4719999999999995</v>
      </c>
      <c r="I467" s="6">
        <f t="shared" si="31"/>
        <v>8</v>
      </c>
      <c r="J467" s="6">
        <f t="shared" si="32"/>
        <v>13.887999999999998</v>
      </c>
      <c r="L467" s="4" t="str">
        <f>IFERROR(VLOOKUP(ROWS($L$2:L467),$B$2:$C$1996,2,0),"")</f>
        <v>ΡΑΚΟΡ ΠΟΛ. TIEMME</v>
      </c>
      <c r="N467" s="2" t="str">
        <f>IFERROR(VLOOKUP(ROWS($N$2:N467),$D$2:$E$1996,2,0),"")</f>
        <v>ΘΗΛ. Φ20 Χ 1/2</v>
      </c>
    </row>
    <row r="468" spans="1:14">
      <c r="A468" s="5">
        <v>8</v>
      </c>
      <c r="B468" s="32">
        <f>IF(ISNUMBER(SEARCH('Φόρμα Εισαγωγής'!$B$2,C468)),MAX($B$1:B467)+1,0)</f>
        <v>467</v>
      </c>
      <c r="C468" s="7" t="s">
        <v>748</v>
      </c>
      <c r="D468" s="33">
        <f>IF(ISNUMBER(SEARCH('Φόρμα Εισαγωγής'!$C$2,E468)),MAX($D$1:D467)+1,0)</f>
        <v>467</v>
      </c>
      <c r="E468" s="17" t="s">
        <v>687</v>
      </c>
      <c r="F468" s="5">
        <v>2.5</v>
      </c>
      <c r="G468" s="5">
        <v>3.5</v>
      </c>
      <c r="H468" s="6">
        <f t="shared" si="30"/>
        <v>4.34</v>
      </c>
      <c r="I468" s="6">
        <f t="shared" si="31"/>
        <v>20</v>
      </c>
      <c r="J468" s="6">
        <f t="shared" si="32"/>
        <v>34.72</v>
      </c>
      <c r="L468" s="4" t="str">
        <f>IFERROR(VLOOKUP(ROWS($L$2:L468),$B$2:$C$1996,2,0),"")</f>
        <v>ΡΑΚΟΡ ΠΟΛ. TIEMME</v>
      </c>
      <c r="N468" s="2" t="str">
        <f>IFERROR(VLOOKUP(ROWS($N$2:N468),$D$2:$E$1996,2,0),"")</f>
        <v>ΘΗΛ. Φ20 Χ 3/4</v>
      </c>
    </row>
    <row r="469" spans="1:14">
      <c r="A469" s="5">
        <v>14</v>
      </c>
      <c r="B469" s="32">
        <f>IF(ISNUMBER(SEARCH('Φόρμα Εισαγωγής'!$B$2,C469)),MAX($B$1:B468)+1,0)</f>
        <v>468</v>
      </c>
      <c r="C469" s="7" t="s">
        <v>748</v>
      </c>
      <c r="D469" s="33">
        <f>IF(ISNUMBER(SEARCH('Φόρμα Εισαγωγής'!$C$2,E469)),MAX($D$1:D468)+1,0)</f>
        <v>468</v>
      </c>
      <c r="E469" s="17" t="s">
        <v>688</v>
      </c>
      <c r="F469" s="5">
        <v>4</v>
      </c>
      <c r="G469" s="5">
        <v>5.6</v>
      </c>
      <c r="H469" s="6">
        <f t="shared" si="30"/>
        <v>6.9439999999999991</v>
      </c>
      <c r="I469" s="6">
        <f t="shared" si="31"/>
        <v>56</v>
      </c>
      <c r="J469" s="6">
        <f t="shared" si="32"/>
        <v>97.21599999999998</v>
      </c>
      <c r="L469" s="4" t="str">
        <f>IFERROR(VLOOKUP(ROWS($L$2:L469),$B$2:$C$1996,2,0),"")</f>
        <v>ΡΑΚΟΡ ΠΟΛ. TIEMME</v>
      </c>
      <c r="N469" s="2" t="str">
        <f>IFERROR(VLOOKUP(ROWS($N$2:N469),$D$2:$E$1996,2,0),"")</f>
        <v>ΘΗΛ. Φ26</v>
      </c>
    </row>
    <row r="470" spans="1:14">
      <c r="A470" s="5">
        <v>27</v>
      </c>
      <c r="B470" s="32">
        <f>IF(ISNUMBER(SEARCH('Φόρμα Εισαγωγής'!$B$2,C470)),MAX($B$1:B469)+1,0)</f>
        <v>469</v>
      </c>
      <c r="C470" s="7" t="s">
        <v>748</v>
      </c>
      <c r="D470" s="33">
        <f>IF(ISNUMBER(SEARCH('Φόρμα Εισαγωγής'!$C$2,E470)),MAX($D$1:D469)+1,0)</f>
        <v>469</v>
      </c>
      <c r="E470" s="17" t="s">
        <v>327</v>
      </c>
      <c r="F470" s="5">
        <v>1.38</v>
      </c>
      <c r="G470" s="5">
        <v>1.95</v>
      </c>
      <c r="H470" s="6">
        <f t="shared" si="30"/>
        <v>2.4180000000000001</v>
      </c>
      <c r="I470" s="6">
        <f t="shared" si="31"/>
        <v>37.26</v>
      </c>
      <c r="J470" s="6">
        <f t="shared" si="32"/>
        <v>65.286000000000001</v>
      </c>
      <c r="L470" s="4" t="str">
        <f>IFERROR(VLOOKUP(ROWS($L$2:L470),$B$2:$C$1996,2,0),"")</f>
        <v>ΡΑΚΟΡ ΠΟΛ. TIEMME</v>
      </c>
      <c r="N470" s="2" t="str">
        <f>IFERROR(VLOOKUP(ROWS($N$2:N470),$D$2:$E$1996,2,0),"")</f>
        <v>ΑΡΣ. Φ16</v>
      </c>
    </row>
    <row r="471" spans="1:14">
      <c r="A471" s="5">
        <v>9</v>
      </c>
      <c r="B471" s="32">
        <f>IF(ISNUMBER(SEARCH('Φόρμα Εισαγωγής'!$B$2,C471)),MAX($B$1:B470)+1,0)</f>
        <v>470</v>
      </c>
      <c r="C471" s="7" t="s">
        <v>748</v>
      </c>
      <c r="D471" s="33">
        <f>IF(ISNUMBER(SEARCH('Φόρμα Εισαγωγής'!$C$2,E471)),MAX($D$1:D470)+1,0)</f>
        <v>470</v>
      </c>
      <c r="E471" s="17" t="s">
        <v>328</v>
      </c>
      <c r="F471" s="5">
        <v>1.9</v>
      </c>
      <c r="G471" s="5">
        <v>2.7</v>
      </c>
      <c r="H471" s="6">
        <f t="shared" si="30"/>
        <v>3.3480000000000003</v>
      </c>
      <c r="I471" s="6">
        <f t="shared" si="31"/>
        <v>17.099999999999998</v>
      </c>
      <c r="J471" s="6">
        <f t="shared" si="32"/>
        <v>30.132000000000001</v>
      </c>
      <c r="L471" s="4" t="str">
        <f>IFERROR(VLOOKUP(ROWS($L$2:L471),$B$2:$C$1996,2,0),"")</f>
        <v>ΡΑΚΟΡ ΠΟΛ. TIEMME</v>
      </c>
      <c r="N471" s="2" t="str">
        <f>IFERROR(VLOOKUP(ROWS($N$2:N471),$D$2:$E$1996,2,0),"")</f>
        <v>ΑΡΣ. Φ18</v>
      </c>
    </row>
    <row r="472" spans="1:14">
      <c r="A472" s="5">
        <v>4</v>
      </c>
      <c r="B472" s="32">
        <f>IF(ISNUMBER(SEARCH('Φόρμα Εισαγωγής'!$B$2,C472)),MAX($B$1:B471)+1,0)</f>
        <v>471</v>
      </c>
      <c r="C472" s="7" t="s">
        <v>748</v>
      </c>
      <c r="D472" s="33">
        <f>IF(ISNUMBER(SEARCH('Φόρμα Εισαγωγής'!$C$2,E472)),MAX($D$1:D471)+1,0)</f>
        <v>471</v>
      </c>
      <c r="E472" s="17" t="s">
        <v>329</v>
      </c>
      <c r="F472" s="5">
        <v>1.85</v>
      </c>
      <c r="G472" s="5">
        <v>2.6</v>
      </c>
      <c r="H472" s="6">
        <f t="shared" si="30"/>
        <v>3.2240000000000002</v>
      </c>
      <c r="I472" s="6">
        <f t="shared" si="31"/>
        <v>7.4</v>
      </c>
      <c r="J472" s="6">
        <f t="shared" si="32"/>
        <v>12.896000000000001</v>
      </c>
      <c r="L472" s="4" t="str">
        <f>IFERROR(VLOOKUP(ROWS($L$2:L472),$B$2:$C$1996,2,0),"")</f>
        <v>ΡΑΚΟΡ ΠΟΛ. TIEMME</v>
      </c>
      <c r="N472" s="2" t="str">
        <f>IFERROR(VLOOKUP(ROWS($N$2:N472),$D$2:$E$1996,2,0),"")</f>
        <v>ΑΡΣ. Φ20 Χ 1/2</v>
      </c>
    </row>
    <row r="473" spans="1:14">
      <c r="A473" s="5">
        <v>9</v>
      </c>
      <c r="B473" s="32">
        <f>IF(ISNUMBER(SEARCH('Φόρμα Εισαγωγής'!$B$2,C473)),MAX($B$1:B472)+1,0)</f>
        <v>472</v>
      </c>
      <c r="C473" s="7" t="s">
        <v>748</v>
      </c>
      <c r="D473" s="33">
        <f>IF(ISNUMBER(SEARCH('Φόρμα Εισαγωγής'!$C$2,E473)),MAX($D$1:D472)+1,0)</f>
        <v>472</v>
      </c>
      <c r="E473" s="17" t="s">
        <v>330</v>
      </c>
      <c r="F473" s="5">
        <v>2.1</v>
      </c>
      <c r="G473" s="5">
        <v>2.9</v>
      </c>
      <c r="H473" s="6">
        <f t="shared" si="30"/>
        <v>3.5960000000000001</v>
      </c>
      <c r="I473" s="6">
        <f t="shared" si="31"/>
        <v>18.900000000000002</v>
      </c>
      <c r="J473" s="6">
        <f t="shared" si="32"/>
        <v>32.364000000000004</v>
      </c>
      <c r="L473" s="4" t="str">
        <f>IFERROR(VLOOKUP(ROWS($L$2:L473),$B$2:$C$1996,2,0),"")</f>
        <v>ΡΑΚΟΡ ΠΟΛ. TIEMME</v>
      </c>
      <c r="N473" s="2" t="str">
        <f>IFERROR(VLOOKUP(ROWS($N$2:N473),$D$2:$E$1996,2,0),"")</f>
        <v>ΑΡΣ. Φ20 Χ 3/4</v>
      </c>
    </row>
    <row r="474" spans="1:14">
      <c r="A474" s="5">
        <v>10</v>
      </c>
      <c r="B474" s="32">
        <f>IF(ISNUMBER(SEARCH('Φόρμα Εισαγωγής'!$B$2,C474)),MAX($B$1:B473)+1,0)</f>
        <v>473</v>
      </c>
      <c r="C474" s="7" t="s">
        <v>748</v>
      </c>
      <c r="D474" s="33">
        <f>IF(ISNUMBER(SEARCH('Φόρμα Εισαγωγής'!$C$2,E474)),MAX($D$1:D473)+1,0)</f>
        <v>473</v>
      </c>
      <c r="E474" s="17" t="s">
        <v>331</v>
      </c>
      <c r="F474" s="5">
        <v>3.5</v>
      </c>
      <c r="G474" s="5">
        <v>4.9000000000000004</v>
      </c>
      <c r="H474" s="6">
        <f t="shared" si="30"/>
        <v>6.0760000000000005</v>
      </c>
      <c r="I474" s="6">
        <f t="shared" si="31"/>
        <v>35</v>
      </c>
      <c r="J474" s="6">
        <f t="shared" si="32"/>
        <v>60.760000000000005</v>
      </c>
      <c r="L474" s="4" t="str">
        <f>IFERROR(VLOOKUP(ROWS($L$2:L474),$B$2:$C$1996,2,0),"")</f>
        <v>ΡΑΚΟΡ ΠΟΛ. TIEMME</v>
      </c>
      <c r="N474" s="2" t="str">
        <f>IFERROR(VLOOKUP(ROWS($N$2:N474),$D$2:$E$1996,2,0),"")</f>
        <v>ΑΡΣ. Φ26</v>
      </c>
    </row>
    <row r="475" spans="1:14">
      <c r="A475" s="5">
        <v>14</v>
      </c>
      <c r="B475" s="32">
        <f>IF(ISNUMBER(SEARCH('Φόρμα Εισαγωγής'!$B$2,C475)),MAX($B$1:B474)+1,0)</f>
        <v>474</v>
      </c>
      <c r="C475" s="7" t="s">
        <v>749</v>
      </c>
      <c r="D475" s="33">
        <f>IF(ISNUMBER(SEARCH('Φόρμα Εισαγωγής'!$C$2,E475)),MAX($D$1:D474)+1,0)</f>
        <v>474</v>
      </c>
      <c r="E475" s="17" t="s">
        <v>689</v>
      </c>
      <c r="F475" s="5">
        <v>1.1499999999999999</v>
      </c>
      <c r="G475" s="5">
        <v>1.6</v>
      </c>
      <c r="H475" s="6">
        <f t="shared" si="30"/>
        <v>1.984</v>
      </c>
      <c r="I475" s="6">
        <f t="shared" si="31"/>
        <v>16.099999999999998</v>
      </c>
      <c r="J475" s="6">
        <f t="shared" si="32"/>
        <v>27.776</v>
      </c>
      <c r="L475" s="4" t="str">
        <f>IFERROR(VLOOKUP(ROWS($L$2:L475),$B$2:$C$1996,2,0),"")</f>
        <v>ΡΑΚΟΡ ΠΛΑΣΤ. TIEMME</v>
      </c>
      <c r="N475" s="2" t="str">
        <f>IFERROR(VLOOKUP(ROWS($N$2:N475),$D$2:$E$1996,2,0),"")</f>
        <v>ΘΗΛ. Φ15</v>
      </c>
    </row>
    <row r="476" spans="1:14">
      <c r="A476" s="5">
        <v>29</v>
      </c>
      <c r="B476" s="32">
        <f>IF(ISNUMBER(SEARCH('Φόρμα Εισαγωγής'!$B$2,C476)),MAX($B$1:B475)+1,0)</f>
        <v>475</v>
      </c>
      <c r="C476" s="7" t="s">
        <v>749</v>
      </c>
      <c r="D476" s="33">
        <f>IF(ISNUMBER(SEARCH('Φόρμα Εισαγωγής'!$C$2,E476)),MAX($D$1:D475)+1,0)</f>
        <v>475</v>
      </c>
      <c r="E476" s="17" t="s">
        <v>684</v>
      </c>
      <c r="F476" s="5">
        <v>1.1000000000000001</v>
      </c>
      <c r="G476" s="5">
        <v>1.6</v>
      </c>
      <c r="H476" s="6">
        <f t="shared" si="30"/>
        <v>1.984</v>
      </c>
      <c r="I476" s="6">
        <f t="shared" si="31"/>
        <v>31.900000000000002</v>
      </c>
      <c r="J476" s="6">
        <f t="shared" si="32"/>
        <v>57.536000000000001</v>
      </c>
      <c r="L476" s="4" t="str">
        <f>IFERROR(VLOOKUP(ROWS($L$2:L476),$B$2:$C$1996,2,0),"")</f>
        <v>ΡΑΚΟΡ ΠΛΑΣΤ. TIEMME</v>
      </c>
      <c r="N476" s="2" t="str">
        <f>IFERROR(VLOOKUP(ROWS($N$2:N476),$D$2:$E$1996,2,0),"")</f>
        <v>ΘΗΛ. Φ16</v>
      </c>
    </row>
    <row r="477" spans="1:14">
      <c r="A477" s="5">
        <v>14</v>
      </c>
      <c r="B477" s="32">
        <f>IF(ISNUMBER(SEARCH('Φόρμα Εισαγωγής'!$B$2,C477)),MAX($B$1:B476)+1,0)</f>
        <v>476</v>
      </c>
      <c r="C477" s="7" t="s">
        <v>749</v>
      </c>
      <c r="D477" s="33">
        <f>IF(ISNUMBER(SEARCH('Φόρμα Εισαγωγής'!$C$2,E477)),MAX($D$1:D476)+1,0)</f>
        <v>476</v>
      </c>
      <c r="E477" s="17" t="s">
        <v>690</v>
      </c>
      <c r="F477" s="5">
        <v>1.2</v>
      </c>
      <c r="G477" s="5">
        <v>1.7</v>
      </c>
      <c r="H477" s="6">
        <f t="shared" si="30"/>
        <v>2.1080000000000001</v>
      </c>
      <c r="I477" s="6">
        <f t="shared" si="31"/>
        <v>16.8</v>
      </c>
      <c r="J477" s="6">
        <f t="shared" si="32"/>
        <v>29.512</v>
      </c>
      <c r="L477" s="4" t="str">
        <f>IFERROR(VLOOKUP(ROWS($L$2:L477),$B$2:$C$1996,2,0),"")</f>
        <v>ΡΑΚΟΡ ΠΛΑΣΤ. TIEMME</v>
      </c>
      <c r="N477" s="2" t="str">
        <f>IFERROR(VLOOKUP(ROWS($N$2:N477),$D$2:$E$1996,2,0),"")</f>
        <v>ΘΗΛ. Φ18 Χ 2</v>
      </c>
    </row>
    <row r="478" spans="1:14">
      <c r="A478" s="5">
        <v>46</v>
      </c>
      <c r="B478" s="32">
        <f>IF(ISNUMBER(SEARCH('Φόρμα Εισαγωγής'!$B$2,C478)),MAX($B$1:B477)+1,0)</f>
        <v>477</v>
      </c>
      <c r="C478" s="7" t="s">
        <v>749</v>
      </c>
      <c r="D478" s="33">
        <f>IF(ISNUMBER(SEARCH('Φόρμα Εισαγωγής'!$C$2,E478)),MAX($D$1:D477)+1,0)</f>
        <v>477</v>
      </c>
      <c r="E478" s="17" t="s">
        <v>691</v>
      </c>
      <c r="F478" s="5">
        <v>1.2</v>
      </c>
      <c r="G478" s="5">
        <v>1.7</v>
      </c>
      <c r="H478" s="6">
        <f t="shared" si="30"/>
        <v>2.1080000000000001</v>
      </c>
      <c r="I478" s="6">
        <f t="shared" si="31"/>
        <v>55.199999999999996</v>
      </c>
      <c r="J478" s="6">
        <f t="shared" si="32"/>
        <v>96.968000000000004</v>
      </c>
      <c r="L478" s="4" t="str">
        <f>IFERROR(VLOOKUP(ROWS($L$2:L478),$B$2:$C$1996,2,0),"")</f>
        <v>ΡΑΚΟΡ ΠΛΑΣΤ. TIEMME</v>
      </c>
      <c r="N478" s="2" t="str">
        <f>IFERROR(VLOOKUP(ROWS($N$2:N478),$D$2:$E$1996,2,0),"")</f>
        <v>ΘΗΛ. Φ18 Χ 2,5</v>
      </c>
    </row>
    <row r="479" spans="1:14">
      <c r="A479" s="5">
        <v>16</v>
      </c>
      <c r="B479" s="32">
        <f>IF(ISNUMBER(SEARCH('Φόρμα Εισαγωγής'!$B$2,C479)),MAX($B$1:B478)+1,0)</f>
        <v>478</v>
      </c>
      <c r="C479" s="7" t="s">
        <v>749</v>
      </c>
      <c r="D479" s="33">
        <f>IF(ISNUMBER(SEARCH('Φόρμα Εισαγωγής'!$C$2,E479)),MAX($D$1:D478)+1,0)</f>
        <v>478</v>
      </c>
      <c r="E479" s="17" t="s">
        <v>692</v>
      </c>
      <c r="F479" s="5">
        <v>2.1</v>
      </c>
      <c r="G479" s="5">
        <v>2.9</v>
      </c>
      <c r="H479" s="6">
        <f t="shared" si="30"/>
        <v>3.5960000000000001</v>
      </c>
      <c r="I479" s="6">
        <f t="shared" si="31"/>
        <v>33.6</v>
      </c>
      <c r="J479" s="6">
        <f t="shared" si="32"/>
        <v>57.536000000000001</v>
      </c>
      <c r="L479" s="4" t="str">
        <f>IFERROR(VLOOKUP(ROWS($L$2:L479),$B$2:$C$1996,2,0),"")</f>
        <v>ΡΑΚΟΡ ΠΛΑΣΤ. TIEMME</v>
      </c>
      <c r="N479" s="2" t="str">
        <f>IFERROR(VLOOKUP(ROWS($N$2:N479),$D$2:$E$1996,2,0),"")</f>
        <v>ΘΗΛ. Φ22</v>
      </c>
    </row>
    <row r="480" spans="1:14">
      <c r="A480" s="5">
        <v>7</v>
      </c>
      <c r="B480" s="32">
        <f>IF(ISNUMBER(SEARCH('Φόρμα Εισαγωγής'!$B$2,C480)),MAX($B$1:B479)+1,0)</f>
        <v>479</v>
      </c>
      <c r="C480" s="7" t="s">
        <v>749</v>
      </c>
      <c r="D480" s="33">
        <f>IF(ISNUMBER(SEARCH('Φόρμα Εισαγωγής'!$C$2,E480)),MAX($D$1:D479)+1,0)</f>
        <v>479</v>
      </c>
      <c r="E480" s="17" t="s">
        <v>693</v>
      </c>
      <c r="F480" s="5">
        <v>5</v>
      </c>
      <c r="G480" s="5">
        <v>7</v>
      </c>
      <c r="H480" s="6">
        <f t="shared" si="30"/>
        <v>8.68</v>
      </c>
      <c r="I480" s="6">
        <f t="shared" si="31"/>
        <v>35</v>
      </c>
      <c r="J480" s="6">
        <f t="shared" si="32"/>
        <v>60.76</v>
      </c>
      <c r="L480" s="4" t="str">
        <f>IFERROR(VLOOKUP(ROWS($L$2:L480),$B$2:$C$1996,2,0),"")</f>
        <v>ΡΑΚΟΡ ΠΛΑΣΤ. TIEMME</v>
      </c>
      <c r="N480" s="2" t="str">
        <f>IFERROR(VLOOKUP(ROWS($N$2:N480),$D$2:$E$1996,2,0),"")</f>
        <v>ΘΗΛ. Φ28</v>
      </c>
    </row>
    <row r="481" spans="1:14">
      <c r="A481" s="5">
        <v>4</v>
      </c>
      <c r="B481" s="32">
        <f>IF(ISNUMBER(SEARCH('Φόρμα Εισαγωγής'!$B$2,C481)),MAX($B$1:B480)+1,0)</f>
        <v>480</v>
      </c>
      <c r="C481" s="7" t="s">
        <v>749</v>
      </c>
      <c r="D481" s="33">
        <f>IF(ISNUMBER(SEARCH('Φόρμα Εισαγωγής'!$C$2,E481)),MAX($D$1:D480)+1,0)</f>
        <v>480</v>
      </c>
      <c r="E481" s="17" t="s">
        <v>694</v>
      </c>
      <c r="F481" s="5">
        <v>6.5</v>
      </c>
      <c r="G481" s="5">
        <v>9.1</v>
      </c>
      <c r="H481" s="6">
        <f t="shared" si="30"/>
        <v>11.283999999999999</v>
      </c>
      <c r="I481" s="6">
        <f t="shared" si="31"/>
        <v>26</v>
      </c>
      <c r="J481" s="6">
        <f t="shared" si="32"/>
        <v>45.135999999999996</v>
      </c>
      <c r="L481" s="4" t="str">
        <f>IFERROR(VLOOKUP(ROWS($L$2:L481),$B$2:$C$1996,2,0),"")</f>
        <v>ΡΑΚΟΡ ΠΛΑΣΤ. TIEMME</v>
      </c>
      <c r="N481" s="2" t="str">
        <f>IFERROR(VLOOKUP(ROWS($N$2:N481),$D$2:$E$1996,2,0),"")</f>
        <v>ΘΗΛ. Φ32</v>
      </c>
    </row>
    <row r="482" spans="1:14">
      <c r="A482" s="5">
        <v>25</v>
      </c>
      <c r="B482" s="32">
        <f>IF(ISNUMBER(SEARCH('Φόρμα Εισαγωγής'!$B$2,C482)),MAX($B$1:B481)+1,0)</f>
        <v>481</v>
      </c>
      <c r="C482" s="7" t="s">
        <v>749</v>
      </c>
      <c r="D482" s="33">
        <f>IF(ISNUMBER(SEARCH('Φόρμα Εισαγωγής'!$C$2,E482)),MAX($D$1:D481)+1,0)</f>
        <v>481</v>
      </c>
      <c r="E482" s="17" t="s">
        <v>332</v>
      </c>
      <c r="F482" s="5">
        <v>1</v>
      </c>
      <c r="G482" s="5">
        <v>1.5</v>
      </c>
      <c r="H482" s="6">
        <f t="shared" si="30"/>
        <v>1.8599999999999999</v>
      </c>
      <c r="I482" s="6">
        <f t="shared" si="31"/>
        <v>25</v>
      </c>
      <c r="J482" s="6">
        <f t="shared" si="32"/>
        <v>46.5</v>
      </c>
      <c r="L482" s="4" t="str">
        <f>IFERROR(VLOOKUP(ROWS($L$2:L482),$B$2:$C$1996,2,0),"")</f>
        <v>ΡΑΚΟΡ ΠΛΑΣΤ. TIEMME</v>
      </c>
      <c r="N482" s="2" t="str">
        <f>IFERROR(VLOOKUP(ROWS($N$2:N482),$D$2:$E$1996,2,0),"")</f>
        <v>ΑΡΣ. Φ15</v>
      </c>
    </row>
    <row r="483" spans="1:14">
      <c r="A483" s="5">
        <v>31</v>
      </c>
      <c r="B483" s="32">
        <f>IF(ISNUMBER(SEARCH('Φόρμα Εισαγωγής'!$B$2,C483)),MAX($B$1:B482)+1,0)</f>
        <v>482</v>
      </c>
      <c r="C483" s="7" t="s">
        <v>749</v>
      </c>
      <c r="D483" s="33">
        <f>IF(ISNUMBER(SEARCH('Φόρμα Εισαγωγής'!$C$2,E483)),MAX($D$1:D482)+1,0)</f>
        <v>482</v>
      </c>
      <c r="E483" s="17" t="s">
        <v>327</v>
      </c>
      <c r="F483" s="5">
        <v>0.95</v>
      </c>
      <c r="G483" s="5">
        <v>1.35</v>
      </c>
      <c r="H483" s="6">
        <f t="shared" si="30"/>
        <v>1.6740000000000002</v>
      </c>
      <c r="I483" s="6">
        <f t="shared" si="31"/>
        <v>29.45</v>
      </c>
      <c r="J483" s="6">
        <f t="shared" si="32"/>
        <v>51.894000000000005</v>
      </c>
      <c r="L483" s="4" t="str">
        <f>IFERROR(VLOOKUP(ROWS($L$2:L483),$B$2:$C$1996,2,0),"")</f>
        <v>ΡΑΚΟΡ ΠΛΑΣΤ. TIEMME</v>
      </c>
      <c r="N483" s="2" t="str">
        <f>IFERROR(VLOOKUP(ROWS($N$2:N483),$D$2:$E$1996,2,0),"")</f>
        <v>ΑΡΣ. Φ16</v>
      </c>
    </row>
    <row r="484" spans="1:14">
      <c r="A484" s="5">
        <v>29</v>
      </c>
      <c r="B484" s="32">
        <f>IF(ISNUMBER(SEARCH('Φόρμα Εισαγωγής'!$B$2,C484)),MAX($B$1:B483)+1,0)</f>
        <v>483</v>
      </c>
      <c r="C484" s="7" t="s">
        <v>749</v>
      </c>
      <c r="D484" s="33">
        <f>IF(ISNUMBER(SEARCH('Φόρμα Εισαγωγής'!$C$2,E484)),MAX($D$1:D483)+1,0)</f>
        <v>483</v>
      </c>
      <c r="E484" s="17" t="s">
        <v>333</v>
      </c>
      <c r="F484" s="5">
        <v>1.2</v>
      </c>
      <c r="G484" s="5">
        <v>1.7</v>
      </c>
      <c r="H484" s="6">
        <f t="shared" si="30"/>
        <v>2.1080000000000001</v>
      </c>
      <c r="I484" s="6">
        <f t="shared" si="31"/>
        <v>34.799999999999997</v>
      </c>
      <c r="J484" s="6">
        <f t="shared" si="32"/>
        <v>61.132000000000005</v>
      </c>
      <c r="L484" s="4" t="str">
        <f>IFERROR(VLOOKUP(ROWS($L$2:L484),$B$2:$C$1996,2,0),"")</f>
        <v>ΡΑΚΟΡ ΠΛΑΣΤ. TIEMME</v>
      </c>
      <c r="N484" s="2" t="str">
        <f>IFERROR(VLOOKUP(ROWS($N$2:N484),$D$2:$E$1996,2,0),"")</f>
        <v>ΑΡΣ. Φ18 Χ 2</v>
      </c>
    </row>
    <row r="485" spans="1:14">
      <c r="A485" s="5">
        <v>5</v>
      </c>
      <c r="B485" s="32">
        <f>IF(ISNUMBER(SEARCH('Φόρμα Εισαγωγής'!$B$2,C485)),MAX($B$1:B484)+1,0)</f>
        <v>484</v>
      </c>
      <c r="C485" s="7" t="s">
        <v>749</v>
      </c>
      <c r="D485" s="33">
        <f>IF(ISNUMBER(SEARCH('Φόρμα Εισαγωγής'!$C$2,E485)),MAX($D$1:D484)+1,0)</f>
        <v>484</v>
      </c>
      <c r="E485" s="17" t="s">
        <v>334</v>
      </c>
      <c r="F485" s="5">
        <v>1.2</v>
      </c>
      <c r="G485" s="5">
        <v>1.7</v>
      </c>
      <c r="H485" s="6">
        <f t="shared" si="30"/>
        <v>2.1080000000000001</v>
      </c>
      <c r="I485" s="6">
        <f t="shared" si="31"/>
        <v>6</v>
      </c>
      <c r="J485" s="6">
        <f t="shared" si="32"/>
        <v>10.540000000000001</v>
      </c>
      <c r="L485" s="4" t="str">
        <f>IFERROR(VLOOKUP(ROWS($L$2:L485),$B$2:$C$1996,2,0),"")</f>
        <v>ΡΑΚΟΡ ΠΛΑΣΤ. TIEMME</v>
      </c>
      <c r="N485" s="2" t="str">
        <f>IFERROR(VLOOKUP(ROWS($N$2:N485),$D$2:$E$1996,2,0),"")</f>
        <v>ΑΡΣ. Φ18 Χ 2,5</v>
      </c>
    </row>
    <row r="486" spans="1:14">
      <c r="A486" s="5">
        <v>9</v>
      </c>
      <c r="B486" s="32">
        <f>IF(ISNUMBER(SEARCH('Φόρμα Εισαγωγής'!$B$2,C486)),MAX($B$1:B485)+1,0)</f>
        <v>485</v>
      </c>
      <c r="C486" s="7" t="s">
        <v>749</v>
      </c>
      <c r="D486" s="33">
        <f>IF(ISNUMBER(SEARCH('Φόρμα Εισαγωγής'!$C$2,E486)),MAX($D$1:D485)+1,0)</f>
        <v>485</v>
      </c>
      <c r="E486" s="17" t="s">
        <v>335</v>
      </c>
      <c r="F486" s="5">
        <v>1.78</v>
      </c>
      <c r="G486" s="5">
        <v>2.5</v>
      </c>
      <c r="H486" s="6">
        <f t="shared" si="30"/>
        <v>3.1</v>
      </c>
      <c r="I486" s="6">
        <f t="shared" si="31"/>
        <v>16.02</v>
      </c>
      <c r="J486" s="6">
        <f t="shared" si="32"/>
        <v>27.900000000000002</v>
      </c>
      <c r="L486" s="4" t="str">
        <f>IFERROR(VLOOKUP(ROWS($L$2:L486),$B$2:$C$1996,2,0),"")</f>
        <v>ΡΑΚΟΡ ΠΛΑΣΤ. TIEMME</v>
      </c>
      <c r="N486" s="2" t="str">
        <f>IFERROR(VLOOKUP(ROWS($N$2:N486),$D$2:$E$1996,2,0),"")</f>
        <v>ΑΡΣ. Φ22</v>
      </c>
    </row>
    <row r="487" spans="1:14">
      <c r="A487" s="5">
        <v>5</v>
      </c>
      <c r="B487" s="32">
        <f>IF(ISNUMBER(SEARCH('Φόρμα Εισαγωγής'!$B$2,C487)),MAX($B$1:B486)+1,0)</f>
        <v>486</v>
      </c>
      <c r="C487" s="7" t="s">
        <v>749</v>
      </c>
      <c r="D487" s="33">
        <f>IF(ISNUMBER(SEARCH('Φόρμα Εισαγωγής'!$C$2,E487)),MAX($D$1:D486)+1,0)</f>
        <v>486</v>
      </c>
      <c r="E487" s="17" t="s">
        <v>336</v>
      </c>
      <c r="F487" s="5">
        <v>4.5</v>
      </c>
      <c r="G487" s="5">
        <v>6.3</v>
      </c>
      <c r="H487" s="6">
        <f t="shared" si="30"/>
        <v>7.8119999999999994</v>
      </c>
      <c r="I487" s="6">
        <f t="shared" si="31"/>
        <v>22.5</v>
      </c>
      <c r="J487" s="6">
        <f t="shared" si="32"/>
        <v>39.059999999999995</v>
      </c>
      <c r="L487" s="4" t="str">
        <f>IFERROR(VLOOKUP(ROWS($L$2:L487),$B$2:$C$1996,2,0),"")</f>
        <v>ΡΑΚΟΡ ΠΛΑΣΤ. TIEMME</v>
      </c>
      <c r="N487" s="2" t="str">
        <f>IFERROR(VLOOKUP(ROWS($N$2:N487),$D$2:$E$1996,2,0),"")</f>
        <v>ΑΡΣ. Φ28</v>
      </c>
    </row>
    <row r="488" spans="1:14">
      <c r="A488" s="5">
        <v>4</v>
      </c>
      <c r="B488" s="32">
        <f>IF(ISNUMBER(SEARCH('Φόρμα Εισαγωγής'!$B$2,C488)),MAX($B$1:B487)+1,0)</f>
        <v>487</v>
      </c>
      <c r="C488" s="7" t="s">
        <v>749</v>
      </c>
      <c r="D488" s="33">
        <f>IF(ISNUMBER(SEARCH('Φόρμα Εισαγωγής'!$C$2,E488)),MAX($D$1:D487)+1,0)</f>
        <v>487</v>
      </c>
      <c r="E488" s="17" t="s">
        <v>337</v>
      </c>
      <c r="F488" s="5">
        <v>5.85</v>
      </c>
      <c r="G488" s="5">
        <v>8.1999999999999993</v>
      </c>
      <c r="H488" s="6">
        <f t="shared" si="30"/>
        <v>10.167999999999999</v>
      </c>
      <c r="I488" s="6">
        <f t="shared" si="31"/>
        <v>23.4</v>
      </c>
      <c r="J488" s="6">
        <f t="shared" si="32"/>
        <v>40.671999999999997</v>
      </c>
      <c r="L488" s="4" t="str">
        <f>IFERROR(VLOOKUP(ROWS($L$2:L488),$B$2:$C$1996,2,0),"")</f>
        <v>ΡΑΚΟΡ ΠΛΑΣΤ. TIEMME</v>
      </c>
      <c r="N488" s="2" t="str">
        <f>IFERROR(VLOOKUP(ROWS($N$2:N488),$D$2:$E$1996,2,0),"")</f>
        <v>ΑΡΣ. Φ32</v>
      </c>
    </row>
    <row r="489" spans="1:14">
      <c r="A489" s="5">
        <v>7</v>
      </c>
      <c r="B489" s="32">
        <f>IF(ISNUMBER(SEARCH('Φόρμα Εισαγωγής'!$B$2,C489)),MAX($B$1:B488)+1,0)</f>
        <v>488</v>
      </c>
      <c r="C489" s="7" t="s">
        <v>833</v>
      </c>
      <c r="D489" s="33">
        <f>IF(ISNUMBER(SEARCH('Φόρμα Εισαγωγής'!$C$2,E489)),MAX($D$1:D488)+1,0)</f>
        <v>488</v>
      </c>
      <c r="E489" s="17" t="s">
        <v>339</v>
      </c>
      <c r="F489" s="5">
        <v>1.78</v>
      </c>
      <c r="G489" s="5">
        <v>2.5</v>
      </c>
      <c r="H489" s="6">
        <f t="shared" si="30"/>
        <v>3.1</v>
      </c>
      <c r="I489" s="6">
        <f t="shared" si="31"/>
        <v>12.46</v>
      </c>
      <c r="J489" s="6">
        <f t="shared" si="32"/>
        <v>21.7</v>
      </c>
      <c r="L489" s="4" t="str">
        <f>IFERROR(VLOOKUP(ROWS($L$2:L489),$B$2:$C$1996,2,0),"")</f>
        <v>ΣΥΝΔΕΣΜΟΣ ΠΛΑΣΤ TIEMME</v>
      </c>
      <c r="N489" s="2" t="str">
        <f>IFERROR(VLOOKUP(ROWS($N$2:N489),$D$2:$E$1996,2,0),"")</f>
        <v>Φ15</v>
      </c>
    </row>
    <row r="490" spans="1:14">
      <c r="A490" s="5">
        <v>7</v>
      </c>
      <c r="B490" s="32">
        <f>IF(ISNUMBER(SEARCH('Φόρμα Εισαγωγής'!$B$2,C490)),MAX($B$1:B489)+1,0)</f>
        <v>489</v>
      </c>
      <c r="C490" s="7" t="s">
        <v>833</v>
      </c>
      <c r="D490" s="33">
        <f>IF(ISNUMBER(SEARCH('Φόρμα Εισαγωγής'!$C$2,E490)),MAX($D$1:D489)+1,0)</f>
        <v>489</v>
      </c>
      <c r="E490" s="17" t="s">
        <v>340</v>
      </c>
      <c r="F490" s="5">
        <v>1.7</v>
      </c>
      <c r="G490" s="5">
        <v>2.4</v>
      </c>
      <c r="H490" s="6">
        <f t="shared" si="30"/>
        <v>2.976</v>
      </c>
      <c r="I490" s="6">
        <f t="shared" si="31"/>
        <v>11.9</v>
      </c>
      <c r="J490" s="6">
        <f t="shared" si="32"/>
        <v>20.832000000000001</v>
      </c>
      <c r="L490" s="4" t="str">
        <f>IFERROR(VLOOKUP(ROWS($L$2:L490),$B$2:$C$1996,2,0),"")</f>
        <v>ΣΥΝΔΕΣΜΟΣ ΠΛΑΣΤ TIEMME</v>
      </c>
      <c r="N490" s="2" t="str">
        <f>IFERROR(VLOOKUP(ROWS($N$2:N490),$D$2:$E$1996,2,0),"")</f>
        <v>Φ16</v>
      </c>
    </row>
    <row r="491" spans="1:14">
      <c r="A491" s="5">
        <v>29</v>
      </c>
      <c r="B491" s="32">
        <f>IF(ISNUMBER(SEARCH('Φόρμα Εισαγωγής'!$B$2,C491)),MAX($B$1:B490)+1,0)</f>
        <v>490</v>
      </c>
      <c r="C491" s="7" t="s">
        <v>833</v>
      </c>
      <c r="D491" s="33">
        <f>IF(ISNUMBER(SEARCH('Φόρμα Εισαγωγής'!$C$2,E491)),MAX($D$1:D490)+1,0)</f>
        <v>490</v>
      </c>
      <c r="E491" s="17" t="s">
        <v>341</v>
      </c>
      <c r="F491" s="5">
        <v>2</v>
      </c>
      <c r="G491" s="5">
        <v>2.8</v>
      </c>
      <c r="H491" s="6">
        <f t="shared" si="30"/>
        <v>3.4719999999999995</v>
      </c>
      <c r="I491" s="6">
        <f t="shared" si="31"/>
        <v>58</v>
      </c>
      <c r="J491" s="6">
        <f t="shared" si="32"/>
        <v>100.68799999999999</v>
      </c>
      <c r="L491" s="4" t="str">
        <f>IFERROR(VLOOKUP(ROWS($L$2:L491),$B$2:$C$1996,2,0),"")</f>
        <v>ΣΥΝΔΕΣΜΟΣ ΠΛΑΣΤ TIEMME</v>
      </c>
      <c r="N491" s="2" t="str">
        <f>IFERROR(VLOOKUP(ROWS($N$2:N491),$D$2:$E$1996,2,0),"")</f>
        <v>Φ18 Χ 2</v>
      </c>
    </row>
    <row r="492" spans="1:14">
      <c r="A492" s="5">
        <v>12</v>
      </c>
      <c r="B492" s="32">
        <f>IF(ISNUMBER(SEARCH('Φόρμα Εισαγωγής'!$B$2,C492)),MAX($B$1:B491)+1,0)</f>
        <v>491</v>
      </c>
      <c r="C492" s="7" t="s">
        <v>833</v>
      </c>
      <c r="D492" s="33">
        <f>IF(ISNUMBER(SEARCH('Φόρμα Εισαγωγής'!$C$2,E492)),MAX($D$1:D491)+1,0)</f>
        <v>491</v>
      </c>
      <c r="E492" s="17" t="s">
        <v>342</v>
      </c>
      <c r="F492" s="5">
        <v>2</v>
      </c>
      <c r="G492" s="5">
        <v>2.8</v>
      </c>
      <c r="H492" s="6">
        <f t="shared" si="30"/>
        <v>3.4719999999999995</v>
      </c>
      <c r="I492" s="6">
        <f t="shared" si="31"/>
        <v>24</v>
      </c>
      <c r="J492" s="6">
        <f t="shared" si="32"/>
        <v>41.663999999999994</v>
      </c>
      <c r="L492" s="4" t="str">
        <f>IFERROR(VLOOKUP(ROWS($L$2:L492),$B$2:$C$1996,2,0),"")</f>
        <v>ΣΥΝΔΕΣΜΟΣ ΠΛΑΣΤ TIEMME</v>
      </c>
      <c r="N492" s="2" t="str">
        <f>IFERROR(VLOOKUP(ROWS($N$2:N492),$D$2:$E$1996,2,0),"")</f>
        <v>Φ18 Χ 2,5</v>
      </c>
    </row>
    <row r="493" spans="1:14">
      <c r="A493" s="5">
        <v>10</v>
      </c>
      <c r="B493" s="32">
        <f>IF(ISNUMBER(SEARCH('Φόρμα Εισαγωγής'!$B$2,C493)),MAX($B$1:B492)+1,0)</f>
        <v>492</v>
      </c>
      <c r="C493" s="7" t="s">
        <v>833</v>
      </c>
      <c r="D493" s="33">
        <f>IF(ISNUMBER(SEARCH('Φόρμα Εισαγωγής'!$C$2,E493)),MAX($D$1:D492)+1,0)</f>
        <v>492</v>
      </c>
      <c r="E493" s="17" t="s">
        <v>280</v>
      </c>
      <c r="F493" s="5">
        <v>3.42</v>
      </c>
      <c r="G493" s="5">
        <v>4.8</v>
      </c>
      <c r="H493" s="6">
        <f t="shared" si="30"/>
        <v>5.952</v>
      </c>
      <c r="I493" s="6">
        <f t="shared" si="31"/>
        <v>34.200000000000003</v>
      </c>
      <c r="J493" s="6">
        <f t="shared" si="32"/>
        <v>59.519999999999996</v>
      </c>
      <c r="L493" s="4" t="str">
        <f>IFERROR(VLOOKUP(ROWS($L$2:L493),$B$2:$C$1996,2,0),"")</f>
        <v>ΣΥΝΔΕΣΜΟΣ ΠΛΑΣΤ TIEMME</v>
      </c>
      <c r="N493" s="2" t="str">
        <f>IFERROR(VLOOKUP(ROWS($N$2:N493),$D$2:$E$1996,2,0),"")</f>
        <v>Φ22</v>
      </c>
    </row>
    <row r="494" spans="1:14">
      <c r="A494" s="5">
        <v>1</v>
      </c>
      <c r="B494" s="32">
        <f>IF(ISNUMBER(SEARCH('Φόρμα Εισαγωγής'!$B$2,C494)),MAX($B$1:B493)+1,0)</f>
        <v>493</v>
      </c>
      <c r="C494" s="7" t="s">
        <v>832</v>
      </c>
      <c r="D494" s="33">
        <f>IF(ISNUMBER(SEARCH('Φόρμα Εισαγωγής'!$C$2,E494)),MAX($D$1:D493)+1,0)</f>
        <v>493</v>
      </c>
      <c r="E494" s="17" t="s">
        <v>343</v>
      </c>
      <c r="F494" s="5">
        <v>3.15</v>
      </c>
      <c r="G494" s="5">
        <v>4.4000000000000004</v>
      </c>
      <c r="H494" s="6">
        <f t="shared" si="30"/>
        <v>5.4560000000000004</v>
      </c>
      <c r="I494" s="6">
        <f t="shared" si="31"/>
        <v>3.15</v>
      </c>
      <c r="J494" s="6">
        <f t="shared" si="32"/>
        <v>5.4560000000000004</v>
      </c>
      <c r="L494" s="4" t="str">
        <f>IFERROR(VLOOKUP(ROWS($L$2:L494),$B$2:$C$1996,2,0),"")</f>
        <v>ΓΩΝΙΑ ΠΛΑΣΤ OΡ TIEMME</v>
      </c>
      <c r="N494" s="2" t="str">
        <f>IFERROR(VLOOKUP(ROWS($N$2:N494),$D$2:$E$1996,2,0),"")</f>
        <v>Φ22 Χ 3/4</v>
      </c>
    </row>
    <row r="495" spans="1:14">
      <c r="A495" s="5">
        <v>0</v>
      </c>
      <c r="B495" s="32">
        <f>IF(ISNUMBER(SEARCH('Φόρμα Εισαγωγής'!$B$2,C495)),MAX($B$1:B494)+1,0)</f>
        <v>494</v>
      </c>
      <c r="C495" s="7" t="s">
        <v>831</v>
      </c>
      <c r="D495" s="33">
        <f>IF(ISNUMBER(SEARCH('Φόρμα Εισαγωγής'!$C$2,E495)),MAX($D$1:D494)+1,0)</f>
        <v>494</v>
      </c>
      <c r="E495" s="17" t="s">
        <v>344</v>
      </c>
      <c r="F495" s="5">
        <v>3.75</v>
      </c>
      <c r="G495" s="5">
        <v>5.3</v>
      </c>
      <c r="H495" s="6">
        <f t="shared" si="30"/>
        <v>6.5720000000000001</v>
      </c>
      <c r="I495" s="6">
        <f t="shared" si="31"/>
        <v>0</v>
      </c>
      <c r="J495" s="6">
        <f t="shared" si="32"/>
        <v>0</v>
      </c>
      <c r="L495" s="4" t="str">
        <f>IFERROR(VLOOKUP(ROWS($L$2:L495),$B$2:$C$1996,2,0),"")</f>
        <v>ΓΩΝΙΑ ΗΛΙΑΚΟΥ OΡTIEMME</v>
      </c>
      <c r="N495" s="2" t="str">
        <f>IFERROR(VLOOKUP(ROWS($N$2:N495),$D$2:$E$1996,2,0),"")</f>
        <v>Φ22 Χ Φ18</v>
      </c>
    </row>
    <row r="496" spans="1:14">
      <c r="A496" s="5">
        <v>2</v>
      </c>
      <c r="B496" s="32">
        <f>IF(ISNUMBER(SEARCH('Φόρμα Εισαγωγής'!$B$2,C496)),MAX($B$1:B495)+1,0)</f>
        <v>495</v>
      </c>
      <c r="C496" s="7" t="s">
        <v>830</v>
      </c>
      <c r="D496" s="33">
        <f>IF(ISNUMBER(SEARCH('Φόρμα Εισαγωγής'!$C$2,E496)),MAX($D$1:D495)+1,0)</f>
        <v>495</v>
      </c>
      <c r="E496" s="17" t="s">
        <v>750</v>
      </c>
      <c r="F496" s="5">
        <v>3.95</v>
      </c>
      <c r="G496" s="5">
        <v>5.5</v>
      </c>
      <c r="H496" s="6">
        <f t="shared" si="30"/>
        <v>6.82</v>
      </c>
      <c r="I496" s="6">
        <f t="shared" si="31"/>
        <v>7.9</v>
      </c>
      <c r="J496" s="6">
        <f t="shared" si="32"/>
        <v>13.64</v>
      </c>
      <c r="L496" s="4" t="str">
        <f>IFERROR(VLOOKUP(ROWS($L$2:L496),$B$2:$C$1996,2,0),"")</f>
        <v>ΓΩΝΙΑ ΗΛΙΑΚΟΥ OΡ TIEMME</v>
      </c>
      <c r="N496" s="2" t="str">
        <f>IFERROR(VLOOKUP(ROWS($N$2:N496),$D$2:$E$1996,2,0),"")</f>
        <v>Φ22 Χ Φ22</v>
      </c>
    </row>
    <row r="497" spans="1:14">
      <c r="A497" s="5">
        <v>1</v>
      </c>
      <c r="B497" s="32">
        <f>IF(ISNUMBER(SEARCH('Φόρμα Εισαγωγής'!$B$2,C497)),MAX($B$1:B496)+1,0)</f>
        <v>496</v>
      </c>
      <c r="C497" s="7" t="s">
        <v>829</v>
      </c>
      <c r="D497" s="33">
        <f>IF(ISNUMBER(SEARCH('Φόρμα Εισαγωγής'!$C$2,E497)),MAX($D$1:D496)+1,0)</f>
        <v>496</v>
      </c>
      <c r="E497" s="17" t="s">
        <v>751</v>
      </c>
      <c r="F497" s="5">
        <v>4.4000000000000004</v>
      </c>
      <c r="G497" s="5">
        <v>6.2</v>
      </c>
      <c r="H497" s="6">
        <f t="shared" si="30"/>
        <v>7.6880000000000006</v>
      </c>
      <c r="I497" s="6">
        <f t="shared" si="31"/>
        <v>4.4000000000000004</v>
      </c>
      <c r="J497" s="6">
        <f t="shared" si="32"/>
        <v>7.6880000000000006</v>
      </c>
      <c r="L497" s="4" t="str">
        <f>IFERROR(VLOOKUP(ROWS($L$2:L497),$B$2:$C$1996,2,0),"")</f>
        <v>ΡΑΚΟΡ ΠΛΑΣΤ BUGATTI</v>
      </c>
      <c r="N497" s="2" t="str">
        <f>IFERROR(VLOOKUP(ROWS($N$2:N497),$D$2:$E$1996,2,0),"")</f>
        <v>ΑΡΣ. Φ40 X 1 1/4''</v>
      </c>
    </row>
    <row r="498" spans="1:14">
      <c r="A498" s="5">
        <v>1</v>
      </c>
      <c r="B498" s="32">
        <f>IF(ISNUMBER(SEARCH('Φόρμα Εισαγωγής'!$B$2,C498)),MAX($B$1:B497)+1,0)</f>
        <v>497</v>
      </c>
      <c r="C498" s="7" t="s">
        <v>829</v>
      </c>
      <c r="D498" s="33">
        <f>IF(ISNUMBER(SEARCH('Φόρμα Εισαγωγής'!$C$2,E498)),MAX($D$1:D497)+1,0)</f>
        <v>497</v>
      </c>
      <c r="E498" s="17" t="s">
        <v>752</v>
      </c>
      <c r="F498" s="5">
        <v>4.55</v>
      </c>
      <c r="G498" s="5">
        <v>6.5</v>
      </c>
      <c r="H498" s="6">
        <f t="shared" si="30"/>
        <v>8.06</v>
      </c>
      <c r="I498" s="6">
        <f t="shared" si="31"/>
        <v>4.55</v>
      </c>
      <c r="J498" s="6">
        <f t="shared" si="32"/>
        <v>8.06</v>
      </c>
      <c r="L498" s="4" t="str">
        <f>IFERROR(VLOOKUP(ROWS($L$2:L498),$B$2:$C$1996,2,0),"")</f>
        <v>ΡΑΚΟΡ ΠΛΑΣΤ BUGATTI</v>
      </c>
      <c r="N498" s="2" t="str">
        <f>IFERROR(VLOOKUP(ROWS($N$2:N498),$D$2:$E$1996,2,0),"")</f>
        <v>ΘΗΛ. Φ40X 1 1/4''</v>
      </c>
    </row>
    <row r="499" spans="1:14">
      <c r="A499" s="5">
        <v>4</v>
      </c>
      <c r="B499" s="32">
        <f>IF(ISNUMBER(SEARCH('Φόρμα Εισαγωγής'!$B$2,C499)),MAX($B$1:B498)+1,0)</f>
        <v>498</v>
      </c>
      <c r="C499" s="7" t="s">
        <v>828</v>
      </c>
      <c r="D499" s="33">
        <f>IF(ISNUMBER(SEARCH('Φόρμα Εισαγωγής'!$C$2,E499)),MAX($D$1:D498)+1,0)</f>
        <v>498</v>
      </c>
      <c r="E499" s="17" t="s">
        <v>189</v>
      </c>
      <c r="F499" s="5">
        <v>6.7</v>
      </c>
      <c r="G499" s="5">
        <v>9.5</v>
      </c>
      <c r="H499" s="6">
        <f t="shared" si="30"/>
        <v>11.78</v>
      </c>
      <c r="I499" s="6">
        <f t="shared" si="31"/>
        <v>26.8</v>
      </c>
      <c r="J499" s="6">
        <f t="shared" si="32"/>
        <v>47.12</v>
      </c>
      <c r="L499" s="4" t="str">
        <f>IFERROR(VLOOKUP(ROWS($L$2:L499),$B$2:$C$1996,2,0),"")</f>
        <v>ΣΥΝΔΕΣΜΟΣ ΠΛΑΣΤ BUGATTI</v>
      </c>
      <c r="N499" s="2" t="str">
        <f>IFERROR(VLOOKUP(ROWS($N$2:N499),$D$2:$E$1996,2,0),"")</f>
        <v>Φ40</v>
      </c>
    </row>
    <row r="500" spans="1:14">
      <c r="A500" s="5">
        <v>7</v>
      </c>
      <c r="B500" s="32">
        <f>IF(ISNUMBER(SEARCH('Φόρμα Εισαγωγής'!$B$2,C500)),MAX($B$1:B499)+1,0)</f>
        <v>499</v>
      </c>
      <c r="C500" s="7" t="s">
        <v>827</v>
      </c>
      <c r="D500" s="33">
        <f>IF(ISNUMBER(SEARCH('Φόρμα Εισαγωγής'!$C$2,E500)),MAX($D$1:D499)+1,0)</f>
        <v>499</v>
      </c>
      <c r="E500" s="17" t="s">
        <v>753</v>
      </c>
      <c r="F500" s="5">
        <v>5.14</v>
      </c>
      <c r="G500" s="5">
        <v>7.2</v>
      </c>
      <c r="H500" s="6">
        <f t="shared" si="30"/>
        <v>8.9280000000000008</v>
      </c>
      <c r="I500" s="6">
        <f t="shared" si="31"/>
        <v>35.979999999999997</v>
      </c>
      <c r="J500" s="6">
        <f t="shared" si="32"/>
        <v>62.496000000000009</v>
      </c>
      <c r="L500" s="4" t="str">
        <f>IFERROR(VLOOKUP(ROWS($L$2:L500),$B$2:$C$1996,2,0),"")</f>
        <v>ΡΑΚΟΡ ΣΥΣΦ ΣΙΔΕΡ ΟΡ CIM</v>
      </c>
      <c r="N500" s="2" t="str">
        <f>IFERROR(VLOOKUP(ROWS($N$2:N500),$D$2:$E$1996,2,0),"")</f>
        <v>ΘΥΛ. 1/2</v>
      </c>
    </row>
    <row r="501" spans="1:14">
      <c r="A501" s="5">
        <v>5</v>
      </c>
      <c r="B501" s="32">
        <f>IF(ISNUMBER(SEARCH('Φόρμα Εισαγωγής'!$B$2,C501)),MAX($B$1:B500)+1,0)</f>
        <v>500</v>
      </c>
      <c r="C501" s="7" t="s">
        <v>827</v>
      </c>
      <c r="D501" s="33">
        <f>IF(ISNUMBER(SEARCH('Φόρμα Εισαγωγής'!$C$2,E501)),MAX($D$1:D500)+1,0)</f>
        <v>500</v>
      </c>
      <c r="E501" s="17" t="s">
        <v>754</v>
      </c>
      <c r="F501" s="5">
        <v>5.65</v>
      </c>
      <c r="G501" s="5">
        <v>8</v>
      </c>
      <c r="H501" s="6">
        <f t="shared" si="30"/>
        <v>9.92</v>
      </c>
      <c r="I501" s="6">
        <f t="shared" si="31"/>
        <v>28.25</v>
      </c>
      <c r="J501" s="6">
        <f t="shared" si="32"/>
        <v>49.6</v>
      </c>
      <c r="L501" s="4" t="str">
        <f>IFERROR(VLOOKUP(ROWS($L$2:L501),$B$2:$C$1996,2,0),"")</f>
        <v>ΡΑΚΟΡ ΣΥΣΦ ΣΙΔΕΡ ΟΡ CIM</v>
      </c>
      <c r="N501" s="2" t="str">
        <f>IFERROR(VLOOKUP(ROWS($N$2:N501),$D$2:$E$1996,2,0),"")</f>
        <v>ΑΡΣ.3/4</v>
      </c>
    </row>
    <row r="502" spans="1:14">
      <c r="A502" s="5">
        <v>8</v>
      </c>
      <c r="B502" s="32">
        <f>IF(ISNUMBER(SEARCH('Φόρμα Εισαγωγής'!$B$2,C502)),MAX($B$1:B501)+1,0)</f>
        <v>501</v>
      </c>
      <c r="C502" s="7" t="s">
        <v>825</v>
      </c>
      <c r="D502" s="33">
        <f>IF(ISNUMBER(SEARCH('Φόρμα Εισαγωγής'!$C$2,E502)),MAX($D$1:D501)+1,0)</f>
        <v>501</v>
      </c>
      <c r="E502" s="17" t="s">
        <v>257</v>
      </c>
      <c r="F502" s="5">
        <v>0.92</v>
      </c>
      <c r="G502" s="5">
        <v>1.3</v>
      </c>
      <c r="H502" s="6">
        <f t="shared" si="30"/>
        <v>1.6120000000000001</v>
      </c>
      <c r="I502" s="6">
        <f t="shared" si="31"/>
        <v>7.36</v>
      </c>
      <c r="J502" s="6">
        <f t="shared" si="32"/>
        <v>12.896000000000001</v>
      </c>
      <c r="L502" s="4" t="str">
        <f>IFERROR(VLOOKUP(ROWS($L$2:L502),$B$2:$C$1996,2,0),"")</f>
        <v>ΡΑΚΟΡ ΣΥΣΦ ΧΑΛΚΟΥ</v>
      </c>
      <c r="N502" s="2" t="str">
        <f>IFERROR(VLOOKUP(ROWS($N$2:N502),$D$2:$E$1996,2,0),"")</f>
        <v>ΑΡΣ. Φ15 Χ 1/2</v>
      </c>
    </row>
    <row r="503" spans="1:14">
      <c r="A503" s="5">
        <v>1</v>
      </c>
      <c r="B503" s="32">
        <f>IF(ISNUMBER(SEARCH('Φόρμα Εισαγωγής'!$B$2,C503)),MAX($B$1:B502)+1,0)</f>
        <v>502</v>
      </c>
      <c r="C503" s="7" t="s">
        <v>826</v>
      </c>
      <c r="D503" s="33">
        <f>IF(ISNUMBER(SEARCH('Φόρμα Εισαγωγής'!$C$2,E503)),MAX($D$1:D502)+1,0)</f>
        <v>502</v>
      </c>
      <c r="E503" s="17" t="s">
        <v>339</v>
      </c>
      <c r="F503" s="5">
        <v>1.3</v>
      </c>
      <c r="G503" s="5">
        <v>1.8</v>
      </c>
      <c r="H503" s="6">
        <f t="shared" si="30"/>
        <v>2.2320000000000002</v>
      </c>
      <c r="I503" s="6">
        <f t="shared" si="31"/>
        <v>1.3</v>
      </c>
      <c r="J503" s="6">
        <f t="shared" si="32"/>
        <v>2.2320000000000002</v>
      </c>
      <c r="L503" s="4" t="str">
        <f>IFERROR(VLOOKUP(ROWS($L$2:L503),$B$2:$C$1996,2,0),"")</f>
        <v>ΣΥΝΔΕΣΜΟΣ ΣΥΣΦ ΧΑΛΚΟΥ</v>
      </c>
      <c r="N503" s="2" t="str">
        <f>IFERROR(VLOOKUP(ROWS($N$2:N503),$D$2:$E$1996,2,0),"")</f>
        <v>Φ15</v>
      </c>
    </row>
    <row r="504" spans="1:14">
      <c r="A504" s="5">
        <v>3</v>
      </c>
      <c r="B504" s="32">
        <f>IF(ISNUMBER(SEARCH('Φόρμα Εισαγωγής'!$B$2,C504)),MAX($B$1:B503)+1,0)</f>
        <v>503</v>
      </c>
      <c r="C504" s="7" t="s">
        <v>825</v>
      </c>
      <c r="D504" s="33">
        <f>IF(ISNUMBER(SEARCH('Φόρμα Εισαγωγής'!$C$2,E504)),MAX($D$1:D503)+1,0)</f>
        <v>503</v>
      </c>
      <c r="E504" s="17" t="s">
        <v>259</v>
      </c>
      <c r="F504" s="5">
        <v>1.36</v>
      </c>
      <c r="G504" s="5">
        <v>1.9</v>
      </c>
      <c r="H504" s="6">
        <f t="shared" si="30"/>
        <v>2.3559999999999999</v>
      </c>
      <c r="I504" s="6">
        <f t="shared" si="31"/>
        <v>4.08</v>
      </c>
      <c r="J504" s="6">
        <f t="shared" si="32"/>
        <v>7.0679999999999996</v>
      </c>
      <c r="L504" s="4" t="str">
        <f>IFERROR(VLOOKUP(ROWS($L$2:L504),$B$2:$C$1996,2,0),"")</f>
        <v>ΡΑΚΟΡ ΣΥΣΦ ΧΑΛΚΟΥ</v>
      </c>
      <c r="N504" s="2" t="str">
        <f>IFERROR(VLOOKUP(ROWS($N$2:N504),$D$2:$E$1996,2,0),"")</f>
        <v>ΑΡΣ. Φ18 Χ 1/2</v>
      </c>
    </row>
    <row r="505" spans="1:14">
      <c r="A505" s="5">
        <v>1</v>
      </c>
      <c r="B505" s="32">
        <f>IF(ISNUMBER(SEARCH('Φόρμα Εισαγωγής'!$B$2,C505)),MAX($B$1:B504)+1,0)</f>
        <v>504</v>
      </c>
      <c r="C505" s="7" t="s">
        <v>825</v>
      </c>
      <c r="D505" s="33">
        <f>IF(ISNUMBER(SEARCH('Φόρμα Εισαγωγής'!$C$2,E505)),MAX($D$1:D504)+1,0)</f>
        <v>504</v>
      </c>
      <c r="E505" s="17" t="s">
        <v>258</v>
      </c>
      <c r="F505" s="5">
        <v>1.43</v>
      </c>
      <c r="G505" s="5">
        <v>2</v>
      </c>
      <c r="H505" s="6">
        <f t="shared" si="30"/>
        <v>2.48</v>
      </c>
      <c r="I505" s="6">
        <f t="shared" si="31"/>
        <v>1.43</v>
      </c>
      <c r="J505" s="6">
        <f t="shared" si="32"/>
        <v>2.48</v>
      </c>
      <c r="L505" s="4" t="str">
        <f>IFERROR(VLOOKUP(ROWS($L$2:L505),$B$2:$C$1996,2,0),"")</f>
        <v>ΡΑΚΟΡ ΣΥΣΦ ΧΑΛΚΟΥ</v>
      </c>
      <c r="N505" s="2" t="str">
        <f>IFERROR(VLOOKUP(ROWS($N$2:N505),$D$2:$E$1996,2,0),"")</f>
        <v>ΘΗΛ. Φ18 Χ 1/2</v>
      </c>
    </row>
    <row r="506" spans="1:14">
      <c r="A506" s="5">
        <v>10</v>
      </c>
      <c r="B506" s="32">
        <f>IF(ISNUMBER(SEARCH('Φόρμα Εισαγωγής'!$B$2,C506)),MAX($B$1:B505)+1,0)</f>
        <v>505</v>
      </c>
      <c r="C506" s="7" t="s">
        <v>825</v>
      </c>
      <c r="D506" s="33">
        <f>IF(ISNUMBER(SEARCH('Φόρμα Εισαγωγής'!$C$2,E506)),MAX($D$1:D505)+1,0)</f>
        <v>505</v>
      </c>
      <c r="E506" s="17" t="s">
        <v>256</v>
      </c>
      <c r="F506" s="5">
        <v>1</v>
      </c>
      <c r="G506" s="5">
        <v>1.4</v>
      </c>
      <c r="H506" s="6">
        <f t="shared" si="30"/>
        <v>1.7359999999999998</v>
      </c>
      <c r="I506" s="6">
        <f t="shared" si="31"/>
        <v>10</v>
      </c>
      <c r="J506" s="6">
        <f t="shared" si="32"/>
        <v>17.36</v>
      </c>
      <c r="L506" s="4" t="str">
        <f>IFERROR(VLOOKUP(ROWS($L$2:L506),$B$2:$C$1996,2,0),"")</f>
        <v>ΡΑΚΟΡ ΣΥΣΦ ΧΑΛΚΟΥ</v>
      </c>
      <c r="N506" s="2" t="str">
        <f>IFERROR(VLOOKUP(ROWS($N$2:N506),$D$2:$E$1996,2,0),"")</f>
        <v>ΘΗΛ. Φ15 Χ 1/2</v>
      </c>
    </row>
    <row r="507" spans="1:14">
      <c r="A507" s="5">
        <v>7</v>
      </c>
      <c r="B507" s="32">
        <f>IF(ISNUMBER(SEARCH('Φόρμα Εισαγωγής'!$B$2,C507)),MAX($B$1:B506)+1,0)</f>
        <v>506</v>
      </c>
      <c r="C507" s="7" t="s">
        <v>820</v>
      </c>
      <c r="D507" s="33">
        <f>IF(ISNUMBER(SEARCH('Φόρμα Εισαγωγής'!$C$2,E507)),MAX($D$1:D506)+1,0)</f>
        <v>506</v>
      </c>
      <c r="E507" s="17" t="s">
        <v>340</v>
      </c>
      <c r="F507" s="5">
        <v>2.6</v>
      </c>
      <c r="G507" s="5">
        <v>3.6</v>
      </c>
      <c r="H507" s="6">
        <f t="shared" si="30"/>
        <v>4.4640000000000004</v>
      </c>
      <c r="I507" s="6">
        <f t="shared" si="31"/>
        <v>18.2</v>
      </c>
      <c r="J507" s="6">
        <f t="shared" si="32"/>
        <v>31.248000000000005</v>
      </c>
      <c r="L507" s="4" t="str">
        <f>IFERROR(VLOOKUP(ROWS($L$2:L507),$B$2:$C$1996,2,0),"")</f>
        <v>ΓΩΝΙΑ ΠΛΑΣΤ</v>
      </c>
      <c r="N507" s="2" t="str">
        <f>IFERROR(VLOOKUP(ROWS($N$2:N507),$D$2:$E$1996,2,0),"")</f>
        <v>Φ16</v>
      </c>
    </row>
    <row r="508" spans="1:14">
      <c r="A508" s="5">
        <v>24</v>
      </c>
      <c r="B508" s="32">
        <f>IF(ISNUMBER(SEARCH('Φόρμα Εισαγωγής'!$B$2,C508)),MAX($B$1:B507)+1,0)</f>
        <v>507</v>
      </c>
      <c r="C508" s="7" t="s">
        <v>820</v>
      </c>
      <c r="D508" s="33">
        <f>IF(ISNUMBER(SEARCH('Φόρμα Εισαγωγής'!$C$2,E508)),MAX($D$1:D507)+1,0)</f>
        <v>507</v>
      </c>
      <c r="E508" s="17" t="s">
        <v>695</v>
      </c>
      <c r="F508" s="5">
        <v>1.75</v>
      </c>
      <c r="G508" s="5">
        <v>2.4500000000000002</v>
      </c>
      <c r="H508" s="6">
        <f t="shared" si="30"/>
        <v>3.0380000000000003</v>
      </c>
      <c r="I508" s="6">
        <f t="shared" si="31"/>
        <v>42</v>
      </c>
      <c r="J508" s="6">
        <f t="shared" si="32"/>
        <v>72.912000000000006</v>
      </c>
      <c r="L508" s="4" t="str">
        <f>IFERROR(VLOOKUP(ROWS($L$2:L508),$B$2:$C$1996,2,0),"")</f>
        <v>ΓΩΝΙΑ ΠΛΑΣΤ</v>
      </c>
      <c r="N508" s="2" t="str">
        <f>IFERROR(VLOOKUP(ROWS($N$2:N508),$D$2:$E$1996,2,0),"")</f>
        <v>ΘΗΛ. Φ16 Χ 1/2</v>
      </c>
    </row>
    <row r="509" spans="1:14">
      <c r="A509" s="5">
        <v>4</v>
      </c>
      <c r="B509" s="32">
        <f>IF(ISNUMBER(SEARCH('Φόρμα Εισαγωγής'!$B$2,C509)),MAX($B$1:B508)+1,0)</f>
        <v>508</v>
      </c>
      <c r="C509" s="7" t="s">
        <v>825</v>
      </c>
      <c r="D509" s="33">
        <f>IF(ISNUMBER(SEARCH('Φόρμα Εισαγωγής'!$C$2,E509)),MAX($D$1:D508)+1,0)</f>
        <v>508</v>
      </c>
      <c r="E509" s="17" t="s">
        <v>692</v>
      </c>
      <c r="F509" s="5">
        <v>1.82</v>
      </c>
      <c r="G509" s="5">
        <v>2.6</v>
      </c>
      <c r="H509" s="6">
        <f t="shared" si="30"/>
        <v>3.2240000000000002</v>
      </c>
      <c r="I509" s="6">
        <f t="shared" si="31"/>
        <v>7.28</v>
      </c>
      <c r="J509" s="6">
        <f t="shared" si="32"/>
        <v>12.896000000000001</v>
      </c>
      <c r="L509" s="4" t="str">
        <f>IFERROR(VLOOKUP(ROWS($L$2:L509),$B$2:$C$1996,2,0),"")</f>
        <v>ΡΑΚΟΡ ΣΥΣΦ ΧΑΛΚΟΥ</v>
      </c>
      <c r="N509" s="2" t="str">
        <f>IFERROR(VLOOKUP(ROWS($N$2:N509),$D$2:$E$1996,2,0),"")</f>
        <v>ΘΗΛ. Φ22</v>
      </c>
    </row>
    <row r="510" spans="1:14">
      <c r="A510" s="5">
        <v>6</v>
      </c>
      <c r="B510" s="32">
        <f>IF(ISNUMBER(SEARCH('Φόρμα Εισαγωγής'!$B$2,C510)),MAX($B$1:B509)+1,0)</f>
        <v>509</v>
      </c>
      <c r="C510" s="7" t="s">
        <v>932</v>
      </c>
      <c r="D510" s="33">
        <f>IF(ISNUMBER(SEARCH('Φόρμα Εισαγωγής'!$C$2,E510)),MAX($D$1:D509)+1,0)</f>
        <v>509</v>
      </c>
      <c r="E510" s="17" t="s">
        <v>695</v>
      </c>
      <c r="F510" s="5">
        <v>2.4500000000000002</v>
      </c>
      <c r="G510" s="5">
        <v>3.45</v>
      </c>
      <c r="H510" s="6">
        <f t="shared" si="30"/>
        <v>4.2780000000000005</v>
      </c>
      <c r="I510" s="6">
        <f t="shared" si="31"/>
        <v>14.700000000000001</v>
      </c>
      <c r="J510" s="6">
        <f t="shared" si="32"/>
        <v>25.668000000000003</v>
      </c>
      <c r="L510" s="4" t="str">
        <f>IFERROR(VLOOKUP(ROWS($L$2:L510),$B$2:$C$1996,2,0),"")</f>
        <v>ΓΩΝΙΑ ΤΕΡΜ ΠΟΛ AYT</v>
      </c>
      <c r="N510" s="2" t="str">
        <f>IFERROR(VLOOKUP(ROWS($N$2:N510),$D$2:$E$1996,2,0),"")</f>
        <v>ΘΗΛ. Φ16 Χ 1/2</v>
      </c>
    </row>
    <row r="511" spans="1:14">
      <c r="A511" s="5">
        <v>1</v>
      </c>
      <c r="B511" s="32">
        <f>IF(ISNUMBER(SEARCH('Φόρμα Εισαγωγής'!$B$2,C511)),MAX($B$1:B510)+1,0)</f>
        <v>510</v>
      </c>
      <c r="C511" s="7" t="s">
        <v>824</v>
      </c>
      <c r="D511" s="33">
        <f>IF(ISNUMBER(SEARCH('Φόρμα Εισαγωγής'!$C$2,E511)),MAX($D$1:D510)+1,0)</f>
        <v>510</v>
      </c>
      <c r="E511" s="17" t="s">
        <v>340</v>
      </c>
      <c r="F511" s="5">
        <v>2.5</v>
      </c>
      <c r="G511" s="5">
        <v>3.4</v>
      </c>
      <c r="H511" s="6">
        <f t="shared" si="30"/>
        <v>4.2160000000000002</v>
      </c>
      <c r="I511" s="6">
        <f t="shared" si="31"/>
        <v>2.5</v>
      </c>
      <c r="J511" s="6">
        <f t="shared" si="32"/>
        <v>4.2160000000000002</v>
      </c>
      <c r="L511" s="4" t="str">
        <f>IFERROR(VLOOKUP(ROWS($L$2:L511),$B$2:$C$1996,2,0),"")</f>
        <v>ΓΩΝΙΑ ΠΟΛ</v>
      </c>
      <c r="N511" s="2" t="str">
        <f>IFERROR(VLOOKUP(ROWS($N$2:N511),$D$2:$E$1996,2,0),"")</f>
        <v>Φ16</v>
      </c>
    </row>
    <row r="512" spans="1:14">
      <c r="A512" s="5">
        <v>7</v>
      </c>
      <c r="B512" s="32">
        <f>IF(ISNUMBER(SEARCH('Φόρμα Εισαγωγής'!$B$2,C512)),MAX($B$1:B511)+1,0)</f>
        <v>511</v>
      </c>
      <c r="C512" s="7" t="s">
        <v>824</v>
      </c>
      <c r="D512" s="33">
        <f>IF(ISNUMBER(SEARCH('Φόρμα Εισαγωγής'!$C$2,E512)),MAX($D$1:D511)+1,0)</f>
        <v>511</v>
      </c>
      <c r="E512" s="17" t="s">
        <v>345</v>
      </c>
      <c r="F512" s="5">
        <v>1.82</v>
      </c>
      <c r="G512" s="5">
        <v>2.5499999999999998</v>
      </c>
      <c r="H512" s="6">
        <f t="shared" si="30"/>
        <v>3.1619999999999999</v>
      </c>
      <c r="I512" s="6">
        <f t="shared" si="31"/>
        <v>12.74</v>
      </c>
      <c r="J512" s="6">
        <f t="shared" si="32"/>
        <v>22.134</v>
      </c>
      <c r="L512" s="4" t="str">
        <f>IFERROR(VLOOKUP(ROWS($L$2:L512),$B$2:$C$1996,2,0),"")</f>
        <v>ΓΩΝΙΑ ΠΟΛ</v>
      </c>
      <c r="N512" s="2" t="str">
        <f>IFERROR(VLOOKUP(ROWS($N$2:N512),$D$2:$E$1996,2,0),"")</f>
        <v>ΑΡΣ. Φ16 Χ 1/2</v>
      </c>
    </row>
    <row r="513" spans="1:14">
      <c r="A513" s="5">
        <v>8</v>
      </c>
      <c r="B513" s="32">
        <f>IF(ISNUMBER(SEARCH('Φόρμα Εισαγωγής'!$B$2,C513)),MAX($B$1:B512)+1,0)</f>
        <v>512</v>
      </c>
      <c r="C513" s="7" t="s">
        <v>824</v>
      </c>
      <c r="D513" s="33">
        <f>IF(ISNUMBER(SEARCH('Φόρμα Εισαγωγής'!$C$2,E513)),MAX($D$1:D512)+1,0)</f>
        <v>512</v>
      </c>
      <c r="E513" s="17" t="s">
        <v>695</v>
      </c>
      <c r="F513" s="5">
        <v>1.7</v>
      </c>
      <c r="G513" s="5">
        <v>2.4</v>
      </c>
      <c r="H513" s="6">
        <f t="shared" si="30"/>
        <v>2.976</v>
      </c>
      <c r="I513" s="6">
        <f t="shared" si="31"/>
        <v>13.6</v>
      </c>
      <c r="J513" s="6">
        <f t="shared" si="32"/>
        <v>23.808</v>
      </c>
      <c r="L513" s="4" t="str">
        <f>IFERROR(VLOOKUP(ROWS($L$2:L513),$B$2:$C$1996,2,0),"")</f>
        <v>ΓΩΝΙΑ ΠΟΛ</v>
      </c>
      <c r="N513" s="2" t="str">
        <f>IFERROR(VLOOKUP(ROWS($N$2:N513),$D$2:$E$1996,2,0),"")</f>
        <v>ΘΗΛ. Φ16 Χ 1/2</v>
      </c>
    </row>
    <row r="514" spans="1:14">
      <c r="A514" s="5">
        <v>4</v>
      </c>
      <c r="B514" s="32">
        <f>IF(ISNUMBER(SEARCH('Φόρμα Εισαγωγής'!$B$2,C514)),MAX($B$1:B513)+1,0)</f>
        <v>513</v>
      </c>
      <c r="C514" s="7" t="s">
        <v>823</v>
      </c>
      <c r="D514" s="33">
        <f>IF(ISNUMBER(SEARCH('Φόρμα Εισαγωγής'!$C$2,E514)),MAX($D$1:D513)+1,0)</f>
        <v>513</v>
      </c>
      <c r="E514" s="17" t="s">
        <v>346</v>
      </c>
      <c r="F514" s="5">
        <v>5.45</v>
      </c>
      <c r="G514" s="5">
        <v>7.65</v>
      </c>
      <c r="H514" s="6">
        <f t="shared" si="30"/>
        <v>9.4860000000000007</v>
      </c>
      <c r="I514" s="6">
        <f t="shared" si="31"/>
        <v>21.8</v>
      </c>
      <c r="J514" s="6">
        <f t="shared" si="32"/>
        <v>37.944000000000003</v>
      </c>
      <c r="L514" s="4" t="str">
        <f>IFERROR(VLOOKUP(ROWS($L$2:L514),$B$2:$C$1996,2,0),"")</f>
        <v>ΤΑΦ ΠΟΛ</v>
      </c>
      <c r="N514" s="2" t="str">
        <f>IFERROR(VLOOKUP(ROWS($N$2:N514),$D$2:$E$1996,2,0),"")</f>
        <v>Φ26 Χ 3/4 Χ Φ26</v>
      </c>
    </row>
    <row r="515" spans="1:14">
      <c r="A515" s="5">
        <v>9</v>
      </c>
      <c r="B515" s="32">
        <f>IF(ISNUMBER(SEARCH('Φόρμα Εισαγωγής'!$B$2,C515)),MAX($B$1:B514)+1,0)</f>
        <v>514</v>
      </c>
      <c r="C515" s="7" t="s">
        <v>823</v>
      </c>
      <c r="D515" s="33">
        <f>IF(ISNUMBER(SEARCH('Φόρμα Εισαγωγής'!$C$2,E515)),MAX($D$1:D514)+1,0)</f>
        <v>514</v>
      </c>
      <c r="E515" s="17" t="s">
        <v>340</v>
      </c>
      <c r="F515" s="5">
        <v>3.25</v>
      </c>
      <c r="G515" s="5">
        <v>4.5</v>
      </c>
      <c r="H515" s="6">
        <f t="shared" si="30"/>
        <v>5.58</v>
      </c>
      <c r="I515" s="6">
        <f t="shared" si="31"/>
        <v>29.25</v>
      </c>
      <c r="J515" s="6">
        <f t="shared" si="32"/>
        <v>50.22</v>
      </c>
      <c r="L515" s="4" t="str">
        <f>IFERROR(VLOOKUP(ROWS($L$2:L515),$B$2:$C$1996,2,0),"")</f>
        <v>ΤΑΦ ΠΟΛ</v>
      </c>
      <c r="N515" s="2" t="str">
        <f>IFERROR(VLOOKUP(ROWS($N$2:N515),$D$2:$E$1996,2,0),"")</f>
        <v>Φ16</v>
      </c>
    </row>
    <row r="516" spans="1:14">
      <c r="A516" s="5">
        <v>6</v>
      </c>
      <c r="B516" s="32">
        <f>IF(ISNUMBER(SEARCH('Φόρμα Εισαγωγής'!$B$2,C516)),MAX($B$1:B515)+1,0)</f>
        <v>515</v>
      </c>
      <c r="C516" s="7" t="s">
        <v>823</v>
      </c>
      <c r="D516" s="33">
        <f>IF(ISNUMBER(SEARCH('Φόρμα Εισαγωγής'!$C$2,E516)),MAX($D$1:D515)+1,0)</f>
        <v>515</v>
      </c>
      <c r="E516" s="17" t="s">
        <v>347</v>
      </c>
      <c r="F516" s="5">
        <v>3.55</v>
      </c>
      <c r="G516" s="5">
        <v>5</v>
      </c>
      <c r="H516" s="6">
        <f t="shared" si="30"/>
        <v>6.2</v>
      </c>
      <c r="I516" s="6">
        <f t="shared" si="31"/>
        <v>21.299999999999997</v>
      </c>
      <c r="J516" s="6">
        <f t="shared" si="32"/>
        <v>37.200000000000003</v>
      </c>
      <c r="L516" s="4" t="str">
        <f>IFERROR(VLOOKUP(ROWS($L$2:L516),$B$2:$C$1996,2,0),"")</f>
        <v>ΤΑΦ ΠΟΛ</v>
      </c>
      <c r="N516" s="2" t="str">
        <f>IFERROR(VLOOKUP(ROWS($N$2:N516),$D$2:$E$1996,2,0),"")</f>
        <v>Φ20 Χ 3/4 Χ Φ20</v>
      </c>
    </row>
    <row r="517" spans="1:14">
      <c r="A517" s="5">
        <v>2</v>
      </c>
      <c r="B517" s="32">
        <f>IF(ISNUMBER(SEARCH('Φόρμα Εισαγωγής'!$B$2,C517)),MAX($B$1:B516)+1,0)</f>
        <v>516</v>
      </c>
      <c r="C517" s="7" t="s">
        <v>822</v>
      </c>
      <c r="D517" s="33">
        <f>IF(ISNUMBER(SEARCH('Φόρμα Εισαγωγής'!$C$2,E517)),MAX($D$1:D516)+1,0)</f>
        <v>516</v>
      </c>
      <c r="E517" s="17" t="s">
        <v>348</v>
      </c>
      <c r="F517" s="5">
        <v>2.7</v>
      </c>
      <c r="G517" s="5">
        <v>3.75</v>
      </c>
      <c r="H517" s="6">
        <f t="shared" si="30"/>
        <v>4.6500000000000004</v>
      </c>
      <c r="I517" s="6">
        <f t="shared" si="31"/>
        <v>5.4</v>
      </c>
      <c r="J517" s="6">
        <f t="shared" si="32"/>
        <v>9.3000000000000007</v>
      </c>
      <c r="L517" s="4" t="str">
        <f>IFERROR(VLOOKUP(ROWS($L$2:L517),$B$2:$C$1996,2,0),"")</f>
        <v>ΤΑΦ ΠΛΑΣΤ</v>
      </c>
      <c r="N517" s="2" t="str">
        <f>IFERROR(VLOOKUP(ROWS($N$2:N517),$D$2:$E$1996,2,0),"")</f>
        <v>ΑΡΣ. Φ18 Χ 1/2 Χ Φ18</v>
      </c>
    </row>
    <row r="518" spans="1:14">
      <c r="A518" s="5">
        <v>1</v>
      </c>
      <c r="B518" s="32">
        <f>IF(ISNUMBER(SEARCH('Φόρμα Εισαγωγής'!$B$2,C518)),MAX($B$1:B517)+1,0)</f>
        <v>517</v>
      </c>
      <c r="C518" s="7" t="s">
        <v>822</v>
      </c>
      <c r="D518" s="33">
        <f>IF(ISNUMBER(SEARCH('Φόρμα Εισαγωγής'!$C$2,E518)),MAX($D$1:D517)+1,0)</f>
        <v>517</v>
      </c>
      <c r="E518" s="17" t="s">
        <v>696</v>
      </c>
      <c r="F518" s="5">
        <v>2.65</v>
      </c>
      <c r="G518" s="5">
        <v>3.75</v>
      </c>
      <c r="H518" s="6">
        <f t="shared" ref="H518:H581" si="33">G518+(G518*0.24)</f>
        <v>4.6500000000000004</v>
      </c>
      <c r="I518" s="6">
        <f t="shared" ref="I518:I581" si="34">F518*A518</f>
        <v>2.65</v>
      </c>
      <c r="J518" s="6">
        <f t="shared" ref="J518:J581" si="35">H518*A518</f>
        <v>4.6500000000000004</v>
      </c>
      <c r="L518" s="4" t="str">
        <f>IFERROR(VLOOKUP(ROWS($L$2:L518),$B$2:$C$1996,2,0),"")</f>
        <v>ΤΑΦ ΠΛΑΣΤ</v>
      </c>
      <c r="N518" s="2" t="str">
        <f>IFERROR(VLOOKUP(ROWS($N$2:N518),$D$2:$E$1996,2,0),"")</f>
        <v>ΘΗΛ. Φ18 Χ 1/2 Χ Φ18</v>
      </c>
    </row>
    <row r="519" spans="1:14">
      <c r="A519" s="5">
        <v>2</v>
      </c>
      <c r="B519" s="32">
        <f>IF(ISNUMBER(SEARCH('Φόρμα Εισαγωγής'!$B$2,C519)),MAX($B$1:B518)+1,0)</f>
        <v>518</v>
      </c>
      <c r="C519" s="7" t="s">
        <v>822</v>
      </c>
      <c r="D519" s="33">
        <f>IF(ISNUMBER(SEARCH('Φόρμα Εισαγωγής'!$C$2,E519)),MAX($D$1:D518)+1,0)</f>
        <v>518</v>
      </c>
      <c r="E519" s="17" t="s">
        <v>339</v>
      </c>
      <c r="F519" s="5">
        <v>2.35</v>
      </c>
      <c r="G519" s="5">
        <v>3.3</v>
      </c>
      <c r="H519" s="6">
        <f t="shared" si="33"/>
        <v>4.0919999999999996</v>
      </c>
      <c r="I519" s="6">
        <f t="shared" si="34"/>
        <v>4.7</v>
      </c>
      <c r="J519" s="6">
        <f t="shared" si="35"/>
        <v>8.1839999999999993</v>
      </c>
      <c r="L519" s="4" t="str">
        <f>IFERROR(VLOOKUP(ROWS($L$2:L519),$B$2:$C$1996,2,0),"")</f>
        <v>ΤΑΦ ΠΛΑΣΤ</v>
      </c>
      <c r="N519" s="2" t="str">
        <f>IFERROR(VLOOKUP(ROWS($N$2:N519),$D$2:$E$1996,2,0),"")</f>
        <v>Φ15</v>
      </c>
    </row>
    <row r="520" spans="1:14">
      <c r="A520" s="5">
        <v>2</v>
      </c>
      <c r="B520" s="32">
        <f>IF(ISNUMBER(SEARCH('Φόρμα Εισαγωγής'!$B$2,C520)),MAX($B$1:B519)+1,0)</f>
        <v>519</v>
      </c>
      <c r="C520" s="7" t="s">
        <v>822</v>
      </c>
      <c r="D520" s="33">
        <f>IF(ISNUMBER(SEARCH('Φόρμα Εισαγωγής'!$C$2,E520)),MAX($D$1:D519)+1,0)</f>
        <v>519</v>
      </c>
      <c r="E520" s="17" t="s">
        <v>697</v>
      </c>
      <c r="F520" s="5">
        <v>2.1</v>
      </c>
      <c r="G520" s="5">
        <v>3</v>
      </c>
      <c r="H520" s="6">
        <f t="shared" si="33"/>
        <v>3.7199999999999998</v>
      </c>
      <c r="I520" s="6">
        <f t="shared" si="34"/>
        <v>4.2</v>
      </c>
      <c r="J520" s="6">
        <f t="shared" si="35"/>
        <v>7.4399999999999995</v>
      </c>
      <c r="L520" s="4" t="str">
        <f>IFERROR(VLOOKUP(ROWS($L$2:L520),$B$2:$C$1996,2,0),"")</f>
        <v>ΤΑΦ ΠΛΑΣΤ</v>
      </c>
      <c r="N520" s="2" t="str">
        <f>IFERROR(VLOOKUP(ROWS($N$2:N520),$D$2:$E$1996,2,0),"")</f>
        <v>ΘΗΛ. Φ15 Χ 1/2 Χ Φ15</v>
      </c>
    </row>
    <row r="521" spans="1:14">
      <c r="A521" s="5">
        <v>1</v>
      </c>
      <c r="B521" s="32">
        <f>IF(ISNUMBER(SEARCH('Φόρμα Εισαγωγής'!$B$2,C521)),MAX($B$1:B520)+1,0)</f>
        <v>520</v>
      </c>
      <c r="C521" s="7" t="s">
        <v>933</v>
      </c>
      <c r="D521" s="33">
        <f>IF(ISNUMBER(SEARCH('Φόρμα Εισαγωγής'!$C$2,E521)),MAX($D$1:D520)+1,0)</f>
        <v>520</v>
      </c>
      <c r="E521" s="17" t="s">
        <v>258</v>
      </c>
      <c r="F521" s="5">
        <v>1.76</v>
      </c>
      <c r="G521" s="5">
        <v>2.5</v>
      </c>
      <c r="H521" s="6">
        <f t="shared" si="33"/>
        <v>3.1</v>
      </c>
      <c r="I521" s="6">
        <f t="shared" si="34"/>
        <v>1.76</v>
      </c>
      <c r="J521" s="6">
        <f t="shared" si="35"/>
        <v>3.1</v>
      </c>
      <c r="L521" s="4" t="str">
        <f>IFERROR(VLOOKUP(ROWS($L$2:L521),$B$2:$C$1996,2,0),"")</f>
        <v>ΓΩΝΙΑ ΤΕΡΜ. ΠΛΑΣΤ AYT</v>
      </c>
      <c r="N521" s="2" t="str">
        <f>IFERROR(VLOOKUP(ROWS($N$2:N521),$D$2:$E$1996,2,0),"")</f>
        <v>ΘΗΛ. Φ18 Χ 1/2</v>
      </c>
    </row>
    <row r="522" spans="1:14">
      <c r="A522" s="5">
        <v>1</v>
      </c>
      <c r="B522" s="32">
        <f>IF(ISNUMBER(SEARCH('Φόρμα Εισαγωγής'!$B$2,C522)),MAX($B$1:B521)+1,0)</f>
        <v>521</v>
      </c>
      <c r="C522" s="7" t="s">
        <v>820</v>
      </c>
      <c r="D522" s="33">
        <f>IF(ISNUMBER(SEARCH('Φόρμα Εισαγωγής'!$C$2,E522)),MAX($D$1:D521)+1,0)</f>
        <v>521</v>
      </c>
      <c r="E522" s="17" t="s">
        <v>258</v>
      </c>
      <c r="F522" s="5">
        <v>2.25</v>
      </c>
      <c r="G522" s="5">
        <v>3.15</v>
      </c>
      <c r="H522" s="6">
        <f t="shared" si="33"/>
        <v>3.9059999999999997</v>
      </c>
      <c r="I522" s="6">
        <f t="shared" si="34"/>
        <v>2.25</v>
      </c>
      <c r="J522" s="6">
        <f t="shared" si="35"/>
        <v>3.9059999999999997</v>
      </c>
      <c r="L522" s="4" t="str">
        <f>IFERROR(VLOOKUP(ROWS($L$2:L522),$B$2:$C$1996,2,0),"")</f>
        <v>ΓΩΝΙΑ ΠΛΑΣΤ</v>
      </c>
      <c r="N522" s="2" t="str">
        <f>IFERROR(VLOOKUP(ROWS($N$2:N522),$D$2:$E$1996,2,0),"")</f>
        <v>ΘΗΛ. Φ18 Χ 1/2</v>
      </c>
    </row>
    <row r="523" spans="1:14">
      <c r="A523" s="5">
        <v>3</v>
      </c>
      <c r="B523" s="32">
        <f>IF(ISNUMBER(SEARCH('Φόρμα Εισαγωγής'!$B$2,C523)),MAX($B$1:B522)+1,0)</f>
        <v>522</v>
      </c>
      <c r="C523" s="7" t="s">
        <v>821</v>
      </c>
      <c r="D523" s="33">
        <f>IF(ISNUMBER(SEARCH('Φόρμα Εισαγωγής'!$C$2,E523)),MAX($D$1:D522)+1,0)</f>
        <v>522</v>
      </c>
      <c r="E523" s="17" t="s">
        <v>329</v>
      </c>
      <c r="F523" s="5">
        <v>1.8</v>
      </c>
      <c r="G523" s="5">
        <v>2.5</v>
      </c>
      <c r="H523" s="6">
        <f t="shared" si="33"/>
        <v>3.1</v>
      </c>
      <c r="I523" s="6">
        <f t="shared" si="34"/>
        <v>5.4</v>
      </c>
      <c r="J523" s="6">
        <f t="shared" si="35"/>
        <v>9.3000000000000007</v>
      </c>
      <c r="L523" s="4" t="str">
        <f>IFERROR(VLOOKUP(ROWS($L$2:L523),$B$2:$C$1996,2,0),"")</f>
        <v>ΡΑΚΟΡ ΣΥΣΦ PPR</v>
      </c>
      <c r="N523" s="2" t="str">
        <f>IFERROR(VLOOKUP(ROWS($N$2:N523),$D$2:$E$1996,2,0),"")</f>
        <v>ΑΡΣ. Φ20 Χ 1/2</v>
      </c>
    </row>
    <row r="524" spans="1:14">
      <c r="A524" s="5">
        <v>2</v>
      </c>
      <c r="B524" s="32">
        <f>IF(ISNUMBER(SEARCH('Φόρμα Εισαγωγής'!$B$2,C524)),MAX($B$1:B523)+1,0)</f>
        <v>523</v>
      </c>
      <c r="C524" s="7" t="s">
        <v>934</v>
      </c>
      <c r="D524" s="33">
        <f>IF(ISNUMBER(SEARCH('Φόρμα Εισαγωγής'!$C$2,E524)),MAX($D$1:D523)+1,0)</f>
        <v>523</v>
      </c>
      <c r="E524" s="17" t="s">
        <v>33</v>
      </c>
      <c r="F524" s="5">
        <v>11.2</v>
      </c>
      <c r="G524" s="5">
        <v>15.7</v>
      </c>
      <c r="H524" s="6">
        <f t="shared" si="33"/>
        <v>19.468</v>
      </c>
      <c r="I524" s="6">
        <f t="shared" si="34"/>
        <v>22.4</v>
      </c>
      <c r="J524" s="6">
        <f t="shared" si="35"/>
        <v>38.936</v>
      </c>
      <c r="L524" s="4" t="str">
        <f>IFERROR(VLOOKUP(ROWS($L$2:L524),$B$2:$C$1996,2,0),"")</f>
        <v>ΣΥΣΚΕΥΗ ΦΙΛΤΟΥ ΠΟΣ ΝΕΡΟΥ 10'' ATLAS</v>
      </c>
      <c r="N524" s="2" t="str">
        <f>IFERROR(VLOOKUP(ROWS($N$2:N524),$D$2:$E$1996,2,0),"")</f>
        <v>3/4</v>
      </c>
    </row>
    <row r="525" spans="1:14">
      <c r="A525" s="5">
        <v>3</v>
      </c>
      <c r="B525" s="32">
        <f>IF(ISNUMBER(SEARCH('Φόρμα Εισαγωγής'!$B$2,C525)),MAX($B$1:B524)+1,0)</f>
        <v>524</v>
      </c>
      <c r="C525" s="7" t="s">
        <v>935</v>
      </c>
      <c r="D525" s="33">
        <f>IF(ISNUMBER(SEARCH('Φόρμα Εισαγωγής'!$C$2,E525)),MAX($D$1:D524)+1,0)</f>
        <v>524</v>
      </c>
      <c r="E525" s="17" t="s">
        <v>34</v>
      </c>
      <c r="F525" s="5">
        <v>11.5</v>
      </c>
      <c r="G525" s="5">
        <v>16</v>
      </c>
      <c r="H525" s="6">
        <f t="shared" si="33"/>
        <v>19.84</v>
      </c>
      <c r="I525" s="6">
        <f t="shared" si="34"/>
        <v>34.5</v>
      </c>
      <c r="J525" s="6">
        <f t="shared" si="35"/>
        <v>59.519999999999996</v>
      </c>
      <c r="L525" s="4" t="str">
        <f>IFERROR(VLOOKUP(ROWS($L$2:L525),$B$2:$C$1996,2,0),"")</f>
        <v>ΣΥΣΚΕΥΗ ΦΙΛΤΡΟΥ ΠΟΣ ΝΕΡΟΥ 10'' ATLAS</v>
      </c>
      <c r="N525" s="2" t="str">
        <f>IFERROR(VLOOKUP(ROWS($N$2:N525),$D$2:$E$1996,2,0),"")</f>
        <v>1''</v>
      </c>
    </row>
    <row r="526" spans="1:14" ht="30">
      <c r="A526" s="5">
        <v>1</v>
      </c>
      <c r="B526" s="32">
        <f>IF(ISNUMBER(SEARCH('Φόρμα Εισαγωγής'!$B$2,C526)),MAX($B$1:B525)+1,0)</f>
        <v>525</v>
      </c>
      <c r="C526" s="7" t="s">
        <v>819</v>
      </c>
      <c r="D526" s="33">
        <f>IF(ISNUMBER(SEARCH('Φόρμα Εισαγωγής'!$C$2,E526)),MAX($D$1:D525)+1,0)</f>
        <v>525</v>
      </c>
      <c r="E526" s="17" t="s">
        <v>32</v>
      </c>
      <c r="F526" s="5">
        <v>50</v>
      </c>
      <c r="G526" s="5">
        <v>70</v>
      </c>
      <c r="H526" s="6">
        <f t="shared" si="33"/>
        <v>86.8</v>
      </c>
      <c r="I526" s="6">
        <f t="shared" si="34"/>
        <v>50</v>
      </c>
      <c r="J526" s="6">
        <f t="shared" si="35"/>
        <v>86.8</v>
      </c>
      <c r="L526" s="4" t="str">
        <f>IFERROR(VLOOKUP(ROWS($L$2:L526),$B$2:$C$1996,2,0),"")</f>
        <v>ΣΥΣΚΕΥΗ ΦΙΛΤΡΟΥ ΠΟΣ ΝΕΡΟΥ Κ. ΠΑΓΚΟΥ + ΒΡΥΣΗ 10''</v>
      </c>
      <c r="N526" s="2" t="str">
        <f>IFERROR(VLOOKUP(ROWS($N$2:N526),$D$2:$E$1996,2,0),"")</f>
        <v>1/2</v>
      </c>
    </row>
    <row r="527" spans="1:14">
      <c r="A527" s="5">
        <v>22</v>
      </c>
      <c r="B527" s="32">
        <f>IF(ISNUMBER(SEARCH('Φόρμα Εισαγωγής'!$B$2,C527)),MAX($B$1:B526)+1,0)</f>
        <v>526</v>
      </c>
      <c r="C527" s="7" t="s">
        <v>349</v>
      </c>
      <c r="D527" s="33">
        <f>IF(ISNUMBER(SEARCH('Φόρμα Εισαγωγής'!$C$2,E527)),MAX($D$1:D526)+1,0)</f>
        <v>526</v>
      </c>
      <c r="E527" s="17" t="s">
        <v>350</v>
      </c>
      <c r="F527" s="5">
        <v>1.55</v>
      </c>
      <c r="G527" s="5">
        <v>4</v>
      </c>
      <c r="H527" s="6">
        <f t="shared" si="33"/>
        <v>4.96</v>
      </c>
      <c r="I527" s="6">
        <f t="shared" si="34"/>
        <v>34.1</v>
      </c>
      <c r="J527" s="6">
        <f t="shared" si="35"/>
        <v>109.12</v>
      </c>
      <c r="L527" s="4" t="str">
        <f>IFERROR(VLOOKUP(ROWS($L$2:L527),$B$2:$C$1996,2,0),"")</f>
        <v>ΑΝΤΙΨΥΚΤΙΚΟ ΗΛΙΑΚΟΥ</v>
      </c>
      <c r="N527" s="2" t="str">
        <f>IFERROR(VLOOKUP(ROWS($N$2:N527),$D$2:$E$1996,2,0),"")</f>
        <v>1L</v>
      </c>
    </row>
    <row r="528" spans="1:14">
      <c r="A528" s="5">
        <v>3</v>
      </c>
      <c r="B528" s="32">
        <f>IF(ISNUMBER(SEARCH('Φόρμα Εισαγωγής'!$B$2,C528)),MAX($B$1:B527)+1,0)</f>
        <v>527</v>
      </c>
      <c r="C528" s="7" t="s">
        <v>351</v>
      </c>
      <c r="D528" s="33">
        <f>IF(ISNUMBER(SEARCH('Φόρμα Εισαγωγής'!$C$2,E528)),MAX($D$1:D527)+1,0)</f>
        <v>527</v>
      </c>
      <c r="E528" s="17" t="s">
        <v>352</v>
      </c>
      <c r="F528" s="5">
        <v>7.6</v>
      </c>
      <c r="G528" s="5">
        <v>10.7</v>
      </c>
      <c r="H528" s="6">
        <f t="shared" si="33"/>
        <v>13.267999999999999</v>
      </c>
      <c r="I528" s="6">
        <f t="shared" si="34"/>
        <v>22.799999999999997</v>
      </c>
      <c r="J528" s="6">
        <f t="shared" si="35"/>
        <v>39.803999999999995</v>
      </c>
      <c r="L528" s="4" t="str">
        <f>IFERROR(VLOOKUP(ROWS($L$2:L528),$B$2:$C$1996,2,0),"")</f>
        <v>ΚΟΛΛΑ PVC</v>
      </c>
      <c r="N528" s="2" t="str">
        <f>IFERROR(VLOOKUP(ROWS($N$2:N528),$D$2:$E$1996,2,0),"")</f>
        <v>500ML</v>
      </c>
    </row>
    <row r="529" spans="1:14">
      <c r="A529" s="5">
        <v>1</v>
      </c>
      <c r="B529" s="32">
        <f>IF(ISNUMBER(SEARCH('Φόρμα Εισαγωγής'!$B$2,C529)),MAX($B$1:B528)+1,0)</f>
        <v>528</v>
      </c>
      <c r="C529" s="7" t="s">
        <v>353</v>
      </c>
      <c r="D529" s="33">
        <f>IF(ISNUMBER(SEARCH('Φόρμα Εισαγωγής'!$C$2,E529)),MAX($D$1:D528)+1,0)</f>
        <v>528</v>
      </c>
      <c r="E529" s="17" t="s">
        <v>34</v>
      </c>
      <c r="F529" s="5">
        <v>28.2</v>
      </c>
      <c r="G529" s="5">
        <v>40</v>
      </c>
      <c r="H529" s="6">
        <f t="shared" si="33"/>
        <v>49.6</v>
      </c>
      <c r="I529" s="6">
        <f t="shared" si="34"/>
        <v>28.2</v>
      </c>
      <c r="J529" s="6">
        <f t="shared" si="35"/>
        <v>49.6</v>
      </c>
      <c r="L529" s="4" t="str">
        <f>IFERROR(VLOOKUP(ROWS($L$2:L529),$B$2:$C$1996,2,0),"")</f>
        <v>BRIO 200-M</v>
      </c>
      <c r="N529" s="2" t="str">
        <f>IFERROR(VLOOKUP(ROWS($N$2:N529),$D$2:$E$1996,2,0),"")</f>
        <v>1''</v>
      </c>
    </row>
    <row r="530" spans="1:14">
      <c r="A530" s="5">
        <v>7</v>
      </c>
      <c r="B530" s="32">
        <f>IF(ISNUMBER(SEARCH('Φόρμα Εισαγωγής'!$B$2,C530)),MAX($B$1:B529)+1,0)</f>
        <v>529</v>
      </c>
      <c r="C530" s="7" t="s">
        <v>1034</v>
      </c>
      <c r="D530" s="33">
        <f>IF(ISNUMBER(SEARCH('Φόρμα Εισαγωγής'!$C$2,E530)),MAX($D$1:D529)+1,0)</f>
        <v>529</v>
      </c>
      <c r="E530" s="17" t="s">
        <v>321</v>
      </c>
      <c r="F530" s="5">
        <v>0.8</v>
      </c>
      <c r="G530" s="5">
        <v>1.2</v>
      </c>
      <c r="H530" s="6">
        <f t="shared" si="33"/>
        <v>1.488</v>
      </c>
      <c r="I530" s="6">
        <f t="shared" si="34"/>
        <v>5.6000000000000005</v>
      </c>
      <c r="J530" s="6">
        <f t="shared" si="35"/>
        <v>10.416</v>
      </c>
      <c r="L530" s="4" t="str">
        <f>IFERROR(VLOOKUP(ROWS($L$2:L530),$B$2:$C$1996,2,0),"")</f>
        <v>ΓΑΝΤΙΑ COFRA NMBLE</v>
      </c>
      <c r="N530" s="2" t="str">
        <f>IFERROR(VLOOKUP(ROWS($N$2:N530),$D$2:$E$1996,2,0),"")</f>
        <v>-</v>
      </c>
    </row>
    <row r="531" spans="1:14">
      <c r="A531" s="5">
        <v>4</v>
      </c>
      <c r="B531" s="32">
        <f>IF(ISNUMBER(SEARCH('Φόρμα Εισαγωγής'!$B$2,C531)),MAX($B$1:B530)+1,0)</f>
        <v>530</v>
      </c>
      <c r="C531" s="7" t="s">
        <v>755</v>
      </c>
      <c r="D531" s="33">
        <f>IF(ISNUMBER(SEARCH('Φόρμα Εισαγωγής'!$C$2,E531)),MAX($D$1:D530)+1,0)</f>
        <v>530</v>
      </c>
      <c r="E531" s="17" t="s">
        <v>321</v>
      </c>
      <c r="F531" s="5">
        <v>2.9</v>
      </c>
      <c r="G531" s="5">
        <v>5.5</v>
      </c>
      <c r="H531" s="6">
        <f t="shared" si="33"/>
        <v>6.82</v>
      </c>
      <c r="I531" s="6">
        <f t="shared" si="34"/>
        <v>11.6</v>
      </c>
      <c r="J531" s="6">
        <f t="shared" si="35"/>
        <v>27.28</v>
      </c>
      <c r="L531" s="4" t="str">
        <f>IFERROR(VLOOKUP(ROWS($L$2:L531),$B$2:$C$1996,2,0),"")</f>
        <v>ΥΓΡΟ ΑΠΟΦΡΑΚΤΙΚΟ ANTITUBE</v>
      </c>
      <c r="N531" s="2" t="str">
        <f>IFERROR(VLOOKUP(ROWS($N$2:N531),$D$2:$E$1996,2,0),"")</f>
        <v>-</v>
      </c>
    </row>
    <row r="532" spans="1:14">
      <c r="A532" s="5">
        <v>1</v>
      </c>
      <c r="B532" s="32">
        <f>IF(ISNUMBER(SEARCH('Φόρμα Εισαγωγής'!$B$2,C532)),MAX($B$1:B531)+1,0)</f>
        <v>531</v>
      </c>
      <c r="C532" s="7" t="s">
        <v>354</v>
      </c>
      <c r="D532" s="33">
        <f>IF(ISNUMBER(SEARCH('Φόρμα Εισαγωγής'!$C$2,E532)),MAX($D$1:D531)+1,0)</f>
        <v>531</v>
      </c>
      <c r="E532" s="17" t="s">
        <v>321</v>
      </c>
      <c r="F532" s="5">
        <v>9.3000000000000007</v>
      </c>
      <c r="G532" s="5">
        <v>13</v>
      </c>
      <c r="H532" s="6">
        <f t="shared" si="33"/>
        <v>16.12</v>
      </c>
      <c r="I532" s="6">
        <f t="shared" si="34"/>
        <v>9.3000000000000007</v>
      </c>
      <c r="J532" s="6">
        <f t="shared" si="35"/>
        <v>16.12</v>
      </c>
      <c r="L532" s="4" t="str">
        <f>IFERROR(VLOOKUP(ROWS($L$2:L532),$B$2:$C$1996,2,0),"")</f>
        <v>ΨΥΚΤΙΚΟ ΥΓΡΟ ROTHENBERGER</v>
      </c>
      <c r="N532" s="2" t="str">
        <f>IFERROR(VLOOKUP(ROWS($N$2:N532),$D$2:$E$1996,2,0),"")</f>
        <v>-</v>
      </c>
    </row>
    <row r="533" spans="1:14">
      <c r="A533" s="5">
        <v>2</v>
      </c>
      <c r="B533" s="32">
        <f>IF(ISNUMBER(SEARCH('Φόρμα Εισαγωγής'!$B$2,C533)),MAX($B$1:B532)+1,0)</f>
        <v>532</v>
      </c>
      <c r="C533" s="7" t="s">
        <v>818</v>
      </c>
      <c r="D533" s="33">
        <f>IF(ISNUMBER(SEARCH('Φόρμα Εισαγωγής'!$C$2,E533)),MAX($D$1:D532)+1,0)</f>
        <v>532</v>
      </c>
      <c r="E533" s="17" t="s">
        <v>321</v>
      </c>
      <c r="F533" s="5">
        <v>10.7</v>
      </c>
      <c r="G533" s="5">
        <v>15</v>
      </c>
      <c r="H533" s="6">
        <f t="shared" si="33"/>
        <v>18.600000000000001</v>
      </c>
      <c r="I533" s="6">
        <f t="shared" si="34"/>
        <v>21.4</v>
      </c>
      <c r="J533" s="6">
        <f t="shared" si="35"/>
        <v>37.200000000000003</v>
      </c>
      <c r="L533" s="4" t="str">
        <f>IFERROR(VLOOKUP(ROWS($L$2:L533),$B$2:$C$1996,2,0),"")</f>
        <v>ΘΕΡΜΟΣΤΑΤΗΣ ΞΥΛ ΑΛΥΣΙΔΑ ICMA</v>
      </c>
      <c r="N533" s="2" t="str">
        <f>IFERROR(VLOOKUP(ROWS($N$2:N533),$D$2:$E$1996,2,0),"")</f>
        <v>-</v>
      </c>
    </row>
    <row r="534" spans="1:14" ht="17.25">
      <c r="A534" s="5">
        <v>1</v>
      </c>
      <c r="B534" s="32">
        <f>IF(ISNUMBER(SEARCH('Φόρμα Εισαγωγής'!$B$2,C534)),MAX($B$1:B533)+1,0)</f>
        <v>533</v>
      </c>
      <c r="C534" s="7" t="s">
        <v>817</v>
      </c>
      <c r="D534" s="33">
        <f>IF(ISNUMBER(SEARCH('Φόρμα Εισαγωγής'!$C$2,E534)),MAX($D$1:D533)+1,0)</f>
        <v>533</v>
      </c>
      <c r="E534" s="17" t="s">
        <v>33</v>
      </c>
      <c r="F534" s="5">
        <v>20.149999999999999</v>
      </c>
      <c r="G534" s="5">
        <v>28.25</v>
      </c>
      <c r="H534" s="6">
        <f t="shared" si="33"/>
        <v>35.03</v>
      </c>
      <c r="I534" s="6">
        <f t="shared" si="34"/>
        <v>20.149999999999999</v>
      </c>
      <c r="J534" s="6">
        <f t="shared" si="35"/>
        <v>35.03</v>
      </c>
      <c r="L534" s="4" t="str">
        <f>IFERROR(VLOOKUP(ROWS($L$2:L534),$B$2:$C$1996,2,0),"")</f>
        <v>ΒΑΛΒΙΔΑ ΑΣΦ 90οC 3BAR CALEFFI</v>
      </c>
      <c r="N534" s="2" t="str">
        <f>IFERROR(VLOOKUP(ROWS($N$2:N534),$D$2:$E$1996,2,0),"")</f>
        <v>3/4</v>
      </c>
    </row>
    <row r="535" spans="1:14">
      <c r="A535" s="5">
        <v>1</v>
      </c>
      <c r="B535" s="32">
        <f>IF(ISNUMBER(SEARCH('Φόρμα Εισαγωγής'!$B$2,C535)),MAX($B$1:B534)+1,0)</f>
        <v>534</v>
      </c>
      <c r="C535" s="7" t="s">
        <v>816</v>
      </c>
      <c r="D535" s="33">
        <f>IF(ISNUMBER(SEARCH('Φόρμα Εισαγωγής'!$C$2,E535)),MAX($D$1:D534)+1,0)</f>
        <v>534</v>
      </c>
      <c r="E535" s="17" t="s">
        <v>33</v>
      </c>
      <c r="F535" s="5">
        <v>33.5</v>
      </c>
      <c r="G535" s="5">
        <v>47</v>
      </c>
      <c r="H535" s="6">
        <f t="shared" si="33"/>
        <v>58.28</v>
      </c>
      <c r="I535" s="6">
        <f t="shared" si="34"/>
        <v>33.5</v>
      </c>
      <c r="J535" s="6">
        <f t="shared" si="35"/>
        <v>58.28</v>
      </c>
      <c r="L535" s="4" t="str">
        <f>IFERROR(VLOOKUP(ROWS($L$2:L535),$B$2:$C$1996,2,0),"")</f>
        <v>ΒΑΛΒΙΔΑ ΨΥΞΗΣ ΜΕ ΕΣΘ CALEFFI</v>
      </c>
      <c r="N535" s="2" t="str">
        <f>IFERROR(VLOOKUP(ROWS($N$2:N535),$D$2:$E$1996,2,0),"")</f>
        <v>3/4</v>
      </c>
    </row>
    <row r="536" spans="1:14">
      <c r="A536" s="5">
        <v>1</v>
      </c>
      <c r="B536" s="32">
        <f>IF(ISNUMBER(SEARCH('Φόρμα Εισαγωγής'!$B$2,C536)),MAX($B$1:B535)+1,0)</f>
        <v>535</v>
      </c>
      <c r="C536" s="7" t="s">
        <v>355</v>
      </c>
      <c r="D536" s="33">
        <f>IF(ISNUMBER(SEARCH('Φόρμα Εισαγωγής'!$C$2,E536)),MAX($D$1:D535)+1,0)</f>
        <v>535</v>
      </c>
      <c r="E536" s="17" t="s">
        <v>34</v>
      </c>
      <c r="F536" s="5">
        <v>37.5</v>
      </c>
      <c r="G536" s="5">
        <v>53</v>
      </c>
      <c r="H536" s="6">
        <f t="shared" si="33"/>
        <v>65.72</v>
      </c>
      <c r="I536" s="6">
        <f t="shared" si="34"/>
        <v>37.5</v>
      </c>
      <c r="J536" s="6">
        <f t="shared" si="35"/>
        <v>65.72</v>
      </c>
      <c r="L536" s="4" t="str">
        <f>IFERROR(VLOOKUP(ROWS($L$2:L536),$B$2:$C$1996,2,0),"")</f>
        <v>ESBE VRG131 ΤΡΙΩΔΗ</v>
      </c>
      <c r="N536" s="2" t="str">
        <f>IFERROR(VLOOKUP(ROWS($N$2:N536),$D$2:$E$1996,2,0),"")</f>
        <v>1''</v>
      </c>
    </row>
    <row r="537" spans="1:14">
      <c r="A537" s="5">
        <v>1</v>
      </c>
      <c r="B537" s="32">
        <f>IF(ISNUMBER(SEARCH('Φόρμα Εισαγωγής'!$B$2,C537)),MAX($B$1:B536)+1,0)</f>
        <v>536</v>
      </c>
      <c r="C537" s="7" t="s">
        <v>356</v>
      </c>
      <c r="D537" s="33">
        <f>IF(ISNUMBER(SEARCH('Φόρμα Εισαγωγής'!$C$2,E537)),MAX($D$1:D536)+1,0)</f>
        <v>536</v>
      </c>
      <c r="E537" s="17" t="s">
        <v>34</v>
      </c>
      <c r="F537" s="5">
        <v>72.3</v>
      </c>
      <c r="G537" s="5">
        <v>102</v>
      </c>
      <c r="H537" s="6">
        <f t="shared" si="33"/>
        <v>126.48</v>
      </c>
      <c r="I537" s="6">
        <f t="shared" si="34"/>
        <v>72.3</v>
      </c>
      <c r="J537" s="6">
        <f t="shared" si="35"/>
        <v>126.48</v>
      </c>
      <c r="L537" s="4" t="str">
        <f>IFERROR(VLOOKUP(ROWS($L$2:L537),$B$2:$C$1996,2,0),"")</f>
        <v>ESBE VTA532</v>
      </c>
      <c r="N537" s="2" t="str">
        <f>IFERROR(VLOOKUP(ROWS($N$2:N537),$D$2:$E$1996,2,0),"")</f>
        <v>1''</v>
      </c>
    </row>
    <row r="538" spans="1:14">
      <c r="A538" s="5">
        <v>2</v>
      </c>
      <c r="B538" s="32">
        <f>IF(ISNUMBER(SEARCH('Φόρμα Εισαγωγής'!$B$2,C538)),MAX($B$1:B537)+1,0)</f>
        <v>537</v>
      </c>
      <c r="C538" s="7" t="s">
        <v>357</v>
      </c>
      <c r="D538" s="33">
        <f>IF(ISNUMBER(SEARCH('Φόρμα Εισαγωγής'!$C$2,E538)),MAX($D$1:D537)+1,0)</f>
        <v>537</v>
      </c>
      <c r="E538" s="17" t="s">
        <v>358</v>
      </c>
      <c r="F538" s="5">
        <v>1.5</v>
      </c>
      <c r="G538" s="5">
        <v>2.1</v>
      </c>
      <c r="H538" s="6">
        <f t="shared" si="33"/>
        <v>2.6040000000000001</v>
      </c>
      <c r="I538" s="6">
        <f t="shared" si="34"/>
        <v>3</v>
      </c>
      <c r="J538" s="6">
        <f t="shared" si="35"/>
        <v>5.2080000000000002</v>
      </c>
      <c r="L538" s="4" t="str">
        <f>IFERROR(VLOOKUP(ROWS($L$2:L538),$B$2:$C$1996,2,0),"")</f>
        <v xml:space="preserve">ΒΑΣΗ ΜΟΝΗ ΑΤΛΑΣ </v>
      </c>
      <c r="N538" s="2" t="str">
        <f>IFERROR(VLOOKUP(ROWS($N$2:N538),$D$2:$E$1996,2,0),"")</f>
        <v>ΜΠΛΕ</v>
      </c>
    </row>
    <row r="539" spans="1:14">
      <c r="A539" s="5">
        <v>1</v>
      </c>
      <c r="B539" s="32">
        <f>IF(ISNUMBER(SEARCH('Φόρμα Εισαγωγής'!$B$2,C539)),MAX($B$1:B538)+1,0)</f>
        <v>538</v>
      </c>
      <c r="C539" s="7" t="s">
        <v>357</v>
      </c>
      <c r="D539" s="33">
        <f>IF(ISNUMBER(SEARCH('Φόρμα Εισαγωγής'!$C$2,E539)),MAX($D$1:D538)+1,0)</f>
        <v>538</v>
      </c>
      <c r="E539" s="17" t="s">
        <v>359</v>
      </c>
      <c r="F539" s="5">
        <v>1.5</v>
      </c>
      <c r="G539" s="5">
        <v>2.1</v>
      </c>
      <c r="H539" s="6">
        <f t="shared" si="33"/>
        <v>2.6040000000000001</v>
      </c>
      <c r="I539" s="6">
        <f t="shared" si="34"/>
        <v>1.5</v>
      </c>
      <c r="J539" s="6">
        <f t="shared" si="35"/>
        <v>2.6040000000000001</v>
      </c>
      <c r="L539" s="4" t="str">
        <f>IFERROR(VLOOKUP(ROWS($L$2:L539),$B$2:$C$1996,2,0),"")</f>
        <v xml:space="preserve">ΒΑΣΗ ΜΟΝΗ ΑΤΛΑΣ </v>
      </c>
      <c r="N539" s="2" t="str">
        <f>IFERROR(VLOOKUP(ROWS($N$2:N539),$D$2:$E$1996,2,0),"")</f>
        <v>ΑΣΠΡΗ</v>
      </c>
    </row>
    <row r="540" spans="1:14">
      <c r="A540" s="5">
        <v>3</v>
      </c>
      <c r="B540" s="32">
        <f>IF(ISNUMBER(SEARCH('Φόρμα Εισαγωγής'!$B$2,C540)),MAX($B$1:B539)+1,0)</f>
        <v>539</v>
      </c>
      <c r="C540" s="7" t="s">
        <v>360</v>
      </c>
      <c r="D540" s="33">
        <f>IF(ISNUMBER(SEARCH('Φόρμα Εισαγωγής'!$C$2,E540)),MAX($D$1:D539)+1,0)</f>
        <v>539</v>
      </c>
      <c r="E540" s="17" t="s">
        <v>361</v>
      </c>
      <c r="F540" s="5">
        <v>1.5</v>
      </c>
      <c r="G540" s="5">
        <v>2.1</v>
      </c>
      <c r="H540" s="6">
        <f t="shared" si="33"/>
        <v>2.6040000000000001</v>
      </c>
      <c r="I540" s="6">
        <f t="shared" si="34"/>
        <v>4.5</v>
      </c>
      <c r="J540" s="6">
        <f t="shared" si="35"/>
        <v>7.8120000000000003</v>
      </c>
      <c r="L540" s="4" t="str">
        <f>IFERROR(VLOOKUP(ROWS($L$2:L540),$B$2:$C$1996,2,0),"")</f>
        <v>ΚΛΕΙΔΙ ΑΤΛΑΣ</v>
      </c>
      <c r="N540" s="2" t="str">
        <f>IFERROR(VLOOKUP(ROWS($N$2:N540),$D$2:$E$1996,2,0),"")</f>
        <v>ΜΑΥΡΟ</v>
      </c>
    </row>
    <row r="541" spans="1:14">
      <c r="A541" s="5">
        <v>3</v>
      </c>
      <c r="B541" s="32">
        <f>IF(ISNUMBER(SEARCH('Φόρμα Εισαγωγής'!$B$2,C541)),MAX($B$1:B540)+1,0)</f>
        <v>540</v>
      </c>
      <c r="C541" s="7" t="s">
        <v>360</v>
      </c>
      <c r="D541" s="33">
        <f>IF(ISNUMBER(SEARCH('Φόρμα Εισαγωγής'!$C$2,E541)),MAX($D$1:D540)+1,0)</f>
        <v>540</v>
      </c>
      <c r="E541" s="17" t="s">
        <v>362</v>
      </c>
      <c r="F541" s="5">
        <v>1.5</v>
      </c>
      <c r="G541" s="5">
        <v>2.1</v>
      </c>
      <c r="H541" s="6">
        <f t="shared" si="33"/>
        <v>2.6040000000000001</v>
      </c>
      <c r="I541" s="6">
        <f t="shared" si="34"/>
        <v>4.5</v>
      </c>
      <c r="J541" s="6">
        <f t="shared" si="35"/>
        <v>7.8120000000000003</v>
      </c>
      <c r="L541" s="4" t="str">
        <f>IFERROR(VLOOKUP(ROWS($L$2:L541),$B$2:$C$1996,2,0),"")</f>
        <v>ΚΛΕΙΔΙ ΑΤΛΑΣ</v>
      </c>
      <c r="N541" s="2" t="str">
        <f>IFERROR(VLOOKUP(ROWS($N$2:N541),$D$2:$E$1996,2,0),"")</f>
        <v>ΑΣΠΡΟ</v>
      </c>
    </row>
    <row r="542" spans="1:14">
      <c r="A542" s="5">
        <v>1</v>
      </c>
      <c r="B542" s="32">
        <f>IF(ISNUMBER(SEARCH('Φόρμα Εισαγωγής'!$B$2,C542)),MAX($B$1:B541)+1,0)</f>
        <v>541</v>
      </c>
      <c r="C542" s="7" t="s">
        <v>363</v>
      </c>
      <c r="D542" s="33">
        <f>IF(ISNUMBER(SEARCH('Φόρμα Εισαγωγής'!$C$2,E542)),MAX($D$1:D541)+1,0)</f>
        <v>541</v>
      </c>
      <c r="E542" s="17" t="s">
        <v>33</v>
      </c>
      <c r="F542" s="5">
        <v>6.4</v>
      </c>
      <c r="G542" s="5">
        <v>9</v>
      </c>
      <c r="H542" s="6">
        <f t="shared" si="33"/>
        <v>11.16</v>
      </c>
      <c r="I542" s="6">
        <f t="shared" si="34"/>
        <v>6.4</v>
      </c>
      <c r="J542" s="6">
        <f t="shared" si="35"/>
        <v>11.16</v>
      </c>
      <c r="L542" s="4" t="str">
        <f>IFERROR(VLOOKUP(ROWS($L$2:L542),$B$2:$C$1996,2,0),"")</f>
        <v>ΣΠΙΡΑΛ ΜΕΤΡΙΤΗ ΑΕΡΙΟΥ</v>
      </c>
      <c r="N542" s="2" t="str">
        <f>IFERROR(VLOOKUP(ROWS($N$2:N542),$D$2:$E$1996,2,0),"")</f>
        <v>3/4</v>
      </c>
    </row>
    <row r="543" spans="1:14">
      <c r="A543" s="5">
        <v>1</v>
      </c>
      <c r="B543" s="32">
        <f>IF(ISNUMBER(SEARCH('Φόρμα Εισαγωγής'!$B$2,C543)),MAX($B$1:B542)+1,0)</f>
        <v>542</v>
      </c>
      <c r="C543" s="7" t="s">
        <v>364</v>
      </c>
      <c r="D543" s="33">
        <f>IF(ISNUMBER(SEARCH('Φόρμα Εισαγωγής'!$C$2,E543)),MAX($D$1:D542)+1,0)</f>
        <v>542</v>
      </c>
      <c r="E543" s="17" t="s">
        <v>33</v>
      </c>
      <c r="F543" s="5">
        <v>6.15</v>
      </c>
      <c r="G543" s="5">
        <v>8.6</v>
      </c>
      <c r="H543" s="6">
        <f t="shared" si="33"/>
        <v>10.664</v>
      </c>
      <c r="I543" s="6">
        <f t="shared" si="34"/>
        <v>6.15</v>
      </c>
      <c r="J543" s="6">
        <f t="shared" si="35"/>
        <v>10.664</v>
      </c>
      <c r="L543" s="4" t="str">
        <f>IFERROR(VLOOKUP(ROWS($L$2:L543),$B$2:$C$1996,2,0),"")</f>
        <v>ΣΠΙΡΑΛ ΑΕΡΙΟΥ</v>
      </c>
      <c r="N543" s="2" t="str">
        <f>IFERROR(VLOOKUP(ROWS($N$2:N543),$D$2:$E$1996,2,0),"")</f>
        <v>3/4</v>
      </c>
    </row>
    <row r="544" spans="1:14">
      <c r="A544" s="5">
        <v>1</v>
      </c>
      <c r="B544" s="32">
        <f>IF(ISNUMBER(SEARCH('Φόρμα Εισαγωγής'!$B$2,C544)),MAX($B$1:B543)+1,0)</f>
        <v>543</v>
      </c>
      <c r="C544" s="7" t="s">
        <v>365</v>
      </c>
      <c r="D544" s="33">
        <f>IF(ISNUMBER(SEARCH('Φόρμα Εισαγωγής'!$C$2,E544)),MAX($D$1:D543)+1,0)</f>
        <v>543</v>
      </c>
      <c r="E544" s="17" t="s">
        <v>35</v>
      </c>
      <c r="F544" s="5">
        <v>18.399999999999999</v>
      </c>
      <c r="G544" s="5">
        <v>26</v>
      </c>
      <c r="H544" s="6">
        <f t="shared" si="33"/>
        <v>32.24</v>
      </c>
      <c r="I544" s="6">
        <f t="shared" si="34"/>
        <v>18.399999999999999</v>
      </c>
      <c r="J544" s="6">
        <f t="shared" si="35"/>
        <v>32.24</v>
      </c>
      <c r="L544" s="4" t="str">
        <f>IFERROR(VLOOKUP(ROWS($L$2:L544),$B$2:$C$1996,2,0),"")</f>
        <v>ΚΟΡΜΟΣ ΗΛ/ΒΑΝΑΣ BUGATTI</v>
      </c>
      <c r="N544" s="2" t="str">
        <f>IFERROR(VLOOKUP(ROWS($N$2:N544),$D$2:$E$1996,2,0),"")</f>
        <v>1 1/4''</v>
      </c>
    </row>
    <row r="545" spans="1:14">
      <c r="A545" s="5">
        <v>1</v>
      </c>
      <c r="B545" s="32">
        <f>IF(ISNUMBER(SEARCH('Φόρμα Εισαγωγής'!$B$2,C545)),MAX($B$1:B544)+1,0)</f>
        <v>544</v>
      </c>
      <c r="C545" s="7" t="s">
        <v>1078</v>
      </c>
      <c r="D545" s="33">
        <f>IF(ISNUMBER(SEARCH('Φόρμα Εισαγωγής'!$C$2,E545)),MAX($D$1:D544)+1,0)</f>
        <v>544</v>
      </c>
      <c r="E545" s="17" t="s">
        <v>321</v>
      </c>
      <c r="F545" s="5">
        <v>4.5</v>
      </c>
      <c r="G545" s="5">
        <v>6.3</v>
      </c>
      <c r="H545" s="6">
        <f t="shared" si="33"/>
        <v>7.8119999999999994</v>
      </c>
      <c r="I545" s="6">
        <f t="shared" si="34"/>
        <v>4.5</v>
      </c>
      <c r="J545" s="6">
        <f t="shared" si="35"/>
        <v>7.8119999999999994</v>
      </c>
      <c r="L545" s="4" t="str">
        <f>IFERROR(VLOOKUP(ROWS($L$2:L545),$B$2:$C$1996,2,0),"")</f>
        <v>ΠΙΕΖΟΣΤΑΤΗΣ ΝΕΡΟΥ</v>
      </c>
      <c r="N545" s="2" t="str">
        <f>IFERROR(VLOOKUP(ROWS($N$2:N545),$D$2:$E$1996,2,0),"")</f>
        <v>-</v>
      </c>
    </row>
    <row r="546" spans="1:14">
      <c r="A546" s="5">
        <v>0</v>
      </c>
      <c r="B546" s="32">
        <f>IF(ISNUMBER(SEARCH('Φόρμα Εισαγωγής'!$B$2,C546)),MAX($B$1:B545)+1,0)</f>
        <v>545</v>
      </c>
      <c r="C546" s="7" t="s">
        <v>1079</v>
      </c>
      <c r="D546" s="33">
        <f>IF(ISNUMBER(SEARCH('Φόρμα Εισαγωγής'!$C$2,E546)),MAX($D$1:D545)+1,0)</f>
        <v>545</v>
      </c>
      <c r="E546" s="17" t="s">
        <v>321</v>
      </c>
      <c r="F546" s="5">
        <v>14</v>
      </c>
      <c r="G546" s="5">
        <v>20</v>
      </c>
      <c r="H546" s="6">
        <f t="shared" si="33"/>
        <v>24.8</v>
      </c>
      <c r="I546" s="6">
        <f t="shared" si="34"/>
        <v>0</v>
      </c>
      <c r="J546" s="6">
        <f t="shared" si="35"/>
        <v>0</v>
      </c>
      <c r="L546" s="4" t="str">
        <f>IFERROR(VLOOKUP(ROWS($L$2:L546),$B$2:$C$1996,2,0),"")</f>
        <v>ΠΙΕΖΟΣΤΑΤΗΣ ΝΕΡΟΥ ΜΕ ΜΑΝΟΜΕΤΡΟ</v>
      </c>
      <c r="N546" s="2" t="str">
        <f>IFERROR(VLOOKUP(ROWS($N$2:N546),$D$2:$E$1996,2,0),"")</f>
        <v>-</v>
      </c>
    </row>
    <row r="547" spans="1:14">
      <c r="A547" s="5">
        <v>100</v>
      </c>
      <c r="B547" s="32">
        <f>IF(ISNUMBER(SEARCH('Φόρμα Εισαγωγής'!$B$2,C547)),MAX($B$1:B546)+1,0)</f>
        <v>546</v>
      </c>
      <c r="C547" s="7" t="s">
        <v>815</v>
      </c>
      <c r="D547" s="33">
        <f>IF(ISNUMBER(SEARCH('Φόρμα Εισαγωγής'!$C$2,E547)),MAX($D$1:D546)+1,0)</f>
        <v>546</v>
      </c>
      <c r="E547" s="17" t="s">
        <v>321</v>
      </c>
      <c r="F547" s="5">
        <v>0.05</v>
      </c>
      <c r="G547" s="5">
        <v>0.1</v>
      </c>
      <c r="H547" s="6">
        <f t="shared" si="33"/>
        <v>0.124</v>
      </c>
      <c r="I547" s="6">
        <f t="shared" si="34"/>
        <v>5</v>
      </c>
      <c r="J547" s="6">
        <f t="shared" si="35"/>
        <v>12.4</v>
      </c>
      <c r="L547" s="4" t="str">
        <f>IFERROR(VLOOKUP(ROWS($L$2:L547),$B$2:$C$1996,2,0),"")</f>
        <v>ΒΙΔΕΣ ΣΤΙΡ ΧΑΛΚΟΥ</v>
      </c>
      <c r="N547" s="2" t="str">
        <f>IFERROR(VLOOKUP(ROWS($N$2:N547),$D$2:$E$1996,2,0),"")</f>
        <v>-</v>
      </c>
    </row>
    <row r="548" spans="1:14">
      <c r="A548" s="5">
        <v>46</v>
      </c>
      <c r="B548" s="32">
        <f>IF(ISNUMBER(SEARCH('Φόρμα Εισαγωγής'!$B$2,C548)),MAX($B$1:B547)+1,0)</f>
        <v>547</v>
      </c>
      <c r="C548" s="7" t="s">
        <v>366</v>
      </c>
      <c r="D548" s="33">
        <f>IF(ISNUMBER(SEARCH('Φόρμα Εισαγωγής'!$C$2,E548)),MAX($D$1:D547)+1,0)</f>
        <v>547</v>
      </c>
      <c r="E548" s="17" t="s">
        <v>339</v>
      </c>
      <c r="F548" s="5">
        <v>0.08</v>
      </c>
      <c r="G548" s="5">
        <v>0.12</v>
      </c>
      <c r="H548" s="6">
        <f t="shared" si="33"/>
        <v>0.14879999999999999</v>
      </c>
      <c r="I548" s="6">
        <f t="shared" si="34"/>
        <v>3.68</v>
      </c>
      <c r="J548" s="6">
        <f t="shared" si="35"/>
        <v>6.8447999999999993</v>
      </c>
      <c r="L548" s="4" t="str">
        <f>IFERROR(VLOOKUP(ROWS($L$2:L548),$B$2:$C$1996,2,0),"")</f>
        <v>ΣΤΙΡΗΓΜΑ ΧΑΛΚΟΥ ΜΟΝΟ</v>
      </c>
      <c r="N548" s="2" t="str">
        <f>IFERROR(VLOOKUP(ROWS($N$2:N548),$D$2:$E$1996,2,0),"")</f>
        <v>Φ15</v>
      </c>
    </row>
    <row r="549" spans="1:14">
      <c r="A549" s="5">
        <v>15</v>
      </c>
      <c r="B549" s="32">
        <f>IF(ISNUMBER(SEARCH('Φόρμα Εισαγωγής'!$B$2,C549)),MAX($B$1:B548)+1,0)</f>
        <v>548</v>
      </c>
      <c r="C549" s="7" t="s">
        <v>366</v>
      </c>
      <c r="D549" s="33">
        <f>IF(ISNUMBER(SEARCH('Φόρμα Εισαγωγής'!$C$2,E549)),MAX($D$1:D548)+1,0)</f>
        <v>548</v>
      </c>
      <c r="E549" s="17" t="s">
        <v>279</v>
      </c>
      <c r="F549" s="5">
        <v>0.09</v>
      </c>
      <c r="G549" s="5">
        <v>0.13</v>
      </c>
      <c r="H549" s="6">
        <f t="shared" si="33"/>
        <v>0.16120000000000001</v>
      </c>
      <c r="I549" s="6">
        <f t="shared" si="34"/>
        <v>1.3499999999999999</v>
      </c>
      <c r="J549" s="6">
        <f t="shared" si="35"/>
        <v>2.4180000000000001</v>
      </c>
      <c r="L549" s="4" t="str">
        <f>IFERROR(VLOOKUP(ROWS($L$2:L549),$B$2:$C$1996,2,0),"")</f>
        <v>ΣΤΙΡΗΓΜΑ ΧΑΛΚΟΥ ΜΟΝΟ</v>
      </c>
      <c r="N549" s="2" t="str">
        <f>IFERROR(VLOOKUP(ROWS($N$2:N549),$D$2:$E$1996,2,0),"")</f>
        <v>Φ18</v>
      </c>
    </row>
    <row r="550" spans="1:14">
      <c r="A550" s="5">
        <v>9</v>
      </c>
      <c r="B550" s="32">
        <f>IF(ISNUMBER(SEARCH('Φόρμα Εισαγωγής'!$B$2,C550)),MAX($B$1:B549)+1,0)</f>
        <v>549</v>
      </c>
      <c r="C550" s="7" t="s">
        <v>366</v>
      </c>
      <c r="D550" s="33">
        <f>IF(ISNUMBER(SEARCH('Φόρμα Εισαγωγής'!$C$2,E550)),MAX($D$1:D549)+1,0)</f>
        <v>549</v>
      </c>
      <c r="E550" s="17" t="s">
        <v>280</v>
      </c>
      <c r="F550" s="5">
        <v>0.1</v>
      </c>
      <c r="G550" s="5">
        <v>0.14000000000000001</v>
      </c>
      <c r="H550" s="6">
        <f t="shared" si="33"/>
        <v>0.17360000000000003</v>
      </c>
      <c r="I550" s="6">
        <f t="shared" si="34"/>
        <v>0.9</v>
      </c>
      <c r="J550" s="6">
        <f t="shared" si="35"/>
        <v>1.5624000000000002</v>
      </c>
      <c r="L550" s="4" t="str">
        <f>IFERROR(VLOOKUP(ROWS($L$2:L550),$B$2:$C$1996,2,0),"")</f>
        <v>ΣΤΙΡΗΓΜΑ ΧΑΛΚΟΥ ΜΟΝΟ</v>
      </c>
      <c r="N550" s="2" t="str">
        <f>IFERROR(VLOOKUP(ROWS($N$2:N550),$D$2:$E$1996,2,0),"")</f>
        <v>Φ22</v>
      </c>
    </row>
    <row r="551" spans="1:14">
      <c r="A551" s="5">
        <v>10</v>
      </c>
      <c r="B551" s="32">
        <f>IF(ISNUMBER(SEARCH('Φόρμα Εισαγωγής'!$B$2,C551)),MAX($B$1:B550)+1,0)</f>
        <v>550</v>
      </c>
      <c r="C551" s="7" t="s">
        <v>366</v>
      </c>
      <c r="D551" s="33">
        <f>IF(ISNUMBER(SEARCH('Φόρμα Εισαγωγής'!$C$2,E551)),MAX($D$1:D550)+1,0)</f>
        <v>550</v>
      </c>
      <c r="E551" s="17" t="s">
        <v>281</v>
      </c>
      <c r="F551" s="5">
        <v>0.11</v>
      </c>
      <c r="G551" s="5">
        <v>0.16</v>
      </c>
      <c r="H551" s="6">
        <f t="shared" si="33"/>
        <v>0.19839999999999999</v>
      </c>
      <c r="I551" s="6">
        <f t="shared" si="34"/>
        <v>1.1000000000000001</v>
      </c>
      <c r="J551" s="6">
        <f t="shared" si="35"/>
        <v>1.984</v>
      </c>
      <c r="L551" s="4" t="str">
        <f>IFERROR(VLOOKUP(ROWS($L$2:L551),$B$2:$C$1996,2,0),"")</f>
        <v>ΣΤΙΡΗΓΜΑ ΧΑΛΚΟΥ ΜΟΝΟ</v>
      </c>
      <c r="N551" s="2" t="str">
        <f>IFERROR(VLOOKUP(ROWS($N$2:N551),$D$2:$E$1996,2,0),"")</f>
        <v>Φ28</v>
      </c>
    </row>
    <row r="552" spans="1:14">
      <c r="A552" s="5">
        <v>43</v>
      </c>
      <c r="B552" s="32">
        <f>IF(ISNUMBER(SEARCH('Φόρμα Εισαγωγής'!$B$2,C552)),MAX($B$1:B551)+1,0)</f>
        <v>551</v>
      </c>
      <c r="C552" s="7" t="s">
        <v>367</v>
      </c>
      <c r="D552" s="33">
        <f>IF(ISNUMBER(SEARCH('Φόρμα Εισαγωγής'!$C$2,E552)),MAX($D$1:D551)+1,0)</f>
        <v>551</v>
      </c>
      <c r="E552" s="17" t="s">
        <v>339</v>
      </c>
      <c r="F552" s="5">
        <v>0.15</v>
      </c>
      <c r="G552" s="5">
        <v>0.22</v>
      </c>
      <c r="H552" s="6">
        <f t="shared" si="33"/>
        <v>0.27279999999999999</v>
      </c>
      <c r="I552" s="6">
        <f t="shared" si="34"/>
        <v>6.45</v>
      </c>
      <c r="J552" s="6">
        <f t="shared" si="35"/>
        <v>11.730399999999999</v>
      </c>
      <c r="L552" s="4" t="str">
        <f>IFERROR(VLOOKUP(ROWS($L$2:L552),$B$2:$C$1996,2,0),"")</f>
        <v>ΣΤΙΡΗΓΜΑ ΧΑΛΚΟΥ ΔΙΠΛΟ</v>
      </c>
      <c r="N552" s="2" t="str">
        <f>IFERROR(VLOOKUP(ROWS($N$2:N552),$D$2:$E$1996,2,0),"")</f>
        <v>Φ15</v>
      </c>
    </row>
    <row r="553" spans="1:14">
      <c r="A553" s="5">
        <v>38</v>
      </c>
      <c r="B553" s="32">
        <f>IF(ISNUMBER(SEARCH('Φόρμα Εισαγωγής'!$B$2,C553)),MAX($B$1:B552)+1,0)</f>
        <v>552</v>
      </c>
      <c r="C553" s="7" t="s">
        <v>367</v>
      </c>
      <c r="D553" s="33">
        <f>IF(ISNUMBER(SEARCH('Φόρμα Εισαγωγής'!$C$2,E553)),MAX($D$1:D552)+1,0)</f>
        <v>552</v>
      </c>
      <c r="E553" s="17" t="s">
        <v>279</v>
      </c>
      <c r="F553" s="5">
        <v>0.16</v>
      </c>
      <c r="G553" s="5">
        <v>0.24</v>
      </c>
      <c r="H553" s="6">
        <f t="shared" si="33"/>
        <v>0.29759999999999998</v>
      </c>
      <c r="I553" s="6">
        <f t="shared" si="34"/>
        <v>6.08</v>
      </c>
      <c r="J553" s="6">
        <f t="shared" si="35"/>
        <v>11.3088</v>
      </c>
      <c r="L553" s="4" t="str">
        <f>IFERROR(VLOOKUP(ROWS($L$2:L553),$B$2:$C$1996,2,0),"")</f>
        <v>ΣΤΙΡΗΓΜΑ ΧΑΛΚΟΥ ΔΙΠΛΟ</v>
      </c>
      <c r="N553" s="2" t="str">
        <f>IFERROR(VLOOKUP(ROWS($N$2:N553),$D$2:$E$1996,2,0),"")</f>
        <v>Φ18</v>
      </c>
    </row>
    <row r="554" spans="1:14">
      <c r="A554" s="5">
        <v>40</v>
      </c>
      <c r="B554" s="32">
        <f>IF(ISNUMBER(SEARCH('Φόρμα Εισαγωγής'!$B$2,C554)),MAX($B$1:B553)+1,0)</f>
        <v>553</v>
      </c>
      <c r="C554" s="7" t="s">
        <v>367</v>
      </c>
      <c r="D554" s="33">
        <f>IF(ISNUMBER(SEARCH('Φόρμα Εισαγωγής'!$C$2,E554)),MAX($D$1:D553)+1,0)</f>
        <v>553</v>
      </c>
      <c r="E554" s="17" t="s">
        <v>280</v>
      </c>
      <c r="F554" s="5">
        <v>0.17</v>
      </c>
      <c r="G554" s="5">
        <v>0.25</v>
      </c>
      <c r="H554" s="6">
        <f t="shared" si="33"/>
        <v>0.31</v>
      </c>
      <c r="I554" s="6">
        <f t="shared" si="34"/>
        <v>6.8000000000000007</v>
      </c>
      <c r="J554" s="6">
        <f t="shared" si="35"/>
        <v>12.4</v>
      </c>
      <c r="L554" s="4" t="str">
        <f>IFERROR(VLOOKUP(ROWS($L$2:L554),$B$2:$C$1996,2,0),"")</f>
        <v>ΣΤΙΡΗΓΜΑ ΧΑΛΚΟΥ ΔΙΠΛΟ</v>
      </c>
      <c r="N554" s="2" t="str">
        <f>IFERROR(VLOOKUP(ROWS($N$2:N554),$D$2:$E$1996,2,0),"")</f>
        <v>Φ22</v>
      </c>
    </row>
    <row r="555" spans="1:14">
      <c r="A555" s="5">
        <v>30</v>
      </c>
      <c r="B555" s="32">
        <f>IF(ISNUMBER(SEARCH('Φόρμα Εισαγωγής'!$B$2,C555)),MAX($B$1:B554)+1,0)</f>
        <v>554</v>
      </c>
      <c r="C555" s="7" t="s">
        <v>367</v>
      </c>
      <c r="D555" s="33">
        <f>IF(ISNUMBER(SEARCH('Φόρμα Εισαγωγής'!$C$2,E555)),MAX($D$1:D554)+1,0)</f>
        <v>554</v>
      </c>
      <c r="E555" s="17" t="s">
        <v>281</v>
      </c>
      <c r="F555" s="5">
        <v>0.18</v>
      </c>
      <c r="G555" s="5">
        <v>0.28000000000000003</v>
      </c>
      <c r="H555" s="6">
        <f t="shared" si="33"/>
        <v>0.34720000000000006</v>
      </c>
      <c r="I555" s="6">
        <f t="shared" si="34"/>
        <v>5.3999999999999995</v>
      </c>
      <c r="J555" s="6">
        <f t="shared" si="35"/>
        <v>10.416000000000002</v>
      </c>
      <c r="L555" s="4" t="str">
        <f>IFERROR(VLOOKUP(ROWS($L$2:L555),$B$2:$C$1996,2,0),"")</f>
        <v>ΣΤΙΡΗΓΜΑ ΧΑΛΚΟΥ ΔΙΠΛΟ</v>
      </c>
      <c r="N555" s="2" t="str">
        <f>IFERROR(VLOOKUP(ROWS($N$2:N555),$D$2:$E$1996,2,0),"")</f>
        <v>Φ28</v>
      </c>
    </row>
    <row r="556" spans="1:14">
      <c r="A556" s="5">
        <v>20</v>
      </c>
      <c r="B556" s="32">
        <f>IF(ISNUMBER(SEARCH('Φόρμα Εισαγωγής'!$B$2,C556)),MAX($B$1:B555)+1,0)</f>
        <v>555</v>
      </c>
      <c r="C556" s="7" t="s">
        <v>368</v>
      </c>
      <c r="D556" s="33">
        <f>IF(ISNUMBER(SEARCH('Φόρμα Εισαγωγής'!$C$2,E556)),MAX($D$1:D555)+1,0)</f>
        <v>555</v>
      </c>
      <c r="E556" s="17" t="s">
        <v>369</v>
      </c>
      <c r="F556" s="5">
        <v>1.75</v>
      </c>
      <c r="G556" s="5">
        <v>2.5</v>
      </c>
      <c r="H556" s="6">
        <f t="shared" si="33"/>
        <v>3.1</v>
      </c>
      <c r="I556" s="6">
        <f t="shared" si="34"/>
        <v>35</v>
      </c>
      <c r="J556" s="6">
        <f t="shared" si="35"/>
        <v>62</v>
      </c>
      <c r="L556" s="4" t="str">
        <f>IFERROR(VLOOKUP(ROWS($L$2:L556),$B$2:$C$1996,2,0),"")</f>
        <v>ΜΑΝΟΜΕΤΡΟ ΚΑΘΕΤΟ</v>
      </c>
      <c r="N556" s="2" t="str">
        <f>IFERROR(VLOOKUP(ROWS($N$2:N556),$D$2:$E$1996,2,0),"")</f>
        <v>6BAR</v>
      </c>
    </row>
    <row r="557" spans="1:14">
      <c r="A557" s="5">
        <v>3</v>
      </c>
      <c r="B557" s="32">
        <f>IF(ISNUMBER(SEARCH('Φόρμα Εισαγωγής'!$B$2,C557)),MAX($B$1:B556)+1,0)</f>
        <v>556</v>
      </c>
      <c r="C557" s="7" t="s">
        <v>368</v>
      </c>
      <c r="D557" s="33">
        <f>IF(ISNUMBER(SEARCH('Φόρμα Εισαγωγής'!$C$2,E557)),MAX($D$1:D556)+1,0)</f>
        <v>556</v>
      </c>
      <c r="E557" s="17" t="s">
        <v>370</v>
      </c>
      <c r="F557" s="5">
        <v>1.75</v>
      </c>
      <c r="G557" s="5">
        <v>2.5</v>
      </c>
      <c r="H557" s="6">
        <f t="shared" si="33"/>
        <v>3.1</v>
      </c>
      <c r="I557" s="6">
        <f t="shared" si="34"/>
        <v>5.25</v>
      </c>
      <c r="J557" s="6">
        <f t="shared" si="35"/>
        <v>9.3000000000000007</v>
      </c>
      <c r="L557" s="4" t="str">
        <f>IFERROR(VLOOKUP(ROWS($L$2:L557),$B$2:$C$1996,2,0),"")</f>
        <v>ΜΑΝΟΜΕΤΡΟ ΚΑΘΕΤΟ</v>
      </c>
      <c r="N557" s="2" t="str">
        <f>IFERROR(VLOOKUP(ROWS($N$2:N557),$D$2:$E$1996,2,0),"")</f>
        <v>10ΒΑR</v>
      </c>
    </row>
    <row r="558" spans="1:14">
      <c r="A558" s="5">
        <v>4</v>
      </c>
      <c r="B558" s="32">
        <f>IF(ISNUMBER(SEARCH('Φόρμα Εισαγωγής'!$B$2,C558)),MAX($B$1:B557)+1,0)</f>
        <v>557</v>
      </c>
      <c r="C558" s="7" t="s">
        <v>371</v>
      </c>
      <c r="D558" s="33">
        <f>IF(ISNUMBER(SEARCH('Φόρμα Εισαγωγής'!$C$2,E558)),MAX($D$1:D557)+1,0)</f>
        <v>557</v>
      </c>
      <c r="E558" s="17" t="s">
        <v>369</v>
      </c>
      <c r="F558" s="5">
        <v>1.75</v>
      </c>
      <c r="G558" s="5">
        <v>2.5</v>
      </c>
      <c r="H558" s="6">
        <f t="shared" si="33"/>
        <v>3.1</v>
      </c>
      <c r="I558" s="6">
        <f t="shared" si="34"/>
        <v>7</v>
      </c>
      <c r="J558" s="6">
        <f t="shared" si="35"/>
        <v>12.4</v>
      </c>
      <c r="L558" s="4" t="str">
        <f>IFERROR(VLOOKUP(ROWS($L$2:L558),$B$2:$C$1996,2,0),"")</f>
        <v>ΜΑΝΟΜΕΤΡΟ ΠΛΑΤΗΣ</v>
      </c>
      <c r="N558" s="2" t="str">
        <f>IFERROR(VLOOKUP(ROWS($N$2:N558),$D$2:$E$1996,2,0),"")</f>
        <v>6BAR</v>
      </c>
    </row>
    <row r="559" spans="1:14">
      <c r="A559" s="5">
        <v>1</v>
      </c>
      <c r="B559" s="32">
        <f>IF(ISNUMBER(SEARCH('Φόρμα Εισαγωγής'!$B$2,C559)),MAX($B$1:B558)+1,0)</f>
        <v>558</v>
      </c>
      <c r="C559" s="7" t="s">
        <v>372</v>
      </c>
      <c r="D559" s="33">
        <f>IF(ISNUMBER(SEARCH('Φόρμα Εισαγωγής'!$C$2,E559)),MAX($D$1:D558)+1,0)</f>
        <v>558</v>
      </c>
      <c r="E559" s="17" t="s">
        <v>373</v>
      </c>
      <c r="F559" s="5">
        <v>1.75</v>
      </c>
      <c r="G559" s="5">
        <v>2.5</v>
      </c>
      <c r="H559" s="6">
        <f t="shared" si="33"/>
        <v>3.1</v>
      </c>
      <c r="I559" s="6">
        <f t="shared" si="34"/>
        <v>1.75</v>
      </c>
      <c r="J559" s="6">
        <f t="shared" si="35"/>
        <v>3.1</v>
      </c>
      <c r="L559" s="4" t="str">
        <f>IFERROR(VLOOKUP(ROWS($L$2:L559),$B$2:$C$1996,2,0),"")</f>
        <v>MANOMETΡΟ ΠΛΑΤΗΣ</v>
      </c>
      <c r="N559" s="2" t="str">
        <f>IFERROR(VLOOKUP(ROWS($N$2:N559),$D$2:$E$1996,2,0),"")</f>
        <v>10BAR</v>
      </c>
    </row>
    <row r="560" spans="1:14">
      <c r="A560" s="5">
        <v>6</v>
      </c>
      <c r="B560" s="32">
        <f>IF(ISNUMBER(SEARCH('Φόρμα Εισαγωγής'!$B$2,C560)),MAX($B$1:B559)+1,0)</f>
        <v>559</v>
      </c>
      <c r="C560" s="7" t="s">
        <v>814</v>
      </c>
      <c r="D560" s="33">
        <f>IF(ISNUMBER(SEARCH('Φόρμα Εισαγωγής'!$C$2,E560)),MAX($D$1:D559)+1,0)</f>
        <v>559</v>
      </c>
      <c r="E560" s="17" t="s">
        <v>698</v>
      </c>
      <c r="F560" s="5">
        <v>4.6500000000000004</v>
      </c>
      <c r="G560" s="5">
        <v>6.5</v>
      </c>
      <c r="H560" s="6">
        <f t="shared" si="33"/>
        <v>8.06</v>
      </c>
      <c r="I560" s="6">
        <f t="shared" si="34"/>
        <v>27.900000000000002</v>
      </c>
      <c r="J560" s="6">
        <f t="shared" si="35"/>
        <v>48.36</v>
      </c>
      <c r="L560" s="4" t="str">
        <f>IFERROR(VLOOKUP(ROWS($L$2:L560),$B$2:$C$1996,2,0),"")</f>
        <v>ΒΑΛΒΙΔΑ ΑΣΦ CALEFFI 3ΒΑR</v>
      </c>
      <c r="N560" s="2" t="str">
        <f>IFERROR(VLOOKUP(ROWS($N$2:N560),$D$2:$E$1996,2,0),"")</f>
        <v>ΘΗΛ. 1/2</v>
      </c>
    </row>
    <row r="561" spans="1:14">
      <c r="A561" s="5">
        <v>1</v>
      </c>
      <c r="B561" s="32">
        <f>IF(ISNUMBER(SEARCH('Φόρμα Εισαγωγής'!$B$2,C561)),MAX($B$1:B560)+1,0)</f>
        <v>560</v>
      </c>
      <c r="C561" s="7" t="s">
        <v>813</v>
      </c>
      <c r="D561" s="33">
        <f>IF(ISNUMBER(SEARCH('Φόρμα Εισαγωγής'!$C$2,E561)),MAX($D$1:D560)+1,0)</f>
        <v>560</v>
      </c>
      <c r="E561" s="17" t="s">
        <v>699</v>
      </c>
      <c r="F561" s="5">
        <v>6.68</v>
      </c>
      <c r="G561" s="5">
        <v>9.4</v>
      </c>
      <c r="H561" s="6">
        <f t="shared" si="33"/>
        <v>11.656000000000001</v>
      </c>
      <c r="I561" s="6">
        <f t="shared" si="34"/>
        <v>6.68</v>
      </c>
      <c r="J561" s="6">
        <f t="shared" si="35"/>
        <v>11.656000000000001</v>
      </c>
      <c r="L561" s="4" t="str">
        <f>IFERROR(VLOOKUP(ROWS($L$2:L561),$B$2:$C$1996,2,0),"")</f>
        <v>BΑΛΒΙΔΑ ΑΣΦ CALEFFI 3ΒΑR</v>
      </c>
      <c r="N561" s="2" t="str">
        <f>IFERROR(VLOOKUP(ROWS($N$2:N561),$D$2:$E$1996,2,0),"")</f>
        <v>ΘΗΛ. 3/4</v>
      </c>
    </row>
    <row r="562" spans="1:14">
      <c r="A562" s="5">
        <v>1</v>
      </c>
      <c r="B562" s="32">
        <f>IF(ISNUMBER(SEARCH('Φόρμα Εισαγωγής'!$B$2,C562)),MAX($B$1:B561)+1,0)</f>
        <v>561</v>
      </c>
      <c r="C562" s="7" t="s">
        <v>812</v>
      </c>
      <c r="D562" s="33">
        <f>IF(ISNUMBER(SEARCH('Φόρμα Εισαγωγής'!$C$2,E562)),MAX($D$1:D561)+1,0)</f>
        <v>561</v>
      </c>
      <c r="E562" s="17" t="s">
        <v>33</v>
      </c>
      <c r="F562" s="5">
        <v>6.68</v>
      </c>
      <c r="G562" s="5">
        <v>9.4</v>
      </c>
      <c r="H562" s="6">
        <f t="shared" si="33"/>
        <v>11.656000000000001</v>
      </c>
      <c r="I562" s="6">
        <f t="shared" si="34"/>
        <v>6.68</v>
      </c>
      <c r="J562" s="6">
        <f t="shared" si="35"/>
        <v>11.656000000000001</v>
      </c>
      <c r="L562" s="4" t="str">
        <f>IFERROR(VLOOKUP(ROWS($L$2:L562),$B$2:$C$1996,2,0),"")</f>
        <v>ΒΑΛΒΙΔΑ ΑΣΦ CALEFFI 4ΒΑR</v>
      </c>
      <c r="N562" s="2" t="str">
        <f>IFERROR(VLOOKUP(ROWS($N$2:N562),$D$2:$E$1996,2,0),"")</f>
        <v>3/4</v>
      </c>
    </row>
    <row r="563" spans="1:14">
      <c r="A563" s="5">
        <v>1</v>
      </c>
      <c r="B563" s="32">
        <f>IF(ISNUMBER(SEARCH('Φόρμα Εισαγωγής'!$B$2,C563)),MAX($B$1:B562)+1,0)</f>
        <v>562</v>
      </c>
      <c r="C563" s="7" t="s">
        <v>811</v>
      </c>
      <c r="D563" s="33">
        <f>IF(ISNUMBER(SEARCH('Φόρμα Εισαγωγής'!$C$2,E563)),MAX($D$1:D562)+1,0)</f>
        <v>562</v>
      </c>
      <c r="E563" s="17" t="s">
        <v>32</v>
      </c>
      <c r="F563" s="5">
        <v>10</v>
      </c>
      <c r="G563" s="5">
        <v>15</v>
      </c>
      <c r="H563" s="6">
        <f t="shared" si="33"/>
        <v>18.600000000000001</v>
      </c>
      <c r="I563" s="6">
        <f t="shared" si="34"/>
        <v>10</v>
      </c>
      <c r="J563" s="6">
        <f t="shared" si="35"/>
        <v>18.600000000000001</v>
      </c>
      <c r="L563" s="4" t="str">
        <f>IFERROR(VLOOKUP(ROWS($L$2:L563),$B$2:$C$1996,2,0),"")</f>
        <v>ΒΑΛΒΙΔΑ ΑΣΦ CALEFFI SOLAR 3BAR</v>
      </c>
      <c r="N563" s="2" t="str">
        <f>IFERROR(VLOOKUP(ROWS($N$2:N563),$D$2:$E$1996,2,0),"")</f>
        <v>1/2</v>
      </c>
    </row>
    <row r="564" spans="1:14">
      <c r="A564" s="5">
        <v>1</v>
      </c>
      <c r="B564" s="32">
        <f>IF(ISNUMBER(SEARCH('Φόρμα Εισαγωγής'!$B$2,C564)),MAX($B$1:B563)+1,0)</f>
        <v>563</v>
      </c>
      <c r="C564" s="7" t="s">
        <v>937</v>
      </c>
      <c r="D564" s="33">
        <f>IF(ISNUMBER(SEARCH('Φόρμα Εισαγωγής'!$C$2,E564)),MAX($D$1:D563)+1,0)</f>
        <v>563</v>
      </c>
      <c r="E564" s="17" t="s">
        <v>374</v>
      </c>
      <c r="F564" s="5">
        <v>10.5</v>
      </c>
      <c r="G564" s="5">
        <v>15</v>
      </c>
      <c r="H564" s="6">
        <f t="shared" si="33"/>
        <v>18.600000000000001</v>
      </c>
      <c r="I564" s="6">
        <f t="shared" si="34"/>
        <v>10.5</v>
      </c>
      <c r="J564" s="6">
        <f t="shared" si="35"/>
        <v>18.600000000000001</v>
      </c>
      <c r="L564" s="4" t="str">
        <f>IFERROR(VLOOKUP(ROWS($L$2:L564),$B$2:$C$1996,2,0),"")</f>
        <v>ΒΑΛΒΙΔΑ ΑΣΦ GIACOMINI SOLAR 6BAR</v>
      </c>
      <c r="N564" s="2" t="str">
        <f>IFERROR(VLOOKUP(ROWS($N$2:N564),$D$2:$E$1996,2,0),"")</f>
        <v>1/2 X 3/4</v>
      </c>
    </row>
    <row r="565" spans="1:14">
      <c r="A565" s="5">
        <v>1</v>
      </c>
      <c r="B565" s="32">
        <f>IF(ISNUMBER(SEARCH('Φόρμα Εισαγωγής'!$B$2,C565)),MAX($B$1:B564)+1,0)</f>
        <v>564</v>
      </c>
      <c r="C565" s="7" t="s">
        <v>810</v>
      </c>
      <c r="D565" s="33">
        <f>IF(ISNUMBER(SEARCH('Φόρμα Εισαγωγής'!$C$2,E565)),MAX($D$1:D564)+1,0)</f>
        <v>564</v>
      </c>
      <c r="E565" s="17" t="s">
        <v>32</v>
      </c>
      <c r="F565" s="5">
        <v>5.4</v>
      </c>
      <c r="G565" s="5">
        <v>7.6</v>
      </c>
      <c r="H565" s="6">
        <f t="shared" si="33"/>
        <v>9.4239999999999995</v>
      </c>
      <c r="I565" s="6">
        <f t="shared" si="34"/>
        <v>5.4</v>
      </c>
      <c r="J565" s="6">
        <f t="shared" si="35"/>
        <v>9.4239999999999995</v>
      </c>
      <c r="L565" s="4" t="str">
        <f>IFERROR(VLOOKUP(ROWS($L$2:L565),$B$2:$C$1996,2,0),"")</f>
        <v>BΑΛΒΙΔΑ ΑΣΦ PRESCOR 3BAR</v>
      </c>
      <c r="N565" s="2" t="str">
        <f>IFERROR(VLOOKUP(ROWS($N$2:N565),$D$2:$E$1996,2,0),"")</f>
        <v>1/2</v>
      </c>
    </row>
    <row r="566" spans="1:14">
      <c r="A566" s="5">
        <v>1</v>
      </c>
      <c r="B566" s="32">
        <f>IF(ISNUMBER(SEARCH('Φόρμα Εισαγωγής'!$B$2,C566)),MAX($B$1:B565)+1,0)</f>
        <v>565</v>
      </c>
      <c r="C566" s="7" t="s">
        <v>938</v>
      </c>
      <c r="D566" s="33">
        <f>IF(ISNUMBER(SEARCH('Φόρμα Εισαγωγής'!$C$2,E566)),MAX($D$1:D565)+1,0)</f>
        <v>565</v>
      </c>
      <c r="E566" s="17" t="s">
        <v>32</v>
      </c>
      <c r="F566" s="5">
        <v>5</v>
      </c>
      <c r="G566" s="5">
        <v>7</v>
      </c>
      <c r="H566" s="6">
        <f t="shared" si="33"/>
        <v>8.68</v>
      </c>
      <c r="I566" s="6">
        <f t="shared" si="34"/>
        <v>5</v>
      </c>
      <c r="J566" s="6">
        <f t="shared" si="35"/>
        <v>8.68</v>
      </c>
      <c r="L566" s="4" t="str">
        <f>IFERROR(VLOOKUP(ROWS($L$2:L566),$B$2:$C$1996,2,0),"")</f>
        <v>BAΛΒΙΔΑ ΑΣΦ SOLAR 3ΒΑR</v>
      </c>
      <c r="N566" s="2" t="str">
        <f>IFERROR(VLOOKUP(ROWS($N$2:N566),$D$2:$E$1996,2,0),"")</f>
        <v>1/2</v>
      </c>
    </row>
    <row r="567" spans="1:14">
      <c r="A567" s="5">
        <v>1</v>
      </c>
      <c r="B567" s="32">
        <f>IF(ISNUMBER(SEARCH('Φόρμα Εισαγωγής'!$B$2,C567)),MAX($B$1:B566)+1,0)</f>
        <v>566</v>
      </c>
      <c r="C567" s="7" t="s">
        <v>809</v>
      </c>
      <c r="D567" s="33">
        <f>IF(ISNUMBER(SEARCH('Φόρμα Εισαγωγής'!$C$2,E567)),MAX($D$1:D566)+1,0)</f>
        <v>566</v>
      </c>
      <c r="E567" s="17" t="s">
        <v>375</v>
      </c>
      <c r="F567" s="5">
        <v>5</v>
      </c>
      <c r="G567" s="5">
        <v>7</v>
      </c>
      <c r="H567" s="6">
        <f t="shared" si="33"/>
        <v>8.68</v>
      </c>
      <c r="I567" s="6">
        <f t="shared" si="34"/>
        <v>5</v>
      </c>
      <c r="J567" s="6">
        <f t="shared" si="35"/>
        <v>8.68</v>
      </c>
      <c r="L567" s="4" t="str">
        <f>IFERROR(VLOOKUP(ROWS($L$2:L567),$B$2:$C$1996,2,0),"")</f>
        <v>BAΛΒΙΔΑ ΑΣΦ CALEFFI 3BAR</v>
      </c>
      <c r="N567" s="2" t="str">
        <f>IFERROR(VLOOKUP(ROWS($N$2:N567),$D$2:$E$1996,2,0),"")</f>
        <v>AΡΣ. 1/2</v>
      </c>
    </row>
    <row r="568" spans="1:14">
      <c r="A568" s="5">
        <v>1</v>
      </c>
      <c r="B568" s="32">
        <f>IF(ISNUMBER(SEARCH('Φόρμα Εισαγωγής'!$B$2,C568)),MAX($B$1:B567)+1,0)</f>
        <v>567</v>
      </c>
      <c r="C568" s="7" t="s">
        <v>376</v>
      </c>
      <c r="D568" s="33">
        <f>IF(ISNUMBER(SEARCH('Φόρμα Εισαγωγής'!$C$2,E568)),MAX($D$1:D567)+1,0)</f>
        <v>567</v>
      </c>
      <c r="E568" s="17" t="s">
        <v>32</v>
      </c>
      <c r="F568" s="5">
        <v>37</v>
      </c>
      <c r="G568" s="5">
        <v>52</v>
      </c>
      <c r="H568" s="6">
        <f t="shared" si="33"/>
        <v>64.48</v>
      </c>
      <c r="I568" s="6">
        <f t="shared" si="34"/>
        <v>37</v>
      </c>
      <c r="J568" s="6">
        <f t="shared" si="35"/>
        <v>64.48</v>
      </c>
      <c r="L568" s="4" t="str">
        <f>IFERROR(VLOOKUP(ROWS($L$2:L568),$B$2:$C$1996,2,0),"")</f>
        <v>ΜΕΙΩΤΗΣ CALEFFI</v>
      </c>
      <c r="N568" s="2" t="str">
        <f>IFERROR(VLOOKUP(ROWS($N$2:N568),$D$2:$E$1996,2,0),"")</f>
        <v>1/2</v>
      </c>
    </row>
    <row r="569" spans="1:14">
      <c r="A569" s="5">
        <v>1</v>
      </c>
      <c r="B569" s="32">
        <f>IF(ISNUMBER(SEARCH('Φόρμα Εισαγωγής'!$B$2,C569)),MAX($B$1:B568)+1,0)</f>
        <v>568</v>
      </c>
      <c r="C569" s="7" t="s">
        <v>376</v>
      </c>
      <c r="D569" s="33">
        <f>IF(ISNUMBER(SEARCH('Φόρμα Εισαγωγής'!$C$2,E569)),MAX($D$1:D568)+1,0)</f>
        <v>568</v>
      </c>
      <c r="E569" s="17" t="s">
        <v>33</v>
      </c>
      <c r="F569" s="5">
        <v>48</v>
      </c>
      <c r="G569" s="5">
        <v>76.2</v>
      </c>
      <c r="H569" s="6">
        <f t="shared" si="33"/>
        <v>94.488</v>
      </c>
      <c r="I569" s="6">
        <f t="shared" si="34"/>
        <v>48</v>
      </c>
      <c r="J569" s="6">
        <f t="shared" si="35"/>
        <v>94.488</v>
      </c>
      <c r="L569" s="4" t="str">
        <f>IFERROR(VLOOKUP(ROWS($L$2:L569),$B$2:$C$1996,2,0),"")</f>
        <v>ΜΕΙΩΤΗΣ CALEFFI</v>
      </c>
      <c r="N569" s="2" t="str">
        <f>IFERROR(VLOOKUP(ROWS($N$2:N569),$D$2:$E$1996,2,0),"")</f>
        <v>3/4</v>
      </c>
    </row>
    <row r="570" spans="1:14">
      <c r="A570" s="5">
        <v>1</v>
      </c>
      <c r="B570" s="32">
        <f>IF(ISNUMBER(SEARCH('Φόρμα Εισαγωγής'!$B$2,C570)),MAX($B$1:B569)+1,0)</f>
        <v>569</v>
      </c>
      <c r="C570" s="7" t="s">
        <v>376</v>
      </c>
      <c r="D570" s="33">
        <f>IF(ISNUMBER(SEARCH('Φόρμα Εισαγωγής'!$C$2,E570)),MAX($D$1:D569)+1,0)</f>
        <v>569</v>
      </c>
      <c r="E570" s="17" t="s">
        <v>34</v>
      </c>
      <c r="F570" s="5">
        <v>56.7</v>
      </c>
      <c r="G570" s="5">
        <v>80</v>
      </c>
      <c r="H570" s="6">
        <f t="shared" si="33"/>
        <v>99.2</v>
      </c>
      <c r="I570" s="6">
        <f t="shared" si="34"/>
        <v>56.7</v>
      </c>
      <c r="J570" s="6">
        <f t="shared" si="35"/>
        <v>99.2</v>
      </c>
      <c r="L570" s="4" t="str">
        <f>IFERROR(VLOOKUP(ROWS($L$2:L570),$B$2:$C$1996,2,0),"")</f>
        <v>ΜΕΙΩΤΗΣ CALEFFI</v>
      </c>
      <c r="N570" s="2" t="str">
        <f>IFERROR(VLOOKUP(ROWS($N$2:N570),$D$2:$E$1996,2,0),"")</f>
        <v>1''</v>
      </c>
    </row>
    <row r="571" spans="1:14">
      <c r="A571" s="5">
        <v>7</v>
      </c>
      <c r="B571" s="32">
        <f>IF(ISNUMBER(SEARCH('Φόρμα Εισαγωγής'!$B$2,C571)),MAX($B$1:B570)+1,0)</f>
        <v>570</v>
      </c>
      <c r="C571" s="7" t="s">
        <v>808</v>
      </c>
      <c r="D571" s="33">
        <f>IF(ISNUMBER(SEARCH('Φόρμα Εισαγωγής'!$C$2,E571)),MAX($D$1:D570)+1,0)</f>
        <v>570</v>
      </c>
      <c r="E571" s="17" t="s">
        <v>32</v>
      </c>
      <c r="F571" s="5">
        <v>25.5</v>
      </c>
      <c r="G571" s="5">
        <v>35</v>
      </c>
      <c r="H571" s="6">
        <f t="shared" si="33"/>
        <v>43.4</v>
      </c>
      <c r="I571" s="6">
        <f t="shared" si="34"/>
        <v>178.5</v>
      </c>
      <c r="J571" s="6">
        <f t="shared" si="35"/>
        <v>303.8</v>
      </c>
      <c r="L571" s="4" t="str">
        <f>IFERROR(VLOOKUP(ROWS($L$2:L571),$B$2:$C$1996,2,0),"")</f>
        <v>ΑΥΤΟΜΑΤΟΣ ΠΛΗΡΩΤΗΣ CALEFFI</v>
      </c>
      <c r="N571" s="2" t="str">
        <f>IFERROR(VLOOKUP(ROWS($N$2:N571),$D$2:$E$1996,2,0),"")</f>
        <v>1/2</v>
      </c>
    </row>
    <row r="572" spans="1:14">
      <c r="A572" s="5">
        <v>2</v>
      </c>
      <c r="B572" s="32">
        <f>IF(ISNUMBER(SEARCH('Φόρμα Εισαγωγής'!$B$2,C572)),MAX($B$1:B571)+1,0)</f>
        <v>571</v>
      </c>
      <c r="C572" s="7" t="s">
        <v>807</v>
      </c>
      <c r="D572" s="33">
        <f>IF(ISNUMBER(SEARCH('Φόρμα Εισαγωγής'!$C$2,E572)),MAX($D$1:D571)+1,0)</f>
        <v>571</v>
      </c>
      <c r="E572" s="17" t="s">
        <v>321</v>
      </c>
      <c r="F572" s="5">
        <v>5</v>
      </c>
      <c r="G572" s="5">
        <v>10</v>
      </c>
      <c r="H572" s="6">
        <f t="shared" si="33"/>
        <v>12.4</v>
      </c>
      <c r="I572" s="6">
        <f t="shared" si="34"/>
        <v>10</v>
      </c>
      <c r="J572" s="6">
        <f t="shared" si="35"/>
        <v>24.8</v>
      </c>
      <c r="L572" s="4" t="str">
        <f>IFERROR(VLOOKUP(ROWS($L$2:L572),$B$2:$C$1996,2,0),"")</f>
        <v>ΑΥΤΟΜΑΤΟ ΕΞΑΕΡ SATURN</v>
      </c>
      <c r="N572" s="2" t="str">
        <f>IFERROR(VLOOKUP(ROWS($N$2:N572),$D$2:$E$1996,2,0),"")</f>
        <v>-</v>
      </c>
    </row>
    <row r="573" spans="1:14">
      <c r="A573" s="5">
        <v>11</v>
      </c>
      <c r="B573" s="32">
        <f>IF(ISNUMBER(SEARCH('Φόρμα Εισαγωγής'!$B$2,C573)),MAX($B$1:B572)+1,0)</f>
        <v>572</v>
      </c>
      <c r="C573" s="7" t="s">
        <v>806</v>
      </c>
      <c r="D573" s="33">
        <f>IF(ISNUMBER(SEARCH('Φόρμα Εισαγωγής'!$C$2,E573)),MAX($D$1:D572)+1,0)</f>
        <v>572</v>
      </c>
      <c r="E573" s="17" t="s">
        <v>32</v>
      </c>
      <c r="F573" s="5">
        <v>2.4</v>
      </c>
      <c r="G573" s="5">
        <v>3.5</v>
      </c>
      <c r="H573" s="6">
        <f t="shared" si="33"/>
        <v>4.34</v>
      </c>
      <c r="I573" s="6">
        <f t="shared" si="34"/>
        <v>26.4</v>
      </c>
      <c r="J573" s="6">
        <f t="shared" si="35"/>
        <v>47.739999999999995</v>
      </c>
      <c r="L573" s="4" t="str">
        <f>IFERROR(VLOOKUP(ROWS($L$2:L573),$B$2:$C$1996,2,0),"")</f>
        <v>AYTΟΜΑΤΟ ΕΞΑΕΡ PINTOSSIC</v>
      </c>
      <c r="N573" s="2" t="str">
        <f>IFERROR(VLOOKUP(ROWS($N$2:N573),$D$2:$E$1996,2,0),"")</f>
        <v>1/2</v>
      </c>
    </row>
    <row r="574" spans="1:14">
      <c r="A574" s="5">
        <v>5</v>
      </c>
      <c r="B574" s="32">
        <f>IF(ISNUMBER(SEARCH('Φόρμα Εισαγωγής'!$B$2,C574)),MAX($B$1:B573)+1,0)</f>
        <v>573</v>
      </c>
      <c r="C574" s="7" t="s">
        <v>805</v>
      </c>
      <c r="D574" s="33">
        <f>IF(ISNUMBER(SEARCH('Φόρμα Εισαγωγής'!$C$2,E574)),MAX($D$1:D573)+1,0)</f>
        <v>573</v>
      </c>
      <c r="E574" s="17" t="s">
        <v>173</v>
      </c>
      <c r="F574" s="5">
        <v>2.8</v>
      </c>
      <c r="G574" s="5">
        <v>4</v>
      </c>
      <c r="H574" s="6">
        <f t="shared" si="33"/>
        <v>4.96</v>
      </c>
      <c r="I574" s="6">
        <f t="shared" si="34"/>
        <v>14</v>
      </c>
      <c r="J574" s="6">
        <f t="shared" si="35"/>
        <v>24.8</v>
      </c>
      <c r="L574" s="4" t="str">
        <f>IFERROR(VLOOKUP(ROWS($L$2:L574),$B$2:$C$1996,2,0),"")</f>
        <v>AYTOMATO ΕΞΑΕΡ PINTOSSIC</v>
      </c>
      <c r="N574" s="2" t="str">
        <f>IFERROR(VLOOKUP(ROWS($N$2:N574),$D$2:$E$1996,2,0),"")</f>
        <v>3/8</v>
      </c>
    </row>
    <row r="575" spans="1:14">
      <c r="A575" s="5">
        <v>0</v>
      </c>
      <c r="B575" s="32">
        <f>IF(ISNUMBER(SEARCH('Φόρμα Εισαγωγής'!$B$2,C575)),MAX($B$1:B574)+1,0)</f>
        <v>574</v>
      </c>
      <c r="C575" s="7" t="s">
        <v>936</v>
      </c>
      <c r="D575" s="33">
        <f>IF(ISNUMBER(SEARCH('Φόρμα Εισαγωγής'!$C$2,E575)),MAX($D$1:D574)+1,0)</f>
        <v>574</v>
      </c>
      <c r="E575" s="17" t="s">
        <v>32</v>
      </c>
      <c r="F575" s="5">
        <v>4.5</v>
      </c>
      <c r="G575" s="5">
        <v>6.3</v>
      </c>
      <c r="H575" s="6">
        <f t="shared" si="33"/>
        <v>7.8119999999999994</v>
      </c>
      <c r="I575" s="6">
        <f t="shared" si="34"/>
        <v>0</v>
      </c>
      <c r="J575" s="6">
        <f t="shared" si="35"/>
        <v>0</v>
      </c>
      <c r="L575" s="4" t="str">
        <f>IFERROR(VLOOKUP(ROWS($L$2:L575),$B$2:$C$1996,2,0),"")</f>
        <v>ΑΥΤΟΜΑΤΟ ΕΞΑΕΡ CALEFFI ΟΡ</v>
      </c>
      <c r="N575" s="2" t="str">
        <f>IFERROR(VLOOKUP(ROWS($N$2:N575),$D$2:$E$1996,2,0),"")</f>
        <v>1/2</v>
      </c>
    </row>
    <row r="576" spans="1:14">
      <c r="A576" s="5">
        <v>17</v>
      </c>
      <c r="B576" s="32">
        <f>IF(ISNUMBER(SEARCH('Φόρμα Εισαγωγής'!$B$2,C576)),MAX($B$1:B575)+1,0)</f>
        <v>575</v>
      </c>
      <c r="C576" s="7" t="s">
        <v>804</v>
      </c>
      <c r="D576" s="33">
        <f>IF(ISNUMBER(SEARCH('Φόρμα Εισαγωγής'!$C$2,E576)),MAX($D$1:D575)+1,0)</f>
        <v>575</v>
      </c>
      <c r="E576" s="17" t="s">
        <v>698</v>
      </c>
      <c r="F576" s="5">
        <v>3.9</v>
      </c>
      <c r="G576" s="5">
        <v>5.5</v>
      </c>
      <c r="H576" s="6">
        <f t="shared" si="33"/>
        <v>6.82</v>
      </c>
      <c r="I576" s="6">
        <f t="shared" si="34"/>
        <v>66.3</v>
      </c>
      <c r="J576" s="6">
        <f t="shared" si="35"/>
        <v>115.94</v>
      </c>
      <c r="L576" s="4" t="str">
        <f>IFERROR(VLOOKUP(ROWS($L$2:L576),$B$2:$C$1996,2,0),"")</f>
        <v>ΓΩΝΙΑΚΟΣ ΔΙΑΚ ΣΩΜ GIACOMINI</v>
      </c>
      <c r="N576" s="2" t="str">
        <f>IFERROR(VLOOKUP(ROWS($N$2:N576),$D$2:$E$1996,2,0),"")</f>
        <v>ΘΗΛ. 1/2</v>
      </c>
    </row>
    <row r="577" spans="1:14">
      <c r="A577" s="5">
        <v>35</v>
      </c>
      <c r="B577" s="32">
        <f>IF(ISNUMBER(SEARCH('Φόρμα Εισαγωγής'!$B$2,C577)),MAX($B$1:B576)+1,0)</f>
        <v>576</v>
      </c>
      <c r="C577" s="7" t="s">
        <v>803</v>
      </c>
      <c r="D577" s="33">
        <f>IF(ISNUMBER(SEARCH('Φόρμα Εισαγωγής'!$C$2,E577)),MAX($D$1:D576)+1,0)</f>
        <v>576</v>
      </c>
      <c r="E577" s="17" t="s">
        <v>698</v>
      </c>
      <c r="F577" s="5">
        <v>4.5999999999999996</v>
      </c>
      <c r="G577" s="5">
        <v>6.5</v>
      </c>
      <c r="H577" s="6">
        <f t="shared" si="33"/>
        <v>8.06</v>
      </c>
      <c r="I577" s="6">
        <f t="shared" si="34"/>
        <v>161</v>
      </c>
      <c r="J577" s="6">
        <f t="shared" si="35"/>
        <v>282.10000000000002</v>
      </c>
      <c r="L577" s="4" t="str">
        <f>IFERROR(VLOOKUP(ROWS($L$2:L577),$B$2:$C$1996,2,0),"")</f>
        <v>ΓΩΝΙΑΚΟΣ ΔΙΑΚ ΣΩΜ CALEFFI</v>
      </c>
      <c r="N577" s="2" t="str">
        <f>IFERROR(VLOOKUP(ROWS($N$2:N577),$D$2:$E$1996,2,0),"")</f>
        <v>ΘΗΛ. 1/2</v>
      </c>
    </row>
    <row r="578" spans="1:14">
      <c r="A578" s="5">
        <v>13</v>
      </c>
      <c r="B578" s="32">
        <f>IF(ISNUMBER(SEARCH('Φόρμα Εισαγωγής'!$B$2,C578)),MAX($B$1:B577)+1,0)</f>
        <v>577</v>
      </c>
      <c r="C578" s="7" t="s">
        <v>802</v>
      </c>
      <c r="D578" s="33">
        <f>IF(ISNUMBER(SEARCH('Φόρμα Εισαγωγής'!$C$2,E578)),MAX($D$1:D577)+1,0)</f>
        <v>577</v>
      </c>
      <c r="E578" s="17" t="s">
        <v>698</v>
      </c>
      <c r="F578" s="5">
        <v>4.9000000000000004</v>
      </c>
      <c r="G578" s="5">
        <v>6.9</v>
      </c>
      <c r="H578" s="6">
        <f t="shared" si="33"/>
        <v>8.5560000000000009</v>
      </c>
      <c r="I578" s="6">
        <f t="shared" si="34"/>
        <v>63.7</v>
      </c>
      <c r="J578" s="6">
        <f t="shared" si="35"/>
        <v>111.22800000000001</v>
      </c>
      <c r="L578" s="4" t="str">
        <f>IFERROR(VLOOKUP(ROWS($L$2:L578),$B$2:$C$1996,2,0),"")</f>
        <v>ΙΣΙΟΣ ΔΙΑΚ ΣΩΜ CALEFFI</v>
      </c>
      <c r="N578" s="2" t="str">
        <f>IFERROR(VLOOKUP(ROWS($N$2:N578),$D$2:$E$1996,2,0),"")</f>
        <v>ΘΗΛ. 1/2</v>
      </c>
    </row>
    <row r="579" spans="1:14">
      <c r="A579" s="5">
        <v>11</v>
      </c>
      <c r="B579" s="32">
        <f>IF(ISNUMBER(SEARCH('Φόρμα Εισαγωγής'!$B$2,C579)),MAX($B$1:B578)+1,0)</f>
        <v>578</v>
      </c>
      <c r="C579" s="7" t="s">
        <v>801</v>
      </c>
      <c r="D579" s="33">
        <f>IF(ISNUMBER(SEARCH('Φόρμα Εισαγωγής'!$C$2,E579)),MAX($D$1:D578)+1,0)</f>
        <v>578</v>
      </c>
      <c r="E579" s="17" t="s">
        <v>377</v>
      </c>
      <c r="F579" s="5">
        <v>2.5</v>
      </c>
      <c r="G579" s="5">
        <v>3.5</v>
      </c>
      <c r="H579" s="6">
        <f t="shared" si="33"/>
        <v>4.34</v>
      </c>
      <c r="I579" s="6">
        <f t="shared" si="34"/>
        <v>27.5</v>
      </c>
      <c r="J579" s="6">
        <f t="shared" si="35"/>
        <v>47.739999999999995</v>
      </c>
      <c r="L579" s="4" t="str">
        <f>IFERROR(VLOOKUP(ROWS($L$2:L579),$B$2:$C$1996,2,0),"")</f>
        <v>ΡΑΚΟΡ ΔΙΑΚ CALEFFI</v>
      </c>
      <c r="N579" s="2" t="str">
        <f>IFERROR(VLOOKUP(ROWS($N$2:N579),$D$2:$E$1996,2,0),"")</f>
        <v>Φ16 Χ Φ18</v>
      </c>
    </row>
    <row r="580" spans="1:14">
      <c r="A580" s="5">
        <v>2</v>
      </c>
      <c r="B580" s="32">
        <f>IF(ISNUMBER(SEARCH('Φόρμα Εισαγωγής'!$B$2,C580)),MAX($B$1:B579)+1,0)</f>
        <v>579</v>
      </c>
      <c r="C580" s="7" t="s">
        <v>800</v>
      </c>
      <c r="D580" s="33">
        <f>IF(ISNUMBER(SEARCH('Φόρμα Εισαγωγής'!$C$2,E580)),MAX($D$1:D579)+1,0)</f>
        <v>579</v>
      </c>
      <c r="E580" s="17" t="s">
        <v>378</v>
      </c>
      <c r="F580" s="5">
        <v>2.5499999999999998</v>
      </c>
      <c r="G580" s="5">
        <v>3.55</v>
      </c>
      <c r="H580" s="6">
        <f t="shared" si="33"/>
        <v>4.4020000000000001</v>
      </c>
      <c r="I580" s="6">
        <f t="shared" si="34"/>
        <v>5.0999999999999996</v>
      </c>
      <c r="J580" s="6">
        <f t="shared" si="35"/>
        <v>8.8040000000000003</v>
      </c>
      <c r="L580" s="4" t="str">
        <f>IFERROR(VLOOKUP(ROWS($L$2:L580),$B$2:$C$1996,2,0),"")</f>
        <v>ΡΑΚΟΡ ΔΙΑΚ DANFOSS</v>
      </c>
      <c r="N580" s="2" t="str">
        <f>IFERROR(VLOOKUP(ROWS($N$2:N580),$D$2:$E$1996,2,0),"")</f>
        <v>3/4 Χ Φ16</v>
      </c>
    </row>
    <row r="581" spans="1:14">
      <c r="A581" s="5">
        <v>1</v>
      </c>
      <c r="B581" s="32">
        <f>IF(ISNUMBER(SEARCH('Φόρμα Εισαγωγής'!$B$2,C581)),MAX($B$1:B580)+1,0)</f>
        <v>580</v>
      </c>
      <c r="C581" s="7" t="s">
        <v>379</v>
      </c>
      <c r="D581" s="33">
        <f>IF(ISNUMBER(SEARCH('Φόρμα Εισαγωγής'!$C$2,E581)),MAX($D$1:D580)+1,0)</f>
        <v>580</v>
      </c>
      <c r="E581" s="17" t="s">
        <v>321</v>
      </c>
      <c r="F581" s="5">
        <v>12.2</v>
      </c>
      <c r="G581" s="5">
        <v>17</v>
      </c>
      <c r="H581" s="6">
        <f t="shared" si="33"/>
        <v>21.08</v>
      </c>
      <c r="I581" s="6">
        <f t="shared" si="34"/>
        <v>12.2</v>
      </c>
      <c r="J581" s="6">
        <f t="shared" si="35"/>
        <v>21.08</v>
      </c>
      <c r="L581" s="4" t="str">
        <f>IFERROR(VLOOKUP(ROWS($L$2:L581),$B$2:$C$1996,2,0),"")</f>
        <v>ΒΑΝΑ ΜΕ ΑΙΣΘΗΤΗΡΙΟ GIACOMINI</v>
      </c>
      <c r="N581" s="2" t="str">
        <f>IFERROR(VLOOKUP(ROWS($N$2:N581),$D$2:$E$1996,2,0),"")</f>
        <v>-</v>
      </c>
    </row>
    <row r="582" spans="1:14">
      <c r="A582" s="5">
        <v>1</v>
      </c>
      <c r="B582" s="32">
        <f>IF(ISNUMBER(SEARCH('Φόρμα Εισαγωγής'!$B$2,C582)),MAX($B$1:B581)+1,0)</f>
        <v>581</v>
      </c>
      <c r="C582" s="7" t="s">
        <v>847</v>
      </c>
      <c r="D582" s="33">
        <f>IF(ISNUMBER(SEARCH('Φόρμα Εισαγωγής'!$C$2,E582)),MAX($D$1:D581)+1,0)</f>
        <v>581</v>
      </c>
      <c r="E582" s="17" t="s">
        <v>321</v>
      </c>
      <c r="F582" s="5">
        <v>20.65</v>
      </c>
      <c r="G582" s="5">
        <v>28.9</v>
      </c>
      <c r="H582" s="6">
        <f t="shared" ref="H582:H645" si="36">G582+(G582*0.24)</f>
        <v>35.835999999999999</v>
      </c>
      <c r="I582" s="6">
        <f t="shared" ref="I582:I645" si="37">F582*A582</f>
        <v>20.65</v>
      </c>
      <c r="J582" s="6">
        <f t="shared" ref="J582:J645" si="38">H582*A582</f>
        <v>35.835999999999999</v>
      </c>
      <c r="L582" s="4" t="str">
        <f>IFERROR(VLOOKUP(ROWS($L$2:L582),$B$2:$C$1996,2,0),"")</f>
        <v>ΔΙΑΚΟΠΤΗΣ ΣΩΜ VENTIL</v>
      </c>
      <c r="N582" s="2" t="str">
        <f>IFERROR(VLOOKUP(ROWS($N$2:N582),$D$2:$E$1996,2,0),"")</f>
        <v>-</v>
      </c>
    </row>
    <row r="583" spans="1:14">
      <c r="A583" s="5">
        <v>1</v>
      </c>
      <c r="B583" s="32">
        <f>IF(ISNUMBER(SEARCH('Φόρμα Εισαγωγής'!$B$2,C583)),MAX($B$1:B582)+1,0)</f>
        <v>582</v>
      </c>
      <c r="C583" s="7" t="s">
        <v>380</v>
      </c>
      <c r="D583" s="33">
        <f>IF(ISNUMBER(SEARCH('Φόρμα Εισαγωγής'!$C$2,E583)),MAX($D$1:D582)+1,0)</f>
        <v>582</v>
      </c>
      <c r="E583" s="17" t="s">
        <v>321</v>
      </c>
      <c r="F583" s="5">
        <v>1</v>
      </c>
      <c r="G583" s="5">
        <v>1.4</v>
      </c>
      <c r="H583" s="6">
        <f t="shared" si="36"/>
        <v>1.7359999999999998</v>
      </c>
      <c r="I583" s="6">
        <f t="shared" si="37"/>
        <v>1</v>
      </c>
      <c r="J583" s="6">
        <f t="shared" si="38"/>
        <v>1.7359999999999998</v>
      </c>
      <c r="L583" s="4" t="str">
        <f>IFERROR(VLOOKUP(ROWS($L$2:L583),$B$2:$C$1996,2,0),"")</f>
        <v>ΠΑΣΤΑ VALSIR 150ML</v>
      </c>
      <c r="N583" s="2" t="str">
        <f>IFERROR(VLOOKUP(ROWS($N$2:N583),$D$2:$E$1996,2,0),"")</f>
        <v>-</v>
      </c>
    </row>
    <row r="584" spans="1:14">
      <c r="A584" s="5">
        <v>1</v>
      </c>
      <c r="B584" s="32">
        <f>IF(ISNUMBER(SEARCH('Φόρμα Εισαγωγής'!$B$2,C584)),MAX($B$1:B583)+1,0)</f>
        <v>583</v>
      </c>
      <c r="C584" s="7" t="s">
        <v>381</v>
      </c>
      <c r="D584" s="33">
        <f>IF(ISNUMBER(SEARCH('Φόρμα Εισαγωγής'!$C$2,E584)),MAX($D$1:D583)+1,0)</f>
        <v>583</v>
      </c>
      <c r="E584" s="17" t="s">
        <v>321</v>
      </c>
      <c r="F584" s="5">
        <v>45</v>
      </c>
      <c r="G584" s="5">
        <v>65</v>
      </c>
      <c r="H584" s="6">
        <f t="shared" si="36"/>
        <v>80.599999999999994</v>
      </c>
      <c r="I584" s="6">
        <f t="shared" si="37"/>
        <v>45</v>
      </c>
      <c r="J584" s="6">
        <f t="shared" si="38"/>
        <v>80.599999999999994</v>
      </c>
      <c r="L584" s="4" t="str">
        <f>IFERROR(VLOOKUP(ROWS($L$2:L584),$B$2:$C$1996,2,0),"")</f>
        <v>MOTEΡ ΠΕΛΕΤ</v>
      </c>
      <c r="N584" s="2" t="str">
        <f>IFERROR(VLOOKUP(ROWS($N$2:N584),$D$2:$E$1996,2,0),"")</f>
        <v>-</v>
      </c>
    </row>
    <row r="585" spans="1:14">
      <c r="A585" s="5">
        <v>3</v>
      </c>
      <c r="B585" s="32">
        <f>IF(ISNUMBER(SEARCH('Φόρμα Εισαγωγής'!$B$2,C585)),MAX($B$1:B584)+1,0)</f>
        <v>584</v>
      </c>
      <c r="C585" s="7" t="s">
        <v>382</v>
      </c>
      <c r="D585" s="33">
        <f>IF(ISNUMBER(SEARCH('Φόρμα Εισαγωγής'!$C$2,E585)),MAX($D$1:D584)+1,0)</f>
        <v>584</v>
      </c>
      <c r="E585" s="17" t="s">
        <v>321</v>
      </c>
      <c r="F585" s="5">
        <v>25</v>
      </c>
      <c r="G585" s="5">
        <v>35</v>
      </c>
      <c r="H585" s="6">
        <f t="shared" si="36"/>
        <v>43.4</v>
      </c>
      <c r="I585" s="6">
        <f t="shared" si="37"/>
        <v>75</v>
      </c>
      <c r="J585" s="6">
        <f t="shared" si="38"/>
        <v>130.19999999999999</v>
      </c>
      <c r="L585" s="4" t="str">
        <f>IFERROR(VLOOKUP(ROWS($L$2:L585),$B$2:$C$1996,2,0),"")</f>
        <v>ΑΝΤΙΣΤΑΣΗ ΠΕΛΕΤ</v>
      </c>
      <c r="N585" s="2" t="str">
        <f>IFERROR(VLOOKUP(ROWS($N$2:N585),$D$2:$E$1996,2,0),"")</f>
        <v>-</v>
      </c>
    </row>
    <row r="586" spans="1:14">
      <c r="A586" s="5">
        <v>0</v>
      </c>
      <c r="B586" s="32">
        <f>IF(ISNUMBER(SEARCH('Φόρμα Εισαγωγής'!$B$2,C586)),MAX($B$1:B585)+1,0)</f>
        <v>585</v>
      </c>
      <c r="C586" s="7" t="s">
        <v>1066</v>
      </c>
      <c r="D586" s="33">
        <f>IF(ISNUMBER(SEARCH('Φόρμα Εισαγωγής'!$C$2,E586)),MAX($D$1:D585)+1,0)</f>
        <v>585</v>
      </c>
      <c r="E586" s="17" t="s">
        <v>32</v>
      </c>
      <c r="F586" s="5">
        <v>12.4</v>
      </c>
      <c r="G586" s="5">
        <v>17.399999999999999</v>
      </c>
      <c r="H586" s="6">
        <f t="shared" si="36"/>
        <v>21.575999999999997</v>
      </c>
      <c r="I586" s="6">
        <f t="shared" si="37"/>
        <v>0</v>
      </c>
      <c r="J586" s="6">
        <f t="shared" si="38"/>
        <v>0</v>
      </c>
      <c r="L586" s="4" t="str">
        <f>IFERROR(VLOOKUP(ROWS($L$2:L586),$B$2:$C$1996,2,0),"")</f>
        <v>ΑΥΤΟΜΑΤΟΣ ΠΛΗΡΩΤΗΣ ΙCMA</v>
      </c>
      <c r="N586" s="2" t="str">
        <f>IFERROR(VLOOKUP(ROWS($N$2:N586),$D$2:$E$1996,2,0),"")</f>
        <v>1/2</v>
      </c>
    </row>
    <row r="587" spans="1:14">
      <c r="A587" s="5">
        <v>1</v>
      </c>
      <c r="B587" s="32">
        <f>IF(ISNUMBER(SEARCH('Φόρμα Εισαγωγής'!$B$2,C587)),MAX($B$1:B586)+1,0)</f>
        <v>586</v>
      </c>
      <c r="C587" s="7" t="s">
        <v>799</v>
      </c>
      <c r="D587" s="33">
        <f>IF(ISNUMBER(SEARCH('Φόρμα Εισαγωγής'!$C$2,E587)),MAX($D$1:D586)+1,0)</f>
        <v>586</v>
      </c>
      <c r="E587" s="17" t="s">
        <v>32</v>
      </c>
      <c r="F587" s="5">
        <v>25.5</v>
      </c>
      <c r="G587" s="5">
        <v>35.5</v>
      </c>
      <c r="H587" s="6">
        <f t="shared" si="36"/>
        <v>44.019999999999996</v>
      </c>
      <c r="I587" s="6">
        <f t="shared" si="37"/>
        <v>25.5</v>
      </c>
      <c r="J587" s="6">
        <f t="shared" si="38"/>
        <v>44.019999999999996</v>
      </c>
      <c r="L587" s="4" t="str">
        <f>IFERROR(VLOOKUP(ROWS($L$2:L587),$B$2:$C$1996,2,0),"")</f>
        <v>ΜΑΓΝΗΤΙΚΗ ΠΕΤΡ ΑΝ ΡΟΗΣ CEME</v>
      </c>
      <c r="N587" s="2" t="str">
        <f>IFERROR(VLOOKUP(ROWS($N$2:N587),$D$2:$E$1996,2,0),"")</f>
        <v>1/2</v>
      </c>
    </row>
    <row r="588" spans="1:14">
      <c r="A588" s="5">
        <v>1</v>
      </c>
      <c r="B588" s="32">
        <f>IF(ISNUMBER(SEARCH('Φόρμα Εισαγωγής'!$B$2,C588)),MAX($B$1:B587)+1,0)</f>
        <v>587</v>
      </c>
      <c r="C588" s="7" t="s">
        <v>798</v>
      </c>
      <c r="D588" s="33">
        <f>IF(ISNUMBER(SEARCH('Φόρμα Εισαγωγής'!$C$2,E588)),MAX($D$1:D587)+1,0)</f>
        <v>587</v>
      </c>
      <c r="E588" s="17" t="s">
        <v>32</v>
      </c>
      <c r="F588" s="5">
        <v>15</v>
      </c>
      <c r="G588" s="5">
        <v>20.100000000000001</v>
      </c>
      <c r="H588" s="6">
        <f t="shared" si="36"/>
        <v>24.923999999999999</v>
      </c>
      <c r="I588" s="6">
        <f t="shared" si="37"/>
        <v>15</v>
      </c>
      <c r="J588" s="6">
        <f t="shared" si="38"/>
        <v>24.923999999999999</v>
      </c>
      <c r="L588" s="4" t="str">
        <f>IFERROR(VLOOKUP(ROWS($L$2:L588),$B$2:$C$1996,2,0),"")</f>
        <v>ΜΑΓΝΗΤΙΚΗ ΠΕΤΡ ΚΛ ΡΟΗΣ CEME</v>
      </c>
      <c r="N588" s="2" t="str">
        <f>IFERROR(VLOOKUP(ROWS($N$2:N588),$D$2:$E$1996,2,0),"")</f>
        <v>1/2</v>
      </c>
    </row>
    <row r="589" spans="1:14">
      <c r="A589" s="5">
        <v>1</v>
      </c>
      <c r="B589" s="32">
        <f>IF(ISNUMBER(SEARCH('Φόρμα Εισαγωγής'!$B$2,C589)),MAX($B$1:B588)+1,0)</f>
        <v>588</v>
      </c>
      <c r="C589" s="7" t="s">
        <v>383</v>
      </c>
      <c r="D589" s="33">
        <f>IF(ISNUMBER(SEARCH('Φόρμα Εισαγωγής'!$C$2,E589)),MAX($D$1:D588)+1,0)</f>
        <v>588</v>
      </c>
      <c r="E589" s="17" t="s">
        <v>33</v>
      </c>
      <c r="F589" s="5">
        <v>47.2</v>
      </c>
      <c r="G589" s="5">
        <v>66.5</v>
      </c>
      <c r="H589" s="6">
        <f t="shared" si="36"/>
        <v>82.46</v>
      </c>
      <c r="I589" s="6">
        <f t="shared" si="37"/>
        <v>47.2</v>
      </c>
      <c r="J589" s="6">
        <f t="shared" si="38"/>
        <v>82.46</v>
      </c>
      <c r="L589" s="4" t="str">
        <f>IFERROR(VLOOKUP(ROWS($L$2:L589),$B$2:$C$1996,2,0),"")</f>
        <v>ΗΛΕΚΤΡΟΒΑΝΑ JES ΤΡΙΩΔΗ</v>
      </c>
      <c r="N589" s="2" t="str">
        <f>IFERROR(VLOOKUP(ROWS($N$2:N589),$D$2:$E$1996,2,0),"")</f>
        <v>3/4</v>
      </c>
    </row>
    <row r="590" spans="1:14">
      <c r="A590" s="5">
        <v>1</v>
      </c>
      <c r="B590" s="32">
        <f>IF(ISNUMBER(SEARCH('Φόρμα Εισαγωγής'!$B$2,C590)),MAX($B$1:B589)+1,0)</f>
        <v>589</v>
      </c>
      <c r="C590" s="7" t="s">
        <v>384</v>
      </c>
      <c r="D590" s="33">
        <f>IF(ISNUMBER(SEARCH('Φόρμα Εισαγωγής'!$C$2,E590)),MAX($D$1:D589)+1,0)</f>
        <v>589</v>
      </c>
      <c r="E590" s="17" t="s">
        <v>34</v>
      </c>
      <c r="F590" s="5">
        <v>39</v>
      </c>
      <c r="G590" s="5">
        <v>55</v>
      </c>
      <c r="H590" s="6">
        <f t="shared" si="36"/>
        <v>68.2</v>
      </c>
      <c r="I590" s="6">
        <f t="shared" si="37"/>
        <v>39</v>
      </c>
      <c r="J590" s="6">
        <f t="shared" si="38"/>
        <v>68.2</v>
      </c>
      <c r="L590" s="4" t="str">
        <f>IFERROR(VLOOKUP(ROWS($L$2:L590),$B$2:$C$1996,2,0),"")</f>
        <v xml:space="preserve">ΗΛΕΚΤΡΟΒΑΝΑ JES </v>
      </c>
      <c r="N590" s="2" t="str">
        <f>IFERROR(VLOOKUP(ROWS($N$2:N590),$D$2:$E$1996,2,0),"")</f>
        <v>1''</v>
      </c>
    </row>
    <row r="591" spans="1:14">
      <c r="A591" s="5">
        <v>30</v>
      </c>
      <c r="B591" s="32">
        <f>IF(ISNUMBER(SEARCH('Φόρμα Εισαγωγής'!$B$2,C591)),MAX($B$1:B590)+1,0)</f>
        <v>590</v>
      </c>
      <c r="C591" s="7" t="s">
        <v>385</v>
      </c>
      <c r="D591" s="33">
        <f>IF(ISNUMBER(SEARCH('Φόρμα Εισαγωγής'!$C$2,E591)),MAX($D$1:D590)+1,0)</f>
        <v>590</v>
      </c>
      <c r="E591" s="17" t="s">
        <v>32</v>
      </c>
      <c r="F591" s="5">
        <v>0.14000000000000001</v>
      </c>
      <c r="G591" s="5">
        <v>0.2</v>
      </c>
      <c r="H591" s="6">
        <f t="shared" si="36"/>
        <v>0.248</v>
      </c>
      <c r="I591" s="6">
        <f t="shared" si="37"/>
        <v>4.2</v>
      </c>
      <c r="J591" s="6">
        <f t="shared" si="38"/>
        <v>7.4399999999999995</v>
      </c>
      <c r="L591" s="4" t="str">
        <f>IFERROR(VLOOKUP(ROWS($L$2:L591),$B$2:$C$1996,2,0),"")</f>
        <v xml:space="preserve">TEFLON </v>
      </c>
      <c r="N591" s="2" t="str">
        <f>IFERROR(VLOOKUP(ROWS($N$2:N591),$D$2:$E$1996,2,0),"")</f>
        <v>1/2</v>
      </c>
    </row>
    <row r="592" spans="1:14">
      <c r="A592" s="5">
        <v>9</v>
      </c>
      <c r="B592" s="32">
        <f>IF(ISNUMBER(SEARCH('Φόρμα Εισαγωγής'!$B$2,C592)),MAX($B$1:B591)+1,0)</f>
        <v>591</v>
      </c>
      <c r="C592" s="7" t="s">
        <v>385</v>
      </c>
      <c r="D592" s="33">
        <f>IF(ISNUMBER(SEARCH('Φόρμα Εισαγωγής'!$C$2,E592)),MAX($D$1:D591)+1,0)</f>
        <v>591</v>
      </c>
      <c r="E592" s="17" t="s">
        <v>33</v>
      </c>
      <c r="F592" s="5">
        <v>0.8</v>
      </c>
      <c r="G592" s="5">
        <v>1.2</v>
      </c>
      <c r="H592" s="6">
        <f t="shared" si="36"/>
        <v>1.488</v>
      </c>
      <c r="I592" s="6">
        <f t="shared" si="37"/>
        <v>7.2</v>
      </c>
      <c r="J592" s="6">
        <f t="shared" si="38"/>
        <v>13.391999999999999</v>
      </c>
      <c r="L592" s="4" t="str">
        <f>IFERROR(VLOOKUP(ROWS($L$2:L592),$B$2:$C$1996,2,0),"")</f>
        <v xml:space="preserve">TEFLON </v>
      </c>
      <c r="N592" s="2" t="str">
        <f>IFERROR(VLOOKUP(ROWS($N$2:N592),$D$2:$E$1996,2,0),"")</f>
        <v>3/4</v>
      </c>
    </row>
    <row r="593" spans="1:14">
      <c r="A593" s="5">
        <v>3</v>
      </c>
      <c r="B593" s="32">
        <f>IF(ISNUMBER(SEARCH('Φόρμα Εισαγωγής'!$B$2,C593)),MAX($B$1:B592)+1,0)</f>
        <v>592</v>
      </c>
      <c r="C593" s="7" t="s">
        <v>386</v>
      </c>
      <c r="D593" s="33">
        <f>IF(ISNUMBER(SEARCH('Φόρμα Εισαγωγής'!$C$2,E593)),MAX($D$1:D592)+1,0)</f>
        <v>592</v>
      </c>
      <c r="E593" s="17" t="s">
        <v>321</v>
      </c>
      <c r="F593" s="5">
        <v>8.75</v>
      </c>
      <c r="G593" s="5">
        <v>12.25</v>
      </c>
      <c r="H593" s="6">
        <f t="shared" si="36"/>
        <v>15.19</v>
      </c>
      <c r="I593" s="6">
        <f t="shared" si="37"/>
        <v>26.25</v>
      </c>
      <c r="J593" s="6">
        <f t="shared" si="38"/>
        <v>45.57</v>
      </c>
      <c r="L593" s="4" t="str">
        <f>IFERROR(VLOOKUP(ROWS($L$2:L593),$B$2:$C$1996,2,0),"")</f>
        <v>LOCTITTE 160gr</v>
      </c>
      <c r="N593" s="2" t="str">
        <f>IFERROR(VLOOKUP(ROWS($N$2:N593),$D$2:$E$1996,2,0),"")</f>
        <v>-</v>
      </c>
    </row>
    <row r="594" spans="1:14">
      <c r="A594" s="5">
        <v>2</v>
      </c>
      <c r="B594" s="32">
        <f>IF(ISNUMBER(SEARCH('Φόρμα Εισαγωγής'!$B$2,C594)),MAX($B$1:B593)+1,0)</f>
        <v>593</v>
      </c>
      <c r="C594" s="7" t="s">
        <v>387</v>
      </c>
      <c r="D594" s="33">
        <f>IF(ISNUMBER(SEARCH('Φόρμα Εισαγωγής'!$C$2,E594)),MAX($D$1:D593)+1,0)</f>
        <v>593</v>
      </c>
      <c r="E594" s="17" t="s">
        <v>321</v>
      </c>
      <c r="F594" s="5">
        <v>2.5</v>
      </c>
      <c r="G594" s="5">
        <v>3.5</v>
      </c>
      <c r="H594" s="6">
        <f t="shared" si="36"/>
        <v>4.34</v>
      </c>
      <c r="I594" s="6">
        <f t="shared" si="37"/>
        <v>5</v>
      </c>
      <c r="J594" s="6">
        <f t="shared" si="38"/>
        <v>8.68</v>
      </c>
      <c r="L594" s="4" t="str">
        <f>IFERROR(VLOOKUP(ROWS($L$2:L594),$B$2:$C$1996,2,0),"")</f>
        <v xml:space="preserve">ΠΑΣΤΑ </v>
      </c>
      <c r="N594" s="2" t="str">
        <f>IFERROR(VLOOKUP(ROWS($N$2:N594),$D$2:$E$1996,2,0),"")</f>
        <v>-</v>
      </c>
    </row>
    <row r="595" spans="1:14">
      <c r="A595" s="5">
        <v>2</v>
      </c>
      <c r="B595" s="32">
        <f>IF(ISNUMBER(SEARCH('Φόρμα Εισαγωγής'!$B$2,C595)),MAX($B$1:B594)+1,0)</f>
        <v>594</v>
      </c>
      <c r="C595" s="7" t="s">
        <v>797</v>
      </c>
      <c r="D595" s="33">
        <f>IF(ISNUMBER(SEARCH('Φόρμα Εισαγωγής'!$C$2,E595)),MAX($D$1:D594)+1,0)</f>
        <v>594</v>
      </c>
      <c r="E595" s="17" t="s">
        <v>33</v>
      </c>
      <c r="F595" s="5">
        <v>46.5</v>
      </c>
      <c r="G595" s="5">
        <v>65</v>
      </c>
      <c r="H595" s="6">
        <f t="shared" si="36"/>
        <v>80.599999999999994</v>
      </c>
      <c r="I595" s="6">
        <f t="shared" si="37"/>
        <v>93</v>
      </c>
      <c r="J595" s="6">
        <f t="shared" si="38"/>
        <v>161.19999999999999</v>
      </c>
      <c r="L595" s="4" t="str">
        <f>IFERROR(VLOOKUP(ROWS($L$2:L595),$B$2:$C$1996,2,0),"")</f>
        <v>ΗΛΕΚΤΡΟΒΑΝΑ CIM</v>
      </c>
      <c r="N595" s="2" t="str">
        <f>IFERROR(VLOOKUP(ROWS($N$2:N595),$D$2:$E$1996,2,0),"")</f>
        <v>3/4</v>
      </c>
    </row>
    <row r="596" spans="1:14">
      <c r="A596" s="5">
        <v>1</v>
      </c>
      <c r="B596" s="32">
        <f>IF(ISNUMBER(SEARCH('Φόρμα Εισαγωγής'!$B$2,C596)),MAX($B$1:B595)+1,0)</f>
        <v>595</v>
      </c>
      <c r="C596" s="7" t="s">
        <v>797</v>
      </c>
      <c r="D596" s="33">
        <f>IF(ISNUMBER(SEARCH('Φόρμα Εισαγωγής'!$C$2,E596)),MAX($D$1:D595)+1,0)</f>
        <v>595</v>
      </c>
      <c r="E596" s="17" t="s">
        <v>34</v>
      </c>
      <c r="F596" s="5">
        <v>45.5</v>
      </c>
      <c r="G596" s="5">
        <v>68</v>
      </c>
      <c r="H596" s="6">
        <f t="shared" si="36"/>
        <v>84.32</v>
      </c>
      <c r="I596" s="6">
        <f t="shared" si="37"/>
        <v>45.5</v>
      </c>
      <c r="J596" s="6">
        <f t="shared" si="38"/>
        <v>84.32</v>
      </c>
      <c r="L596" s="4" t="str">
        <f>IFERROR(VLOOKUP(ROWS($L$2:L596),$B$2:$C$1996,2,0),"")</f>
        <v>ΗΛΕΚΤΡΟΒΑΝΑ CIM</v>
      </c>
      <c r="N596" s="2" t="str">
        <f>IFERROR(VLOOKUP(ROWS($N$2:N596),$D$2:$E$1996,2,0),"")</f>
        <v>1''</v>
      </c>
    </row>
    <row r="597" spans="1:14">
      <c r="A597" s="5">
        <v>1</v>
      </c>
      <c r="B597" s="32">
        <f>IF(ISNUMBER(SEARCH('Φόρμα Εισαγωγής'!$B$2,C597)),MAX($B$1:B596)+1,0)</f>
        <v>596</v>
      </c>
      <c r="C597" s="7" t="s">
        <v>797</v>
      </c>
      <c r="D597" s="33">
        <f>IF(ISNUMBER(SEARCH('Φόρμα Εισαγωγής'!$C$2,E597)),MAX($D$1:D596)+1,0)</f>
        <v>596</v>
      </c>
      <c r="E597" s="17" t="s">
        <v>35</v>
      </c>
      <c r="F597" s="5">
        <v>52</v>
      </c>
      <c r="G597" s="5">
        <v>75</v>
      </c>
      <c r="H597" s="6">
        <f t="shared" si="36"/>
        <v>93</v>
      </c>
      <c r="I597" s="6">
        <f t="shared" si="37"/>
        <v>52</v>
      </c>
      <c r="J597" s="6">
        <f t="shared" si="38"/>
        <v>93</v>
      </c>
      <c r="L597" s="4" t="str">
        <f>IFERROR(VLOOKUP(ROWS($L$2:L597),$B$2:$C$1996,2,0),"")</f>
        <v>ΗΛΕΚΤΡΟΒΑΝΑ CIM</v>
      </c>
      <c r="N597" s="2" t="str">
        <f>IFERROR(VLOOKUP(ROWS($N$2:N597),$D$2:$E$1996,2,0),"")</f>
        <v>1 1/4''</v>
      </c>
    </row>
    <row r="598" spans="1:14">
      <c r="A598" s="5">
        <v>3</v>
      </c>
      <c r="B598" s="32">
        <f>IF(ISNUMBER(SEARCH('Φόρμα Εισαγωγής'!$B$2,C598)),MAX($B$1:B597)+1,0)</f>
        <v>597</v>
      </c>
      <c r="C598" s="7" t="s">
        <v>388</v>
      </c>
      <c r="D598" s="33">
        <f>IF(ISNUMBER(SEARCH('Φόρμα Εισαγωγής'!$C$2,E598)),MAX($D$1:D597)+1,0)</f>
        <v>597</v>
      </c>
      <c r="E598" s="17" t="s">
        <v>321</v>
      </c>
      <c r="F598" s="5">
        <v>8</v>
      </c>
      <c r="G598" s="5">
        <v>12</v>
      </c>
      <c r="H598" s="6">
        <f t="shared" si="36"/>
        <v>14.879999999999999</v>
      </c>
      <c r="I598" s="6">
        <f t="shared" si="37"/>
        <v>24</v>
      </c>
      <c r="J598" s="6">
        <f t="shared" si="38"/>
        <v>44.64</v>
      </c>
      <c r="L598" s="4" t="str">
        <f>IFERROR(VLOOKUP(ROWS($L$2:L598),$B$2:$C$1996,2,0),"")</f>
        <v>ΘΕΡΜΟΣΤΑΤΗΣ ΕΠΑΦΗΣ IMIT</v>
      </c>
      <c r="N598" s="2" t="str">
        <f>IFERROR(VLOOKUP(ROWS($N$2:N598),$D$2:$E$1996,2,0),"")</f>
        <v>-</v>
      </c>
    </row>
    <row r="599" spans="1:14">
      <c r="A599" s="5">
        <v>1</v>
      </c>
      <c r="B599" s="32">
        <f>IF(ISNUMBER(SEARCH('Φόρμα Εισαγωγής'!$B$2,C599)),MAX($B$1:B598)+1,0)</f>
        <v>598</v>
      </c>
      <c r="C599" s="7" t="s">
        <v>796</v>
      </c>
      <c r="D599" s="33">
        <f>IF(ISNUMBER(SEARCH('Φόρμα Εισαγωγής'!$C$2,E599)),MAX($D$1:D598)+1,0)</f>
        <v>598</v>
      </c>
      <c r="E599" s="17" t="s">
        <v>321</v>
      </c>
      <c r="F599" s="5">
        <v>9.1999999999999993</v>
      </c>
      <c r="G599" s="5">
        <v>13</v>
      </c>
      <c r="H599" s="6">
        <f t="shared" si="36"/>
        <v>16.12</v>
      </c>
      <c r="I599" s="6">
        <f t="shared" si="37"/>
        <v>9.1999999999999993</v>
      </c>
      <c r="J599" s="6">
        <f t="shared" si="38"/>
        <v>16.12</v>
      </c>
      <c r="L599" s="4" t="str">
        <f>IFERROR(VLOOKUP(ROWS($L$2:L599),$B$2:$C$1996,2,0),"")</f>
        <v>ΘΕΡΜΟΑΣΤΑΤΗΣ ΕΒΑΠΤ IMIT</v>
      </c>
      <c r="N599" s="2" t="str">
        <f>IFERROR(VLOOKUP(ROWS($N$2:N599),$D$2:$E$1996,2,0),"")</f>
        <v>-</v>
      </c>
    </row>
    <row r="600" spans="1:14">
      <c r="A600" s="5">
        <v>2</v>
      </c>
      <c r="B600" s="32">
        <f>IF(ISNUMBER(SEARCH('Φόρμα Εισαγωγής'!$B$2,C600)),MAX($B$1:B599)+1,0)</f>
        <v>599</v>
      </c>
      <c r="C600" s="7" t="s">
        <v>795</v>
      </c>
      <c r="D600" s="33">
        <f>IF(ISNUMBER(SEARCH('Φόρμα Εισαγωγής'!$C$2,E600)),MAX($D$1:D599)+1,0)</f>
        <v>599</v>
      </c>
      <c r="E600" s="17" t="s">
        <v>321</v>
      </c>
      <c r="F600" s="5">
        <v>9.5</v>
      </c>
      <c r="G600" s="5">
        <v>14</v>
      </c>
      <c r="H600" s="6">
        <f t="shared" si="36"/>
        <v>17.36</v>
      </c>
      <c r="I600" s="6">
        <f t="shared" si="37"/>
        <v>19</v>
      </c>
      <c r="J600" s="6">
        <f t="shared" si="38"/>
        <v>34.72</v>
      </c>
      <c r="L600" s="4" t="str">
        <f>IFERROR(VLOOKUP(ROWS($L$2:L600),$B$2:$C$1996,2,0),"")</f>
        <v>ΘΕΡΜΟΣΤΑΤΗΣ ΕΒΑΠΤ HANSA</v>
      </c>
      <c r="N600" s="2" t="str">
        <f>IFERROR(VLOOKUP(ROWS($N$2:N600),$D$2:$E$1996,2,0),"")</f>
        <v>-</v>
      </c>
    </row>
    <row r="601" spans="1:14">
      <c r="A601" s="5">
        <v>5</v>
      </c>
      <c r="B601" s="32">
        <f>IF(ISNUMBER(SEARCH('Φόρμα Εισαγωγής'!$B$2,C601)),MAX($B$1:B600)+1,0)</f>
        <v>600</v>
      </c>
      <c r="C601" s="7" t="s">
        <v>794</v>
      </c>
      <c r="D601" s="33">
        <f>IF(ISNUMBER(SEARCH('Φόρμα Εισαγωγής'!$C$2,E601)),MAX($D$1:D600)+1,0)</f>
        <v>600</v>
      </c>
      <c r="E601" s="17" t="s">
        <v>321</v>
      </c>
      <c r="F601" s="5">
        <v>6</v>
      </c>
      <c r="G601" s="5">
        <v>8.4</v>
      </c>
      <c r="H601" s="6">
        <f t="shared" si="36"/>
        <v>10.416</v>
      </c>
      <c r="I601" s="6">
        <f t="shared" si="37"/>
        <v>30</v>
      </c>
      <c r="J601" s="6">
        <f t="shared" si="38"/>
        <v>52.08</v>
      </c>
      <c r="L601" s="4" t="str">
        <f>IFERROR(VLOOKUP(ROWS($L$2:L601),$B$2:$C$1996,2,0),"")</f>
        <v>ΘΕΡΜΟΜΕΤΡΟ ΕΒΑΠΤ HANSA</v>
      </c>
      <c r="N601" s="2" t="str">
        <f>IFERROR(VLOOKUP(ROWS($N$2:N601),$D$2:$E$1996,2,0),"")</f>
        <v>-</v>
      </c>
    </row>
    <row r="602" spans="1:14">
      <c r="A602" s="5">
        <v>5</v>
      </c>
      <c r="B602" s="32">
        <f>IF(ISNUMBER(SEARCH('Φόρμα Εισαγωγής'!$B$2,C602)),MAX($B$1:B601)+1,0)</f>
        <v>601</v>
      </c>
      <c r="C602" s="7" t="s">
        <v>793</v>
      </c>
      <c r="D602" s="33">
        <f>IF(ISNUMBER(SEARCH('Φόρμα Εισαγωγής'!$C$2,E602)),MAX($D$1:D601)+1,0)</f>
        <v>601</v>
      </c>
      <c r="E602" s="17" t="s">
        <v>321</v>
      </c>
      <c r="F602" s="5">
        <v>4</v>
      </c>
      <c r="G602" s="5">
        <v>6</v>
      </c>
      <c r="H602" s="6">
        <f t="shared" si="36"/>
        <v>7.4399999999999995</v>
      </c>
      <c r="I602" s="6">
        <f t="shared" si="37"/>
        <v>20</v>
      </c>
      <c r="J602" s="6">
        <f t="shared" si="38"/>
        <v>37.199999999999996</v>
      </c>
      <c r="L602" s="4" t="str">
        <f>IFERROR(VLOOKUP(ROWS($L$2:L602),$B$2:$C$1996,2,0),"")</f>
        <v>ΘΕΡΜΟΜΕΤΡΟ ΕΒΑΠΤ ΜΙΚΡΟ</v>
      </c>
      <c r="N602" s="2" t="str">
        <f>IFERROR(VLOOKUP(ROWS($N$2:N602),$D$2:$E$1996,2,0),"")</f>
        <v>-</v>
      </c>
    </row>
    <row r="603" spans="1:14">
      <c r="A603" s="5">
        <v>5</v>
      </c>
      <c r="B603" s="32">
        <f>IF(ISNUMBER(SEARCH('Φόρμα Εισαγωγής'!$B$2,C603)),MAX($B$1:B602)+1,0)</f>
        <v>602</v>
      </c>
      <c r="C603" s="7" t="s">
        <v>389</v>
      </c>
      <c r="D603" s="33">
        <f>IF(ISNUMBER(SEARCH('Φόρμα Εισαγωγής'!$C$2,E603)),MAX($D$1:D602)+1,0)</f>
        <v>602</v>
      </c>
      <c r="E603" s="17" t="s">
        <v>321</v>
      </c>
      <c r="F603" s="5">
        <v>7.5</v>
      </c>
      <c r="G603" s="5">
        <v>10.6</v>
      </c>
      <c r="H603" s="6">
        <f t="shared" si="36"/>
        <v>13.144</v>
      </c>
      <c r="I603" s="6">
        <f t="shared" si="37"/>
        <v>37.5</v>
      </c>
      <c r="J603" s="6">
        <f t="shared" si="38"/>
        <v>65.72</v>
      </c>
      <c r="L603" s="4" t="str">
        <f>IFERROR(VLOOKUP(ROWS($L$2:L603),$B$2:$C$1996,2,0),"")</f>
        <v>ΘΕΡΜΟΜΕΤΡΟ / ΜΑΝΟΜΕΤΡΟ</v>
      </c>
      <c r="N603" s="2" t="str">
        <f>IFERROR(VLOOKUP(ROWS($N$2:N603),$D$2:$E$1996,2,0),"")</f>
        <v>-</v>
      </c>
    </row>
    <row r="604" spans="1:14">
      <c r="A604" s="5">
        <v>2</v>
      </c>
      <c r="B604" s="32">
        <f>IF(ISNUMBER(SEARCH('Φόρμα Εισαγωγής'!$B$2,C604)),MAX($B$1:B603)+1,0)</f>
        <v>603</v>
      </c>
      <c r="C604" s="5" t="s">
        <v>792</v>
      </c>
      <c r="D604" s="33">
        <f>IF(ISNUMBER(SEARCH('Φόρμα Εισαγωγής'!$C$2,E604)),MAX($D$1:D603)+1,0)</f>
        <v>603</v>
      </c>
      <c r="E604" s="5" t="s">
        <v>321</v>
      </c>
      <c r="F604" s="5">
        <v>5</v>
      </c>
      <c r="G604" s="5">
        <v>7</v>
      </c>
      <c r="H604" s="6">
        <f t="shared" si="36"/>
        <v>8.68</v>
      </c>
      <c r="I604" s="6">
        <f t="shared" si="37"/>
        <v>10</v>
      </c>
      <c r="J604" s="6">
        <f t="shared" si="38"/>
        <v>17.36</v>
      </c>
      <c r="L604" s="4" t="str">
        <f>IFERROR(VLOOKUP(ROWS($L$2:L604),$B$2:$C$1996,2,0),"")</f>
        <v>ΘΕΡΜΟΜΕΤΡΟ ΕΒΑΠΤ</v>
      </c>
      <c r="N604" s="2" t="str">
        <f>IFERROR(VLOOKUP(ROWS($N$2:N604),$D$2:$E$1996,2,0),"")</f>
        <v>-</v>
      </c>
    </row>
    <row r="605" spans="1:14">
      <c r="A605" s="5">
        <v>1</v>
      </c>
      <c r="B605" s="32">
        <f>IF(ISNUMBER(SEARCH('Φόρμα Εισαγωγής'!$B$2,C605)),MAX($B$1:B604)+1,0)</f>
        <v>604</v>
      </c>
      <c r="C605" s="5" t="s">
        <v>390</v>
      </c>
      <c r="D605" s="33">
        <f>IF(ISNUMBER(SEARCH('Φόρμα Εισαγωγής'!$C$2,E605)),MAX($D$1:D604)+1,0)</f>
        <v>604</v>
      </c>
      <c r="E605" s="5" t="s">
        <v>391</v>
      </c>
      <c r="F605" s="5">
        <v>36</v>
      </c>
      <c r="G605" s="5">
        <v>50</v>
      </c>
      <c r="H605" s="6">
        <f t="shared" si="36"/>
        <v>62</v>
      </c>
      <c r="I605" s="6">
        <f t="shared" si="37"/>
        <v>36</v>
      </c>
      <c r="J605" s="6">
        <f t="shared" si="38"/>
        <v>62</v>
      </c>
      <c r="L605" s="4" t="str">
        <f>IFERROR(VLOOKUP(ROWS($L$2:L605),$B$2:$C$1996,2,0),"")</f>
        <v>KΥΚΛΟΦΟΡΗΤΗΣ AXON</v>
      </c>
      <c r="N605" s="2" t="str">
        <f>IFERROR(VLOOKUP(ROWS($N$2:N605),$D$2:$E$1996,2,0),"")</f>
        <v>32/60</v>
      </c>
    </row>
    <row r="606" spans="1:14">
      <c r="A606" s="5">
        <v>1</v>
      </c>
      <c r="B606" s="32">
        <f>IF(ISNUMBER(SEARCH('Φόρμα Εισαγωγής'!$B$2,C606)),MAX($B$1:B605)+1,0)</f>
        <v>605</v>
      </c>
      <c r="C606" s="5" t="s">
        <v>392</v>
      </c>
      <c r="D606" s="33">
        <f>IF(ISNUMBER(SEARCH('Φόρμα Εισαγωγής'!$C$2,E606)),MAX($D$1:D605)+1,0)</f>
        <v>605</v>
      </c>
      <c r="E606" s="5" t="s">
        <v>393</v>
      </c>
      <c r="F606" s="5">
        <v>80</v>
      </c>
      <c r="G606" s="5">
        <v>115</v>
      </c>
      <c r="H606" s="6">
        <f t="shared" si="36"/>
        <v>142.6</v>
      </c>
      <c r="I606" s="6">
        <f t="shared" si="37"/>
        <v>80</v>
      </c>
      <c r="J606" s="6">
        <f t="shared" si="38"/>
        <v>142.6</v>
      </c>
      <c r="L606" s="4" t="str">
        <f>IFERROR(VLOOKUP(ROWS($L$2:L606),$B$2:$C$1996,2,0),"")</f>
        <v>ΚΥΚΛΟΦΟΡΗΤΗΣ SALMSON</v>
      </c>
      <c r="N606" s="2" t="str">
        <f>IFERROR(VLOOKUP(ROWS($N$2:N606),$D$2:$E$1996,2,0),"")</f>
        <v>40/25</v>
      </c>
    </row>
    <row r="607" spans="1:14">
      <c r="A607" s="5">
        <v>0</v>
      </c>
      <c r="B607" s="32">
        <f>IF(ISNUMBER(SEARCH('Φόρμα Εισαγωγής'!$B$2,C607)),MAX($B$1:B606)+1,0)</f>
        <v>606</v>
      </c>
      <c r="C607" s="5" t="s">
        <v>392</v>
      </c>
      <c r="D607" s="33">
        <f>IF(ISNUMBER(SEARCH('Φόρμα Εισαγωγής'!$C$2,E607)),MAX($D$1:D606)+1,0)</f>
        <v>606</v>
      </c>
      <c r="E607" s="5" t="s">
        <v>394</v>
      </c>
      <c r="F607" s="5">
        <v>79</v>
      </c>
      <c r="G607" s="5">
        <v>122</v>
      </c>
      <c r="H607" s="6">
        <f t="shared" si="36"/>
        <v>151.28</v>
      </c>
      <c r="I607" s="6">
        <f t="shared" si="37"/>
        <v>0</v>
      </c>
      <c r="J607" s="6">
        <f t="shared" si="38"/>
        <v>0</v>
      </c>
      <c r="L607" s="4" t="str">
        <f>IFERROR(VLOOKUP(ROWS($L$2:L607),$B$2:$C$1996,2,0),"")</f>
        <v>ΚΥΚΛΟΦΟΡΗΤΗΣ SALMSON</v>
      </c>
      <c r="N607" s="2" t="str">
        <f>IFERROR(VLOOKUP(ROWS($N$2:N607),$D$2:$E$1996,2,0),"")</f>
        <v>60/25</v>
      </c>
    </row>
    <row r="608" spans="1:14">
      <c r="A608" s="5">
        <v>1</v>
      </c>
      <c r="B608" s="32">
        <f>IF(ISNUMBER(SEARCH('Φόρμα Εισαγωγής'!$B$2,C608)),MAX($B$1:B607)+1,0)</f>
        <v>607</v>
      </c>
      <c r="C608" s="5" t="s">
        <v>392</v>
      </c>
      <c r="D608" s="33">
        <f>IF(ISNUMBER(SEARCH('Φόρμα Εισαγωγής'!$C$2,E608)),MAX($D$1:D607)+1,0)</f>
        <v>607</v>
      </c>
      <c r="E608" s="5" t="s">
        <v>395</v>
      </c>
      <c r="F608" s="5">
        <v>80</v>
      </c>
      <c r="G608" s="5">
        <v>115</v>
      </c>
      <c r="H608" s="6">
        <f t="shared" si="36"/>
        <v>142.6</v>
      </c>
      <c r="I608" s="6">
        <f t="shared" si="37"/>
        <v>80</v>
      </c>
      <c r="J608" s="6">
        <f t="shared" si="38"/>
        <v>142.6</v>
      </c>
      <c r="L608" s="4" t="str">
        <f>IFERROR(VLOOKUP(ROWS($L$2:L608),$B$2:$C$1996,2,0),"")</f>
        <v>ΚΥΚΛΟΦΟΡΗΤΗΣ SALMSON</v>
      </c>
      <c r="N608" s="2" t="str">
        <f>IFERROR(VLOOKUP(ROWS($N$2:N608),$D$2:$E$1996,2,0),"")</f>
        <v>40/32</v>
      </c>
    </row>
    <row r="609" spans="1:14">
      <c r="A609" s="5">
        <v>1</v>
      </c>
      <c r="B609" s="32">
        <f>IF(ISNUMBER(SEARCH('Φόρμα Εισαγωγής'!$B$2,C609)),MAX($B$1:B608)+1,0)</f>
        <v>608</v>
      </c>
      <c r="C609" s="5" t="s">
        <v>392</v>
      </c>
      <c r="D609" s="33">
        <f>IF(ISNUMBER(SEARCH('Φόρμα Εισαγωγής'!$C$2,E609)),MAX($D$1:D608)+1,0)</f>
        <v>608</v>
      </c>
      <c r="E609" s="5" t="s">
        <v>396</v>
      </c>
      <c r="F609" s="5">
        <v>88</v>
      </c>
      <c r="G609" s="5">
        <v>125</v>
      </c>
      <c r="H609" s="6">
        <f t="shared" si="36"/>
        <v>155</v>
      </c>
      <c r="I609" s="6">
        <f t="shared" si="37"/>
        <v>88</v>
      </c>
      <c r="J609" s="6">
        <f t="shared" si="38"/>
        <v>155</v>
      </c>
      <c r="L609" s="4" t="str">
        <f>IFERROR(VLOOKUP(ROWS($L$2:L609),$B$2:$C$1996,2,0),"")</f>
        <v>ΚΥΚΛΟΦΟΡΗΤΗΣ SALMSON</v>
      </c>
      <c r="N609" s="2" t="str">
        <f>IFERROR(VLOOKUP(ROWS($N$2:N609),$D$2:$E$1996,2,0),"")</f>
        <v>60/32</v>
      </c>
    </row>
    <row r="610" spans="1:14">
      <c r="A610" s="5">
        <v>1</v>
      </c>
      <c r="B610" s="32">
        <f>IF(ISNUMBER(SEARCH('Φόρμα Εισαγωγής'!$B$2,C610)),MAX($B$1:B609)+1,0)</f>
        <v>609</v>
      </c>
      <c r="C610" s="5" t="s">
        <v>392</v>
      </c>
      <c r="D610" s="33">
        <f>IF(ISNUMBER(SEARCH('Φόρμα Εισαγωγής'!$C$2,E610)),MAX($D$1:D609)+1,0)</f>
        <v>609</v>
      </c>
      <c r="E610" s="5" t="s">
        <v>397</v>
      </c>
      <c r="F610" s="5">
        <v>106.8</v>
      </c>
      <c r="G610" s="5">
        <v>150</v>
      </c>
      <c r="H610" s="6">
        <f t="shared" si="36"/>
        <v>186</v>
      </c>
      <c r="I610" s="6">
        <f t="shared" si="37"/>
        <v>106.8</v>
      </c>
      <c r="J610" s="6">
        <f t="shared" si="38"/>
        <v>186</v>
      </c>
      <c r="L610" s="4" t="str">
        <f>IFERROR(VLOOKUP(ROWS($L$2:L610),$B$2:$C$1996,2,0),"")</f>
        <v>ΚΥΚΛΟΦΟΡΗΤΗΣ SALMSON</v>
      </c>
      <c r="N610" s="2" t="str">
        <f>IFERROR(VLOOKUP(ROWS($N$2:N610),$D$2:$E$1996,2,0),"")</f>
        <v>80/32</v>
      </c>
    </row>
    <row r="611" spans="1:14">
      <c r="A611" s="5">
        <v>35</v>
      </c>
      <c r="B611" s="32">
        <f>IF(ISNUMBER(SEARCH('Φόρμα Εισαγωγής'!$B$2,C611)),MAX($B$1:B610)+1,0)</f>
        <v>610</v>
      </c>
      <c r="C611" s="5" t="s">
        <v>398</v>
      </c>
      <c r="D611" s="33">
        <f>IF(ISNUMBER(SEARCH('Φόρμα Εισαγωγής'!$C$2,E611)),MAX($D$1:D610)+1,0)</f>
        <v>610</v>
      </c>
      <c r="E611" s="5" t="s">
        <v>34</v>
      </c>
      <c r="F611" s="5">
        <v>3.65</v>
      </c>
      <c r="G611" s="5">
        <v>5</v>
      </c>
      <c r="H611" s="6">
        <f t="shared" si="36"/>
        <v>6.2</v>
      </c>
      <c r="I611" s="6">
        <f t="shared" si="37"/>
        <v>127.75</v>
      </c>
      <c r="J611" s="6">
        <f t="shared" si="38"/>
        <v>217</v>
      </c>
      <c r="L611" s="4" t="str">
        <f>IFERROR(VLOOKUP(ROWS($L$2:L611),$B$2:$C$1996,2,0),"")</f>
        <v>ΡΑΚΟΡ ΚΥΚΛΟΦΟΡΗΤΗ</v>
      </c>
      <c r="N611" s="2" t="str">
        <f>IFERROR(VLOOKUP(ROWS($N$2:N611),$D$2:$E$1996,2,0),"")</f>
        <v>1''</v>
      </c>
    </row>
    <row r="612" spans="1:14">
      <c r="A612" s="5">
        <v>18</v>
      </c>
      <c r="B612" s="32">
        <f>IF(ISNUMBER(SEARCH('Φόρμα Εισαγωγής'!$B$2,C612)),MAX($B$1:B611)+1,0)</f>
        <v>611</v>
      </c>
      <c r="C612" s="5" t="s">
        <v>398</v>
      </c>
      <c r="D612" s="33">
        <f>IF(ISNUMBER(SEARCH('Φόρμα Εισαγωγής'!$C$2,E612)),MAX($D$1:D611)+1,0)</f>
        <v>611</v>
      </c>
      <c r="E612" s="5" t="s">
        <v>35</v>
      </c>
      <c r="F612" s="5">
        <v>5.2</v>
      </c>
      <c r="G612" s="5">
        <v>7.28</v>
      </c>
      <c r="H612" s="6">
        <f t="shared" si="36"/>
        <v>9.0272000000000006</v>
      </c>
      <c r="I612" s="6">
        <f t="shared" si="37"/>
        <v>93.600000000000009</v>
      </c>
      <c r="J612" s="6">
        <f t="shared" si="38"/>
        <v>162.4896</v>
      </c>
      <c r="L612" s="4" t="str">
        <f>IFERROR(VLOOKUP(ROWS($L$2:L612),$B$2:$C$1996,2,0),"")</f>
        <v>ΡΑΚΟΡ ΚΥΚΛΟΦΟΡΗΤΗ</v>
      </c>
      <c r="N612" s="2" t="str">
        <f>IFERROR(VLOOKUP(ROWS($N$2:N612),$D$2:$E$1996,2,0),"")</f>
        <v>1 1/4''</v>
      </c>
    </row>
    <row r="613" spans="1:14">
      <c r="A613" s="5">
        <v>5</v>
      </c>
      <c r="B613" s="32">
        <f>IF(ISNUMBER(SEARCH('Φόρμα Εισαγωγής'!$B$2,C613)),MAX($B$1:B612)+1,0)</f>
        <v>612</v>
      </c>
      <c r="C613" s="5" t="s">
        <v>398</v>
      </c>
      <c r="D613" s="33">
        <f>IF(ISNUMBER(SEARCH('Φόρμα Εισαγωγής'!$C$2,E613)),MAX($D$1:D612)+1,0)</f>
        <v>612</v>
      </c>
      <c r="E613" s="5" t="s">
        <v>36</v>
      </c>
      <c r="H613" s="6">
        <f t="shared" si="36"/>
        <v>0</v>
      </c>
      <c r="I613" s="6">
        <f t="shared" si="37"/>
        <v>0</v>
      </c>
      <c r="J613" s="6">
        <f t="shared" si="38"/>
        <v>0</v>
      </c>
      <c r="L613" s="4" t="str">
        <f>IFERROR(VLOOKUP(ROWS($L$2:L613),$B$2:$C$1996,2,0),"")</f>
        <v>ΡΑΚΟΡ ΚΥΚΛΟΦΟΡΗΤΗ</v>
      </c>
      <c r="N613" s="2" t="str">
        <f>IFERROR(VLOOKUP(ROWS($N$2:N613),$D$2:$E$1996,2,0),"")</f>
        <v>1 1/2''</v>
      </c>
    </row>
    <row r="614" spans="1:14">
      <c r="A614" s="5">
        <v>6</v>
      </c>
      <c r="B614" s="32">
        <f>IF(ISNUMBER(SEARCH('Φόρμα Εισαγωγής'!$B$2,C614)),MAX($B$1:B613)+1,0)</f>
        <v>613</v>
      </c>
      <c r="C614" s="5" t="s">
        <v>756</v>
      </c>
      <c r="D614" s="33">
        <f>IF(ISNUMBER(SEARCH('Φόρμα Εισαγωγής'!$C$2,E614)),MAX($D$1:D613)+1,0)</f>
        <v>613</v>
      </c>
      <c r="E614" s="5" t="s">
        <v>399</v>
      </c>
      <c r="F614" s="5">
        <v>14.54</v>
      </c>
      <c r="G614" s="5">
        <v>20</v>
      </c>
      <c r="H614" s="6">
        <f t="shared" si="36"/>
        <v>24.8</v>
      </c>
      <c r="I614" s="6">
        <f t="shared" si="37"/>
        <v>87.24</v>
      </c>
      <c r="J614" s="6">
        <f t="shared" si="38"/>
        <v>148.80000000000001</v>
      </c>
      <c r="L614" s="4" t="str">
        <f>IFERROR(VLOOKUP(ROWS($L$2:L614),$B$2:$C$1996,2,0),"")</f>
        <v>ΔΟΧΕΙΟ ΔΙΑΣΤΟΛΗΣ REFLEX</v>
      </c>
      <c r="N614" s="2" t="str">
        <f>IFERROR(VLOOKUP(ROWS($N$2:N614),$D$2:$E$1996,2,0),"")</f>
        <v>NG 12</v>
      </c>
    </row>
    <row r="615" spans="1:14">
      <c r="A615" s="5">
        <v>6</v>
      </c>
      <c r="B615" s="32">
        <f>IF(ISNUMBER(SEARCH('Φόρμα Εισαγωγής'!$B$2,C615)),MAX($B$1:B614)+1,0)</f>
        <v>614</v>
      </c>
      <c r="C615" s="5" t="s">
        <v>756</v>
      </c>
      <c r="D615" s="33">
        <f>IF(ISNUMBER(SEARCH('Φόρμα Εισαγωγής'!$C$2,E615)),MAX($D$1:D614)+1,0)</f>
        <v>614</v>
      </c>
      <c r="E615" s="5" t="s">
        <v>400</v>
      </c>
      <c r="F615" s="5">
        <v>15.96</v>
      </c>
      <c r="G615" s="5">
        <v>22.5</v>
      </c>
      <c r="H615" s="6">
        <f t="shared" si="36"/>
        <v>27.9</v>
      </c>
      <c r="I615" s="6">
        <f t="shared" si="37"/>
        <v>95.76</v>
      </c>
      <c r="J615" s="6">
        <f t="shared" si="38"/>
        <v>167.39999999999998</v>
      </c>
      <c r="L615" s="4" t="str">
        <f>IFERROR(VLOOKUP(ROWS($L$2:L615),$B$2:$C$1996,2,0),"")</f>
        <v>ΔΟΧΕΙΟ ΔΙΑΣΤΟΛΗΣ REFLEX</v>
      </c>
      <c r="N615" s="2" t="str">
        <f>IFERROR(VLOOKUP(ROWS($N$2:N615),$D$2:$E$1996,2,0),"")</f>
        <v>NG 18</v>
      </c>
    </row>
    <row r="616" spans="1:14">
      <c r="A616" s="5">
        <v>4</v>
      </c>
      <c r="B616" s="32">
        <f>IF(ISNUMBER(SEARCH('Φόρμα Εισαγωγής'!$B$2,C616)),MAX($B$1:B615)+1,0)</f>
        <v>615</v>
      </c>
      <c r="C616" s="5" t="s">
        <v>756</v>
      </c>
      <c r="D616" s="33">
        <f>IF(ISNUMBER(SEARCH('Φόρμα Εισαγωγής'!$C$2,E616)),MAX($D$1:D615)+1,0)</f>
        <v>615</v>
      </c>
      <c r="E616" s="5" t="s">
        <v>401</v>
      </c>
      <c r="F616" s="5">
        <v>17.440000000000001</v>
      </c>
      <c r="G616" s="5">
        <v>24.5</v>
      </c>
      <c r="H616" s="6">
        <f t="shared" si="36"/>
        <v>30.38</v>
      </c>
      <c r="I616" s="6">
        <f t="shared" si="37"/>
        <v>69.760000000000005</v>
      </c>
      <c r="J616" s="6">
        <f t="shared" si="38"/>
        <v>121.52</v>
      </c>
      <c r="L616" s="4" t="str">
        <f>IFERROR(VLOOKUP(ROWS($L$2:L616),$B$2:$C$1996,2,0),"")</f>
        <v>ΔΟΧΕΙΟ ΔΙΑΣΤΟΛΗΣ REFLEX</v>
      </c>
      <c r="N616" s="2" t="str">
        <f>IFERROR(VLOOKUP(ROWS($N$2:N616),$D$2:$E$1996,2,0),"")</f>
        <v>NG 25</v>
      </c>
    </row>
    <row r="617" spans="1:14">
      <c r="A617" s="5">
        <v>3</v>
      </c>
      <c r="B617" s="32">
        <f>IF(ISNUMBER(SEARCH('Φόρμα Εισαγωγής'!$B$2,C617)),MAX($B$1:B616)+1,0)</f>
        <v>616</v>
      </c>
      <c r="C617" s="5" t="s">
        <v>756</v>
      </c>
      <c r="D617" s="33">
        <f>IF(ISNUMBER(SEARCH('Φόρμα Εισαγωγής'!$C$2,E617)),MAX($D$1:D616)+1,0)</f>
        <v>616</v>
      </c>
      <c r="E617" s="5" t="s">
        <v>402</v>
      </c>
      <c r="F617" s="5">
        <v>26.16</v>
      </c>
      <c r="G617" s="5">
        <v>36.5</v>
      </c>
      <c r="H617" s="6">
        <f t="shared" si="36"/>
        <v>45.26</v>
      </c>
      <c r="I617" s="6">
        <f t="shared" si="37"/>
        <v>78.48</v>
      </c>
      <c r="J617" s="6">
        <f t="shared" si="38"/>
        <v>135.78</v>
      </c>
      <c r="L617" s="4" t="str">
        <f>IFERROR(VLOOKUP(ROWS($L$2:L617),$B$2:$C$1996,2,0),"")</f>
        <v>ΔΟΧΕΙΟ ΔΙΑΣΤΟΛΗΣ REFLEX</v>
      </c>
      <c r="N617" s="2" t="str">
        <f>IFERROR(VLOOKUP(ROWS($N$2:N617),$D$2:$E$1996,2,0),"")</f>
        <v>NG 35</v>
      </c>
    </row>
    <row r="618" spans="1:14">
      <c r="A618" s="5">
        <v>1</v>
      </c>
      <c r="B618" s="32">
        <f>IF(ISNUMBER(SEARCH('Φόρμα Εισαγωγής'!$B$2,C618)),MAX($B$1:B617)+1,0)</f>
        <v>617</v>
      </c>
      <c r="C618" s="5" t="s">
        <v>756</v>
      </c>
      <c r="D618" s="33">
        <f>IF(ISNUMBER(SEARCH('Φόρμα Εισαγωγής'!$C$2,E618)),MAX($D$1:D617)+1,0)</f>
        <v>617</v>
      </c>
      <c r="E618" s="5" t="s">
        <v>403</v>
      </c>
      <c r="F618" s="5">
        <v>37.049999999999997</v>
      </c>
      <c r="G618" s="5">
        <v>52</v>
      </c>
      <c r="H618" s="6">
        <f t="shared" si="36"/>
        <v>64.48</v>
      </c>
      <c r="I618" s="6">
        <f t="shared" si="37"/>
        <v>37.049999999999997</v>
      </c>
      <c r="J618" s="6">
        <f t="shared" si="38"/>
        <v>64.48</v>
      </c>
      <c r="L618" s="4" t="str">
        <f>IFERROR(VLOOKUP(ROWS($L$2:L618),$B$2:$C$1996,2,0),"")</f>
        <v>ΔΟΧΕΙΟ ΔΙΑΣΤΟΛΗΣ REFLEX</v>
      </c>
      <c r="N618" s="2" t="str">
        <f>IFERROR(VLOOKUP(ROWS($N$2:N618),$D$2:$E$1996,2,0),"")</f>
        <v>NG 50</v>
      </c>
    </row>
    <row r="619" spans="1:14">
      <c r="A619" s="5">
        <v>2</v>
      </c>
      <c r="B619" s="32">
        <f>IF(ISNUMBER(SEARCH('Φόρμα Εισαγωγής'!$B$2,C619)),MAX($B$1:B618)+1,0)</f>
        <v>618</v>
      </c>
      <c r="C619" s="5" t="s">
        <v>756</v>
      </c>
      <c r="D619" s="33">
        <f>IF(ISNUMBER(SEARCH('Φόρμα Εισαγωγής'!$C$2,E619)),MAX($D$1:D618)+1,0)</f>
        <v>618</v>
      </c>
      <c r="E619" s="5" t="s">
        <v>404</v>
      </c>
      <c r="F619" s="5">
        <v>52.44</v>
      </c>
      <c r="G619" s="5">
        <v>73.5</v>
      </c>
      <c r="H619" s="6">
        <f t="shared" si="36"/>
        <v>91.14</v>
      </c>
      <c r="I619" s="6">
        <f t="shared" si="37"/>
        <v>104.88</v>
      </c>
      <c r="J619" s="6">
        <f t="shared" si="38"/>
        <v>182.28</v>
      </c>
      <c r="L619" s="4" t="str">
        <f>IFERROR(VLOOKUP(ROWS($L$2:L619),$B$2:$C$1996,2,0),"")</f>
        <v>ΔΟΧΕΙΟ ΔΙΑΣΤΟΛΗΣ REFLEX</v>
      </c>
      <c r="N619" s="2" t="str">
        <f>IFERROR(VLOOKUP(ROWS($N$2:N619),$D$2:$E$1996,2,0),"")</f>
        <v>NG 80</v>
      </c>
    </row>
    <row r="620" spans="1:14">
      <c r="A620" s="5">
        <v>1</v>
      </c>
      <c r="B620" s="32">
        <f>IF(ISNUMBER(SEARCH('Φόρμα Εισαγωγής'!$B$2,C620)),MAX($B$1:B619)+1,0)</f>
        <v>619</v>
      </c>
      <c r="C620" s="5" t="s">
        <v>756</v>
      </c>
      <c r="D620" s="33">
        <f>IF(ISNUMBER(SEARCH('Φόρμα Εισαγωγής'!$C$2,E620)),MAX($D$1:D619)+1,0)</f>
        <v>619</v>
      </c>
      <c r="E620" s="5" t="s">
        <v>405</v>
      </c>
      <c r="F620" s="5">
        <v>78.66</v>
      </c>
      <c r="G620" s="5">
        <v>110</v>
      </c>
      <c r="H620" s="6">
        <f t="shared" si="36"/>
        <v>136.4</v>
      </c>
      <c r="I620" s="6">
        <f t="shared" si="37"/>
        <v>78.66</v>
      </c>
      <c r="J620" s="6">
        <f t="shared" si="38"/>
        <v>136.4</v>
      </c>
      <c r="L620" s="4" t="str">
        <f>IFERROR(VLOOKUP(ROWS($L$2:L620),$B$2:$C$1996,2,0),"")</f>
        <v>ΔΟΧΕΙΟ ΔΙΑΣΤΟΛΗΣ REFLEX</v>
      </c>
      <c r="N620" s="2" t="str">
        <f>IFERROR(VLOOKUP(ROWS($N$2:N620),$D$2:$E$1996,2,0),"")</f>
        <v>NG 100</v>
      </c>
    </row>
    <row r="621" spans="1:14">
      <c r="A621" s="5">
        <v>2</v>
      </c>
      <c r="B621" s="32">
        <f>IF(ISNUMBER(SEARCH('Φόρμα Εισαγωγής'!$B$2,C621)),MAX($B$1:B620)+1,0)</f>
        <v>620</v>
      </c>
      <c r="C621" s="5" t="s">
        <v>756</v>
      </c>
      <c r="D621" s="33">
        <f>IF(ISNUMBER(SEARCH('Φόρμα Εισαγωγής'!$C$2,E621)),MAX($D$1:D620)+1,0)</f>
        <v>620</v>
      </c>
      <c r="E621" s="5" t="s">
        <v>406</v>
      </c>
      <c r="F621" s="5">
        <v>31.92</v>
      </c>
      <c r="G621" s="5">
        <v>44.7</v>
      </c>
      <c r="H621" s="6">
        <f t="shared" si="36"/>
        <v>55.428000000000004</v>
      </c>
      <c r="I621" s="6">
        <f t="shared" si="37"/>
        <v>63.84</v>
      </c>
      <c r="J621" s="6">
        <f t="shared" si="38"/>
        <v>110.85600000000001</v>
      </c>
      <c r="L621" s="4" t="str">
        <f>IFERROR(VLOOKUP(ROWS($L$2:L621),$B$2:$C$1996,2,0),"")</f>
        <v>ΔΟΧΕΙΟ ΔΙΑΣΤΟΛΗΣ REFLEX</v>
      </c>
      <c r="N621" s="2" t="str">
        <f>IFERROR(VLOOKUP(ROWS($N$2:N621),$D$2:$E$1996,2,0),"")</f>
        <v>S 12</v>
      </c>
    </row>
    <row r="622" spans="1:14">
      <c r="A622" s="5">
        <v>1</v>
      </c>
      <c r="B622" s="32">
        <f>IF(ISNUMBER(SEARCH('Φόρμα Εισαγωγής'!$B$2,C622)),MAX($B$1:B621)+1,0)</f>
        <v>621</v>
      </c>
      <c r="C622" s="5" t="s">
        <v>756</v>
      </c>
      <c r="D622" s="33">
        <f>IF(ISNUMBER(SEARCH('Φόρμα Εισαγωγής'!$C$2,E622)),MAX($D$1:D621)+1,0)</f>
        <v>621</v>
      </c>
      <c r="E622" s="5" t="s">
        <v>407</v>
      </c>
      <c r="F622" s="5">
        <v>34.770000000000003</v>
      </c>
      <c r="G622" s="5">
        <v>48.7</v>
      </c>
      <c r="H622" s="6">
        <f t="shared" si="36"/>
        <v>60.388000000000005</v>
      </c>
      <c r="I622" s="6">
        <f t="shared" si="37"/>
        <v>34.770000000000003</v>
      </c>
      <c r="J622" s="6">
        <f t="shared" si="38"/>
        <v>60.388000000000005</v>
      </c>
      <c r="L622" s="4" t="str">
        <f>IFERROR(VLOOKUP(ROWS($L$2:L622),$B$2:$C$1996,2,0),"")</f>
        <v>ΔΟΧΕΙΟ ΔΙΑΣΤΟΛΗΣ REFLEX</v>
      </c>
      <c r="N622" s="2" t="str">
        <f>IFERROR(VLOOKUP(ROWS($N$2:N622),$D$2:$E$1996,2,0),"")</f>
        <v>S 18</v>
      </c>
    </row>
    <row r="623" spans="1:14">
      <c r="A623" s="5">
        <v>1</v>
      </c>
      <c r="B623" s="32">
        <f>IF(ISNUMBER(SEARCH('Φόρμα Εισαγωγής'!$B$2,C623)),MAX($B$1:B622)+1,0)</f>
        <v>622</v>
      </c>
      <c r="C623" s="5" t="s">
        <v>756</v>
      </c>
      <c r="D623" s="33">
        <f>IF(ISNUMBER(SEARCH('Φόρμα Εισαγωγής'!$C$2,E623)),MAX($D$1:D622)+1,0)</f>
        <v>622</v>
      </c>
      <c r="E623" s="5" t="s">
        <v>408</v>
      </c>
      <c r="F623" s="5">
        <v>60.42</v>
      </c>
      <c r="G623" s="5">
        <v>85</v>
      </c>
      <c r="H623" s="6">
        <f t="shared" si="36"/>
        <v>105.4</v>
      </c>
      <c r="I623" s="6">
        <f t="shared" si="37"/>
        <v>60.42</v>
      </c>
      <c r="J623" s="6">
        <f t="shared" si="38"/>
        <v>105.4</v>
      </c>
      <c r="L623" s="4" t="str">
        <f>IFERROR(VLOOKUP(ROWS($L$2:L623),$B$2:$C$1996,2,0),"")</f>
        <v>ΔΟΧΕΙΟ ΔΙΑΣΤΟΛΗΣ REFLEX</v>
      </c>
      <c r="N623" s="2" t="str">
        <f>IFERROR(VLOOKUP(ROWS($N$2:N623),$D$2:$E$1996,2,0),"")</f>
        <v>S 33</v>
      </c>
    </row>
    <row r="624" spans="1:14">
      <c r="A624" s="5">
        <v>2</v>
      </c>
      <c r="B624" s="32">
        <f>IF(ISNUMBER(SEARCH('Φόρμα Εισαγωγής'!$B$2,C624)),MAX($B$1:B623)+1,0)</f>
        <v>623</v>
      </c>
      <c r="C624" s="5" t="s">
        <v>756</v>
      </c>
      <c r="D624" s="33">
        <f>IF(ISNUMBER(SEARCH('Φόρμα Εισαγωγής'!$C$2,E624)),MAX($D$1:D623)+1,0)</f>
        <v>623</v>
      </c>
      <c r="E624" s="5" t="s">
        <v>409</v>
      </c>
      <c r="F624" s="5">
        <v>30.78</v>
      </c>
      <c r="G624" s="5">
        <v>43</v>
      </c>
      <c r="H624" s="6">
        <f t="shared" si="36"/>
        <v>53.32</v>
      </c>
      <c r="I624" s="6">
        <f t="shared" si="37"/>
        <v>61.56</v>
      </c>
      <c r="J624" s="6">
        <f t="shared" si="38"/>
        <v>106.64</v>
      </c>
      <c r="L624" s="4" t="str">
        <f>IFERROR(VLOOKUP(ROWS($L$2:L624),$B$2:$C$1996,2,0),"")</f>
        <v>ΔΟΧΕΙΟ ΔΙΑΣΤΟΛΗΣ REFLEX</v>
      </c>
      <c r="N624" s="2" t="str">
        <f>IFERROR(VLOOKUP(ROWS($N$2:N624),$D$2:$E$1996,2,0),"")</f>
        <v>DD 8</v>
      </c>
    </row>
    <row r="625" spans="1:14">
      <c r="A625" s="5">
        <v>1</v>
      </c>
      <c r="B625" s="32">
        <f>IF(ISNUMBER(SEARCH('Φόρμα Εισαγωγής'!$B$2,C625)),MAX($B$1:B624)+1,0)</f>
        <v>624</v>
      </c>
      <c r="C625" s="5" t="s">
        <v>756</v>
      </c>
      <c r="D625" s="33">
        <f>IF(ISNUMBER(SEARCH('Φόρμα Εισαγωγής'!$C$2,E625)),MAX($D$1:D624)+1,0)</f>
        <v>624</v>
      </c>
      <c r="E625" s="5" t="s">
        <v>410</v>
      </c>
      <c r="F625" s="5">
        <v>33.06</v>
      </c>
      <c r="G625" s="5">
        <v>46.5</v>
      </c>
      <c r="H625" s="6">
        <f t="shared" si="36"/>
        <v>57.66</v>
      </c>
      <c r="I625" s="6">
        <f t="shared" si="37"/>
        <v>33.06</v>
      </c>
      <c r="J625" s="6">
        <f t="shared" si="38"/>
        <v>57.66</v>
      </c>
      <c r="L625" s="4" t="str">
        <f>IFERROR(VLOOKUP(ROWS($L$2:L625),$B$2:$C$1996,2,0),"")</f>
        <v>ΔΟΧΕΙΟ ΔΙΑΣΤΟΛΗΣ REFLEX</v>
      </c>
      <c r="N625" s="2" t="str">
        <f>IFERROR(VLOOKUP(ROWS($N$2:N625),$D$2:$E$1996,2,0),"")</f>
        <v>DD 12</v>
      </c>
    </row>
    <row r="626" spans="1:14">
      <c r="A626" s="5">
        <v>1</v>
      </c>
      <c r="B626" s="32">
        <f>IF(ISNUMBER(SEARCH('Φόρμα Εισαγωγής'!$B$2,C626)),MAX($B$1:B625)+1,0)</f>
        <v>625</v>
      </c>
      <c r="C626" s="5" t="s">
        <v>756</v>
      </c>
      <c r="D626" s="33">
        <f>IF(ISNUMBER(SEARCH('Φόρμα Εισαγωγής'!$C$2,E626)),MAX($D$1:D625)+1,0)</f>
        <v>625</v>
      </c>
      <c r="E626" s="5" t="s">
        <v>411</v>
      </c>
      <c r="F626" s="5">
        <v>37.049999999999997</v>
      </c>
      <c r="G626" s="5">
        <v>52</v>
      </c>
      <c r="H626" s="6">
        <f t="shared" si="36"/>
        <v>64.48</v>
      </c>
      <c r="I626" s="6">
        <f t="shared" si="37"/>
        <v>37.049999999999997</v>
      </c>
      <c r="J626" s="6">
        <f t="shared" si="38"/>
        <v>64.48</v>
      </c>
      <c r="L626" s="4" t="str">
        <f>IFERROR(VLOOKUP(ROWS($L$2:L626),$B$2:$C$1996,2,0),"")</f>
        <v>ΔΟΧΕΙΟ ΔΙΑΣΤΟΛΗΣ REFLEX</v>
      </c>
      <c r="N626" s="2" t="str">
        <f>IFERROR(VLOOKUP(ROWS($N$2:N626),$D$2:$E$1996,2,0),"")</f>
        <v>DD 18</v>
      </c>
    </row>
    <row r="627" spans="1:14">
      <c r="A627" s="5">
        <v>2</v>
      </c>
      <c r="B627" s="32">
        <f>IF(ISNUMBER(SEARCH('Φόρμα Εισαγωγής'!$B$2,C627)),MAX($B$1:B626)+1,0)</f>
        <v>626</v>
      </c>
      <c r="C627" s="5" t="s">
        <v>756</v>
      </c>
      <c r="D627" s="33">
        <f>IF(ISNUMBER(SEARCH('Φόρμα Εισαγωγής'!$C$2,E627)),MAX($D$1:D626)+1,0)</f>
        <v>626</v>
      </c>
      <c r="E627" s="5" t="s">
        <v>412</v>
      </c>
      <c r="F627" s="5">
        <v>41.61</v>
      </c>
      <c r="G627" s="5">
        <v>60</v>
      </c>
      <c r="H627" s="6">
        <f t="shared" si="36"/>
        <v>74.400000000000006</v>
      </c>
      <c r="I627" s="6">
        <f t="shared" si="37"/>
        <v>83.22</v>
      </c>
      <c r="J627" s="6">
        <f t="shared" si="38"/>
        <v>148.80000000000001</v>
      </c>
      <c r="L627" s="4" t="str">
        <f>IFERROR(VLOOKUP(ROWS($L$2:L627),$B$2:$C$1996,2,0),"")</f>
        <v>ΔΟΧΕΙΟ ΔΙΑΣΤΟΛΗΣ REFLEX</v>
      </c>
      <c r="N627" s="2" t="str">
        <f>IFERROR(VLOOKUP(ROWS($N$2:N627),$D$2:$E$1996,2,0),"")</f>
        <v>DE 25</v>
      </c>
    </row>
    <row r="628" spans="1:14">
      <c r="A628" s="5">
        <v>1</v>
      </c>
      <c r="B628" s="32">
        <f>IF(ISNUMBER(SEARCH('Φόρμα Εισαγωγής'!$B$2,C628)),MAX($B$1:B627)+1,0)</f>
        <v>627</v>
      </c>
      <c r="C628" s="5" t="s">
        <v>756</v>
      </c>
      <c r="D628" s="33">
        <f>IF(ISNUMBER(SEARCH('Φόρμα Εισαγωγής'!$C$2,E628)),MAX($D$1:D627)+1,0)</f>
        <v>627</v>
      </c>
      <c r="E628" s="5" t="s">
        <v>413</v>
      </c>
      <c r="F628" s="5">
        <v>55.29</v>
      </c>
      <c r="G628" s="5">
        <v>77.5</v>
      </c>
      <c r="H628" s="6">
        <f t="shared" si="36"/>
        <v>96.1</v>
      </c>
      <c r="I628" s="6">
        <f t="shared" si="37"/>
        <v>55.29</v>
      </c>
      <c r="J628" s="6">
        <f t="shared" si="38"/>
        <v>96.1</v>
      </c>
      <c r="L628" s="4" t="str">
        <f>IFERROR(VLOOKUP(ROWS($L$2:L628),$B$2:$C$1996,2,0),"")</f>
        <v>ΔΟΧΕΙΟ ΔΙΑΣΤΟΛΗΣ REFLEX</v>
      </c>
      <c r="N628" s="2" t="str">
        <f>IFERROR(VLOOKUP(ROWS($N$2:N628),$D$2:$E$1996,2,0),"")</f>
        <v>DE 33</v>
      </c>
    </row>
    <row r="629" spans="1:14">
      <c r="A629" s="5">
        <v>1</v>
      </c>
      <c r="B629" s="32">
        <f>IF(ISNUMBER(SEARCH('Φόρμα Εισαγωγής'!$B$2,C629)),MAX($B$1:B628)+1,0)</f>
        <v>628</v>
      </c>
      <c r="C629" s="5" t="s">
        <v>756</v>
      </c>
      <c r="D629" s="33">
        <f>IF(ISNUMBER(SEARCH('Φόρμα Εισαγωγής'!$C$2,E629)),MAX($D$1:D628)+1,0)</f>
        <v>628</v>
      </c>
      <c r="E629" s="5" t="s">
        <v>414</v>
      </c>
      <c r="F629" s="5">
        <v>86.64</v>
      </c>
      <c r="G629" s="5">
        <v>122</v>
      </c>
      <c r="H629" s="6">
        <f t="shared" si="36"/>
        <v>151.28</v>
      </c>
      <c r="I629" s="6">
        <f t="shared" si="37"/>
        <v>86.64</v>
      </c>
      <c r="J629" s="6">
        <f t="shared" si="38"/>
        <v>151.28</v>
      </c>
      <c r="L629" s="4" t="str">
        <f>IFERROR(VLOOKUP(ROWS($L$2:L629),$B$2:$C$1996,2,0),"")</f>
        <v>ΔΟΧΕΙΟ ΔΙΑΣΤΟΛΗΣ REFLEX</v>
      </c>
      <c r="N629" s="2" t="str">
        <f>IFERROR(VLOOKUP(ROWS($N$2:N629),$D$2:$E$1996,2,0),"")</f>
        <v>DE 60</v>
      </c>
    </row>
    <row r="630" spans="1:14">
      <c r="A630" s="5">
        <v>2</v>
      </c>
      <c r="B630" s="32">
        <f>IF(ISNUMBER(SEARCH('Φόρμα Εισαγωγής'!$B$2,C630)),MAX($B$1:B629)+1,0)</f>
        <v>629</v>
      </c>
      <c r="C630" s="5" t="s">
        <v>756</v>
      </c>
      <c r="D630" s="33">
        <f>IF(ISNUMBER(SEARCH('Φόρμα Εισαγωγής'!$C$2,E630)),MAX($D$1:D629)+1,0)</f>
        <v>629</v>
      </c>
      <c r="E630" s="5" t="s">
        <v>415</v>
      </c>
      <c r="F630" s="5">
        <v>19.95</v>
      </c>
      <c r="G630" s="5">
        <v>28</v>
      </c>
      <c r="H630" s="6">
        <f t="shared" si="36"/>
        <v>34.72</v>
      </c>
      <c r="I630" s="6">
        <f t="shared" si="37"/>
        <v>39.9</v>
      </c>
      <c r="J630" s="6">
        <f t="shared" si="38"/>
        <v>69.44</v>
      </c>
      <c r="L630" s="4" t="str">
        <f>IFERROR(VLOOKUP(ROWS($L$2:L630),$B$2:$C$1996,2,0),"")</f>
        <v>ΔΟΧΕΙΟ ΔΙΑΣΤΟΛΗΣ REFLEX</v>
      </c>
      <c r="N630" s="2" t="str">
        <f>IFERROR(VLOOKUP(ROWS($N$2:N630),$D$2:$E$1996,2,0),"")</f>
        <v>HW 25</v>
      </c>
    </row>
    <row r="631" spans="1:14">
      <c r="A631" s="5">
        <v>1</v>
      </c>
      <c r="B631" s="32">
        <f>IF(ISNUMBER(SEARCH('Φόρμα Εισαγωγής'!$B$2,C631)),MAX($B$1:B630)+1,0)</f>
        <v>630</v>
      </c>
      <c r="C631" s="5" t="s">
        <v>756</v>
      </c>
      <c r="D631" s="33">
        <f>IF(ISNUMBER(SEARCH('Φόρμα Εισαγωγής'!$C$2,E631)),MAX($D$1:D630)+1,0)</f>
        <v>630</v>
      </c>
      <c r="E631" s="5" t="s">
        <v>416</v>
      </c>
      <c r="F631" s="5">
        <v>21.5</v>
      </c>
      <c r="G631" s="5">
        <v>30</v>
      </c>
      <c r="H631" s="6">
        <f t="shared" si="36"/>
        <v>37.200000000000003</v>
      </c>
      <c r="I631" s="6">
        <f t="shared" si="37"/>
        <v>21.5</v>
      </c>
      <c r="J631" s="6">
        <f t="shared" si="38"/>
        <v>37.200000000000003</v>
      </c>
      <c r="L631" s="4" t="str">
        <f>IFERROR(VLOOKUP(ROWS($L$2:L631),$B$2:$C$1996,2,0),"")</f>
        <v>ΔΟΧΕΙΟ ΔΙΑΣΤΟΛΗΣ REFLEX</v>
      </c>
      <c r="N631" s="2" t="str">
        <f>IFERROR(VLOOKUP(ROWS($N$2:N631),$D$2:$E$1996,2,0),"")</f>
        <v>ΠΛΑΚΕ ΣΤΡ. 9L</v>
      </c>
    </row>
    <row r="632" spans="1:14">
      <c r="A632" s="5">
        <v>1</v>
      </c>
      <c r="B632" s="32">
        <f>IF(ISNUMBER(SEARCH('Φόρμα Εισαγωγής'!$B$2,C632)),MAX($B$1:B631)+1,0)</f>
        <v>631</v>
      </c>
      <c r="C632" s="5" t="s">
        <v>756</v>
      </c>
      <c r="D632" s="33">
        <f>IF(ISNUMBER(SEARCH('Φόρμα Εισαγωγής'!$C$2,E632)),MAX($D$1:D631)+1,0)</f>
        <v>631</v>
      </c>
      <c r="E632" s="5" t="s">
        <v>417</v>
      </c>
      <c r="F632" s="5">
        <v>23.8</v>
      </c>
      <c r="G632" s="5">
        <v>33.5</v>
      </c>
      <c r="H632" s="6">
        <f t="shared" si="36"/>
        <v>41.54</v>
      </c>
      <c r="I632" s="6">
        <f t="shared" si="37"/>
        <v>23.8</v>
      </c>
      <c r="J632" s="6">
        <f t="shared" si="38"/>
        <v>41.54</v>
      </c>
      <c r="L632" s="4" t="str">
        <f>IFERROR(VLOOKUP(ROWS($L$2:L632),$B$2:$C$1996,2,0),"")</f>
        <v>ΔΟΧΕΙΟ ΔΙΑΣΤΟΛΗΣ REFLEX</v>
      </c>
      <c r="N632" s="2" t="str">
        <f>IFERROR(VLOOKUP(ROWS($N$2:N632),$D$2:$E$1996,2,0),"")</f>
        <v>ΠΛΑΚΕ ΟΡΘ. 8L</v>
      </c>
    </row>
    <row r="633" spans="1:14">
      <c r="A633" s="5">
        <v>1</v>
      </c>
      <c r="B633" s="32">
        <f>IF(ISNUMBER(SEARCH('Φόρμα Εισαγωγής'!$B$2,C633)),MAX($B$1:B632)+1,0)</f>
        <v>632</v>
      </c>
      <c r="C633" s="5" t="s">
        <v>418</v>
      </c>
      <c r="D633" s="33">
        <f>IF(ISNUMBER(SEARCH('Φόρμα Εισαγωγής'!$C$2,E633)),MAX($D$1:D632)+1,0)</f>
        <v>632</v>
      </c>
      <c r="E633" s="5" t="s">
        <v>419</v>
      </c>
      <c r="F633" s="5">
        <v>43.25</v>
      </c>
      <c r="G633" s="5">
        <v>60.5</v>
      </c>
      <c r="H633" s="6">
        <f t="shared" si="36"/>
        <v>75.02</v>
      </c>
      <c r="I633" s="6">
        <f t="shared" si="37"/>
        <v>43.25</v>
      </c>
      <c r="J633" s="6">
        <f t="shared" si="38"/>
        <v>75.02</v>
      </c>
      <c r="L633" s="4" t="str">
        <f>IFERROR(VLOOKUP(ROWS($L$2:L633),$B$2:$C$1996,2,0),"")</f>
        <v>ΣΩΜΑ COPA</v>
      </c>
      <c r="N633" s="2" t="str">
        <f>IFERROR(VLOOKUP(ROWS($N$2:N633),$D$2:$E$1996,2,0),"")</f>
        <v>22/900/700</v>
      </c>
    </row>
    <row r="634" spans="1:14">
      <c r="A634" s="5">
        <v>1</v>
      </c>
      <c r="B634" s="32">
        <f>IF(ISNUMBER(SEARCH('Φόρμα Εισαγωγής'!$B$2,C634)),MAX($B$1:B633)+1,0)</f>
        <v>633</v>
      </c>
      <c r="C634" s="5" t="s">
        <v>757</v>
      </c>
      <c r="D634" s="33">
        <f>IF(ISNUMBER(SEARCH('Φόρμα Εισαγωγής'!$C$2,E634)),MAX($D$1:D633)+1,0)</f>
        <v>633</v>
      </c>
      <c r="E634" s="5" t="s">
        <v>420</v>
      </c>
      <c r="F634" s="5">
        <v>28.3</v>
      </c>
      <c r="G634" s="5">
        <v>40</v>
      </c>
      <c r="H634" s="6">
        <f t="shared" si="36"/>
        <v>49.6</v>
      </c>
      <c r="I634" s="6">
        <f t="shared" si="37"/>
        <v>28.3</v>
      </c>
      <c r="J634" s="6">
        <f t="shared" si="38"/>
        <v>49.6</v>
      </c>
      <c r="L634" s="4" t="str">
        <f>IFERROR(VLOOKUP(ROWS($L$2:L634),$B$2:$C$1996,2,0),"")</f>
        <v>ΣΩΜΑ SPLENDID</v>
      </c>
      <c r="N634" s="2" t="str">
        <f>IFERROR(VLOOKUP(ROWS($N$2:N634),$D$2:$E$1996,2,0),"")</f>
        <v>22/600/700</v>
      </c>
    </row>
    <row r="635" spans="1:14">
      <c r="A635" s="5">
        <v>1</v>
      </c>
      <c r="B635" s="32">
        <f>IF(ISNUMBER(SEARCH('Φόρμα Εισαγωγής'!$B$2,C635)),MAX($B$1:B634)+1,0)</f>
        <v>634</v>
      </c>
      <c r="C635" s="5" t="s">
        <v>757</v>
      </c>
      <c r="D635" s="33">
        <f>IF(ISNUMBER(SEARCH('Φόρμα Εισαγωγής'!$C$2,E635)),MAX($D$1:D634)+1,0)</f>
        <v>634</v>
      </c>
      <c r="E635" s="5" t="s">
        <v>419</v>
      </c>
      <c r="F635" s="5">
        <v>40.549999999999997</v>
      </c>
      <c r="G635" s="5">
        <v>57</v>
      </c>
      <c r="H635" s="6">
        <f t="shared" si="36"/>
        <v>70.680000000000007</v>
      </c>
      <c r="I635" s="6">
        <f t="shared" si="37"/>
        <v>40.549999999999997</v>
      </c>
      <c r="J635" s="6">
        <f t="shared" si="38"/>
        <v>70.680000000000007</v>
      </c>
      <c r="L635" s="4" t="str">
        <f>IFERROR(VLOOKUP(ROWS($L$2:L635),$B$2:$C$1996,2,0),"")</f>
        <v>ΣΩΜΑ SPLENDID</v>
      </c>
      <c r="N635" s="2" t="str">
        <f>IFERROR(VLOOKUP(ROWS($N$2:N635),$D$2:$E$1996,2,0),"")</f>
        <v>22/900/700</v>
      </c>
    </row>
    <row r="636" spans="1:14">
      <c r="A636" s="5">
        <v>1</v>
      </c>
      <c r="B636" s="32">
        <f>IF(ISNUMBER(SEARCH('Φόρμα Εισαγωγής'!$B$2,C636)),MAX($B$1:B635)+1,0)</f>
        <v>635</v>
      </c>
      <c r="C636" s="5" t="s">
        <v>758</v>
      </c>
      <c r="D636" s="33">
        <f>IF(ISNUMBER(SEARCH('Φόρμα Εισαγωγής'!$C$2,E636)),MAX($D$1:D635)+1,0)</f>
        <v>635</v>
      </c>
      <c r="E636" s="5" t="s">
        <v>421</v>
      </c>
      <c r="F636" s="5">
        <v>18.600000000000001</v>
      </c>
      <c r="G636" s="5">
        <v>26</v>
      </c>
      <c r="H636" s="6">
        <f t="shared" si="36"/>
        <v>32.24</v>
      </c>
      <c r="I636" s="6">
        <f t="shared" si="37"/>
        <v>18.600000000000001</v>
      </c>
      <c r="J636" s="6">
        <f t="shared" si="38"/>
        <v>32.24</v>
      </c>
      <c r="L636" s="4" t="str">
        <f>IFERROR(VLOOKUP(ROWS($L$2:L636),$B$2:$C$1996,2,0),"")</f>
        <v>ΣΩΜΑ SPLENDID W/C</v>
      </c>
      <c r="N636" s="2" t="str">
        <f>IFERROR(VLOOKUP(ROWS($N$2:N636),$D$2:$E$1996,2,0),"")</f>
        <v>400/800</v>
      </c>
    </row>
    <row r="637" spans="1:14">
      <c r="A637" s="5">
        <v>0</v>
      </c>
      <c r="B637" s="32">
        <f>IF(ISNUMBER(SEARCH('Φόρμα Εισαγωγής'!$B$2,C637)),MAX($B$1:B636)+1,0)</f>
        <v>636</v>
      </c>
      <c r="C637" s="5" t="s">
        <v>758</v>
      </c>
      <c r="D637" s="33">
        <f>IF(ISNUMBER(SEARCH('Φόρμα Εισαγωγής'!$C$2,E637)),MAX($D$1:D636)+1,0)</f>
        <v>636</v>
      </c>
      <c r="E637" s="5" t="s">
        <v>422</v>
      </c>
      <c r="F637" s="5">
        <v>30.8</v>
      </c>
      <c r="G637" s="5">
        <v>43.2</v>
      </c>
      <c r="H637" s="6">
        <f t="shared" si="36"/>
        <v>53.568000000000005</v>
      </c>
      <c r="I637" s="6">
        <f t="shared" si="37"/>
        <v>0</v>
      </c>
      <c r="J637" s="6">
        <f t="shared" si="38"/>
        <v>0</v>
      </c>
      <c r="L637" s="4" t="str">
        <f>IFERROR(VLOOKUP(ROWS($L$2:L637),$B$2:$C$1996,2,0),"")</f>
        <v>ΣΩΜΑ SPLENDID W/C</v>
      </c>
      <c r="N637" s="2" t="str">
        <f>IFERROR(VLOOKUP(ROWS($N$2:N637),$D$2:$E$1996,2,0),"")</f>
        <v>400/1400</v>
      </c>
    </row>
    <row r="638" spans="1:14">
      <c r="A638" s="5">
        <v>1</v>
      </c>
      <c r="B638" s="32">
        <f>IF(ISNUMBER(SEARCH('Φόρμα Εισαγωγής'!$B$2,C638)),MAX($B$1:B637)+1,0)</f>
        <v>637</v>
      </c>
      <c r="C638" s="5" t="s">
        <v>423</v>
      </c>
      <c r="D638" s="33">
        <f>IF(ISNUMBER(SEARCH('Φόρμα Εισαγωγής'!$C$2,E638)),MAX($D$1:D637)+1,0)</f>
        <v>637</v>
      </c>
      <c r="E638" s="5" t="s">
        <v>424</v>
      </c>
      <c r="F638" s="5">
        <v>64</v>
      </c>
      <c r="G638" s="5">
        <v>90</v>
      </c>
      <c r="H638" s="6">
        <f t="shared" si="36"/>
        <v>111.6</v>
      </c>
      <c r="I638" s="6">
        <f t="shared" si="37"/>
        <v>64</v>
      </c>
      <c r="J638" s="6">
        <f t="shared" si="38"/>
        <v>111.6</v>
      </c>
      <c r="L638" s="4" t="str">
        <f>IFERROR(VLOOKUP(ROWS($L$2:L638),$B$2:$C$1996,2,0),"")</f>
        <v>ΣΩΜΑ COPA W/C</v>
      </c>
      <c r="N638" s="2" t="str">
        <f>IFERROR(VLOOKUP(ROWS($N$2:N638),$D$2:$E$1996,2,0),"")</f>
        <v>800/1800</v>
      </c>
    </row>
    <row r="639" spans="1:14">
      <c r="A639" s="5">
        <v>1</v>
      </c>
      <c r="B639" s="32">
        <f>IF(ISNUMBER(SEARCH('Φόρμα Εισαγωγής'!$B$2,C639)),MAX($B$1:B638)+1,0)</f>
        <v>638</v>
      </c>
      <c r="C639" s="5" t="s">
        <v>718</v>
      </c>
      <c r="D639" s="33">
        <f>IF(ISNUMBER(SEARCH('Φόρμα Εισαγωγής'!$C$2,E639)),MAX($D$1:D638)+1,0)</f>
        <v>638</v>
      </c>
      <c r="E639" s="5" t="s">
        <v>719</v>
      </c>
      <c r="F639" s="5">
        <v>510</v>
      </c>
      <c r="G639" s="5">
        <v>700</v>
      </c>
      <c r="H639" s="6">
        <f t="shared" si="36"/>
        <v>868</v>
      </c>
      <c r="I639" s="6">
        <f t="shared" si="37"/>
        <v>510</v>
      </c>
      <c r="J639" s="6">
        <f t="shared" si="38"/>
        <v>868</v>
      </c>
      <c r="L639" s="4" t="str">
        <f>IFERROR(VLOOKUP(ROWS($L$2:L639),$B$2:$C$1996,2,0),"")</f>
        <v>ΛΕΒΗΤΑΣ RIELLO TREGI</v>
      </c>
      <c r="N639" s="2" t="str">
        <f>IFERROR(VLOOKUP(ROWS($N$2:N639),$D$2:$E$1996,2,0),"")</f>
        <v>3N</v>
      </c>
    </row>
    <row r="640" spans="1:14">
      <c r="A640" s="5">
        <v>1</v>
      </c>
      <c r="B640" s="32">
        <f>IF(ISNUMBER(SEARCH('Φόρμα Εισαγωγής'!$B$2,C640)),MAX($B$1:B639)+1,0)</f>
        <v>639</v>
      </c>
      <c r="C640" s="5" t="s">
        <v>718</v>
      </c>
      <c r="D640" s="33">
        <f>IF(ISNUMBER(SEARCH('Φόρμα Εισαγωγής'!$C$2,E640)),MAX($D$1:D639)+1,0)</f>
        <v>639</v>
      </c>
      <c r="E640" s="5" t="s">
        <v>720</v>
      </c>
      <c r="F640" s="5">
        <v>520</v>
      </c>
      <c r="G640" s="5">
        <v>750</v>
      </c>
      <c r="H640" s="6">
        <f t="shared" si="36"/>
        <v>930</v>
      </c>
      <c r="I640" s="6">
        <f t="shared" si="37"/>
        <v>520</v>
      </c>
      <c r="J640" s="6">
        <f t="shared" si="38"/>
        <v>930</v>
      </c>
      <c r="L640" s="4" t="str">
        <f>IFERROR(VLOOKUP(ROWS($L$2:L640),$B$2:$C$1996,2,0),"")</f>
        <v>ΛΕΒΗΤΑΣ RIELLO TREGI</v>
      </c>
      <c r="N640" s="2" t="str">
        <f>IFERROR(VLOOKUP(ROWS($N$2:N640),$D$2:$E$1996,2,0),"")</f>
        <v>4N</v>
      </c>
    </row>
    <row r="641" spans="1:14">
      <c r="A641" s="5">
        <v>1</v>
      </c>
      <c r="B641" s="32">
        <f>IF(ISNUMBER(SEARCH('Φόρμα Εισαγωγής'!$B$2,C641)),MAX($B$1:B640)+1,0)</f>
        <v>640</v>
      </c>
      <c r="C641" s="5" t="s">
        <v>791</v>
      </c>
      <c r="D641" s="33">
        <f>IF(ISNUMBER(SEARCH('Φόρμα Εισαγωγής'!$C$2,E641)),MAX($D$1:D640)+1,0)</f>
        <v>640</v>
      </c>
      <c r="E641" s="5" t="s">
        <v>425</v>
      </c>
      <c r="F641" s="29">
        <v>2265.75</v>
      </c>
      <c r="G641" s="29">
        <v>3000</v>
      </c>
      <c r="H641" s="6">
        <f t="shared" si="36"/>
        <v>3720</v>
      </c>
      <c r="I641" s="6">
        <f t="shared" si="37"/>
        <v>2265.75</v>
      </c>
      <c r="J641" s="6">
        <f t="shared" si="38"/>
        <v>3720</v>
      </c>
      <c r="L641" s="4" t="str">
        <f>IFERROR(VLOOKUP(ROWS($L$2:L641),$B$2:$C$1996,2,0),"")</f>
        <v>ΛΕΒΗΤΑΣ ΣΥΜΠ WOLF COB</v>
      </c>
      <c r="N641" s="2" t="str">
        <f>IFERROR(VLOOKUP(ROWS($N$2:N641),$D$2:$E$1996,2,0),"")</f>
        <v>29</v>
      </c>
    </row>
    <row r="642" spans="1:14">
      <c r="A642" s="5">
        <v>0</v>
      </c>
      <c r="B642" s="32">
        <f>IF(ISNUMBER(SEARCH('Φόρμα Εισαγωγής'!$B$2,C642)),MAX($B$1:B641)+1,0)</f>
        <v>641</v>
      </c>
      <c r="C642" s="5" t="s">
        <v>722</v>
      </c>
      <c r="D642" s="33">
        <f>IF(ISNUMBER(SEARCH('Φόρμα Εισαγωγής'!$C$2,E642)),MAX($D$1:D641)+1,0)</f>
        <v>641</v>
      </c>
      <c r="E642" s="5" t="s">
        <v>426</v>
      </c>
      <c r="F642" s="5">
        <v>339.48</v>
      </c>
      <c r="G642" s="5">
        <v>440</v>
      </c>
      <c r="H642" s="6">
        <f t="shared" si="36"/>
        <v>545.6</v>
      </c>
      <c r="I642" s="6">
        <f t="shared" si="37"/>
        <v>0</v>
      </c>
      <c r="J642" s="6">
        <f t="shared" si="38"/>
        <v>0</v>
      </c>
      <c r="L642" s="4" t="str">
        <f>IFERROR(VLOOKUP(ROWS($L$2:L642),$B$2:$C$1996,2,0),"")</f>
        <v xml:space="preserve">A/C  CARRIER VENTUS SUPREME </v>
      </c>
      <c r="N642" s="2" t="str">
        <f>IFERROR(VLOOKUP(ROWS($N$2:N642),$D$2:$E$1996,2,0),"")</f>
        <v>12000BTU</v>
      </c>
    </row>
    <row r="643" spans="1:14">
      <c r="A643" s="5">
        <v>1</v>
      </c>
      <c r="B643" s="32">
        <f>IF(ISNUMBER(SEARCH('Φόρμα Εισαγωγής'!$B$2,C643)),MAX($B$1:B642)+1,0)</f>
        <v>642</v>
      </c>
      <c r="C643" s="5" t="s">
        <v>427</v>
      </c>
      <c r="D643" s="33">
        <f>IF(ISNUMBER(SEARCH('Φόρμα Εισαγωγής'!$C$2,E643)),MAX($D$1:D642)+1,0)</f>
        <v>642</v>
      </c>
      <c r="E643" s="5" t="s">
        <v>428</v>
      </c>
      <c r="F643" s="5">
        <v>297.08999999999997</v>
      </c>
      <c r="G643" s="5">
        <v>390</v>
      </c>
      <c r="H643" s="6">
        <f t="shared" si="36"/>
        <v>483.6</v>
      </c>
      <c r="I643" s="6">
        <f t="shared" si="37"/>
        <v>297.08999999999997</v>
      </c>
      <c r="J643" s="6">
        <f t="shared" si="38"/>
        <v>483.6</v>
      </c>
      <c r="L643" s="4" t="str">
        <f>IFERROR(VLOOKUP(ROWS($L$2:L643),$B$2:$C$1996,2,0),"")</f>
        <v>BOILER SONNE</v>
      </c>
      <c r="N643" s="2" t="str">
        <f>IFERROR(VLOOKUP(ROWS($N$2:N643),$D$2:$E$1996,2,0),"")</f>
        <v>200L</v>
      </c>
    </row>
    <row r="644" spans="1:14">
      <c r="A644" s="5">
        <v>0</v>
      </c>
      <c r="B644" s="32">
        <f>IF(ISNUMBER(SEARCH('Φόρμα Εισαγωγής'!$B$2,C644)),MAX($B$1:B643)+1,0)</f>
        <v>643</v>
      </c>
      <c r="C644" s="5" t="s">
        <v>429</v>
      </c>
      <c r="D644" s="33">
        <f>IF(ISNUMBER(SEARCH('Φόρμα Εισαγωγής'!$C$2,E644)),MAX($D$1:D643)+1,0)</f>
        <v>643</v>
      </c>
      <c r="E644" s="5" t="s">
        <v>430</v>
      </c>
      <c r="F644" s="5">
        <v>95.2</v>
      </c>
      <c r="G644" s="5">
        <v>125</v>
      </c>
      <c r="H644" s="6">
        <f t="shared" si="36"/>
        <v>155</v>
      </c>
      <c r="I644" s="6">
        <f t="shared" si="37"/>
        <v>0</v>
      </c>
      <c r="J644" s="6">
        <f t="shared" si="38"/>
        <v>0</v>
      </c>
      <c r="L644" s="4" t="str">
        <f>IFERROR(VLOOKUP(ROWS($L$2:L644),$B$2:$C$1996,2,0),"")</f>
        <v>BOILER MAGNA KΑΘΕΤΟ ΑΡ.</v>
      </c>
      <c r="N644" s="2" t="str">
        <f>IFERROR(VLOOKUP(ROWS($N$2:N644),$D$2:$E$1996,2,0),"")</f>
        <v>80L</v>
      </c>
    </row>
    <row r="645" spans="1:14">
      <c r="A645" s="5">
        <v>1</v>
      </c>
      <c r="B645" s="32">
        <f>IF(ISNUMBER(SEARCH('Φόρμα Εισαγωγής'!$B$2,C645)),MAX($B$1:B644)+1,0)</f>
        <v>644</v>
      </c>
      <c r="C645" s="5" t="s">
        <v>721</v>
      </c>
      <c r="D645" s="33">
        <f>IF(ISNUMBER(SEARCH('Φόρμα Εισαγωγής'!$C$2,E645)),MAX($D$1:D644)+1,0)</f>
        <v>644</v>
      </c>
      <c r="E645" s="5" t="s">
        <v>430</v>
      </c>
      <c r="F645" s="5">
        <v>75.599999999999994</v>
      </c>
      <c r="G645" s="5">
        <v>100</v>
      </c>
      <c r="H645" s="6">
        <f t="shared" si="36"/>
        <v>124</v>
      </c>
      <c r="I645" s="6">
        <f t="shared" si="37"/>
        <v>75.599999999999994</v>
      </c>
      <c r="J645" s="6">
        <f t="shared" si="38"/>
        <v>124</v>
      </c>
      <c r="L645" s="4" t="str">
        <f>IFERROR(VLOOKUP(ROWS($L$2:L645),$B$2:$C$1996,2,0),"")</f>
        <v>ΘΕΡΜΟΣΙΦΩΝΑΣ MAGNA ΚΑΘΕΤΟΣ</v>
      </c>
      <c r="N645" s="2" t="str">
        <f>IFERROR(VLOOKUP(ROWS($N$2:N645),$D$2:$E$1996,2,0),"")</f>
        <v>80L</v>
      </c>
    </row>
    <row r="646" spans="1:14">
      <c r="A646" s="5">
        <v>1</v>
      </c>
      <c r="B646" s="32">
        <f>IF(ISNUMBER(SEARCH('Φόρμα Εισαγωγής'!$B$2,C646)),MAX($B$1:B645)+1,0)</f>
        <v>645</v>
      </c>
      <c r="C646" s="5" t="s">
        <v>431</v>
      </c>
      <c r="D646" s="33">
        <f>IF(ISNUMBER(SEARCH('Φόρμα Εισαγωγής'!$C$2,E646)),MAX($D$1:D645)+1,0)</f>
        <v>645</v>
      </c>
      <c r="E646" s="5" t="s">
        <v>321</v>
      </c>
      <c r="H646" s="6">
        <f t="shared" ref="H646:H709" si="39">G646+(G646*0.24)</f>
        <v>0</v>
      </c>
      <c r="I646" s="6">
        <f t="shared" ref="I646:I709" si="40">F646*A646</f>
        <v>0</v>
      </c>
      <c r="J646" s="6">
        <f t="shared" ref="J646:J709" si="41">H646*A646</f>
        <v>0</v>
      </c>
      <c r="L646" s="4" t="str">
        <f>IFERROR(VLOOKUP(ROWS($L$2:L646),$B$2:$C$1996,2,0),"")</f>
        <v>ΒΑΣΗ ΗΛΙΑΚΟΥ SONNE</v>
      </c>
      <c r="N646" s="2" t="str">
        <f>IFERROR(VLOOKUP(ROWS($N$2:N646),$D$2:$E$1996,2,0),"")</f>
        <v>-</v>
      </c>
    </row>
    <row r="647" spans="1:14">
      <c r="A647" s="5">
        <v>1</v>
      </c>
      <c r="B647" s="32">
        <f>IF(ISNUMBER(SEARCH('Φόρμα Εισαγωγής'!$B$2,C647)),MAX($B$1:B646)+1,0)</f>
        <v>646</v>
      </c>
      <c r="C647" s="5" t="s">
        <v>432</v>
      </c>
      <c r="D647" s="33">
        <f>IF(ISNUMBER(SEARCH('Φόρμα Εισαγωγής'!$C$2,E647)),MAX($D$1:D646)+1,0)</f>
        <v>646</v>
      </c>
      <c r="E647" s="5" t="s">
        <v>321</v>
      </c>
      <c r="H647" s="6">
        <f t="shared" si="39"/>
        <v>0</v>
      </c>
      <c r="I647" s="6">
        <f t="shared" si="40"/>
        <v>0</v>
      </c>
      <c r="J647" s="6">
        <f t="shared" si="41"/>
        <v>0</v>
      </c>
      <c r="L647" s="4" t="str">
        <f>IFERROR(VLOOKUP(ROWS($L$2:L647),$B$2:$C$1996,2,0),"")</f>
        <v>ΚΑΘΡΕΥΤΗΣ ΗΛΙΑΚΟΥ SONNE</v>
      </c>
      <c r="N647" s="2" t="str">
        <f>IFERROR(VLOOKUP(ROWS($N$2:N647),$D$2:$E$1996,2,0),"")</f>
        <v>-</v>
      </c>
    </row>
    <row r="648" spans="1:14">
      <c r="A648" s="5">
        <v>1</v>
      </c>
      <c r="B648" s="32">
        <f>IF(ISNUMBER(SEARCH('Φόρμα Εισαγωγής'!$B$2,C648)),MAX($B$1:B647)+1,0)</f>
        <v>647</v>
      </c>
      <c r="C648" s="5" t="s">
        <v>433</v>
      </c>
      <c r="D648" s="33">
        <f>IF(ISNUMBER(SEARCH('Φόρμα Εισαγωγής'!$C$2,E648)),MAX($D$1:D647)+1,0)</f>
        <v>647</v>
      </c>
      <c r="E648" s="5" t="s">
        <v>321</v>
      </c>
      <c r="F648" s="5">
        <v>256.2</v>
      </c>
      <c r="G648" s="5">
        <v>335</v>
      </c>
      <c r="H648" s="6">
        <f t="shared" si="39"/>
        <v>415.4</v>
      </c>
      <c r="I648" s="6">
        <f t="shared" si="40"/>
        <v>256.2</v>
      </c>
      <c r="J648" s="6">
        <f t="shared" si="41"/>
        <v>415.4</v>
      </c>
      <c r="L648" s="4" t="str">
        <f>IFERROR(VLOOKUP(ROWS($L$2:L648),$B$2:$C$1996,2,0),"")</f>
        <v>ΚΑΘΡΕΥΤΗΣ ΗΛΙΑΚΟΥ HELIONAL</v>
      </c>
      <c r="N648" s="2" t="str">
        <f>IFERROR(VLOOKUP(ROWS($N$2:N648),$D$2:$E$1996,2,0),"")</f>
        <v>-</v>
      </c>
    </row>
    <row r="649" spans="1:14">
      <c r="A649" s="5">
        <v>1</v>
      </c>
      <c r="B649" s="32">
        <f>IF(ISNUMBER(SEARCH('Φόρμα Εισαγωγής'!$B$2,C649)),MAX($B$1:B648)+1,0)</f>
        <v>648</v>
      </c>
      <c r="C649" s="5" t="s">
        <v>434</v>
      </c>
      <c r="D649" s="33">
        <f>IF(ISNUMBER(SEARCH('Φόρμα Εισαγωγής'!$C$2,E649)),MAX($D$1:D648)+1,0)</f>
        <v>648</v>
      </c>
      <c r="E649" s="5" t="s">
        <v>321</v>
      </c>
      <c r="H649" s="6">
        <f t="shared" si="39"/>
        <v>0</v>
      </c>
      <c r="I649" s="6">
        <f t="shared" si="40"/>
        <v>0</v>
      </c>
      <c r="J649" s="6">
        <f t="shared" si="41"/>
        <v>0</v>
      </c>
      <c r="L649" s="4" t="str">
        <f>IFERROR(VLOOKUP(ROWS($L$2:L649),$B$2:$C$1996,2,0),"")</f>
        <v xml:space="preserve">BΑΣΗ ΗΛΙΑΚΟΥ </v>
      </c>
      <c r="N649" s="2" t="str">
        <f>IFERROR(VLOOKUP(ROWS($N$2:N649),$D$2:$E$1996,2,0),"")</f>
        <v>-</v>
      </c>
    </row>
    <row r="650" spans="1:14">
      <c r="A650" s="5">
        <v>2</v>
      </c>
      <c r="B650" s="32">
        <f>IF(ISNUMBER(SEARCH('Φόρμα Εισαγωγής'!$B$2,C650)),MAX($B$1:B649)+1,0)</f>
        <v>649</v>
      </c>
      <c r="C650" s="5" t="s">
        <v>435</v>
      </c>
      <c r="D650" s="33">
        <f>IF(ISNUMBER(SEARCH('Φόρμα Εισαγωγής'!$C$2,E650)),MAX($D$1:D649)+1,0)</f>
        <v>649</v>
      </c>
      <c r="E650" s="5" t="s">
        <v>191</v>
      </c>
      <c r="F650" s="5">
        <v>2.4</v>
      </c>
      <c r="G650" s="5">
        <v>3.5</v>
      </c>
      <c r="H650" s="6">
        <f t="shared" si="39"/>
        <v>4.34</v>
      </c>
      <c r="I650" s="6">
        <f t="shared" si="40"/>
        <v>4.8</v>
      </c>
      <c r="J650" s="6">
        <f t="shared" si="41"/>
        <v>8.68</v>
      </c>
      <c r="L650" s="4" t="str">
        <f>IFERROR(VLOOKUP(ROWS($L$2:L650),$B$2:$C$1996,2,0),"")</f>
        <v>ΣΩΛΗΝΑ ΑΡΔ. ΦΛΑΤΖΑ</v>
      </c>
      <c r="N650" s="2" t="str">
        <f>IFERROR(VLOOKUP(ROWS($N$2:N650),$D$2:$E$1996,2,0),"")</f>
        <v>Φ63</v>
      </c>
    </row>
    <row r="651" spans="1:14">
      <c r="A651" s="5">
        <v>1</v>
      </c>
      <c r="B651" s="32">
        <f>IF(ISNUMBER(SEARCH('Φόρμα Εισαγωγής'!$B$2,C651)),MAX($B$1:B650)+1,0)</f>
        <v>650</v>
      </c>
      <c r="C651" s="7" t="s">
        <v>435</v>
      </c>
      <c r="D651" s="33">
        <f>IF(ISNUMBER(SEARCH('Φόρμα Εισαγωγής'!$C$2,E651)),MAX($D$1:D650)+1,0)</f>
        <v>650</v>
      </c>
      <c r="E651" s="17" t="s">
        <v>436</v>
      </c>
      <c r="F651" s="5">
        <v>4.7</v>
      </c>
      <c r="G651" s="5">
        <v>6.5</v>
      </c>
      <c r="H651" s="6">
        <f t="shared" si="39"/>
        <v>8.06</v>
      </c>
      <c r="I651" s="6">
        <f t="shared" si="40"/>
        <v>4.7</v>
      </c>
      <c r="J651" s="6">
        <f t="shared" si="41"/>
        <v>8.06</v>
      </c>
      <c r="L651" s="4" t="str">
        <f>IFERROR(VLOOKUP(ROWS($L$2:L651),$B$2:$C$1996,2,0),"")</f>
        <v>ΣΩΛΗΝΑ ΑΡΔ. ΦΛΑΤΖΑ</v>
      </c>
      <c r="N651" s="2" t="str">
        <f>IFERROR(VLOOKUP(ROWS($N$2:N651),$D$2:$E$1996,2,0),"")</f>
        <v>Φ90</v>
      </c>
    </row>
    <row r="652" spans="1:14">
      <c r="A652" s="5">
        <v>1.5</v>
      </c>
      <c r="B652" s="32">
        <f>IF(ISNUMBER(SEARCH('Φόρμα Εισαγωγής'!$B$2,C652)),MAX($B$1:B651)+1,0)</f>
        <v>651</v>
      </c>
      <c r="C652" s="7" t="s">
        <v>437</v>
      </c>
      <c r="D652" s="33">
        <f>IF(ISNUMBER(SEARCH('Φόρμα Εισαγωγής'!$C$2,E652)),MAX($D$1:D651)+1,0)</f>
        <v>651</v>
      </c>
      <c r="E652" s="17" t="s">
        <v>438</v>
      </c>
      <c r="F652" s="5">
        <v>1.4</v>
      </c>
      <c r="G652" s="5">
        <v>1.9</v>
      </c>
      <c r="H652" s="6">
        <f t="shared" si="39"/>
        <v>2.3559999999999999</v>
      </c>
      <c r="I652" s="6">
        <f t="shared" si="40"/>
        <v>2.0999999999999996</v>
      </c>
      <c r="J652" s="6">
        <f t="shared" si="41"/>
        <v>3.5339999999999998</v>
      </c>
      <c r="L652" s="4" t="str">
        <f>IFERROR(VLOOKUP(ROWS($L$2:L652),$B$2:$C$1996,2,0),"")</f>
        <v>ΣΩΛΗΝΑ PVC</v>
      </c>
      <c r="N652" s="2" t="str">
        <f>IFERROR(VLOOKUP(ROWS($N$2:N652),$D$2:$E$1996,2,0),"")</f>
        <v>6 X 10</v>
      </c>
    </row>
    <row r="653" spans="1:14">
      <c r="A653" s="5">
        <v>4</v>
      </c>
      <c r="B653" s="32">
        <f>IF(ISNUMBER(SEARCH('Φόρμα Εισαγωγής'!$B$2,C653)),MAX($B$1:B652)+1,0)</f>
        <v>652</v>
      </c>
      <c r="C653" s="7" t="s">
        <v>790</v>
      </c>
      <c r="D653" s="33">
        <f>IF(ISNUMBER(SEARCH('Φόρμα Εισαγωγής'!$C$2,E653)),MAX($D$1:D652)+1,0)</f>
        <v>652</v>
      </c>
      <c r="E653" s="17" t="s">
        <v>439</v>
      </c>
      <c r="F653" s="5">
        <v>6.27</v>
      </c>
      <c r="G653" s="5">
        <v>8.8000000000000007</v>
      </c>
      <c r="H653" s="6">
        <f t="shared" si="39"/>
        <v>10.912000000000001</v>
      </c>
      <c r="I653" s="6">
        <f t="shared" si="40"/>
        <v>25.08</v>
      </c>
      <c r="J653" s="6">
        <f t="shared" si="41"/>
        <v>43.648000000000003</v>
      </c>
      <c r="L653" s="4" t="str">
        <f>IFERROR(VLOOKUP(ROWS($L$2:L653),$B$2:$C$1996,2,0),"")</f>
        <v>ΚΑΠΑΚΙ ΦΡΕΑΤΙΟΥ ΠΛΑΣΤ</v>
      </c>
      <c r="N653" s="2" t="str">
        <f>IFERROR(VLOOKUP(ROWS($N$2:N653),$D$2:$E$1996,2,0),"")</f>
        <v>40 Χ 40</v>
      </c>
    </row>
    <row r="654" spans="1:14">
      <c r="A654" s="5">
        <v>1</v>
      </c>
      <c r="B654" s="32">
        <f>IF(ISNUMBER(SEARCH('Φόρμα Εισαγωγής'!$B$2,C654)),MAX($B$1:B653)+1,0)</f>
        <v>653</v>
      </c>
      <c r="C654" s="7" t="s">
        <v>789</v>
      </c>
      <c r="D654" s="33">
        <f>IF(ISNUMBER(SEARCH('Φόρμα Εισαγωγής'!$C$2,E654)),MAX($D$1:D653)+1,0)</f>
        <v>653</v>
      </c>
      <c r="E654" s="17" t="s">
        <v>440</v>
      </c>
      <c r="F654" s="5">
        <v>2.85</v>
      </c>
      <c r="G654" s="5">
        <v>4</v>
      </c>
      <c r="H654" s="6">
        <f t="shared" si="39"/>
        <v>4.96</v>
      </c>
      <c r="I654" s="6">
        <f t="shared" si="40"/>
        <v>2.85</v>
      </c>
      <c r="J654" s="6">
        <f t="shared" si="41"/>
        <v>4.96</v>
      </c>
      <c r="L654" s="4" t="str">
        <f>IFERROR(VLOOKUP(ROWS($L$2:L654),$B$2:$C$1996,2,0),"")</f>
        <v>ΦΡΕΑΤΙΟ ΠΛΑΣΤ</v>
      </c>
      <c r="N654" s="2" t="str">
        <f>IFERROR(VLOOKUP(ROWS($N$2:N654),$D$2:$E$1996,2,0),"")</f>
        <v>20 Χ 20</v>
      </c>
    </row>
    <row r="655" spans="1:14">
      <c r="A655" s="5">
        <v>1</v>
      </c>
      <c r="B655" s="32">
        <f>IF(ISNUMBER(SEARCH('Φόρμα Εισαγωγής'!$B$2,C655)),MAX($B$1:B654)+1,0)</f>
        <v>654</v>
      </c>
      <c r="C655" s="7" t="s">
        <v>789</v>
      </c>
      <c r="D655" s="33">
        <f>IF(ISNUMBER(SEARCH('Φόρμα Εισαγωγής'!$C$2,E655)),MAX($D$1:D654)+1,0)</f>
        <v>654</v>
      </c>
      <c r="E655" s="17" t="s">
        <v>441</v>
      </c>
      <c r="F655" s="5">
        <v>5.0999999999999996</v>
      </c>
      <c r="G655" s="5">
        <v>7.15</v>
      </c>
      <c r="H655" s="6">
        <f t="shared" si="39"/>
        <v>8.8659999999999997</v>
      </c>
      <c r="I655" s="6">
        <f t="shared" si="40"/>
        <v>5.0999999999999996</v>
      </c>
      <c r="J655" s="6">
        <f t="shared" si="41"/>
        <v>8.8659999999999997</v>
      </c>
      <c r="L655" s="4" t="str">
        <f>IFERROR(VLOOKUP(ROWS($L$2:L655),$B$2:$C$1996,2,0),"")</f>
        <v>ΦΡΕΑΤΙΟ ΠΛΑΣΤ</v>
      </c>
      <c r="N655" s="2" t="str">
        <f>IFERROR(VLOOKUP(ROWS($N$2:N655),$D$2:$E$1996,2,0),"")</f>
        <v>25 Χ 25</v>
      </c>
    </row>
    <row r="656" spans="1:14">
      <c r="A656" s="5">
        <v>1</v>
      </c>
      <c r="B656" s="32">
        <f>IF(ISNUMBER(SEARCH('Φόρμα Εισαγωγής'!$B$2,C656)),MAX($B$1:B655)+1,0)</f>
        <v>655</v>
      </c>
      <c r="C656" s="7" t="s">
        <v>789</v>
      </c>
      <c r="D656" s="33">
        <f>IF(ISNUMBER(SEARCH('Φόρμα Εισαγωγής'!$C$2,E656)),MAX($D$1:D655)+1,0)</f>
        <v>655</v>
      </c>
      <c r="E656" s="17" t="s">
        <v>442</v>
      </c>
      <c r="F656" s="5">
        <v>7</v>
      </c>
      <c r="G656" s="5">
        <v>10</v>
      </c>
      <c r="H656" s="6">
        <f t="shared" si="39"/>
        <v>12.4</v>
      </c>
      <c r="I656" s="6">
        <f t="shared" si="40"/>
        <v>7</v>
      </c>
      <c r="J656" s="6">
        <f t="shared" si="41"/>
        <v>12.4</v>
      </c>
      <c r="L656" s="4" t="str">
        <f>IFERROR(VLOOKUP(ROWS($L$2:L656),$B$2:$C$1996,2,0),"")</f>
        <v>ΦΡΕΑΤΙΟ ΠΛΑΣΤ</v>
      </c>
      <c r="N656" s="2" t="str">
        <f>IFERROR(VLOOKUP(ROWS($N$2:N656),$D$2:$E$1996,2,0),"")</f>
        <v>30 Χ 30</v>
      </c>
    </row>
    <row r="657" spans="1:14">
      <c r="A657" s="5">
        <v>1</v>
      </c>
      <c r="B657" s="32">
        <f>IF(ISNUMBER(SEARCH('Φόρμα Εισαγωγής'!$B$2,C657)),MAX($B$1:B656)+1,0)</f>
        <v>656</v>
      </c>
      <c r="C657" s="7" t="s">
        <v>789</v>
      </c>
      <c r="D657" s="33">
        <f>IF(ISNUMBER(SEARCH('Φόρμα Εισαγωγής'!$C$2,E657)),MAX($D$1:D656)+1,0)</f>
        <v>656</v>
      </c>
      <c r="E657" s="17" t="s">
        <v>439</v>
      </c>
      <c r="F657" s="5">
        <v>16.25</v>
      </c>
      <c r="G657" s="5">
        <v>23</v>
      </c>
      <c r="H657" s="6">
        <f t="shared" si="39"/>
        <v>28.52</v>
      </c>
      <c r="I657" s="6">
        <f t="shared" si="40"/>
        <v>16.25</v>
      </c>
      <c r="J657" s="6">
        <f t="shared" si="41"/>
        <v>28.52</v>
      </c>
      <c r="L657" s="4" t="str">
        <f>IFERROR(VLOOKUP(ROWS($L$2:L657),$B$2:$C$1996,2,0),"")</f>
        <v>ΦΡΕΑΤΙΟ ΠΛΑΣΤ</v>
      </c>
      <c r="N657" s="2" t="str">
        <f>IFERROR(VLOOKUP(ROWS($N$2:N657),$D$2:$E$1996,2,0),"")</f>
        <v>40 Χ 40</v>
      </c>
    </row>
    <row r="658" spans="1:14">
      <c r="A658" s="5">
        <v>3</v>
      </c>
      <c r="B658" s="32">
        <f>IF(ISNUMBER(SEARCH('Φόρμα Εισαγωγής'!$B$2,C658)),MAX($B$1:B657)+1,0)</f>
        <v>657</v>
      </c>
      <c r="C658" s="7" t="s">
        <v>870</v>
      </c>
      <c r="D658" s="33">
        <f>IF(ISNUMBER(SEARCH('Φόρμα Εισαγωγής'!$C$2,E658)),MAX($D$1:D657)+1,0)</f>
        <v>657</v>
      </c>
      <c r="E658" s="17" t="s">
        <v>193</v>
      </c>
      <c r="F658" s="5">
        <v>1.49</v>
      </c>
      <c r="G658" s="5">
        <v>2.1</v>
      </c>
      <c r="H658" s="6">
        <f t="shared" si="39"/>
        <v>2.6040000000000001</v>
      </c>
      <c r="I658" s="6">
        <f t="shared" si="40"/>
        <v>4.47</v>
      </c>
      <c r="J658" s="6">
        <f t="shared" si="41"/>
        <v>7.8120000000000003</v>
      </c>
      <c r="L658" s="4" t="str">
        <f>IFERROR(VLOOKUP(ROWS($L$2:L658),$B$2:$C$1996,2,0),"")</f>
        <v>ΓΩΝΙΑ PVC 22ο REDI</v>
      </c>
      <c r="N658" s="2" t="str">
        <f>IFERROR(VLOOKUP(ROWS($N$2:N658),$D$2:$E$1996,2,0),"")</f>
        <v>Φ100</v>
      </c>
    </row>
    <row r="659" spans="1:14">
      <c r="A659" s="5">
        <v>18</v>
      </c>
      <c r="B659" s="32">
        <f>IF(ISNUMBER(SEARCH('Φόρμα Εισαγωγής'!$B$2,C659)),MAX($B$1:B658)+1,0)</f>
        <v>658</v>
      </c>
      <c r="C659" s="7" t="s">
        <v>871</v>
      </c>
      <c r="D659" s="33">
        <f>IF(ISNUMBER(SEARCH('Φόρμα Εισαγωγής'!$C$2,E659)),MAX($D$1:D658)+1,0)</f>
        <v>658</v>
      </c>
      <c r="E659" s="17" t="s">
        <v>193</v>
      </c>
      <c r="F659" s="5">
        <v>0.9</v>
      </c>
      <c r="G659" s="5">
        <v>1.25</v>
      </c>
      <c r="H659" s="6">
        <f t="shared" si="39"/>
        <v>1.55</v>
      </c>
      <c r="I659" s="6">
        <f t="shared" si="40"/>
        <v>16.2</v>
      </c>
      <c r="J659" s="6">
        <f t="shared" si="41"/>
        <v>27.900000000000002</v>
      </c>
      <c r="L659" s="4" t="str">
        <f>IFERROR(VLOOKUP(ROWS($L$2:L659),$B$2:$C$1996,2,0),"")</f>
        <v>ΓΩΝΙΑ ΚΟΝΤΗ PVC 30ο REDI</v>
      </c>
      <c r="N659" s="2" t="str">
        <f>IFERROR(VLOOKUP(ROWS($N$2:N659),$D$2:$E$1996,2,0),"")</f>
        <v>Φ100</v>
      </c>
    </row>
    <row r="660" spans="1:14">
      <c r="A660" s="5">
        <v>3</v>
      </c>
      <c r="B660" s="32">
        <f>IF(ISNUMBER(SEARCH('Φόρμα Εισαγωγής'!$B$2,C660)),MAX($B$1:B659)+1,0)</f>
        <v>659</v>
      </c>
      <c r="C660" s="7" t="s">
        <v>869</v>
      </c>
      <c r="D660" s="33">
        <f>IF(ISNUMBER(SEARCH('Φόρμα Εισαγωγής'!$C$2,E660)),MAX($D$1:D659)+1,0)</f>
        <v>659</v>
      </c>
      <c r="E660" s="17" t="s">
        <v>443</v>
      </c>
      <c r="F660" s="5">
        <v>4.8499999999999996</v>
      </c>
      <c r="G660" s="5">
        <v>6.8</v>
      </c>
      <c r="H660" s="6">
        <f t="shared" si="39"/>
        <v>8.4320000000000004</v>
      </c>
      <c r="I660" s="6">
        <f t="shared" si="40"/>
        <v>14.549999999999999</v>
      </c>
      <c r="J660" s="6">
        <f t="shared" si="41"/>
        <v>25.295999999999999</v>
      </c>
      <c r="L660" s="4" t="str">
        <f>IFERROR(VLOOKUP(ROWS($L$2:L660),$B$2:$C$1996,2,0),"")</f>
        <v>ΣΥΣΤΟΛΗ ΜΕ ΛΑΣΤΙΧΟ REDI</v>
      </c>
      <c r="N660" s="2" t="str">
        <f>IFERROR(VLOOKUP(ROWS($N$2:N660),$D$2:$E$1996,2,0),"")</f>
        <v>Φ110 Χ Φ100</v>
      </c>
    </row>
    <row r="661" spans="1:14">
      <c r="A661" s="5">
        <v>2</v>
      </c>
      <c r="B661" s="32">
        <f>IF(ISNUMBER(SEARCH('Φόρμα Εισαγωγής'!$B$2,C661)),MAX($B$1:B660)+1,0)</f>
        <v>660</v>
      </c>
      <c r="C661" s="7" t="s">
        <v>565</v>
      </c>
      <c r="D661" s="33">
        <f>IF(ISNUMBER(SEARCH('Φόρμα Εισαγωγής'!$C$2,E661)),MAX($D$1:D660)+1,0)</f>
        <v>660</v>
      </c>
      <c r="E661" s="17" t="s">
        <v>443</v>
      </c>
      <c r="F661" s="5">
        <v>4.8499999999999996</v>
      </c>
      <c r="G661" s="5">
        <v>6.8</v>
      </c>
      <c r="H661" s="6">
        <f t="shared" si="39"/>
        <v>8.4320000000000004</v>
      </c>
      <c r="I661" s="6">
        <f t="shared" si="40"/>
        <v>9.6999999999999993</v>
      </c>
      <c r="J661" s="6">
        <f t="shared" si="41"/>
        <v>16.864000000000001</v>
      </c>
      <c r="L661" s="4" t="str">
        <f>IFERROR(VLOOKUP(ROWS($L$2:L661),$B$2:$C$1996,2,0),"")</f>
        <v>ΣΥΣΤΟΛΗ VALSIR</v>
      </c>
      <c r="N661" s="2" t="str">
        <f>IFERROR(VLOOKUP(ROWS($N$2:N661),$D$2:$E$1996,2,0),"")</f>
        <v>Φ110 Χ Φ100</v>
      </c>
    </row>
    <row r="662" spans="1:14">
      <c r="A662" s="5">
        <v>11</v>
      </c>
      <c r="B662" s="32">
        <f>IF(ISNUMBER(SEARCH('Φόρμα Εισαγωγής'!$B$2,C662)),MAX($B$1:B661)+1,0)</f>
        <v>661</v>
      </c>
      <c r="C662" s="7" t="s">
        <v>565</v>
      </c>
      <c r="D662" s="33">
        <f>IF(ISNUMBER(SEARCH('Φόρμα Εισαγωγής'!$C$2,E662)),MAX($D$1:D661)+1,0)</f>
        <v>661</v>
      </c>
      <c r="E662" s="17" t="s">
        <v>444</v>
      </c>
      <c r="F662" s="5">
        <v>3.45</v>
      </c>
      <c r="G662" s="5">
        <v>4.8499999999999996</v>
      </c>
      <c r="H662" s="6">
        <f t="shared" si="39"/>
        <v>6.0139999999999993</v>
      </c>
      <c r="I662" s="6">
        <f t="shared" si="40"/>
        <v>37.950000000000003</v>
      </c>
      <c r="J662" s="6">
        <f t="shared" si="41"/>
        <v>66.153999999999996</v>
      </c>
      <c r="L662" s="4" t="str">
        <f>IFERROR(VLOOKUP(ROWS($L$2:L662),$B$2:$C$1996,2,0),"")</f>
        <v>ΣΥΣΤΟΛΗ VALSIR</v>
      </c>
      <c r="N662" s="2" t="str">
        <f>IFERROR(VLOOKUP(ROWS($N$2:N662),$D$2:$E$1996,2,0),"")</f>
        <v>Φ100 Χ Φ90</v>
      </c>
    </row>
    <row r="663" spans="1:14">
      <c r="A663" s="5">
        <v>20</v>
      </c>
      <c r="B663" s="32">
        <f>IF(ISNUMBER(SEARCH('Φόρμα Εισαγωγής'!$B$2,C663)),MAX($B$1:B662)+1,0)</f>
        <v>662</v>
      </c>
      <c r="C663" s="7" t="s">
        <v>450</v>
      </c>
      <c r="D663" s="33">
        <f>IF(ISNUMBER(SEARCH('Φόρμα Εισαγωγής'!$C$2,E663)),MAX($D$1:D662)+1,0)</f>
        <v>662</v>
      </c>
      <c r="E663" s="17" t="s">
        <v>189</v>
      </c>
      <c r="F663" s="5">
        <v>0.36</v>
      </c>
      <c r="G663" s="5">
        <v>0.5</v>
      </c>
      <c r="H663" s="6">
        <f t="shared" si="39"/>
        <v>0.62</v>
      </c>
      <c r="I663" s="6">
        <f t="shared" si="40"/>
        <v>7.1999999999999993</v>
      </c>
      <c r="J663" s="6">
        <f t="shared" si="41"/>
        <v>12.4</v>
      </c>
      <c r="L663" s="4" t="str">
        <f>IFERROR(VLOOKUP(ROWS($L$2:L663),$B$2:$C$1996,2,0),"")</f>
        <v>ΜΟΥΦΑ SOLI</v>
      </c>
      <c r="N663" s="2" t="str">
        <f>IFERROR(VLOOKUP(ROWS($N$2:N663),$D$2:$E$1996,2,0),"")</f>
        <v>Φ40</v>
      </c>
    </row>
    <row r="664" spans="1:14">
      <c r="A664" s="5">
        <v>3</v>
      </c>
      <c r="B664" s="32">
        <f>IF(ISNUMBER(SEARCH('Φόρμα Εισαγωγής'!$B$2,C664)),MAX($B$1:B663)+1,0)</f>
        <v>663</v>
      </c>
      <c r="C664" s="7" t="s">
        <v>445</v>
      </c>
      <c r="D664" s="33">
        <f>IF(ISNUMBER(SEARCH('Φόρμα Εισαγωγής'!$C$2,E664)),MAX($D$1:D663)+1,0)</f>
        <v>663</v>
      </c>
      <c r="E664" s="17" t="s">
        <v>190</v>
      </c>
      <c r="F664" s="5">
        <v>2.2599999999999998</v>
      </c>
      <c r="G664" s="5">
        <v>3.2</v>
      </c>
      <c r="H664" s="6">
        <f t="shared" si="39"/>
        <v>3.968</v>
      </c>
      <c r="I664" s="6">
        <f t="shared" si="40"/>
        <v>6.7799999999999994</v>
      </c>
      <c r="J664" s="6">
        <f t="shared" si="41"/>
        <v>11.904</v>
      </c>
      <c r="L664" s="4" t="str">
        <f>IFERROR(VLOOKUP(ROWS($L$2:L664),$B$2:$C$1996,2,0),"")</f>
        <v>ΣΩΛΗΝΑ VALSIR 1,5M</v>
      </c>
      <c r="N664" s="2" t="str">
        <f>IFERROR(VLOOKUP(ROWS($N$2:N664),$D$2:$E$1996,2,0),"")</f>
        <v>Φ50</v>
      </c>
    </row>
    <row r="665" spans="1:14">
      <c r="A665" s="5">
        <v>3</v>
      </c>
      <c r="B665" s="32">
        <f>IF(ISNUMBER(SEARCH('Φόρμα Εισαγωγής'!$B$2,C665)),MAX($B$1:B664)+1,0)</f>
        <v>664</v>
      </c>
      <c r="C665" s="7" t="s">
        <v>446</v>
      </c>
      <c r="D665" s="33">
        <f>IF(ISNUMBER(SEARCH('Φόρμα Εισαγωγής'!$C$2,E665)),MAX($D$1:D664)+1,0)</f>
        <v>664</v>
      </c>
      <c r="E665" s="17" t="s">
        <v>190</v>
      </c>
      <c r="F665" s="5">
        <v>1.3</v>
      </c>
      <c r="G665" s="5">
        <v>1.9</v>
      </c>
      <c r="H665" s="6">
        <f t="shared" si="39"/>
        <v>2.3559999999999999</v>
      </c>
      <c r="I665" s="6">
        <f t="shared" si="40"/>
        <v>3.9000000000000004</v>
      </c>
      <c r="J665" s="6">
        <f t="shared" si="41"/>
        <v>7.0679999999999996</v>
      </c>
      <c r="L665" s="4" t="str">
        <f>IFERROR(VLOOKUP(ROWS($L$2:L665),$B$2:$C$1996,2,0),"")</f>
        <v>ΣΩΛΗΝΑ VALSIR 1M</v>
      </c>
      <c r="N665" s="2" t="str">
        <f>IFERROR(VLOOKUP(ROWS($N$2:N665),$D$2:$E$1996,2,0),"")</f>
        <v>Φ50</v>
      </c>
    </row>
    <row r="666" spans="1:14">
      <c r="A666" s="5">
        <v>0</v>
      </c>
      <c r="B666" s="32">
        <f>IF(ISNUMBER(SEARCH('Φόρμα Εισαγωγής'!$B$2,C666)),MAX($B$1:B665)+1,0)</f>
        <v>665</v>
      </c>
      <c r="C666" s="7" t="s">
        <v>447</v>
      </c>
      <c r="D666" s="33">
        <f>IF(ISNUMBER(SEARCH('Φόρμα Εισαγωγής'!$C$2,E666)),MAX($D$1:D665)+1,0)</f>
        <v>665</v>
      </c>
      <c r="E666" s="17" t="s">
        <v>315</v>
      </c>
      <c r="F666" s="5">
        <v>1.86</v>
      </c>
      <c r="G666" s="5">
        <v>2.6</v>
      </c>
      <c r="H666" s="6">
        <f t="shared" si="39"/>
        <v>3.2240000000000002</v>
      </c>
      <c r="I666" s="6">
        <f t="shared" si="40"/>
        <v>0</v>
      </c>
      <c r="J666" s="6">
        <f t="shared" si="41"/>
        <v>0</v>
      </c>
      <c r="L666" s="4" t="str">
        <f>IFERROR(VLOOKUP(ROWS($L$2:L666),$B$2:$C$1996,2,0),"")</f>
        <v>ΣΩΛΗΝΑ VALSIR 0,50Μ</v>
      </c>
      <c r="N666" s="2" t="str">
        <f>IFERROR(VLOOKUP(ROWS($N$2:N666),$D$2:$E$1996,2,0),"")</f>
        <v>Φ110</v>
      </c>
    </row>
    <row r="667" spans="1:14">
      <c r="A667" s="5">
        <v>1</v>
      </c>
      <c r="B667" s="32">
        <f>IF(ISNUMBER(SEARCH('Φόρμα Εισαγωγής'!$B$2,C667)),MAX($B$1:B666)+1,0)</f>
        <v>666</v>
      </c>
      <c r="C667" s="7" t="s">
        <v>448</v>
      </c>
      <c r="D667" s="33">
        <f>IF(ISNUMBER(SEARCH('Φόρμα Εισαγωγής'!$C$2,E667)),MAX($D$1:D666)+1,0)</f>
        <v>666</v>
      </c>
      <c r="E667" s="17" t="s">
        <v>315</v>
      </c>
      <c r="F667" s="5">
        <v>2.6</v>
      </c>
      <c r="G667" s="5">
        <v>3.6</v>
      </c>
      <c r="H667" s="6">
        <f t="shared" si="39"/>
        <v>4.4640000000000004</v>
      </c>
      <c r="I667" s="6">
        <f t="shared" si="40"/>
        <v>2.6</v>
      </c>
      <c r="J667" s="6">
        <f t="shared" si="41"/>
        <v>4.4640000000000004</v>
      </c>
      <c r="L667" s="4" t="str">
        <f>IFERROR(VLOOKUP(ROWS($L$2:L667),$B$2:$C$1996,2,0),"")</f>
        <v>ΣΩΛΗΝΑ VALSIR 0,75Μ</v>
      </c>
      <c r="N667" s="2" t="str">
        <f>IFERROR(VLOOKUP(ROWS($N$2:N667),$D$2:$E$1996,2,0),"")</f>
        <v>Φ110</v>
      </c>
    </row>
    <row r="668" spans="1:14">
      <c r="A668" s="5">
        <v>1</v>
      </c>
      <c r="B668" s="32">
        <f>IF(ISNUMBER(SEARCH('Φόρμα Εισαγωγής'!$B$2,C668)),MAX($B$1:B667)+1,0)</f>
        <v>667</v>
      </c>
      <c r="C668" s="7" t="s">
        <v>448</v>
      </c>
      <c r="D668" s="33">
        <f>IF(ISNUMBER(SEARCH('Φόρμα Εισαγωγής'!$C$2,E668)),MAX($D$1:D667)+1,0)</f>
        <v>667</v>
      </c>
      <c r="E668" s="17" t="s">
        <v>190</v>
      </c>
      <c r="F668" s="5">
        <v>1</v>
      </c>
      <c r="G668" s="5">
        <v>1.4</v>
      </c>
      <c r="H668" s="6">
        <f t="shared" si="39"/>
        <v>1.7359999999999998</v>
      </c>
      <c r="I668" s="6">
        <f t="shared" si="40"/>
        <v>1</v>
      </c>
      <c r="J668" s="6">
        <f t="shared" si="41"/>
        <v>1.7359999999999998</v>
      </c>
      <c r="L668" s="4" t="str">
        <f>IFERROR(VLOOKUP(ROWS($L$2:L668),$B$2:$C$1996,2,0),"")</f>
        <v>ΣΩΛΗΝΑ VALSIR 0,75Μ</v>
      </c>
      <c r="N668" s="2" t="str">
        <f>IFERROR(VLOOKUP(ROWS($N$2:N668),$D$2:$E$1996,2,0),"")</f>
        <v>Φ50</v>
      </c>
    </row>
    <row r="669" spans="1:14">
      <c r="A669" s="5">
        <v>1</v>
      </c>
      <c r="B669" s="32">
        <f>IF(ISNUMBER(SEARCH('Φόρμα Εισαγωγής'!$B$2,C669)),MAX($B$1:B668)+1,0)</f>
        <v>668</v>
      </c>
      <c r="C669" s="7" t="s">
        <v>447</v>
      </c>
      <c r="D669" s="33">
        <f>IF(ISNUMBER(SEARCH('Φόρμα Εισαγωγής'!$C$2,E669)),MAX($D$1:D668)+1,0)</f>
        <v>668</v>
      </c>
      <c r="E669" s="17" t="s">
        <v>190</v>
      </c>
      <c r="F669" s="5">
        <v>0.8</v>
      </c>
      <c r="G669" s="5">
        <v>1.1000000000000001</v>
      </c>
      <c r="H669" s="6">
        <f t="shared" si="39"/>
        <v>1.3640000000000001</v>
      </c>
      <c r="I669" s="6">
        <f t="shared" si="40"/>
        <v>0.8</v>
      </c>
      <c r="J669" s="6">
        <f t="shared" si="41"/>
        <v>1.3640000000000001</v>
      </c>
      <c r="L669" s="4" t="str">
        <f>IFERROR(VLOOKUP(ROWS($L$2:L669),$B$2:$C$1996,2,0),"")</f>
        <v>ΣΩΛΗΝΑ VALSIR 0,50Μ</v>
      </c>
      <c r="N669" s="2" t="str">
        <f>IFERROR(VLOOKUP(ROWS($N$2:N669),$D$2:$E$1996,2,0),"")</f>
        <v>Φ50</v>
      </c>
    </row>
    <row r="670" spans="1:14">
      <c r="A670" s="5">
        <v>0</v>
      </c>
      <c r="B670" s="32">
        <f>IF(ISNUMBER(SEARCH('Φόρμα Εισαγωγής'!$B$2,C670)),MAX($B$1:B669)+1,0)</f>
        <v>669</v>
      </c>
      <c r="C670" s="7" t="s">
        <v>449</v>
      </c>
      <c r="D670" s="33">
        <f>IF(ISNUMBER(SEARCH('Φόρμα Εισαγωγής'!$C$2,E670)),MAX($D$1:D669)+1,0)</f>
        <v>669</v>
      </c>
      <c r="E670" s="17" t="s">
        <v>190</v>
      </c>
      <c r="F670" s="5">
        <v>2.6</v>
      </c>
      <c r="G670" s="5">
        <v>3.6</v>
      </c>
      <c r="H670" s="6">
        <f t="shared" si="39"/>
        <v>4.4640000000000004</v>
      </c>
      <c r="I670" s="6">
        <f t="shared" si="40"/>
        <v>0</v>
      </c>
      <c r="J670" s="6">
        <f t="shared" si="41"/>
        <v>0</v>
      </c>
      <c r="L670" s="4" t="str">
        <f>IFERROR(VLOOKUP(ROWS($L$2:L670),$B$2:$C$1996,2,0),"")</f>
        <v>ΣΩΛΗΝΑ VALSIR 2Μ</v>
      </c>
      <c r="N670" s="2" t="str">
        <f>IFERROR(VLOOKUP(ROWS($N$2:N670),$D$2:$E$1996,2,0),"")</f>
        <v>Φ50</v>
      </c>
    </row>
    <row r="671" spans="1:14">
      <c r="A671" s="5">
        <v>0</v>
      </c>
      <c r="B671" s="32">
        <f>IF(ISNUMBER(SEARCH('Φόρμα Εισαγωγής'!$B$2,C671)),MAX($B$1:B670)+1,0)</f>
        <v>670</v>
      </c>
      <c r="C671" s="7" t="s">
        <v>1025</v>
      </c>
      <c r="D671" s="33">
        <f>IF(ISNUMBER(SEARCH('Φόρμα Εισαγωγής'!$C$2,E671)),MAX($D$1:D670)+1,0)</f>
        <v>670</v>
      </c>
      <c r="E671" s="17" t="s">
        <v>315</v>
      </c>
      <c r="F671" s="5">
        <v>3</v>
      </c>
      <c r="G671" s="5">
        <v>4.3</v>
      </c>
      <c r="H671" s="6">
        <f t="shared" si="39"/>
        <v>5.3319999999999999</v>
      </c>
      <c r="I671" s="6">
        <f t="shared" si="40"/>
        <v>0</v>
      </c>
      <c r="J671" s="6">
        <f t="shared" si="41"/>
        <v>0</v>
      </c>
      <c r="L671" s="4" t="str">
        <f>IFERROR(VLOOKUP(ROWS($L$2:L671),$B$2:$C$1996,2,0),"")</f>
        <v>ΣΩΛΗΝΑ VALSIR 1,5Μ</v>
      </c>
      <c r="N671" s="2" t="str">
        <f>IFERROR(VLOOKUP(ROWS($N$2:N671),$D$2:$E$1996,2,0),"")</f>
        <v>Φ110</v>
      </c>
    </row>
    <row r="672" spans="1:14">
      <c r="A672" s="5">
        <v>1</v>
      </c>
      <c r="B672" s="32">
        <f>IF(ISNUMBER(SEARCH('Φόρμα Εισαγωγής'!$B$2,C672)),MAX($B$1:B671)+1,0)</f>
        <v>671</v>
      </c>
      <c r="C672" s="7" t="s">
        <v>773</v>
      </c>
      <c r="D672" s="33">
        <f>IF(ISNUMBER(SEARCH('Φόρμα Εισαγωγής'!$C$2,E672)),MAX($D$1:D671)+1,0)</f>
        <v>671</v>
      </c>
      <c r="E672" s="17" t="s">
        <v>774</v>
      </c>
      <c r="F672" s="5">
        <v>0.45</v>
      </c>
      <c r="G672" s="5">
        <v>0.65</v>
      </c>
      <c r="H672" s="6">
        <f t="shared" si="39"/>
        <v>0.80600000000000005</v>
      </c>
      <c r="I672" s="6">
        <f t="shared" si="40"/>
        <v>0.45</v>
      </c>
      <c r="J672" s="6">
        <f t="shared" si="41"/>
        <v>0.80600000000000005</v>
      </c>
      <c r="L672" s="4" t="str">
        <f>IFERROR(VLOOKUP(ROWS($L$2:L672),$B$2:$C$1996,2,0),"")</f>
        <v xml:space="preserve">ΜΟΥΦΑ SOLI </v>
      </c>
      <c r="N672" s="2" t="str">
        <f>IFERROR(VLOOKUP(ROWS($N$2:N672),$D$2:$E$1996,2,0),"")</f>
        <v>Φ57/50</v>
      </c>
    </row>
    <row r="673" spans="1:14">
      <c r="A673" s="5">
        <v>0</v>
      </c>
      <c r="B673" s="32">
        <f>IF(ISNUMBER(SEARCH('Φόρμα Εισαγωγής'!$B$2,C673)),MAX($B$1:B672)+1,0)</f>
        <v>672</v>
      </c>
      <c r="C673" s="7" t="s">
        <v>450</v>
      </c>
      <c r="D673" s="33">
        <f>IF(ISNUMBER(SEARCH('Φόρμα Εισαγωγής'!$C$2,E673)),MAX($D$1:D672)+1,0)</f>
        <v>672</v>
      </c>
      <c r="E673" s="17" t="s">
        <v>775</v>
      </c>
      <c r="F673" s="5">
        <v>0.45</v>
      </c>
      <c r="G673" s="5">
        <v>0.65</v>
      </c>
      <c r="H673" s="6">
        <f t="shared" si="39"/>
        <v>0.80600000000000005</v>
      </c>
      <c r="I673" s="6">
        <f t="shared" si="40"/>
        <v>0</v>
      </c>
      <c r="J673" s="6">
        <f t="shared" si="41"/>
        <v>0</v>
      </c>
      <c r="L673" s="4" t="str">
        <f>IFERROR(VLOOKUP(ROWS($L$2:L673),$B$2:$C$1996,2,0),"")</f>
        <v>ΜΟΥΦΑ SOLI</v>
      </c>
      <c r="N673" s="2" t="str">
        <f>IFERROR(VLOOKUP(ROWS($N$2:N673),$D$2:$E$1996,2,0),"")</f>
        <v>Φ57/63</v>
      </c>
    </row>
    <row r="674" spans="1:14">
      <c r="A674" s="5">
        <v>8</v>
      </c>
      <c r="B674" s="32">
        <f>IF(ISNUMBER(SEARCH('Φόρμα Εισαγωγής'!$B$2,C674)),MAX($B$1:B673)+1,0)</f>
        <v>673</v>
      </c>
      <c r="C674" s="7" t="s">
        <v>451</v>
      </c>
      <c r="D674" s="33">
        <f>IF(ISNUMBER(SEARCH('Φόρμα Εισαγωγής'!$C$2,E674)),MAX($D$1:D673)+1,0)</f>
        <v>673</v>
      </c>
      <c r="E674" s="17" t="s">
        <v>452</v>
      </c>
      <c r="F674" s="5">
        <v>0.68</v>
      </c>
      <c r="G674" s="5">
        <v>1</v>
      </c>
      <c r="H674" s="6">
        <f t="shared" si="39"/>
        <v>1.24</v>
      </c>
      <c r="I674" s="6">
        <f t="shared" si="40"/>
        <v>5.44</v>
      </c>
      <c r="J674" s="6">
        <f t="shared" si="41"/>
        <v>9.92</v>
      </c>
      <c r="L674" s="4" t="str">
        <f>IFERROR(VLOOKUP(ROWS($L$2:L674),$B$2:$C$1996,2,0),"")</f>
        <v>ΓΩΝΙΑ ΝΙΠΤΗΡΑ SOLI</v>
      </c>
      <c r="N674" s="2" t="str">
        <f>IFERROR(VLOOKUP(ROWS($N$2:N674),$D$2:$E$1996,2,0),"")</f>
        <v>Φ32 Χ Φ40</v>
      </c>
    </row>
    <row r="675" spans="1:14">
      <c r="A675" s="5">
        <v>5</v>
      </c>
      <c r="B675" s="32">
        <f>IF(ISNUMBER(SEARCH('Φόρμα Εισαγωγής'!$B$2,C675)),MAX($B$1:B674)+1,0)</f>
        <v>674</v>
      </c>
      <c r="C675" s="7" t="s">
        <v>777</v>
      </c>
      <c r="D675" s="33">
        <f>IF(ISNUMBER(SEARCH('Φόρμα Εισαγωγής'!$C$2,E675)),MAX($D$1:D674)+1,0)</f>
        <v>674</v>
      </c>
      <c r="E675" s="17" t="s">
        <v>776</v>
      </c>
      <c r="F675" s="5">
        <v>2</v>
      </c>
      <c r="G675" s="5">
        <v>2.8</v>
      </c>
      <c r="H675" s="6">
        <f t="shared" si="39"/>
        <v>3.4719999999999995</v>
      </c>
      <c r="I675" s="6">
        <f t="shared" si="40"/>
        <v>10</v>
      </c>
      <c r="J675" s="6">
        <f t="shared" si="41"/>
        <v>17.36</v>
      </c>
      <c r="L675" s="4" t="str">
        <f>IFERROR(VLOOKUP(ROWS($L$2:L675),$B$2:$C$1996,2,0),"")</f>
        <v>ΓΩΝΙΑ ΜΠΑΝΙΕΡΑΣ ΟΡ SOLI</v>
      </c>
      <c r="N675" s="2" t="str">
        <f>IFERROR(VLOOKUP(ROWS($N$2:N675),$D$2:$E$1996,2,0),"")</f>
        <v>Φ32 Χ 1 1/2''</v>
      </c>
    </row>
    <row r="676" spans="1:14">
      <c r="A676" s="5">
        <v>4</v>
      </c>
      <c r="B676" s="32">
        <f>IF(ISNUMBER(SEARCH('Φόρμα Εισαγωγής'!$B$2,C676)),MAX($B$1:B675)+1,0)</f>
        <v>675</v>
      </c>
      <c r="C676" s="7" t="s">
        <v>453</v>
      </c>
      <c r="D676" s="33">
        <f>IF(ISNUMBER(SEARCH('Φόρμα Εισαγωγής'!$C$2,E676)),MAX($D$1:D675)+1,0)</f>
        <v>675</v>
      </c>
      <c r="E676" s="17" t="s">
        <v>454</v>
      </c>
      <c r="F676" s="5">
        <v>2.5499999999999998</v>
      </c>
      <c r="G676" s="5">
        <v>3.6</v>
      </c>
      <c r="H676" s="6">
        <f t="shared" si="39"/>
        <v>4.4640000000000004</v>
      </c>
      <c r="I676" s="6">
        <f t="shared" si="40"/>
        <v>10.199999999999999</v>
      </c>
      <c r="J676" s="6">
        <f t="shared" si="41"/>
        <v>17.856000000000002</v>
      </c>
      <c r="L676" s="4" t="str">
        <f>IFERROR(VLOOKUP(ROWS($L$2:L676),$B$2:$C$1996,2,0),"")</f>
        <v>ΓΩΝΙΑ ΜΠΑΝΙΕΡΑΣ</v>
      </c>
      <c r="N676" s="2" t="str">
        <f>IFERROR(VLOOKUP(ROWS($N$2:N676),$D$2:$E$1996,2,0),"")</f>
        <v>Φ40 Χ 1 1/4''</v>
      </c>
    </row>
    <row r="677" spans="1:14">
      <c r="A677" s="5">
        <v>15</v>
      </c>
      <c r="B677" s="32">
        <f>IF(ISNUMBER(SEARCH('Φόρμα Εισαγωγής'!$B$2,C677)),MAX($B$1:B676)+1,0)</f>
        <v>676</v>
      </c>
      <c r="C677" s="7" t="s">
        <v>453</v>
      </c>
      <c r="D677" s="33">
        <f>IF(ISNUMBER(SEARCH('Φόρμα Εισαγωγής'!$C$2,E677)),MAX($D$1:D676)+1,0)</f>
        <v>676</v>
      </c>
      <c r="E677" s="17" t="s">
        <v>455</v>
      </c>
      <c r="F677" s="5">
        <v>2.5499999999999998</v>
      </c>
      <c r="G677" s="5">
        <v>3.6</v>
      </c>
      <c r="H677" s="6">
        <f t="shared" si="39"/>
        <v>4.4640000000000004</v>
      </c>
      <c r="I677" s="6">
        <f t="shared" si="40"/>
        <v>38.25</v>
      </c>
      <c r="J677" s="6">
        <f t="shared" si="41"/>
        <v>66.960000000000008</v>
      </c>
      <c r="L677" s="4" t="str">
        <f>IFERROR(VLOOKUP(ROWS($L$2:L677),$B$2:$C$1996,2,0),"")</f>
        <v>ΓΩΝΙΑ ΜΠΑΝΙΕΡΑΣ</v>
      </c>
      <c r="N677" s="2" t="str">
        <f>IFERROR(VLOOKUP(ROWS($N$2:N677),$D$2:$E$1996,2,0),"")</f>
        <v>Φ40 Χ 1 1/2''</v>
      </c>
    </row>
    <row r="678" spans="1:14">
      <c r="A678" s="5">
        <v>3</v>
      </c>
      <c r="B678" s="32">
        <f>IF(ISNUMBER(SEARCH('Φόρμα Εισαγωγής'!$B$2,C678)),MAX($B$1:B677)+1,0)</f>
        <v>677</v>
      </c>
      <c r="C678" s="7" t="s">
        <v>456</v>
      </c>
      <c r="D678" s="33">
        <f>IF(ISNUMBER(SEARCH('Φόρμα Εισαγωγής'!$C$2,E678)),MAX($D$1:D677)+1,0)</f>
        <v>677</v>
      </c>
      <c r="E678" s="17" t="s">
        <v>457</v>
      </c>
      <c r="F678" s="5">
        <v>0.6</v>
      </c>
      <c r="G678" s="5">
        <v>1</v>
      </c>
      <c r="H678" s="6">
        <f t="shared" si="39"/>
        <v>1.24</v>
      </c>
      <c r="I678" s="6">
        <f t="shared" si="40"/>
        <v>1.7999999999999998</v>
      </c>
      <c r="J678" s="6">
        <f t="shared" si="41"/>
        <v>3.7199999999999998</v>
      </c>
      <c r="L678" s="4" t="str">
        <f>IFERROR(VLOOKUP(ROWS($L$2:L678),$B$2:$C$1996,2,0),"")</f>
        <v xml:space="preserve">ΣΥΣΤΟΛΗ PVC </v>
      </c>
      <c r="N678" s="2" t="str">
        <f>IFERROR(VLOOKUP(ROWS($N$2:N678),$D$2:$E$1996,2,0),"")</f>
        <v>Φ32 Χ 1''</v>
      </c>
    </row>
    <row r="679" spans="1:14">
      <c r="A679" s="5">
        <v>115.5</v>
      </c>
      <c r="B679" s="32">
        <f>IF(ISNUMBER(SEARCH('Φόρμα Εισαγωγής'!$B$2,C679)),MAX($B$1:B678)+1,0)</f>
        <v>678</v>
      </c>
      <c r="C679" s="7" t="s">
        <v>788</v>
      </c>
      <c r="D679" s="33">
        <f>IF(ISNUMBER(SEARCH('Φόρμα Εισαγωγής'!$C$2,E679)),MAX($D$1:D678)+1,0)</f>
        <v>678</v>
      </c>
      <c r="E679" s="17" t="s">
        <v>458</v>
      </c>
      <c r="F679" s="5">
        <v>2.2599999999999998</v>
      </c>
      <c r="G679" s="5">
        <v>3.2</v>
      </c>
      <c r="H679" s="6">
        <f t="shared" si="39"/>
        <v>3.968</v>
      </c>
      <c r="I679" s="6">
        <f t="shared" si="40"/>
        <v>261.02999999999997</v>
      </c>
      <c r="J679" s="6">
        <f t="shared" si="41"/>
        <v>458.30399999999997</v>
      </c>
      <c r="L679" s="4" t="str">
        <f>IFERROR(VLOOKUP(ROWS($L$2:L679),$B$2:$C$1996,2,0),"")</f>
        <v>ΣΩΛΗΝΑ ΠΟΛ ΜΟΝΩΜΕΝΗ GIACOMINI</v>
      </c>
      <c r="N679" s="2" t="str">
        <f>IFERROR(VLOOKUP(ROWS($N$2:N679),$D$2:$E$1996,2,0),"")</f>
        <v>Φ26 Χ 3</v>
      </c>
    </row>
    <row r="680" spans="1:14">
      <c r="A680" s="5">
        <v>91</v>
      </c>
      <c r="B680" s="32">
        <f>IF(ISNUMBER(SEARCH('Φόρμα Εισαγωγής'!$B$2,C680)),MAX($B$1:B679)+1,0)</f>
        <v>679</v>
      </c>
      <c r="C680" s="7" t="s">
        <v>788</v>
      </c>
      <c r="D680" s="33">
        <f>IF(ISNUMBER(SEARCH('Φόρμα Εισαγωγής'!$C$2,E680)),MAX($D$1:D679)+1,0)</f>
        <v>679</v>
      </c>
      <c r="E680" s="17" t="s">
        <v>459</v>
      </c>
      <c r="F680" s="5">
        <v>0.79</v>
      </c>
      <c r="G680" s="5">
        <v>1.1000000000000001</v>
      </c>
      <c r="H680" s="6">
        <f t="shared" si="39"/>
        <v>1.3640000000000001</v>
      </c>
      <c r="I680" s="6">
        <f t="shared" si="40"/>
        <v>71.89</v>
      </c>
      <c r="J680" s="6">
        <f t="shared" si="41"/>
        <v>124.12400000000001</v>
      </c>
      <c r="L680" s="4" t="str">
        <f>IFERROR(VLOOKUP(ROWS($L$2:L680),$B$2:$C$1996,2,0),"")</f>
        <v>ΣΩΛΗΝΑ ΠΟΛ ΜΟΝΩΜΕΝΗ GIACOMINI</v>
      </c>
      <c r="N680" s="2" t="str">
        <f>IFERROR(VLOOKUP(ROWS($N$2:N680),$D$2:$E$1996,2,0),"")</f>
        <v>Φ16 Χ 2</v>
      </c>
    </row>
    <row r="681" spans="1:14">
      <c r="A681" s="5">
        <v>84</v>
      </c>
      <c r="B681" s="32">
        <f>IF(ISNUMBER(SEARCH('Φόρμα Εισαγωγής'!$B$2,C681)),MAX($B$1:B680)+1,0)</f>
        <v>680</v>
      </c>
      <c r="C681" s="7" t="s">
        <v>787</v>
      </c>
      <c r="D681" s="33">
        <f>IF(ISNUMBER(SEARCH('Φόρμα Εισαγωγής'!$C$2,E681)),MAX($D$1:D680)+1,0)</f>
        <v>680</v>
      </c>
      <c r="E681" s="17" t="s">
        <v>460</v>
      </c>
      <c r="F681" s="5">
        <v>0.84</v>
      </c>
      <c r="G681" s="5">
        <v>1.2</v>
      </c>
      <c r="H681" s="6">
        <f t="shared" si="39"/>
        <v>1.488</v>
      </c>
      <c r="I681" s="6">
        <f t="shared" si="40"/>
        <v>70.56</v>
      </c>
      <c r="J681" s="6">
        <f t="shared" si="41"/>
        <v>124.992</v>
      </c>
      <c r="L681" s="4" t="str">
        <f>IFERROR(VLOOKUP(ROWS($L$2:L681),$B$2:$C$1996,2,0),"")</f>
        <v>ΣΩΛΗΝΑ ΠΟΛ GIACOMINI</v>
      </c>
      <c r="N681" s="2" t="str">
        <f>IFERROR(VLOOKUP(ROWS($N$2:N681),$D$2:$E$1996,2,0),"")</f>
        <v>Φ20 Χ 2</v>
      </c>
    </row>
    <row r="682" spans="1:14">
      <c r="A682" s="5">
        <v>4</v>
      </c>
      <c r="B682" s="32">
        <f>IF(ISNUMBER(SEARCH('Φόρμα Εισαγωγής'!$B$2,C682)),MAX($B$1:B681)+1,0)</f>
        <v>681</v>
      </c>
      <c r="C682" s="7" t="s">
        <v>786</v>
      </c>
      <c r="D682" s="33">
        <f>IF(ISNUMBER(SEARCH('Φόρμα Εισαγωγής'!$C$2,E682)),MAX($D$1:D681)+1,0)</f>
        <v>681</v>
      </c>
      <c r="E682" s="17" t="s">
        <v>461</v>
      </c>
      <c r="F682" s="5">
        <v>2.2200000000000002</v>
      </c>
      <c r="G682" s="5">
        <v>3.1</v>
      </c>
      <c r="H682" s="6">
        <f t="shared" si="39"/>
        <v>3.8440000000000003</v>
      </c>
      <c r="I682" s="6">
        <f t="shared" si="40"/>
        <v>8.8800000000000008</v>
      </c>
      <c r="J682" s="6">
        <f t="shared" si="41"/>
        <v>15.376000000000001</v>
      </c>
      <c r="L682" s="4" t="str">
        <f>IFERROR(VLOOKUP(ROWS($L$2:L682),$B$2:$C$1996,2,0),"")</f>
        <v>ΣΩΛΗΝΑ ΠΟΛ UPONOR</v>
      </c>
      <c r="N682" s="2" t="str">
        <f>IFERROR(VLOOKUP(ROWS($N$2:N682),$D$2:$E$1996,2,0),"")</f>
        <v>Φ25 Χ 2 1/2</v>
      </c>
    </row>
    <row r="683" spans="1:14">
      <c r="A683" s="5">
        <v>82</v>
      </c>
      <c r="B683" s="32">
        <f>IF(ISNUMBER(SEARCH('Φόρμα Εισαγωγής'!$B$2,C683)),MAX($B$1:B682)+1,0)</f>
        <v>682</v>
      </c>
      <c r="C683" s="7" t="s">
        <v>786</v>
      </c>
      <c r="D683" s="33">
        <f>IF(ISNUMBER(SEARCH('Φόρμα Εισαγωγής'!$C$2,E683)),MAX($D$1:D682)+1,0)</f>
        <v>682</v>
      </c>
      <c r="E683" s="17" t="s">
        <v>459</v>
      </c>
      <c r="F683" s="5">
        <v>0.76</v>
      </c>
      <c r="G683" s="5">
        <v>1.1000000000000001</v>
      </c>
      <c r="H683" s="6">
        <f t="shared" si="39"/>
        <v>1.3640000000000001</v>
      </c>
      <c r="I683" s="6">
        <f t="shared" si="40"/>
        <v>62.32</v>
      </c>
      <c r="J683" s="6">
        <f t="shared" si="41"/>
        <v>111.84800000000001</v>
      </c>
      <c r="L683" s="4" t="str">
        <f>IFERROR(VLOOKUP(ROWS($L$2:L683),$B$2:$C$1996,2,0),"")</f>
        <v>ΣΩΛΗΝΑ ΠΟΛ UPONOR</v>
      </c>
      <c r="N683" s="2" t="str">
        <f>IFERROR(VLOOKUP(ROWS($N$2:N683),$D$2:$E$1996,2,0),"")</f>
        <v>Φ16 Χ 2</v>
      </c>
    </row>
    <row r="684" spans="1:14">
      <c r="A684" s="5">
        <v>93</v>
      </c>
      <c r="B684" s="32">
        <f>IF(ISNUMBER(SEARCH('Φόρμα Εισαγωγής'!$B$2,C684)),MAX($B$1:B683)+1,0)</f>
        <v>683</v>
      </c>
      <c r="C684" s="7" t="s">
        <v>784</v>
      </c>
      <c r="D684" s="33">
        <f>IF(ISNUMBER(SEARCH('Φόρμα Εισαγωγής'!$C$2,E684)),MAX($D$1:D683)+1,0)</f>
        <v>683</v>
      </c>
      <c r="E684" s="17" t="s">
        <v>459</v>
      </c>
      <c r="F684" s="5">
        <v>0.37</v>
      </c>
      <c r="G684" s="5">
        <v>0.5</v>
      </c>
      <c r="H684" s="6">
        <f t="shared" si="39"/>
        <v>0.62</v>
      </c>
      <c r="I684" s="6">
        <f t="shared" si="40"/>
        <v>34.409999999999997</v>
      </c>
      <c r="J684" s="6">
        <f t="shared" si="41"/>
        <v>57.66</v>
      </c>
      <c r="L684" s="4" t="str">
        <f>IFERROR(VLOOKUP(ROWS($L$2:L684),$B$2:$C$1996,2,0),"")</f>
        <v>ΣΩΛΗΝΑ ΠΛΑΣΤ ΛΕΥΚΗ COMOPEX</v>
      </c>
      <c r="N684" s="2" t="str">
        <f>IFERROR(VLOOKUP(ROWS($N$2:N684),$D$2:$E$1996,2,0),"")</f>
        <v>Φ16 Χ 2</v>
      </c>
    </row>
    <row r="685" spans="1:14">
      <c r="A685" s="5">
        <v>92</v>
      </c>
      <c r="B685" s="32">
        <f>IF(ISNUMBER(SEARCH('Φόρμα Εισαγωγής'!$B$2,C685)),MAX($B$1:B684)+1,0)</f>
        <v>684</v>
      </c>
      <c r="C685" s="7" t="s">
        <v>784</v>
      </c>
      <c r="D685" s="33">
        <f>IF(ISNUMBER(SEARCH('Φόρμα Εισαγωγής'!$C$2,E685)),MAX($D$1:D684)+1,0)</f>
        <v>684</v>
      </c>
      <c r="E685" s="17" t="s">
        <v>341</v>
      </c>
      <c r="F685" s="5">
        <v>0.42</v>
      </c>
      <c r="G685" s="5">
        <v>0.6</v>
      </c>
      <c r="H685" s="6">
        <f t="shared" si="39"/>
        <v>0.74399999999999999</v>
      </c>
      <c r="I685" s="6">
        <f t="shared" si="40"/>
        <v>38.64</v>
      </c>
      <c r="J685" s="6">
        <f t="shared" si="41"/>
        <v>68.447999999999993</v>
      </c>
      <c r="L685" s="4" t="str">
        <f>IFERROR(VLOOKUP(ROWS($L$2:L685),$B$2:$C$1996,2,0),"")</f>
        <v>ΣΩΛΗΝΑ ΠΛΑΣΤ ΛΕΥΚΗ COMOPEX</v>
      </c>
      <c r="N685" s="2" t="str">
        <f>IFERROR(VLOOKUP(ROWS($N$2:N685),$D$2:$E$1996,2,0),"")</f>
        <v>Φ18 Χ 2</v>
      </c>
    </row>
    <row r="686" spans="1:14">
      <c r="A686" s="5">
        <v>68</v>
      </c>
      <c r="B686" s="32">
        <f>IF(ISNUMBER(SEARCH('Φόρμα Εισαγωγής'!$B$2,C686)),MAX($B$1:B685)+1,0)</f>
        <v>685</v>
      </c>
      <c r="C686" s="7" t="s">
        <v>783</v>
      </c>
      <c r="D686" s="33">
        <f>IF(ISNUMBER(SEARCH('Φόρμα Εισαγωγής'!$C$2,E686)),MAX($D$1:D685)+1,0)</f>
        <v>685</v>
      </c>
      <c r="E686" s="17" t="s">
        <v>341</v>
      </c>
      <c r="F686" s="5">
        <v>0.42</v>
      </c>
      <c r="G686" s="5">
        <v>0.6</v>
      </c>
      <c r="H686" s="6">
        <f t="shared" si="39"/>
        <v>0.74399999999999999</v>
      </c>
      <c r="I686" s="6">
        <f t="shared" si="40"/>
        <v>28.56</v>
      </c>
      <c r="J686" s="6">
        <f t="shared" si="41"/>
        <v>50.591999999999999</v>
      </c>
      <c r="L686" s="4" t="str">
        <f>IFERROR(VLOOKUP(ROWS($L$2:L686),$B$2:$C$1996,2,0),"")</f>
        <v>ΣΩΛΗΝΑ ΠΛΑΣΤ ΜΑΥΡΗ COMOPEX</v>
      </c>
      <c r="N686" s="2" t="str">
        <f>IFERROR(VLOOKUP(ROWS($N$2:N686),$D$2:$E$1996,2,0),"")</f>
        <v>Φ18 Χ 2</v>
      </c>
    </row>
    <row r="687" spans="1:14">
      <c r="A687" s="5">
        <v>244.5</v>
      </c>
      <c r="B687" s="32">
        <f>IF(ISNUMBER(SEARCH('Φόρμα Εισαγωγής'!$B$2,C687)),MAX($B$1:B686)+1,0)</f>
        <v>686</v>
      </c>
      <c r="C687" s="7" t="s">
        <v>783</v>
      </c>
      <c r="D687" s="33">
        <f>IF(ISNUMBER(SEARCH('Φόρμα Εισαγωγής'!$C$2,E687)),MAX($D$1:D686)+1,0)</f>
        <v>686</v>
      </c>
      <c r="E687" s="17" t="s">
        <v>459</v>
      </c>
      <c r="F687" s="5">
        <v>0.37</v>
      </c>
      <c r="G687" s="5">
        <v>0.5</v>
      </c>
      <c r="H687" s="6">
        <f t="shared" si="39"/>
        <v>0.62</v>
      </c>
      <c r="I687" s="6">
        <f t="shared" si="40"/>
        <v>90.465000000000003</v>
      </c>
      <c r="J687" s="6">
        <f t="shared" si="41"/>
        <v>151.59</v>
      </c>
      <c r="L687" s="4" t="str">
        <f>IFERROR(VLOOKUP(ROWS($L$2:L687),$B$2:$C$1996,2,0),"")</f>
        <v>ΣΩΛΗΝΑ ΠΛΑΣΤ ΜΑΥΡΗ COMOPEX</v>
      </c>
      <c r="N687" s="2" t="str">
        <f>IFERROR(VLOOKUP(ROWS($N$2:N687),$D$2:$E$1996,2,0),"")</f>
        <v>Φ16 Χ 2</v>
      </c>
    </row>
    <row r="688" spans="1:14">
      <c r="A688" s="5">
        <v>65</v>
      </c>
      <c r="B688" s="32">
        <f>IF(ISNUMBER(SEARCH('Φόρμα Εισαγωγής'!$B$2,C688)),MAX($B$1:B687)+1,0)</f>
        <v>687</v>
      </c>
      <c r="C688" s="7" t="s">
        <v>785</v>
      </c>
      <c r="D688" s="33">
        <f>IF(ISNUMBER(SEARCH('Φόρμα Εισαγωγής'!$C$2,E688)),MAX($D$1:D687)+1,0)</f>
        <v>687</v>
      </c>
      <c r="E688" s="17" t="s">
        <v>462</v>
      </c>
      <c r="F688" s="5">
        <v>0.52</v>
      </c>
      <c r="G688" s="5">
        <v>0.73</v>
      </c>
      <c r="H688" s="6">
        <f t="shared" si="39"/>
        <v>0.9052</v>
      </c>
      <c r="I688" s="6">
        <f t="shared" si="40"/>
        <v>33.800000000000004</v>
      </c>
      <c r="J688" s="6">
        <f t="shared" si="41"/>
        <v>58.838000000000001</v>
      </c>
      <c r="L688" s="4" t="str">
        <f>IFERROR(VLOOKUP(ROWS($L$2:L688),$B$2:$C$1996,2,0),"")</f>
        <v>ΣΩΛΗΝΑ ΠΛΑΣΤ ΜΠΛΕ COMOFLEX</v>
      </c>
      <c r="N688" s="2" t="str">
        <f>IFERROR(VLOOKUP(ROWS($N$2:N688),$D$2:$E$1996,2,0),"")</f>
        <v>Φ22 Χ 3</v>
      </c>
    </row>
    <row r="689" spans="1:14">
      <c r="A689" s="5">
        <v>87</v>
      </c>
      <c r="B689" s="32">
        <f>IF(ISNUMBER(SEARCH('Φόρμα Εισαγωγής'!$B$2,C689)),MAX($B$1:B688)+1,0)</f>
        <v>688</v>
      </c>
      <c r="C689" s="7" t="s">
        <v>784</v>
      </c>
      <c r="D689" s="33">
        <f>IF(ISNUMBER(SEARCH('Φόρμα Εισαγωγής'!$C$2,E689)),MAX($D$1:D688)+1,0)</f>
        <v>688</v>
      </c>
      <c r="E689" s="17" t="s">
        <v>462</v>
      </c>
      <c r="F689" s="5">
        <v>0.7</v>
      </c>
      <c r="G689" s="5">
        <v>1</v>
      </c>
      <c r="H689" s="6">
        <f t="shared" si="39"/>
        <v>1.24</v>
      </c>
      <c r="I689" s="6">
        <f t="shared" si="40"/>
        <v>60.9</v>
      </c>
      <c r="J689" s="6">
        <f t="shared" si="41"/>
        <v>107.88</v>
      </c>
      <c r="L689" s="4" t="str">
        <f>IFERROR(VLOOKUP(ROWS($L$2:L689),$B$2:$C$1996,2,0),"")</f>
        <v>ΣΩΛΗΝΑ ΠΛΑΣΤ ΛΕΥΚΗ COMOPEX</v>
      </c>
      <c r="N689" s="2" t="str">
        <f>IFERROR(VLOOKUP(ROWS($N$2:N689),$D$2:$E$1996,2,0),"")</f>
        <v>Φ22 Χ 3</v>
      </c>
    </row>
    <row r="690" spans="1:14">
      <c r="A690" s="5">
        <v>51</v>
      </c>
      <c r="B690" s="32">
        <f>IF(ISNUMBER(SEARCH('Φόρμα Εισαγωγής'!$B$2,C690)),MAX($B$1:B689)+1,0)</f>
        <v>689</v>
      </c>
      <c r="C690" s="7" t="s">
        <v>783</v>
      </c>
      <c r="D690" s="33">
        <f>IF(ISNUMBER(SEARCH('Φόρμα Εισαγωγής'!$C$2,E690)),MAX($D$1:D689)+1,0)</f>
        <v>689</v>
      </c>
      <c r="E690" s="17" t="s">
        <v>462</v>
      </c>
      <c r="F690" s="5">
        <v>0.7</v>
      </c>
      <c r="G690" s="5">
        <v>1</v>
      </c>
      <c r="H690" s="6">
        <f t="shared" si="39"/>
        <v>1.24</v>
      </c>
      <c r="I690" s="6">
        <f t="shared" si="40"/>
        <v>35.699999999999996</v>
      </c>
      <c r="J690" s="6">
        <f t="shared" si="41"/>
        <v>63.24</v>
      </c>
      <c r="L690" s="4" t="str">
        <f>IFERROR(VLOOKUP(ROWS($L$2:L690),$B$2:$C$1996,2,0),"")</f>
        <v>ΣΩΛΗΝΑ ΠΛΑΣΤ ΜΑΥΡΗ COMOPEX</v>
      </c>
      <c r="N690" s="2" t="str">
        <f>IFERROR(VLOOKUP(ROWS($N$2:N690),$D$2:$E$1996,2,0),"")</f>
        <v>Φ22 Χ 3</v>
      </c>
    </row>
    <row r="691" spans="1:14">
      <c r="A691" s="5">
        <v>32</v>
      </c>
      <c r="B691" s="32">
        <f>IF(ISNUMBER(SEARCH('Φόρμα Εισαγωγής'!$B$2,C691)),MAX($B$1:B690)+1,0)</f>
        <v>690</v>
      </c>
      <c r="C691" s="7" t="s">
        <v>783</v>
      </c>
      <c r="D691" s="33">
        <f>IF(ISNUMBER(SEARCH('Φόρμα Εισαγωγής'!$C$2,E691)),MAX($D$1:D690)+1,0)</f>
        <v>690</v>
      </c>
      <c r="E691" s="17" t="s">
        <v>463</v>
      </c>
      <c r="F691" s="5">
        <v>0.94</v>
      </c>
      <c r="G691" s="5">
        <v>1.35</v>
      </c>
      <c r="H691" s="6">
        <f t="shared" si="39"/>
        <v>1.6740000000000002</v>
      </c>
      <c r="I691" s="6">
        <f t="shared" si="40"/>
        <v>30.08</v>
      </c>
      <c r="J691" s="6">
        <f t="shared" si="41"/>
        <v>53.568000000000005</v>
      </c>
      <c r="L691" s="4" t="str">
        <f>IFERROR(VLOOKUP(ROWS($L$2:L691),$B$2:$C$1996,2,0),"")</f>
        <v>ΣΩΛΗΝΑ ΠΛΑΣΤ ΜΑΥΡΗ COMOPEX</v>
      </c>
      <c r="N691" s="2" t="str">
        <f>IFERROR(VLOOKUP(ROWS($N$2:N691),$D$2:$E$1996,2,0),"")</f>
        <v xml:space="preserve">Φ28 </v>
      </c>
    </row>
    <row r="692" spans="1:14">
      <c r="A692" s="5">
        <v>96</v>
      </c>
      <c r="B692" s="32">
        <f>IF(ISNUMBER(SEARCH('Φόρμα Εισαγωγής'!$B$2,C692)),MAX($B$1:B691)+1,0)</f>
        <v>691</v>
      </c>
      <c r="C692" s="7" t="s">
        <v>782</v>
      </c>
      <c r="D692" s="33">
        <f>IF(ISNUMBER(SEARCH('Φόρμα Εισαγωγής'!$C$2,E692)),MAX($D$1:D691)+1,0)</f>
        <v>691</v>
      </c>
      <c r="E692" s="17" t="s">
        <v>282</v>
      </c>
      <c r="F692" s="5">
        <v>0.33</v>
      </c>
      <c r="G692" s="5">
        <v>0.47</v>
      </c>
      <c r="H692" s="6">
        <f t="shared" si="39"/>
        <v>0.58279999999999998</v>
      </c>
      <c r="I692" s="6">
        <f t="shared" si="40"/>
        <v>31.68</v>
      </c>
      <c r="J692" s="6">
        <f t="shared" si="41"/>
        <v>55.948799999999999</v>
      </c>
      <c r="L692" s="4" t="str">
        <f>IFERROR(VLOOKUP(ROWS($L$2:L692),$B$2:$C$1996,2,0),"")</f>
        <v>ΣΠΙΡΑΛ ΠΛΑΣΤ</v>
      </c>
      <c r="N692" s="2" t="str">
        <f>IFERROR(VLOOKUP(ROWS($N$2:N692),$D$2:$E$1996,2,0),"")</f>
        <v>Φ35</v>
      </c>
    </row>
    <row r="693" spans="1:14">
      <c r="A693" s="5">
        <v>222</v>
      </c>
      <c r="B693" s="32">
        <f>IF(ISNUMBER(SEARCH('Φόρμα Εισαγωγής'!$B$2,C693)),MAX($B$1:B692)+1,0)</f>
        <v>692</v>
      </c>
      <c r="C693" s="7" t="s">
        <v>464</v>
      </c>
      <c r="D693" s="33">
        <f>IF(ISNUMBER(SEARCH('Φόρμα Εισαγωγής'!$C$2,E693)),MAX($D$1:D692)+1,0)</f>
        <v>692</v>
      </c>
      <c r="E693" s="17" t="s">
        <v>281</v>
      </c>
      <c r="F693" s="5">
        <v>0.14599999999999999</v>
      </c>
      <c r="G693" s="5">
        <v>0.2</v>
      </c>
      <c r="H693" s="6">
        <f t="shared" si="39"/>
        <v>0.248</v>
      </c>
      <c r="I693" s="6">
        <f t="shared" si="40"/>
        <v>32.411999999999999</v>
      </c>
      <c r="J693" s="6">
        <f t="shared" si="41"/>
        <v>55.055999999999997</v>
      </c>
      <c r="L693" s="4" t="str">
        <f>IFERROR(VLOOKUP(ROWS($L$2:L693),$B$2:$C$1996,2,0),"")</f>
        <v>ΣΠΙΡΑΛ ΠΛΑΣΤ ΜΠΛΕ</v>
      </c>
      <c r="N693" s="2" t="str">
        <f>IFERROR(VLOOKUP(ROWS($N$2:N693),$D$2:$E$1996,2,0),"")</f>
        <v>Φ28</v>
      </c>
    </row>
    <row r="694" spans="1:14">
      <c r="A694" s="5">
        <v>122</v>
      </c>
      <c r="B694" s="32">
        <f>IF(ISNUMBER(SEARCH('Φόρμα Εισαγωγής'!$B$2,C694)),MAX($B$1:B693)+1,0)</f>
        <v>693</v>
      </c>
      <c r="C694" s="7" t="s">
        <v>781</v>
      </c>
      <c r="D694" s="33">
        <f>IF(ISNUMBER(SEARCH('Φόρμα Εισαγωγής'!$C$2,E694)),MAX($D$1:D693)+1,0)</f>
        <v>693</v>
      </c>
      <c r="E694" s="17" t="s">
        <v>281</v>
      </c>
      <c r="F694" s="5">
        <v>0.14599999999999999</v>
      </c>
      <c r="G694" s="5">
        <v>0.2</v>
      </c>
      <c r="H694" s="6">
        <f t="shared" si="39"/>
        <v>0.248</v>
      </c>
      <c r="I694" s="6">
        <f t="shared" si="40"/>
        <v>17.811999999999998</v>
      </c>
      <c r="J694" s="6">
        <f t="shared" si="41"/>
        <v>30.256</v>
      </c>
      <c r="L694" s="4" t="str">
        <f>IFERROR(VLOOKUP(ROWS($L$2:L694),$B$2:$C$1996,2,0),"")</f>
        <v>ΣΠΙΡΑΛ ΠΛΑΣΤ ΚΟΚΚΙΝΟ</v>
      </c>
      <c r="N694" s="2" t="str">
        <f>IFERROR(VLOOKUP(ROWS($N$2:N694),$D$2:$E$1996,2,0),"")</f>
        <v>Φ28</v>
      </c>
    </row>
    <row r="695" spans="1:14">
      <c r="A695" s="5">
        <v>30</v>
      </c>
      <c r="B695" s="32">
        <f>IF(ISNUMBER(SEARCH('Φόρμα Εισαγωγής'!$B$2,C695)),MAX($B$1:B694)+1,0)</f>
        <v>694</v>
      </c>
      <c r="C695" s="7" t="s">
        <v>464</v>
      </c>
      <c r="D695" s="33">
        <f>IF(ISNUMBER(SEARCH('Φόρμα Εισαγωγής'!$C$2,E695)),MAX($D$1:D694)+1,0)</f>
        <v>694</v>
      </c>
      <c r="E695" s="17" t="s">
        <v>772</v>
      </c>
      <c r="F695" s="5">
        <v>0.53</v>
      </c>
      <c r="G695" s="5">
        <v>0.75</v>
      </c>
      <c r="H695" s="6">
        <f t="shared" si="39"/>
        <v>0.92999999999999994</v>
      </c>
      <c r="I695" s="6">
        <f t="shared" si="40"/>
        <v>15.9</v>
      </c>
      <c r="J695" s="6">
        <f t="shared" si="41"/>
        <v>27.9</v>
      </c>
      <c r="L695" s="4" t="str">
        <f>IFERROR(VLOOKUP(ROWS($L$2:L695),$B$2:$C$1996,2,0),"")</f>
        <v>ΣΠΙΡΑΛ ΠΛΑΣΤ ΜΠΛΕ</v>
      </c>
      <c r="N695" s="2" t="str">
        <f>IFERROR(VLOOKUP(ROWS($N$2:N695),$D$2:$E$1996,2,0),"")</f>
        <v>Φ42</v>
      </c>
    </row>
    <row r="696" spans="1:14">
      <c r="A696" s="5">
        <v>165</v>
      </c>
      <c r="B696" s="32">
        <f>IF(ISNUMBER(SEARCH('Φόρμα Εισαγωγής'!$B$2,C696)),MAX($B$1:B695)+1,0)</f>
        <v>695</v>
      </c>
      <c r="C696" s="7" t="s">
        <v>778</v>
      </c>
      <c r="D696" s="33">
        <f>IF(ISNUMBER(SEARCH('Φόρμα Εισαγωγής'!$C$2,E696)),MAX($D$1:D695)+1,0)</f>
        <v>695</v>
      </c>
      <c r="E696" s="17" t="s">
        <v>465</v>
      </c>
      <c r="F696" s="5">
        <v>0.65</v>
      </c>
      <c r="G696" s="5">
        <v>0.9</v>
      </c>
      <c r="H696" s="6">
        <f t="shared" si="39"/>
        <v>1.1160000000000001</v>
      </c>
      <c r="I696" s="6">
        <f t="shared" si="40"/>
        <v>107.25</v>
      </c>
      <c r="J696" s="6">
        <f t="shared" si="41"/>
        <v>184.14000000000001</v>
      </c>
      <c r="L696" s="4" t="str">
        <f>IFERROR(VLOOKUP(ROWS($L$2:L696),$B$2:$C$1996,2,0),"")</f>
        <v>ΣΩΛΗΝΑ ΠΛΑΣΤ. ΕΝΔΟΔ. GIACOMINI</v>
      </c>
      <c r="N696" s="2" t="str">
        <f>IFERROR(VLOOKUP(ROWS($N$2:N696),$D$2:$E$1996,2,0),"")</f>
        <v>Φ17 Χ 2</v>
      </c>
    </row>
    <row r="697" spans="1:14">
      <c r="A697" s="5">
        <v>33</v>
      </c>
      <c r="B697" s="32">
        <f>IF(ISNUMBER(SEARCH('Φόρμα Εισαγωγής'!$B$2,C697)),MAX($B$1:B696)+1,0)</f>
        <v>696</v>
      </c>
      <c r="C697" s="7" t="s">
        <v>466</v>
      </c>
      <c r="D697" s="33">
        <f>IF(ISNUMBER(SEARCH('Φόρμα Εισαγωγής'!$C$2,E697)),MAX($D$1:D696)+1,0)</f>
        <v>696</v>
      </c>
      <c r="E697" s="17" t="s">
        <v>189</v>
      </c>
      <c r="F697" s="5">
        <v>1.78</v>
      </c>
      <c r="G697" s="5">
        <v>2.5</v>
      </c>
      <c r="H697" s="6">
        <f t="shared" si="39"/>
        <v>3.1</v>
      </c>
      <c r="I697" s="6">
        <f t="shared" si="40"/>
        <v>58.74</v>
      </c>
      <c r="J697" s="6">
        <f t="shared" si="41"/>
        <v>102.3</v>
      </c>
      <c r="L697" s="4" t="str">
        <f>IFERROR(VLOOKUP(ROWS($L$2:L697),$B$2:$C$1996,2,0),"")</f>
        <v>ΣΩΛΗΝΑ SOLI</v>
      </c>
      <c r="N697" s="2" t="str">
        <f>IFERROR(VLOOKUP(ROWS($N$2:N697),$D$2:$E$1996,2,0),"")</f>
        <v>Φ40</v>
      </c>
    </row>
    <row r="698" spans="1:14">
      <c r="A698" s="5">
        <v>1</v>
      </c>
      <c r="B698" s="32">
        <f>IF(ISNUMBER(SEARCH('Φόρμα Εισαγωγής'!$B$2,C698)),MAX($B$1:B697)+1,0)</f>
        <v>697</v>
      </c>
      <c r="C698" s="7" t="s">
        <v>467</v>
      </c>
      <c r="D698" s="33">
        <f>IF(ISNUMBER(SEARCH('Φόρμα Εισαγωγής'!$C$2,E698)),MAX($D$1:D697)+1,0)</f>
        <v>697</v>
      </c>
      <c r="E698" s="17" t="s">
        <v>468</v>
      </c>
      <c r="F698" s="5">
        <v>9.8000000000000007</v>
      </c>
      <c r="G698" s="5">
        <v>13.8</v>
      </c>
      <c r="H698" s="6">
        <f t="shared" si="39"/>
        <v>17.112000000000002</v>
      </c>
      <c r="I698" s="6">
        <f t="shared" si="40"/>
        <v>9.8000000000000007</v>
      </c>
      <c r="J698" s="6">
        <f t="shared" si="41"/>
        <v>17.112000000000002</v>
      </c>
      <c r="L698" s="4" t="str">
        <f>IFERROR(VLOOKUP(ROWS($L$2:L698),$B$2:$C$1996,2,0),"")</f>
        <v>ΠΙΝΑΚΑΣ ΥΔΡΟΛΙΨΙΑΣ</v>
      </c>
      <c r="N698" s="2" t="str">
        <f>IFERROR(VLOOKUP(ROWS($N$2:N698),$D$2:$E$1996,2,0),"")</f>
        <v>45 Χ 35</v>
      </c>
    </row>
    <row r="699" spans="1:14">
      <c r="A699" s="5">
        <v>1</v>
      </c>
      <c r="B699" s="32">
        <f>IF(ISNUMBER(SEARCH('Φόρμα Εισαγωγής'!$B$2,C699)),MAX($B$1:B698)+1,0)</f>
        <v>698</v>
      </c>
      <c r="C699" s="7" t="s">
        <v>467</v>
      </c>
      <c r="D699" s="33">
        <f>IF(ISNUMBER(SEARCH('Φόρμα Εισαγωγής'!$C$2,E699)),MAX($D$1:D698)+1,0)</f>
        <v>698</v>
      </c>
      <c r="E699" s="17" t="s">
        <v>469</v>
      </c>
      <c r="F699" s="5">
        <v>10.4</v>
      </c>
      <c r="G699" s="5">
        <v>14.6</v>
      </c>
      <c r="H699" s="6">
        <f t="shared" si="39"/>
        <v>18.103999999999999</v>
      </c>
      <c r="I699" s="6">
        <f t="shared" si="40"/>
        <v>10.4</v>
      </c>
      <c r="J699" s="6">
        <f t="shared" si="41"/>
        <v>18.103999999999999</v>
      </c>
      <c r="L699" s="4" t="str">
        <f>IFERROR(VLOOKUP(ROWS($L$2:L699),$B$2:$C$1996,2,0),"")</f>
        <v>ΠΙΝΑΚΑΣ ΥΔΡΟΛΙΨΙΑΣ</v>
      </c>
      <c r="N699" s="2" t="str">
        <f>IFERROR(VLOOKUP(ROWS($N$2:N699),$D$2:$E$1996,2,0),"")</f>
        <v>45 Χ 40</v>
      </c>
    </row>
    <row r="700" spans="1:14">
      <c r="A700" s="5">
        <v>1</v>
      </c>
      <c r="B700" s="32">
        <f>IF(ISNUMBER(SEARCH('Φόρμα Εισαγωγής'!$B$2,C700)),MAX($B$1:B699)+1,0)</f>
        <v>699</v>
      </c>
      <c r="C700" s="7" t="s">
        <v>467</v>
      </c>
      <c r="D700" s="33">
        <f>IF(ISNUMBER(SEARCH('Φόρμα Εισαγωγής'!$C$2,E700)),MAX($D$1:D699)+1,0)</f>
        <v>699</v>
      </c>
      <c r="E700" s="17" t="s">
        <v>470</v>
      </c>
      <c r="F700" s="5">
        <v>12.7</v>
      </c>
      <c r="G700" s="5">
        <v>17.8</v>
      </c>
      <c r="H700" s="6">
        <f t="shared" si="39"/>
        <v>22.072000000000003</v>
      </c>
      <c r="I700" s="6">
        <f t="shared" si="40"/>
        <v>12.7</v>
      </c>
      <c r="J700" s="6">
        <f t="shared" si="41"/>
        <v>22.072000000000003</v>
      </c>
      <c r="L700" s="4" t="str">
        <f>IFERROR(VLOOKUP(ROWS($L$2:L700),$B$2:$C$1996,2,0),"")</f>
        <v>ΠΙΝΑΚΑΣ ΥΔΡΟΛΙΨΙΑΣ</v>
      </c>
      <c r="N700" s="2" t="str">
        <f>IFERROR(VLOOKUP(ROWS($N$2:N700),$D$2:$E$1996,2,0),"")</f>
        <v>45 Χ50</v>
      </c>
    </row>
    <row r="701" spans="1:14">
      <c r="A701" s="5">
        <v>1</v>
      </c>
      <c r="B701" s="32">
        <f>IF(ISNUMBER(SEARCH('Φόρμα Εισαγωγής'!$B$2,C701)),MAX($B$1:B700)+1,0)</f>
        <v>700</v>
      </c>
      <c r="C701" s="7" t="s">
        <v>467</v>
      </c>
      <c r="D701" s="33">
        <f>IF(ISNUMBER(SEARCH('Φόρμα Εισαγωγής'!$C$2,E701)),MAX($D$1:D700)+1,0)</f>
        <v>700</v>
      </c>
      <c r="E701" s="17" t="s">
        <v>471</v>
      </c>
      <c r="F701" s="5">
        <v>14.75</v>
      </c>
      <c r="G701" s="5">
        <v>20.65</v>
      </c>
      <c r="H701" s="6">
        <f t="shared" si="39"/>
        <v>25.605999999999998</v>
      </c>
      <c r="I701" s="6">
        <f t="shared" si="40"/>
        <v>14.75</v>
      </c>
      <c r="J701" s="6">
        <f t="shared" si="41"/>
        <v>25.605999999999998</v>
      </c>
      <c r="L701" s="4" t="str">
        <f>IFERROR(VLOOKUP(ROWS($L$2:L701),$B$2:$C$1996,2,0),"")</f>
        <v>ΠΙΝΑΚΑΣ ΥΔΡΟΛΙΨΙΑΣ</v>
      </c>
      <c r="N701" s="2" t="str">
        <f>IFERROR(VLOOKUP(ROWS($N$2:N701),$D$2:$E$1996,2,0),"")</f>
        <v>60 Χ 45</v>
      </c>
    </row>
    <row r="702" spans="1:14">
      <c r="A702" s="5">
        <v>61.5</v>
      </c>
      <c r="B702" s="32">
        <f>IF(ISNUMBER(SEARCH('Φόρμα Εισαγωγής'!$B$2,C702)),MAX($B$1:B701)+1,0)</f>
        <v>701</v>
      </c>
      <c r="C702" s="7" t="s">
        <v>766</v>
      </c>
      <c r="D702" s="33">
        <f>IF(ISNUMBER(SEARCH('Φόρμα Εισαγωγής'!$C$2,E702)),MAX($D$1:D701)+1,0)</f>
        <v>701</v>
      </c>
      <c r="E702" s="17" t="s">
        <v>120</v>
      </c>
      <c r="F702" s="5">
        <v>0.77</v>
      </c>
      <c r="G702" s="5">
        <v>1.1000000000000001</v>
      </c>
      <c r="H702" s="6">
        <f t="shared" si="39"/>
        <v>1.3640000000000001</v>
      </c>
      <c r="I702" s="6">
        <f t="shared" si="40"/>
        <v>47.355000000000004</v>
      </c>
      <c r="J702" s="6">
        <f t="shared" si="41"/>
        <v>83.88600000000001</v>
      </c>
      <c r="L702" s="4" t="str">
        <f>IFERROR(VLOOKUP(ROWS($L$2:L702),$B$2:$C$1996,2,0),"")</f>
        <v xml:space="preserve">ΣΩΛΗΝΑ PVC UNIFAS </v>
      </c>
      <c r="N702" s="2" t="str">
        <f>IFERROR(VLOOKUP(ROWS($N$2:N702),$D$2:$E$1996,2,0),"")</f>
        <v>Φ32</v>
      </c>
    </row>
    <row r="703" spans="1:14">
      <c r="A703" s="5">
        <v>29.5</v>
      </c>
      <c r="B703" s="32">
        <f>IF(ISNUMBER(SEARCH('Φόρμα Εισαγωγής'!$B$2,C703)),MAX($B$1:B702)+1,0)</f>
        <v>702</v>
      </c>
      <c r="C703" s="7" t="s">
        <v>766</v>
      </c>
      <c r="D703" s="33">
        <f>IF(ISNUMBER(SEARCH('Φόρμα Εισαγωγής'!$C$2,E703)),MAX($D$1:D702)+1,0)</f>
        <v>702</v>
      </c>
      <c r="E703" s="17" t="s">
        <v>189</v>
      </c>
      <c r="F703" s="5">
        <v>0.92</v>
      </c>
      <c r="G703" s="5">
        <v>1.3</v>
      </c>
      <c r="H703" s="6">
        <f t="shared" si="39"/>
        <v>1.6120000000000001</v>
      </c>
      <c r="I703" s="6">
        <f t="shared" si="40"/>
        <v>27.14</v>
      </c>
      <c r="J703" s="6">
        <f t="shared" si="41"/>
        <v>47.554000000000002</v>
      </c>
      <c r="L703" s="4" t="str">
        <f>IFERROR(VLOOKUP(ROWS($L$2:L703),$B$2:$C$1996,2,0),"")</f>
        <v xml:space="preserve">ΣΩΛΗΝΑ PVC UNIFAS </v>
      </c>
      <c r="N703" s="2" t="str">
        <f>IFERROR(VLOOKUP(ROWS($N$2:N703),$D$2:$E$1996,2,0),"")</f>
        <v>Φ40</v>
      </c>
    </row>
    <row r="704" spans="1:14">
      <c r="A704" s="5">
        <v>27</v>
      </c>
      <c r="B704" s="32">
        <f>IF(ISNUMBER(SEARCH('Φόρμα Εισαγωγής'!$B$2,C704)),MAX($B$1:B703)+1,0)</f>
        <v>703</v>
      </c>
      <c r="C704" s="7" t="s">
        <v>766</v>
      </c>
      <c r="D704" s="33">
        <f>IF(ISNUMBER(SEARCH('Φόρμα Εισαγωγής'!$C$2,E704)),MAX($D$1:D703)+1,0)</f>
        <v>703</v>
      </c>
      <c r="E704" s="17" t="s">
        <v>190</v>
      </c>
      <c r="F704" s="5">
        <v>1.18</v>
      </c>
      <c r="G704" s="5">
        <v>1.7</v>
      </c>
      <c r="H704" s="6">
        <f t="shared" si="39"/>
        <v>2.1080000000000001</v>
      </c>
      <c r="I704" s="6">
        <f t="shared" si="40"/>
        <v>31.86</v>
      </c>
      <c r="J704" s="6">
        <f t="shared" si="41"/>
        <v>56.916000000000004</v>
      </c>
      <c r="L704" s="4" t="str">
        <f>IFERROR(VLOOKUP(ROWS($L$2:L704),$B$2:$C$1996,2,0),"")</f>
        <v xml:space="preserve">ΣΩΛΗΝΑ PVC UNIFAS </v>
      </c>
      <c r="N704" s="2" t="str">
        <f>IFERROR(VLOOKUP(ROWS($N$2:N704),$D$2:$E$1996,2,0),"")</f>
        <v>Φ50</v>
      </c>
    </row>
    <row r="705" spans="1:14">
      <c r="A705" s="5">
        <v>21.5</v>
      </c>
      <c r="B705" s="32">
        <f>IF(ISNUMBER(SEARCH('Φόρμα Εισαγωγής'!$B$2,C705)),MAX($B$1:B704)+1,0)</f>
        <v>704</v>
      </c>
      <c r="C705" s="7" t="s">
        <v>766</v>
      </c>
      <c r="D705" s="33">
        <f>IF(ISNUMBER(SEARCH('Φόρμα Εισαγωγής'!$C$2,E705)),MAX($D$1:D704)+1,0)</f>
        <v>704</v>
      </c>
      <c r="E705" s="17" t="s">
        <v>191</v>
      </c>
      <c r="F705" s="5">
        <v>1.5</v>
      </c>
      <c r="G705" s="5">
        <v>2.1</v>
      </c>
      <c r="H705" s="6">
        <f t="shared" si="39"/>
        <v>2.6040000000000001</v>
      </c>
      <c r="I705" s="6">
        <f t="shared" si="40"/>
        <v>32.25</v>
      </c>
      <c r="J705" s="6">
        <f t="shared" si="41"/>
        <v>55.986000000000004</v>
      </c>
      <c r="L705" s="4" t="str">
        <f>IFERROR(VLOOKUP(ROWS($L$2:L705),$B$2:$C$1996,2,0),"")</f>
        <v xml:space="preserve">ΣΩΛΗΝΑ PVC UNIFAS </v>
      </c>
      <c r="N705" s="2" t="str">
        <f>IFERROR(VLOOKUP(ROWS($N$2:N705),$D$2:$E$1996,2,0),"")</f>
        <v>Φ63</v>
      </c>
    </row>
    <row r="706" spans="1:14">
      <c r="A706" s="5">
        <v>30</v>
      </c>
      <c r="B706" s="32">
        <f>IF(ISNUMBER(SEARCH('Φόρμα Εισαγωγής'!$B$2,C706)),MAX($B$1:B705)+1,0)</f>
        <v>705</v>
      </c>
      <c r="C706" s="7" t="s">
        <v>766</v>
      </c>
      <c r="D706" s="33">
        <f>IF(ISNUMBER(SEARCH('Φόρμα Εισαγωγής'!$C$2,E706)),MAX($D$1:D705)+1,0)</f>
        <v>705</v>
      </c>
      <c r="E706" s="17" t="s">
        <v>192</v>
      </c>
      <c r="F706" s="5">
        <v>1.75</v>
      </c>
      <c r="G706" s="5">
        <v>2.5</v>
      </c>
      <c r="H706" s="6">
        <f t="shared" si="39"/>
        <v>3.1</v>
      </c>
      <c r="I706" s="6">
        <f t="shared" si="40"/>
        <v>52.5</v>
      </c>
      <c r="J706" s="6">
        <f t="shared" si="41"/>
        <v>93</v>
      </c>
      <c r="L706" s="4" t="str">
        <f>IFERROR(VLOOKUP(ROWS($L$2:L706),$B$2:$C$1996,2,0),"")</f>
        <v xml:space="preserve">ΣΩΛΗΝΑ PVC UNIFAS </v>
      </c>
      <c r="N706" s="2" t="str">
        <f>IFERROR(VLOOKUP(ROWS($N$2:N706),$D$2:$E$1996,2,0),"")</f>
        <v>Φ75</v>
      </c>
    </row>
    <row r="707" spans="1:14">
      <c r="A707" s="5">
        <v>46</v>
      </c>
      <c r="B707" s="32">
        <f>IF(ISNUMBER(SEARCH('Φόρμα Εισαγωγής'!$B$2,C707)),MAX($B$1:B706)+1,0)</f>
        <v>706</v>
      </c>
      <c r="C707" s="7" t="s">
        <v>766</v>
      </c>
      <c r="D707" s="33">
        <f>IF(ISNUMBER(SEARCH('Φόρμα Εισαγωγής'!$C$2,E707)),MAX($D$1:D706)+1,0)</f>
        <v>706</v>
      </c>
      <c r="E707" s="17" t="s">
        <v>193</v>
      </c>
      <c r="F707" s="5">
        <v>2.2599999999999998</v>
      </c>
      <c r="G707" s="5">
        <v>3.2</v>
      </c>
      <c r="H707" s="6">
        <f t="shared" si="39"/>
        <v>3.968</v>
      </c>
      <c r="I707" s="6">
        <f t="shared" si="40"/>
        <v>103.96</v>
      </c>
      <c r="J707" s="6">
        <f t="shared" si="41"/>
        <v>182.52799999999999</v>
      </c>
      <c r="L707" s="4" t="str">
        <f>IFERROR(VLOOKUP(ROWS($L$2:L707),$B$2:$C$1996,2,0),"")</f>
        <v xml:space="preserve">ΣΩΛΗΝΑ PVC UNIFAS </v>
      </c>
      <c r="N707" s="2" t="str">
        <f>IFERROR(VLOOKUP(ROWS($N$2:N707),$D$2:$E$1996,2,0),"")</f>
        <v>Φ100</v>
      </c>
    </row>
    <row r="708" spans="1:14">
      <c r="A708" s="5">
        <v>16</v>
      </c>
      <c r="B708" s="32">
        <f>IF(ISNUMBER(SEARCH('Φόρμα Εισαγωγής'!$B$2,C708)),MAX($B$1:B707)+1,0)</f>
        <v>707</v>
      </c>
      <c r="C708" s="7" t="s">
        <v>766</v>
      </c>
      <c r="D708" s="33">
        <f>IF(ISNUMBER(SEARCH('Φόρμα Εισαγωγής'!$C$2,E708)),MAX($D$1:D707)+1,0)</f>
        <v>707</v>
      </c>
      <c r="E708" s="17" t="s">
        <v>194</v>
      </c>
      <c r="F708" s="5">
        <v>3.25</v>
      </c>
      <c r="G708" s="5">
        <v>4.55</v>
      </c>
      <c r="H708" s="6">
        <f t="shared" si="39"/>
        <v>5.6419999999999995</v>
      </c>
      <c r="I708" s="6">
        <f t="shared" si="40"/>
        <v>52</v>
      </c>
      <c r="J708" s="6">
        <f t="shared" si="41"/>
        <v>90.271999999999991</v>
      </c>
      <c r="L708" s="4" t="str">
        <f>IFERROR(VLOOKUP(ROWS($L$2:L708),$B$2:$C$1996,2,0),"")</f>
        <v xml:space="preserve">ΣΩΛΗΝΑ PVC UNIFAS </v>
      </c>
      <c r="N708" s="2" t="str">
        <f>IFERROR(VLOOKUP(ROWS($N$2:N708),$D$2:$E$1996,2,0),"")</f>
        <v>Φ125</v>
      </c>
    </row>
    <row r="709" spans="1:14">
      <c r="A709" s="5">
        <v>7</v>
      </c>
      <c r="B709" s="32">
        <f>IF(ISNUMBER(SEARCH('Φόρμα Εισαγωγής'!$B$2,C709)),MAX($B$1:B708)+1,0)</f>
        <v>708</v>
      </c>
      <c r="C709" s="7" t="s">
        <v>766</v>
      </c>
      <c r="D709" s="33">
        <f>IF(ISNUMBER(SEARCH('Φόρμα Εισαγωγής'!$C$2,E709)),MAX($D$1:D708)+1,0)</f>
        <v>708</v>
      </c>
      <c r="E709" s="17" t="s">
        <v>195</v>
      </c>
      <c r="F709" s="5">
        <v>4.32</v>
      </c>
      <c r="G709" s="5">
        <v>6</v>
      </c>
      <c r="H709" s="6">
        <f t="shared" si="39"/>
        <v>7.4399999999999995</v>
      </c>
      <c r="I709" s="6">
        <f t="shared" si="40"/>
        <v>30.240000000000002</v>
      </c>
      <c r="J709" s="6">
        <f t="shared" si="41"/>
        <v>52.08</v>
      </c>
      <c r="L709" s="4" t="str">
        <f>IFERROR(VLOOKUP(ROWS($L$2:L709),$B$2:$C$1996,2,0),"")</f>
        <v xml:space="preserve">ΣΩΛΗΝΑ PVC UNIFAS </v>
      </c>
      <c r="N709" s="2" t="str">
        <f>IFERROR(VLOOKUP(ROWS($N$2:N709),$D$2:$E$1996,2,0),"")</f>
        <v>Φ140</v>
      </c>
    </row>
    <row r="710" spans="1:14">
      <c r="A710" s="5">
        <v>3</v>
      </c>
      <c r="B710" s="32">
        <f>IF(ISNUMBER(SEARCH('Φόρμα Εισαγωγής'!$B$2,C710)),MAX($B$1:B709)+1,0)</f>
        <v>709</v>
      </c>
      <c r="C710" s="7" t="s">
        <v>766</v>
      </c>
      <c r="D710" s="33">
        <f>IF(ISNUMBER(SEARCH('Φόρμα Εισαγωγής'!$C$2,E710)),MAX($D$1:D709)+1,0)</f>
        <v>709</v>
      </c>
      <c r="E710" s="17" t="s">
        <v>196</v>
      </c>
      <c r="F710" s="5">
        <v>8.8000000000000007</v>
      </c>
      <c r="G710" s="5">
        <v>12.3</v>
      </c>
      <c r="H710" s="6">
        <f t="shared" ref="H710:H767" si="42">G710+(G710*0.24)</f>
        <v>15.252000000000001</v>
      </c>
      <c r="I710" s="6">
        <f t="shared" ref="I710:I767" si="43">F710*A710</f>
        <v>26.400000000000002</v>
      </c>
      <c r="J710" s="6">
        <f t="shared" ref="J710:J767" si="44">H710*A710</f>
        <v>45.756</v>
      </c>
      <c r="L710" s="4" t="str">
        <f>IFERROR(VLOOKUP(ROWS($L$2:L710),$B$2:$C$1996,2,0),"")</f>
        <v xml:space="preserve">ΣΩΛΗΝΑ PVC UNIFAS </v>
      </c>
      <c r="N710" s="2" t="str">
        <f>IFERROR(VLOOKUP(ROWS($N$2:N710),$D$2:$E$1996,2,0),"")</f>
        <v>Φ200</v>
      </c>
    </row>
    <row r="711" spans="1:14">
      <c r="A711" s="5">
        <v>343.5</v>
      </c>
      <c r="B711" s="32">
        <f>IF(ISNUMBER(SEARCH('Φόρμα Εισαγωγής'!$B$2,C711)),MAX($B$1:B710)+1,0)</f>
        <v>710</v>
      </c>
      <c r="C711" s="7" t="s">
        <v>472</v>
      </c>
      <c r="D711" s="33">
        <f>IF(ISNUMBER(SEARCH('Φόρμα Εισαγωγής'!$C$2,E711)),MAX($D$1:D710)+1,0)</f>
        <v>710</v>
      </c>
      <c r="E711" s="17" t="s">
        <v>118</v>
      </c>
      <c r="F711" s="5">
        <v>0.46</v>
      </c>
      <c r="G711" s="5">
        <v>0.65</v>
      </c>
      <c r="H711" s="6">
        <f t="shared" si="42"/>
        <v>0.80600000000000005</v>
      </c>
      <c r="I711" s="6">
        <f t="shared" si="43"/>
        <v>158.01000000000002</v>
      </c>
      <c r="J711" s="6">
        <f t="shared" si="44"/>
        <v>276.86099999999999</v>
      </c>
      <c r="L711" s="4" t="str">
        <f>IFERROR(VLOOKUP(ROWS($L$2:L711),$B$2:$C$1996,2,0),"")</f>
        <v>ΣΩΛΗΝΑ PPR</v>
      </c>
      <c r="N711" s="2" t="str">
        <f>IFERROR(VLOOKUP(ROWS($N$2:N711),$D$2:$E$1996,2,0),"")</f>
        <v>Φ20</v>
      </c>
    </row>
    <row r="712" spans="1:14">
      <c r="A712" s="5">
        <v>139</v>
      </c>
      <c r="B712" s="32">
        <f>IF(ISNUMBER(SEARCH('Φόρμα Εισαγωγής'!$B$2,C712)),MAX($B$1:B711)+1,0)</f>
        <v>711</v>
      </c>
      <c r="C712" s="7" t="s">
        <v>472</v>
      </c>
      <c r="D712" s="33">
        <f>IF(ISNUMBER(SEARCH('Φόρμα Εισαγωγής'!$C$2,E712)),MAX($D$1:D711)+1,0)</f>
        <v>711</v>
      </c>
      <c r="E712" s="17" t="s">
        <v>119</v>
      </c>
      <c r="F712" s="5">
        <v>0.8</v>
      </c>
      <c r="G712" s="5">
        <v>1.1499999999999999</v>
      </c>
      <c r="H712" s="6">
        <f t="shared" si="42"/>
        <v>1.4259999999999999</v>
      </c>
      <c r="I712" s="6">
        <f t="shared" si="43"/>
        <v>111.2</v>
      </c>
      <c r="J712" s="6">
        <f t="shared" si="44"/>
        <v>198.214</v>
      </c>
      <c r="L712" s="4" t="str">
        <f>IFERROR(VLOOKUP(ROWS($L$2:L712),$B$2:$C$1996,2,0),"")</f>
        <v>ΣΩΛΗΝΑ PPR</v>
      </c>
      <c r="N712" s="2" t="str">
        <f>IFERROR(VLOOKUP(ROWS($N$2:N712),$D$2:$E$1996,2,0),"")</f>
        <v>Φ25</v>
      </c>
    </row>
    <row r="713" spans="1:14">
      <c r="A713" s="5">
        <v>57</v>
      </c>
      <c r="B713" s="32">
        <f>IF(ISNUMBER(SEARCH('Φόρμα Εισαγωγής'!$B$2,C713)),MAX($B$1:B712)+1,0)</f>
        <v>712</v>
      </c>
      <c r="C713" s="7" t="s">
        <v>472</v>
      </c>
      <c r="D713" s="33">
        <f>IF(ISNUMBER(SEARCH('Φόρμα Εισαγωγής'!$C$2,E713)),MAX($D$1:D712)+1,0)</f>
        <v>712</v>
      </c>
      <c r="E713" s="17" t="s">
        <v>120</v>
      </c>
      <c r="F713" s="5">
        <v>1.27</v>
      </c>
      <c r="G713" s="5">
        <v>1.8</v>
      </c>
      <c r="H713" s="6">
        <f t="shared" si="42"/>
        <v>2.2320000000000002</v>
      </c>
      <c r="I713" s="6">
        <f t="shared" si="43"/>
        <v>72.39</v>
      </c>
      <c r="J713" s="6">
        <f t="shared" si="44"/>
        <v>127.22400000000002</v>
      </c>
      <c r="L713" s="4" t="str">
        <f>IFERROR(VLOOKUP(ROWS($L$2:L713),$B$2:$C$1996,2,0),"")</f>
        <v>ΣΩΛΗΝΑ PPR</v>
      </c>
      <c r="N713" s="2" t="str">
        <f>IFERROR(VLOOKUP(ROWS($N$2:N713),$D$2:$E$1996,2,0),"")</f>
        <v>Φ32</v>
      </c>
    </row>
    <row r="714" spans="1:14">
      <c r="A714" s="5">
        <v>8.5</v>
      </c>
      <c r="B714" s="32">
        <f>IF(ISNUMBER(SEARCH('Φόρμα Εισαγωγής'!$B$2,C714)),MAX($B$1:B713)+1,0)</f>
        <v>713</v>
      </c>
      <c r="C714" s="7" t="s">
        <v>473</v>
      </c>
      <c r="D714" s="33">
        <f>IF(ISNUMBER(SEARCH('Φόρμα Εισαγωγής'!$C$2,E714)),MAX($D$1:D713)+1,0)</f>
        <v>713</v>
      </c>
      <c r="E714" s="17" t="s">
        <v>767</v>
      </c>
      <c r="F714" s="5">
        <v>2.4700000000000002</v>
      </c>
      <c r="G714" s="5">
        <v>3.5</v>
      </c>
      <c r="H714" s="6">
        <f t="shared" si="42"/>
        <v>4.34</v>
      </c>
      <c r="I714" s="6">
        <f t="shared" si="43"/>
        <v>20.995000000000001</v>
      </c>
      <c r="J714" s="6">
        <f t="shared" si="44"/>
        <v>36.89</v>
      </c>
      <c r="L714" s="4" t="str">
        <f>IFERROR(VLOOKUP(ROWS($L$2:L714),$B$2:$C$1996,2,0),"")</f>
        <v>ΣΩΛΗΝΑ ΧΑΛΚΟΥ</v>
      </c>
      <c r="N714" s="2" t="str">
        <f>IFERROR(VLOOKUP(ROWS($N$2:N714),$D$2:$E$1996,2,0),"")</f>
        <v>Φ15 X 0,8</v>
      </c>
    </row>
    <row r="715" spans="1:14">
      <c r="A715" s="5">
        <v>16.5</v>
      </c>
      <c r="B715" s="32">
        <f>IF(ISNUMBER(SEARCH('Φόρμα Εισαγωγής'!$B$2,C715)),MAX($B$1:B714)+1,0)</f>
        <v>714</v>
      </c>
      <c r="C715" s="7" t="s">
        <v>473</v>
      </c>
      <c r="D715" s="33">
        <f>IF(ISNUMBER(SEARCH('Φόρμα Εισαγωγής'!$C$2,E715)),MAX($D$1:D714)+1,0)</f>
        <v>714</v>
      </c>
      <c r="E715" s="17" t="s">
        <v>768</v>
      </c>
      <c r="F715" s="5">
        <v>2.77</v>
      </c>
      <c r="G715" s="5">
        <v>3.9</v>
      </c>
      <c r="H715" s="6">
        <f t="shared" si="42"/>
        <v>4.8360000000000003</v>
      </c>
      <c r="I715" s="6">
        <f t="shared" si="43"/>
        <v>45.704999999999998</v>
      </c>
      <c r="J715" s="6">
        <f t="shared" si="44"/>
        <v>79.794000000000011</v>
      </c>
      <c r="L715" s="4" t="str">
        <f>IFERROR(VLOOKUP(ROWS($L$2:L715),$B$2:$C$1996,2,0),"")</f>
        <v>ΣΩΛΗΝΑ ΧΑΛΚΟΥ</v>
      </c>
      <c r="N715" s="2" t="str">
        <f>IFERROR(VLOOKUP(ROWS($N$2:N715),$D$2:$E$1996,2,0),"")</f>
        <v>Φ18 X 0,8</v>
      </c>
    </row>
    <row r="716" spans="1:14">
      <c r="A716" s="5">
        <v>12</v>
      </c>
      <c r="B716" s="32">
        <f>IF(ISNUMBER(SEARCH('Φόρμα Εισαγωγής'!$B$2,C716)),MAX($B$1:B715)+1,0)</f>
        <v>715</v>
      </c>
      <c r="C716" s="7" t="s">
        <v>473</v>
      </c>
      <c r="D716" s="33">
        <f>IF(ISNUMBER(SEARCH('Φόρμα Εισαγωγής'!$C$2,E716)),MAX($D$1:D715)+1,0)</f>
        <v>715</v>
      </c>
      <c r="E716" s="17" t="s">
        <v>769</v>
      </c>
      <c r="F716" s="5">
        <v>4.5999999999999996</v>
      </c>
      <c r="G716" s="5">
        <v>6.5</v>
      </c>
      <c r="H716" s="6">
        <f t="shared" si="42"/>
        <v>8.06</v>
      </c>
      <c r="I716" s="6">
        <f t="shared" si="43"/>
        <v>55.199999999999996</v>
      </c>
      <c r="J716" s="6">
        <f t="shared" si="44"/>
        <v>96.72</v>
      </c>
      <c r="L716" s="4" t="str">
        <f>IFERROR(VLOOKUP(ROWS($L$2:L716),$B$2:$C$1996,2,0),"")</f>
        <v>ΣΩΛΗΝΑ ΧΑΛΚΟΥ</v>
      </c>
      <c r="N716" s="2" t="str">
        <f>IFERROR(VLOOKUP(ROWS($N$2:N716),$D$2:$E$1996,2,0),"")</f>
        <v>Φ22 X 0,9</v>
      </c>
    </row>
    <row r="717" spans="1:14">
      <c r="A717" s="5">
        <v>12</v>
      </c>
      <c r="B717" s="32">
        <f>IF(ISNUMBER(SEARCH('Φόρμα Εισαγωγής'!$B$2,C717)),MAX($B$1:B716)+1,0)</f>
        <v>716</v>
      </c>
      <c r="C717" s="7" t="s">
        <v>473</v>
      </c>
      <c r="D717" s="33">
        <f>IF(ISNUMBER(SEARCH('Φόρμα Εισαγωγής'!$C$2,E717)),MAX($D$1:D716)+1,0)</f>
        <v>716</v>
      </c>
      <c r="E717" s="17" t="s">
        <v>770</v>
      </c>
      <c r="F717" s="5">
        <v>6.15</v>
      </c>
      <c r="G717" s="5">
        <v>8.6</v>
      </c>
      <c r="H717" s="6">
        <f t="shared" si="42"/>
        <v>10.664</v>
      </c>
      <c r="I717" s="6">
        <f t="shared" si="43"/>
        <v>73.800000000000011</v>
      </c>
      <c r="J717" s="6">
        <f t="shared" si="44"/>
        <v>127.96799999999999</v>
      </c>
      <c r="L717" s="4" t="str">
        <f>IFERROR(VLOOKUP(ROWS($L$2:L717),$B$2:$C$1996,2,0),"")</f>
        <v>ΣΩΛΗΝΑ ΧΑΛΚΟΥ</v>
      </c>
      <c r="N717" s="2" t="str">
        <f>IFERROR(VLOOKUP(ROWS($N$2:N717),$D$2:$E$1996,2,0),"")</f>
        <v>Φ28 X 0,9</v>
      </c>
    </row>
    <row r="718" spans="1:14">
      <c r="A718" s="5">
        <v>0</v>
      </c>
      <c r="B718" s="32">
        <f>IF(ISNUMBER(SEARCH('Φόρμα Εισαγωγής'!$B$2,C718)),MAX($B$1:B717)+1,0)</f>
        <v>717</v>
      </c>
      <c r="C718" s="7" t="s">
        <v>473</v>
      </c>
      <c r="D718" s="33">
        <f>IF(ISNUMBER(SEARCH('Φόρμα Εισαγωγής'!$C$2,E718)),MAX($D$1:D717)+1,0)</f>
        <v>717</v>
      </c>
      <c r="E718" s="17" t="s">
        <v>771</v>
      </c>
      <c r="F718" s="5">
        <v>8</v>
      </c>
      <c r="G718" s="5">
        <v>11.2</v>
      </c>
      <c r="H718" s="6">
        <f t="shared" si="42"/>
        <v>13.887999999999998</v>
      </c>
      <c r="I718" s="6">
        <f t="shared" si="43"/>
        <v>0</v>
      </c>
      <c r="J718" s="6">
        <f t="shared" si="44"/>
        <v>0</v>
      </c>
      <c r="L718" s="4" t="str">
        <f>IFERROR(VLOOKUP(ROWS($L$2:L718),$B$2:$C$1996,2,0),"")</f>
        <v>ΣΩΛΗΝΑ ΧΑΛΚΟΥ</v>
      </c>
      <c r="N718" s="2" t="str">
        <f>IFERROR(VLOOKUP(ROWS($N$2:N718),$D$2:$E$1996,2,0),"")</f>
        <v>Φ35 X 1,00</v>
      </c>
    </row>
    <row r="719" spans="1:14">
      <c r="A719" s="5">
        <v>3</v>
      </c>
      <c r="B719" s="32">
        <f>IF(ISNUMBER(SEARCH('Φόρμα Εισαγωγής'!$B$2,C719)),MAX($B$1:B718)+1,0)</f>
        <v>718</v>
      </c>
      <c r="C719" s="7" t="s">
        <v>474</v>
      </c>
      <c r="D719" s="33">
        <f>IF(ISNUMBER(SEARCH('Φόρμα Εισαγωγής'!$C$2,E719)),MAX($D$1:D718)+1,0)</f>
        <v>718</v>
      </c>
      <c r="E719" s="17" t="s">
        <v>475</v>
      </c>
      <c r="F719" s="5">
        <v>9.6</v>
      </c>
      <c r="G719" s="5">
        <v>13.5</v>
      </c>
      <c r="H719" s="6">
        <f t="shared" si="42"/>
        <v>16.739999999999998</v>
      </c>
      <c r="I719" s="6">
        <f t="shared" si="43"/>
        <v>28.799999999999997</v>
      </c>
      <c r="J719" s="6">
        <f t="shared" si="44"/>
        <v>50.22</v>
      </c>
      <c r="L719" s="4" t="str">
        <f>IFERROR(VLOOKUP(ROWS($L$2:L719),$B$2:$C$1996,2,0),"")</f>
        <v>ΤΑΦ ΙΝΟΧ</v>
      </c>
      <c r="N719" s="2" t="str">
        <f>IFERROR(VLOOKUP(ROWS($N$2:N719),$D$2:$E$1996,2,0),"")</f>
        <v>Φ130</v>
      </c>
    </row>
    <row r="720" spans="1:14">
      <c r="A720" s="5">
        <v>4</v>
      </c>
      <c r="B720" s="32">
        <f>IF(ISNUMBER(SEARCH('Φόρμα Εισαγωγής'!$B$2,C720)),MAX($B$1:B719)+1,0)</f>
        <v>719</v>
      </c>
      <c r="C720" s="7" t="s">
        <v>476</v>
      </c>
      <c r="D720" s="33">
        <f>IF(ISNUMBER(SEARCH('Φόρμα Εισαγωγής'!$C$2,E720)),MAX($D$1:D719)+1,0)</f>
        <v>719</v>
      </c>
      <c r="E720" s="17" t="s">
        <v>475</v>
      </c>
      <c r="F720" s="5">
        <v>5.9</v>
      </c>
      <c r="G720" s="5">
        <v>8.1999999999999993</v>
      </c>
      <c r="H720" s="6">
        <f t="shared" si="42"/>
        <v>10.167999999999999</v>
      </c>
      <c r="I720" s="6">
        <f t="shared" si="43"/>
        <v>23.6</v>
      </c>
      <c r="J720" s="6">
        <f t="shared" si="44"/>
        <v>40.671999999999997</v>
      </c>
      <c r="L720" s="4" t="str">
        <f>IFERROR(VLOOKUP(ROWS($L$2:L720),$B$2:$C$1996,2,0),"")</f>
        <v>ΗΜΙΓΩΝΙΑ ΙΝΟΧ</v>
      </c>
      <c r="N720" s="2" t="str">
        <f>IFERROR(VLOOKUP(ROWS($N$2:N720),$D$2:$E$1996,2,0),"")</f>
        <v>Φ130</v>
      </c>
    </row>
    <row r="721" spans="1:14">
      <c r="A721" s="5">
        <v>4</v>
      </c>
      <c r="B721" s="32">
        <f>IF(ISNUMBER(SEARCH('Φόρμα Εισαγωγής'!$B$2,C721)),MAX($B$1:B720)+1,0)</f>
        <v>720</v>
      </c>
      <c r="C721" s="7" t="s">
        <v>477</v>
      </c>
      <c r="D721" s="33">
        <f>IF(ISNUMBER(SEARCH('Φόρμα Εισαγωγής'!$C$2,E721)),MAX($D$1:D720)+1,0)</f>
        <v>720</v>
      </c>
      <c r="E721" s="17" t="s">
        <v>475</v>
      </c>
      <c r="F721" s="5">
        <v>7</v>
      </c>
      <c r="G721" s="5">
        <v>10</v>
      </c>
      <c r="H721" s="6">
        <f t="shared" si="42"/>
        <v>12.4</v>
      </c>
      <c r="I721" s="6">
        <f t="shared" si="43"/>
        <v>28</v>
      </c>
      <c r="J721" s="6">
        <f t="shared" si="44"/>
        <v>49.6</v>
      </c>
      <c r="L721" s="4" t="str">
        <f>IFERROR(VLOOKUP(ROWS($L$2:L721),$B$2:$C$1996,2,0),"")</f>
        <v>ΓΩΝΙΑ ΙΝΟΧ</v>
      </c>
      <c r="N721" s="2" t="str">
        <f>IFERROR(VLOOKUP(ROWS($N$2:N721),$D$2:$E$1996,2,0),"")</f>
        <v>Φ130</v>
      </c>
    </row>
    <row r="722" spans="1:14">
      <c r="A722" s="5">
        <v>2</v>
      </c>
      <c r="B722" s="32">
        <f>IF(ISNUMBER(SEARCH('Φόρμα Εισαγωγής'!$B$2,C722)),MAX($B$1:B721)+1,0)</f>
        <v>721</v>
      </c>
      <c r="C722" s="7" t="s">
        <v>779</v>
      </c>
      <c r="D722" s="33">
        <f>IF(ISNUMBER(SEARCH('Φόρμα Εισαγωγής'!$C$2,E722)),MAX($D$1:D721)+1,0)</f>
        <v>721</v>
      </c>
      <c r="E722" s="17" t="s">
        <v>475</v>
      </c>
      <c r="F722" s="5">
        <v>6.85</v>
      </c>
      <c r="G722" s="5">
        <v>9.6</v>
      </c>
      <c r="H722" s="6">
        <f t="shared" si="42"/>
        <v>11.904</v>
      </c>
      <c r="I722" s="6">
        <f t="shared" si="43"/>
        <v>13.7</v>
      </c>
      <c r="J722" s="6">
        <f t="shared" si="44"/>
        <v>23.808</v>
      </c>
      <c r="L722" s="4" t="str">
        <f>IFERROR(VLOOKUP(ROWS($L$2:L722),$B$2:$C$1996,2,0),"")</f>
        <v>ΚΑΠΕΛΟ ΑΠΛΟ ΙΝΟΧ</v>
      </c>
      <c r="N722" s="2" t="str">
        <f>IFERROR(VLOOKUP(ROWS($N$2:N722),$D$2:$E$1996,2,0),"")</f>
        <v>Φ130</v>
      </c>
    </row>
    <row r="723" spans="1:14">
      <c r="A723" s="5">
        <v>5</v>
      </c>
      <c r="B723" s="32">
        <f>IF(ISNUMBER(SEARCH('Φόρμα Εισαγωγής'!$B$2,C723)),MAX($B$1:B722)+1,0)</f>
        <v>722</v>
      </c>
      <c r="C723" s="7" t="s">
        <v>478</v>
      </c>
      <c r="D723" s="33">
        <f>IF(ISNUMBER(SEARCH('Φόρμα Εισαγωγής'!$C$2,E723)),MAX($D$1:D722)+1,0)</f>
        <v>722</v>
      </c>
      <c r="E723" s="17" t="s">
        <v>475</v>
      </c>
      <c r="F723" s="5">
        <v>5.3</v>
      </c>
      <c r="G723" s="5">
        <v>7.4</v>
      </c>
      <c r="H723" s="6">
        <f t="shared" si="42"/>
        <v>9.1760000000000002</v>
      </c>
      <c r="I723" s="6">
        <f t="shared" si="43"/>
        <v>26.5</v>
      </c>
      <c r="J723" s="6">
        <f t="shared" si="44"/>
        <v>45.88</v>
      </c>
      <c r="L723" s="4" t="str">
        <f>IFERROR(VLOOKUP(ROWS($L$2:L723),$B$2:$C$1996,2,0),"")</f>
        <v>ΣΩΛΗΝΑ ΙΝΟΧ 100CM</v>
      </c>
      <c r="N723" s="2" t="str">
        <f>IFERROR(VLOOKUP(ROWS($N$2:N723),$D$2:$E$1996,2,0),"")</f>
        <v>Φ130</v>
      </c>
    </row>
    <row r="724" spans="1:14">
      <c r="A724" s="5">
        <v>2</v>
      </c>
      <c r="B724" s="32">
        <f>IF(ISNUMBER(SEARCH('Φόρμα Εισαγωγής'!$B$2,C724)),MAX($B$1:B723)+1,0)</f>
        <v>723</v>
      </c>
      <c r="C724" s="7" t="s">
        <v>479</v>
      </c>
      <c r="D724" s="33">
        <f>IF(ISNUMBER(SEARCH('Φόρμα Εισαγωγής'!$C$2,E724)),MAX($D$1:D723)+1,0)</f>
        <v>723</v>
      </c>
      <c r="E724" s="17" t="s">
        <v>475</v>
      </c>
      <c r="F724" s="5">
        <v>3.7</v>
      </c>
      <c r="G724" s="5">
        <v>5.2</v>
      </c>
      <c r="H724" s="6">
        <f t="shared" si="42"/>
        <v>6.4480000000000004</v>
      </c>
      <c r="I724" s="6">
        <f t="shared" si="43"/>
        <v>7.4</v>
      </c>
      <c r="J724" s="6">
        <f t="shared" si="44"/>
        <v>12.896000000000001</v>
      </c>
      <c r="L724" s="4" t="str">
        <f>IFERROR(VLOOKUP(ROWS($L$2:L724),$B$2:$C$1996,2,0),"")</f>
        <v>ΣΩΛΗΝΑ ΙΝΟΧ 50CM</v>
      </c>
      <c r="N724" s="2" t="str">
        <f>IFERROR(VLOOKUP(ROWS($N$2:N724),$D$2:$E$1996,2,0),"")</f>
        <v>Φ130</v>
      </c>
    </row>
    <row r="725" spans="1:14">
      <c r="A725" s="5">
        <v>5</v>
      </c>
      <c r="B725" s="32">
        <f>IF(ISNUMBER(SEARCH('Φόρμα Εισαγωγής'!$B$2,C725)),MAX($B$1:B724)+1,0)</f>
        <v>724</v>
      </c>
      <c r="C725" s="7" t="s">
        <v>477</v>
      </c>
      <c r="D725" s="33">
        <f>IF(ISNUMBER(SEARCH('Φόρμα Εισαγωγής'!$C$2,E725)),MAX($D$1:D724)+1,0)</f>
        <v>724</v>
      </c>
      <c r="E725" s="17" t="s">
        <v>480</v>
      </c>
      <c r="F725" s="5">
        <v>6.7</v>
      </c>
      <c r="G725" s="5">
        <v>9.4</v>
      </c>
      <c r="H725" s="6">
        <f t="shared" si="42"/>
        <v>11.656000000000001</v>
      </c>
      <c r="I725" s="6">
        <f t="shared" si="43"/>
        <v>33.5</v>
      </c>
      <c r="J725" s="6">
        <f t="shared" si="44"/>
        <v>58.28</v>
      </c>
      <c r="L725" s="4" t="str">
        <f>IFERROR(VLOOKUP(ROWS($L$2:L725),$B$2:$C$1996,2,0),"")</f>
        <v>ΓΩΝΙΑ ΙΝΟΧ</v>
      </c>
      <c r="N725" s="2" t="str">
        <f>IFERROR(VLOOKUP(ROWS($N$2:N725),$D$2:$E$1996,2,0),"")</f>
        <v>Φ120</v>
      </c>
    </row>
    <row r="726" spans="1:14">
      <c r="A726" s="5">
        <v>1</v>
      </c>
      <c r="B726" s="32">
        <f>IF(ISNUMBER(SEARCH('Φόρμα Εισαγωγής'!$B$2,C726)),MAX($B$1:B725)+1,0)</f>
        <v>725</v>
      </c>
      <c r="C726" s="7" t="s">
        <v>476</v>
      </c>
      <c r="D726" s="33">
        <f>IF(ISNUMBER(SEARCH('Φόρμα Εισαγωγής'!$C$2,E726)),MAX($D$1:D725)+1,0)</f>
        <v>725</v>
      </c>
      <c r="E726" s="17" t="s">
        <v>480</v>
      </c>
      <c r="F726" s="5">
        <v>5.5</v>
      </c>
      <c r="G726" s="5">
        <v>7.7</v>
      </c>
      <c r="H726" s="6">
        <f t="shared" si="42"/>
        <v>9.548</v>
      </c>
      <c r="I726" s="6">
        <f t="shared" si="43"/>
        <v>5.5</v>
      </c>
      <c r="J726" s="6">
        <f t="shared" si="44"/>
        <v>9.548</v>
      </c>
      <c r="L726" s="4" t="str">
        <f>IFERROR(VLOOKUP(ROWS($L$2:L726),$B$2:$C$1996,2,0),"")</f>
        <v>ΗΜΙΓΩΝΙΑ ΙΝΟΧ</v>
      </c>
      <c r="N726" s="2" t="str">
        <f>IFERROR(VLOOKUP(ROWS($N$2:N726),$D$2:$E$1996,2,0),"")</f>
        <v>Φ120</v>
      </c>
    </row>
    <row r="727" spans="1:14">
      <c r="A727" s="5">
        <v>1</v>
      </c>
      <c r="B727" s="32">
        <f>IF(ISNUMBER(SEARCH('Φόρμα Εισαγωγής'!$B$2,C727)),MAX($B$1:B726)+1,0)</f>
        <v>726</v>
      </c>
      <c r="C727" s="7" t="s">
        <v>474</v>
      </c>
      <c r="D727" s="33">
        <f>IF(ISNUMBER(SEARCH('Φόρμα Εισαγωγής'!$C$2,E727)),MAX($D$1:D726)+1,0)</f>
        <v>726</v>
      </c>
      <c r="E727" s="17" t="s">
        <v>480</v>
      </c>
      <c r="F727" s="5">
        <v>9</v>
      </c>
      <c r="G727" s="5">
        <v>12.6</v>
      </c>
      <c r="H727" s="6">
        <f t="shared" si="42"/>
        <v>15.623999999999999</v>
      </c>
      <c r="I727" s="6">
        <f t="shared" si="43"/>
        <v>9</v>
      </c>
      <c r="J727" s="6">
        <f t="shared" si="44"/>
        <v>15.623999999999999</v>
      </c>
      <c r="L727" s="4" t="str">
        <f>IFERROR(VLOOKUP(ROWS($L$2:L727),$B$2:$C$1996,2,0),"")</f>
        <v>ΤΑΦ ΙΝΟΧ</v>
      </c>
      <c r="N727" s="2" t="str">
        <f>IFERROR(VLOOKUP(ROWS($N$2:N727),$D$2:$E$1996,2,0),"")</f>
        <v>Φ120</v>
      </c>
    </row>
    <row r="728" spans="1:14">
      <c r="A728" s="5">
        <v>1</v>
      </c>
      <c r="B728" s="32">
        <f>IF(ISNUMBER(SEARCH('Φόρμα Εισαγωγής'!$B$2,C728)),MAX($B$1:B727)+1,0)</f>
        <v>727</v>
      </c>
      <c r="C728" s="7" t="s">
        <v>478</v>
      </c>
      <c r="D728" s="33">
        <f>IF(ISNUMBER(SEARCH('Φόρμα Εισαγωγής'!$C$2,E728)),MAX($D$1:D727)+1,0)</f>
        <v>727</v>
      </c>
      <c r="E728" s="17" t="s">
        <v>480</v>
      </c>
      <c r="F728" s="5">
        <v>4.7</v>
      </c>
      <c r="G728" s="5">
        <v>6.6</v>
      </c>
      <c r="H728" s="6">
        <f t="shared" si="42"/>
        <v>8.1839999999999993</v>
      </c>
      <c r="I728" s="6">
        <f t="shared" si="43"/>
        <v>4.7</v>
      </c>
      <c r="J728" s="6">
        <f t="shared" si="44"/>
        <v>8.1839999999999993</v>
      </c>
      <c r="L728" s="4" t="str">
        <f>IFERROR(VLOOKUP(ROWS($L$2:L728),$B$2:$C$1996,2,0),"")</f>
        <v>ΣΩΛΗΝΑ ΙΝΟΧ 100CM</v>
      </c>
      <c r="N728" s="2" t="str">
        <f>IFERROR(VLOOKUP(ROWS($N$2:N728),$D$2:$E$1996,2,0),"")</f>
        <v>Φ120</v>
      </c>
    </row>
    <row r="729" spans="1:14">
      <c r="A729" s="5">
        <v>0</v>
      </c>
      <c r="B729" s="32">
        <f>IF(ISNUMBER(SEARCH('Φόρμα Εισαγωγής'!$B$2,C729)),MAX($B$1:B728)+1,0)</f>
        <v>728</v>
      </c>
      <c r="C729" s="7" t="s">
        <v>479</v>
      </c>
      <c r="D729" s="33">
        <f>IF(ISNUMBER(SEARCH('Φόρμα Εισαγωγής'!$C$2,E729)),MAX($D$1:D728)+1,0)</f>
        <v>728</v>
      </c>
      <c r="E729" s="17" t="s">
        <v>480</v>
      </c>
      <c r="F729" s="5">
        <v>3.3</v>
      </c>
      <c r="G729" s="5">
        <v>4.5999999999999996</v>
      </c>
      <c r="H729" s="6">
        <f t="shared" si="42"/>
        <v>5.7039999999999997</v>
      </c>
      <c r="I729" s="6">
        <f t="shared" si="43"/>
        <v>0</v>
      </c>
      <c r="J729" s="6">
        <f t="shared" si="44"/>
        <v>0</v>
      </c>
      <c r="L729" s="4" t="str">
        <f>IFERROR(VLOOKUP(ROWS($L$2:L729),$B$2:$C$1996,2,0),"")</f>
        <v>ΣΩΛΗΝΑ ΙΝΟΧ 50CM</v>
      </c>
      <c r="N729" s="2" t="str">
        <f>IFERROR(VLOOKUP(ROWS($N$2:N729),$D$2:$E$1996,2,0),"")</f>
        <v>Φ120</v>
      </c>
    </row>
    <row r="730" spans="1:14">
      <c r="A730" s="5">
        <v>3</v>
      </c>
      <c r="B730" s="32">
        <f>IF(ISNUMBER(SEARCH('Φόρμα Εισαγωγής'!$B$2,C730)),MAX($B$1:B729)+1,0)</f>
        <v>729</v>
      </c>
      <c r="C730" s="7" t="s">
        <v>477</v>
      </c>
      <c r="D730" s="33">
        <f>IF(ISNUMBER(SEARCH('Φόρμα Εισαγωγής'!$C$2,E730)),MAX($D$1:D729)+1,0)</f>
        <v>729</v>
      </c>
      <c r="E730" s="17" t="s">
        <v>481</v>
      </c>
      <c r="F730" s="5">
        <v>7.85</v>
      </c>
      <c r="G730" s="5">
        <v>10.1</v>
      </c>
      <c r="H730" s="6">
        <f t="shared" si="42"/>
        <v>12.523999999999999</v>
      </c>
      <c r="I730" s="6">
        <f t="shared" si="43"/>
        <v>23.549999999999997</v>
      </c>
      <c r="J730" s="6">
        <f t="shared" si="44"/>
        <v>37.571999999999996</v>
      </c>
      <c r="L730" s="4" t="str">
        <f>IFERROR(VLOOKUP(ROWS($L$2:L730),$B$2:$C$1996,2,0),"")</f>
        <v>ΓΩΝΙΑ ΙΝΟΧ</v>
      </c>
      <c r="N730" s="2" t="str">
        <f>IFERROR(VLOOKUP(ROWS($N$2:N730),$D$2:$E$1996,2,0),"")</f>
        <v>Φ150</v>
      </c>
    </row>
    <row r="731" spans="1:14">
      <c r="A731" s="5">
        <v>3</v>
      </c>
      <c r="B731" s="32">
        <f>IF(ISNUMBER(SEARCH('Φόρμα Εισαγωγής'!$B$2,C731)),MAX($B$1:B730)+1,0)</f>
        <v>730</v>
      </c>
      <c r="C731" s="7" t="s">
        <v>476</v>
      </c>
      <c r="D731" s="33">
        <f>IF(ISNUMBER(SEARCH('Φόρμα Εισαγωγής'!$C$2,E731)),MAX($D$1:D730)+1,0)</f>
        <v>730</v>
      </c>
      <c r="E731" s="17" t="s">
        <v>481</v>
      </c>
      <c r="F731" s="5">
        <v>7</v>
      </c>
      <c r="G731" s="5">
        <v>9.8000000000000007</v>
      </c>
      <c r="H731" s="6">
        <f t="shared" si="42"/>
        <v>12.152000000000001</v>
      </c>
      <c r="I731" s="6">
        <f t="shared" si="43"/>
        <v>21</v>
      </c>
      <c r="J731" s="6">
        <f t="shared" si="44"/>
        <v>36.456000000000003</v>
      </c>
      <c r="L731" s="4" t="str">
        <f>IFERROR(VLOOKUP(ROWS($L$2:L731),$B$2:$C$1996,2,0),"")</f>
        <v>ΗΜΙΓΩΝΙΑ ΙΝΟΧ</v>
      </c>
      <c r="N731" s="2" t="str">
        <f>IFERROR(VLOOKUP(ROWS($N$2:N731),$D$2:$E$1996,2,0),"")</f>
        <v>Φ150</v>
      </c>
    </row>
    <row r="732" spans="1:14">
      <c r="A732" s="5">
        <v>2</v>
      </c>
      <c r="B732" s="32">
        <f>IF(ISNUMBER(SEARCH('Φόρμα Εισαγωγής'!$B$2,C732)),MAX($B$1:B731)+1,0)</f>
        <v>731</v>
      </c>
      <c r="C732" s="7" t="s">
        <v>474</v>
      </c>
      <c r="D732" s="33">
        <f>IF(ISNUMBER(SEARCH('Φόρμα Εισαγωγής'!$C$2,E732)),MAX($D$1:D731)+1,0)</f>
        <v>731</v>
      </c>
      <c r="E732" s="17" t="s">
        <v>481</v>
      </c>
      <c r="F732" s="5">
        <v>11.15</v>
      </c>
      <c r="G732" s="5">
        <v>15.6</v>
      </c>
      <c r="H732" s="6">
        <f t="shared" si="42"/>
        <v>19.344000000000001</v>
      </c>
      <c r="I732" s="6">
        <f t="shared" si="43"/>
        <v>22.3</v>
      </c>
      <c r="J732" s="6">
        <f t="shared" si="44"/>
        <v>38.688000000000002</v>
      </c>
      <c r="L732" s="4" t="str">
        <f>IFERROR(VLOOKUP(ROWS($L$2:L732),$B$2:$C$1996,2,0),"")</f>
        <v>ΤΑΦ ΙΝΟΧ</v>
      </c>
      <c r="N732" s="2" t="str">
        <f>IFERROR(VLOOKUP(ROWS($N$2:N732),$D$2:$E$1996,2,0),"")</f>
        <v>Φ150</v>
      </c>
    </row>
    <row r="733" spans="1:14">
      <c r="A733" s="5">
        <v>1</v>
      </c>
      <c r="B733" s="32">
        <f>IF(ISNUMBER(SEARCH('Φόρμα Εισαγωγής'!$B$2,C733)),MAX($B$1:B732)+1,0)</f>
        <v>732</v>
      </c>
      <c r="C733" s="7" t="s">
        <v>779</v>
      </c>
      <c r="D733" s="33">
        <f>IF(ISNUMBER(SEARCH('Φόρμα Εισαγωγής'!$C$2,E733)),MAX($D$1:D732)+1,0)</f>
        <v>732</v>
      </c>
      <c r="E733" s="17" t="s">
        <v>481</v>
      </c>
      <c r="F733" s="5">
        <v>7.7</v>
      </c>
      <c r="G733" s="5">
        <v>10.7</v>
      </c>
      <c r="H733" s="6">
        <f t="shared" si="42"/>
        <v>13.267999999999999</v>
      </c>
      <c r="I733" s="6">
        <f t="shared" si="43"/>
        <v>7.7</v>
      </c>
      <c r="J733" s="6">
        <f t="shared" si="44"/>
        <v>13.267999999999999</v>
      </c>
      <c r="L733" s="4" t="str">
        <f>IFERROR(VLOOKUP(ROWS($L$2:L733),$B$2:$C$1996,2,0),"")</f>
        <v>ΚΑΠΕΛΟ ΑΠΛΟ ΙΝΟΧ</v>
      </c>
      <c r="N733" s="2" t="str">
        <f>IFERROR(VLOOKUP(ROWS($N$2:N733),$D$2:$E$1996,2,0),"")</f>
        <v>Φ150</v>
      </c>
    </row>
    <row r="734" spans="1:14">
      <c r="A734" s="5">
        <v>1</v>
      </c>
      <c r="B734" s="32">
        <f>IF(ISNUMBER(SEARCH('Φόρμα Εισαγωγής'!$B$2,C734)),MAX($B$1:B733)+1,0)</f>
        <v>733</v>
      </c>
      <c r="C734" s="7" t="s">
        <v>482</v>
      </c>
      <c r="D734" s="33">
        <f>IF(ISNUMBER(SEARCH('Φόρμα Εισαγωγής'!$C$2,E734)),MAX($D$1:D733)+1,0)</f>
        <v>733</v>
      </c>
      <c r="E734" s="17" t="s">
        <v>481</v>
      </c>
      <c r="F734" s="5">
        <v>20.8</v>
      </c>
      <c r="G734" s="5">
        <v>30</v>
      </c>
      <c r="H734" s="6">
        <f t="shared" si="42"/>
        <v>37.200000000000003</v>
      </c>
      <c r="I734" s="6">
        <f t="shared" si="43"/>
        <v>20.8</v>
      </c>
      <c r="J734" s="6">
        <f t="shared" si="44"/>
        <v>37.200000000000003</v>
      </c>
      <c r="L734" s="4" t="str">
        <f>IFERROR(VLOOKUP(ROWS($L$2:L734),$B$2:$C$1996,2,0),"")</f>
        <v>ΚΑΠΕΛΟ ΠΕΡΙΣΤΡ. ΙΝΟΧ</v>
      </c>
      <c r="N734" s="2" t="str">
        <f>IFERROR(VLOOKUP(ROWS($N$2:N734),$D$2:$E$1996,2,0),"")</f>
        <v>Φ150</v>
      </c>
    </row>
    <row r="735" spans="1:14">
      <c r="A735" s="5">
        <v>1</v>
      </c>
      <c r="B735" s="32">
        <f>IF(ISNUMBER(SEARCH('Φόρμα Εισαγωγής'!$B$2,C735)),MAX($B$1:B734)+1,0)</f>
        <v>734</v>
      </c>
      <c r="C735" s="7" t="s">
        <v>834</v>
      </c>
      <c r="D735" s="33">
        <f>IF(ISNUMBER(SEARCH('Φόρμα Εισαγωγής'!$C$2,E735)),MAX($D$1:D734)+1,0)</f>
        <v>734</v>
      </c>
      <c r="E735" s="17" t="s">
        <v>194</v>
      </c>
      <c r="F735" s="5">
        <v>6.35</v>
      </c>
      <c r="G735" s="5">
        <v>8.9</v>
      </c>
      <c r="H735" s="6">
        <f t="shared" si="42"/>
        <v>11.036000000000001</v>
      </c>
      <c r="I735" s="6">
        <f t="shared" si="43"/>
        <v>6.35</v>
      </c>
      <c r="J735" s="6">
        <f t="shared" si="44"/>
        <v>11.036000000000001</v>
      </c>
      <c r="L735" s="4" t="str">
        <f>IFERROR(VLOOKUP(ROWS($L$2:L735),$B$2:$C$1996,2,0),"")</f>
        <v>ΓΩΝΙΑ ΕΛΙΚ ΙΝΟΧ</v>
      </c>
      <c r="N735" s="2" t="str">
        <f>IFERROR(VLOOKUP(ROWS($N$2:N735),$D$2:$E$1996,2,0),"")</f>
        <v>Φ125</v>
      </c>
    </row>
    <row r="736" spans="1:14">
      <c r="A736" s="5">
        <v>5</v>
      </c>
      <c r="B736" s="32">
        <f>IF(ISNUMBER(SEARCH('Φόρμα Εισαγωγής'!$B$2,C736)),MAX($B$1:B735)+1,0)</f>
        <v>735</v>
      </c>
      <c r="C736" s="7" t="s">
        <v>835</v>
      </c>
      <c r="D736" s="33">
        <f>IF(ISNUMBER(SEARCH('Φόρμα Εισαγωγής'!$C$2,E736)),MAX($D$1:D735)+1,0)</f>
        <v>735</v>
      </c>
      <c r="E736" s="17" t="s">
        <v>194</v>
      </c>
      <c r="F736" s="5">
        <v>5.5</v>
      </c>
      <c r="G736" s="5">
        <v>7.7</v>
      </c>
      <c r="H736" s="6">
        <f t="shared" si="42"/>
        <v>9.548</v>
      </c>
      <c r="I736" s="6">
        <f t="shared" si="43"/>
        <v>27.5</v>
      </c>
      <c r="J736" s="6">
        <f t="shared" si="44"/>
        <v>47.74</v>
      </c>
      <c r="L736" s="4" t="str">
        <f>IFERROR(VLOOKUP(ROWS($L$2:L736),$B$2:$C$1996,2,0),"")</f>
        <v>ΗΜΙΓΩΝΙΑ ΕΛΙΚ ΙΝΟΧ</v>
      </c>
      <c r="N736" s="2" t="str">
        <f>IFERROR(VLOOKUP(ROWS($N$2:N736),$D$2:$E$1996,2,0),"")</f>
        <v>Φ125</v>
      </c>
    </row>
    <row r="737" spans="1:14">
      <c r="A737" s="5">
        <v>6</v>
      </c>
      <c r="B737" s="32">
        <f>IF(ISNUMBER(SEARCH('Φόρμα Εισαγωγής'!$B$2,C737)),MAX($B$1:B736)+1,0)</f>
        <v>736</v>
      </c>
      <c r="C737" s="7" t="s">
        <v>478</v>
      </c>
      <c r="D737" s="33">
        <f>IF(ISNUMBER(SEARCH('Φόρμα Εισαγωγής'!$C$2,E737)),MAX($D$1:D736)+1,0)</f>
        <v>736</v>
      </c>
      <c r="E737" s="17" t="s">
        <v>481</v>
      </c>
      <c r="F737" s="5">
        <v>6</v>
      </c>
      <c r="G737" s="5">
        <v>8.5</v>
      </c>
      <c r="H737" s="6">
        <f t="shared" si="42"/>
        <v>10.54</v>
      </c>
      <c r="I737" s="6">
        <f t="shared" si="43"/>
        <v>36</v>
      </c>
      <c r="J737" s="6">
        <f t="shared" si="44"/>
        <v>63.239999999999995</v>
      </c>
      <c r="L737" s="4" t="str">
        <f>IFERROR(VLOOKUP(ROWS($L$2:L737),$B$2:$C$1996,2,0),"")</f>
        <v>ΣΩΛΗΝΑ ΙΝΟΧ 100CM</v>
      </c>
      <c r="N737" s="2" t="str">
        <f>IFERROR(VLOOKUP(ROWS($N$2:N737),$D$2:$E$1996,2,0),"")</f>
        <v>Φ150</v>
      </c>
    </row>
    <row r="738" spans="1:14">
      <c r="A738" s="5">
        <v>2</v>
      </c>
      <c r="B738" s="32">
        <f>IF(ISNUMBER(SEARCH('Φόρμα Εισαγωγής'!$B$2,C738)),MAX($B$1:B737)+1,0)</f>
        <v>737</v>
      </c>
      <c r="C738" s="7" t="s">
        <v>479</v>
      </c>
      <c r="D738" s="33">
        <f>IF(ISNUMBER(SEARCH('Φόρμα Εισαγωγής'!$C$2,E738)),MAX($D$1:D737)+1,0)</f>
        <v>737</v>
      </c>
      <c r="E738" s="17" t="s">
        <v>193</v>
      </c>
      <c r="F738" s="5">
        <v>4.3</v>
      </c>
      <c r="G738" s="5">
        <v>6</v>
      </c>
      <c r="H738" s="6">
        <f t="shared" si="42"/>
        <v>7.4399999999999995</v>
      </c>
      <c r="I738" s="6">
        <f t="shared" si="43"/>
        <v>8.6</v>
      </c>
      <c r="J738" s="6">
        <f t="shared" si="44"/>
        <v>14.879999999999999</v>
      </c>
      <c r="L738" s="4" t="str">
        <f>IFERROR(VLOOKUP(ROWS($L$2:L738),$B$2:$C$1996,2,0),"")</f>
        <v>ΣΩΛΗΝΑ ΙΝΟΧ 50CM</v>
      </c>
      <c r="N738" s="2" t="str">
        <f>IFERROR(VLOOKUP(ROWS($N$2:N738),$D$2:$E$1996,2,0),"")</f>
        <v>Φ100</v>
      </c>
    </row>
    <row r="739" spans="1:14">
      <c r="A739" s="5">
        <v>1</v>
      </c>
      <c r="B739" s="32">
        <f>IF(ISNUMBER(SEARCH('Φόρμα Εισαγωγής'!$B$2,C739)),MAX($B$1:B738)+1,0)</f>
        <v>738</v>
      </c>
      <c r="C739" s="7" t="s">
        <v>479</v>
      </c>
      <c r="D739" s="33">
        <f>IF(ISNUMBER(SEARCH('Φόρμα Εισαγωγής'!$C$2,E739)),MAX($D$1:D738)+1,0)</f>
        <v>738</v>
      </c>
      <c r="E739" s="17" t="s">
        <v>483</v>
      </c>
      <c r="F739" s="5">
        <v>2.6</v>
      </c>
      <c r="G739" s="5">
        <v>3.65</v>
      </c>
      <c r="H739" s="6">
        <f t="shared" si="42"/>
        <v>4.5259999999999998</v>
      </c>
      <c r="I739" s="6">
        <f t="shared" si="43"/>
        <v>2.6</v>
      </c>
      <c r="J739" s="6">
        <f t="shared" si="44"/>
        <v>4.5259999999999998</v>
      </c>
      <c r="L739" s="4" t="str">
        <f>IFERROR(VLOOKUP(ROWS($L$2:L739),$B$2:$C$1996,2,0),"")</f>
        <v>ΣΩΛΗΝΑ ΙΝΟΧ 50CM</v>
      </c>
      <c r="N739" s="2" t="str">
        <f>IFERROR(VLOOKUP(ROWS($N$2:N739),$D$2:$E$1996,2,0),"")</f>
        <v>Φ80</v>
      </c>
    </row>
    <row r="740" spans="1:14">
      <c r="A740" s="5">
        <v>6</v>
      </c>
      <c r="B740" s="32">
        <f>IF(ISNUMBER(SEARCH('Φόρμα Εισαγωγής'!$B$2,C740)),MAX($B$1:B739)+1,0)</f>
        <v>739</v>
      </c>
      <c r="C740" s="7" t="s">
        <v>478</v>
      </c>
      <c r="D740" s="33">
        <f>IF(ISNUMBER(SEARCH('Φόρμα Εισαγωγής'!$C$2,E740)),MAX($D$1:D739)+1,0)</f>
        <v>739</v>
      </c>
      <c r="E740" s="17" t="s">
        <v>483</v>
      </c>
      <c r="F740" s="5">
        <v>3.7</v>
      </c>
      <c r="G740" s="5">
        <v>5.25</v>
      </c>
      <c r="H740" s="6">
        <f t="shared" si="42"/>
        <v>6.51</v>
      </c>
      <c r="I740" s="6">
        <f t="shared" si="43"/>
        <v>22.200000000000003</v>
      </c>
      <c r="J740" s="6">
        <f t="shared" si="44"/>
        <v>39.06</v>
      </c>
      <c r="L740" s="4" t="str">
        <f>IFERROR(VLOOKUP(ROWS($L$2:L740),$B$2:$C$1996,2,0),"")</f>
        <v>ΣΩΛΗΝΑ ΙΝΟΧ 100CM</v>
      </c>
      <c r="N740" s="2" t="str">
        <f>IFERROR(VLOOKUP(ROWS($N$2:N740),$D$2:$E$1996,2,0),"")</f>
        <v>Φ80</v>
      </c>
    </row>
    <row r="741" spans="1:14">
      <c r="A741" s="5">
        <v>1</v>
      </c>
      <c r="B741" s="32">
        <f>IF(ISNUMBER(SEARCH('Φόρμα Εισαγωγής'!$B$2,C741)),MAX($B$1:B740)+1,0)</f>
        <v>740</v>
      </c>
      <c r="C741" s="7" t="s">
        <v>836</v>
      </c>
      <c r="D741" s="33">
        <f>IF(ISNUMBER(SEARCH('Φόρμα Εισαγωγής'!$C$2,E741)),MAX($D$1:D740)+1,0)</f>
        <v>740</v>
      </c>
      <c r="E741" s="17" t="s">
        <v>194</v>
      </c>
      <c r="F741" s="5">
        <v>4.9000000000000004</v>
      </c>
      <c r="G741" s="5">
        <v>7</v>
      </c>
      <c r="H741" s="6">
        <f t="shared" si="42"/>
        <v>8.68</v>
      </c>
      <c r="I741" s="6">
        <f t="shared" si="43"/>
        <v>4.9000000000000004</v>
      </c>
      <c r="J741" s="6">
        <f t="shared" si="44"/>
        <v>8.68</v>
      </c>
      <c r="L741" s="4" t="str">
        <f>IFERROR(VLOOKUP(ROWS($L$2:L741),$B$2:$C$1996,2,0),"")</f>
        <v>ΣΩΛΗΝΑ ΕΛΙΚ ΙΝΟΧ 100CM</v>
      </c>
      <c r="N741" s="2" t="str">
        <f>IFERROR(VLOOKUP(ROWS($N$2:N741),$D$2:$E$1996,2,0),"")</f>
        <v>Φ125</v>
      </c>
    </row>
    <row r="742" spans="1:14">
      <c r="A742" s="5">
        <v>1</v>
      </c>
      <c r="B742" s="32">
        <f>IF(ISNUMBER(SEARCH('Φόρμα Εισαγωγής'!$B$2,C742)),MAX($B$1:B741)+1,0)</f>
        <v>741</v>
      </c>
      <c r="C742" s="7" t="s">
        <v>484</v>
      </c>
      <c r="D742" s="33">
        <f>IF(ISNUMBER(SEARCH('Φόρμα Εισαγωγής'!$C$2,E742)),MAX($D$1:D741)+1,0)</f>
        <v>741</v>
      </c>
      <c r="E742" s="17" t="s">
        <v>193</v>
      </c>
      <c r="F742" s="5">
        <v>10.35</v>
      </c>
      <c r="G742" s="5">
        <v>14.5</v>
      </c>
      <c r="H742" s="6">
        <f t="shared" si="42"/>
        <v>17.98</v>
      </c>
      <c r="I742" s="6">
        <f t="shared" si="43"/>
        <v>10.35</v>
      </c>
      <c r="J742" s="6">
        <f t="shared" si="44"/>
        <v>17.98</v>
      </c>
      <c r="L742" s="4" t="str">
        <f>IFERROR(VLOOKUP(ROWS($L$2:L742),$B$2:$C$1996,2,0),"")</f>
        <v>ΗΜΙΤΑΦ ΙΝΟΧ</v>
      </c>
      <c r="N742" s="2" t="str">
        <f>IFERROR(VLOOKUP(ROWS($N$2:N742),$D$2:$E$1996,2,0),"")</f>
        <v>Φ100</v>
      </c>
    </row>
    <row r="743" spans="1:14">
      <c r="A743" s="5">
        <v>2</v>
      </c>
      <c r="B743" s="32">
        <f>IF(ISNUMBER(SEARCH('Φόρμα Εισαγωγής'!$B$2,C743)),MAX($B$1:B742)+1,0)</f>
        <v>742</v>
      </c>
      <c r="C743" s="7" t="s">
        <v>477</v>
      </c>
      <c r="D743" s="33">
        <f>IF(ISNUMBER(SEARCH('Φόρμα Εισαγωγής'!$C$2,E743)),MAX($D$1:D742)+1,0)</f>
        <v>742</v>
      </c>
      <c r="E743" s="17" t="s">
        <v>193</v>
      </c>
      <c r="F743" s="5">
        <v>5.86</v>
      </c>
      <c r="G743" s="5">
        <v>8.25</v>
      </c>
      <c r="H743" s="6">
        <f t="shared" si="42"/>
        <v>10.23</v>
      </c>
      <c r="I743" s="6">
        <f t="shared" si="43"/>
        <v>11.72</v>
      </c>
      <c r="J743" s="6">
        <f t="shared" si="44"/>
        <v>20.46</v>
      </c>
      <c r="L743" s="4" t="str">
        <f>IFERROR(VLOOKUP(ROWS($L$2:L743),$B$2:$C$1996,2,0),"")</f>
        <v>ΓΩΝΙΑ ΙΝΟΧ</v>
      </c>
      <c r="N743" s="2" t="str">
        <f>IFERROR(VLOOKUP(ROWS($N$2:N743),$D$2:$E$1996,2,0),"")</f>
        <v>Φ100</v>
      </c>
    </row>
    <row r="744" spans="1:14">
      <c r="A744" s="5">
        <v>1</v>
      </c>
      <c r="B744" s="32">
        <f>IF(ISNUMBER(SEARCH('Φόρμα Εισαγωγής'!$B$2,C744)),MAX($B$1:B743)+1,0)</f>
        <v>743</v>
      </c>
      <c r="C744" s="7" t="s">
        <v>476</v>
      </c>
      <c r="D744" s="33">
        <f>IF(ISNUMBER(SEARCH('Φόρμα Εισαγωγής'!$C$2,E744)),MAX($D$1:D743)+1,0)</f>
        <v>743</v>
      </c>
      <c r="E744" s="17" t="s">
        <v>193</v>
      </c>
      <c r="F744" s="5">
        <v>4.9000000000000004</v>
      </c>
      <c r="G744" s="5">
        <v>6.85</v>
      </c>
      <c r="H744" s="6">
        <f t="shared" si="42"/>
        <v>8.4939999999999998</v>
      </c>
      <c r="I744" s="6">
        <f t="shared" si="43"/>
        <v>4.9000000000000004</v>
      </c>
      <c r="J744" s="6">
        <f t="shared" si="44"/>
        <v>8.4939999999999998</v>
      </c>
      <c r="L744" s="4" t="str">
        <f>IFERROR(VLOOKUP(ROWS($L$2:L744),$B$2:$C$1996,2,0),"")</f>
        <v>ΗΜΙΓΩΝΙΑ ΙΝΟΧ</v>
      </c>
      <c r="N744" s="2" t="str">
        <f>IFERROR(VLOOKUP(ROWS($N$2:N744),$D$2:$E$1996,2,0),"")</f>
        <v>Φ100</v>
      </c>
    </row>
    <row r="745" spans="1:14">
      <c r="A745" s="5">
        <v>7</v>
      </c>
      <c r="B745" s="32">
        <f>IF(ISNUMBER(SEARCH('Φόρμα Εισαγωγής'!$B$2,C745)),MAX($B$1:B744)+1,0)</f>
        <v>744</v>
      </c>
      <c r="C745" s="7" t="s">
        <v>477</v>
      </c>
      <c r="D745" s="33">
        <f>IF(ISNUMBER(SEARCH('Φόρμα Εισαγωγής'!$C$2,E745)),MAX($D$1:D744)+1,0)</f>
        <v>744</v>
      </c>
      <c r="E745" s="17" t="s">
        <v>483</v>
      </c>
      <c r="F745" s="5">
        <v>4.7</v>
      </c>
      <c r="G745" s="5">
        <v>6.6</v>
      </c>
      <c r="H745" s="6">
        <f t="shared" si="42"/>
        <v>8.1839999999999993</v>
      </c>
      <c r="I745" s="6">
        <f t="shared" si="43"/>
        <v>32.9</v>
      </c>
      <c r="J745" s="6">
        <f t="shared" si="44"/>
        <v>57.287999999999997</v>
      </c>
      <c r="L745" s="4" t="str">
        <f>IFERROR(VLOOKUP(ROWS($L$2:L745),$B$2:$C$1996,2,0),"")</f>
        <v>ΓΩΝΙΑ ΙΝΟΧ</v>
      </c>
      <c r="N745" s="2" t="str">
        <f>IFERROR(VLOOKUP(ROWS($N$2:N745),$D$2:$E$1996,2,0),"")</f>
        <v>Φ80</v>
      </c>
    </row>
    <row r="746" spans="1:14">
      <c r="A746" s="5">
        <v>8</v>
      </c>
      <c r="B746" s="32">
        <f>IF(ISNUMBER(SEARCH('Φόρμα Εισαγωγής'!$B$2,C746)),MAX($B$1:B745)+1,0)</f>
        <v>745</v>
      </c>
      <c r="C746" s="7" t="s">
        <v>476</v>
      </c>
      <c r="D746" s="33">
        <f>IF(ISNUMBER(SEARCH('Φόρμα Εισαγωγής'!$C$2,E746)),MAX($D$1:D745)+1,0)</f>
        <v>745</v>
      </c>
      <c r="E746" s="17" t="s">
        <v>483</v>
      </c>
      <c r="F746" s="5">
        <v>4</v>
      </c>
      <c r="G746" s="5">
        <v>5.5</v>
      </c>
      <c r="H746" s="6">
        <f t="shared" si="42"/>
        <v>6.82</v>
      </c>
      <c r="I746" s="6">
        <f t="shared" si="43"/>
        <v>32</v>
      </c>
      <c r="J746" s="6">
        <f t="shared" si="44"/>
        <v>54.56</v>
      </c>
      <c r="L746" s="4" t="str">
        <f>IFERROR(VLOOKUP(ROWS($L$2:L746),$B$2:$C$1996,2,0),"")</f>
        <v>ΗΜΙΓΩΝΙΑ ΙΝΟΧ</v>
      </c>
      <c r="N746" s="2" t="str">
        <f>IFERROR(VLOOKUP(ROWS($N$2:N746),$D$2:$E$1996,2,0),"")</f>
        <v>Φ80</v>
      </c>
    </row>
    <row r="747" spans="1:14">
      <c r="A747" s="5">
        <v>2</v>
      </c>
      <c r="B747" s="32">
        <f>IF(ISNUMBER(SEARCH('Φόρμα Εισαγωγής'!$B$2,C747)),MAX($B$1:B746)+1,0)</f>
        <v>746</v>
      </c>
      <c r="C747" s="7" t="s">
        <v>474</v>
      </c>
      <c r="D747" s="33">
        <f>IF(ISNUMBER(SEARCH('Φόρμα Εισαγωγής'!$C$2,E747)),MAX($D$1:D746)+1,0)</f>
        <v>746</v>
      </c>
      <c r="E747" s="17" t="s">
        <v>483</v>
      </c>
      <c r="F747" s="5">
        <v>7.45</v>
      </c>
      <c r="G747" s="5">
        <v>10.5</v>
      </c>
      <c r="H747" s="6">
        <f t="shared" si="42"/>
        <v>13.02</v>
      </c>
      <c r="I747" s="6">
        <f t="shared" si="43"/>
        <v>14.9</v>
      </c>
      <c r="J747" s="6">
        <f t="shared" si="44"/>
        <v>26.04</v>
      </c>
      <c r="L747" s="4" t="str">
        <f>IFERROR(VLOOKUP(ROWS($L$2:L747),$B$2:$C$1996,2,0),"")</f>
        <v>ΤΑΦ ΙΝΟΧ</v>
      </c>
      <c r="N747" s="2" t="str">
        <f>IFERROR(VLOOKUP(ROWS($N$2:N747),$D$2:$E$1996,2,0),"")</f>
        <v>Φ80</v>
      </c>
    </row>
    <row r="748" spans="1:14">
      <c r="A748" s="5">
        <v>1</v>
      </c>
      <c r="B748" s="32">
        <f>IF(ISNUMBER(SEARCH('Φόρμα Εισαγωγής'!$B$2,C748)),MAX($B$1:B747)+1,0)</f>
        <v>747</v>
      </c>
      <c r="C748" s="7" t="s">
        <v>485</v>
      </c>
      <c r="D748" s="33">
        <f>IF(ISNUMBER(SEARCH('Φόρμα Εισαγωγής'!$C$2,E748)),MAX($D$1:D747)+1,0)</f>
        <v>747</v>
      </c>
      <c r="E748" s="17" t="s">
        <v>486</v>
      </c>
      <c r="F748" s="5">
        <v>7</v>
      </c>
      <c r="G748" s="5">
        <v>10</v>
      </c>
      <c r="H748" s="6">
        <f t="shared" si="42"/>
        <v>12.4</v>
      </c>
      <c r="I748" s="6">
        <f t="shared" si="43"/>
        <v>7</v>
      </c>
      <c r="J748" s="6">
        <f t="shared" si="44"/>
        <v>12.4</v>
      </c>
      <c r="L748" s="4" t="str">
        <f>IFERROR(VLOOKUP(ROWS($L$2:L748),$B$2:$C$1996,2,0),"")</f>
        <v>ΣΥΣΤΟΛΗ ΙΝΟΧ</v>
      </c>
      <c r="N748" s="2" t="str">
        <f>IFERROR(VLOOKUP(ROWS($N$2:N748),$D$2:$E$1996,2,0),"")</f>
        <v>Φ150 Χ Φ120</v>
      </c>
    </row>
    <row r="749" spans="1:14">
      <c r="A749" s="5">
        <v>4</v>
      </c>
      <c r="B749" s="32">
        <f>IF(ISNUMBER(SEARCH('Φόρμα Εισαγωγής'!$B$2,C749)),MAX($B$1:B748)+1,0)</f>
        <v>748</v>
      </c>
      <c r="C749" s="7" t="s">
        <v>485</v>
      </c>
      <c r="D749" s="33">
        <f>IF(ISNUMBER(SEARCH('Φόρμα Εισαγωγής'!$C$2,E749)),MAX($D$1:D748)+1,0)</f>
        <v>748</v>
      </c>
      <c r="E749" s="17" t="s">
        <v>487</v>
      </c>
      <c r="F749" s="5">
        <v>7</v>
      </c>
      <c r="G749" s="5">
        <v>10</v>
      </c>
      <c r="H749" s="6">
        <f t="shared" si="42"/>
        <v>12.4</v>
      </c>
      <c r="I749" s="6">
        <f t="shared" si="43"/>
        <v>28</v>
      </c>
      <c r="J749" s="6">
        <f t="shared" si="44"/>
        <v>49.6</v>
      </c>
      <c r="L749" s="4" t="str">
        <f>IFERROR(VLOOKUP(ROWS($L$2:L749),$B$2:$C$1996,2,0),"")</f>
        <v>ΣΥΣΤΟΛΗ ΙΝΟΧ</v>
      </c>
      <c r="N749" s="2" t="str">
        <f>IFERROR(VLOOKUP(ROWS($N$2:N749),$D$2:$E$1996,2,0),"")</f>
        <v>Φ130 Χ Φ150</v>
      </c>
    </row>
    <row r="750" spans="1:14">
      <c r="A750" s="5">
        <v>1</v>
      </c>
      <c r="B750" s="32">
        <f>IF(ISNUMBER(SEARCH('Φόρμα Εισαγωγής'!$B$2,C750)),MAX($B$1:B749)+1,0)</f>
        <v>749</v>
      </c>
      <c r="C750" s="7" t="s">
        <v>485</v>
      </c>
      <c r="D750" s="33">
        <f>IF(ISNUMBER(SEARCH('Φόρμα Εισαγωγής'!$C$2,E750)),MAX($D$1:D749)+1,0)</f>
        <v>749</v>
      </c>
      <c r="E750" s="17" t="s">
        <v>488</v>
      </c>
      <c r="F750" s="5">
        <v>7</v>
      </c>
      <c r="G750" s="5">
        <v>10</v>
      </c>
      <c r="H750" s="6">
        <f t="shared" si="42"/>
        <v>12.4</v>
      </c>
      <c r="I750" s="6">
        <f t="shared" si="43"/>
        <v>7</v>
      </c>
      <c r="J750" s="6">
        <f t="shared" si="44"/>
        <v>12.4</v>
      </c>
      <c r="L750" s="4" t="str">
        <f>IFERROR(VLOOKUP(ROWS($L$2:L750),$B$2:$C$1996,2,0),"")</f>
        <v>ΣΥΣΤΟΛΗ ΙΝΟΧ</v>
      </c>
      <c r="N750" s="2" t="str">
        <f>IFERROR(VLOOKUP(ROWS($N$2:N750),$D$2:$E$1996,2,0),"")</f>
        <v>Φ150 Χ Φ80</v>
      </c>
    </row>
    <row r="751" spans="1:14">
      <c r="A751" s="5">
        <v>1</v>
      </c>
      <c r="B751" s="32">
        <f>IF(ISNUMBER(SEARCH('Φόρμα Εισαγωγής'!$B$2,C751)),MAX($B$1:B750)+1,0)</f>
        <v>750</v>
      </c>
      <c r="C751" s="7" t="s">
        <v>489</v>
      </c>
      <c r="D751" s="33">
        <f>IF(ISNUMBER(SEARCH('Φόρμα Εισαγωγής'!$C$2,E751)),MAX($D$1:D750)+1,0)</f>
        <v>750</v>
      </c>
      <c r="E751" s="17" t="s">
        <v>490</v>
      </c>
      <c r="F751" s="5">
        <v>20.350000000000001</v>
      </c>
      <c r="G751" s="5">
        <v>28.5</v>
      </c>
      <c r="H751" s="6">
        <f t="shared" si="42"/>
        <v>35.340000000000003</v>
      </c>
      <c r="I751" s="6">
        <f t="shared" si="43"/>
        <v>20.350000000000001</v>
      </c>
      <c r="J751" s="6">
        <f t="shared" si="44"/>
        <v>35.340000000000003</v>
      </c>
      <c r="L751" s="4" t="str">
        <f>IFERROR(VLOOKUP(ROWS($L$2:L751),$B$2:$C$1996,2,0),"")</f>
        <v>ΠΕΡΑΣΜΑ ΣΤΕΓΗΣ ΙΝΟΧ</v>
      </c>
      <c r="N751" s="2" t="str">
        <f>IFERROR(VLOOKUP(ROWS($N$2:N751),$D$2:$E$1996,2,0),"")</f>
        <v>Φ15Ο</v>
      </c>
    </row>
    <row r="752" spans="1:14">
      <c r="A752" s="5">
        <v>1</v>
      </c>
      <c r="B752" s="32">
        <f>IF(ISNUMBER(SEARCH('Φόρμα Εισαγωγής'!$B$2,C752)),MAX($B$1:B751)+1,0)</f>
        <v>751</v>
      </c>
      <c r="C752" s="7" t="s">
        <v>489</v>
      </c>
      <c r="D752" s="33">
        <f>IF(ISNUMBER(SEARCH('Φόρμα Εισαγωγής'!$C$2,E752)),MAX($D$1:D751)+1,0)</f>
        <v>751</v>
      </c>
      <c r="E752" s="17" t="s">
        <v>196</v>
      </c>
      <c r="F752" s="5">
        <v>27</v>
      </c>
      <c r="G752" s="5">
        <v>38</v>
      </c>
      <c r="H752" s="6">
        <f t="shared" si="42"/>
        <v>47.12</v>
      </c>
      <c r="I752" s="6">
        <f t="shared" si="43"/>
        <v>27</v>
      </c>
      <c r="J752" s="6">
        <f t="shared" si="44"/>
        <v>47.12</v>
      </c>
      <c r="L752" s="4" t="str">
        <f>IFERROR(VLOOKUP(ROWS($L$2:L752),$B$2:$C$1996,2,0),"")</f>
        <v>ΠΕΡΑΣΜΑ ΣΤΕΓΗΣ ΙΝΟΧ</v>
      </c>
      <c r="N752" s="2" t="str">
        <f>IFERROR(VLOOKUP(ROWS($N$2:N752),$D$2:$E$1996,2,0),"")</f>
        <v>Φ200</v>
      </c>
    </row>
    <row r="753" spans="1:14">
      <c r="A753" s="5">
        <v>0</v>
      </c>
      <c r="B753" s="32">
        <f>IF(ISNUMBER(SEARCH('Φόρμα Εισαγωγής'!$B$2,C753)),MAX($B$1:B752)+1,0)</f>
        <v>752</v>
      </c>
      <c r="C753" s="7" t="s">
        <v>474</v>
      </c>
      <c r="D753" s="33">
        <f>IF(ISNUMBER(SEARCH('Φόρμα Εισαγωγής'!$C$2,E753)),MAX($D$1:D752)+1,0)</f>
        <v>752</v>
      </c>
      <c r="E753" s="17" t="s">
        <v>491</v>
      </c>
      <c r="F753" s="5">
        <v>13.9</v>
      </c>
      <c r="G753" s="5">
        <v>20</v>
      </c>
      <c r="H753" s="6">
        <f t="shared" si="42"/>
        <v>24.8</v>
      </c>
      <c r="I753" s="6">
        <f t="shared" si="43"/>
        <v>0</v>
      </c>
      <c r="J753" s="6">
        <f t="shared" si="44"/>
        <v>0</v>
      </c>
      <c r="L753" s="4" t="str">
        <f>IFERROR(VLOOKUP(ROWS($L$2:L753),$B$2:$C$1996,2,0),"")</f>
        <v>ΤΑΦ ΙΝΟΧ</v>
      </c>
      <c r="N753" s="2" t="str">
        <f>IFERROR(VLOOKUP(ROWS($N$2:N753),$D$2:$E$1996,2,0),"")</f>
        <v>Φ180</v>
      </c>
    </row>
    <row r="754" spans="1:14">
      <c r="A754" s="5">
        <v>1</v>
      </c>
      <c r="B754" s="32">
        <f>IF(ISNUMBER(SEARCH('Φόρμα Εισαγωγής'!$B$2,C754)),MAX($B$1:B753)+1,0)</f>
        <v>753</v>
      </c>
      <c r="C754" s="7" t="s">
        <v>478</v>
      </c>
      <c r="D754" s="33">
        <f>IF(ISNUMBER(SEARCH('Φόρμα Εισαγωγής'!$C$2,E754)),MAX($D$1:D753)+1,0)</f>
        <v>753</v>
      </c>
      <c r="E754" s="17" t="s">
        <v>491</v>
      </c>
      <c r="F754" s="5">
        <v>7.45</v>
      </c>
      <c r="G754" s="5">
        <v>10.5</v>
      </c>
      <c r="H754" s="6">
        <f t="shared" si="42"/>
        <v>13.02</v>
      </c>
      <c r="I754" s="6">
        <f t="shared" si="43"/>
        <v>7.45</v>
      </c>
      <c r="J754" s="6">
        <f t="shared" si="44"/>
        <v>13.02</v>
      </c>
      <c r="L754" s="4" t="str">
        <f>IFERROR(VLOOKUP(ROWS($L$2:L754),$B$2:$C$1996,2,0),"")</f>
        <v>ΣΩΛΗΝΑ ΙΝΟΧ 100CM</v>
      </c>
      <c r="N754" s="2" t="str">
        <f>IFERROR(VLOOKUP(ROWS($N$2:N754),$D$2:$E$1996,2,0),"")</f>
        <v>Φ180</v>
      </c>
    </row>
    <row r="755" spans="1:14">
      <c r="A755" s="5">
        <v>0</v>
      </c>
      <c r="B755" s="32">
        <f>IF(ISNUMBER(SEARCH('Φόρμα Εισαγωγής'!$B$2,C755)),MAX($B$1:B754)+1,0)</f>
        <v>754</v>
      </c>
      <c r="C755" s="7" t="s">
        <v>478</v>
      </c>
      <c r="D755" s="33">
        <f>IF(ISNUMBER(SEARCH('Φόρμα Εισαγωγής'!$C$2,E755)),MAX($D$1:D754)+1,0)</f>
        <v>754</v>
      </c>
      <c r="E755" s="17" t="s">
        <v>196</v>
      </c>
      <c r="F755" s="5">
        <v>8.1999999999999993</v>
      </c>
      <c r="G755" s="5">
        <v>11.4</v>
      </c>
      <c r="H755" s="6">
        <f t="shared" si="42"/>
        <v>14.135999999999999</v>
      </c>
      <c r="I755" s="6">
        <f t="shared" si="43"/>
        <v>0</v>
      </c>
      <c r="J755" s="6">
        <f t="shared" si="44"/>
        <v>0</v>
      </c>
      <c r="L755" s="4" t="str">
        <f>IFERROR(VLOOKUP(ROWS($L$2:L755),$B$2:$C$1996,2,0),"")</f>
        <v>ΣΩΛΗΝΑ ΙΝΟΧ 100CM</v>
      </c>
      <c r="N755" s="2" t="str">
        <f>IFERROR(VLOOKUP(ROWS($N$2:N755),$D$2:$E$1996,2,0),"")</f>
        <v>Φ200</v>
      </c>
    </row>
    <row r="756" spans="1:14">
      <c r="A756" s="5">
        <v>2</v>
      </c>
      <c r="B756" s="32">
        <f>IF(ISNUMBER(SEARCH('Φόρμα Εισαγωγής'!$B$2,C756)),MAX($B$1:B755)+1,0)</f>
        <v>755</v>
      </c>
      <c r="C756" s="7" t="s">
        <v>779</v>
      </c>
      <c r="D756" s="33">
        <f>IF(ISNUMBER(SEARCH('Φόρμα Εισαγωγής'!$C$2,E756)),MAX($D$1:D755)+1,0)</f>
        <v>755</v>
      </c>
      <c r="E756" s="17" t="s">
        <v>196</v>
      </c>
      <c r="F756" s="5">
        <v>9.9</v>
      </c>
      <c r="G756" s="5">
        <v>13.85</v>
      </c>
      <c r="H756" s="6">
        <f t="shared" si="42"/>
        <v>17.173999999999999</v>
      </c>
      <c r="I756" s="6">
        <f t="shared" si="43"/>
        <v>19.8</v>
      </c>
      <c r="J756" s="6">
        <f t="shared" si="44"/>
        <v>34.347999999999999</v>
      </c>
      <c r="L756" s="4" t="str">
        <f>IFERROR(VLOOKUP(ROWS($L$2:L756),$B$2:$C$1996,2,0),"")</f>
        <v>ΚΑΠΕΛΟ ΑΠΛΟ ΙΝΟΧ</v>
      </c>
      <c r="N756" s="2" t="str">
        <f>IFERROR(VLOOKUP(ROWS($N$2:N756),$D$2:$E$1996,2,0),"")</f>
        <v>Φ200</v>
      </c>
    </row>
    <row r="757" spans="1:14">
      <c r="A757" s="5">
        <v>1</v>
      </c>
      <c r="B757" s="32">
        <f>IF(ISNUMBER(SEARCH('Φόρμα Εισαγωγής'!$B$2,C757)),MAX($B$1:B756)+1,0)</f>
        <v>756</v>
      </c>
      <c r="C757" s="7" t="s">
        <v>476</v>
      </c>
      <c r="D757" s="33">
        <f>IF(ISNUMBER(SEARCH('Φόρμα Εισαγωγής'!$C$2,E757)),MAX($D$1:D756)+1,0)</f>
        <v>756</v>
      </c>
      <c r="E757" s="17" t="s">
        <v>492</v>
      </c>
      <c r="F757" s="5">
        <v>19.600000000000001</v>
      </c>
      <c r="G757" s="5">
        <v>27.4</v>
      </c>
      <c r="H757" s="6">
        <f t="shared" si="42"/>
        <v>33.975999999999999</v>
      </c>
      <c r="I757" s="6">
        <f t="shared" si="43"/>
        <v>19.600000000000001</v>
      </c>
      <c r="J757" s="6">
        <f t="shared" si="44"/>
        <v>33.975999999999999</v>
      </c>
      <c r="L757" s="4" t="str">
        <f>IFERROR(VLOOKUP(ROWS($L$2:L757),$B$2:$C$1996,2,0),"")</f>
        <v>ΗΜΙΓΩΝΙΑ ΙΝΟΧ</v>
      </c>
      <c r="N757" s="2" t="str">
        <f>IFERROR(VLOOKUP(ROWS($N$2:N757),$D$2:$E$1996,2,0),"")</f>
        <v>Φ200 Χ Φ150</v>
      </c>
    </row>
    <row r="758" spans="1:14">
      <c r="A758" s="5">
        <v>2</v>
      </c>
      <c r="B758" s="32">
        <f>IF(ISNUMBER(SEARCH('Φόρμα Εισαγωγής'!$B$2,C758)),MAX($B$1:B757)+1,0)</f>
        <v>757</v>
      </c>
      <c r="C758" s="7" t="s">
        <v>478</v>
      </c>
      <c r="D758" s="33">
        <f>IF(ISNUMBER(SEARCH('Φόρμα Εισαγωγής'!$C$2,E758)),MAX($D$1:D757)+1,0)</f>
        <v>757</v>
      </c>
      <c r="E758" s="17" t="s">
        <v>492</v>
      </c>
      <c r="F758" s="5">
        <v>21.5</v>
      </c>
      <c r="G758" s="5">
        <v>30.2</v>
      </c>
      <c r="H758" s="6">
        <f t="shared" si="42"/>
        <v>37.448</v>
      </c>
      <c r="I758" s="6">
        <f t="shared" si="43"/>
        <v>43</v>
      </c>
      <c r="J758" s="6">
        <f t="shared" si="44"/>
        <v>74.896000000000001</v>
      </c>
      <c r="L758" s="4" t="str">
        <f>IFERROR(VLOOKUP(ROWS($L$2:L758),$B$2:$C$1996,2,0),"")</f>
        <v>ΣΩΛΗΝΑ ΙΝΟΧ 100CM</v>
      </c>
      <c r="N758" s="2" t="str">
        <f>IFERROR(VLOOKUP(ROWS($N$2:N758),$D$2:$E$1996,2,0),"")</f>
        <v>Φ200 Χ Φ150</v>
      </c>
    </row>
    <row r="759" spans="1:14">
      <c r="A759" s="5">
        <v>1</v>
      </c>
      <c r="B759" s="32">
        <f>IF(ISNUMBER(SEARCH('Φόρμα Εισαγωγής'!$B$2,C759)),MAX($B$1:B758)+1,0)</f>
        <v>758</v>
      </c>
      <c r="C759" s="7" t="s">
        <v>837</v>
      </c>
      <c r="D759" s="33">
        <f>IF(ISNUMBER(SEARCH('Φόρμα Εισαγωγής'!$C$2,E759)),MAX($D$1:D758)+1,0)</f>
        <v>758</v>
      </c>
      <c r="E759" s="17" t="s">
        <v>493</v>
      </c>
      <c r="F759" s="5">
        <v>12.35</v>
      </c>
      <c r="G759" s="5">
        <v>17.5</v>
      </c>
      <c r="H759" s="6">
        <f t="shared" si="42"/>
        <v>21.7</v>
      </c>
      <c r="I759" s="6">
        <f t="shared" si="43"/>
        <v>12.35</v>
      </c>
      <c r="J759" s="6">
        <f t="shared" si="44"/>
        <v>21.7</v>
      </c>
      <c r="L759" s="4" t="str">
        <f>IFERROR(VLOOKUP(ROWS($L$2:L759),$B$2:$C$1996,2,0),"")</f>
        <v>ΣΩΛΗΝΑ ΙΝΟΧ 25CM</v>
      </c>
      <c r="N759" s="2" t="str">
        <f>IFERROR(VLOOKUP(ROWS($N$2:N759),$D$2:$E$1996,2,0),"")</f>
        <v>Φ250 Χ Φ300</v>
      </c>
    </row>
    <row r="760" spans="1:14">
      <c r="A760" s="5">
        <v>2</v>
      </c>
      <c r="B760" s="32">
        <f>IF(ISNUMBER(SEARCH('Φόρμα Εισαγωγής'!$B$2,C760)),MAX($B$1:B759)+1,0)</f>
        <v>759</v>
      </c>
      <c r="C760" s="7" t="s">
        <v>494</v>
      </c>
      <c r="D760" s="33">
        <f>IF(ISNUMBER(SEARCH('Φόρμα Εισαγωγής'!$C$2,E760)),MAX($D$1:D759)+1,0)</f>
        <v>759</v>
      </c>
      <c r="E760" s="17" t="s">
        <v>483</v>
      </c>
      <c r="F760" s="5">
        <v>2.25</v>
      </c>
      <c r="G760" s="5">
        <v>3.15</v>
      </c>
      <c r="H760" s="6">
        <f t="shared" si="42"/>
        <v>3.9059999999999997</v>
      </c>
      <c r="I760" s="6">
        <f t="shared" si="43"/>
        <v>4.5</v>
      </c>
      <c r="J760" s="6">
        <f t="shared" si="44"/>
        <v>7.8119999999999994</v>
      </c>
      <c r="L760" s="4" t="str">
        <f>IFERROR(VLOOKUP(ROWS($L$2:L760),$B$2:$C$1996,2,0),"")</f>
        <v>ΣΤΗΡΙΓΜΑ ΙΝΟΧ</v>
      </c>
      <c r="N760" s="2" t="str">
        <f>IFERROR(VLOOKUP(ROWS($N$2:N760),$D$2:$E$1996,2,0),"")</f>
        <v>Φ80</v>
      </c>
    </row>
    <row r="761" spans="1:14">
      <c r="A761" s="5">
        <v>9</v>
      </c>
      <c r="B761" s="32">
        <f>IF(ISNUMBER(SEARCH('Φόρμα Εισαγωγής'!$B$2,C761)),MAX($B$1:B760)+1,0)</f>
        <v>760</v>
      </c>
      <c r="C761" s="7" t="s">
        <v>494</v>
      </c>
      <c r="D761" s="33">
        <f>IF(ISNUMBER(SEARCH('Φόρμα Εισαγωγής'!$C$2,E761)),MAX($D$1:D760)+1,0)</f>
        <v>760</v>
      </c>
      <c r="E761" s="17" t="s">
        <v>480</v>
      </c>
      <c r="F761" s="5">
        <v>2.9</v>
      </c>
      <c r="G761" s="5">
        <v>4</v>
      </c>
      <c r="H761" s="6">
        <f t="shared" si="42"/>
        <v>4.96</v>
      </c>
      <c r="I761" s="6">
        <f t="shared" si="43"/>
        <v>26.099999999999998</v>
      </c>
      <c r="J761" s="6">
        <f t="shared" si="44"/>
        <v>44.64</v>
      </c>
      <c r="L761" s="4" t="str">
        <f>IFERROR(VLOOKUP(ROWS($L$2:L761),$B$2:$C$1996,2,0),"")</f>
        <v>ΣΤΗΡΙΓΜΑ ΙΝΟΧ</v>
      </c>
      <c r="N761" s="2" t="str">
        <f>IFERROR(VLOOKUP(ROWS($N$2:N761),$D$2:$E$1996,2,0),"")</f>
        <v>Φ120</v>
      </c>
    </row>
    <row r="762" spans="1:14">
      <c r="A762" s="5">
        <v>3</v>
      </c>
      <c r="B762" s="32">
        <f>IF(ISNUMBER(SEARCH('Φόρμα Εισαγωγής'!$B$2,C762)),MAX($B$1:B761)+1,0)</f>
        <v>761</v>
      </c>
      <c r="C762" s="7" t="s">
        <v>494</v>
      </c>
      <c r="D762" s="33">
        <f>IF(ISNUMBER(SEARCH('Φόρμα Εισαγωγής'!$C$2,E762)),MAX($D$1:D761)+1,0)</f>
        <v>761</v>
      </c>
      <c r="E762" s="17" t="s">
        <v>194</v>
      </c>
      <c r="F762" s="5">
        <v>2.9</v>
      </c>
      <c r="G762" s="5">
        <v>4</v>
      </c>
      <c r="H762" s="6">
        <f t="shared" si="42"/>
        <v>4.96</v>
      </c>
      <c r="I762" s="6">
        <f t="shared" si="43"/>
        <v>8.6999999999999993</v>
      </c>
      <c r="J762" s="6">
        <f t="shared" si="44"/>
        <v>14.879999999999999</v>
      </c>
      <c r="L762" s="4" t="str">
        <f>IFERROR(VLOOKUP(ROWS($L$2:L762),$B$2:$C$1996,2,0),"")</f>
        <v>ΣΤΗΡΙΓΜΑ ΙΝΟΧ</v>
      </c>
      <c r="N762" s="2" t="str">
        <f>IFERROR(VLOOKUP(ROWS($N$2:N762),$D$2:$E$1996,2,0),"")</f>
        <v>Φ125</v>
      </c>
    </row>
    <row r="763" spans="1:14">
      <c r="A763" s="5">
        <v>10</v>
      </c>
      <c r="B763" s="32">
        <f>IF(ISNUMBER(SEARCH('Φόρμα Εισαγωγής'!$B$2,C763)),MAX($B$1:B762)+1,0)</f>
        <v>762</v>
      </c>
      <c r="C763" s="7" t="s">
        <v>494</v>
      </c>
      <c r="D763" s="33">
        <f>IF(ISNUMBER(SEARCH('Φόρμα Εισαγωγής'!$C$2,E763)),MAX($D$1:D762)+1,0)</f>
        <v>762</v>
      </c>
      <c r="E763" s="17" t="s">
        <v>481</v>
      </c>
      <c r="F763" s="5">
        <v>3.25</v>
      </c>
      <c r="G763" s="5">
        <v>4.55</v>
      </c>
      <c r="H763" s="6">
        <f t="shared" si="42"/>
        <v>5.6419999999999995</v>
      </c>
      <c r="I763" s="6">
        <f t="shared" si="43"/>
        <v>32.5</v>
      </c>
      <c r="J763" s="6">
        <f t="shared" si="44"/>
        <v>56.419999999999995</v>
      </c>
      <c r="L763" s="4" t="str">
        <f>IFERROR(VLOOKUP(ROWS($L$2:L763),$B$2:$C$1996,2,0),"")</f>
        <v>ΣΤΗΡΙΓΜΑ ΙΝΟΧ</v>
      </c>
      <c r="N763" s="2" t="str">
        <f>IFERROR(VLOOKUP(ROWS($N$2:N763),$D$2:$E$1996,2,0),"")</f>
        <v>Φ150</v>
      </c>
    </row>
    <row r="764" spans="1:14">
      <c r="A764" s="5">
        <v>1</v>
      </c>
      <c r="B764" s="32">
        <f>IF(ISNUMBER(SEARCH('Φόρμα Εισαγωγής'!$B$2,C764)),MAX($B$1:B763)+1,0)</f>
        <v>763</v>
      </c>
      <c r="C764" s="7" t="s">
        <v>494</v>
      </c>
      <c r="D764" s="33">
        <f>IF(ISNUMBER(SEARCH('Φόρμα Εισαγωγής'!$C$2,E764)),MAX($D$1:D763)+1,0)</f>
        <v>763</v>
      </c>
      <c r="E764" s="17" t="s">
        <v>491</v>
      </c>
      <c r="F764" s="5">
        <v>3.6</v>
      </c>
      <c r="G764" s="5">
        <v>5</v>
      </c>
      <c r="H764" s="6">
        <f t="shared" si="42"/>
        <v>6.2</v>
      </c>
      <c r="I764" s="6">
        <f t="shared" si="43"/>
        <v>3.6</v>
      </c>
      <c r="J764" s="6">
        <f t="shared" si="44"/>
        <v>6.2</v>
      </c>
      <c r="L764" s="4" t="str">
        <f>IFERROR(VLOOKUP(ROWS($L$2:L764),$B$2:$C$1996,2,0),"")</f>
        <v>ΣΤΗΡΙΓΜΑ ΙΝΟΧ</v>
      </c>
      <c r="N764" s="2" t="str">
        <f>IFERROR(VLOOKUP(ROWS($N$2:N764),$D$2:$E$1996,2,0),"")</f>
        <v>Φ180</v>
      </c>
    </row>
    <row r="765" spans="1:14">
      <c r="A765" s="5">
        <v>2</v>
      </c>
      <c r="B765" s="32">
        <f>IF(ISNUMBER(SEARCH('Φόρμα Εισαγωγής'!$B$2,C765)),MAX($B$1:B764)+1,0)</f>
        <v>764</v>
      </c>
      <c r="C765" s="7" t="s">
        <v>494</v>
      </c>
      <c r="D765" s="33">
        <f>IF(ISNUMBER(SEARCH('Φόρμα Εισαγωγής'!$C$2,E765)),MAX($D$1:D764)+1,0)</f>
        <v>764</v>
      </c>
      <c r="E765" s="17" t="s">
        <v>196</v>
      </c>
      <c r="F765" s="5">
        <v>3.75</v>
      </c>
      <c r="G765" s="5">
        <v>5.5</v>
      </c>
      <c r="H765" s="6">
        <f t="shared" si="42"/>
        <v>6.82</v>
      </c>
      <c r="I765" s="6">
        <f t="shared" si="43"/>
        <v>7.5</v>
      </c>
      <c r="J765" s="6">
        <f t="shared" si="44"/>
        <v>13.64</v>
      </c>
      <c r="L765" s="4" t="str">
        <f>IFERROR(VLOOKUP(ROWS($L$2:L765),$B$2:$C$1996,2,0),"")</f>
        <v>ΣΤΗΡΙΓΜΑ ΙΝΟΧ</v>
      </c>
      <c r="N765" s="2" t="str">
        <f>IFERROR(VLOOKUP(ROWS($N$2:N765),$D$2:$E$1996,2,0),"")</f>
        <v>Φ200</v>
      </c>
    </row>
    <row r="766" spans="1:14">
      <c r="A766" s="5">
        <v>4</v>
      </c>
      <c r="B766" s="32">
        <f>IF(ISNUMBER(SEARCH('Φόρμα Εισαγωγής'!$B$2,C766)),MAX($B$1:B765)+1,0)</f>
        <v>765</v>
      </c>
      <c r="C766" s="7" t="s">
        <v>495</v>
      </c>
      <c r="D766" s="33">
        <f>IF(ISNUMBER(SEARCH('Φόρμα Εισαγωγής'!$C$2,E766)),MAX($D$1:D765)+1,0)</f>
        <v>765</v>
      </c>
      <c r="E766" s="17" t="s">
        <v>481</v>
      </c>
      <c r="F766" s="5">
        <v>3.25</v>
      </c>
      <c r="G766" s="5">
        <v>4.55</v>
      </c>
      <c r="H766" s="6">
        <f t="shared" si="42"/>
        <v>5.6419999999999995</v>
      </c>
      <c r="I766" s="6">
        <f t="shared" si="43"/>
        <v>13</v>
      </c>
      <c r="J766" s="6">
        <f t="shared" si="44"/>
        <v>22.567999999999998</v>
      </c>
      <c r="L766" s="4" t="str">
        <f>IFERROR(VLOOKUP(ROWS($L$2:L766),$B$2:$C$1996,2,0),"")</f>
        <v>ΣΤΗΡΙΓΜΑ ΟΡΟΦΗΣ ΙΝΟΧ</v>
      </c>
      <c r="N766" s="2" t="str">
        <f>IFERROR(VLOOKUP(ROWS($N$2:N766),$D$2:$E$1996,2,0),"")</f>
        <v>Φ150</v>
      </c>
    </row>
    <row r="767" spans="1:14">
      <c r="A767" s="5">
        <v>5</v>
      </c>
      <c r="B767" s="32">
        <f>IF(ISNUMBER(SEARCH('Φόρμα Εισαγωγής'!$B$2,C767)),MAX($B$1:B766)+1,0)</f>
        <v>766</v>
      </c>
      <c r="C767" s="7" t="s">
        <v>495</v>
      </c>
      <c r="D767" s="33">
        <f>IF(ISNUMBER(SEARCH('Φόρμα Εισαγωγής'!$C$2,E767)),MAX($D$1:D766)+1,0)</f>
        <v>766</v>
      </c>
      <c r="E767" s="17" t="s">
        <v>196</v>
      </c>
      <c r="F767" s="5">
        <v>3.75</v>
      </c>
      <c r="G767" s="5">
        <v>5.5</v>
      </c>
      <c r="H767" s="6">
        <f t="shared" si="42"/>
        <v>6.82</v>
      </c>
      <c r="I767" s="6">
        <f t="shared" si="43"/>
        <v>18.75</v>
      </c>
      <c r="J767" s="6">
        <f t="shared" si="44"/>
        <v>34.1</v>
      </c>
      <c r="L767" s="4" t="str">
        <f>IFERROR(VLOOKUP(ROWS($L$2:L767),$B$2:$C$1996,2,0),"")</f>
        <v>ΣΤΗΡΙΓΜΑ ΟΡΟΦΗΣ ΙΝΟΧ</v>
      </c>
      <c r="N767" s="2" t="str">
        <f>IFERROR(VLOOKUP(ROWS($N$2:N767),$D$2:$E$1996,2,0),"")</f>
        <v>Φ200</v>
      </c>
    </row>
    <row r="768" spans="1:14">
      <c r="A768" s="5">
        <v>2</v>
      </c>
      <c r="B768" s="32">
        <f>IF(ISNUMBER(SEARCH('Φόρμα Εισαγωγής'!$B$2,C768)),MAX($B$1:B767)+1,0)</f>
        <v>767</v>
      </c>
      <c r="C768" s="7" t="s">
        <v>496</v>
      </c>
      <c r="D768" s="33">
        <f>IF(ISNUMBER(SEARCH('Φόρμα Εισαγωγής'!$C$2,E768)),MAX($D$1:D767)+1,0)</f>
        <v>767</v>
      </c>
      <c r="E768" s="17" t="s">
        <v>196</v>
      </c>
      <c r="F768" s="5">
        <v>5.65</v>
      </c>
      <c r="G768" s="5">
        <v>7.9</v>
      </c>
      <c r="H768" s="6">
        <f t="shared" ref="H768:H831" si="45">G768+(G768*0.24)</f>
        <v>9.7959999999999994</v>
      </c>
      <c r="I768" s="6">
        <f t="shared" ref="I768:I831" si="46">F768*A768</f>
        <v>11.3</v>
      </c>
      <c r="J768" s="6">
        <f t="shared" ref="J768:J831" si="47">H768*A768</f>
        <v>19.591999999999999</v>
      </c>
      <c r="L768" s="4" t="str">
        <f>IFERROR(VLOOKUP(ROWS($L$2:L768),$B$2:$C$1996,2,0),"")</f>
        <v>ΣΤΗΡΙΓΜΑ ΜΕ ΑΥΤΙΑ ΙΝΟΧ</v>
      </c>
      <c r="N768" s="2" t="str">
        <f>IFERROR(VLOOKUP(ROWS($N$2:N768),$D$2:$E$1996,2,0),"")</f>
        <v>Φ200</v>
      </c>
    </row>
    <row r="769" spans="1:14">
      <c r="A769" s="5">
        <v>3</v>
      </c>
      <c r="B769" s="32">
        <f>IF(ISNUMBER(SEARCH('Φόρμα Εισαγωγής'!$B$2,C769)),MAX($B$1:B768)+1,0)</f>
        <v>768</v>
      </c>
      <c r="C769" s="7" t="s">
        <v>497</v>
      </c>
      <c r="D769" s="33">
        <f>IF(ISNUMBER(SEARCH('Φόρμα Εισαγωγής'!$C$2,E769)),MAX($D$1:D768)+1,0)</f>
        <v>768</v>
      </c>
      <c r="E769" s="17" t="s">
        <v>475</v>
      </c>
      <c r="F769" s="5">
        <v>10.55</v>
      </c>
      <c r="G769" s="5">
        <v>15</v>
      </c>
      <c r="H769" s="6">
        <f t="shared" si="45"/>
        <v>18.600000000000001</v>
      </c>
      <c r="I769" s="6">
        <f t="shared" si="46"/>
        <v>31.650000000000002</v>
      </c>
      <c r="J769" s="6">
        <f t="shared" si="47"/>
        <v>55.800000000000004</v>
      </c>
      <c r="L769" s="4" t="str">
        <f>IFERROR(VLOOKUP(ROWS($L$2:L769),$B$2:$C$1996,2,0),"")</f>
        <v>ΣΤΗΡΙΓΜΑ 10CM</v>
      </c>
      <c r="N769" s="2" t="str">
        <f>IFERROR(VLOOKUP(ROWS($N$2:N769),$D$2:$E$1996,2,0),"")</f>
        <v>Φ130</v>
      </c>
    </row>
    <row r="770" spans="1:14">
      <c r="A770" s="5">
        <v>2</v>
      </c>
      <c r="B770" s="32">
        <f>IF(ISNUMBER(SEARCH('Φόρμα Εισαγωγής'!$B$2,C770)),MAX($B$1:B769)+1,0)</f>
        <v>769</v>
      </c>
      <c r="C770" s="7" t="s">
        <v>497</v>
      </c>
      <c r="D770" s="33">
        <f>IF(ISNUMBER(SEARCH('Φόρμα Εισαγωγής'!$C$2,E770)),MAX($D$1:D769)+1,0)</f>
        <v>769</v>
      </c>
      <c r="E770" s="17" t="s">
        <v>196</v>
      </c>
      <c r="F770" s="5">
        <v>12.15</v>
      </c>
      <c r="G770" s="5">
        <v>17</v>
      </c>
      <c r="H770" s="6">
        <f t="shared" si="45"/>
        <v>21.08</v>
      </c>
      <c r="I770" s="6">
        <f t="shared" si="46"/>
        <v>24.3</v>
      </c>
      <c r="J770" s="6">
        <f t="shared" si="47"/>
        <v>42.16</v>
      </c>
      <c r="L770" s="4" t="str">
        <f>IFERROR(VLOOKUP(ROWS($L$2:L770),$B$2:$C$1996,2,0),"")</f>
        <v>ΣΤΗΡΙΓΜΑ 10CM</v>
      </c>
      <c r="N770" s="2" t="str">
        <f>IFERROR(VLOOKUP(ROWS($N$2:N770),$D$2:$E$1996,2,0),"")</f>
        <v>Φ200</v>
      </c>
    </row>
    <row r="771" spans="1:14">
      <c r="A771" s="5">
        <v>3</v>
      </c>
      <c r="B771" s="32">
        <f>IF(ISNUMBER(SEARCH('Φόρμα Εισαγωγής'!$B$2,C771)),MAX($B$1:B770)+1,0)</f>
        <v>770</v>
      </c>
      <c r="C771" s="7" t="s">
        <v>498</v>
      </c>
      <c r="D771" s="33">
        <f>IF(ISNUMBER(SEARCH('Φόρμα Εισαγωγής'!$C$2,E771)),MAX($D$1:D770)+1,0)</f>
        <v>770</v>
      </c>
      <c r="E771" s="17" t="s">
        <v>475</v>
      </c>
      <c r="F771" s="5">
        <v>10.55</v>
      </c>
      <c r="G771" s="5">
        <v>15</v>
      </c>
      <c r="H771" s="6">
        <f t="shared" si="45"/>
        <v>18.600000000000001</v>
      </c>
      <c r="I771" s="6">
        <f t="shared" si="46"/>
        <v>31.650000000000002</v>
      </c>
      <c r="J771" s="6">
        <f t="shared" si="47"/>
        <v>55.800000000000004</v>
      </c>
      <c r="L771" s="4" t="str">
        <f>IFERROR(VLOOKUP(ROWS($L$2:L771),$B$2:$C$1996,2,0),"")</f>
        <v>ΣΤΗΡΙΓΜΑ 20CM</v>
      </c>
      <c r="N771" s="2" t="str">
        <f>IFERROR(VLOOKUP(ROWS($N$2:N771),$D$2:$E$1996,2,0),"")</f>
        <v>Φ130</v>
      </c>
    </row>
    <row r="772" spans="1:14">
      <c r="A772" s="5">
        <v>2</v>
      </c>
      <c r="B772" s="32">
        <f>IF(ISNUMBER(SEARCH('Φόρμα Εισαγωγής'!$B$2,C772)),MAX($B$1:B771)+1,0)</f>
        <v>771</v>
      </c>
      <c r="C772" s="7" t="s">
        <v>498</v>
      </c>
      <c r="D772" s="33">
        <f>IF(ISNUMBER(SEARCH('Φόρμα Εισαγωγής'!$C$2,E772)),MAX($D$1:D771)+1,0)</f>
        <v>771</v>
      </c>
      <c r="E772" s="17" t="s">
        <v>481</v>
      </c>
      <c r="F772" s="5">
        <v>10.55</v>
      </c>
      <c r="G772" s="5">
        <v>15</v>
      </c>
      <c r="H772" s="6">
        <f t="shared" si="45"/>
        <v>18.600000000000001</v>
      </c>
      <c r="I772" s="6">
        <f t="shared" si="46"/>
        <v>21.1</v>
      </c>
      <c r="J772" s="6">
        <f t="shared" si="47"/>
        <v>37.200000000000003</v>
      </c>
      <c r="L772" s="4" t="str">
        <f>IFERROR(VLOOKUP(ROWS($L$2:L772),$B$2:$C$1996,2,0),"")</f>
        <v>ΣΤΗΡΙΓΜΑ 20CM</v>
      </c>
      <c r="N772" s="2" t="str">
        <f>IFERROR(VLOOKUP(ROWS($N$2:N772),$D$2:$E$1996,2,0),"")</f>
        <v>Φ150</v>
      </c>
    </row>
    <row r="773" spans="1:14">
      <c r="A773" s="5">
        <v>1</v>
      </c>
      <c r="B773" s="32">
        <f>IF(ISNUMBER(SEARCH('Φόρμα Εισαγωγής'!$B$2,C773)),MAX($B$1:B772)+1,0)</f>
        <v>772</v>
      </c>
      <c r="C773" s="7" t="s">
        <v>838</v>
      </c>
      <c r="D773" s="33">
        <f>IF(ISNUMBER(SEARCH('Φόρμα Εισαγωγής'!$C$2,E773)),MAX($D$1:D772)+1,0)</f>
        <v>772</v>
      </c>
      <c r="E773" s="17" t="s">
        <v>193</v>
      </c>
      <c r="F773" s="5">
        <v>0.65</v>
      </c>
      <c r="G773" s="5">
        <v>0.9</v>
      </c>
      <c r="H773" s="6">
        <f t="shared" si="45"/>
        <v>1.1160000000000001</v>
      </c>
      <c r="I773" s="6">
        <f t="shared" si="46"/>
        <v>0.65</v>
      </c>
      <c r="J773" s="6">
        <f t="shared" si="47"/>
        <v>1.1160000000000001</v>
      </c>
      <c r="L773" s="4" t="str">
        <f>IFERROR(VLOOKUP(ROWS($L$2:L773),$B$2:$C$1996,2,0),"")</f>
        <v>ΣΠΙΡΑΛ ΑΛΟΥΜΙΝΙΟΥ</v>
      </c>
      <c r="N773" s="2" t="str">
        <f>IFERROR(VLOOKUP(ROWS($N$2:N773),$D$2:$E$1996,2,0),"")</f>
        <v>Φ100</v>
      </c>
    </row>
    <row r="774" spans="1:14">
      <c r="A774" s="5">
        <v>2</v>
      </c>
      <c r="B774" s="32">
        <f>IF(ISNUMBER(SEARCH('Φόρμα Εισαγωγής'!$B$2,C774)),MAX($B$1:B773)+1,0)</f>
        <v>773</v>
      </c>
      <c r="C774" s="7" t="s">
        <v>838</v>
      </c>
      <c r="D774" s="33">
        <f>IF(ISNUMBER(SEARCH('Φόρμα Εισαγωγής'!$C$2,E774)),MAX($D$1:D773)+1,0)</f>
        <v>773</v>
      </c>
      <c r="E774" s="17" t="s">
        <v>194</v>
      </c>
      <c r="F774" s="5">
        <v>0.8</v>
      </c>
      <c r="G774" s="5">
        <v>1.2</v>
      </c>
      <c r="H774" s="6">
        <f t="shared" si="45"/>
        <v>1.488</v>
      </c>
      <c r="I774" s="6">
        <f t="shared" si="46"/>
        <v>1.6</v>
      </c>
      <c r="J774" s="6">
        <f t="shared" si="47"/>
        <v>2.976</v>
      </c>
      <c r="L774" s="4" t="str">
        <f>IFERROR(VLOOKUP(ROWS($L$2:L774),$B$2:$C$1996,2,0),"")</f>
        <v>ΣΠΙΡΑΛ ΑΛΟΥΜΙΝΙΟΥ</v>
      </c>
      <c r="N774" s="2" t="str">
        <f>IFERROR(VLOOKUP(ROWS($N$2:N774),$D$2:$E$1996,2,0),"")</f>
        <v>Φ125</v>
      </c>
    </row>
    <row r="775" spans="1:14">
      <c r="A775" s="5">
        <v>3</v>
      </c>
      <c r="B775" s="32">
        <f>IF(ISNUMBER(SEARCH('Φόρμα Εισαγωγής'!$B$2,C775)),MAX($B$1:B774)+1,0)</f>
        <v>774</v>
      </c>
      <c r="C775" s="7" t="s">
        <v>499</v>
      </c>
      <c r="D775" s="33">
        <f>IF(ISNUMBER(SEARCH('Φόρμα Εισαγωγής'!$C$2,E775)),MAX($D$1:D774)+1,0)</f>
        <v>774</v>
      </c>
      <c r="E775" s="17" t="s">
        <v>196</v>
      </c>
      <c r="F775" s="5">
        <v>5</v>
      </c>
      <c r="G775" s="5">
        <v>10</v>
      </c>
      <c r="H775" s="6">
        <f t="shared" si="45"/>
        <v>12.4</v>
      </c>
      <c r="I775" s="6">
        <f t="shared" si="46"/>
        <v>15</v>
      </c>
      <c r="J775" s="6">
        <f t="shared" si="47"/>
        <v>37.200000000000003</v>
      </c>
      <c r="L775" s="4" t="str">
        <f>IFERROR(VLOOKUP(ROWS($L$2:L775),$B$2:$C$1996,2,0),"")</f>
        <v>ΔΑΧΤΥΛΙΔΙ ΠΕΡΑΣΜΑ ΣΤΕΓΗΣ ΙΝΟΧ</v>
      </c>
      <c r="N775" s="2" t="str">
        <f>IFERROR(VLOOKUP(ROWS($N$2:N775),$D$2:$E$1996,2,0),"")</f>
        <v>Φ200</v>
      </c>
    </row>
    <row r="776" spans="1:14">
      <c r="A776" s="5">
        <v>1</v>
      </c>
      <c r="B776" s="32">
        <f>IF(ISNUMBER(SEARCH('Φόρμα Εισαγωγής'!$B$2,C776)),MAX($B$1:B775)+1,0)</f>
        <v>775</v>
      </c>
      <c r="C776" s="7" t="s">
        <v>500</v>
      </c>
      <c r="D776" s="33">
        <f>IF(ISNUMBER(SEARCH('Φόρμα Εισαγωγής'!$C$2,E776)),MAX($D$1:D775)+1,0)</f>
        <v>775</v>
      </c>
      <c r="E776" s="17" t="s">
        <v>501</v>
      </c>
      <c r="F776" s="5">
        <v>47.65</v>
      </c>
      <c r="G776" s="5">
        <v>65</v>
      </c>
      <c r="H776" s="6">
        <f t="shared" si="45"/>
        <v>80.599999999999994</v>
      </c>
      <c r="I776" s="6">
        <f t="shared" si="46"/>
        <v>47.65</v>
      </c>
      <c r="J776" s="6">
        <f t="shared" si="47"/>
        <v>80.599999999999994</v>
      </c>
      <c r="L776" s="4" t="str">
        <f>IFERROR(VLOOKUP(ROWS($L$2:L776),$B$2:$C$1996,2,0),"")</f>
        <v>ΜΠΑΤ. ΝΙΠ. ΛΕΥΚΗ KEVON</v>
      </c>
      <c r="N776" s="2" t="str">
        <f>IFERROR(VLOOKUP(ROWS($N$2:N776),$D$2:$E$1996,2,0),"")</f>
        <v>81WX8123</v>
      </c>
    </row>
    <row r="777" spans="1:14">
      <c r="A777" s="5">
        <v>0</v>
      </c>
      <c r="B777" s="32">
        <f>IF(ISNUMBER(SEARCH('Φόρμα Εισαγωγής'!$B$2,C777)),MAX($B$1:B776)+1,0)</f>
        <v>776</v>
      </c>
      <c r="C777" s="7" t="s">
        <v>502</v>
      </c>
      <c r="D777" s="33">
        <f>IF(ISNUMBER(SEARCH('Φόρμα Εισαγωγής'!$C$2,E777)),MAX($D$1:D776)+1,0)</f>
        <v>776</v>
      </c>
      <c r="E777" s="17" t="s">
        <v>503</v>
      </c>
      <c r="F777" s="5">
        <v>31.75</v>
      </c>
      <c r="G777" s="5">
        <v>45</v>
      </c>
      <c r="H777" s="6">
        <f t="shared" si="45"/>
        <v>55.8</v>
      </c>
      <c r="I777" s="6">
        <f t="shared" si="46"/>
        <v>0</v>
      </c>
      <c r="J777" s="6">
        <f t="shared" si="47"/>
        <v>0</v>
      </c>
      <c r="L777" s="4" t="str">
        <f>IFERROR(VLOOKUP(ROWS($L$2:L777),$B$2:$C$1996,2,0),"")</f>
        <v>ΜΠΑΤ. ΝΙΠ. KEVON</v>
      </c>
      <c r="N777" s="2" t="str">
        <f>IFERROR(VLOOKUP(ROWS($N$2:N777),$D$2:$E$1996,2,0),"")</f>
        <v>81CR23</v>
      </c>
    </row>
    <row r="778" spans="1:14">
      <c r="A778" s="5">
        <v>1</v>
      </c>
      <c r="B778" s="32">
        <f>IF(ISNUMBER(SEARCH('Φόρμα Εισαγωγής'!$B$2,C778)),MAX($B$1:B777)+1,0)</f>
        <v>777</v>
      </c>
      <c r="C778" s="7" t="s">
        <v>504</v>
      </c>
      <c r="D778" s="33">
        <f>IF(ISNUMBER(SEARCH('Φόρμα Εισαγωγής'!$C$2,E778)),MAX($D$1:D777)+1,0)</f>
        <v>777</v>
      </c>
      <c r="E778" s="17" t="s">
        <v>505</v>
      </c>
      <c r="F778" s="5">
        <v>35.450000000000003</v>
      </c>
      <c r="G778" s="5">
        <v>50</v>
      </c>
      <c r="H778" s="6">
        <f t="shared" si="45"/>
        <v>62</v>
      </c>
      <c r="I778" s="6">
        <f t="shared" si="46"/>
        <v>35.450000000000003</v>
      </c>
      <c r="J778" s="6">
        <f t="shared" si="47"/>
        <v>62</v>
      </c>
      <c r="L778" s="4" t="str">
        <f>IFERROR(VLOOKUP(ROWS($L$2:L778),$B$2:$C$1996,2,0),"")</f>
        <v>ΜΠΑΤ. ΛΟΥΤ. KEVON</v>
      </c>
      <c r="N778" s="2" t="str">
        <f>IFERROR(VLOOKUP(ROWS($N$2:N778),$D$2:$E$1996,2,0),"")</f>
        <v>81CR8141</v>
      </c>
    </row>
    <row r="779" spans="1:14">
      <c r="A779" s="5">
        <v>1</v>
      </c>
      <c r="B779" s="32">
        <f>IF(ISNUMBER(SEARCH('Φόρμα Εισαγωγής'!$B$2,C779)),MAX($B$1:B778)+1,0)</f>
        <v>778</v>
      </c>
      <c r="C779" s="7" t="s">
        <v>506</v>
      </c>
      <c r="D779" s="33">
        <f>IF(ISNUMBER(SEARCH('Φόρμα Εισαγωγής'!$C$2,E779)),MAX($D$1:D778)+1,0)</f>
        <v>778</v>
      </c>
      <c r="E779" s="17" t="s">
        <v>507</v>
      </c>
      <c r="F779" s="5">
        <v>53.15</v>
      </c>
      <c r="G779" s="5">
        <v>75</v>
      </c>
      <c r="H779" s="6">
        <f t="shared" si="45"/>
        <v>93</v>
      </c>
      <c r="I779" s="6">
        <f t="shared" si="46"/>
        <v>53.15</v>
      </c>
      <c r="J779" s="6">
        <f t="shared" si="47"/>
        <v>93</v>
      </c>
      <c r="L779" s="4" t="str">
        <f>IFERROR(VLOOKUP(ROWS($L$2:L779),$B$2:$C$1996,2,0),"")</f>
        <v>MΠΑΤ. ΛΟΥΤ. ΛΕΥΚΗ KEVON</v>
      </c>
      <c r="N779" s="2" t="str">
        <f>IFERROR(VLOOKUP(ROWS($N$2:N779),$D$2:$E$1996,2,0),"")</f>
        <v>81WX8150</v>
      </c>
    </row>
    <row r="780" spans="1:14">
      <c r="A780" s="5">
        <v>1</v>
      </c>
      <c r="B780" s="32">
        <f>IF(ISNUMBER(SEARCH('Φόρμα Εισαγωγής'!$B$2,C780)),MAX($B$1:B779)+1,0)</f>
        <v>779</v>
      </c>
      <c r="C780" s="7" t="s">
        <v>508</v>
      </c>
      <c r="D780" s="33">
        <f>IF(ISNUMBER(SEARCH('Φόρμα Εισαγωγής'!$C$2,E780)),MAX($D$1:D779)+1,0)</f>
        <v>779</v>
      </c>
      <c r="E780" s="17" t="s">
        <v>839</v>
      </c>
      <c r="F780" s="5">
        <v>9</v>
      </c>
      <c r="G780" s="5">
        <v>12.6</v>
      </c>
      <c r="H780" s="6">
        <f t="shared" si="45"/>
        <v>15.623999999999999</v>
      </c>
      <c r="I780" s="6">
        <f t="shared" si="46"/>
        <v>9</v>
      </c>
      <c r="J780" s="6">
        <f t="shared" si="47"/>
        <v>15.623999999999999</v>
      </c>
      <c r="L780" s="4" t="str">
        <f>IFERROR(VLOOKUP(ROWS($L$2:L780),$B$2:$C$1996,2,0),"")</f>
        <v>ΜΠΑΤ. ΤΟΙΧΟΥ ΜΟΝΗ ΚΡΥΟ FIORE</v>
      </c>
      <c r="N780" s="2" t="str">
        <f>IFERROR(VLOOKUP(ROWS($N$2:N780),$D$2:$E$1996,2,0),"")</f>
        <v>24CR0283</v>
      </c>
    </row>
    <row r="781" spans="1:14">
      <c r="A781" s="5">
        <v>1</v>
      </c>
      <c r="B781" s="32">
        <f>IF(ISNUMBER(SEARCH('Φόρμα Εισαγωγής'!$B$2,C781)),MAX($B$1:B780)+1,0)</f>
        <v>780</v>
      </c>
      <c r="C781" s="7" t="s">
        <v>510</v>
      </c>
      <c r="D781" s="33">
        <f>IF(ISNUMBER(SEARCH('Φόρμα Εισαγωγής'!$C$2,E781)),MAX($D$1:D780)+1,0)</f>
        <v>780</v>
      </c>
      <c r="E781" s="17" t="s">
        <v>511</v>
      </c>
      <c r="F781" s="5">
        <v>35.450000000000003</v>
      </c>
      <c r="G781" s="5">
        <v>50</v>
      </c>
      <c r="H781" s="6">
        <f t="shared" si="45"/>
        <v>62</v>
      </c>
      <c r="I781" s="6">
        <f t="shared" si="46"/>
        <v>35.450000000000003</v>
      </c>
      <c r="J781" s="6">
        <f t="shared" si="47"/>
        <v>62</v>
      </c>
      <c r="L781" s="4" t="str">
        <f>IFERROR(VLOOKUP(ROWS($L$2:L781),$B$2:$C$1996,2,0),"")</f>
        <v>MΠΑΤ. ΛΟΥΤ. ΚΥRO</v>
      </c>
      <c r="N781" s="2" t="str">
        <f>IFERROR(VLOOKUP(ROWS($N$2:N781),$D$2:$E$1996,2,0),"")</f>
        <v>86CR8141</v>
      </c>
    </row>
    <row r="782" spans="1:14">
      <c r="A782" s="5">
        <v>1</v>
      </c>
      <c r="B782" s="32">
        <f>IF(ISNUMBER(SEARCH('Φόρμα Εισαγωγής'!$B$2,C782)),MAX($B$1:B781)+1,0)</f>
        <v>781</v>
      </c>
      <c r="C782" s="7" t="s">
        <v>512</v>
      </c>
      <c r="D782" s="33">
        <f>IF(ISNUMBER(SEARCH('Φόρμα Εισαγωγής'!$C$2,E782)),MAX($D$1:D781)+1,0)</f>
        <v>781</v>
      </c>
      <c r="E782" s="17" t="s">
        <v>513</v>
      </c>
      <c r="F782" s="5">
        <v>31.75</v>
      </c>
      <c r="G782" s="5">
        <v>45</v>
      </c>
      <c r="H782" s="6">
        <f t="shared" si="45"/>
        <v>55.8</v>
      </c>
      <c r="I782" s="6">
        <f t="shared" si="46"/>
        <v>31.75</v>
      </c>
      <c r="J782" s="6">
        <f t="shared" si="47"/>
        <v>55.8</v>
      </c>
      <c r="L782" s="4" t="str">
        <f>IFERROR(VLOOKUP(ROWS($L$2:L782),$B$2:$C$1996,2,0),"")</f>
        <v>ΜΠΑΤ. ΝΙΠ. KYRO</v>
      </c>
      <c r="N782" s="2" t="str">
        <f>IFERROR(VLOOKUP(ROWS($N$2:N782),$D$2:$E$1996,2,0),"")</f>
        <v>86CR8110</v>
      </c>
    </row>
    <row r="783" spans="1:14">
      <c r="A783" s="5">
        <v>1</v>
      </c>
      <c r="B783" s="32">
        <f>IF(ISNUMBER(SEARCH('Φόρμα Εισαγωγής'!$B$2,C783)),MAX($B$1:B782)+1,0)</f>
        <v>782</v>
      </c>
      <c r="C783" s="7" t="s">
        <v>514</v>
      </c>
      <c r="D783" s="33">
        <f>IF(ISNUMBER(SEARCH('Φόρμα Εισαγωγής'!$C$2,E783)),MAX($D$1:D782)+1,0)</f>
        <v>782</v>
      </c>
      <c r="E783" s="17" t="s">
        <v>515</v>
      </c>
      <c r="F783" s="5">
        <v>20.55</v>
      </c>
      <c r="G783" s="5">
        <v>29</v>
      </c>
      <c r="H783" s="6">
        <f t="shared" si="45"/>
        <v>35.96</v>
      </c>
      <c r="I783" s="6">
        <f t="shared" si="46"/>
        <v>20.55</v>
      </c>
      <c r="J783" s="6">
        <f t="shared" si="47"/>
        <v>35.96</v>
      </c>
      <c r="L783" s="4" t="str">
        <f>IFERROR(VLOOKUP(ROWS($L$2:L783),$B$2:$C$1996,2,0),"")</f>
        <v>MΠΑΤ. ΝΙΠ. CLASSIC LINE</v>
      </c>
      <c r="N783" s="2" t="str">
        <f>IFERROR(VLOOKUP(ROWS($N$2:N783),$D$2:$E$1996,2,0),"")</f>
        <v>24CR0359</v>
      </c>
    </row>
    <row r="784" spans="1:14">
      <c r="A784" s="5">
        <v>2</v>
      </c>
      <c r="B784" s="32">
        <f>IF(ISNUMBER(SEARCH('Φόρμα Εισαγωγής'!$B$2,C784)),MAX($B$1:B783)+1,0)</f>
        <v>783</v>
      </c>
      <c r="C784" s="7" t="s">
        <v>516</v>
      </c>
      <c r="D784" s="33">
        <f>IF(ISNUMBER(SEARCH('Φόρμα Εισαγωγής'!$C$2,E784)),MAX($D$1:D783)+1,0)</f>
        <v>783</v>
      </c>
      <c r="E784" s="17" t="s">
        <v>517</v>
      </c>
      <c r="F784" s="5">
        <v>31.25</v>
      </c>
      <c r="G784" s="5">
        <v>44</v>
      </c>
      <c r="H784" s="6">
        <f t="shared" si="45"/>
        <v>54.56</v>
      </c>
      <c r="I784" s="6">
        <f t="shared" si="46"/>
        <v>62.5</v>
      </c>
      <c r="J784" s="6">
        <f t="shared" si="47"/>
        <v>109.12</v>
      </c>
      <c r="L784" s="4" t="str">
        <f>IFERROR(VLOOKUP(ROWS($L$2:L784),$B$2:$C$1996,2,0),"")</f>
        <v>ΜΠΑΤ. ΛΟΥΤ. ALTURA MIA</v>
      </c>
      <c r="N784" s="2" t="str">
        <f>IFERROR(VLOOKUP(ROWS($N$2:N784),$D$2:$E$1996,2,0),"")</f>
        <v>29CR1500</v>
      </c>
    </row>
    <row r="785" spans="1:14">
      <c r="A785" s="5">
        <v>0</v>
      </c>
      <c r="B785" s="32">
        <f>IF(ISNUMBER(SEARCH('Φόρμα Εισαγωγής'!$B$2,C785)),MAX($B$1:B784)+1,0)</f>
        <v>784</v>
      </c>
      <c r="C785" s="7" t="s">
        <v>518</v>
      </c>
      <c r="D785" s="33">
        <f>IF(ISNUMBER(SEARCH('Φόρμα Εισαγωγής'!$C$2,E785)),MAX($D$1:D784)+1,0)</f>
        <v>784</v>
      </c>
      <c r="E785" s="17" t="s">
        <v>519</v>
      </c>
      <c r="F785" s="5">
        <v>23</v>
      </c>
      <c r="G785" s="5">
        <v>32.200000000000003</v>
      </c>
      <c r="H785" s="6">
        <f t="shared" si="45"/>
        <v>39.928000000000004</v>
      </c>
      <c r="I785" s="6">
        <f t="shared" si="46"/>
        <v>0</v>
      </c>
      <c r="J785" s="6">
        <f t="shared" si="47"/>
        <v>0</v>
      </c>
      <c r="L785" s="4" t="str">
        <f>IFERROR(VLOOKUP(ROWS($L$2:L785),$B$2:$C$1996,2,0),"")</f>
        <v>ΜΠΑΤ.ΝΙΠ. ALTURA MIA</v>
      </c>
      <c r="N785" s="2" t="str">
        <f>IFERROR(VLOOKUP(ROWS($N$2:N785),$D$2:$E$1996,2,0),"")</f>
        <v>29CR2710</v>
      </c>
    </row>
    <row r="786" spans="1:14">
      <c r="A786" s="5">
        <v>1</v>
      </c>
      <c r="B786" s="32">
        <f>IF(ISNUMBER(SEARCH('Φόρμα Εισαγωγής'!$B$2,C786)),MAX($B$1:B785)+1,0)</f>
        <v>785</v>
      </c>
      <c r="C786" s="7" t="s">
        <v>520</v>
      </c>
      <c r="D786" s="33">
        <f>IF(ISNUMBER(SEARCH('Φόρμα Εισαγωγής'!$C$2,E786)),MAX($D$1:D785)+1,0)</f>
        <v>785</v>
      </c>
      <c r="E786" s="17" t="s">
        <v>509</v>
      </c>
      <c r="F786" s="5">
        <v>10.85</v>
      </c>
      <c r="G786" s="5">
        <v>15.15</v>
      </c>
      <c r="H786" s="6">
        <f t="shared" si="45"/>
        <v>18.786000000000001</v>
      </c>
      <c r="I786" s="6">
        <f t="shared" si="46"/>
        <v>10.85</v>
      </c>
      <c r="J786" s="6">
        <f t="shared" si="47"/>
        <v>18.786000000000001</v>
      </c>
      <c r="L786" s="4" t="str">
        <f>IFERROR(VLOOKUP(ROWS($L$2:L786),$B$2:$C$1996,2,0),"")</f>
        <v>ΜΠΑΤ. ΤΟΙΧΟΥ ΡΟΥΞΟΥΝΗ CLASSIC LINE</v>
      </c>
      <c r="N786" s="2" t="str">
        <f>IFERROR(VLOOKUP(ROWS($N$2:N786),$D$2:$E$1996,2,0),"")</f>
        <v>24CR0322</v>
      </c>
    </row>
    <row r="787" spans="1:14">
      <c r="A787" s="5">
        <v>1</v>
      </c>
      <c r="B787" s="32">
        <f>IF(ISNUMBER(SEARCH('Φόρμα Εισαγωγής'!$B$2,C787)),MAX($B$1:B786)+1,0)</f>
        <v>786</v>
      </c>
      <c r="C787" s="7" t="s">
        <v>521</v>
      </c>
      <c r="D787" s="33">
        <f>IF(ISNUMBER(SEARCH('Φόρμα Εισαγωγής'!$C$2,E787)),MAX($D$1:D786)+1,0)</f>
        <v>786</v>
      </c>
      <c r="E787" s="17" t="s">
        <v>522</v>
      </c>
      <c r="F787" s="5">
        <v>14.6</v>
      </c>
      <c r="G787" s="5">
        <v>20.5</v>
      </c>
      <c r="H787" s="6">
        <f t="shared" si="45"/>
        <v>25.42</v>
      </c>
      <c r="I787" s="6">
        <f t="shared" si="46"/>
        <v>14.6</v>
      </c>
      <c r="J787" s="6">
        <f t="shared" si="47"/>
        <v>25.42</v>
      </c>
      <c r="L787" s="4" t="str">
        <f>IFERROR(VLOOKUP(ROWS($L$2:L787),$B$2:$C$1996,2,0),"")</f>
        <v>MΠΑΤ. ΠΑΓΚΟΥ ΚΡΥΟ CLASSIC LINE</v>
      </c>
      <c r="N787" s="2" t="str">
        <f>IFERROR(VLOOKUP(ROWS($N$2:N787),$D$2:$E$1996,2,0),"")</f>
        <v>24CR0331</v>
      </c>
    </row>
    <row r="788" spans="1:14">
      <c r="A788" s="5">
        <v>1</v>
      </c>
      <c r="B788" s="32">
        <f>IF(ISNUMBER(SEARCH('Φόρμα Εισαγωγής'!$B$2,C788)),MAX($B$1:B787)+1,0)</f>
        <v>787</v>
      </c>
      <c r="C788" s="7" t="s">
        <v>523</v>
      </c>
      <c r="D788" s="33">
        <f>IF(ISNUMBER(SEARCH('Φόρμα Εισαγωγής'!$C$2,E788)),MAX($D$1:D787)+1,0)</f>
        <v>787</v>
      </c>
      <c r="E788" s="17" t="s">
        <v>524</v>
      </c>
      <c r="F788" s="5">
        <v>26</v>
      </c>
      <c r="G788" s="5">
        <v>36.4</v>
      </c>
      <c r="H788" s="6">
        <f t="shared" si="45"/>
        <v>45.135999999999996</v>
      </c>
      <c r="I788" s="6">
        <f t="shared" si="46"/>
        <v>26</v>
      </c>
      <c r="J788" s="6">
        <f t="shared" si="47"/>
        <v>45.135999999999996</v>
      </c>
      <c r="L788" s="4" t="str">
        <f>IFERROR(VLOOKUP(ROWS($L$2:L788),$B$2:$C$1996,2,0),"")</f>
        <v>MΠΑΤ. ΝΙΠ. ΓΕΦΥΡΑ CLASSIC LINE</v>
      </c>
      <c r="N788" s="2" t="str">
        <f>IFERROR(VLOOKUP(ROWS($N$2:N788),$D$2:$E$1996,2,0),"")</f>
        <v>24CR0243</v>
      </c>
    </row>
    <row r="789" spans="1:14">
      <c r="A789" s="5">
        <v>0</v>
      </c>
      <c r="B789" s="32">
        <f>IF(ISNUMBER(SEARCH('Φόρμα Εισαγωγής'!$B$2,C789)),MAX($B$1:B788)+1,0)</f>
        <v>788</v>
      </c>
      <c r="C789" s="7" t="s">
        <v>525</v>
      </c>
      <c r="D789" s="33">
        <f>IF(ISNUMBER(SEARCH('Φόρμα Εισαγωγής'!$C$2,E789)),MAX($D$1:D788)+1,0)</f>
        <v>788</v>
      </c>
      <c r="E789" s="17" t="s">
        <v>840</v>
      </c>
      <c r="F789" s="5">
        <v>28.75</v>
      </c>
      <c r="G789" s="5">
        <v>40.25</v>
      </c>
      <c r="H789" s="6">
        <f t="shared" si="45"/>
        <v>49.91</v>
      </c>
      <c r="I789" s="6">
        <f t="shared" si="46"/>
        <v>0</v>
      </c>
      <c r="J789" s="6">
        <f t="shared" si="47"/>
        <v>0</v>
      </c>
      <c r="L789" s="4" t="str">
        <f>IFERROR(VLOOKUP(ROWS($L$2:L789),$B$2:$C$1996,2,0),"")</f>
        <v>ΜΠΑΤ. ΚΟΥΖ. ΨΥΛΗ ALTURA MIA</v>
      </c>
      <c r="N789" s="2" t="str">
        <f>IFERROR(VLOOKUP(ROWS($N$2:N789),$D$2:$E$1996,2,0),"")</f>
        <v>29CR4631</v>
      </c>
    </row>
    <row r="790" spans="1:14">
      <c r="A790" s="5">
        <v>0</v>
      </c>
      <c r="B790" s="32">
        <f>IF(ISNUMBER(SEARCH('Φόρμα Εισαγωγής'!$B$2,C790)),MAX($B$1:B789)+1,0)</f>
        <v>789</v>
      </c>
      <c r="C790" s="7" t="s">
        <v>841</v>
      </c>
      <c r="D790" s="33">
        <f>IF(ISNUMBER(SEARCH('Φόρμα Εισαγωγής'!$C$2,E790)),MAX($D$1:D789)+1,0)</f>
        <v>789</v>
      </c>
      <c r="E790" s="17" t="s">
        <v>842</v>
      </c>
      <c r="F790" s="5">
        <v>22.55</v>
      </c>
      <c r="G790" s="5">
        <v>32</v>
      </c>
      <c r="H790" s="6">
        <f t="shared" si="45"/>
        <v>39.68</v>
      </c>
      <c r="I790" s="6">
        <f t="shared" si="46"/>
        <v>0</v>
      </c>
      <c r="J790" s="6">
        <f t="shared" si="47"/>
        <v>0</v>
      </c>
      <c r="L790" s="4" t="str">
        <f>IFERROR(VLOOKUP(ROWS($L$2:L790),$B$2:$C$1996,2,0),"")</f>
        <v>ΜΠΑΤ. ΚΟΥΖ. KRAMER TEVERE</v>
      </c>
      <c r="N790" s="2" t="str">
        <f>IFERROR(VLOOKUP(ROWS($N$2:N790),$D$2:$E$1996,2,0),"")</f>
        <v>TV620</v>
      </c>
    </row>
    <row r="791" spans="1:14">
      <c r="A791" s="5">
        <v>1</v>
      </c>
      <c r="B791" s="32">
        <f>IF(ISNUMBER(SEARCH('Φόρμα Εισαγωγής'!$B$2,C791)),MAX($B$1:B790)+1,0)</f>
        <v>790</v>
      </c>
      <c r="C791" s="7" t="s">
        <v>526</v>
      </c>
      <c r="D791" s="33">
        <f>IF(ISNUMBER(SEARCH('Φόρμα Εισαγωγής'!$C$2,E791)),MAX($D$1:D790)+1,0)</f>
        <v>790</v>
      </c>
      <c r="E791" s="17" t="s">
        <v>527</v>
      </c>
      <c r="F791" s="5">
        <v>15</v>
      </c>
      <c r="G791" s="5">
        <v>21</v>
      </c>
      <c r="H791" s="6">
        <f t="shared" si="45"/>
        <v>26.04</v>
      </c>
      <c r="I791" s="6">
        <f t="shared" si="46"/>
        <v>15</v>
      </c>
      <c r="J791" s="6">
        <f t="shared" si="47"/>
        <v>26.04</v>
      </c>
      <c r="L791" s="4" t="str">
        <f>IFERROR(VLOOKUP(ROWS($L$2:L791),$B$2:$C$1996,2,0),"")</f>
        <v>MΠΑΤ. ΠΑΓΚΟΥ ΚΡΥΟ CANEL</v>
      </c>
      <c r="N791" s="2" t="str">
        <f>IFERROR(VLOOKUP(ROWS($N$2:N791),$D$2:$E$1996,2,0),"")</f>
        <v>25MM</v>
      </c>
    </row>
    <row r="792" spans="1:14">
      <c r="A792" s="5">
        <v>1</v>
      </c>
      <c r="B792" s="32">
        <f>IF(ISNUMBER(SEARCH('Φόρμα Εισαγωγής'!$B$2,C792)),MAX($B$1:B791)+1,0)</f>
        <v>791</v>
      </c>
      <c r="C792" s="7" t="s">
        <v>528</v>
      </c>
      <c r="D792" s="33">
        <f>IF(ISNUMBER(SEARCH('Φόρμα Εισαγωγής'!$C$2,E792)),MAX($D$1:D791)+1,0)</f>
        <v>791</v>
      </c>
      <c r="E792" s="17" t="s">
        <v>321</v>
      </c>
      <c r="F792" s="5">
        <v>9</v>
      </c>
      <c r="G792" s="5">
        <v>13</v>
      </c>
      <c r="H792" s="6">
        <f t="shared" si="45"/>
        <v>16.12</v>
      </c>
      <c r="I792" s="6">
        <f t="shared" si="46"/>
        <v>9</v>
      </c>
      <c r="J792" s="6">
        <f t="shared" si="47"/>
        <v>16.12</v>
      </c>
      <c r="L792" s="4" t="str">
        <f>IFERROR(VLOOKUP(ROWS($L$2:L792),$B$2:$C$1996,2,0),"")</f>
        <v>ΜΠΑΤ. ΝΙΠ. IRIS</v>
      </c>
      <c r="N792" s="2" t="str">
        <f>IFERROR(VLOOKUP(ROWS($N$2:N792),$D$2:$E$1996,2,0),"")</f>
        <v>-</v>
      </c>
    </row>
    <row r="793" spans="1:14">
      <c r="A793" s="5">
        <v>1</v>
      </c>
      <c r="B793" s="32">
        <f>IF(ISNUMBER(SEARCH('Φόρμα Εισαγωγής'!$B$2,C793)),MAX($B$1:B792)+1,0)</f>
        <v>792</v>
      </c>
      <c r="C793" s="7" t="s">
        <v>529</v>
      </c>
      <c r="D793" s="33">
        <f>IF(ISNUMBER(SEARCH('Φόρμα Εισαγωγής'!$C$2,E793)),MAX($D$1:D792)+1,0)</f>
        <v>792</v>
      </c>
      <c r="E793" s="17" t="s">
        <v>321</v>
      </c>
      <c r="F793" s="5">
        <v>12.4</v>
      </c>
      <c r="G793" s="5">
        <v>17.5</v>
      </c>
      <c r="H793" s="6">
        <f t="shared" si="45"/>
        <v>21.7</v>
      </c>
      <c r="I793" s="6">
        <f t="shared" si="46"/>
        <v>12.4</v>
      </c>
      <c r="J793" s="6">
        <f t="shared" si="47"/>
        <v>21.7</v>
      </c>
      <c r="L793" s="4" t="str">
        <f>IFERROR(VLOOKUP(ROWS($L$2:L793),$B$2:$C$1996,2,0),"")</f>
        <v>ΜΠΑΤ. ΛΟΥΤ. IRIS</v>
      </c>
      <c r="N793" s="2" t="str">
        <f>IFERROR(VLOOKUP(ROWS($N$2:N793),$D$2:$E$1996,2,0),"")</f>
        <v>-</v>
      </c>
    </row>
    <row r="794" spans="1:14">
      <c r="A794" s="5">
        <v>1</v>
      </c>
      <c r="B794" s="32">
        <f>IF(ISNUMBER(SEARCH('Φόρμα Εισαγωγής'!$B$2,C794)),MAX($B$1:B793)+1,0)</f>
        <v>793</v>
      </c>
      <c r="C794" s="7" t="s">
        <v>530</v>
      </c>
      <c r="D794" s="33">
        <f>IF(ISNUMBER(SEARCH('Φόρμα Εισαγωγής'!$C$2,E794)),MAX($D$1:D793)+1,0)</f>
        <v>793</v>
      </c>
      <c r="E794" s="17" t="s">
        <v>321</v>
      </c>
      <c r="F794" s="5">
        <v>27</v>
      </c>
      <c r="G794" s="5">
        <v>37.799999999999997</v>
      </c>
      <c r="H794" s="6">
        <f t="shared" si="45"/>
        <v>46.872</v>
      </c>
      <c r="I794" s="6">
        <f t="shared" si="46"/>
        <v>27</v>
      </c>
      <c r="J794" s="6">
        <f t="shared" si="47"/>
        <v>46.872</v>
      </c>
      <c r="L794" s="4" t="str">
        <f>IFERROR(VLOOKUP(ROWS($L$2:L794),$B$2:$C$1996,2,0),"")</f>
        <v>MΠΑΤ. ΛΟΥΤ. JAMAICA</v>
      </c>
      <c r="N794" s="2" t="str">
        <f>IFERROR(VLOOKUP(ROWS($N$2:N794),$D$2:$E$1996,2,0),"")</f>
        <v>-</v>
      </c>
    </row>
    <row r="795" spans="1:14">
      <c r="A795" s="5">
        <v>0</v>
      </c>
      <c r="B795" s="32">
        <f>IF(ISNUMBER(SEARCH('Φόρμα Εισαγωγής'!$B$2,C795)),MAX($B$1:B794)+1,0)</f>
        <v>794</v>
      </c>
      <c r="C795" s="7" t="s">
        <v>531</v>
      </c>
      <c r="D795" s="33">
        <f>IF(ISNUMBER(SEARCH('Φόρμα Εισαγωγής'!$C$2,E795)),MAX($D$1:D794)+1,0)</f>
        <v>794</v>
      </c>
      <c r="E795" s="17" t="s">
        <v>321</v>
      </c>
      <c r="F795" s="5">
        <v>17</v>
      </c>
      <c r="G795" s="5">
        <v>24</v>
      </c>
      <c r="H795" s="6">
        <f t="shared" si="45"/>
        <v>29.759999999999998</v>
      </c>
      <c r="I795" s="6">
        <f t="shared" si="46"/>
        <v>0</v>
      </c>
      <c r="J795" s="6">
        <f t="shared" si="47"/>
        <v>0</v>
      </c>
      <c r="L795" s="4" t="str">
        <f>IFERROR(VLOOKUP(ROWS($L$2:L795),$B$2:$C$1996,2,0),"")</f>
        <v>ΜΠΑΤ. ΝΙΠ. JAMAICA</v>
      </c>
      <c r="N795" s="2" t="str">
        <f>IFERROR(VLOOKUP(ROWS($N$2:N795),$D$2:$E$1996,2,0),"")</f>
        <v>-</v>
      </c>
    </row>
    <row r="796" spans="1:14">
      <c r="A796" s="5">
        <v>1</v>
      </c>
      <c r="B796" s="32">
        <f>IF(ISNUMBER(SEARCH('Φόρμα Εισαγωγής'!$B$2,C796)),MAX($B$1:B795)+1,0)</f>
        <v>795</v>
      </c>
      <c r="C796" s="7" t="s">
        <v>532</v>
      </c>
      <c r="D796" s="33">
        <f>IF(ISNUMBER(SEARCH('Φόρμα Εισαγωγής'!$C$2,E796)),MAX($D$1:D795)+1,0)</f>
        <v>795</v>
      </c>
      <c r="E796" s="17" t="s">
        <v>843</v>
      </c>
      <c r="F796" s="5">
        <v>14.38</v>
      </c>
      <c r="G796" s="5">
        <v>20</v>
      </c>
      <c r="H796" s="6">
        <f t="shared" si="45"/>
        <v>24.8</v>
      </c>
      <c r="I796" s="6">
        <f t="shared" si="46"/>
        <v>14.38</v>
      </c>
      <c r="J796" s="6">
        <f t="shared" si="47"/>
        <v>24.8</v>
      </c>
      <c r="L796" s="4" t="str">
        <f>IFERROR(VLOOKUP(ROWS($L$2:L796),$B$2:$C$1996,2,0),"")</f>
        <v>ΜΠΑΤ. ΛΟΥΤ. BLACK BOX</v>
      </c>
      <c r="N796" s="2" t="str">
        <f>IFERROR(VLOOKUP(ROWS($N$2:N796),$D$2:$E$1996,2,0),"")</f>
        <v>40ΜΜ</v>
      </c>
    </row>
    <row r="797" spans="1:14">
      <c r="A797" s="5">
        <v>0</v>
      </c>
      <c r="B797" s="32">
        <f>IF(ISNUMBER(SEARCH('Φόρμα Εισαγωγής'!$B$2,C797)),MAX($B$1:B796)+1,0)</f>
        <v>796</v>
      </c>
      <c r="C797" s="7" t="s">
        <v>533</v>
      </c>
      <c r="D797" s="33">
        <f>IF(ISNUMBER(SEARCH('Φόρμα Εισαγωγής'!$C$2,E797)),MAX($D$1:D796)+1,0)</f>
        <v>796</v>
      </c>
      <c r="E797" s="17" t="s">
        <v>843</v>
      </c>
      <c r="F797" s="5">
        <v>12</v>
      </c>
      <c r="G797" s="5">
        <v>18</v>
      </c>
      <c r="H797" s="6">
        <f t="shared" si="45"/>
        <v>22.32</v>
      </c>
      <c r="I797" s="6">
        <f t="shared" si="46"/>
        <v>0</v>
      </c>
      <c r="J797" s="6">
        <f t="shared" si="47"/>
        <v>0</v>
      </c>
      <c r="L797" s="4" t="str">
        <f>IFERROR(VLOOKUP(ROWS($L$2:L797),$B$2:$C$1996,2,0),"")</f>
        <v>ΜΠΑΤ. ΝΙΠ. BLACK BOX</v>
      </c>
      <c r="N797" s="2" t="str">
        <f>IFERROR(VLOOKUP(ROWS($N$2:N797),$D$2:$E$1996,2,0),"")</f>
        <v>40ΜΜ</v>
      </c>
    </row>
    <row r="798" spans="1:14">
      <c r="A798" s="5">
        <v>1</v>
      </c>
      <c r="B798" s="32">
        <f>IF(ISNUMBER(SEARCH('Φόρμα Εισαγωγής'!$B$2,C798)),MAX($B$1:B797)+1,0)</f>
        <v>797</v>
      </c>
      <c r="C798" s="7" t="s">
        <v>534</v>
      </c>
      <c r="D798" s="33">
        <f>IF(ISNUMBER(SEARCH('Φόρμα Εισαγωγής'!$C$2,E798)),MAX($D$1:D797)+1,0)</f>
        <v>797</v>
      </c>
      <c r="E798" s="17" t="s">
        <v>535</v>
      </c>
      <c r="F798" s="5">
        <v>20</v>
      </c>
      <c r="G798" s="5">
        <v>28</v>
      </c>
      <c r="H798" s="6">
        <f t="shared" si="45"/>
        <v>34.72</v>
      </c>
      <c r="I798" s="6">
        <f t="shared" si="46"/>
        <v>20</v>
      </c>
      <c r="J798" s="6">
        <f t="shared" si="47"/>
        <v>34.72</v>
      </c>
      <c r="L798" s="4" t="str">
        <f>IFERROR(VLOOKUP(ROWS($L$2:L798),$B$2:$C$1996,2,0),"")</f>
        <v xml:space="preserve">ΜΠΑΤ. ΝΙΠ. ΑΥΤΟΜΑΤΗ </v>
      </c>
      <c r="N798" s="2" t="str">
        <f>IFERROR(VLOOKUP(ROWS($N$2:N798),$D$2:$E$1996,2,0),"")</f>
        <v>MCM</v>
      </c>
    </row>
    <row r="799" spans="1:14">
      <c r="A799" s="5">
        <v>1</v>
      </c>
      <c r="B799" s="32">
        <f>IF(ISNUMBER(SEARCH('Φόρμα Εισαγωγής'!$B$2,C799)),MAX($B$1:B798)+1,0)</f>
        <v>798</v>
      </c>
      <c r="C799" s="7" t="s">
        <v>536</v>
      </c>
      <c r="D799" s="33">
        <f>IF(ISNUMBER(SEARCH('Φόρμα Εισαγωγής'!$C$2,E799)),MAX($D$1:D798)+1,0)</f>
        <v>798</v>
      </c>
      <c r="E799" s="17" t="s">
        <v>535</v>
      </c>
      <c r="F799" s="5">
        <v>29</v>
      </c>
      <c r="G799" s="5">
        <v>40.6</v>
      </c>
      <c r="H799" s="6">
        <f t="shared" si="45"/>
        <v>50.344000000000001</v>
      </c>
      <c r="I799" s="6">
        <f t="shared" si="46"/>
        <v>29</v>
      </c>
      <c r="J799" s="6">
        <f t="shared" si="47"/>
        <v>50.344000000000001</v>
      </c>
      <c r="L799" s="4" t="str">
        <f>IFERROR(VLOOKUP(ROWS($L$2:L799),$B$2:$C$1996,2,0),"")</f>
        <v>ΠΟΔΟΒΑΛΒΙΔΑ ΚΡΥΟ</v>
      </c>
      <c r="N799" s="2" t="str">
        <f>IFERROR(VLOOKUP(ROWS($N$2:N799),$D$2:$E$1996,2,0),"")</f>
        <v>MCM</v>
      </c>
    </row>
    <row r="800" spans="1:14">
      <c r="A800" s="5">
        <v>1</v>
      </c>
      <c r="B800" s="32">
        <f>IF(ISNUMBER(SEARCH('Φόρμα Εισαγωγής'!$B$2,C800)),MAX($B$1:B799)+1,0)</f>
        <v>799</v>
      </c>
      <c r="C800" s="7" t="s">
        <v>537</v>
      </c>
      <c r="D800" s="33">
        <f>IF(ISNUMBER(SEARCH('Φόρμα Εισαγωγής'!$C$2,E800)),MAX($D$1:D799)+1,0)</f>
        <v>799</v>
      </c>
      <c r="E800" s="17" t="s">
        <v>535</v>
      </c>
      <c r="F800" s="5">
        <v>12</v>
      </c>
      <c r="G800" s="5">
        <v>16.8</v>
      </c>
      <c r="H800" s="6">
        <f t="shared" si="45"/>
        <v>20.832000000000001</v>
      </c>
      <c r="I800" s="6">
        <f t="shared" si="46"/>
        <v>12</v>
      </c>
      <c r="J800" s="6">
        <f t="shared" si="47"/>
        <v>20.832000000000001</v>
      </c>
      <c r="L800" s="4" t="str">
        <f>IFERROR(VLOOKUP(ROWS($L$2:L800),$B$2:$C$1996,2,0),"")</f>
        <v>ΡΟΥΞΟΥΝΙ ΠΑΓΚΟΥ</v>
      </c>
      <c r="N800" s="2" t="str">
        <f>IFERROR(VLOOKUP(ROWS($N$2:N800),$D$2:$E$1996,2,0),"")</f>
        <v>MCM</v>
      </c>
    </row>
    <row r="801" spans="1:14">
      <c r="A801" s="5">
        <v>3</v>
      </c>
      <c r="B801" s="32">
        <f>IF(ISNUMBER(SEARCH('Φόρμα Εισαγωγής'!$B$2,C801)),MAX($B$1:B800)+1,0)</f>
        <v>800</v>
      </c>
      <c r="C801" s="7" t="s">
        <v>538</v>
      </c>
      <c r="D801" s="33">
        <f>IF(ISNUMBER(SEARCH('Φόρμα Εισαγωγής'!$C$2,E801)),MAX($D$1:D800)+1,0)</f>
        <v>800</v>
      </c>
      <c r="E801" s="17" t="s">
        <v>539</v>
      </c>
      <c r="F801" s="5">
        <v>1.27</v>
      </c>
      <c r="G801" s="5">
        <v>1.8</v>
      </c>
      <c r="H801" s="6">
        <f t="shared" si="45"/>
        <v>2.2320000000000002</v>
      </c>
      <c r="I801" s="6">
        <f t="shared" si="46"/>
        <v>3.81</v>
      </c>
      <c r="J801" s="6">
        <f t="shared" si="47"/>
        <v>6.6960000000000006</v>
      </c>
      <c r="L801" s="4" t="str">
        <f>IFERROR(VLOOKUP(ROWS($L$2:L801),$B$2:$C$1996,2,0),"")</f>
        <v>BYΣΜΑΤΑ ΛΕΥΚΑ</v>
      </c>
      <c r="N801" s="2" t="str">
        <f>IFERROR(VLOOKUP(ROWS($N$2:N801),$D$2:$E$1996,2,0),"")</f>
        <v>ΝΟ 6</v>
      </c>
    </row>
    <row r="802" spans="1:14">
      <c r="A802" s="5">
        <v>2</v>
      </c>
      <c r="B802" s="32">
        <f>IF(ISNUMBER(SEARCH('Φόρμα Εισαγωγής'!$B$2,C802)),MAX($B$1:B801)+1,0)</f>
        <v>801</v>
      </c>
      <c r="C802" s="7" t="s">
        <v>538</v>
      </c>
      <c r="D802" s="33">
        <f>IF(ISNUMBER(SEARCH('Φόρμα Εισαγωγής'!$C$2,E802)),MAX($D$1:D801)+1,0)</f>
        <v>801</v>
      </c>
      <c r="E802" s="17" t="s">
        <v>540</v>
      </c>
      <c r="F802" s="5">
        <v>1.6</v>
      </c>
      <c r="G802" s="5">
        <v>2.25</v>
      </c>
      <c r="H802" s="6">
        <f t="shared" si="45"/>
        <v>2.79</v>
      </c>
      <c r="I802" s="6">
        <f t="shared" si="46"/>
        <v>3.2</v>
      </c>
      <c r="J802" s="6">
        <f t="shared" si="47"/>
        <v>5.58</v>
      </c>
      <c r="L802" s="4" t="str">
        <f>IFERROR(VLOOKUP(ROWS($L$2:L802),$B$2:$C$1996,2,0),"")</f>
        <v>BYΣΜΑΤΑ ΛΕΥΚΑ</v>
      </c>
      <c r="N802" s="2" t="str">
        <f>IFERROR(VLOOKUP(ROWS($N$2:N802),$D$2:$E$1996,2,0),"")</f>
        <v>ΝΟ 8</v>
      </c>
    </row>
    <row r="803" spans="1:14">
      <c r="A803" s="5">
        <v>3</v>
      </c>
      <c r="B803" s="32">
        <f>IF(ISNUMBER(SEARCH('Φόρμα Εισαγωγής'!$B$2,C803)),MAX($B$1:B802)+1,0)</f>
        <v>802</v>
      </c>
      <c r="C803" s="7" t="s">
        <v>538</v>
      </c>
      <c r="D803" s="33">
        <f>IF(ISNUMBER(SEARCH('Φόρμα Εισαγωγής'!$C$2,E803)),MAX($D$1:D802)+1,0)</f>
        <v>802</v>
      </c>
      <c r="E803" s="17" t="s">
        <v>541</v>
      </c>
      <c r="F803" s="5">
        <v>1</v>
      </c>
      <c r="G803" s="5">
        <v>1.4</v>
      </c>
      <c r="H803" s="6">
        <f t="shared" si="45"/>
        <v>1.7359999999999998</v>
      </c>
      <c r="I803" s="6">
        <f t="shared" si="46"/>
        <v>3</v>
      </c>
      <c r="J803" s="6">
        <f t="shared" si="47"/>
        <v>5.2079999999999993</v>
      </c>
      <c r="L803" s="4" t="str">
        <f>IFERROR(VLOOKUP(ROWS($L$2:L803),$B$2:$C$1996,2,0),"")</f>
        <v>BYΣΜΑΤΑ ΛΕΥΚΑ</v>
      </c>
      <c r="N803" s="2" t="str">
        <f>IFERROR(VLOOKUP(ROWS($N$2:N803),$D$2:$E$1996,2,0),"")</f>
        <v>ΝΟ 10</v>
      </c>
    </row>
    <row r="804" spans="1:14">
      <c r="A804" s="5">
        <v>3</v>
      </c>
      <c r="B804" s="32">
        <f>IF(ISNUMBER(SEARCH('Φόρμα Εισαγωγής'!$B$2,C804)),MAX($B$1:B803)+1,0)</f>
        <v>803</v>
      </c>
      <c r="C804" s="7" t="s">
        <v>538</v>
      </c>
      <c r="D804" s="33">
        <f>IF(ISNUMBER(SEARCH('Φόρμα Εισαγωγής'!$C$2,E804)),MAX($D$1:D803)+1,0)</f>
        <v>803</v>
      </c>
      <c r="E804" s="17" t="s">
        <v>542</v>
      </c>
      <c r="F804" s="5">
        <v>3.25</v>
      </c>
      <c r="G804" s="5">
        <v>4.55</v>
      </c>
      <c r="H804" s="6">
        <f t="shared" si="45"/>
        <v>5.6419999999999995</v>
      </c>
      <c r="I804" s="6">
        <f t="shared" si="46"/>
        <v>9.75</v>
      </c>
      <c r="J804" s="6">
        <f t="shared" si="47"/>
        <v>16.925999999999998</v>
      </c>
      <c r="L804" s="4" t="str">
        <f>IFERROR(VLOOKUP(ROWS($L$2:L804),$B$2:$C$1996,2,0),"")</f>
        <v>BYΣΜΑΤΑ ΛΕΥΚΑ</v>
      </c>
      <c r="N804" s="2" t="str">
        <f>IFERROR(VLOOKUP(ROWS($N$2:N804),$D$2:$E$1996,2,0),"")</f>
        <v>ΝΟ 12</v>
      </c>
    </row>
    <row r="805" spans="1:14">
      <c r="A805" s="5">
        <v>2</v>
      </c>
      <c r="B805" s="32">
        <f>IF(ISNUMBER(SEARCH('Φόρμα Εισαγωγής'!$B$2,C805)),MAX($B$1:B804)+1,0)</f>
        <v>804</v>
      </c>
      <c r="C805" s="7" t="s">
        <v>543</v>
      </c>
      <c r="D805" s="33">
        <f>IF(ISNUMBER(SEARCH('Φόρμα Εισαγωγής'!$C$2,E805)),MAX($D$1:D804)+1,0)</f>
        <v>804</v>
      </c>
      <c r="E805" s="17" t="s">
        <v>540</v>
      </c>
      <c r="F805" s="5">
        <v>0.6</v>
      </c>
      <c r="G805" s="5">
        <v>0.9</v>
      </c>
      <c r="H805" s="6">
        <f t="shared" si="45"/>
        <v>1.1160000000000001</v>
      </c>
      <c r="I805" s="6">
        <f t="shared" si="46"/>
        <v>1.2</v>
      </c>
      <c r="J805" s="6">
        <f t="shared" si="47"/>
        <v>2.2320000000000002</v>
      </c>
      <c r="L805" s="4" t="str">
        <f>IFERROR(VLOOKUP(ROWS($L$2:L805),$B$2:$C$1996,2,0),"")</f>
        <v>ΒΥΣΜΑΤΑ ΜΑΥΡΑ</v>
      </c>
      <c r="N805" s="2" t="str">
        <f>IFERROR(VLOOKUP(ROWS($N$2:N805),$D$2:$E$1996,2,0),"")</f>
        <v>ΝΟ 8</v>
      </c>
    </row>
    <row r="806" spans="1:14">
      <c r="A806" s="5">
        <v>6</v>
      </c>
      <c r="B806" s="32">
        <f>IF(ISNUMBER(SEARCH('Φόρμα Εισαγωγής'!$B$2,C806)),MAX($B$1:B805)+1,0)</f>
        <v>805</v>
      </c>
      <c r="C806" s="7" t="s">
        <v>544</v>
      </c>
      <c r="D806" s="33">
        <f>IF(ISNUMBER(SEARCH('Φόρμα Εισαγωγής'!$C$2,E806)),MAX($D$1:D805)+1,0)</f>
        <v>805</v>
      </c>
      <c r="E806" s="17" t="s">
        <v>545</v>
      </c>
      <c r="F806" s="5">
        <v>3.4</v>
      </c>
      <c r="G806" s="5">
        <v>4.8</v>
      </c>
      <c r="H806" s="6">
        <f t="shared" si="45"/>
        <v>5.952</v>
      </c>
      <c r="I806" s="6">
        <f t="shared" si="46"/>
        <v>20.399999999999999</v>
      </c>
      <c r="J806" s="6">
        <f t="shared" si="47"/>
        <v>35.712000000000003</v>
      </c>
      <c r="L806" s="4" t="str">
        <f>IFERROR(VLOOKUP(ROWS($L$2:L806),$B$2:$C$1996,2,0),"")</f>
        <v>ΖΟΥΜΠΟΚΑΡΦΑ</v>
      </c>
      <c r="N806" s="2" t="str">
        <f>IFERROR(VLOOKUP(ROWS($N$2:N806),$D$2:$E$1996,2,0),"")</f>
        <v>18ΜΜ</v>
      </c>
    </row>
    <row r="807" spans="1:14">
      <c r="A807" s="5">
        <v>4</v>
      </c>
      <c r="B807" s="32">
        <f>IF(ISNUMBER(SEARCH('Φόρμα Εισαγωγής'!$B$2,C807)),MAX($B$1:B806)+1,0)</f>
        <v>806</v>
      </c>
      <c r="C807" s="7" t="s">
        <v>844</v>
      </c>
      <c r="D807" s="33">
        <f>IF(ISNUMBER(SEARCH('Φόρμα Εισαγωγής'!$C$2,E807)),MAX($D$1:D806)+1,0)</f>
        <v>806</v>
      </c>
      <c r="E807" s="17" t="s">
        <v>321</v>
      </c>
      <c r="F807" s="5">
        <v>1.75</v>
      </c>
      <c r="G807" s="5">
        <v>2.5</v>
      </c>
      <c r="H807" s="6">
        <f t="shared" si="45"/>
        <v>3.1</v>
      </c>
      <c r="I807" s="6">
        <f t="shared" si="46"/>
        <v>7</v>
      </c>
      <c r="J807" s="6">
        <f t="shared" si="47"/>
        <v>12.4</v>
      </c>
      <c r="L807" s="4" t="str">
        <f>IFERROR(VLOOKUP(ROWS($L$2:L807),$B$2:$C$1996,2,0),"")</f>
        <v>ΣΥΛΙΚΟΝΗ ΛΕΥΚΗ WURTH</v>
      </c>
      <c r="N807" s="2" t="str">
        <f>IFERROR(VLOOKUP(ROWS($N$2:N807),$D$2:$E$1996,2,0),"")</f>
        <v>-</v>
      </c>
    </row>
    <row r="808" spans="1:14">
      <c r="A808" s="5">
        <v>6</v>
      </c>
      <c r="B808" s="32">
        <f>IF(ISNUMBER(SEARCH('Φόρμα Εισαγωγής'!$B$2,C808)),MAX($B$1:B807)+1,0)</f>
        <v>807</v>
      </c>
      <c r="C808" s="7" t="s">
        <v>845</v>
      </c>
      <c r="D808" s="33">
        <f>IF(ISNUMBER(SEARCH('Φόρμα Εισαγωγής'!$C$2,E808)),MAX($D$1:D807)+1,0)</f>
        <v>807</v>
      </c>
      <c r="E808" s="17" t="s">
        <v>321</v>
      </c>
      <c r="F808" s="5">
        <v>1.75</v>
      </c>
      <c r="G808" s="5">
        <v>2.5</v>
      </c>
      <c r="H808" s="6">
        <f t="shared" si="45"/>
        <v>3.1</v>
      </c>
      <c r="I808" s="6">
        <f t="shared" si="46"/>
        <v>10.5</v>
      </c>
      <c r="J808" s="6">
        <f t="shared" si="47"/>
        <v>18.600000000000001</v>
      </c>
      <c r="L808" s="4" t="str">
        <f>IFERROR(VLOOKUP(ROWS($L$2:L808),$B$2:$C$1996,2,0),"")</f>
        <v>ΣΥΛΙΚΟΝΗ ΔΙΑΦΑΝΗ WURTH</v>
      </c>
      <c r="N808" s="2" t="str">
        <f>IFERROR(VLOOKUP(ROWS($N$2:N808),$D$2:$E$1996,2,0),"")</f>
        <v>-</v>
      </c>
    </row>
    <row r="809" spans="1:14">
      <c r="A809" s="5">
        <v>5</v>
      </c>
      <c r="B809" s="32">
        <f>IF(ISNUMBER(SEARCH('Φόρμα Εισαγωγής'!$B$2,C809)),MAX($B$1:B808)+1,0)</f>
        <v>808</v>
      </c>
      <c r="C809" s="7" t="s">
        <v>872</v>
      </c>
      <c r="D809" s="33">
        <f>IF(ISNUMBER(SEARCH('Φόρμα Εισαγωγής'!$C$2,E809)),MAX($D$1:D808)+1,0)</f>
        <v>808</v>
      </c>
      <c r="E809" s="17" t="s">
        <v>321</v>
      </c>
      <c r="F809" s="5">
        <v>0.82</v>
      </c>
      <c r="G809" s="5">
        <v>1.2</v>
      </c>
      <c r="H809" s="6">
        <f t="shared" si="45"/>
        <v>1.488</v>
      </c>
      <c r="I809" s="6">
        <f t="shared" si="46"/>
        <v>4.0999999999999996</v>
      </c>
      <c r="J809" s="6">
        <f t="shared" si="47"/>
        <v>7.4399999999999995</v>
      </c>
      <c r="L809" s="4" t="str">
        <f>IFERROR(VLOOKUP(ROWS($L$2:L809),$B$2:$C$1996,2,0),"")</f>
        <v>ΤΑΙΝΙΑ ΦΑΡΔΙΑ ΛΕΥΚΗ WONDER</v>
      </c>
      <c r="N809" s="2" t="str">
        <f>IFERROR(VLOOKUP(ROWS($N$2:N809),$D$2:$E$1996,2,0),"")</f>
        <v>-</v>
      </c>
    </row>
    <row r="810" spans="1:14">
      <c r="A810" s="5">
        <v>3</v>
      </c>
      <c r="B810" s="32">
        <f>IF(ISNUMBER(SEARCH('Φόρμα Εισαγωγής'!$B$2,C810)),MAX($B$1:B809)+1,0)</f>
        <v>809</v>
      </c>
      <c r="C810" s="7" t="s">
        <v>873</v>
      </c>
      <c r="D810" s="33">
        <f>IF(ISNUMBER(SEARCH('Φόρμα Εισαγωγής'!$C$2,E810)),MAX($D$1:D809)+1,0)</f>
        <v>809</v>
      </c>
      <c r="E810" s="17" t="s">
        <v>321</v>
      </c>
      <c r="F810" s="5">
        <v>0.45</v>
      </c>
      <c r="G810" s="5">
        <v>0.6</v>
      </c>
      <c r="H810" s="6">
        <f t="shared" si="45"/>
        <v>0.74399999999999999</v>
      </c>
      <c r="I810" s="6">
        <f t="shared" si="46"/>
        <v>1.35</v>
      </c>
      <c r="J810" s="6">
        <f t="shared" si="47"/>
        <v>2.2320000000000002</v>
      </c>
      <c r="L810" s="4" t="str">
        <f>IFERROR(VLOOKUP(ROWS($L$2:L810),$B$2:$C$1996,2,0),"")</f>
        <v>ΤΑΙΝΙΑ ΣΤΕΝΗ ΛΕΥΚΗ WONDER</v>
      </c>
      <c r="N810" s="2" t="str">
        <f>IFERROR(VLOOKUP(ROWS($N$2:N810),$D$2:$E$1996,2,0),"")</f>
        <v>-</v>
      </c>
    </row>
    <row r="811" spans="1:14">
      <c r="A811" s="5">
        <v>11</v>
      </c>
      <c r="B811" s="32">
        <f>IF(ISNUMBER(SEARCH('Φόρμα Εισαγωγής'!$B$2,C811)),MAX($B$1:B810)+1,0)</f>
        <v>810</v>
      </c>
      <c r="C811" s="7" t="s">
        <v>874</v>
      </c>
      <c r="D811" s="33">
        <f>IF(ISNUMBER(SEARCH('Φόρμα Εισαγωγής'!$C$2,E811)),MAX($D$1:D810)+1,0)</f>
        <v>810</v>
      </c>
      <c r="E811" s="17" t="s">
        <v>321</v>
      </c>
      <c r="F811" s="5">
        <v>0.82</v>
      </c>
      <c r="G811" s="5">
        <v>1.2</v>
      </c>
      <c r="H811" s="6">
        <f t="shared" si="45"/>
        <v>1.488</v>
      </c>
      <c r="I811" s="6">
        <f t="shared" si="46"/>
        <v>9.02</v>
      </c>
      <c r="J811" s="6">
        <f t="shared" si="47"/>
        <v>16.367999999999999</v>
      </c>
      <c r="L811" s="4" t="str">
        <f>IFERROR(VLOOKUP(ROWS($L$2:L811),$B$2:$C$1996,2,0),"")</f>
        <v>ΤΑΙΝΙΑ ΦΑΡΔΙΑ ΜΑΥΡΗ WONDER</v>
      </c>
      <c r="N811" s="2" t="str">
        <f>IFERROR(VLOOKUP(ROWS($N$2:N811),$D$2:$E$1996,2,0),"")</f>
        <v>-</v>
      </c>
    </row>
    <row r="812" spans="1:14">
      <c r="A812" s="5">
        <v>0</v>
      </c>
      <c r="B812" s="32">
        <f>IF(ISNUMBER(SEARCH('Φόρμα Εισαγωγής'!$B$2,C812)),MAX($B$1:B811)+1,0)</f>
        <v>811</v>
      </c>
      <c r="C812" s="7" t="s">
        <v>875</v>
      </c>
      <c r="D812" s="33">
        <f>IF(ISNUMBER(SEARCH('Φόρμα Εισαγωγής'!$C$2,E812)),MAX($D$1:D811)+1,0)</f>
        <v>811</v>
      </c>
      <c r="E812" s="17" t="s">
        <v>321</v>
      </c>
      <c r="F812" s="5">
        <v>0.45</v>
      </c>
      <c r="G812" s="5">
        <v>0.6</v>
      </c>
      <c r="H812" s="6">
        <f t="shared" si="45"/>
        <v>0.74399999999999999</v>
      </c>
      <c r="I812" s="6">
        <f t="shared" si="46"/>
        <v>0</v>
      </c>
      <c r="J812" s="6">
        <f t="shared" si="47"/>
        <v>0</v>
      </c>
      <c r="L812" s="4" t="str">
        <f>IFERROR(VLOOKUP(ROWS($L$2:L812),$B$2:$C$1996,2,0),"")</f>
        <v>ΤΑΙΝΙΑ ΣΤΕΝΗ ΜΑΥΡΗ WONDER</v>
      </c>
      <c r="N812" s="2" t="str">
        <f>IFERROR(VLOOKUP(ROWS($N$2:N812),$D$2:$E$1996,2,0),"")</f>
        <v>-</v>
      </c>
    </row>
    <row r="813" spans="1:14">
      <c r="A813" s="5">
        <v>1</v>
      </c>
      <c r="B813" s="32">
        <f>IF(ISNUMBER(SEARCH('Φόρμα Εισαγωγής'!$B$2,C813)),MAX($B$1:B812)+1,0)</f>
        <v>812</v>
      </c>
      <c r="C813" s="7" t="s">
        <v>546</v>
      </c>
      <c r="D813" s="33">
        <f>IF(ISNUMBER(SEARCH('Φόρμα Εισαγωγής'!$C$2,E813)),MAX($D$1:D812)+1,0)</f>
        <v>812</v>
      </c>
      <c r="E813" s="17" t="s">
        <v>547</v>
      </c>
      <c r="F813" s="5">
        <v>1.65</v>
      </c>
      <c r="G813" s="5">
        <v>2.2999999999999998</v>
      </c>
      <c r="H813" s="6">
        <f t="shared" si="45"/>
        <v>2.8519999999999999</v>
      </c>
      <c r="I813" s="6">
        <f t="shared" si="46"/>
        <v>1.65</v>
      </c>
      <c r="J813" s="6">
        <f t="shared" si="47"/>
        <v>2.8519999999999999</v>
      </c>
      <c r="L813" s="4" t="str">
        <f>IFERROR(VLOOKUP(ROWS($L$2:L813),$B$2:$C$1996,2,0),"")</f>
        <v xml:space="preserve">ΚΟΛΛΑ SOLI </v>
      </c>
      <c r="N813" s="2" t="str">
        <f>IFERROR(VLOOKUP(ROWS($N$2:N813),$D$2:$E$1996,2,0),"")</f>
        <v>125CC</v>
      </c>
    </row>
    <row r="814" spans="1:14">
      <c r="A814" s="5">
        <v>2</v>
      </c>
      <c r="B814" s="32">
        <f>IF(ISNUMBER(SEARCH('Φόρμα Εισαγωγής'!$B$2,C814)),MAX($B$1:B813)+1,0)</f>
        <v>813</v>
      </c>
      <c r="C814" s="7" t="s">
        <v>851</v>
      </c>
      <c r="D814" s="33">
        <f>IF(ISNUMBER(SEARCH('Φόρμα Εισαγωγής'!$C$2,E814)),MAX($D$1:D813)+1,0)</f>
        <v>813</v>
      </c>
      <c r="E814" s="17" t="s">
        <v>34</v>
      </c>
      <c r="F814" s="5">
        <v>4.7</v>
      </c>
      <c r="G814" s="5">
        <v>6.55</v>
      </c>
      <c r="H814" s="6">
        <f t="shared" si="45"/>
        <v>8.1219999999999999</v>
      </c>
      <c r="I814" s="6">
        <f t="shared" si="46"/>
        <v>9.4</v>
      </c>
      <c r="J814" s="6">
        <f t="shared" si="47"/>
        <v>16.244</v>
      </c>
      <c r="L814" s="4" t="str">
        <f>IFERROR(VLOOKUP(ROWS($L$2:L814),$B$2:$C$1996,2,0),"")</f>
        <v>ΣΥΛΛΕΚΤΗΣ ΟΡ 2 ΠΑΡΟΧΩΝ</v>
      </c>
      <c r="N814" s="2" t="str">
        <f>IFERROR(VLOOKUP(ROWS($N$2:N814),$D$2:$E$1996,2,0),"")</f>
        <v>1''</v>
      </c>
    </row>
    <row r="815" spans="1:14">
      <c r="A815" s="5">
        <v>2</v>
      </c>
      <c r="B815" s="32">
        <f>IF(ISNUMBER(SEARCH('Φόρμα Εισαγωγής'!$B$2,C815)),MAX($B$1:B814)+1,0)</f>
        <v>814</v>
      </c>
      <c r="C815" s="7" t="s">
        <v>852</v>
      </c>
      <c r="D815" s="33">
        <f>IF(ISNUMBER(SEARCH('Φόρμα Εισαγωγής'!$C$2,E815)),MAX($D$1:D814)+1,0)</f>
        <v>814</v>
      </c>
      <c r="E815" s="17" t="s">
        <v>34</v>
      </c>
      <c r="F815" s="5">
        <v>7</v>
      </c>
      <c r="G815" s="5">
        <v>9.8000000000000007</v>
      </c>
      <c r="H815" s="6">
        <f t="shared" si="45"/>
        <v>12.152000000000001</v>
      </c>
      <c r="I815" s="6">
        <f t="shared" si="46"/>
        <v>14</v>
      </c>
      <c r="J815" s="6">
        <f t="shared" si="47"/>
        <v>24.304000000000002</v>
      </c>
      <c r="L815" s="4" t="str">
        <f>IFERROR(VLOOKUP(ROWS($L$2:L815),$B$2:$C$1996,2,0),"")</f>
        <v>ΣΥΛΛΕΚΤΗΣ ΟΡ 3 ΠΑΡΟΧΩΝ</v>
      </c>
      <c r="N815" s="2" t="str">
        <f>IFERROR(VLOOKUP(ROWS($N$2:N815),$D$2:$E$1996,2,0),"")</f>
        <v>1''</v>
      </c>
    </row>
    <row r="816" spans="1:14">
      <c r="A816" s="5">
        <v>5</v>
      </c>
      <c r="B816" s="32">
        <f>IF(ISNUMBER(SEARCH('Φόρμα Εισαγωγής'!$B$2,C816)),MAX($B$1:B815)+1,0)</f>
        <v>815</v>
      </c>
      <c r="C816" s="7" t="s">
        <v>853</v>
      </c>
      <c r="D816" s="33">
        <f>IF(ISNUMBER(SEARCH('Φόρμα Εισαγωγής'!$C$2,E816)),MAX($D$1:D815)+1,0)</f>
        <v>815</v>
      </c>
      <c r="E816" s="17" t="s">
        <v>34</v>
      </c>
      <c r="F816" s="5">
        <v>9.35</v>
      </c>
      <c r="G816" s="5">
        <v>13.1</v>
      </c>
      <c r="H816" s="6">
        <f t="shared" si="45"/>
        <v>16.244</v>
      </c>
      <c r="I816" s="6">
        <f t="shared" si="46"/>
        <v>46.75</v>
      </c>
      <c r="J816" s="6">
        <f t="shared" si="47"/>
        <v>81.22</v>
      </c>
      <c r="L816" s="4" t="str">
        <f>IFERROR(VLOOKUP(ROWS($L$2:L816),$B$2:$C$1996,2,0),"")</f>
        <v>ΣΥΛΛΕΚΤΗΣ ΟΡ 4 ΠΑΡΟΧΩΝ</v>
      </c>
      <c r="N816" s="2" t="str">
        <f>IFERROR(VLOOKUP(ROWS($N$2:N816),$D$2:$E$1996,2,0),"")</f>
        <v>1''</v>
      </c>
    </row>
    <row r="817" spans="1:14">
      <c r="A817" s="5">
        <v>6</v>
      </c>
      <c r="B817" s="32">
        <f>IF(ISNUMBER(SEARCH('Φόρμα Εισαγωγής'!$B$2,C817)),MAX($B$1:B816)+1,0)</f>
        <v>816</v>
      </c>
      <c r="C817" s="7" t="s">
        <v>854</v>
      </c>
      <c r="D817" s="33">
        <f>IF(ISNUMBER(SEARCH('Φόρμα Εισαγωγής'!$C$2,E817)),MAX($D$1:D816)+1,0)</f>
        <v>816</v>
      </c>
      <c r="E817" s="17" t="s">
        <v>34</v>
      </c>
      <c r="F817" s="5">
        <v>12</v>
      </c>
      <c r="G817" s="5">
        <v>17</v>
      </c>
      <c r="H817" s="6">
        <f t="shared" si="45"/>
        <v>21.08</v>
      </c>
      <c r="I817" s="6">
        <f t="shared" si="46"/>
        <v>72</v>
      </c>
      <c r="J817" s="6">
        <f t="shared" si="47"/>
        <v>126.47999999999999</v>
      </c>
      <c r="L817" s="4" t="str">
        <f>IFERROR(VLOOKUP(ROWS($L$2:L817),$B$2:$C$1996,2,0),"")</f>
        <v>ΣΥΛΛΕΚΤΗΣ ΟΠ 5 ΠΑΡΟΧΩΝ</v>
      </c>
      <c r="N817" s="2" t="str">
        <f>IFERROR(VLOOKUP(ROWS($N$2:N817),$D$2:$E$1996,2,0),"")</f>
        <v>1''</v>
      </c>
    </row>
    <row r="818" spans="1:14">
      <c r="A818" s="5">
        <v>10</v>
      </c>
      <c r="B818" s="32">
        <f>IF(ISNUMBER(SEARCH('Φόρμα Εισαγωγής'!$B$2,C818)),MAX($B$1:B817)+1,0)</f>
        <v>817</v>
      </c>
      <c r="C818" s="7" t="s">
        <v>855</v>
      </c>
      <c r="D818" s="33">
        <f>IF(ISNUMBER(SEARCH('Φόρμα Εισαγωγής'!$C$2,E818)),MAX($D$1:D817)+1,0)</f>
        <v>817</v>
      </c>
      <c r="E818" s="17" t="s">
        <v>846</v>
      </c>
      <c r="F818" s="5">
        <v>2.2000000000000002</v>
      </c>
      <c r="G818" s="5">
        <v>3.2</v>
      </c>
      <c r="H818" s="6">
        <f t="shared" si="45"/>
        <v>3.968</v>
      </c>
      <c r="I818" s="6">
        <f t="shared" si="46"/>
        <v>22</v>
      </c>
      <c r="J818" s="6">
        <f t="shared" si="47"/>
        <v>39.68</v>
      </c>
      <c r="L818" s="4" t="str">
        <f>IFERROR(VLOOKUP(ROWS($L$2:L818),$B$2:$C$1996,2,0),"")</f>
        <v>ΤΑΦ ΟΡ ΣΥΛΛΕΚΤΗ</v>
      </c>
      <c r="N818" s="2" t="str">
        <f>IFERROR(VLOOKUP(ROWS($N$2:N818),$D$2:$E$1996,2,0),"")</f>
        <v>1/2 X 1'' X 1/2</v>
      </c>
    </row>
    <row r="819" spans="1:14">
      <c r="A819" s="5">
        <v>5</v>
      </c>
      <c r="B819" s="32">
        <f>IF(ISNUMBER(SEARCH('Φόρμα Εισαγωγής'!$B$2,C819)),MAX($B$1:B818)+1,0)</f>
        <v>818</v>
      </c>
      <c r="C819" s="7" t="s">
        <v>856</v>
      </c>
      <c r="D819" s="33">
        <f>IF(ISNUMBER(SEARCH('Φόρμα Εισαγωγής'!$C$2,E819)),MAX($D$1:D818)+1,0)</f>
        <v>818</v>
      </c>
      <c r="E819" s="17" t="s">
        <v>32</v>
      </c>
      <c r="F819" s="5">
        <v>3.25</v>
      </c>
      <c r="G819" s="5">
        <v>4.55</v>
      </c>
      <c r="H819" s="6">
        <f t="shared" si="45"/>
        <v>5.6419999999999995</v>
      </c>
      <c r="I819" s="6">
        <f t="shared" si="46"/>
        <v>16.25</v>
      </c>
      <c r="J819" s="6">
        <f t="shared" si="47"/>
        <v>28.209999999999997</v>
      </c>
      <c r="L819" s="4" t="str">
        <f>IFERROR(VLOOKUP(ROWS($L$2:L819),$B$2:$C$1996,2,0),"")</f>
        <v>ΦΙΛΤΡΟ ΟΡ ΛΟΞΟ GIACOMINI</v>
      </c>
      <c r="N819" s="2" t="str">
        <f>IFERROR(VLOOKUP(ROWS($N$2:N819),$D$2:$E$1996,2,0),"")</f>
        <v>1/2</v>
      </c>
    </row>
    <row r="820" spans="1:14">
      <c r="A820" s="5">
        <v>5</v>
      </c>
      <c r="B820" s="32">
        <f>IF(ISNUMBER(SEARCH('Φόρμα Εισαγωγής'!$B$2,C820)),MAX($B$1:B819)+1,0)</f>
        <v>819</v>
      </c>
      <c r="C820" s="7" t="s">
        <v>857</v>
      </c>
      <c r="D820" s="33">
        <f>IF(ISNUMBER(SEARCH('Φόρμα Εισαγωγής'!$C$2,E820)),MAX($D$1:D819)+1,0)</f>
        <v>819</v>
      </c>
      <c r="E820" s="17" t="s">
        <v>34</v>
      </c>
      <c r="F820" s="5">
        <v>7</v>
      </c>
      <c r="G820" s="5">
        <v>10</v>
      </c>
      <c r="H820" s="6">
        <f t="shared" si="45"/>
        <v>12.4</v>
      </c>
      <c r="I820" s="6">
        <f t="shared" si="46"/>
        <v>35</v>
      </c>
      <c r="J820" s="6">
        <f t="shared" si="47"/>
        <v>62</v>
      </c>
      <c r="L820" s="4" t="str">
        <f>IFERROR(VLOOKUP(ROWS($L$2:L820),$B$2:$C$1996,2,0),"")</f>
        <v>ΒΑΛΒΙΔΑ ΑΝΤ YORK</v>
      </c>
      <c r="N820" s="2" t="str">
        <f>IFERROR(VLOOKUP(ROWS($N$2:N820),$D$2:$E$1996,2,0),"")</f>
        <v>1''</v>
      </c>
    </row>
    <row r="821" spans="1:14">
      <c r="A821" s="5">
        <v>0</v>
      </c>
      <c r="B821" s="32">
        <f>IF(ISNUMBER(SEARCH('Φόρμα Εισαγωγής'!$B$2,C821)),MAX($B$1:B820)+1,0)</f>
        <v>820</v>
      </c>
      <c r="C821" s="7" t="s">
        <v>858</v>
      </c>
      <c r="D821" s="33">
        <f>IF(ISNUMBER(SEARCH('Φόρμα Εισαγωγής'!$C$2,E821)),MAX($D$1:D820)+1,0)</f>
        <v>820</v>
      </c>
      <c r="E821" s="17" t="s">
        <v>1022</v>
      </c>
      <c r="F821" s="5">
        <v>9.1</v>
      </c>
      <c r="G821" s="5">
        <v>12.75</v>
      </c>
      <c r="H821" s="6">
        <f t="shared" si="45"/>
        <v>15.81</v>
      </c>
      <c r="I821" s="6">
        <f t="shared" si="46"/>
        <v>0</v>
      </c>
      <c r="J821" s="6">
        <f t="shared" si="47"/>
        <v>0</v>
      </c>
      <c r="L821" s="4" t="str">
        <f>IFERROR(VLOOKUP(ROWS($L$2:L821),$B$2:$C$1996,2,0),"")</f>
        <v xml:space="preserve">ΑΝΤΙΣΤΑΣΗ ΘΕΡΜ 4000W </v>
      </c>
      <c r="N821" s="2" t="str">
        <f>IFERROR(VLOOKUP(ROWS($N$2:N821),$D$2:$E$1996,2,0),"")</f>
        <v>5 ΤΡΥΠΕΣ Φ140</v>
      </c>
    </row>
    <row r="822" spans="1:14">
      <c r="A822" s="5">
        <v>2</v>
      </c>
      <c r="B822" s="32">
        <f>IF(ISNUMBER(SEARCH('Φόρμα Εισαγωγής'!$B$2,C822)),MAX($B$1:B821)+1,0)</f>
        <v>821</v>
      </c>
      <c r="C822" s="7" t="s">
        <v>859</v>
      </c>
      <c r="D822" s="33">
        <f>IF(ISNUMBER(SEARCH('Φόρμα Εισαγωγής'!$C$2,E822)),MAX($D$1:D821)+1,0)</f>
        <v>821</v>
      </c>
      <c r="E822" s="17" t="s">
        <v>848</v>
      </c>
      <c r="F822" s="5">
        <v>7.5</v>
      </c>
      <c r="G822" s="5">
        <v>10.5</v>
      </c>
      <c r="H822" s="6">
        <f t="shared" si="45"/>
        <v>13.02</v>
      </c>
      <c r="I822" s="6">
        <f t="shared" si="46"/>
        <v>15</v>
      </c>
      <c r="J822" s="6">
        <f t="shared" si="47"/>
        <v>26.04</v>
      </c>
      <c r="L822" s="4" t="str">
        <f>IFERROR(VLOOKUP(ROWS($L$2:L822),$B$2:$C$1996,2,0),"")</f>
        <v>ΑΝΤΙΣΤΑΣΗ ΘΕΡΜ 4000W</v>
      </c>
      <c r="N822" s="2" t="str">
        <f>IFERROR(VLOOKUP(ROWS($N$2:N822),$D$2:$E$1996,2,0),"")</f>
        <v>8 ΤΡΥΠΕΣ Φ120</v>
      </c>
    </row>
    <row r="823" spans="1:14">
      <c r="A823" s="5">
        <v>1</v>
      </c>
      <c r="B823" s="32">
        <f>IF(ISNUMBER(SEARCH('Φόρμα Εισαγωγής'!$B$2,C823)),MAX($B$1:B822)+1,0)</f>
        <v>822</v>
      </c>
      <c r="C823" s="7" t="s">
        <v>859</v>
      </c>
      <c r="D823" s="33">
        <f>IF(ISNUMBER(SEARCH('Φόρμα Εισαγωγής'!$C$2,E823)),MAX($D$1:D822)+1,0)</f>
        <v>822</v>
      </c>
      <c r="E823" s="17" t="s">
        <v>849</v>
      </c>
      <c r="F823" s="5">
        <v>7.9</v>
      </c>
      <c r="G823" s="5">
        <v>11</v>
      </c>
      <c r="H823" s="6">
        <f t="shared" si="45"/>
        <v>13.64</v>
      </c>
      <c r="I823" s="6">
        <f t="shared" si="46"/>
        <v>7.9</v>
      </c>
      <c r="J823" s="6">
        <f t="shared" si="47"/>
        <v>13.64</v>
      </c>
      <c r="L823" s="4" t="str">
        <f>IFERROR(VLOOKUP(ROWS($L$2:L823),$B$2:$C$1996,2,0),"")</f>
        <v>ΑΝΤΙΣΤΑΣΗ ΘΕΡΜ 4000W</v>
      </c>
      <c r="N823" s="2" t="str">
        <f>IFERROR(VLOOKUP(ROWS($N$2:N823),$D$2:$E$1996,2,0),"")</f>
        <v>ΟΒΑΛ ΜΙΚΡΗ</v>
      </c>
    </row>
    <row r="824" spans="1:14">
      <c r="A824" s="5">
        <v>1</v>
      </c>
      <c r="B824" s="32">
        <f>IF(ISNUMBER(SEARCH('Φόρμα Εισαγωγής'!$B$2,C824)),MAX($B$1:B823)+1,0)</f>
        <v>823</v>
      </c>
      <c r="C824" s="7" t="s">
        <v>859</v>
      </c>
      <c r="D824" s="33">
        <f>IF(ISNUMBER(SEARCH('Φόρμα Εισαγωγής'!$C$2,E824)),MAX($D$1:D823)+1,0)</f>
        <v>823</v>
      </c>
      <c r="E824" s="17" t="s">
        <v>850</v>
      </c>
      <c r="F824" s="5">
        <v>8</v>
      </c>
      <c r="G824" s="5">
        <v>11.5</v>
      </c>
      <c r="H824" s="6">
        <f t="shared" si="45"/>
        <v>14.26</v>
      </c>
      <c r="I824" s="6">
        <f t="shared" si="46"/>
        <v>8</v>
      </c>
      <c r="J824" s="6">
        <f t="shared" si="47"/>
        <v>14.26</v>
      </c>
      <c r="L824" s="4" t="str">
        <f>IFERROR(VLOOKUP(ROWS($L$2:L824),$B$2:$C$1996,2,0),"")</f>
        <v>ΑΝΤΙΣΤΑΣΗ ΘΕΡΜ 4000W</v>
      </c>
      <c r="N824" s="2" t="str">
        <f>IFERROR(VLOOKUP(ROWS($N$2:N824),$D$2:$E$1996,2,0),"")</f>
        <v>ΟΒΑΛ ΜΕΓΑΛΗ</v>
      </c>
    </row>
    <row r="825" spans="1:14">
      <c r="A825" s="5">
        <v>3</v>
      </c>
      <c r="B825" s="32">
        <f>IF(ISNUMBER(SEARCH('Φόρμα Εισαγωγής'!$B$2,C825)),MAX($B$1:B824)+1,0)</f>
        <v>824</v>
      </c>
      <c r="C825" s="7" t="s">
        <v>860</v>
      </c>
      <c r="D825" s="33">
        <f>IF(ISNUMBER(SEARCH('Φόρμα Εισαγωγής'!$C$2,E825)),MAX($D$1:D824)+1,0)</f>
        <v>824</v>
      </c>
      <c r="E825" s="17" t="s">
        <v>862</v>
      </c>
      <c r="F825" s="5">
        <v>5.4</v>
      </c>
      <c r="G825" s="5">
        <v>7.6</v>
      </c>
      <c r="H825" s="6">
        <f t="shared" si="45"/>
        <v>9.4239999999999995</v>
      </c>
      <c r="I825" s="6">
        <f t="shared" si="46"/>
        <v>16.200000000000003</v>
      </c>
      <c r="J825" s="6">
        <f t="shared" si="47"/>
        <v>28.271999999999998</v>
      </c>
      <c r="L825" s="4" t="str">
        <f>IFERROR(VLOOKUP(ROWS($L$2:L825),$B$2:$C$1996,2,0),"")</f>
        <v>ΘΕΡΜΟΣΤΑΤΗΣ ΘΕΡΜ</v>
      </c>
      <c r="N825" s="2" t="str">
        <f>IFERROR(VLOOKUP(ROWS($N$2:N825),$D$2:$E$1996,2,0),"")</f>
        <v>4 ΕΠΑΦΩΝ</v>
      </c>
    </row>
    <row r="826" spans="1:14">
      <c r="A826" s="5">
        <v>2</v>
      </c>
      <c r="B826" s="32">
        <f>IF(ISNUMBER(SEARCH('Φόρμα Εισαγωγής'!$B$2,C826)),MAX($B$1:B825)+1,0)</f>
        <v>825</v>
      </c>
      <c r="C826" s="7" t="s">
        <v>868</v>
      </c>
      <c r="D826" s="33">
        <f>IF(ISNUMBER(SEARCH('Φόρμα Εισαγωγής'!$C$2,E826)),MAX($D$1:D825)+1,0)</f>
        <v>825</v>
      </c>
      <c r="E826" s="17" t="s">
        <v>321</v>
      </c>
      <c r="F826" s="5">
        <v>12</v>
      </c>
      <c r="G826" s="5">
        <v>17</v>
      </c>
      <c r="H826" s="6">
        <f t="shared" si="45"/>
        <v>21.08</v>
      </c>
      <c r="I826" s="6">
        <f t="shared" si="46"/>
        <v>24</v>
      </c>
      <c r="J826" s="6">
        <f t="shared" si="47"/>
        <v>42.16</v>
      </c>
      <c r="L826" s="4" t="str">
        <f>IFERROR(VLOOKUP(ROWS($L$2:L826),$B$2:$C$1996,2,0),"")</f>
        <v>ΒΑΣΗ ΣΩΜΑΤΟΣ ΔΑΠΕΔΟΥ WEMEFA</v>
      </c>
      <c r="N826" s="2" t="str">
        <f>IFERROR(VLOOKUP(ROWS($N$2:N826),$D$2:$E$1996,2,0),"")</f>
        <v>-</v>
      </c>
    </row>
    <row r="827" spans="1:14">
      <c r="A827" s="5">
        <v>9</v>
      </c>
      <c r="B827" s="32">
        <f>IF(ISNUMBER(SEARCH('Φόρμα Εισαγωγής'!$B$2,C827)),MAX($B$1:B826)+1,0)</f>
        <v>826</v>
      </c>
      <c r="C827" s="7" t="s">
        <v>863</v>
      </c>
      <c r="D827" s="33">
        <f>IF(ISNUMBER(SEARCH('Φόρμα Εισαγωγής'!$C$2,E827)),MAX($D$1:D826)+1,0)</f>
        <v>826</v>
      </c>
      <c r="E827" s="17" t="s">
        <v>32</v>
      </c>
      <c r="F827" s="5">
        <v>2.7</v>
      </c>
      <c r="G827" s="5">
        <v>3.8</v>
      </c>
      <c r="H827" s="6">
        <f t="shared" si="45"/>
        <v>4.7119999999999997</v>
      </c>
      <c r="I827" s="6">
        <f t="shared" si="46"/>
        <v>24.3</v>
      </c>
      <c r="J827" s="6">
        <f t="shared" si="47"/>
        <v>42.408000000000001</v>
      </c>
      <c r="L827" s="4" t="str">
        <f>IFERROR(VLOOKUP(ROWS($L$2:L827),$B$2:$C$1996,2,0),"")</f>
        <v>ΒΑΛΒΙΔΑ ΘΕΡΜ ΑΝΤ 12-14</v>
      </c>
      <c r="N827" s="2" t="str">
        <f>IFERROR(VLOOKUP(ROWS($N$2:N827),$D$2:$E$1996,2,0),"")</f>
        <v>1/2</v>
      </c>
    </row>
    <row r="828" spans="1:14">
      <c r="A828" s="5">
        <v>3</v>
      </c>
      <c r="B828" s="32">
        <f>IF(ISNUMBER(SEARCH('Φόρμα Εισαγωγής'!$B$2,C828)),MAX($B$1:B827)+1,0)</f>
        <v>827</v>
      </c>
      <c r="C828" s="7" t="s">
        <v>861</v>
      </c>
      <c r="D828" s="33">
        <f>IF(ISNUMBER(SEARCH('Φόρμα Εισαγωγής'!$C$2,E828)),MAX($D$1:D827)+1,0)</f>
        <v>827</v>
      </c>
      <c r="E828" s="17" t="s">
        <v>33</v>
      </c>
      <c r="F828" s="5">
        <v>5.2</v>
      </c>
      <c r="G828" s="5">
        <v>6.3</v>
      </c>
      <c r="H828" s="6">
        <f t="shared" si="45"/>
        <v>7.8119999999999994</v>
      </c>
      <c r="I828" s="6">
        <f t="shared" si="46"/>
        <v>15.600000000000001</v>
      </c>
      <c r="J828" s="6">
        <f t="shared" si="47"/>
        <v>23.436</v>
      </c>
      <c r="L828" s="4" t="str">
        <f>IFERROR(VLOOKUP(ROWS($L$2:L828),$B$2:$C$1996,2,0),"")</f>
        <v>ΒΑΛΒΙΔΑ ΑΝΤ ΟΡ</v>
      </c>
      <c r="N828" s="2" t="str">
        <f>IFERROR(VLOOKUP(ROWS($N$2:N828),$D$2:$E$1996,2,0),"")</f>
        <v>3/4</v>
      </c>
    </row>
    <row r="829" spans="1:14">
      <c r="A829" s="5">
        <v>3</v>
      </c>
      <c r="B829" s="32">
        <f>IF(ISNUMBER(SEARCH('Φόρμα Εισαγωγής'!$B$2,C829)),MAX($B$1:B828)+1,0)</f>
        <v>828</v>
      </c>
      <c r="C829" s="7" t="s">
        <v>861</v>
      </c>
      <c r="D829" s="33">
        <f>IF(ISNUMBER(SEARCH('Φόρμα Εισαγωγής'!$C$2,E829)),MAX($D$1:D828)+1,0)</f>
        <v>828</v>
      </c>
      <c r="E829" s="17" t="s">
        <v>32</v>
      </c>
      <c r="F829" s="5">
        <v>3.85</v>
      </c>
      <c r="G829" s="5">
        <v>5.4</v>
      </c>
      <c r="H829" s="6">
        <f t="shared" si="45"/>
        <v>6.6960000000000006</v>
      </c>
      <c r="I829" s="6">
        <f t="shared" si="46"/>
        <v>11.55</v>
      </c>
      <c r="J829" s="6">
        <f t="shared" si="47"/>
        <v>20.088000000000001</v>
      </c>
      <c r="L829" s="4" t="str">
        <f>IFERROR(VLOOKUP(ROWS($L$2:L829),$B$2:$C$1996,2,0),"")</f>
        <v>ΒΑΛΒΙΔΑ ΑΝΤ ΟΡ</v>
      </c>
      <c r="N829" s="2" t="str">
        <f>IFERROR(VLOOKUP(ROWS($N$2:N829),$D$2:$E$1996,2,0),"")</f>
        <v>1/2</v>
      </c>
    </row>
    <row r="830" spans="1:14">
      <c r="A830" s="5">
        <v>12</v>
      </c>
      <c r="B830" s="32">
        <f>IF(ISNUMBER(SEARCH('Φόρμα Εισαγωγής'!$B$2,C830)),MAX($B$1:B829)+1,0)</f>
        <v>829</v>
      </c>
      <c r="C830" s="7" t="s">
        <v>864</v>
      </c>
      <c r="D830" s="33">
        <f>IF(ISNUMBER(SEARCH('Φόρμα Εισαγωγής'!$C$2,E830)),MAX($D$1:D829)+1,0)</f>
        <v>829</v>
      </c>
      <c r="E830" s="17" t="s">
        <v>959</v>
      </c>
      <c r="F830" s="5">
        <v>2.5</v>
      </c>
      <c r="G830" s="5">
        <v>3.5</v>
      </c>
      <c r="H830" s="6">
        <f t="shared" si="45"/>
        <v>4.34</v>
      </c>
      <c r="I830" s="6">
        <f t="shared" si="46"/>
        <v>30</v>
      </c>
      <c r="J830" s="6">
        <f t="shared" si="47"/>
        <v>52.08</v>
      </c>
      <c r="L830" s="4" t="str">
        <f>IFERROR(VLOOKUP(ROWS($L$2:L830),$B$2:$C$1996,2,0),"")</f>
        <v>ΒΑΛΒΙΔΑ ΗΛΙΑΚΟΥ Β.Τ.</v>
      </c>
      <c r="N830" s="2" t="str">
        <f>IFERROR(VLOOKUP(ROWS($N$2:N830),$D$2:$E$1996,2,0),"")</f>
        <v>ΘΥΛ 1/2</v>
      </c>
    </row>
    <row r="831" spans="1:14">
      <c r="A831" s="5">
        <v>2</v>
      </c>
      <c r="B831" s="32">
        <f>IF(ISNUMBER(SEARCH('Φόρμα Εισαγωγής'!$B$2,C831)),MAX($B$1:B830)+1,0)</f>
        <v>830</v>
      </c>
      <c r="C831" s="7" t="s">
        <v>548</v>
      </c>
      <c r="D831" s="33">
        <f>IF(ISNUMBER(SEARCH('Φόρμα Εισαγωγής'!$C$2,E831)),MAX($D$1:D830)+1,0)</f>
        <v>830</v>
      </c>
      <c r="E831" s="17" t="s">
        <v>321</v>
      </c>
      <c r="F831" s="5">
        <v>3.65</v>
      </c>
      <c r="G831" s="5">
        <v>5</v>
      </c>
      <c r="H831" s="6">
        <f t="shared" si="45"/>
        <v>6.2</v>
      </c>
      <c r="I831" s="6">
        <f t="shared" si="46"/>
        <v>7.3</v>
      </c>
      <c r="J831" s="6">
        <f t="shared" si="47"/>
        <v>12.4</v>
      </c>
      <c r="L831" s="4" t="str">
        <f>IFERROR(VLOOKUP(ROWS($L$2:L831),$B$2:$C$1996,2,0),"")</f>
        <v>ΒΑΣΗ ΣΥΛΛΕΚΤΗ</v>
      </c>
      <c r="N831" s="2" t="str">
        <f>IFERROR(VLOOKUP(ROWS($N$2:N831),$D$2:$E$1996,2,0),"")</f>
        <v>-</v>
      </c>
    </row>
    <row r="832" spans="1:14">
      <c r="A832" s="5">
        <v>15</v>
      </c>
      <c r="B832" s="32">
        <f>IF(ISNUMBER(SEARCH('Φόρμα Εισαγωγής'!$B$2,C832)),MAX($B$1:B831)+1,0)</f>
        <v>831</v>
      </c>
      <c r="C832" s="7" t="s">
        <v>865</v>
      </c>
      <c r="D832" s="33">
        <f>IF(ISNUMBER(SEARCH('Φόρμα Εισαγωγής'!$C$2,E832)),MAX($D$1:D831)+1,0)</f>
        <v>831</v>
      </c>
      <c r="E832" s="17" t="s">
        <v>549</v>
      </c>
      <c r="F832" s="5">
        <v>5</v>
      </c>
      <c r="G832" s="5">
        <v>7</v>
      </c>
      <c r="H832" s="6">
        <f t="shared" ref="H832:H895" si="48">G832+(G832*0.24)</f>
        <v>8.68</v>
      </c>
      <c r="I832" s="6">
        <f t="shared" ref="I832:I895" si="49">F832*A832</f>
        <v>75</v>
      </c>
      <c r="J832" s="6">
        <f t="shared" ref="J832:J895" si="50">H832*A832</f>
        <v>130.19999999999999</v>
      </c>
      <c r="L832" s="4" t="str">
        <f>IFERROR(VLOOKUP(ROWS($L$2:L832),$B$2:$C$1996,2,0),"")</f>
        <v>ΒΑΛΒΙΔΑ ΝΕΡΟΧΥΤΗ BONOMINI</v>
      </c>
      <c r="N832" s="2" t="str">
        <f>IFERROR(VLOOKUP(ROWS($N$2:N832),$D$2:$E$1996,2,0),"")</f>
        <v>Φ90 Χ 1 1/2''</v>
      </c>
    </row>
    <row r="833" spans="1:14">
      <c r="A833" s="5">
        <v>9</v>
      </c>
      <c r="B833" s="32">
        <f>IF(ISNUMBER(SEARCH('Φόρμα Εισαγωγής'!$B$2,C833)),MAX($B$1:B832)+1,0)</f>
        <v>832</v>
      </c>
      <c r="C833" s="7" t="s">
        <v>866</v>
      </c>
      <c r="D833" s="33">
        <f>IF(ISNUMBER(SEARCH('Φόρμα Εισαγωγής'!$C$2,E833)),MAX($D$1:D832)+1,0)</f>
        <v>832</v>
      </c>
      <c r="E833" s="17" t="s">
        <v>321</v>
      </c>
      <c r="F833" s="5">
        <v>2</v>
      </c>
      <c r="G833" s="5">
        <v>2.8</v>
      </c>
      <c r="H833" s="6">
        <f t="shared" si="48"/>
        <v>3.4719999999999995</v>
      </c>
      <c r="I833" s="6">
        <f t="shared" si="49"/>
        <v>18</v>
      </c>
      <c r="J833" s="6">
        <f t="shared" si="50"/>
        <v>31.247999999999998</v>
      </c>
      <c r="L833" s="4" t="str">
        <f>IFERROR(VLOOKUP(ROWS($L$2:L833),$B$2:$C$1996,2,0),"")</f>
        <v>ΒΑΛΒΙΔΑ ΝΙΠΤΗΡΑ ΜΕΤΑΛΛΙΚΗ</v>
      </c>
      <c r="N833" s="2" t="str">
        <f>IFERROR(VLOOKUP(ROWS($N$2:N833),$D$2:$E$1996,2,0),"")</f>
        <v>-</v>
      </c>
    </row>
    <row r="834" spans="1:14" ht="30">
      <c r="A834" s="5">
        <v>1</v>
      </c>
      <c r="B834" s="32">
        <f>IF(ISNUMBER(SEARCH('Φόρμα Εισαγωγής'!$B$2,C834)),MAX($B$1:B833)+1,0)</f>
        <v>833</v>
      </c>
      <c r="C834" s="7" t="s">
        <v>550</v>
      </c>
      <c r="D834" s="33">
        <f>IF(ISNUMBER(SEARCH('Φόρμα Εισαγωγής'!$C$2,E834)),MAX($D$1:D833)+1,0)</f>
        <v>833</v>
      </c>
      <c r="E834" s="17" t="s">
        <v>551</v>
      </c>
      <c r="F834" s="5">
        <v>24</v>
      </c>
      <c r="G834" s="5">
        <v>33.6</v>
      </c>
      <c r="H834" s="6">
        <f t="shared" si="48"/>
        <v>41.664000000000001</v>
      </c>
      <c r="I834" s="6">
        <f t="shared" si="49"/>
        <v>24</v>
      </c>
      <c r="J834" s="6">
        <f t="shared" si="50"/>
        <v>41.664000000000001</v>
      </c>
      <c r="L834" s="4" t="str">
        <f>IFERROR(VLOOKUP(ROWS($L$2:L834),$B$2:$C$1996,2,0),"")</f>
        <v>ΗΛΕΚΤΡΟΝΙΚΟΣ ΕΛΕΓΚΤΗΣ ΑΝΤΛΙΑΣ NAKAYAMA 1100W</v>
      </c>
      <c r="N834" s="2" t="str">
        <f>IFERROR(VLOOKUP(ROWS($N$2:N834),$D$2:$E$1996,2,0),"")</f>
        <v>2BAR</v>
      </c>
    </row>
    <row r="835" spans="1:14">
      <c r="A835" s="5">
        <v>1</v>
      </c>
      <c r="B835" s="32">
        <f>IF(ISNUMBER(SEARCH('Φόρμα Εισαγωγής'!$B$2,C835)),MAX($B$1:B834)+1,0)</f>
        <v>834</v>
      </c>
      <c r="C835" s="7" t="s">
        <v>867</v>
      </c>
      <c r="D835" s="33">
        <f>IF(ISNUMBER(SEARCH('Φόρμα Εισαγωγής'!$C$2,E835)),MAX($D$1:D834)+1,0)</f>
        <v>834</v>
      </c>
      <c r="E835" s="17" t="s">
        <v>315</v>
      </c>
      <c r="F835" s="5">
        <v>2.2000000000000002</v>
      </c>
      <c r="G835" s="5">
        <v>3</v>
      </c>
      <c r="H835" s="6">
        <f t="shared" si="48"/>
        <v>3.7199999999999998</v>
      </c>
      <c r="I835" s="6">
        <f t="shared" si="49"/>
        <v>2.2000000000000002</v>
      </c>
      <c r="J835" s="6">
        <f t="shared" si="50"/>
        <v>3.7199999999999998</v>
      </c>
      <c r="L835" s="4" t="str">
        <f>IFERROR(VLOOKUP(ROWS($L$2:L835),$B$2:$C$1996,2,0),"")</f>
        <v>ΤΑΦ 70ο VALSIR</v>
      </c>
      <c r="N835" s="2" t="str">
        <f>IFERROR(VLOOKUP(ROWS($N$2:N835),$D$2:$E$1996,2,0),"")</f>
        <v>Φ110</v>
      </c>
    </row>
    <row r="836" spans="1:14">
      <c r="A836" s="5">
        <v>2</v>
      </c>
      <c r="B836" s="32">
        <f>IF(ISNUMBER(SEARCH('Φόρμα Εισαγωγής'!$B$2,C836)),MAX($B$1:B835)+1,0)</f>
        <v>835</v>
      </c>
      <c r="C836" s="7" t="s">
        <v>552</v>
      </c>
      <c r="D836" s="33">
        <f>IF(ISNUMBER(SEARCH('Φόρμα Εισαγωγής'!$C$2,E836)),MAX($D$1:D835)+1,0)</f>
        <v>835</v>
      </c>
      <c r="E836" s="17" t="s">
        <v>315</v>
      </c>
      <c r="F836" s="5">
        <v>2.15</v>
      </c>
      <c r="G836" s="5">
        <v>3</v>
      </c>
      <c r="H836" s="6">
        <f t="shared" si="48"/>
        <v>3.7199999999999998</v>
      </c>
      <c r="I836" s="6">
        <f t="shared" si="49"/>
        <v>4.3</v>
      </c>
      <c r="J836" s="6">
        <f t="shared" si="50"/>
        <v>7.4399999999999995</v>
      </c>
      <c r="L836" s="4" t="str">
        <f>IFERROR(VLOOKUP(ROWS($L$2:L836),$B$2:$C$1996,2,0),"")</f>
        <v>ΤΑΦ VALSIR</v>
      </c>
      <c r="N836" s="2" t="str">
        <f>IFERROR(VLOOKUP(ROWS($N$2:N836),$D$2:$E$1996,2,0),"")</f>
        <v>Φ110</v>
      </c>
    </row>
    <row r="837" spans="1:14">
      <c r="A837" s="5">
        <v>1</v>
      </c>
      <c r="B837" s="32">
        <f>IF(ISNUMBER(SEARCH('Φόρμα Εισαγωγής'!$B$2,C837)),MAX($B$1:B836)+1,0)</f>
        <v>836</v>
      </c>
      <c r="C837" s="7" t="s">
        <v>553</v>
      </c>
      <c r="D837" s="33">
        <f>IF(ISNUMBER(SEARCH('Φόρμα Εισαγωγής'!$C$2,E837)),MAX($D$1:D836)+1,0)</f>
        <v>836</v>
      </c>
      <c r="E837" s="17" t="s">
        <v>315</v>
      </c>
      <c r="F837" s="5">
        <v>2.5499999999999998</v>
      </c>
      <c r="G837" s="5">
        <v>3.55</v>
      </c>
      <c r="H837" s="6">
        <f t="shared" si="48"/>
        <v>4.4020000000000001</v>
      </c>
      <c r="I837" s="6">
        <f t="shared" si="49"/>
        <v>2.5499999999999998</v>
      </c>
      <c r="J837" s="6">
        <f t="shared" si="50"/>
        <v>4.4020000000000001</v>
      </c>
      <c r="L837" s="4" t="str">
        <f>IFERROR(VLOOKUP(ROWS($L$2:L837),$B$2:$C$1996,2,0),"")</f>
        <v>ΤΑΦ ΚΑΘΑΡΙΣΜΟΥ VALSIR</v>
      </c>
      <c r="N837" s="2" t="str">
        <f>IFERROR(VLOOKUP(ROWS($N$2:N837),$D$2:$E$1996,2,0),"")</f>
        <v>Φ110</v>
      </c>
    </row>
    <row r="838" spans="1:14">
      <c r="A838" s="5">
        <v>3</v>
      </c>
      <c r="B838" s="32">
        <f>IF(ISNUMBER(SEARCH('Φόρμα Εισαγωγής'!$B$2,C838)),MAX($B$1:B837)+1,0)</f>
        <v>837</v>
      </c>
      <c r="C838" s="7" t="s">
        <v>554</v>
      </c>
      <c r="D838" s="33">
        <f>IF(ISNUMBER(SEARCH('Φόρμα Εισαγωγής'!$C$2,E838)),MAX($D$1:D837)+1,0)</f>
        <v>837</v>
      </c>
      <c r="E838" s="17" t="s">
        <v>315</v>
      </c>
      <c r="F838" s="5">
        <v>1.1499999999999999</v>
      </c>
      <c r="G838" s="5">
        <v>1.6</v>
      </c>
      <c r="H838" s="6">
        <f t="shared" si="48"/>
        <v>1.984</v>
      </c>
      <c r="I838" s="6">
        <f t="shared" si="49"/>
        <v>3.4499999999999997</v>
      </c>
      <c r="J838" s="6">
        <f t="shared" si="50"/>
        <v>5.952</v>
      </c>
      <c r="L838" s="4" t="str">
        <f>IFERROR(VLOOKUP(ROWS($L$2:L838),$B$2:$C$1996,2,0),"")</f>
        <v>ΓΩΝΙΑ 87o VALSIR</v>
      </c>
      <c r="N838" s="2" t="str">
        <f>IFERROR(VLOOKUP(ROWS($N$2:N838),$D$2:$E$1996,2,0),"")</f>
        <v>Φ110</v>
      </c>
    </row>
    <row r="839" spans="1:14">
      <c r="A839" s="5">
        <v>2</v>
      </c>
      <c r="B839" s="32">
        <f>IF(ISNUMBER(SEARCH('Φόρμα Εισαγωγής'!$B$2,C839)),MAX($B$1:B838)+1,0)</f>
        <v>838</v>
      </c>
      <c r="C839" s="7" t="s">
        <v>555</v>
      </c>
      <c r="D839" s="33">
        <f>IF(ISNUMBER(SEARCH('Φόρμα Εισαγωγής'!$C$2,E839)),MAX($D$1:D838)+1,0)</f>
        <v>838</v>
      </c>
      <c r="E839" s="17" t="s">
        <v>315</v>
      </c>
      <c r="F839" s="5">
        <v>1.1499999999999999</v>
      </c>
      <c r="G839" s="5">
        <v>1.6</v>
      </c>
      <c r="H839" s="6">
        <f t="shared" si="48"/>
        <v>1.984</v>
      </c>
      <c r="I839" s="6">
        <f t="shared" si="49"/>
        <v>2.2999999999999998</v>
      </c>
      <c r="J839" s="6">
        <f t="shared" si="50"/>
        <v>3.968</v>
      </c>
      <c r="L839" s="4" t="str">
        <f>IFERROR(VLOOKUP(ROWS($L$2:L839),$B$2:$C$1996,2,0),"")</f>
        <v>ΓΩΝΙΑ 67ο VALSIR</v>
      </c>
      <c r="N839" s="2" t="str">
        <f>IFERROR(VLOOKUP(ROWS($N$2:N839),$D$2:$E$1996,2,0),"")</f>
        <v>Φ110</v>
      </c>
    </row>
    <row r="840" spans="1:14">
      <c r="A840" s="5">
        <v>0</v>
      </c>
      <c r="B840" s="32">
        <f>IF(ISNUMBER(SEARCH('Φόρμα Εισαγωγής'!$B$2,C840)),MAX($B$1:B839)+1,0)</f>
        <v>839</v>
      </c>
      <c r="C840" s="7" t="s">
        <v>556</v>
      </c>
      <c r="D840" s="33">
        <f>IF(ISNUMBER(SEARCH('Φόρμα Εισαγωγής'!$C$2,E840)),MAX($D$1:D839)+1,0)</f>
        <v>839</v>
      </c>
      <c r="E840" s="17" t="s">
        <v>315</v>
      </c>
      <c r="F840" s="5">
        <v>1.1499999999999999</v>
      </c>
      <c r="G840" s="5">
        <v>1.6</v>
      </c>
      <c r="H840" s="6">
        <f t="shared" si="48"/>
        <v>1.984</v>
      </c>
      <c r="I840" s="6">
        <f t="shared" si="49"/>
        <v>0</v>
      </c>
      <c r="J840" s="6">
        <f t="shared" si="50"/>
        <v>0</v>
      </c>
      <c r="L840" s="4" t="str">
        <f>IFERROR(VLOOKUP(ROWS($L$2:L840),$B$2:$C$1996,2,0),"")</f>
        <v>ΓΩΝΙΑ 30ο VALSIR</v>
      </c>
      <c r="N840" s="2" t="str">
        <f>IFERROR(VLOOKUP(ROWS($N$2:N840),$D$2:$E$1996,2,0),"")</f>
        <v>Φ110</v>
      </c>
    </row>
    <row r="841" spans="1:14">
      <c r="A841" s="5">
        <v>0</v>
      </c>
      <c r="B841" s="32">
        <f>IF(ISNUMBER(SEARCH('Φόρμα Εισαγωγής'!$B$2,C841)),MAX($B$1:B840)+1,0)</f>
        <v>840</v>
      </c>
      <c r="C841" s="7" t="s">
        <v>557</v>
      </c>
      <c r="D841" s="33">
        <f>IF(ISNUMBER(SEARCH('Φόρμα Εισαγωγής'!$C$2,E841)),MAX($D$1:D840)+1,0)</f>
        <v>840</v>
      </c>
      <c r="E841" s="17" t="s">
        <v>315</v>
      </c>
      <c r="F841" s="5">
        <v>1.1499999999999999</v>
      </c>
      <c r="G841" s="5">
        <v>1.6</v>
      </c>
      <c r="H841" s="6">
        <f t="shared" si="48"/>
        <v>1.984</v>
      </c>
      <c r="I841" s="6">
        <f t="shared" si="49"/>
        <v>0</v>
      </c>
      <c r="J841" s="6">
        <f t="shared" si="50"/>
        <v>0</v>
      </c>
      <c r="L841" s="4" t="str">
        <f>IFERROR(VLOOKUP(ROWS($L$2:L841),$B$2:$C$1996,2,0),"")</f>
        <v>ΓΩΝΙΑ 15ο VALSIR</v>
      </c>
      <c r="N841" s="2" t="str">
        <f>IFERROR(VLOOKUP(ROWS($N$2:N841),$D$2:$E$1996,2,0),"")</f>
        <v>Φ110</v>
      </c>
    </row>
    <row r="842" spans="1:14">
      <c r="A842" s="5">
        <v>3</v>
      </c>
      <c r="B842" s="32">
        <f>IF(ISNUMBER(SEARCH('Φόρμα Εισαγωγής'!$B$2,C842)),MAX($B$1:B841)+1,0)</f>
        <v>841</v>
      </c>
      <c r="C842" s="7" t="s">
        <v>558</v>
      </c>
      <c r="D842" s="33">
        <f>IF(ISNUMBER(SEARCH('Φόρμα Εισαγωγής'!$C$2,E842)),MAX($D$1:D841)+1,0)</f>
        <v>841</v>
      </c>
      <c r="E842" s="17" t="s">
        <v>559</v>
      </c>
      <c r="F842" s="5">
        <v>1.45</v>
      </c>
      <c r="G842" s="5">
        <v>2</v>
      </c>
      <c r="H842" s="6">
        <f t="shared" si="48"/>
        <v>2.48</v>
      </c>
      <c r="I842" s="6">
        <f t="shared" si="49"/>
        <v>4.3499999999999996</v>
      </c>
      <c r="J842" s="6">
        <f t="shared" si="50"/>
        <v>7.4399999999999995</v>
      </c>
      <c r="L842" s="4" t="str">
        <f>IFERROR(VLOOKUP(ROWS($L$2:L842),$B$2:$C$1996,2,0),"")</f>
        <v>ΗΜΙΤΑΦ ΣΥΣΤ. VALSIR</v>
      </c>
      <c r="N842" s="2" t="str">
        <f>IFERROR(VLOOKUP(ROWS($N$2:N842),$D$2:$E$1996,2,0),"")</f>
        <v>Φ110 Χ Φ50</v>
      </c>
    </row>
    <row r="843" spans="1:14">
      <c r="A843" s="5">
        <v>3</v>
      </c>
      <c r="B843" s="32">
        <f>IF(ISNUMBER(SEARCH('Φόρμα Εισαγωγής'!$B$2,C843)),MAX($B$1:B842)+1,0)</f>
        <v>842</v>
      </c>
      <c r="C843" s="7" t="s">
        <v>560</v>
      </c>
      <c r="D843" s="33">
        <f>IF(ISNUMBER(SEARCH('Φόρμα Εισαγωγής'!$C$2,E843)),MAX($D$1:D842)+1,0)</f>
        <v>842</v>
      </c>
      <c r="E843" s="17" t="s">
        <v>559</v>
      </c>
      <c r="F843" s="5">
        <v>1.44</v>
      </c>
      <c r="G843" s="5">
        <v>2</v>
      </c>
      <c r="H843" s="6">
        <f t="shared" si="48"/>
        <v>2.48</v>
      </c>
      <c r="I843" s="6">
        <f t="shared" si="49"/>
        <v>4.32</v>
      </c>
      <c r="J843" s="6">
        <f t="shared" si="50"/>
        <v>7.4399999999999995</v>
      </c>
      <c r="L843" s="4" t="str">
        <f>IFERROR(VLOOKUP(ROWS($L$2:L843),$B$2:$C$1996,2,0),"")</f>
        <v>ΤΑΦ ΣΥΣΤ. VALSIR</v>
      </c>
      <c r="N843" s="2" t="str">
        <f>IFERROR(VLOOKUP(ROWS($N$2:N843),$D$2:$E$1996,2,0),"")</f>
        <v>Φ110 Χ Φ50</v>
      </c>
    </row>
    <row r="844" spans="1:14">
      <c r="A844" s="5">
        <v>1</v>
      </c>
      <c r="B844" s="32">
        <f>IF(ISNUMBER(SEARCH('Φόρμα Εισαγωγής'!$B$2,C844)),MAX($B$1:B843)+1,0)</f>
        <v>843</v>
      </c>
      <c r="C844" s="7" t="s">
        <v>561</v>
      </c>
      <c r="D844" s="33">
        <f>IF(ISNUMBER(SEARCH('Φόρμα Εισαγωγής'!$C$2,E844)),MAX($D$1:D843)+1,0)</f>
        <v>843</v>
      </c>
      <c r="E844" s="17" t="s">
        <v>562</v>
      </c>
      <c r="F844" s="5">
        <v>1.51</v>
      </c>
      <c r="G844" s="5">
        <v>2.2000000000000002</v>
      </c>
      <c r="H844" s="6">
        <f t="shared" si="48"/>
        <v>2.7280000000000002</v>
      </c>
      <c r="I844" s="6">
        <f t="shared" si="49"/>
        <v>1.51</v>
      </c>
      <c r="J844" s="6">
        <f t="shared" si="50"/>
        <v>2.7280000000000002</v>
      </c>
      <c r="L844" s="4" t="str">
        <f>IFERROR(VLOOKUP(ROWS($L$2:L844),$B$2:$C$1996,2,0),"")</f>
        <v>ΗΜΙΤΦ ΣΥΣΤ. VALSIR</v>
      </c>
      <c r="N844" s="2" t="str">
        <f>IFERROR(VLOOKUP(ROWS($N$2:N844),$D$2:$E$1996,2,0),"")</f>
        <v>Φ110 Χ Φ40</v>
      </c>
    </row>
    <row r="845" spans="1:14">
      <c r="A845" s="5">
        <v>2</v>
      </c>
      <c r="B845" s="32">
        <f>IF(ISNUMBER(SEARCH('Φόρμα Εισαγωγής'!$B$2,C845)),MAX($B$1:B844)+1,0)</f>
        <v>844</v>
      </c>
      <c r="C845" s="7" t="s">
        <v>553</v>
      </c>
      <c r="D845" s="33">
        <f>IF(ISNUMBER(SEARCH('Φόρμα Εισαγωγής'!$C$2,E845)),MAX($D$1:D844)+1,0)</f>
        <v>844</v>
      </c>
      <c r="E845" s="17" t="s">
        <v>192</v>
      </c>
      <c r="F845" s="5">
        <v>2.4</v>
      </c>
      <c r="G845" s="5">
        <v>3.4</v>
      </c>
      <c r="H845" s="6">
        <f t="shared" si="48"/>
        <v>4.2160000000000002</v>
      </c>
      <c r="I845" s="6">
        <f t="shared" si="49"/>
        <v>4.8</v>
      </c>
      <c r="J845" s="6">
        <f t="shared" si="50"/>
        <v>8.4320000000000004</v>
      </c>
      <c r="L845" s="4" t="str">
        <f>IFERROR(VLOOKUP(ROWS($L$2:L845),$B$2:$C$1996,2,0),"")</f>
        <v>ΤΑΦ ΚΑΘΑΡΙΣΜΟΥ VALSIR</v>
      </c>
      <c r="N845" s="2" t="str">
        <f>IFERROR(VLOOKUP(ROWS($N$2:N845),$D$2:$E$1996,2,0),"")</f>
        <v>Φ75</v>
      </c>
    </row>
    <row r="846" spans="1:14">
      <c r="A846" s="5">
        <v>0</v>
      </c>
      <c r="B846" s="32">
        <f>IF(ISNUMBER(SEARCH('Φόρμα Εισαγωγής'!$B$2,C846)),MAX($B$1:B845)+1,0)</f>
        <v>845</v>
      </c>
      <c r="C846" s="7" t="s">
        <v>556</v>
      </c>
      <c r="D846" s="33">
        <f>IF(ISNUMBER(SEARCH('Φόρμα Εισαγωγής'!$C$2,E846)),MAX($D$1:D845)+1,0)</f>
        <v>845</v>
      </c>
      <c r="E846" s="17" t="s">
        <v>190</v>
      </c>
      <c r="F846" s="5">
        <v>0.42</v>
      </c>
      <c r="G846" s="5">
        <v>0.6</v>
      </c>
      <c r="H846" s="6">
        <f t="shared" si="48"/>
        <v>0.74399999999999999</v>
      </c>
      <c r="I846" s="6">
        <f t="shared" si="49"/>
        <v>0</v>
      </c>
      <c r="J846" s="6">
        <f t="shared" si="50"/>
        <v>0</v>
      </c>
      <c r="L846" s="4" t="str">
        <f>IFERROR(VLOOKUP(ROWS($L$2:L846),$B$2:$C$1996,2,0),"")</f>
        <v>ΓΩΝΙΑ 30ο VALSIR</v>
      </c>
      <c r="N846" s="2" t="str">
        <f>IFERROR(VLOOKUP(ROWS($N$2:N846),$D$2:$E$1996,2,0),"")</f>
        <v>Φ50</v>
      </c>
    </row>
    <row r="847" spans="1:14">
      <c r="A847" s="5">
        <v>1</v>
      </c>
      <c r="B847" s="32">
        <f>IF(ISNUMBER(SEARCH('Φόρμα Εισαγωγής'!$B$2,C847)),MAX($B$1:B846)+1,0)</f>
        <v>846</v>
      </c>
      <c r="C847" s="7" t="s">
        <v>563</v>
      </c>
      <c r="D847" s="33">
        <f>IF(ISNUMBER(SEARCH('Φόρμα Εισαγωγής'!$C$2,E847)),MAX($D$1:D846)+1,0)</f>
        <v>846</v>
      </c>
      <c r="E847" s="17" t="s">
        <v>190</v>
      </c>
      <c r="F847" s="5">
        <v>0.42</v>
      </c>
      <c r="G847" s="5">
        <v>0.6</v>
      </c>
      <c r="H847" s="6">
        <f t="shared" si="48"/>
        <v>0.74399999999999999</v>
      </c>
      <c r="I847" s="6">
        <f t="shared" si="49"/>
        <v>0.42</v>
      </c>
      <c r="J847" s="6">
        <f t="shared" si="50"/>
        <v>0.74399999999999999</v>
      </c>
      <c r="L847" s="4" t="str">
        <f>IFERROR(VLOOKUP(ROWS($L$2:L847),$B$2:$C$1996,2,0),"")</f>
        <v>ΓΩΝΙΑ 45ο VALSIR</v>
      </c>
      <c r="N847" s="2" t="str">
        <f>IFERROR(VLOOKUP(ROWS($N$2:N847),$D$2:$E$1996,2,0),"")</f>
        <v>Φ50</v>
      </c>
    </row>
    <row r="848" spans="1:14">
      <c r="A848" s="5">
        <v>0</v>
      </c>
      <c r="B848" s="32">
        <f>IF(ISNUMBER(SEARCH('Φόρμα Εισαγωγής'!$B$2,C848)),MAX($B$1:B847)+1,0)</f>
        <v>847</v>
      </c>
      <c r="C848" s="7" t="s">
        <v>564</v>
      </c>
      <c r="D848" s="33">
        <f>IF(ISNUMBER(SEARCH('Φόρμα Εισαγωγής'!$C$2,E848)),MAX($D$1:D847)+1,0)</f>
        <v>847</v>
      </c>
      <c r="E848" s="17" t="s">
        <v>190</v>
      </c>
      <c r="F848" s="5">
        <v>0.42</v>
      </c>
      <c r="G848" s="5">
        <v>0.6</v>
      </c>
      <c r="H848" s="6">
        <f t="shared" si="48"/>
        <v>0.74399999999999999</v>
      </c>
      <c r="I848" s="6">
        <f t="shared" si="49"/>
        <v>0</v>
      </c>
      <c r="J848" s="6">
        <f t="shared" si="50"/>
        <v>0</v>
      </c>
      <c r="L848" s="4" t="str">
        <f>IFERROR(VLOOKUP(ROWS($L$2:L848),$B$2:$C$1996,2,0),"")</f>
        <v>ΓΩΝΙΑ 87ο VALSIR</v>
      </c>
      <c r="N848" s="2" t="str">
        <f>IFERROR(VLOOKUP(ROWS($N$2:N848),$D$2:$E$1996,2,0),"")</f>
        <v>Φ50</v>
      </c>
    </row>
    <row r="849" spans="1:14">
      <c r="A849" s="5">
        <v>5</v>
      </c>
      <c r="B849" s="32">
        <f>IF(ISNUMBER(SEARCH('Φόρμα Εισαγωγής'!$B$2,C849)),MAX($B$1:B848)+1,0)</f>
        <v>848</v>
      </c>
      <c r="C849" s="7" t="s">
        <v>565</v>
      </c>
      <c r="D849" s="33">
        <f>IF(ISNUMBER(SEARCH('Φόρμα Εισαγωγής'!$C$2,E849)),MAX($D$1:D848)+1,0)</f>
        <v>848</v>
      </c>
      <c r="E849" s="17" t="s">
        <v>207</v>
      </c>
      <c r="F849" s="5">
        <v>0.8</v>
      </c>
      <c r="G849" s="5">
        <v>1.2</v>
      </c>
      <c r="H849" s="6">
        <f t="shared" si="48"/>
        <v>1.488</v>
      </c>
      <c r="I849" s="6">
        <f t="shared" si="49"/>
        <v>4</v>
      </c>
      <c r="J849" s="6">
        <f t="shared" si="50"/>
        <v>7.4399999999999995</v>
      </c>
      <c r="L849" s="4" t="str">
        <f>IFERROR(VLOOKUP(ROWS($L$2:L849),$B$2:$C$1996,2,0),"")</f>
        <v>ΣΥΣΤΟΛΗ VALSIR</v>
      </c>
      <c r="N849" s="2" t="str">
        <f>IFERROR(VLOOKUP(ROWS($N$2:N849),$D$2:$E$1996,2,0),"")</f>
        <v>Φ75 Χ Φ50</v>
      </c>
    </row>
    <row r="850" spans="1:14">
      <c r="A850" s="5">
        <v>3</v>
      </c>
      <c r="B850" s="32">
        <f>IF(ISNUMBER(SEARCH('Φόρμα Εισαγωγής'!$B$2,C850)),MAX($B$1:B849)+1,0)</f>
        <v>849</v>
      </c>
      <c r="C850" s="7" t="s">
        <v>565</v>
      </c>
      <c r="D850" s="33">
        <f>IF(ISNUMBER(SEARCH('Φόρμα Εισαγωγής'!$C$2,E850)),MAX($D$1:D849)+1,0)</f>
        <v>849</v>
      </c>
      <c r="E850" s="17" t="s">
        <v>205</v>
      </c>
      <c r="F850" s="5">
        <v>0.75</v>
      </c>
      <c r="G850" s="5">
        <v>1</v>
      </c>
      <c r="H850" s="6">
        <f t="shared" si="48"/>
        <v>1.24</v>
      </c>
      <c r="I850" s="6">
        <f t="shared" si="49"/>
        <v>2.25</v>
      </c>
      <c r="J850" s="6">
        <f t="shared" si="50"/>
        <v>3.7199999999999998</v>
      </c>
      <c r="L850" s="4" t="str">
        <f>IFERROR(VLOOKUP(ROWS($L$2:L850),$B$2:$C$1996,2,0),"")</f>
        <v>ΣΥΣΤΟΛΗ VALSIR</v>
      </c>
      <c r="N850" s="2" t="str">
        <f>IFERROR(VLOOKUP(ROWS($N$2:N850),$D$2:$E$1996,2,0),"")</f>
        <v>Φ50 Χ Φ40</v>
      </c>
    </row>
    <row r="851" spans="1:14">
      <c r="A851" s="5">
        <v>2</v>
      </c>
      <c r="B851" s="32">
        <f>IF(ISNUMBER(SEARCH('Φόρμα Εισαγωγής'!$B$2,C851)),MAX($B$1:B850)+1,0)</f>
        <v>850</v>
      </c>
      <c r="C851" s="7" t="s">
        <v>565</v>
      </c>
      <c r="D851" s="33">
        <f>IF(ISNUMBER(SEARCH('Φόρμα Εισαγωγής'!$C$2,E851)),MAX($D$1:D850)+1,0)</f>
        <v>850</v>
      </c>
      <c r="E851" s="17" t="s">
        <v>566</v>
      </c>
      <c r="F851" s="5">
        <v>2.67</v>
      </c>
      <c r="G851" s="5">
        <v>3.75</v>
      </c>
      <c r="H851" s="6">
        <f t="shared" si="48"/>
        <v>4.6500000000000004</v>
      </c>
      <c r="I851" s="6">
        <f t="shared" si="49"/>
        <v>5.34</v>
      </c>
      <c r="J851" s="6">
        <f t="shared" si="50"/>
        <v>9.3000000000000007</v>
      </c>
      <c r="L851" s="4" t="str">
        <f>IFERROR(VLOOKUP(ROWS($L$2:L851),$B$2:$C$1996,2,0),"")</f>
        <v>ΣΥΣΤΟΛΗ VALSIR</v>
      </c>
      <c r="N851" s="2" t="str">
        <f>IFERROR(VLOOKUP(ROWS($N$2:N851),$D$2:$E$1996,2,0),"")</f>
        <v>Φ125 Χ Φ110</v>
      </c>
    </row>
    <row r="852" spans="1:14">
      <c r="A852" s="5">
        <v>2</v>
      </c>
      <c r="B852" s="32">
        <f>IF(ISNUMBER(SEARCH('Φόρμα Εισαγωγής'!$B$2,C852)),MAX($B$1:B851)+1,0)</f>
        <v>851</v>
      </c>
      <c r="C852" s="7" t="s">
        <v>567</v>
      </c>
      <c r="D852" s="33">
        <f>IF(ISNUMBER(SEARCH('Φόρμα Εισαγωγής'!$C$2,E852)),MAX($D$1:D851)+1,0)</f>
        <v>851</v>
      </c>
      <c r="E852" s="17" t="s">
        <v>321</v>
      </c>
      <c r="F852" s="5">
        <v>6.8</v>
      </c>
      <c r="G852" s="5">
        <v>9.5</v>
      </c>
      <c r="H852" s="6">
        <f t="shared" si="48"/>
        <v>11.78</v>
      </c>
      <c r="I852" s="6">
        <f t="shared" si="49"/>
        <v>13.6</v>
      </c>
      <c r="J852" s="6">
        <f t="shared" si="50"/>
        <v>23.56</v>
      </c>
      <c r="L852" s="4" t="str">
        <f>IFERROR(VLOOKUP(ROWS($L$2:L852),$B$2:$C$1996,2,0),"")</f>
        <v>ΚΑΘΑΡΙΣΤΙΚΟ ΑΛΑΤΩΝ 5 ΛΙΤΡΑ</v>
      </c>
      <c r="N852" s="2" t="str">
        <f>IFERROR(VLOOKUP(ROWS($N$2:N852),$D$2:$E$1996,2,0),"")</f>
        <v>-</v>
      </c>
    </row>
    <row r="853" spans="1:14">
      <c r="A853" s="5">
        <v>48</v>
      </c>
      <c r="B853" s="32">
        <f>IF(ISNUMBER(SEARCH('Φόρμα Εισαγωγής'!$B$2,C853)),MAX($B$1:B852)+1,0)</f>
        <v>852</v>
      </c>
      <c r="C853" s="7" t="s">
        <v>568</v>
      </c>
      <c r="D853" s="33">
        <f>IF(ISNUMBER(SEARCH('Φόρμα Εισαγωγής'!$C$2,E853)),MAX($D$1:D852)+1,0)</f>
        <v>852</v>
      </c>
      <c r="E853" s="17" t="s">
        <v>321</v>
      </c>
      <c r="F853" s="5">
        <v>0.24</v>
      </c>
      <c r="G853" s="5">
        <v>0.35</v>
      </c>
      <c r="H853" s="6">
        <f t="shared" si="48"/>
        <v>0.43399999999999994</v>
      </c>
      <c r="I853" s="6">
        <f t="shared" si="49"/>
        <v>11.52</v>
      </c>
      <c r="J853" s="6">
        <f t="shared" si="50"/>
        <v>20.831999999999997</v>
      </c>
      <c r="L853" s="4" t="str">
        <f>IFERROR(VLOOKUP(ROWS($L$2:L853),$B$2:$C$1996,2,0),"")</f>
        <v>ΓΩΝΙΑ ΔΑΠΕΔΟΥ ΣΩΜΑΤΟΣ</v>
      </c>
      <c r="N853" s="2" t="str">
        <f>IFERROR(VLOOKUP(ROWS($N$2:N853),$D$2:$E$1996,2,0),"")</f>
        <v>-</v>
      </c>
    </row>
    <row r="854" spans="1:14">
      <c r="A854" s="5">
        <v>1</v>
      </c>
      <c r="B854" s="32">
        <f>IF(ISNUMBER(SEARCH('Φόρμα Εισαγωγής'!$B$2,C854)),MAX($B$1:B853)+1,0)</f>
        <v>853</v>
      </c>
      <c r="C854" s="7" t="s">
        <v>881</v>
      </c>
      <c r="D854" s="33">
        <f>IF(ISNUMBER(SEARCH('Φόρμα Εισαγωγής'!$C$2,E854)),MAX($D$1:D853)+1,0)</f>
        <v>853</v>
      </c>
      <c r="E854" s="17" t="s">
        <v>321</v>
      </c>
      <c r="H854" s="6">
        <f t="shared" si="48"/>
        <v>0</v>
      </c>
      <c r="I854" s="6">
        <f t="shared" si="49"/>
        <v>0</v>
      </c>
      <c r="J854" s="6">
        <f t="shared" si="50"/>
        <v>0</v>
      </c>
      <c r="L854" s="4" t="str">
        <f>IFERROR(VLOOKUP(ROWS($L$2:L854),$B$2:$C$1996,2,0),"")</f>
        <v>ΚΑΠΑΚΙ ΤΕΡΜ ΚΑΝΑΛΙ A/C</v>
      </c>
      <c r="N854" s="2" t="str">
        <f>IFERROR(VLOOKUP(ROWS($N$2:N854),$D$2:$E$1996,2,0),"")</f>
        <v>-</v>
      </c>
    </row>
    <row r="855" spans="1:14">
      <c r="A855" s="5">
        <v>1</v>
      </c>
      <c r="B855" s="32">
        <f>IF(ISNUMBER(SEARCH('Φόρμα Εισαγωγής'!$B$2,C855)),MAX($B$1:B854)+1,0)</f>
        <v>854</v>
      </c>
      <c r="C855" s="7" t="s">
        <v>882</v>
      </c>
      <c r="D855" s="33">
        <f>IF(ISNUMBER(SEARCH('Φόρμα Εισαγωγής'!$C$2,E855)),MAX($D$1:D854)+1,0)</f>
        <v>854</v>
      </c>
      <c r="E855" s="17" t="s">
        <v>321</v>
      </c>
      <c r="H855" s="6">
        <f t="shared" si="48"/>
        <v>0</v>
      </c>
      <c r="I855" s="6">
        <f t="shared" si="49"/>
        <v>0</v>
      </c>
      <c r="J855" s="6">
        <f t="shared" si="50"/>
        <v>0</v>
      </c>
      <c r="L855" s="4" t="str">
        <f>IFERROR(VLOOKUP(ROWS($L$2:L855),$B$2:$C$1996,2,0),"")</f>
        <v>ΓΩΝΙΑ ΠΛΑΓΙΑ ΚΑΝΑΛΙ A/C</v>
      </c>
      <c r="N855" s="2" t="str">
        <f>IFERROR(VLOOKUP(ROWS($N$2:N855),$D$2:$E$1996,2,0),"")</f>
        <v>-</v>
      </c>
    </row>
    <row r="856" spans="1:14">
      <c r="A856" s="5">
        <v>6</v>
      </c>
      <c r="B856" s="32">
        <f>IF(ISNUMBER(SEARCH('Φόρμα Εισαγωγής'!$B$2,C856)),MAX($B$1:B855)+1,0)</f>
        <v>855</v>
      </c>
      <c r="C856" s="7" t="s">
        <v>883</v>
      </c>
      <c r="D856" s="33">
        <f>IF(ISNUMBER(SEARCH('Φόρμα Εισαγωγής'!$C$2,E856)),MAX($D$1:D855)+1,0)</f>
        <v>855</v>
      </c>
      <c r="E856" s="17" t="s">
        <v>321</v>
      </c>
      <c r="H856" s="6">
        <f t="shared" si="48"/>
        <v>0</v>
      </c>
      <c r="I856" s="6">
        <f t="shared" si="49"/>
        <v>0</v>
      </c>
      <c r="J856" s="6">
        <f t="shared" si="50"/>
        <v>0</v>
      </c>
      <c r="L856" s="4" t="str">
        <f>IFERROR(VLOOKUP(ROWS($L$2:L856),$B$2:$C$1996,2,0),"")</f>
        <v>ΓΩΝΙΑ ΕΣΩΤΕΡΙΚΗ ΚΑΝΑΛΙ A/C</v>
      </c>
      <c r="N856" s="2" t="str">
        <f>IFERROR(VLOOKUP(ROWS($N$2:N856),$D$2:$E$1996,2,0),"")</f>
        <v>-</v>
      </c>
    </row>
    <row r="857" spans="1:14">
      <c r="A857" s="5">
        <v>7</v>
      </c>
      <c r="B857" s="32">
        <f>IF(ISNUMBER(SEARCH('Φόρμα Εισαγωγής'!$B$2,C857)),MAX($B$1:B856)+1,0)</f>
        <v>856</v>
      </c>
      <c r="C857" s="7" t="s">
        <v>884</v>
      </c>
      <c r="D857" s="33">
        <f>IF(ISNUMBER(SEARCH('Φόρμα Εισαγωγής'!$C$2,E857)),MAX($D$1:D856)+1,0)</f>
        <v>856</v>
      </c>
      <c r="E857" s="17" t="s">
        <v>321</v>
      </c>
      <c r="H857" s="6">
        <f t="shared" si="48"/>
        <v>0</v>
      </c>
      <c r="I857" s="6">
        <f t="shared" si="49"/>
        <v>0</v>
      </c>
      <c r="J857" s="6">
        <f t="shared" si="50"/>
        <v>0</v>
      </c>
      <c r="L857" s="4" t="str">
        <f>IFERROR(VLOOKUP(ROWS($L$2:L857),$B$2:$C$1996,2,0),"")</f>
        <v>ΓΩΝΙΑ ΕΞΩΤΕΡΙΚΗ ΚΑΝΑΛΙ A/C</v>
      </c>
      <c r="N857" s="2" t="str">
        <f>IFERROR(VLOOKUP(ROWS($N$2:N857),$D$2:$E$1996,2,0),"")</f>
        <v>-</v>
      </c>
    </row>
    <row r="858" spans="1:14">
      <c r="A858" s="5">
        <v>2</v>
      </c>
      <c r="B858" s="32">
        <f>IF(ISNUMBER(SEARCH('Φόρμα Εισαγωγής'!$B$2,C858)),MAX($B$1:B857)+1,0)</f>
        <v>857</v>
      </c>
      <c r="C858" s="7" t="s">
        <v>569</v>
      </c>
      <c r="D858" s="33">
        <f>IF(ISNUMBER(SEARCH('Φόρμα Εισαγωγής'!$C$2,E858)),MAX($D$1:D857)+1,0)</f>
        <v>857</v>
      </c>
      <c r="E858" s="17" t="s">
        <v>570</v>
      </c>
      <c r="F858" s="5">
        <v>7</v>
      </c>
      <c r="G858" s="5">
        <v>9.8000000000000007</v>
      </c>
      <c r="H858" s="6">
        <f t="shared" si="48"/>
        <v>12.152000000000001</v>
      </c>
      <c r="I858" s="6">
        <f t="shared" si="49"/>
        <v>14</v>
      </c>
      <c r="J858" s="6">
        <f t="shared" si="50"/>
        <v>24.304000000000002</v>
      </c>
      <c r="L858" s="4" t="str">
        <f>IFERROR(VLOOKUP(ROWS($L$2:L858),$B$2:$C$1996,2,0),"")</f>
        <v>ΣΧΑΡΑ ΜΕΤΑΛΛΙΚΗ</v>
      </c>
      <c r="N858" s="2" t="str">
        <f>IFERROR(VLOOKUP(ROWS($N$2:N858),$D$2:$E$1996,2,0),"")</f>
        <v>12 Χ 12</v>
      </c>
    </row>
    <row r="859" spans="1:14">
      <c r="A859" s="5">
        <v>1</v>
      </c>
      <c r="B859" s="32">
        <f>IF(ISNUMBER(SEARCH('Φόρμα Εισαγωγής'!$B$2,C859)),MAX($B$1:B858)+1,0)</f>
        <v>858</v>
      </c>
      <c r="C859" s="7" t="s">
        <v>569</v>
      </c>
      <c r="D859" s="33">
        <f>IF(ISNUMBER(SEARCH('Φόρμα Εισαγωγής'!$C$2,E859)),MAX($D$1:D858)+1,0)</f>
        <v>858</v>
      </c>
      <c r="E859" s="17" t="s">
        <v>246</v>
      </c>
      <c r="F859" s="5">
        <v>4</v>
      </c>
      <c r="G859" s="5">
        <v>6</v>
      </c>
      <c r="H859" s="6">
        <f t="shared" si="48"/>
        <v>7.4399999999999995</v>
      </c>
      <c r="I859" s="6">
        <f t="shared" si="49"/>
        <v>4</v>
      </c>
      <c r="J859" s="6">
        <f t="shared" si="50"/>
        <v>7.4399999999999995</v>
      </c>
      <c r="L859" s="4" t="str">
        <f>IFERROR(VLOOKUP(ROWS($L$2:L859),$B$2:$C$1996,2,0),"")</f>
        <v>ΣΧΑΡΑ ΜΕΤΑΛΛΙΚΗ</v>
      </c>
      <c r="N859" s="2" t="str">
        <f>IFERROR(VLOOKUP(ROWS($N$2:N859),$D$2:$E$1996,2,0),"")</f>
        <v>14 Χ 14</v>
      </c>
    </row>
    <row r="860" spans="1:14">
      <c r="A860" s="5">
        <v>1</v>
      </c>
      <c r="B860" s="32">
        <f>IF(ISNUMBER(SEARCH('Φόρμα Εισαγωγής'!$B$2,C860)),MAX($B$1:B859)+1,0)</f>
        <v>859</v>
      </c>
      <c r="C860" s="7" t="s">
        <v>876</v>
      </c>
      <c r="D860" s="33">
        <f>IF(ISNUMBER(SEARCH('Φόρμα Εισαγωγής'!$C$2,E860)),MAX($D$1:D859)+1,0)</f>
        <v>859</v>
      </c>
      <c r="E860" s="17" t="s">
        <v>480</v>
      </c>
      <c r="F860" s="5">
        <v>1.9</v>
      </c>
      <c r="G860" s="5">
        <v>2.7</v>
      </c>
      <c r="H860" s="6">
        <f t="shared" si="48"/>
        <v>3.3480000000000003</v>
      </c>
      <c r="I860" s="6">
        <f t="shared" si="49"/>
        <v>1.9</v>
      </c>
      <c r="J860" s="6">
        <f t="shared" si="50"/>
        <v>3.3480000000000003</v>
      </c>
      <c r="L860" s="4" t="str">
        <f>IFERROR(VLOOKUP(ROWS($L$2:L860),$B$2:$C$1996,2,0),"")</f>
        <v>ΣΧΑΡΑ ΜΕΤΑΛΛΙΚΗ ΣΤΡ</v>
      </c>
      <c r="N860" s="2" t="str">
        <f>IFERROR(VLOOKUP(ROWS($N$2:N860),$D$2:$E$1996,2,0),"")</f>
        <v>Φ120</v>
      </c>
    </row>
    <row r="861" spans="1:14">
      <c r="A861" s="5">
        <v>1</v>
      </c>
      <c r="B861" s="32">
        <f>IF(ISNUMBER(SEARCH('Φόρμα Εισαγωγής'!$B$2,C861)),MAX($B$1:B860)+1,0)</f>
        <v>860</v>
      </c>
      <c r="C861" s="7" t="s">
        <v>876</v>
      </c>
      <c r="D861" s="33">
        <f>IF(ISNUMBER(SEARCH('Φόρμα Εισαγωγής'!$C$2,E861)),MAX($D$1:D860)+1,0)</f>
        <v>860</v>
      </c>
      <c r="E861" s="17" t="s">
        <v>193</v>
      </c>
      <c r="F861" s="5">
        <v>1.3</v>
      </c>
      <c r="G861" s="5">
        <v>1.8</v>
      </c>
      <c r="H861" s="6">
        <f t="shared" si="48"/>
        <v>2.2320000000000002</v>
      </c>
      <c r="I861" s="6">
        <f t="shared" si="49"/>
        <v>1.3</v>
      </c>
      <c r="J861" s="6">
        <f t="shared" si="50"/>
        <v>2.2320000000000002</v>
      </c>
      <c r="L861" s="4" t="str">
        <f>IFERROR(VLOOKUP(ROWS($L$2:L861),$B$2:$C$1996,2,0),"")</f>
        <v>ΣΧΑΡΑ ΜΕΤΑΛΛΙΚΗ ΣΤΡ</v>
      </c>
      <c r="N861" s="2" t="str">
        <f>IFERROR(VLOOKUP(ROWS($N$2:N861),$D$2:$E$1996,2,0),"")</f>
        <v>Φ100</v>
      </c>
    </row>
    <row r="862" spans="1:14">
      <c r="A862" s="5">
        <v>5</v>
      </c>
      <c r="B862" s="32">
        <f>IF(ISNUMBER(SEARCH('Φόρμα Εισαγωγής'!$B$2,C862)),MAX($B$1:B861)+1,0)</f>
        <v>861</v>
      </c>
      <c r="C862" s="7" t="s">
        <v>1030</v>
      </c>
      <c r="D862" s="33">
        <f>IF(ISNUMBER(SEARCH('Φόρμα Εισαγωγής'!$C$2,E862)),MAX($D$1:D861)+1,0)</f>
        <v>861</v>
      </c>
      <c r="E862" s="17" t="s">
        <v>321</v>
      </c>
      <c r="F862" s="5">
        <v>2.85</v>
      </c>
      <c r="G862" s="5">
        <v>4</v>
      </c>
      <c r="H862" s="6">
        <f t="shared" si="48"/>
        <v>4.96</v>
      </c>
      <c r="I862" s="6">
        <f t="shared" si="49"/>
        <v>14.25</v>
      </c>
      <c r="J862" s="6">
        <f t="shared" si="50"/>
        <v>24.8</v>
      </c>
      <c r="L862" s="4" t="str">
        <f>IFERROR(VLOOKUP(ROWS($L$2:L862),$B$2:$C$1996,2,0),"")</f>
        <v>ΣΥΦΩΝ ΚΟΥΖΙΝΑ ΛΙΠΟΣΥΛΛΕΚΤΗΣ</v>
      </c>
      <c r="N862" s="2" t="str">
        <f>IFERROR(VLOOKUP(ROWS($N$2:N862),$D$2:$E$1996,2,0),"")</f>
        <v>-</v>
      </c>
    </row>
    <row r="863" spans="1:14">
      <c r="A863" s="5">
        <v>1</v>
      </c>
      <c r="B863" s="32">
        <f>IF(ISNUMBER(SEARCH('Φόρμα Εισαγωγής'!$B$2,C863)),MAX($B$1:B862)+1,0)</f>
        <v>862</v>
      </c>
      <c r="C863" s="7" t="s">
        <v>1031</v>
      </c>
      <c r="D863" s="33">
        <f>IF(ISNUMBER(SEARCH('Φόρμα Εισαγωγής'!$C$2,E863)),MAX($D$1:D862)+1,0)</f>
        <v>862</v>
      </c>
      <c r="E863" s="17" t="s">
        <v>321</v>
      </c>
      <c r="F863" s="5">
        <v>4.5</v>
      </c>
      <c r="G863" s="5">
        <v>6.3</v>
      </c>
      <c r="H863" s="6">
        <f t="shared" si="48"/>
        <v>7.8119999999999994</v>
      </c>
      <c r="I863" s="6">
        <f t="shared" si="49"/>
        <v>4.5</v>
      </c>
      <c r="J863" s="6">
        <f t="shared" si="50"/>
        <v>7.8119999999999994</v>
      </c>
      <c r="L863" s="4" t="str">
        <f>IFERROR(VLOOKUP(ROWS($L$2:L863),$B$2:$C$1996,2,0),"")</f>
        <v>ΣΥΦΩΝ ΚΟΥΖΙΝΑΣ ΔΙΠΛΟ</v>
      </c>
      <c r="N863" s="2" t="str">
        <f>IFERROR(VLOOKUP(ROWS($N$2:N863),$D$2:$E$1996,2,0),"")</f>
        <v>-</v>
      </c>
    </row>
    <row r="864" spans="1:14">
      <c r="A864" s="5">
        <v>7</v>
      </c>
      <c r="B864" s="32">
        <f>IF(ISNUMBER(SEARCH('Φόρμα Εισαγωγής'!$B$2,C864)),MAX($B$1:B863)+1,0)</f>
        <v>863</v>
      </c>
      <c r="C864" s="7" t="s">
        <v>877</v>
      </c>
      <c r="D864" s="33">
        <f>IF(ISNUMBER(SEARCH('Φόρμα Εισαγωγής'!$C$2,E864)),MAX($D$1:D863)+1,0)</f>
        <v>863</v>
      </c>
      <c r="E864" s="17" t="s">
        <v>36</v>
      </c>
      <c r="F864" s="5">
        <v>2.8</v>
      </c>
      <c r="G864" s="5">
        <v>4</v>
      </c>
      <c r="H864" s="6">
        <f t="shared" si="48"/>
        <v>4.96</v>
      </c>
      <c r="I864" s="6">
        <f t="shared" si="49"/>
        <v>19.599999999999998</v>
      </c>
      <c r="J864" s="6">
        <f t="shared" si="50"/>
        <v>34.72</v>
      </c>
      <c r="L864" s="4" t="str">
        <f>IFERROR(VLOOKUP(ROWS($L$2:L864),$B$2:$C$1996,2,0),"")</f>
        <v>ΒΑΛΒΙΔΑ ΝΕΡΟΧΥΤΗ ΜΕ ΥΠΕΡ ΙΝΟΧ</v>
      </c>
      <c r="N864" s="2" t="str">
        <f>IFERROR(VLOOKUP(ROWS($N$2:N864),$D$2:$E$1996,2,0),"")</f>
        <v>1 1/2''</v>
      </c>
    </row>
    <row r="865" spans="1:14">
      <c r="A865" s="5">
        <v>1</v>
      </c>
      <c r="B865" s="32">
        <f>IF(ISNUMBER(SEARCH('Φόρμα Εισαγωγής'!$B$2,C865)),MAX($B$1:B864)+1,0)</f>
        <v>864</v>
      </c>
      <c r="C865" s="7" t="s">
        <v>571</v>
      </c>
      <c r="D865" s="33">
        <f>IF(ISNUMBER(SEARCH('Φόρμα Εισαγωγής'!$C$2,E865)),MAX($D$1:D864)+1,0)</f>
        <v>864</v>
      </c>
      <c r="E865" s="17" t="s">
        <v>36</v>
      </c>
      <c r="F865" s="5">
        <v>1.5</v>
      </c>
      <c r="G865" s="5">
        <v>2.1</v>
      </c>
      <c r="H865" s="6">
        <f t="shared" si="48"/>
        <v>2.6040000000000001</v>
      </c>
      <c r="I865" s="6">
        <f t="shared" si="49"/>
        <v>1.5</v>
      </c>
      <c r="J865" s="6">
        <f t="shared" si="50"/>
        <v>2.6040000000000001</v>
      </c>
      <c r="L865" s="4" t="str">
        <f>IFERROR(VLOOKUP(ROWS($L$2:L865),$B$2:$C$1996,2,0),"")</f>
        <v>ΒΑΛΒΙΔΑ ΝΕΡΟΧΥΤΗ INOX</v>
      </c>
      <c r="N865" s="2" t="str">
        <f>IFERROR(VLOOKUP(ROWS($N$2:N865),$D$2:$E$1996,2,0),"")</f>
        <v>1 1/2''</v>
      </c>
    </row>
    <row r="866" spans="1:14">
      <c r="A866" s="5">
        <v>1</v>
      </c>
      <c r="B866" s="32">
        <f>IF(ISNUMBER(SEARCH('Φόρμα Εισαγωγής'!$B$2,C866)),MAX($B$1:B865)+1,0)</f>
        <v>865</v>
      </c>
      <c r="C866" s="7" t="s">
        <v>572</v>
      </c>
      <c r="D866" s="33">
        <f>IF(ISNUMBER(SEARCH('Φόρμα Εισαγωγής'!$C$2,E866)),MAX($D$1:D865)+1,0)</f>
        <v>865</v>
      </c>
      <c r="E866" s="17" t="s">
        <v>36</v>
      </c>
      <c r="F866" s="5">
        <v>2.8</v>
      </c>
      <c r="G866" s="5">
        <v>4</v>
      </c>
      <c r="H866" s="6">
        <f t="shared" si="48"/>
        <v>4.96</v>
      </c>
      <c r="I866" s="6">
        <f t="shared" si="49"/>
        <v>2.8</v>
      </c>
      <c r="J866" s="6">
        <f t="shared" si="50"/>
        <v>4.96</v>
      </c>
      <c r="L866" s="4" t="str">
        <f>IFERROR(VLOOKUP(ROWS($L$2:L866),$B$2:$C$1996,2,0),"")</f>
        <v>ΣΙΦΩΝΗ ΝΕΡΟΧΥΤΗ</v>
      </c>
      <c r="N866" s="2" t="str">
        <f>IFERROR(VLOOKUP(ROWS($N$2:N866),$D$2:$E$1996,2,0),"")</f>
        <v>1 1/2''</v>
      </c>
    </row>
    <row r="867" spans="1:14">
      <c r="A867" s="5">
        <v>1</v>
      </c>
      <c r="B867" s="32">
        <f>IF(ISNUMBER(SEARCH('Φόρμα Εισαγωγής'!$B$2,C867)),MAX($B$1:B866)+1,0)</f>
        <v>866</v>
      </c>
      <c r="C867" s="7" t="s">
        <v>573</v>
      </c>
      <c r="D867" s="33">
        <f>IF(ISNUMBER(SEARCH('Φόρμα Εισαγωγής'!$C$2,E867)),MAX($D$1:D866)+1,0)</f>
        <v>866</v>
      </c>
      <c r="E867" s="17" t="s">
        <v>321</v>
      </c>
      <c r="F867" s="5">
        <v>18.46</v>
      </c>
      <c r="G867" s="5">
        <v>25.9</v>
      </c>
      <c r="H867" s="6">
        <f t="shared" si="48"/>
        <v>32.116</v>
      </c>
      <c r="I867" s="6">
        <f t="shared" si="49"/>
        <v>18.46</v>
      </c>
      <c r="J867" s="6">
        <f t="shared" si="50"/>
        <v>32.116</v>
      </c>
      <c r="L867" s="4" t="str">
        <f>IFERROR(VLOOKUP(ROWS($L$2:L867),$B$2:$C$1996,2,0),"")</f>
        <v>ΒΑΛΒΙΔΑ ΜΠΑΝΙΕΡΑΣ FIORE</v>
      </c>
      <c r="N867" s="2" t="str">
        <f>IFERROR(VLOOKUP(ROWS($N$2:N867),$D$2:$E$1996,2,0),"")</f>
        <v>-</v>
      </c>
    </row>
    <row r="868" spans="1:14">
      <c r="A868" s="5">
        <v>2</v>
      </c>
      <c r="B868" s="32">
        <f>IF(ISNUMBER(SEARCH('Φόρμα Εισαγωγής'!$B$2,C868)),MAX($B$1:B867)+1,0)</f>
        <v>867</v>
      </c>
      <c r="C868" s="7" t="s">
        <v>891</v>
      </c>
      <c r="D868" s="33">
        <f>IF(ISNUMBER(SEARCH('Φόρμα Εισαγωγής'!$C$2,E868)),MAX($D$1:D867)+1,0)</f>
        <v>867</v>
      </c>
      <c r="E868" s="17" t="s">
        <v>574</v>
      </c>
      <c r="F868" s="5">
        <v>5.45</v>
      </c>
      <c r="G868" s="5">
        <v>7.65</v>
      </c>
      <c r="H868" s="6">
        <f t="shared" si="48"/>
        <v>9.4860000000000007</v>
      </c>
      <c r="I868" s="6">
        <f t="shared" si="49"/>
        <v>10.9</v>
      </c>
      <c r="J868" s="6">
        <f t="shared" si="50"/>
        <v>18.972000000000001</v>
      </c>
      <c r="L868" s="4" t="str">
        <f>IFERROR(VLOOKUP(ROWS($L$2:L868),$B$2:$C$1996,2,0),"")</f>
        <v>ΒΑΣΗ ΣΕΤ A/C</v>
      </c>
      <c r="N868" s="2" t="str">
        <f>IFERROR(VLOOKUP(ROWS($N$2:N868),$D$2:$E$1996,2,0),"")</f>
        <v>ΜΕΣΑΙΑ</v>
      </c>
    </row>
    <row r="869" spans="1:14">
      <c r="A869" s="5">
        <v>2</v>
      </c>
      <c r="B869" s="32">
        <f>IF(ISNUMBER(SEARCH('Φόρμα Εισαγωγής'!$B$2,C869)),MAX($B$1:B868)+1,0)</f>
        <v>868</v>
      </c>
      <c r="C869" s="7" t="s">
        <v>891</v>
      </c>
      <c r="D869" s="33">
        <f>IF(ISNUMBER(SEARCH('Φόρμα Εισαγωγής'!$C$2,E869)),MAX($D$1:D868)+1,0)</f>
        <v>868</v>
      </c>
      <c r="E869" s="17" t="s">
        <v>575</v>
      </c>
      <c r="F869" s="5">
        <v>4.22</v>
      </c>
      <c r="G869" s="5">
        <v>5.9</v>
      </c>
      <c r="H869" s="6">
        <f t="shared" si="48"/>
        <v>7.3160000000000007</v>
      </c>
      <c r="I869" s="6">
        <f t="shared" si="49"/>
        <v>8.44</v>
      </c>
      <c r="J869" s="6">
        <f t="shared" si="50"/>
        <v>14.632000000000001</v>
      </c>
      <c r="L869" s="4" t="str">
        <f>IFERROR(VLOOKUP(ROWS($L$2:L869),$B$2:$C$1996,2,0),"")</f>
        <v>ΒΑΣΗ ΣΕΤ A/C</v>
      </c>
      <c r="N869" s="2" t="str">
        <f>IFERROR(VLOOKUP(ROWS($N$2:N869),$D$2:$E$1996,2,0),"")</f>
        <v>ΜΙΚΡΗ</v>
      </c>
    </row>
    <row r="870" spans="1:14">
      <c r="A870" s="5">
        <v>4</v>
      </c>
      <c r="B870" s="32">
        <f>IF(ISNUMBER(SEARCH('Φόρμα Εισαγωγής'!$B$2,C870)),MAX($B$1:B869)+1,0)</f>
        <v>869</v>
      </c>
      <c r="C870" s="7" t="s">
        <v>891</v>
      </c>
      <c r="D870" s="33">
        <f>IF(ISNUMBER(SEARCH('Φόρμα Εισαγωγής'!$C$2,E870)),MAX($D$1:D869)+1,0)</f>
        <v>869</v>
      </c>
      <c r="E870" s="17" t="s">
        <v>576</v>
      </c>
      <c r="F870" s="5">
        <v>14.4</v>
      </c>
      <c r="G870" s="5">
        <v>20</v>
      </c>
      <c r="H870" s="6">
        <f t="shared" si="48"/>
        <v>24.8</v>
      </c>
      <c r="I870" s="6">
        <f t="shared" si="49"/>
        <v>57.6</v>
      </c>
      <c r="J870" s="6">
        <f t="shared" si="50"/>
        <v>99.2</v>
      </c>
      <c r="L870" s="4" t="str">
        <f>IFERROR(VLOOKUP(ROWS($L$2:L870),$B$2:$C$1996,2,0),"")</f>
        <v>ΒΑΣΗ ΣΕΤ A/C</v>
      </c>
      <c r="N870" s="2" t="str">
        <f>IFERROR(VLOOKUP(ROWS($N$2:N870),$D$2:$E$1996,2,0),"")</f>
        <v>ΔΑΠΕΔΟΥ ΜΕΓΑΛΗ</v>
      </c>
    </row>
    <row r="871" spans="1:14">
      <c r="A871" s="5">
        <v>8</v>
      </c>
      <c r="B871" s="32">
        <f>IF(ISNUMBER(SEARCH('Φόρμα Εισαγωγής'!$B$2,C871)),MAX($B$1:B870)+1,0)</f>
        <v>870</v>
      </c>
      <c r="C871" s="7" t="s">
        <v>891</v>
      </c>
      <c r="D871" s="33">
        <f>IF(ISNUMBER(SEARCH('Φόρμα Εισαγωγής'!$C$2,E871)),MAX($D$1:D870)+1,0)</f>
        <v>870</v>
      </c>
      <c r="E871" s="17" t="s">
        <v>893</v>
      </c>
      <c r="F871" s="5">
        <v>3.1</v>
      </c>
      <c r="G871" s="5">
        <v>4.3</v>
      </c>
      <c r="H871" s="6">
        <f t="shared" si="48"/>
        <v>5.3319999999999999</v>
      </c>
      <c r="I871" s="6">
        <f t="shared" si="49"/>
        <v>24.8</v>
      </c>
      <c r="J871" s="6">
        <f t="shared" si="50"/>
        <v>42.655999999999999</v>
      </c>
      <c r="L871" s="4" t="str">
        <f>IFERROR(VLOOKUP(ROWS($L$2:L871),$B$2:$C$1996,2,0),"")</f>
        <v>ΒΑΣΗ ΣΕΤ A/C</v>
      </c>
      <c r="N871" s="2" t="str">
        <f>IFERROR(VLOOKUP(ROWS($N$2:N871),$D$2:$E$1996,2,0),"")</f>
        <v>ΔΑΠΕΔΟΥ ΜΙΚΡΗ</v>
      </c>
    </row>
    <row r="872" spans="1:14">
      <c r="A872" s="5">
        <v>30</v>
      </c>
      <c r="B872" s="32">
        <f>IF(ISNUMBER(SEARCH('Φόρμα Εισαγωγής'!$B$2,C872)),MAX($B$1:B871)+1,0)</f>
        <v>871</v>
      </c>
      <c r="C872" s="7" t="s">
        <v>878</v>
      </c>
      <c r="D872" s="33">
        <f>IF(ISNUMBER(SEARCH('Φόρμα Εισαγωγής'!$C$2,E872)),MAX($D$1:D871)+1,0)</f>
        <v>871</v>
      </c>
      <c r="E872" s="17" t="s">
        <v>340</v>
      </c>
      <c r="F872" s="5">
        <v>0.15</v>
      </c>
      <c r="G872" s="5">
        <v>0.25</v>
      </c>
      <c r="H872" s="6">
        <f t="shared" si="48"/>
        <v>0.31</v>
      </c>
      <c r="I872" s="6">
        <f t="shared" si="49"/>
        <v>4.5</v>
      </c>
      <c r="J872" s="6">
        <f t="shared" si="50"/>
        <v>9.3000000000000007</v>
      </c>
      <c r="L872" s="4" t="str">
        <f>IFERROR(VLOOKUP(ROWS($L$2:L872),$B$2:$C$1996,2,0),"")</f>
        <v>ΤΑΦ ΠΛΑΣΤ A/C</v>
      </c>
      <c r="N872" s="2" t="str">
        <f>IFERROR(VLOOKUP(ROWS($N$2:N872),$D$2:$E$1996,2,0),"")</f>
        <v>Φ16</v>
      </c>
    </row>
    <row r="873" spans="1:14">
      <c r="A873" s="5">
        <v>18</v>
      </c>
      <c r="B873" s="32">
        <f>IF(ISNUMBER(SEARCH('Φόρμα Εισαγωγής'!$B$2,C873)),MAX($B$1:B872)+1,0)</f>
        <v>872</v>
      </c>
      <c r="C873" s="7" t="s">
        <v>879</v>
      </c>
      <c r="D873" s="33">
        <f>IF(ISNUMBER(SEARCH('Φόρμα Εισαγωγής'!$C$2,E873)),MAX($D$1:D872)+1,0)</f>
        <v>872</v>
      </c>
      <c r="E873" s="17" t="s">
        <v>340</v>
      </c>
      <c r="F873" s="5">
        <v>0.1</v>
      </c>
      <c r="G873" s="5">
        <v>0.2</v>
      </c>
      <c r="H873" s="6">
        <f t="shared" si="48"/>
        <v>0.248</v>
      </c>
      <c r="I873" s="6">
        <f t="shared" si="49"/>
        <v>1.8</v>
      </c>
      <c r="J873" s="6">
        <f t="shared" si="50"/>
        <v>4.4640000000000004</v>
      </c>
      <c r="L873" s="4" t="str">
        <f>IFERROR(VLOOKUP(ROWS($L$2:L873),$B$2:$C$1996,2,0),"")</f>
        <v>ΣΥΝΔΕΣΜΟΣ ΠΛΑΣΤ A/C</v>
      </c>
      <c r="N873" s="2" t="str">
        <f>IFERROR(VLOOKUP(ROWS($N$2:N873),$D$2:$E$1996,2,0),"")</f>
        <v>Φ16</v>
      </c>
    </row>
    <row r="874" spans="1:14">
      <c r="A874" s="5">
        <v>28</v>
      </c>
      <c r="B874" s="32">
        <f>IF(ISNUMBER(SEARCH('Φόρμα Εισαγωγής'!$B$2,C874)),MAX($B$1:B873)+1,0)</f>
        <v>873</v>
      </c>
      <c r="C874" s="7" t="s">
        <v>880</v>
      </c>
      <c r="D874" s="33">
        <f>IF(ISNUMBER(SEARCH('Φόρμα Εισαγωγής'!$C$2,E874)),MAX($D$1:D873)+1,0)</f>
        <v>873</v>
      </c>
      <c r="E874" s="17" t="s">
        <v>340</v>
      </c>
      <c r="F874" s="5">
        <v>0.25</v>
      </c>
      <c r="G874" s="5">
        <v>0.5</v>
      </c>
      <c r="H874" s="6">
        <f t="shared" si="48"/>
        <v>0.62</v>
      </c>
      <c r="I874" s="6">
        <f t="shared" si="49"/>
        <v>7</v>
      </c>
      <c r="J874" s="6">
        <f t="shared" si="50"/>
        <v>17.36</v>
      </c>
      <c r="L874" s="4" t="str">
        <f>IFERROR(VLOOKUP(ROWS($L$2:L874),$B$2:$C$1996,2,0),"")</f>
        <v>ΨΗ ΠΛΑΣΤ A/C</v>
      </c>
      <c r="N874" s="2" t="str">
        <f>IFERROR(VLOOKUP(ROWS($N$2:N874),$D$2:$E$1996,2,0),"")</f>
        <v>Φ16</v>
      </c>
    </row>
    <row r="875" spans="1:14">
      <c r="A875" s="5">
        <v>2</v>
      </c>
      <c r="B875" s="32">
        <f>IF(ISNUMBER(SEARCH('Φόρμα Εισαγωγής'!$B$2,C875)),MAX($B$1:B874)+1,0)</f>
        <v>874</v>
      </c>
      <c r="C875" s="7" t="s">
        <v>577</v>
      </c>
      <c r="D875" s="33">
        <f>IF(ISNUMBER(SEARCH('Φόρμα Εισαγωγής'!$C$2,E875)),MAX($D$1:D874)+1,0)</f>
        <v>874</v>
      </c>
      <c r="E875" s="17" t="s">
        <v>578</v>
      </c>
      <c r="H875" s="6">
        <f t="shared" si="48"/>
        <v>0</v>
      </c>
      <c r="I875" s="6">
        <f t="shared" si="49"/>
        <v>0</v>
      </c>
      <c r="J875" s="6">
        <f t="shared" si="50"/>
        <v>0</v>
      </c>
      <c r="L875" s="4" t="str">
        <f>IFERROR(VLOOKUP(ROWS($L$2:L875),$B$2:$C$1996,2,0),"")</f>
        <v xml:space="preserve">ΑΣΦΑΛΕΙΑ </v>
      </c>
      <c r="N875" s="2" t="str">
        <f>IFERROR(VLOOKUP(ROWS($N$2:N875),$D$2:$E$1996,2,0),"")</f>
        <v>10Α</v>
      </c>
    </row>
    <row r="876" spans="1:14">
      <c r="A876" s="5">
        <v>9.0950000000000006</v>
      </c>
      <c r="B876" s="32">
        <f>IF(ISNUMBER(SEARCH('Φόρμα Εισαγωγής'!$B$2,C876)),MAX($B$1:B875)+1,0)</f>
        <v>875</v>
      </c>
      <c r="C876" s="7" t="s">
        <v>885</v>
      </c>
      <c r="D876" s="33">
        <f>IF(ISNUMBER(SEARCH('Φόρμα Εισαγωγής'!$C$2,E876)),MAX($D$1:D875)+1,0)</f>
        <v>875</v>
      </c>
      <c r="E876" s="17" t="s">
        <v>890</v>
      </c>
      <c r="F876" s="5">
        <v>8.85</v>
      </c>
      <c r="G876" s="5">
        <v>12.4</v>
      </c>
      <c r="H876" s="6">
        <f t="shared" si="48"/>
        <v>15.376000000000001</v>
      </c>
      <c r="I876" s="6">
        <f>F876*A876</f>
        <v>80.490750000000006</v>
      </c>
      <c r="J876" s="6">
        <f t="shared" si="50"/>
        <v>139.84472000000002</v>
      </c>
      <c r="L876" s="4" t="str">
        <f>IFERROR(VLOOKUP(ROWS($L$2:L876),$B$2:$C$1996,2,0),"")</f>
        <v>ΣΩΛΗΝΑ ΧΑΛΚΟΥ A/C</v>
      </c>
      <c r="N876" s="2" t="str">
        <f>IFERROR(VLOOKUP(ROWS($N$2:N876),$D$2:$E$1996,2,0),"")</f>
        <v>1/2 0,8</v>
      </c>
    </row>
    <row r="877" spans="1:14">
      <c r="A877" s="5">
        <v>6.4</v>
      </c>
      <c r="B877" s="32">
        <f>IF(ISNUMBER(SEARCH('Φόρμα Εισαγωγής'!$B$2,C877)),MAX($B$1:B876)+1,0)</f>
        <v>876</v>
      </c>
      <c r="C877" s="7" t="s">
        <v>885</v>
      </c>
      <c r="D877" s="33">
        <f>IF(ISNUMBER(SEARCH('Φόρμα Εισαγωγής'!$C$2,E877)),MAX($D$1:D876)+1,0)</f>
        <v>876</v>
      </c>
      <c r="E877" s="17" t="s">
        <v>889</v>
      </c>
      <c r="F877" s="5">
        <v>8.85</v>
      </c>
      <c r="G877" s="5">
        <v>12.4</v>
      </c>
      <c r="H877" s="6">
        <f t="shared" si="48"/>
        <v>15.376000000000001</v>
      </c>
      <c r="I877" s="6">
        <f t="shared" si="49"/>
        <v>56.64</v>
      </c>
      <c r="J877" s="6">
        <f t="shared" si="50"/>
        <v>98.406400000000019</v>
      </c>
      <c r="L877" s="4" t="str">
        <f>IFERROR(VLOOKUP(ROWS($L$2:L877),$B$2:$C$1996,2,0),"")</f>
        <v>ΣΩΛΗΝΑ ΧΑΛΚΟΥ A/C</v>
      </c>
      <c r="N877" s="2" t="str">
        <f>IFERROR(VLOOKUP(ROWS($N$2:N877),$D$2:$E$1996,2,0),"")</f>
        <v>3/4 X 1</v>
      </c>
    </row>
    <row r="878" spans="1:14">
      <c r="A878" s="5">
        <v>7.3</v>
      </c>
      <c r="B878" s="32">
        <f>IF(ISNUMBER(SEARCH('Φόρμα Εισαγωγής'!$B$2,C878)),MAX($B$1:B877)+1,0)</f>
        <v>877</v>
      </c>
      <c r="C878" s="7" t="s">
        <v>885</v>
      </c>
      <c r="D878" s="33">
        <f>IF(ISNUMBER(SEARCH('Φόρμα Εισαγωγής'!$C$2,E878)),MAX($D$1:D877)+1,0)</f>
        <v>877</v>
      </c>
      <c r="E878" s="17" t="s">
        <v>888</v>
      </c>
      <c r="F878" s="5">
        <v>8.85</v>
      </c>
      <c r="G878" s="5">
        <v>12.4</v>
      </c>
      <c r="H878" s="6">
        <f t="shared" si="48"/>
        <v>15.376000000000001</v>
      </c>
      <c r="I878" s="6">
        <f t="shared" si="49"/>
        <v>64.60499999999999</v>
      </c>
      <c r="J878" s="6">
        <f t="shared" si="50"/>
        <v>112.24480000000001</v>
      </c>
      <c r="L878" s="4" t="str">
        <f>IFERROR(VLOOKUP(ROWS($L$2:L878),$B$2:$C$1996,2,0),"")</f>
        <v>ΣΩΛΗΝΑ ΧΑΛΚΟΥ A/C</v>
      </c>
      <c r="N878" s="2" t="str">
        <f>IFERROR(VLOOKUP(ROWS($N$2:N878),$D$2:$E$1996,2,0),"")</f>
        <v>5/8 X 1</v>
      </c>
    </row>
    <row r="879" spans="1:14">
      <c r="A879" s="5">
        <v>4.76</v>
      </c>
      <c r="B879" s="32">
        <f>IF(ISNUMBER(SEARCH('Φόρμα Εισαγωγής'!$B$2,C879)),MAX($B$1:B878)+1,0)</f>
        <v>878</v>
      </c>
      <c r="C879" s="7" t="s">
        <v>885</v>
      </c>
      <c r="D879" s="33">
        <f>IF(ISNUMBER(SEARCH('Φόρμα Εισαγωγής'!$C$2,E879)),MAX($D$1:D878)+1,0)</f>
        <v>878</v>
      </c>
      <c r="E879" s="17" t="s">
        <v>887</v>
      </c>
      <c r="F879" s="5">
        <v>8.85</v>
      </c>
      <c r="G879" s="5">
        <v>12.4</v>
      </c>
      <c r="H879" s="6">
        <f t="shared" si="48"/>
        <v>15.376000000000001</v>
      </c>
      <c r="I879" s="6">
        <f t="shared" si="49"/>
        <v>42.125999999999998</v>
      </c>
      <c r="J879" s="6">
        <f t="shared" si="50"/>
        <v>73.189760000000007</v>
      </c>
      <c r="L879" s="4" t="str">
        <f>IFERROR(VLOOKUP(ROWS($L$2:L879),$B$2:$C$1996,2,0),"")</f>
        <v>ΣΩΛΗΝΑ ΧΑΛΚΟΥ A/C</v>
      </c>
      <c r="N879" s="2" t="str">
        <f>IFERROR(VLOOKUP(ROWS($N$2:N879),$D$2:$E$1996,2,0),"")</f>
        <v>3/8 X 0,8</v>
      </c>
    </row>
    <row r="880" spans="1:14">
      <c r="A880" s="5">
        <v>4.09</v>
      </c>
      <c r="B880" s="32">
        <f>IF(ISNUMBER(SEARCH('Φόρμα Εισαγωγής'!$B$2,C880)),MAX($B$1:B879)+1,0)</f>
        <v>879</v>
      </c>
      <c r="C880" s="7" t="s">
        <v>885</v>
      </c>
      <c r="D880" s="33">
        <f>IF(ISNUMBER(SEARCH('Φόρμα Εισαγωγής'!$C$2,E880)),MAX($D$1:D879)+1,0)</f>
        <v>879</v>
      </c>
      <c r="E880" s="17" t="s">
        <v>886</v>
      </c>
      <c r="F880" s="5">
        <v>8.85</v>
      </c>
      <c r="G880" s="5">
        <v>12.4</v>
      </c>
      <c r="H880" s="6">
        <f>G880+(G880*0.24)</f>
        <v>15.376000000000001</v>
      </c>
      <c r="I880" s="6">
        <f t="shared" si="49"/>
        <v>36.1965</v>
      </c>
      <c r="J880" s="6">
        <f t="shared" si="50"/>
        <v>62.887840000000004</v>
      </c>
      <c r="L880" s="4" t="str">
        <f>IFERROR(VLOOKUP(ROWS($L$2:L880),$B$2:$C$1996,2,0),"")</f>
        <v>ΣΩΛΗΝΑ ΧΑΛΚΟΥ A/C</v>
      </c>
      <c r="N880" s="2" t="str">
        <f>IFERROR(VLOOKUP(ROWS($N$2:N880),$D$2:$E$1996,2,0),"")</f>
        <v>1/4 X 0,8</v>
      </c>
    </row>
    <row r="881" spans="1:14">
      <c r="A881" s="5">
        <v>54</v>
      </c>
      <c r="B881" s="32">
        <f>IF(ISNUMBER(SEARCH('Φόρμα Εισαγωγής'!$B$2,C881)),MAX($B$1:B880)+1,0)</f>
        <v>880</v>
      </c>
      <c r="C881" s="7" t="s">
        <v>580</v>
      </c>
      <c r="D881" s="33">
        <f>IF(ISNUMBER(SEARCH('Φόρμα Εισαγωγής'!$C$2,E881)),MAX($D$1:D880)+1,0)</f>
        <v>880</v>
      </c>
      <c r="E881" s="17" t="s">
        <v>340</v>
      </c>
      <c r="F881" s="5">
        <v>0.34</v>
      </c>
      <c r="G881" s="5">
        <v>0.5</v>
      </c>
      <c r="H881" s="6">
        <f t="shared" si="48"/>
        <v>0.62</v>
      </c>
      <c r="I881" s="6">
        <f t="shared" si="49"/>
        <v>18.360000000000003</v>
      </c>
      <c r="J881" s="6">
        <f t="shared" si="50"/>
        <v>33.479999999999997</v>
      </c>
      <c r="L881" s="4" t="str">
        <f>IFERROR(VLOOKUP(ROWS($L$2:L881),$B$2:$C$1996,2,0),"")</f>
        <v>ΑΠΟΧΕΤΕΥΣΗ A/C</v>
      </c>
      <c r="N881" s="2" t="str">
        <f>IFERROR(VLOOKUP(ROWS($N$2:N881),$D$2:$E$1996,2,0),"")</f>
        <v>Φ16</v>
      </c>
    </row>
    <row r="882" spans="1:14">
      <c r="A882" s="5">
        <v>12</v>
      </c>
      <c r="B882" s="32">
        <f>IF(ISNUMBER(SEARCH('Φόρμα Εισαγωγής'!$B$2,C882)),MAX($B$1:B881)+1,0)</f>
        <v>881</v>
      </c>
      <c r="C882" s="7" t="s">
        <v>580</v>
      </c>
      <c r="D882" s="33">
        <f>IF(ISNUMBER(SEARCH('Φόρμα Εισαγωγής'!$C$2,E882)),MAX($D$1:D881)+1,0)</f>
        <v>881</v>
      </c>
      <c r="E882" s="17" t="s">
        <v>279</v>
      </c>
      <c r="F882" s="5">
        <v>0.42</v>
      </c>
      <c r="G882" s="5">
        <v>0.6</v>
      </c>
      <c r="H882" s="6">
        <f t="shared" si="48"/>
        <v>0.74399999999999999</v>
      </c>
      <c r="I882" s="6">
        <f t="shared" si="49"/>
        <v>5.04</v>
      </c>
      <c r="J882" s="6">
        <f t="shared" si="50"/>
        <v>8.9280000000000008</v>
      </c>
      <c r="L882" s="4" t="str">
        <f>IFERROR(VLOOKUP(ROWS($L$2:L882),$B$2:$C$1996,2,0),"")</f>
        <v>ΑΠΟΧΕΤΕΥΣΗ A/C</v>
      </c>
      <c r="N882" s="2" t="str">
        <f>IFERROR(VLOOKUP(ROWS($N$2:N882),$D$2:$E$1996,2,0),"")</f>
        <v>Φ18</v>
      </c>
    </row>
    <row r="883" spans="1:14">
      <c r="A883" s="5">
        <v>1</v>
      </c>
      <c r="B883" s="32">
        <f>IF(ISNUMBER(SEARCH('Φόρμα Εισαγωγής'!$B$2,C883)),MAX($B$1:B882)+1,0)</f>
        <v>882</v>
      </c>
      <c r="C883" s="7" t="s">
        <v>892</v>
      </c>
      <c r="D883" s="33">
        <f>IF(ISNUMBER(SEARCH('Φόρμα Εισαγωγής'!$C$2,E883)),MAX($D$1:D882)+1,0)</f>
        <v>882</v>
      </c>
      <c r="E883" s="17" t="s">
        <v>581</v>
      </c>
      <c r="F883" s="5">
        <v>23.2</v>
      </c>
      <c r="G883" s="5">
        <v>32.5</v>
      </c>
      <c r="H883" s="6">
        <f t="shared" si="48"/>
        <v>40.299999999999997</v>
      </c>
      <c r="I883" s="6">
        <f t="shared" si="49"/>
        <v>23.2</v>
      </c>
      <c r="J883" s="6">
        <f t="shared" si="50"/>
        <v>40.299999999999997</v>
      </c>
      <c r="L883" s="4" t="str">
        <f>IFERROR(VLOOKUP(ROWS($L$2:L883),$B$2:$C$1996,2,0),"")</f>
        <v>ΒΑΣΗ ΟΡΟΦΗΣ ΣΕΤ A/C</v>
      </c>
      <c r="N883" s="2" t="str">
        <f>IFERROR(VLOOKUP(ROWS($N$2:N883),$D$2:$E$1996,2,0),"")</f>
        <v>ΜΕΓΑΛΗ</v>
      </c>
    </row>
    <row r="884" spans="1:14">
      <c r="A884" s="5">
        <v>1</v>
      </c>
      <c r="B884" s="32">
        <f>IF(ISNUMBER(SEARCH('Φόρμα Εισαγωγής'!$B$2,C884)),MAX($B$1:B883)+1,0)</f>
        <v>883</v>
      </c>
      <c r="C884" s="7" t="s">
        <v>892</v>
      </c>
      <c r="D884" s="33">
        <f>IF(ISNUMBER(SEARCH('Φόρμα Εισαγωγής'!$C$2,E884)),MAX($D$1:D883)+1,0)</f>
        <v>883</v>
      </c>
      <c r="E884" s="17" t="s">
        <v>574</v>
      </c>
      <c r="F884" s="5">
        <v>19.350000000000001</v>
      </c>
      <c r="G884" s="5">
        <v>27</v>
      </c>
      <c r="H884" s="6">
        <f t="shared" si="48"/>
        <v>33.479999999999997</v>
      </c>
      <c r="I884" s="6">
        <f t="shared" si="49"/>
        <v>19.350000000000001</v>
      </c>
      <c r="J884" s="6">
        <f t="shared" si="50"/>
        <v>33.479999999999997</v>
      </c>
      <c r="L884" s="4" t="str">
        <f>IFERROR(VLOOKUP(ROWS($L$2:L884),$B$2:$C$1996,2,0),"")</f>
        <v>ΒΑΣΗ ΟΡΟΦΗΣ ΣΕΤ A/C</v>
      </c>
      <c r="N884" s="2" t="str">
        <f>IFERROR(VLOOKUP(ROWS($N$2:N884),$D$2:$E$1996,2,0),"")</f>
        <v>ΜΕΣΑΙΑ</v>
      </c>
    </row>
    <row r="885" spans="1:14">
      <c r="A885" s="5">
        <v>1</v>
      </c>
      <c r="B885" s="32">
        <f>IF(ISNUMBER(SEARCH('Φόρμα Εισαγωγής'!$B$2,C885)),MAX($B$1:B884)+1,0)</f>
        <v>884</v>
      </c>
      <c r="C885" s="7" t="s">
        <v>582</v>
      </c>
      <c r="D885" s="33">
        <f>IF(ISNUMBER(SEARCH('Φόρμα Εισαγωγής'!$C$2,E885)),MAX($D$1:D884)+1,0)</f>
        <v>884</v>
      </c>
      <c r="E885" s="17" t="s">
        <v>583</v>
      </c>
      <c r="F885" s="5">
        <v>6</v>
      </c>
      <c r="G885" s="5">
        <v>8.4</v>
      </c>
      <c r="H885" s="6">
        <f t="shared" si="48"/>
        <v>10.416</v>
      </c>
      <c r="I885" s="6">
        <f t="shared" si="49"/>
        <v>6</v>
      </c>
      <c r="J885" s="6">
        <f t="shared" si="50"/>
        <v>10.416</v>
      </c>
      <c r="L885" s="4" t="str">
        <f>IFERROR(VLOOKUP(ROWS($L$2:L885),$B$2:$C$1996,2,0),"")</f>
        <v>ΠΥΚΝΩΤΗΣ</v>
      </c>
      <c r="N885" s="2" t="str">
        <f>IFERROR(VLOOKUP(ROWS($N$2:N885),$D$2:$E$1996,2,0),"")</f>
        <v>55ΜF</v>
      </c>
    </row>
    <row r="886" spans="1:14">
      <c r="A886" s="5">
        <v>1</v>
      </c>
      <c r="B886" s="32">
        <f>IF(ISNUMBER(SEARCH('Φόρμα Εισαγωγής'!$B$2,C886)),MAX($B$1:B885)+1,0)</f>
        <v>885</v>
      </c>
      <c r="C886" s="7" t="s">
        <v>582</v>
      </c>
      <c r="D886" s="33">
        <f>IF(ISNUMBER(SEARCH('Φόρμα Εισαγωγής'!$C$2,E886)),MAX($D$1:D885)+1,0)</f>
        <v>885</v>
      </c>
      <c r="E886" s="17" t="s">
        <v>584</v>
      </c>
      <c r="F886" s="5">
        <v>4.3</v>
      </c>
      <c r="G886" s="5">
        <v>6</v>
      </c>
      <c r="H886" s="6">
        <f t="shared" si="48"/>
        <v>7.4399999999999995</v>
      </c>
      <c r="I886" s="6">
        <f t="shared" si="49"/>
        <v>4.3</v>
      </c>
      <c r="J886" s="6">
        <f t="shared" si="50"/>
        <v>7.4399999999999995</v>
      </c>
      <c r="L886" s="4" t="str">
        <f>IFERROR(VLOOKUP(ROWS($L$2:L886),$B$2:$C$1996,2,0),"")</f>
        <v>ΠΥΚΝΩΤΗΣ</v>
      </c>
      <c r="N886" s="2" t="str">
        <f>IFERROR(VLOOKUP(ROWS($N$2:N886),$D$2:$E$1996,2,0),"")</f>
        <v>45MF</v>
      </c>
    </row>
    <row r="887" spans="1:14">
      <c r="A887" s="5">
        <v>1</v>
      </c>
      <c r="B887" s="32">
        <f>IF(ISNUMBER(SEARCH('Φόρμα Εισαγωγής'!$B$2,C887)),MAX($B$1:B886)+1,0)</f>
        <v>886</v>
      </c>
      <c r="C887" s="7" t="s">
        <v>582</v>
      </c>
      <c r="D887" s="33">
        <f>IF(ISNUMBER(SEARCH('Φόρμα Εισαγωγής'!$C$2,E887)),MAX($D$1:D886)+1,0)</f>
        <v>886</v>
      </c>
      <c r="E887" s="17" t="s">
        <v>585</v>
      </c>
      <c r="F887" s="5">
        <v>3</v>
      </c>
      <c r="G887" s="5">
        <v>4.2</v>
      </c>
      <c r="H887" s="6">
        <f t="shared" si="48"/>
        <v>5.2080000000000002</v>
      </c>
      <c r="I887" s="6">
        <f t="shared" si="49"/>
        <v>3</v>
      </c>
      <c r="J887" s="6">
        <f t="shared" si="50"/>
        <v>5.2080000000000002</v>
      </c>
      <c r="L887" s="4" t="str">
        <f>IFERROR(VLOOKUP(ROWS($L$2:L887),$B$2:$C$1996,2,0),"")</f>
        <v>ΠΥΚΝΩΤΗΣ</v>
      </c>
      <c r="N887" s="2" t="str">
        <f>IFERROR(VLOOKUP(ROWS($N$2:N887),$D$2:$E$1996,2,0),"")</f>
        <v>40MF</v>
      </c>
    </row>
    <row r="888" spans="1:14">
      <c r="A888" s="5">
        <v>1</v>
      </c>
      <c r="B888" s="32">
        <f>IF(ISNUMBER(SEARCH('Φόρμα Εισαγωγής'!$B$2,C888)),MAX($B$1:B887)+1,0)</f>
        <v>887</v>
      </c>
      <c r="C888" s="7" t="s">
        <v>582</v>
      </c>
      <c r="D888" s="33">
        <f>IF(ISNUMBER(SEARCH('Φόρμα Εισαγωγής'!$C$2,E888)),MAX($D$1:D887)+1,0)</f>
        <v>887</v>
      </c>
      <c r="E888" s="17" t="s">
        <v>586</v>
      </c>
      <c r="F888" s="5">
        <v>3</v>
      </c>
      <c r="G888" s="5">
        <v>4.2</v>
      </c>
      <c r="H888" s="6">
        <f t="shared" si="48"/>
        <v>5.2080000000000002</v>
      </c>
      <c r="I888" s="6">
        <f t="shared" si="49"/>
        <v>3</v>
      </c>
      <c r="J888" s="6">
        <f t="shared" si="50"/>
        <v>5.2080000000000002</v>
      </c>
      <c r="L888" s="4" t="str">
        <f>IFERROR(VLOOKUP(ROWS($L$2:L888),$B$2:$C$1996,2,0),"")</f>
        <v>ΠΥΚΝΩΤΗΣ</v>
      </c>
      <c r="N888" s="2" t="str">
        <f>IFERROR(VLOOKUP(ROWS($N$2:N888),$D$2:$E$1996,2,0),"")</f>
        <v>35MF</v>
      </c>
    </row>
    <row r="889" spans="1:14">
      <c r="A889" s="5">
        <v>1</v>
      </c>
      <c r="B889" s="32">
        <f>IF(ISNUMBER(SEARCH('Φόρμα Εισαγωγής'!$B$2,C889)),MAX($B$1:B888)+1,0)</f>
        <v>888</v>
      </c>
      <c r="C889" s="7" t="s">
        <v>582</v>
      </c>
      <c r="D889" s="33">
        <f>IF(ISNUMBER(SEARCH('Φόρμα Εισαγωγής'!$C$2,E889)),MAX($D$1:D888)+1,0)</f>
        <v>888</v>
      </c>
      <c r="E889" s="17" t="s">
        <v>587</v>
      </c>
      <c r="F889" s="5">
        <v>3.9</v>
      </c>
      <c r="G889" s="5">
        <v>5.5</v>
      </c>
      <c r="H889" s="6">
        <f t="shared" si="48"/>
        <v>6.82</v>
      </c>
      <c r="I889" s="6">
        <f t="shared" si="49"/>
        <v>3.9</v>
      </c>
      <c r="J889" s="6">
        <f t="shared" si="50"/>
        <v>6.82</v>
      </c>
      <c r="L889" s="4" t="str">
        <f>IFERROR(VLOOKUP(ROWS($L$2:L889),$B$2:$C$1996,2,0),"")</f>
        <v>ΠΥΚΝΩΤΗΣ</v>
      </c>
      <c r="N889" s="2" t="str">
        <f>IFERROR(VLOOKUP(ROWS($N$2:N889),$D$2:$E$1996,2,0),"")</f>
        <v>25MF</v>
      </c>
    </row>
    <row r="890" spans="1:14">
      <c r="A890" s="5">
        <v>1</v>
      </c>
      <c r="B890" s="32">
        <f>IF(ISNUMBER(SEARCH('Φόρμα Εισαγωγής'!$B$2,C890)),MAX($B$1:B889)+1,0)</f>
        <v>889</v>
      </c>
      <c r="C890" s="7" t="s">
        <v>582</v>
      </c>
      <c r="D890" s="33">
        <f>IF(ISNUMBER(SEARCH('Φόρμα Εισαγωγής'!$C$2,E890)),MAX($D$1:D889)+1,0)</f>
        <v>889</v>
      </c>
      <c r="E890" s="17" t="s">
        <v>588</v>
      </c>
      <c r="F890" s="5">
        <v>2.2000000000000002</v>
      </c>
      <c r="G890" s="5">
        <v>1.7</v>
      </c>
      <c r="H890" s="6">
        <f t="shared" si="48"/>
        <v>2.1080000000000001</v>
      </c>
      <c r="I890" s="6">
        <f t="shared" si="49"/>
        <v>2.2000000000000002</v>
      </c>
      <c r="J890" s="6">
        <f t="shared" si="50"/>
        <v>2.1080000000000001</v>
      </c>
      <c r="L890" s="4" t="str">
        <f>IFERROR(VLOOKUP(ROWS($L$2:L890),$B$2:$C$1996,2,0),"")</f>
        <v>ΠΥΚΝΩΤΗΣ</v>
      </c>
      <c r="N890" s="2" t="str">
        <f>IFERROR(VLOOKUP(ROWS($N$2:N890),$D$2:$E$1996,2,0),"")</f>
        <v>3,15MF</v>
      </c>
    </row>
    <row r="891" spans="1:14">
      <c r="A891" s="5">
        <v>1</v>
      </c>
      <c r="B891" s="32">
        <f>IF(ISNUMBER(SEARCH('Φόρμα Εισαγωγής'!$B$2,C891)),MAX($B$1:B890)+1,0)</f>
        <v>890</v>
      </c>
      <c r="C891" s="7" t="s">
        <v>582</v>
      </c>
      <c r="D891" s="33">
        <f>IF(ISNUMBER(SEARCH('Φόρμα Εισαγωγής'!$C$2,E891)),MAX($D$1:D890)+1,0)</f>
        <v>890</v>
      </c>
      <c r="E891" s="17" t="s">
        <v>589</v>
      </c>
      <c r="F891" s="5">
        <v>1.45</v>
      </c>
      <c r="G891" s="5">
        <v>2</v>
      </c>
      <c r="H891" s="6">
        <f t="shared" si="48"/>
        <v>2.48</v>
      </c>
      <c r="I891" s="6">
        <f t="shared" si="49"/>
        <v>1.45</v>
      </c>
      <c r="J891" s="6">
        <f t="shared" si="50"/>
        <v>2.48</v>
      </c>
      <c r="L891" s="4" t="str">
        <f>IFERROR(VLOOKUP(ROWS($L$2:L891),$B$2:$C$1996,2,0),"")</f>
        <v>ΠΥΚΝΩΤΗΣ</v>
      </c>
      <c r="N891" s="2" t="str">
        <f>IFERROR(VLOOKUP(ROWS($N$2:N891),$D$2:$E$1996,2,0),"")</f>
        <v>2MF</v>
      </c>
    </row>
    <row r="892" spans="1:14">
      <c r="A892" s="5">
        <v>5</v>
      </c>
      <c r="B892" s="32">
        <f>IF(ISNUMBER(SEARCH('Φόρμα Εισαγωγής'!$B$2,C892)),MAX($B$1:B891)+1,0)</f>
        <v>891</v>
      </c>
      <c r="C892" s="7" t="s">
        <v>590</v>
      </c>
      <c r="D892" s="33">
        <f>IF(ISNUMBER(SEARCH('Φόρμα Εισαγωγής'!$C$2,E892)),MAX($D$1:D891)+1,0)</f>
        <v>891</v>
      </c>
      <c r="E892" s="17" t="s">
        <v>32</v>
      </c>
      <c r="F892" s="5">
        <v>8.9</v>
      </c>
      <c r="G892" s="5">
        <v>12.5</v>
      </c>
      <c r="H892" s="6">
        <f t="shared" si="48"/>
        <v>15.5</v>
      </c>
      <c r="I892" s="6">
        <f t="shared" si="49"/>
        <v>44.5</v>
      </c>
      <c r="J892" s="6">
        <f t="shared" si="50"/>
        <v>77.5</v>
      </c>
      <c r="L892" s="4" t="str">
        <f>IFERROR(VLOOKUP(ROWS($L$2:L892),$B$2:$C$1996,2,0),"")</f>
        <v>ΦΙΛΤΡΟ ΠΕΤΡ.</v>
      </c>
      <c r="N892" s="2" t="str">
        <f>IFERROR(VLOOKUP(ROWS($N$2:N892),$D$2:$E$1996,2,0),"")</f>
        <v>1/2</v>
      </c>
    </row>
    <row r="893" spans="1:14">
      <c r="A893" s="5">
        <v>6</v>
      </c>
      <c r="B893" s="32">
        <f>IF(ISNUMBER(SEARCH('Φόρμα Εισαγωγής'!$B$2,C893)),MAX($B$1:B892)+1,0)</f>
        <v>892</v>
      </c>
      <c r="C893" s="7" t="s">
        <v>590</v>
      </c>
      <c r="D893" s="33">
        <f>IF(ISNUMBER(SEARCH('Φόρμα Εισαγωγής'!$C$2,E893)),MAX($D$1:D892)+1,0)</f>
        <v>892</v>
      </c>
      <c r="E893" s="17" t="s">
        <v>173</v>
      </c>
      <c r="F893" s="5">
        <v>4.7</v>
      </c>
      <c r="G893" s="5">
        <v>6.6</v>
      </c>
      <c r="H893" s="6">
        <f t="shared" si="48"/>
        <v>8.1839999999999993</v>
      </c>
      <c r="I893" s="6">
        <f t="shared" si="49"/>
        <v>28.200000000000003</v>
      </c>
      <c r="J893" s="6">
        <f t="shared" si="50"/>
        <v>49.103999999999999</v>
      </c>
      <c r="L893" s="4" t="str">
        <f>IFERROR(VLOOKUP(ROWS($L$2:L893),$B$2:$C$1996,2,0),"")</f>
        <v>ΦΙΛΤΡΟ ΠΕΤΡ.</v>
      </c>
      <c r="N893" s="2" t="str">
        <f>IFERROR(VLOOKUP(ROWS($N$2:N893),$D$2:$E$1996,2,0),"")</f>
        <v>3/8</v>
      </c>
    </row>
    <row r="894" spans="1:14">
      <c r="A894" s="5">
        <v>10</v>
      </c>
      <c r="B894" s="32">
        <f>IF(ISNUMBER(SEARCH('Φόρμα Εισαγωγής'!$B$2,C894)),MAX($B$1:B893)+1,0)</f>
        <v>893</v>
      </c>
      <c r="C894" s="7" t="s">
        <v>591</v>
      </c>
      <c r="D894" s="33">
        <f>IF(ISNUMBER(SEARCH('Φόρμα Εισαγωγής'!$C$2,E894)),MAX($D$1:D893)+1,0)</f>
        <v>893</v>
      </c>
      <c r="E894" s="17" t="s">
        <v>321</v>
      </c>
      <c r="F894" s="5">
        <v>0.19</v>
      </c>
      <c r="G894" s="5">
        <v>0.27</v>
      </c>
      <c r="H894" s="6">
        <f t="shared" si="48"/>
        <v>0.33479999999999999</v>
      </c>
      <c r="I894" s="6">
        <f t="shared" si="49"/>
        <v>1.9</v>
      </c>
      <c r="J894" s="6">
        <f t="shared" si="50"/>
        <v>3.3479999999999999</v>
      </c>
      <c r="L894" s="4" t="str">
        <f>IFERROR(VLOOKUP(ROWS($L$2:L894),$B$2:$C$1996,2,0),"")</f>
        <v>ΛΑΣΤΙΧΟ ΑΕΡΟΣ SPEK</v>
      </c>
      <c r="N894" s="2" t="str">
        <f>IFERROR(VLOOKUP(ROWS($N$2:N894),$D$2:$E$1996,2,0),"")</f>
        <v>-</v>
      </c>
    </row>
    <row r="895" spans="1:14">
      <c r="A895" s="5">
        <v>30</v>
      </c>
      <c r="B895" s="32">
        <f>IF(ISNUMBER(SEARCH('Φόρμα Εισαγωγής'!$B$2,C895)),MAX($B$1:B894)+1,0)</f>
        <v>894</v>
      </c>
      <c r="C895" s="7" t="s">
        <v>592</v>
      </c>
      <c r="D895" s="33">
        <f>IF(ISNUMBER(SEARCH('Φόρμα Εισαγωγής'!$C$2,E895)),MAX($D$1:D894)+1,0)</f>
        <v>894</v>
      </c>
      <c r="E895" s="17" t="s">
        <v>32</v>
      </c>
      <c r="F895" s="5">
        <v>0.05</v>
      </c>
      <c r="G895" s="5">
        <v>0.1</v>
      </c>
      <c r="H895" s="6">
        <f t="shared" si="48"/>
        <v>0.124</v>
      </c>
      <c r="I895" s="6">
        <f t="shared" si="49"/>
        <v>1.5</v>
      </c>
      <c r="J895" s="6">
        <f t="shared" si="50"/>
        <v>3.7199999999999998</v>
      </c>
      <c r="L895" s="4" t="str">
        <f>IFERROR(VLOOKUP(ROWS($L$2:L895),$B$2:$C$1996,2,0),"")</f>
        <v>ΦΛΑΤΖΑ ΦΛΟΤΕΡ</v>
      </c>
      <c r="N895" s="2" t="str">
        <f>IFERROR(VLOOKUP(ROWS($N$2:N895),$D$2:$E$1996,2,0),"")</f>
        <v>1/2</v>
      </c>
    </row>
    <row r="896" spans="1:14">
      <c r="A896" s="5">
        <v>0</v>
      </c>
      <c r="B896" s="32">
        <f>IF(ISNUMBER(SEARCH('Φόρμα Εισαγωγής'!$B$2,C896)),MAX($B$1:B895)+1,0)</f>
        <v>895</v>
      </c>
      <c r="C896" s="7" t="s">
        <v>940</v>
      </c>
      <c r="D896" s="33">
        <f>IF(ISNUMBER(SEARCH('Φόρμα Εισαγωγής'!$C$2,E896)),MAX($D$1:D895)+1,0)</f>
        <v>895</v>
      </c>
      <c r="E896" s="17" t="s">
        <v>36</v>
      </c>
      <c r="F896" s="5">
        <v>0.65</v>
      </c>
      <c r="G896" s="5">
        <v>0.9</v>
      </c>
      <c r="H896" s="6">
        <f t="shared" ref="H896:H959" si="51">G896+(G896*0.24)</f>
        <v>1.1160000000000001</v>
      </c>
      <c r="I896" s="6">
        <f t="shared" ref="I896:I959" si="52">F896*A896</f>
        <v>0</v>
      </c>
      <c r="J896" s="6">
        <f t="shared" ref="J896:J959" si="53">H896*A896</f>
        <v>0</v>
      </c>
      <c r="L896" s="4" t="str">
        <f>IFERROR(VLOOKUP(ROWS($L$2:L896),$B$2:$C$1996,2,0),"")</f>
        <v>ΦΛΑΤΖΑ ΛΑΣΤΙΧΟ 50 TEM</v>
      </c>
      <c r="N896" s="2" t="str">
        <f>IFERROR(VLOOKUP(ROWS($N$2:N896),$D$2:$E$1996,2,0),"")</f>
        <v>1 1/2''</v>
      </c>
    </row>
    <row r="897" spans="1:14">
      <c r="A897" s="5">
        <v>3</v>
      </c>
      <c r="B897" s="32">
        <f>IF(ISNUMBER(SEARCH('Φόρμα Εισαγωγής'!$B$2,C897)),MAX($B$1:B896)+1,0)</f>
        <v>896</v>
      </c>
      <c r="C897" s="7" t="s">
        <v>941</v>
      </c>
      <c r="D897" s="33">
        <f>IF(ISNUMBER(SEARCH('Φόρμα Εισαγωγής'!$C$2,E897)),MAX($D$1:D896)+1,0)</f>
        <v>896</v>
      </c>
      <c r="E897" s="17" t="s">
        <v>33</v>
      </c>
      <c r="F897" s="5">
        <v>1.2</v>
      </c>
      <c r="G897" s="5">
        <v>1.7</v>
      </c>
      <c r="H897" s="6">
        <f t="shared" si="51"/>
        <v>2.1080000000000001</v>
      </c>
      <c r="I897" s="6">
        <f t="shared" si="52"/>
        <v>3.5999999999999996</v>
      </c>
      <c r="J897" s="6">
        <f t="shared" si="53"/>
        <v>6.3239999999999998</v>
      </c>
      <c r="L897" s="4" t="str">
        <f>IFERROR(VLOOKUP(ROWS($L$2:L897),$B$2:$C$1996,2,0),"")</f>
        <v>ΦΛΑΤΖΑ ΛΑΣΤΙΧΟ 100TEM</v>
      </c>
      <c r="N897" s="2" t="str">
        <f>IFERROR(VLOOKUP(ROWS($N$2:N897),$D$2:$E$1996,2,0),"")</f>
        <v>3/4</v>
      </c>
    </row>
    <row r="898" spans="1:14">
      <c r="A898" s="5">
        <v>5</v>
      </c>
      <c r="B898" s="32">
        <f>IF(ISNUMBER(SEARCH('Φόρμα Εισαγωγής'!$B$2,C898)),MAX($B$1:B897)+1,0)</f>
        <v>897</v>
      </c>
      <c r="C898" s="7" t="s">
        <v>941</v>
      </c>
      <c r="D898" s="33">
        <f>IF(ISNUMBER(SEARCH('Φόρμα Εισαγωγής'!$C$2,E898)),MAX($D$1:D897)+1,0)</f>
        <v>897</v>
      </c>
      <c r="E898" s="17" t="s">
        <v>32</v>
      </c>
      <c r="F898" s="5">
        <v>1.1499999999999999</v>
      </c>
      <c r="G898" s="5">
        <v>1.65</v>
      </c>
      <c r="H898" s="6">
        <f t="shared" si="51"/>
        <v>2.0459999999999998</v>
      </c>
      <c r="I898" s="6">
        <f t="shared" si="52"/>
        <v>5.75</v>
      </c>
      <c r="J898" s="6">
        <f t="shared" si="53"/>
        <v>10.229999999999999</v>
      </c>
      <c r="L898" s="4" t="str">
        <f>IFERROR(VLOOKUP(ROWS($L$2:L898),$B$2:$C$1996,2,0),"")</f>
        <v>ΦΛΑΤΖΑ ΛΑΣΤΙΧΟ 100TEM</v>
      </c>
      <c r="N898" s="2" t="str">
        <f>IFERROR(VLOOKUP(ROWS($N$2:N898),$D$2:$E$1996,2,0),"")</f>
        <v>1/2</v>
      </c>
    </row>
    <row r="899" spans="1:14">
      <c r="A899" s="5">
        <v>1</v>
      </c>
      <c r="B899" s="32">
        <f>IF(ISNUMBER(SEARCH('Φόρμα Εισαγωγής'!$B$2,C899)),MAX($B$1:B898)+1,0)</f>
        <v>898</v>
      </c>
      <c r="C899" s="7" t="s">
        <v>941</v>
      </c>
      <c r="D899" s="33">
        <f>IF(ISNUMBER(SEARCH('Φόρμα Εισαγωγής'!$C$2,E899)),MAX($D$1:D898)+1,0)</f>
        <v>898</v>
      </c>
      <c r="E899" s="17" t="s">
        <v>173</v>
      </c>
      <c r="F899" s="5">
        <v>1</v>
      </c>
      <c r="G899" s="5">
        <v>1.4</v>
      </c>
      <c r="H899" s="6">
        <f t="shared" si="51"/>
        <v>1.7359999999999998</v>
      </c>
      <c r="I899" s="6">
        <f t="shared" si="52"/>
        <v>1</v>
      </c>
      <c r="J899" s="6">
        <f t="shared" si="53"/>
        <v>1.7359999999999998</v>
      </c>
      <c r="L899" s="4" t="str">
        <f>IFERROR(VLOOKUP(ROWS($L$2:L899),$B$2:$C$1996,2,0),"")</f>
        <v>ΦΛΑΤΖΑ ΛΑΣΤΙΧΟ 100TEM</v>
      </c>
      <c r="N899" s="2" t="str">
        <f>IFERROR(VLOOKUP(ROWS($N$2:N899),$D$2:$E$1996,2,0),"")</f>
        <v>3/8</v>
      </c>
    </row>
    <row r="900" spans="1:14">
      <c r="A900" s="5">
        <v>10</v>
      </c>
      <c r="B900" s="32">
        <f>IF(ISNUMBER(SEARCH('Φόρμα Εισαγωγής'!$B$2,C900)),MAX($B$1:B899)+1,0)</f>
        <v>899</v>
      </c>
      <c r="C900" s="7" t="s">
        <v>940</v>
      </c>
      <c r="D900" s="33">
        <f>IF(ISNUMBER(SEARCH('Φόρμα Εισαγωγής'!$C$2,E900)),MAX($D$1:D899)+1,0)</f>
        <v>899</v>
      </c>
      <c r="E900" s="17" t="s">
        <v>35</v>
      </c>
      <c r="F900" s="5">
        <v>0.65</v>
      </c>
      <c r="G900" s="5">
        <v>0.9</v>
      </c>
      <c r="H900" s="6">
        <f t="shared" si="51"/>
        <v>1.1160000000000001</v>
      </c>
      <c r="I900" s="6">
        <f t="shared" si="52"/>
        <v>6.5</v>
      </c>
      <c r="J900" s="6">
        <f t="shared" si="53"/>
        <v>11.16</v>
      </c>
      <c r="L900" s="4" t="str">
        <f>IFERROR(VLOOKUP(ROWS($L$2:L900),$B$2:$C$1996,2,0),"")</f>
        <v>ΦΛΑΤΖΑ ΛΑΣΤΙΧΟ 50 TEM</v>
      </c>
      <c r="N900" s="2" t="str">
        <f>IFERROR(VLOOKUP(ROWS($N$2:N900),$D$2:$E$1996,2,0),"")</f>
        <v>1 1/4''</v>
      </c>
    </row>
    <row r="901" spans="1:14">
      <c r="A901" s="5">
        <v>9</v>
      </c>
      <c r="B901" s="32">
        <f>IF(ISNUMBER(SEARCH('Φόρμα Εισαγωγής'!$B$2,C901)),MAX($B$1:B900)+1,0)</f>
        <v>900</v>
      </c>
      <c r="C901" s="7" t="s">
        <v>700</v>
      </c>
      <c r="D901" s="33">
        <f>IF(ISNUMBER(SEARCH('Φόρμα Εισαγωγής'!$C$2,E901)),MAX($D$1:D900)+1,0)</f>
        <v>900</v>
      </c>
      <c r="E901" s="17" t="s">
        <v>32</v>
      </c>
      <c r="F901" s="5">
        <v>0.55000000000000004</v>
      </c>
      <c r="G901" s="5">
        <v>0.8</v>
      </c>
      <c r="H901" s="6">
        <f t="shared" si="51"/>
        <v>0.99199999999999999</v>
      </c>
      <c r="I901" s="6">
        <f t="shared" si="52"/>
        <v>4.95</v>
      </c>
      <c r="J901" s="6">
        <f t="shared" si="53"/>
        <v>8.9280000000000008</v>
      </c>
      <c r="L901" s="4" t="str">
        <f>IFERROR(VLOOKUP(ROWS($L$2:L901),$B$2:$C$1996,2,0),"")</f>
        <v>ΦΙΛΤΡΑΚΙ ΜΠΑΤ. ΘΗΛ.</v>
      </c>
      <c r="N901" s="2" t="str">
        <f>IFERROR(VLOOKUP(ROWS($N$2:N901),$D$2:$E$1996,2,0),"")</f>
        <v>1/2</v>
      </c>
    </row>
    <row r="902" spans="1:14">
      <c r="A902" s="5">
        <v>13</v>
      </c>
      <c r="B902" s="32">
        <f>IF(ISNUMBER(SEARCH('Φόρμα Εισαγωγής'!$B$2,C902)),MAX($B$1:B901)+1,0)</f>
        <v>901</v>
      </c>
      <c r="C902" s="7" t="s">
        <v>593</v>
      </c>
      <c r="D902" s="33">
        <f>IF(ISNUMBER(SEARCH('Φόρμα Εισαγωγής'!$C$2,E902)),MAX($D$1:D901)+1,0)</f>
        <v>901</v>
      </c>
      <c r="E902" s="17" t="s">
        <v>32</v>
      </c>
      <c r="F902" s="5">
        <v>0.9</v>
      </c>
      <c r="G902" s="5">
        <v>1.35</v>
      </c>
      <c r="H902" s="6">
        <f t="shared" si="51"/>
        <v>1.6740000000000002</v>
      </c>
      <c r="I902" s="6">
        <f t="shared" si="52"/>
        <v>11.700000000000001</v>
      </c>
      <c r="J902" s="6">
        <f t="shared" si="53"/>
        <v>21.762</v>
      </c>
      <c r="L902" s="4" t="str">
        <f>IFERROR(VLOOKUP(ROWS($L$2:L902),$B$2:$C$1996,2,0),"")</f>
        <v>ΦΙΛΤΡΑΚΙ ΜΠΑΤ. ΑΡΣ.</v>
      </c>
      <c r="N902" s="2" t="str">
        <f>IFERROR(VLOOKUP(ROWS($N$2:N902),$D$2:$E$1996,2,0),"")</f>
        <v>1/2</v>
      </c>
    </row>
    <row r="903" spans="1:14">
      <c r="A903" s="5">
        <v>9</v>
      </c>
      <c r="B903" s="32">
        <f>IF(ISNUMBER(SEARCH('Φόρμα Εισαγωγής'!$B$2,C903)),MAX($B$1:B902)+1,0)</f>
        <v>902</v>
      </c>
      <c r="C903" s="7" t="s">
        <v>593</v>
      </c>
      <c r="D903" s="33">
        <f>IF(ISNUMBER(SEARCH('Φόρμα Εισαγωγής'!$C$2,E903)),MAX($D$1:D902)+1,0)</f>
        <v>902</v>
      </c>
      <c r="E903" s="17" t="s">
        <v>33</v>
      </c>
      <c r="F903" s="5">
        <v>1.1000000000000001</v>
      </c>
      <c r="G903" s="5">
        <v>1.55</v>
      </c>
      <c r="H903" s="6">
        <f t="shared" si="51"/>
        <v>1.9220000000000002</v>
      </c>
      <c r="I903" s="6">
        <f t="shared" si="52"/>
        <v>9.9</v>
      </c>
      <c r="J903" s="6">
        <f t="shared" si="53"/>
        <v>17.298000000000002</v>
      </c>
      <c r="L903" s="4" t="str">
        <f>IFERROR(VLOOKUP(ROWS($L$2:L903),$B$2:$C$1996,2,0),"")</f>
        <v>ΦΙΛΤΡΑΚΙ ΜΠΑΤ. ΑΡΣ.</v>
      </c>
      <c r="N903" s="2" t="str">
        <f>IFERROR(VLOOKUP(ROWS($N$2:N903),$D$2:$E$1996,2,0),"")</f>
        <v>3/4</v>
      </c>
    </row>
    <row r="904" spans="1:14">
      <c r="A904" s="5">
        <v>1</v>
      </c>
      <c r="B904" s="32">
        <f>IF(ISNUMBER(SEARCH('Φόρμα Εισαγωγής'!$B$2,C904)),MAX($B$1:B903)+1,0)</f>
        <v>903</v>
      </c>
      <c r="C904" s="7" t="s">
        <v>939</v>
      </c>
      <c r="D904" s="33">
        <f>IF(ISNUMBER(SEARCH('Φόρμα Εισαγωγής'!$C$2,E904)),MAX($D$1:D903)+1,0)</f>
        <v>903</v>
      </c>
      <c r="E904" s="17" t="s">
        <v>32</v>
      </c>
      <c r="F904" s="5">
        <v>0.65</v>
      </c>
      <c r="G904" s="5">
        <v>0.9</v>
      </c>
      <c r="H904" s="6">
        <f t="shared" si="51"/>
        <v>1.1160000000000001</v>
      </c>
      <c r="I904" s="6">
        <f t="shared" si="52"/>
        <v>0.65</v>
      </c>
      <c r="J904" s="6">
        <f t="shared" si="53"/>
        <v>1.1160000000000001</v>
      </c>
      <c r="L904" s="4" t="str">
        <f>IFERROR(VLOOKUP(ROWS($L$2:L904),$B$2:$C$1996,2,0),"")</f>
        <v>ΦΛΑΤΖΑ ΚΟΝΙΚΗ 100 TEM</v>
      </c>
      <c r="N904" s="2" t="str">
        <f>IFERROR(VLOOKUP(ROWS($N$2:N904),$D$2:$E$1996,2,0),"")</f>
        <v>1/2</v>
      </c>
    </row>
    <row r="905" spans="1:14">
      <c r="A905" s="5">
        <v>5</v>
      </c>
      <c r="B905" s="32">
        <f>IF(ISNUMBER(SEARCH('Φόρμα Εισαγωγής'!$B$2,C905)),MAX($B$1:B904)+1,0)</f>
        <v>904</v>
      </c>
      <c r="C905" s="7" t="s">
        <v>594</v>
      </c>
      <c r="D905" s="33">
        <f>IF(ISNUMBER(SEARCH('Φόρμα Εισαγωγής'!$C$2,E905)),MAX($D$1:D904)+1,0)</f>
        <v>904</v>
      </c>
      <c r="E905" s="17" t="s">
        <v>595</v>
      </c>
      <c r="F905" s="5">
        <v>2.1</v>
      </c>
      <c r="G905" s="5">
        <v>3</v>
      </c>
      <c r="H905" s="6">
        <f t="shared" si="51"/>
        <v>3.7199999999999998</v>
      </c>
      <c r="I905" s="6">
        <f t="shared" si="52"/>
        <v>10.5</v>
      </c>
      <c r="J905" s="6">
        <f t="shared" si="53"/>
        <v>18.599999999999998</v>
      </c>
      <c r="L905" s="4" t="str">
        <f>IFERROR(VLOOKUP(ROWS($L$2:L905),$B$2:$C$1996,2,0),"")</f>
        <v>ΚΕΑΘEIO</v>
      </c>
      <c r="N905" s="2" t="str">
        <f>IFERROR(VLOOKUP(ROWS($N$2:N905),$D$2:$E$1996,2,0),"")</f>
        <v>5CM</v>
      </c>
    </row>
    <row r="906" spans="1:14">
      <c r="A906" s="5">
        <v>3</v>
      </c>
      <c r="B906" s="32">
        <f>IF(ISNUMBER(SEARCH('Φόρμα Εισαγωγής'!$B$2,C906)),MAX($B$1:B905)+1,0)</f>
        <v>905</v>
      </c>
      <c r="C906" s="7" t="s">
        <v>594</v>
      </c>
      <c r="D906" s="33">
        <f>IF(ISNUMBER(SEARCH('Φόρμα Εισαγωγής'!$C$2,E906)),MAX($D$1:D905)+1,0)</f>
        <v>905</v>
      </c>
      <c r="E906" s="17" t="s">
        <v>596</v>
      </c>
      <c r="F906" s="5">
        <v>2.1</v>
      </c>
      <c r="G906" s="5">
        <v>3</v>
      </c>
      <c r="H906" s="6">
        <f t="shared" si="51"/>
        <v>3.7199999999999998</v>
      </c>
      <c r="I906" s="6">
        <f t="shared" si="52"/>
        <v>6.3000000000000007</v>
      </c>
      <c r="J906" s="6">
        <f t="shared" si="53"/>
        <v>11.16</v>
      </c>
      <c r="L906" s="4" t="str">
        <f>IFERROR(VLOOKUP(ROWS($L$2:L906),$B$2:$C$1996,2,0),"")</f>
        <v>ΚΕΑΘEIO</v>
      </c>
      <c r="N906" s="2" t="str">
        <f>IFERROR(VLOOKUP(ROWS($N$2:N906),$D$2:$E$1996,2,0),"")</f>
        <v>10CM</v>
      </c>
    </row>
    <row r="907" spans="1:14">
      <c r="A907" s="5">
        <v>3</v>
      </c>
      <c r="B907" s="32">
        <f>IF(ISNUMBER(SEARCH('Φόρμα Εισαγωγής'!$B$2,C907)),MAX($B$1:B906)+1,0)</f>
        <v>906</v>
      </c>
      <c r="C907" s="7" t="s">
        <v>594</v>
      </c>
      <c r="D907" s="33">
        <f>IF(ISNUMBER(SEARCH('Φόρμα Εισαγωγής'!$C$2,E907)),MAX($D$1:D906)+1,0)</f>
        <v>906</v>
      </c>
      <c r="E907" s="17" t="s">
        <v>597</v>
      </c>
      <c r="F907" s="5">
        <v>2.9</v>
      </c>
      <c r="G907" s="5">
        <v>4</v>
      </c>
      <c r="H907" s="6">
        <f t="shared" si="51"/>
        <v>4.96</v>
      </c>
      <c r="I907" s="6">
        <f t="shared" si="52"/>
        <v>8.6999999999999993</v>
      </c>
      <c r="J907" s="6">
        <f t="shared" si="53"/>
        <v>14.879999999999999</v>
      </c>
      <c r="L907" s="4" t="str">
        <f>IFERROR(VLOOKUP(ROWS($L$2:L907),$B$2:$C$1996,2,0),"")</f>
        <v>ΚΕΑΘEIO</v>
      </c>
      <c r="N907" s="2" t="str">
        <f>IFERROR(VLOOKUP(ROWS($N$2:N907),$D$2:$E$1996,2,0),"")</f>
        <v>15CM</v>
      </c>
    </row>
    <row r="908" spans="1:14">
      <c r="A908" s="5">
        <v>1</v>
      </c>
      <c r="B908" s="32">
        <f>IF(ISNUMBER(SEARCH('Φόρμα Εισαγωγής'!$B$2,C908)),MAX($B$1:B907)+1,0)</f>
        <v>907</v>
      </c>
      <c r="C908" s="7" t="s">
        <v>594</v>
      </c>
      <c r="D908" s="33">
        <f>IF(ISNUMBER(SEARCH('Φόρμα Εισαγωγής'!$C$2,E908)),MAX($D$1:D907)+1,0)</f>
        <v>907</v>
      </c>
      <c r="E908" s="17" t="s">
        <v>598</v>
      </c>
      <c r="F908" s="5">
        <v>3</v>
      </c>
      <c r="G908" s="5">
        <v>4.2</v>
      </c>
      <c r="H908" s="6">
        <f t="shared" si="51"/>
        <v>5.2080000000000002</v>
      </c>
      <c r="I908" s="6">
        <f t="shared" si="52"/>
        <v>3</v>
      </c>
      <c r="J908" s="6">
        <f t="shared" si="53"/>
        <v>5.2080000000000002</v>
      </c>
      <c r="L908" s="4" t="str">
        <f>IFERROR(VLOOKUP(ROWS($L$2:L908),$B$2:$C$1996,2,0),"")</f>
        <v>ΚΕΑΘEIO</v>
      </c>
      <c r="N908" s="2" t="str">
        <f>IFERROR(VLOOKUP(ROWS($N$2:N908),$D$2:$E$1996,2,0),"")</f>
        <v>20CM</v>
      </c>
    </row>
    <row r="909" spans="1:14">
      <c r="A909" s="5">
        <v>7</v>
      </c>
      <c r="B909" s="32">
        <f>IF(ISNUMBER(SEARCH('Φόρμα Εισαγωγής'!$B$2,C909)),MAX($B$1:B908)+1,0)</f>
        <v>908</v>
      </c>
      <c r="C909" s="7" t="s">
        <v>920</v>
      </c>
      <c r="D909" s="33">
        <f>IF(ISNUMBER(SEARCH('Φόρμα Εισαγωγής'!$C$2,E909)),MAX($D$1:D908)+1,0)</f>
        <v>908</v>
      </c>
      <c r="E909" s="17" t="s">
        <v>282</v>
      </c>
      <c r="F909" s="5">
        <v>3</v>
      </c>
      <c r="G909" s="5">
        <v>4.2</v>
      </c>
      <c r="H909" s="6">
        <f t="shared" si="51"/>
        <v>5.2080000000000002</v>
      </c>
      <c r="I909" s="6">
        <f t="shared" si="52"/>
        <v>21</v>
      </c>
      <c r="J909" s="6">
        <f t="shared" si="53"/>
        <v>36.456000000000003</v>
      </c>
      <c r="L909" s="4" t="str">
        <f>IFERROR(VLOOKUP(ROWS($L$2:L909),$B$2:$C$1996,2,0),"")</f>
        <v>ΜΗΧΑΝΙΣΜΟΣ ΘΕΡ. Χ.Π. SEDAL</v>
      </c>
      <c r="N909" s="2" t="str">
        <f>IFERROR(VLOOKUP(ROWS($N$2:N909),$D$2:$E$1996,2,0),"")</f>
        <v>Φ35</v>
      </c>
    </row>
    <row r="910" spans="1:14">
      <c r="A910" s="5">
        <v>7</v>
      </c>
      <c r="B910" s="32">
        <f>IF(ISNUMBER(SEARCH('Φόρμα Εισαγωγής'!$B$2,C910)),MAX($B$1:B909)+1,0)</f>
        <v>909</v>
      </c>
      <c r="C910" s="7" t="s">
        <v>921</v>
      </c>
      <c r="D910" s="33">
        <f>IF(ISNUMBER(SEARCH('Φόρμα Εισαγωγής'!$C$2,E910)),MAX($D$1:D909)+1,0)</f>
        <v>909</v>
      </c>
      <c r="E910" s="17" t="s">
        <v>282</v>
      </c>
      <c r="F910" s="5">
        <v>3</v>
      </c>
      <c r="G910" s="5">
        <v>4.2</v>
      </c>
      <c r="H910" s="6">
        <f t="shared" si="51"/>
        <v>5.2080000000000002</v>
      </c>
      <c r="I910" s="6">
        <f t="shared" si="52"/>
        <v>21</v>
      </c>
      <c r="J910" s="6">
        <f t="shared" si="53"/>
        <v>36.456000000000003</v>
      </c>
      <c r="L910" s="4" t="str">
        <f>IFERROR(VLOOKUP(ROWS($L$2:L910),$B$2:$C$1996,2,0),"")</f>
        <v>ΜΗΧΑΝΙΣΜΟΣ ΘΕΡ. Μ.Π. SEDAL</v>
      </c>
      <c r="N910" s="2" t="str">
        <f>IFERROR(VLOOKUP(ROWS($N$2:N910),$D$2:$E$1996,2,0),"")</f>
        <v>Φ35</v>
      </c>
    </row>
    <row r="911" spans="1:14">
      <c r="A911" s="5">
        <v>2</v>
      </c>
      <c r="B911" s="32">
        <f>IF(ISNUMBER(SEARCH('Φόρμα Εισαγωγής'!$B$2,C911)),MAX($B$1:B910)+1,0)</f>
        <v>910</v>
      </c>
      <c r="C911" s="7" t="s">
        <v>920</v>
      </c>
      <c r="D911" s="33">
        <f>IF(ISNUMBER(SEARCH('Φόρμα Εισαγωγής'!$C$2,E911)),MAX($D$1:D910)+1,0)</f>
        <v>910</v>
      </c>
      <c r="E911" s="17" t="s">
        <v>189</v>
      </c>
      <c r="F911" s="5">
        <v>3</v>
      </c>
      <c r="G911" s="5">
        <v>4.2</v>
      </c>
      <c r="H911" s="6">
        <f t="shared" si="51"/>
        <v>5.2080000000000002</v>
      </c>
      <c r="I911" s="6">
        <f t="shared" si="52"/>
        <v>6</v>
      </c>
      <c r="J911" s="6">
        <f t="shared" si="53"/>
        <v>10.416</v>
      </c>
      <c r="L911" s="4" t="str">
        <f>IFERROR(VLOOKUP(ROWS($L$2:L911),$B$2:$C$1996,2,0),"")</f>
        <v>ΜΗΧΑΝΙΣΜΟΣ ΘΕΡ. Χ.Π. SEDAL</v>
      </c>
      <c r="N911" s="2" t="str">
        <f>IFERROR(VLOOKUP(ROWS($N$2:N911),$D$2:$E$1996,2,0),"")</f>
        <v>Φ40</v>
      </c>
    </row>
    <row r="912" spans="1:14">
      <c r="A912" s="5">
        <v>5</v>
      </c>
      <c r="B912" s="32">
        <f>IF(ISNUMBER(SEARCH('Φόρμα Εισαγωγής'!$B$2,C912)),MAX($B$1:B911)+1,0)</f>
        <v>911</v>
      </c>
      <c r="C912" s="7" t="s">
        <v>921</v>
      </c>
      <c r="D912" s="33">
        <f>IF(ISNUMBER(SEARCH('Φόρμα Εισαγωγής'!$C$2,E912)),MAX($D$1:D911)+1,0)</f>
        <v>911</v>
      </c>
      <c r="E912" s="17" t="s">
        <v>189</v>
      </c>
      <c r="F912" s="5">
        <v>3</v>
      </c>
      <c r="G912" s="5">
        <v>4.2</v>
      </c>
      <c r="H912" s="6">
        <f t="shared" si="51"/>
        <v>5.2080000000000002</v>
      </c>
      <c r="I912" s="6">
        <f t="shared" si="52"/>
        <v>15</v>
      </c>
      <c r="J912" s="6">
        <f t="shared" si="53"/>
        <v>26.04</v>
      </c>
      <c r="L912" s="4" t="str">
        <f>IFERROR(VLOOKUP(ROWS($L$2:L912),$B$2:$C$1996,2,0),"")</f>
        <v>ΜΗΧΑΝΙΣΜΟΣ ΘΕΡ. Μ.Π. SEDAL</v>
      </c>
      <c r="N912" s="2" t="str">
        <f>IFERROR(VLOOKUP(ROWS($N$2:N912),$D$2:$E$1996,2,0),"")</f>
        <v>Φ40</v>
      </c>
    </row>
    <row r="913" spans="1:14">
      <c r="A913" s="5">
        <v>11</v>
      </c>
      <c r="B913" s="32">
        <f>IF(ISNUMBER(SEARCH('Φόρμα Εισαγωγής'!$B$2,C913)),MAX($B$1:B912)+1,0)</f>
        <v>912</v>
      </c>
      <c r="C913" s="7" t="s">
        <v>599</v>
      </c>
      <c r="D913" s="33">
        <f>IF(ISNUMBER(SEARCH('Φόρμα Εισαγωγής'!$C$2,E913)),MAX($D$1:D912)+1,0)</f>
        <v>912</v>
      </c>
      <c r="E913" s="17" t="s">
        <v>32</v>
      </c>
      <c r="F913" s="5">
        <v>1.4</v>
      </c>
      <c r="G913" s="5">
        <v>2</v>
      </c>
      <c r="H913" s="6">
        <f t="shared" si="51"/>
        <v>2.48</v>
      </c>
      <c r="I913" s="6">
        <f t="shared" si="52"/>
        <v>15.399999999999999</v>
      </c>
      <c r="J913" s="6">
        <f t="shared" si="53"/>
        <v>27.28</v>
      </c>
      <c r="L913" s="4" t="str">
        <f>IFERROR(VLOOKUP(ROWS($L$2:L913),$B$2:$C$1996,2,0),"")</f>
        <v>ΜΗΧΑΝΙΣΜΟΣ Β.Τ. Α</v>
      </c>
      <c r="N913" s="2" t="str">
        <f>IFERROR(VLOOKUP(ROWS($N$2:N913),$D$2:$E$1996,2,0),"")</f>
        <v>1/2</v>
      </c>
    </row>
    <row r="914" spans="1:14">
      <c r="A914" s="5">
        <v>7</v>
      </c>
      <c r="B914" s="32">
        <f>IF(ISNUMBER(SEARCH('Φόρμα Εισαγωγής'!$B$2,C914)),MAX($B$1:B913)+1,0)</f>
        <v>913</v>
      </c>
      <c r="C914" s="7" t="s">
        <v>600</v>
      </c>
      <c r="D914" s="33">
        <f>IF(ISNUMBER(SEARCH('Φόρμα Εισαγωγής'!$C$2,E914)),MAX($D$1:D913)+1,0)</f>
        <v>913</v>
      </c>
      <c r="E914" s="17" t="s">
        <v>579</v>
      </c>
      <c r="F914" s="5">
        <v>2.5</v>
      </c>
      <c r="G914" s="5">
        <v>3.5</v>
      </c>
      <c r="H914" s="6">
        <f t="shared" si="51"/>
        <v>4.34</v>
      </c>
      <c r="I914" s="6">
        <f t="shared" si="52"/>
        <v>17.5</v>
      </c>
      <c r="J914" s="6">
        <f t="shared" si="53"/>
        <v>30.38</v>
      </c>
      <c r="L914" s="4" t="str">
        <f>IFERROR(VLOOKUP(ROWS($L$2:L914),$B$2:$C$1996,2,0),"")</f>
        <v>ΜΗΧΑΝΙΣΜΟΣ ΚΕΡ. ΚΟΚΚ.</v>
      </c>
      <c r="N914" s="2" t="str">
        <f>IFERROR(VLOOKUP(ROWS($N$2:N914),$D$2:$E$1996,2,0),"")</f>
        <v>1/4</v>
      </c>
    </row>
    <row r="915" spans="1:14">
      <c r="A915" s="5">
        <v>6</v>
      </c>
      <c r="B915" s="32">
        <f>IF(ISNUMBER(SEARCH('Φόρμα Εισαγωγής'!$B$2,C915)),MAX($B$1:B914)+1,0)</f>
        <v>914</v>
      </c>
      <c r="C915" s="7" t="s">
        <v>601</v>
      </c>
      <c r="D915" s="33">
        <f>IF(ISNUMBER(SEARCH('Φόρμα Εισαγωγής'!$C$2,E915)),MAX($D$1:D914)+1,0)</f>
        <v>914</v>
      </c>
      <c r="E915" s="17" t="s">
        <v>579</v>
      </c>
      <c r="F915" s="5">
        <v>2.5</v>
      </c>
      <c r="G915" s="5">
        <v>3.5</v>
      </c>
      <c r="H915" s="6">
        <f t="shared" si="51"/>
        <v>4.34</v>
      </c>
      <c r="I915" s="6">
        <f t="shared" si="52"/>
        <v>15</v>
      </c>
      <c r="J915" s="6">
        <f t="shared" si="53"/>
        <v>26.04</v>
      </c>
      <c r="L915" s="4" t="str">
        <f>IFERROR(VLOOKUP(ROWS($L$2:L915),$B$2:$C$1996,2,0),"")</f>
        <v>ΜΗΧΑΝΙΣΜΟΣ ΚΕΡ. ΜΠΛΕ</v>
      </c>
      <c r="N915" s="2" t="str">
        <f>IFERROR(VLOOKUP(ROWS($N$2:N915),$D$2:$E$1996,2,0),"")</f>
        <v>1/4</v>
      </c>
    </row>
    <row r="916" spans="1:14">
      <c r="A916" s="5">
        <v>5</v>
      </c>
      <c r="B916" s="32">
        <f>IF(ISNUMBER(SEARCH('Φόρμα Εισαγωγής'!$B$2,C916)),MAX($B$1:B915)+1,0)</f>
        <v>915</v>
      </c>
      <c r="C916" s="7" t="s">
        <v>602</v>
      </c>
      <c r="D916" s="33">
        <f>IF(ISNUMBER(SEARCH('Φόρμα Εισαγωγής'!$C$2,E916)),MAX($D$1:D915)+1,0)</f>
        <v>915</v>
      </c>
      <c r="E916" s="17" t="s">
        <v>173</v>
      </c>
      <c r="F916" s="5">
        <v>1</v>
      </c>
      <c r="G916" s="5">
        <v>1.4</v>
      </c>
      <c r="H916" s="6">
        <f t="shared" si="51"/>
        <v>1.7359999999999998</v>
      </c>
      <c r="I916" s="6">
        <f t="shared" si="52"/>
        <v>5</v>
      </c>
      <c r="J916" s="6">
        <f t="shared" si="53"/>
        <v>8.68</v>
      </c>
      <c r="L916" s="4" t="str">
        <f>IFERROR(VLOOKUP(ROWS($L$2:L916),$B$2:$C$1996,2,0),"")</f>
        <v>ΜΗΧΑΝΙΣΜΟΣ</v>
      </c>
      <c r="N916" s="2" t="str">
        <f>IFERROR(VLOOKUP(ROWS($N$2:N916),$D$2:$E$1996,2,0),"")</f>
        <v>3/8</v>
      </c>
    </row>
    <row r="917" spans="1:14">
      <c r="A917" s="5">
        <v>10</v>
      </c>
      <c r="B917" s="32">
        <f>IF(ISNUMBER(SEARCH('Φόρμα Εισαγωγής'!$B$2,C917)),MAX($B$1:B916)+1,0)</f>
        <v>916</v>
      </c>
      <c r="C917" s="7" t="s">
        <v>603</v>
      </c>
      <c r="D917" s="33">
        <f>IF(ISNUMBER(SEARCH('Φόρμα Εισαγωγής'!$C$2,E917)),MAX($D$1:D916)+1,0)</f>
        <v>916</v>
      </c>
      <c r="E917" s="17" t="s">
        <v>32</v>
      </c>
      <c r="F917" s="5">
        <v>1.4</v>
      </c>
      <c r="G917" s="5">
        <v>2</v>
      </c>
      <c r="H917" s="6">
        <f t="shared" si="51"/>
        <v>2.48</v>
      </c>
      <c r="I917" s="6">
        <f t="shared" si="52"/>
        <v>14</v>
      </c>
      <c r="J917" s="6">
        <f t="shared" si="53"/>
        <v>24.8</v>
      </c>
      <c r="L917" s="4" t="str">
        <f>IFERROR(VLOOKUP(ROWS($L$2:L917),$B$2:$C$1996,2,0),"")</f>
        <v>ΜΗΧΑΝΙΣΜΟΣB.T. B</v>
      </c>
      <c r="N917" s="2" t="str">
        <f>IFERROR(VLOOKUP(ROWS($N$2:N917),$D$2:$E$1996,2,0),"")</f>
        <v>1/2</v>
      </c>
    </row>
    <row r="918" spans="1:14">
      <c r="A918" s="5">
        <v>2</v>
      </c>
      <c r="B918" s="32">
        <f>IF(ISNUMBER(SEARCH('Φόρμα Εισαγωγής'!$B$2,C918)),MAX($B$1:B917)+1,0)</f>
        <v>917</v>
      </c>
      <c r="C918" s="7" t="s">
        <v>604</v>
      </c>
      <c r="D918" s="33">
        <f>IF(ISNUMBER(SEARCH('Φόρμα Εισαγωγής'!$C$2,E918)),MAX($D$1:D917)+1,0)</f>
        <v>917</v>
      </c>
      <c r="E918" s="17" t="s">
        <v>282</v>
      </c>
      <c r="F918" s="5">
        <v>4</v>
      </c>
      <c r="G918" s="5">
        <v>5.6</v>
      </c>
      <c r="H918" s="6">
        <f t="shared" si="51"/>
        <v>6.9439999999999991</v>
      </c>
      <c r="I918" s="6">
        <f t="shared" si="52"/>
        <v>8</v>
      </c>
      <c r="J918" s="6">
        <f t="shared" si="53"/>
        <v>13.887999999999998</v>
      </c>
      <c r="L918" s="4" t="str">
        <f>IFERROR(VLOOKUP(ROWS($L$2:L918),$B$2:$C$1996,2,0),"")</f>
        <v>ΜΗΧΑΝΙΣΜΟΣ ΘΕΡ. X.Π. FIORE</v>
      </c>
      <c r="N918" s="2" t="str">
        <f>IFERROR(VLOOKUP(ROWS($N$2:N918),$D$2:$E$1996,2,0),"")</f>
        <v>Φ35</v>
      </c>
    </row>
    <row r="919" spans="1:14">
      <c r="A919" s="5">
        <v>2</v>
      </c>
      <c r="B919" s="32">
        <f>IF(ISNUMBER(SEARCH('Φόρμα Εισαγωγής'!$B$2,C919)),MAX($B$1:B918)+1,0)</f>
        <v>918</v>
      </c>
      <c r="C919" s="7" t="s">
        <v>605</v>
      </c>
      <c r="D919" s="33">
        <f>IF(ISNUMBER(SEARCH('Φόρμα Εισαγωγής'!$C$2,E919)),MAX($D$1:D918)+1,0)</f>
        <v>918</v>
      </c>
      <c r="E919" s="17" t="s">
        <v>282</v>
      </c>
      <c r="F919" s="5">
        <v>4</v>
      </c>
      <c r="G919" s="5">
        <v>5.6</v>
      </c>
      <c r="H919" s="6">
        <f t="shared" si="51"/>
        <v>6.9439999999999991</v>
      </c>
      <c r="I919" s="6">
        <f t="shared" si="52"/>
        <v>8</v>
      </c>
      <c r="J919" s="6">
        <f t="shared" si="53"/>
        <v>13.887999999999998</v>
      </c>
      <c r="L919" s="4" t="str">
        <f>IFERROR(VLOOKUP(ROWS($L$2:L919),$B$2:$C$1996,2,0),"")</f>
        <v>ΜΗΧΑΝΙΣΜΟΣ ΘΕΡ. Μ.Π. FIORE</v>
      </c>
      <c r="N919" s="2" t="str">
        <f>IFERROR(VLOOKUP(ROWS($N$2:N919),$D$2:$E$1996,2,0),"")</f>
        <v>Φ35</v>
      </c>
    </row>
    <row r="920" spans="1:14">
      <c r="A920" s="5">
        <v>4</v>
      </c>
      <c r="B920" s="32">
        <f>IF(ISNUMBER(SEARCH('Φόρμα Εισαγωγής'!$B$2,C920)),MAX($B$1:B919)+1,0)</f>
        <v>919</v>
      </c>
      <c r="C920" s="7" t="s">
        <v>606</v>
      </c>
      <c r="D920" s="33">
        <f>IF(ISNUMBER(SEARCH('Φόρμα Εισαγωγής'!$C$2,E920)),MAX($D$1:D919)+1,0)</f>
        <v>919</v>
      </c>
      <c r="E920" s="17" t="s">
        <v>189</v>
      </c>
      <c r="F920" s="5">
        <v>4.95</v>
      </c>
      <c r="G920" s="5">
        <v>6.9</v>
      </c>
      <c r="H920" s="6">
        <f t="shared" si="51"/>
        <v>8.5560000000000009</v>
      </c>
      <c r="I920" s="6">
        <f t="shared" si="52"/>
        <v>19.8</v>
      </c>
      <c r="J920" s="6">
        <f t="shared" si="53"/>
        <v>34.224000000000004</v>
      </c>
      <c r="L920" s="4" t="str">
        <f>IFERROR(VLOOKUP(ROWS($L$2:L920),$B$2:$C$1996,2,0),"")</f>
        <v>ΜΗΧΑΝΙΣΜΟΣ ΘΕΡ. FIORE</v>
      </c>
      <c r="N920" s="2" t="str">
        <f>IFERROR(VLOOKUP(ROWS($N$2:N920),$D$2:$E$1996,2,0),"")</f>
        <v>Φ40</v>
      </c>
    </row>
    <row r="921" spans="1:14">
      <c r="A921" s="5">
        <v>9</v>
      </c>
      <c r="B921" s="32">
        <f>IF(ISNUMBER(SEARCH('Φόρμα Εισαγωγής'!$B$2,C921)),MAX($B$1:B920)+1,0)</f>
        <v>920</v>
      </c>
      <c r="C921" s="7" t="s">
        <v>607</v>
      </c>
      <c r="D921" s="33">
        <f>IF(ISNUMBER(SEARCH('Φόρμα Εισαγωγής'!$C$2,E921)),MAX($D$1:D920)+1,0)</f>
        <v>920</v>
      </c>
      <c r="E921" s="17" t="s">
        <v>32</v>
      </c>
      <c r="F921" s="5">
        <v>1.8</v>
      </c>
      <c r="G921" s="5">
        <v>2.5499999999999998</v>
      </c>
      <c r="H921" s="6">
        <f t="shared" si="51"/>
        <v>3.1619999999999999</v>
      </c>
      <c r="I921" s="6">
        <f t="shared" si="52"/>
        <v>16.2</v>
      </c>
      <c r="J921" s="6">
        <f t="shared" si="53"/>
        <v>28.457999999999998</v>
      </c>
      <c r="L921" s="4" t="str">
        <f>IFERROR(VLOOKUP(ROWS($L$2:L921),$B$2:$C$1996,2,0),"")</f>
        <v>ΓΩΝΙΑ ΡΑΚΟΡ</v>
      </c>
      <c r="N921" s="2" t="str">
        <f>IFERROR(VLOOKUP(ROWS($N$2:N921),$D$2:$E$1996,2,0),"")</f>
        <v>1/2</v>
      </c>
    </row>
    <row r="922" spans="1:14">
      <c r="A922" s="5">
        <v>3</v>
      </c>
      <c r="B922" s="32">
        <f>IF(ISNUMBER(SEARCH('Φόρμα Εισαγωγής'!$B$2,C922)),MAX($B$1:B921)+1,0)</f>
        <v>921</v>
      </c>
      <c r="C922" s="7" t="s">
        <v>608</v>
      </c>
      <c r="D922" s="33">
        <f>IF(ISNUMBER(SEARCH('Φόρμα Εισαγωγής'!$C$2,E922)),MAX($D$1:D921)+1,0)</f>
        <v>921</v>
      </c>
      <c r="E922" s="17" t="s">
        <v>321</v>
      </c>
      <c r="F922" s="5">
        <v>4</v>
      </c>
      <c r="G922" s="5">
        <v>7</v>
      </c>
      <c r="H922" s="6">
        <f t="shared" si="51"/>
        <v>8.68</v>
      </c>
      <c r="I922" s="6">
        <f t="shared" si="52"/>
        <v>12</v>
      </c>
      <c r="J922" s="6">
        <f t="shared" si="53"/>
        <v>26.04</v>
      </c>
      <c r="L922" s="4" t="str">
        <f>IFERROR(VLOOKUP(ROWS($L$2:L922),$B$2:$C$1996,2,0),"")</f>
        <v>ΦΛΑΤΖΑ GEBERIT</v>
      </c>
      <c r="N922" s="2" t="str">
        <f>IFERROR(VLOOKUP(ROWS($N$2:N922),$D$2:$E$1996,2,0),"")</f>
        <v>-</v>
      </c>
    </row>
    <row r="923" spans="1:14">
      <c r="A923" s="5">
        <v>6</v>
      </c>
      <c r="B923" s="32">
        <f>IF(ISNUMBER(SEARCH('Φόρμα Εισαγωγής'!$B$2,C923)),MAX($B$1:B922)+1,0)</f>
        <v>922</v>
      </c>
      <c r="C923" s="7" t="s">
        <v>609</v>
      </c>
      <c r="D923" s="33">
        <f>IF(ISNUMBER(SEARCH('Φόρμα Εισαγωγής'!$C$2,E923)),MAX($D$1:D922)+1,0)</f>
        <v>922</v>
      </c>
      <c r="E923" s="17" t="s">
        <v>321</v>
      </c>
      <c r="F923" s="5">
        <v>0.75</v>
      </c>
      <c r="G923" s="5">
        <v>1.1000000000000001</v>
      </c>
      <c r="H923" s="6">
        <f t="shared" si="51"/>
        <v>1.3640000000000001</v>
      </c>
      <c r="I923" s="6">
        <f t="shared" si="52"/>
        <v>4.5</v>
      </c>
      <c r="J923" s="6">
        <f t="shared" si="53"/>
        <v>8.1840000000000011</v>
      </c>
      <c r="L923" s="4" t="str">
        <f>IFERROR(VLOOKUP(ROWS($L$2:L923),$B$2:$C$1996,2,0),"")</f>
        <v>ΣΥΣΤΟΛΗ ΠΛΥΝΤ.</v>
      </c>
      <c r="N923" s="2" t="str">
        <f>IFERROR(VLOOKUP(ROWS($N$2:N923),$D$2:$E$1996,2,0),"")</f>
        <v>-</v>
      </c>
    </row>
    <row r="924" spans="1:14">
      <c r="A924" s="5">
        <v>6</v>
      </c>
      <c r="B924" s="32">
        <f>IF(ISNUMBER(SEARCH('Φόρμα Εισαγωγής'!$B$2,C924)),MAX($B$1:B923)+1,0)</f>
        <v>923</v>
      </c>
      <c r="C924" s="7" t="s">
        <v>610</v>
      </c>
      <c r="D924" s="33">
        <f>IF(ISNUMBER(SEARCH('Φόρμα Εισαγωγής'!$C$2,E924)),MAX($D$1:D923)+1,0)</f>
        <v>923</v>
      </c>
      <c r="E924" s="17" t="s">
        <v>321</v>
      </c>
      <c r="F924" s="5">
        <v>1.9</v>
      </c>
      <c r="G924" s="5">
        <v>2.7</v>
      </c>
      <c r="H924" s="6">
        <f t="shared" si="51"/>
        <v>3.3480000000000003</v>
      </c>
      <c r="I924" s="6">
        <f t="shared" si="52"/>
        <v>11.399999999999999</v>
      </c>
      <c r="J924" s="6">
        <f t="shared" si="53"/>
        <v>20.088000000000001</v>
      </c>
      <c r="L924" s="4" t="str">
        <f>IFERROR(VLOOKUP(ROWS($L$2:L924),$B$2:$C$1996,2,0),"")</f>
        <v>ΒΑΣΗ ΚΑΠΑΚΙ ΛΕΚΑΝΗΣ WC3</v>
      </c>
      <c r="N924" s="2" t="str">
        <f>IFERROR(VLOOKUP(ROWS($N$2:N924),$D$2:$E$1996,2,0),"")</f>
        <v>-</v>
      </c>
    </row>
    <row r="925" spans="1:14">
      <c r="A925" s="5">
        <v>2</v>
      </c>
      <c r="B925" s="32">
        <f>IF(ISNUMBER(SEARCH('Φόρμα Εισαγωγής'!$B$2,C925)),MAX($B$1:B924)+1,0)</f>
        <v>924</v>
      </c>
      <c r="C925" s="7" t="s">
        <v>611</v>
      </c>
      <c r="D925" s="33">
        <f>IF(ISNUMBER(SEARCH('Φόρμα Εισαγωγής'!$C$2,E925)),MAX($D$1:D924)+1,0)</f>
        <v>924</v>
      </c>
      <c r="E925" s="17" t="s">
        <v>321</v>
      </c>
      <c r="F925" s="5">
        <v>5</v>
      </c>
      <c r="G925" s="5">
        <v>7</v>
      </c>
      <c r="H925" s="6">
        <f t="shared" si="51"/>
        <v>8.68</v>
      </c>
      <c r="I925" s="6">
        <f t="shared" si="52"/>
        <v>10</v>
      </c>
      <c r="J925" s="6">
        <f t="shared" si="53"/>
        <v>17.36</v>
      </c>
      <c r="L925" s="4" t="str">
        <f>IFERROR(VLOOKUP(ROWS($L$2:L925),$B$2:$C$1996,2,0),"")</f>
        <v>ΒΑΣΗ ΚΑΠΑΚΙ ΛΕΚΑΝΗΣ ΜΕΤΑΛΛΙΚΗ</v>
      </c>
      <c r="N925" s="2" t="str">
        <f>IFERROR(VLOOKUP(ROWS($N$2:N925),$D$2:$E$1996,2,0),"")</f>
        <v>-</v>
      </c>
    </row>
    <row r="926" spans="1:14">
      <c r="A926" s="5">
        <v>11</v>
      </c>
      <c r="B926" s="32">
        <f>IF(ISNUMBER(SEARCH('Φόρμα Εισαγωγής'!$B$2,C926)),MAX($B$1:B925)+1,0)</f>
        <v>925</v>
      </c>
      <c r="C926" s="7" t="s">
        <v>612</v>
      </c>
      <c r="D926" s="33">
        <f>IF(ISNUMBER(SEARCH('Φόρμα Εισαγωγής'!$C$2,E926)),MAX($D$1:D925)+1,0)</f>
        <v>925</v>
      </c>
      <c r="E926" s="17" t="s">
        <v>321</v>
      </c>
      <c r="F926" s="5">
        <v>0.7</v>
      </c>
      <c r="G926" s="5">
        <v>1</v>
      </c>
      <c r="H926" s="6">
        <f t="shared" si="51"/>
        <v>1.24</v>
      </c>
      <c r="I926" s="6">
        <f t="shared" si="52"/>
        <v>7.6999999999999993</v>
      </c>
      <c r="J926" s="6">
        <f t="shared" si="53"/>
        <v>13.64</v>
      </c>
      <c r="L926" s="4" t="str">
        <f>IFERROR(VLOOKUP(ROWS($L$2:L926),$B$2:$C$1996,2,0),"")</f>
        <v>ΒΑΣΗ ΣΩΜΑΤΟΣ ΦΕΤΕΣ</v>
      </c>
      <c r="N926" s="2" t="str">
        <f>IFERROR(VLOOKUP(ROWS($N$2:N926),$D$2:$E$1996,2,0),"")</f>
        <v>-</v>
      </c>
    </row>
    <row r="927" spans="1:14">
      <c r="A927" s="5">
        <v>5</v>
      </c>
      <c r="B927" s="32">
        <f>IF(ISNUMBER(SEARCH('Φόρμα Εισαγωγής'!$B$2,C927)),MAX($B$1:B926)+1,0)</f>
        <v>926</v>
      </c>
      <c r="C927" s="7" t="s">
        <v>613</v>
      </c>
      <c r="D927" s="33">
        <f>IF(ISNUMBER(SEARCH('Φόρμα Εισαγωγής'!$C$2,E927)),MAX($D$1:D926)+1,0)</f>
        <v>926</v>
      </c>
      <c r="E927" s="17" t="s">
        <v>614</v>
      </c>
      <c r="F927" s="5">
        <v>4.8499999999999996</v>
      </c>
      <c r="G927" s="5">
        <v>6.75</v>
      </c>
      <c r="H927" s="6">
        <f t="shared" si="51"/>
        <v>8.3699999999999992</v>
      </c>
      <c r="I927" s="6">
        <f t="shared" si="52"/>
        <v>24.25</v>
      </c>
      <c r="J927" s="6">
        <f t="shared" si="53"/>
        <v>41.849999999999994</v>
      </c>
      <c r="L927" s="4" t="str">
        <f>IFERROR(VLOOKUP(ROWS($L$2:L927),$B$2:$C$1996,2,0),"")</f>
        <v xml:space="preserve">ΤΑΦ Μ. ΠΑΡΟΧΗ PPR </v>
      </c>
      <c r="N927" s="2" t="str">
        <f>IFERROR(VLOOKUP(ROWS($N$2:N927),$D$2:$E$1996,2,0),"")</f>
        <v>ΑΡΣ. Φ32 Χ 1''</v>
      </c>
    </row>
    <row r="928" spans="1:14">
      <c r="A928" s="5">
        <v>6</v>
      </c>
      <c r="B928" s="32">
        <f>IF(ISNUMBER(SEARCH('Φόρμα Εισαγωγής'!$B$2,C928)),MAX($B$1:B927)+1,0)</f>
        <v>927</v>
      </c>
      <c r="C928" s="7" t="s">
        <v>615</v>
      </c>
      <c r="D928" s="33">
        <f>IF(ISNUMBER(SEARCH('Φόρμα Εισαγωγής'!$C$2,E928)),MAX($D$1:D927)+1,0)</f>
        <v>927</v>
      </c>
      <c r="E928" s="17" t="s">
        <v>321</v>
      </c>
      <c r="F928" s="5">
        <v>2</v>
      </c>
      <c r="G928" s="5">
        <v>2.8</v>
      </c>
      <c r="H928" s="6">
        <f t="shared" si="51"/>
        <v>3.4719999999999995</v>
      </c>
      <c r="I928" s="6">
        <f t="shared" si="52"/>
        <v>12</v>
      </c>
      <c r="J928" s="6">
        <f t="shared" si="53"/>
        <v>20.831999999999997</v>
      </c>
      <c r="L928" s="4" t="str">
        <f>IFERROR(VLOOKUP(ROWS($L$2:L928),$B$2:$C$1996,2,0),"")</f>
        <v>ΡΟΖΕΤΑ ΜΠΑΤΑΡΙΑΣ</v>
      </c>
      <c r="N928" s="2" t="str">
        <f>IFERROR(VLOOKUP(ROWS($N$2:N928),$D$2:$E$1996,2,0),"")</f>
        <v>-</v>
      </c>
    </row>
    <row r="929" spans="1:14">
      <c r="A929" s="5">
        <v>3</v>
      </c>
      <c r="B929" s="32">
        <f>IF(ISNUMBER(SEARCH('Φόρμα Εισαγωγής'!$B$2,C929)),MAX($B$1:B928)+1,0)</f>
        <v>928</v>
      </c>
      <c r="C929" s="7" t="s">
        <v>616</v>
      </c>
      <c r="D929" s="33">
        <f>IF(ISNUMBER(SEARCH('Φόρμα Εισαγωγής'!$C$2,E929)),MAX($D$1:D928)+1,0)</f>
        <v>928</v>
      </c>
      <c r="E929" s="17" t="s">
        <v>282</v>
      </c>
      <c r="F929" s="5">
        <v>2.65</v>
      </c>
      <c r="G929" s="5">
        <v>3.7</v>
      </c>
      <c r="H929" s="6">
        <f t="shared" si="51"/>
        <v>4.5880000000000001</v>
      </c>
      <c r="I929" s="6">
        <f t="shared" si="52"/>
        <v>7.9499999999999993</v>
      </c>
      <c r="J929" s="6">
        <f t="shared" si="53"/>
        <v>13.763999999999999</v>
      </c>
      <c r="L929" s="4" t="str">
        <f>IFERROR(VLOOKUP(ROWS($L$2:L929),$B$2:$C$1996,2,0),"")</f>
        <v>ΤΑΠΑ ΝΙΠΤΗΡΑ</v>
      </c>
      <c r="N929" s="2" t="str">
        <f>IFERROR(VLOOKUP(ROWS($N$2:N929),$D$2:$E$1996,2,0),"")</f>
        <v>Φ35</v>
      </c>
    </row>
    <row r="930" spans="1:14">
      <c r="A930" s="5">
        <v>2</v>
      </c>
      <c r="B930" s="32">
        <f>IF(ISNUMBER(SEARCH('Φόρμα Εισαγωγής'!$B$2,C930)),MAX($B$1:B929)+1,0)</f>
        <v>929</v>
      </c>
      <c r="C930" s="7" t="s">
        <v>616</v>
      </c>
      <c r="D930" s="33">
        <f>IF(ISNUMBER(SEARCH('Φόρμα Εισαγωγής'!$C$2,E930)),MAX($D$1:D929)+1,0)</f>
        <v>929</v>
      </c>
      <c r="E930" s="17" t="s">
        <v>617</v>
      </c>
      <c r="F930" s="5">
        <v>2.65</v>
      </c>
      <c r="G930" s="5">
        <v>3.7</v>
      </c>
      <c r="H930" s="6">
        <f t="shared" si="51"/>
        <v>4.5880000000000001</v>
      </c>
      <c r="I930" s="6">
        <f t="shared" si="52"/>
        <v>5.3</v>
      </c>
      <c r="J930" s="6">
        <f t="shared" si="53"/>
        <v>9.1760000000000002</v>
      </c>
      <c r="L930" s="4" t="str">
        <f>IFERROR(VLOOKUP(ROWS($L$2:L930),$B$2:$C$1996,2,0),"")</f>
        <v>ΤΑΠΑ ΝΙΠΤΗΡΑ</v>
      </c>
      <c r="N930" s="2" t="str">
        <f>IFERROR(VLOOKUP(ROWS($N$2:N930),$D$2:$E$1996,2,0),"")</f>
        <v>Φ37</v>
      </c>
    </row>
    <row r="931" spans="1:14">
      <c r="A931" s="5">
        <v>10</v>
      </c>
      <c r="B931" s="32">
        <f>IF(ISNUMBER(SEARCH('Φόρμα Εισαγωγής'!$B$2,C931)),MAX($B$1:B930)+1,0)</f>
        <v>930</v>
      </c>
      <c r="C931" s="7" t="s">
        <v>618</v>
      </c>
      <c r="D931" s="33">
        <f>IF(ISNUMBER(SEARCH('Φόρμα Εισαγωγής'!$C$2,E931)),MAX($D$1:D930)+1,0)</f>
        <v>930</v>
      </c>
      <c r="E931" s="17" t="s">
        <v>33</v>
      </c>
      <c r="F931" s="5">
        <v>0.45</v>
      </c>
      <c r="G931" s="5">
        <v>0.65</v>
      </c>
      <c r="H931" s="6">
        <f t="shared" si="51"/>
        <v>0.80600000000000005</v>
      </c>
      <c r="I931" s="6">
        <f t="shared" si="52"/>
        <v>4.5</v>
      </c>
      <c r="J931" s="6">
        <f t="shared" si="53"/>
        <v>8.06</v>
      </c>
      <c r="L931" s="4" t="str">
        <f>IFERROR(VLOOKUP(ROWS($L$2:L931),$B$2:$C$1996,2,0),"")</f>
        <v>ΡΟΖΕΤΑ ΟΡ. ΦΛΑΤ</v>
      </c>
      <c r="N931" s="2" t="str">
        <f>IFERROR(VLOOKUP(ROWS($N$2:N931),$D$2:$E$1996,2,0),"")</f>
        <v>3/4</v>
      </c>
    </row>
    <row r="932" spans="1:14">
      <c r="A932" s="5">
        <v>8</v>
      </c>
      <c r="B932" s="32">
        <f>IF(ISNUMBER(SEARCH('Φόρμα Εισαγωγής'!$B$2,C932)),MAX($B$1:B931)+1,0)</f>
        <v>931</v>
      </c>
      <c r="C932" s="7" t="s">
        <v>619</v>
      </c>
      <c r="D932" s="33">
        <f>IF(ISNUMBER(SEARCH('Φόρμα Εισαγωγής'!$C$2,E932)),MAX($D$1:D931)+1,0)</f>
        <v>931</v>
      </c>
      <c r="E932" s="17" t="s">
        <v>321</v>
      </c>
      <c r="F932" s="5">
        <v>0.5</v>
      </c>
      <c r="G932" s="5">
        <v>0.7</v>
      </c>
      <c r="H932" s="6">
        <f t="shared" si="51"/>
        <v>0.86799999999999988</v>
      </c>
      <c r="I932" s="6">
        <f t="shared" si="52"/>
        <v>4</v>
      </c>
      <c r="J932" s="6">
        <f t="shared" si="53"/>
        <v>6.9439999999999991</v>
      </c>
      <c r="L932" s="4" t="str">
        <f>IFERROR(VLOOKUP(ROWS($L$2:L932),$B$2:$C$1996,2,0),"")</f>
        <v>ΣΤΗΡΙΓΜΑ ΝΙΠΤΗΡΑ</v>
      </c>
      <c r="N932" s="2" t="str">
        <f>IFERROR(VLOOKUP(ROWS($N$2:N932),$D$2:$E$1996,2,0),"")</f>
        <v>-</v>
      </c>
    </row>
    <row r="933" spans="1:14">
      <c r="A933" s="5">
        <v>48</v>
      </c>
      <c r="B933" s="32">
        <f>IF(ISNUMBER(SEARCH('Φόρμα Εισαγωγής'!$B$2,C933)),MAX($B$1:B932)+1,0)</f>
        <v>932</v>
      </c>
      <c r="C933" s="7" t="s">
        <v>917</v>
      </c>
      <c r="D933" s="33">
        <f>IF(ISNUMBER(SEARCH('Φόρμα Εισαγωγής'!$C$2,E933)),MAX($D$1:D932)+1,0)</f>
        <v>932</v>
      </c>
      <c r="E933" s="17" t="s">
        <v>32</v>
      </c>
      <c r="F933" s="5">
        <v>0.8</v>
      </c>
      <c r="G933" s="5">
        <v>1.4</v>
      </c>
      <c r="H933" s="6">
        <f t="shared" si="51"/>
        <v>1.7359999999999998</v>
      </c>
      <c r="I933" s="6">
        <f t="shared" si="52"/>
        <v>38.400000000000006</v>
      </c>
      <c r="J933" s="6">
        <f t="shared" si="53"/>
        <v>83.327999999999989</v>
      </c>
      <c r="L933" s="4" t="str">
        <f>IFERROR(VLOOKUP(ROWS($L$2:L933),$B$2:$C$1996,2,0),"")</f>
        <v>ΡΟΖΕΤΑ ΙΣΙΑ BF</v>
      </c>
      <c r="N933" s="2" t="str">
        <f>IFERROR(VLOOKUP(ROWS($N$2:N933),$D$2:$E$1996,2,0),"")</f>
        <v>1/2</v>
      </c>
    </row>
    <row r="934" spans="1:14">
      <c r="A934" s="5">
        <v>100</v>
      </c>
      <c r="B934" s="32">
        <f>IF(ISNUMBER(SEARCH('Φόρμα Εισαγωγής'!$B$2,C934)),MAX($B$1:B933)+1,0)</f>
        <v>933</v>
      </c>
      <c r="C934" s="7" t="s">
        <v>916</v>
      </c>
      <c r="D934" s="33">
        <f>IF(ISNUMBER(SEARCH('Φόρμα Εισαγωγής'!$C$2,E934)),MAX($D$1:D933)+1,0)</f>
        <v>933</v>
      </c>
      <c r="E934" s="17" t="s">
        <v>32</v>
      </c>
      <c r="F934" s="5">
        <v>0.8</v>
      </c>
      <c r="G934" s="5">
        <v>1.4</v>
      </c>
      <c r="H934" s="6">
        <f t="shared" si="51"/>
        <v>1.7359999999999998</v>
      </c>
      <c r="I934" s="6">
        <f t="shared" si="52"/>
        <v>80</v>
      </c>
      <c r="J934" s="6">
        <f t="shared" si="53"/>
        <v>173.59999999999997</v>
      </c>
      <c r="L934" s="4" t="str">
        <f>IFERROR(VLOOKUP(ROWS($L$2:L934),$B$2:$C$1996,2,0),"")</f>
        <v>ΡΟΖΕΤΑ ΠΟΜΠΕ BF</v>
      </c>
      <c r="N934" s="2" t="str">
        <f>IFERROR(VLOOKUP(ROWS($N$2:N934),$D$2:$E$1996,2,0),"")</f>
        <v>1/2</v>
      </c>
    </row>
    <row r="935" spans="1:14">
      <c r="A935" s="5">
        <v>8</v>
      </c>
      <c r="B935" s="32">
        <f>IF(ISNUMBER(SEARCH('Φόρμα Εισαγωγής'!$B$2,C935)),MAX($B$1:B934)+1,0)</f>
        <v>934</v>
      </c>
      <c r="C935" s="7" t="s">
        <v>915</v>
      </c>
      <c r="D935" s="33">
        <f>IF(ISNUMBER(SEARCH('Φόρμα Εισαγωγής'!$C$2,E935)),MAX($D$1:D934)+1,0)</f>
        <v>934</v>
      </c>
      <c r="E935" s="17" t="s">
        <v>321</v>
      </c>
      <c r="F935" s="5">
        <v>2.1</v>
      </c>
      <c r="G935" s="5">
        <v>3</v>
      </c>
      <c r="H935" s="6">
        <f t="shared" si="51"/>
        <v>3.7199999999999998</v>
      </c>
      <c r="I935" s="6">
        <f t="shared" si="52"/>
        <v>16.8</v>
      </c>
      <c r="J935" s="6">
        <f t="shared" si="53"/>
        <v>29.759999999999998</v>
      </c>
      <c r="L935" s="4" t="str">
        <f>IFERROR(VLOOKUP(ROWS($L$2:L935),$B$2:$C$1996,2,0),"")</f>
        <v>ΡΑΚΟΡ ΜΠΑΤ REGINA</v>
      </c>
      <c r="N935" s="2" t="str">
        <f>IFERROR(VLOOKUP(ROWS($N$2:N935),$D$2:$E$1996,2,0),"")</f>
        <v>-</v>
      </c>
    </row>
    <row r="936" spans="1:14">
      <c r="A936" s="5">
        <v>8</v>
      </c>
      <c r="B936" s="32">
        <f>IF(ISNUMBER(SEARCH('Φόρμα Εισαγωγής'!$B$2,C936)),MAX($B$1:B935)+1,0)</f>
        <v>935</v>
      </c>
      <c r="C936" s="7" t="s">
        <v>914</v>
      </c>
      <c r="D936" s="33">
        <f>IF(ISNUMBER(SEARCH('Φόρμα Εισαγωγής'!$C$2,E936)),MAX($D$1:D935)+1,0)</f>
        <v>935</v>
      </c>
      <c r="E936" s="17" t="s">
        <v>620</v>
      </c>
      <c r="F936" s="5">
        <v>1.8</v>
      </c>
      <c r="G936" s="5">
        <v>2.6</v>
      </c>
      <c r="H936" s="6">
        <f t="shared" si="51"/>
        <v>3.2240000000000002</v>
      </c>
      <c r="I936" s="6">
        <f t="shared" si="52"/>
        <v>14.4</v>
      </c>
      <c r="J936" s="6">
        <f t="shared" si="53"/>
        <v>25.792000000000002</v>
      </c>
      <c r="L936" s="4" t="str">
        <f>IFERROR(VLOOKUP(ROWS($L$2:L936),$B$2:$C$1996,2,0),"")</f>
        <v>ΓΩΝΑΤΟ ΜΠΑΤ REGINA</v>
      </c>
      <c r="N936" s="2" t="str">
        <f>IFERROR(VLOOKUP(ROWS($N$2:N936),$D$2:$E$1996,2,0),"")</f>
        <v>4CM</v>
      </c>
    </row>
    <row r="937" spans="1:14">
      <c r="A937" s="5">
        <v>2</v>
      </c>
      <c r="B937" s="32">
        <f>IF(ISNUMBER(SEARCH('Φόρμα Εισαγωγής'!$B$2,C937)),MAX($B$1:B936)+1,0)</f>
        <v>936</v>
      </c>
      <c r="C937" s="7" t="s">
        <v>913</v>
      </c>
      <c r="D937" s="33">
        <f>IF(ISNUMBER(SEARCH('Φόρμα Εισαγωγής'!$C$2,E937)),MAX($D$1:D936)+1,0)</f>
        <v>936</v>
      </c>
      <c r="E937" s="17" t="s">
        <v>595</v>
      </c>
      <c r="F937" s="5">
        <v>3.35</v>
      </c>
      <c r="G937" s="5">
        <v>4.7</v>
      </c>
      <c r="H937" s="6">
        <f t="shared" si="51"/>
        <v>5.8280000000000003</v>
      </c>
      <c r="I937" s="6">
        <f t="shared" si="52"/>
        <v>6.7</v>
      </c>
      <c r="J937" s="6">
        <f t="shared" si="53"/>
        <v>11.656000000000001</v>
      </c>
      <c r="L937" s="4" t="str">
        <f>IFERROR(VLOOKUP(ROWS($L$2:L937),$B$2:$C$1996,2,0),"")</f>
        <v>ΓΩΝΑΤΟ ΜΠΑΤ ΚΑΝΑΔΑ</v>
      </c>
      <c r="N937" s="2" t="str">
        <f>IFERROR(VLOOKUP(ROWS($N$2:N937),$D$2:$E$1996,2,0),"")</f>
        <v>5CM</v>
      </c>
    </row>
    <row r="938" spans="1:14">
      <c r="A938" s="5">
        <v>49</v>
      </c>
      <c r="B938" s="32">
        <f>IF(ISNUMBER(SEARCH('Φόρμα Εισαγωγής'!$B$2,C938)),MAX($B$1:B937)+1,0)</f>
        <v>937</v>
      </c>
      <c r="C938" s="7" t="s">
        <v>912</v>
      </c>
      <c r="D938" s="33">
        <f>IF(ISNUMBER(SEARCH('Φόρμα Εισαγωγής'!$C$2,E938)),MAX($D$1:D937)+1,0)</f>
        <v>937</v>
      </c>
      <c r="E938" s="17" t="s">
        <v>321</v>
      </c>
      <c r="F938" s="5">
        <v>1</v>
      </c>
      <c r="G938" s="5">
        <v>2</v>
      </c>
      <c r="H938" s="6">
        <f t="shared" si="51"/>
        <v>2.48</v>
      </c>
      <c r="I938" s="6">
        <f t="shared" si="52"/>
        <v>49</v>
      </c>
      <c r="J938" s="6">
        <f t="shared" si="53"/>
        <v>121.52</v>
      </c>
      <c r="L938" s="4" t="str">
        <f>IFERROR(VLOOKUP(ROWS($L$2:L938),$B$2:$C$1996,2,0),"")</f>
        <v>ΓΩΝΑΤΟ ΜΠΑΤ FIORE</v>
      </c>
      <c r="N938" s="2" t="str">
        <f>IFERROR(VLOOKUP(ROWS($N$2:N938),$D$2:$E$1996,2,0),"")</f>
        <v>-</v>
      </c>
    </row>
    <row r="939" spans="1:14">
      <c r="A939" s="5">
        <v>2</v>
      </c>
      <c r="B939" s="32">
        <f>IF(ISNUMBER(SEARCH('Φόρμα Εισαγωγής'!$B$2,C939)),MAX($B$1:B938)+1,0)</f>
        <v>938</v>
      </c>
      <c r="C939" s="7" t="s">
        <v>621</v>
      </c>
      <c r="D939" s="33">
        <f>IF(ISNUMBER(SEARCH('Φόρμα Εισαγωγής'!$C$2,E939)),MAX($D$1:D938)+1,0)</f>
        <v>938</v>
      </c>
      <c r="E939" s="17" t="s">
        <v>34</v>
      </c>
      <c r="F939" s="5">
        <v>5</v>
      </c>
      <c r="G939" s="5">
        <v>7</v>
      </c>
      <c r="H939" s="6">
        <f t="shared" si="51"/>
        <v>8.68</v>
      </c>
      <c r="I939" s="6">
        <f t="shared" si="52"/>
        <v>10</v>
      </c>
      <c r="J939" s="6">
        <f t="shared" si="53"/>
        <v>17.36</v>
      </c>
      <c r="L939" s="4" t="str">
        <f>IFERROR(VLOOKUP(ROWS($L$2:L939),$B$2:$C$1996,2,0),"")</f>
        <v>ΠΕΝΤΑΟΔΟ ΟΡ.</v>
      </c>
      <c r="N939" s="2" t="str">
        <f>IFERROR(VLOOKUP(ROWS($N$2:N939),$D$2:$E$1996,2,0),"")</f>
        <v>1''</v>
      </c>
    </row>
    <row r="940" spans="1:14">
      <c r="A940" s="5">
        <v>13</v>
      </c>
      <c r="B940" s="32">
        <f>IF(ISNUMBER(SEARCH('Φόρμα Εισαγωγής'!$B$2,C940)),MAX($B$1:B939)+1,0)</f>
        <v>939</v>
      </c>
      <c r="C940" s="7" t="s">
        <v>622</v>
      </c>
      <c r="D940" s="33">
        <f>IF(ISNUMBER(SEARCH('Φόρμα Εισαγωγής'!$C$2,E940)),MAX($D$1:D939)+1,0)</f>
        <v>939</v>
      </c>
      <c r="E940" s="17" t="s">
        <v>34</v>
      </c>
      <c r="F940" s="5">
        <v>1.83</v>
      </c>
      <c r="G940" s="5">
        <v>2.56</v>
      </c>
      <c r="H940" s="6">
        <f t="shared" si="51"/>
        <v>3.1743999999999999</v>
      </c>
      <c r="I940" s="6">
        <f t="shared" si="52"/>
        <v>23.79</v>
      </c>
      <c r="J940" s="6">
        <f t="shared" si="53"/>
        <v>41.267199999999995</v>
      </c>
      <c r="L940" s="4" t="str">
        <f>IFERROR(VLOOKUP(ROWS($L$2:L940),$B$2:$C$1996,2,0),"")</f>
        <v>ΝΙΠΕΛ ΟΡ.</v>
      </c>
      <c r="N940" s="2" t="str">
        <f>IFERROR(VLOOKUP(ROWS($N$2:N940),$D$2:$E$1996,2,0),"")</f>
        <v>1''</v>
      </c>
    </row>
    <row r="941" spans="1:14">
      <c r="A941" s="5">
        <v>2</v>
      </c>
      <c r="B941" s="32">
        <f>IF(ISNUMBER(SEARCH('Φόρμα Εισαγωγής'!$B$2,C941)),MAX($B$1:B940)+1,0)</f>
        <v>940</v>
      </c>
      <c r="C941" s="7" t="s">
        <v>623</v>
      </c>
      <c r="D941" s="33">
        <f>IF(ISNUMBER(SEARCH('Φόρμα Εισαγωγής'!$C$2,E941)),MAX($D$1:D940)+1,0)</f>
        <v>940</v>
      </c>
      <c r="E941" s="17" t="s">
        <v>34</v>
      </c>
      <c r="F941" s="5">
        <v>2.7</v>
      </c>
      <c r="G941" s="5">
        <v>3.75</v>
      </c>
      <c r="H941" s="6">
        <f t="shared" si="51"/>
        <v>4.6500000000000004</v>
      </c>
      <c r="I941" s="6">
        <f t="shared" si="52"/>
        <v>5.4</v>
      </c>
      <c r="J941" s="6">
        <f t="shared" si="53"/>
        <v>9.3000000000000007</v>
      </c>
      <c r="L941" s="4" t="str">
        <f>IFERROR(VLOOKUP(ROWS($L$2:L941),$B$2:$C$1996,2,0),"")</f>
        <v>ΜΟΥΦΕΣ ΟΡ.</v>
      </c>
      <c r="N941" s="2" t="str">
        <f>IFERROR(VLOOKUP(ROWS($N$2:N941),$D$2:$E$1996,2,0),"")</f>
        <v>1''</v>
      </c>
    </row>
    <row r="942" spans="1:14">
      <c r="A942" s="5">
        <v>2</v>
      </c>
      <c r="B942" s="32">
        <f>IF(ISNUMBER(SEARCH('Φόρμα Εισαγωγής'!$B$2,C942)),MAX($B$1:B941)+1,0)</f>
        <v>941</v>
      </c>
      <c r="C942" s="7" t="s">
        <v>624</v>
      </c>
      <c r="D942" s="33">
        <f>IF(ISNUMBER(SEARCH('Φόρμα Εισαγωγής'!$C$2,E942)),MAX($D$1:D941)+1,0)</f>
        <v>941</v>
      </c>
      <c r="E942" s="17" t="s">
        <v>701</v>
      </c>
      <c r="F942" s="5">
        <v>1</v>
      </c>
      <c r="G942" s="5">
        <v>1.4</v>
      </c>
      <c r="H942" s="6">
        <f t="shared" si="51"/>
        <v>1.7359999999999998</v>
      </c>
      <c r="I942" s="6">
        <f t="shared" si="52"/>
        <v>2</v>
      </c>
      <c r="J942" s="6">
        <f t="shared" si="53"/>
        <v>3.4719999999999995</v>
      </c>
      <c r="L942" s="4" t="str">
        <f>IFERROR(VLOOKUP(ROWS($L$2:L942),$B$2:$C$1996,2,0),"")</f>
        <v>ΤΑΠΑ ΟΡ.</v>
      </c>
      <c r="N942" s="2" t="str">
        <f>IFERROR(VLOOKUP(ROWS($N$2:N942),$D$2:$E$1996,2,0),"")</f>
        <v>ΘΗΛ. 1''</v>
      </c>
    </row>
    <row r="943" spans="1:14">
      <c r="A943" s="5">
        <v>7</v>
      </c>
      <c r="B943" s="32">
        <f>IF(ISNUMBER(SEARCH('Φόρμα Εισαγωγής'!$B$2,C943)),MAX($B$1:B942)+1,0)</f>
        <v>942</v>
      </c>
      <c r="C943" s="7" t="s">
        <v>625</v>
      </c>
      <c r="D943" s="33">
        <f>IF(ISNUMBER(SEARCH('Φόρμα Εισαγωγής'!$C$2,E943)),MAX($D$1:D942)+1,0)</f>
        <v>942</v>
      </c>
      <c r="E943" s="17" t="s">
        <v>918</v>
      </c>
      <c r="F943" s="5">
        <v>0.85</v>
      </c>
      <c r="G943" s="5">
        <v>1.2</v>
      </c>
      <c r="H943" s="6">
        <f t="shared" si="51"/>
        <v>1.488</v>
      </c>
      <c r="I943" s="6">
        <f t="shared" si="52"/>
        <v>5.95</v>
      </c>
      <c r="J943" s="6">
        <f t="shared" si="53"/>
        <v>10.416</v>
      </c>
      <c r="L943" s="4" t="str">
        <f>IFERROR(VLOOKUP(ROWS($L$2:L943),$B$2:$C$1996,2,0),"")</f>
        <v>ΡΑΚΟΡ ΜΠΑΤ.</v>
      </c>
      <c r="N943" s="2" t="str">
        <f>IFERROR(VLOOKUP(ROWS($N$2:N943),$D$2:$E$1996,2,0),"")</f>
        <v>ΑΡΣ. 1/2 X Φ10</v>
      </c>
    </row>
    <row r="944" spans="1:14">
      <c r="A944" s="5">
        <v>13</v>
      </c>
      <c r="B944" s="32">
        <f>IF(ISNUMBER(SEARCH('Φόρμα Εισαγωγής'!$B$2,C944)),MAX($B$1:B943)+1,0)</f>
        <v>943</v>
      </c>
      <c r="C944" s="7" t="s">
        <v>625</v>
      </c>
      <c r="D944" s="33">
        <f>IF(ISNUMBER(SEARCH('Φόρμα Εισαγωγής'!$C$2,E944)),MAX($D$1:D943)+1,0)</f>
        <v>943</v>
      </c>
      <c r="E944" s="17" t="s">
        <v>919</v>
      </c>
      <c r="F944" s="5">
        <v>0.85</v>
      </c>
      <c r="G944" s="5">
        <v>1.2</v>
      </c>
      <c r="H944" s="6">
        <f t="shared" si="51"/>
        <v>1.488</v>
      </c>
      <c r="I944" s="6">
        <f t="shared" si="52"/>
        <v>11.049999999999999</v>
      </c>
      <c r="J944" s="6">
        <f t="shared" si="53"/>
        <v>19.344000000000001</v>
      </c>
      <c r="L944" s="4" t="str">
        <f>IFERROR(VLOOKUP(ROWS($L$2:L944),$B$2:$C$1996,2,0),"")</f>
        <v>ΡΑΚΟΡ ΜΠΑΤ.</v>
      </c>
      <c r="N944" s="2" t="str">
        <f>IFERROR(VLOOKUP(ROWS($N$2:N944),$D$2:$E$1996,2,0),"")</f>
        <v>ΘΗΛ. 1/2 Χ Φ10</v>
      </c>
    </row>
    <row r="945" spans="1:14">
      <c r="A945" s="5">
        <v>4</v>
      </c>
      <c r="B945" s="32">
        <f>IF(ISNUMBER(SEARCH('Φόρμα Εισαγωγής'!$B$2,C945)),MAX($B$1:B944)+1,0)</f>
        <v>944</v>
      </c>
      <c r="C945" s="7" t="s">
        <v>627</v>
      </c>
      <c r="D945" s="33">
        <f>IF(ISNUMBER(SEARCH('Φόρμα Εισαγωγής'!$C$2,E945)),MAX($D$1:D944)+1,0)</f>
        <v>944</v>
      </c>
      <c r="E945" s="17" t="s">
        <v>628</v>
      </c>
      <c r="F945" s="5">
        <v>0.7</v>
      </c>
      <c r="G945" s="5">
        <v>1</v>
      </c>
      <c r="H945" s="6">
        <f t="shared" si="51"/>
        <v>1.24</v>
      </c>
      <c r="I945" s="6">
        <f t="shared" si="52"/>
        <v>2.8</v>
      </c>
      <c r="J945" s="6">
        <f t="shared" si="53"/>
        <v>4.96</v>
      </c>
      <c r="L945" s="4" t="str">
        <f>IFERROR(VLOOKUP(ROWS($L$2:L945),$B$2:$C$1996,2,0),"")</f>
        <v xml:space="preserve">ΒΑΣΗ ΜΠΑΤ. </v>
      </c>
      <c r="N945" s="2" t="str">
        <f>IFERROR(VLOOKUP(ROWS($N$2:N945),$D$2:$E$1996,2,0),"")</f>
        <v>1 ΤΡΥΠΑ</v>
      </c>
    </row>
    <row r="946" spans="1:14">
      <c r="A946" s="5">
        <v>3</v>
      </c>
      <c r="B946" s="32">
        <f>IF(ISNUMBER(SEARCH('Φόρμα Εισαγωγής'!$B$2,C946)),MAX($B$1:B945)+1,0)</f>
        <v>945</v>
      </c>
      <c r="C946" s="7" t="s">
        <v>627</v>
      </c>
      <c r="D946" s="33">
        <f>IF(ISNUMBER(SEARCH('Φόρμα Εισαγωγής'!$C$2,E946)),MAX($D$1:D945)+1,0)</f>
        <v>945</v>
      </c>
      <c r="E946" s="17" t="s">
        <v>629</v>
      </c>
      <c r="F946" s="5">
        <v>0.7</v>
      </c>
      <c r="G946" s="5">
        <v>1</v>
      </c>
      <c r="H946" s="6">
        <f t="shared" si="51"/>
        <v>1.24</v>
      </c>
      <c r="I946" s="6">
        <f t="shared" si="52"/>
        <v>2.0999999999999996</v>
      </c>
      <c r="J946" s="6">
        <f t="shared" si="53"/>
        <v>3.7199999999999998</v>
      </c>
      <c r="L946" s="4" t="str">
        <f>IFERROR(VLOOKUP(ROWS($L$2:L946),$B$2:$C$1996,2,0),"")</f>
        <v xml:space="preserve">ΒΑΣΗ ΜΠΑΤ. </v>
      </c>
      <c r="N946" s="2" t="str">
        <f>IFERROR(VLOOKUP(ROWS($N$2:N946),$D$2:$E$1996,2,0),"")</f>
        <v>2 ΤΡΥΠΕΣ</v>
      </c>
    </row>
    <row r="947" spans="1:14">
      <c r="A947" s="5">
        <v>1</v>
      </c>
      <c r="B947" s="32">
        <f>IF(ISNUMBER(SEARCH('Φόρμα Εισαγωγής'!$B$2,C947)),MAX($B$1:B946)+1,0)</f>
        <v>946</v>
      </c>
      <c r="C947" s="7" t="s">
        <v>630</v>
      </c>
      <c r="D947" s="33">
        <f>IF(ISNUMBER(SEARCH('Φόρμα Εισαγωγής'!$C$2,E947)),MAX($D$1:D946)+1,0)</f>
        <v>946</v>
      </c>
      <c r="E947" s="17" t="s">
        <v>483</v>
      </c>
      <c r="F947" s="5">
        <v>11.1</v>
      </c>
      <c r="G947" s="5">
        <v>15.55</v>
      </c>
      <c r="H947" s="6">
        <f t="shared" si="51"/>
        <v>19.282</v>
      </c>
      <c r="I947" s="6">
        <f t="shared" si="52"/>
        <v>11.1</v>
      </c>
      <c r="J947" s="6">
        <f t="shared" si="53"/>
        <v>19.282</v>
      </c>
      <c r="L947" s="4" t="str">
        <f>IFERROR(VLOOKUP(ROWS($L$2:L947),$B$2:$C$1996,2,0),"")</f>
        <v>ΚΑΜΙΝΑΔΑ ΠΛΑΣΤΙΚΗ ΤΑΦ ΜΕΤΡΗΣΗΣ</v>
      </c>
      <c r="N947" s="2" t="str">
        <f>IFERROR(VLOOKUP(ROWS($N$2:N947),$D$2:$E$1996,2,0),"")</f>
        <v>Φ80</v>
      </c>
    </row>
    <row r="948" spans="1:14">
      <c r="A948" s="5">
        <v>1</v>
      </c>
      <c r="B948" s="32">
        <f>IF(ISNUMBER(SEARCH('Φόρμα Εισαγωγής'!$B$2,C948)),MAX($B$1:B947)+1,0)</f>
        <v>947</v>
      </c>
      <c r="C948" s="7" t="s">
        <v>631</v>
      </c>
      <c r="D948" s="33">
        <f>IF(ISNUMBER(SEARCH('Φόρμα Εισαγωγής'!$C$2,E948)),MAX($D$1:D947)+1,0)</f>
        <v>947</v>
      </c>
      <c r="E948" s="17" t="s">
        <v>632</v>
      </c>
      <c r="F948" s="5">
        <v>29.03</v>
      </c>
      <c r="G948" s="5">
        <v>40.65</v>
      </c>
      <c r="H948" s="6">
        <f t="shared" si="51"/>
        <v>50.405999999999999</v>
      </c>
      <c r="I948" s="6">
        <f t="shared" si="52"/>
        <v>29.03</v>
      </c>
      <c r="J948" s="6">
        <f t="shared" si="53"/>
        <v>50.405999999999999</v>
      </c>
      <c r="L948" s="4" t="str">
        <f>IFERROR(VLOOKUP(ROWS($L$2:L948),$B$2:$C$1996,2,0),"")</f>
        <v>ΚΑΜΙΝΑΔΑ ΠΛΑΣΤΙΚΗ ΗΜΙΤΑΦ ΜΕΤΡΗΣΗΣ</v>
      </c>
      <c r="N948" s="2" t="str">
        <f>IFERROR(VLOOKUP(ROWS($N$2:N948),$D$2:$E$1996,2,0),"")</f>
        <v>Φ80 Χ Φ63</v>
      </c>
    </row>
    <row r="949" spans="1:14">
      <c r="A949" s="5">
        <v>3</v>
      </c>
      <c r="B949" s="32">
        <f>IF(ISNUMBER(SEARCH('Φόρμα Εισαγωγής'!$B$2,C949)),MAX($B$1:B948)+1,0)</f>
        <v>948</v>
      </c>
      <c r="C949" s="7" t="s">
        <v>633</v>
      </c>
      <c r="D949" s="33">
        <f>IF(ISNUMBER(SEARCH('Φόρμα Εισαγωγής'!$C$2,E949)),MAX($D$1:D948)+1,0)</f>
        <v>948</v>
      </c>
      <c r="E949" s="17" t="s">
        <v>483</v>
      </c>
      <c r="F949" s="5">
        <v>6.3</v>
      </c>
      <c r="G949" s="5">
        <v>8.8000000000000007</v>
      </c>
      <c r="H949" s="6">
        <f t="shared" si="51"/>
        <v>10.912000000000001</v>
      </c>
      <c r="I949" s="6">
        <f t="shared" si="52"/>
        <v>18.899999999999999</v>
      </c>
      <c r="J949" s="6">
        <f t="shared" si="53"/>
        <v>32.736000000000004</v>
      </c>
      <c r="L949" s="4" t="str">
        <f>IFERROR(VLOOKUP(ROWS($L$2:L949),$B$2:$C$1996,2,0),"")</f>
        <v>ΚΑΜΙΝΑΔΑ ΠΛΑΣΤΙΚΗ ΓΩΝΙΑ 30ο</v>
      </c>
      <c r="N949" s="2" t="str">
        <f>IFERROR(VLOOKUP(ROWS($N$2:N949),$D$2:$E$1996,2,0),"")</f>
        <v>Φ80</v>
      </c>
    </row>
    <row r="950" spans="1:14">
      <c r="A950" s="5">
        <v>1</v>
      </c>
      <c r="B950" s="32">
        <f>IF(ISNUMBER(SEARCH('Φόρμα Εισαγωγής'!$B$2,C950)),MAX($B$1:B949)+1,0)</f>
        <v>949</v>
      </c>
      <c r="C950" s="7" t="s">
        <v>634</v>
      </c>
      <c r="D950" s="33">
        <f>IF(ISNUMBER(SEARCH('Φόρμα Εισαγωγής'!$C$2,E950)),MAX($D$1:D949)+1,0)</f>
        <v>949</v>
      </c>
      <c r="E950" s="17" t="s">
        <v>483</v>
      </c>
      <c r="F950" s="5">
        <v>6.2</v>
      </c>
      <c r="G950" s="5">
        <v>8.6999999999999993</v>
      </c>
      <c r="H950" s="6">
        <f t="shared" si="51"/>
        <v>10.787999999999998</v>
      </c>
      <c r="I950" s="6">
        <f t="shared" si="52"/>
        <v>6.2</v>
      </c>
      <c r="J950" s="6">
        <f t="shared" si="53"/>
        <v>10.787999999999998</v>
      </c>
      <c r="L950" s="4" t="str">
        <f>IFERROR(VLOOKUP(ROWS($L$2:L950),$B$2:$C$1996,2,0),"")</f>
        <v>ΚΑΜΙΝΑΔΑ ΠΛΑΣΤΙΚΗ ΓΩΝΙΑ 60ο</v>
      </c>
      <c r="N950" s="2" t="str">
        <f>IFERROR(VLOOKUP(ROWS($N$2:N950),$D$2:$E$1996,2,0),"")</f>
        <v>Φ80</v>
      </c>
    </row>
    <row r="951" spans="1:14">
      <c r="A951" s="5">
        <v>10</v>
      </c>
      <c r="B951" s="32">
        <f>IF(ISNUMBER(SEARCH('Φόρμα Εισαγωγής'!$B$2,C951)),MAX($B$1:B950)+1,0)</f>
        <v>950</v>
      </c>
      <c r="C951" s="7" t="s">
        <v>635</v>
      </c>
      <c r="D951" s="33">
        <f>IF(ISNUMBER(SEARCH('Φόρμα Εισαγωγής'!$C$2,E951)),MAX($D$1:D950)+1,0)</f>
        <v>950</v>
      </c>
      <c r="E951" s="17" t="s">
        <v>483</v>
      </c>
      <c r="F951" s="5">
        <v>4.7</v>
      </c>
      <c r="G951" s="5">
        <v>6.06</v>
      </c>
      <c r="H951" s="6">
        <f t="shared" si="51"/>
        <v>7.5143999999999993</v>
      </c>
      <c r="I951" s="6">
        <f t="shared" si="52"/>
        <v>47</v>
      </c>
      <c r="J951" s="6">
        <f t="shared" si="53"/>
        <v>75.143999999999991</v>
      </c>
      <c r="L951" s="4" t="str">
        <f>IFERROR(VLOOKUP(ROWS($L$2:L951),$B$2:$C$1996,2,0),"")</f>
        <v>ΚΑΜΙΝΑΔΑ ΠΛΑΣΤΙΚΗ ΓΩΝΙΑ 45ο</v>
      </c>
      <c r="N951" s="2" t="str">
        <f>IFERROR(VLOOKUP(ROWS($N$2:N951),$D$2:$E$1996,2,0),"")</f>
        <v>Φ80</v>
      </c>
    </row>
    <row r="952" spans="1:14">
      <c r="A952" s="5">
        <v>6</v>
      </c>
      <c r="B952" s="32">
        <f>IF(ISNUMBER(SEARCH('Φόρμα Εισαγωγής'!$B$2,C952)),MAX($B$1:B951)+1,0)</f>
        <v>951</v>
      </c>
      <c r="C952" s="7" t="s">
        <v>636</v>
      </c>
      <c r="D952" s="33">
        <f>IF(ISNUMBER(SEARCH('Φόρμα Εισαγωγής'!$C$2,E952)),MAX($D$1:D951)+1,0)</f>
        <v>951</v>
      </c>
      <c r="E952" s="17" t="s">
        <v>483</v>
      </c>
      <c r="F952" s="5">
        <v>4.8</v>
      </c>
      <c r="G952" s="5">
        <v>6.7</v>
      </c>
      <c r="H952" s="6">
        <f t="shared" si="51"/>
        <v>8.3079999999999998</v>
      </c>
      <c r="I952" s="6">
        <f t="shared" si="52"/>
        <v>28.799999999999997</v>
      </c>
      <c r="J952" s="6">
        <f t="shared" si="53"/>
        <v>49.847999999999999</v>
      </c>
      <c r="L952" s="4" t="str">
        <f>IFERROR(VLOOKUP(ROWS($L$2:L952),$B$2:$C$1996,2,0),"")</f>
        <v>ΚΑΜΙΝΑΔΑ ΠΛΑΣΤΙΚΗ ΓΩΝΙΑ 87ο</v>
      </c>
      <c r="N952" s="2" t="str">
        <f>IFERROR(VLOOKUP(ROWS($N$2:N952),$D$2:$E$1996,2,0),"")</f>
        <v>Φ80</v>
      </c>
    </row>
    <row r="953" spans="1:14">
      <c r="A953" s="5">
        <v>0</v>
      </c>
      <c r="B953" s="32">
        <f>IF(ISNUMBER(SEARCH('Φόρμα Εισαγωγής'!$B$2,C953)),MAX($B$1:B952)+1,0)</f>
        <v>952</v>
      </c>
      <c r="C953" s="7" t="s">
        <v>907</v>
      </c>
      <c r="D953" s="33">
        <f>IF(ISNUMBER(SEARCH('Φόρμα Εισαγωγής'!$C$2,E953)),MAX($D$1:D952)+1,0)</f>
        <v>952</v>
      </c>
      <c r="E953" s="17" t="s">
        <v>32</v>
      </c>
      <c r="F953" s="5">
        <v>4</v>
      </c>
      <c r="G953" s="5">
        <v>5.6</v>
      </c>
      <c r="H953" s="6">
        <f t="shared" si="51"/>
        <v>6.9439999999999991</v>
      </c>
      <c r="I953" s="6">
        <f t="shared" si="52"/>
        <v>0</v>
      </c>
      <c r="J953" s="6">
        <f t="shared" si="53"/>
        <v>0</v>
      </c>
      <c r="L953" s="4" t="str">
        <f>IFERROR(VLOOKUP(ROWS($L$2:L953),$B$2:$C$1996,2,0),"")</f>
        <v>ΣΠΙΡΑΛ ΛΟΥΤΡΟΥ 150CM VIOSPIRAL</v>
      </c>
      <c r="N953" s="2" t="str">
        <f>IFERROR(VLOOKUP(ROWS($N$2:N953),$D$2:$E$1996,2,0),"")</f>
        <v>1/2</v>
      </c>
    </row>
    <row r="954" spans="1:14">
      <c r="A954" s="5">
        <v>5</v>
      </c>
      <c r="B954" s="32">
        <f>IF(ISNUMBER(SEARCH('Φόρμα Εισαγωγής'!$B$2,C954)),MAX($B$1:B953)+1,0)</f>
        <v>953</v>
      </c>
      <c r="C954" s="7" t="s">
        <v>637</v>
      </c>
      <c r="D954" s="33">
        <f>IF(ISNUMBER(SEARCH('Φόρμα Εισαγωγής'!$C$2,E954)),MAX($D$1:D953)+1,0)</f>
        <v>953</v>
      </c>
      <c r="E954" s="17" t="s">
        <v>72</v>
      </c>
      <c r="F954" s="5">
        <v>4.9000000000000004</v>
      </c>
      <c r="G954" s="5">
        <v>6.9</v>
      </c>
      <c r="H954" s="6">
        <f t="shared" si="51"/>
        <v>8.5560000000000009</v>
      </c>
      <c r="I954" s="6">
        <f t="shared" si="52"/>
        <v>24.5</v>
      </c>
      <c r="J954" s="6">
        <f t="shared" si="53"/>
        <v>42.78</v>
      </c>
      <c r="L954" s="4" t="str">
        <f>IFERROR(VLOOKUP(ROWS($L$2:L954),$B$2:$C$1996,2,0),"")</f>
        <v>ΣΠΙΡΑΛ ΚΟΥΖΙΝΑΣ 150CM</v>
      </c>
      <c r="N954" s="2" t="str">
        <f>IFERROR(VLOOKUP(ROWS($N$2:N954),$D$2:$E$1996,2,0),"")</f>
        <v>1/2 Χ 3/8</v>
      </c>
    </row>
    <row r="955" spans="1:14">
      <c r="A955" s="5">
        <v>4</v>
      </c>
      <c r="B955" s="32">
        <f>IF(ISNUMBER(SEARCH('Φόρμα Εισαγωγής'!$B$2,C955)),MAX($B$1:B954)+1,0)</f>
        <v>954</v>
      </c>
      <c r="C955" s="7" t="s">
        <v>638</v>
      </c>
      <c r="D955" s="33">
        <f>IF(ISNUMBER(SEARCH('Φόρμα Εισαγωγής'!$C$2,E955)),MAX($D$1:D954)+1,0)</f>
        <v>954</v>
      </c>
      <c r="E955" s="17" t="s">
        <v>908</v>
      </c>
      <c r="F955" s="5">
        <v>2.7</v>
      </c>
      <c r="G955" s="5">
        <v>3.78</v>
      </c>
      <c r="H955" s="6">
        <f t="shared" si="51"/>
        <v>4.6871999999999998</v>
      </c>
      <c r="I955" s="6">
        <f t="shared" si="52"/>
        <v>10.8</v>
      </c>
      <c r="J955" s="6">
        <f t="shared" si="53"/>
        <v>18.748799999999999</v>
      </c>
      <c r="L955" s="4" t="str">
        <f>IFERROR(VLOOKUP(ROWS($L$2:L955),$B$2:$C$1996,2,0),"")</f>
        <v>ΤΗΛΕΦΩΝΟ ΝΤΟΥΖ</v>
      </c>
      <c r="N955" s="2" t="str">
        <f>IFERROR(VLOOKUP(ROWS($N$2:N955),$D$2:$E$1996,2,0),"")</f>
        <v>JULIA BLISTER</v>
      </c>
    </row>
    <row r="956" spans="1:14">
      <c r="A956" s="5">
        <v>2</v>
      </c>
      <c r="B956" s="32">
        <f>IF(ISNUMBER(SEARCH('Φόρμα Εισαγωγής'!$B$2,C956)),MAX($B$1:B955)+1,0)</f>
        <v>955</v>
      </c>
      <c r="C956" s="7" t="s">
        <v>638</v>
      </c>
      <c r="D956" s="33">
        <f>IF(ISNUMBER(SEARCH('Φόρμα Εισαγωγής'!$C$2,E956)),MAX($D$1:D955)+1,0)</f>
        <v>955</v>
      </c>
      <c r="E956" s="17" t="s">
        <v>639</v>
      </c>
      <c r="F956" s="5">
        <v>1.8</v>
      </c>
      <c r="G956" s="5">
        <v>2.5</v>
      </c>
      <c r="H956" s="6">
        <f t="shared" si="51"/>
        <v>3.1</v>
      </c>
      <c r="I956" s="6">
        <f t="shared" si="52"/>
        <v>3.6</v>
      </c>
      <c r="J956" s="6">
        <f t="shared" si="53"/>
        <v>6.2</v>
      </c>
      <c r="L956" s="4" t="str">
        <f>IFERROR(VLOOKUP(ROWS($L$2:L956),$B$2:$C$1996,2,0),"")</f>
        <v>ΤΗΛΕΦΩΝΟ ΝΤΟΥΖ</v>
      </c>
      <c r="N956" s="2" t="str">
        <f>IFERROR(VLOOKUP(ROWS($N$2:N956),$D$2:$E$1996,2,0),"")</f>
        <v>CLARETTA</v>
      </c>
    </row>
    <row r="957" spans="1:14">
      <c r="A957" s="5">
        <v>2</v>
      </c>
      <c r="B957" s="32">
        <f>IF(ISNUMBER(SEARCH('Φόρμα Εισαγωγής'!$B$2,C957)),MAX($B$1:B956)+1,0)</f>
        <v>956</v>
      </c>
      <c r="C957" s="7" t="s">
        <v>638</v>
      </c>
      <c r="D957" s="33">
        <f>IF(ISNUMBER(SEARCH('Φόρμα Εισαγωγής'!$C$2,E957)),MAX($D$1:D956)+1,0)</f>
        <v>956</v>
      </c>
      <c r="E957" s="17" t="s">
        <v>640</v>
      </c>
      <c r="F957" s="5">
        <v>2.5</v>
      </c>
      <c r="G957" s="5">
        <v>3.5</v>
      </c>
      <c r="H957" s="6">
        <f t="shared" si="51"/>
        <v>4.34</v>
      </c>
      <c r="I957" s="6">
        <f t="shared" si="52"/>
        <v>5</v>
      </c>
      <c r="J957" s="6">
        <f t="shared" si="53"/>
        <v>8.68</v>
      </c>
      <c r="L957" s="4" t="str">
        <f>IFERROR(VLOOKUP(ROWS($L$2:L957),$B$2:$C$1996,2,0),"")</f>
        <v>ΤΗΛΕΦΩΝΟ ΝΤΟΥΖ</v>
      </c>
      <c r="N957" s="2" t="str">
        <f>IFERROR(VLOOKUP(ROWS($N$2:N957),$D$2:$E$1996,2,0),"")</f>
        <v>DELTA</v>
      </c>
    </row>
    <row r="958" spans="1:14">
      <c r="A958" s="5">
        <v>1</v>
      </c>
      <c r="B958" s="32">
        <f>IF(ISNUMBER(SEARCH('Φόρμα Εισαγωγής'!$B$2,C958)),MAX($B$1:B957)+1,0)</f>
        <v>957</v>
      </c>
      <c r="C958" s="7" t="s">
        <v>638</v>
      </c>
      <c r="D958" s="33">
        <f>IF(ISNUMBER(SEARCH('Φόρμα Εισαγωγής'!$C$2,E958)),MAX($D$1:D957)+1,0)</f>
        <v>957</v>
      </c>
      <c r="E958" s="17" t="s">
        <v>909</v>
      </c>
      <c r="F958" s="5">
        <v>2.75</v>
      </c>
      <c r="G958" s="5">
        <v>3.85</v>
      </c>
      <c r="H958" s="6">
        <f t="shared" si="51"/>
        <v>4.774</v>
      </c>
      <c r="I958" s="6">
        <f t="shared" si="52"/>
        <v>2.75</v>
      </c>
      <c r="J958" s="6">
        <f t="shared" si="53"/>
        <v>4.774</v>
      </c>
      <c r="L958" s="4" t="str">
        <f>IFERROR(VLOOKUP(ROWS($L$2:L958),$B$2:$C$1996,2,0),"")</f>
        <v>ΤΗΛΕΦΩΝΟ ΝΤΟΥΖ</v>
      </c>
      <c r="N958" s="2" t="str">
        <f>IFERROR(VLOOKUP(ROWS($N$2:N958),$D$2:$E$1996,2,0),"")</f>
        <v>FIORE</v>
      </c>
    </row>
    <row r="959" spans="1:14">
      <c r="A959" s="5">
        <v>2</v>
      </c>
      <c r="B959" s="32">
        <f>IF(ISNUMBER(SEARCH('Φόρμα Εισαγωγής'!$B$2,C959)),MAX($B$1:B958)+1,0)</f>
        <v>958</v>
      </c>
      <c r="C959" s="7" t="s">
        <v>910</v>
      </c>
      <c r="D959" s="33">
        <f>IF(ISNUMBER(SEARCH('Φόρμα Εισαγωγής'!$C$2,E959)),MAX($D$1:D958)+1,0)</f>
        <v>958</v>
      </c>
      <c r="E959" s="17" t="s">
        <v>321</v>
      </c>
      <c r="F959" s="5">
        <v>5.0999999999999996</v>
      </c>
      <c r="G959" s="5">
        <v>7.2</v>
      </c>
      <c r="H959" s="6">
        <f t="shared" si="51"/>
        <v>8.9280000000000008</v>
      </c>
      <c r="I959" s="6">
        <f t="shared" si="52"/>
        <v>10.199999999999999</v>
      </c>
      <c r="J959" s="6">
        <f t="shared" si="53"/>
        <v>17.856000000000002</v>
      </c>
      <c r="L959" s="4" t="str">
        <f>IFERROR(VLOOKUP(ROWS($L$2:L959),$B$2:$C$1996,2,0),"")</f>
        <v>ΒΑΣΗ ΤΗΛΕΦΩΝΟΥ FIORE</v>
      </c>
      <c r="N959" s="2" t="str">
        <f>IFERROR(VLOOKUP(ROWS($N$2:N959),$D$2:$E$1996,2,0),"")</f>
        <v>-</v>
      </c>
    </row>
    <row r="960" spans="1:14">
      <c r="A960" s="5">
        <v>1</v>
      </c>
      <c r="B960" s="32">
        <f>IF(ISNUMBER(SEARCH('Φόρμα Εισαγωγής'!$B$2,C960)),MAX($B$1:B959)+1,0)</f>
        <v>959</v>
      </c>
      <c r="C960" s="7" t="s">
        <v>911</v>
      </c>
      <c r="D960" s="33">
        <f>IF(ISNUMBER(SEARCH('Φόρμα Εισαγωγής'!$C$2,E960)),MAX($D$1:D959)+1,0)</f>
        <v>959</v>
      </c>
      <c r="E960" s="17" t="s">
        <v>321</v>
      </c>
      <c r="F960" s="5">
        <v>1</v>
      </c>
      <c r="G960" s="5">
        <v>2</v>
      </c>
      <c r="H960" s="6">
        <f t="shared" ref="H960:H1023" si="54">G960+(G960*0.24)</f>
        <v>2.48</v>
      </c>
      <c r="I960" s="6">
        <f t="shared" ref="I960:I1023" si="55">F960*A960</f>
        <v>1</v>
      </c>
      <c r="J960" s="6">
        <f t="shared" ref="J960:J1023" si="56">H960*A960</f>
        <v>2.48</v>
      </c>
      <c r="L960" s="4" t="str">
        <f>IFERROR(VLOOKUP(ROWS($L$2:L960),$B$2:$C$1996,2,0),"")</f>
        <v>ΒΑΣΗ ΤΗΛΕΦΩΝΟΥ</v>
      </c>
      <c r="N960" s="2" t="str">
        <f>IFERROR(VLOOKUP(ROWS($N$2:N960),$D$2:$E$1996,2,0),"")</f>
        <v>-</v>
      </c>
    </row>
    <row r="961" spans="1:14">
      <c r="A961" s="5">
        <v>2</v>
      </c>
      <c r="B961" s="32">
        <f>IF(ISNUMBER(SEARCH('Φόρμα Εισαγωγής'!$B$2,C961)),MAX($B$1:B960)+1,0)</f>
        <v>960</v>
      </c>
      <c r="C961" s="7" t="s">
        <v>641</v>
      </c>
      <c r="D961" s="33">
        <f>IF(ISNUMBER(SEARCH('Φόρμα Εισαγωγής'!$C$2,E961)),MAX($D$1:D960)+1,0)</f>
        <v>960</v>
      </c>
      <c r="E961" s="17" t="s">
        <v>642</v>
      </c>
      <c r="F961" s="5">
        <v>1.4</v>
      </c>
      <c r="G961" s="5">
        <v>2</v>
      </c>
      <c r="H961" s="6">
        <f t="shared" si="54"/>
        <v>2.48</v>
      </c>
      <c r="I961" s="6">
        <f t="shared" si="55"/>
        <v>2.8</v>
      </c>
      <c r="J961" s="6">
        <f t="shared" si="56"/>
        <v>4.96</v>
      </c>
      <c r="L961" s="4" t="str">
        <f>IFERROR(VLOOKUP(ROWS($L$2:L961),$B$2:$C$1996,2,0),"")</f>
        <v>ΕΙΣΑΓΩΓΗ ΠΛΥΝΤ. ΛΑΣΤΙΧΟ</v>
      </c>
      <c r="N961" s="2" t="str">
        <f>IFERROR(VLOOKUP(ROWS($N$2:N961),$D$2:$E$1996,2,0),"")</f>
        <v>2Μ</v>
      </c>
    </row>
    <row r="962" spans="1:14">
      <c r="A962" s="5">
        <v>7</v>
      </c>
      <c r="B962" s="32">
        <f>IF(ISNUMBER(SEARCH('Φόρμα Εισαγωγής'!$B$2,C962)),MAX($B$1:B961)+1,0)</f>
        <v>961</v>
      </c>
      <c r="C962" s="7" t="s">
        <v>641</v>
      </c>
      <c r="D962" s="33">
        <f>IF(ISNUMBER(SEARCH('Φόρμα Εισαγωγής'!$C$2,E962)),MAX($D$1:D961)+1,0)</f>
        <v>961</v>
      </c>
      <c r="E962" s="17" t="s">
        <v>643</v>
      </c>
      <c r="F962" s="5">
        <v>1.4</v>
      </c>
      <c r="G962" s="5">
        <v>2</v>
      </c>
      <c r="H962" s="6">
        <f t="shared" si="54"/>
        <v>2.48</v>
      </c>
      <c r="I962" s="6">
        <f t="shared" si="55"/>
        <v>9.7999999999999989</v>
      </c>
      <c r="J962" s="6">
        <f t="shared" si="56"/>
        <v>17.36</v>
      </c>
      <c r="L962" s="4" t="str">
        <f>IFERROR(VLOOKUP(ROWS($L$2:L962),$B$2:$C$1996,2,0),"")</f>
        <v>ΕΙΣΑΓΩΓΗ ΠΛΥΝΤ. ΛΑΣΤΙΧΟ</v>
      </c>
      <c r="N962" s="2" t="str">
        <f>IFERROR(VLOOKUP(ROWS($N$2:N962),$D$2:$E$1996,2,0),"")</f>
        <v>1,5Μ</v>
      </c>
    </row>
    <row r="963" spans="1:14">
      <c r="A963" s="5">
        <v>10</v>
      </c>
      <c r="B963" s="32">
        <f>IF(ISNUMBER(SEARCH('Φόρμα Εισαγωγής'!$B$2,C963)),MAX($B$1:B962)+1,0)</f>
        <v>962</v>
      </c>
      <c r="C963" s="7" t="s">
        <v>644</v>
      </c>
      <c r="D963" s="33">
        <f>IF(ISNUMBER(SEARCH('Φόρμα Εισαγωγής'!$C$2,E963)),MAX($D$1:D962)+1,0)</f>
        <v>962</v>
      </c>
      <c r="E963" s="17" t="s">
        <v>321</v>
      </c>
      <c r="F963" s="5">
        <v>0.5</v>
      </c>
      <c r="G963" s="5">
        <v>0.7</v>
      </c>
      <c r="H963" s="6">
        <f t="shared" si="54"/>
        <v>0.86799999999999988</v>
      </c>
      <c r="I963" s="6">
        <f t="shared" si="55"/>
        <v>5</v>
      </c>
      <c r="J963" s="6">
        <f t="shared" si="56"/>
        <v>8.68</v>
      </c>
      <c r="L963" s="4" t="str">
        <f>IFERROR(VLOOKUP(ROWS($L$2:L963),$B$2:$C$1996,2,0),"")</f>
        <v>ΚΑΜΠΥΛΗ ΛΑΣΤΙΧΟΥ ΠΛΥΝΤ.</v>
      </c>
      <c r="N963" s="2" t="str">
        <f>IFERROR(VLOOKUP(ROWS($N$2:N963),$D$2:$E$1996,2,0),"")</f>
        <v>-</v>
      </c>
    </row>
    <row r="964" spans="1:14">
      <c r="A964" s="5">
        <v>6</v>
      </c>
      <c r="B964" s="32">
        <f>IF(ISNUMBER(SEARCH('Φόρμα Εισαγωγής'!$B$2,C964)),MAX($B$1:B963)+1,0)</f>
        <v>963</v>
      </c>
      <c r="C964" s="7" t="s">
        <v>645</v>
      </c>
      <c r="D964" s="33">
        <f>IF(ISNUMBER(SEARCH('Φόρμα Εισαγωγής'!$C$2,E964)),MAX($D$1:D963)+1,0)</f>
        <v>963</v>
      </c>
      <c r="E964" s="17" t="s">
        <v>33</v>
      </c>
      <c r="F964" s="5">
        <v>0.09</v>
      </c>
      <c r="G964" s="5">
        <v>0.13</v>
      </c>
      <c r="H964" s="6">
        <f t="shared" si="54"/>
        <v>0.16120000000000001</v>
      </c>
      <c r="I964" s="6">
        <f t="shared" si="55"/>
        <v>0.54</v>
      </c>
      <c r="J964" s="6">
        <f t="shared" si="56"/>
        <v>0.96720000000000006</v>
      </c>
      <c r="L964" s="4" t="str">
        <f>IFERROR(VLOOKUP(ROWS($L$2:L964),$B$2:$C$1996,2,0),"")</f>
        <v>ΝΙΠΕΛ ΠΛΑΣΤ.</v>
      </c>
      <c r="N964" s="2" t="str">
        <f>IFERROR(VLOOKUP(ROWS($N$2:N964),$D$2:$E$1996,2,0),"")</f>
        <v>3/4</v>
      </c>
    </row>
    <row r="965" spans="1:14">
      <c r="A965" s="5">
        <v>8</v>
      </c>
      <c r="B965" s="32">
        <f>IF(ISNUMBER(SEARCH('Φόρμα Εισαγωγής'!$B$2,C965)),MAX($B$1:B964)+1,0)</f>
        <v>964</v>
      </c>
      <c r="C965" s="7" t="s">
        <v>338</v>
      </c>
      <c r="D965" s="33">
        <f>IF(ISNUMBER(SEARCH('Φόρμα Εισαγωγής'!$C$2,E965)),MAX($D$1:D964)+1,0)</f>
        <v>964</v>
      </c>
      <c r="E965" s="17" t="s">
        <v>33</v>
      </c>
      <c r="F965" s="5">
        <v>7.0000000000000007E-2</v>
      </c>
      <c r="G965" s="5">
        <v>0.1</v>
      </c>
      <c r="H965" s="6">
        <f t="shared" si="54"/>
        <v>0.124</v>
      </c>
      <c r="I965" s="6">
        <f t="shared" si="55"/>
        <v>0.56000000000000005</v>
      </c>
      <c r="J965" s="6">
        <f t="shared" si="56"/>
        <v>0.99199999999999999</v>
      </c>
      <c r="L965" s="4" t="str">
        <f>IFERROR(VLOOKUP(ROWS($L$2:L965),$B$2:$C$1996,2,0),"")</f>
        <v>ΣΥΝΔΕΣΜΟΣ ΠΛΑΣΤ.</v>
      </c>
      <c r="N965" s="2" t="str">
        <f>IFERROR(VLOOKUP(ROWS($N$2:N965),$D$2:$E$1996,2,0),"")</f>
        <v>3/4</v>
      </c>
    </row>
    <row r="966" spans="1:14">
      <c r="A966" s="5">
        <v>4</v>
      </c>
      <c r="B966" s="32">
        <f>IF(ISNUMBER(SEARCH('Φόρμα Εισαγωγής'!$B$2,C966)),MAX($B$1:B965)+1,0)</f>
        <v>965</v>
      </c>
      <c r="C966" s="7" t="s">
        <v>646</v>
      </c>
      <c r="D966" s="33">
        <f>IF(ISNUMBER(SEARCH('Φόρμα Εισαγωγής'!$C$2,E966)),MAX($D$1:D965)+1,0)</f>
        <v>965</v>
      </c>
      <c r="E966" s="17" t="s">
        <v>647</v>
      </c>
      <c r="F966" s="5">
        <v>2.2000000000000002</v>
      </c>
      <c r="G966" s="5">
        <v>3.1</v>
      </c>
      <c r="H966" s="6">
        <f t="shared" si="54"/>
        <v>3.8440000000000003</v>
      </c>
      <c r="I966" s="6">
        <f t="shared" si="55"/>
        <v>8.8000000000000007</v>
      </c>
      <c r="J966" s="6">
        <f t="shared" si="56"/>
        <v>15.376000000000001</v>
      </c>
      <c r="L966" s="4" t="str">
        <f>IFERROR(VLOOKUP(ROWS($L$2:L966),$B$2:$C$1996,2,0),"")</f>
        <v>ΣΤΗΡΙΓΜΑ ΝΤΟΥΖ VIOSPIRAL</v>
      </c>
      <c r="N966" s="2" t="str">
        <f>IFERROR(VLOOKUP(ROWS($N$2:N966),$D$2:$E$1996,2,0),"")</f>
        <v>ΜΕΤΑΛΛΙΚΟ</v>
      </c>
    </row>
    <row r="967" spans="1:14">
      <c r="A967" s="5">
        <v>10</v>
      </c>
      <c r="B967" s="32">
        <f>IF(ISNUMBER(SEARCH('Φόρμα Εισαγωγής'!$B$2,C967)),MAX($B$1:B966)+1,0)</f>
        <v>966</v>
      </c>
      <c r="C967" s="7" t="s">
        <v>648</v>
      </c>
      <c r="D967" s="33">
        <f>IF(ISNUMBER(SEARCH('Φόρμα Εισαγωγής'!$C$2,E967)),MAX($D$1:D966)+1,0)</f>
        <v>966</v>
      </c>
      <c r="E967" s="17" t="s">
        <v>35</v>
      </c>
      <c r="F967" s="5">
        <v>2</v>
      </c>
      <c r="G967" s="5">
        <v>2.8</v>
      </c>
      <c r="H967" s="6">
        <f t="shared" si="54"/>
        <v>3.4719999999999995</v>
      </c>
      <c r="I967" s="6">
        <f t="shared" si="55"/>
        <v>20</v>
      </c>
      <c r="J967" s="6">
        <f t="shared" si="56"/>
        <v>34.72</v>
      </c>
      <c r="L967" s="4" t="str">
        <f>IFERROR(VLOOKUP(ROWS($L$2:L967),$B$2:$C$1996,2,0),"")</f>
        <v>ΒΑΛΒΙΔΑ ΝΙΠ. ΜΕΤΑΛΛΙΚΗ</v>
      </c>
      <c r="N967" s="2" t="str">
        <f>IFERROR(VLOOKUP(ROWS($N$2:N967),$D$2:$E$1996,2,0),"")</f>
        <v>1 1/4''</v>
      </c>
    </row>
    <row r="968" spans="1:14">
      <c r="A968" s="5">
        <v>2</v>
      </c>
      <c r="B968" s="32">
        <f>IF(ISNUMBER(SEARCH('Φόρμα Εισαγωγής'!$B$2,C968)),MAX($B$1:B967)+1,0)</f>
        <v>967</v>
      </c>
      <c r="C968" s="7" t="s">
        <v>648</v>
      </c>
      <c r="D968" s="33">
        <f>IF(ISNUMBER(SEARCH('Φόρμα Εισαγωγής'!$C$2,E968)),MAX($D$1:D967)+1,0)</f>
        <v>967</v>
      </c>
      <c r="E968" s="17" t="s">
        <v>36</v>
      </c>
      <c r="F968" s="5">
        <v>2.5</v>
      </c>
      <c r="G968" s="5">
        <v>3.5</v>
      </c>
      <c r="H968" s="6">
        <f t="shared" si="54"/>
        <v>4.34</v>
      </c>
      <c r="I968" s="6">
        <f t="shared" si="55"/>
        <v>5</v>
      </c>
      <c r="J968" s="6">
        <f t="shared" si="56"/>
        <v>8.68</v>
      </c>
      <c r="L968" s="4" t="str">
        <f>IFERROR(VLOOKUP(ROWS($L$2:L968),$B$2:$C$1996,2,0),"")</f>
        <v>ΒΑΛΒΙΔΑ ΝΙΠ. ΜΕΤΑΛΛΙΚΗ</v>
      </c>
      <c r="N968" s="2" t="str">
        <f>IFERROR(VLOOKUP(ROWS($N$2:N968),$D$2:$E$1996,2,0),"")</f>
        <v>1 1/2''</v>
      </c>
    </row>
    <row r="969" spans="1:14">
      <c r="A969" s="5">
        <v>5</v>
      </c>
      <c r="B969" s="32">
        <f>IF(ISNUMBER(SEARCH('Φόρμα Εισαγωγής'!$B$2,C969)),MAX($B$1:B968)+1,0)</f>
        <v>968</v>
      </c>
      <c r="C969" s="7" t="s">
        <v>906</v>
      </c>
      <c r="D969" s="33">
        <f>IF(ISNUMBER(SEARCH('Φόρμα Εισαγωγής'!$C$2,E969)),MAX($D$1:D968)+1,0)</f>
        <v>968</v>
      </c>
      <c r="E969" s="17" t="s">
        <v>35</v>
      </c>
      <c r="F969" s="5">
        <v>4.5</v>
      </c>
      <c r="G969" s="5">
        <v>6.5</v>
      </c>
      <c r="H969" s="6">
        <f t="shared" si="54"/>
        <v>8.06</v>
      </c>
      <c r="I969" s="6">
        <f t="shared" si="55"/>
        <v>22.5</v>
      </c>
      <c r="J969" s="6">
        <f t="shared" si="56"/>
        <v>40.300000000000004</v>
      </c>
      <c r="L969" s="4" t="str">
        <f>IFERROR(VLOOKUP(ROWS($L$2:L969),$B$2:$C$1996,2,0),"")</f>
        <v>ΒΑΛΒΙΔΑ ΑΥΤ. ΜΕΤΑΛΛΙΚΗ Χ. ΥΠΕΡ</v>
      </c>
      <c r="N969" s="2" t="str">
        <f>IFERROR(VLOOKUP(ROWS($N$2:N969),$D$2:$E$1996,2,0),"")</f>
        <v>1 1/4''</v>
      </c>
    </row>
    <row r="970" spans="1:14">
      <c r="A970" s="5">
        <v>1</v>
      </c>
      <c r="B970" s="32">
        <f>IF(ISNUMBER(SEARCH('Φόρμα Εισαγωγής'!$B$2,C970)),MAX($B$1:B969)+1,0)</f>
        <v>969</v>
      </c>
      <c r="C970" s="7" t="s">
        <v>649</v>
      </c>
      <c r="D970" s="33">
        <f>IF(ISNUMBER(SEARCH('Φόρμα Εισαγωγής'!$C$2,E970)),MAX($D$1:D969)+1,0)</f>
        <v>969</v>
      </c>
      <c r="E970" s="17" t="s">
        <v>650</v>
      </c>
      <c r="F970" s="5">
        <v>2.5</v>
      </c>
      <c r="G970" s="5">
        <v>3.5</v>
      </c>
      <c r="H970" s="6">
        <f t="shared" si="54"/>
        <v>4.34</v>
      </c>
      <c r="I970" s="6">
        <f t="shared" si="55"/>
        <v>2.5</v>
      </c>
      <c r="J970" s="6">
        <f t="shared" si="56"/>
        <v>4.34</v>
      </c>
      <c r="L970" s="4" t="str">
        <f>IFERROR(VLOOKUP(ROWS($L$2:L970),$B$2:$C$1996,2,0),"")</f>
        <v>ΒΑΛΒΙΔΑ ΛΟΥΤΡΟΥ ΟΡ.</v>
      </c>
      <c r="N970" s="2" t="str">
        <f>IFERROR(VLOOKUP(ROWS($N$2:N970),$D$2:$E$1996,2,0),"")</f>
        <v>1 1/2'' Χ Φ40</v>
      </c>
    </row>
    <row r="971" spans="1:14">
      <c r="A971" s="5">
        <v>7</v>
      </c>
      <c r="B971" s="32">
        <f>IF(ISNUMBER(SEARCH('Φόρμα Εισαγωγής'!$B$2,C971)),MAX($B$1:B970)+1,0)</f>
        <v>970</v>
      </c>
      <c r="C971" s="7" t="s">
        <v>651</v>
      </c>
      <c r="D971" s="33">
        <f>IF(ISNUMBER(SEARCH('Φόρμα Εισαγωγής'!$C$2,E971)),MAX($D$1:D970)+1,0)</f>
        <v>970</v>
      </c>
      <c r="E971" s="17" t="s">
        <v>321</v>
      </c>
      <c r="F971" s="5">
        <v>2.65</v>
      </c>
      <c r="G971" s="5">
        <v>3.8</v>
      </c>
      <c r="H971" s="6">
        <f t="shared" si="54"/>
        <v>4.7119999999999997</v>
      </c>
      <c r="I971" s="6">
        <f t="shared" si="55"/>
        <v>18.55</v>
      </c>
      <c r="J971" s="6">
        <f t="shared" si="56"/>
        <v>32.983999999999995</v>
      </c>
      <c r="L971" s="4" t="str">
        <f>IFERROR(VLOOKUP(ROWS($L$2:L971),$B$2:$C$1996,2,0),"")</f>
        <v>ΤΑΠΑ ΝΙΠΤΗΡΑ ΜΕΤΑΛΛΙΚΗ ΣΕΤ</v>
      </c>
      <c r="N971" s="2" t="str">
        <f>IFERROR(VLOOKUP(ROWS($N$2:N971),$D$2:$E$1996,2,0),"")</f>
        <v>-</v>
      </c>
    </row>
    <row r="972" spans="1:14">
      <c r="A972" s="5">
        <v>1</v>
      </c>
      <c r="B972" s="32">
        <f>IF(ISNUMBER(SEARCH('Φόρμα Εισαγωγής'!$B$2,C972)),MAX($B$1:B971)+1,0)</f>
        <v>971</v>
      </c>
      <c r="C972" s="7" t="s">
        <v>652</v>
      </c>
      <c r="D972" s="33">
        <f>IF(ISNUMBER(SEARCH('Φόρμα Εισαγωγής'!$C$2,E972)),MAX($D$1:D971)+1,0)</f>
        <v>971</v>
      </c>
      <c r="E972" s="17" t="s">
        <v>321</v>
      </c>
      <c r="F972" s="5">
        <v>7</v>
      </c>
      <c r="G972" s="5">
        <v>10</v>
      </c>
      <c r="H972" s="6">
        <f t="shared" si="54"/>
        <v>12.4</v>
      </c>
      <c r="I972" s="6">
        <f t="shared" si="55"/>
        <v>7</v>
      </c>
      <c r="J972" s="6">
        <f t="shared" si="56"/>
        <v>12.4</v>
      </c>
      <c r="L972" s="4" t="str">
        <f>IFERROR(VLOOKUP(ROWS($L$2:L972),$B$2:$C$1996,2,0),"")</f>
        <v>ΒΑΣΗ ΣΤΗΡΙΞΗΣ KAZANAKI VIOSPIRAL</v>
      </c>
      <c r="N972" s="2" t="str">
        <f>IFERROR(VLOOKUP(ROWS($N$2:N972),$D$2:$E$1996,2,0),"")</f>
        <v>-</v>
      </c>
    </row>
    <row r="973" spans="1:14">
      <c r="A973" s="5">
        <v>3</v>
      </c>
      <c r="B973" s="32">
        <f>IF(ISNUMBER(SEARCH('Φόρμα Εισαγωγής'!$B$2,C973)),MAX($B$1:B972)+1,0)</f>
        <v>972</v>
      </c>
      <c r="C973" s="7" t="s">
        <v>653</v>
      </c>
      <c r="D973" s="33">
        <f>IF(ISNUMBER(SEARCH('Φόρμα Εισαγωγής'!$C$2,E973)),MAX($D$1:D972)+1,0)</f>
        <v>972</v>
      </c>
      <c r="E973" s="17" t="s">
        <v>35</v>
      </c>
      <c r="F973" s="5">
        <v>4</v>
      </c>
      <c r="G973" s="5">
        <v>5.6</v>
      </c>
      <c r="H973" s="6">
        <f t="shared" si="54"/>
        <v>6.9439999999999991</v>
      </c>
      <c r="I973" s="6">
        <f t="shared" si="55"/>
        <v>12</v>
      </c>
      <c r="J973" s="6">
        <f t="shared" si="56"/>
        <v>20.831999999999997</v>
      </c>
      <c r="L973" s="4" t="str">
        <f>IFERROR(VLOOKUP(ROWS($L$2:L973),$B$2:$C$1996,2,0),"")</f>
        <v>ΒΑΛΒΙΔΑ ΛΟΥΤΡΟΥ ΣΕΤ</v>
      </c>
      <c r="N973" s="2" t="str">
        <f>IFERROR(VLOOKUP(ROWS($N$2:N973),$D$2:$E$1996,2,0),"")</f>
        <v>1 1/4''</v>
      </c>
    </row>
    <row r="974" spans="1:14">
      <c r="A974" s="5">
        <v>8</v>
      </c>
      <c r="B974" s="32">
        <f>IF(ISNUMBER(SEARCH('Φόρμα Εισαγωγής'!$B$2,C974)),MAX($B$1:B973)+1,0)</f>
        <v>973</v>
      </c>
      <c r="C974" s="7" t="s">
        <v>654</v>
      </c>
      <c r="D974" s="33">
        <f>IF(ISNUMBER(SEARCH('Φόρμα Εισαγωγής'!$C$2,E974)),MAX($D$1:D973)+1,0)</f>
        <v>973</v>
      </c>
      <c r="E974" s="17" t="s">
        <v>35</v>
      </c>
      <c r="F974" s="5">
        <v>0.6</v>
      </c>
      <c r="G974" s="5">
        <v>0.9</v>
      </c>
      <c r="H974" s="6">
        <f t="shared" si="54"/>
        <v>1.1160000000000001</v>
      </c>
      <c r="I974" s="6">
        <f t="shared" si="55"/>
        <v>4.8</v>
      </c>
      <c r="J974" s="6">
        <f t="shared" si="56"/>
        <v>8.9280000000000008</v>
      </c>
      <c r="L974" s="4" t="str">
        <f>IFERROR(VLOOKUP(ROWS($L$2:L974),$B$2:$C$1996,2,0),"")</f>
        <v>ΤΑΠΑ ΛΑΣΤΙΧΟ ΜΕ ΑΛΥΣΙΔΑ ΝΙΠΤΗΡΑ</v>
      </c>
      <c r="N974" s="2" t="str">
        <f>IFERROR(VLOOKUP(ROWS($N$2:N974),$D$2:$E$1996,2,0),"")</f>
        <v>1 1/4''</v>
      </c>
    </row>
    <row r="975" spans="1:14">
      <c r="A975" s="5">
        <v>10</v>
      </c>
      <c r="B975" s="32">
        <f>IF(ISNUMBER(SEARCH('Φόρμα Εισαγωγής'!$B$2,C975)),MAX($B$1:B974)+1,0)</f>
        <v>974</v>
      </c>
      <c r="C975" s="7" t="s">
        <v>655</v>
      </c>
      <c r="D975" s="33">
        <f>IF(ISNUMBER(SEARCH('Φόρμα Εισαγωγής'!$C$2,E975)),MAX($D$1:D974)+1,0)</f>
        <v>974</v>
      </c>
      <c r="E975" s="17" t="s">
        <v>656</v>
      </c>
      <c r="F975" s="5">
        <v>1.2</v>
      </c>
      <c r="G975" s="5">
        <v>1.7</v>
      </c>
      <c r="H975" s="6">
        <f t="shared" si="54"/>
        <v>2.1080000000000001</v>
      </c>
      <c r="I975" s="6">
        <f t="shared" si="55"/>
        <v>12</v>
      </c>
      <c r="J975" s="6">
        <f t="shared" si="56"/>
        <v>21.080000000000002</v>
      </c>
      <c r="L975" s="4" t="str">
        <f>IFERROR(VLOOKUP(ROWS($L$2:L975),$B$2:$C$1996,2,0),"")</f>
        <v>ΒΑΛΒΙΔΑ ΠΛΑΣΤΙΚΗ ΝΙΠΤ.</v>
      </c>
      <c r="N975" s="2" t="str">
        <f>IFERROR(VLOOKUP(ROWS($N$2:N975),$D$2:$E$1996,2,0),"")</f>
        <v>1 1/4'' Χ Φ63</v>
      </c>
    </row>
    <row r="976" spans="1:14">
      <c r="A976" s="5">
        <v>8</v>
      </c>
      <c r="B976" s="32">
        <f>IF(ISNUMBER(SEARCH('Φόρμα Εισαγωγής'!$B$2,C976)),MAX($B$1:B975)+1,0)</f>
        <v>975</v>
      </c>
      <c r="C976" s="7" t="s">
        <v>994</v>
      </c>
      <c r="D976" s="33">
        <f>IF(ISNUMBER(SEARCH('Φόρμα Εισαγωγής'!$C$2,E976)),MAX($D$1:D975)+1,0)</f>
        <v>975</v>
      </c>
      <c r="E976" s="17" t="s">
        <v>658</v>
      </c>
      <c r="F976" s="5">
        <v>0.5</v>
      </c>
      <c r="G976" s="5">
        <v>2</v>
      </c>
      <c r="H976" s="6">
        <f t="shared" si="54"/>
        <v>2.48</v>
      </c>
      <c r="I976" s="6">
        <f t="shared" si="55"/>
        <v>4</v>
      </c>
      <c r="J976" s="6">
        <f t="shared" si="56"/>
        <v>19.84</v>
      </c>
      <c r="L976" s="4" t="str">
        <f>IFERROR(VLOOKUP(ROWS($L$2:L976),$B$2:$C$1996,2,0),"")</f>
        <v>ΣΥΦΩΝ ΣΠΙΡΑΛ ΝΙΠΤ. BONOMINI</v>
      </c>
      <c r="N976" s="2" t="str">
        <f>IFERROR(VLOOKUP(ROWS($N$2:N976),$D$2:$E$1996,2,0),"")</f>
        <v>1 1/4'' Χ Φ32</v>
      </c>
    </row>
    <row r="977" spans="1:14">
      <c r="A977" s="5">
        <v>2</v>
      </c>
      <c r="B977" s="32">
        <f>IF(ISNUMBER(SEARCH('Φόρμα Εισαγωγής'!$B$2,C977)),MAX($B$1:B976)+1,0)</f>
        <v>976</v>
      </c>
      <c r="C977" s="7" t="s">
        <v>1073</v>
      </c>
      <c r="D977" s="33">
        <f>IF(ISNUMBER(SEARCH('Φόρμα Εισαγωγής'!$C$2,E977)),MAX($D$1:D976)+1,0)</f>
        <v>976</v>
      </c>
      <c r="E977" s="17" t="s">
        <v>650</v>
      </c>
      <c r="F977" s="5">
        <v>0.75</v>
      </c>
      <c r="G977" s="5">
        <v>2</v>
      </c>
      <c r="H977" s="6">
        <f t="shared" si="54"/>
        <v>2.48</v>
      </c>
      <c r="I977" s="6">
        <f t="shared" si="55"/>
        <v>1.5</v>
      </c>
      <c r="J977" s="6">
        <f t="shared" si="56"/>
        <v>4.96</v>
      </c>
      <c r="L977" s="4" t="str">
        <f>IFERROR(VLOOKUP(ROWS($L$2:L977),$B$2:$C$1996,2,0),"")</f>
        <v>ΣΥΦΩΝ ΣΠΙΡΑΛ ΚΟΥΖ. BONOMINI</v>
      </c>
      <c r="N977" s="2" t="str">
        <f>IFERROR(VLOOKUP(ROWS($N$2:N977),$D$2:$E$1996,2,0),"")</f>
        <v>1 1/2'' Χ Φ40</v>
      </c>
    </row>
    <row r="978" spans="1:14">
      <c r="A978" s="5">
        <v>2</v>
      </c>
      <c r="B978" s="32">
        <f>IF(ISNUMBER(SEARCH('Φόρμα Εισαγωγής'!$B$2,C978)),MAX($B$1:B977)+1,0)</f>
        <v>977</v>
      </c>
      <c r="C978" s="7" t="s">
        <v>657</v>
      </c>
      <c r="D978" s="33">
        <f>IF(ISNUMBER(SEARCH('Φόρμα Εισαγωγής'!$C$2,E978)),MAX($D$1:D977)+1,0)</f>
        <v>977</v>
      </c>
      <c r="E978" s="17" t="s">
        <v>658</v>
      </c>
      <c r="F978" s="5">
        <v>5.6</v>
      </c>
      <c r="G978" s="5">
        <v>7.9</v>
      </c>
      <c r="H978" s="6">
        <f t="shared" si="54"/>
        <v>9.7959999999999994</v>
      </c>
      <c r="I978" s="6">
        <f t="shared" si="55"/>
        <v>11.2</v>
      </c>
      <c r="J978" s="6">
        <f t="shared" si="56"/>
        <v>19.591999999999999</v>
      </c>
      <c r="L978" s="4" t="str">
        <f>IFERROR(VLOOKUP(ROWS($L$2:L978),$B$2:$C$1996,2,0),"")</f>
        <v>ΣΥΦΩΝ ΣΠΙΡΑΛ Β.Τ.</v>
      </c>
      <c r="N978" s="2" t="str">
        <f>IFERROR(VLOOKUP(ROWS($N$2:N978),$D$2:$E$1996,2,0),"")</f>
        <v>1 1/4'' Χ Φ32</v>
      </c>
    </row>
    <row r="979" spans="1:14">
      <c r="A979" s="5">
        <v>2</v>
      </c>
      <c r="B979" s="32">
        <f>IF(ISNUMBER(SEARCH('Φόρμα Εισαγωγής'!$B$2,C979)),MAX($B$1:B978)+1,0)</f>
        <v>978</v>
      </c>
      <c r="C979" s="7" t="s">
        <v>900</v>
      </c>
      <c r="D979" s="33">
        <f>IF(ISNUMBER(SEARCH('Φόρμα Εισαγωγής'!$C$2,E979)),MAX($D$1:D978)+1,0)</f>
        <v>978</v>
      </c>
      <c r="E979" s="17" t="s">
        <v>173</v>
      </c>
      <c r="F979" s="5">
        <v>5</v>
      </c>
      <c r="G979" s="5">
        <v>7</v>
      </c>
      <c r="H979" s="6">
        <f t="shared" si="54"/>
        <v>8.68</v>
      </c>
      <c r="I979" s="6">
        <f t="shared" si="55"/>
        <v>10</v>
      </c>
      <c r="J979" s="6">
        <f t="shared" si="56"/>
        <v>17.36</v>
      </c>
      <c r="L979" s="4" t="str">
        <f>IFERROR(VLOOKUP(ROWS($L$2:L979),$B$2:$C$1996,2,0),"")</f>
        <v>ΦΛΟΤΕΡ ΟΡ. ΠΥΘΜΕΝΟΣ ALCAPLAST</v>
      </c>
      <c r="N979" s="2" t="str">
        <f>IFERROR(VLOOKUP(ROWS($N$2:N979),$D$2:$E$1996,2,0),"")</f>
        <v>3/8</v>
      </c>
    </row>
    <row r="980" spans="1:14">
      <c r="A980" s="5">
        <v>1</v>
      </c>
      <c r="B980" s="32">
        <f>IF(ISNUMBER(SEARCH('Φόρμα Εισαγωγής'!$B$2,C980)),MAX($B$1:B979)+1,0)</f>
        <v>979</v>
      </c>
      <c r="C980" s="7" t="s">
        <v>901</v>
      </c>
      <c r="D980" s="33">
        <f>IF(ISNUMBER(SEARCH('Φόρμα Εισαγωγής'!$C$2,E980)),MAX($D$1:D979)+1,0)</f>
        <v>979</v>
      </c>
      <c r="E980" s="17" t="s">
        <v>173</v>
      </c>
      <c r="F980" s="5">
        <v>4</v>
      </c>
      <c r="G980" s="5">
        <v>5.6</v>
      </c>
      <c r="H980" s="6">
        <f t="shared" si="54"/>
        <v>6.9439999999999991</v>
      </c>
      <c r="I980" s="6">
        <f t="shared" si="55"/>
        <v>4</v>
      </c>
      <c r="J980" s="6">
        <f t="shared" si="56"/>
        <v>6.9439999999999991</v>
      </c>
      <c r="L980" s="4" t="str">
        <f>IFERROR(VLOOKUP(ROWS($L$2:L980),$B$2:$C$1996,2,0),"")</f>
        <v>ΦΛΟΤΕΡ ΠΛΑΣΤ. ΠΥΘΜΕΝΟΣ ALCAPLAST</v>
      </c>
      <c r="N980" s="2" t="str">
        <f>IFERROR(VLOOKUP(ROWS($N$2:N980),$D$2:$E$1996,2,0),"")</f>
        <v>3/8</v>
      </c>
    </row>
    <row r="981" spans="1:14">
      <c r="A981" s="5">
        <v>6</v>
      </c>
      <c r="B981" s="32">
        <f>IF(ISNUMBER(SEARCH('Φόρμα Εισαγωγής'!$B$2,C981)),MAX($B$1:B980)+1,0)</f>
        <v>980</v>
      </c>
      <c r="C981" s="7" t="s">
        <v>900</v>
      </c>
      <c r="D981" s="33">
        <f>IF(ISNUMBER(SEARCH('Φόρμα Εισαγωγής'!$C$2,E981)),MAX($D$1:D980)+1,0)</f>
        <v>980</v>
      </c>
      <c r="E981" s="17" t="s">
        <v>32</v>
      </c>
      <c r="F981" s="5">
        <v>5</v>
      </c>
      <c r="G981" s="5">
        <v>7</v>
      </c>
      <c r="H981" s="6">
        <f t="shared" si="54"/>
        <v>8.68</v>
      </c>
      <c r="I981" s="6">
        <f t="shared" si="55"/>
        <v>30</v>
      </c>
      <c r="J981" s="6">
        <f t="shared" si="56"/>
        <v>52.08</v>
      </c>
      <c r="L981" s="4" t="str">
        <f>IFERROR(VLOOKUP(ROWS($L$2:L981),$B$2:$C$1996,2,0),"")</f>
        <v>ΦΛΟΤΕΡ ΟΡ. ΠΥΘΜΕΝΟΣ ALCAPLAST</v>
      </c>
      <c r="N981" s="2" t="str">
        <f>IFERROR(VLOOKUP(ROWS($N$2:N981),$D$2:$E$1996,2,0),"")</f>
        <v>1/2</v>
      </c>
    </row>
    <row r="982" spans="1:14">
      <c r="A982" s="5">
        <v>3</v>
      </c>
      <c r="B982" s="32">
        <f>IF(ISNUMBER(SEARCH('Φόρμα Εισαγωγής'!$B$2,C982)),MAX($B$1:B981)+1,0)</f>
        <v>981</v>
      </c>
      <c r="C982" s="7" t="s">
        <v>901</v>
      </c>
      <c r="D982" s="33">
        <f>IF(ISNUMBER(SEARCH('Φόρμα Εισαγωγής'!$C$2,E982)),MAX($D$1:D981)+1,0)</f>
        <v>981</v>
      </c>
      <c r="E982" s="17" t="s">
        <v>32</v>
      </c>
      <c r="F982" s="5">
        <v>4</v>
      </c>
      <c r="G982" s="5">
        <v>5.6</v>
      </c>
      <c r="H982" s="6">
        <f t="shared" si="54"/>
        <v>6.9439999999999991</v>
      </c>
      <c r="I982" s="6">
        <f t="shared" si="55"/>
        <v>12</v>
      </c>
      <c r="J982" s="6">
        <f t="shared" si="56"/>
        <v>20.831999999999997</v>
      </c>
      <c r="L982" s="4" t="str">
        <f>IFERROR(VLOOKUP(ROWS($L$2:L982),$B$2:$C$1996,2,0),"")</f>
        <v>ΦΛΟΤΕΡ ΠΛΑΣΤ. ΠΥΘΜΕΝΟΣ ALCAPLAST</v>
      </c>
      <c r="N982" s="2" t="str">
        <f>IFERROR(VLOOKUP(ROWS($N$2:N982),$D$2:$E$1996,2,0),"")</f>
        <v>1/2</v>
      </c>
    </row>
    <row r="983" spans="1:14">
      <c r="A983" s="5">
        <v>7</v>
      </c>
      <c r="B983" s="32">
        <f>IF(ISNUMBER(SEARCH('Φόρμα Εισαγωγής'!$B$2,C983)),MAX($B$1:B982)+1,0)</f>
        <v>982</v>
      </c>
      <c r="C983" s="7" t="s">
        <v>902</v>
      </c>
      <c r="D983" s="33">
        <f>IF(ISNUMBER(SEARCH('Φόρμα Εισαγωγής'!$C$2,E983)),MAX($D$1:D982)+1,0)</f>
        <v>982</v>
      </c>
      <c r="E983" s="17" t="s">
        <v>32</v>
      </c>
      <c r="F983" s="5">
        <v>5</v>
      </c>
      <c r="G983" s="5">
        <v>7</v>
      </c>
      <c r="H983" s="6">
        <f t="shared" si="54"/>
        <v>8.68</v>
      </c>
      <c r="I983" s="6">
        <f t="shared" si="55"/>
        <v>35</v>
      </c>
      <c r="J983" s="6">
        <f t="shared" si="56"/>
        <v>60.76</v>
      </c>
      <c r="L983" s="4" t="str">
        <f>IFERROR(VLOOKUP(ROWS($L$2:L983),$B$2:$C$1996,2,0),"")</f>
        <v>ΦΛΟΤΕΡ ΟΡ. ΠΛΑΓΙΟ ALCAPLAST</v>
      </c>
      <c r="N983" s="2" t="str">
        <f>IFERROR(VLOOKUP(ROWS($N$2:N983),$D$2:$E$1996,2,0),"")</f>
        <v>1/2</v>
      </c>
    </row>
    <row r="984" spans="1:14">
      <c r="A984" s="5">
        <v>3</v>
      </c>
      <c r="B984" s="32">
        <f>IF(ISNUMBER(SEARCH('Φόρμα Εισαγωγής'!$B$2,C984)),MAX($B$1:B983)+1,0)</f>
        <v>983</v>
      </c>
      <c r="C984" s="7" t="s">
        <v>902</v>
      </c>
      <c r="D984" s="33">
        <f>IF(ISNUMBER(SEARCH('Φόρμα Εισαγωγής'!$C$2,E984)),MAX($D$1:D983)+1,0)</f>
        <v>983</v>
      </c>
      <c r="E984" s="17" t="s">
        <v>173</v>
      </c>
      <c r="F984" s="5">
        <v>4</v>
      </c>
      <c r="G984" s="5">
        <v>5.6</v>
      </c>
      <c r="H984" s="6">
        <f t="shared" si="54"/>
        <v>6.9439999999999991</v>
      </c>
      <c r="I984" s="6">
        <f t="shared" si="55"/>
        <v>12</v>
      </c>
      <c r="J984" s="6">
        <f t="shared" si="56"/>
        <v>20.831999999999997</v>
      </c>
      <c r="L984" s="4" t="str">
        <f>IFERROR(VLOOKUP(ROWS($L$2:L984),$B$2:$C$1996,2,0),"")</f>
        <v>ΦΛΟΤΕΡ ΟΡ. ΠΛΑΓΙΟ ALCAPLAST</v>
      </c>
      <c r="N984" s="2" t="str">
        <f>IFERROR(VLOOKUP(ROWS($N$2:N984),$D$2:$E$1996,2,0),"")</f>
        <v>3/8</v>
      </c>
    </row>
    <row r="985" spans="1:14">
      <c r="A985" s="5">
        <v>9</v>
      </c>
      <c r="B985" s="32">
        <f>IF(ISNUMBER(SEARCH('Φόρμα Εισαγωγής'!$B$2,C985)),MAX($B$1:B984)+1,0)</f>
        <v>984</v>
      </c>
      <c r="C985" s="7" t="s">
        <v>903</v>
      </c>
      <c r="D985" s="33">
        <f>IF(ISNUMBER(SEARCH('Φόρμα Εισαγωγής'!$C$2,E985)),MAX($D$1:D984)+1,0)</f>
        <v>984</v>
      </c>
      <c r="E985" s="17" t="s">
        <v>658</v>
      </c>
      <c r="F985" s="5">
        <v>2.2000000000000002</v>
      </c>
      <c r="G985" s="5">
        <v>3.1</v>
      </c>
      <c r="H985" s="6">
        <f t="shared" si="54"/>
        <v>3.8440000000000003</v>
      </c>
      <c r="I985" s="6">
        <f t="shared" si="55"/>
        <v>19.8</v>
      </c>
      <c r="J985" s="6">
        <f t="shared" si="56"/>
        <v>34.596000000000004</v>
      </c>
      <c r="L985" s="4" t="str">
        <f>IFERROR(VLOOKUP(ROWS($L$2:L985),$B$2:$C$1996,2,0),"")</f>
        <v>ΣΥΦΩΝ ΣΠΙΡΑΛ ΡΑΚΟΡ SPEK</v>
      </c>
      <c r="N985" s="2" t="str">
        <f>IFERROR(VLOOKUP(ROWS($N$2:N985),$D$2:$E$1996,2,0),"")</f>
        <v>1 1/4'' Χ Φ32</v>
      </c>
    </row>
    <row r="986" spans="1:14">
      <c r="A986" s="5">
        <v>3</v>
      </c>
      <c r="B986" s="32">
        <f>IF(ISNUMBER(SEARCH('Φόρμα Εισαγωγής'!$B$2,C986)),MAX($B$1:B985)+1,0)</f>
        <v>985</v>
      </c>
      <c r="C986" s="7" t="s">
        <v>1027</v>
      </c>
      <c r="D986" s="33">
        <f>IF(ISNUMBER(SEARCH('Φόρμα Εισαγωγής'!$C$2,E986)),MAX($D$1:D985)+1,0)</f>
        <v>985</v>
      </c>
      <c r="E986" s="17" t="s">
        <v>659</v>
      </c>
      <c r="F986" s="5">
        <v>2.8</v>
      </c>
      <c r="G986" s="5">
        <v>4</v>
      </c>
      <c r="H986" s="6">
        <f t="shared" si="54"/>
        <v>4.96</v>
      </c>
      <c r="I986" s="6">
        <f t="shared" si="55"/>
        <v>8.3999999999999986</v>
      </c>
      <c r="J986" s="6">
        <f t="shared" si="56"/>
        <v>14.879999999999999</v>
      </c>
      <c r="L986" s="4" t="str">
        <f>IFERROR(VLOOKUP(ROWS($L$2:L986),$B$2:$C$1996,2,0),"")</f>
        <v>ΣΥΦΩΝ ΚΟΥΖΙΝΑΣ ΜΕ ΠΑΡ ΠΛΥΝ</v>
      </c>
      <c r="N986" s="2" t="str">
        <f>IFERROR(VLOOKUP(ROWS($N$2:N986),$D$2:$E$1996,2,0),"")</f>
        <v>Φ70</v>
      </c>
    </row>
    <row r="987" spans="1:14">
      <c r="A987" s="5">
        <v>4</v>
      </c>
      <c r="B987" s="32">
        <f>IF(ISNUMBER(SEARCH('Φόρμα Εισαγωγής'!$B$2,C987)),MAX($B$1:B986)+1,0)</f>
        <v>986</v>
      </c>
      <c r="C987" s="7" t="s">
        <v>904</v>
      </c>
      <c r="D987" s="33">
        <f>IF(ISNUMBER(SEARCH('Φόρμα Εισαγωγής'!$C$2,E987)),MAX($D$1:D986)+1,0)</f>
        <v>986</v>
      </c>
      <c r="E987" s="17" t="s">
        <v>36</v>
      </c>
      <c r="F987" s="5">
        <v>2.2000000000000002</v>
      </c>
      <c r="G987" s="5">
        <v>3.1</v>
      </c>
      <c r="H987" s="6">
        <f t="shared" si="54"/>
        <v>3.8440000000000003</v>
      </c>
      <c r="I987" s="6">
        <f t="shared" si="55"/>
        <v>8.8000000000000007</v>
      </c>
      <c r="J987" s="6">
        <f t="shared" si="56"/>
        <v>15.376000000000001</v>
      </c>
      <c r="L987" s="4" t="str">
        <f>IFERROR(VLOOKUP(ROWS($L$2:L987),$B$2:$C$1996,2,0),"")</f>
        <v>ΠΑΡΟΧΗ ΠΛΥΝΤ. ΓΙΑ ΣΥΦΩΝΗ ALCAPLAST</v>
      </c>
      <c r="N987" s="2" t="str">
        <f>IFERROR(VLOOKUP(ROWS($N$2:N987),$D$2:$E$1996,2,0),"")</f>
        <v>1 1/2''</v>
      </c>
    </row>
    <row r="988" spans="1:14">
      <c r="A988" s="5">
        <v>1</v>
      </c>
      <c r="B988" s="32">
        <f>IF(ISNUMBER(SEARCH('Φόρμα Εισαγωγής'!$B$2,C988)),MAX($B$1:B987)+1,0)</f>
        <v>987</v>
      </c>
      <c r="C988" s="7" t="s">
        <v>660</v>
      </c>
      <c r="D988" s="33">
        <f>IF(ISNUMBER(SEARCH('Φόρμα Εισαγωγής'!$C$2,E988)),MAX($D$1:D987)+1,0)</f>
        <v>987</v>
      </c>
      <c r="E988" s="17" t="s">
        <v>894</v>
      </c>
      <c r="F988" s="5">
        <v>6.85</v>
      </c>
      <c r="G988" s="5">
        <v>9.6</v>
      </c>
      <c r="H988" s="6">
        <f t="shared" si="54"/>
        <v>11.904</v>
      </c>
      <c r="I988" s="6">
        <f t="shared" si="55"/>
        <v>6.85</v>
      </c>
      <c r="J988" s="6">
        <f t="shared" si="56"/>
        <v>11.904</v>
      </c>
      <c r="L988" s="4" t="str">
        <f>IFERROR(VLOOKUP(ROWS($L$2:L988),$B$2:$C$1996,2,0),"")</f>
        <v>ΜΗΧΑΝΙΣΜΟΣ ΑΕΡΟΣ SPEK</v>
      </c>
      <c r="N988" s="2" t="str">
        <f>IFERROR(VLOOKUP(ROWS($N$2:N988),$D$2:$E$1996,2,0),"")</f>
        <v>7Ε</v>
      </c>
    </row>
    <row r="989" spans="1:14">
      <c r="A989" s="5">
        <v>5</v>
      </c>
      <c r="B989" s="32">
        <f>IF(ISNUMBER(SEARCH('Φόρμα Εισαγωγής'!$B$2,C989)),MAX($B$1:B988)+1,0)</f>
        <v>988</v>
      </c>
      <c r="C989" s="7" t="s">
        <v>661</v>
      </c>
      <c r="D989" s="33">
        <f>IF(ISNUMBER(SEARCH('Φόρμα Εισαγωγής'!$C$2,E989)),MAX($D$1:D988)+1,0)</f>
        <v>988</v>
      </c>
      <c r="E989" s="17" t="s">
        <v>944</v>
      </c>
      <c r="F989" s="5">
        <v>1.4</v>
      </c>
      <c r="G989" s="5">
        <v>2</v>
      </c>
      <c r="H989" s="6">
        <f t="shared" si="54"/>
        <v>2.48</v>
      </c>
      <c r="I989" s="6">
        <f t="shared" si="55"/>
        <v>7</v>
      </c>
      <c r="J989" s="6">
        <f t="shared" si="56"/>
        <v>12.4</v>
      </c>
      <c r="L989" s="4" t="str">
        <f>IFERROR(VLOOKUP(ROWS($L$2:L989),$B$2:$C$1996,2,0),"")</f>
        <v>ΑΝΤΑΛΛΑΚΤΙΚΟ ΦΙΛΤΡΟ ΝΕΡΟΥ 10'' ΑΤΛΑΣ</v>
      </c>
      <c r="N989" s="2" t="str">
        <f>IFERROR(VLOOKUP(ROWS($N$2:N989),$D$2:$E$1996,2,0),"")</f>
        <v>ΝΗΜΑ</v>
      </c>
    </row>
    <row r="990" spans="1:14">
      <c r="A990" s="5">
        <v>3</v>
      </c>
      <c r="B990" s="32">
        <f>IF(ISNUMBER(SEARCH('Φόρμα Εισαγωγής'!$B$2,C990)),MAX($B$1:B989)+1,0)</f>
        <v>989</v>
      </c>
      <c r="C990" s="7" t="s">
        <v>661</v>
      </c>
      <c r="D990" s="33">
        <f>IF(ISNUMBER(SEARCH('Φόρμα Εισαγωγής'!$C$2,E990)),MAX($D$1:D989)+1,0)</f>
        <v>989</v>
      </c>
      <c r="E990" s="17" t="s">
        <v>662</v>
      </c>
      <c r="F990" s="5">
        <v>5.8</v>
      </c>
      <c r="G990" s="5">
        <v>8.1999999999999993</v>
      </c>
      <c r="H990" s="6">
        <f t="shared" si="54"/>
        <v>10.167999999999999</v>
      </c>
      <c r="I990" s="6">
        <f t="shared" si="55"/>
        <v>17.399999999999999</v>
      </c>
      <c r="J990" s="6">
        <f t="shared" si="56"/>
        <v>30.503999999999998</v>
      </c>
      <c r="L990" s="4" t="str">
        <f>IFERROR(VLOOKUP(ROWS($L$2:L990),$B$2:$C$1996,2,0),"")</f>
        <v>ΑΝΤΑΛΛΑΚΤΙΚΟ ΦΙΛΤΡΟ ΝΕΡΟΥ 10'' ΑΤΛΑΣ</v>
      </c>
      <c r="N990" s="2" t="str">
        <f>IFERROR(VLOOKUP(ROWS($N$2:N990),$D$2:$E$1996,2,0),"")</f>
        <v>ΑΝΘΡΑΚΑ</v>
      </c>
    </row>
    <row r="991" spans="1:14">
      <c r="A991" s="5">
        <v>1</v>
      </c>
      <c r="B991" s="32">
        <f>IF(ISNUMBER(SEARCH('Φόρμα Εισαγωγής'!$B$2,C991)),MAX($B$1:B990)+1,0)</f>
        <v>990</v>
      </c>
      <c r="C991" s="7" t="s">
        <v>661</v>
      </c>
      <c r="D991" s="33">
        <f>IF(ISNUMBER(SEARCH('Φόρμα Εισαγωγής'!$C$2,E991)),MAX($D$1:D990)+1,0)</f>
        <v>990</v>
      </c>
      <c r="E991" s="17" t="s">
        <v>942</v>
      </c>
      <c r="F991" s="5">
        <v>8.5</v>
      </c>
      <c r="G991" s="5">
        <v>12</v>
      </c>
      <c r="H991" s="6">
        <f t="shared" si="54"/>
        <v>14.879999999999999</v>
      </c>
      <c r="I991" s="6">
        <f t="shared" si="55"/>
        <v>8.5</v>
      </c>
      <c r="J991" s="6">
        <f t="shared" si="56"/>
        <v>14.879999999999999</v>
      </c>
      <c r="L991" s="4" t="str">
        <f>IFERROR(VLOOKUP(ROWS($L$2:L991),$B$2:$C$1996,2,0),"")</f>
        <v>ΑΝΤΑΛΛΑΚΤΙΚΟ ΦΙΛΤΡΟ ΝΕΡΟΥ 10'' ΑΤΛΑΣ</v>
      </c>
      <c r="N991" s="2" t="str">
        <f>IFERROR(VLOOKUP(ROWS($N$2:N991),$D$2:$E$1996,2,0),"")</f>
        <v>ΚΕΡΑΜΙΚΟ</v>
      </c>
    </row>
    <row r="992" spans="1:14" ht="30">
      <c r="A992" s="5">
        <v>2</v>
      </c>
      <c r="B992" s="32">
        <f>IF(ISNUMBER(SEARCH('Φόρμα Εισαγωγής'!$B$2,C992)),MAX($B$1:B991)+1,0)</f>
        <v>991</v>
      </c>
      <c r="C992" s="7" t="s">
        <v>663</v>
      </c>
      <c r="D992" s="33">
        <f>IF(ISNUMBER(SEARCH('Φόρμα Εισαγωγής'!$C$2,E992)),MAX($D$1:D991)+1,0)</f>
        <v>991</v>
      </c>
      <c r="E992" s="17" t="s">
        <v>321</v>
      </c>
      <c r="F992" s="5">
        <v>14</v>
      </c>
      <c r="G992" s="5">
        <v>19.600000000000001</v>
      </c>
      <c r="H992" s="6">
        <f t="shared" si="54"/>
        <v>24.304000000000002</v>
      </c>
      <c r="I992" s="6">
        <f t="shared" si="55"/>
        <v>28</v>
      </c>
      <c r="J992" s="6">
        <f t="shared" si="56"/>
        <v>48.608000000000004</v>
      </c>
      <c r="L992" s="4" t="str">
        <f>IFERROR(VLOOKUP(ROWS($L$2:L992),$B$2:$C$1996,2,0),"")</f>
        <v>ΑΝΤΑΛΛΑΚΤΙΚΟ ΦΙΛΤΡΟ ΝΕΡΟΥ 0,5 MATRIX</v>
      </c>
      <c r="N992" s="2" t="str">
        <f>IFERROR(VLOOKUP(ROWS($N$2:N992),$D$2:$E$1996,2,0),"")</f>
        <v>-</v>
      </c>
    </row>
    <row r="993" spans="1:14">
      <c r="A993" s="5">
        <v>2</v>
      </c>
      <c r="B993" s="32">
        <f>IF(ISNUMBER(SEARCH('Φόρμα Εισαγωγής'!$B$2,C993)),MAX($B$1:B992)+1,0)</f>
        <v>992</v>
      </c>
      <c r="C993" s="7" t="s">
        <v>943</v>
      </c>
      <c r="D993" s="33">
        <f>IF(ISNUMBER(SEARCH('Φόρμα Εισαγωγής'!$C$2,E993)),MAX($D$1:D992)+1,0)</f>
        <v>992</v>
      </c>
      <c r="E993" s="17" t="s">
        <v>945</v>
      </c>
      <c r="F993" s="5">
        <v>4.18</v>
      </c>
      <c r="G993" s="5">
        <v>5.85</v>
      </c>
      <c r="H993" s="6">
        <f t="shared" si="54"/>
        <v>7.2539999999999996</v>
      </c>
      <c r="I993" s="6">
        <f t="shared" si="55"/>
        <v>8.36</v>
      </c>
      <c r="J993" s="6">
        <f t="shared" si="56"/>
        <v>14.507999999999999</v>
      </c>
      <c r="L993" s="4" t="str">
        <f>IFERROR(VLOOKUP(ROWS($L$2:L993),$B$2:$C$1996,2,0),"")</f>
        <v>ΑΝΤΑΛΛΑΚΤΙΚΟ ΦΙΛΤΡΟ ΝΕΡΟΥ 5'' ΑΤΛΑΣ</v>
      </c>
      <c r="N993" s="2" t="str">
        <f>IFERROR(VLOOKUP(ROWS($N$2:N993),$D$2:$E$1996,2,0),"")</f>
        <v>ΑΝΘΡΑΚΑΣ</v>
      </c>
    </row>
    <row r="994" spans="1:14">
      <c r="A994" s="5">
        <v>2</v>
      </c>
      <c r="B994" s="32">
        <f>IF(ISNUMBER(SEARCH('Φόρμα Εισαγωγής'!$B$2,C994)),MAX($B$1:B993)+1,0)</f>
        <v>993</v>
      </c>
      <c r="C994" s="7" t="s">
        <v>664</v>
      </c>
      <c r="D994" s="33">
        <f>IF(ISNUMBER(SEARCH('Φόρμα Εισαγωγής'!$C$2,E994)),MAX($D$1:D993)+1,0)</f>
        <v>993</v>
      </c>
      <c r="E994" s="17" t="s">
        <v>665</v>
      </c>
      <c r="F994" s="5">
        <v>3.55</v>
      </c>
      <c r="G994" s="5">
        <v>5</v>
      </c>
      <c r="H994" s="6">
        <f t="shared" si="54"/>
        <v>6.2</v>
      </c>
      <c r="I994" s="6">
        <f t="shared" si="55"/>
        <v>7.1</v>
      </c>
      <c r="J994" s="6">
        <f t="shared" si="56"/>
        <v>12.4</v>
      </c>
      <c r="L994" s="4" t="str">
        <f>IFERROR(VLOOKUP(ROWS($L$2:L994),$B$2:$C$1996,2,0),"")</f>
        <v>ΑΝΤΑΛΛΑΚΤΙΚΟ ΦΙΛΤΡΟ ΝΕΡΟΥ</v>
      </c>
      <c r="N994" s="2" t="str">
        <f>IFERROR(VLOOKUP(ROWS($N$2:N994),$D$2:$E$1996,2,0),"")</f>
        <v>R2</v>
      </c>
    </row>
    <row r="995" spans="1:14">
      <c r="A995" s="5">
        <v>29</v>
      </c>
      <c r="B995" s="32">
        <f>IF(ISNUMBER(SEARCH('Φόρμα Εισαγωγής'!$B$2,C995)),MAX($B$1:B994)+1,0)</f>
        <v>994</v>
      </c>
      <c r="C995" s="7" t="s">
        <v>895</v>
      </c>
      <c r="D995" s="33">
        <f>IF(ISNUMBER(SEARCH('Φόρμα Εισαγωγής'!$C$2,E995)),MAX($D$1:D994)+1,0)</f>
        <v>994</v>
      </c>
      <c r="E995" s="17" t="s">
        <v>897</v>
      </c>
      <c r="F995" s="5">
        <v>2.1</v>
      </c>
      <c r="G995" s="5">
        <v>3</v>
      </c>
      <c r="H995" s="6">
        <f t="shared" si="54"/>
        <v>3.7199999999999998</v>
      </c>
      <c r="I995" s="6">
        <f t="shared" si="55"/>
        <v>60.900000000000006</v>
      </c>
      <c r="J995" s="6">
        <f t="shared" si="56"/>
        <v>107.88</v>
      </c>
      <c r="L995" s="4" t="str">
        <f>IFERROR(VLOOKUP(ROWS($L$2:L995),$B$2:$C$1996,2,0),"")</f>
        <v xml:space="preserve">ΜΠΟΥΤΟΝ ΑΕΡΟΣ SPEK </v>
      </c>
      <c r="N995" s="2" t="str">
        <f>IFERROR(VLOOKUP(ROWS($N$2:N995),$D$2:$E$1996,2,0),"")</f>
        <v>Ν7Ε</v>
      </c>
    </row>
    <row r="996" spans="1:14">
      <c r="A996" s="5">
        <v>10</v>
      </c>
      <c r="B996" s="32">
        <f>IF(ISNUMBER(SEARCH('Φόρμα Εισαγωγής'!$B$2,C996)),MAX($B$1:B995)+1,0)</f>
        <v>995</v>
      </c>
      <c r="C996" s="7" t="s">
        <v>895</v>
      </c>
      <c r="D996" s="33">
        <f>IF(ISNUMBER(SEARCH('Φόρμα Εισαγωγής'!$C$2,E996)),MAX($D$1:D995)+1,0)</f>
        <v>995</v>
      </c>
      <c r="E996" s="17" t="s">
        <v>896</v>
      </c>
      <c r="F996" s="5">
        <v>2.4</v>
      </c>
      <c r="G996" s="5">
        <v>3.4</v>
      </c>
      <c r="H996" s="6">
        <f t="shared" si="54"/>
        <v>4.2160000000000002</v>
      </c>
      <c r="I996" s="6">
        <f t="shared" si="55"/>
        <v>24</v>
      </c>
      <c r="J996" s="6">
        <f t="shared" si="56"/>
        <v>42.160000000000004</v>
      </c>
      <c r="L996" s="4" t="str">
        <f>IFERROR(VLOOKUP(ROWS($L$2:L996),$B$2:$C$1996,2,0),"")</f>
        <v xml:space="preserve">ΜΠΟΥΤΟΝ ΑΕΡΟΣ SPEK </v>
      </c>
      <c r="N996" s="2" t="str">
        <f>IFERROR(VLOOKUP(ROWS($N$2:N996),$D$2:$E$1996,2,0),"")</f>
        <v>Ν2</v>
      </c>
    </row>
    <row r="997" spans="1:14">
      <c r="A997" s="5">
        <v>6</v>
      </c>
      <c r="B997" s="32">
        <f>IF(ISNUMBER(SEARCH('Φόρμα Εισαγωγής'!$B$2,C997)),MAX($B$1:B996)+1,0)</f>
        <v>996</v>
      </c>
      <c r="C997" s="7" t="s">
        <v>895</v>
      </c>
      <c r="D997" s="33">
        <f>IF(ISNUMBER(SEARCH('Φόρμα Εισαγωγής'!$C$2,E997)),MAX($D$1:D996)+1,0)</f>
        <v>996</v>
      </c>
      <c r="E997" s="17" t="s">
        <v>898</v>
      </c>
      <c r="F997" s="5">
        <v>1.25</v>
      </c>
      <c r="G997" s="5">
        <v>1.75</v>
      </c>
      <c r="H997" s="6">
        <f t="shared" si="54"/>
        <v>2.17</v>
      </c>
      <c r="I997" s="6">
        <f t="shared" si="55"/>
        <v>7.5</v>
      </c>
      <c r="J997" s="6">
        <f t="shared" si="56"/>
        <v>13.02</v>
      </c>
      <c r="L997" s="4" t="str">
        <f>IFERROR(VLOOKUP(ROWS($L$2:L997),$B$2:$C$1996,2,0),"")</f>
        <v xml:space="preserve">ΜΠΟΥΤΟΝ ΑΕΡΟΣ SPEK </v>
      </c>
      <c r="N997" s="2" t="str">
        <f>IFERROR(VLOOKUP(ROWS($N$2:N997),$D$2:$E$1996,2,0),"")</f>
        <v>Ν1</v>
      </c>
    </row>
    <row r="998" spans="1:14">
      <c r="A998" s="5">
        <v>45</v>
      </c>
      <c r="B998" s="32">
        <f>IF(ISNUMBER(SEARCH('Φόρμα Εισαγωγής'!$B$2,C998)),MAX($B$1:B997)+1,0)</f>
        <v>997</v>
      </c>
      <c r="C998" s="7" t="s">
        <v>666</v>
      </c>
      <c r="D998" s="33">
        <f>IF(ISNUMBER(SEARCH('Φόρμα Εισαγωγής'!$C$2,E998)),MAX($D$1:D997)+1,0)</f>
        <v>997</v>
      </c>
      <c r="E998" s="17" t="s">
        <v>321</v>
      </c>
      <c r="F998" s="5">
        <v>0.3</v>
      </c>
      <c r="G998" s="5">
        <v>0.45</v>
      </c>
      <c r="H998" s="6">
        <f t="shared" si="54"/>
        <v>0.55800000000000005</v>
      </c>
      <c r="I998" s="6">
        <f t="shared" si="55"/>
        <v>13.5</v>
      </c>
      <c r="J998" s="6">
        <f t="shared" si="56"/>
        <v>25.110000000000003</v>
      </c>
      <c r="L998" s="4" t="str">
        <f>IFERROR(VLOOKUP(ROWS($L$2:L998),$B$2:$C$1996,2,0),"")</f>
        <v>ΦΛΑΤΖΑ ΚΑΖΑΝΑΚΙ ΕΜΑΝΟΥΕΛΑ</v>
      </c>
      <c r="N998" s="2" t="str">
        <f>IFERROR(VLOOKUP(ROWS($N$2:N998),$D$2:$E$1996,2,0),"")</f>
        <v>-</v>
      </c>
    </row>
    <row r="999" spans="1:14">
      <c r="A999" s="5">
        <v>18</v>
      </c>
      <c r="B999" s="32">
        <f>IF(ISNUMBER(SEARCH('Φόρμα Εισαγωγής'!$B$2,C999)),MAX($B$1:B998)+1,0)</f>
        <v>998</v>
      </c>
      <c r="C999" s="7" t="s">
        <v>667</v>
      </c>
      <c r="D999" s="33">
        <f>IF(ISNUMBER(SEARCH('Φόρμα Εισαγωγής'!$C$2,E999)),MAX($D$1:D998)+1,0)</f>
        <v>998</v>
      </c>
      <c r="E999" s="17" t="s">
        <v>321</v>
      </c>
      <c r="F999" s="5">
        <v>1.2</v>
      </c>
      <c r="G999" s="5">
        <v>1.7</v>
      </c>
      <c r="H999" s="6">
        <f t="shared" si="54"/>
        <v>2.1080000000000001</v>
      </c>
      <c r="I999" s="6">
        <f t="shared" si="55"/>
        <v>21.599999999999998</v>
      </c>
      <c r="J999" s="6">
        <f t="shared" si="56"/>
        <v>37.944000000000003</v>
      </c>
      <c r="L999" s="4" t="str">
        <f>IFERROR(VLOOKUP(ROWS($L$2:L999),$B$2:$C$1996,2,0),"")</f>
        <v>ΦΛΑΤΖΑ ΚΑΖΑΝΑΚΙ AVEIRO</v>
      </c>
      <c r="N999" s="2" t="str">
        <f>IFERROR(VLOOKUP(ROWS($N$2:N999),$D$2:$E$1996,2,0),"")</f>
        <v>-</v>
      </c>
    </row>
    <row r="1000" spans="1:14">
      <c r="A1000" s="5">
        <v>9</v>
      </c>
      <c r="B1000" s="32">
        <f>IF(ISNUMBER(SEARCH('Φόρμα Εισαγωγής'!$B$2,C1000)),MAX($B$1:B999)+1,0)</f>
        <v>999</v>
      </c>
      <c r="C1000" s="7" t="s">
        <v>899</v>
      </c>
      <c r="D1000" s="33">
        <f>IF(ISNUMBER(SEARCH('Φόρμα Εισαγωγής'!$C$2,E1000)),MAX($D$1:D999)+1,0)</f>
        <v>999</v>
      </c>
      <c r="E1000" s="17" t="s">
        <v>321</v>
      </c>
      <c r="F1000" s="5">
        <v>0.4</v>
      </c>
      <c r="G1000" s="5">
        <v>0.6</v>
      </c>
      <c r="H1000" s="6">
        <f t="shared" si="54"/>
        <v>0.74399999999999999</v>
      </c>
      <c r="I1000" s="6">
        <f t="shared" si="55"/>
        <v>3.6</v>
      </c>
      <c r="J1000" s="6">
        <f t="shared" si="56"/>
        <v>6.6959999999999997</v>
      </c>
      <c r="L1000" s="4" t="str">
        <f>IFERROR(VLOOKUP(ROWS($L$2:L1000),$B$2:$C$1996,2,0),"")</f>
        <v>ΦΛΑΤΖΑ ΑΕΡΟΣ SPEK ΦΟΥΣΚΑ</v>
      </c>
      <c r="N1000" s="2" t="str">
        <f>IFERROR(VLOOKUP(ROWS($N$2:N1000),$D$2:$E$1996,2,0),"")</f>
        <v>-</v>
      </c>
    </row>
    <row r="1001" spans="1:14">
      <c r="A1001" s="5">
        <v>9</v>
      </c>
      <c r="B1001" s="32">
        <f>IF(ISNUMBER(SEARCH('Φόρμα Εισαγωγής'!$B$2,C1001)),MAX($B$1:B1000)+1,0)</f>
        <v>1000</v>
      </c>
      <c r="C1001" s="7" t="s">
        <v>668</v>
      </c>
      <c r="D1001" s="33">
        <f>IF(ISNUMBER(SEARCH('Φόρμα Εισαγωγής'!$C$2,E1001)),MAX($D$1:D1000)+1,0)</f>
        <v>1000</v>
      </c>
      <c r="E1001" s="17" t="s">
        <v>32</v>
      </c>
      <c r="F1001" s="5">
        <v>1.05</v>
      </c>
      <c r="G1001" s="5">
        <v>1.5</v>
      </c>
      <c r="H1001" s="6">
        <f t="shared" si="54"/>
        <v>1.8599999999999999</v>
      </c>
      <c r="I1001" s="6">
        <f t="shared" si="55"/>
        <v>9.4500000000000011</v>
      </c>
      <c r="J1001" s="6">
        <f t="shared" si="56"/>
        <v>16.739999999999998</v>
      </c>
      <c r="L1001" s="4" t="str">
        <f>IFERROR(VLOOKUP(ROWS($L$2:L1001),$B$2:$C$1996,2,0),"")</f>
        <v>ΦΛΟΤΕΡ ΠΛΑΣΤ. SPEK</v>
      </c>
      <c r="N1001" s="2" t="str">
        <f>IFERROR(VLOOKUP(ROWS($N$2:N1001),$D$2:$E$1996,2,0),"")</f>
        <v>1/2</v>
      </c>
    </row>
    <row r="1002" spans="1:14">
      <c r="A1002" s="5">
        <v>3</v>
      </c>
      <c r="B1002" s="32">
        <f>IF(ISNUMBER(SEARCH('Φόρμα Εισαγωγής'!$B$2,C1002)),MAX($B$1:B1001)+1,0)</f>
        <v>1001</v>
      </c>
      <c r="C1002" s="7" t="s">
        <v>669</v>
      </c>
      <c r="D1002" s="33">
        <f>IF(ISNUMBER(SEARCH('Φόρμα Εισαγωγής'!$C$2,E1002)),MAX($D$1:D1001)+1,0)</f>
        <v>1001</v>
      </c>
      <c r="E1002" s="17" t="s">
        <v>173</v>
      </c>
      <c r="F1002" s="5">
        <v>2.25</v>
      </c>
      <c r="G1002" s="5">
        <v>3.2</v>
      </c>
      <c r="H1002" s="6">
        <f t="shared" si="54"/>
        <v>3.968</v>
      </c>
      <c r="I1002" s="6">
        <f t="shared" si="55"/>
        <v>6.75</v>
      </c>
      <c r="J1002" s="6">
        <f t="shared" si="56"/>
        <v>11.904</v>
      </c>
      <c r="L1002" s="4" t="str">
        <f>IFERROR(VLOOKUP(ROWS($L$2:L1002),$B$2:$C$1996,2,0),"")</f>
        <v>ΦΛΟΤΕΡ ΟΡ. SPEK</v>
      </c>
      <c r="N1002" s="2" t="str">
        <f>IFERROR(VLOOKUP(ROWS($N$2:N1002),$D$2:$E$1996,2,0),"")</f>
        <v>3/8</v>
      </c>
    </row>
    <row r="1003" spans="1:14">
      <c r="A1003" s="5">
        <v>1</v>
      </c>
      <c r="B1003" s="32">
        <f>IF(ISNUMBER(SEARCH('Φόρμα Εισαγωγής'!$B$2,C1003)),MAX($B$1:B1002)+1,0)</f>
        <v>1002</v>
      </c>
      <c r="C1003" s="7" t="s">
        <v>670</v>
      </c>
      <c r="D1003" s="33">
        <f>IF(ISNUMBER(SEARCH('Φόρμα Εισαγωγής'!$C$2,E1003)),MAX($D$1:D1002)+1,0)</f>
        <v>1002</v>
      </c>
      <c r="E1003" s="17" t="s">
        <v>32</v>
      </c>
      <c r="F1003" s="5">
        <v>12</v>
      </c>
      <c r="G1003" s="5">
        <v>17</v>
      </c>
      <c r="H1003" s="6">
        <f t="shared" si="54"/>
        <v>21.08</v>
      </c>
      <c r="I1003" s="6">
        <f t="shared" si="55"/>
        <v>12</v>
      </c>
      <c r="J1003" s="6">
        <f t="shared" si="56"/>
        <v>21.08</v>
      </c>
      <c r="L1003" s="4" t="str">
        <f>IFERROR(VLOOKUP(ROWS($L$2:L1003),$B$2:$C$1996,2,0),"")</f>
        <v>ΦΛΟΤΕΡ KARIBA NORMA</v>
      </c>
      <c r="N1003" s="2" t="str">
        <f>IFERROR(VLOOKUP(ROWS($N$2:N1003),$D$2:$E$1996,2,0),"")</f>
        <v>1/2</v>
      </c>
    </row>
    <row r="1004" spans="1:14">
      <c r="A1004" s="5">
        <v>2</v>
      </c>
      <c r="B1004" s="32">
        <f>IF(ISNUMBER(SEARCH('Φόρμα Εισαγωγής'!$B$2,C1004)),MAX($B$1:B1003)+1,0)</f>
        <v>1003</v>
      </c>
      <c r="C1004" s="7" t="s">
        <v>671</v>
      </c>
      <c r="D1004" s="33">
        <f>IF(ISNUMBER(SEARCH('Φόρμα Εισαγωγής'!$C$2,E1004)),MAX($D$1:D1003)+1,0)</f>
        <v>1003</v>
      </c>
      <c r="E1004" s="17" t="s">
        <v>32</v>
      </c>
      <c r="F1004" s="5">
        <v>2.85</v>
      </c>
      <c r="G1004" s="5">
        <v>4</v>
      </c>
      <c r="H1004" s="6">
        <f t="shared" si="54"/>
        <v>4.96</v>
      </c>
      <c r="I1004" s="6">
        <f t="shared" si="55"/>
        <v>5.7</v>
      </c>
      <c r="J1004" s="6">
        <f t="shared" si="56"/>
        <v>9.92</v>
      </c>
      <c r="L1004" s="4" t="str">
        <f>IFERROR(VLOOKUP(ROWS($L$2:L1004),$B$2:$C$1996,2,0),"")</f>
        <v>ΦΛΟΤΕΡ ΟΡ.</v>
      </c>
      <c r="N1004" s="2" t="str">
        <f>IFERROR(VLOOKUP(ROWS($N$2:N1004),$D$2:$E$1996,2,0),"")</f>
        <v>1/2</v>
      </c>
    </row>
    <row r="1005" spans="1:14">
      <c r="A1005" s="5">
        <v>2</v>
      </c>
      <c r="B1005" s="32">
        <f>IF(ISNUMBER(SEARCH('Φόρμα Εισαγωγής'!$B$2,C1005)),MAX($B$1:B1004)+1,0)</f>
        <v>1004</v>
      </c>
      <c r="C1005" s="7" t="s">
        <v>671</v>
      </c>
      <c r="D1005" s="33">
        <f>IF(ISNUMBER(SEARCH('Φόρμα Εισαγωγής'!$C$2,E1005)),MAX($D$1:D1004)+1,0)</f>
        <v>1004</v>
      </c>
      <c r="E1005" s="17" t="s">
        <v>34</v>
      </c>
      <c r="F1005" s="5">
        <v>6.85</v>
      </c>
      <c r="G1005" s="5">
        <v>10</v>
      </c>
      <c r="H1005" s="6">
        <f t="shared" si="54"/>
        <v>12.4</v>
      </c>
      <c r="I1005" s="6">
        <f t="shared" si="55"/>
        <v>13.7</v>
      </c>
      <c r="J1005" s="6">
        <f t="shared" si="56"/>
        <v>24.8</v>
      </c>
      <c r="L1005" s="4" t="str">
        <f>IFERROR(VLOOKUP(ROWS($L$2:L1005),$B$2:$C$1996,2,0),"")</f>
        <v>ΦΛΟΤΕΡ ΟΡ.</v>
      </c>
      <c r="N1005" s="2" t="str">
        <f>IFERROR(VLOOKUP(ROWS($N$2:N1005),$D$2:$E$1996,2,0),"")</f>
        <v>1''</v>
      </c>
    </row>
    <row r="1006" spans="1:14">
      <c r="A1006" s="5">
        <v>3</v>
      </c>
      <c r="B1006" s="32">
        <f>IF(ISNUMBER(SEARCH('Φόρμα Εισαγωγής'!$B$2,C1006)),MAX($B$1:B1005)+1,0)</f>
        <v>1005</v>
      </c>
      <c r="C1006" s="7" t="s">
        <v>672</v>
      </c>
      <c r="D1006" s="33">
        <f>IF(ISNUMBER(SEARCH('Φόρμα Εισαγωγής'!$C$2,E1006)),MAX($D$1:D1005)+1,0)</f>
        <v>1005</v>
      </c>
      <c r="E1006" s="17" t="s">
        <v>38</v>
      </c>
      <c r="F1006" s="5">
        <v>8.1</v>
      </c>
      <c r="G1006" s="5">
        <v>11.35</v>
      </c>
      <c r="H1006" s="6">
        <f t="shared" si="54"/>
        <v>14.074</v>
      </c>
      <c r="I1006" s="6">
        <f t="shared" si="55"/>
        <v>24.299999999999997</v>
      </c>
      <c r="J1006" s="6">
        <f t="shared" si="56"/>
        <v>42.222000000000001</v>
      </c>
      <c r="L1006" s="4" t="str">
        <f>IFERROR(VLOOKUP(ROWS($L$2:L1006),$B$2:$C$1996,2,0),"")</f>
        <v>ΦΛΑΤΖΑ ΜΕΤΑΛΛΙΚΗ</v>
      </c>
      <c r="N1006" s="2" t="str">
        <f>IFERROR(VLOOKUP(ROWS($N$2:N1006),$D$2:$E$1996,2,0),"")</f>
        <v>3''</v>
      </c>
    </row>
    <row r="1007" spans="1:14">
      <c r="A1007" s="5">
        <v>5</v>
      </c>
      <c r="B1007" s="32">
        <f>IF(ISNUMBER(SEARCH('Φόρμα Εισαγωγής'!$B$2,C1007)),MAX($B$1:B1006)+1,0)</f>
        <v>1006</v>
      </c>
      <c r="C1007" s="7" t="s">
        <v>673</v>
      </c>
      <c r="D1007" s="33">
        <f>IF(ISNUMBER(SEARCH('Φόρμα Εισαγωγής'!$C$2,E1007)),MAX($D$1:D1006)+1,0)</f>
        <v>1006</v>
      </c>
      <c r="E1007" s="17" t="s">
        <v>321</v>
      </c>
      <c r="F1007" s="5">
        <v>0.26</v>
      </c>
      <c r="G1007" s="5">
        <v>0.4</v>
      </c>
      <c r="H1007" s="6">
        <f t="shared" si="54"/>
        <v>0.496</v>
      </c>
      <c r="I1007" s="6">
        <f t="shared" si="55"/>
        <v>1.3</v>
      </c>
      <c r="J1007" s="6">
        <f t="shared" si="56"/>
        <v>2.48</v>
      </c>
      <c r="L1007" s="4" t="str">
        <f>IFERROR(VLOOKUP(ROWS($L$2:L1007),$B$2:$C$1996,2,0),"")</f>
        <v>ΦΟΥΣΚΑ ΦΛΟΤΕΡ ΜΙΚΡΗ</v>
      </c>
      <c r="N1007" s="2" t="str">
        <f>IFERROR(VLOOKUP(ROWS($N$2:N1007),$D$2:$E$1996,2,0),"")</f>
        <v>-</v>
      </c>
    </row>
    <row r="1008" spans="1:14">
      <c r="A1008" s="5">
        <v>3</v>
      </c>
      <c r="B1008" s="32">
        <f>IF(ISNUMBER(SEARCH('Φόρμα Εισαγωγής'!$B$2,C1008)),MAX($B$1:B1007)+1,0)</f>
        <v>1007</v>
      </c>
      <c r="C1008" s="7" t="s">
        <v>1033</v>
      </c>
      <c r="D1008" s="33">
        <f>IF(ISNUMBER(SEARCH('Φόρμα Εισαγωγής'!$C$2,E1008)),MAX($D$1:D1007)+1,0)</f>
        <v>1007</v>
      </c>
      <c r="E1008" s="17" t="s">
        <v>321</v>
      </c>
      <c r="F1008" s="5">
        <v>1.45</v>
      </c>
      <c r="G1008" s="5">
        <v>2</v>
      </c>
      <c r="H1008" s="6">
        <f t="shared" si="54"/>
        <v>2.48</v>
      </c>
      <c r="I1008" s="6">
        <f t="shared" si="55"/>
        <v>4.3499999999999996</v>
      </c>
      <c r="J1008" s="6">
        <f t="shared" si="56"/>
        <v>7.4399999999999995</v>
      </c>
      <c r="L1008" s="4" t="str">
        <f>IFERROR(VLOOKUP(ROWS($L$2:L1008),$B$2:$C$1996,2,0),"")</f>
        <v>ΦΟΥΣΚΑ ΦΛΟΤΕΡ ΜΕΓΑΛΗ Φ150</v>
      </c>
      <c r="N1008" s="2" t="str">
        <f>IFERROR(VLOOKUP(ROWS($N$2:N1008),$D$2:$E$1996,2,0),"")</f>
        <v>-</v>
      </c>
    </row>
    <row r="1009" spans="1:14">
      <c r="A1009" s="5">
        <v>9</v>
      </c>
      <c r="B1009" s="32">
        <f>IF(ISNUMBER(SEARCH('Φόρμα Εισαγωγής'!$B$2,C1009)),MAX($B$1:B1008)+1,0)</f>
        <v>1008</v>
      </c>
      <c r="C1009" s="7" t="s">
        <v>674</v>
      </c>
      <c r="D1009" s="33">
        <f>IF(ISNUMBER(SEARCH('Φόρμα Εισαγωγής'!$C$2,E1009)),MAX($D$1:D1008)+1,0)</f>
        <v>1008</v>
      </c>
      <c r="E1009" s="17" t="s">
        <v>321</v>
      </c>
      <c r="F1009" s="5">
        <v>0.55000000000000004</v>
      </c>
      <c r="G1009" s="5">
        <v>0.8</v>
      </c>
      <c r="H1009" s="6">
        <f t="shared" si="54"/>
        <v>0.99199999999999999</v>
      </c>
      <c r="I1009" s="6">
        <f t="shared" si="55"/>
        <v>4.95</v>
      </c>
      <c r="J1009" s="6">
        <f t="shared" si="56"/>
        <v>8.9280000000000008</v>
      </c>
      <c r="L1009" s="4" t="str">
        <f>IFERROR(VLOOKUP(ROWS($L$2:L1009),$B$2:$C$1996,2,0),"")</f>
        <v>ΣΕΤ ΒΙΔΕΣ ΚΑΖΑΝΑΚΙ</v>
      </c>
      <c r="N1009" s="2" t="str">
        <f>IFERROR(VLOOKUP(ROWS($N$2:N1009),$D$2:$E$1996,2,0),"")</f>
        <v>-</v>
      </c>
    </row>
    <row r="1010" spans="1:14">
      <c r="A1010" s="5">
        <v>2</v>
      </c>
      <c r="B1010" s="32">
        <f>IF(ISNUMBER(SEARCH('Φόρμα Εισαγωγής'!$B$2,C1010)),MAX($B$1:B1009)+1,0)</f>
        <v>1009</v>
      </c>
      <c r="C1010" s="7" t="s">
        <v>675</v>
      </c>
      <c r="D1010" s="33">
        <f>IF(ISNUMBER(SEARCH('Φόρμα Εισαγωγής'!$C$2,E1010)),MAX($D$1:D1009)+1,0)</f>
        <v>1009</v>
      </c>
      <c r="E1010" s="17" t="s">
        <v>321</v>
      </c>
      <c r="F1010" s="5">
        <v>27.75</v>
      </c>
      <c r="G1010" s="5">
        <v>38.9</v>
      </c>
      <c r="H1010" s="6">
        <f t="shared" si="54"/>
        <v>48.235999999999997</v>
      </c>
      <c r="I1010" s="6">
        <f t="shared" si="55"/>
        <v>55.5</v>
      </c>
      <c r="J1010" s="6">
        <f t="shared" si="56"/>
        <v>96.471999999999994</v>
      </c>
      <c r="L1010" s="4" t="str">
        <f>IFERROR(VLOOKUP(ROWS($L$2:L1010),$B$2:$C$1996,2,0),"")</f>
        <v>ΚΑΖΑΝΑΚΙ ΠΛΑΣΤ. KARIBA</v>
      </c>
      <c r="N1010" s="2" t="str">
        <f>IFERROR(VLOOKUP(ROWS($N$2:N1010),$D$2:$E$1996,2,0),"")</f>
        <v>-</v>
      </c>
    </row>
    <row r="1011" spans="1:14">
      <c r="A1011" s="5">
        <v>1</v>
      </c>
      <c r="B1011" s="32">
        <f>IF(ISNUMBER(SEARCH('Φόρμα Εισαγωγής'!$B$2,C1011)),MAX($B$1:B1010)+1,0)</f>
        <v>1010</v>
      </c>
      <c r="C1011" s="7" t="s">
        <v>1032</v>
      </c>
      <c r="D1011" s="33">
        <f>IF(ISNUMBER(SEARCH('Φόρμα Εισαγωγής'!$C$2,E1011)),MAX($D$1:D1010)+1,0)</f>
        <v>1010</v>
      </c>
      <c r="E1011" s="17" t="s">
        <v>321</v>
      </c>
      <c r="F1011" s="5">
        <v>17</v>
      </c>
      <c r="G1011" s="5">
        <v>24</v>
      </c>
      <c r="H1011" s="6">
        <f t="shared" si="54"/>
        <v>29.759999999999998</v>
      </c>
      <c r="I1011" s="6">
        <f t="shared" si="55"/>
        <v>17</v>
      </c>
      <c r="J1011" s="6">
        <f t="shared" si="56"/>
        <v>29.759999999999998</v>
      </c>
      <c r="L1011" s="4" t="str">
        <f>IFERROR(VLOOKUP(ROWS($L$2:L1011),$B$2:$C$1996,2,0),"")</f>
        <v>ΚΑΖΑΝΑΚΙ ΠΛΑΣΤ. SPEK ΤΡΥΤΩΝ</v>
      </c>
      <c r="N1011" s="2" t="str">
        <f>IFERROR(VLOOKUP(ROWS($N$2:N1011),$D$2:$E$1996,2,0),"")</f>
        <v>-</v>
      </c>
    </row>
    <row r="1012" spans="1:14">
      <c r="A1012" s="5">
        <v>2</v>
      </c>
      <c r="B1012" s="32">
        <f>IF(ISNUMBER(SEARCH('Φόρμα Εισαγωγής'!$B$2,C1012)),MAX($B$1:B1011)+1,0)</f>
        <v>1011</v>
      </c>
      <c r="C1012" s="7" t="s">
        <v>946</v>
      </c>
      <c r="D1012" s="33">
        <f>IF(ISNUMBER(SEARCH('Φόρμα Εισαγωγής'!$C$2,E1012)),MAX($D$1:D1011)+1,0)</f>
        <v>1011</v>
      </c>
      <c r="E1012" s="17" t="s">
        <v>947</v>
      </c>
      <c r="F1012" s="5">
        <v>11.25</v>
      </c>
      <c r="G1012" s="5">
        <v>16</v>
      </c>
      <c r="H1012" s="6">
        <f t="shared" si="54"/>
        <v>19.84</v>
      </c>
      <c r="I1012" s="6">
        <f t="shared" si="55"/>
        <v>22.5</v>
      </c>
      <c r="J1012" s="6">
        <f t="shared" si="56"/>
        <v>39.68</v>
      </c>
      <c r="L1012" s="4" t="str">
        <f>IFERROR(VLOOKUP(ROWS($L$2:L1012),$B$2:$C$1996,2,0),"")</f>
        <v>ΚΑΠΑΚΗ ΛΕΚΑΚΗΣ ΛΕΥΚΟ LAMAPLAST WC5</v>
      </c>
      <c r="N1012" s="2" t="str">
        <f>IFERROR(VLOOKUP(ROWS($N$2:N1012),$D$2:$E$1996,2,0),"")</f>
        <v xml:space="preserve">ΛΕΥΚΟ </v>
      </c>
    </row>
    <row r="1013" spans="1:14">
      <c r="A1013" s="5">
        <v>6</v>
      </c>
      <c r="B1013" s="32">
        <f>IF(ISNUMBER(SEARCH('Φόρμα Εισαγωγής'!$B$2,C1013)),MAX($B$1:B1012)+1,0)</f>
        <v>1012</v>
      </c>
      <c r="C1013" s="7" t="s">
        <v>948</v>
      </c>
      <c r="D1013" s="33">
        <f>IF(ISNUMBER(SEARCH('Φόρμα Εισαγωγής'!$C$2,E1013)),MAX($D$1:D1012)+1,0)</f>
        <v>1012</v>
      </c>
      <c r="E1013" s="17" t="s">
        <v>321</v>
      </c>
      <c r="F1013" s="5">
        <v>1.25</v>
      </c>
      <c r="G1013" s="5">
        <v>1.75</v>
      </c>
      <c r="H1013" s="6">
        <f>G1013+(G1013*0.24)</f>
        <v>2.17</v>
      </c>
      <c r="I1013" s="6">
        <f t="shared" si="55"/>
        <v>7.5</v>
      </c>
      <c r="J1013" s="6">
        <f t="shared" si="56"/>
        <v>13.02</v>
      </c>
      <c r="L1013" s="4" t="str">
        <f>IFERROR(VLOOKUP(ROWS($L$2:L1013),$B$2:$C$1996,2,0),"")</f>
        <v xml:space="preserve">ΤΣΕΡΚΙ ΣΤΕΝΟ </v>
      </c>
      <c r="N1013" s="2" t="str">
        <f>IFERROR(VLOOKUP(ROWS($N$2:N1013),$D$2:$E$1996,2,0),"")</f>
        <v>-</v>
      </c>
    </row>
    <row r="1014" spans="1:14">
      <c r="A1014" s="5">
        <v>1</v>
      </c>
      <c r="B1014" s="32">
        <f>IF(ISNUMBER(SEARCH('Φόρμα Εισαγωγής'!$B$2,C1014)),MAX($B$1:B1013)+1,0)</f>
        <v>1013</v>
      </c>
      <c r="C1014" s="7" t="s">
        <v>949</v>
      </c>
      <c r="D1014" s="33">
        <f>IF(ISNUMBER(SEARCH('Φόρμα Εισαγωγής'!$C$2,E1014)),MAX($D$1:D1013)+1,0)</f>
        <v>1013</v>
      </c>
      <c r="E1014" s="17" t="s">
        <v>321</v>
      </c>
      <c r="F1014" s="5">
        <v>3.2</v>
      </c>
      <c r="G1014" s="5">
        <v>4.5</v>
      </c>
      <c r="H1014" s="6">
        <f t="shared" si="54"/>
        <v>5.58</v>
      </c>
      <c r="I1014" s="6">
        <f t="shared" si="55"/>
        <v>3.2</v>
      </c>
      <c r="J1014" s="6">
        <f t="shared" si="56"/>
        <v>5.58</v>
      </c>
      <c r="L1014" s="4" t="str">
        <f>IFERROR(VLOOKUP(ROWS($L$2:L1014),$B$2:$C$1996,2,0),"")</f>
        <v>ΤΣΕΡΚΙ ΦΑΡΔΥ</v>
      </c>
      <c r="N1014" s="2" t="str">
        <f>IFERROR(VLOOKUP(ROWS($N$2:N1014),$D$2:$E$1996,2,0),"")</f>
        <v>-</v>
      </c>
    </row>
    <row r="1015" spans="1:14">
      <c r="A1015" s="5">
        <v>4</v>
      </c>
      <c r="B1015" s="32">
        <f>IF(ISNUMBER(SEARCH('Φόρμα Εισαγωγής'!$B$2,C1015)),MAX($B$1:B1014)+1,0)</f>
        <v>1014</v>
      </c>
      <c r="C1015" s="7" t="s">
        <v>676</v>
      </c>
      <c r="D1015" s="33">
        <f>IF(ISNUMBER(SEARCH('Φόρμα Εισαγωγής'!$C$2,E1015)),MAX($D$1:D1014)+1,0)</f>
        <v>1014</v>
      </c>
      <c r="E1015" s="17" t="s">
        <v>321</v>
      </c>
      <c r="F1015" s="5">
        <v>6</v>
      </c>
      <c r="G1015" s="5">
        <v>8.5</v>
      </c>
      <c r="H1015" s="6">
        <f t="shared" si="54"/>
        <v>10.54</v>
      </c>
      <c r="I1015" s="6">
        <f t="shared" si="55"/>
        <v>24</v>
      </c>
      <c r="J1015" s="6">
        <f t="shared" si="56"/>
        <v>42.16</v>
      </c>
      <c r="L1015" s="4" t="str">
        <f>IFERROR(VLOOKUP(ROWS($L$2:L1015),$B$2:$C$1996,2,0),"")</f>
        <v>ΦΙΑΛΗ MAP GAZ</v>
      </c>
      <c r="N1015" s="2" t="str">
        <f>IFERROR(VLOOKUP(ROWS($N$2:N1015),$D$2:$E$1996,2,0),"")</f>
        <v>-</v>
      </c>
    </row>
    <row r="1016" spans="1:14">
      <c r="A1016" s="5">
        <v>7</v>
      </c>
      <c r="B1016" s="32">
        <f>IF(ISNUMBER(SEARCH('Φόρμα Εισαγωγής'!$B$2,C1016)),MAX($B$1:B1015)+1,0)</f>
        <v>1015</v>
      </c>
      <c r="C1016" s="7" t="s">
        <v>677</v>
      </c>
      <c r="D1016" s="33">
        <f>IF(ISNUMBER(SEARCH('Φόρμα Εισαγωγής'!$C$2,E1016)),MAX($D$1:D1015)+1,0)</f>
        <v>1015</v>
      </c>
      <c r="E1016" s="17" t="s">
        <v>321</v>
      </c>
      <c r="F1016" s="5">
        <v>2.25</v>
      </c>
      <c r="G1016" s="5">
        <v>3.2</v>
      </c>
      <c r="H1016" s="6">
        <f t="shared" si="54"/>
        <v>3.968</v>
      </c>
      <c r="I1016" s="6">
        <f t="shared" si="55"/>
        <v>15.75</v>
      </c>
      <c r="J1016" s="6">
        <f t="shared" si="56"/>
        <v>27.776</v>
      </c>
      <c r="L1016" s="4" t="str">
        <f>IFERROR(VLOOKUP(ROWS($L$2:L1016),$B$2:$C$1996,2,0),"")</f>
        <v>ΑΛΟΙΦΗ ΧΑΛΚΟΥ</v>
      </c>
      <c r="N1016" s="2" t="str">
        <f>IFERROR(VLOOKUP(ROWS($N$2:N1016),$D$2:$E$1996,2,0),"")</f>
        <v>-</v>
      </c>
    </row>
    <row r="1017" spans="1:14">
      <c r="A1017" s="5">
        <v>7</v>
      </c>
      <c r="B1017" s="32">
        <f>IF(ISNUMBER(SEARCH('Φόρμα Εισαγωγής'!$B$2,C1017)),MAX($B$1:B1016)+1,0)</f>
        <v>1016</v>
      </c>
      <c r="C1017" s="7" t="s">
        <v>999</v>
      </c>
      <c r="D1017" s="33">
        <f>IF(ISNUMBER(SEARCH('Φόρμα Εισαγωγής'!$C$2,E1017)),MAX($D$1:D1016)+1,0)</f>
        <v>1016</v>
      </c>
      <c r="E1017" s="17" t="s">
        <v>998</v>
      </c>
      <c r="F1017" s="5">
        <v>6.23</v>
      </c>
      <c r="G1017" s="5">
        <v>8.8000000000000007</v>
      </c>
      <c r="H1017" s="6">
        <f t="shared" si="54"/>
        <v>10.912000000000001</v>
      </c>
      <c r="I1017" s="6">
        <f t="shared" ref="I1017" si="57">F1017*A1017</f>
        <v>43.61</v>
      </c>
      <c r="J1017" s="6">
        <f t="shared" ref="J1017" si="58">H1017*A1017</f>
        <v>76.384</v>
      </c>
      <c r="L1017" s="4" t="str">
        <f>IFERROR(VLOOKUP(ROWS($L$2:L1017),$B$2:$C$1996,2,0),"")</f>
        <v>ΚΟΛΛΗΣΗ ΧΑΛΚΟΥ FELDER 200GR</v>
      </c>
      <c r="N1017" s="2" t="str">
        <f>IFERROR(VLOOKUP(ROWS($N$2:N1017),$D$2:$E$1996,2,0),"")</f>
        <v>2,5ΜΜ</v>
      </c>
    </row>
    <row r="1018" spans="1:14">
      <c r="A1018" s="5">
        <v>3</v>
      </c>
      <c r="B1018" s="32">
        <f>IF(ISNUMBER(SEARCH('Φόρμα Εισαγωγής'!$B$2,C1018)),MAX($B$1:B1017)+1,0)</f>
        <v>1017</v>
      </c>
      <c r="C1018" s="7" t="s">
        <v>702</v>
      </c>
      <c r="D1018" s="33">
        <f>IF(ISNUMBER(SEARCH('Φόρμα Εισαγωγής'!$C$2,E1018)),MAX($D$1:D1017)+1,0)</f>
        <v>1017</v>
      </c>
      <c r="E1018" s="17" t="s">
        <v>703</v>
      </c>
      <c r="F1018" s="5">
        <v>1.65</v>
      </c>
      <c r="G1018" s="5">
        <v>2.2999999999999998</v>
      </c>
      <c r="H1018" s="6">
        <f t="shared" si="54"/>
        <v>2.8519999999999999</v>
      </c>
      <c r="I1018" s="6">
        <f t="shared" si="55"/>
        <v>4.9499999999999993</v>
      </c>
      <c r="J1018" s="6">
        <f t="shared" si="56"/>
        <v>8.5559999999999992</v>
      </c>
      <c r="L1018" s="4" t="str">
        <f>IFERROR(VLOOKUP(ROWS($L$2:L1018),$B$2:$C$1996,2,0),"")</f>
        <v>ΣΥΣΤΟΛΙΚΟ ΤΑΦ ΓΑΛ</v>
      </c>
      <c r="N1018" s="2" t="str">
        <f>IFERROR(VLOOKUP(ROWS($N$2:N1018),$D$2:$E$1996,2,0),"")</f>
        <v>1'' Χ 1/2 Χ 1''</v>
      </c>
    </row>
    <row r="1019" spans="1:14">
      <c r="A1019" s="5">
        <v>0</v>
      </c>
      <c r="B1019" s="32">
        <f>IF(ISNUMBER(SEARCH('Φόρμα Εισαγωγής'!$B$2,C1019)),MAX($B$1:B1018)+1,0)</f>
        <v>1018</v>
      </c>
      <c r="C1019" s="7" t="s">
        <v>704</v>
      </c>
      <c r="D1019" s="33">
        <f>IF(ISNUMBER(SEARCH('Φόρμα Εισαγωγής'!$C$2,E1019)),MAX($D$1:D1018)+1,0)</f>
        <v>1018</v>
      </c>
      <c r="E1019" s="17" t="s">
        <v>321</v>
      </c>
      <c r="F1019" s="5">
        <v>10</v>
      </c>
      <c r="G1019" s="5">
        <v>14</v>
      </c>
      <c r="H1019" s="6">
        <f t="shared" si="54"/>
        <v>17.36</v>
      </c>
      <c r="I1019" s="6">
        <f t="shared" si="55"/>
        <v>0</v>
      </c>
      <c r="J1019" s="6">
        <f t="shared" si="56"/>
        <v>0</v>
      </c>
      <c r="L1019" s="4" t="str">
        <f>IFERROR(VLOOKUP(ROWS($L$2:L1019),$B$2:$C$1996,2,0),"")</f>
        <v>ΛΑΣΤΙΧΟ ΗΛΙΑΚΟΥ</v>
      </c>
      <c r="N1019" s="2" t="str">
        <f>IFERROR(VLOOKUP(ROWS($N$2:N1019),$D$2:$E$1996,2,0),"")</f>
        <v>-</v>
      </c>
    </row>
    <row r="1020" spans="1:14">
      <c r="A1020" s="5">
        <v>1</v>
      </c>
      <c r="B1020" s="32">
        <f>IF(ISNUMBER(SEARCH('Φόρμα Εισαγωγής'!$B$2,C1020)),MAX($B$1:B1019)+1,0)</f>
        <v>1019</v>
      </c>
      <c r="C1020" s="7" t="s">
        <v>73</v>
      </c>
      <c r="D1020" s="33">
        <f>IF(ISNUMBER(SEARCH('Φόρμα Εισαγωγής'!$C$2,E1020)),MAX($D$1:D1019)+1,0)</f>
        <v>1019</v>
      </c>
      <c r="E1020" s="17" t="s">
        <v>705</v>
      </c>
      <c r="F1020" s="5">
        <v>1.1000000000000001</v>
      </c>
      <c r="G1020" s="5">
        <v>1.5</v>
      </c>
      <c r="H1020" s="6">
        <f t="shared" si="54"/>
        <v>1.8599999999999999</v>
      </c>
      <c r="I1020" s="6">
        <f t="shared" si="55"/>
        <v>1.1000000000000001</v>
      </c>
      <c r="J1020" s="6">
        <f t="shared" si="56"/>
        <v>1.8599999999999999</v>
      </c>
      <c r="L1020" s="4" t="str">
        <f>IFERROR(VLOOKUP(ROWS($L$2:L1020),$B$2:$C$1996,2,0),"")</f>
        <v>ΣΥΣΤΟΛΗ ΑΜΕΡΙΚΗΣ</v>
      </c>
      <c r="N1020" s="2" t="str">
        <f>IFERROR(VLOOKUP(ROWS($N$2:N1020),$D$2:$E$1996,2,0),"")</f>
        <v>1 1/2'' Χ 1/2</v>
      </c>
    </row>
    <row r="1021" spans="1:14">
      <c r="A1021" s="5">
        <v>8</v>
      </c>
      <c r="B1021" s="32">
        <f>IF(ISNUMBER(SEARCH('Φόρμα Εισαγωγής'!$B$2,C1021)),MAX($B$1:B1020)+1,0)</f>
        <v>1020</v>
      </c>
      <c r="C1021" s="7" t="s">
        <v>706</v>
      </c>
      <c r="D1021" s="33">
        <f>IF(ISNUMBER(SEARCH('Φόρμα Εισαγωγής'!$C$2,E1021)),MAX($D$1:D1020)+1,0)</f>
        <v>1020</v>
      </c>
      <c r="E1021" s="17" t="s">
        <v>25</v>
      </c>
      <c r="F1021" s="5">
        <v>3.15</v>
      </c>
      <c r="G1021" s="5">
        <v>4.45</v>
      </c>
      <c r="H1021" s="6">
        <f t="shared" si="54"/>
        <v>5.5180000000000007</v>
      </c>
      <c r="I1021" s="6">
        <f t="shared" si="55"/>
        <v>25.2</v>
      </c>
      <c r="J1021" s="6">
        <f t="shared" si="56"/>
        <v>44.144000000000005</v>
      </c>
      <c r="L1021" s="4" t="str">
        <f>IFERROR(VLOOKUP(ROWS($L$2:L1021),$B$2:$C$1996,2,0),"")</f>
        <v>ΒΑΝΑΚΙ ΑΣΦΑΛΕΙΑΣ</v>
      </c>
      <c r="N1021" s="2" t="str">
        <f>IFERROR(VLOOKUP(ROWS($N$2:N1021),$D$2:$E$1996,2,0),"")</f>
        <v>Α/Θ 1/2</v>
      </c>
    </row>
    <row r="1022" spans="1:14">
      <c r="A1022" s="5">
        <v>4</v>
      </c>
      <c r="B1022" s="32">
        <f>IF(ISNUMBER(SEARCH('Φόρμα Εισαγωγής'!$B$2,C1022)),MAX($B$1:B1021)+1,0)</f>
        <v>1021</v>
      </c>
      <c r="C1022" s="7" t="s">
        <v>950</v>
      </c>
      <c r="D1022" s="33">
        <f>IF(ISNUMBER(SEARCH('Φόρμα Εισαγωγής'!$C$2,E1022)),MAX($D$1:D1021)+1,0)</f>
        <v>1021</v>
      </c>
      <c r="E1022" s="17" t="s">
        <v>626</v>
      </c>
      <c r="F1022" s="5">
        <v>5.25</v>
      </c>
      <c r="G1022" s="5">
        <v>7.3</v>
      </c>
      <c r="H1022" s="6">
        <f t="shared" si="54"/>
        <v>9.0519999999999996</v>
      </c>
      <c r="I1022" s="6">
        <f t="shared" si="55"/>
        <v>21</v>
      </c>
      <c r="J1022" s="6">
        <f t="shared" si="56"/>
        <v>36.207999999999998</v>
      </c>
      <c r="L1022" s="4" t="str">
        <f>IFERROR(VLOOKUP(ROWS($L$2:L1022),$B$2:$C$1996,2,0),"")</f>
        <v>ΡΑΚΟΡ ΣΥΣΦ. ΣΙΔΕΡ. ΟΡ. CIM</v>
      </c>
      <c r="N1022" s="2" t="str">
        <f>IFERROR(VLOOKUP(ROWS($N$2:N1022),$D$2:$E$1996,2,0),"")</f>
        <v>ΑΡΣ. 1/2</v>
      </c>
    </row>
    <row r="1023" spans="1:14">
      <c r="A1023" s="5">
        <v>5</v>
      </c>
      <c r="B1023" s="32">
        <f>IF(ISNUMBER(SEARCH('Φόρμα Εισαγωγής'!$B$2,C1023)),MAX($B$1:B1022)+1,0)</f>
        <v>1022</v>
      </c>
      <c r="C1023" s="7" t="s">
        <v>905</v>
      </c>
      <c r="D1023" s="33">
        <f>IF(ISNUMBER(SEARCH('Φόρμα Εισαγωγής'!$C$2,E1023)),MAX($D$1:D1022)+1,0)</f>
        <v>1022</v>
      </c>
      <c r="E1023" s="17" t="s">
        <v>35</v>
      </c>
      <c r="F1023" s="5">
        <v>8</v>
      </c>
      <c r="G1023" s="5">
        <v>12</v>
      </c>
      <c r="H1023" s="6">
        <f t="shared" si="54"/>
        <v>14.879999999999999</v>
      </c>
      <c r="I1023" s="6">
        <f t="shared" si="55"/>
        <v>40</v>
      </c>
      <c r="J1023" s="6">
        <f t="shared" si="56"/>
        <v>74.399999999999991</v>
      </c>
      <c r="L1023" s="4" t="str">
        <f>IFERROR(VLOOKUP(ROWS($L$2:L1023),$B$2:$C$1996,2,0),"")</f>
        <v>ΒΑΛΒΙΔΑ ΑΥΤ ΜΕΤΑΛΛΙΚΗ Μ. ΥΠΕΡ</v>
      </c>
      <c r="N1023" s="2" t="str">
        <f>IFERROR(VLOOKUP(ROWS($N$2:N1023),$D$2:$E$1996,2,0),"")</f>
        <v>1 1/4''</v>
      </c>
    </row>
    <row r="1024" spans="1:14">
      <c r="A1024" s="5">
        <v>1</v>
      </c>
      <c r="B1024" s="32">
        <f>IF(ISNUMBER(SEARCH('Φόρμα Εισαγωγής'!$B$2,C1024)),MAX($B$1:B1023)+1,0)</f>
        <v>1023</v>
      </c>
      <c r="C1024" s="7" t="s">
        <v>953</v>
      </c>
      <c r="D1024" s="33">
        <f>IF(ISNUMBER(SEARCH('Φόρμα Εισαγωγής'!$C$2,E1024)),MAX($D$1:D1023)+1,0)</f>
        <v>1023</v>
      </c>
      <c r="E1024" s="17" t="s">
        <v>947</v>
      </c>
      <c r="F1024" s="5">
        <v>9.6999999999999993</v>
      </c>
      <c r="G1024" s="5">
        <v>14</v>
      </c>
      <c r="H1024" s="6">
        <f t="shared" ref="H1024:H1087" si="59">G1024+(G1024*0.24)</f>
        <v>17.36</v>
      </c>
      <c r="I1024" s="6">
        <f t="shared" ref="I1024:I1087" si="60">F1024*A1024</f>
        <v>9.6999999999999993</v>
      </c>
      <c r="J1024" s="6">
        <f t="shared" ref="J1024:J1087" si="61">H1024*A1024</f>
        <v>17.36</v>
      </c>
      <c r="L1024" s="4" t="str">
        <f>IFERROR(VLOOKUP(ROWS($L$2:L1024),$B$2:$C$1996,2,0),"")</f>
        <v>ΚΑΠΑΚΗ ΛΕΚΑΚΗΣ ΛΕΥΚΟ LAMAPLAST WC4</v>
      </c>
      <c r="N1024" s="2" t="str">
        <f>IFERROR(VLOOKUP(ROWS($N$2:N1024),$D$2:$E$1996,2,0),"")</f>
        <v xml:space="preserve">ΛΕΥΚΟ </v>
      </c>
    </row>
    <row r="1025" spans="1:14">
      <c r="A1025" s="5">
        <v>1</v>
      </c>
      <c r="B1025" s="32">
        <f>IF(ISNUMBER(SEARCH('Φόρμα Εισαγωγής'!$B$2,C1025)),MAX($B$1:B1024)+1,0)</f>
        <v>1024</v>
      </c>
      <c r="C1025" s="7" t="s">
        <v>952</v>
      </c>
      <c r="D1025" s="33">
        <f>IF(ISNUMBER(SEARCH('Φόρμα Εισαγωγής'!$C$2,E1025)),MAX($D$1:D1024)+1,0)</f>
        <v>1024</v>
      </c>
      <c r="E1025" s="17" t="s">
        <v>947</v>
      </c>
      <c r="F1025" s="5">
        <v>8.5</v>
      </c>
      <c r="G1025" s="5">
        <v>12</v>
      </c>
      <c r="H1025" s="6">
        <f t="shared" si="59"/>
        <v>14.879999999999999</v>
      </c>
      <c r="I1025" s="6">
        <f t="shared" si="60"/>
        <v>8.5</v>
      </c>
      <c r="J1025" s="6">
        <f t="shared" si="61"/>
        <v>14.879999999999999</v>
      </c>
      <c r="L1025" s="4" t="str">
        <f>IFERROR(VLOOKUP(ROWS($L$2:L1025),$B$2:$C$1996,2,0),"")</f>
        <v>ΚΑΠΑΚΗ ΛΕΚΑΚΗΣ ΛΕΥΚΟ LAMAPLAST WC3</v>
      </c>
      <c r="N1025" s="2" t="str">
        <f>IFERROR(VLOOKUP(ROWS($N$2:N1025),$D$2:$E$1996,2,0),"")</f>
        <v xml:space="preserve">ΛΕΥΚΟ </v>
      </c>
    </row>
    <row r="1026" spans="1:14">
      <c r="A1026" s="5">
        <v>2</v>
      </c>
      <c r="B1026" s="32">
        <f>IF(ISNUMBER(SEARCH('Φόρμα Εισαγωγής'!$B$2,C1026)),MAX($B$1:B1025)+1,0)</f>
        <v>1025</v>
      </c>
      <c r="C1026" s="7" t="s">
        <v>954</v>
      </c>
      <c r="D1026" s="33">
        <f>IF(ISNUMBER(SEARCH('Φόρμα Εισαγωγής'!$C$2,E1026)),MAX($D$1:D1025)+1,0)</f>
        <v>1025</v>
      </c>
      <c r="E1026" s="17" t="s">
        <v>955</v>
      </c>
      <c r="F1026" s="5">
        <v>33</v>
      </c>
      <c r="G1026" s="5">
        <v>47</v>
      </c>
      <c r="H1026" s="6">
        <f t="shared" si="59"/>
        <v>58.28</v>
      </c>
      <c r="I1026" s="6">
        <f t="shared" si="60"/>
        <v>66</v>
      </c>
      <c r="J1026" s="6">
        <f t="shared" si="61"/>
        <v>116.56</v>
      </c>
      <c r="L1026" s="4" t="str">
        <f>IFERROR(VLOOKUP(ROWS($L$2:L1026),$B$2:$C$1996,2,0),"")</f>
        <v xml:space="preserve">ΜΠΑΤΑΡΙΑ ΚΟΥΖ ΧΑΜ  SILVIA </v>
      </c>
      <c r="N1026" s="2" t="str">
        <f>IFERROR(VLOOKUP(ROWS($N$2:N1026),$D$2:$E$1996,2,0),"")</f>
        <v xml:space="preserve">ΓΡΑΝΙΤΗΣ </v>
      </c>
    </row>
    <row r="1027" spans="1:14">
      <c r="A1027" s="5">
        <v>4</v>
      </c>
      <c r="B1027" s="32">
        <f>IF(ISNUMBER(SEARCH('Φόρμα Εισαγωγής'!$B$2,C1027)),MAX($B$1:B1026)+1,0)</f>
        <v>1026</v>
      </c>
      <c r="C1027" s="7" t="s">
        <v>748</v>
      </c>
      <c r="D1027" s="33">
        <f>IF(ISNUMBER(SEARCH('Φόρμα Εισαγωγής'!$C$2,E1027)),MAX($D$1:D1026)+1,0)</f>
        <v>1026</v>
      </c>
      <c r="E1027" s="17" t="s">
        <v>147</v>
      </c>
      <c r="F1027" s="5">
        <v>6.55</v>
      </c>
      <c r="G1027" s="5">
        <v>9.15</v>
      </c>
      <c r="H1027" s="6">
        <f t="shared" si="59"/>
        <v>11.346</v>
      </c>
      <c r="I1027" s="6">
        <f t="shared" si="60"/>
        <v>26.2</v>
      </c>
      <c r="J1027" s="6">
        <f t="shared" si="61"/>
        <v>45.384</v>
      </c>
      <c r="L1027" s="4" t="str">
        <f>IFERROR(VLOOKUP(ROWS($L$2:L1027),$B$2:$C$1996,2,0),"")</f>
        <v>ΡΑΚΟΡ ΠΟΛ. TIEMME</v>
      </c>
      <c r="N1027" s="2" t="str">
        <f>IFERROR(VLOOKUP(ROWS($N$2:N1027),$D$2:$E$1996,2,0),"")</f>
        <v>ΑΡΣ Φ32 Χ 1''</v>
      </c>
    </row>
    <row r="1028" spans="1:14">
      <c r="A1028" s="5">
        <v>5</v>
      </c>
      <c r="B1028" s="32">
        <f>IF(ISNUMBER(SEARCH('Φόρμα Εισαγωγής'!$B$2,C1028)),MAX($B$1:B1027)+1,0)</f>
        <v>1027</v>
      </c>
      <c r="C1028" s="7" t="s">
        <v>748</v>
      </c>
      <c r="D1028" s="33">
        <f>IF(ISNUMBER(SEARCH('Φόρμα Εισαγωγής'!$C$2,E1028)),MAX($D$1:D1027)+1,0)</f>
        <v>1027</v>
      </c>
      <c r="E1028" s="17" t="s">
        <v>956</v>
      </c>
      <c r="F1028" s="5">
        <v>6.85</v>
      </c>
      <c r="G1028" s="5">
        <v>9.6</v>
      </c>
      <c r="H1028" s="6">
        <f t="shared" si="59"/>
        <v>11.904</v>
      </c>
      <c r="I1028" s="6">
        <f t="shared" si="60"/>
        <v>34.25</v>
      </c>
      <c r="J1028" s="6">
        <f t="shared" si="61"/>
        <v>59.519999999999996</v>
      </c>
      <c r="L1028" s="4" t="str">
        <f>IFERROR(VLOOKUP(ROWS($L$2:L1028),$B$2:$C$1996,2,0),"")</f>
        <v>ΡΑΚΟΡ ΠΟΛ. TIEMME</v>
      </c>
      <c r="N1028" s="2" t="str">
        <f>IFERROR(VLOOKUP(ROWS($N$2:N1028),$D$2:$E$1996,2,0),"")</f>
        <v>ΘΥΛ Φ32 Χ 1''</v>
      </c>
    </row>
    <row r="1029" spans="1:14">
      <c r="A1029" s="5">
        <v>4</v>
      </c>
      <c r="B1029" s="32">
        <f>IF(ISNUMBER(SEARCH('Φόρμα Εισαγωγής'!$B$2,C1029)),MAX($B$1:B1028)+1,0)</f>
        <v>1028</v>
      </c>
      <c r="C1029" s="7" t="s">
        <v>957</v>
      </c>
      <c r="D1029" s="33">
        <f>IF(ISNUMBER(SEARCH('Φόρμα Εισαγωγής'!$C$2,E1029)),MAX($D$1:D1028)+1,0)</f>
        <v>1028</v>
      </c>
      <c r="E1029" s="17" t="s">
        <v>39</v>
      </c>
      <c r="F1029" s="5">
        <v>3.96</v>
      </c>
      <c r="G1029" s="5">
        <v>5.55</v>
      </c>
      <c r="H1029" s="6">
        <f t="shared" si="59"/>
        <v>6.8819999999999997</v>
      </c>
      <c r="I1029" s="6">
        <f t="shared" si="60"/>
        <v>15.84</v>
      </c>
      <c r="J1029" s="6">
        <f t="shared" si="61"/>
        <v>27.527999999999999</v>
      </c>
      <c r="L1029" s="4" t="str">
        <f>IFERROR(VLOOKUP(ROWS($L$2:L1029),$B$2:$C$1996,2,0),"")</f>
        <v>ΒΑΛΒΙΔΑ ΑΣΦ CALEFFI 3BAR</v>
      </c>
      <c r="N1029" s="2" t="str">
        <f>IFERROR(VLOOKUP(ROWS($N$2:N1029),$D$2:$E$1996,2,0),"")</f>
        <v>ΑΡΣ 1/2</v>
      </c>
    </row>
    <row r="1030" spans="1:14">
      <c r="A1030" s="5">
        <v>4</v>
      </c>
      <c r="B1030" s="32">
        <f>IF(ISNUMBER(SEARCH('Φόρμα Εισαγωγής'!$B$2,C1030)),MAX($B$1:B1029)+1,0)</f>
        <v>1029</v>
      </c>
      <c r="C1030" s="7" t="s">
        <v>958</v>
      </c>
      <c r="D1030" s="33">
        <f>IF(ISNUMBER(SEARCH('Φόρμα Εισαγωγής'!$C$2,E1030)),MAX($D$1:D1029)+1,0)</f>
        <v>1029</v>
      </c>
      <c r="E1030" s="17" t="s">
        <v>959</v>
      </c>
      <c r="F1030" s="5">
        <v>4.5199999999999996</v>
      </c>
      <c r="G1030" s="5">
        <v>6.35</v>
      </c>
      <c r="H1030" s="6">
        <f t="shared" si="59"/>
        <v>7.8739999999999997</v>
      </c>
      <c r="I1030" s="6">
        <f t="shared" si="60"/>
        <v>18.079999999999998</v>
      </c>
      <c r="J1030" s="6">
        <f t="shared" si="61"/>
        <v>31.495999999999999</v>
      </c>
      <c r="L1030" s="4" t="str">
        <f>IFERROR(VLOOKUP(ROWS($L$2:L1030),$B$2:$C$1996,2,0),"")</f>
        <v>ΒΑΛΒΙΔΑ ΑΣΦ CALEFFI 6-8BAR</v>
      </c>
      <c r="N1030" s="2" t="str">
        <f>IFERROR(VLOOKUP(ROWS($N$2:N1030),$D$2:$E$1996,2,0),"")</f>
        <v>ΘΥΛ 1/2</v>
      </c>
    </row>
    <row r="1031" spans="1:14">
      <c r="A1031" s="5">
        <v>2</v>
      </c>
      <c r="B1031" s="32">
        <f>IF(ISNUMBER(SEARCH('Φόρμα Εισαγωγής'!$B$2,C1031)),MAX($B$1:B1030)+1,0)</f>
        <v>1030</v>
      </c>
      <c r="C1031" s="7" t="s">
        <v>960</v>
      </c>
      <c r="D1031" s="33">
        <f>IF(ISNUMBER(SEARCH('Φόρμα Εισαγωγής'!$C$2,E1031)),MAX($D$1:D1030)+1,0)</f>
        <v>1030</v>
      </c>
      <c r="E1031" s="17" t="s">
        <v>959</v>
      </c>
      <c r="F1031" s="5">
        <v>6</v>
      </c>
      <c r="G1031" s="5">
        <v>8.4</v>
      </c>
      <c r="H1031" s="6">
        <f t="shared" si="59"/>
        <v>10.416</v>
      </c>
      <c r="I1031" s="6">
        <f t="shared" si="60"/>
        <v>12</v>
      </c>
      <c r="J1031" s="6">
        <f t="shared" si="61"/>
        <v>20.832000000000001</v>
      </c>
      <c r="L1031" s="4" t="str">
        <f>IFERROR(VLOOKUP(ROWS($L$2:L1031),$B$2:$C$1996,2,0),"")</f>
        <v>ΒΑΛΒΙΔΑ ΑΣΦ CALEFFI 1,5BAR</v>
      </c>
      <c r="N1031" s="2" t="str">
        <f>IFERROR(VLOOKUP(ROWS($N$2:N1031),$D$2:$E$1996,2,0),"")</f>
        <v>ΘΥΛ 1/2</v>
      </c>
    </row>
    <row r="1032" spans="1:14">
      <c r="A1032" s="5">
        <v>1</v>
      </c>
      <c r="B1032" s="32">
        <f>IF(ISNUMBER(SEARCH('Φόρμα Εισαγωγής'!$B$2,C1032)),MAX($B$1:B1031)+1,0)</f>
        <v>1031</v>
      </c>
      <c r="C1032" s="7" t="s">
        <v>961</v>
      </c>
      <c r="D1032" s="33">
        <f>IF(ISNUMBER(SEARCH('Φόρμα Εισαγωγής'!$C$2,E1032)),MAX($D$1:D1031)+1,0)</f>
        <v>1031</v>
      </c>
      <c r="E1032" s="17" t="s">
        <v>962</v>
      </c>
      <c r="F1032" s="5">
        <v>38</v>
      </c>
      <c r="G1032" s="5">
        <v>53.2</v>
      </c>
      <c r="H1032" s="6">
        <f t="shared" si="59"/>
        <v>65.968000000000004</v>
      </c>
      <c r="I1032" s="6">
        <f t="shared" si="60"/>
        <v>38</v>
      </c>
      <c r="J1032" s="6">
        <f t="shared" si="61"/>
        <v>65.968000000000004</v>
      </c>
      <c r="L1032" s="4" t="str">
        <f>IFERROR(VLOOKUP(ROWS($L$2:L1032),$B$2:$C$1996,2,0),"")</f>
        <v xml:space="preserve">ΚΥΚΛΟΦΟΡΗΤΗΣ SHIMGE </v>
      </c>
      <c r="N1032" s="2" t="str">
        <f>IFERROR(VLOOKUP(ROWS($N$2:N1032),$D$2:$E$1996,2,0),"")</f>
        <v>25/6</v>
      </c>
    </row>
    <row r="1033" spans="1:14">
      <c r="A1033" s="5">
        <v>1</v>
      </c>
      <c r="B1033" s="32">
        <f>IF(ISNUMBER(SEARCH('Φόρμα Εισαγωγής'!$B$2,C1033)),MAX($B$1:B1032)+1,0)</f>
        <v>1032</v>
      </c>
      <c r="C1033" s="7" t="s">
        <v>963</v>
      </c>
      <c r="D1033" s="33">
        <f>IF(ISNUMBER(SEARCH('Φόρμα Εισαγωγής'!$C$2,E1033)),MAX($D$1:D1032)+1,0)</f>
        <v>1032</v>
      </c>
      <c r="E1033" s="17" t="s">
        <v>321</v>
      </c>
      <c r="F1033" s="5">
        <v>32</v>
      </c>
      <c r="G1033" s="5">
        <v>45</v>
      </c>
      <c r="H1033" s="6">
        <f t="shared" si="59"/>
        <v>55.8</v>
      </c>
      <c r="I1033" s="6">
        <f t="shared" si="60"/>
        <v>32</v>
      </c>
      <c r="J1033" s="6">
        <f t="shared" si="61"/>
        <v>55.8</v>
      </c>
      <c r="L1033" s="4" t="str">
        <f>IFERROR(VLOOKUP(ROWS($L$2:L1033),$B$2:$C$1996,2,0),"")</f>
        <v>ΜΟΤΕΡ ΗΛ/ΒΑΝΑΣ BUGATTI</v>
      </c>
      <c r="N1033" s="2" t="str">
        <f>IFERROR(VLOOKUP(ROWS($N$2:N1033),$D$2:$E$1996,2,0),"")</f>
        <v>-</v>
      </c>
    </row>
    <row r="1034" spans="1:14">
      <c r="A1034" s="5">
        <v>1</v>
      </c>
      <c r="B1034" s="32">
        <f>IF(ISNUMBER(SEARCH('Φόρμα Εισαγωγής'!$B$2,C1034)),MAX($B$1:B1033)+1,0)</f>
        <v>1033</v>
      </c>
      <c r="C1034" s="7" t="s">
        <v>964</v>
      </c>
      <c r="D1034" s="33">
        <f>IF(ISNUMBER(SEARCH('Φόρμα Εισαγωγής'!$C$2,E1034)),MAX($D$1:D1033)+1,0)</f>
        <v>1033</v>
      </c>
      <c r="E1034" s="17" t="s">
        <v>321</v>
      </c>
      <c r="F1034" s="5">
        <v>1.3</v>
      </c>
      <c r="G1034" s="5">
        <v>1.85</v>
      </c>
      <c r="H1034" s="6">
        <f t="shared" si="59"/>
        <v>2.294</v>
      </c>
      <c r="I1034" s="6">
        <f t="shared" si="60"/>
        <v>1.3</v>
      </c>
      <c r="J1034" s="6">
        <f t="shared" si="61"/>
        <v>2.294</v>
      </c>
      <c r="L1034" s="4" t="str">
        <f>IFERROR(VLOOKUP(ROWS($L$2:L1034),$B$2:$C$1996,2,0),"")</f>
        <v>ΚΑΝΑΒΙ 250GR</v>
      </c>
      <c r="N1034" s="2" t="str">
        <f>IFERROR(VLOOKUP(ROWS($N$2:N1034),$D$2:$E$1996,2,0),"")</f>
        <v>-</v>
      </c>
    </row>
    <row r="1035" spans="1:14">
      <c r="A1035" s="5">
        <v>5</v>
      </c>
      <c r="B1035" s="32">
        <f>IF(ISNUMBER(SEARCH('Φόρμα Εισαγωγής'!$B$2,C1035)),MAX($B$1:B1034)+1,0)</f>
        <v>1034</v>
      </c>
      <c r="C1035" s="7" t="s">
        <v>965</v>
      </c>
      <c r="D1035" s="33">
        <f>IF(ISNUMBER(SEARCH('Φόρμα Εισαγωγής'!$C$2,E1035)),MAX($D$1:D1034)+1,0)</f>
        <v>1034</v>
      </c>
      <c r="E1035" s="17" t="s">
        <v>643</v>
      </c>
      <c r="F1035" s="5">
        <v>1.03</v>
      </c>
      <c r="G1035" s="5">
        <v>1.45</v>
      </c>
      <c r="H1035" s="6">
        <f t="shared" si="59"/>
        <v>1.798</v>
      </c>
      <c r="I1035" s="6">
        <f t="shared" si="60"/>
        <v>5.15</v>
      </c>
      <c r="J1035" s="6">
        <f t="shared" si="61"/>
        <v>8.99</v>
      </c>
      <c r="L1035" s="4" t="str">
        <f>IFERROR(VLOOKUP(ROWS($L$2:L1035),$B$2:$C$1996,2,0),"")</f>
        <v>ΕΞΑΓΩΓΗ ΠΛΥΝΤ ΛΑΣΤΙΧΟ</v>
      </c>
      <c r="N1035" s="2" t="str">
        <f>IFERROR(VLOOKUP(ROWS($N$2:N1035),$D$2:$E$1996,2,0),"")</f>
        <v>1,5Μ</v>
      </c>
    </row>
    <row r="1036" spans="1:14">
      <c r="A1036" s="5">
        <v>5</v>
      </c>
      <c r="B1036" s="32">
        <f>IF(ISNUMBER(SEARCH('Φόρμα Εισαγωγής'!$B$2,C1036)),MAX($B$1:B1035)+1,0)</f>
        <v>1035</v>
      </c>
      <c r="C1036" s="7" t="s">
        <v>966</v>
      </c>
      <c r="D1036" s="33">
        <f>IF(ISNUMBER(SEARCH('Φόρμα Εισαγωγής'!$C$2,E1036)),MAX($D$1:D1035)+1,0)</f>
        <v>1035</v>
      </c>
      <c r="E1036" s="17" t="s">
        <v>967</v>
      </c>
      <c r="F1036" s="5">
        <v>1.76</v>
      </c>
      <c r="G1036" s="5">
        <v>2.5</v>
      </c>
      <c r="H1036" s="6">
        <f t="shared" si="59"/>
        <v>3.1</v>
      </c>
      <c r="I1036" s="6">
        <f t="shared" si="60"/>
        <v>8.8000000000000007</v>
      </c>
      <c r="J1036" s="6">
        <f t="shared" si="61"/>
        <v>15.5</v>
      </c>
      <c r="L1036" s="4" t="str">
        <f>IFERROR(VLOOKUP(ROWS($L$2:L1036),$B$2:$C$1996,2,0),"")</f>
        <v>ΔΙΑΣΤΟΛΗ PVC</v>
      </c>
      <c r="N1036" s="2" t="str">
        <f>IFERROR(VLOOKUP(ROWS($N$2:N1036),$D$2:$E$1996,2,0),"")</f>
        <v>Φ140 Χ Φ125</v>
      </c>
    </row>
    <row r="1037" spans="1:14">
      <c r="A1037" s="5">
        <v>5</v>
      </c>
      <c r="B1037" s="32">
        <f>IF(ISNUMBER(SEARCH('Φόρμα Εισαγωγής'!$B$2,C1037)),MAX($B$1:B1036)+1,0)</f>
        <v>1036</v>
      </c>
      <c r="C1037" s="7" t="s">
        <v>202</v>
      </c>
      <c r="D1037" s="33">
        <f>IF(ISNUMBER(SEARCH('Φόρμα Εισαγωγής'!$C$2,E1037)),MAX($D$1:D1036)+1,0)</f>
        <v>1036</v>
      </c>
      <c r="E1037" s="17" t="s">
        <v>967</v>
      </c>
      <c r="F1037" s="5">
        <v>1.78</v>
      </c>
      <c r="G1037" s="5">
        <v>2.5</v>
      </c>
      <c r="H1037" s="6">
        <f t="shared" si="59"/>
        <v>3.1</v>
      </c>
      <c r="I1037" s="6">
        <f t="shared" si="60"/>
        <v>8.9</v>
      </c>
      <c r="J1037" s="6">
        <f t="shared" si="61"/>
        <v>15.5</v>
      </c>
      <c r="L1037" s="4" t="str">
        <f>IFERROR(VLOOKUP(ROWS($L$2:L1037),$B$2:$C$1996,2,0),"")</f>
        <v>ΣΥΣΤΟΛΗ ΑΜ. PVC</v>
      </c>
      <c r="N1037" s="2" t="str">
        <f>IFERROR(VLOOKUP(ROWS($N$2:N1037),$D$2:$E$1996,2,0),"")</f>
        <v>Φ140 Χ Φ125</v>
      </c>
    </row>
    <row r="1038" spans="1:14">
      <c r="A1038" s="5">
        <v>5</v>
      </c>
      <c r="B1038" s="32">
        <f>IF(ISNUMBER(SEARCH('Φόρμα Εισαγωγής'!$B$2,C1038)),MAX($B$1:B1037)+1,0)</f>
        <v>1037</v>
      </c>
      <c r="C1038" s="7" t="s">
        <v>971</v>
      </c>
      <c r="D1038" s="33">
        <f>IF(ISNUMBER(SEARCH('Φόρμα Εισαγωγής'!$C$2,E1038)),MAX($D$1:D1037)+1,0)</f>
        <v>1037</v>
      </c>
      <c r="E1038" s="17" t="s">
        <v>968</v>
      </c>
      <c r="F1038" s="5">
        <v>3.01</v>
      </c>
      <c r="G1038" s="5">
        <v>4.25</v>
      </c>
      <c r="H1038" s="6">
        <f t="shared" si="59"/>
        <v>5.27</v>
      </c>
      <c r="I1038" s="6">
        <f t="shared" si="60"/>
        <v>15.049999999999999</v>
      </c>
      <c r="J1038" s="6">
        <f t="shared" si="61"/>
        <v>26.349999999999998</v>
      </c>
      <c r="L1038" s="4" t="str">
        <f>IFERROR(VLOOKUP(ROWS($L$2:L1038),$B$2:$C$1996,2,0),"")</f>
        <v>ΣΥΣΤΟΛΗ ΑΜ PVC</v>
      </c>
      <c r="N1038" s="2" t="str">
        <f>IFERROR(VLOOKUP(ROWS($N$2:N1038),$D$2:$E$1996,2,0),"")</f>
        <v>Φ160 Χ Φ140</v>
      </c>
    </row>
    <row r="1039" spans="1:14">
      <c r="A1039" s="5">
        <v>1</v>
      </c>
      <c r="B1039" s="32">
        <f>IF(ISNUMBER(SEARCH('Φόρμα Εισαγωγής'!$B$2,C1039)),MAX($B$1:B1038)+1,0)</f>
        <v>1038</v>
      </c>
      <c r="C1039" s="7" t="s">
        <v>969</v>
      </c>
      <c r="D1039" s="33">
        <f>IF(ISNUMBER(SEARCH('Φόρμα Εισαγωγής'!$C$2,E1039)),MAX($D$1:D1038)+1,0)</f>
        <v>1038</v>
      </c>
      <c r="E1039" s="17" t="s">
        <v>970</v>
      </c>
      <c r="F1039" s="5">
        <v>4.3</v>
      </c>
      <c r="G1039" s="5">
        <v>6</v>
      </c>
      <c r="H1039" s="6">
        <f t="shared" si="59"/>
        <v>7.4399999999999995</v>
      </c>
      <c r="I1039" s="6">
        <f t="shared" si="60"/>
        <v>4.3</v>
      </c>
      <c r="J1039" s="6">
        <f t="shared" si="61"/>
        <v>7.4399999999999995</v>
      </c>
      <c r="L1039" s="4" t="str">
        <f>IFERROR(VLOOKUP(ROWS($L$2:L1039),$B$2:$C$1996,2,0),"")</f>
        <v>ΥΓΡΟ ΚΑΘΑΡΙΣΜΟΥ A/C ΕΣ</v>
      </c>
      <c r="N1039" s="2" t="str">
        <f>IFERROR(VLOOKUP(ROWS($N$2:N1039),$D$2:$E$1996,2,0),"")</f>
        <v>4L</v>
      </c>
    </row>
    <row r="1040" spans="1:14">
      <c r="A1040" s="5">
        <v>12</v>
      </c>
      <c r="B1040" s="32">
        <f>IF(ISNUMBER(SEARCH('Φόρμα Εισαγωγής'!$B$2,C1040)),MAX($B$1:B1039)+1,0)</f>
        <v>1039</v>
      </c>
      <c r="C1040" s="7" t="s">
        <v>973</v>
      </c>
      <c r="D1040" s="33">
        <f>IF(ISNUMBER(SEARCH('Φόρμα Εισαγωγής'!$C$2,E1040)),MAX($D$1:D1039)+1,0)</f>
        <v>1039</v>
      </c>
      <c r="E1040" s="17" t="s">
        <v>972</v>
      </c>
      <c r="F1040" s="5">
        <v>0.6</v>
      </c>
      <c r="G1040" s="5">
        <v>0.85</v>
      </c>
      <c r="H1040" s="6">
        <f t="shared" si="59"/>
        <v>1.054</v>
      </c>
      <c r="I1040" s="6">
        <f t="shared" si="60"/>
        <v>7.1999999999999993</v>
      </c>
      <c r="J1040" s="6">
        <f t="shared" si="61"/>
        <v>12.648</v>
      </c>
      <c r="L1040" s="4" t="str">
        <f>IFERROR(VLOOKUP(ROWS($L$2:L1040),$B$2:$C$1996,2,0),"")</f>
        <v>ΓΩΝΙΑ PVC ΠΛ/ΚΑΘ</v>
      </c>
      <c r="N1040" s="2" t="str">
        <f>IFERROR(VLOOKUP(ROWS($N$2:N1040),$D$2:$E$1996,2,0),"")</f>
        <v>6 Χ 10</v>
      </c>
    </row>
    <row r="1041" spans="1:14">
      <c r="A1041" s="5">
        <v>3</v>
      </c>
      <c r="B1041" s="32">
        <f>IF(ISNUMBER(SEARCH('Φόρμα Εισαγωγής'!$B$2,C1041)),MAX($B$1:B1040)+1,0)</f>
        <v>1040</v>
      </c>
      <c r="C1041" s="7" t="s">
        <v>974</v>
      </c>
      <c r="D1041" s="33">
        <f>IF(ISNUMBER(SEARCH('Φόρμα Εισαγωγής'!$C$2,E1041)),MAX($D$1:D1040)+1,0)</f>
        <v>1040</v>
      </c>
      <c r="E1041" s="17" t="s">
        <v>439</v>
      </c>
      <c r="F1041" s="5">
        <v>4.87</v>
      </c>
      <c r="G1041" s="5">
        <v>6.9</v>
      </c>
      <c r="H1041" s="6">
        <f t="shared" si="59"/>
        <v>8.5560000000000009</v>
      </c>
      <c r="I1041" s="6">
        <f t="shared" si="60"/>
        <v>14.61</v>
      </c>
      <c r="J1041" s="6">
        <f t="shared" si="61"/>
        <v>25.668000000000003</v>
      </c>
      <c r="L1041" s="4" t="str">
        <f>IFERROR(VLOOKUP(ROWS($L$2:L1041),$B$2:$C$1996,2,0),"")</f>
        <v>ΠΛΑΙΣΙΟ ΦΡΕΑΤΙΟΥ</v>
      </c>
      <c r="N1041" s="2" t="str">
        <f>IFERROR(VLOOKUP(ROWS($N$2:N1041),$D$2:$E$1996,2,0),"")</f>
        <v>40 Χ 40</v>
      </c>
    </row>
    <row r="1042" spans="1:14">
      <c r="A1042" s="5">
        <v>0</v>
      </c>
      <c r="B1042" s="32">
        <f>IF(ISNUMBER(SEARCH('Φόρμα Εισαγωγής'!$B$2,C1042)),MAX($B$1:B1041)+1,0)</f>
        <v>1041</v>
      </c>
      <c r="C1042" s="7" t="s">
        <v>975</v>
      </c>
      <c r="D1042" s="33">
        <f>IF(ISNUMBER(SEARCH('Φόρμα Εισαγωγής'!$C$2,E1042)),MAX($D$1:D1041)+1,0)</f>
        <v>1041</v>
      </c>
      <c r="E1042" s="17" t="s">
        <v>976</v>
      </c>
      <c r="F1042" s="5">
        <v>200</v>
      </c>
      <c r="G1042" s="5">
        <v>280</v>
      </c>
      <c r="H1042" s="6">
        <f t="shared" si="59"/>
        <v>347.2</v>
      </c>
      <c r="I1042" s="6">
        <f t="shared" si="60"/>
        <v>0</v>
      </c>
      <c r="J1042" s="6">
        <f t="shared" si="61"/>
        <v>0</v>
      </c>
      <c r="L1042" s="4" t="str">
        <f>IFERROR(VLOOKUP(ROWS($L$2:L1042),$B$2:$C$1996,2,0),"")</f>
        <v>ΚΥΚΛΟΦΟΡΗΤΗΣ ESBE ΞΥΛΟΛΕΒΗΤΑ</v>
      </c>
      <c r="N1042" s="2" t="str">
        <f>IFERROR(VLOOKUP(ROWS($N$2:N1042),$D$2:$E$1996,2,0),"")</f>
        <v>LTC141</v>
      </c>
    </row>
    <row r="1043" spans="1:14">
      <c r="A1043" s="5">
        <v>1</v>
      </c>
      <c r="B1043" s="32">
        <f>IF(ISNUMBER(SEARCH('Φόρμα Εισαγωγής'!$B$2,C1043)),MAX($B$1:B1042)+1,0)</f>
        <v>1042</v>
      </c>
      <c r="C1043" s="7" t="s">
        <v>977</v>
      </c>
      <c r="D1043" s="33">
        <f>IF(ISNUMBER(SEARCH('Φόρμα Εισαγωγής'!$C$2,E1043)),MAX($D$1:D1042)+1,0)</f>
        <v>1042</v>
      </c>
      <c r="E1043" s="17" t="s">
        <v>978</v>
      </c>
      <c r="F1043" s="5">
        <v>15.62</v>
      </c>
      <c r="G1043" s="5">
        <v>22</v>
      </c>
      <c r="H1043" s="6">
        <f t="shared" si="59"/>
        <v>27.28</v>
      </c>
      <c r="I1043" s="6">
        <f t="shared" si="60"/>
        <v>15.62</v>
      </c>
      <c r="J1043" s="6">
        <f t="shared" si="61"/>
        <v>27.28</v>
      </c>
      <c r="L1043" s="4" t="str">
        <f>IFERROR(VLOOKUP(ROWS($L$2:L1043),$B$2:$C$1996,2,0),"")</f>
        <v>ΘΕΡΜΟΣΤΑΤΗΣ ESBE ΠΟΥΡΟ</v>
      </c>
      <c r="N1043" s="2" t="str">
        <f>IFERROR(VLOOKUP(ROWS($N$2:N1043),$D$2:$E$1996,2,0),"")</f>
        <v>VTC500/LTC100</v>
      </c>
    </row>
    <row r="1044" spans="1:14">
      <c r="A1044" s="5">
        <v>4</v>
      </c>
      <c r="B1044" s="32">
        <f>IF(ISNUMBER(SEARCH('Φόρμα Εισαγωγής'!$B$2,C1044)),MAX($B$1:B1043)+1,0)</f>
        <v>1043</v>
      </c>
      <c r="C1044" s="7" t="s">
        <v>593</v>
      </c>
      <c r="D1044" s="33">
        <f>IF(ISNUMBER(SEARCH('Φόρμα Εισαγωγής'!$C$2,E1044)),MAX($D$1:D1043)+1,0)</f>
        <v>1043</v>
      </c>
      <c r="E1044" s="17" t="s">
        <v>979</v>
      </c>
      <c r="F1044" s="5">
        <v>2.2000000000000002</v>
      </c>
      <c r="G1044" s="5">
        <v>3.1</v>
      </c>
      <c r="H1044" s="6">
        <f t="shared" si="59"/>
        <v>3.8440000000000003</v>
      </c>
      <c r="I1044" s="6">
        <f t="shared" si="60"/>
        <v>8.8000000000000007</v>
      </c>
      <c r="J1044" s="6">
        <f t="shared" si="61"/>
        <v>15.376000000000001</v>
      </c>
      <c r="L1044" s="4" t="str">
        <f>IFERROR(VLOOKUP(ROWS($L$2:L1044),$B$2:$C$1996,2,0),"")</f>
        <v>ΦΙΛΤΡΑΚΙ ΜΠΑΤ. ΑΡΣ.</v>
      </c>
      <c r="N1044" s="2" t="str">
        <f>IFERROR(VLOOKUP(ROWS($N$2:N1044),$D$2:$E$1996,2,0),"")</f>
        <v>16 Χ 1</v>
      </c>
    </row>
    <row r="1045" spans="1:14">
      <c r="A1045" s="5">
        <v>5</v>
      </c>
      <c r="B1045" s="32">
        <f>IF(ISNUMBER(SEARCH('Φόρμα Εισαγωγής'!$B$2,C1045)),MAX($B$1:B1044)+1,0)</f>
        <v>1044</v>
      </c>
      <c r="C1045" s="7" t="s">
        <v>593</v>
      </c>
      <c r="D1045" s="33">
        <f>IF(ISNUMBER(SEARCH('Φόρμα Εισαγωγής'!$C$2,E1045)),MAX($D$1:D1044)+1,0)</f>
        <v>1044</v>
      </c>
      <c r="E1045" s="17" t="s">
        <v>980</v>
      </c>
      <c r="F1045" s="5">
        <v>1.3</v>
      </c>
      <c r="G1045" s="5">
        <v>1.85</v>
      </c>
      <c r="H1045" s="6">
        <f t="shared" si="59"/>
        <v>2.294</v>
      </c>
      <c r="I1045" s="6">
        <f t="shared" si="60"/>
        <v>6.5</v>
      </c>
      <c r="J1045" s="6">
        <f t="shared" si="61"/>
        <v>11.47</v>
      </c>
      <c r="L1045" s="4" t="str">
        <f>IFERROR(VLOOKUP(ROWS($L$2:L1045),$B$2:$C$1996,2,0),"")</f>
        <v>ΦΙΛΤΡΑΚΙ ΜΠΑΤ. ΑΡΣ.</v>
      </c>
      <c r="N1045" s="2" t="str">
        <f>IFERROR(VLOOKUP(ROWS($N$2:N1045),$D$2:$E$1996,2,0),"")</f>
        <v>18 Χ 1</v>
      </c>
    </row>
    <row r="1046" spans="1:14">
      <c r="A1046" s="5">
        <v>2</v>
      </c>
      <c r="B1046" s="32">
        <f>IF(ISNUMBER(SEARCH('Φόρμα Εισαγωγής'!$B$2,C1046)),MAX($B$1:B1045)+1,0)</f>
        <v>1045</v>
      </c>
      <c r="C1046" s="7" t="s">
        <v>981</v>
      </c>
      <c r="D1046" s="33">
        <f>IF(ISNUMBER(SEARCH('Φόρμα Εισαγωγής'!$C$2,E1046)),MAX($D$1:D1045)+1,0)</f>
        <v>1045</v>
      </c>
      <c r="E1046" s="17" t="s">
        <v>982</v>
      </c>
      <c r="F1046" s="5">
        <v>5.5</v>
      </c>
      <c r="G1046" s="5">
        <v>7.8</v>
      </c>
      <c r="H1046" s="6">
        <f t="shared" si="59"/>
        <v>9.6720000000000006</v>
      </c>
      <c r="I1046" s="6">
        <f t="shared" si="60"/>
        <v>11</v>
      </c>
      <c r="J1046" s="6">
        <f t="shared" si="61"/>
        <v>19.344000000000001</v>
      </c>
      <c r="L1046" s="4" t="str">
        <f>IFERROR(VLOOKUP(ROWS($L$2:L1046),$B$2:$C$1996,2,0),"")</f>
        <v>ΚΟΛΛΑ LOXEAL</v>
      </c>
      <c r="N1046" s="2" t="str">
        <f>IFERROR(VLOOKUP(ROWS($N$2:N1046),$D$2:$E$1996,2,0),"")</f>
        <v>55-14</v>
      </c>
    </row>
    <row r="1047" spans="1:14">
      <c r="A1047" s="5">
        <v>2</v>
      </c>
      <c r="B1047" s="32">
        <f>IF(ISNUMBER(SEARCH('Φόρμα Εισαγωγής'!$B$2,C1047)),MAX($B$1:B1046)+1,0)</f>
        <v>1046</v>
      </c>
      <c r="C1047" s="7" t="s">
        <v>983</v>
      </c>
      <c r="D1047" s="33">
        <f>IF(ISNUMBER(SEARCH('Φόρμα Εισαγωγής'!$C$2,E1047)),MAX($D$1:D1046)+1,0)</f>
        <v>1046</v>
      </c>
      <c r="E1047" s="17" t="s">
        <v>984</v>
      </c>
      <c r="F1047" s="5">
        <v>5.5</v>
      </c>
      <c r="G1047" s="5">
        <v>7.8</v>
      </c>
      <c r="H1047" s="6">
        <f t="shared" si="59"/>
        <v>9.6720000000000006</v>
      </c>
      <c r="I1047" s="6">
        <f t="shared" si="60"/>
        <v>11</v>
      </c>
      <c r="J1047" s="6">
        <f t="shared" si="61"/>
        <v>19.344000000000001</v>
      </c>
      <c r="L1047" s="4" t="str">
        <f>IFERROR(VLOOKUP(ROWS($L$2:L1047),$B$2:$C$1996,2,0),"")</f>
        <v>ΚΟΛΛΑ LOXEAL ΥΓΡΟ TEFLON</v>
      </c>
      <c r="N1047" s="2" t="str">
        <f>IFERROR(VLOOKUP(ROWS($N$2:N1047),$D$2:$E$1996,2,0),"")</f>
        <v>18-10</v>
      </c>
    </row>
    <row r="1048" spans="1:14">
      <c r="A1048" s="5">
        <v>5</v>
      </c>
      <c r="B1048" s="32">
        <f>IF(ISNUMBER(SEARCH('Φόρμα Εισαγωγής'!$B$2,C1048)),MAX($B$1:B1047)+1,0)</f>
        <v>1047</v>
      </c>
      <c r="C1048" s="7" t="s">
        <v>985</v>
      </c>
      <c r="D1048" s="33">
        <f>IF(ISNUMBER(SEARCH('Φόρμα Εισαγωγής'!$C$2,E1048)),MAX($D$1:D1047)+1,0)</f>
        <v>1047</v>
      </c>
      <c r="E1048" s="17" t="s">
        <v>33</v>
      </c>
      <c r="F1048" s="5">
        <v>5.5</v>
      </c>
      <c r="G1048" s="5">
        <v>7.8</v>
      </c>
      <c r="H1048" s="6">
        <f t="shared" si="59"/>
        <v>9.6720000000000006</v>
      </c>
      <c r="I1048" s="6">
        <f t="shared" si="60"/>
        <v>27.5</v>
      </c>
      <c r="J1048" s="6">
        <f t="shared" si="61"/>
        <v>48.36</v>
      </c>
      <c r="L1048" s="4" t="str">
        <f>IFERROR(VLOOKUP(ROWS($L$2:L1048),$B$2:$C$1996,2,0),"")</f>
        <v>ΣΥΣΤΟΛΗ ΠΛΥΝΤ ΣΥΡΤΑΡΩΤΟ</v>
      </c>
      <c r="N1048" s="2" t="str">
        <f>IFERROR(VLOOKUP(ROWS($N$2:N1048),$D$2:$E$1996,2,0),"")</f>
        <v>3/4</v>
      </c>
    </row>
    <row r="1049" spans="1:14">
      <c r="A1049" s="5">
        <v>1</v>
      </c>
      <c r="B1049" s="32">
        <f>IF(ISNUMBER(SEARCH('Φόρμα Εισαγωγής'!$B$2,C1049)),MAX($B$1:B1048)+1,0)</f>
        <v>1048</v>
      </c>
      <c r="C1049" s="7" t="s">
        <v>986</v>
      </c>
      <c r="D1049" s="33">
        <f>IF(ISNUMBER(SEARCH('Φόρμα Εισαγωγής'!$C$2,E1049)),MAX($D$1:D1048)+1,0)</f>
        <v>1048</v>
      </c>
      <c r="E1049" s="17" t="s">
        <v>987</v>
      </c>
      <c r="F1049" s="5">
        <v>0.6</v>
      </c>
      <c r="G1049" s="5">
        <v>0.85</v>
      </c>
      <c r="H1049" s="6">
        <f t="shared" si="59"/>
        <v>1.054</v>
      </c>
      <c r="I1049" s="6">
        <f t="shared" si="60"/>
        <v>0.6</v>
      </c>
      <c r="J1049" s="6">
        <f t="shared" si="61"/>
        <v>1.054</v>
      </c>
      <c r="L1049" s="4" t="str">
        <f>IFERROR(VLOOKUP(ROWS($L$2:L1049),$B$2:$C$1996,2,0),"")</f>
        <v>ΛΑΣΤΙΧΟ ΑΝΤΙΣΤΑΣΗΣ</v>
      </c>
      <c r="N1049" s="2" t="str">
        <f>IFERROR(VLOOKUP(ROWS($N$2:N1049),$D$2:$E$1996,2,0),"")</f>
        <v>6 ΤΡΥΠΕΣ</v>
      </c>
    </row>
    <row r="1050" spans="1:14">
      <c r="A1050" s="5">
        <v>1</v>
      </c>
      <c r="B1050" s="32">
        <f>IF(ISNUMBER(SEARCH('Φόρμα Εισαγωγής'!$B$2,C1050)),MAX($B$1:B1049)+1,0)</f>
        <v>1049</v>
      </c>
      <c r="C1050" s="7" t="s">
        <v>988</v>
      </c>
      <c r="D1050" s="33">
        <f>IF(ISNUMBER(SEARCH('Φόρμα Εισαγωγής'!$C$2,E1050)),MAX($D$1:D1049)+1,0)</f>
        <v>1049</v>
      </c>
      <c r="E1050" s="17" t="s">
        <v>987</v>
      </c>
      <c r="F1050" s="5">
        <v>9</v>
      </c>
      <c r="G1050" s="5">
        <v>12.6</v>
      </c>
      <c r="H1050" s="6">
        <f t="shared" si="59"/>
        <v>15.623999999999999</v>
      </c>
      <c r="I1050" s="6">
        <f t="shared" si="60"/>
        <v>9</v>
      </c>
      <c r="J1050" s="6">
        <f t="shared" si="61"/>
        <v>15.623999999999999</v>
      </c>
      <c r="L1050" s="4" t="str">
        <f>IFERROR(VLOOKUP(ROWS($L$2:L1050),$B$2:$C$1996,2,0),"")</f>
        <v>ΑΝΤΙΣΤΑΣΗ EVIL</v>
      </c>
      <c r="N1050" s="2" t="str">
        <f>IFERROR(VLOOKUP(ROWS($N$2:N1050),$D$2:$E$1996,2,0),"")</f>
        <v>6 ΤΡΥΠΕΣ</v>
      </c>
    </row>
    <row r="1051" spans="1:14">
      <c r="A1051" s="5">
        <v>0</v>
      </c>
      <c r="B1051" s="32">
        <f>IF(ISNUMBER(SEARCH('Φόρμα Εισαγωγής'!$B$2,C1051)),MAX($B$1:B1050)+1,0)</f>
        <v>1050</v>
      </c>
      <c r="C1051" s="7" t="s">
        <v>996</v>
      </c>
      <c r="D1051" s="33">
        <f>IF(ISNUMBER(SEARCH('Φόρμα Εισαγωγής'!$C$2,E1051)),MAX($D$1:D1050)+1,0)</f>
        <v>1050</v>
      </c>
      <c r="E1051" s="17" t="s">
        <v>33</v>
      </c>
      <c r="F1051" s="5">
        <v>11.2</v>
      </c>
      <c r="G1051" s="5">
        <v>16</v>
      </c>
      <c r="H1051" s="6">
        <f t="shared" si="59"/>
        <v>19.84</v>
      </c>
      <c r="I1051" s="6">
        <f t="shared" si="60"/>
        <v>0</v>
      </c>
      <c r="J1051" s="6">
        <f t="shared" si="61"/>
        <v>0</v>
      </c>
      <c r="L1051" s="4" t="str">
        <f>IFERROR(VLOOKUP(ROWS($L$2:L1051),$B$2:$C$1996,2,0),"")</f>
        <v>ΣΥΣΚΕΥΗ ΦΙΛΤΡΟΥ ΠΟΣ ΝΕΡΟΥ 10'' ΑΤΛΑΣ</v>
      </c>
      <c r="N1051" s="2" t="str">
        <f>IFERROR(VLOOKUP(ROWS($N$2:N1051),$D$2:$E$1996,2,0),"")</f>
        <v>3/4</v>
      </c>
    </row>
    <row r="1052" spans="1:14">
      <c r="A1052" s="5">
        <v>1</v>
      </c>
      <c r="B1052" s="32">
        <f>IF(ISNUMBER(SEARCH('Φόρμα Εισαγωγής'!$B$2,C1052)),MAX($B$1:B1051)+1,0)</f>
        <v>1051</v>
      </c>
      <c r="C1052" s="7" t="s">
        <v>989</v>
      </c>
      <c r="D1052" s="33">
        <f>IF(ISNUMBER(SEARCH('Φόρμα Εισαγωγής'!$C$2,E1052)),MAX($D$1:D1051)+1,0)</f>
        <v>1051</v>
      </c>
      <c r="E1052" s="17" t="s">
        <v>358</v>
      </c>
      <c r="F1052" s="5">
        <v>2.9</v>
      </c>
      <c r="G1052" s="5">
        <v>4</v>
      </c>
      <c r="H1052" s="6">
        <f t="shared" si="59"/>
        <v>4.96</v>
      </c>
      <c r="I1052" s="6">
        <f t="shared" si="60"/>
        <v>2.9</v>
      </c>
      <c r="J1052" s="6">
        <f t="shared" si="61"/>
        <v>4.96</v>
      </c>
      <c r="L1052" s="4" t="str">
        <f>IFERROR(VLOOKUP(ROWS($L$2:L1052),$B$2:$C$1996,2,0),"")</f>
        <v>ΒΑΣΗ ΔΙΠΛΗ ΑΤΛΑΣ</v>
      </c>
      <c r="N1052" s="2" t="str">
        <f>IFERROR(VLOOKUP(ROWS($N$2:N1052),$D$2:$E$1996,2,0),"")</f>
        <v>ΜΠΛΕ</v>
      </c>
    </row>
    <row r="1053" spans="1:14">
      <c r="A1053" s="5">
        <v>20</v>
      </c>
      <c r="B1053" s="32">
        <f>IF(ISNUMBER(SEARCH('Φόρμα Εισαγωγής'!$B$2,C1053)),MAX($B$1:B1052)+1,0)</f>
        <v>1052</v>
      </c>
      <c r="C1053" s="7" t="s">
        <v>990</v>
      </c>
      <c r="D1053" s="33">
        <f>IF(ISNUMBER(SEARCH('Φόρμα Εισαγωγής'!$C$2,E1053)),MAX($D$1:D1052)+1,0)</f>
        <v>1052</v>
      </c>
      <c r="E1053" s="17" t="s">
        <v>35</v>
      </c>
      <c r="F1053" s="5">
        <v>0.2</v>
      </c>
      <c r="G1053" s="5">
        <v>0.28000000000000003</v>
      </c>
      <c r="H1053" s="6">
        <f t="shared" si="59"/>
        <v>0.34720000000000006</v>
      </c>
      <c r="I1053" s="6">
        <f t="shared" si="60"/>
        <v>4</v>
      </c>
      <c r="J1053" s="6">
        <f t="shared" si="61"/>
        <v>6.9440000000000008</v>
      </c>
      <c r="L1053" s="4" t="str">
        <f>IFERROR(VLOOKUP(ROWS($L$2:L1053),$B$2:$C$1996,2,0),"")</f>
        <v>ΦΛΑΤΖΑ ΛΑΣΤΙΧΟ BONOMINI</v>
      </c>
      <c r="N1053" s="2" t="str">
        <f>IFERROR(VLOOKUP(ROWS($N$2:N1053),$D$2:$E$1996,2,0),"")</f>
        <v>1 1/4''</v>
      </c>
    </row>
    <row r="1054" spans="1:14">
      <c r="A1054" s="5">
        <v>20</v>
      </c>
      <c r="B1054" s="32">
        <f>IF(ISNUMBER(SEARCH('Φόρμα Εισαγωγής'!$B$2,C1054)),MAX($B$1:B1053)+1,0)</f>
        <v>1053</v>
      </c>
      <c r="C1054" s="7" t="s">
        <v>990</v>
      </c>
      <c r="D1054" s="33">
        <f>IF(ISNUMBER(SEARCH('Φόρμα Εισαγωγής'!$C$2,E1054)),MAX($D$1:D1053)+1,0)</f>
        <v>1053</v>
      </c>
      <c r="E1054" s="17" t="s">
        <v>36</v>
      </c>
      <c r="F1054" s="5">
        <v>0.2</v>
      </c>
      <c r="G1054" s="5">
        <v>0.28000000000000003</v>
      </c>
      <c r="H1054" s="6">
        <f t="shared" si="59"/>
        <v>0.34720000000000006</v>
      </c>
      <c r="I1054" s="6">
        <f t="shared" si="60"/>
        <v>4</v>
      </c>
      <c r="J1054" s="6">
        <f t="shared" si="61"/>
        <v>6.9440000000000008</v>
      </c>
      <c r="L1054" s="4" t="str">
        <f>IFERROR(VLOOKUP(ROWS($L$2:L1054),$B$2:$C$1996,2,0),"")</f>
        <v>ΦΛΑΤΖΑ ΛΑΣΤΙΧΟ BONOMINI</v>
      </c>
      <c r="N1054" s="2" t="str">
        <f>IFERROR(VLOOKUP(ROWS($N$2:N1054),$D$2:$E$1996,2,0),"")</f>
        <v>1 1/2''</v>
      </c>
    </row>
    <row r="1055" spans="1:14">
      <c r="A1055" s="5">
        <v>1</v>
      </c>
      <c r="B1055" s="32">
        <f>IF(ISNUMBER(SEARCH('Φόρμα Εισαγωγής'!$B$2,C1055)),MAX($B$1:B1054)+1,0)</f>
        <v>1054</v>
      </c>
      <c r="C1055" s="7" t="s">
        <v>992</v>
      </c>
      <c r="D1055" s="33">
        <f>IF(ISNUMBER(SEARCH('Φόρμα Εισαγωγής'!$C$2,E1055)),MAX($D$1:D1054)+1,0)</f>
        <v>1054</v>
      </c>
      <c r="E1055" s="17" t="s">
        <v>32</v>
      </c>
      <c r="F1055" s="5">
        <v>1.9</v>
      </c>
      <c r="G1055" s="5">
        <v>2.7</v>
      </c>
      <c r="H1055" s="6">
        <f t="shared" si="59"/>
        <v>3.3480000000000003</v>
      </c>
      <c r="I1055" s="6">
        <f t="shared" si="60"/>
        <v>1.9</v>
      </c>
      <c r="J1055" s="6">
        <f t="shared" si="61"/>
        <v>3.3480000000000003</v>
      </c>
      <c r="L1055" s="4" t="str">
        <f>IFERROR(VLOOKUP(ROWS($L$2:L1055),$B$2:$C$1996,2,0),"")</f>
        <v>ΦΛΑΤΖΑ ΦΙΜΠΕΡ 100ΤΜΧ</v>
      </c>
      <c r="N1055" s="2" t="str">
        <f>IFERROR(VLOOKUP(ROWS($N$2:N1055),$D$2:$E$1996,2,0),"")</f>
        <v>1/2</v>
      </c>
    </row>
    <row r="1056" spans="1:14">
      <c r="A1056" s="5">
        <v>1</v>
      </c>
      <c r="B1056" s="32">
        <f>IF(ISNUMBER(SEARCH('Φόρμα Εισαγωγής'!$B$2,C1056)),MAX($B$1:B1055)+1,0)</f>
        <v>1055</v>
      </c>
      <c r="C1056" s="7" t="s">
        <v>992</v>
      </c>
      <c r="D1056" s="33">
        <f>IF(ISNUMBER(SEARCH('Φόρμα Εισαγωγής'!$C$2,E1056)),MAX($D$1:D1055)+1,0)</f>
        <v>1055</v>
      </c>
      <c r="E1056" s="17" t="s">
        <v>33</v>
      </c>
      <c r="F1056" s="5">
        <v>0.95</v>
      </c>
      <c r="G1056" s="5">
        <v>1.4</v>
      </c>
      <c r="H1056" s="6">
        <f t="shared" si="59"/>
        <v>1.7359999999999998</v>
      </c>
      <c r="I1056" s="6">
        <f t="shared" si="60"/>
        <v>0.95</v>
      </c>
      <c r="J1056" s="6">
        <f t="shared" si="61"/>
        <v>1.7359999999999998</v>
      </c>
      <c r="L1056" s="4" t="str">
        <f>IFERROR(VLOOKUP(ROWS($L$2:L1056),$B$2:$C$1996,2,0),"")</f>
        <v>ΦΛΑΤΖΑ ΦΙΜΠΕΡ 100ΤΜΧ</v>
      </c>
      <c r="N1056" s="2" t="str">
        <f>IFERROR(VLOOKUP(ROWS($N$2:N1056),$D$2:$E$1996,2,0),"")</f>
        <v>3/4</v>
      </c>
    </row>
    <row r="1057" spans="1:14">
      <c r="A1057" s="5">
        <v>1</v>
      </c>
      <c r="B1057" s="32">
        <f>IF(ISNUMBER(SEARCH('Φόρμα Εισαγωγής'!$B$2,C1057)),MAX($B$1:B1056)+1,0)</f>
        <v>1056</v>
      </c>
      <c r="C1057" s="7" t="s">
        <v>992</v>
      </c>
      <c r="D1057" s="33">
        <f>IF(ISNUMBER(SEARCH('Φόρμα Εισαγωγής'!$C$2,E1057)),MAX($D$1:D1056)+1,0)</f>
        <v>1056</v>
      </c>
      <c r="E1057" s="17" t="s">
        <v>34</v>
      </c>
      <c r="F1057" s="5">
        <v>3</v>
      </c>
      <c r="G1057" s="5">
        <v>4.2</v>
      </c>
      <c r="H1057" s="6">
        <f t="shared" si="59"/>
        <v>5.2080000000000002</v>
      </c>
      <c r="I1057" s="6">
        <f t="shared" si="60"/>
        <v>3</v>
      </c>
      <c r="J1057" s="6">
        <f t="shared" si="61"/>
        <v>5.2080000000000002</v>
      </c>
      <c r="L1057" s="4" t="str">
        <f>IFERROR(VLOOKUP(ROWS($L$2:L1057),$B$2:$C$1996,2,0),"")</f>
        <v>ΦΛΑΤΖΑ ΦΙΜΠΕΡ 100ΤΜΧ</v>
      </c>
      <c r="N1057" s="2" t="str">
        <f>IFERROR(VLOOKUP(ROWS($N$2:N1057),$D$2:$E$1996,2,0),"")</f>
        <v>1''</v>
      </c>
    </row>
    <row r="1058" spans="1:14">
      <c r="A1058" s="5">
        <v>2</v>
      </c>
      <c r="B1058" s="32">
        <f>IF(ISNUMBER(SEARCH('Φόρμα Εισαγωγής'!$B$2,C1058)),MAX($B$1:B1057)+1,0)</f>
        <v>1057</v>
      </c>
      <c r="C1058" s="7" t="s">
        <v>993</v>
      </c>
      <c r="D1058" s="33">
        <f>IF(ISNUMBER(SEARCH('Φόρμα Εισαγωγής'!$C$2,E1058)),MAX($D$1:D1057)+1,0)</f>
        <v>1057</v>
      </c>
      <c r="E1058" s="17" t="s">
        <v>35</v>
      </c>
      <c r="F1058" s="5">
        <v>1.05</v>
      </c>
      <c r="G1058" s="5">
        <v>1.5</v>
      </c>
      <c r="H1058" s="6">
        <f t="shared" si="59"/>
        <v>1.8599999999999999</v>
      </c>
      <c r="I1058" s="6">
        <f t="shared" si="60"/>
        <v>2.1</v>
      </c>
      <c r="J1058" s="6">
        <f t="shared" si="61"/>
        <v>3.7199999999999998</v>
      </c>
      <c r="L1058" s="4" t="str">
        <f>IFERROR(VLOOKUP(ROWS($L$2:L1058),$B$2:$C$1996,2,0),"")</f>
        <v>ΦΛΑΤΖΑ ΦΙΜΠΕΡ 50ΤΜΧ</v>
      </c>
      <c r="N1058" s="2" t="str">
        <f>IFERROR(VLOOKUP(ROWS($N$2:N1058),$D$2:$E$1996,2,0),"")</f>
        <v>1 1/4''</v>
      </c>
    </row>
    <row r="1059" spans="1:14">
      <c r="A1059" s="5">
        <v>2</v>
      </c>
      <c r="B1059" s="32">
        <f>IF(ISNUMBER(SEARCH('Φόρμα Εισαγωγής'!$B$2,C1059)),MAX($B$1:B1058)+1,0)</f>
        <v>1058</v>
      </c>
      <c r="C1059" s="7" t="s">
        <v>993</v>
      </c>
      <c r="D1059" s="33">
        <f>IF(ISNUMBER(SEARCH('Φόρμα Εισαγωγής'!$C$2,E1059)),MAX($D$1:D1058)+1,0)</f>
        <v>1058</v>
      </c>
      <c r="E1059" s="17" t="s">
        <v>36</v>
      </c>
      <c r="F1059" s="5">
        <v>2.75</v>
      </c>
      <c r="G1059" s="5">
        <v>4</v>
      </c>
      <c r="H1059" s="6">
        <f t="shared" si="59"/>
        <v>4.96</v>
      </c>
      <c r="I1059" s="6">
        <f t="shared" si="60"/>
        <v>5.5</v>
      </c>
      <c r="J1059" s="6">
        <f t="shared" si="61"/>
        <v>9.92</v>
      </c>
      <c r="L1059" s="4" t="str">
        <f>IFERROR(VLOOKUP(ROWS($L$2:L1059),$B$2:$C$1996,2,0),"")</f>
        <v>ΦΛΑΤΖΑ ΦΙΜΠΕΡ 50ΤΜΧ</v>
      </c>
      <c r="N1059" s="2" t="str">
        <f>IFERROR(VLOOKUP(ROWS($N$2:N1059),$D$2:$E$1996,2,0),"")</f>
        <v>1 1/2''</v>
      </c>
    </row>
    <row r="1060" spans="1:14">
      <c r="A1060" s="5">
        <v>10</v>
      </c>
      <c r="B1060" s="32">
        <f>IF(ISNUMBER(SEARCH('Φόρμα Εισαγωγής'!$B$2,C1060)),MAX($B$1:B1059)+1,0)</f>
        <v>1059</v>
      </c>
      <c r="C1060" s="7" t="s">
        <v>991</v>
      </c>
      <c r="D1060" s="33">
        <f>IF(ISNUMBER(SEARCH('Φόρμα Εισαγωγής'!$C$2,E1060)),MAX($D$1:D1059)+1,0)</f>
        <v>1059</v>
      </c>
      <c r="E1060" s="17" t="s">
        <v>37</v>
      </c>
      <c r="F1060" s="5">
        <v>0.08</v>
      </c>
      <c r="G1060" s="5">
        <v>0.12</v>
      </c>
      <c r="H1060" s="6">
        <f t="shared" si="59"/>
        <v>0.14879999999999999</v>
      </c>
      <c r="I1060" s="6">
        <f t="shared" si="60"/>
        <v>0.8</v>
      </c>
      <c r="J1060" s="6">
        <f t="shared" si="61"/>
        <v>1.488</v>
      </c>
      <c r="L1060" s="4" t="str">
        <f>IFERROR(VLOOKUP(ROWS($L$2:L1060),$B$2:$C$1996,2,0),"")</f>
        <v>ΦΛΑΤΖΑ ΦΙΜΠΕΡ</v>
      </c>
      <c r="N1060" s="2" t="str">
        <f>IFERROR(VLOOKUP(ROWS($N$2:N1060),$D$2:$E$1996,2,0),"")</f>
        <v>2''</v>
      </c>
    </row>
    <row r="1061" spans="1:14">
      <c r="A1061" s="5">
        <v>2</v>
      </c>
      <c r="B1061" s="32">
        <f>IF(ISNUMBER(SEARCH('Φόρμα Εισαγωγής'!$B$2,C1061)),MAX($B$1:B1060)+1,0)</f>
        <v>1060</v>
      </c>
      <c r="C1061" s="7" t="s">
        <v>986</v>
      </c>
      <c r="D1061" s="33">
        <f>IF(ISNUMBER(SEARCH('Φόρμα Εισαγωγής'!$C$2,E1061)),MAX($D$1:D1060)+1,0)</f>
        <v>1060</v>
      </c>
      <c r="E1061" s="17" t="s">
        <v>848</v>
      </c>
      <c r="F1061" s="5">
        <v>0.37</v>
      </c>
      <c r="G1061" s="5">
        <v>0.6</v>
      </c>
      <c r="H1061" s="6">
        <f t="shared" si="59"/>
        <v>0.74399999999999999</v>
      </c>
      <c r="I1061" s="6">
        <f t="shared" si="60"/>
        <v>0.74</v>
      </c>
      <c r="J1061" s="6">
        <f t="shared" si="61"/>
        <v>1.488</v>
      </c>
      <c r="L1061" s="4" t="str">
        <f>IFERROR(VLOOKUP(ROWS($L$2:L1061),$B$2:$C$1996,2,0),"")</f>
        <v>ΛΑΣΤΙΧΟ ΑΝΤΙΣΤΑΣΗΣ</v>
      </c>
      <c r="N1061" s="2" t="str">
        <f>IFERROR(VLOOKUP(ROWS($N$2:N1061),$D$2:$E$1996,2,0),"")</f>
        <v>8 ΤΡΥΠΕΣ Φ120</v>
      </c>
    </row>
    <row r="1062" spans="1:14" ht="30">
      <c r="A1062" s="5">
        <v>5</v>
      </c>
      <c r="B1062" s="32">
        <f>IF(ISNUMBER(SEARCH('Φόρμα Εισαγωγής'!$B$2,C1062)),MAX($B$1:B1061)+1,0)</f>
        <v>1061</v>
      </c>
      <c r="C1062" s="7" t="s">
        <v>995</v>
      </c>
      <c r="D1062" s="33">
        <f>IF(ISNUMBER(SEARCH('Φόρμα Εισαγωγής'!$C$2,E1062)),MAX($D$1:D1061)+1,0)</f>
        <v>1061</v>
      </c>
      <c r="E1062" s="17" t="s">
        <v>944</v>
      </c>
      <c r="F1062" s="5">
        <v>1.1000000000000001</v>
      </c>
      <c r="G1062" s="5">
        <v>1.6</v>
      </c>
      <c r="H1062" s="6">
        <f t="shared" si="59"/>
        <v>1.984</v>
      </c>
      <c r="I1062" s="6">
        <f t="shared" si="60"/>
        <v>5.5</v>
      </c>
      <c r="J1062" s="6">
        <f t="shared" si="61"/>
        <v>9.92</v>
      </c>
      <c r="L1062" s="4" t="str">
        <f>IFERROR(VLOOKUP(ROWS($L$2:L1062),$B$2:$C$1996,2,0),"")</f>
        <v>ΑΝΤΑΛΛΑΚΤΙΚΟ ΦΙΛΤΡΟ ΝΕΡΟΥ MIGNON ΑΤΛΑΣ</v>
      </c>
      <c r="N1062" s="2" t="str">
        <f>IFERROR(VLOOKUP(ROWS($N$2:N1062),$D$2:$E$1996,2,0),"")</f>
        <v>ΝΗΜΑ</v>
      </c>
    </row>
    <row r="1063" spans="1:14">
      <c r="A1063" s="5">
        <v>1</v>
      </c>
      <c r="B1063" s="32">
        <f>IF(ISNUMBER(SEARCH('Φόρμα Εισαγωγής'!$B$2,C1063)),MAX($B$1:B1062)+1,0)</f>
        <v>1062</v>
      </c>
      <c r="C1063" s="7" t="s">
        <v>997</v>
      </c>
      <c r="D1063" s="33">
        <f>IF(ISNUMBER(SEARCH('Φόρμα Εισαγωγής'!$C$2,E1063)),MAX($D$1:D1062)+1,0)</f>
        <v>1062</v>
      </c>
      <c r="E1063" s="17" t="s">
        <v>321</v>
      </c>
      <c r="F1063" s="5">
        <v>7.5</v>
      </c>
      <c r="G1063" s="5">
        <v>11</v>
      </c>
      <c r="H1063" s="6">
        <f t="shared" si="59"/>
        <v>13.64</v>
      </c>
      <c r="I1063" s="6">
        <f t="shared" si="60"/>
        <v>7.5</v>
      </c>
      <c r="J1063" s="6">
        <f t="shared" si="61"/>
        <v>13.64</v>
      </c>
      <c r="L1063" s="4" t="str">
        <f>IFERROR(VLOOKUP(ROWS($L$2:L1063),$B$2:$C$1996,2,0),"")</f>
        <v>ΚΑΖΑΝΑΚΙ ΠΛΑΣΤ ΣΤΡΟΓΓΥΛΟ SPEK NEMO</v>
      </c>
      <c r="N1063" s="2" t="str">
        <f>IFERROR(VLOOKUP(ROWS($N$2:N1063),$D$2:$E$1996,2,0),"")</f>
        <v>-</v>
      </c>
    </row>
    <row r="1064" spans="1:14">
      <c r="A1064" s="5">
        <v>5</v>
      </c>
      <c r="B1064" s="32">
        <f>IF(ISNUMBER(SEARCH('Φόρμα Εισαγωγής'!$B$2,C1064)),MAX($B$1:B1063)+1,0)</f>
        <v>1063</v>
      </c>
      <c r="C1064" s="7" t="s">
        <v>1000</v>
      </c>
      <c r="D1064" s="33">
        <f>IF(ISNUMBER(SEARCH('Φόρμα Εισαγωγής'!$C$2,E1064)),MAX($D$1:D1063)+1,0)</f>
        <v>1063</v>
      </c>
      <c r="E1064" s="17" t="s">
        <v>33</v>
      </c>
      <c r="F1064" s="5">
        <v>0.3</v>
      </c>
      <c r="G1064" s="5">
        <v>0.42</v>
      </c>
      <c r="H1064" s="6">
        <f t="shared" si="59"/>
        <v>0.52079999999999993</v>
      </c>
      <c r="I1064" s="6">
        <f t="shared" si="60"/>
        <v>1.5</v>
      </c>
      <c r="J1064" s="6">
        <f t="shared" si="61"/>
        <v>2.6039999999999996</v>
      </c>
      <c r="L1064" s="4" t="str">
        <f>IFERROR(VLOOKUP(ROWS($L$2:L1064),$B$2:$C$1996,2,0),"")</f>
        <v>ΡΑΚΟΡ ΣΥΝΔ SIROFLEX</v>
      </c>
      <c r="N1064" s="2" t="str">
        <f>IFERROR(VLOOKUP(ROWS($N$2:N1064),$D$2:$E$1996,2,0),"")</f>
        <v>3/4</v>
      </c>
    </row>
    <row r="1065" spans="1:14">
      <c r="A1065" s="5">
        <v>5</v>
      </c>
      <c r="B1065" s="32">
        <f>IF(ISNUMBER(SEARCH('Φόρμα Εισαγωγής'!$B$2,C1065)),MAX($B$1:B1064)+1,0)</f>
        <v>1064</v>
      </c>
      <c r="C1065" s="7" t="s">
        <v>1002</v>
      </c>
      <c r="D1065" s="33">
        <f>IF(ISNUMBER(SEARCH('Φόρμα Εισαγωγής'!$C$2,E1065)),MAX($D$1:D1064)+1,0)</f>
        <v>1064</v>
      </c>
      <c r="E1065" s="17" t="s">
        <v>32</v>
      </c>
      <c r="F1065" s="5">
        <v>0.85</v>
      </c>
      <c r="G1065" s="5">
        <v>1.2</v>
      </c>
      <c r="H1065" s="6">
        <f t="shared" si="59"/>
        <v>1.488</v>
      </c>
      <c r="I1065" s="6">
        <f t="shared" si="60"/>
        <v>4.25</v>
      </c>
      <c r="J1065" s="6">
        <f t="shared" si="61"/>
        <v>7.4399999999999995</v>
      </c>
      <c r="L1065" s="4" t="str">
        <f>IFERROR(VLOOKUP(ROWS($L$2:L1065),$B$2:$C$1996,2,0),"")</f>
        <v>ΑΥΤΟΜΑΤΟΣ ΣΥΝΔ</v>
      </c>
      <c r="N1065" s="2" t="str">
        <f>IFERROR(VLOOKUP(ROWS($N$2:N1065),$D$2:$E$1996,2,0),"")</f>
        <v>1/2</v>
      </c>
    </row>
    <row r="1066" spans="1:14">
      <c r="A1066" s="5">
        <v>100</v>
      </c>
      <c r="B1066" s="32">
        <f>IF(ISNUMBER(SEARCH('Φόρμα Εισαγωγής'!$B$2,C1066)),MAX($B$1:B1065)+1,0)</f>
        <v>1065</v>
      </c>
      <c r="C1066" s="7" t="s">
        <v>1001</v>
      </c>
      <c r="D1066" s="33">
        <f>IF(ISNUMBER(SEARCH('Φόρμα Εισαγωγής'!$C$2,E1066)),MAX($D$1:D1065)+1,0)</f>
        <v>1065</v>
      </c>
      <c r="E1066" s="17" t="s">
        <v>120</v>
      </c>
      <c r="F1066" s="5">
        <v>0.06</v>
      </c>
      <c r="G1066" s="5">
        <v>0.1</v>
      </c>
      <c r="H1066" s="6">
        <f t="shared" si="59"/>
        <v>0.124</v>
      </c>
      <c r="I1066" s="6">
        <f t="shared" si="60"/>
        <v>6</v>
      </c>
      <c r="J1066" s="6">
        <f t="shared" si="61"/>
        <v>12.4</v>
      </c>
      <c r="L1066" s="4" t="str">
        <f>IFERROR(VLOOKUP(ROWS($L$2:L1066),$B$2:$C$1996,2,0),"")</f>
        <v>ΦΛΑΤΖΑ ΛΑΣΤΙΧΟ ΚΟΝΙΚΗ</v>
      </c>
      <c r="N1066" s="2" t="str">
        <f>IFERROR(VLOOKUP(ROWS($N$2:N1066),$D$2:$E$1996,2,0),"")</f>
        <v>Φ32</v>
      </c>
    </row>
    <row r="1067" spans="1:14">
      <c r="A1067" s="5">
        <v>1</v>
      </c>
      <c r="B1067" s="32">
        <f>IF(ISNUMBER(SEARCH('Φόρμα Εισαγωγής'!$B$2,C1067)),MAX($B$1:B1066)+1,0)</f>
        <v>1066</v>
      </c>
      <c r="C1067" s="7" t="s">
        <v>1003</v>
      </c>
      <c r="D1067" s="33">
        <f>IF(ISNUMBER(SEARCH('Φόρμα Εισαγωγής'!$C$2,E1067)),MAX($D$1:D1066)+1,0)</f>
        <v>1066</v>
      </c>
      <c r="E1067" s="17" t="s">
        <v>430</v>
      </c>
      <c r="F1067" s="5">
        <v>75.599999999999994</v>
      </c>
      <c r="G1067" s="5">
        <v>100</v>
      </c>
      <c r="H1067" s="6">
        <f t="shared" si="59"/>
        <v>124</v>
      </c>
      <c r="I1067" s="6">
        <f t="shared" si="60"/>
        <v>75.599999999999994</v>
      </c>
      <c r="J1067" s="6">
        <f t="shared" si="61"/>
        <v>124</v>
      </c>
      <c r="L1067" s="4" t="str">
        <f>IFERROR(VLOOKUP(ROWS($L$2:L1067),$B$2:$C$1996,2,0),"")</f>
        <v>ΘΕΡΜΟΣΙΦΩΝΑΣ MAGNA ΠΑΤΑΡΙ</v>
      </c>
      <c r="N1067" s="2" t="str">
        <f>IFERROR(VLOOKUP(ROWS($N$2:N1067),$D$2:$E$1996,2,0),"")</f>
        <v>80L</v>
      </c>
    </row>
    <row r="1068" spans="1:14">
      <c r="A1068" s="5">
        <v>1</v>
      </c>
      <c r="B1068" s="32">
        <f>IF(ISNUMBER(SEARCH('Φόρμα Εισαγωγής'!$B$2,C1068)),MAX($B$1:B1067)+1,0)</f>
        <v>1067</v>
      </c>
      <c r="C1068" s="7" t="s">
        <v>1028</v>
      </c>
      <c r="D1068" s="33">
        <f>IF(ISNUMBER(SEARCH('Φόρμα Εισαγωγής'!$C$2,E1068)),MAX($D$1:D1067)+1,0)</f>
        <v>1067</v>
      </c>
      <c r="E1068" s="17" t="s">
        <v>1029</v>
      </c>
      <c r="F1068" s="5">
        <v>44.34</v>
      </c>
      <c r="G1068" s="5">
        <v>62</v>
      </c>
      <c r="H1068" s="6">
        <f t="shared" si="59"/>
        <v>76.88</v>
      </c>
      <c r="I1068" s="6">
        <f t="shared" si="60"/>
        <v>44.34</v>
      </c>
      <c r="J1068" s="6">
        <f t="shared" si="61"/>
        <v>76.88</v>
      </c>
      <c r="L1068" s="4" t="str">
        <f>IFERROR(VLOOKUP(ROWS($L$2:L1068),$B$2:$C$1996,2,0),"")</f>
        <v>ΜΠΑΤΑΡΙΑ ΛΟΥΤΡΟΥ KRAMER</v>
      </c>
      <c r="N1068" s="2" t="str">
        <f>IFERROR(VLOOKUP(ROWS($N$2:N1068),$D$2:$E$1996,2,0),"")</f>
        <v>RAMEVA</v>
      </c>
    </row>
    <row r="1069" spans="1:14">
      <c r="A1069" s="5">
        <v>2</v>
      </c>
      <c r="B1069" s="32">
        <f>IF(ISNUMBER(SEARCH('Φόρμα Εισαγωγής'!$B$2,C1069)),MAX($B$1:B1068)+1,0)</f>
        <v>1068</v>
      </c>
      <c r="C1069" s="7" t="s">
        <v>1004</v>
      </c>
      <c r="D1069" s="33">
        <f>IF(ISNUMBER(SEARCH('Φόρμα Εισαγωγής'!$C$2,E1069)),MAX($D$1:D1068)+1,0)</f>
        <v>1068</v>
      </c>
      <c r="E1069" s="17" t="s">
        <v>321</v>
      </c>
      <c r="F1069" s="5">
        <v>28.75</v>
      </c>
      <c r="G1069" s="5">
        <v>40</v>
      </c>
      <c r="H1069" s="6">
        <f t="shared" si="59"/>
        <v>49.6</v>
      </c>
      <c r="I1069" s="6">
        <f t="shared" si="60"/>
        <v>57.5</v>
      </c>
      <c r="J1069" s="6">
        <f t="shared" si="61"/>
        <v>99.2</v>
      </c>
      <c r="L1069" s="4" t="str">
        <f>IFERROR(VLOOKUP(ROWS($L$2:L1069),$B$2:$C$1996,2,0),"")</f>
        <v>ΜΠΑΤΑΡΙΑ ΤΟΙΧΟΥ ΚΟΥΖ TEVERE</v>
      </c>
      <c r="N1069" s="2" t="str">
        <f>IFERROR(VLOOKUP(ROWS($N$2:N1069),$D$2:$E$1996,2,0),"")</f>
        <v>-</v>
      </c>
    </row>
    <row r="1070" spans="1:14">
      <c r="A1070" s="5">
        <v>1</v>
      </c>
      <c r="B1070" s="32">
        <f>IF(ISNUMBER(SEARCH('Φόρμα Εισαγωγής'!$B$2,C1070)),MAX($B$1:B1069)+1,0)</f>
        <v>1069</v>
      </c>
      <c r="C1070" s="7" t="s">
        <v>1005</v>
      </c>
      <c r="D1070" s="33">
        <f>IF(ISNUMBER(SEARCH('Φόρμα Εισαγωγής'!$C$2,E1070)),MAX($D$1:D1069)+1,0)</f>
        <v>1069</v>
      </c>
      <c r="E1070" s="17" t="s">
        <v>321</v>
      </c>
      <c r="F1070" s="5">
        <v>22.1</v>
      </c>
      <c r="G1070" s="5">
        <v>31</v>
      </c>
      <c r="H1070" s="6">
        <f t="shared" si="59"/>
        <v>38.44</v>
      </c>
      <c r="I1070" s="6">
        <f t="shared" si="60"/>
        <v>22.1</v>
      </c>
      <c r="J1070" s="6">
        <f t="shared" si="61"/>
        <v>38.44</v>
      </c>
      <c r="L1070" s="4" t="str">
        <f>IFERROR(VLOOKUP(ROWS($L$2:L1070),$B$2:$C$1996,2,0),"")</f>
        <v>ΜΠΑΤΑΡΙΑ ΚΟΥΖ TEVERE PLUS</v>
      </c>
      <c r="N1070" s="2" t="str">
        <f>IFERROR(VLOOKUP(ROWS($N$2:N1070),$D$2:$E$1996,2,0),"")</f>
        <v>-</v>
      </c>
    </row>
    <row r="1071" spans="1:14">
      <c r="A1071" s="5">
        <v>0</v>
      </c>
      <c r="B1071" s="32">
        <f>IF(ISNUMBER(SEARCH('Φόρμα Εισαγωγής'!$B$2,C1071)),MAX($B$1:B1070)+1,0)</f>
        <v>1070</v>
      </c>
      <c r="C1071" s="7" t="s">
        <v>1006</v>
      </c>
      <c r="D1071" s="33">
        <f>IF(ISNUMBER(SEARCH('Φόρμα Εισαγωγής'!$C$2,E1071)),MAX($D$1:D1070)+1,0)</f>
        <v>1070</v>
      </c>
      <c r="E1071" s="17" t="s">
        <v>321</v>
      </c>
      <c r="F1071" s="5">
        <v>28.25</v>
      </c>
      <c r="G1071" s="5">
        <v>40</v>
      </c>
      <c r="H1071" s="6">
        <f t="shared" si="59"/>
        <v>49.6</v>
      </c>
      <c r="I1071" s="6">
        <f t="shared" si="60"/>
        <v>0</v>
      </c>
      <c r="J1071" s="6">
        <f t="shared" si="61"/>
        <v>0</v>
      </c>
      <c r="L1071" s="4" t="str">
        <f>IFERROR(VLOOKUP(ROWS($L$2:L1071),$B$2:$C$1996,2,0),"")</f>
        <v>ΜΠΑΤΑΡΙΑ ΚΟΥΖ ΨΥΛΗ TEVERE</v>
      </c>
      <c r="N1071" s="2" t="str">
        <f>IFERROR(VLOOKUP(ROWS($N$2:N1071),$D$2:$E$1996,2,0),"")</f>
        <v>-</v>
      </c>
    </row>
    <row r="1072" spans="1:14">
      <c r="A1072" s="5">
        <v>1</v>
      </c>
      <c r="B1072" s="32">
        <f>IF(ISNUMBER(SEARCH('Φόρμα Εισαγωγής'!$B$2,C1072)),MAX($B$1:B1071)+1,0)</f>
        <v>1071</v>
      </c>
      <c r="C1072" s="7" t="s">
        <v>1007</v>
      </c>
      <c r="D1072" s="33">
        <f>IF(ISNUMBER(SEARCH('Φόρμα Εισαγωγής'!$C$2,E1072)),MAX($D$1:D1071)+1,0)</f>
        <v>1071</v>
      </c>
      <c r="E1072" s="17" t="s">
        <v>321</v>
      </c>
      <c r="F1072" s="5">
        <v>30</v>
      </c>
      <c r="G1072" s="5">
        <v>42</v>
      </c>
      <c r="H1072" s="6">
        <f t="shared" si="59"/>
        <v>52.08</v>
      </c>
      <c r="I1072" s="6">
        <f t="shared" si="60"/>
        <v>30</v>
      </c>
      <c r="J1072" s="6">
        <f t="shared" si="61"/>
        <v>52.08</v>
      </c>
      <c r="L1072" s="4" t="str">
        <f>IFERROR(VLOOKUP(ROWS($L$2:L1072),$B$2:$C$1996,2,0),"")</f>
        <v>ΣΤΗΛΗ ΝΤΟΥΖ 2 ΡΟΩΝ</v>
      </c>
      <c r="N1072" s="2" t="str">
        <f>IFERROR(VLOOKUP(ROWS($N$2:N1072),$D$2:$E$1996,2,0),"")</f>
        <v>-</v>
      </c>
    </row>
    <row r="1073" spans="1:14">
      <c r="A1073" s="5">
        <v>0</v>
      </c>
      <c r="B1073" s="32">
        <f>IF(ISNUMBER(SEARCH('Φόρμα Εισαγωγής'!$B$2,C1073)),MAX($B$1:B1072)+1,0)</f>
        <v>1072</v>
      </c>
      <c r="C1073" s="7" t="s">
        <v>1009</v>
      </c>
      <c r="D1073" s="33">
        <f>IF(ISNUMBER(SEARCH('Φόρμα Εισαγωγής'!$C$2,E1073)),MAX($D$1:D1072)+1,0)</f>
        <v>1072</v>
      </c>
      <c r="E1073" s="17" t="s">
        <v>1008</v>
      </c>
      <c r="F1073" s="5">
        <v>45.25</v>
      </c>
      <c r="G1073" s="5">
        <v>65</v>
      </c>
      <c r="H1073" s="6">
        <f t="shared" si="59"/>
        <v>80.599999999999994</v>
      </c>
      <c r="I1073" s="6">
        <f t="shared" si="60"/>
        <v>0</v>
      </c>
      <c r="J1073" s="6">
        <f t="shared" si="61"/>
        <v>0</v>
      </c>
      <c r="L1073" s="4" t="str">
        <f>IFERROR(VLOOKUP(ROWS($L$2:L1073),$B$2:$C$1996,2,0),"")</f>
        <v>ΣΩΜΑ SPLEΝDID</v>
      </c>
      <c r="N1073" s="2" t="str">
        <f>IFERROR(VLOOKUP(ROWS($N$2:N1073),$D$2:$E$1996,2,0),"")</f>
        <v>33/900/400</v>
      </c>
    </row>
    <row r="1074" spans="1:14">
      <c r="A1074" s="5">
        <v>0</v>
      </c>
      <c r="B1074" s="32">
        <f>IF(ISNUMBER(SEARCH('Φόρμα Εισαγωγής'!$B$2,C1074)),MAX($B$1:B1073)+1,0)</f>
        <v>1073</v>
      </c>
      <c r="C1074" s="7" t="s">
        <v>1010</v>
      </c>
      <c r="D1074" s="33">
        <f>IF(ISNUMBER(SEARCH('Φόρμα Εισαγωγής'!$C$2,E1074)),MAX($D$1:D1073)+1,0)</f>
        <v>1073</v>
      </c>
      <c r="E1074" s="17" t="s">
        <v>321</v>
      </c>
      <c r="F1074" s="5">
        <v>40.799999999999997</v>
      </c>
      <c r="G1074" s="5">
        <v>60</v>
      </c>
      <c r="H1074" s="6">
        <f t="shared" si="59"/>
        <v>74.400000000000006</v>
      </c>
      <c r="I1074" s="6">
        <f t="shared" si="60"/>
        <v>0</v>
      </c>
      <c r="J1074" s="6">
        <f t="shared" si="61"/>
        <v>0</v>
      </c>
      <c r="L1074" s="4" t="str">
        <f>IFERROR(VLOOKUP(ROWS($L$2:L1074),$B$2:$C$1996,2,0),"")</f>
        <v>ΜΟΤΕΡ ΗΛ/ΒΑΝΑΣ SIEMENS</v>
      </c>
      <c r="N1074" s="2" t="str">
        <f>IFERROR(VLOOKUP(ROWS($N$2:N1074),$D$2:$E$1996,2,0),"")</f>
        <v>-</v>
      </c>
    </row>
    <row r="1075" spans="1:14">
      <c r="A1075" s="5">
        <v>228</v>
      </c>
      <c r="B1075" s="32">
        <f>IF(ISNUMBER(SEARCH('Φόρμα Εισαγωγής'!$B$2,C1075)),MAX($B$1:B1074)+1,0)</f>
        <v>1074</v>
      </c>
      <c r="C1075" s="7" t="s">
        <v>1011</v>
      </c>
      <c r="D1075" s="33">
        <f>IF(ISNUMBER(SEARCH('Φόρμα Εισαγωγής'!$C$2,E1075)),MAX($D$1:D1074)+1,0)</f>
        <v>1074</v>
      </c>
      <c r="E1075" s="17" t="s">
        <v>1012</v>
      </c>
      <c r="F1075" s="5">
        <v>0.22</v>
      </c>
      <c r="G1075" s="5">
        <v>0.3</v>
      </c>
      <c r="H1075" s="6">
        <f t="shared" si="59"/>
        <v>0.372</v>
      </c>
      <c r="I1075" s="6">
        <f t="shared" si="60"/>
        <v>50.160000000000004</v>
      </c>
      <c r="J1075" s="6">
        <f t="shared" si="61"/>
        <v>84.816000000000003</v>
      </c>
      <c r="L1075" s="4" t="str">
        <f>IFERROR(VLOOKUP(ROWS($L$2:L1075),$B$2:$C$1996,2,0),"")</f>
        <v>ΜΟΝΩΣΗ ΜΑΥΡΗ</v>
      </c>
      <c r="N1075" s="2" t="str">
        <f>IFERROR(VLOOKUP(ROWS($N$2:N1075),$D$2:$E$1996,2,0),"")</f>
        <v>9 Χ 10</v>
      </c>
    </row>
    <row r="1076" spans="1:14">
      <c r="A1076" s="5">
        <v>200</v>
      </c>
      <c r="B1076" s="32">
        <f>IF(ISNUMBER(SEARCH('Φόρμα Εισαγωγής'!$B$2,C1076)),MAX($B$1:B1075)+1,0)</f>
        <v>1075</v>
      </c>
      <c r="C1076" s="7" t="s">
        <v>1011</v>
      </c>
      <c r="D1076" s="33">
        <f>IF(ISNUMBER(SEARCH('Φόρμα Εισαγωγής'!$C$2,E1076)),MAX($D$1:D1075)+1,0)</f>
        <v>1075</v>
      </c>
      <c r="E1076" s="17" t="s">
        <v>1013</v>
      </c>
      <c r="F1076" s="5">
        <v>0.22</v>
      </c>
      <c r="G1076" s="5">
        <v>0.3</v>
      </c>
      <c r="H1076" s="6">
        <f t="shared" si="59"/>
        <v>0.372</v>
      </c>
      <c r="I1076" s="6">
        <f t="shared" si="60"/>
        <v>44</v>
      </c>
      <c r="J1076" s="6">
        <f t="shared" si="61"/>
        <v>74.400000000000006</v>
      </c>
      <c r="L1076" s="4" t="str">
        <f>IFERROR(VLOOKUP(ROWS($L$2:L1076),$B$2:$C$1996,2,0),"")</f>
        <v>ΜΟΝΩΣΗ ΜΑΥΡΗ</v>
      </c>
      <c r="N1076" s="2" t="str">
        <f>IFERROR(VLOOKUP(ROWS($N$2:N1076),$D$2:$E$1996,2,0),"")</f>
        <v>9 Χ 12</v>
      </c>
    </row>
    <row r="1077" spans="1:14">
      <c r="A1077" s="5">
        <v>2</v>
      </c>
      <c r="B1077" s="32">
        <f>IF(ISNUMBER(SEARCH('Φόρμα Εισαγωγής'!$B$2,C1077)),MAX($B$1:B1076)+1,0)</f>
        <v>1076</v>
      </c>
      <c r="C1077" s="7" t="s">
        <v>804</v>
      </c>
      <c r="D1077" s="33">
        <f>IF(ISNUMBER(SEARCH('Φόρμα Εισαγωγής'!$C$2,E1077)),MAX($D$1:D1076)+1,0)</f>
        <v>1076</v>
      </c>
      <c r="E1077" s="17" t="s">
        <v>1014</v>
      </c>
      <c r="F1077" s="5">
        <v>3.57</v>
      </c>
      <c r="G1077" s="5">
        <v>5</v>
      </c>
      <c r="H1077" s="6">
        <f t="shared" si="59"/>
        <v>6.2</v>
      </c>
      <c r="I1077" s="6">
        <f t="shared" si="60"/>
        <v>7.14</v>
      </c>
      <c r="J1077" s="6">
        <f t="shared" si="61"/>
        <v>12.4</v>
      </c>
      <c r="L1077" s="4" t="str">
        <f>IFERROR(VLOOKUP(ROWS($L$2:L1077),$B$2:$C$1996,2,0),"")</f>
        <v>ΓΩΝΙΑΚΟΣ ΔΙΑΚ ΣΩΜ GIACOMINI</v>
      </c>
      <c r="N1077" s="2" t="str">
        <f>IFERROR(VLOOKUP(ROWS($N$2:N1077),$D$2:$E$1996,2,0),"")</f>
        <v xml:space="preserve">ΑΡΣ </v>
      </c>
    </row>
    <row r="1078" spans="1:14">
      <c r="A1078" s="5">
        <v>2</v>
      </c>
      <c r="B1078" s="32">
        <f>IF(ISNUMBER(SEARCH('Φόρμα Εισαγωγής'!$B$2,C1078)),MAX($B$1:B1077)+1,0)</f>
        <v>1077</v>
      </c>
      <c r="C1078" s="7" t="s">
        <v>1015</v>
      </c>
      <c r="D1078" s="33">
        <f>IF(ISNUMBER(SEARCH('Φόρμα Εισαγωγής'!$C$2,E1078)),MAX($D$1:D1077)+1,0)</f>
        <v>1077</v>
      </c>
      <c r="E1078" s="17" t="s">
        <v>340</v>
      </c>
      <c r="F1078" s="5">
        <v>1.45</v>
      </c>
      <c r="G1078" s="5">
        <v>2</v>
      </c>
      <c r="H1078" s="6">
        <f t="shared" si="59"/>
        <v>2.48</v>
      </c>
      <c r="I1078" s="6">
        <f t="shared" si="60"/>
        <v>2.9</v>
      </c>
      <c r="J1078" s="6">
        <f t="shared" si="61"/>
        <v>4.96</v>
      </c>
      <c r="L1078" s="4" t="str">
        <f>IFERROR(VLOOKUP(ROWS($L$2:L1078),$B$2:$C$1996,2,0),"")</f>
        <v>ΡΑΚΟΡ ΔΙΑΚ ΧΑΛΚΟΥ GIACOMINI</v>
      </c>
      <c r="N1078" s="2" t="str">
        <f>IFERROR(VLOOKUP(ROWS($N$2:N1078),$D$2:$E$1996,2,0),"")</f>
        <v>Φ16</v>
      </c>
    </row>
    <row r="1079" spans="1:14">
      <c r="A1079" s="5">
        <v>2</v>
      </c>
      <c r="B1079" s="32">
        <f>IF(ISNUMBER(SEARCH('Φόρμα Εισαγωγής'!$B$2,C1079)),MAX($B$1:B1078)+1,0)</f>
        <v>1078</v>
      </c>
      <c r="C1079" s="7" t="s">
        <v>1016</v>
      </c>
      <c r="D1079" s="33">
        <f>IF(ISNUMBER(SEARCH('Φόρμα Εισαγωγής'!$C$2,E1079)),MAX($D$1:D1078)+1,0)</f>
        <v>1078</v>
      </c>
      <c r="E1079" s="17" t="s">
        <v>1017</v>
      </c>
      <c r="F1079" s="5">
        <v>7.3</v>
      </c>
      <c r="G1079" s="5">
        <v>10.199999999999999</v>
      </c>
      <c r="H1079" s="6">
        <f t="shared" si="59"/>
        <v>12.648</v>
      </c>
      <c r="I1079" s="6">
        <f t="shared" si="60"/>
        <v>14.6</v>
      </c>
      <c r="J1079" s="6">
        <f t="shared" si="61"/>
        <v>25.295999999999999</v>
      </c>
      <c r="L1079" s="4" t="str">
        <f>IFERROR(VLOOKUP(ROWS($L$2:L1079),$B$2:$C$1996,2,0),"")</f>
        <v>ΓΩΝΙΑ ΥΔΡΟΛΙΨΙΑΣ ΜΕ ΣΩΛΗΝΑΚΙ</v>
      </c>
      <c r="N1079" s="2" t="str">
        <f>IFERROR(VLOOKUP(ROWS($N$2:N1079),$D$2:$E$1996,2,0),"")</f>
        <v>16 Χ 16</v>
      </c>
    </row>
    <row r="1080" spans="1:14">
      <c r="A1080" s="5">
        <v>2</v>
      </c>
      <c r="B1080" s="32">
        <f>IF(ISNUMBER(SEARCH('Φόρμα Εισαγωγής'!$B$2,C1080)),MAX($B$1:B1079)+1,0)</f>
        <v>1079</v>
      </c>
      <c r="C1080" s="7" t="s">
        <v>1018</v>
      </c>
      <c r="D1080" s="33">
        <f>IF(ISNUMBER(SEARCH('Φόρμα Εισαγωγής'!$C$2,E1080)),MAX($D$1:D1079)+1,0)</f>
        <v>1079</v>
      </c>
      <c r="E1080" s="17" t="s">
        <v>465</v>
      </c>
      <c r="F1080" s="5">
        <v>1.6</v>
      </c>
      <c r="G1080" s="5">
        <v>2.2000000000000002</v>
      </c>
      <c r="H1080" s="6">
        <f t="shared" si="59"/>
        <v>2.7280000000000002</v>
      </c>
      <c r="I1080" s="6">
        <f t="shared" si="60"/>
        <v>3.2</v>
      </c>
      <c r="J1080" s="6">
        <f t="shared" si="61"/>
        <v>5.4560000000000004</v>
      </c>
      <c r="L1080" s="4" t="str">
        <f>IFERROR(VLOOKUP(ROWS($L$2:L1080),$B$2:$C$1996,2,0),"")</f>
        <v>ΡΑΚΟΡ ΔΙΑΚ ΠΛΑΣΤ GIACOMINI</v>
      </c>
      <c r="N1080" s="2" t="str">
        <f>IFERROR(VLOOKUP(ROWS($N$2:N1080),$D$2:$E$1996,2,0),"")</f>
        <v>Φ17 Χ 2</v>
      </c>
    </row>
    <row r="1081" spans="1:14">
      <c r="A1081" s="5">
        <v>1</v>
      </c>
      <c r="B1081" s="32">
        <f>IF(ISNUMBER(SEARCH('Φόρμα Εισαγωγής'!$B$2,C1081)),MAX($B$1:B1080)+1,0)</f>
        <v>1080</v>
      </c>
      <c r="C1081" s="7" t="s">
        <v>1019</v>
      </c>
      <c r="D1081" s="33">
        <f>IF(ISNUMBER(SEARCH('Φόρμα Εισαγωγής'!$C$2,E1081)),MAX($D$1:D1080)+1,0)</f>
        <v>1080</v>
      </c>
      <c r="E1081" s="17" t="s">
        <v>193</v>
      </c>
      <c r="F1081" s="5">
        <v>13.35</v>
      </c>
      <c r="G1081" s="5">
        <v>18.7</v>
      </c>
      <c r="H1081" s="6">
        <f t="shared" si="59"/>
        <v>23.187999999999999</v>
      </c>
      <c r="I1081" s="6">
        <f t="shared" si="60"/>
        <v>13.35</v>
      </c>
      <c r="J1081" s="6">
        <f t="shared" si="61"/>
        <v>23.187999999999999</v>
      </c>
      <c r="L1081" s="4" t="str">
        <f>IFERROR(VLOOKUP(ROWS($L$2:L1081),$B$2:$C$1996,2,0),"")</f>
        <v>ΜΗΧΑΝΟΣΙΦΩΝΑΣ REDI PVC</v>
      </c>
      <c r="N1081" s="2" t="str">
        <f>IFERROR(VLOOKUP(ROWS($N$2:N1081),$D$2:$E$1996,2,0),"")</f>
        <v>Φ100</v>
      </c>
    </row>
    <row r="1082" spans="1:14">
      <c r="A1082" s="5">
        <v>1</v>
      </c>
      <c r="B1082" s="32">
        <f>IF(ISNUMBER(SEARCH('Φόρμα Εισαγωγής'!$B$2,C1082)),MAX($B$1:B1081)+1,0)</f>
        <v>1081</v>
      </c>
      <c r="C1082" s="7" t="s">
        <v>1019</v>
      </c>
      <c r="D1082" s="33">
        <f>IF(ISNUMBER(SEARCH('Φόρμα Εισαγωγής'!$C$2,E1082)),MAX($D$1:D1081)+1,0)</f>
        <v>1081</v>
      </c>
      <c r="E1082" s="17" t="s">
        <v>194</v>
      </c>
      <c r="F1082" s="5">
        <v>15.65</v>
      </c>
      <c r="G1082" s="5">
        <v>22</v>
      </c>
      <c r="H1082" s="6">
        <f t="shared" si="59"/>
        <v>27.28</v>
      </c>
      <c r="I1082" s="6">
        <f t="shared" si="60"/>
        <v>15.65</v>
      </c>
      <c r="J1082" s="6">
        <f t="shared" si="61"/>
        <v>27.28</v>
      </c>
      <c r="L1082" s="4" t="str">
        <f>IFERROR(VLOOKUP(ROWS($L$2:L1082),$B$2:$C$1996,2,0),"")</f>
        <v>ΜΗΧΑΝΟΣΙΦΩΝΑΣ REDI PVC</v>
      </c>
      <c r="N1082" s="2" t="str">
        <f>IFERROR(VLOOKUP(ROWS($N$2:N1082),$D$2:$E$1996,2,0),"")</f>
        <v>Φ125</v>
      </c>
    </row>
    <row r="1083" spans="1:14">
      <c r="A1083" s="5">
        <v>100</v>
      </c>
      <c r="B1083" s="32">
        <f>IF(ISNUMBER(SEARCH('Φόρμα Εισαγωγής'!$B$2,C1083)),MAX($B$1:B1082)+1,0)</f>
        <v>1082</v>
      </c>
      <c r="C1083" s="7" t="s">
        <v>783</v>
      </c>
      <c r="D1083" s="33">
        <f>IF(ISNUMBER(SEARCH('Φόρμα Εισαγωγής'!$C$2,E1083)),MAX($D$1:D1082)+1,0)</f>
        <v>1082</v>
      </c>
      <c r="E1083" s="17" t="s">
        <v>342</v>
      </c>
      <c r="F1083" s="5">
        <v>0.49</v>
      </c>
      <c r="G1083" s="5">
        <v>0.7</v>
      </c>
      <c r="H1083" s="6">
        <f t="shared" si="59"/>
        <v>0.86799999999999988</v>
      </c>
      <c r="I1083" s="6">
        <f t="shared" si="60"/>
        <v>49</v>
      </c>
      <c r="J1083" s="6">
        <f t="shared" si="61"/>
        <v>86.799999999999983</v>
      </c>
      <c r="L1083" s="4" t="str">
        <f>IFERROR(VLOOKUP(ROWS($L$2:L1083),$B$2:$C$1996,2,0),"")</f>
        <v>ΣΩΛΗΝΑ ΠΛΑΣΤ ΜΑΥΡΗ COMOPEX</v>
      </c>
      <c r="N1083" s="2" t="str">
        <f>IFERROR(VLOOKUP(ROWS($N$2:N1083),$D$2:$E$1996,2,0),"")</f>
        <v>Φ18 Χ 2,5</v>
      </c>
    </row>
    <row r="1084" spans="1:14">
      <c r="A1084" s="5">
        <v>50</v>
      </c>
      <c r="B1084" s="32">
        <f>IF(ISNUMBER(SEARCH('Φόρμα Εισαγωγής'!$B$2,C1084)),MAX($B$1:B1083)+1,0)</f>
        <v>1083</v>
      </c>
      <c r="C1084" s="7" t="s">
        <v>783</v>
      </c>
      <c r="D1084" s="33">
        <f>IF(ISNUMBER(SEARCH('Φόρμα Εισαγωγής'!$C$2,E1084)),MAX($D$1:D1083)+1,0)</f>
        <v>1083</v>
      </c>
      <c r="E1084" s="17" t="s">
        <v>1020</v>
      </c>
      <c r="F1084" s="5">
        <v>1.28</v>
      </c>
      <c r="G1084" s="5">
        <v>1.8</v>
      </c>
      <c r="H1084" s="6">
        <f t="shared" si="59"/>
        <v>2.2320000000000002</v>
      </c>
      <c r="I1084" s="6">
        <f t="shared" si="60"/>
        <v>64</v>
      </c>
      <c r="J1084" s="6">
        <f t="shared" si="61"/>
        <v>111.60000000000001</v>
      </c>
      <c r="L1084" s="4" t="str">
        <f>IFERROR(VLOOKUP(ROWS($L$2:L1084),$B$2:$C$1996,2,0),"")</f>
        <v>ΣΩΛΗΝΑ ΠΛΑΣΤ ΜΑΥΡΗ COMOPEX</v>
      </c>
      <c r="N1084" s="2" t="str">
        <f>IFERROR(VLOOKUP(ROWS($N$2:N1084),$D$2:$E$1996,2,0),"")</f>
        <v>Φ32 Χ 3</v>
      </c>
    </row>
    <row r="1085" spans="1:14">
      <c r="A1085" s="5">
        <v>0</v>
      </c>
      <c r="B1085" s="32">
        <f>IF(ISNUMBER(SEARCH('Φόρμα Εισαγωγής'!$B$2,C1085)),MAX($B$1:B1084)+1,0)</f>
        <v>1084</v>
      </c>
      <c r="C1085" s="7" t="s">
        <v>489</v>
      </c>
      <c r="D1085" s="33">
        <f>IF(ISNUMBER(SEARCH('Φόρμα Εισαγωγής'!$C$2,E1085)),MAX($D$1:D1084)+1,0)</f>
        <v>1084</v>
      </c>
      <c r="E1085" s="17" t="s">
        <v>194</v>
      </c>
      <c r="F1085" s="5">
        <v>17.600000000000001</v>
      </c>
      <c r="G1085" s="5">
        <v>25</v>
      </c>
      <c r="H1085" s="6">
        <f t="shared" si="59"/>
        <v>31</v>
      </c>
      <c r="I1085" s="6">
        <f t="shared" si="60"/>
        <v>0</v>
      </c>
      <c r="J1085" s="6">
        <f t="shared" si="61"/>
        <v>0</v>
      </c>
      <c r="L1085" s="4" t="str">
        <f>IFERROR(VLOOKUP(ROWS($L$2:L1085),$B$2:$C$1996,2,0),"")</f>
        <v>ΠΕΡΑΣΜΑ ΣΤΕΓΗΣ ΙΝΟΧ</v>
      </c>
      <c r="N1085" s="2" t="str">
        <f>IFERROR(VLOOKUP(ROWS($N$2:N1085),$D$2:$E$1996,2,0),"")</f>
        <v>Φ125</v>
      </c>
    </row>
    <row r="1086" spans="1:14">
      <c r="A1086" s="5">
        <v>0</v>
      </c>
      <c r="B1086" s="32">
        <f>IF(ISNUMBER(SEARCH('Φόρμα Εισαγωγής'!$B$2,C1086)),MAX($B$1:B1085)+1,0)</f>
        <v>1085</v>
      </c>
      <c r="C1086" s="7" t="s">
        <v>779</v>
      </c>
      <c r="D1086" s="33">
        <f>IF(ISNUMBER(SEARCH('Φόρμα Εισαγωγής'!$C$2,E1086)),MAX($D$1:D1085)+1,0)</f>
        <v>1085</v>
      </c>
      <c r="E1086" s="17" t="s">
        <v>480</v>
      </c>
      <c r="F1086" s="5">
        <v>6.85</v>
      </c>
      <c r="G1086" s="5">
        <v>10</v>
      </c>
      <c r="H1086" s="6">
        <f t="shared" si="59"/>
        <v>12.4</v>
      </c>
      <c r="I1086" s="6">
        <f t="shared" si="60"/>
        <v>0</v>
      </c>
      <c r="J1086" s="6">
        <f t="shared" si="61"/>
        <v>0</v>
      </c>
      <c r="L1086" s="4" t="str">
        <f>IFERROR(VLOOKUP(ROWS($L$2:L1086),$B$2:$C$1996,2,0),"")</f>
        <v>ΚΑΠΕΛΟ ΑΠΛΟ ΙΝΟΧ</v>
      </c>
      <c r="N1086" s="2" t="str">
        <f>IFERROR(VLOOKUP(ROWS($N$2:N1086),$D$2:$E$1996,2,0),"")</f>
        <v>Φ120</v>
      </c>
    </row>
    <row r="1087" spans="1:14">
      <c r="A1087" s="5">
        <v>0</v>
      </c>
      <c r="B1087" s="32">
        <f>IF(ISNUMBER(SEARCH('Φόρμα Εισαγωγής'!$B$2,C1087)),MAX($B$1:B1086)+1,0)</f>
        <v>1086</v>
      </c>
      <c r="C1087" s="7" t="s">
        <v>489</v>
      </c>
      <c r="D1087" s="33">
        <f>IF(ISNUMBER(SEARCH('Φόρμα Εισαγωγής'!$C$2,E1087)),MAX($D$1:D1086)+1,0)</f>
        <v>1086</v>
      </c>
      <c r="E1087" s="17" t="s">
        <v>196</v>
      </c>
      <c r="F1087" s="5">
        <v>27</v>
      </c>
      <c r="G1087" s="5">
        <v>38</v>
      </c>
      <c r="H1087" s="6">
        <f t="shared" si="59"/>
        <v>47.12</v>
      </c>
      <c r="I1087" s="6">
        <f t="shared" si="60"/>
        <v>0</v>
      </c>
      <c r="J1087" s="6">
        <f t="shared" si="61"/>
        <v>0</v>
      </c>
      <c r="L1087" s="4" t="str">
        <f>IFERROR(VLOOKUP(ROWS($L$2:L1087),$B$2:$C$1996,2,0),"")</f>
        <v>ΠΕΡΑΣΜΑ ΣΤΕΓΗΣ ΙΝΟΧ</v>
      </c>
      <c r="N1087" s="2" t="str">
        <f>IFERROR(VLOOKUP(ROWS($N$2:N1087),$D$2:$E$1996,2,0),"")</f>
        <v>Φ200</v>
      </c>
    </row>
    <row r="1088" spans="1:14">
      <c r="A1088" s="5">
        <v>0</v>
      </c>
      <c r="B1088" s="32">
        <f>IF(ISNUMBER(SEARCH('Φόρμα Εισαγωγής'!$B$2,C1088)),MAX($B$1:B1087)+1,0)</f>
        <v>1087</v>
      </c>
      <c r="C1088" s="7" t="s">
        <v>474</v>
      </c>
      <c r="D1088" s="33">
        <f>IF(ISNUMBER(SEARCH('Φόρμα Εισαγωγής'!$C$2,E1088)),MAX($D$1:D1087)+1,0)</f>
        <v>1087</v>
      </c>
      <c r="E1088" s="17" t="s">
        <v>492</v>
      </c>
      <c r="F1088" s="5">
        <v>23.5</v>
      </c>
      <c r="G1088" s="5">
        <v>33</v>
      </c>
      <c r="H1088" s="6">
        <f t="shared" ref="H1088:H1151" si="62">G1088+(G1088*0.24)</f>
        <v>40.92</v>
      </c>
      <c r="I1088" s="6">
        <f t="shared" ref="I1088:I1151" si="63">F1088*A1088</f>
        <v>0</v>
      </c>
      <c r="J1088" s="6">
        <f t="shared" ref="J1088:J1151" si="64">H1088*A1088</f>
        <v>0</v>
      </c>
      <c r="L1088" s="4" t="str">
        <f>IFERROR(VLOOKUP(ROWS($L$2:L1088),$B$2:$C$1996,2,0),"")</f>
        <v>ΤΑΦ ΙΝΟΧ</v>
      </c>
      <c r="N1088" s="2" t="str">
        <f>IFERROR(VLOOKUP(ROWS($N$2:N1088),$D$2:$E$1996,2,0),"")</f>
        <v>Φ200 Χ Φ150</v>
      </c>
    </row>
    <row r="1089" spans="1:14">
      <c r="A1089" s="5">
        <v>1</v>
      </c>
      <c r="B1089" s="32">
        <f>IF(ISNUMBER(SEARCH('Φόρμα Εισαγωγής'!$B$2,C1089)),MAX($B$1:B1088)+1,0)</f>
        <v>1088</v>
      </c>
      <c r="C1089" s="7" t="s">
        <v>1021</v>
      </c>
      <c r="D1089" s="33">
        <f>IF(ISNUMBER(SEARCH('Φόρμα Εισαγωγής'!$C$2,E1089)),MAX($D$1:D1088)+1,0)</f>
        <v>1088</v>
      </c>
      <c r="E1089" s="17" t="s">
        <v>196</v>
      </c>
      <c r="F1089" s="5">
        <v>21.1</v>
      </c>
      <c r="G1089" s="5">
        <v>30</v>
      </c>
      <c r="H1089" s="6">
        <f t="shared" si="62"/>
        <v>37.200000000000003</v>
      </c>
      <c r="I1089" s="6">
        <f t="shared" si="63"/>
        <v>21.1</v>
      </c>
      <c r="J1089" s="6">
        <f t="shared" si="64"/>
        <v>37.200000000000003</v>
      </c>
      <c r="L1089" s="4" t="str">
        <f>IFERROR(VLOOKUP(ROWS($L$2:L1089),$B$2:$C$1996,2,0),"")</f>
        <v>ΠΕΡΙΣΤΡΟΦΙΚΟ ΚΑΠΕΛΟ ΙΝΟΧ Τ200</v>
      </c>
      <c r="N1089" s="2" t="str">
        <f>IFERROR(VLOOKUP(ROWS($N$2:N1089),$D$2:$E$1996,2,0),"")</f>
        <v>Φ200</v>
      </c>
    </row>
    <row r="1090" spans="1:14">
      <c r="A1090" s="5">
        <v>4</v>
      </c>
      <c r="B1090" s="32">
        <f>IF(ISNUMBER(SEARCH('Φόρμα Εισαγωγής'!$B$2,C1090)),MAX($B$1:B1089)+1,0)</f>
        <v>1089</v>
      </c>
      <c r="C1090" s="7" t="s">
        <v>790</v>
      </c>
      <c r="D1090" s="33">
        <f>IF(ISNUMBER(SEARCH('Φόρμα Εισαγωγής'!$C$2,E1090)),MAX($D$1:D1089)+1,0)</f>
        <v>1089</v>
      </c>
      <c r="E1090" s="17" t="s">
        <v>1023</v>
      </c>
      <c r="F1090" s="5">
        <v>2.9</v>
      </c>
      <c r="G1090" s="5">
        <v>4.04</v>
      </c>
      <c r="H1090" s="6">
        <f t="shared" si="62"/>
        <v>5.0095999999999998</v>
      </c>
      <c r="I1090" s="6">
        <f t="shared" si="63"/>
        <v>11.6</v>
      </c>
      <c r="J1090" s="6">
        <f t="shared" si="64"/>
        <v>20.038399999999999</v>
      </c>
      <c r="L1090" s="4" t="str">
        <f>IFERROR(VLOOKUP(ROWS($L$2:L1090),$B$2:$C$1996,2,0),"")</f>
        <v>ΚΑΠΑΚΙ ΦΡΕΑΤΙΟΥ ΠΛΑΣΤ</v>
      </c>
      <c r="N1090" s="2" t="str">
        <f>IFERROR(VLOOKUP(ROWS($N$2:N1090),$D$2:$E$1996,2,0),"")</f>
        <v xml:space="preserve">25 Χ 25 </v>
      </c>
    </row>
    <row r="1091" spans="1:14">
      <c r="A1091" s="5">
        <v>1</v>
      </c>
      <c r="B1091" s="32">
        <f>IF(ISNUMBER(SEARCH('Φόρμα Εισαγωγής'!$B$2,C1091)),MAX($B$1:B1090)+1,0)</f>
        <v>1090</v>
      </c>
      <c r="C1091" s="7" t="s">
        <v>1026</v>
      </c>
      <c r="D1091" s="33">
        <f>IF(ISNUMBER(SEARCH('Φόρμα Εισαγωγής'!$C$2,E1091)),MAX($D$1:D1090)+1,0)</f>
        <v>1090</v>
      </c>
      <c r="E1091" s="17" t="s">
        <v>350</v>
      </c>
      <c r="F1091" s="5">
        <v>6.78</v>
      </c>
      <c r="G1091" s="5">
        <v>9.5</v>
      </c>
      <c r="H1091" s="6">
        <f t="shared" si="62"/>
        <v>11.78</v>
      </c>
      <c r="I1091" s="6">
        <f t="shared" si="63"/>
        <v>6.78</v>
      </c>
      <c r="J1091" s="6">
        <f t="shared" si="64"/>
        <v>11.78</v>
      </c>
      <c r="L1091" s="4" t="str">
        <f>IFERROR(VLOOKUP(ROWS($L$2:L1091),$B$2:$C$1996,2,0),"")</f>
        <v>ΑΦΑΛΑΤΙΚΟ ΥΓΡΟ</v>
      </c>
      <c r="N1091" s="2" t="str">
        <f>IFERROR(VLOOKUP(ROWS($N$2:N1091),$D$2:$E$1996,2,0),"")</f>
        <v>1L</v>
      </c>
    </row>
    <row r="1092" spans="1:14">
      <c r="A1092" s="5">
        <v>1</v>
      </c>
      <c r="B1092" s="32">
        <f>IF(ISNUMBER(SEARCH('Φόρμα Εισαγωγής'!$B$2,C1092)),MAX($B$1:B1091)+1,0)</f>
        <v>1091</v>
      </c>
      <c r="C1092" s="7" t="s">
        <v>1035</v>
      </c>
      <c r="D1092" s="33">
        <f>IF(ISNUMBER(SEARCH('Φόρμα Εισαγωγής'!$C$2,E1092)),MAX($D$1:D1091)+1,0)</f>
        <v>1091</v>
      </c>
      <c r="E1092" s="17" t="s">
        <v>321</v>
      </c>
      <c r="F1092" s="5">
        <v>3.04</v>
      </c>
      <c r="G1092" s="5">
        <v>4.3</v>
      </c>
      <c r="H1092" s="6">
        <f t="shared" si="62"/>
        <v>5.3319999999999999</v>
      </c>
      <c r="I1092" s="6">
        <f t="shared" si="63"/>
        <v>3.04</v>
      </c>
      <c r="J1092" s="6">
        <f t="shared" si="64"/>
        <v>5.3319999999999999</v>
      </c>
      <c r="L1092" s="4" t="str">
        <f>IFERROR(VLOOKUP(ROWS($L$2:L1092),$B$2:$C$1996,2,0),"")</f>
        <v>ΚΑΘΑΡΙΣΤΙΚΟ ΚΑΥΣΤΗΡΑ FELDER</v>
      </c>
      <c r="N1092" s="2" t="str">
        <f>IFERROR(VLOOKUP(ROWS($N$2:N1092),$D$2:$E$1996,2,0),"")</f>
        <v>-</v>
      </c>
    </row>
    <row r="1093" spans="1:14">
      <c r="A1093" s="5">
        <v>0</v>
      </c>
      <c r="B1093" s="32">
        <f>IF(ISNUMBER(SEARCH('Φόρμα Εισαγωγής'!$B$2,C1093)),MAX($B$1:B1092)+1,0)</f>
        <v>1092</v>
      </c>
      <c r="C1093" s="7" t="s">
        <v>1036</v>
      </c>
      <c r="D1093" s="33">
        <f>IF(ISNUMBER(SEARCH('Φόρμα Εισαγωγής'!$C$2,E1093)),MAX($D$1:D1092)+1,0)</f>
        <v>1092</v>
      </c>
      <c r="E1093" s="17" t="s">
        <v>1037</v>
      </c>
      <c r="F1093" s="5">
        <v>64.599999999999994</v>
      </c>
      <c r="G1093" s="5">
        <v>90</v>
      </c>
      <c r="H1093" s="6">
        <f t="shared" si="62"/>
        <v>111.6</v>
      </c>
      <c r="I1093" s="6">
        <f t="shared" si="63"/>
        <v>0</v>
      </c>
      <c r="J1093" s="6">
        <f t="shared" si="64"/>
        <v>0</v>
      </c>
      <c r="L1093" s="4" t="str">
        <f>IFERROR(VLOOKUP(ROWS($L$2:L1093),$B$2:$C$1996,2,0),"")</f>
        <v>ΣΩΜΑ FIX</v>
      </c>
      <c r="N1093" s="2" t="str">
        <f>IFERROR(VLOOKUP(ROWS($N$2:N1093),$D$2:$E$1996,2,0),"")</f>
        <v>33/900/700</v>
      </c>
    </row>
    <row r="1094" spans="1:14">
      <c r="A1094" s="5">
        <v>1</v>
      </c>
      <c r="B1094" s="32">
        <f>IF(ISNUMBER(SEARCH('Φόρμα Εισαγωγής'!$B$2,C1094)),MAX($B$1:B1093)+1,0)</f>
        <v>1093</v>
      </c>
      <c r="C1094" s="7" t="s">
        <v>1038</v>
      </c>
      <c r="D1094" s="33">
        <f>IF(ISNUMBER(SEARCH('Φόρμα Εισαγωγής'!$C$2,E1094)),MAX($D$1:D1093)+1,0)</f>
        <v>1093</v>
      </c>
      <c r="E1094" s="17" t="s">
        <v>173</v>
      </c>
      <c r="F1094" s="5">
        <v>100</v>
      </c>
      <c r="G1094" s="5">
        <v>140</v>
      </c>
      <c r="H1094" s="6">
        <f t="shared" si="62"/>
        <v>173.6</v>
      </c>
      <c r="I1094" s="6">
        <f t="shared" si="63"/>
        <v>100</v>
      </c>
      <c r="J1094" s="6">
        <f t="shared" si="64"/>
        <v>173.6</v>
      </c>
      <c r="L1094" s="4" t="str">
        <f>IFERROR(VLOOKUP(ROWS($L$2:L1094),$B$2:$C$1996,2,0),"")</f>
        <v>ΦΙΛΤΡΟ ΠΕΤΡ COB WOLF</v>
      </c>
      <c r="N1094" s="2" t="str">
        <f>IFERROR(VLOOKUP(ROWS($N$2:N1094),$D$2:$E$1996,2,0),"")</f>
        <v>3/8</v>
      </c>
    </row>
    <row r="1095" spans="1:14">
      <c r="A1095" s="5">
        <v>1</v>
      </c>
      <c r="B1095" s="32">
        <f>IF(ISNUMBER(SEARCH('Φόρμα Εισαγωγής'!$B$2,C1095)),MAX($B$1:B1094)+1,0)</f>
        <v>1094</v>
      </c>
      <c r="C1095" s="7" t="s">
        <v>1039</v>
      </c>
      <c r="D1095" s="33">
        <f>IF(ISNUMBER(SEARCH('Φόρμα Εισαγωγής'!$C$2,E1095)),MAX($D$1:D1094)+1,0)</f>
        <v>1094</v>
      </c>
      <c r="E1095" s="17" t="s">
        <v>321</v>
      </c>
      <c r="F1095" s="5">
        <v>111.15</v>
      </c>
      <c r="G1095" s="5">
        <v>160</v>
      </c>
      <c r="H1095" s="6">
        <f t="shared" si="62"/>
        <v>198.4</v>
      </c>
      <c r="I1095" s="6">
        <f t="shared" si="63"/>
        <v>111.15</v>
      </c>
      <c r="J1095" s="6">
        <f t="shared" si="64"/>
        <v>198.4</v>
      </c>
      <c r="L1095" s="4" t="str">
        <f>IFERROR(VLOOKUP(ROWS($L$2:L1095),$B$2:$C$1996,2,0),"")</f>
        <v>ΜΟΝΑΔΑ BM WOLF</v>
      </c>
      <c r="N1095" s="2" t="str">
        <f>IFERROR(VLOOKUP(ROWS($N$2:N1095),$D$2:$E$1996,2,0),"")</f>
        <v>-</v>
      </c>
    </row>
    <row r="1096" spans="1:14">
      <c r="A1096" s="5">
        <v>1</v>
      </c>
      <c r="B1096" s="32">
        <f>IF(ISNUMBER(SEARCH('Φόρμα Εισαγωγής'!$B$2,C1096)),MAX($B$1:B1095)+1,0)</f>
        <v>1095</v>
      </c>
      <c r="C1096" s="7" t="s">
        <v>1040</v>
      </c>
      <c r="D1096" s="33">
        <f>IF(ISNUMBER(SEARCH('Φόρμα Εισαγωγής'!$C$2,E1096)),MAX($D$1:D1095)+1,0)</f>
        <v>1095</v>
      </c>
      <c r="E1096" s="17" t="s">
        <v>321</v>
      </c>
      <c r="F1096" s="5">
        <v>13.25</v>
      </c>
      <c r="G1096" s="5">
        <v>20</v>
      </c>
      <c r="H1096" s="6">
        <f t="shared" si="62"/>
        <v>24.8</v>
      </c>
      <c r="I1096" s="6">
        <f t="shared" si="63"/>
        <v>13.25</v>
      </c>
      <c r="J1096" s="6">
        <f t="shared" si="64"/>
        <v>24.8</v>
      </c>
      <c r="L1096" s="4" t="str">
        <f>IFERROR(VLOOKUP(ROWS($L$2:L1096),$B$2:$C$1996,2,0),"")</f>
        <v>ΒΑΣΗ ΤΟΙΧΟΥ BM WOLF</v>
      </c>
      <c r="N1096" s="2" t="str">
        <f>IFERROR(VLOOKUP(ROWS($N$2:N1096),$D$2:$E$1996,2,0),"")</f>
        <v>-</v>
      </c>
    </row>
    <row r="1097" spans="1:14">
      <c r="A1097" s="5">
        <v>1</v>
      </c>
      <c r="B1097" s="32">
        <f>IF(ISNUMBER(SEARCH('Φόρμα Εισαγωγής'!$B$2,C1097)),MAX($B$1:B1096)+1,0)</f>
        <v>1096</v>
      </c>
      <c r="C1097" s="7" t="s">
        <v>1041</v>
      </c>
      <c r="D1097" s="33">
        <f>IF(ISNUMBER(SEARCH('Φόρμα Εισαγωγής'!$C$2,E1097)),MAX($D$1:D1096)+1,0)</f>
        <v>1096</v>
      </c>
      <c r="E1097" s="17" t="s">
        <v>321</v>
      </c>
      <c r="F1097" s="5">
        <v>29.07</v>
      </c>
      <c r="G1097" s="5">
        <v>45</v>
      </c>
      <c r="H1097" s="6">
        <f t="shared" si="62"/>
        <v>55.8</v>
      </c>
      <c r="I1097" s="6">
        <f t="shared" si="63"/>
        <v>29.07</v>
      </c>
      <c r="J1097" s="6">
        <f t="shared" si="64"/>
        <v>55.8</v>
      </c>
      <c r="L1097" s="4" t="str">
        <f>IFERROR(VLOOKUP(ROWS($L$2:L1097),$B$2:$C$1996,2,0),"")</f>
        <v>ΑΙΣΘΗΤΗΡΙΟ BOILER WOLF</v>
      </c>
      <c r="N1097" s="2" t="str">
        <f>IFERROR(VLOOKUP(ROWS($N$2:N1097),$D$2:$E$1996,2,0),"")</f>
        <v>-</v>
      </c>
    </row>
    <row r="1098" spans="1:14">
      <c r="A1098" s="5">
        <v>10</v>
      </c>
      <c r="B1098" s="32">
        <f>IF(ISNUMBER(SEARCH('Φόρμα Εισαγωγής'!$B$2,C1098)),MAX($B$1:B1097)+1,0)</f>
        <v>1097</v>
      </c>
      <c r="C1098" s="7" t="s">
        <v>777</v>
      </c>
      <c r="D1098" s="33">
        <f>IF(ISNUMBER(SEARCH('Φόρμα Εισαγωγής'!$C$2,E1098)),MAX($D$1:D1097)+1,0)</f>
        <v>1097</v>
      </c>
      <c r="E1098" s="17" t="s">
        <v>1042</v>
      </c>
      <c r="F1098" s="5">
        <v>2.21</v>
      </c>
      <c r="G1098" s="5">
        <v>3.1</v>
      </c>
      <c r="H1098" s="6">
        <f t="shared" si="62"/>
        <v>3.8440000000000003</v>
      </c>
      <c r="I1098" s="6">
        <f t="shared" si="63"/>
        <v>22.1</v>
      </c>
      <c r="J1098" s="6">
        <f t="shared" si="64"/>
        <v>38.440000000000005</v>
      </c>
      <c r="L1098" s="4" t="str">
        <f>IFERROR(VLOOKUP(ROWS($L$2:L1098),$B$2:$C$1996,2,0),"")</f>
        <v>ΓΩΝΙΑ ΜΠΑΝΙΕΡΑΣ ΟΡ SOLI</v>
      </c>
      <c r="N1098" s="2" t="str">
        <f>IFERROR(VLOOKUP(ROWS($N$2:N1098),$D$2:$E$1996,2,0),"")</f>
        <v>Φ32 Χ 1 1/4''</v>
      </c>
    </row>
    <row r="1099" spans="1:14">
      <c r="A1099" s="5">
        <v>0</v>
      </c>
      <c r="B1099" s="32">
        <f>IF(ISNUMBER(SEARCH('Φόρμα Εισαγωγής'!$B$2,C1099)),MAX($B$1:B1098)+1,0)</f>
        <v>1098</v>
      </c>
      <c r="C1099" s="7" t="s">
        <v>478</v>
      </c>
      <c r="D1099" s="33">
        <f>IF(ISNUMBER(SEARCH('Φόρμα Εισαγωγής'!$C$2,E1099)),MAX($D$1:D1098)+1,0)</f>
        <v>1098</v>
      </c>
      <c r="E1099" s="17" t="s">
        <v>1043</v>
      </c>
      <c r="F1099" s="5">
        <v>12.13</v>
      </c>
      <c r="G1099" s="5">
        <v>17</v>
      </c>
      <c r="H1099" s="6">
        <f t="shared" si="62"/>
        <v>21.08</v>
      </c>
      <c r="I1099" s="6">
        <f t="shared" si="63"/>
        <v>0</v>
      </c>
      <c r="J1099" s="6">
        <f t="shared" si="64"/>
        <v>0</v>
      </c>
      <c r="L1099" s="4" t="str">
        <f>IFERROR(VLOOKUP(ROWS($L$2:L1099),$B$2:$C$1996,2,0),"")</f>
        <v>ΣΩΛΗΝΑ ΙΝΟΧ 100CM</v>
      </c>
      <c r="N1099" s="2" t="str">
        <f>IFERROR(VLOOKUP(ROWS($N$2:N1099),$D$2:$E$1996,2,0),"")</f>
        <v>Φ300</v>
      </c>
    </row>
    <row r="1100" spans="1:14">
      <c r="A1100" s="5">
        <v>0</v>
      </c>
      <c r="B1100" s="32">
        <f>IF(ISNUMBER(SEARCH('Φόρμα Εισαγωγής'!$B$2,C1100)),MAX($B$1:B1099)+1,0)</f>
        <v>1099</v>
      </c>
      <c r="C1100" s="7" t="s">
        <v>1044</v>
      </c>
      <c r="D1100" s="33">
        <f>IF(ISNUMBER(SEARCH('Φόρμα Εισαγωγής'!$C$2,E1100)),MAX($D$1:D1099)+1,0)</f>
        <v>1099</v>
      </c>
      <c r="E1100" s="17" t="s">
        <v>1043</v>
      </c>
      <c r="F1100" s="5">
        <v>15.65</v>
      </c>
      <c r="G1100" s="5">
        <v>22</v>
      </c>
      <c r="H1100" s="6">
        <f t="shared" si="62"/>
        <v>27.28</v>
      </c>
      <c r="I1100" s="6">
        <f t="shared" si="63"/>
        <v>0</v>
      </c>
      <c r="J1100" s="6">
        <f t="shared" si="64"/>
        <v>0</v>
      </c>
      <c r="L1100" s="4" t="str">
        <f>IFERROR(VLOOKUP(ROWS($L$2:L1100),$B$2:$C$1996,2,0),"")</f>
        <v>ΚΑΠΕΛΟ ΑΝΤΙΑΝΕΜΙΚΟ ΙΝΟΧ</v>
      </c>
      <c r="N1100" s="2" t="str">
        <f>IFERROR(VLOOKUP(ROWS($N$2:N1100),$D$2:$E$1996,2,0),"")</f>
        <v>Φ300</v>
      </c>
    </row>
    <row r="1101" spans="1:14">
      <c r="A1101" s="5">
        <v>0</v>
      </c>
      <c r="B1101" s="32">
        <f>IF(ISNUMBER(SEARCH('Φόρμα Εισαγωγής'!$B$2,C1101)),MAX($B$1:B1100)+1,0)</f>
        <v>1100</v>
      </c>
      <c r="C1101" s="7" t="s">
        <v>485</v>
      </c>
      <c r="D1101" s="33">
        <f>IF(ISNUMBER(SEARCH('Φόρμα Εισαγωγής'!$C$2,E1101)),MAX($D$1:D1100)+1,0)</f>
        <v>1100</v>
      </c>
      <c r="E1101" s="17" t="s">
        <v>1045</v>
      </c>
      <c r="F1101" s="5">
        <v>9.7799999999999994</v>
      </c>
      <c r="G1101" s="5">
        <v>14</v>
      </c>
      <c r="H1101" s="6">
        <f t="shared" si="62"/>
        <v>17.36</v>
      </c>
      <c r="I1101" s="6">
        <f t="shared" si="63"/>
        <v>0</v>
      </c>
      <c r="J1101" s="6">
        <f t="shared" si="64"/>
        <v>0</v>
      </c>
      <c r="L1101" s="4" t="str">
        <f>IFERROR(VLOOKUP(ROWS($L$2:L1101),$B$2:$C$1996,2,0),"")</f>
        <v>ΣΥΣΤΟΛΗ ΙΝΟΧ</v>
      </c>
      <c r="N1101" s="2" t="str">
        <f>IFERROR(VLOOKUP(ROWS($N$2:N1101),$D$2:$E$1996,2,0),"")</f>
        <v>Φ180 Χ Φ150</v>
      </c>
    </row>
    <row r="1102" spans="1:14">
      <c r="A1102" s="5">
        <v>1</v>
      </c>
      <c r="B1102" s="32">
        <f>IF(ISNUMBER(SEARCH('Φόρμα Εισαγωγής'!$B$2,C1102)),MAX($B$1:B1101)+1,0)</f>
        <v>1101</v>
      </c>
      <c r="C1102" s="7" t="s">
        <v>1046</v>
      </c>
      <c r="D1102" s="33">
        <f>IF(ISNUMBER(SEARCH('Φόρμα Εισαγωγής'!$C$2,E1102)),MAX($D$1:D1101)+1,0)</f>
        <v>1101</v>
      </c>
      <c r="E1102" s="17" t="s">
        <v>1047</v>
      </c>
      <c r="F1102" s="5">
        <v>3.03</v>
      </c>
      <c r="G1102" s="5">
        <v>4.5</v>
      </c>
      <c r="H1102" s="6">
        <f t="shared" si="62"/>
        <v>5.58</v>
      </c>
      <c r="I1102" s="6">
        <f t="shared" si="63"/>
        <v>3.03</v>
      </c>
      <c r="J1102" s="6">
        <f t="shared" si="64"/>
        <v>5.58</v>
      </c>
      <c r="L1102" s="4" t="str">
        <f>IFERROR(VLOOKUP(ROWS($L$2:L1102),$B$2:$C$1996,2,0),"")</f>
        <v>ΤΑΙΝΙΑ ΑΛΟΥΜΙΝΙΟΥ</v>
      </c>
      <c r="N1102" s="2" t="str">
        <f>IFERROR(VLOOKUP(ROWS($N$2:N1102),$D$2:$E$1996,2,0),"")</f>
        <v>50Μ</v>
      </c>
    </row>
    <row r="1103" spans="1:14">
      <c r="A1103" s="5">
        <v>1</v>
      </c>
      <c r="B1103" s="32">
        <f>IF(ISNUMBER(SEARCH('Φόρμα Εισαγωγής'!$B$2,C1103)),MAX($B$1:B1102)+1,0)</f>
        <v>1102</v>
      </c>
      <c r="C1103" s="7" t="s">
        <v>1046</v>
      </c>
      <c r="D1103" s="33">
        <f>IF(ISNUMBER(SEARCH('Φόρμα Εισαγωγής'!$C$2,E1103)),MAX($D$1:D1102)+1,0)</f>
        <v>1102</v>
      </c>
      <c r="E1103" s="17" t="s">
        <v>1048</v>
      </c>
      <c r="F1103" s="5">
        <v>0.69</v>
      </c>
      <c r="G1103" s="5">
        <v>1</v>
      </c>
      <c r="H1103" s="6">
        <f t="shared" si="62"/>
        <v>1.24</v>
      </c>
      <c r="I1103" s="6">
        <f t="shared" si="63"/>
        <v>0.69</v>
      </c>
      <c r="J1103" s="6">
        <f t="shared" si="64"/>
        <v>1.24</v>
      </c>
      <c r="L1103" s="4" t="str">
        <f>IFERROR(VLOOKUP(ROWS($L$2:L1103),$B$2:$C$1996,2,0),"")</f>
        <v>ΤΑΙΝΙΑ ΑΛΟΥΜΙΝΙΟΥ</v>
      </c>
      <c r="N1103" s="2" t="str">
        <f>IFERROR(VLOOKUP(ROWS($N$2:N1103),$D$2:$E$1996,2,0),"")</f>
        <v>10Μ</v>
      </c>
    </row>
    <row r="1104" spans="1:14">
      <c r="A1104" s="5">
        <v>2</v>
      </c>
      <c r="B1104" s="32">
        <f>IF(ISNUMBER(SEARCH('Φόρμα Εισαγωγής'!$B$2,C1104)),MAX($B$1:B1103)+1,0)</f>
        <v>1103</v>
      </c>
      <c r="C1104" s="7" t="s">
        <v>1049</v>
      </c>
      <c r="D1104" s="33">
        <f>IF(ISNUMBER(SEARCH('Φόρμα Εισαγωγής'!$C$2,E1104)),MAX($D$1:D1103)+1,0)</f>
        <v>1103</v>
      </c>
      <c r="E1104" s="17" t="s">
        <v>1050</v>
      </c>
      <c r="F1104" s="5">
        <v>1.5</v>
      </c>
      <c r="G1104" s="5">
        <v>2</v>
      </c>
      <c r="H1104" s="6">
        <f t="shared" si="62"/>
        <v>2.48</v>
      </c>
      <c r="I1104" s="6">
        <f t="shared" si="63"/>
        <v>3</v>
      </c>
      <c r="J1104" s="6">
        <f t="shared" si="64"/>
        <v>4.96</v>
      </c>
      <c r="L1104" s="4" t="str">
        <f>IFERROR(VLOOKUP(ROWS($L$2:L1104),$B$2:$C$1996,2,0),"")</f>
        <v>ΝΙΠΕΛ ΚΑΥΣΤΗΡΑ RIELLO</v>
      </c>
      <c r="N1104" s="2" t="str">
        <f>IFERROR(VLOOKUP(ROWS($N$2:N1104),$D$2:$E$1996,2,0),"")</f>
        <v>1/2 X 3/8</v>
      </c>
    </row>
    <row r="1105" spans="1:14">
      <c r="A1105" s="5">
        <v>10</v>
      </c>
      <c r="B1105" s="32">
        <f>IF(ISNUMBER(SEARCH('Φόρμα Εισαγωγής'!$B$2,C1105)),MAX($B$1:B1104)+1,0)</f>
        <v>1104</v>
      </c>
      <c r="C1105" s="7" t="s">
        <v>1051</v>
      </c>
      <c r="D1105" s="33">
        <f>IF(ISNUMBER(SEARCH('Φόρμα Εισαγωγής'!$C$2,E1105)),MAX($D$1:D1104)+1,0)</f>
        <v>1104</v>
      </c>
      <c r="E1105" s="17" t="s">
        <v>340</v>
      </c>
      <c r="F1105" s="5">
        <v>0.33</v>
      </c>
      <c r="G1105" s="5">
        <v>0.46</v>
      </c>
      <c r="H1105" s="6">
        <f t="shared" si="62"/>
        <v>0.57040000000000002</v>
      </c>
      <c r="I1105" s="6">
        <f t="shared" si="63"/>
        <v>3.3000000000000003</v>
      </c>
      <c r="J1105" s="6">
        <f t="shared" si="64"/>
        <v>5.7040000000000006</v>
      </c>
      <c r="L1105" s="4" t="str">
        <f>IFERROR(VLOOKUP(ROWS($L$2:L1105),$B$2:$C$1996,2,0),"")</f>
        <v>ΣΤΗΡΗΓΜΑ ΠΟΛ ΠΛΑΣΤΙΚΑ</v>
      </c>
      <c r="N1105" s="2" t="str">
        <f>IFERROR(VLOOKUP(ROWS($N$2:N1105),$D$2:$E$1996,2,0),"")</f>
        <v>Φ16</v>
      </c>
    </row>
    <row r="1106" spans="1:14">
      <c r="A1106" s="5">
        <v>10</v>
      </c>
      <c r="B1106" s="32">
        <f>IF(ISNUMBER(SEARCH('Φόρμα Εισαγωγής'!$B$2,C1106)),MAX($B$1:B1105)+1,0)</f>
        <v>1105</v>
      </c>
      <c r="C1106" s="7" t="s">
        <v>1052</v>
      </c>
      <c r="D1106" s="33">
        <f>IF(ISNUMBER(SEARCH('Φόρμα Εισαγωγής'!$C$2,E1106)),MAX($D$1:D1105)+1,0)</f>
        <v>1105</v>
      </c>
      <c r="E1106" s="17" t="s">
        <v>32</v>
      </c>
      <c r="F1106" s="5">
        <v>7.65</v>
      </c>
      <c r="G1106" s="5">
        <v>10.8</v>
      </c>
      <c r="H1106" s="6">
        <f t="shared" si="62"/>
        <v>13.392000000000001</v>
      </c>
      <c r="I1106" s="6">
        <f t="shared" si="63"/>
        <v>76.5</v>
      </c>
      <c r="J1106" s="6">
        <f t="shared" si="64"/>
        <v>133.92000000000002</v>
      </c>
      <c r="L1106" s="4" t="str">
        <f>IFERROR(VLOOKUP(ROWS($L$2:L1106),$B$2:$C$1996,2,0),"")</f>
        <v>ΒΑΝΑ ΤΡΙΩΔΗ</v>
      </c>
      <c r="N1106" s="2" t="str">
        <f>IFERROR(VLOOKUP(ROWS($N$2:N1106),$D$2:$E$1996,2,0),"")</f>
        <v>1/2</v>
      </c>
    </row>
    <row r="1107" spans="1:14">
      <c r="A1107" s="5">
        <v>5</v>
      </c>
      <c r="B1107" s="32">
        <f>IF(ISNUMBER(SEARCH('Φόρμα Εισαγωγής'!$B$2,C1107)),MAX($B$1:B1106)+1,0)</f>
        <v>1106</v>
      </c>
      <c r="C1107" s="7" t="s">
        <v>1053</v>
      </c>
      <c r="D1107" s="33">
        <f>IF(ISNUMBER(SEARCH('Φόρμα Εισαγωγής'!$C$2,E1107)),MAX($D$1:D1106)+1,0)</f>
        <v>1106</v>
      </c>
      <c r="E1107" s="17" t="s">
        <v>39</v>
      </c>
      <c r="F1107" s="5">
        <v>3.4</v>
      </c>
      <c r="G1107" s="5">
        <v>4.8</v>
      </c>
      <c r="H1107" s="6">
        <f t="shared" si="62"/>
        <v>5.952</v>
      </c>
      <c r="I1107" s="6">
        <f t="shared" si="63"/>
        <v>17</v>
      </c>
      <c r="J1107" s="6">
        <f t="shared" si="64"/>
        <v>29.759999999999998</v>
      </c>
      <c r="L1107" s="4" t="str">
        <f>IFERROR(VLOOKUP(ROWS($L$2:L1107),$B$2:$C$1996,2,0),"")</f>
        <v>ΒΑΝΑΚΙ ΕΚΚΕΝΩΣΗΣ</v>
      </c>
      <c r="N1107" s="2" t="str">
        <f>IFERROR(VLOOKUP(ROWS($N$2:N1107),$D$2:$E$1996,2,0),"")</f>
        <v>ΑΡΣ 1/2</v>
      </c>
    </row>
    <row r="1108" spans="1:14">
      <c r="A1108" s="5">
        <v>5</v>
      </c>
      <c r="B1108" s="32">
        <f>IF(ISNUMBER(SEARCH('Φόρμα Εισαγωγής'!$B$2,C1108)),MAX($B$1:B1107)+1,0)</f>
        <v>1107</v>
      </c>
      <c r="C1108" s="7" t="s">
        <v>1054</v>
      </c>
      <c r="D1108" s="33">
        <f>IF(ISNUMBER(SEARCH('Φόρμα Εισαγωγής'!$C$2,E1108)),MAX($D$1:D1107)+1,0)</f>
        <v>1107</v>
      </c>
      <c r="E1108" s="17" t="s">
        <v>101</v>
      </c>
      <c r="F1108" s="5">
        <v>5.35</v>
      </c>
      <c r="G1108" s="5">
        <v>7.5</v>
      </c>
      <c r="H1108" s="6">
        <f t="shared" si="62"/>
        <v>9.3000000000000007</v>
      </c>
      <c r="I1108" s="6">
        <f t="shared" si="63"/>
        <v>26.75</v>
      </c>
      <c r="J1108" s="6">
        <f t="shared" si="64"/>
        <v>46.5</v>
      </c>
      <c r="L1108" s="4" t="str">
        <f>IFERROR(VLOOKUP(ROWS($L$2:L1108),$B$2:$C$1996,2,0),"")</f>
        <v>ΒΑΝΑ BUGATTI DF</v>
      </c>
      <c r="N1108" s="2" t="str">
        <f>IFERROR(VLOOKUP(ROWS($N$2:N1108),$D$2:$E$1996,2,0),"")</f>
        <v>Θ/Θ 1/2</v>
      </c>
    </row>
    <row r="1109" spans="1:14">
      <c r="A1109" s="5">
        <v>2</v>
      </c>
      <c r="B1109" s="32">
        <f>IF(ISNUMBER(SEARCH('Φόρμα Εισαγωγής'!$B$2,C1109)),MAX($B$1:B1108)+1,0)</f>
        <v>1108</v>
      </c>
      <c r="C1109" s="7" t="s">
        <v>1055</v>
      </c>
      <c r="D1109" s="33">
        <f>IF(ISNUMBER(SEARCH('Φόρμα Εισαγωγής'!$C$2,E1109)),MAX($D$1:D1108)+1,0)</f>
        <v>1108</v>
      </c>
      <c r="E1109" s="17" t="s">
        <v>315</v>
      </c>
      <c r="F1109" s="5">
        <v>7</v>
      </c>
      <c r="G1109" s="5">
        <v>9.8000000000000007</v>
      </c>
      <c r="H1109" s="6">
        <f t="shared" si="62"/>
        <v>12.152000000000001</v>
      </c>
      <c r="I1109" s="6">
        <f t="shared" si="63"/>
        <v>14</v>
      </c>
      <c r="J1109" s="6">
        <f t="shared" si="64"/>
        <v>24.304000000000002</v>
      </c>
      <c r="L1109" s="4" t="str">
        <f>IFERROR(VLOOKUP(ROWS($L$2:L1109),$B$2:$C$1996,2,0),"")</f>
        <v>ΣΩΛΗΝΑ VALSIR 3M</v>
      </c>
      <c r="N1109" s="2" t="str">
        <f>IFERROR(VLOOKUP(ROWS($N$2:N1109),$D$2:$E$1996,2,0),"")</f>
        <v>Φ110</v>
      </c>
    </row>
    <row r="1110" spans="1:14">
      <c r="A1110" s="5">
        <v>1</v>
      </c>
      <c r="B1110" s="32">
        <f>IF(ISNUMBER(SEARCH('Φόρμα Εισαγωγής'!$B$2,C1110)),MAX($B$1:B1109)+1,0)</f>
        <v>1109</v>
      </c>
      <c r="C1110" s="7" t="s">
        <v>1056</v>
      </c>
      <c r="D1110" s="33">
        <f>IF(ISNUMBER(SEARCH('Φόρμα Εισαγωγής'!$C$2,E1110)),MAX($D$1:D1109)+1,0)</f>
        <v>1109</v>
      </c>
      <c r="E1110" s="17" t="s">
        <v>1057</v>
      </c>
      <c r="F1110" s="5">
        <v>4.8499999999999996</v>
      </c>
      <c r="G1110" s="5">
        <v>6.8</v>
      </c>
      <c r="H1110" s="6">
        <f t="shared" si="62"/>
        <v>8.4320000000000004</v>
      </c>
      <c r="I1110" s="6">
        <f t="shared" si="63"/>
        <v>4.8499999999999996</v>
      </c>
      <c r="J1110" s="6">
        <f t="shared" si="64"/>
        <v>8.4320000000000004</v>
      </c>
      <c r="L1110" s="4" t="str">
        <f>IFERROR(VLOOKUP(ROWS($L$2:L1110),$B$2:$C$1996,2,0),"")</f>
        <v>ΘΕΡΜΟΣΤΑΤΗΣ ΛΕΒΗΤΑ ΑΠΟΣΤ.</v>
      </c>
      <c r="N1110" s="2" t="str">
        <f>IFERROR(VLOOKUP(ROWS($N$2:N1110),$D$2:$E$1996,2,0),"")</f>
        <v>0-90οC</v>
      </c>
    </row>
    <row r="1111" spans="1:14">
      <c r="A1111" s="5">
        <v>3</v>
      </c>
      <c r="B1111" s="32">
        <f>IF(ISNUMBER(SEARCH('Φόρμα Εισαγωγής'!$B$2,C1111)),MAX($B$1:B1110)+1,0)</f>
        <v>1110</v>
      </c>
      <c r="C1111" s="7" t="s">
        <v>1058</v>
      </c>
      <c r="D1111" s="33">
        <f>IF(ISNUMBER(SEARCH('Φόρμα Εισαγωγής'!$C$2,E1111)),MAX($D$1:D1110)+1,0)</f>
        <v>1110</v>
      </c>
      <c r="E1111" s="17" t="s">
        <v>33</v>
      </c>
      <c r="F1111" s="5">
        <v>3.65</v>
      </c>
      <c r="G1111" s="5">
        <v>5</v>
      </c>
      <c r="H1111" s="6">
        <f t="shared" si="62"/>
        <v>6.2</v>
      </c>
      <c r="I1111" s="6">
        <f t="shared" si="63"/>
        <v>10.95</v>
      </c>
      <c r="J1111" s="6">
        <f t="shared" si="64"/>
        <v>18.600000000000001</v>
      </c>
      <c r="L1111" s="4" t="str">
        <f>IFERROR(VLOOKUP(ROWS($L$2:L1111),$B$2:$C$1996,2,0),"")</f>
        <v>ΠΡΟΕΚΤΑΣΗ ΒΑΝΑΣ CIM</v>
      </c>
      <c r="N1111" s="2" t="str">
        <f>IFERROR(VLOOKUP(ROWS($N$2:N1111),$D$2:$E$1996,2,0),"")</f>
        <v>3/4</v>
      </c>
    </row>
    <row r="1112" spans="1:14">
      <c r="A1112" s="5">
        <v>1</v>
      </c>
      <c r="B1112" s="32">
        <f>IF(ISNUMBER(SEARCH('Φόρμα Εισαγωγής'!$B$2,C1112)),MAX($B$1:B1111)+1,0)</f>
        <v>1111</v>
      </c>
      <c r="C1112" s="7" t="s">
        <v>1059</v>
      </c>
      <c r="D1112" s="33">
        <f>IF(ISNUMBER(SEARCH('Φόρμα Εισαγωγής'!$C$2,E1112)),MAX($D$1:D1111)+1,0)</f>
        <v>1111</v>
      </c>
      <c r="E1112" s="17" t="s">
        <v>1060</v>
      </c>
      <c r="F1112" s="5">
        <v>4.75</v>
      </c>
      <c r="G1112" s="5">
        <v>6.8</v>
      </c>
      <c r="H1112" s="6">
        <f t="shared" si="62"/>
        <v>8.4320000000000004</v>
      </c>
      <c r="I1112" s="6">
        <f t="shared" si="63"/>
        <v>4.75</v>
      </c>
      <c r="J1112" s="6">
        <f t="shared" si="64"/>
        <v>8.4320000000000004</v>
      </c>
      <c r="L1112" s="4" t="str">
        <f>IFERROR(VLOOKUP(ROWS($L$2:L1112),$B$2:$C$1996,2,0),"")</f>
        <v>ΘΕΡΜΟΜΕΤΡΟ ΤΑΜΠΛΟ ΛΕΒΗΤΑ</v>
      </c>
      <c r="N1112" s="2" t="str">
        <f>IFERROR(VLOOKUP(ROWS($N$2:N1112),$D$2:$E$1996,2,0),"")</f>
        <v>Φ52</v>
      </c>
    </row>
    <row r="1113" spans="1:14">
      <c r="A1113" s="5">
        <v>3</v>
      </c>
      <c r="B1113" s="32">
        <f>IF(ISNUMBER(SEARCH('Φόρμα Εισαγωγής'!$B$2,C1113)),MAX($B$1:B1112)+1,0)</f>
        <v>1112</v>
      </c>
      <c r="C1113" s="7" t="s">
        <v>1061</v>
      </c>
      <c r="D1113" s="33">
        <f>IF(ISNUMBER(SEARCH('Φόρμα Εισαγωγής'!$C$2,E1113)),MAX($D$1:D1112)+1,0)</f>
        <v>1112</v>
      </c>
      <c r="E1113" s="17" t="s">
        <v>1062</v>
      </c>
      <c r="F1113" s="5">
        <v>13</v>
      </c>
      <c r="G1113" s="5">
        <v>18.5</v>
      </c>
      <c r="H1113" s="6">
        <f t="shared" si="62"/>
        <v>22.939999999999998</v>
      </c>
      <c r="I1113" s="6">
        <f t="shared" si="63"/>
        <v>39</v>
      </c>
      <c r="J1113" s="6">
        <f t="shared" si="64"/>
        <v>68.819999999999993</v>
      </c>
      <c r="L1113" s="4" t="str">
        <f>IFERROR(VLOOKUP(ROWS($L$2:L1113),$B$2:$C$1996,2,0),"")</f>
        <v>ΘΕΡΜΟΣΤΑΤΗΣ ΧΩΡΟΥ SIEMENS</v>
      </c>
      <c r="N1113" s="2" t="str">
        <f>IFERROR(VLOOKUP(ROWS($N$2:N1113),$D$2:$E$1996,2,0),"")</f>
        <v>ΜΟΝΗΣ ΕΠΑΦΗΣ</v>
      </c>
    </row>
    <row r="1114" spans="1:14">
      <c r="A1114" s="5">
        <v>1</v>
      </c>
      <c r="B1114" s="32">
        <f>IF(ISNUMBER(SEARCH('Φόρμα Εισαγωγής'!$B$2,C1114)),MAX($B$1:B1113)+1,0)</f>
        <v>1113</v>
      </c>
      <c r="C1114" s="7" t="s">
        <v>1061</v>
      </c>
      <c r="D1114" s="33">
        <f>IF(ISNUMBER(SEARCH('Φόρμα Εισαγωγής'!$C$2,E1114)),MAX($D$1:D1113)+1,0)</f>
        <v>1113</v>
      </c>
      <c r="E1114" s="17" t="s">
        <v>1063</v>
      </c>
      <c r="F1114" s="5">
        <v>16</v>
      </c>
      <c r="G1114" s="5">
        <v>22.5</v>
      </c>
      <c r="H1114" s="6">
        <f t="shared" si="62"/>
        <v>27.9</v>
      </c>
      <c r="I1114" s="6">
        <f t="shared" si="63"/>
        <v>16</v>
      </c>
      <c r="J1114" s="6">
        <f t="shared" si="64"/>
        <v>27.9</v>
      </c>
      <c r="L1114" s="4" t="str">
        <f>IFERROR(VLOOKUP(ROWS($L$2:L1114),$B$2:$C$1996,2,0),"")</f>
        <v>ΘΕΡΜΟΣΤΑΤΗΣ ΧΩΡΟΥ SIEMENS</v>
      </c>
      <c r="N1114" s="2" t="str">
        <f>IFERROR(VLOOKUP(ROWS($N$2:N1114),$D$2:$E$1996,2,0),"")</f>
        <v>ΔΙΠΛΗΣ ΕΠΑΦΗΣ</v>
      </c>
    </row>
    <row r="1115" spans="1:14">
      <c r="A1115" s="5">
        <v>0</v>
      </c>
      <c r="B1115" s="32">
        <f>IF(ISNUMBER(SEARCH('Φόρμα Εισαγωγής'!$B$2,C1115)),MAX($B$1:B1114)+1,0)</f>
        <v>1114</v>
      </c>
      <c r="C1115" s="7" t="s">
        <v>1061</v>
      </c>
      <c r="D1115" s="33">
        <f>IF(ISNUMBER(SEARCH('Φόρμα Εισαγωγής'!$C$2,E1115)),MAX($D$1:D1114)+1,0)</f>
        <v>1114</v>
      </c>
      <c r="E1115" s="17" t="s">
        <v>1064</v>
      </c>
      <c r="F1115" s="5">
        <v>30</v>
      </c>
      <c r="G1115" s="5">
        <v>42</v>
      </c>
      <c r="H1115" s="6">
        <f t="shared" si="62"/>
        <v>52.08</v>
      </c>
      <c r="I1115" s="6">
        <f t="shared" si="63"/>
        <v>0</v>
      </c>
      <c r="J1115" s="6">
        <f t="shared" si="64"/>
        <v>0</v>
      </c>
      <c r="L1115" s="4" t="str">
        <f>IFERROR(VLOOKUP(ROWS($L$2:L1115),$B$2:$C$1996,2,0),"")</f>
        <v>ΘΕΡΜΟΣΤΑΤΗΣ ΧΩΡΟΥ SIEMENS</v>
      </c>
      <c r="N1115" s="2" t="str">
        <f>IFERROR(VLOOKUP(ROWS($N$2:N1115),$D$2:$E$1996,2,0),"")</f>
        <v>ΗΛΕΚΤΡΟΝΙΚΟΣ</v>
      </c>
    </row>
    <row r="1116" spans="1:14">
      <c r="A1116" s="5">
        <v>0</v>
      </c>
      <c r="B1116" s="32">
        <f>IF(ISNUMBER(SEARCH('Φόρμα Εισαγωγής'!$B$2,C1116)),MAX($B$1:B1115)+1,0)</f>
        <v>1115</v>
      </c>
      <c r="C1116" s="7" t="s">
        <v>710</v>
      </c>
      <c r="D1116" s="33">
        <f>IF(ISNUMBER(SEARCH('Φόρμα Εισαγωγής'!$C$2,E1116)),MAX($D$1:D1115)+1,0)</f>
        <v>1115</v>
      </c>
      <c r="E1116" s="17" t="s">
        <v>67</v>
      </c>
      <c r="F1116" s="5">
        <v>1.1000000000000001</v>
      </c>
      <c r="G1116" s="5">
        <v>1.5</v>
      </c>
      <c r="H1116" s="6">
        <f t="shared" si="62"/>
        <v>1.8599999999999999</v>
      </c>
      <c r="I1116" s="6">
        <f t="shared" si="63"/>
        <v>0</v>
      </c>
      <c r="J1116" s="6">
        <f t="shared" si="64"/>
        <v>0</v>
      </c>
      <c r="L1116" s="4" t="str">
        <f>IFERROR(VLOOKUP(ROWS($L$2:L1116),$B$2:$C$1996,2,0),"")</f>
        <v>ΣΥΣΤΟΛΗ ΑΜΕΡΙΚΗΣ ΓΑΛ</v>
      </c>
      <c r="N1116" s="2" t="str">
        <f>IFERROR(VLOOKUP(ROWS($N$2:N1116),$D$2:$E$1996,2,0),"")</f>
        <v>1 1/2'' Χ 1 1/4''</v>
      </c>
    </row>
    <row r="1117" spans="1:14">
      <c r="A1117" s="5">
        <v>0</v>
      </c>
      <c r="B1117" s="32">
        <f>IF(ISNUMBER(SEARCH('Φόρμα Εισαγωγής'!$B$2,C1117)),MAX($B$1:B1116)+1,0)</f>
        <v>1116</v>
      </c>
      <c r="C1117" s="7" t="s">
        <v>708</v>
      </c>
      <c r="D1117" s="33">
        <f>IF(ISNUMBER(SEARCH('Φόρμα Εισαγωγής'!$C$2,E1117)),MAX($D$1:D1116)+1,0)</f>
        <v>1116</v>
      </c>
      <c r="E1117" s="17" t="s">
        <v>75</v>
      </c>
      <c r="F1117" s="5">
        <v>2.1</v>
      </c>
      <c r="G1117" s="5">
        <v>3</v>
      </c>
      <c r="H1117" s="6">
        <f t="shared" si="62"/>
        <v>3.7199999999999998</v>
      </c>
      <c r="I1117" s="6">
        <f t="shared" si="63"/>
        <v>0</v>
      </c>
      <c r="J1117" s="6">
        <f t="shared" si="64"/>
        <v>0</v>
      </c>
      <c r="L1117" s="4" t="str">
        <f>IFERROR(VLOOKUP(ROWS($L$2:L1117),$B$2:$C$1996,2,0),"")</f>
        <v>ΣΥΣΤΟΛΗ ΑΓΓΛΙΑΣ ΓΑΛ</v>
      </c>
      <c r="N1117" s="2" t="str">
        <f>IFERROR(VLOOKUP(ROWS($N$2:N1117),$D$2:$E$1996,2,0),"")</f>
        <v>1 1/2'' Χ 1''</v>
      </c>
    </row>
    <row r="1118" spans="1:14">
      <c r="A1118" s="5">
        <v>0</v>
      </c>
      <c r="B1118" s="32">
        <f>IF(ISNUMBER(SEARCH('Φόρμα Εισαγωγής'!$B$2,C1118)),MAX($B$1:B1117)+1,0)</f>
        <v>1117</v>
      </c>
      <c r="C1118" s="7" t="s">
        <v>1068</v>
      </c>
      <c r="D1118" s="33">
        <f>IF(ISNUMBER(SEARCH('Φόρμα Εισαγωγής'!$C$2,E1118)),MAX($D$1:D1117)+1,0)</f>
        <v>1117</v>
      </c>
      <c r="E1118" s="17" t="s">
        <v>1067</v>
      </c>
      <c r="F1118" s="5">
        <v>65.94</v>
      </c>
      <c r="G1118" s="5">
        <v>93</v>
      </c>
      <c r="H1118" s="6">
        <f t="shared" si="62"/>
        <v>115.32</v>
      </c>
      <c r="I1118" s="6">
        <f t="shared" si="63"/>
        <v>0</v>
      </c>
      <c r="J1118" s="6">
        <f t="shared" si="64"/>
        <v>0</v>
      </c>
      <c r="L1118" s="4" t="str">
        <f>IFERROR(VLOOKUP(ROWS($L$2:L1118),$B$2:$C$1996,2,0),"")</f>
        <v>ΒΑΝΑ ΤΡΙΩΔΗ ESBE 55o 1 1/2''</v>
      </c>
      <c r="N1118" s="2" t="str">
        <f>IFERROR(VLOOKUP(ROWS($N$2:N1118),$D$2:$E$1996,2,0),"")</f>
        <v>VTC512</v>
      </c>
    </row>
    <row r="1119" spans="1:14">
      <c r="A1119" s="5">
        <v>4</v>
      </c>
      <c r="B1119" s="32">
        <f>IF(ISNUMBER(SEARCH('Φόρμα Εισαγωγής'!$B$2,C1119)),MAX($B$1:B1118)+1,0)</f>
        <v>1118</v>
      </c>
      <c r="C1119" s="7" t="s">
        <v>1069</v>
      </c>
      <c r="D1119" s="33">
        <f>IF(ISNUMBER(SEARCH('Φόρμα Εισαγωγής'!$C$2,E1119)),MAX($D$1:D1118)+1,0)</f>
        <v>1118</v>
      </c>
      <c r="E1119" s="17" t="s">
        <v>41</v>
      </c>
      <c r="F1119" s="5">
        <v>7</v>
      </c>
      <c r="G1119" s="5">
        <v>9.8000000000000007</v>
      </c>
      <c r="H1119" s="6">
        <f t="shared" si="62"/>
        <v>12.152000000000001</v>
      </c>
      <c r="I1119" s="6">
        <f t="shared" si="63"/>
        <v>28</v>
      </c>
      <c r="J1119" s="6">
        <f t="shared" si="64"/>
        <v>48.608000000000004</v>
      </c>
      <c r="L1119" s="4" t="str">
        <f>IFERROR(VLOOKUP(ROWS($L$2:L1119),$B$2:$C$1996,2,0),"")</f>
        <v>ΡΑΚΟΡ ΣΥΣΦ ΣΙΔΕΡ</v>
      </c>
      <c r="N1119" s="2" t="str">
        <f>IFERROR(VLOOKUP(ROWS($N$2:N1119),$D$2:$E$1996,2,0),"")</f>
        <v>ΑΡΣ 1''</v>
      </c>
    </row>
    <row r="1120" spans="1:14">
      <c r="A1120" s="5">
        <v>2</v>
      </c>
      <c r="B1120" s="32">
        <f>IF(ISNUMBER(SEARCH('Φόρμα Εισαγωγής'!$B$2,C1120)),MAX($B$1:B1119)+1,0)</f>
        <v>1119</v>
      </c>
      <c r="C1120" s="7" t="s">
        <v>1070</v>
      </c>
      <c r="D1120" s="33">
        <f>IF(ISNUMBER(SEARCH('Φόρμα Εισαγωγής'!$C$2,E1120)),MAX($D$1:D1119)+1,0)</f>
        <v>1119</v>
      </c>
      <c r="E1120" s="17" t="s">
        <v>1071</v>
      </c>
      <c r="F1120" s="5">
        <v>2.5</v>
      </c>
      <c r="G1120" s="5">
        <v>3.5</v>
      </c>
      <c r="H1120" s="6">
        <f t="shared" si="62"/>
        <v>4.34</v>
      </c>
      <c r="I1120" s="6">
        <f t="shared" si="63"/>
        <v>5</v>
      </c>
      <c r="J1120" s="6">
        <f t="shared" si="64"/>
        <v>8.68</v>
      </c>
      <c r="L1120" s="4" t="str">
        <f>IFERROR(VLOOKUP(ROWS($L$2:L1120),$B$2:$C$1996,2,0),"")</f>
        <v>ΒΑΛΒΙΔΑ ΑΣΦΑΛΕΙΑΣ 4BAR</v>
      </c>
      <c r="N1120" s="2" t="str">
        <f>IFERROR(VLOOKUP(ROWS($N$2:N1120),$D$2:$E$1996,2,0),"")</f>
        <v>ΘΗΛ 1/2</v>
      </c>
    </row>
    <row r="1121" spans="1:14">
      <c r="A1121" s="5">
        <v>2</v>
      </c>
      <c r="B1121" s="32">
        <f>IF(ISNUMBER(SEARCH('Φόρμα Εισαγωγής'!$B$2,C1121)),MAX($B$1:B1120)+1,0)</f>
        <v>1120</v>
      </c>
      <c r="C1121" s="7" t="s">
        <v>1072</v>
      </c>
      <c r="D1121" s="33">
        <f>IF(ISNUMBER(SEARCH('Φόρμα Εισαγωγής'!$C$2,E1121)),MAX($D$1:D1120)+1,0)</f>
        <v>1120</v>
      </c>
      <c r="E1121" s="17" t="s">
        <v>570</v>
      </c>
      <c r="F1121" s="5">
        <v>5</v>
      </c>
      <c r="G1121" s="5">
        <v>7</v>
      </c>
      <c r="H1121" s="6">
        <f t="shared" si="62"/>
        <v>8.68</v>
      </c>
      <c r="I1121" s="6">
        <f t="shared" si="63"/>
        <v>10</v>
      </c>
      <c r="J1121" s="6">
        <f t="shared" si="64"/>
        <v>17.36</v>
      </c>
      <c r="L1121" s="4" t="str">
        <f>IFERROR(VLOOKUP(ROWS($L$2:L1121),$B$2:$C$1996,2,0),"")</f>
        <v>ΣΧΑΡΑ ΔΑΠΕΔΟΥ ΙΝΟΧ</v>
      </c>
      <c r="N1121" s="2" t="str">
        <f>IFERROR(VLOOKUP(ROWS($N$2:N1121),$D$2:$E$1996,2,0),"")</f>
        <v>12 Χ 12</v>
      </c>
    </row>
    <row r="1122" spans="1:14">
      <c r="A1122" s="5">
        <v>2</v>
      </c>
      <c r="B1122" s="32">
        <f>IF(ISNUMBER(SEARCH('Φόρμα Εισαγωγής'!$B$2,C1122)),MAX($B$1:B1121)+1,0)</f>
        <v>1121</v>
      </c>
      <c r="C1122" s="7" t="s">
        <v>1074</v>
      </c>
      <c r="D1122" s="33">
        <f>IF(ISNUMBER(SEARCH('Φόρμα Εισαγωγής'!$C$2,E1122)),MAX($D$1:D1121)+1,0)</f>
        <v>1121</v>
      </c>
      <c r="E1122" s="17" t="s">
        <v>1075</v>
      </c>
      <c r="F1122" s="5">
        <v>5.9</v>
      </c>
      <c r="G1122" s="5">
        <v>8.5</v>
      </c>
      <c r="H1122" s="6">
        <f t="shared" si="62"/>
        <v>10.54</v>
      </c>
      <c r="I1122" s="6">
        <f t="shared" si="63"/>
        <v>11.8</v>
      </c>
      <c r="J1122" s="6">
        <f t="shared" si="64"/>
        <v>21.08</v>
      </c>
      <c r="L1122" s="4" t="str">
        <f>IFERROR(VLOOKUP(ROWS($L$2:L1122),$B$2:$C$1996,2,0),"")</f>
        <v>ΜΗΧΑΝΙΣΜΟΣ ΚΑΖΑΝΑΚΙ SPEK</v>
      </c>
      <c r="N1122" s="2" t="str">
        <f>IFERROR(VLOOKUP(ROWS($N$2:N1122),$D$2:$E$1996,2,0),"")</f>
        <v>N1</v>
      </c>
    </row>
    <row r="1123" spans="1:14">
      <c r="A1123" s="5">
        <v>2</v>
      </c>
      <c r="B1123" s="32">
        <f>IF(ISNUMBER(SEARCH('Φόρμα Εισαγωγής'!$B$2,C1123)),MAX($B$1:B1122)+1,0)</f>
        <v>1122</v>
      </c>
      <c r="C1123" s="7" t="s">
        <v>986</v>
      </c>
      <c r="D1123" s="33">
        <f>IF(ISNUMBER(SEARCH('Φόρμα Εισαγωγής'!$C$2,E1123)),MAX($D$1:D1122)+1,0)</f>
        <v>1122</v>
      </c>
      <c r="E1123" s="17" t="s">
        <v>1076</v>
      </c>
      <c r="F1123" s="5">
        <v>1</v>
      </c>
      <c r="G1123" s="5">
        <v>1.4</v>
      </c>
      <c r="H1123" s="6">
        <f t="shared" si="62"/>
        <v>1.7359999999999998</v>
      </c>
      <c r="I1123" s="6">
        <f t="shared" si="63"/>
        <v>2</v>
      </c>
      <c r="J1123" s="6">
        <f t="shared" si="64"/>
        <v>3.4719999999999995</v>
      </c>
      <c r="L1123" s="4" t="str">
        <f>IFERROR(VLOOKUP(ROWS($L$2:L1123),$B$2:$C$1996,2,0),"")</f>
        <v>ΛΑΣΤΙΧΟ ΑΝΤΙΣΤΑΣΗΣ</v>
      </c>
      <c r="N1123" s="2" t="str">
        <f>IFERROR(VLOOKUP(ROWS($N$2:N1123),$D$2:$E$1996,2,0),"")</f>
        <v>5 ΤΡΥΠΕΣ</v>
      </c>
    </row>
    <row r="1124" spans="1:14">
      <c r="A1124" s="5">
        <v>1</v>
      </c>
      <c r="B1124" s="32">
        <f>IF(ISNUMBER(SEARCH('Φόρμα Εισαγωγής'!$B$2,C1124)),MAX($B$1:B1123)+1,0)</f>
        <v>1123</v>
      </c>
      <c r="C1124" s="7" t="s">
        <v>1077</v>
      </c>
      <c r="D1124" s="33">
        <f>IF(ISNUMBER(SEARCH('Φόρμα Εισαγωγής'!$C$2,E1124)),MAX($D$1:D1123)+1,0)</f>
        <v>1123</v>
      </c>
      <c r="E1124" s="17" t="s">
        <v>321</v>
      </c>
      <c r="F1124" s="5">
        <v>5.5</v>
      </c>
      <c r="G1124" s="5">
        <v>8</v>
      </c>
      <c r="H1124" s="6">
        <f t="shared" si="62"/>
        <v>9.92</v>
      </c>
      <c r="I1124" s="6">
        <f t="shared" si="63"/>
        <v>5.5</v>
      </c>
      <c r="J1124" s="6">
        <f t="shared" si="64"/>
        <v>9.92</v>
      </c>
      <c r="L1124" s="4" t="str">
        <f>IFERROR(VLOOKUP(ROWS($L$2:L1124),$B$2:$C$1996,2,0),"")</f>
        <v>ΡΟΥΞΟΥΝΙ ΠΑΓΚΟΥ REGINA</v>
      </c>
      <c r="N1124" s="2" t="str">
        <f>IFERROR(VLOOKUP(ROWS($N$2:N1124),$D$2:$E$1996,2,0),"")</f>
        <v>-</v>
      </c>
    </row>
    <row r="1125" spans="1:14">
      <c r="A1125" s="5">
        <v>2</v>
      </c>
      <c r="B1125" s="32">
        <f>IF(ISNUMBER(SEARCH('Φόρμα Εισαγωγής'!$B$2,C1125)),MAX($B$1:B1124)+1,0)</f>
        <v>1124</v>
      </c>
      <c r="C1125" s="7" t="s">
        <v>704</v>
      </c>
      <c r="D1125" s="33">
        <f>IF(ISNUMBER(SEARCH('Φόρμα Εισαγωγής'!$C$2,E1125)),MAX($D$1:D1124)+1,0)</f>
        <v>1124</v>
      </c>
      <c r="E1125" s="17" t="s">
        <v>32</v>
      </c>
      <c r="F1125" s="5">
        <v>5.65</v>
      </c>
      <c r="G1125" s="5">
        <v>8</v>
      </c>
      <c r="H1125" s="6">
        <f t="shared" si="62"/>
        <v>9.92</v>
      </c>
      <c r="I1125" s="6">
        <f t="shared" si="63"/>
        <v>11.3</v>
      </c>
      <c r="J1125" s="6">
        <f t="shared" si="64"/>
        <v>19.84</v>
      </c>
      <c r="L1125" s="4" t="str">
        <f>IFERROR(VLOOKUP(ROWS($L$2:L1125),$B$2:$C$1996,2,0),"")</f>
        <v>ΛΑΣΤΙΧΟ ΗΛΙΑΚΟΥ</v>
      </c>
      <c r="N1125" s="2" t="str">
        <f>IFERROR(VLOOKUP(ROWS($N$2:N1125),$D$2:$E$1996,2,0),"")</f>
        <v>1/2</v>
      </c>
    </row>
    <row r="1126" spans="1:14">
      <c r="A1126" s="5">
        <v>2</v>
      </c>
      <c r="B1126" s="32">
        <f>IF(ISNUMBER(SEARCH('Φόρμα Εισαγωγής'!$B$2,C1126)),MAX($B$1:B1125)+1,0)</f>
        <v>1125</v>
      </c>
      <c r="C1126" s="7" t="s">
        <v>704</v>
      </c>
      <c r="D1126" s="33">
        <f>IF(ISNUMBER(SEARCH('Φόρμα Εισαγωγής'!$C$2,E1126)),MAX($D$1:D1125)+1,0)</f>
        <v>1125</v>
      </c>
      <c r="E1126" s="17" t="s">
        <v>33</v>
      </c>
      <c r="F1126" s="5">
        <v>11</v>
      </c>
      <c r="G1126" s="5">
        <v>15</v>
      </c>
      <c r="H1126" s="6">
        <f t="shared" si="62"/>
        <v>18.600000000000001</v>
      </c>
      <c r="I1126" s="6">
        <f t="shared" si="63"/>
        <v>22</v>
      </c>
      <c r="J1126" s="6">
        <f t="shared" si="64"/>
        <v>37.200000000000003</v>
      </c>
      <c r="L1126" s="4" t="str">
        <f>IFERROR(VLOOKUP(ROWS($L$2:L1126),$B$2:$C$1996,2,0),"")</f>
        <v>ΛΑΣΤΙΧΟ ΗΛΙΑΚΟΥ</v>
      </c>
      <c r="N1126" s="2" t="str">
        <f>IFERROR(VLOOKUP(ROWS($N$2:N1126),$D$2:$E$1996,2,0),"")</f>
        <v>3/4</v>
      </c>
    </row>
    <row r="1127" spans="1:14">
      <c r="A1127" s="5">
        <v>2</v>
      </c>
      <c r="B1127" s="32">
        <f>IF(ISNUMBER(SEARCH('Φόρμα Εισαγωγής'!$B$2,C1127)),MAX($B$1:B1126)+1,0)</f>
        <v>1126</v>
      </c>
      <c r="C1127" s="7" t="s">
        <v>1080</v>
      </c>
      <c r="D1127" s="33">
        <f>IF(ISNUMBER(SEARCH('Φόρμα Εισαγωγής'!$C$2,E1127)),MAX($D$1:D1126)+1,0)</f>
        <v>1126</v>
      </c>
      <c r="E1127" s="17" t="s">
        <v>1081</v>
      </c>
      <c r="F1127" s="5">
        <v>22.75</v>
      </c>
      <c r="G1127" s="5">
        <v>32</v>
      </c>
      <c r="H1127" s="6">
        <f t="shared" si="62"/>
        <v>39.68</v>
      </c>
      <c r="I1127" s="6">
        <f t="shared" si="63"/>
        <v>45.5</v>
      </c>
      <c r="J1127" s="6">
        <f t="shared" si="64"/>
        <v>79.36</v>
      </c>
      <c r="L1127" s="4" t="str">
        <f>IFERROR(VLOOKUP(ROWS($L$2:L1127),$B$2:$C$1996,2,0),"")</f>
        <v>ΠΙΕΖΟΣΤΑΤΗΣ ΝΕΡΟΥ ΟΘΟΝΗΣ</v>
      </c>
      <c r="N1127" s="2" t="str">
        <f>IFERROR(VLOOKUP(ROWS($N$2:N1127),$D$2:$E$1996,2,0),"")</f>
        <v>HS210</v>
      </c>
    </row>
    <row r="1128" spans="1:14">
      <c r="A1128" s="5">
        <v>2</v>
      </c>
      <c r="B1128" s="32">
        <f>IF(ISNUMBER(SEARCH('Φόρμα Εισαγωγής'!$B$2,C1128)),MAX($B$1:B1127)+1,0)</f>
        <v>1127</v>
      </c>
      <c r="C1128" s="7" t="s">
        <v>1082</v>
      </c>
      <c r="D1128" s="33">
        <f>IF(ISNUMBER(SEARCH('Φόρμα Εισαγωγής'!$C$2,E1128)),MAX($D$1:D1127)+1,0)</f>
        <v>1127</v>
      </c>
      <c r="E1128" s="17" t="s">
        <v>321</v>
      </c>
      <c r="F1128" s="5">
        <v>17.350000000000001</v>
      </c>
      <c r="G1128" s="5">
        <v>25</v>
      </c>
      <c r="H1128" s="6">
        <f t="shared" si="62"/>
        <v>31</v>
      </c>
      <c r="I1128" s="6">
        <f t="shared" si="63"/>
        <v>34.700000000000003</v>
      </c>
      <c r="J1128" s="6">
        <f t="shared" si="64"/>
        <v>62</v>
      </c>
      <c r="L1128" s="4" t="str">
        <f>IFERROR(VLOOKUP(ROWS($L$2:L1128),$B$2:$C$1996,2,0),"")</f>
        <v>AQUA STOP</v>
      </c>
      <c r="N1128" s="2" t="str">
        <f>IFERROR(VLOOKUP(ROWS($N$2:N1128),$D$2:$E$1996,2,0),"")</f>
        <v>-</v>
      </c>
    </row>
    <row r="1129" spans="1:14">
      <c r="A1129" s="5">
        <v>2</v>
      </c>
      <c r="B1129" s="32">
        <f>IF(ISNUMBER(SEARCH('Φόρμα Εισαγωγής'!$B$2,C1129)),MAX($B$1:B1128)+1,0)</f>
        <v>1128</v>
      </c>
      <c r="C1129" s="7" t="s">
        <v>1083</v>
      </c>
      <c r="D1129" s="33">
        <f>IF(ISNUMBER(SEARCH('Φόρμα Εισαγωγής'!$C$2,E1129)),MAX($D$1:D1128)+1,0)</f>
        <v>1128</v>
      </c>
      <c r="E1129" s="17" t="s">
        <v>321</v>
      </c>
      <c r="F1129" s="5">
        <v>3.5</v>
      </c>
      <c r="G1129" s="5">
        <v>5</v>
      </c>
      <c r="H1129" s="6">
        <f t="shared" si="62"/>
        <v>6.2</v>
      </c>
      <c r="I1129" s="6">
        <f t="shared" si="63"/>
        <v>7</v>
      </c>
      <c r="J1129" s="6">
        <f t="shared" si="64"/>
        <v>12.4</v>
      </c>
      <c r="L1129" s="4" t="str">
        <f>IFERROR(VLOOKUP(ROWS($L$2:L1129),$B$2:$C$1996,2,0),"")</f>
        <v>ΣΥΣΤΟΛΗ ΠΙΕΖΟΣΤΑΤΗ ΚΟΝΙΚΗ</v>
      </c>
      <c r="N1129" s="2" t="str">
        <f>IFERROR(VLOOKUP(ROWS($N$2:N1129),$D$2:$E$1996,2,0),"")</f>
        <v>-</v>
      </c>
    </row>
    <row r="1130" spans="1:14">
      <c r="A1130" s="5">
        <v>2</v>
      </c>
      <c r="B1130" s="32">
        <f>IF(ISNUMBER(SEARCH('Φόρμα Εισαγωγής'!$B$2,C1130)),MAX($B$1:B1129)+1,0)</f>
        <v>1129</v>
      </c>
      <c r="C1130" s="7" t="s">
        <v>1084</v>
      </c>
      <c r="D1130" s="33">
        <f>IF(ISNUMBER(SEARCH('Φόρμα Εισαγωγής'!$C$2,E1130)),MAX($D$1:D1129)+1,0)</f>
        <v>1129</v>
      </c>
      <c r="E1130" s="17" t="s">
        <v>321</v>
      </c>
      <c r="F1130" s="5">
        <v>2.25</v>
      </c>
      <c r="G1130" s="5">
        <v>3.5</v>
      </c>
      <c r="H1130" s="6">
        <f t="shared" si="62"/>
        <v>4.34</v>
      </c>
      <c r="I1130" s="6">
        <f t="shared" si="63"/>
        <v>4.5</v>
      </c>
      <c r="J1130" s="6">
        <f t="shared" si="64"/>
        <v>8.68</v>
      </c>
      <c r="L1130" s="4" t="str">
        <f>IFERROR(VLOOKUP(ROWS($L$2:L1130),$B$2:$C$1996,2,0),"")</f>
        <v>ΣΥΣΤΟΛΗ ΠΙΕΖΟΣΤΑΤΗ ΙΣΙΑ</v>
      </c>
      <c r="N1130" s="2" t="str">
        <f>IFERROR(VLOOKUP(ROWS($N$2:N1130),$D$2:$E$1996,2,0),"")</f>
        <v>-</v>
      </c>
    </row>
    <row r="1131" spans="1:14">
      <c r="B1131" s="32">
        <f>IF(ISNUMBER(SEARCH('Φόρμα Εισαγωγής'!$B$2,C1131)),MAX($B$1:B1130)+1,0)</f>
        <v>0</v>
      </c>
      <c r="D1131" s="33">
        <f>IF(ISNUMBER(SEARCH('Φόρμα Εισαγωγής'!$C$2,E1131)),MAX($D$1:D1130)+1,0)</f>
        <v>0</v>
      </c>
      <c r="H1131" s="6">
        <f t="shared" si="62"/>
        <v>0</v>
      </c>
      <c r="I1131" s="6">
        <f t="shared" si="63"/>
        <v>0</v>
      </c>
      <c r="J1131" s="6">
        <f t="shared" si="64"/>
        <v>0</v>
      </c>
      <c r="L1131" s="4" t="str">
        <f>IFERROR(VLOOKUP(ROWS($L$2:L1131),$B$2:$C$1996,2,0),"")</f>
        <v/>
      </c>
      <c r="N1131" s="2" t="str">
        <f>IFERROR(VLOOKUP(ROWS($N$2:N1131),$D$2:$E$1996,2,0),"")</f>
        <v/>
      </c>
    </row>
    <row r="1132" spans="1:14">
      <c r="B1132" s="32">
        <f>IF(ISNUMBER(SEARCH('Φόρμα Εισαγωγής'!$B$2,C1132)),MAX($B$1:B1131)+1,0)</f>
        <v>0</v>
      </c>
      <c r="D1132" s="33">
        <f>IF(ISNUMBER(SEARCH('Φόρμα Εισαγωγής'!$C$2,E1132)),MAX($D$1:D1131)+1,0)</f>
        <v>0</v>
      </c>
      <c r="H1132" s="6">
        <f t="shared" si="62"/>
        <v>0</v>
      </c>
      <c r="I1132" s="6">
        <f t="shared" si="63"/>
        <v>0</v>
      </c>
      <c r="J1132" s="6">
        <f t="shared" si="64"/>
        <v>0</v>
      </c>
      <c r="L1132" s="4" t="str">
        <f>IFERROR(VLOOKUP(ROWS($L$2:L1132),$B$2:$C$1996,2,0),"")</f>
        <v/>
      </c>
      <c r="N1132" s="2" t="str">
        <f>IFERROR(VLOOKUP(ROWS($N$2:N1132),$D$2:$E$1996,2,0),"")</f>
        <v/>
      </c>
    </row>
    <row r="1133" spans="1:14">
      <c r="B1133" s="32">
        <f>IF(ISNUMBER(SEARCH('Φόρμα Εισαγωγής'!$B$2,C1133)),MAX($B$1:B1132)+1,0)</f>
        <v>0</v>
      </c>
      <c r="D1133" s="33">
        <f>IF(ISNUMBER(SEARCH('Φόρμα Εισαγωγής'!$C$2,E1133)),MAX($D$1:D1132)+1,0)</f>
        <v>0</v>
      </c>
      <c r="H1133" s="6">
        <f t="shared" si="62"/>
        <v>0</v>
      </c>
      <c r="I1133" s="6">
        <f t="shared" si="63"/>
        <v>0</v>
      </c>
      <c r="J1133" s="6">
        <f t="shared" si="64"/>
        <v>0</v>
      </c>
      <c r="L1133" s="4" t="str">
        <f>IFERROR(VLOOKUP(ROWS($L$2:L1133),$B$2:$C$1996,2,0),"")</f>
        <v/>
      </c>
      <c r="N1133" s="2" t="str">
        <f>IFERROR(VLOOKUP(ROWS($N$2:N1133),$D$2:$E$1996,2,0),"")</f>
        <v/>
      </c>
    </row>
    <row r="1134" spans="1:14">
      <c r="B1134" s="32">
        <f>IF(ISNUMBER(SEARCH('Φόρμα Εισαγωγής'!$B$2,C1134)),MAX($B$1:B1133)+1,0)</f>
        <v>0</v>
      </c>
      <c r="D1134" s="33">
        <f>IF(ISNUMBER(SEARCH('Φόρμα Εισαγωγής'!$C$2,E1134)),MAX($D$1:D1133)+1,0)</f>
        <v>0</v>
      </c>
      <c r="H1134" s="6">
        <f t="shared" si="62"/>
        <v>0</v>
      </c>
      <c r="I1134" s="6">
        <f t="shared" si="63"/>
        <v>0</v>
      </c>
      <c r="J1134" s="6">
        <f t="shared" si="64"/>
        <v>0</v>
      </c>
      <c r="L1134" s="4" t="str">
        <f>IFERROR(VLOOKUP(ROWS($L$2:L1134),$B$2:$C$1996,2,0),"")</f>
        <v/>
      </c>
      <c r="N1134" s="2" t="str">
        <f>IFERROR(VLOOKUP(ROWS($N$2:N1134),$D$2:$E$1996,2,0),"")</f>
        <v/>
      </c>
    </row>
    <row r="1135" spans="1:14">
      <c r="B1135" s="32">
        <f>IF(ISNUMBER(SEARCH('Φόρμα Εισαγωγής'!$B$2,C1135)),MAX($B$1:B1134)+1,0)</f>
        <v>0</v>
      </c>
      <c r="D1135" s="33">
        <f>IF(ISNUMBER(SEARCH('Φόρμα Εισαγωγής'!$C$2,E1135)),MAX($D$1:D1134)+1,0)</f>
        <v>0</v>
      </c>
      <c r="H1135" s="6">
        <f t="shared" si="62"/>
        <v>0</v>
      </c>
      <c r="I1135" s="6">
        <f t="shared" si="63"/>
        <v>0</v>
      </c>
      <c r="J1135" s="6">
        <f t="shared" si="64"/>
        <v>0</v>
      </c>
      <c r="L1135" s="4" t="str">
        <f>IFERROR(VLOOKUP(ROWS($L$2:L1135),$B$2:$C$1996,2,0),"")</f>
        <v/>
      </c>
      <c r="N1135" s="2" t="str">
        <f>IFERROR(VLOOKUP(ROWS($N$2:N1135),$D$2:$E$1996,2,0),"")</f>
        <v/>
      </c>
    </row>
    <row r="1136" spans="1:14">
      <c r="B1136" s="32">
        <f>IF(ISNUMBER(SEARCH('Φόρμα Εισαγωγής'!$B$2,C1136)),MAX($B$1:B1135)+1,0)</f>
        <v>0</v>
      </c>
      <c r="D1136" s="33">
        <f>IF(ISNUMBER(SEARCH('Φόρμα Εισαγωγής'!$C$2,E1136)),MAX($D$1:D1135)+1,0)</f>
        <v>0</v>
      </c>
      <c r="H1136" s="6">
        <f t="shared" si="62"/>
        <v>0</v>
      </c>
      <c r="I1136" s="6">
        <f t="shared" si="63"/>
        <v>0</v>
      </c>
      <c r="J1136" s="6">
        <f t="shared" si="64"/>
        <v>0</v>
      </c>
      <c r="L1136" s="4" t="str">
        <f>IFERROR(VLOOKUP(ROWS($L$2:L1136),$B$2:$C$1996,2,0),"")</f>
        <v/>
      </c>
      <c r="N1136" s="2" t="str">
        <f>IFERROR(VLOOKUP(ROWS($N$2:N1136),$D$2:$E$1996,2,0),"")</f>
        <v/>
      </c>
    </row>
    <row r="1137" spans="2:14">
      <c r="B1137" s="32">
        <f>IF(ISNUMBER(SEARCH('Φόρμα Εισαγωγής'!$B$2,C1137)),MAX($B$1:B1136)+1,0)</f>
        <v>0</v>
      </c>
      <c r="D1137" s="33">
        <f>IF(ISNUMBER(SEARCH('Φόρμα Εισαγωγής'!$C$2,E1137)),MAX($D$1:D1136)+1,0)</f>
        <v>0</v>
      </c>
      <c r="H1137" s="6">
        <f t="shared" si="62"/>
        <v>0</v>
      </c>
      <c r="I1137" s="6">
        <f t="shared" si="63"/>
        <v>0</v>
      </c>
      <c r="J1137" s="6">
        <f t="shared" si="64"/>
        <v>0</v>
      </c>
      <c r="L1137" s="4" t="str">
        <f>IFERROR(VLOOKUP(ROWS($L$2:L1137),$B$2:$C$1996,2,0),"")</f>
        <v/>
      </c>
      <c r="N1137" s="2" t="str">
        <f>IFERROR(VLOOKUP(ROWS($N$2:N1137),$D$2:$E$1996,2,0),"")</f>
        <v/>
      </c>
    </row>
    <row r="1138" spans="2:14">
      <c r="B1138" s="32">
        <f>IF(ISNUMBER(SEARCH('Φόρμα Εισαγωγής'!$B$2,C1138)),MAX($B$1:B1137)+1,0)</f>
        <v>0</v>
      </c>
      <c r="D1138" s="33">
        <f>IF(ISNUMBER(SEARCH('Φόρμα Εισαγωγής'!$C$2,E1138)),MAX($D$1:D1137)+1,0)</f>
        <v>0</v>
      </c>
      <c r="H1138" s="6">
        <f t="shared" si="62"/>
        <v>0</v>
      </c>
      <c r="I1138" s="6">
        <f t="shared" si="63"/>
        <v>0</v>
      </c>
      <c r="J1138" s="6">
        <f t="shared" si="64"/>
        <v>0</v>
      </c>
      <c r="L1138" s="4" t="str">
        <f>IFERROR(VLOOKUP(ROWS($L$2:L1138),$B$2:$C$1996,2,0),"")</f>
        <v/>
      </c>
      <c r="N1138" s="2" t="str">
        <f>IFERROR(VLOOKUP(ROWS($N$2:N1138),$D$2:$E$1996,2,0),"")</f>
        <v/>
      </c>
    </row>
    <row r="1139" spans="2:14">
      <c r="B1139" s="32">
        <f>IF(ISNUMBER(SEARCH('Φόρμα Εισαγωγής'!$B$2,C1139)),MAX($B$1:B1138)+1,0)</f>
        <v>0</v>
      </c>
      <c r="D1139" s="33">
        <f>IF(ISNUMBER(SEARCH('Φόρμα Εισαγωγής'!$C$2,E1139)),MAX($D$1:D1138)+1,0)</f>
        <v>0</v>
      </c>
      <c r="H1139" s="6">
        <f t="shared" si="62"/>
        <v>0</v>
      </c>
      <c r="I1139" s="6">
        <f t="shared" si="63"/>
        <v>0</v>
      </c>
      <c r="J1139" s="6">
        <f t="shared" si="64"/>
        <v>0</v>
      </c>
      <c r="L1139" s="4" t="str">
        <f>IFERROR(VLOOKUP(ROWS($L$2:L1139),$B$2:$C$1996,2,0),"")</f>
        <v/>
      </c>
      <c r="N1139" s="2" t="str">
        <f>IFERROR(VLOOKUP(ROWS($N$2:N1139),$D$2:$E$1996,2,0),"")</f>
        <v/>
      </c>
    </row>
    <row r="1140" spans="2:14">
      <c r="B1140" s="32">
        <f>IF(ISNUMBER(SEARCH('Φόρμα Εισαγωγής'!$B$2,C1140)),MAX($B$1:B1139)+1,0)</f>
        <v>0</v>
      </c>
      <c r="D1140" s="33">
        <f>IF(ISNUMBER(SEARCH('Φόρμα Εισαγωγής'!$C$2,E1140)),MAX($D$1:D1139)+1,0)</f>
        <v>0</v>
      </c>
      <c r="H1140" s="6">
        <f t="shared" si="62"/>
        <v>0</v>
      </c>
      <c r="I1140" s="6">
        <f t="shared" si="63"/>
        <v>0</v>
      </c>
      <c r="J1140" s="6">
        <f t="shared" si="64"/>
        <v>0</v>
      </c>
      <c r="L1140" s="4" t="str">
        <f>IFERROR(VLOOKUP(ROWS($L$2:L1140),$B$2:$C$1996,2,0),"")</f>
        <v/>
      </c>
      <c r="N1140" s="2" t="str">
        <f>IFERROR(VLOOKUP(ROWS($N$2:N1140),$D$2:$E$1996,2,0),"")</f>
        <v/>
      </c>
    </row>
    <row r="1141" spans="2:14">
      <c r="B1141" s="32">
        <f>IF(ISNUMBER(SEARCH('Φόρμα Εισαγωγής'!$B$2,C1141)),MAX($B$1:B1140)+1,0)</f>
        <v>0</v>
      </c>
      <c r="D1141" s="33">
        <f>IF(ISNUMBER(SEARCH('Φόρμα Εισαγωγής'!$C$2,E1141)),MAX($D$1:D1140)+1,0)</f>
        <v>0</v>
      </c>
      <c r="H1141" s="6">
        <f t="shared" si="62"/>
        <v>0</v>
      </c>
      <c r="I1141" s="6">
        <f t="shared" si="63"/>
        <v>0</v>
      </c>
      <c r="J1141" s="6">
        <f t="shared" si="64"/>
        <v>0</v>
      </c>
      <c r="L1141" s="4" t="str">
        <f>IFERROR(VLOOKUP(ROWS($L$2:L1141),$B$2:$C$1996,2,0),"")</f>
        <v/>
      </c>
      <c r="N1141" s="2" t="str">
        <f>IFERROR(VLOOKUP(ROWS($N$2:N1141),$D$2:$E$1996,2,0),"")</f>
        <v/>
      </c>
    </row>
    <row r="1142" spans="2:14">
      <c r="B1142" s="32">
        <f>IF(ISNUMBER(SEARCH('Φόρμα Εισαγωγής'!$B$2,C1142)),MAX($B$1:B1141)+1,0)</f>
        <v>0</v>
      </c>
      <c r="D1142" s="33">
        <f>IF(ISNUMBER(SEARCH('Φόρμα Εισαγωγής'!$C$2,E1142)),MAX($D$1:D1141)+1,0)</f>
        <v>0</v>
      </c>
      <c r="H1142" s="6">
        <f t="shared" si="62"/>
        <v>0</v>
      </c>
      <c r="I1142" s="6">
        <f t="shared" si="63"/>
        <v>0</v>
      </c>
      <c r="J1142" s="6">
        <f t="shared" si="64"/>
        <v>0</v>
      </c>
      <c r="L1142" s="4" t="str">
        <f>IFERROR(VLOOKUP(ROWS($L$2:L1142),$B$2:$C$1996,2,0),"")</f>
        <v/>
      </c>
      <c r="N1142" s="2" t="str">
        <f>IFERROR(VLOOKUP(ROWS($N$2:N1142),$D$2:$E$1996,2,0),"")</f>
        <v/>
      </c>
    </row>
    <row r="1143" spans="2:14">
      <c r="B1143" s="32">
        <f>IF(ISNUMBER(SEARCH('Φόρμα Εισαγωγής'!$B$2,C1143)),MAX($B$1:B1142)+1,0)</f>
        <v>0</v>
      </c>
      <c r="D1143" s="33">
        <f>IF(ISNUMBER(SEARCH('Φόρμα Εισαγωγής'!$C$2,E1143)),MAX($D$1:D1142)+1,0)</f>
        <v>0</v>
      </c>
      <c r="H1143" s="6">
        <f t="shared" si="62"/>
        <v>0</v>
      </c>
      <c r="I1143" s="6">
        <f t="shared" si="63"/>
        <v>0</v>
      </c>
      <c r="J1143" s="6">
        <f t="shared" si="64"/>
        <v>0</v>
      </c>
      <c r="L1143" s="4" t="str">
        <f>IFERROR(VLOOKUP(ROWS($L$2:L1143),$B$2:$C$1996,2,0),"")</f>
        <v/>
      </c>
      <c r="N1143" s="2" t="str">
        <f>IFERROR(VLOOKUP(ROWS($N$2:N1143),$D$2:$E$1996,2,0),"")</f>
        <v/>
      </c>
    </row>
    <row r="1144" spans="2:14">
      <c r="B1144" s="32">
        <f>IF(ISNUMBER(SEARCH('Φόρμα Εισαγωγής'!$B$2,C1144)),MAX($B$1:B1143)+1,0)</f>
        <v>0</v>
      </c>
      <c r="D1144" s="33">
        <f>IF(ISNUMBER(SEARCH('Φόρμα Εισαγωγής'!$C$2,E1144)),MAX($D$1:D1143)+1,0)</f>
        <v>0</v>
      </c>
      <c r="H1144" s="6">
        <f t="shared" si="62"/>
        <v>0</v>
      </c>
      <c r="I1144" s="6">
        <f t="shared" si="63"/>
        <v>0</v>
      </c>
      <c r="J1144" s="6">
        <f t="shared" si="64"/>
        <v>0</v>
      </c>
      <c r="L1144" s="4" t="str">
        <f>IFERROR(VLOOKUP(ROWS($L$2:L1144),$B$2:$C$1996,2,0),"")</f>
        <v/>
      </c>
      <c r="N1144" s="2" t="str">
        <f>IFERROR(VLOOKUP(ROWS($N$2:N1144),$D$2:$E$1996,2,0),"")</f>
        <v/>
      </c>
    </row>
    <row r="1145" spans="2:14">
      <c r="B1145" s="32">
        <f>IF(ISNUMBER(SEARCH('Φόρμα Εισαγωγής'!$B$2,C1145)),MAX($B$1:B1144)+1,0)</f>
        <v>0</v>
      </c>
      <c r="D1145" s="33">
        <f>IF(ISNUMBER(SEARCH('Φόρμα Εισαγωγής'!$C$2,E1145)),MAX($D$1:D1144)+1,0)</f>
        <v>0</v>
      </c>
      <c r="H1145" s="6">
        <f t="shared" si="62"/>
        <v>0</v>
      </c>
      <c r="I1145" s="6">
        <f t="shared" si="63"/>
        <v>0</v>
      </c>
      <c r="J1145" s="6">
        <f t="shared" si="64"/>
        <v>0</v>
      </c>
      <c r="L1145" s="4" t="str">
        <f>IFERROR(VLOOKUP(ROWS($L$2:L1145),$B$2:$C$1996,2,0),"")</f>
        <v/>
      </c>
      <c r="N1145" s="2" t="str">
        <f>IFERROR(VLOOKUP(ROWS($N$2:N1145),$D$2:$E$1996,2,0),"")</f>
        <v/>
      </c>
    </row>
    <row r="1146" spans="2:14">
      <c r="B1146" s="32">
        <f>IF(ISNUMBER(SEARCH('Φόρμα Εισαγωγής'!$B$2,C1146)),MAX($B$1:B1145)+1,0)</f>
        <v>0</v>
      </c>
      <c r="D1146" s="33">
        <f>IF(ISNUMBER(SEARCH('Φόρμα Εισαγωγής'!$C$2,E1146)),MAX($D$1:D1145)+1,0)</f>
        <v>0</v>
      </c>
      <c r="H1146" s="6">
        <f t="shared" si="62"/>
        <v>0</v>
      </c>
      <c r="I1146" s="6">
        <f t="shared" si="63"/>
        <v>0</v>
      </c>
      <c r="J1146" s="6">
        <f t="shared" si="64"/>
        <v>0</v>
      </c>
      <c r="L1146" s="4" t="str">
        <f>IFERROR(VLOOKUP(ROWS($L$2:L1146),$B$2:$C$1996,2,0),"")</f>
        <v/>
      </c>
      <c r="N1146" s="2" t="str">
        <f>IFERROR(VLOOKUP(ROWS($N$2:N1146),$D$2:$E$1996,2,0),"")</f>
        <v/>
      </c>
    </row>
    <row r="1147" spans="2:14">
      <c r="B1147" s="32">
        <f>IF(ISNUMBER(SEARCH('Φόρμα Εισαγωγής'!$B$2,C1147)),MAX($B$1:B1146)+1,0)</f>
        <v>0</v>
      </c>
      <c r="D1147" s="33">
        <f>IF(ISNUMBER(SEARCH('Φόρμα Εισαγωγής'!$C$2,E1147)),MAX($D$1:D1146)+1,0)</f>
        <v>0</v>
      </c>
      <c r="H1147" s="6">
        <f t="shared" si="62"/>
        <v>0</v>
      </c>
      <c r="I1147" s="6">
        <f t="shared" si="63"/>
        <v>0</v>
      </c>
      <c r="J1147" s="6">
        <f t="shared" si="64"/>
        <v>0</v>
      </c>
      <c r="L1147" s="4" t="str">
        <f>IFERROR(VLOOKUP(ROWS($L$2:L1147),$B$2:$C$1996,2,0),"")</f>
        <v/>
      </c>
      <c r="N1147" s="2" t="str">
        <f>IFERROR(VLOOKUP(ROWS($N$2:N1147),$D$2:$E$1996,2,0),"")</f>
        <v/>
      </c>
    </row>
    <row r="1148" spans="2:14">
      <c r="B1148" s="32">
        <f>IF(ISNUMBER(SEARCH('Φόρμα Εισαγωγής'!$B$2,C1148)),MAX($B$1:B1147)+1,0)</f>
        <v>0</v>
      </c>
      <c r="D1148" s="33">
        <f>IF(ISNUMBER(SEARCH('Φόρμα Εισαγωγής'!$C$2,E1148)),MAX($D$1:D1147)+1,0)</f>
        <v>0</v>
      </c>
      <c r="H1148" s="6">
        <f t="shared" si="62"/>
        <v>0</v>
      </c>
      <c r="I1148" s="6">
        <f t="shared" si="63"/>
        <v>0</v>
      </c>
      <c r="J1148" s="6">
        <f t="shared" si="64"/>
        <v>0</v>
      </c>
      <c r="L1148" s="4" t="str">
        <f>IFERROR(VLOOKUP(ROWS($L$2:L1148),$B$2:$C$1996,2,0),"")</f>
        <v/>
      </c>
      <c r="N1148" s="2" t="str">
        <f>IFERROR(VLOOKUP(ROWS($N$2:N1148),$D$2:$E$1996,2,0),"")</f>
        <v/>
      </c>
    </row>
    <row r="1149" spans="2:14">
      <c r="B1149" s="32">
        <f>IF(ISNUMBER(SEARCH('Φόρμα Εισαγωγής'!$B$2,C1149)),MAX($B$1:B1148)+1,0)</f>
        <v>0</v>
      </c>
      <c r="D1149" s="33">
        <f>IF(ISNUMBER(SEARCH('Φόρμα Εισαγωγής'!$C$2,E1149)),MAX($D$1:D1148)+1,0)</f>
        <v>0</v>
      </c>
      <c r="H1149" s="6">
        <f t="shared" si="62"/>
        <v>0</v>
      </c>
      <c r="I1149" s="6">
        <f t="shared" si="63"/>
        <v>0</v>
      </c>
      <c r="J1149" s="6">
        <f t="shared" si="64"/>
        <v>0</v>
      </c>
      <c r="L1149" s="4" t="str">
        <f>IFERROR(VLOOKUP(ROWS($L$2:L1149),$B$2:$C$1996,2,0),"")</f>
        <v/>
      </c>
      <c r="N1149" s="2" t="str">
        <f>IFERROR(VLOOKUP(ROWS($N$2:N1149),$D$2:$E$1996,2,0),"")</f>
        <v/>
      </c>
    </row>
    <row r="1150" spans="2:14">
      <c r="B1150" s="32">
        <f>IF(ISNUMBER(SEARCH('Φόρμα Εισαγωγής'!$B$2,C1150)),MAX($B$1:B1149)+1,0)</f>
        <v>0</v>
      </c>
      <c r="D1150" s="33">
        <f>IF(ISNUMBER(SEARCH('Φόρμα Εισαγωγής'!$C$2,E1150)),MAX($D$1:D1149)+1,0)</f>
        <v>0</v>
      </c>
      <c r="H1150" s="6">
        <f t="shared" si="62"/>
        <v>0</v>
      </c>
      <c r="I1150" s="6">
        <f t="shared" si="63"/>
        <v>0</v>
      </c>
      <c r="J1150" s="6">
        <f t="shared" si="64"/>
        <v>0</v>
      </c>
      <c r="L1150" s="4" t="str">
        <f>IFERROR(VLOOKUP(ROWS($L$2:L1150),$B$2:$C$1996,2,0),"")</f>
        <v/>
      </c>
      <c r="N1150" s="2" t="str">
        <f>IFERROR(VLOOKUP(ROWS($N$2:N1150),$D$2:$E$1996,2,0),"")</f>
        <v/>
      </c>
    </row>
    <row r="1151" spans="2:14">
      <c r="B1151" s="32">
        <f>IF(ISNUMBER(SEARCH('Φόρμα Εισαγωγής'!$B$2,C1151)),MAX($B$1:B1150)+1,0)</f>
        <v>0</v>
      </c>
      <c r="D1151" s="33">
        <f>IF(ISNUMBER(SEARCH('Φόρμα Εισαγωγής'!$C$2,E1151)),MAX($D$1:D1150)+1,0)</f>
        <v>0</v>
      </c>
      <c r="H1151" s="6">
        <f t="shared" si="62"/>
        <v>0</v>
      </c>
      <c r="I1151" s="6">
        <f t="shared" si="63"/>
        <v>0</v>
      </c>
      <c r="J1151" s="6">
        <f t="shared" si="64"/>
        <v>0</v>
      </c>
      <c r="L1151" s="4" t="str">
        <f>IFERROR(VLOOKUP(ROWS($L$2:L1151),$B$2:$C$1996,2,0),"")</f>
        <v/>
      </c>
      <c r="N1151" s="2" t="str">
        <f>IFERROR(VLOOKUP(ROWS($N$2:N1151),$D$2:$E$1996,2,0),"")</f>
        <v/>
      </c>
    </row>
    <row r="1152" spans="2:14">
      <c r="B1152" s="32">
        <f>IF(ISNUMBER(SEARCH('Φόρμα Εισαγωγής'!$B$2,C1152)),MAX($B$1:B1151)+1,0)</f>
        <v>0</v>
      </c>
      <c r="D1152" s="33">
        <f>IF(ISNUMBER(SEARCH('Φόρμα Εισαγωγής'!$C$2,E1152)),MAX($D$1:D1151)+1,0)</f>
        <v>0</v>
      </c>
      <c r="H1152" s="6">
        <f t="shared" ref="H1152:H1215" si="65">G1152+(G1152*0.24)</f>
        <v>0</v>
      </c>
      <c r="I1152" s="6">
        <f t="shared" ref="I1152:I1215" si="66">F1152*A1152</f>
        <v>0</v>
      </c>
      <c r="J1152" s="6">
        <f t="shared" ref="J1152:J1215" si="67">H1152*A1152</f>
        <v>0</v>
      </c>
      <c r="L1152" s="4" t="str">
        <f>IFERROR(VLOOKUP(ROWS($L$2:L1152),$B$2:$C$1996,2,0),"")</f>
        <v/>
      </c>
      <c r="N1152" s="2" t="str">
        <f>IFERROR(VLOOKUP(ROWS($N$2:N1152),$D$2:$E$1996,2,0),"")</f>
        <v/>
      </c>
    </row>
    <row r="1153" spans="2:14">
      <c r="B1153" s="32">
        <f>IF(ISNUMBER(SEARCH('Φόρμα Εισαγωγής'!$B$2,C1153)),MAX($B$1:B1152)+1,0)</f>
        <v>0</v>
      </c>
      <c r="D1153" s="33">
        <f>IF(ISNUMBER(SEARCH('Φόρμα Εισαγωγής'!$C$2,E1153)),MAX($D$1:D1152)+1,0)</f>
        <v>0</v>
      </c>
      <c r="H1153" s="6">
        <f t="shared" si="65"/>
        <v>0</v>
      </c>
      <c r="I1153" s="6">
        <f t="shared" si="66"/>
        <v>0</v>
      </c>
      <c r="J1153" s="6">
        <f t="shared" si="67"/>
        <v>0</v>
      </c>
      <c r="L1153" s="4" t="str">
        <f>IFERROR(VLOOKUP(ROWS($L$2:L1153),$B$2:$C$1996,2,0),"")</f>
        <v/>
      </c>
      <c r="N1153" s="2" t="str">
        <f>IFERROR(VLOOKUP(ROWS($N$2:N1153),$D$2:$E$1996,2,0),"")</f>
        <v/>
      </c>
    </row>
    <row r="1154" spans="2:14">
      <c r="B1154" s="32">
        <f>IF(ISNUMBER(SEARCH('Φόρμα Εισαγωγής'!$B$2,C1154)),MAX($B$1:B1153)+1,0)</f>
        <v>0</v>
      </c>
      <c r="D1154" s="33">
        <f>IF(ISNUMBER(SEARCH('Φόρμα Εισαγωγής'!$C$2,E1154)),MAX($D$1:D1153)+1,0)</f>
        <v>0</v>
      </c>
      <c r="H1154" s="6">
        <f t="shared" si="65"/>
        <v>0</v>
      </c>
      <c r="I1154" s="6">
        <f t="shared" si="66"/>
        <v>0</v>
      </c>
      <c r="J1154" s="6">
        <f t="shared" si="67"/>
        <v>0</v>
      </c>
      <c r="L1154" s="4" t="str">
        <f>IFERROR(VLOOKUP(ROWS($L$2:L1154),$B$2:$C$1996,2,0),"")</f>
        <v/>
      </c>
      <c r="N1154" s="2" t="str">
        <f>IFERROR(VLOOKUP(ROWS($N$2:N1154),$D$2:$E$1996,2,0),"")</f>
        <v/>
      </c>
    </row>
    <row r="1155" spans="2:14">
      <c r="B1155" s="32">
        <f>IF(ISNUMBER(SEARCH('Φόρμα Εισαγωγής'!$B$2,C1155)),MAX($B$1:B1154)+1,0)</f>
        <v>0</v>
      </c>
      <c r="D1155" s="33">
        <f>IF(ISNUMBER(SEARCH('Φόρμα Εισαγωγής'!$C$2,E1155)),MAX($D$1:D1154)+1,0)</f>
        <v>0</v>
      </c>
      <c r="H1155" s="6">
        <f t="shared" si="65"/>
        <v>0</v>
      </c>
      <c r="I1155" s="6">
        <f t="shared" si="66"/>
        <v>0</v>
      </c>
      <c r="J1155" s="6">
        <f t="shared" si="67"/>
        <v>0</v>
      </c>
      <c r="L1155" s="4" t="str">
        <f>IFERROR(VLOOKUP(ROWS($L$2:L1155),$B$2:$C$1996,2,0),"")</f>
        <v/>
      </c>
      <c r="N1155" s="2" t="str">
        <f>IFERROR(VLOOKUP(ROWS($N$2:N1155),$D$2:$E$1996,2,0),"")</f>
        <v/>
      </c>
    </row>
    <row r="1156" spans="2:14">
      <c r="B1156" s="32">
        <f>IF(ISNUMBER(SEARCH('Φόρμα Εισαγωγής'!$B$2,C1156)),MAX($B$1:B1155)+1,0)</f>
        <v>0</v>
      </c>
      <c r="D1156" s="33">
        <f>IF(ISNUMBER(SEARCH('Φόρμα Εισαγωγής'!$C$2,E1156)),MAX($D$1:D1155)+1,0)</f>
        <v>0</v>
      </c>
      <c r="H1156" s="6">
        <f t="shared" si="65"/>
        <v>0</v>
      </c>
      <c r="I1156" s="6">
        <f t="shared" si="66"/>
        <v>0</v>
      </c>
      <c r="J1156" s="6">
        <f t="shared" si="67"/>
        <v>0</v>
      </c>
      <c r="L1156" s="4" t="str">
        <f>IFERROR(VLOOKUP(ROWS($L$2:L1156),$B$2:$C$1996,2,0),"")</f>
        <v/>
      </c>
      <c r="N1156" s="2" t="str">
        <f>IFERROR(VLOOKUP(ROWS($N$2:N1156),$D$2:$E$1996,2,0),"")</f>
        <v/>
      </c>
    </row>
    <row r="1157" spans="2:14">
      <c r="B1157" s="32">
        <f>IF(ISNUMBER(SEARCH('Φόρμα Εισαγωγής'!$B$2,C1157)),MAX($B$1:B1156)+1,0)</f>
        <v>0</v>
      </c>
      <c r="D1157" s="33">
        <f>IF(ISNUMBER(SEARCH('Φόρμα Εισαγωγής'!$C$2,E1157)),MAX($D$1:D1156)+1,0)</f>
        <v>0</v>
      </c>
      <c r="H1157" s="6">
        <f t="shared" si="65"/>
        <v>0</v>
      </c>
      <c r="I1157" s="6">
        <f t="shared" si="66"/>
        <v>0</v>
      </c>
      <c r="J1157" s="6">
        <f t="shared" si="67"/>
        <v>0</v>
      </c>
      <c r="L1157" s="4" t="str">
        <f>IFERROR(VLOOKUP(ROWS($L$2:L1157),$B$2:$C$1996,2,0),"")</f>
        <v/>
      </c>
      <c r="N1157" s="2" t="str">
        <f>IFERROR(VLOOKUP(ROWS($N$2:N1157),$D$2:$E$1996,2,0),"")</f>
        <v/>
      </c>
    </row>
    <row r="1158" spans="2:14">
      <c r="B1158" s="32">
        <f>IF(ISNUMBER(SEARCH('Φόρμα Εισαγωγής'!$B$2,C1158)),MAX($B$1:B1157)+1,0)</f>
        <v>0</v>
      </c>
      <c r="D1158" s="33">
        <f>IF(ISNUMBER(SEARCH('Φόρμα Εισαγωγής'!$C$2,E1158)),MAX($D$1:D1157)+1,0)</f>
        <v>0</v>
      </c>
      <c r="H1158" s="6">
        <f t="shared" si="65"/>
        <v>0</v>
      </c>
      <c r="I1158" s="6">
        <f t="shared" si="66"/>
        <v>0</v>
      </c>
      <c r="J1158" s="6">
        <f t="shared" si="67"/>
        <v>0</v>
      </c>
      <c r="L1158" s="4" t="str">
        <f>IFERROR(VLOOKUP(ROWS($L$2:L1158),$B$2:$C$1996,2,0),"")</f>
        <v/>
      </c>
      <c r="N1158" s="2" t="str">
        <f>IFERROR(VLOOKUP(ROWS($N$2:N1158),$D$2:$E$1996,2,0),"")</f>
        <v/>
      </c>
    </row>
    <row r="1159" spans="2:14">
      <c r="B1159" s="32">
        <f>IF(ISNUMBER(SEARCH('Φόρμα Εισαγωγής'!$B$2,C1159)),MAX($B$1:B1158)+1,0)</f>
        <v>0</v>
      </c>
      <c r="D1159" s="33">
        <f>IF(ISNUMBER(SEARCH('Φόρμα Εισαγωγής'!$C$2,E1159)),MAX($D$1:D1158)+1,0)</f>
        <v>0</v>
      </c>
      <c r="H1159" s="6">
        <f t="shared" si="65"/>
        <v>0</v>
      </c>
      <c r="I1159" s="6">
        <f t="shared" si="66"/>
        <v>0</v>
      </c>
      <c r="J1159" s="6">
        <f t="shared" si="67"/>
        <v>0</v>
      </c>
      <c r="L1159" s="4" t="str">
        <f>IFERROR(VLOOKUP(ROWS($L$2:L1159),$B$2:$C$1996,2,0),"")</f>
        <v/>
      </c>
      <c r="N1159" s="2" t="str">
        <f>IFERROR(VLOOKUP(ROWS($N$2:N1159),$D$2:$E$1996,2,0),"")</f>
        <v/>
      </c>
    </row>
    <row r="1160" spans="2:14">
      <c r="B1160" s="32">
        <f>IF(ISNUMBER(SEARCH('Φόρμα Εισαγωγής'!$B$2,C1160)),MAX($B$1:B1159)+1,0)</f>
        <v>0</v>
      </c>
      <c r="D1160" s="33">
        <f>IF(ISNUMBER(SEARCH('Φόρμα Εισαγωγής'!$C$2,E1160)),MAX($D$1:D1159)+1,0)</f>
        <v>0</v>
      </c>
      <c r="H1160" s="6">
        <f t="shared" si="65"/>
        <v>0</v>
      </c>
      <c r="I1160" s="6">
        <f t="shared" si="66"/>
        <v>0</v>
      </c>
      <c r="J1160" s="6">
        <f t="shared" si="67"/>
        <v>0</v>
      </c>
      <c r="L1160" s="4" t="str">
        <f>IFERROR(VLOOKUP(ROWS($L$2:L1160),$B$2:$C$1996,2,0),"")</f>
        <v/>
      </c>
      <c r="N1160" s="2" t="str">
        <f>IFERROR(VLOOKUP(ROWS($N$2:N1160),$D$2:$E$1996,2,0),"")</f>
        <v/>
      </c>
    </row>
    <row r="1161" spans="2:14">
      <c r="B1161" s="32">
        <f>IF(ISNUMBER(SEARCH('Φόρμα Εισαγωγής'!$B$2,C1161)),MAX($B$1:B1160)+1,0)</f>
        <v>0</v>
      </c>
      <c r="D1161" s="33">
        <f>IF(ISNUMBER(SEARCH('Φόρμα Εισαγωγής'!$C$2,E1161)),MAX($D$1:D1160)+1,0)</f>
        <v>0</v>
      </c>
      <c r="H1161" s="6">
        <f t="shared" si="65"/>
        <v>0</v>
      </c>
      <c r="I1161" s="6">
        <f t="shared" si="66"/>
        <v>0</v>
      </c>
      <c r="J1161" s="6">
        <f t="shared" si="67"/>
        <v>0</v>
      </c>
      <c r="L1161" s="4" t="str">
        <f>IFERROR(VLOOKUP(ROWS($L$2:L1161),$B$2:$C$1996,2,0),"")</f>
        <v/>
      </c>
      <c r="N1161" s="2" t="str">
        <f>IFERROR(VLOOKUP(ROWS($N$2:N1161),$D$2:$E$1996,2,0),"")</f>
        <v/>
      </c>
    </row>
    <row r="1162" spans="2:14">
      <c r="B1162" s="32">
        <f>IF(ISNUMBER(SEARCH('Φόρμα Εισαγωγής'!$B$2,C1162)),MAX($B$1:B1161)+1,0)</f>
        <v>0</v>
      </c>
      <c r="D1162" s="33">
        <f>IF(ISNUMBER(SEARCH('Φόρμα Εισαγωγής'!$C$2,E1162)),MAX($D$1:D1161)+1,0)</f>
        <v>0</v>
      </c>
      <c r="H1162" s="6">
        <f t="shared" si="65"/>
        <v>0</v>
      </c>
      <c r="I1162" s="6">
        <f t="shared" si="66"/>
        <v>0</v>
      </c>
      <c r="J1162" s="6">
        <f t="shared" si="67"/>
        <v>0</v>
      </c>
      <c r="L1162" s="4" t="str">
        <f>IFERROR(VLOOKUP(ROWS($L$2:L1162),$B$2:$C$1996,2,0),"")</f>
        <v/>
      </c>
      <c r="N1162" s="2" t="str">
        <f>IFERROR(VLOOKUP(ROWS($N$2:N1162),$D$2:$E$1996,2,0),"")</f>
        <v/>
      </c>
    </row>
    <row r="1163" spans="2:14">
      <c r="B1163" s="32">
        <f>IF(ISNUMBER(SEARCH('Φόρμα Εισαγωγής'!$B$2,C1163)),MAX($B$1:B1162)+1,0)</f>
        <v>0</v>
      </c>
      <c r="D1163" s="33">
        <f>IF(ISNUMBER(SEARCH('Φόρμα Εισαγωγής'!$C$2,E1163)),MAX($D$1:D1162)+1,0)</f>
        <v>0</v>
      </c>
      <c r="H1163" s="6">
        <f t="shared" si="65"/>
        <v>0</v>
      </c>
      <c r="I1163" s="6">
        <f t="shared" si="66"/>
        <v>0</v>
      </c>
      <c r="J1163" s="6">
        <f t="shared" si="67"/>
        <v>0</v>
      </c>
      <c r="L1163" s="4" t="str">
        <f>IFERROR(VLOOKUP(ROWS($L$2:L1163),$B$2:$C$1996,2,0),"")</f>
        <v/>
      </c>
      <c r="N1163" s="2" t="str">
        <f>IFERROR(VLOOKUP(ROWS($N$2:N1163),$D$2:$E$1996,2,0),"")</f>
        <v/>
      </c>
    </row>
    <row r="1164" spans="2:14">
      <c r="B1164" s="32">
        <f>IF(ISNUMBER(SEARCH('Φόρμα Εισαγωγής'!$B$2,C1164)),MAX($B$1:B1163)+1,0)</f>
        <v>0</v>
      </c>
      <c r="D1164" s="33">
        <f>IF(ISNUMBER(SEARCH('Φόρμα Εισαγωγής'!$C$2,E1164)),MAX($D$1:D1163)+1,0)</f>
        <v>0</v>
      </c>
      <c r="H1164" s="6">
        <f t="shared" si="65"/>
        <v>0</v>
      </c>
      <c r="I1164" s="6">
        <f t="shared" si="66"/>
        <v>0</v>
      </c>
      <c r="J1164" s="6">
        <f t="shared" si="67"/>
        <v>0</v>
      </c>
      <c r="L1164" s="4" t="str">
        <f>IFERROR(VLOOKUP(ROWS($L$2:L1164),$B$2:$C$1996,2,0),"")</f>
        <v/>
      </c>
      <c r="N1164" s="2" t="str">
        <f>IFERROR(VLOOKUP(ROWS($N$2:N1164),$D$2:$E$1996,2,0),"")</f>
        <v/>
      </c>
    </row>
    <row r="1165" spans="2:14">
      <c r="B1165" s="32">
        <f>IF(ISNUMBER(SEARCH('Φόρμα Εισαγωγής'!$B$2,C1165)),MAX($B$1:B1164)+1,0)</f>
        <v>0</v>
      </c>
      <c r="D1165" s="33">
        <f>IF(ISNUMBER(SEARCH('Φόρμα Εισαγωγής'!$C$2,E1165)),MAX($D$1:D1164)+1,0)</f>
        <v>0</v>
      </c>
      <c r="H1165" s="6">
        <f t="shared" si="65"/>
        <v>0</v>
      </c>
      <c r="I1165" s="6">
        <f t="shared" si="66"/>
        <v>0</v>
      </c>
      <c r="J1165" s="6">
        <f t="shared" si="67"/>
        <v>0</v>
      </c>
      <c r="L1165" s="4" t="str">
        <f>IFERROR(VLOOKUP(ROWS($L$2:L1165),$B$2:$C$1996,2,0),"")</f>
        <v/>
      </c>
      <c r="N1165" s="2" t="str">
        <f>IFERROR(VLOOKUP(ROWS($N$2:N1165),$D$2:$E$1996,2,0),"")</f>
        <v/>
      </c>
    </row>
    <row r="1166" spans="2:14">
      <c r="B1166" s="32">
        <f>IF(ISNUMBER(SEARCH('Φόρμα Εισαγωγής'!$B$2,C1166)),MAX($B$1:B1165)+1,0)</f>
        <v>0</v>
      </c>
      <c r="D1166" s="33">
        <f>IF(ISNUMBER(SEARCH('Φόρμα Εισαγωγής'!$C$2,E1166)),MAX($D$1:D1165)+1,0)</f>
        <v>0</v>
      </c>
      <c r="H1166" s="6">
        <f t="shared" si="65"/>
        <v>0</v>
      </c>
      <c r="I1166" s="6">
        <f t="shared" si="66"/>
        <v>0</v>
      </c>
      <c r="J1166" s="6">
        <f t="shared" si="67"/>
        <v>0</v>
      </c>
      <c r="L1166" s="4" t="str">
        <f>IFERROR(VLOOKUP(ROWS($L$2:L1166),$B$2:$C$1996,2,0),"")</f>
        <v/>
      </c>
      <c r="N1166" s="2" t="str">
        <f>IFERROR(VLOOKUP(ROWS($N$2:N1166),$D$2:$E$1996,2,0),"")</f>
        <v/>
      </c>
    </row>
    <row r="1167" spans="2:14">
      <c r="B1167" s="32">
        <f>IF(ISNUMBER(SEARCH('Φόρμα Εισαγωγής'!$B$2,C1167)),MAX($B$1:B1166)+1,0)</f>
        <v>0</v>
      </c>
      <c r="D1167" s="33">
        <f>IF(ISNUMBER(SEARCH('Φόρμα Εισαγωγής'!$C$2,E1167)),MAX($D$1:D1166)+1,0)</f>
        <v>0</v>
      </c>
      <c r="H1167" s="6">
        <f t="shared" si="65"/>
        <v>0</v>
      </c>
      <c r="I1167" s="6">
        <f t="shared" si="66"/>
        <v>0</v>
      </c>
      <c r="J1167" s="6">
        <f t="shared" si="67"/>
        <v>0</v>
      </c>
      <c r="L1167" s="4" t="str">
        <f>IFERROR(VLOOKUP(ROWS($L$2:L1167),$B$2:$C$1996,2,0),"")</f>
        <v/>
      </c>
      <c r="N1167" s="2" t="str">
        <f>IFERROR(VLOOKUP(ROWS($N$2:N1167),$D$2:$E$1996,2,0),"")</f>
        <v/>
      </c>
    </row>
    <row r="1168" spans="2:14">
      <c r="B1168" s="32">
        <f>IF(ISNUMBER(SEARCH('Φόρμα Εισαγωγής'!$B$2,C1168)),MAX($B$1:B1167)+1,0)</f>
        <v>0</v>
      </c>
      <c r="D1168" s="33">
        <f>IF(ISNUMBER(SEARCH('Φόρμα Εισαγωγής'!$C$2,E1168)),MAX($D$1:D1167)+1,0)</f>
        <v>0</v>
      </c>
      <c r="H1168" s="6">
        <f t="shared" si="65"/>
        <v>0</v>
      </c>
      <c r="I1168" s="6">
        <f t="shared" si="66"/>
        <v>0</v>
      </c>
      <c r="J1168" s="6">
        <f t="shared" si="67"/>
        <v>0</v>
      </c>
      <c r="L1168" s="4" t="str">
        <f>IFERROR(VLOOKUP(ROWS($L$2:L1168),$B$2:$C$1996,2,0),"")</f>
        <v/>
      </c>
      <c r="N1168" s="2" t="str">
        <f>IFERROR(VLOOKUP(ROWS($N$2:N1168),$D$2:$E$1996,2,0),"")</f>
        <v/>
      </c>
    </row>
    <row r="1169" spans="2:14">
      <c r="B1169" s="32">
        <f>IF(ISNUMBER(SEARCH('Φόρμα Εισαγωγής'!$B$2,C1169)),MAX($B$1:B1168)+1,0)</f>
        <v>0</v>
      </c>
      <c r="D1169" s="33">
        <f>IF(ISNUMBER(SEARCH('Φόρμα Εισαγωγής'!$C$2,E1169)),MAX($D$1:D1168)+1,0)</f>
        <v>0</v>
      </c>
      <c r="H1169" s="6">
        <f t="shared" si="65"/>
        <v>0</v>
      </c>
      <c r="I1169" s="6">
        <f t="shared" si="66"/>
        <v>0</v>
      </c>
      <c r="J1169" s="6">
        <f t="shared" si="67"/>
        <v>0</v>
      </c>
      <c r="L1169" s="4" t="str">
        <f>IFERROR(VLOOKUP(ROWS($L$2:L1169),$B$2:$C$1996,2,0),"")</f>
        <v/>
      </c>
      <c r="N1169" s="2" t="str">
        <f>IFERROR(VLOOKUP(ROWS($N$2:N1169),$D$2:$E$1996,2,0),"")</f>
        <v/>
      </c>
    </row>
    <row r="1170" spans="2:14">
      <c r="B1170" s="32">
        <f>IF(ISNUMBER(SEARCH('Φόρμα Εισαγωγής'!$B$2,C1170)),MAX($B$1:B1169)+1,0)</f>
        <v>0</v>
      </c>
      <c r="D1170" s="33">
        <f>IF(ISNUMBER(SEARCH('Φόρμα Εισαγωγής'!$C$2,E1170)),MAX($D$1:D1169)+1,0)</f>
        <v>0</v>
      </c>
      <c r="H1170" s="6">
        <f t="shared" si="65"/>
        <v>0</v>
      </c>
      <c r="I1170" s="6">
        <f t="shared" si="66"/>
        <v>0</v>
      </c>
      <c r="J1170" s="6">
        <f t="shared" si="67"/>
        <v>0</v>
      </c>
      <c r="L1170" s="4" t="str">
        <f>IFERROR(VLOOKUP(ROWS($L$2:L1170),$B$2:$C$1996,2,0),"")</f>
        <v/>
      </c>
      <c r="N1170" s="2" t="str">
        <f>IFERROR(VLOOKUP(ROWS($N$2:N1170),$D$2:$E$1996,2,0),"")</f>
        <v/>
      </c>
    </row>
    <row r="1171" spans="2:14">
      <c r="B1171" s="32">
        <f>IF(ISNUMBER(SEARCH('Φόρμα Εισαγωγής'!$B$2,C1171)),MAX($B$1:B1170)+1,0)</f>
        <v>0</v>
      </c>
      <c r="D1171" s="33">
        <f>IF(ISNUMBER(SEARCH('Φόρμα Εισαγωγής'!$C$2,E1171)),MAX($D$1:D1170)+1,0)</f>
        <v>0</v>
      </c>
      <c r="H1171" s="6">
        <f t="shared" si="65"/>
        <v>0</v>
      </c>
      <c r="I1171" s="6">
        <f t="shared" si="66"/>
        <v>0</v>
      </c>
      <c r="J1171" s="6">
        <f t="shared" si="67"/>
        <v>0</v>
      </c>
      <c r="L1171" s="4" t="str">
        <f>IFERROR(VLOOKUP(ROWS($L$2:L1171),$B$2:$C$1996,2,0),"")</f>
        <v/>
      </c>
      <c r="N1171" s="2" t="str">
        <f>IFERROR(VLOOKUP(ROWS($N$2:N1171),$D$2:$E$1996,2,0),"")</f>
        <v/>
      </c>
    </row>
    <row r="1172" spans="2:14">
      <c r="B1172" s="32">
        <f>IF(ISNUMBER(SEARCH('Φόρμα Εισαγωγής'!$B$2,C1172)),MAX($B$1:B1171)+1,0)</f>
        <v>0</v>
      </c>
      <c r="D1172" s="33">
        <f>IF(ISNUMBER(SEARCH('Φόρμα Εισαγωγής'!$C$2,E1172)),MAX($D$1:D1171)+1,0)</f>
        <v>0</v>
      </c>
      <c r="H1172" s="6">
        <f t="shared" si="65"/>
        <v>0</v>
      </c>
      <c r="I1172" s="6">
        <f t="shared" si="66"/>
        <v>0</v>
      </c>
      <c r="J1172" s="6">
        <f t="shared" si="67"/>
        <v>0</v>
      </c>
      <c r="L1172" s="4" t="str">
        <f>IFERROR(VLOOKUP(ROWS($L$2:L1172),$B$2:$C$1996,2,0),"")</f>
        <v/>
      </c>
      <c r="N1172" s="2" t="str">
        <f>IFERROR(VLOOKUP(ROWS($N$2:N1172),$D$2:$E$1996,2,0),"")</f>
        <v/>
      </c>
    </row>
    <row r="1173" spans="2:14">
      <c r="B1173" s="32">
        <f>IF(ISNUMBER(SEARCH('Φόρμα Εισαγωγής'!$B$2,C1173)),MAX($B$1:B1172)+1,0)</f>
        <v>0</v>
      </c>
      <c r="D1173" s="33">
        <f>IF(ISNUMBER(SEARCH('Φόρμα Εισαγωγής'!$C$2,E1173)),MAX($D$1:D1172)+1,0)</f>
        <v>0</v>
      </c>
      <c r="H1173" s="6">
        <f t="shared" si="65"/>
        <v>0</v>
      </c>
      <c r="I1173" s="6">
        <f t="shared" si="66"/>
        <v>0</v>
      </c>
      <c r="J1173" s="6">
        <f t="shared" si="67"/>
        <v>0</v>
      </c>
      <c r="L1173" s="4" t="str">
        <f>IFERROR(VLOOKUP(ROWS($L$2:L1173),$B$2:$C$1996,2,0),"")</f>
        <v/>
      </c>
      <c r="N1173" s="2" t="str">
        <f>IFERROR(VLOOKUP(ROWS($N$2:N1173),$D$2:$E$1996,2,0),"")</f>
        <v/>
      </c>
    </row>
    <row r="1174" spans="2:14">
      <c r="B1174" s="32">
        <f>IF(ISNUMBER(SEARCH('Φόρμα Εισαγωγής'!$B$2,C1174)),MAX($B$1:B1173)+1,0)</f>
        <v>0</v>
      </c>
      <c r="D1174" s="33">
        <f>IF(ISNUMBER(SEARCH('Φόρμα Εισαγωγής'!$C$2,E1174)),MAX($D$1:D1173)+1,0)</f>
        <v>0</v>
      </c>
      <c r="H1174" s="6">
        <f t="shared" si="65"/>
        <v>0</v>
      </c>
      <c r="I1174" s="6">
        <f t="shared" si="66"/>
        <v>0</v>
      </c>
      <c r="J1174" s="6">
        <f t="shared" si="67"/>
        <v>0</v>
      </c>
      <c r="L1174" s="4" t="str">
        <f>IFERROR(VLOOKUP(ROWS($L$2:L1174),$B$2:$C$1996,2,0),"")</f>
        <v/>
      </c>
      <c r="N1174" s="2" t="str">
        <f>IFERROR(VLOOKUP(ROWS($N$2:N1174),$D$2:$E$1996,2,0),"")</f>
        <v/>
      </c>
    </row>
    <row r="1175" spans="2:14">
      <c r="B1175" s="32">
        <f>IF(ISNUMBER(SEARCH('Φόρμα Εισαγωγής'!$B$2,C1175)),MAX($B$1:B1174)+1,0)</f>
        <v>0</v>
      </c>
      <c r="D1175" s="33">
        <f>IF(ISNUMBER(SEARCH('Φόρμα Εισαγωγής'!$C$2,E1175)),MAX($D$1:D1174)+1,0)</f>
        <v>0</v>
      </c>
      <c r="H1175" s="6">
        <f t="shared" si="65"/>
        <v>0</v>
      </c>
      <c r="I1175" s="6">
        <f t="shared" si="66"/>
        <v>0</v>
      </c>
      <c r="J1175" s="6">
        <f t="shared" si="67"/>
        <v>0</v>
      </c>
      <c r="L1175" s="4" t="str">
        <f>IFERROR(VLOOKUP(ROWS($L$2:L1175),$B$2:$C$1996,2,0),"")</f>
        <v/>
      </c>
      <c r="N1175" s="2" t="str">
        <f>IFERROR(VLOOKUP(ROWS($N$2:N1175),$D$2:$E$1996,2,0),"")</f>
        <v/>
      </c>
    </row>
    <row r="1176" spans="2:14">
      <c r="B1176" s="32">
        <f>IF(ISNUMBER(SEARCH('Φόρμα Εισαγωγής'!$B$2,C1176)),MAX($B$1:B1175)+1,0)</f>
        <v>0</v>
      </c>
      <c r="D1176" s="33">
        <f>IF(ISNUMBER(SEARCH('Φόρμα Εισαγωγής'!$C$2,E1176)),MAX($D$1:D1175)+1,0)</f>
        <v>0</v>
      </c>
      <c r="H1176" s="6">
        <f t="shared" si="65"/>
        <v>0</v>
      </c>
      <c r="I1176" s="6">
        <f t="shared" si="66"/>
        <v>0</v>
      </c>
      <c r="J1176" s="6">
        <f t="shared" si="67"/>
        <v>0</v>
      </c>
      <c r="L1176" s="4" t="str">
        <f>IFERROR(VLOOKUP(ROWS($L$2:L1176),$B$2:$C$1996,2,0),"")</f>
        <v/>
      </c>
      <c r="N1176" s="2" t="str">
        <f>IFERROR(VLOOKUP(ROWS($N$2:N1176),$D$2:$E$1996,2,0),"")</f>
        <v/>
      </c>
    </row>
    <row r="1177" spans="2:14">
      <c r="B1177" s="32">
        <f>IF(ISNUMBER(SEARCH('Φόρμα Εισαγωγής'!$B$2,C1177)),MAX($B$1:B1176)+1,0)</f>
        <v>0</v>
      </c>
      <c r="D1177" s="33">
        <f>IF(ISNUMBER(SEARCH('Φόρμα Εισαγωγής'!$C$2,E1177)),MAX($D$1:D1176)+1,0)</f>
        <v>0</v>
      </c>
      <c r="H1177" s="6">
        <f t="shared" si="65"/>
        <v>0</v>
      </c>
      <c r="I1177" s="6">
        <f t="shared" si="66"/>
        <v>0</v>
      </c>
      <c r="J1177" s="6">
        <f t="shared" si="67"/>
        <v>0</v>
      </c>
      <c r="L1177" s="4" t="str">
        <f>IFERROR(VLOOKUP(ROWS($L$2:L1177),$B$2:$C$1996,2,0),"")</f>
        <v/>
      </c>
      <c r="N1177" s="2" t="str">
        <f>IFERROR(VLOOKUP(ROWS($N$2:N1177),$D$2:$E$1996,2,0),"")</f>
        <v/>
      </c>
    </row>
    <row r="1178" spans="2:14">
      <c r="B1178" s="32">
        <f>IF(ISNUMBER(SEARCH('Φόρμα Εισαγωγής'!$B$2,C1178)),MAX($B$1:B1177)+1,0)</f>
        <v>0</v>
      </c>
      <c r="D1178" s="33">
        <f>IF(ISNUMBER(SEARCH('Φόρμα Εισαγωγής'!$C$2,E1178)),MAX($D$1:D1177)+1,0)</f>
        <v>0</v>
      </c>
      <c r="H1178" s="6">
        <f t="shared" si="65"/>
        <v>0</v>
      </c>
      <c r="I1178" s="6">
        <f t="shared" si="66"/>
        <v>0</v>
      </c>
      <c r="J1178" s="6">
        <f t="shared" si="67"/>
        <v>0</v>
      </c>
      <c r="L1178" s="4" t="str">
        <f>IFERROR(VLOOKUP(ROWS($L$2:L1178),$B$2:$C$1996,2,0),"")</f>
        <v/>
      </c>
      <c r="N1178" s="2" t="str">
        <f>IFERROR(VLOOKUP(ROWS($N$2:N1178),$D$2:$E$1996,2,0),"")</f>
        <v/>
      </c>
    </row>
    <row r="1179" spans="2:14">
      <c r="B1179" s="32">
        <f>IF(ISNUMBER(SEARCH('Φόρμα Εισαγωγής'!$B$2,C1179)),MAX($B$1:B1178)+1,0)</f>
        <v>0</v>
      </c>
      <c r="D1179" s="33">
        <f>IF(ISNUMBER(SEARCH('Φόρμα Εισαγωγής'!$C$2,E1179)),MAX($D$1:D1178)+1,0)</f>
        <v>0</v>
      </c>
      <c r="H1179" s="6">
        <f t="shared" si="65"/>
        <v>0</v>
      </c>
      <c r="I1179" s="6">
        <f t="shared" si="66"/>
        <v>0</v>
      </c>
      <c r="J1179" s="6">
        <f t="shared" si="67"/>
        <v>0</v>
      </c>
      <c r="L1179" s="4" t="str">
        <f>IFERROR(VLOOKUP(ROWS($L$2:L1179),$B$2:$C$1996,2,0),"")</f>
        <v/>
      </c>
      <c r="N1179" s="2" t="str">
        <f>IFERROR(VLOOKUP(ROWS($N$2:N1179),$D$2:$E$1996,2,0),"")</f>
        <v/>
      </c>
    </row>
    <row r="1180" spans="2:14">
      <c r="B1180" s="32">
        <f>IF(ISNUMBER(SEARCH('Φόρμα Εισαγωγής'!$B$2,C1180)),MAX($B$1:B1179)+1,0)</f>
        <v>0</v>
      </c>
      <c r="D1180" s="33">
        <f>IF(ISNUMBER(SEARCH('Φόρμα Εισαγωγής'!$C$2,E1180)),MAX($D$1:D1179)+1,0)</f>
        <v>0</v>
      </c>
      <c r="H1180" s="6">
        <f t="shared" si="65"/>
        <v>0</v>
      </c>
      <c r="I1180" s="6">
        <f t="shared" si="66"/>
        <v>0</v>
      </c>
      <c r="J1180" s="6">
        <f t="shared" si="67"/>
        <v>0</v>
      </c>
      <c r="L1180" s="4" t="str">
        <f>IFERROR(VLOOKUP(ROWS($L$2:L1180),$B$2:$C$1996,2,0),"")</f>
        <v/>
      </c>
      <c r="N1180" s="2" t="str">
        <f>IFERROR(VLOOKUP(ROWS($N$2:N1180),$D$2:$E$1996,2,0),"")</f>
        <v/>
      </c>
    </row>
    <row r="1181" spans="2:14">
      <c r="B1181" s="32">
        <f>IF(ISNUMBER(SEARCH('Φόρμα Εισαγωγής'!$B$2,C1181)),MAX($B$1:B1180)+1,0)</f>
        <v>0</v>
      </c>
      <c r="D1181" s="33">
        <f>IF(ISNUMBER(SEARCH('Φόρμα Εισαγωγής'!$C$2,E1181)),MAX($D$1:D1180)+1,0)</f>
        <v>0</v>
      </c>
      <c r="H1181" s="6">
        <f t="shared" si="65"/>
        <v>0</v>
      </c>
      <c r="I1181" s="6">
        <f t="shared" si="66"/>
        <v>0</v>
      </c>
      <c r="J1181" s="6">
        <f t="shared" si="67"/>
        <v>0</v>
      </c>
      <c r="L1181" s="4" t="str">
        <f>IFERROR(VLOOKUP(ROWS($L$2:L1181),$B$2:$C$1996,2,0),"")</f>
        <v/>
      </c>
      <c r="N1181" s="2" t="str">
        <f>IFERROR(VLOOKUP(ROWS($N$2:N1181),$D$2:$E$1996,2,0),"")</f>
        <v/>
      </c>
    </row>
    <row r="1182" spans="2:14">
      <c r="B1182" s="32">
        <f>IF(ISNUMBER(SEARCH('Φόρμα Εισαγωγής'!$B$2,C1182)),MAX($B$1:B1181)+1,0)</f>
        <v>0</v>
      </c>
      <c r="D1182" s="33">
        <f>IF(ISNUMBER(SEARCH('Φόρμα Εισαγωγής'!$C$2,E1182)),MAX($D$1:D1181)+1,0)</f>
        <v>0</v>
      </c>
      <c r="H1182" s="6">
        <f t="shared" si="65"/>
        <v>0</v>
      </c>
      <c r="I1182" s="6">
        <f t="shared" si="66"/>
        <v>0</v>
      </c>
      <c r="J1182" s="6">
        <f t="shared" si="67"/>
        <v>0</v>
      </c>
      <c r="L1182" s="4" t="str">
        <f>IFERROR(VLOOKUP(ROWS($L$2:L1182),$B$2:$C$1996,2,0),"")</f>
        <v/>
      </c>
      <c r="N1182" s="2" t="str">
        <f>IFERROR(VLOOKUP(ROWS($N$2:N1182),$D$2:$E$1996,2,0),"")</f>
        <v/>
      </c>
    </row>
    <row r="1183" spans="2:14">
      <c r="B1183" s="32">
        <f>IF(ISNUMBER(SEARCH('Φόρμα Εισαγωγής'!$B$2,C1183)),MAX($B$1:B1182)+1,0)</f>
        <v>0</v>
      </c>
      <c r="D1183" s="33">
        <f>IF(ISNUMBER(SEARCH('Φόρμα Εισαγωγής'!$C$2,E1183)),MAX($D$1:D1182)+1,0)</f>
        <v>0</v>
      </c>
      <c r="H1183" s="6">
        <f t="shared" si="65"/>
        <v>0</v>
      </c>
      <c r="I1183" s="6">
        <f t="shared" si="66"/>
        <v>0</v>
      </c>
      <c r="J1183" s="6">
        <f t="shared" si="67"/>
        <v>0</v>
      </c>
      <c r="L1183" s="4" t="str">
        <f>IFERROR(VLOOKUP(ROWS($L$2:L1183),$B$2:$C$1996,2,0),"")</f>
        <v/>
      </c>
      <c r="N1183" s="2" t="str">
        <f>IFERROR(VLOOKUP(ROWS($N$2:N1183),$D$2:$E$1996,2,0),"")</f>
        <v/>
      </c>
    </row>
    <row r="1184" spans="2:14">
      <c r="B1184" s="32">
        <f>IF(ISNUMBER(SEARCH('Φόρμα Εισαγωγής'!$B$2,C1184)),MAX($B$1:B1183)+1,0)</f>
        <v>0</v>
      </c>
      <c r="D1184" s="33">
        <f>IF(ISNUMBER(SEARCH('Φόρμα Εισαγωγής'!$C$2,E1184)),MAX($D$1:D1183)+1,0)</f>
        <v>0</v>
      </c>
      <c r="H1184" s="6">
        <f t="shared" si="65"/>
        <v>0</v>
      </c>
      <c r="I1184" s="6">
        <f t="shared" si="66"/>
        <v>0</v>
      </c>
      <c r="J1184" s="6">
        <f t="shared" si="67"/>
        <v>0</v>
      </c>
      <c r="L1184" s="4" t="str">
        <f>IFERROR(VLOOKUP(ROWS($L$2:L1184),$B$2:$C$1996,2,0),"")</f>
        <v/>
      </c>
      <c r="N1184" s="2" t="str">
        <f>IFERROR(VLOOKUP(ROWS($N$2:N1184),$D$2:$E$1996,2,0),"")</f>
        <v/>
      </c>
    </row>
    <row r="1185" spans="2:14">
      <c r="B1185" s="32">
        <f>IF(ISNUMBER(SEARCH('Φόρμα Εισαγωγής'!$B$2,C1185)),MAX($B$1:B1184)+1,0)</f>
        <v>0</v>
      </c>
      <c r="D1185" s="33">
        <f>IF(ISNUMBER(SEARCH('Φόρμα Εισαγωγής'!$C$2,E1185)),MAX($D$1:D1184)+1,0)</f>
        <v>0</v>
      </c>
      <c r="H1185" s="6">
        <f t="shared" si="65"/>
        <v>0</v>
      </c>
      <c r="I1185" s="6">
        <f t="shared" si="66"/>
        <v>0</v>
      </c>
      <c r="J1185" s="6">
        <f t="shared" si="67"/>
        <v>0</v>
      </c>
      <c r="L1185" s="4" t="str">
        <f>IFERROR(VLOOKUP(ROWS($L$2:L1185),$B$2:$C$1996,2,0),"")</f>
        <v/>
      </c>
      <c r="N1185" s="2" t="str">
        <f>IFERROR(VLOOKUP(ROWS($N$2:N1185),$D$2:$E$1996,2,0),"")</f>
        <v/>
      </c>
    </row>
    <row r="1186" spans="2:14">
      <c r="B1186" s="32">
        <f>IF(ISNUMBER(SEARCH('Φόρμα Εισαγωγής'!$B$2,C1186)),MAX($B$1:B1185)+1,0)</f>
        <v>0</v>
      </c>
      <c r="D1186" s="33">
        <f>IF(ISNUMBER(SEARCH('Φόρμα Εισαγωγής'!$C$2,E1186)),MAX($D$1:D1185)+1,0)</f>
        <v>0</v>
      </c>
      <c r="H1186" s="6">
        <f t="shared" si="65"/>
        <v>0</v>
      </c>
      <c r="I1186" s="6">
        <f t="shared" si="66"/>
        <v>0</v>
      </c>
      <c r="J1186" s="6">
        <f t="shared" si="67"/>
        <v>0</v>
      </c>
      <c r="L1186" s="4" t="str">
        <f>IFERROR(VLOOKUP(ROWS($L$2:L1186),$B$2:$C$1996,2,0),"")</f>
        <v/>
      </c>
      <c r="N1186" s="2" t="str">
        <f>IFERROR(VLOOKUP(ROWS($N$2:N1186),$D$2:$E$1996,2,0),"")</f>
        <v/>
      </c>
    </row>
    <row r="1187" spans="2:14">
      <c r="B1187" s="32">
        <f>IF(ISNUMBER(SEARCH('Φόρμα Εισαγωγής'!$B$2,C1187)),MAX($B$1:B1186)+1,0)</f>
        <v>0</v>
      </c>
      <c r="D1187" s="33">
        <f>IF(ISNUMBER(SEARCH('Φόρμα Εισαγωγής'!$C$2,E1187)),MAX($D$1:D1186)+1,0)</f>
        <v>0</v>
      </c>
      <c r="H1187" s="6">
        <f t="shared" si="65"/>
        <v>0</v>
      </c>
      <c r="I1187" s="6">
        <f t="shared" si="66"/>
        <v>0</v>
      </c>
      <c r="J1187" s="6">
        <f t="shared" si="67"/>
        <v>0</v>
      </c>
      <c r="L1187" s="4" t="str">
        <f>IFERROR(VLOOKUP(ROWS($L$2:L1187),$B$2:$C$1996,2,0),"")</f>
        <v/>
      </c>
      <c r="N1187" s="2" t="str">
        <f>IFERROR(VLOOKUP(ROWS($N$2:N1187),$D$2:$E$1996,2,0),"")</f>
        <v/>
      </c>
    </row>
    <row r="1188" spans="2:14">
      <c r="B1188" s="32">
        <f>IF(ISNUMBER(SEARCH('Φόρμα Εισαγωγής'!$B$2,C1188)),MAX($B$1:B1187)+1,0)</f>
        <v>0</v>
      </c>
      <c r="D1188" s="33">
        <f>IF(ISNUMBER(SEARCH('Φόρμα Εισαγωγής'!$C$2,E1188)),MAX($D$1:D1187)+1,0)</f>
        <v>0</v>
      </c>
      <c r="H1188" s="6">
        <f t="shared" si="65"/>
        <v>0</v>
      </c>
      <c r="I1188" s="6">
        <f t="shared" si="66"/>
        <v>0</v>
      </c>
      <c r="J1188" s="6">
        <f t="shared" si="67"/>
        <v>0</v>
      </c>
      <c r="L1188" s="4" t="str">
        <f>IFERROR(VLOOKUP(ROWS($L$2:L1188),$B$2:$C$1996,2,0),"")</f>
        <v/>
      </c>
      <c r="N1188" s="2" t="str">
        <f>IFERROR(VLOOKUP(ROWS($N$2:N1188),$D$2:$E$1996,2,0),"")</f>
        <v/>
      </c>
    </row>
    <row r="1189" spans="2:14">
      <c r="B1189" s="32">
        <f>IF(ISNUMBER(SEARCH('Φόρμα Εισαγωγής'!$B$2,C1189)),MAX($B$1:B1188)+1,0)</f>
        <v>0</v>
      </c>
      <c r="D1189" s="33">
        <f>IF(ISNUMBER(SEARCH('Φόρμα Εισαγωγής'!$C$2,E1189)),MAX($D$1:D1188)+1,0)</f>
        <v>0</v>
      </c>
      <c r="H1189" s="6">
        <f t="shared" si="65"/>
        <v>0</v>
      </c>
      <c r="I1189" s="6">
        <f t="shared" si="66"/>
        <v>0</v>
      </c>
      <c r="J1189" s="6">
        <f t="shared" si="67"/>
        <v>0</v>
      </c>
      <c r="L1189" s="4" t="str">
        <f>IFERROR(VLOOKUP(ROWS($L$2:L1189),$B$2:$C$1996,2,0),"")</f>
        <v/>
      </c>
      <c r="N1189" s="2" t="str">
        <f>IFERROR(VLOOKUP(ROWS($N$2:N1189),$D$2:$E$1996,2,0),"")</f>
        <v/>
      </c>
    </row>
    <row r="1190" spans="2:14">
      <c r="B1190" s="32">
        <f>IF(ISNUMBER(SEARCH('Φόρμα Εισαγωγής'!$B$2,C1190)),MAX($B$1:B1189)+1,0)</f>
        <v>0</v>
      </c>
      <c r="D1190" s="33">
        <f>IF(ISNUMBER(SEARCH('Φόρμα Εισαγωγής'!$C$2,E1190)),MAX($D$1:D1189)+1,0)</f>
        <v>0</v>
      </c>
      <c r="H1190" s="6">
        <f t="shared" si="65"/>
        <v>0</v>
      </c>
      <c r="I1190" s="6">
        <f t="shared" si="66"/>
        <v>0</v>
      </c>
      <c r="J1190" s="6">
        <f t="shared" si="67"/>
        <v>0</v>
      </c>
      <c r="L1190" s="4" t="str">
        <f>IFERROR(VLOOKUP(ROWS($L$2:L1190),$B$2:$C$1996,2,0),"")</f>
        <v/>
      </c>
      <c r="N1190" s="2" t="str">
        <f>IFERROR(VLOOKUP(ROWS($N$2:N1190),$D$2:$E$1996,2,0),"")</f>
        <v/>
      </c>
    </row>
    <row r="1191" spans="2:14">
      <c r="B1191" s="32">
        <f>IF(ISNUMBER(SEARCH('Φόρμα Εισαγωγής'!$B$2,C1191)),MAX($B$1:B1190)+1,0)</f>
        <v>0</v>
      </c>
      <c r="D1191" s="33">
        <f>IF(ISNUMBER(SEARCH('Φόρμα Εισαγωγής'!$C$2,E1191)),MAX($D$1:D1190)+1,0)</f>
        <v>0</v>
      </c>
      <c r="H1191" s="6">
        <f t="shared" si="65"/>
        <v>0</v>
      </c>
      <c r="I1191" s="6">
        <f t="shared" si="66"/>
        <v>0</v>
      </c>
      <c r="J1191" s="6">
        <f t="shared" si="67"/>
        <v>0</v>
      </c>
      <c r="L1191" s="4" t="str">
        <f>IFERROR(VLOOKUP(ROWS($L$2:L1191),$B$2:$C$1996,2,0),"")</f>
        <v/>
      </c>
      <c r="N1191" s="2" t="str">
        <f>IFERROR(VLOOKUP(ROWS($N$2:N1191),$D$2:$E$1996,2,0),"")</f>
        <v/>
      </c>
    </row>
    <row r="1192" spans="2:14">
      <c r="B1192" s="32">
        <f>IF(ISNUMBER(SEARCH('Φόρμα Εισαγωγής'!$B$2,C1192)),MAX($B$1:B1191)+1,0)</f>
        <v>0</v>
      </c>
      <c r="D1192" s="33">
        <f>IF(ISNUMBER(SEARCH('Φόρμα Εισαγωγής'!$C$2,E1192)),MAX($D$1:D1191)+1,0)</f>
        <v>0</v>
      </c>
      <c r="H1192" s="6">
        <f t="shared" si="65"/>
        <v>0</v>
      </c>
      <c r="I1192" s="6">
        <f t="shared" si="66"/>
        <v>0</v>
      </c>
      <c r="J1192" s="6">
        <f t="shared" si="67"/>
        <v>0</v>
      </c>
      <c r="L1192" s="4" t="str">
        <f>IFERROR(VLOOKUP(ROWS($L$2:L1192),$B$2:$C$1996,2,0),"")</f>
        <v/>
      </c>
      <c r="N1192" s="2" t="str">
        <f>IFERROR(VLOOKUP(ROWS($N$2:N1192),$D$2:$E$1996,2,0),"")</f>
        <v/>
      </c>
    </row>
    <row r="1193" spans="2:14">
      <c r="B1193" s="32">
        <f>IF(ISNUMBER(SEARCH('Φόρμα Εισαγωγής'!$B$2,C1193)),MAX($B$1:B1192)+1,0)</f>
        <v>0</v>
      </c>
      <c r="D1193" s="33">
        <f>IF(ISNUMBER(SEARCH('Φόρμα Εισαγωγής'!$C$2,E1193)),MAX($D$1:D1192)+1,0)</f>
        <v>0</v>
      </c>
      <c r="H1193" s="6">
        <f t="shared" si="65"/>
        <v>0</v>
      </c>
      <c r="I1193" s="6">
        <f t="shared" si="66"/>
        <v>0</v>
      </c>
      <c r="J1193" s="6">
        <f t="shared" si="67"/>
        <v>0</v>
      </c>
      <c r="L1193" s="4" t="str">
        <f>IFERROR(VLOOKUP(ROWS($L$2:L1193),$B$2:$C$1996,2,0),"")</f>
        <v/>
      </c>
      <c r="N1193" s="2" t="str">
        <f>IFERROR(VLOOKUP(ROWS($N$2:N1193),$D$2:$E$1996,2,0),"")</f>
        <v/>
      </c>
    </row>
    <row r="1194" spans="2:14">
      <c r="B1194" s="32">
        <f>IF(ISNUMBER(SEARCH('Φόρμα Εισαγωγής'!$B$2,C1194)),MAX($B$1:B1193)+1,0)</f>
        <v>0</v>
      </c>
      <c r="D1194" s="33">
        <f>IF(ISNUMBER(SEARCH('Φόρμα Εισαγωγής'!$C$2,E1194)),MAX($D$1:D1193)+1,0)</f>
        <v>0</v>
      </c>
      <c r="H1194" s="6">
        <f t="shared" si="65"/>
        <v>0</v>
      </c>
      <c r="I1194" s="6">
        <f t="shared" si="66"/>
        <v>0</v>
      </c>
      <c r="J1194" s="6">
        <f t="shared" si="67"/>
        <v>0</v>
      </c>
      <c r="L1194" s="4" t="str">
        <f>IFERROR(VLOOKUP(ROWS($L$2:L1194),$B$2:$C$1996,2,0),"")</f>
        <v/>
      </c>
      <c r="N1194" s="2" t="str">
        <f>IFERROR(VLOOKUP(ROWS($N$2:N1194),$D$2:$E$1996,2,0),"")</f>
        <v/>
      </c>
    </row>
    <row r="1195" spans="2:14">
      <c r="B1195" s="32">
        <f>IF(ISNUMBER(SEARCH('Φόρμα Εισαγωγής'!$B$2,C1195)),MAX($B$1:B1194)+1,0)</f>
        <v>0</v>
      </c>
      <c r="D1195" s="33">
        <f>IF(ISNUMBER(SEARCH('Φόρμα Εισαγωγής'!$C$2,E1195)),MAX($D$1:D1194)+1,0)</f>
        <v>0</v>
      </c>
      <c r="H1195" s="6">
        <f t="shared" si="65"/>
        <v>0</v>
      </c>
      <c r="I1195" s="6">
        <f t="shared" si="66"/>
        <v>0</v>
      </c>
      <c r="J1195" s="6">
        <f t="shared" si="67"/>
        <v>0</v>
      </c>
      <c r="L1195" s="4" t="str">
        <f>IFERROR(VLOOKUP(ROWS($L$2:L1195),$B$2:$C$1996,2,0),"")</f>
        <v/>
      </c>
      <c r="N1195" s="2" t="str">
        <f>IFERROR(VLOOKUP(ROWS($N$2:N1195),$D$2:$E$1996,2,0),"")</f>
        <v/>
      </c>
    </row>
    <row r="1196" spans="2:14">
      <c r="B1196" s="32">
        <f>IF(ISNUMBER(SEARCH('Φόρμα Εισαγωγής'!$B$2,C1196)),MAX($B$1:B1195)+1,0)</f>
        <v>0</v>
      </c>
      <c r="D1196" s="33">
        <f>IF(ISNUMBER(SEARCH('Φόρμα Εισαγωγής'!$C$2,E1196)),MAX($D$1:D1195)+1,0)</f>
        <v>0</v>
      </c>
      <c r="H1196" s="6">
        <f t="shared" si="65"/>
        <v>0</v>
      </c>
      <c r="I1196" s="6">
        <f t="shared" si="66"/>
        <v>0</v>
      </c>
      <c r="J1196" s="6">
        <f t="shared" si="67"/>
        <v>0</v>
      </c>
      <c r="L1196" s="4" t="str">
        <f>IFERROR(VLOOKUP(ROWS($L$2:L1196),$B$2:$C$1996,2,0),"")</f>
        <v/>
      </c>
      <c r="N1196" s="2" t="str">
        <f>IFERROR(VLOOKUP(ROWS($N$2:N1196),$D$2:$E$1996,2,0),"")</f>
        <v/>
      </c>
    </row>
    <row r="1197" spans="2:14">
      <c r="B1197" s="32">
        <f>IF(ISNUMBER(SEARCH('Φόρμα Εισαγωγής'!$B$2,C1197)),MAX($B$1:B1196)+1,0)</f>
        <v>0</v>
      </c>
      <c r="D1197" s="33">
        <f>IF(ISNUMBER(SEARCH('Φόρμα Εισαγωγής'!$C$2,E1197)),MAX($D$1:D1196)+1,0)</f>
        <v>0</v>
      </c>
      <c r="H1197" s="6">
        <f t="shared" si="65"/>
        <v>0</v>
      </c>
      <c r="I1197" s="6">
        <f t="shared" si="66"/>
        <v>0</v>
      </c>
      <c r="J1197" s="6">
        <f t="shared" si="67"/>
        <v>0</v>
      </c>
      <c r="L1197" s="4" t="str">
        <f>IFERROR(VLOOKUP(ROWS($L$2:L1197),$B$2:$C$1996,2,0),"")</f>
        <v/>
      </c>
      <c r="N1197" s="2" t="str">
        <f>IFERROR(VLOOKUP(ROWS($N$2:N1197),$D$2:$E$1996,2,0),"")</f>
        <v/>
      </c>
    </row>
    <row r="1198" spans="2:14">
      <c r="B1198" s="32">
        <f>IF(ISNUMBER(SEARCH('Φόρμα Εισαγωγής'!$B$2,C1198)),MAX($B$1:B1197)+1,0)</f>
        <v>0</v>
      </c>
      <c r="D1198" s="33">
        <f>IF(ISNUMBER(SEARCH('Φόρμα Εισαγωγής'!$C$2,E1198)),MAX($D$1:D1197)+1,0)</f>
        <v>0</v>
      </c>
      <c r="H1198" s="6">
        <f t="shared" si="65"/>
        <v>0</v>
      </c>
      <c r="I1198" s="6">
        <f t="shared" si="66"/>
        <v>0</v>
      </c>
      <c r="J1198" s="6">
        <f t="shared" si="67"/>
        <v>0</v>
      </c>
      <c r="L1198" s="4" t="str">
        <f>IFERROR(VLOOKUP(ROWS($L$2:L1198),$B$2:$C$1996,2,0),"")</f>
        <v/>
      </c>
      <c r="N1198" s="2" t="str">
        <f>IFERROR(VLOOKUP(ROWS($N$2:N1198),$D$2:$E$1996,2,0),"")</f>
        <v/>
      </c>
    </row>
    <row r="1199" spans="2:14">
      <c r="B1199" s="32">
        <f>IF(ISNUMBER(SEARCH('Φόρμα Εισαγωγής'!$B$2,C1199)),MAX($B$1:B1198)+1,0)</f>
        <v>0</v>
      </c>
      <c r="D1199" s="33">
        <f>IF(ISNUMBER(SEARCH('Φόρμα Εισαγωγής'!$C$2,E1199)),MAX($D$1:D1198)+1,0)</f>
        <v>0</v>
      </c>
      <c r="H1199" s="6">
        <f t="shared" si="65"/>
        <v>0</v>
      </c>
      <c r="I1199" s="6">
        <f t="shared" si="66"/>
        <v>0</v>
      </c>
      <c r="J1199" s="6">
        <f t="shared" si="67"/>
        <v>0</v>
      </c>
      <c r="L1199" s="4" t="str">
        <f>IFERROR(VLOOKUP(ROWS($L$2:L1199),$B$2:$C$1996,2,0),"")</f>
        <v/>
      </c>
      <c r="N1199" s="2" t="str">
        <f>IFERROR(VLOOKUP(ROWS($N$2:N1199),$D$2:$E$1996,2,0),"")</f>
        <v/>
      </c>
    </row>
    <row r="1200" spans="2:14">
      <c r="B1200" s="32">
        <f>IF(ISNUMBER(SEARCH('Φόρμα Εισαγωγής'!$B$2,C1200)),MAX($B$1:B1199)+1,0)</f>
        <v>0</v>
      </c>
      <c r="D1200" s="33">
        <f>IF(ISNUMBER(SEARCH('Φόρμα Εισαγωγής'!$C$2,E1200)),MAX($D$1:D1199)+1,0)</f>
        <v>0</v>
      </c>
      <c r="H1200" s="6">
        <f t="shared" si="65"/>
        <v>0</v>
      </c>
      <c r="I1200" s="6">
        <f t="shared" si="66"/>
        <v>0</v>
      </c>
      <c r="J1200" s="6">
        <f t="shared" si="67"/>
        <v>0</v>
      </c>
      <c r="L1200" s="4" t="str">
        <f>IFERROR(VLOOKUP(ROWS($L$2:L1200),$B$2:$C$1996,2,0),"")</f>
        <v/>
      </c>
      <c r="N1200" s="2" t="str">
        <f>IFERROR(VLOOKUP(ROWS($N$2:N1200),$D$2:$E$1996,2,0),"")</f>
        <v/>
      </c>
    </row>
    <row r="1201" spans="2:14">
      <c r="B1201" s="32">
        <f>IF(ISNUMBER(SEARCH('Φόρμα Εισαγωγής'!$B$2,C1201)),MAX($B$1:B1200)+1,0)</f>
        <v>0</v>
      </c>
      <c r="D1201" s="33">
        <f>IF(ISNUMBER(SEARCH('Φόρμα Εισαγωγής'!$C$2,E1201)),MAX($D$1:D1200)+1,0)</f>
        <v>0</v>
      </c>
      <c r="H1201" s="6">
        <f t="shared" si="65"/>
        <v>0</v>
      </c>
      <c r="I1201" s="6">
        <f t="shared" si="66"/>
        <v>0</v>
      </c>
      <c r="J1201" s="6">
        <f t="shared" si="67"/>
        <v>0</v>
      </c>
      <c r="L1201" s="4" t="str">
        <f>IFERROR(VLOOKUP(ROWS($L$2:L1201),$B$2:$C$1996,2,0),"")</f>
        <v/>
      </c>
      <c r="N1201" s="2" t="str">
        <f>IFERROR(VLOOKUP(ROWS($N$2:N1201),$D$2:$E$1996,2,0),"")</f>
        <v/>
      </c>
    </row>
    <row r="1202" spans="2:14">
      <c r="B1202" s="32">
        <f>IF(ISNUMBER(SEARCH('Φόρμα Εισαγωγής'!$B$2,C1202)),MAX($B$1:B1201)+1,0)</f>
        <v>0</v>
      </c>
      <c r="D1202" s="33">
        <f>IF(ISNUMBER(SEARCH('Φόρμα Εισαγωγής'!$C$2,E1202)),MAX($D$1:D1201)+1,0)</f>
        <v>0</v>
      </c>
      <c r="H1202" s="6">
        <f t="shared" si="65"/>
        <v>0</v>
      </c>
      <c r="I1202" s="6">
        <f t="shared" si="66"/>
        <v>0</v>
      </c>
      <c r="J1202" s="6">
        <f t="shared" si="67"/>
        <v>0</v>
      </c>
      <c r="L1202" s="4" t="str">
        <f>IFERROR(VLOOKUP(ROWS($L$2:L1202),$B$2:$C$1996,2,0),"")</f>
        <v/>
      </c>
      <c r="N1202" s="2" t="str">
        <f>IFERROR(VLOOKUP(ROWS($N$2:N1202),$D$2:$E$1996,2,0),"")</f>
        <v/>
      </c>
    </row>
    <row r="1203" spans="2:14">
      <c r="B1203" s="32">
        <f>IF(ISNUMBER(SEARCH('Φόρμα Εισαγωγής'!$B$2,C1203)),MAX($B$1:B1202)+1,0)</f>
        <v>0</v>
      </c>
      <c r="D1203" s="33">
        <f>IF(ISNUMBER(SEARCH('Φόρμα Εισαγωγής'!$C$2,E1203)),MAX($D$1:D1202)+1,0)</f>
        <v>0</v>
      </c>
      <c r="H1203" s="6">
        <f t="shared" si="65"/>
        <v>0</v>
      </c>
      <c r="I1203" s="6">
        <f t="shared" si="66"/>
        <v>0</v>
      </c>
      <c r="J1203" s="6">
        <f t="shared" si="67"/>
        <v>0</v>
      </c>
      <c r="L1203" s="4" t="str">
        <f>IFERROR(VLOOKUP(ROWS($L$2:L1203),$B$2:$C$1996,2,0),"")</f>
        <v/>
      </c>
      <c r="N1203" s="2" t="str">
        <f>IFERROR(VLOOKUP(ROWS($N$2:N1203),$D$2:$E$1996,2,0),"")</f>
        <v/>
      </c>
    </row>
    <row r="1204" spans="2:14">
      <c r="B1204" s="32">
        <f>IF(ISNUMBER(SEARCH('Φόρμα Εισαγωγής'!$B$2,C1204)),MAX($B$1:B1203)+1,0)</f>
        <v>0</v>
      </c>
      <c r="D1204" s="33">
        <f>IF(ISNUMBER(SEARCH('Φόρμα Εισαγωγής'!$C$2,E1204)),MAX($D$1:D1203)+1,0)</f>
        <v>0</v>
      </c>
      <c r="H1204" s="6">
        <f t="shared" si="65"/>
        <v>0</v>
      </c>
      <c r="I1204" s="6">
        <f t="shared" si="66"/>
        <v>0</v>
      </c>
      <c r="J1204" s="6">
        <f t="shared" si="67"/>
        <v>0</v>
      </c>
      <c r="L1204" s="4" t="str">
        <f>IFERROR(VLOOKUP(ROWS($L$2:L1204),$B$2:$C$1996,2,0),"")</f>
        <v/>
      </c>
      <c r="N1204" s="2" t="str">
        <f>IFERROR(VLOOKUP(ROWS($N$2:N1204),$D$2:$E$1996,2,0),"")</f>
        <v/>
      </c>
    </row>
    <row r="1205" spans="2:14">
      <c r="B1205" s="32">
        <f>IF(ISNUMBER(SEARCH('Φόρμα Εισαγωγής'!$B$2,C1205)),MAX($B$1:B1204)+1,0)</f>
        <v>0</v>
      </c>
      <c r="D1205" s="33">
        <f>IF(ISNUMBER(SEARCH('Φόρμα Εισαγωγής'!$C$2,E1205)),MAX($D$1:D1204)+1,0)</f>
        <v>0</v>
      </c>
      <c r="H1205" s="6">
        <f t="shared" si="65"/>
        <v>0</v>
      </c>
      <c r="I1205" s="6">
        <f t="shared" si="66"/>
        <v>0</v>
      </c>
      <c r="J1205" s="6">
        <f t="shared" si="67"/>
        <v>0</v>
      </c>
      <c r="L1205" s="4" t="str">
        <f>IFERROR(VLOOKUP(ROWS($L$2:L1205),$B$2:$C$1996,2,0),"")</f>
        <v/>
      </c>
      <c r="N1205" s="2" t="str">
        <f>IFERROR(VLOOKUP(ROWS($N$2:N1205),$D$2:$E$1996,2,0),"")</f>
        <v/>
      </c>
    </row>
    <row r="1206" spans="2:14">
      <c r="B1206" s="32">
        <f>IF(ISNUMBER(SEARCH('Φόρμα Εισαγωγής'!$B$2,C1206)),MAX($B$1:B1205)+1,0)</f>
        <v>0</v>
      </c>
      <c r="D1206" s="33">
        <f>IF(ISNUMBER(SEARCH('Φόρμα Εισαγωγής'!$C$2,E1206)),MAX($D$1:D1205)+1,0)</f>
        <v>0</v>
      </c>
      <c r="H1206" s="6">
        <f t="shared" si="65"/>
        <v>0</v>
      </c>
      <c r="I1206" s="6">
        <f t="shared" si="66"/>
        <v>0</v>
      </c>
      <c r="J1206" s="6">
        <f t="shared" si="67"/>
        <v>0</v>
      </c>
      <c r="L1206" s="4" t="str">
        <f>IFERROR(VLOOKUP(ROWS($L$2:L1206),$B$2:$C$1996,2,0),"")</f>
        <v/>
      </c>
      <c r="N1206" s="2" t="str">
        <f>IFERROR(VLOOKUP(ROWS($N$2:N1206),$D$2:$E$1996,2,0),"")</f>
        <v/>
      </c>
    </row>
    <row r="1207" spans="2:14">
      <c r="B1207" s="32">
        <f>IF(ISNUMBER(SEARCH('Φόρμα Εισαγωγής'!$B$2,C1207)),MAX($B$1:B1206)+1,0)</f>
        <v>0</v>
      </c>
      <c r="D1207" s="33">
        <f>IF(ISNUMBER(SEARCH('Φόρμα Εισαγωγής'!$C$2,E1207)),MAX($D$1:D1206)+1,0)</f>
        <v>0</v>
      </c>
      <c r="H1207" s="6">
        <f t="shared" si="65"/>
        <v>0</v>
      </c>
      <c r="I1207" s="6">
        <f t="shared" si="66"/>
        <v>0</v>
      </c>
      <c r="J1207" s="6">
        <f t="shared" si="67"/>
        <v>0</v>
      </c>
      <c r="L1207" s="4" t="str">
        <f>IFERROR(VLOOKUP(ROWS($L$2:L1207),$B$2:$C$1996,2,0),"")</f>
        <v/>
      </c>
      <c r="N1207" s="2" t="str">
        <f>IFERROR(VLOOKUP(ROWS($N$2:N1207),$D$2:$E$1996,2,0),"")</f>
        <v/>
      </c>
    </row>
    <row r="1208" spans="2:14">
      <c r="B1208" s="32">
        <f>IF(ISNUMBER(SEARCH('Φόρμα Εισαγωγής'!$B$2,C1208)),MAX($B$1:B1207)+1,0)</f>
        <v>0</v>
      </c>
      <c r="D1208" s="33">
        <f>IF(ISNUMBER(SEARCH('Φόρμα Εισαγωγής'!$C$2,E1208)),MAX($D$1:D1207)+1,0)</f>
        <v>0</v>
      </c>
      <c r="H1208" s="6">
        <f t="shared" si="65"/>
        <v>0</v>
      </c>
      <c r="I1208" s="6">
        <f t="shared" si="66"/>
        <v>0</v>
      </c>
      <c r="J1208" s="6">
        <f t="shared" si="67"/>
        <v>0</v>
      </c>
      <c r="L1208" s="4" t="str">
        <f>IFERROR(VLOOKUP(ROWS($L$2:L1208),$B$2:$C$1996,2,0),"")</f>
        <v/>
      </c>
      <c r="N1208" s="2" t="str">
        <f>IFERROR(VLOOKUP(ROWS($N$2:N1208),$D$2:$E$1996,2,0),"")</f>
        <v/>
      </c>
    </row>
    <row r="1209" spans="2:14">
      <c r="B1209" s="32">
        <f>IF(ISNUMBER(SEARCH('Φόρμα Εισαγωγής'!$B$2,C1209)),MAX($B$1:B1208)+1,0)</f>
        <v>0</v>
      </c>
      <c r="D1209" s="33">
        <f>IF(ISNUMBER(SEARCH('Φόρμα Εισαγωγής'!$C$2,E1209)),MAX($D$1:D1208)+1,0)</f>
        <v>0</v>
      </c>
      <c r="H1209" s="6">
        <f t="shared" si="65"/>
        <v>0</v>
      </c>
      <c r="I1209" s="6">
        <f t="shared" si="66"/>
        <v>0</v>
      </c>
      <c r="J1209" s="6">
        <f t="shared" si="67"/>
        <v>0</v>
      </c>
      <c r="L1209" s="4" t="str">
        <f>IFERROR(VLOOKUP(ROWS($L$2:L1209),$B$2:$C$1996,2,0),"")</f>
        <v/>
      </c>
      <c r="N1209" s="2" t="str">
        <f>IFERROR(VLOOKUP(ROWS($N$2:N1209),$D$2:$E$1996,2,0),"")</f>
        <v/>
      </c>
    </row>
    <row r="1210" spans="2:14">
      <c r="B1210" s="32">
        <f>IF(ISNUMBER(SEARCH('Φόρμα Εισαγωγής'!$B$2,C1210)),MAX($B$1:B1209)+1,0)</f>
        <v>0</v>
      </c>
      <c r="D1210" s="33">
        <f>IF(ISNUMBER(SEARCH('Φόρμα Εισαγωγής'!$C$2,E1210)),MAX($D$1:D1209)+1,0)</f>
        <v>0</v>
      </c>
      <c r="H1210" s="6">
        <f t="shared" si="65"/>
        <v>0</v>
      </c>
      <c r="I1210" s="6">
        <f t="shared" si="66"/>
        <v>0</v>
      </c>
      <c r="J1210" s="6">
        <f t="shared" si="67"/>
        <v>0</v>
      </c>
      <c r="L1210" s="4" t="str">
        <f>IFERROR(VLOOKUP(ROWS($L$2:L1210),$B$2:$C$1996,2,0),"")</f>
        <v/>
      </c>
      <c r="N1210" s="2" t="str">
        <f>IFERROR(VLOOKUP(ROWS($N$2:N1210),$D$2:$E$1996,2,0),"")</f>
        <v/>
      </c>
    </row>
    <row r="1211" spans="2:14">
      <c r="B1211" s="32">
        <f>IF(ISNUMBER(SEARCH('Φόρμα Εισαγωγής'!$B$2,C1211)),MAX($B$1:B1210)+1,0)</f>
        <v>0</v>
      </c>
      <c r="D1211" s="33">
        <f>IF(ISNUMBER(SEARCH('Φόρμα Εισαγωγής'!$C$2,E1211)),MAX($D$1:D1210)+1,0)</f>
        <v>0</v>
      </c>
      <c r="H1211" s="6">
        <f t="shared" si="65"/>
        <v>0</v>
      </c>
      <c r="I1211" s="6">
        <f t="shared" si="66"/>
        <v>0</v>
      </c>
      <c r="J1211" s="6">
        <f t="shared" si="67"/>
        <v>0</v>
      </c>
      <c r="L1211" s="4" t="str">
        <f>IFERROR(VLOOKUP(ROWS($L$2:L1211),$B$2:$C$1996,2,0),"")</f>
        <v/>
      </c>
      <c r="N1211" s="2" t="str">
        <f>IFERROR(VLOOKUP(ROWS($N$2:N1211),$D$2:$E$1996,2,0),"")</f>
        <v/>
      </c>
    </row>
    <row r="1212" spans="2:14">
      <c r="B1212" s="32">
        <f>IF(ISNUMBER(SEARCH('Φόρμα Εισαγωγής'!$B$2,C1212)),MAX($B$1:B1211)+1,0)</f>
        <v>0</v>
      </c>
      <c r="D1212" s="33">
        <f>IF(ISNUMBER(SEARCH('Φόρμα Εισαγωγής'!$C$2,E1212)),MAX($D$1:D1211)+1,0)</f>
        <v>0</v>
      </c>
      <c r="H1212" s="6">
        <f t="shared" si="65"/>
        <v>0</v>
      </c>
      <c r="I1212" s="6">
        <f t="shared" si="66"/>
        <v>0</v>
      </c>
      <c r="J1212" s="6">
        <f t="shared" si="67"/>
        <v>0</v>
      </c>
      <c r="L1212" s="4" t="str">
        <f>IFERROR(VLOOKUP(ROWS($L$2:L1212),$B$2:$C$1996,2,0),"")</f>
        <v/>
      </c>
      <c r="N1212" s="2" t="str">
        <f>IFERROR(VLOOKUP(ROWS($N$2:N1212),$D$2:$E$1996,2,0),"")</f>
        <v/>
      </c>
    </row>
    <row r="1213" spans="2:14">
      <c r="B1213" s="32">
        <f>IF(ISNUMBER(SEARCH('Φόρμα Εισαγωγής'!$B$2,C1213)),MAX($B$1:B1212)+1,0)</f>
        <v>0</v>
      </c>
      <c r="D1213" s="33">
        <f>IF(ISNUMBER(SEARCH('Φόρμα Εισαγωγής'!$C$2,E1213)),MAX($D$1:D1212)+1,0)</f>
        <v>0</v>
      </c>
      <c r="H1213" s="6">
        <f t="shared" si="65"/>
        <v>0</v>
      </c>
      <c r="I1213" s="6">
        <f t="shared" si="66"/>
        <v>0</v>
      </c>
      <c r="J1213" s="6">
        <f t="shared" si="67"/>
        <v>0</v>
      </c>
      <c r="L1213" s="4" t="str">
        <f>IFERROR(VLOOKUP(ROWS($L$2:L1213),$B$2:$C$1996,2,0),"")</f>
        <v/>
      </c>
      <c r="N1213" s="2" t="str">
        <f>IFERROR(VLOOKUP(ROWS($N$2:N1213),$D$2:$E$1996,2,0),"")</f>
        <v/>
      </c>
    </row>
    <row r="1214" spans="2:14">
      <c r="B1214" s="32">
        <f>IF(ISNUMBER(SEARCH('Φόρμα Εισαγωγής'!$B$2,C1214)),MAX($B$1:B1213)+1,0)</f>
        <v>0</v>
      </c>
      <c r="D1214" s="33">
        <f>IF(ISNUMBER(SEARCH('Φόρμα Εισαγωγής'!$C$2,E1214)),MAX($D$1:D1213)+1,0)</f>
        <v>0</v>
      </c>
      <c r="H1214" s="6">
        <f t="shared" si="65"/>
        <v>0</v>
      </c>
      <c r="I1214" s="6">
        <f t="shared" si="66"/>
        <v>0</v>
      </c>
      <c r="J1214" s="6">
        <f t="shared" si="67"/>
        <v>0</v>
      </c>
      <c r="L1214" s="4" t="str">
        <f>IFERROR(VLOOKUP(ROWS($L$2:L1214),$B$2:$C$1996,2,0),"")</f>
        <v/>
      </c>
      <c r="N1214" s="2" t="str">
        <f>IFERROR(VLOOKUP(ROWS($N$2:N1214),$D$2:$E$1996,2,0),"")</f>
        <v/>
      </c>
    </row>
    <row r="1215" spans="2:14">
      <c r="B1215" s="32">
        <f>IF(ISNUMBER(SEARCH('Φόρμα Εισαγωγής'!$B$2,C1215)),MAX($B$1:B1214)+1,0)</f>
        <v>0</v>
      </c>
      <c r="D1215" s="33">
        <f>IF(ISNUMBER(SEARCH('Φόρμα Εισαγωγής'!$C$2,E1215)),MAX($D$1:D1214)+1,0)</f>
        <v>0</v>
      </c>
      <c r="H1215" s="6">
        <f t="shared" si="65"/>
        <v>0</v>
      </c>
      <c r="I1215" s="6">
        <f t="shared" si="66"/>
        <v>0</v>
      </c>
      <c r="J1215" s="6">
        <f t="shared" si="67"/>
        <v>0</v>
      </c>
      <c r="L1215" s="4" t="str">
        <f>IFERROR(VLOOKUP(ROWS($L$2:L1215),$B$2:$C$1996,2,0),"")</f>
        <v/>
      </c>
      <c r="N1215" s="2" t="str">
        <f>IFERROR(VLOOKUP(ROWS($N$2:N1215),$D$2:$E$1996,2,0),"")</f>
        <v/>
      </c>
    </row>
    <row r="1216" spans="2:14">
      <c r="B1216" s="32">
        <f>IF(ISNUMBER(SEARCH('Φόρμα Εισαγωγής'!$B$2,C1216)),MAX($B$1:B1215)+1,0)</f>
        <v>0</v>
      </c>
      <c r="D1216" s="33">
        <f>IF(ISNUMBER(SEARCH('Φόρμα Εισαγωγής'!$C$2,E1216)),MAX($D$1:D1215)+1,0)</f>
        <v>0</v>
      </c>
      <c r="H1216" s="6">
        <f t="shared" ref="H1216:H1279" si="68">G1216+(G1216*0.24)</f>
        <v>0</v>
      </c>
      <c r="I1216" s="6">
        <f t="shared" ref="I1216:I1279" si="69">F1216*A1216</f>
        <v>0</v>
      </c>
      <c r="J1216" s="6">
        <f t="shared" ref="J1216:J1279" si="70">H1216*A1216</f>
        <v>0</v>
      </c>
      <c r="L1216" s="4" t="str">
        <f>IFERROR(VLOOKUP(ROWS($L$2:L1216),$B$2:$C$1996,2,0),"")</f>
        <v/>
      </c>
      <c r="N1216" s="2" t="str">
        <f>IFERROR(VLOOKUP(ROWS($N$2:N1216),$D$2:$E$1996,2,0),"")</f>
        <v/>
      </c>
    </row>
    <row r="1217" spans="2:14">
      <c r="B1217" s="32">
        <f>IF(ISNUMBER(SEARCH('Φόρμα Εισαγωγής'!$B$2,C1217)),MAX($B$1:B1216)+1,0)</f>
        <v>0</v>
      </c>
      <c r="D1217" s="33">
        <f>IF(ISNUMBER(SEARCH('Φόρμα Εισαγωγής'!$C$2,E1217)),MAX($D$1:D1216)+1,0)</f>
        <v>0</v>
      </c>
      <c r="H1217" s="6">
        <f t="shared" si="68"/>
        <v>0</v>
      </c>
      <c r="I1217" s="6">
        <f t="shared" si="69"/>
        <v>0</v>
      </c>
      <c r="J1217" s="6">
        <f t="shared" si="70"/>
        <v>0</v>
      </c>
      <c r="L1217" s="4" t="str">
        <f>IFERROR(VLOOKUP(ROWS($L$2:L1217),$B$2:$C$1996,2,0),"")</f>
        <v/>
      </c>
      <c r="N1217" s="2" t="str">
        <f>IFERROR(VLOOKUP(ROWS($N$2:N1217),$D$2:$E$1996,2,0),"")</f>
        <v/>
      </c>
    </row>
    <row r="1218" spans="2:14">
      <c r="B1218" s="32">
        <f>IF(ISNUMBER(SEARCH('Φόρμα Εισαγωγής'!$B$2,C1218)),MAX($B$1:B1217)+1,0)</f>
        <v>0</v>
      </c>
      <c r="D1218" s="33">
        <f>IF(ISNUMBER(SEARCH('Φόρμα Εισαγωγής'!$C$2,E1218)),MAX($D$1:D1217)+1,0)</f>
        <v>0</v>
      </c>
      <c r="H1218" s="6">
        <f t="shared" si="68"/>
        <v>0</v>
      </c>
      <c r="I1218" s="6">
        <f t="shared" si="69"/>
        <v>0</v>
      </c>
      <c r="J1218" s="6">
        <f t="shared" si="70"/>
        <v>0</v>
      </c>
      <c r="L1218" s="4" t="str">
        <f>IFERROR(VLOOKUP(ROWS($L$2:L1218),$B$2:$C$1996,2,0),"")</f>
        <v/>
      </c>
      <c r="N1218" s="2" t="str">
        <f>IFERROR(VLOOKUP(ROWS($N$2:N1218),$D$2:$E$1996,2,0),"")</f>
        <v/>
      </c>
    </row>
    <row r="1219" spans="2:14">
      <c r="B1219" s="32">
        <f>IF(ISNUMBER(SEARCH('Φόρμα Εισαγωγής'!$B$2,C1219)),MAX($B$1:B1218)+1,0)</f>
        <v>0</v>
      </c>
      <c r="D1219" s="33">
        <f>IF(ISNUMBER(SEARCH('Φόρμα Εισαγωγής'!$C$2,E1219)),MAX($D$1:D1218)+1,0)</f>
        <v>0</v>
      </c>
      <c r="H1219" s="6">
        <f t="shared" si="68"/>
        <v>0</v>
      </c>
      <c r="I1219" s="6">
        <f t="shared" si="69"/>
        <v>0</v>
      </c>
      <c r="J1219" s="6">
        <f t="shared" si="70"/>
        <v>0</v>
      </c>
      <c r="L1219" s="4" t="str">
        <f>IFERROR(VLOOKUP(ROWS($L$2:L1219),$B$2:$C$1996,2,0),"")</f>
        <v/>
      </c>
      <c r="N1219" s="2" t="str">
        <f>IFERROR(VLOOKUP(ROWS($N$2:N1219),$D$2:$E$1996,2,0),"")</f>
        <v/>
      </c>
    </row>
    <row r="1220" spans="2:14">
      <c r="B1220" s="32">
        <f>IF(ISNUMBER(SEARCH('Φόρμα Εισαγωγής'!$B$2,C1220)),MAX($B$1:B1219)+1,0)</f>
        <v>0</v>
      </c>
      <c r="D1220" s="33">
        <f>IF(ISNUMBER(SEARCH('Φόρμα Εισαγωγής'!$C$2,E1220)),MAX($D$1:D1219)+1,0)</f>
        <v>0</v>
      </c>
      <c r="H1220" s="6">
        <f t="shared" si="68"/>
        <v>0</v>
      </c>
      <c r="I1220" s="6">
        <f t="shared" si="69"/>
        <v>0</v>
      </c>
      <c r="J1220" s="6">
        <f t="shared" si="70"/>
        <v>0</v>
      </c>
      <c r="L1220" s="4" t="str">
        <f>IFERROR(VLOOKUP(ROWS($L$2:L1220),$B$2:$C$1996,2,0),"")</f>
        <v/>
      </c>
      <c r="N1220" s="2" t="str">
        <f>IFERROR(VLOOKUP(ROWS($N$2:N1220),$D$2:$E$1996,2,0),"")</f>
        <v/>
      </c>
    </row>
    <row r="1221" spans="2:14">
      <c r="B1221" s="32">
        <f>IF(ISNUMBER(SEARCH('Φόρμα Εισαγωγής'!$B$2,C1221)),MAX($B$1:B1220)+1,0)</f>
        <v>0</v>
      </c>
      <c r="D1221" s="33">
        <f>IF(ISNUMBER(SEARCH('Φόρμα Εισαγωγής'!$C$2,E1221)),MAX($D$1:D1220)+1,0)</f>
        <v>0</v>
      </c>
      <c r="H1221" s="6">
        <f t="shared" si="68"/>
        <v>0</v>
      </c>
      <c r="I1221" s="6">
        <f t="shared" si="69"/>
        <v>0</v>
      </c>
      <c r="J1221" s="6">
        <f t="shared" si="70"/>
        <v>0</v>
      </c>
      <c r="L1221" s="4" t="str">
        <f>IFERROR(VLOOKUP(ROWS($L$2:L1221),$B$2:$C$1996,2,0),"")</f>
        <v/>
      </c>
      <c r="N1221" s="2" t="str">
        <f>IFERROR(VLOOKUP(ROWS($N$2:N1221),$D$2:$E$1996,2,0),"")</f>
        <v/>
      </c>
    </row>
    <row r="1222" spans="2:14">
      <c r="B1222" s="32">
        <f>IF(ISNUMBER(SEARCH('Φόρμα Εισαγωγής'!$B$2,C1222)),MAX($B$1:B1221)+1,0)</f>
        <v>0</v>
      </c>
      <c r="D1222" s="33">
        <f>IF(ISNUMBER(SEARCH('Φόρμα Εισαγωγής'!$C$2,E1222)),MAX($D$1:D1221)+1,0)</f>
        <v>0</v>
      </c>
      <c r="H1222" s="6">
        <f t="shared" si="68"/>
        <v>0</v>
      </c>
      <c r="I1222" s="6">
        <f t="shared" si="69"/>
        <v>0</v>
      </c>
      <c r="J1222" s="6">
        <f t="shared" si="70"/>
        <v>0</v>
      </c>
      <c r="L1222" s="4" t="str">
        <f>IFERROR(VLOOKUP(ROWS($L$2:L1222),$B$2:$C$1996,2,0),"")</f>
        <v/>
      </c>
      <c r="N1222" s="2" t="str">
        <f>IFERROR(VLOOKUP(ROWS($N$2:N1222),$D$2:$E$1996,2,0),"")</f>
        <v/>
      </c>
    </row>
    <row r="1223" spans="2:14">
      <c r="B1223" s="32">
        <f>IF(ISNUMBER(SEARCH('Φόρμα Εισαγωγής'!$B$2,C1223)),MAX($B$1:B1222)+1,0)</f>
        <v>0</v>
      </c>
      <c r="D1223" s="33">
        <f>IF(ISNUMBER(SEARCH('Φόρμα Εισαγωγής'!$C$2,E1223)),MAX($D$1:D1222)+1,0)</f>
        <v>0</v>
      </c>
      <c r="H1223" s="6">
        <f t="shared" si="68"/>
        <v>0</v>
      </c>
      <c r="I1223" s="6">
        <f t="shared" si="69"/>
        <v>0</v>
      </c>
      <c r="J1223" s="6">
        <f t="shared" si="70"/>
        <v>0</v>
      </c>
      <c r="L1223" s="4" t="str">
        <f>IFERROR(VLOOKUP(ROWS($L$2:L1223),$B$2:$C$1996,2,0),"")</f>
        <v/>
      </c>
      <c r="N1223" s="2" t="str">
        <f>IFERROR(VLOOKUP(ROWS($N$2:N1223),$D$2:$E$1996,2,0),"")</f>
        <v/>
      </c>
    </row>
    <row r="1224" spans="2:14">
      <c r="B1224" s="32">
        <f>IF(ISNUMBER(SEARCH('Φόρμα Εισαγωγής'!$B$2,C1224)),MAX($B$1:B1223)+1,0)</f>
        <v>0</v>
      </c>
      <c r="D1224" s="33">
        <f>IF(ISNUMBER(SEARCH('Φόρμα Εισαγωγής'!$C$2,E1224)),MAX($D$1:D1223)+1,0)</f>
        <v>0</v>
      </c>
      <c r="H1224" s="6">
        <f t="shared" si="68"/>
        <v>0</v>
      </c>
      <c r="I1224" s="6">
        <f t="shared" si="69"/>
        <v>0</v>
      </c>
      <c r="J1224" s="6">
        <f t="shared" si="70"/>
        <v>0</v>
      </c>
      <c r="L1224" s="4" t="str">
        <f>IFERROR(VLOOKUP(ROWS($L$2:L1224),$B$2:$C$1996,2,0),"")</f>
        <v/>
      </c>
      <c r="N1224" s="2" t="str">
        <f>IFERROR(VLOOKUP(ROWS($N$2:N1224),$D$2:$E$1996,2,0),"")</f>
        <v/>
      </c>
    </row>
    <row r="1225" spans="2:14">
      <c r="B1225" s="32">
        <f>IF(ISNUMBER(SEARCH('Φόρμα Εισαγωγής'!$B$2,C1225)),MAX($B$1:B1224)+1,0)</f>
        <v>0</v>
      </c>
      <c r="D1225" s="33">
        <f>IF(ISNUMBER(SEARCH('Φόρμα Εισαγωγής'!$C$2,E1225)),MAX($D$1:D1224)+1,0)</f>
        <v>0</v>
      </c>
      <c r="H1225" s="6">
        <f t="shared" si="68"/>
        <v>0</v>
      </c>
      <c r="I1225" s="6">
        <f t="shared" si="69"/>
        <v>0</v>
      </c>
      <c r="J1225" s="6">
        <f t="shared" si="70"/>
        <v>0</v>
      </c>
      <c r="L1225" s="4" t="str">
        <f>IFERROR(VLOOKUP(ROWS($L$2:L1225),$B$2:$C$1996,2,0),"")</f>
        <v/>
      </c>
      <c r="N1225" s="2" t="str">
        <f>IFERROR(VLOOKUP(ROWS($N$2:N1225),$D$2:$E$1996,2,0),"")</f>
        <v/>
      </c>
    </row>
    <row r="1226" spans="2:14">
      <c r="B1226" s="32">
        <f>IF(ISNUMBER(SEARCH('Φόρμα Εισαγωγής'!$B$2,C1226)),MAX($B$1:B1225)+1,0)</f>
        <v>0</v>
      </c>
      <c r="D1226" s="33">
        <f>IF(ISNUMBER(SEARCH('Φόρμα Εισαγωγής'!$C$2,E1226)),MAX($D$1:D1225)+1,0)</f>
        <v>0</v>
      </c>
      <c r="H1226" s="6">
        <f t="shared" si="68"/>
        <v>0</v>
      </c>
      <c r="I1226" s="6">
        <f t="shared" si="69"/>
        <v>0</v>
      </c>
      <c r="J1226" s="6">
        <f t="shared" si="70"/>
        <v>0</v>
      </c>
      <c r="L1226" s="4" t="str">
        <f>IFERROR(VLOOKUP(ROWS($L$2:L1226),$B$2:$C$1996,2,0),"")</f>
        <v/>
      </c>
      <c r="N1226" s="2" t="str">
        <f>IFERROR(VLOOKUP(ROWS($N$2:N1226),$D$2:$E$1996,2,0),"")</f>
        <v/>
      </c>
    </row>
    <row r="1227" spans="2:14">
      <c r="B1227" s="32">
        <f>IF(ISNUMBER(SEARCH('Φόρμα Εισαγωγής'!$B$2,C1227)),MAX($B$1:B1226)+1,0)</f>
        <v>0</v>
      </c>
      <c r="D1227" s="33">
        <f>IF(ISNUMBER(SEARCH('Φόρμα Εισαγωγής'!$C$2,E1227)),MAX($D$1:D1226)+1,0)</f>
        <v>0</v>
      </c>
      <c r="H1227" s="6">
        <f t="shared" si="68"/>
        <v>0</v>
      </c>
      <c r="I1227" s="6">
        <f t="shared" si="69"/>
        <v>0</v>
      </c>
      <c r="J1227" s="6">
        <f t="shared" si="70"/>
        <v>0</v>
      </c>
      <c r="L1227" s="4" t="str">
        <f>IFERROR(VLOOKUP(ROWS($L$2:L1227),$B$2:$C$1996,2,0),"")</f>
        <v/>
      </c>
      <c r="N1227" s="2" t="str">
        <f>IFERROR(VLOOKUP(ROWS($N$2:N1227),$D$2:$E$1996,2,0),"")</f>
        <v/>
      </c>
    </row>
    <row r="1228" spans="2:14">
      <c r="B1228" s="32">
        <f>IF(ISNUMBER(SEARCH('Φόρμα Εισαγωγής'!$B$2,C1228)),MAX($B$1:B1227)+1,0)</f>
        <v>0</v>
      </c>
      <c r="D1228" s="33">
        <f>IF(ISNUMBER(SEARCH('Φόρμα Εισαγωγής'!$C$2,E1228)),MAX($D$1:D1227)+1,0)</f>
        <v>0</v>
      </c>
      <c r="H1228" s="6">
        <f t="shared" si="68"/>
        <v>0</v>
      </c>
      <c r="I1228" s="6">
        <f t="shared" si="69"/>
        <v>0</v>
      </c>
      <c r="J1228" s="6">
        <f t="shared" si="70"/>
        <v>0</v>
      </c>
      <c r="L1228" s="4" t="str">
        <f>IFERROR(VLOOKUP(ROWS($L$2:L1228),$B$2:$C$1996,2,0),"")</f>
        <v/>
      </c>
      <c r="N1228" s="2" t="str">
        <f>IFERROR(VLOOKUP(ROWS($N$2:N1228),$D$2:$E$1996,2,0),"")</f>
        <v/>
      </c>
    </row>
    <row r="1229" spans="2:14">
      <c r="B1229" s="32">
        <f>IF(ISNUMBER(SEARCH('Φόρμα Εισαγωγής'!$B$2,C1229)),MAX($B$1:B1228)+1,0)</f>
        <v>0</v>
      </c>
      <c r="D1229" s="33">
        <f>IF(ISNUMBER(SEARCH('Φόρμα Εισαγωγής'!$C$2,E1229)),MAX($D$1:D1228)+1,0)</f>
        <v>0</v>
      </c>
      <c r="H1229" s="6">
        <f t="shared" si="68"/>
        <v>0</v>
      </c>
      <c r="I1229" s="6">
        <f t="shared" si="69"/>
        <v>0</v>
      </c>
      <c r="J1229" s="6">
        <f t="shared" si="70"/>
        <v>0</v>
      </c>
      <c r="L1229" s="4" t="str">
        <f>IFERROR(VLOOKUP(ROWS($L$2:L1229),$B$2:$C$1996,2,0),"")</f>
        <v/>
      </c>
      <c r="N1229" s="2" t="str">
        <f>IFERROR(VLOOKUP(ROWS($N$2:N1229),$D$2:$E$1996,2,0),"")</f>
        <v/>
      </c>
    </row>
    <row r="1230" spans="2:14">
      <c r="B1230" s="32">
        <f>IF(ISNUMBER(SEARCH('Φόρμα Εισαγωγής'!$B$2,C1230)),MAX($B$1:B1229)+1,0)</f>
        <v>0</v>
      </c>
      <c r="D1230" s="33">
        <f>IF(ISNUMBER(SEARCH('Φόρμα Εισαγωγής'!$C$2,E1230)),MAX($D$1:D1229)+1,0)</f>
        <v>0</v>
      </c>
      <c r="H1230" s="6">
        <f t="shared" si="68"/>
        <v>0</v>
      </c>
      <c r="I1230" s="6">
        <f t="shared" si="69"/>
        <v>0</v>
      </c>
      <c r="J1230" s="6">
        <f t="shared" si="70"/>
        <v>0</v>
      </c>
      <c r="L1230" s="4" t="str">
        <f>IFERROR(VLOOKUP(ROWS($L$2:L1230),$B$2:$C$1996,2,0),"")</f>
        <v/>
      </c>
      <c r="N1230" s="2" t="str">
        <f>IFERROR(VLOOKUP(ROWS($N$2:N1230),$D$2:$E$1996,2,0),"")</f>
        <v/>
      </c>
    </row>
    <row r="1231" spans="2:14">
      <c r="B1231" s="32">
        <f>IF(ISNUMBER(SEARCH('Φόρμα Εισαγωγής'!$B$2,C1231)),MAX($B$1:B1230)+1,0)</f>
        <v>0</v>
      </c>
      <c r="D1231" s="33">
        <f>IF(ISNUMBER(SEARCH('Φόρμα Εισαγωγής'!$C$2,E1231)),MAX($D$1:D1230)+1,0)</f>
        <v>0</v>
      </c>
      <c r="H1231" s="6">
        <f t="shared" si="68"/>
        <v>0</v>
      </c>
      <c r="I1231" s="6">
        <f t="shared" si="69"/>
        <v>0</v>
      </c>
      <c r="J1231" s="6">
        <f t="shared" si="70"/>
        <v>0</v>
      </c>
      <c r="L1231" s="4" t="str">
        <f>IFERROR(VLOOKUP(ROWS($L$2:L1231),$B$2:$C$1996,2,0),"")</f>
        <v/>
      </c>
      <c r="N1231" s="2" t="str">
        <f>IFERROR(VLOOKUP(ROWS($N$2:N1231),$D$2:$E$1996,2,0),"")</f>
        <v/>
      </c>
    </row>
    <row r="1232" spans="2:14">
      <c r="B1232" s="32">
        <f>IF(ISNUMBER(SEARCH('Φόρμα Εισαγωγής'!$B$2,C1232)),MAX($B$1:B1231)+1,0)</f>
        <v>0</v>
      </c>
      <c r="D1232" s="33">
        <f>IF(ISNUMBER(SEARCH('Φόρμα Εισαγωγής'!$C$2,E1232)),MAX($D$1:D1231)+1,0)</f>
        <v>0</v>
      </c>
      <c r="H1232" s="6">
        <f t="shared" si="68"/>
        <v>0</v>
      </c>
      <c r="I1232" s="6">
        <f t="shared" si="69"/>
        <v>0</v>
      </c>
      <c r="J1232" s="6">
        <f t="shared" si="70"/>
        <v>0</v>
      </c>
      <c r="L1232" s="4" t="str">
        <f>IFERROR(VLOOKUP(ROWS($L$2:L1232),$B$2:$C$1996,2,0),"")</f>
        <v/>
      </c>
      <c r="N1232" s="2" t="str">
        <f>IFERROR(VLOOKUP(ROWS($N$2:N1232),$D$2:$E$1996,2,0),"")</f>
        <v/>
      </c>
    </row>
    <row r="1233" spans="2:14">
      <c r="B1233" s="32">
        <f>IF(ISNUMBER(SEARCH('Φόρμα Εισαγωγής'!$B$2,C1233)),MAX($B$1:B1232)+1,0)</f>
        <v>0</v>
      </c>
      <c r="D1233" s="33">
        <f>IF(ISNUMBER(SEARCH('Φόρμα Εισαγωγής'!$C$2,E1233)),MAX($D$1:D1232)+1,0)</f>
        <v>0</v>
      </c>
      <c r="H1233" s="6">
        <f t="shared" si="68"/>
        <v>0</v>
      </c>
      <c r="I1233" s="6">
        <f t="shared" si="69"/>
        <v>0</v>
      </c>
      <c r="J1233" s="6">
        <f t="shared" si="70"/>
        <v>0</v>
      </c>
      <c r="L1233" s="4" t="str">
        <f>IFERROR(VLOOKUP(ROWS($L$2:L1233),$B$2:$C$1996,2,0),"")</f>
        <v/>
      </c>
      <c r="N1233" s="2" t="str">
        <f>IFERROR(VLOOKUP(ROWS($N$2:N1233),$D$2:$E$1996,2,0),"")</f>
        <v/>
      </c>
    </row>
    <row r="1234" spans="2:14">
      <c r="B1234" s="32">
        <f>IF(ISNUMBER(SEARCH('Φόρμα Εισαγωγής'!$B$2,C1234)),MAX($B$1:B1233)+1,0)</f>
        <v>0</v>
      </c>
      <c r="D1234" s="33">
        <f>IF(ISNUMBER(SEARCH('Φόρμα Εισαγωγής'!$C$2,E1234)),MAX($D$1:D1233)+1,0)</f>
        <v>0</v>
      </c>
      <c r="H1234" s="6">
        <f t="shared" si="68"/>
        <v>0</v>
      </c>
      <c r="I1234" s="6">
        <f t="shared" si="69"/>
        <v>0</v>
      </c>
      <c r="J1234" s="6">
        <f t="shared" si="70"/>
        <v>0</v>
      </c>
      <c r="L1234" s="4" t="str">
        <f>IFERROR(VLOOKUP(ROWS($L$2:L1234),$B$2:$C$1996,2,0),"")</f>
        <v/>
      </c>
      <c r="N1234" s="2" t="str">
        <f>IFERROR(VLOOKUP(ROWS($N$2:N1234),$D$2:$E$1996,2,0),"")</f>
        <v/>
      </c>
    </row>
    <row r="1235" spans="2:14">
      <c r="B1235" s="32">
        <f>IF(ISNUMBER(SEARCH('Φόρμα Εισαγωγής'!$B$2,C1235)),MAX($B$1:B1234)+1,0)</f>
        <v>0</v>
      </c>
      <c r="D1235" s="33">
        <f>IF(ISNUMBER(SEARCH('Φόρμα Εισαγωγής'!$C$2,E1235)),MAX($D$1:D1234)+1,0)</f>
        <v>0</v>
      </c>
      <c r="H1235" s="6">
        <f t="shared" si="68"/>
        <v>0</v>
      </c>
      <c r="I1235" s="6">
        <f t="shared" si="69"/>
        <v>0</v>
      </c>
      <c r="J1235" s="6">
        <f t="shared" si="70"/>
        <v>0</v>
      </c>
      <c r="L1235" s="4" t="str">
        <f>IFERROR(VLOOKUP(ROWS($L$2:L1235),$B$2:$C$1996,2,0),"")</f>
        <v/>
      </c>
      <c r="N1235" s="2" t="str">
        <f>IFERROR(VLOOKUP(ROWS($N$2:N1235),$D$2:$E$1996,2,0),"")</f>
        <v/>
      </c>
    </row>
    <row r="1236" spans="2:14">
      <c r="B1236" s="32">
        <f>IF(ISNUMBER(SEARCH('Φόρμα Εισαγωγής'!$B$2,C1236)),MAX($B$1:B1235)+1,0)</f>
        <v>0</v>
      </c>
      <c r="D1236" s="33">
        <f>IF(ISNUMBER(SEARCH('Φόρμα Εισαγωγής'!$C$2,E1236)),MAX($D$1:D1235)+1,0)</f>
        <v>0</v>
      </c>
      <c r="H1236" s="6">
        <f t="shared" si="68"/>
        <v>0</v>
      </c>
      <c r="I1236" s="6">
        <f t="shared" si="69"/>
        <v>0</v>
      </c>
      <c r="J1236" s="6">
        <f t="shared" si="70"/>
        <v>0</v>
      </c>
      <c r="L1236" s="4" t="str">
        <f>IFERROR(VLOOKUP(ROWS($L$2:L1236),$B$2:$C$1996,2,0),"")</f>
        <v/>
      </c>
      <c r="N1236" s="2" t="str">
        <f>IFERROR(VLOOKUP(ROWS($N$2:N1236),$D$2:$E$1996,2,0),"")</f>
        <v/>
      </c>
    </row>
    <row r="1237" spans="2:14">
      <c r="B1237" s="32">
        <f>IF(ISNUMBER(SEARCH('Φόρμα Εισαγωγής'!$B$2,C1237)),MAX($B$1:B1236)+1,0)</f>
        <v>0</v>
      </c>
      <c r="D1237" s="33">
        <f>IF(ISNUMBER(SEARCH('Φόρμα Εισαγωγής'!$C$2,E1237)),MAX($D$1:D1236)+1,0)</f>
        <v>0</v>
      </c>
      <c r="H1237" s="6">
        <f t="shared" si="68"/>
        <v>0</v>
      </c>
      <c r="I1237" s="6">
        <f t="shared" si="69"/>
        <v>0</v>
      </c>
      <c r="J1237" s="6">
        <f t="shared" si="70"/>
        <v>0</v>
      </c>
      <c r="L1237" s="4" t="str">
        <f>IFERROR(VLOOKUP(ROWS($L$2:L1237),$B$2:$C$1996,2,0),"")</f>
        <v/>
      </c>
      <c r="N1237" s="2" t="str">
        <f>IFERROR(VLOOKUP(ROWS($N$2:N1237),$D$2:$E$1996,2,0),"")</f>
        <v/>
      </c>
    </row>
    <row r="1238" spans="2:14">
      <c r="B1238" s="32">
        <f>IF(ISNUMBER(SEARCH('Φόρμα Εισαγωγής'!$B$2,C1238)),MAX($B$1:B1237)+1,0)</f>
        <v>0</v>
      </c>
      <c r="D1238" s="33">
        <f>IF(ISNUMBER(SEARCH('Φόρμα Εισαγωγής'!$C$2,E1238)),MAX($D$1:D1237)+1,0)</f>
        <v>0</v>
      </c>
      <c r="H1238" s="6">
        <f t="shared" si="68"/>
        <v>0</v>
      </c>
      <c r="I1238" s="6">
        <f t="shared" si="69"/>
        <v>0</v>
      </c>
      <c r="J1238" s="6">
        <f t="shared" si="70"/>
        <v>0</v>
      </c>
      <c r="L1238" s="4" t="str">
        <f>IFERROR(VLOOKUP(ROWS($L$2:L1238),$B$2:$C$1996,2,0),"")</f>
        <v/>
      </c>
      <c r="N1238" s="2" t="str">
        <f>IFERROR(VLOOKUP(ROWS($N$2:N1238),$D$2:$E$1996,2,0),"")</f>
        <v/>
      </c>
    </row>
    <row r="1239" spans="2:14">
      <c r="B1239" s="32">
        <f>IF(ISNUMBER(SEARCH('Φόρμα Εισαγωγής'!$B$2,C1239)),MAX($B$1:B1238)+1,0)</f>
        <v>0</v>
      </c>
      <c r="D1239" s="33">
        <f>IF(ISNUMBER(SEARCH('Φόρμα Εισαγωγής'!$C$2,E1239)),MAX($D$1:D1238)+1,0)</f>
        <v>0</v>
      </c>
      <c r="H1239" s="6">
        <f t="shared" si="68"/>
        <v>0</v>
      </c>
      <c r="I1239" s="6">
        <f t="shared" si="69"/>
        <v>0</v>
      </c>
      <c r="J1239" s="6">
        <f t="shared" si="70"/>
        <v>0</v>
      </c>
      <c r="L1239" s="4" t="str">
        <f>IFERROR(VLOOKUP(ROWS($L$2:L1239),$B$2:$C$1996,2,0),"")</f>
        <v/>
      </c>
      <c r="N1239" s="2" t="str">
        <f>IFERROR(VLOOKUP(ROWS($N$2:N1239),$D$2:$E$1996,2,0),"")</f>
        <v/>
      </c>
    </row>
    <row r="1240" spans="2:14">
      <c r="B1240" s="32">
        <f>IF(ISNUMBER(SEARCH('Φόρμα Εισαγωγής'!$B$2,C1240)),MAX($B$1:B1239)+1,0)</f>
        <v>0</v>
      </c>
      <c r="D1240" s="33">
        <f>IF(ISNUMBER(SEARCH('Φόρμα Εισαγωγής'!$C$2,E1240)),MAX($D$1:D1239)+1,0)</f>
        <v>0</v>
      </c>
      <c r="H1240" s="6">
        <f t="shared" si="68"/>
        <v>0</v>
      </c>
      <c r="I1240" s="6">
        <f t="shared" si="69"/>
        <v>0</v>
      </c>
      <c r="J1240" s="6">
        <f t="shared" si="70"/>
        <v>0</v>
      </c>
      <c r="L1240" s="4" t="str">
        <f>IFERROR(VLOOKUP(ROWS($L$2:L1240),$B$2:$C$1996,2,0),"")</f>
        <v/>
      </c>
      <c r="N1240" s="2" t="str">
        <f>IFERROR(VLOOKUP(ROWS($N$2:N1240),$D$2:$E$1996,2,0),"")</f>
        <v/>
      </c>
    </row>
    <row r="1241" spans="2:14">
      <c r="B1241" s="32">
        <f>IF(ISNUMBER(SEARCH('Φόρμα Εισαγωγής'!$B$2,C1241)),MAX($B$1:B1240)+1,0)</f>
        <v>0</v>
      </c>
      <c r="D1241" s="33">
        <f>IF(ISNUMBER(SEARCH('Φόρμα Εισαγωγής'!$C$2,E1241)),MAX($D$1:D1240)+1,0)</f>
        <v>0</v>
      </c>
      <c r="H1241" s="6">
        <f t="shared" si="68"/>
        <v>0</v>
      </c>
      <c r="I1241" s="6">
        <f t="shared" si="69"/>
        <v>0</v>
      </c>
      <c r="J1241" s="6">
        <f t="shared" si="70"/>
        <v>0</v>
      </c>
      <c r="L1241" s="4" t="str">
        <f>IFERROR(VLOOKUP(ROWS($L$2:L1241),$B$2:$C$1996,2,0),"")</f>
        <v/>
      </c>
      <c r="N1241" s="2" t="str">
        <f>IFERROR(VLOOKUP(ROWS($N$2:N1241),$D$2:$E$1996,2,0),"")</f>
        <v/>
      </c>
    </row>
    <row r="1242" spans="2:14">
      <c r="B1242" s="32">
        <f>IF(ISNUMBER(SEARCH('Φόρμα Εισαγωγής'!$B$2,C1242)),MAX($B$1:B1241)+1,0)</f>
        <v>0</v>
      </c>
      <c r="D1242" s="33">
        <f>IF(ISNUMBER(SEARCH('Φόρμα Εισαγωγής'!$C$2,E1242)),MAX($D$1:D1241)+1,0)</f>
        <v>0</v>
      </c>
      <c r="H1242" s="6">
        <f t="shared" si="68"/>
        <v>0</v>
      </c>
      <c r="I1242" s="6">
        <f t="shared" si="69"/>
        <v>0</v>
      </c>
      <c r="J1242" s="6">
        <f t="shared" si="70"/>
        <v>0</v>
      </c>
      <c r="L1242" s="4" t="str">
        <f>IFERROR(VLOOKUP(ROWS($L$2:L1242),$B$2:$C$1996,2,0),"")</f>
        <v/>
      </c>
      <c r="N1242" s="2" t="str">
        <f>IFERROR(VLOOKUP(ROWS($N$2:N1242),$D$2:$E$1996,2,0),"")</f>
        <v/>
      </c>
    </row>
    <row r="1243" spans="2:14">
      <c r="B1243" s="32">
        <f>IF(ISNUMBER(SEARCH('Φόρμα Εισαγωγής'!$B$2,C1243)),MAX($B$1:B1242)+1,0)</f>
        <v>0</v>
      </c>
      <c r="D1243" s="33">
        <f>IF(ISNUMBER(SEARCH('Φόρμα Εισαγωγής'!$C$2,E1243)),MAX($D$1:D1242)+1,0)</f>
        <v>0</v>
      </c>
      <c r="H1243" s="6">
        <f t="shared" si="68"/>
        <v>0</v>
      </c>
      <c r="I1243" s="6">
        <f t="shared" si="69"/>
        <v>0</v>
      </c>
      <c r="J1243" s="6">
        <f t="shared" si="70"/>
        <v>0</v>
      </c>
      <c r="L1243" s="4" t="str">
        <f>IFERROR(VLOOKUP(ROWS($L$2:L1243),$B$2:$C$1996,2,0),"")</f>
        <v/>
      </c>
      <c r="N1243" s="2" t="str">
        <f>IFERROR(VLOOKUP(ROWS($N$2:N1243),$D$2:$E$1996,2,0),"")</f>
        <v/>
      </c>
    </row>
    <row r="1244" spans="2:14">
      <c r="B1244" s="32">
        <f>IF(ISNUMBER(SEARCH('Φόρμα Εισαγωγής'!$B$2,C1244)),MAX($B$1:B1243)+1,0)</f>
        <v>0</v>
      </c>
      <c r="D1244" s="33">
        <f>IF(ISNUMBER(SEARCH('Φόρμα Εισαγωγής'!$C$2,E1244)),MAX($D$1:D1243)+1,0)</f>
        <v>0</v>
      </c>
      <c r="H1244" s="6">
        <f t="shared" si="68"/>
        <v>0</v>
      </c>
      <c r="I1244" s="6">
        <f t="shared" si="69"/>
        <v>0</v>
      </c>
      <c r="J1244" s="6">
        <f t="shared" si="70"/>
        <v>0</v>
      </c>
      <c r="L1244" s="4" t="str">
        <f>IFERROR(VLOOKUP(ROWS($L$2:L1244),$B$2:$C$1996,2,0),"")</f>
        <v/>
      </c>
      <c r="N1244" s="2" t="str">
        <f>IFERROR(VLOOKUP(ROWS($N$2:N1244),$D$2:$E$1996,2,0),"")</f>
        <v/>
      </c>
    </row>
    <row r="1245" spans="2:14">
      <c r="B1245" s="32">
        <f>IF(ISNUMBER(SEARCH('Φόρμα Εισαγωγής'!$B$2,C1245)),MAX($B$1:B1244)+1,0)</f>
        <v>0</v>
      </c>
      <c r="D1245" s="33">
        <f>IF(ISNUMBER(SEARCH('Φόρμα Εισαγωγής'!$C$2,E1245)),MAX($D$1:D1244)+1,0)</f>
        <v>0</v>
      </c>
      <c r="H1245" s="6">
        <f t="shared" si="68"/>
        <v>0</v>
      </c>
      <c r="I1245" s="6">
        <f t="shared" si="69"/>
        <v>0</v>
      </c>
      <c r="J1245" s="6">
        <f t="shared" si="70"/>
        <v>0</v>
      </c>
      <c r="L1245" s="4" t="str">
        <f>IFERROR(VLOOKUP(ROWS($L$2:L1245),$B$2:$C$1996,2,0),"")</f>
        <v/>
      </c>
      <c r="N1245" s="2" t="str">
        <f>IFERROR(VLOOKUP(ROWS($N$2:N1245),$D$2:$E$1996,2,0),"")</f>
        <v/>
      </c>
    </row>
    <row r="1246" spans="2:14">
      <c r="B1246" s="32">
        <f>IF(ISNUMBER(SEARCH('Φόρμα Εισαγωγής'!$B$2,C1246)),MAX($B$1:B1245)+1,0)</f>
        <v>0</v>
      </c>
      <c r="D1246" s="33">
        <f>IF(ISNUMBER(SEARCH('Φόρμα Εισαγωγής'!$C$2,E1246)),MAX($D$1:D1245)+1,0)</f>
        <v>0</v>
      </c>
      <c r="H1246" s="6">
        <f t="shared" si="68"/>
        <v>0</v>
      </c>
      <c r="I1246" s="6">
        <f t="shared" si="69"/>
        <v>0</v>
      </c>
      <c r="J1246" s="6">
        <f t="shared" si="70"/>
        <v>0</v>
      </c>
      <c r="L1246" s="4" t="str">
        <f>IFERROR(VLOOKUP(ROWS($L$2:L1246),$B$2:$C$1996,2,0),"")</f>
        <v/>
      </c>
      <c r="N1246" s="2" t="str">
        <f>IFERROR(VLOOKUP(ROWS($N$2:N1246),$D$2:$E$1996,2,0),"")</f>
        <v/>
      </c>
    </row>
    <row r="1247" spans="2:14">
      <c r="B1247" s="32">
        <f>IF(ISNUMBER(SEARCH('Φόρμα Εισαγωγής'!$B$2,C1247)),MAX($B$1:B1246)+1,0)</f>
        <v>0</v>
      </c>
      <c r="D1247" s="33">
        <f>IF(ISNUMBER(SEARCH('Φόρμα Εισαγωγής'!$C$2,E1247)),MAX($D$1:D1246)+1,0)</f>
        <v>0</v>
      </c>
      <c r="H1247" s="6">
        <f t="shared" si="68"/>
        <v>0</v>
      </c>
      <c r="I1247" s="6">
        <f t="shared" si="69"/>
        <v>0</v>
      </c>
      <c r="J1247" s="6">
        <f t="shared" si="70"/>
        <v>0</v>
      </c>
      <c r="L1247" s="4" t="str">
        <f>IFERROR(VLOOKUP(ROWS($L$2:L1247),$B$2:$C$1996,2,0),"")</f>
        <v/>
      </c>
      <c r="N1247" s="2" t="str">
        <f>IFERROR(VLOOKUP(ROWS($N$2:N1247),$D$2:$E$1996,2,0),"")</f>
        <v/>
      </c>
    </row>
    <row r="1248" spans="2:14">
      <c r="B1248" s="32">
        <f>IF(ISNUMBER(SEARCH('Φόρμα Εισαγωγής'!$B$2,C1248)),MAX($B$1:B1247)+1,0)</f>
        <v>0</v>
      </c>
      <c r="D1248" s="33">
        <f>IF(ISNUMBER(SEARCH('Φόρμα Εισαγωγής'!$C$2,E1248)),MAX($D$1:D1247)+1,0)</f>
        <v>0</v>
      </c>
      <c r="H1248" s="6">
        <f t="shared" si="68"/>
        <v>0</v>
      </c>
      <c r="I1248" s="6">
        <f t="shared" si="69"/>
        <v>0</v>
      </c>
      <c r="J1248" s="6">
        <f t="shared" si="70"/>
        <v>0</v>
      </c>
      <c r="L1248" s="4" t="str">
        <f>IFERROR(VLOOKUP(ROWS($L$2:L1248),$B$2:$C$1996,2,0),"")</f>
        <v/>
      </c>
      <c r="N1248" s="2" t="str">
        <f>IFERROR(VLOOKUP(ROWS($N$2:N1248),$D$2:$E$1996,2,0),"")</f>
        <v/>
      </c>
    </row>
    <row r="1249" spans="2:14">
      <c r="B1249" s="32">
        <f>IF(ISNUMBER(SEARCH('Φόρμα Εισαγωγής'!$B$2,C1249)),MAX($B$1:B1248)+1,0)</f>
        <v>0</v>
      </c>
      <c r="D1249" s="33">
        <f>IF(ISNUMBER(SEARCH('Φόρμα Εισαγωγής'!$C$2,E1249)),MAX($D$1:D1248)+1,0)</f>
        <v>0</v>
      </c>
      <c r="H1249" s="6">
        <f t="shared" si="68"/>
        <v>0</v>
      </c>
      <c r="I1249" s="6">
        <f t="shared" si="69"/>
        <v>0</v>
      </c>
      <c r="J1249" s="6">
        <f t="shared" si="70"/>
        <v>0</v>
      </c>
      <c r="L1249" s="4" t="str">
        <f>IFERROR(VLOOKUP(ROWS($L$2:L1249),$B$2:$C$1996,2,0),"")</f>
        <v/>
      </c>
      <c r="N1249" s="2" t="str">
        <f>IFERROR(VLOOKUP(ROWS($N$2:N1249),$D$2:$E$1996,2,0),"")</f>
        <v/>
      </c>
    </row>
    <row r="1250" spans="2:14">
      <c r="B1250" s="32">
        <f>IF(ISNUMBER(SEARCH('Φόρμα Εισαγωγής'!$B$2,C1250)),MAX($B$1:B1249)+1,0)</f>
        <v>0</v>
      </c>
      <c r="D1250" s="33">
        <f>IF(ISNUMBER(SEARCH('Φόρμα Εισαγωγής'!$C$2,E1250)),MAX($D$1:D1249)+1,0)</f>
        <v>0</v>
      </c>
      <c r="H1250" s="6">
        <f t="shared" si="68"/>
        <v>0</v>
      </c>
      <c r="I1250" s="6">
        <f t="shared" si="69"/>
        <v>0</v>
      </c>
      <c r="J1250" s="6">
        <f t="shared" si="70"/>
        <v>0</v>
      </c>
      <c r="L1250" s="4" t="str">
        <f>IFERROR(VLOOKUP(ROWS($L$2:L1250),$B$2:$C$1996,2,0),"")</f>
        <v/>
      </c>
      <c r="N1250" s="2" t="str">
        <f>IFERROR(VLOOKUP(ROWS($N$2:N1250),$D$2:$E$1996,2,0),"")</f>
        <v/>
      </c>
    </row>
    <row r="1251" spans="2:14">
      <c r="B1251" s="32">
        <f>IF(ISNUMBER(SEARCH('Φόρμα Εισαγωγής'!$B$2,C1251)),MAX($B$1:B1250)+1,0)</f>
        <v>0</v>
      </c>
      <c r="D1251" s="33">
        <f>IF(ISNUMBER(SEARCH('Φόρμα Εισαγωγής'!$C$2,E1251)),MAX($D$1:D1250)+1,0)</f>
        <v>0</v>
      </c>
      <c r="H1251" s="6">
        <f t="shared" si="68"/>
        <v>0</v>
      </c>
      <c r="I1251" s="6">
        <f t="shared" si="69"/>
        <v>0</v>
      </c>
      <c r="J1251" s="6">
        <f t="shared" si="70"/>
        <v>0</v>
      </c>
      <c r="L1251" s="4" t="str">
        <f>IFERROR(VLOOKUP(ROWS($L$2:L1251),$B$2:$C$1996,2,0),"")</f>
        <v/>
      </c>
      <c r="N1251" s="2" t="str">
        <f>IFERROR(VLOOKUP(ROWS($N$2:N1251),$D$2:$E$1996,2,0),"")</f>
        <v/>
      </c>
    </row>
    <row r="1252" spans="2:14">
      <c r="B1252" s="32">
        <f>IF(ISNUMBER(SEARCH('Φόρμα Εισαγωγής'!$B$2,C1252)),MAX($B$1:B1251)+1,0)</f>
        <v>0</v>
      </c>
      <c r="D1252" s="33">
        <f>IF(ISNUMBER(SEARCH('Φόρμα Εισαγωγής'!$C$2,E1252)),MAX($D$1:D1251)+1,0)</f>
        <v>0</v>
      </c>
      <c r="H1252" s="6">
        <f t="shared" si="68"/>
        <v>0</v>
      </c>
      <c r="I1252" s="6">
        <f t="shared" si="69"/>
        <v>0</v>
      </c>
      <c r="J1252" s="6">
        <f t="shared" si="70"/>
        <v>0</v>
      </c>
      <c r="L1252" s="4" t="str">
        <f>IFERROR(VLOOKUP(ROWS($L$2:L1252),$B$2:$C$1996,2,0),"")</f>
        <v/>
      </c>
      <c r="N1252" s="2" t="str">
        <f>IFERROR(VLOOKUP(ROWS($N$2:N1252),$D$2:$E$1996,2,0),"")</f>
        <v/>
      </c>
    </row>
    <row r="1253" spans="2:14">
      <c r="B1253" s="32">
        <f>IF(ISNUMBER(SEARCH('Φόρμα Εισαγωγής'!$B$2,C1253)),MAX($B$1:B1252)+1,0)</f>
        <v>0</v>
      </c>
      <c r="D1253" s="33">
        <f>IF(ISNUMBER(SEARCH('Φόρμα Εισαγωγής'!$C$2,E1253)),MAX($D$1:D1252)+1,0)</f>
        <v>0</v>
      </c>
      <c r="H1253" s="6">
        <f t="shared" si="68"/>
        <v>0</v>
      </c>
      <c r="I1253" s="6">
        <f t="shared" si="69"/>
        <v>0</v>
      </c>
      <c r="J1253" s="6">
        <f t="shared" si="70"/>
        <v>0</v>
      </c>
      <c r="L1253" s="4" t="str">
        <f>IFERROR(VLOOKUP(ROWS($L$2:L1253),$B$2:$C$1996,2,0),"")</f>
        <v/>
      </c>
      <c r="N1253" s="2" t="str">
        <f>IFERROR(VLOOKUP(ROWS($N$2:N1253),$D$2:$E$1996,2,0),"")</f>
        <v/>
      </c>
    </row>
    <row r="1254" spans="2:14">
      <c r="B1254" s="32">
        <f>IF(ISNUMBER(SEARCH('Φόρμα Εισαγωγής'!$B$2,C1254)),MAX($B$1:B1253)+1,0)</f>
        <v>0</v>
      </c>
      <c r="D1254" s="33">
        <f>IF(ISNUMBER(SEARCH('Φόρμα Εισαγωγής'!$C$2,E1254)),MAX($D$1:D1253)+1,0)</f>
        <v>0</v>
      </c>
      <c r="H1254" s="6">
        <f t="shared" si="68"/>
        <v>0</v>
      </c>
      <c r="I1254" s="6">
        <f t="shared" si="69"/>
        <v>0</v>
      </c>
      <c r="J1254" s="6">
        <f t="shared" si="70"/>
        <v>0</v>
      </c>
      <c r="L1254" s="4" t="str">
        <f>IFERROR(VLOOKUP(ROWS($L$2:L1254),$B$2:$C$1996,2,0),"")</f>
        <v/>
      </c>
      <c r="N1254" s="2" t="str">
        <f>IFERROR(VLOOKUP(ROWS($N$2:N1254),$D$2:$E$1996,2,0),"")</f>
        <v/>
      </c>
    </row>
    <row r="1255" spans="2:14">
      <c r="B1255" s="32">
        <f>IF(ISNUMBER(SEARCH('Φόρμα Εισαγωγής'!$B$2,C1255)),MAX($B$1:B1254)+1,0)</f>
        <v>0</v>
      </c>
      <c r="D1255" s="33">
        <f>IF(ISNUMBER(SEARCH('Φόρμα Εισαγωγής'!$C$2,E1255)),MAX($D$1:D1254)+1,0)</f>
        <v>0</v>
      </c>
      <c r="H1255" s="6">
        <f t="shared" si="68"/>
        <v>0</v>
      </c>
      <c r="I1255" s="6">
        <f t="shared" si="69"/>
        <v>0</v>
      </c>
      <c r="J1255" s="6">
        <f t="shared" si="70"/>
        <v>0</v>
      </c>
      <c r="L1255" s="4" t="str">
        <f>IFERROR(VLOOKUP(ROWS($L$2:L1255),$B$2:$C$1996,2,0),"")</f>
        <v/>
      </c>
      <c r="N1255" s="2" t="str">
        <f>IFERROR(VLOOKUP(ROWS($N$2:N1255),$D$2:$E$1996,2,0),"")</f>
        <v/>
      </c>
    </row>
    <row r="1256" spans="2:14">
      <c r="B1256" s="32">
        <f>IF(ISNUMBER(SEARCH('Φόρμα Εισαγωγής'!$B$2,C1256)),MAX($B$1:B1255)+1,0)</f>
        <v>0</v>
      </c>
      <c r="D1256" s="33">
        <f>IF(ISNUMBER(SEARCH('Φόρμα Εισαγωγής'!$C$2,E1256)),MAX($D$1:D1255)+1,0)</f>
        <v>0</v>
      </c>
      <c r="H1256" s="6">
        <f t="shared" si="68"/>
        <v>0</v>
      </c>
      <c r="I1256" s="6">
        <f t="shared" si="69"/>
        <v>0</v>
      </c>
      <c r="J1256" s="6">
        <f t="shared" si="70"/>
        <v>0</v>
      </c>
      <c r="L1256" s="4" t="str">
        <f>IFERROR(VLOOKUP(ROWS($L$2:L1256),$B$2:$C$1996,2,0),"")</f>
        <v/>
      </c>
      <c r="N1256" s="2" t="str">
        <f>IFERROR(VLOOKUP(ROWS($N$2:N1256),$D$2:$E$1996,2,0),"")</f>
        <v/>
      </c>
    </row>
    <row r="1257" spans="2:14">
      <c r="B1257" s="32">
        <f>IF(ISNUMBER(SEARCH('Φόρμα Εισαγωγής'!$B$2,C1257)),MAX($B$1:B1256)+1,0)</f>
        <v>0</v>
      </c>
      <c r="D1257" s="33">
        <f>IF(ISNUMBER(SEARCH('Φόρμα Εισαγωγής'!$C$2,E1257)),MAX($D$1:D1256)+1,0)</f>
        <v>0</v>
      </c>
      <c r="H1257" s="6">
        <f t="shared" si="68"/>
        <v>0</v>
      </c>
      <c r="I1257" s="6">
        <f t="shared" si="69"/>
        <v>0</v>
      </c>
      <c r="J1257" s="6">
        <f t="shared" si="70"/>
        <v>0</v>
      </c>
      <c r="L1257" s="4" t="str">
        <f>IFERROR(VLOOKUP(ROWS($L$2:L1257),$B$2:$C$1996,2,0),"")</f>
        <v/>
      </c>
      <c r="N1257" s="2" t="str">
        <f>IFERROR(VLOOKUP(ROWS($N$2:N1257),$D$2:$E$1996,2,0),"")</f>
        <v/>
      </c>
    </row>
    <row r="1258" spans="2:14">
      <c r="B1258" s="32">
        <f>IF(ISNUMBER(SEARCH('Φόρμα Εισαγωγής'!$B$2,C1258)),MAX($B$1:B1257)+1,0)</f>
        <v>0</v>
      </c>
      <c r="D1258" s="33">
        <f>IF(ISNUMBER(SEARCH('Φόρμα Εισαγωγής'!$C$2,E1258)),MAX($D$1:D1257)+1,0)</f>
        <v>0</v>
      </c>
      <c r="H1258" s="6">
        <f t="shared" si="68"/>
        <v>0</v>
      </c>
      <c r="I1258" s="6">
        <f t="shared" si="69"/>
        <v>0</v>
      </c>
      <c r="J1258" s="6">
        <f t="shared" si="70"/>
        <v>0</v>
      </c>
      <c r="L1258" s="4" t="str">
        <f>IFERROR(VLOOKUP(ROWS($L$2:L1258),$B$2:$C$1996,2,0),"")</f>
        <v/>
      </c>
      <c r="N1258" s="2" t="str">
        <f>IFERROR(VLOOKUP(ROWS($N$2:N1258),$D$2:$E$1996,2,0),"")</f>
        <v/>
      </c>
    </row>
    <row r="1259" spans="2:14">
      <c r="B1259" s="32">
        <f>IF(ISNUMBER(SEARCH('Φόρμα Εισαγωγής'!$B$2,C1259)),MAX($B$1:B1258)+1,0)</f>
        <v>0</v>
      </c>
      <c r="D1259" s="33">
        <f>IF(ISNUMBER(SEARCH('Φόρμα Εισαγωγής'!$C$2,E1259)),MAX($D$1:D1258)+1,0)</f>
        <v>0</v>
      </c>
      <c r="H1259" s="6">
        <f t="shared" si="68"/>
        <v>0</v>
      </c>
      <c r="I1259" s="6">
        <f t="shared" si="69"/>
        <v>0</v>
      </c>
      <c r="J1259" s="6">
        <f t="shared" si="70"/>
        <v>0</v>
      </c>
      <c r="L1259" s="4" t="str">
        <f>IFERROR(VLOOKUP(ROWS($L$2:L1259),$B$2:$C$1996,2,0),"")</f>
        <v/>
      </c>
      <c r="N1259" s="2" t="str">
        <f>IFERROR(VLOOKUP(ROWS($N$2:N1259),$D$2:$E$1996,2,0),"")</f>
        <v/>
      </c>
    </row>
    <row r="1260" spans="2:14">
      <c r="B1260" s="32">
        <f>IF(ISNUMBER(SEARCH('Φόρμα Εισαγωγής'!$B$2,C1260)),MAX($B$1:B1259)+1,0)</f>
        <v>0</v>
      </c>
      <c r="D1260" s="33">
        <f>IF(ISNUMBER(SEARCH('Φόρμα Εισαγωγής'!$C$2,E1260)),MAX($D$1:D1259)+1,0)</f>
        <v>0</v>
      </c>
      <c r="H1260" s="6">
        <f t="shared" si="68"/>
        <v>0</v>
      </c>
      <c r="I1260" s="6">
        <f t="shared" si="69"/>
        <v>0</v>
      </c>
      <c r="J1260" s="6">
        <f t="shared" si="70"/>
        <v>0</v>
      </c>
      <c r="L1260" s="4" t="str">
        <f>IFERROR(VLOOKUP(ROWS($L$2:L1260),$B$2:$C$1996,2,0),"")</f>
        <v/>
      </c>
      <c r="N1260" s="2" t="str">
        <f>IFERROR(VLOOKUP(ROWS($N$2:N1260),$D$2:$E$1996,2,0),"")</f>
        <v/>
      </c>
    </row>
    <row r="1261" spans="2:14">
      <c r="B1261" s="32">
        <f>IF(ISNUMBER(SEARCH('Φόρμα Εισαγωγής'!$B$2,C1261)),MAX($B$1:B1260)+1,0)</f>
        <v>0</v>
      </c>
      <c r="D1261" s="33">
        <f>IF(ISNUMBER(SEARCH('Φόρμα Εισαγωγής'!$C$2,E1261)),MAX($D$1:D1260)+1,0)</f>
        <v>0</v>
      </c>
      <c r="H1261" s="6">
        <f t="shared" si="68"/>
        <v>0</v>
      </c>
      <c r="I1261" s="6">
        <f t="shared" si="69"/>
        <v>0</v>
      </c>
      <c r="J1261" s="6">
        <f t="shared" si="70"/>
        <v>0</v>
      </c>
      <c r="L1261" s="4" t="str">
        <f>IFERROR(VLOOKUP(ROWS($L$2:L1261),$B$2:$C$1996,2,0),"")</f>
        <v/>
      </c>
      <c r="N1261" s="2" t="str">
        <f>IFERROR(VLOOKUP(ROWS($N$2:N1261),$D$2:$E$1996,2,0),"")</f>
        <v/>
      </c>
    </row>
    <row r="1262" spans="2:14">
      <c r="B1262" s="32">
        <f>IF(ISNUMBER(SEARCH('Φόρμα Εισαγωγής'!$B$2,C1262)),MAX($B$1:B1261)+1,0)</f>
        <v>0</v>
      </c>
      <c r="D1262" s="33">
        <f>IF(ISNUMBER(SEARCH('Φόρμα Εισαγωγής'!$C$2,E1262)),MAX($D$1:D1261)+1,0)</f>
        <v>0</v>
      </c>
      <c r="H1262" s="6">
        <f t="shared" si="68"/>
        <v>0</v>
      </c>
      <c r="I1262" s="6">
        <f t="shared" si="69"/>
        <v>0</v>
      </c>
      <c r="J1262" s="6">
        <f t="shared" si="70"/>
        <v>0</v>
      </c>
      <c r="L1262" s="4" t="str">
        <f>IFERROR(VLOOKUP(ROWS($L$2:L1262),$B$2:$C$1996,2,0),"")</f>
        <v/>
      </c>
      <c r="N1262" s="2" t="str">
        <f>IFERROR(VLOOKUP(ROWS($N$2:N1262),$D$2:$E$1996,2,0),"")</f>
        <v/>
      </c>
    </row>
    <row r="1263" spans="2:14">
      <c r="B1263" s="32">
        <f>IF(ISNUMBER(SEARCH('Φόρμα Εισαγωγής'!$B$2,C1263)),MAX($B$1:B1262)+1,0)</f>
        <v>0</v>
      </c>
      <c r="D1263" s="33">
        <f>IF(ISNUMBER(SEARCH('Φόρμα Εισαγωγής'!$C$2,E1263)),MAX($D$1:D1262)+1,0)</f>
        <v>0</v>
      </c>
      <c r="H1263" s="6">
        <f t="shared" si="68"/>
        <v>0</v>
      </c>
      <c r="I1263" s="6">
        <f t="shared" si="69"/>
        <v>0</v>
      </c>
      <c r="J1263" s="6">
        <f t="shared" si="70"/>
        <v>0</v>
      </c>
      <c r="L1263" s="4" t="str">
        <f>IFERROR(VLOOKUP(ROWS($L$2:L1263),$B$2:$C$1996,2,0),"")</f>
        <v/>
      </c>
      <c r="N1263" s="2" t="str">
        <f>IFERROR(VLOOKUP(ROWS($N$2:N1263),$D$2:$E$1996,2,0),"")</f>
        <v/>
      </c>
    </row>
    <row r="1264" spans="2:14">
      <c r="B1264" s="32">
        <f>IF(ISNUMBER(SEARCH('Φόρμα Εισαγωγής'!$B$2,C1264)),MAX($B$1:B1263)+1,0)</f>
        <v>0</v>
      </c>
      <c r="D1264" s="33">
        <f>IF(ISNUMBER(SEARCH('Φόρμα Εισαγωγής'!$C$2,E1264)),MAX($D$1:D1263)+1,0)</f>
        <v>0</v>
      </c>
      <c r="H1264" s="6">
        <f t="shared" si="68"/>
        <v>0</v>
      </c>
      <c r="I1264" s="6">
        <f t="shared" si="69"/>
        <v>0</v>
      </c>
      <c r="J1264" s="6">
        <f t="shared" si="70"/>
        <v>0</v>
      </c>
      <c r="L1264" s="4" t="str">
        <f>IFERROR(VLOOKUP(ROWS($L$2:L1264),$B$2:$C$1996,2,0),"")</f>
        <v/>
      </c>
      <c r="N1264" s="2" t="str">
        <f>IFERROR(VLOOKUP(ROWS($N$2:N1264),$D$2:$E$1996,2,0),"")</f>
        <v/>
      </c>
    </row>
    <row r="1265" spans="2:14">
      <c r="B1265" s="32">
        <f>IF(ISNUMBER(SEARCH('Φόρμα Εισαγωγής'!$B$2,C1265)),MAX($B$1:B1264)+1,0)</f>
        <v>0</v>
      </c>
      <c r="D1265" s="33">
        <f>IF(ISNUMBER(SEARCH('Φόρμα Εισαγωγής'!$C$2,E1265)),MAX($D$1:D1264)+1,0)</f>
        <v>0</v>
      </c>
      <c r="H1265" s="6">
        <f t="shared" si="68"/>
        <v>0</v>
      </c>
      <c r="I1265" s="6">
        <f t="shared" si="69"/>
        <v>0</v>
      </c>
      <c r="J1265" s="6">
        <f t="shared" si="70"/>
        <v>0</v>
      </c>
      <c r="L1265" s="4" t="str">
        <f>IFERROR(VLOOKUP(ROWS($L$2:L1265),$B$2:$C$1996,2,0),"")</f>
        <v/>
      </c>
      <c r="N1265" s="2" t="str">
        <f>IFERROR(VLOOKUP(ROWS($N$2:N1265),$D$2:$E$1996,2,0),"")</f>
        <v/>
      </c>
    </row>
    <row r="1266" spans="2:14">
      <c r="B1266" s="32">
        <f>IF(ISNUMBER(SEARCH('Φόρμα Εισαγωγής'!$B$2,C1266)),MAX($B$1:B1265)+1,0)</f>
        <v>0</v>
      </c>
      <c r="D1266" s="33">
        <f>IF(ISNUMBER(SEARCH('Φόρμα Εισαγωγής'!$C$2,E1266)),MAX($D$1:D1265)+1,0)</f>
        <v>0</v>
      </c>
      <c r="H1266" s="6">
        <f t="shared" si="68"/>
        <v>0</v>
      </c>
      <c r="I1266" s="6">
        <f t="shared" si="69"/>
        <v>0</v>
      </c>
      <c r="J1266" s="6">
        <f t="shared" si="70"/>
        <v>0</v>
      </c>
      <c r="L1266" s="4" t="str">
        <f>IFERROR(VLOOKUP(ROWS($L$2:L1266),$B$2:$C$1996,2,0),"")</f>
        <v/>
      </c>
      <c r="N1266" s="2" t="str">
        <f>IFERROR(VLOOKUP(ROWS($N$2:N1266),$D$2:$E$1996,2,0),"")</f>
        <v/>
      </c>
    </row>
    <row r="1267" spans="2:14">
      <c r="B1267" s="32">
        <f>IF(ISNUMBER(SEARCH('Φόρμα Εισαγωγής'!$B$2,C1267)),MAX($B$1:B1266)+1,0)</f>
        <v>0</v>
      </c>
      <c r="D1267" s="33">
        <f>IF(ISNUMBER(SEARCH('Φόρμα Εισαγωγής'!$C$2,E1267)),MAX($D$1:D1266)+1,0)</f>
        <v>0</v>
      </c>
      <c r="H1267" s="6">
        <f t="shared" si="68"/>
        <v>0</v>
      </c>
      <c r="I1267" s="6">
        <f t="shared" si="69"/>
        <v>0</v>
      </c>
      <c r="J1267" s="6">
        <f t="shared" si="70"/>
        <v>0</v>
      </c>
      <c r="L1267" s="4" t="str">
        <f>IFERROR(VLOOKUP(ROWS($L$2:L1267),$B$2:$C$1996,2,0),"")</f>
        <v/>
      </c>
      <c r="N1267" s="2" t="str">
        <f>IFERROR(VLOOKUP(ROWS($N$2:N1267),$D$2:$E$1996,2,0),"")</f>
        <v/>
      </c>
    </row>
    <row r="1268" spans="2:14">
      <c r="B1268" s="32">
        <f>IF(ISNUMBER(SEARCH('Φόρμα Εισαγωγής'!$B$2,C1268)),MAX($B$1:B1267)+1,0)</f>
        <v>0</v>
      </c>
      <c r="D1268" s="33">
        <f>IF(ISNUMBER(SEARCH('Φόρμα Εισαγωγής'!$C$2,E1268)),MAX($D$1:D1267)+1,0)</f>
        <v>0</v>
      </c>
      <c r="H1268" s="6">
        <f t="shared" si="68"/>
        <v>0</v>
      </c>
      <c r="I1268" s="6">
        <f t="shared" si="69"/>
        <v>0</v>
      </c>
      <c r="J1268" s="6">
        <f t="shared" si="70"/>
        <v>0</v>
      </c>
      <c r="L1268" s="4" t="str">
        <f>IFERROR(VLOOKUP(ROWS($L$2:L1268),$B$2:$C$1996,2,0),"")</f>
        <v/>
      </c>
      <c r="N1268" s="2" t="str">
        <f>IFERROR(VLOOKUP(ROWS($N$2:N1268),$D$2:$E$1996,2,0),"")</f>
        <v/>
      </c>
    </row>
    <row r="1269" spans="2:14">
      <c r="B1269" s="32">
        <f>IF(ISNUMBER(SEARCH('Φόρμα Εισαγωγής'!$B$2,C1269)),MAX($B$1:B1268)+1,0)</f>
        <v>0</v>
      </c>
      <c r="D1269" s="33">
        <f>IF(ISNUMBER(SEARCH('Φόρμα Εισαγωγής'!$C$2,E1269)),MAX($D$1:D1268)+1,0)</f>
        <v>0</v>
      </c>
      <c r="H1269" s="6">
        <f t="shared" si="68"/>
        <v>0</v>
      </c>
      <c r="I1269" s="6">
        <f t="shared" si="69"/>
        <v>0</v>
      </c>
      <c r="J1269" s="6">
        <f t="shared" si="70"/>
        <v>0</v>
      </c>
      <c r="L1269" s="4" t="str">
        <f>IFERROR(VLOOKUP(ROWS($L$2:L1269),$B$2:$C$1996,2,0),"")</f>
        <v/>
      </c>
      <c r="N1269" s="2" t="str">
        <f>IFERROR(VLOOKUP(ROWS($N$2:N1269),$D$2:$E$1996,2,0),"")</f>
        <v/>
      </c>
    </row>
    <row r="1270" spans="2:14">
      <c r="B1270" s="32">
        <f>IF(ISNUMBER(SEARCH('Φόρμα Εισαγωγής'!$B$2,C1270)),MAX($B$1:B1269)+1,0)</f>
        <v>0</v>
      </c>
      <c r="D1270" s="33">
        <f>IF(ISNUMBER(SEARCH('Φόρμα Εισαγωγής'!$C$2,E1270)),MAX($D$1:D1269)+1,0)</f>
        <v>0</v>
      </c>
      <c r="H1270" s="6">
        <f t="shared" si="68"/>
        <v>0</v>
      </c>
      <c r="I1270" s="6">
        <f t="shared" si="69"/>
        <v>0</v>
      </c>
      <c r="J1270" s="6">
        <f t="shared" si="70"/>
        <v>0</v>
      </c>
      <c r="L1270" s="4" t="str">
        <f>IFERROR(VLOOKUP(ROWS($L$2:L1270),$B$2:$C$1996,2,0),"")</f>
        <v/>
      </c>
      <c r="N1270" s="2" t="str">
        <f>IFERROR(VLOOKUP(ROWS($N$2:N1270),$D$2:$E$1996,2,0),"")</f>
        <v/>
      </c>
    </row>
    <row r="1271" spans="2:14">
      <c r="B1271" s="32">
        <f>IF(ISNUMBER(SEARCH('Φόρμα Εισαγωγής'!$B$2,C1271)),MAX($B$1:B1270)+1,0)</f>
        <v>0</v>
      </c>
      <c r="D1271" s="33">
        <f>IF(ISNUMBER(SEARCH('Φόρμα Εισαγωγής'!$C$2,E1271)),MAX($D$1:D1270)+1,0)</f>
        <v>0</v>
      </c>
      <c r="H1271" s="6">
        <f t="shared" si="68"/>
        <v>0</v>
      </c>
      <c r="I1271" s="6">
        <f t="shared" si="69"/>
        <v>0</v>
      </c>
      <c r="J1271" s="6">
        <f t="shared" si="70"/>
        <v>0</v>
      </c>
      <c r="L1271" s="4" t="str">
        <f>IFERROR(VLOOKUP(ROWS($L$2:L1271),$B$2:$C$1996,2,0),"")</f>
        <v/>
      </c>
      <c r="N1271" s="2" t="str">
        <f>IFERROR(VLOOKUP(ROWS($N$2:N1271),$D$2:$E$1996,2,0),"")</f>
        <v/>
      </c>
    </row>
    <row r="1272" spans="2:14">
      <c r="B1272" s="32">
        <f>IF(ISNUMBER(SEARCH('Φόρμα Εισαγωγής'!$B$2,C1272)),MAX($B$1:B1271)+1,0)</f>
        <v>0</v>
      </c>
      <c r="D1272" s="33">
        <f>IF(ISNUMBER(SEARCH('Φόρμα Εισαγωγής'!$C$2,E1272)),MAX($D$1:D1271)+1,0)</f>
        <v>0</v>
      </c>
      <c r="H1272" s="6">
        <f t="shared" si="68"/>
        <v>0</v>
      </c>
      <c r="I1272" s="6">
        <f t="shared" si="69"/>
        <v>0</v>
      </c>
      <c r="J1272" s="6">
        <f t="shared" si="70"/>
        <v>0</v>
      </c>
      <c r="L1272" s="4" t="str">
        <f>IFERROR(VLOOKUP(ROWS($L$2:L1272),$B$2:$C$1996,2,0),"")</f>
        <v/>
      </c>
      <c r="N1272" s="2" t="str">
        <f>IFERROR(VLOOKUP(ROWS($N$2:N1272),$D$2:$E$1996,2,0),"")</f>
        <v/>
      </c>
    </row>
    <row r="1273" spans="2:14">
      <c r="B1273" s="32">
        <f>IF(ISNUMBER(SEARCH('Φόρμα Εισαγωγής'!$B$2,C1273)),MAX($B$1:B1272)+1,0)</f>
        <v>0</v>
      </c>
      <c r="D1273" s="33">
        <f>IF(ISNUMBER(SEARCH('Φόρμα Εισαγωγής'!$C$2,E1273)),MAX($D$1:D1272)+1,0)</f>
        <v>0</v>
      </c>
      <c r="H1273" s="6">
        <f t="shared" si="68"/>
        <v>0</v>
      </c>
      <c r="I1273" s="6">
        <f t="shared" si="69"/>
        <v>0</v>
      </c>
      <c r="J1273" s="6">
        <f t="shared" si="70"/>
        <v>0</v>
      </c>
      <c r="L1273" s="4" t="str">
        <f>IFERROR(VLOOKUP(ROWS($L$2:L1273),$B$2:$C$1996,2,0),"")</f>
        <v/>
      </c>
      <c r="N1273" s="2" t="str">
        <f>IFERROR(VLOOKUP(ROWS($N$2:N1273),$D$2:$E$1996,2,0),"")</f>
        <v/>
      </c>
    </row>
    <row r="1274" spans="2:14">
      <c r="B1274" s="32">
        <f>IF(ISNUMBER(SEARCH('Φόρμα Εισαγωγής'!$B$2,C1274)),MAX($B$1:B1273)+1,0)</f>
        <v>0</v>
      </c>
      <c r="D1274" s="33">
        <f>IF(ISNUMBER(SEARCH('Φόρμα Εισαγωγής'!$C$2,E1274)),MAX($D$1:D1273)+1,0)</f>
        <v>0</v>
      </c>
      <c r="H1274" s="6">
        <f t="shared" si="68"/>
        <v>0</v>
      </c>
      <c r="I1274" s="6">
        <f t="shared" si="69"/>
        <v>0</v>
      </c>
      <c r="J1274" s="6">
        <f t="shared" si="70"/>
        <v>0</v>
      </c>
      <c r="L1274" s="4" t="str">
        <f>IFERROR(VLOOKUP(ROWS($L$2:L1274),$B$2:$C$1996,2,0),"")</f>
        <v/>
      </c>
      <c r="N1274" s="2" t="str">
        <f>IFERROR(VLOOKUP(ROWS($N$2:N1274),$D$2:$E$1996,2,0),"")</f>
        <v/>
      </c>
    </row>
    <row r="1275" spans="2:14">
      <c r="B1275" s="32">
        <f>IF(ISNUMBER(SEARCH('Φόρμα Εισαγωγής'!$B$2,C1275)),MAX($B$1:B1274)+1,0)</f>
        <v>0</v>
      </c>
      <c r="D1275" s="33">
        <f>IF(ISNUMBER(SEARCH('Φόρμα Εισαγωγής'!$C$2,E1275)),MAX($D$1:D1274)+1,0)</f>
        <v>0</v>
      </c>
      <c r="H1275" s="6">
        <f t="shared" si="68"/>
        <v>0</v>
      </c>
      <c r="I1275" s="6">
        <f t="shared" si="69"/>
        <v>0</v>
      </c>
      <c r="J1275" s="6">
        <f t="shared" si="70"/>
        <v>0</v>
      </c>
      <c r="L1275" s="4" t="str">
        <f>IFERROR(VLOOKUP(ROWS($L$2:L1275),$B$2:$C$1996,2,0),"")</f>
        <v/>
      </c>
      <c r="N1275" s="2" t="str">
        <f>IFERROR(VLOOKUP(ROWS($N$2:N1275),$D$2:$E$1996,2,0),"")</f>
        <v/>
      </c>
    </row>
    <row r="1276" spans="2:14">
      <c r="B1276" s="32">
        <f>IF(ISNUMBER(SEARCH('Φόρμα Εισαγωγής'!$B$2,C1276)),MAX($B$1:B1275)+1,0)</f>
        <v>0</v>
      </c>
      <c r="D1276" s="33">
        <f>IF(ISNUMBER(SEARCH('Φόρμα Εισαγωγής'!$C$2,E1276)),MAX($D$1:D1275)+1,0)</f>
        <v>0</v>
      </c>
      <c r="H1276" s="6">
        <f t="shared" si="68"/>
        <v>0</v>
      </c>
      <c r="I1276" s="6">
        <f t="shared" si="69"/>
        <v>0</v>
      </c>
      <c r="J1276" s="6">
        <f t="shared" si="70"/>
        <v>0</v>
      </c>
      <c r="L1276" s="4" t="str">
        <f>IFERROR(VLOOKUP(ROWS($L$2:L1276),$B$2:$C$1996,2,0),"")</f>
        <v/>
      </c>
      <c r="N1276" s="2" t="str">
        <f>IFERROR(VLOOKUP(ROWS($N$2:N1276),$D$2:$E$1996,2,0),"")</f>
        <v/>
      </c>
    </row>
    <row r="1277" spans="2:14">
      <c r="B1277" s="32">
        <f>IF(ISNUMBER(SEARCH('Φόρμα Εισαγωγής'!$B$2,C1277)),MAX($B$1:B1276)+1,0)</f>
        <v>0</v>
      </c>
      <c r="D1277" s="33">
        <f>IF(ISNUMBER(SEARCH('Φόρμα Εισαγωγής'!$C$2,E1277)),MAX($D$1:D1276)+1,0)</f>
        <v>0</v>
      </c>
      <c r="H1277" s="6">
        <f t="shared" si="68"/>
        <v>0</v>
      </c>
      <c r="I1277" s="6">
        <f t="shared" si="69"/>
        <v>0</v>
      </c>
      <c r="J1277" s="6">
        <f t="shared" si="70"/>
        <v>0</v>
      </c>
      <c r="L1277" s="4" t="str">
        <f>IFERROR(VLOOKUP(ROWS($L$2:L1277),$B$2:$C$1996,2,0),"")</f>
        <v/>
      </c>
      <c r="N1277" s="2" t="str">
        <f>IFERROR(VLOOKUP(ROWS($N$2:N1277),$D$2:$E$1996,2,0),"")</f>
        <v/>
      </c>
    </row>
    <row r="1278" spans="2:14">
      <c r="B1278" s="32">
        <f>IF(ISNUMBER(SEARCH('Φόρμα Εισαγωγής'!$B$2,C1278)),MAX($B$1:B1277)+1,0)</f>
        <v>0</v>
      </c>
      <c r="D1278" s="33">
        <f>IF(ISNUMBER(SEARCH('Φόρμα Εισαγωγής'!$C$2,E1278)),MAX($D$1:D1277)+1,0)</f>
        <v>0</v>
      </c>
      <c r="H1278" s="6">
        <f t="shared" si="68"/>
        <v>0</v>
      </c>
      <c r="I1278" s="6">
        <f t="shared" si="69"/>
        <v>0</v>
      </c>
      <c r="J1278" s="6">
        <f t="shared" si="70"/>
        <v>0</v>
      </c>
      <c r="L1278" s="4" t="str">
        <f>IFERROR(VLOOKUP(ROWS($L$2:L1278),$B$2:$C$1996,2,0),"")</f>
        <v/>
      </c>
      <c r="N1278" s="2" t="str">
        <f>IFERROR(VLOOKUP(ROWS($N$2:N1278),$D$2:$E$1996,2,0),"")</f>
        <v/>
      </c>
    </row>
    <row r="1279" spans="2:14">
      <c r="B1279" s="32">
        <f>IF(ISNUMBER(SEARCH('Φόρμα Εισαγωγής'!$B$2,C1279)),MAX($B$1:B1278)+1,0)</f>
        <v>0</v>
      </c>
      <c r="D1279" s="33">
        <f>IF(ISNUMBER(SEARCH('Φόρμα Εισαγωγής'!$C$2,E1279)),MAX($D$1:D1278)+1,0)</f>
        <v>0</v>
      </c>
      <c r="H1279" s="6">
        <f t="shared" si="68"/>
        <v>0</v>
      </c>
      <c r="I1279" s="6">
        <f t="shared" si="69"/>
        <v>0</v>
      </c>
      <c r="J1279" s="6">
        <f t="shared" si="70"/>
        <v>0</v>
      </c>
      <c r="L1279" s="4" t="str">
        <f>IFERROR(VLOOKUP(ROWS($L$2:L1279),$B$2:$C$1996,2,0),"")</f>
        <v/>
      </c>
      <c r="N1279" s="2" t="str">
        <f>IFERROR(VLOOKUP(ROWS($N$2:N1279),$D$2:$E$1996,2,0),"")</f>
        <v/>
      </c>
    </row>
    <row r="1280" spans="2:14">
      <c r="B1280" s="32">
        <f>IF(ISNUMBER(SEARCH('Φόρμα Εισαγωγής'!$B$2,C1280)),MAX($B$1:B1279)+1,0)</f>
        <v>0</v>
      </c>
      <c r="D1280" s="33">
        <f>IF(ISNUMBER(SEARCH('Φόρμα Εισαγωγής'!$C$2,E1280)),MAX($D$1:D1279)+1,0)</f>
        <v>0</v>
      </c>
      <c r="H1280" s="6">
        <f t="shared" ref="H1280:H1343" si="71">G1280+(G1280*0.24)</f>
        <v>0</v>
      </c>
      <c r="I1280" s="6">
        <f t="shared" ref="I1280:I1343" si="72">F1280*A1280</f>
        <v>0</v>
      </c>
      <c r="J1280" s="6">
        <f t="shared" ref="J1280:J1343" si="73">H1280*A1280</f>
        <v>0</v>
      </c>
      <c r="L1280" s="4" t="str">
        <f>IFERROR(VLOOKUP(ROWS($L$2:L1280),$B$2:$C$1996,2,0),"")</f>
        <v/>
      </c>
      <c r="N1280" s="2" t="str">
        <f>IFERROR(VLOOKUP(ROWS($N$2:N1280),$D$2:$E$1996,2,0),"")</f>
        <v/>
      </c>
    </row>
    <row r="1281" spans="2:14">
      <c r="B1281" s="32">
        <f>IF(ISNUMBER(SEARCH('Φόρμα Εισαγωγής'!$B$2,C1281)),MAX($B$1:B1280)+1,0)</f>
        <v>0</v>
      </c>
      <c r="D1281" s="33">
        <f>IF(ISNUMBER(SEARCH('Φόρμα Εισαγωγής'!$C$2,E1281)),MAX($D$1:D1280)+1,0)</f>
        <v>0</v>
      </c>
      <c r="H1281" s="6">
        <f t="shared" si="71"/>
        <v>0</v>
      </c>
      <c r="I1281" s="6">
        <f t="shared" si="72"/>
        <v>0</v>
      </c>
      <c r="J1281" s="6">
        <f t="shared" si="73"/>
        <v>0</v>
      </c>
      <c r="L1281" s="4" t="str">
        <f>IFERROR(VLOOKUP(ROWS($L$2:L1281),$B$2:$C$1996,2,0),"")</f>
        <v/>
      </c>
      <c r="N1281" s="2" t="str">
        <f>IFERROR(VLOOKUP(ROWS($N$2:N1281),$D$2:$E$1996,2,0),"")</f>
        <v/>
      </c>
    </row>
    <row r="1282" spans="2:14">
      <c r="B1282" s="32">
        <f>IF(ISNUMBER(SEARCH('Φόρμα Εισαγωγής'!$B$2,C1282)),MAX($B$1:B1281)+1,0)</f>
        <v>0</v>
      </c>
      <c r="D1282" s="33">
        <f>IF(ISNUMBER(SEARCH('Φόρμα Εισαγωγής'!$C$2,E1282)),MAX($D$1:D1281)+1,0)</f>
        <v>0</v>
      </c>
      <c r="H1282" s="6">
        <f t="shared" si="71"/>
        <v>0</v>
      </c>
      <c r="I1282" s="6">
        <f t="shared" si="72"/>
        <v>0</v>
      </c>
      <c r="J1282" s="6">
        <f t="shared" si="73"/>
        <v>0</v>
      </c>
      <c r="L1282" s="4" t="str">
        <f>IFERROR(VLOOKUP(ROWS($L$2:L1282),$B$2:$C$1996,2,0),"")</f>
        <v/>
      </c>
      <c r="N1282" s="2" t="str">
        <f>IFERROR(VLOOKUP(ROWS($N$2:N1282),$D$2:$E$1996,2,0),"")</f>
        <v/>
      </c>
    </row>
    <row r="1283" spans="2:14">
      <c r="B1283" s="32">
        <f>IF(ISNUMBER(SEARCH('Φόρμα Εισαγωγής'!$B$2,C1283)),MAX($B$1:B1282)+1,0)</f>
        <v>0</v>
      </c>
      <c r="D1283" s="33">
        <f>IF(ISNUMBER(SEARCH('Φόρμα Εισαγωγής'!$C$2,E1283)),MAX($D$1:D1282)+1,0)</f>
        <v>0</v>
      </c>
      <c r="H1283" s="6">
        <f t="shared" si="71"/>
        <v>0</v>
      </c>
      <c r="I1283" s="6">
        <f t="shared" si="72"/>
        <v>0</v>
      </c>
      <c r="J1283" s="6">
        <f t="shared" si="73"/>
        <v>0</v>
      </c>
      <c r="L1283" s="4" t="str">
        <f>IFERROR(VLOOKUP(ROWS($L$2:L1283),$B$2:$C$1996,2,0),"")</f>
        <v/>
      </c>
      <c r="N1283" s="2" t="str">
        <f>IFERROR(VLOOKUP(ROWS($N$2:N1283),$D$2:$E$1996,2,0),"")</f>
        <v/>
      </c>
    </row>
    <row r="1284" spans="2:14">
      <c r="B1284" s="32">
        <f>IF(ISNUMBER(SEARCH('Φόρμα Εισαγωγής'!$B$2,C1284)),MAX($B$1:B1283)+1,0)</f>
        <v>0</v>
      </c>
      <c r="D1284" s="33">
        <f>IF(ISNUMBER(SEARCH('Φόρμα Εισαγωγής'!$C$2,E1284)),MAX($D$1:D1283)+1,0)</f>
        <v>0</v>
      </c>
      <c r="H1284" s="6">
        <f t="shared" si="71"/>
        <v>0</v>
      </c>
      <c r="I1284" s="6">
        <f t="shared" si="72"/>
        <v>0</v>
      </c>
      <c r="J1284" s="6">
        <f t="shared" si="73"/>
        <v>0</v>
      </c>
      <c r="L1284" s="4" t="str">
        <f>IFERROR(VLOOKUP(ROWS($L$2:L1284),$B$2:$C$1996,2,0),"")</f>
        <v/>
      </c>
      <c r="N1284" s="2" t="str">
        <f>IFERROR(VLOOKUP(ROWS($N$2:N1284),$D$2:$E$1996,2,0),"")</f>
        <v/>
      </c>
    </row>
    <row r="1285" spans="2:14">
      <c r="B1285" s="32">
        <f>IF(ISNUMBER(SEARCH('Φόρμα Εισαγωγής'!$B$2,C1285)),MAX($B$1:B1284)+1,0)</f>
        <v>0</v>
      </c>
      <c r="D1285" s="33">
        <f>IF(ISNUMBER(SEARCH('Φόρμα Εισαγωγής'!$C$2,E1285)),MAX($D$1:D1284)+1,0)</f>
        <v>0</v>
      </c>
      <c r="H1285" s="6">
        <f t="shared" si="71"/>
        <v>0</v>
      </c>
      <c r="I1285" s="6">
        <f t="shared" si="72"/>
        <v>0</v>
      </c>
      <c r="J1285" s="6">
        <f t="shared" si="73"/>
        <v>0</v>
      </c>
      <c r="L1285" s="4" t="str">
        <f>IFERROR(VLOOKUP(ROWS($L$2:L1285),$B$2:$C$1996,2,0),"")</f>
        <v/>
      </c>
      <c r="N1285" s="2" t="str">
        <f>IFERROR(VLOOKUP(ROWS($N$2:N1285),$D$2:$E$1996,2,0),"")</f>
        <v/>
      </c>
    </row>
    <row r="1286" spans="2:14">
      <c r="B1286" s="32">
        <f>IF(ISNUMBER(SEARCH('Φόρμα Εισαγωγής'!$B$2,C1286)),MAX($B$1:B1285)+1,0)</f>
        <v>0</v>
      </c>
      <c r="D1286" s="33">
        <f>IF(ISNUMBER(SEARCH('Φόρμα Εισαγωγής'!$C$2,E1286)),MAX($D$1:D1285)+1,0)</f>
        <v>0</v>
      </c>
      <c r="H1286" s="6">
        <f t="shared" si="71"/>
        <v>0</v>
      </c>
      <c r="I1286" s="6">
        <f t="shared" si="72"/>
        <v>0</v>
      </c>
      <c r="J1286" s="6">
        <f t="shared" si="73"/>
        <v>0</v>
      </c>
      <c r="L1286" s="4" t="str">
        <f>IFERROR(VLOOKUP(ROWS($L$2:L1286),$B$2:$C$1996,2,0),"")</f>
        <v/>
      </c>
      <c r="N1286" s="2" t="str">
        <f>IFERROR(VLOOKUP(ROWS($N$2:N1286),$D$2:$E$1996,2,0),"")</f>
        <v/>
      </c>
    </row>
    <row r="1287" spans="2:14">
      <c r="B1287" s="32">
        <f>IF(ISNUMBER(SEARCH('Φόρμα Εισαγωγής'!$B$2,C1287)),MAX($B$1:B1286)+1,0)</f>
        <v>0</v>
      </c>
      <c r="D1287" s="33">
        <f>IF(ISNUMBER(SEARCH('Φόρμα Εισαγωγής'!$C$2,E1287)),MAX($D$1:D1286)+1,0)</f>
        <v>0</v>
      </c>
      <c r="H1287" s="6">
        <f t="shared" si="71"/>
        <v>0</v>
      </c>
      <c r="I1287" s="6">
        <f t="shared" si="72"/>
        <v>0</v>
      </c>
      <c r="J1287" s="6">
        <f t="shared" si="73"/>
        <v>0</v>
      </c>
      <c r="L1287" s="4" t="str">
        <f>IFERROR(VLOOKUP(ROWS($L$2:L1287),$B$2:$C$1996,2,0),"")</f>
        <v/>
      </c>
      <c r="N1287" s="2" t="str">
        <f>IFERROR(VLOOKUP(ROWS($N$2:N1287),$D$2:$E$1996,2,0),"")</f>
        <v/>
      </c>
    </row>
    <row r="1288" spans="2:14">
      <c r="B1288" s="32">
        <f>IF(ISNUMBER(SEARCH('Φόρμα Εισαγωγής'!$B$2,C1288)),MAX($B$1:B1287)+1,0)</f>
        <v>0</v>
      </c>
      <c r="D1288" s="33">
        <f>IF(ISNUMBER(SEARCH('Φόρμα Εισαγωγής'!$C$2,E1288)),MAX($D$1:D1287)+1,0)</f>
        <v>0</v>
      </c>
      <c r="H1288" s="6">
        <f t="shared" si="71"/>
        <v>0</v>
      </c>
      <c r="I1288" s="6">
        <f t="shared" si="72"/>
        <v>0</v>
      </c>
      <c r="J1288" s="6">
        <f t="shared" si="73"/>
        <v>0</v>
      </c>
      <c r="L1288" s="4" t="str">
        <f>IFERROR(VLOOKUP(ROWS($L$2:L1288),$B$2:$C$1996,2,0),"")</f>
        <v/>
      </c>
      <c r="N1288" s="2" t="str">
        <f>IFERROR(VLOOKUP(ROWS($N$2:N1288),$D$2:$E$1996,2,0),"")</f>
        <v/>
      </c>
    </row>
    <row r="1289" spans="2:14">
      <c r="B1289" s="32">
        <f>IF(ISNUMBER(SEARCH('Φόρμα Εισαγωγής'!$B$2,C1289)),MAX($B$1:B1288)+1,0)</f>
        <v>0</v>
      </c>
      <c r="D1289" s="33">
        <f>IF(ISNUMBER(SEARCH('Φόρμα Εισαγωγής'!$C$2,E1289)),MAX($D$1:D1288)+1,0)</f>
        <v>0</v>
      </c>
      <c r="H1289" s="6">
        <f t="shared" si="71"/>
        <v>0</v>
      </c>
      <c r="I1289" s="6">
        <f t="shared" si="72"/>
        <v>0</v>
      </c>
      <c r="J1289" s="6">
        <f t="shared" si="73"/>
        <v>0</v>
      </c>
      <c r="L1289" s="4" t="str">
        <f>IFERROR(VLOOKUP(ROWS($L$2:L1289),$B$2:$C$1996,2,0),"")</f>
        <v/>
      </c>
      <c r="N1289" s="2" t="str">
        <f>IFERROR(VLOOKUP(ROWS($N$2:N1289),$D$2:$E$1996,2,0),"")</f>
        <v/>
      </c>
    </row>
    <row r="1290" spans="2:14">
      <c r="B1290" s="32">
        <f>IF(ISNUMBER(SEARCH('Φόρμα Εισαγωγής'!$B$2,C1290)),MAX($B$1:B1289)+1,0)</f>
        <v>0</v>
      </c>
      <c r="D1290" s="33">
        <f>IF(ISNUMBER(SEARCH('Φόρμα Εισαγωγής'!$C$2,E1290)),MAX($D$1:D1289)+1,0)</f>
        <v>0</v>
      </c>
      <c r="H1290" s="6">
        <f t="shared" si="71"/>
        <v>0</v>
      </c>
      <c r="I1290" s="6">
        <f t="shared" si="72"/>
        <v>0</v>
      </c>
      <c r="J1290" s="6">
        <f t="shared" si="73"/>
        <v>0</v>
      </c>
      <c r="L1290" s="4" t="str">
        <f>IFERROR(VLOOKUP(ROWS($L$2:L1290),$B$2:$C$1996,2,0),"")</f>
        <v/>
      </c>
      <c r="N1290" s="2" t="str">
        <f>IFERROR(VLOOKUP(ROWS($N$2:N1290),$D$2:$E$1996,2,0),"")</f>
        <v/>
      </c>
    </row>
    <row r="1291" spans="2:14">
      <c r="B1291" s="32">
        <f>IF(ISNUMBER(SEARCH('Φόρμα Εισαγωγής'!$B$2,C1291)),MAX($B$1:B1290)+1,0)</f>
        <v>0</v>
      </c>
      <c r="D1291" s="33">
        <f>IF(ISNUMBER(SEARCH('Φόρμα Εισαγωγής'!$C$2,E1291)),MAX($D$1:D1290)+1,0)</f>
        <v>0</v>
      </c>
      <c r="H1291" s="6">
        <f t="shared" si="71"/>
        <v>0</v>
      </c>
      <c r="I1291" s="6">
        <f t="shared" si="72"/>
        <v>0</v>
      </c>
      <c r="J1291" s="6">
        <f t="shared" si="73"/>
        <v>0</v>
      </c>
      <c r="L1291" s="4" t="str">
        <f>IFERROR(VLOOKUP(ROWS($L$2:L1291),$B$2:$C$1996,2,0),"")</f>
        <v/>
      </c>
      <c r="N1291" s="2" t="str">
        <f>IFERROR(VLOOKUP(ROWS($N$2:N1291),$D$2:$E$1996,2,0),"")</f>
        <v/>
      </c>
    </row>
    <row r="1292" spans="2:14">
      <c r="B1292" s="32">
        <f>IF(ISNUMBER(SEARCH('Φόρμα Εισαγωγής'!$B$2,C1292)),MAX($B$1:B1291)+1,0)</f>
        <v>0</v>
      </c>
      <c r="D1292" s="33">
        <f>IF(ISNUMBER(SEARCH('Φόρμα Εισαγωγής'!$C$2,E1292)),MAX($D$1:D1291)+1,0)</f>
        <v>0</v>
      </c>
      <c r="H1292" s="6">
        <f t="shared" si="71"/>
        <v>0</v>
      </c>
      <c r="I1292" s="6">
        <f t="shared" si="72"/>
        <v>0</v>
      </c>
      <c r="J1292" s="6">
        <f t="shared" si="73"/>
        <v>0</v>
      </c>
      <c r="L1292" s="4" t="str">
        <f>IFERROR(VLOOKUP(ROWS($L$2:L1292),$B$2:$C$1996,2,0),"")</f>
        <v/>
      </c>
      <c r="N1292" s="2" t="str">
        <f>IFERROR(VLOOKUP(ROWS($N$2:N1292),$D$2:$E$1996,2,0),"")</f>
        <v/>
      </c>
    </row>
    <row r="1293" spans="2:14">
      <c r="B1293" s="32">
        <f>IF(ISNUMBER(SEARCH('Φόρμα Εισαγωγής'!$B$2,C1293)),MAX($B$1:B1292)+1,0)</f>
        <v>0</v>
      </c>
      <c r="D1293" s="33">
        <f>IF(ISNUMBER(SEARCH('Φόρμα Εισαγωγής'!$C$2,E1293)),MAX($D$1:D1292)+1,0)</f>
        <v>0</v>
      </c>
      <c r="H1293" s="6">
        <f t="shared" si="71"/>
        <v>0</v>
      </c>
      <c r="I1293" s="6">
        <f t="shared" si="72"/>
        <v>0</v>
      </c>
      <c r="J1293" s="6">
        <f t="shared" si="73"/>
        <v>0</v>
      </c>
      <c r="L1293" s="4" t="str">
        <f>IFERROR(VLOOKUP(ROWS($L$2:L1293),$B$2:$C$1996,2,0),"")</f>
        <v/>
      </c>
      <c r="N1293" s="2" t="str">
        <f>IFERROR(VLOOKUP(ROWS($N$2:N1293),$D$2:$E$1996,2,0),"")</f>
        <v/>
      </c>
    </row>
    <row r="1294" spans="2:14">
      <c r="B1294" s="32">
        <f>IF(ISNUMBER(SEARCH('Φόρμα Εισαγωγής'!$B$2,C1294)),MAX($B$1:B1293)+1,0)</f>
        <v>0</v>
      </c>
      <c r="D1294" s="33">
        <f>IF(ISNUMBER(SEARCH('Φόρμα Εισαγωγής'!$C$2,E1294)),MAX($D$1:D1293)+1,0)</f>
        <v>0</v>
      </c>
      <c r="H1294" s="6">
        <f t="shared" si="71"/>
        <v>0</v>
      </c>
      <c r="I1294" s="6">
        <f t="shared" si="72"/>
        <v>0</v>
      </c>
      <c r="J1294" s="6">
        <f t="shared" si="73"/>
        <v>0</v>
      </c>
      <c r="L1294" s="4" t="str">
        <f>IFERROR(VLOOKUP(ROWS($L$2:L1294),$B$2:$C$1996,2,0),"")</f>
        <v/>
      </c>
      <c r="N1294" s="2" t="str">
        <f>IFERROR(VLOOKUP(ROWS($N$2:N1294),$D$2:$E$1996,2,0),"")</f>
        <v/>
      </c>
    </row>
    <row r="1295" spans="2:14">
      <c r="B1295" s="32">
        <f>IF(ISNUMBER(SEARCH('Φόρμα Εισαγωγής'!$B$2,C1295)),MAX($B$1:B1294)+1,0)</f>
        <v>0</v>
      </c>
      <c r="D1295" s="33">
        <f>IF(ISNUMBER(SEARCH('Φόρμα Εισαγωγής'!$C$2,E1295)),MAX($D$1:D1294)+1,0)</f>
        <v>0</v>
      </c>
      <c r="H1295" s="6">
        <f t="shared" si="71"/>
        <v>0</v>
      </c>
      <c r="I1295" s="6">
        <f t="shared" si="72"/>
        <v>0</v>
      </c>
      <c r="J1295" s="6">
        <f t="shared" si="73"/>
        <v>0</v>
      </c>
      <c r="L1295" s="4" t="str">
        <f>IFERROR(VLOOKUP(ROWS($L$2:L1295),$B$2:$C$1996,2,0),"")</f>
        <v/>
      </c>
      <c r="N1295" s="2" t="str">
        <f>IFERROR(VLOOKUP(ROWS($N$2:N1295),$D$2:$E$1996,2,0),"")</f>
        <v/>
      </c>
    </row>
    <row r="1296" spans="2:14">
      <c r="B1296" s="32">
        <f>IF(ISNUMBER(SEARCH('Φόρμα Εισαγωγής'!$B$2,C1296)),MAX($B$1:B1295)+1,0)</f>
        <v>0</v>
      </c>
      <c r="D1296" s="33">
        <f>IF(ISNUMBER(SEARCH('Φόρμα Εισαγωγής'!$C$2,E1296)),MAX($D$1:D1295)+1,0)</f>
        <v>0</v>
      </c>
      <c r="H1296" s="6">
        <f t="shared" si="71"/>
        <v>0</v>
      </c>
      <c r="I1296" s="6">
        <f t="shared" si="72"/>
        <v>0</v>
      </c>
      <c r="J1296" s="6">
        <f t="shared" si="73"/>
        <v>0</v>
      </c>
      <c r="L1296" s="4" t="str">
        <f>IFERROR(VLOOKUP(ROWS($L$2:L1296),$B$2:$C$1996,2,0),"")</f>
        <v/>
      </c>
      <c r="N1296" s="2" t="str">
        <f>IFERROR(VLOOKUP(ROWS($N$2:N1296),$D$2:$E$1996,2,0),"")</f>
        <v/>
      </c>
    </row>
    <row r="1297" spans="2:14">
      <c r="B1297" s="32">
        <f>IF(ISNUMBER(SEARCH('Φόρμα Εισαγωγής'!$B$2,C1297)),MAX($B$1:B1296)+1,0)</f>
        <v>0</v>
      </c>
      <c r="D1297" s="33">
        <f>IF(ISNUMBER(SEARCH('Φόρμα Εισαγωγής'!$C$2,E1297)),MAX($D$1:D1296)+1,0)</f>
        <v>0</v>
      </c>
      <c r="H1297" s="6">
        <f t="shared" si="71"/>
        <v>0</v>
      </c>
      <c r="I1297" s="6">
        <f t="shared" si="72"/>
        <v>0</v>
      </c>
      <c r="J1297" s="6">
        <f t="shared" si="73"/>
        <v>0</v>
      </c>
      <c r="L1297" s="4" t="str">
        <f>IFERROR(VLOOKUP(ROWS($L$2:L1297),$B$2:$C$1996,2,0),"")</f>
        <v/>
      </c>
      <c r="N1297" s="2" t="str">
        <f>IFERROR(VLOOKUP(ROWS($N$2:N1297),$D$2:$E$1996,2,0),"")</f>
        <v/>
      </c>
    </row>
    <row r="1298" spans="2:14">
      <c r="B1298" s="32">
        <f>IF(ISNUMBER(SEARCH('Φόρμα Εισαγωγής'!$B$2,C1298)),MAX($B$1:B1297)+1,0)</f>
        <v>0</v>
      </c>
      <c r="D1298" s="33">
        <f>IF(ISNUMBER(SEARCH('Φόρμα Εισαγωγής'!$C$2,E1298)),MAX($D$1:D1297)+1,0)</f>
        <v>0</v>
      </c>
      <c r="H1298" s="6">
        <f t="shared" si="71"/>
        <v>0</v>
      </c>
      <c r="I1298" s="6">
        <f t="shared" si="72"/>
        <v>0</v>
      </c>
      <c r="J1298" s="6">
        <f t="shared" si="73"/>
        <v>0</v>
      </c>
      <c r="L1298" s="4" t="str">
        <f>IFERROR(VLOOKUP(ROWS($L$2:L1298),$B$2:$C$1996,2,0),"")</f>
        <v/>
      </c>
      <c r="N1298" s="2" t="str">
        <f>IFERROR(VLOOKUP(ROWS($N$2:N1298),$D$2:$E$1996,2,0),"")</f>
        <v/>
      </c>
    </row>
    <row r="1299" spans="2:14">
      <c r="B1299" s="32">
        <f>IF(ISNUMBER(SEARCH('Φόρμα Εισαγωγής'!$B$2,C1299)),MAX($B$1:B1298)+1,0)</f>
        <v>0</v>
      </c>
      <c r="D1299" s="33">
        <f>IF(ISNUMBER(SEARCH('Φόρμα Εισαγωγής'!$C$2,E1299)),MAX($D$1:D1298)+1,0)</f>
        <v>0</v>
      </c>
      <c r="H1299" s="6">
        <f t="shared" si="71"/>
        <v>0</v>
      </c>
      <c r="I1299" s="6">
        <f t="shared" si="72"/>
        <v>0</v>
      </c>
      <c r="J1299" s="6">
        <f t="shared" si="73"/>
        <v>0</v>
      </c>
      <c r="L1299" s="4" t="str">
        <f>IFERROR(VLOOKUP(ROWS($L$2:L1299),$B$2:$C$1996,2,0),"")</f>
        <v/>
      </c>
      <c r="N1299" s="2" t="str">
        <f>IFERROR(VLOOKUP(ROWS($N$2:N1299),$D$2:$E$1996,2,0),"")</f>
        <v/>
      </c>
    </row>
    <row r="1300" spans="2:14">
      <c r="B1300" s="32">
        <f>IF(ISNUMBER(SEARCH('Φόρμα Εισαγωγής'!$B$2,C1300)),MAX($B$1:B1299)+1,0)</f>
        <v>0</v>
      </c>
      <c r="D1300" s="33">
        <f>IF(ISNUMBER(SEARCH('Φόρμα Εισαγωγής'!$C$2,E1300)),MAX($D$1:D1299)+1,0)</f>
        <v>0</v>
      </c>
      <c r="H1300" s="6">
        <f t="shared" si="71"/>
        <v>0</v>
      </c>
      <c r="I1300" s="6">
        <f t="shared" si="72"/>
        <v>0</v>
      </c>
      <c r="J1300" s="6">
        <f t="shared" si="73"/>
        <v>0</v>
      </c>
      <c r="L1300" s="4" t="str">
        <f>IFERROR(VLOOKUP(ROWS($L$2:L1300),$B$2:$C$1996,2,0),"")</f>
        <v/>
      </c>
      <c r="N1300" s="2" t="str">
        <f>IFERROR(VLOOKUP(ROWS($N$2:N1300),$D$2:$E$1996,2,0),"")</f>
        <v/>
      </c>
    </row>
    <row r="1301" spans="2:14">
      <c r="B1301" s="32">
        <f>IF(ISNUMBER(SEARCH('Φόρμα Εισαγωγής'!$B$2,C1301)),MAX($B$1:B1300)+1,0)</f>
        <v>0</v>
      </c>
      <c r="D1301" s="33">
        <f>IF(ISNUMBER(SEARCH('Φόρμα Εισαγωγής'!$C$2,E1301)),MAX($D$1:D1300)+1,0)</f>
        <v>0</v>
      </c>
      <c r="H1301" s="6">
        <f t="shared" si="71"/>
        <v>0</v>
      </c>
      <c r="I1301" s="6">
        <f t="shared" si="72"/>
        <v>0</v>
      </c>
      <c r="J1301" s="6">
        <f t="shared" si="73"/>
        <v>0</v>
      </c>
      <c r="L1301" s="4" t="str">
        <f>IFERROR(VLOOKUP(ROWS($L$2:L1301),$B$2:$C$1996,2,0),"")</f>
        <v/>
      </c>
      <c r="N1301" s="2" t="str">
        <f>IFERROR(VLOOKUP(ROWS($N$2:N1301),$D$2:$E$1996,2,0),"")</f>
        <v/>
      </c>
    </row>
    <row r="1302" spans="2:14">
      <c r="B1302" s="32">
        <f>IF(ISNUMBER(SEARCH('Φόρμα Εισαγωγής'!$B$2,C1302)),MAX($B$1:B1301)+1,0)</f>
        <v>0</v>
      </c>
      <c r="D1302" s="33">
        <f>IF(ISNUMBER(SEARCH('Φόρμα Εισαγωγής'!$C$2,E1302)),MAX($D$1:D1301)+1,0)</f>
        <v>0</v>
      </c>
      <c r="H1302" s="6">
        <f t="shared" si="71"/>
        <v>0</v>
      </c>
      <c r="I1302" s="6">
        <f t="shared" si="72"/>
        <v>0</v>
      </c>
      <c r="J1302" s="6">
        <f t="shared" si="73"/>
        <v>0</v>
      </c>
      <c r="L1302" s="4" t="str">
        <f>IFERROR(VLOOKUP(ROWS($L$2:L1302),$B$2:$C$1996,2,0),"")</f>
        <v/>
      </c>
      <c r="N1302" s="2" t="str">
        <f>IFERROR(VLOOKUP(ROWS($N$2:N1302),$D$2:$E$1996,2,0),"")</f>
        <v/>
      </c>
    </row>
    <row r="1303" spans="2:14">
      <c r="B1303" s="32">
        <f>IF(ISNUMBER(SEARCH('Φόρμα Εισαγωγής'!$B$2,C1303)),MAX($B$1:B1302)+1,0)</f>
        <v>0</v>
      </c>
      <c r="D1303" s="33">
        <f>IF(ISNUMBER(SEARCH('Φόρμα Εισαγωγής'!$C$2,E1303)),MAX($D$1:D1302)+1,0)</f>
        <v>0</v>
      </c>
      <c r="H1303" s="6">
        <f t="shared" si="71"/>
        <v>0</v>
      </c>
      <c r="I1303" s="6">
        <f t="shared" si="72"/>
        <v>0</v>
      </c>
      <c r="J1303" s="6">
        <f t="shared" si="73"/>
        <v>0</v>
      </c>
      <c r="L1303" s="4" t="str">
        <f>IFERROR(VLOOKUP(ROWS($L$2:L1303),$B$2:$C$1996,2,0),"")</f>
        <v/>
      </c>
      <c r="N1303" s="2" t="str">
        <f>IFERROR(VLOOKUP(ROWS($N$2:N1303),$D$2:$E$1996,2,0),"")</f>
        <v/>
      </c>
    </row>
    <row r="1304" spans="2:14">
      <c r="B1304" s="32">
        <f>IF(ISNUMBER(SEARCH('Φόρμα Εισαγωγής'!$B$2,C1304)),MAX($B$1:B1303)+1,0)</f>
        <v>0</v>
      </c>
      <c r="D1304" s="33">
        <f>IF(ISNUMBER(SEARCH('Φόρμα Εισαγωγής'!$C$2,E1304)),MAX($D$1:D1303)+1,0)</f>
        <v>0</v>
      </c>
      <c r="H1304" s="6">
        <f t="shared" si="71"/>
        <v>0</v>
      </c>
      <c r="I1304" s="6">
        <f t="shared" si="72"/>
        <v>0</v>
      </c>
      <c r="J1304" s="6">
        <f t="shared" si="73"/>
        <v>0</v>
      </c>
      <c r="L1304" s="4" t="str">
        <f>IFERROR(VLOOKUP(ROWS($L$2:L1304),$B$2:$C$1996,2,0),"")</f>
        <v/>
      </c>
      <c r="N1304" s="2" t="str">
        <f>IFERROR(VLOOKUP(ROWS($N$2:N1304),$D$2:$E$1996,2,0),"")</f>
        <v/>
      </c>
    </row>
    <row r="1305" spans="2:14">
      <c r="B1305" s="32">
        <f>IF(ISNUMBER(SEARCH('Φόρμα Εισαγωγής'!$B$2,C1305)),MAX($B$1:B1304)+1,0)</f>
        <v>0</v>
      </c>
      <c r="D1305" s="33">
        <f>IF(ISNUMBER(SEARCH('Φόρμα Εισαγωγής'!$C$2,E1305)),MAX($D$1:D1304)+1,0)</f>
        <v>0</v>
      </c>
      <c r="H1305" s="6">
        <f t="shared" si="71"/>
        <v>0</v>
      </c>
      <c r="I1305" s="6">
        <f t="shared" si="72"/>
        <v>0</v>
      </c>
      <c r="J1305" s="6">
        <f t="shared" si="73"/>
        <v>0</v>
      </c>
      <c r="L1305" s="4" t="str">
        <f>IFERROR(VLOOKUP(ROWS($L$2:L1305),$B$2:$C$1996,2,0),"")</f>
        <v/>
      </c>
      <c r="N1305" s="2" t="str">
        <f>IFERROR(VLOOKUP(ROWS($N$2:N1305),$D$2:$E$1996,2,0),"")</f>
        <v/>
      </c>
    </row>
    <row r="1306" spans="2:14">
      <c r="B1306" s="32">
        <f>IF(ISNUMBER(SEARCH('Φόρμα Εισαγωγής'!$B$2,C1306)),MAX($B$1:B1305)+1,0)</f>
        <v>0</v>
      </c>
      <c r="D1306" s="33">
        <f>IF(ISNUMBER(SEARCH('Φόρμα Εισαγωγής'!$C$2,E1306)),MAX($D$1:D1305)+1,0)</f>
        <v>0</v>
      </c>
      <c r="H1306" s="6">
        <f t="shared" si="71"/>
        <v>0</v>
      </c>
      <c r="I1306" s="6">
        <f t="shared" si="72"/>
        <v>0</v>
      </c>
      <c r="J1306" s="6">
        <f t="shared" si="73"/>
        <v>0</v>
      </c>
      <c r="L1306" s="4" t="str">
        <f>IFERROR(VLOOKUP(ROWS($L$2:L1306),$B$2:$C$1996,2,0),"")</f>
        <v/>
      </c>
      <c r="N1306" s="2" t="str">
        <f>IFERROR(VLOOKUP(ROWS($N$2:N1306),$D$2:$E$1996,2,0),"")</f>
        <v/>
      </c>
    </row>
    <row r="1307" spans="2:14">
      <c r="B1307" s="32">
        <f>IF(ISNUMBER(SEARCH('Φόρμα Εισαγωγής'!$B$2,C1307)),MAX($B$1:B1306)+1,0)</f>
        <v>0</v>
      </c>
      <c r="D1307" s="33">
        <f>IF(ISNUMBER(SEARCH('Φόρμα Εισαγωγής'!$C$2,E1307)),MAX($D$1:D1306)+1,0)</f>
        <v>0</v>
      </c>
      <c r="H1307" s="6">
        <f t="shared" si="71"/>
        <v>0</v>
      </c>
      <c r="I1307" s="6">
        <f t="shared" si="72"/>
        <v>0</v>
      </c>
      <c r="J1307" s="6">
        <f t="shared" si="73"/>
        <v>0</v>
      </c>
      <c r="L1307" s="4" t="str">
        <f>IFERROR(VLOOKUP(ROWS($L$2:L1307),$B$2:$C$1996,2,0),"")</f>
        <v/>
      </c>
      <c r="N1307" s="2" t="str">
        <f>IFERROR(VLOOKUP(ROWS($N$2:N1307),$D$2:$E$1996,2,0),"")</f>
        <v/>
      </c>
    </row>
    <row r="1308" spans="2:14">
      <c r="B1308" s="32">
        <f>IF(ISNUMBER(SEARCH('Φόρμα Εισαγωγής'!$B$2,C1308)),MAX($B$1:B1307)+1,0)</f>
        <v>0</v>
      </c>
      <c r="D1308" s="33">
        <f>IF(ISNUMBER(SEARCH('Φόρμα Εισαγωγής'!$C$2,E1308)),MAX($D$1:D1307)+1,0)</f>
        <v>0</v>
      </c>
      <c r="H1308" s="6">
        <f t="shared" si="71"/>
        <v>0</v>
      </c>
      <c r="I1308" s="6">
        <f t="shared" si="72"/>
        <v>0</v>
      </c>
      <c r="J1308" s="6">
        <f t="shared" si="73"/>
        <v>0</v>
      </c>
      <c r="L1308" s="4" t="str">
        <f>IFERROR(VLOOKUP(ROWS($L$2:L1308),$B$2:$C$1996,2,0),"")</f>
        <v/>
      </c>
      <c r="N1308" s="2" t="str">
        <f>IFERROR(VLOOKUP(ROWS($N$2:N1308),$D$2:$E$1996,2,0),"")</f>
        <v/>
      </c>
    </row>
    <row r="1309" spans="2:14">
      <c r="B1309" s="32">
        <f>IF(ISNUMBER(SEARCH('Φόρμα Εισαγωγής'!$B$2,C1309)),MAX($B$1:B1308)+1,0)</f>
        <v>0</v>
      </c>
      <c r="D1309" s="33">
        <f>IF(ISNUMBER(SEARCH('Φόρμα Εισαγωγής'!$C$2,E1309)),MAX($D$1:D1308)+1,0)</f>
        <v>0</v>
      </c>
      <c r="H1309" s="6">
        <f t="shared" si="71"/>
        <v>0</v>
      </c>
      <c r="I1309" s="6">
        <f t="shared" si="72"/>
        <v>0</v>
      </c>
      <c r="J1309" s="6">
        <f t="shared" si="73"/>
        <v>0</v>
      </c>
      <c r="L1309" s="4" t="str">
        <f>IFERROR(VLOOKUP(ROWS($L$2:L1309),$B$2:$C$1996,2,0),"")</f>
        <v/>
      </c>
      <c r="N1309" s="2" t="str">
        <f>IFERROR(VLOOKUP(ROWS($N$2:N1309),$D$2:$E$1996,2,0),"")</f>
        <v/>
      </c>
    </row>
    <row r="1310" spans="2:14">
      <c r="B1310" s="32">
        <f>IF(ISNUMBER(SEARCH('Φόρμα Εισαγωγής'!$B$2,C1310)),MAX($B$1:B1309)+1,0)</f>
        <v>0</v>
      </c>
      <c r="D1310" s="33">
        <f>IF(ISNUMBER(SEARCH('Φόρμα Εισαγωγής'!$C$2,E1310)),MAX($D$1:D1309)+1,0)</f>
        <v>0</v>
      </c>
      <c r="H1310" s="6">
        <f t="shared" si="71"/>
        <v>0</v>
      </c>
      <c r="I1310" s="6">
        <f t="shared" si="72"/>
        <v>0</v>
      </c>
      <c r="J1310" s="6">
        <f t="shared" si="73"/>
        <v>0</v>
      </c>
      <c r="L1310" s="4" t="str">
        <f>IFERROR(VLOOKUP(ROWS($L$2:L1310),$B$2:$C$1996,2,0),"")</f>
        <v/>
      </c>
      <c r="N1310" s="2" t="str">
        <f>IFERROR(VLOOKUP(ROWS($N$2:N1310),$D$2:$E$1996,2,0),"")</f>
        <v/>
      </c>
    </row>
    <row r="1311" spans="2:14">
      <c r="B1311" s="32">
        <f>IF(ISNUMBER(SEARCH('Φόρμα Εισαγωγής'!$B$2,C1311)),MAX($B$1:B1310)+1,0)</f>
        <v>0</v>
      </c>
      <c r="D1311" s="33">
        <f>IF(ISNUMBER(SEARCH('Φόρμα Εισαγωγής'!$C$2,E1311)),MAX($D$1:D1310)+1,0)</f>
        <v>0</v>
      </c>
      <c r="H1311" s="6">
        <f t="shared" si="71"/>
        <v>0</v>
      </c>
      <c r="I1311" s="6">
        <f t="shared" si="72"/>
        <v>0</v>
      </c>
      <c r="J1311" s="6">
        <f t="shared" si="73"/>
        <v>0</v>
      </c>
      <c r="L1311" s="4" t="str">
        <f>IFERROR(VLOOKUP(ROWS($L$2:L1311),$B$2:$C$1996,2,0),"")</f>
        <v/>
      </c>
      <c r="N1311" s="2" t="str">
        <f>IFERROR(VLOOKUP(ROWS($N$2:N1311),$D$2:$E$1996,2,0),"")</f>
        <v/>
      </c>
    </row>
    <row r="1312" spans="2:14">
      <c r="B1312" s="32">
        <f>IF(ISNUMBER(SEARCH('Φόρμα Εισαγωγής'!$B$2,C1312)),MAX($B$1:B1311)+1,0)</f>
        <v>0</v>
      </c>
      <c r="D1312" s="33">
        <f>IF(ISNUMBER(SEARCH('Φόρμα Εισαγωγής'!$C$2,E1312)),MAX($D$1:D1311)+1,0)</f>
        <v>0</v>
      </c>
      <c r="H1312" s="6">
        <f t="shared" si="71"/>
        <v>0</v>
      </c>
      <c r="I1312" s="6">
        <f t="shared" si="72"/>
        <v>0</v>
      </c>
      <c r="J1312" s="6">
        <f t="shared" si="73"/>
        <v>0</v>
      </c>
      <c r="L1312" s="4" t="str">
        <f>IFERROR(VLOOKUP(ROWS($L$2:L1312),$B$2:$C$1996,2,0),"")</f>
        <v/>
      </c>
      <c r="N1312" s="2" t="str">
        <f>IFERROR(VLOOKUP(ROWS($N$2:N1312),$D$2:$E$1996,2,0),"")</f>
        <v/>
      </c>
    </row>
    <row r="1313" spans="2:14">
      <c r="B1313" s="32">
        <f>IF(ISNUMBER(SEARCH('Φόρμα Εισαγωγής'!$B$2,C1313)),MAX($B$1:B1312)+1,0)</f>
        <v>0</v>
      </c>
      <c r="D1313" s="33">
        <f>IF(ISNUMBER(SEARCH('Φόρμα Εισαγωγής'!$C$2,E1313)),MAX($D$1:D1312)+1,0)</f>
        <v>0</v>
      </c>
      <c r="H1313" s="6">
        <f t="shared" si="71"/>
        <v>0</v>
      </c>
      <c r="I1313" s="6">
        <f t="shared" si="72"/>
        <v>0</v>
      </c>
      <c r="J1313" s="6">
        <f t="shared" si="73"/>
        <v>0</v>
      </c>
      <c r="L1313" s="4" t="str">
        <f>IFERROR(VLOOKUP(ROWS($L$2:L1313),$B$2:$C$1996,2,0),"")</f>
        <v/>
      </c>
      <c r="N1313" s="2" t="str">
        <f>IFERROR(VLOOKUP(ROWS($N$2:N1313),$D$2:$E$1996,2,0),"")</f>
        <v/>
      </c>
    </row>
    <row r="1314" spans="2:14">
      <c r="B1314" s="32">
        <f>IF(ISNUMBER(SEARCH('Φόρμα Εισαγωγής'!$B$2,C1314)),MAX($B$1:B1313)+1,0)</f>
        <v>0</v>
      </c>
      <c r="D1314" s="33">
        <f>IF(ISNUMBER(SEARCH('Φόρμα Εισαγωγής'!$C$2,E1314)),MAX($D$1:D1313)+1,0)</f>
        <v>0</v>
      </c>
      <c r="H1314" s="6">
        <f t="shared" si="71"/>
        <v>0</v>
      </c>
      <c r="I1314" s="6">
        <f t="shared" si="72"/>
        <v>0</v>
      </c>
      <c r="J1314" s="6">
        <f t="shared" si="73"/>
        <v>0</v>
      </c>
      <c r="L1314" s="4" t="str">
        <f>IFERROR(VLOOKUP(ROWS($L$2:L1314),$B$2:$C$1996,2,0),"")</f>
        <v/>
      </c>
      <c r="N1314" s="2" t="str">
        <f>IFERROR(VLOOKUP(ROWS($N$2:N1314),$D$2:$E$1996,2,0),"")</f>
        <v/>
      </c>
    </row>
    <row r="1315" spans="2:14">
      <c r="B1315" s="32">
        <f>IF(ISNUMBER(SEARCH('Φόρμα Εισαγωγής'!$B$2,C1315)),MAX($B$1:B1314)+1,0)</f>
        <v>0</v>
      </c>
      <c r="D1315" s="33">
        <f>IF(ISNUMBER(SEARCH('Φόρμα Εισαγωγής'!$C$2,E1315)),MAX($D$1:D1314)+1,0)</f>
        <v>0</v>
      </c>
      <c r="H1315" s="6">
        <f t="shared" si="71"/>
        <v>0</v>
      </c>
      <c r="I1315" s="6">
        <f t="shared" si="72"/>
        <v>0</v>
      </c>
      <c r="J1315" s="6">
        <f t="shared" si="73"/>
        <v>0</v>
      </c>
      <c r="L1315" s="4" t="str">
        <f>IFERROR(VLOOKUP(ROWS($L$2:L1315),$B$2:$C$1996,2,0),"")</f>
        <v/>
      </c>
      <c r="N1315" s="2" t="str">
        <f>IFERROR(VLOOKUP(ROWS($N$2:N1315),$D$2:$E$1996,2,0),"")</f>
        <v/>
      </c>
    </row>
    <row r="1316" spans="2:14">
      <c r="B1316" s="32">
        <f>IF(ISNUMBER(SEARCH('Φόρμα Εισαγωγής'!$B$2,C1316)),MAX($B$1:B1315)+1,0)</f>
        <v>0</v>
      </c>
      <c r="D1316" s="33">
        <f>IF(ISNUMBER(SEARCH('Φόρμα Εισαγωγής'!$C$2,E1316)),MAX($D$1:D1315)+1,0)</f>
        <v>0</v>
      </c>
      <c r="H1316" s="6">
        <f t="shared" si="71"/>
        <v>0</v>
      </c>
      <c r="I1316" s="6">
        <f t="shared" si="72"/>
        <v>0</v>
      </c>
      <c r="J1316" s="6">
        <f t="shared" si="73"/>
        <v>0</v>
      </c>
      <c r="L1316" s="4" t="str">
        <f>IFERROR(VLOOKUP(ROWS($L$2:L1316),$B$2:$C$1996,2,0),"")</f>
        <v/>
      </c>
      <c r="N1316" s="2" t="str">
        <f>IFERROR(VLOOKUP(ROWS($N$2:N1316),$D$2:$E$1996,2,0),"")</f>
        <v/>
      </c>
    </row>
    <row r="1317" spans="2:14">
      <c r="B1317" s="32">
        <f>IF(ISNUMBER(SEARCH('Φόρμα Εισαγωγής'!$B$2,C1317)),MAX($B$1:B1316)+1,0)</f>
        <v>0</v>
      </c>
      <c r="D1317" s="33">
        <f>IF(ISNUMBER(SEARCH('Φόρμα Εισαγωγής'!$C$2,E1317)),MAX($D$1:D1316)+1,0)</f>
        <v>0</v>
      </c>
      <c r="H1317" s="6">
        <f t="shared" si="71"/>
        <v>0</v>
      </c>
      <c r="I1317" s="6">
        <f t="shared" si="72"/>
        <v>0</v>
      </c>
      <c r="J1317" s="6">
        <f t="shared" si="73"/>
        <v>0</v>
      </c>
      <c r="L1317" s="4" t="str">
        <f>IFERROR(VLOOKUP(ROWS($L$2:L1317),$B$2:$C$1996,2,0),"")</f>
        <v/>
      </c>
      <c r="N1317" s="2" t="str">
        <f>IFERROR(VLOOKUP(ROWS($N$2:N1317),$D$2:$E$1996,2,0),"")</f>
        <v/>
      </c>
    </row>
    <row r="1318" spans="2:14">
      <c r="B1318" s="32">
        <f>IF(ISNUMBER(SEARCH('Φόρμα Εισαγωγής'!$B$2,C1318)),MAX($B$1:B1317)+1,0)</f>
        <v>0</v>
      </c>
      <c r="D1318" s="33">
        <f>IF(ISNUMBER(SEARCH('Φόρμα Εισαγωγής'!$C$2,E1318)),MAX($D$1:D1317)+1,0)</f>
        <v>0</v>
      </c>
      <c r="H1318" s="6">
        <f t="shared" si="71"/>
        <v>0</v>
      </c>
      <c r="I1318" s="6">
        <f t="shared" si="72"/>
        <v>0</v>
      </c>
      <c r="J1318" s="6">
        <f t="shared" si="73"/>
        <v>0</v>
      </c>
      <c r="L1318" s="4" t="str">
        <f>IFERROR(VLOOKUP(ROWS($L$2:L1318),$B$2:$C$1996,2,0),"")</f>
        <v/>
      </c>
      <c r="N1318" s="2" t="str">
        <f>IFERROR(VLOOKUP(ROWS($N$2:N1318),$D$2:$E$1996,2,0),"")</f>
        <v/>
      </c>
    </row>
    <row r="1319" spans="2:14">
      <c r="B1319" s="32">
        <f>IF(ISNUMBER(SEARCH('Φόρμα Εισαγωγής'!$B$2,C1319)),MAX($B$1:B1318)+1,0)</f>
        <v>0</v>
      </c>
      <c r="D1319" s="33">
        <f>IF(ISNUMBER(SEARCH('Φόρμα Εισαγωγής'!$C$2,E1319)),MAX($D$1:D1318)+1,0)</f>
        <v>0</v>
      </c>
      <c r="H1319" s="6">
        <f t="shared" si="71"/>
        <v>0</v>
      </c>
      <c r="I1319" s="6">
        <f t="shared" si="72"/>
        <v>0</v>
      </c>
      <c r="J1319" s="6">
        <f t="shared" si="73"/>
        <v>0</v>
      </c>
      <c r="L1319" s="4" t="str">
        <f>IFERROR(VLOOKUP(ROWS($L$2:L1319),$B$2:$C$1996,2,0),"")</f>
        <v/>
      </c>
      <c r="N1319" s="2" t="str">
        <f>IFERROR(VLOOKUP(ROWS($N$2:N1319),$D$2:$E$1996,2,0),"")</f>
        <v/>
      </c>
    </row>
    <row r="1320" spans="2:14">
      <c r="B1320" s="32">
        <f>IF(ISNUMBER(SEARCH('Φόρμα Εισαγωγής'!$B$2,C1320)),MAX($B$1:B1319)+1,0)</f>
        <v>0</v>
      </c>
      <c r="D1320" s="33">
        <f>IF(ISNUMBER(SEARCH('Φόρμα Εισαγωγής'!$C$2,E1320)),MAX($D$1:D1319)+1,0)</f>
        <v>0</v>
      </c>
      <c r="H1320" s="6">
        <f t="shared" si="71"/>
        <v>0</v>
      </c>
      <c r="I1320" s="6">
        <f t="shared" si="72"/>
        <v>0</v>
      </c>
      <c r="J1320" s="6">
        <f t="shared" si="73"/>
        <v>0</v>
      </c>
      <c r="L1320" s="4" t="str">
        <f>IFERROR(VLOOKUP(ROWS($L$2:L1320),$B$2:$C$1996,2,0),"")</f>
        <v/>
      </c>
      <c r="N1320" s="2" t="str">
        <f>IFERROR(VLOOKUP(ROWS($N$2:N1320),$D$2:$E$1996,2,0),"")</f>
        <v/>
      </c>
    </row>
    <row r="1321" spans="2:14">
      <c r="B1321" s="32">
        <f>IF(ISNUMBER(SEARCH('Φόρμα Εισαγωγής'!$B$2,C1321)),MAX($B$1:B1320)+1,0)</f>
        <v>0</v>
      </c>
      <c r="D1321" s="33">
        <f>IF(ISNUMBER(SEARCH('Φόρμα Εισαγωγής'!$C$2,E1321)),MAX($D$1:D1320)+1,0)</f>
        <v>0</v>
      </c>
      <c r="H1321" s="6">
        <f t="shared" si="71"/>
        <v>0</v>
      </c>
      <c r="I1321" s="6">
        <f t="shared" si="72"/>
        <v>0</v>
      </c>
      <c r="J1321" s="6">
        <f t="shared" si="73"/>
        <v>0</v>
      </c>
      <c r="L1321" s="4" t="str">
        <f>IFERROR(VLOOKUP(ROWS($L$2:L1321),$B$2:$C$1996,2,0),"")</f>
        <v/>
      </c>
      <c r="N1321" s="2" t="str">
        <f>IFERROR(VLOOKUP(ROWS($N$2:N1321),$D$2:$E$1996,2,0),"")</f>
        <v/>
      </c>
    </row>
    <row r="1322" spans="2:14">
      <c r="B1322" s="32">
        <f>IF(ISNUMBER(SEARCH('Φόρμα Εισαγωγής'!$B$2,C1322)),MAX($B$1:B1321)+1,0)</f>
        <v>0</v>
      </c>
      <c r="D1322" s="33">
        <f>IF(ISNUMBER(SEARCH('Φόρμα Εισαγωγής'!$C$2,E1322)),MAX($D$1:D1321)+1,0)</f>
        <v>0</v>
      </c>
      <c r="H1322" s="6">
        <f t="shared" si="71"/>
        <v>0</v>
      </c>
      <c r="I1322" s="6">
        <f t="shared" si="72"/>
        <v>0</v>
      </c>
      <c r="J1322" s="6">
        <f t="shared" si="73"/>
        <v>0</v>
      </c>
      <c r="L1322" s="4" t="str">
        <f>IFERROR(VLOOKUP(ROWS($L$2:L1322),$B$2:$C$1996,2,0),"")</f>
        <v/>
      </c>
      <c r="N1322" s="2" t="str">
        <f>IFERROR(VLOOKUP(ROWS($N$2:N1322),$D$2:$E$1996,2,0),"")</f>
        <v/>
      </c>
    </row>
    <row r="1323" spans="2:14">
      <c r="B1323" s="32">
        <f>IF(ISNUMBER(SEARCH('Φόρμα Εισαγωγής'!$B$2,C1323)),MAX($B$1:B1322)+1,0)</f>
        <v>0</v>
      </c>
      <c r="D1323" s="33">
        <f>IF(ISNUMBER(SEARCH('Φόρμα Εισαγωγής'!$C$2,E1323)),MAX($D$1:D1322)+1,0)</f>
        <v>0</v>
      </c>
      <c r="H1323" s="6">
        <f t="shared" si="71"/>
        <v>0</v>
      </c>
      <c r="I1323" s="6">
        <f t="shared" si="72"/>
        <v>0</v>
      </c>
      <c r="J1323" s="6">
        <f t="shared" si="73"/>
        <v>0</v>
      </c>
      <c r="L1323" s="4" t="str">
        <f>IFERROR(VLOOKUP(ROWS($L$2:L1323),$B$2:$C$1996,2,0),"")</f>
        <v/>
      </c>
      <c r="N1323" s="2" t="str">
        <f>IFERROR(VLOOKUP(ROWS($N$2:N1323),$D$2:$E$1996,2,0),"")</f>
        <v/>
      </c>
    </row>
    <row r="1324" spans="2:14">
      <c r="B1324" s="32">
        <f>IF(ISNUMBER(SEARCH('Φόρμα Εισαγωγής'!$B$2,C1324)),MAX($B$1:B1323)+1,0)</f>
        <v>0</v>
      </c>
      <c r="D1324" s="33">
        <f>IF(ISNUMBER(SEARCH('Φόρμα Εισαγωγής'!$C$2,E1324)),MAX($D$1:D1323)+1,0)</f>
        <v>0</v>
      </c>
      <c r="H1324" s="6">
        <f t="shared" si="71"/>
        <v>0</v>
      </c>
      <c r="I1324" s="6">
        <f t="shared" si="72"/>
        <v>0</v>
      </c>
      <c r="J1324" s="6">
        <f t="shared" si="73"/>
        <v>0</v>
      </c>
      <c r="L1324" s="4" t="str">
        <f>IFERROR(VLOOKUP(ROWS($L$2:L1324),$B$2:$C$1996,2,0),"")</f>
        <v/>
      </c>
      <c r="N1324" s="2" t="str">
        <f>IFERROR(VLOOKUP(ROWS($N$2:N1324),$D$2:$E$1996,2,0),"")</f>
        <v/>
      </c>
    </row>
    <row r="1325" spans="2:14">
      <c r="B1325" s="32">
        <f>IF(ISNUMBER(SEARCH('Φόρμα Εισαγωγής'!$B$2,C1325)),MAX($B$1:B1324)+1,0)</f>
        <v>0</v>
      </c>
      <c r="D1325" s="33">
        <f>IF(ISNUMBER(SEARCH('Φόρμα Εισαγωγής'!$C$2,E1325)),MAX($D$1:D1324)+1,0)</f>
        <v>0</v>
      </c>
      <c r="H1325" s="6">
        <f t="shared" si="71"/>
        <v>0</v>
      </c>
      <c r="I1325" s="6">
        <f t="shared" si="72"/>
        <v>0</v>
      </c>
      <c r="J1325" s="6">
        <f t="shared" si="73"/>
        <v>0</v>
      </c>
      <c r="L1325" s="4" t="str">
        <f>IFERROR(VLOOKUP(ROWS($L$2:L1325),$B$2:$C$1996,2,0),"")</f>
        <v/>
      </c>
      <c r="N1325" s="2" t="str">
        <f>IFERROR(VLOOKUP(ROWS($N$2:N1325),$D$2:$E$1996,2,0),"")</f>
        <v/>
      </c>
    </row>
    <row r="1326" spans="2:14">
      <c r="B1326" s="32">
        <f>IF(ISNUMBER(SEARCH('Φόρμα Εισαγωγής'!$B$2,C1326)),MAX($B$1:B1325)+1,0)</f>
        <v>0</v>
      </c>
      <c r="D1326" s="33">
        <f>IF(ISNUMBER(SEARCH('Φόρμα Εισαγωγής'!$C$2,E1326)),MAX($D$1:D1325)+1,0)</f>
        <v>0</v>
      </c>
      <c r="H1326" s="6">
        <f t="shared" si="71"/>
        <v>0</v>
      </c>
      <c r="I1326" s="6">
        <f t="shared" si="72"/>
        <v>0</v>
      </c>
      <c r="J1326" s="6">
        <f t="shared" si="73"/>
        <v>0</v>
      </c>
      <c r="L1326" s="4" t="str">
        <f>IFERROR(VLOOKUP(ROWS($L$2:L1326),$B$2:$C$1996,2,0),"")</f>
        <v/>
      </c>
      <c r="N1326" s="2" t="str">
        <f>IFERROR(VLOOKUP(ROWS($N$2:N1326),$D$2:$E$1996,2,0),"")</f>
        <v/>
      </c>
    </row>
    <row r="1327" spans="2:14">
      <c r="B1327" s="32">
        <f>IF(ISNUMBER(SEARCH('Φόρμα Εισαγωγής'!$B$2,C1327)),MAX($B$1:B1326)+1,0)</f>
        <v>0</v>
      </c>
      <c r="D1327" s="33">
        <f>IF(ISNUMBER(SEARCH('Φόρμα Εισαγωγής'!$C$2,E1327)),MAX($D$1:D1326)+1,0)</f>
        <v>0</v>
      </c>
      <c r="H1327" s="6">
        <f t="shared" si="71"/>
        <v>0</v>
      </c>
      <c r="I1327" s="6">
        <f t="shared" si="72"/>
        <v>0</v>
      </c>
      <c r="J1327" s="6">
        <f t="shared" si="73"/>
        <v>0</v>
      </c>
      <c r="L1327" s="4" t="str">
        <f>IFERROR(VLOOKUP(ROWS($L$2:L1327),$B$2:$C$1996,2,0),"")</f>
        <v/>
      </c>
      <c r="N1327" s="2" t="str">
        <f>IFERROR(VLOOKUP(ROWS($N$2:N1327),$D$2:$E$1996,2,0),"")</f>
        <v/>
      </c>
    </row>
    <row r="1328" spans="2:14">
      <c r="B1328" s="32">
        <f>IF(ISNUMBER(SEARCH('Φόρμα Εισαγωγής'!$B$2,C1328)),MAX($B$1:B1327)+1,0)</f>
        <v>0</v>
      </c>
      <c r="D1328" s="33">
        <f>IF(ISNUMBER(SEARCH('Φόρμα Εισαγωγής'!$C$2,E1328)),MAX($D$1:D1327)+1,0)</f>
        <v>0</v>
      </c>
      <c r="H1328" s="6">
        <f t="shared" si="71"/>
        <v>0</v>
      </c>
      <c r="I1328" s="6">
        <f t="shared" si="72"/>
        <v>0</v>
      </c>
      <c r="J1328" s="6">
        <f t="shared" si="73"/>
        <v>0</v>
      </c>
      <c r="L1328" s="4" t="str">
        <f>IFERROR(VLOOKUP(ROWS($L$2:L1328),$B$2:$C$1996,2,0),"")</f>
        <v/>
      </c>
      <c r="N1328" s="2" t="str">
        <f>IFERROR(VLOOKUP(ROWS($N$2:N1328),$D$2:$E$1996,2,0),"")</f>
        <v/>
      </c>
    </row>
    <row r="1329" spans="2:14">
      <c r="B1329" s="32">
        <f>IF(ISNUMBER(SEARCH('Φόρμα Εισαγωγής'!$B$2,C1329)),MAX($B$1:B1328)+1,0)</f>
        <v>0</v>
      </c>
      <c r="D1329" s="33">
        <f>IF(ISNUMBER(SEARCH('Φόρμα Εισαγωγής'!$C$2,E1329)),MAX($D$1:D1328)+1,0)</f>
        <v>0</v>
      </c>
      <c r="H1329" s="6">
        <f t="shared" si="71"/>
        <v>0</v>
      </c>
      <c r="I1329" s="6">
        <f t="shared" si="72"/>
        <v>0</v>
      </c>
      <c r="J1329" s="6">
        <f t="shared" si="73"/>
        <v>0</v>
      </c>
      <c r="L1329" s="4" t="str">
        <f>IFERROR(VLOOKUP(ROWS($L$2:L1329),$B$2:$C$1996,2,0),"")</f>
        <v/>
      </c>
      <c r="N1329" s="2" t="str">
        <f>IFERROR(VLOOKUP(ROWS($N$2:N1329),$D$2:$E$1996,2,0),"")</f>
        <v/>
      </c>
    </row>
    <row r="1330" spans="2:14">
      <c r="B1330" s="32">
        <f>IF(ISNUMBER(SEARCH('Φόρμα Εισαγωγής'!$B$2,C1330)),MAX($B$1:B1329)+1,0)</f>
        <v>0</v>
      </c>
      <c r="D1330" s="33">
        <f>IF(ISNUMBER(SEARCH('Φόρμα Εισαγωγής'!$C$2,E1330)),MAX($D$1:D1329)+1,0)</f>
        <v>0</v>
      </c>
      <c r="H1330" s="6">
        <f t="shared" si="71"/>
        <v>0</v>
      </c>
      <c r="I1330" s="6">
        <f t="shared" si="72"/>
        <v>0</v>
      </c>
      <c r="J1330" s="6">
        <f t="shared" si="73"/>
        <v>0</v>
      </c>
      <c r="L1330" s="4" t="str">
        <f>IFERROR(VLOOKUP(ROWS($L$2:L1330),$B$2:$C$1996,2,0),"")</f>
        <v/>
      </c>
      <c r="N1330" s="2" t="str">
        <f>IFERROR(VLOOKUP(ROWS($N$2:N1330),$D$2:$E$1996,2,0),"")</f>
        <v/>
      </c>
    </row>
    <row r="1331" spans="2:14">
      <c r="B1331" s="32">
        <f>IF(ISNUMBER(SEARCH('Φόρμα Εισαγωγής'!$B$2,C1331)),MAX($B$1:B1330)+1,0)</f>
        <v>0</v>
      </c>
      <c r="D1331" s="33">
        <f>IF(ISNUMBER(SEARCH('Φόρμα Εισαγωγής'!$C$2,E1331)),MAX($D$1:D1330)+1,0)</f>
        <v>0</v>
      </c>
      <c r="H1331" s="6">
        <f t="shared" si="71"/>
        <v>0</v>
      </c>
      <c r="I1331" s="6">
        <f t="shared" si="72"/>
        <v>0</v>
      </c>
      <c r="J1331" s="6">
        <f t="shared" si="73"/>
        <v>0</v>
      </c>
      <c r="L1331" s="4" t="str">
        <f>IFERROR(VLOOKUP(ROWS($L$2:L1331),$B$2:$C$1996,2,0),"")</f>
        <v/>
      </c>
      <c r="N1331" s="2" t="str">
        <f>IFERROR(VLOOKUP(ROWS($N$2:N1331),$D$2:$E$1996,2,0),"")</f>
        <v/>
      </c>
    </row>
    <row r="1332" spans="2:14">
      <c r="B1332" s="32">
        <f>IF(ISNUMBER(SEARCH('Φόρμα Εισαγωγής'!$B$2,C1332)),MAX($B$1:B1331)+1,0)</f>
        <v>0</v>
      </c>
      <c r="D1332" s="33">
        <f>IF(ISNUMBER(SEARCH('Φόρμα Εισαγωγής'!$C$2,E1332)),MAX($D$1:D1331)+1,0)</f>
        <v>0</v>
      </c>
      <c r="H1332" s="6">
        <f t="shared" si="71"/>
        <v>0</v>
      </c>
      <c r="I1332" s="6">
        <f t="shared" si="72"/>
        <v>0</v>
      </c>
      <c r="J1332" s="6">
        <f t="shared" si="73"/>
        <v>0</v>
      </c>
      <c r="L1332" s="4" t="str">
        <f>IFERROR(VLOOKUP(ROWS($L$2:L1332),$B$2:$C$1996,2,0),"")</f>
        <v/>
      </c>
      <c r="N1332" s="2" t="str">
        <f>IFERROR(VLOOKUP(ROWS($N$2:N1332),$D$2:$E$1996,2,0),"")</f>
        <v/>
      </c>
    </row>
    <row r="1333" spans="2:14">
      <c r="B1333" s="32">
        <f>IF(ISNUMBER(SEARCH('Φόρμα Εισαγωγής'!$B$2,C1333)),MAX($B$1:B1332)+1,0)</f>
        <v>0</v>
      </c>
      <c r="D1333" s="33">
        <f>IF(ISNUMBER(SEARCH('Φόρμα Εισαγωγής'!$C$2,E1333)),MAX($D$1:D1332)+1,0)</f>
        <v>0</v>
      </c>
      <c r="H1333" s="6">
        <f t="shared" si="71"/>
        <v>0</v>
      </c>
      <c r="I1333" s="6">
        <f t="shared" si="72"/>
        <v>0</v>
      </c>
      <c r="J1333" s="6">
        <f t="shared" si="73"/>
        <v>0</v>
      </c>
      <c r="L1333" s="4" t="str">
        <f>IFERROR(VLOOKUP(ROWS($L$2:L1333),$B$2:$C$1996,2,0),"")</f>
        <v/>
      </c>
      <c r="N1333" s="2" t="str">
        <f>IFERROR(VLOOKUP(ROWS($N$2:N1333),$D$2:$E$1996,2,0),"")</f>
        <v/>
      </c>
    </row>
    <row r="1334" spans="2:14">
      <c r="B1334" s="32">
        <f>IF(ISNUMBER(SEARCH('Φόρμα Εισαγωγής'!$B$2,C1334)),MAX($B$1:B1333)+1,0)</f>
        <v>0</v>
      </c>
      <c r="D1334" s="33">
        <f>IF(ISNUMBER(SEARCH('Φόρμα Εισαγωγής'!$C$2,E1334)),MAX($D$1:D1333)+1,0)</f>
        <v>0</v>
      </c>
      <c r="H1334" s="6">
        <f t="shared" si="71"/>
        <v>0</v>
      </c>
      <c r="I1334" s="6">
        <f t="shared" si="72"/>
        <v>0</v>
      </c>
      <c r="J1334" s="6">
        <f t="shared" si="73"/>
        <v>0</v>
      </c>
      <c r="L1334" s="4" t="str">
        <f>IFERROR(VLOOKUP(ROWS($L$2:L1334),$B$2:$C$1996,2,0),"")</f>
        <v/>
      </c>
      <c r="N1334" s="2" t="str">
        <f>IFERROR(VLOOKUP(ROWS($N$2:N1334),$D$2:$E$1996,2,0),"")</f>
        <v/>
      </c>
    </row>
    <row r="1335" spans="2:14">
      <c r="B1335" s="32">
        <f>IF(ISNUMBER(SEARCH('Φόρμα Εισαγωγής'!$B$2,C1335)),MAX($B$1:B1334)+1,0)</f>
        <v>0</v>
      </c>
      <c r="D1335" s="33">
        <f>IF(ISNUMBER(SEARCH('Φόρμα Εισαγωγής'!$C$2,E1335)),MAX($D$1:D1334)+1,0)</f>
        <v>0</v>
      </c>
      <c r="H1335" s="6">
        <f t="shared" si="71"/>
        <v>0</v>
      </c>
      <c r="I1335" s="6">
        <f t="shared" si="72"/>
        <v>0</v>
      </c>
      <c r="J1335" s="6">
        <f t="shared" si="73"/>
        <v>0</v>
      </c>
      <c r="L1335" s="4" t="str">
        <f>IFERROR(VLOOKUP(ROWS($L$2:L1335),$B$2:$C$1996,2,0),"")</f>
        <v/>
      </c>
      <c r="N1335" s="2" t="str">
        <f>IFERROR(VLOOKUP(ROWS($N$2:N1335),$D$2:$E$1996,2,0),"")</f>
        <v/>
      </c>
    </row>
    <row r="1336" spans="2:14">
      <c r="B1336" s="32">
        <f>IF(ISNUMBER(SEARCH('Φόρμα Εισαγωγής'!$B$2,C1336)),MAX($B$1:B1335)+1,0)</f>
        <v>0</v>
      </c>
      <c r="D1336" s="33">
        <f>IF(ISNUMBER(SEARCH('Φόρμα Εισαγωγής'!$C$2,E1336)),MAX($D$1:D1335)+1,0)</f>
        <v>0</v>
      </c>
      <c r="H1336" s="6">
        <f t="shared" si="71"/>
        <v>0</v>
      </c>
      <c r="I1336" s="6">
        <f t="shared" si="72"/>
        <v>0</v>
      </c>
      <c r="J1336" s="6">
        <f t="shared" si="73"/>
        <v>0</v>
      </c>
      <c r="L1336" s="4" t="str">
        <f>IFERROR(VLOOKUP(ROWS($L$2:L1336),$B$2:$C$1996,2,0),"")</f>
        <v/>
      </c>
      <c r="N1336" s="2" t="str">
        <f>IFERROR(VLOOKUP(ROWS($N$2:N1336),$D$2:$E$1996,2,0),"")</f>
        <v/>
      </c>
    </row>
    <row r="1337" spans="2:14">
      <c r="B1337" s="32">
        <f>IF(ISNUMBER(SEARCH('Φόρμα Εισαγωγής'!$B$2,C1337)),MAX($B$1:B1336)+1,0)</f>
        <v>0</v>
      </c>
      <c r="D1337" s="33">
        <f>IF(ISNUMBER(SEARCH('Φόρμα Εισαγωγής'!$C$2,E1337)),MAX($D$1:D1336)+1,0)</f>
        <v>0</v>
      </c>
      <c r="H1337" s="6">
        <f t="shared" si="71"/>
        <v>0</v>
      </c>
      <c r="I1337" s="6">
        <f t="shared" si="72"/>
        <v>0</v>
      </c>
      <c r="J1337" s="6">
        <f t="shared" si="73"/>
        <v>0</v>
      </c>
      <c r="L1337" s="4" t="str">
        <f>IFERROR(VLOOKUP(ROWS($L$2:L1337),$B$2:$C$1996,2,0),"")</f>
        <v/>
      </c>
      <c r="N1337" s="2" t="str">
        <f>IFERROR(VLOOKUP(ROWS($N$2:N1337),$D$2:$E$1996,2,0),"")</f>
        <v/>
      </c>
    </row>
    <row r="1338" spans="2:14">
      <c r="B1338" s="32">
        <f>IF(ISNUMBER(SEARCH('Φόρμα Εισαγωγής'!$B$2,C1338)),MAX($B$1:B1337)+1,0)</f>
        <v>0</v>
      </c>
      <c r="D1338" s="33">
        <f>IF(ISNUMBER(SEARCH('Φόρμα Εισαγωγής'!$C$2,E1338)),MAX($D$1:D1337)+1,0)</f>
        <v>0</v>
      </c>
      <c r="H1338" s="6">
        <f t="shared" si="71"/>
        <v>0</v>
      </c>
      <c r="I1338" s="6">
        <f t="shared" si="72"/>
        <v>0</v>
      </c>
      <c r="J1338" s="6">
        <f t="shared" si="73"/>
        <v>0</v>
      </c>
      <c r="L1338" s="4" t="str">
        <f>IFERROR(VLOOKUP(ROWS($L$2:L1338),$B$2:$C$1996,2,0),"")</f>
        <v/>
      </c>
      <c r="N1338" s="2" t="str">
        <f>IFERROR(VLOOKUP(ROWS($N$2:N1338),$D$2:$E$1996,2,0),"")</f>
        <v/>
      </c>
    </row>
    <row r="1339" spans="2:14">
      <c r="B1339" s="32">
        <f>IF(ISNUMBER(SEARCH('Φόρμα Εισαγωγής'!$B$2,C1339)),MAX($B$1:B1338)+1,0)</f>
        <v>0</v>
      </c>
      <c r="D1339" s="33">
        <f>IF(ISNUMBER(SEARCH('Φόρμα Εισαγωγής'!$C$2,E1339)),MAX($D$1:D1338)+1,0)</f>
        <v>0</v>
      </c>
      <c r="H1339" s="6">
        <f t="shared" si="71"/>
        <v>0</v>
      </c>
      <c r="I1339" s="6">
        <f t="shared" si="72"/>
        <v>0</v>
      </c>
      <c r="J1339" s="6">
        <f t="shared" si="73"/>
        <v>0</v>
      </c>
      <c r="L1339" s="4" t="str">
        <f>IFERROR(VLOOKUP(ROWS($L$2:L1339),$B$2:$C$1996,2,0),"")</f>
        <v/>
      </c>
      <c r="N1339" s="2" t="str">
        <f>IFERROR(VLOOKUP(ROWS($N$2:N1339),$D$2:$E$1996,2,0),"")</f>
        <v/>
      </c>
    </row>
    <row r="1340" spans="2:14">
      <c r="B1340" s="32">
        <f>IF(ISNUMBER(SEARCH('Φόρμα Εισαγωγής'!$B$2,C1340)),MAX($B$1:B1339)+1,0)</f>
        <v>0</v>
      </c>
      <c r="D1340" s="33">
        <f>IF(ISNUMBER(SEARCH('Φόρμα Εισαγωγής'!$C$2,E1340)),MAX($D$1:D1339)+1,0)</f>
        <v>0</v>
      </c>
      <c r="H1340" s="6">
        <f t="shared" si="71"/>
        <v>0</v>
      </c>
      <c r="I1340" s="6">
        <f t="shared" si="72"/>
        <v>0</v>
      </c>
      <c r="J1340" s="6">
        <f t="shared" si="73"/>
        <v>0</v>
      </c>
      <c r="L1340" s="4" t="str">
        <f>IFERROR(VLOOKUP(ROWS($L$2:L1340),$B$2:$C$1996,2,0),"")</f>
        <v/>
      </c>
      <c r="N1340" s="2" t="str">
        <f>IFERROR(VLOOKUP(ROWS($N$2:N1340),$D$2:$E$1996,2,0),"")</f>
        <v/>
      </c>
    </row>
    <row r="1341" spans="2:14">
      <c r="B1341" s="32">
        <f>IF(ISNUMBER(SEARCH('Φόρμα Εισαγωγής'!$B$2,C1341)),MAX($B$1:B1340)+1,0)</f>
        <v>0</v>
      </c>
      <c r="D1341" s="33">
        <f>IF(ISNUMBER(SEARCH('Φόρμα Εισαγωγής'!$C$2,E1341)),MAX($D$1:D1340)+1,0)</f>
        <v>0</v>
      </c>
      <c r="H1341" s="6">
        <f t="shared" si="71"/>
        <v>0</v>
      </c>
      <c r="I1341" s="6">
        <f t="shared" si="72"/>
        <v>0</v>
      </c>
      <c r="J1341" s="6">
        <f t="shared" si="73"/>
        <v>0</v>
      </c>
      <c r="L1341" s="4" t="str">
        <f>IFERROR(VLOOKUP(ROWS($L$2:L1341),$B$2:$C$1996,2,0),"")</f>
        <v/>
      </c>
      <c r="N1341" s="2" t="str">
        <f>IFERROR(VLOOKUP(ROWS($N$2:N1341),$D$2:$E$1996,2,0),"")</f>
        <v/>
      </c>
    </row>
    <row r="1342" spans="2:14">
      <c r="B1342" s="32">
        <f>IF(ISNUMBER(SEARCH('Φόρμα Εισαγωγής'!$B$2,C1342)),MAX($B$1:B1341)+1,0)</f>
        <v>0</v>
      </c>
      <c r="D1342" s="33">
        <f>IF(ISNUMBER(SEARCH('Φόρμα Εισαγωγής'!$C$2,E1342)),MAX($D$1:D1341)+1,0)</f>
        <v>0</v>
      </c>
      <c r="H1342" s="6">
        <f t="shared" si="71"/>
        <v>0</v>
      </c>
      <c r="I1342" s="6">
        <f t="shared" si="72"/>
        <v>0</v>
      </c>
      <c r="J1342" s="6">
        <f t="shared" si="73"/>
        <v>0</v>
      </c>
      <c r="L1342" s="4" t="str">
        <f>IFERROR(VLOOKUP(ROWS($L$2:L1342),$B$2:$C$1996,2,0),"")</f>
        <v/>
      </c>
      <c r="N1342" s="2" t="str">
        <f>IFERROR(VLOOKUP(ROWS($N$2:N1342),$D$2:$E$1996,2,0),"")</f>
        <v/>
      </c>
    </row>
    <row r="1343" spans="2:14">
      <c r="B1343" s="32">
        <f>IF(ISNUMBER(SEARCH('Φόρμα Εισαγωγής'!$B$2,C1343)),MAX($B$1:B1342)+1,0)</f>
        <v>0</v>
      </c>
      <c r="D1343" s="33">
        <f>IF(ISNUMBER(SEARCH('Φόρμα Εισαγωγής'!$C$2,E1343)),MAX($D$1:D1342)+1,0)</f>
        <v>0</v>
      </c>
      <c r="H1343" s="6">
        <f t="shared" si="71"/>
        <v>0</v>
      </c>
      <c r="I1343" s="6">
        <f t="shared" si="72"/>
        <v>0</v>
      </c>
      <c r="J1343" s="6">
        <f t="shared" si="73"/>
        <v>0</v>
      </c>
      <c r="L1343" s="4" t="str">
        <f>IFERROR(VLOOKUP(ROWS($L$2:L1343),$B$2:$C$1996,2,0),"")</f>
        <v/>
      </c>
      <c r="N1343" s="2" t="str">
        <f>IFERROR(VLOOKUP(ROWS($N$2:N1343),$D$2:$E$1996,2,0),"")</f>
        <v/>
      </c>
    </row>
    <row r="1344" spans="2:14">
      <c r="B1344" s="32">
        <f>IF(ISNUMBER(SEARCH('Φόρμα Εισαγωγής'!$B$2,C1344)),MAX($B$1:B1343)+1,0)</f>
        <v>0</v>
      </c>
      <c r="D1344" s="33">
        <f>IF(ISNUMBER(SEARCH('Φόρμα Εισαγωγής'!$C$2,E1344)),MAX($D$1:D1343)+1,0)</f>
        <v>0</v>
      </c>
      <c r="H1344" s="6">
        <f t="shared" ref="H1344:H1407" si="74">G1344+(G1344*0.24)</f>
        <v>0</v>
      </c>
      <c r="I1344" s="6">
        <f t="shared" ref="I1344:I1407" si="75">F1344*A1344</f>
        <v>0</v>
      </c>
      <c r="J1344" s="6">
        <f t="shared" ref="J1344:J1407" si="76">H1344*A1344</f>
        <v>0</v>
      </c>
      <c r="L1344" s="4" t="str">
        <f>IFERROR(VLOOKUP(ROWS($L$2:L1344),$B$2:$C$1996,2,0),"")</f>
        <v/>
      </c>
      <c r="N1344" s="2" t="str">
        <f>IFERROR(VLOOKUP(ROWS($N$2:N1344),$D$2:$E$1996,2,0),"")</f>
        <v/>
      </c>
    </row>
    <row r="1345" spans="2:14">
      <c r="B1345" s="32">
        <f>IF(ISNUMBER(SEARCH('Φόρμα Εισαγωγής'!$B$2,C1345)),MAX($B$1:B1344)+1,0)</f>
        <v>0</v>
      </c>
      <c r="D1345" s="33">
        <f>IF(ISNUMBER(SEARCH('Φόρμα Εισαγωγής'!$C$2,E1345)),MAX($D$1:D1344)+1,0)</f>
        <v>0</v>
      </c>
      <c r="H1345" s="6">
        <f t="shared" si="74"/>
        <v>0</v>
      </c>
      <c r="I1345" s="6">
        <f t="shared" si="75"/>
        <v>0</v>
      </c>
      <c r="J1345" s="6">
        <f t="shared" si="76"/>
        <v>0</v>
      </c>
      <c r="L1345" s="4" t="str">
        <f>IFERROR(VLOOKUP(ROWS($L$2:L1345),$B$2:$C$1996,2,0),"")</f>
        <v/>
      </c>
      <c r="N1345" s="2" t="str">
        <f>IFERROR(VLOOKUP(ROWS($N$2:N1345),$D$2:$E$1996,2,0),"")</f>
        <v/>
      </c>
    </row>
    <row r="1346" spans="2:14">
      <c r="B1346" s="32">
        <f>IF(ISNUMBER(SEARCH('Φόρμα Εισαγωγής'!$B$2,C1346)),MAX($B$1:B1345)+1,0)</f>
        <v>0</v>
      </c>
      <c r="D1346" s="33">
        <f>IF(ISNUMBER(SEARCH('Φόρμα Εισαγωγής'!$C$2,E1346)),MAX($D$1:D1345)+1,0)</f>
        <v>0</v>
      </c>
      <c r="H1346" s="6">
        <f t="shared" si="74"/>
        <v>0</v>
      </c>
      <c r="I1346" s="6">
        <f t="shared" si="75"/>
        <v>0</v>
      </c>
      <c r="J1346" s="6">
        <f t="shared" si="76"/>
        <v>0</v>
      </c>
      <c r="L1346" s="4" t="str">
        <f>IFERROR(VLOOKUP(ROWS($L$2:L1346),$B$2:$C$1996,2,0),"")</f>
        <v/>
      </c>
      <c r="N1346" s="2" t="str">
        <f>IFERROR(VLOOKUP(ROWS($N$2:N1346),$D$2:$E$1996,2,0),"")</f>
        <v/>
      </c>
    </row>
    <row r="1347" spans="2:14">
      <c r="B1347" s="32">
        <f>IF(ISNUMBER(SEARCH('Φόρμα Εισαγωγής'!$B$2,C1347)),MAX($B$1:B1346)+1,0)</f>
        <v>0</v>
      </c>
      <c r="D1347" s="33">
        <f>IF(ISNUMBER(SEARCH('Φόρμα Εισαγωγής'!$C$2,E1347)),MAX($D$1:D1346)+1,0)</f>
        <v>0</v>
      </c>
      <c r="H1347" s="6">
        <f t="shared" si="74"/>
        <v>0</v>
      </c>
      <c r="I1347" s="6">
        <f t="shared" si="75"/>
        <v>0</v>
      </c>
      <c r="J1347" s="6">
        <f t="shared" si="76"/>
        <v>0</v>
      </c>
      <c r="L1347" s="4" t="str">
        <f>IFERROR(VLOOKUP(ROWS($L$2:L1347),$B$2:$C$1996,2,0),"")</f>
        <v/>
      </c>
      <c r="N1347" s="2" t="str">
        <f>IFERROR(VLOOKUP(ROWS($N$2:N1347),$D$2:$E$1996,2,0),"")</f>
        <v/>
      </c>
    </row>
    <row r="1348" spans="2:14">
      <c r="B1348" s="32">
        <f>IF(ISNUMBER(SEARCH('Φόρμα Εισαγωγής'!$B$2,C1348)),MAX($B$1:B1347)+1,0)</f>
        <v>0</v>
      </c>
      <c r="D1348" s="33">
        <f>IF(ISNUMBER(SEARCH('Φόρμα Εισαγωγής'!$C$2,E1348)),MAX($D$1:D1347)+1,0)</f>
        <v>0</v>
      </c>
      <c r="H1348" s="6">
        <f t="shared" si="74"/>
        <v>0</v>
      </c>
      <c r="I1348" s="6">
        <f t="shared" si="75"/>
        <v>0</v>
      </c>
      <c r="J1348" s="6">
        <f t="shared" si="76"/>
        <v>0</v>
      </c>
      <c r="L1348" s="4" t="str">
        <f>IFERROR(VLOOKUP(ROWS($L$2:L1348),$B$2:$C$1996,2,0),"")</f>
        <v/>
      </c>
      <c r="N1348" s="2" t="str">
        <f>IFERROR(VLOOKUP(ROWS($N$2:N1348),$D$2:$E$1996,2,0),"")</f>
        <v/>
      </c>
    </row>
    <row r="1349" spans="2:14">
      <c r="B1349" s="32">
        <f>IF(ISNUMBER(SEARCH('Φόρμα Εισαγωγής'!$B$2,C1349)),MAX($B$1:B1348)+1,0)</f>
        <v>0</v>
      </c>
      <c r="D1349" s="33">
        <f>IF(ISNUMBER(SEARCH('Φόρμα Εισαγωγής'!$C$2,E1349)),MAX($D$1:D1348)+1,0)</f>
        <v>0</v>
      </c>
      <c r="H1349" s="6">
        <f t="shared" si="74"/>
        <v>0</v>
      </c>
      <c r="I1349" s="6">
        <f t="shared" si="75"/>
        <v>0</v>
      </c>
      <c r="J1349" s="6">
        <f t="shared" si="76"/>
        <v>0</v>
      </c>
      <c r="L1349" s="4" t="str">
        <f>IFERROR(VLOOKUP(ROWS($L$2:L1349),$B$2:$C$1996,2,0),"")</f>
        <v/>
      </c>
      <c r="N1349" s="2" t="str">
        <f>IFERROR(VLOOKUP(ROWS($N$2:N1349),$D$2:$E$1996,2,0),"")</f>
        <v/>
      </c>
    </row>
    <row r="1350" spans="2:14">
      <c r="B1350" s="32">
        <f>IF(ISNUMBER(SEARCH('Φόρμα Εισαγωγής'!$B$2,C1350)),MAX($B$1:B1349)+1,0)</f>
        <v>0</v>
      </c>
      <c r="D1350" s="33">
        <f>IF(ISNUMBER(SEARCH('Φόρμα Εισαγωγής'!$C$2,E1350)),MAX($D$1:D1349)+1,0)</f>
        <v>0</v>
      </c>
      <c r="H1350" s="6">
        <f t="shared" si="74"/>
        <v>0</v>
      </c>
      <c r="I1350" s="6">
        <f t="shared" si="75"/>
        <v>0</v>
      </c>
      <c r="J1350" s="6">
        <f t="shared" si="76"/>
        <v>0</v>
      </c>
      <c r="L1350" s="4" t="str">
        <f>IFERROR(VLOOKUP(ROWS($L$2:L1350),$B$2:$C$1996,2,0),"")</f>
        <v/>
      </c>
      <c r="N1350" s="2" t="str">
        <f>IFERROR(VLOOKUP(ROWS($N$2:N1350),$D$2:$E$1996,2,0),"")</f>
        <v/>
      </c>
    </row>
    <row r="1351" spans="2:14">
      <c r="B1351" s="32">
        <f>IF(ISNUMBER(SEARCH('Φόρμα Εισαγωγής'!$B$2,C1351)),MAX($B$1:B1350)+1,0)</f>
        <v>0</v>
      </c>
      <c r="D1351" s="33">
        <f>IF(ISNUMBER(SEARCH('Φόρμα Εισαγωγής'!$C$2,E1351)),MAX($D$1:D1350)+1,0)</f>
        <v>0</v>
      </c>
      <c r="H1351" s="6">
        <f t="shared" si="74"/>
        <v>0</v>
      </c>
      <c r="I1351" s="6">
        <f t="shared" si="75"/>
        <v>0</v>
      </c>
      <c r="J1351" s="6">
        <f t="shared" si="76"/>
        <v>0</v>
      </c>
      <c r="L1351" s="4" t="str">
        <f>IFERROR(VLOOKUP(ROWS($L$2:L1351),$B$2:$C$1996,2,0),"")</f>
        <v/>
      </c>
      <c r="N1351" s="2" t="str">
        <f>IFERROR(VLOOKUP(ROWS($N$2:N1351),$D$2:$E$1996,2,0),"")</f>
        <v/>
      </c>
    </row>
    <row r="1352" spans="2:14">
      <c r="B1352" s="32">
        <f>IF(ISNUMBER(SEARCH('Φόρμα Εισαγωγής'!$B$2,C1352)),MAX($B$1:B1351)+1,0)</f>
        <v>0</v>
      </c>
      <c r="D1352" s="33">
        <f>IF(ISNUMBER(SEARCH('Φόρμα Εισαγωγής'!$C$2,E1352)),MAX($D$1:D1351)+1,0)</f>
        <v>0</v>
      </c>
      <c r="H1352" s="6">
        <f t="shared" si="74"/>
        <v>0</v>
      </c>
      <c r="I1352" s="6">
        <f t="shared" si="75"/>
        <v>0</v>
      </c>
      <c r="J1352" s="6">
        <f t="shared" si="76"/>
        <v>0</v>
      </c>
      <c r="L1352" s="4" t="str">
        <f>IFERROR(VLOOKUP(ROWS($L$2:L1352),$B$2:$C$1996,2,0),"")</f>
        <v/>
      </c>
      <c r="N1352" s="2" t="str">
        <f>IFERROR(VLOOKUP(ROWS($N$2:N1352),$D$2:$E$1996,2,0),"")</f>
        <v/>
      </c>
    </row>
    <row r="1353" spans="2:14">
      <c r="B1353" s="32">
        <f>IF(ISNUMBER(SEARCH('Φόρμα Εισαγωγής'!$B$2,C1353)),MAX($B$1:B1352)+1,0)</f>
        <v>0</v>
      </c>
      <c r="D1353" s="33">
        <f>IF(ISNUMBER(SEARCH('Φόρμα Εισαγωγής'!$C$2,E1353)),MAX($D$1:D1352)+1,0)</f>
        <v>0</v>
      </c>
      <c r="H1353" s="6">
        <f t="shared" si="74"/>
        <v>0</v>
      </c>
      <c r="I1353" s="6">
        <f t="shared" si="75"/>
        <v>0</v>
      </c>
      <c r="J1353" s="6">
        <f t="shared" si="76"/>
        <v>0</v>
      </c>
      <c r="L1353" s="4" t="str">
        <f>IFERROR(VLOOKUP(ROWS($L$2:L1353),$B$2:$C$1996,2,0),"")</f>
        <v/>
      </c>
      <c r="N1353" s="2" t="str">
        <f>IFERROR(VLOOKUP(ROWS($N$2:N1353),$D$2:$E$1996,2,0),"")</f>
        <v/>
      </c>
    </row>
    <row r="1354" spans="2:14">
      <c r="B1354" s="32">
        <f>IF(ISNUMBER(SEARCH('Φόρμα Εισαγωγής'!$B$2,C1354)),MAX($B$1:B1353)+1,0)</f>
        <v>0</v>
      </c>
      <c r="D1354" s="33">
        <f>IF(ISNUMBER(SEARCH('Φόρμα Εισαγωγής'!$C$2,E1354)),MAX($D$1:D1353)+1,0)</f>
        <v>0</v>
      </c>
      <c r="H1354" s="6">
        <f t="shared" si="74"/>
        <v>0</v>
      </c>
      <c r="I1354" s="6">
        <f t="shared" si="75"/>
        <v>0</v>
      </c>
      <c r="J1354" s="6">
        <f t="shared" si="76"/>
        <v>0</v>
      </c>
      <c r="L1354" s="4" t="str">
        <f>IFERROR(VLOOKUP(ROWS($L$2:L1354),$B$2:$C$1996,2,0),"")</f>
        <v/>
      </c>
      <c r="N1354" s="2" t="str">
        <f>IFERROR(VLOOKUP(ROWS($N$2:N1354),$D$2:$E$1996,2,0),"")</f>
        <v/>
      </c>
    </row>
    <row r="1355" spans="2:14">
      <c r="B1355" s="32">
        <f>IF(ISNUMBER(SEARCH('Φόρμα Εισαγωγής'!$B$2,C1355)),MAX($B$1:B1354)+1,0)</f>
        <v>0</v>
      </c>
      <c r="D1355" s="33">
        <f>IF(ISNUMBER(SEARCH('Φόρμα Εισαγωγής'!$C$2,E1355)),MAX($D$1:D1354)+1,0)</f>
        <v>0</v>
      </c>
      <c r="H1355" s="6">
        <f t="shared" si="74"/>
        <v>0</v>
      </c>
      <c r="I1355" s="6">
        <f t="shared" si="75"/>
        <v>0</v>
      </c>
      <c r="J1355" s="6">
        <f t="shared" si="76"/>
        <v>0</v>
      </c>
      <c r="L1355" s="4" t="str">
        <f>IFERROR(VLOOKUP(ROWS($L$2:L1355),$B$2:$C$1996,2,0),"")</f>
        <v/>
      </c>
      <c r="N1355" s="2" t="str">
        <f>IFERROR(VLOOKUP(ROWS($N$2:N1355),$D$2:$E$1996,2,0),"")</f>
        <v/>
      </c>
    </row>
    <row r="1356" spans="2:14">
      <c r="B1356" s="32">
        <f>IF(ISNUMBER(SEARCH('Φόρμα Εισαγωγής'!$B$2,C1356)),MAX($B$1:B1355)+1,0)</f>
        <v>0</v>
      </c>
      <c r="D1356" s="33">
        <f>IF(ISNUMBER(SEARCH('Φόρμα Εισαγωγής'!$C$2,E1356)),MAX($D$1:D1355)+1,0)</f>
        <v>0</v>
      </c>
      <c r="H1356" s="6">
        <f t="shared" si="74"/>
        <v>0</v>
      </c>
      <c r="I1356" s="6">
        <f t="shared" si="75"/>
        <v>0</v>
      </c>
      <c r="J1356" s="6">
        <f t="shared" si="76"/>
        <v>0</v>
      </c>
      <c r="L1356" s="4" t="str">
        <f>IFERROR(VLOOKUP(ROWS($L$2:L1356),$B$2:$C$1996,2,0),"")</f>
        <v/>
      </c>
      <c r="N1356" s="2" t="str">
        <f>IFERROR(VLOOKUP(ROWS($N$2:N1356),$D$2:$E$1996,2,0),"")</f>
        <v/>
      </c>
    </row>
    <row r="1357" spans="2:14">
      <c r="B1357" s="32">
        <f>IF(ISNUMBER(SEARCH('Φόρμα Εισαγωγής'!$B$2,C1357)),MAX($B$1:B1356)+1,0)</f>
        <v>0</v>
      </c>
      <c r="D1357" s="33">
        <f>IF(ISNUMBER(SEARCH('Φόρμα Εισαγωγής'!$C$2,E1357)),MAX($D$1:D1356)+1,0)</f>
        <v>0</v>
      </c>
      <c r="H1357" s="6">
        <f t="shared" si="74"/>
        <v>0</v>
      </c>
      <c r="I1357" s="6">
        <f t="shared" si="75"/>
        <v>0</v>
      </c>
      <c r="J1357" s="6">
        <f t="shared" si="76"/>
        <v>0</v>
      </c>
      <c r="L1357" s="4" t="str">
        <f>IFERROR(VLOOKUP(ROWS($L$2:L1357),$B$2:$C$1996,2,0),"")</f>
        <v/>
      </c>
      <c r="N1357" s="2" t="str">
        <f>IFERROR(VLOOKUP(ROWS($N$2:N1357),$D$2:$E$1996,2,0),"")</f>
        <v/>
      </c>
    </row>
    <row r="1358" spans="2:14">
      <c r="B1358" s="32">
        <f>IF(ISNUMBER(SEARCH('Φόρμα Εισαγωγής'!$B$2,C1358)),MAX($B$1:B1357)+1,0)</f>
        <v>0</v>
      </c>
      <c r="D1358" s="33">
        <f>IF(ISNUMBER(SEARCH('Φόρμα Εισαγωγής'!$C$2,E1358)),MAX($D$1:D1357)+1,0)</f>
        <v>0</v>
      </c>
      <c r="H1358" s="6">
        <f t="shared" si="74"/>
        <v>0</v>
      </c>
      <c r="I1358" s="6">
        <f t="shared" si="75"/>
        <v>0</v>
      </c>
      <c r="J1358" s="6">
        <f t="shared" si="76"/>
        <v>0</v>
      </c>
      <c r="L1358" s="4" t="str">
        <f>IFERROR(VLOOKUP(ROWS($L$2:L1358),$B$2:$C$1996,2,0),"")</f>
        <v/>
      </c>
      <c r="N1358" s="2" t="str">
        <f>IFERROR(VLOOKUP(ROWS($N$2:N1358),$D$2:$E$1996,2,0),"")</f>
        <v/>
      </c>
    </row>
    <row r="1359" spans="2:14">
      <c r="B1359" s="32">
        <f>IF(ISNUMBER(SEARCH('Φόρμα Εισαγωγής'!$B$2,C1359)),MAX($B$1:B1358)+1,0)</f>
        <v>0</v>
      </c>
      <c r="D1359" s="33">
        <f>IF(ISNUMBER(SEARCH('Φόρμα Εισαγωγής'!$C$2,E1359)),MAX($D$1:D1358)+1,0)</f>
        <v>0</v>
      </c>
      <c r="H1359" s="6">
        <f t="shared" si="74"/>
        <v>0</v>
      </c>
      <c r="I1359" s="6">
        <f t="shared" si="75"/>
        <v>0</v>
      </c>
      <c r="J1359" s="6">
        <f t="shared" si="76"/>
        <v>0</v>
      </c>
      <c r="L1359" s="4" t="str">
        <f>IFERROR(VLOOKUP(ROWS($L$2:L1359),$B$2:$C$1996,2,0),"")</f>
        <v/>
      </c>
      <c r="N1359" s="2" t="str">
        <f>IFERROR(VLOOKUP(ROWS($N$2:N1359),$D$2:$E$1996,2,0),"")</f>
        <v/>
      </c>
    </row>
    <row r="1360" spans="2:14">
      <c r="B1360" s="32">
        <f>IF(ISNUMBER(SEARCH('Φόρμα Εισαγωγής'!$B$2,C1360)),MAX($B$1:B1359)+1,0)</f>
        <v>0</v>
      </c>
      <c r="D1360" s="33">
        <f>IF(ISNUMBER(SEARCH('Φόρμα Εισαγωγής'!$C$2,E1360)),MAX($D$1:D1359)+1,0)</f>
        <v>0</v>
      </c>
      <c r="H1360" s="6">
        <f t="shared" si="74"/>
        <v>0</v>
      </c>
      <c r="I1360" s="6">
        <f t="shared" si="75"/>
        <v>0</v>
      </c>
      <c r="J1360" s="6">
        <f t="shared" si="76"/>
        <v>0</v>
      </c>
      <c r="L1360" s="4" t="str">
        <f>IFERROR(VLOOKUP(ROWS($L$2:L1360),$B$2:$C$1996,2,0),"")</f>
        <v/>
      </c>
      <c r="N1360" s="2" t="str">
        <f>IFERROR(VLOOKUP(ROWS($N$2:N1360),$D$2:$E$1996,2,0),"")</f>
        <v/>
      </c>
    </row>
    <row r="1361" spans="2:14">
      <c r="B1361" s="32">
        <f>IF(ISNUMBER(SEARCH('Φόρμα Εισαγωγής'!$B$2,C1361)),MAX($B$1:B1360)+1,0)</f>
        <v>0</v>
      </c>
      <c r="D1361" s="33">
        <f>IF(ISNUMBER(SEARCH('Φόρμα Εισαγωγής'!$C$2,E1361)),MAX($D$1:D1360)+1,0)</f>
        <v>0</v>
      </c>
      <c r="H1361" s="6">
        <f t="shared" si="74"/>
        <v>0</v>
      </c>
      <c r="I1361" s="6">
        <f t="shared" si="75"/>
        <v>0</v>
      </c>
      <c r="J1361" s="6">
        <f t="shared" si="76"/>
        <v>0</v>
      </c>
      <c r="L1361" s="4" t="str">
        <f>IFERROR(VLOOKUP(ROWS($L$2:L1361),$B$2:$C$1996,2,0),"")</f>
        <v/>
      </c>
      <c r="N1361" s="2" t="str">
        <f>IFERROR(VLOOKUP(ROWS($N$2:N1361),$D$2:$E$1996,2,0),"")</f>
        <v/>
      </c>
    </row>
    <row r="1362" spans="2:14">
      <c r="B1362" s="32">
        <f>IF(ISNUMBER(SEARCH('Φόρμα Εισαγωγής'!$B$2,C1362)),MAX($B$1:B1361)+1,0)</f>
        <v>0</v>
      </c>
      <c r="D1362" s="33">
        <f>IF(ISNUMBER(SEARCH('Φόρμα Εισαγωγής'!$C$2,E1362)),MAX($D$1:D1361)+1,0)</f>
        <v>0</v>
      </c>
      <c r="H1362" s="6">
        <f t="shared" si="74"/>
        <v>0</v>
      </c>
      <c r="I1362" s="6">
        <f t="shared" si="75"/>
        <v>0</v>
      </c>
      <c r="J1362" s="6">
        <f t="shared" si="76"/>
        <v>0</v>
      </c>
      <c r="L1362" s="4" t="str">
        <f>IFERROR(VLOOKUP(ROWS($L$2:L1362),$B$2:$C$1996,2,0),"")</f>
        <v/>
      </c>
      <c r="N1362" s="2" t="str">
        <f>IFERROR(VLOOKUP(ROWS($N$2:N1362),$D$2:$E$1996,2,0),"")</f>
        <v/>
      </c>
    </row>
    <row r="1363" spans="2:14">
      <c r="B1363" s="32">
        <f>IF(ISNUMBER(SEARCH('Φόρμα Εισαγωγής'!$B$2,C1363)),MAX($B$1:B1362)+1,0)</f>
        <v>0</v>
      </c>
      <c r="D1363" s="33">
        <f>IF(ISNUMBER(SEARCH('Φόρμα Εισαγωγής'!$C$2,E1363)),MAX($D$1:D1362)+1,0)</f>
        <v>0</v>
      </c>
      <c r="H1363" s="6">
        <f t="shared" si="74"/>
        <v>0</v>
      </c>
      <c r="I1363" s="6">
        <f t="shared" si="75"/>
        <v>0</v>
      </c>
      <c r="J1363" s="6">
        <f t="shared" si="76"/>
        <v>0</v>
      </c>
      <c r="L1363" s="4" t="str">
        <f>IFERROR(VLOOKUP(ROWS($L$2:L1363),$B$2:$C$1996,2,0),"")</f>
        <v/>
      </c>
      <c r="N1363" s="2" t="str">
        <f>IFERROR(VLOOKUP(ROWS($N$2:N1363),$D$2:$E$1996,2,0),"")</f>
        <v/>
      </c>
    </row>
    <row r="1364" spans="2:14">
      <c r="B1364" s="32">
        <f>IF(ISNUMBER(SEARCH('Φόρμα Εισαγωγής'!$B$2,C1364)),MAX($B$1:B1363)+1,0)</f>
        <v>0</v>
      </c>
      <c r="D1364" s="33">
        <f>IF(ISNUMBER(SEARCH('Φόρμα Εισαγωγής'!$C$2,E1364)),MAX($D$1:D1363)+1,0)</f>
        <v>0</v>
      </c>
      <c r="H1364" s="6">
        <f t="shared" si="74"/>
        <v>0</v>
      </c>
      <c r="I1364" s="6">
        <f t="shared" si="75"/>
        <v>0</v>
      </c>
      <c r="J1364" s="6">
        <f t="shared" si="76"/>
        <v>0</v>
      </c>
      <c r="L1364" s="4" t="str">
        <f>IFERROR(VLOOKUP(ROWS($L$2:L1364),$B$2:$C$1996,2,0),"")</f>
        <v/>
      </c>
      <c r="N1364" s="2" t="str">
        <f>IFERROR(VLOOKUP(ROWS($N$2:N1364),$D$2:$E$1996,2,0),"")</f>
        <v/>
      </c>
    </row>
    <row r="1365" spans="2:14">
      <c r="B1365" s="32">
        <f>IF(ISNUMBER(SEARCH('Φόρμα Εισαγωγής'!$B$2,C1365)),MAX($B$1:B1364)+1,0)</f>
        <v>0</v>
      </c>
      <c r="D1365" s="33">
        <f>IF(ISNUMBER(SEARCH('Φόρμα Εισαγωγής'!$C$2,E1365)),MAX($D$1:D1364)+1,0)</f>
        <v>0</v>
      </c>
      <c r="H1365" s="6">
        <f t="shared" si="74"/>
        <v>0</v>
      </c>
      <c r="I1365" s="6">
        <f t="shared" si="75"/>
        <v>0</v>
      </c>
      <c r="J1365" s="6">
        <f t="shared" si="76"/>
        <v>0</v>
      </c>
      <c r="L1365" s="4" t="str">
        <f>IFERROR(VLOOKUP(ROWS($L$2:L1365),$B$2:$C$1996,2,0),"")</f>
        <v/>
      </c>
      <c r="N1365" s="2" t="str">
        <f>IFERROR(VLOOKUP(ROWS($N$2:N1365),$D$2:$E$1996,2,0),"")</f>
        <v/>
      </c>
    </row>
    <row r="1366" spans="2:14">
      <c r="B1366" s="32">
        <f>IF(ISNUMBER(SEARCH('Φόρμα Εισαγωγής'!$B$2,C1366)),MAX($B$1:B1365)+1,0)</f>
        <v>0</v>
      </c>
      <c r="D1366" s="33">
        <f>IF(ISNUMBER(SEARCH('Φόρμα Εισαγωγής'!$C$2,E1366)),MAX($D$1:D1365)+1,0)</f>
        <v>0</v>
      </c>
      <c r="H1366" s="6">
        <f t="shared" si="74"/>
        <v>0</v>
      </c>
      <c r="I1366" s="6">
        <f t="shared" si="75"/>
        <v>0</v>
      </c>
      <c r="J1366" s="6">
        <f t="shared" si="76"/>
        <v>0</v>
      </c>
      <c r="L1366" s="4" t="str">
        <f>IFERROR(VLOOKUP(ROWS($L$2:L1366),$B$2:$C$1996,2,0),"")</f>
        <v/>
      </c>
      <c r="N1366" s="2" t="str">
        <f>IFERROR(VLOOKUP(ROWS($N$2:N1366),$D$2:$E$1996,2,0),"")</f>
        <v/>
      </c>
    </row>
    <row r="1367" spans="2:14">
      <c r="B1367" s="32">
        <f>IF(ISNUMBER(SEARCH('Φόρμα Εισαγωγής'!$B$2,C1367)),MAX($B$1:B1366)+1,0)</f>
        <v>0</v>
      </c>
      <c r="D1367" s="33">
        <f>IF(ISNUMBER(SEARCH('Φόρμα Εισαγωγής'!$C$2,E1367)),MAX($D$1:D1366)+1,0)</f>
        <v>0</v>
      </c>
      <c r="H1367" s="6">
        <f t="shared" si="74"/>
        <v>0</v>
      </c>
      <c r="I1367" s="6">
        <f t="shared" si="75"/>
        <v>0</v>
      </c>
      <c r="J1367" s="6">
        <f t="shared" si="76"/>
        <v>0</v>
      </c>
      <c r="L1367" s="4" t="str">
        <f>IFERROR(VLOOKUP(ROWS($L$2:L1367),$B$2:$C$1996,2,0),"")</f>
        <v/>
      </c>
      <c r="N1367" s="2" t="str">
        <f>IFERROR(VLOOKUP(ROWS($N$2:N1367),$D$2:$E$1996,2,0),"")</f>
        <v/>
      </c>
    </row>
    <row r="1368" spans="2:14">
      <c r="B1368" s="32">
        <f>IF(ISNUMBER(SEARCH('Φόρμα Εισαγωγής'!$B$2,C1368)),MAX($B$1:B1367)+1,0)</f>
        <v>0</v>
      </c>
      <c r="D1368" s="33">
        <f>IF(ISNUMBER(SEARCH('Φόρμα Εισαγωγής'!$C$2,E1368)),MAX($D$1:D1367)+1,0)</f>
        <v>0</v>
      </c>
      <c r="H1368" s="6">
        <f t="shared" si="74"/>
        <v>0</v>
      </c>
      <c r="I1368" s="6">
        <f t="shared" si="75"/>
        <v>0</v>
      </c>
      <c r="J1368" s="6">
        <f t="shared" si="76"/>
        <v>0</v>
      </c>
      <c r="L1368" s="4" t="str">
        <f>IFERROR(VLOOKUP(ROWS($L$2:L1368),$B$2:$C$1996,2,0),"")</f>
        <v/>
      </c>
      <c r="N1368" s="2" t="str">
        <f>IFERROR(VLOOKUP(ROWS($N$2:N1368),$D$2:$E$1996,2,0),"")</f>
        <v/>
      </c>
    </row>
    <row r="1369" spans="2:14">
      <c r="B1369" s="32">
        <f>IF(ISNUMBER(SEARCH('Φόρμα Εισαγωγής'!$B$2,C1369)),MAX($B$1:B1368)+1,0)</f>
        <v>0</v>
      </c>
      <c r="D1369" s="33">
        <f>IF(ISNUMBER(SEARCH('Φόρμα Εισαγωγής'!$C$2,E1369)),MAX($D$1:D1368)+1,0)</f>
        <v>0</v>
      </c>
      <c r="H1369" s="6">
        <f t="shared" si="74"/>
        <v>0</v>
      </c>
      <c r="I1369" s="6">
        <f t="shared" si="75"/>
        <v>0</v>
      </c>
      <c r="J1369" s="6">
        <f t="shared" si="76"/>
        <v>0</v>
      </c>
      <c r="L1369" s="4" t="str">
        <f>IFERROR(VLOOKUP(ROWS($L$2:L1369),$B$2:$C$1996,2,0),"")</f>
        <v/>
      </c>
      <c r="N1369" s="2" t="str">
        <f>IFERROR(VLOOKUP(ROWS($N$2:N1369),$D$2:$E$1996,2,0),"")</f>
        <v/>
      </c>
    </row>
    <row r="1370" spans="2:14">
      <c r="B1370" s="32">
        <f>IF(ISNUMBER(SEARCH('Φόρμα Εισαγωγής'!$B$2,C1370)),MAX($B$1:B1369)+1,0)</f>
        <v>0</v>
      </c>
      <c r="D1370" s="33">
        <f>IF(ISNUMBER(SEARCH('Φόρμα Εισαγωγής'!$C$2,E1370)),MAX($D$1:D1369)+1,0)</f>
        <v>0</v>
      </c>
      <c r="H1370" s="6">
        <f t="shared" si="74"/>
        <v>0</v>
      </c>
      <c r="I1370" s="6">
        <f t="shared" si="75"/>
        <v>0</v>
      </c>
      <c r="J1370" s="6">
        <f t="shared" si="76"/>
        <v>0</v>
      </c>
      <c r="L1370" s="4" t="str">
        <f>IFERROR(VLOOKUP(ROWS($L$2:L1370),$B$2:$C$1996,2,0),"")</f>
        <v/>
      </c>
      <c r="N1370" s="2" t="str">
        <f>IFERROR(VLOOKUP(ROWS($N$2:N1370),$D$2:$E$1996,2,0),"")</f>
        <v/>
      </c>
    </row>
    <row r="1371" spans="2:14">
      <c r="B1371" s="32">
        <f>IF(ISNUMBER(SEARCH('Φόρμα Εισαγωγής'!$B$2,C1371)),MAX($B$1:B1370)+1,0)</f>
        <v>0</v>
      </c>
      <c r="D1371" s="33">
        <f>IF(ISNUMBER(SEARCH('Φόρμα Εισαγωγής'!$C$2,E1371)),MAX($D$1:D1370)+1,0)</f>
        <v>0</v>
      </c>
      <c r="H1371" s="6">
        <f t="shared" si="74"/>
        <v>0</v>
      </c>
      <c r="I1371" s="6">
        <f t="shared" si="75"/>
        <v>0</v>
      </c>
      <c r="J1371" s="6">
        <f t="shared" si="76"/>
        <v>0</v>
      </c>
      <c r="L1371" s="4" t="str">
        <f>IFERROR(VLOOKUP(ROWS($L$2:L1371),$B$2:$C$1996,2,0),"")</f>
        <v/>
      </c>
      <c r="N1371" s="2" t="str">
        <f>IFERROR(VLOOKUP(ROWS($N$2:N1371),$D$2:$E$1996,2,0),"")</f>
        <v/>
      </c>
    </row>
    <row r="1372" spans="2:14">
      <c r="B1372" s="32">
        <f>IF(ISNUMBER(SEARCH('Φόρμα Εισαγωγής'!$B$2,C1372)),MAX($B$1:B1371)+1,0)</f>
        <v>0</v>
      </c>
      <c r="D1372" s="33">
        <f>IF(ISNUMBER(SEARCH('Φόρμα Εισαγωγής'!$C$2,E1372)),MAX($D$1:D1371)+1,0)</f>
        <v>0</v>
      </c>
      <c r="H1372" s="6">
        <f t="shared" si="74"/>
        <v>0</v>
      </c>
      <c r="I1372" s="6">
        <f t="shared" si="75"/>
        <v>0</v>
      </c>
      <c r="J1372" s="6">
        <f t="shared" si="76"/>
        <v>0</v>
      </c>
      <c r="L1372" s="4" t="str">
        <f>IFERROR(VLOOKUP(ROWS($L$2:L1372),$B$2:$C$1996,2,0),"")</f>
        <v/>
      </c>
      <c r="N1372" s="2" t="str">
        <f>IFERROR(VLOOKUP(ROWS($N$2:N1372),$D$2:$E$1996,2,0),"")</f>
        <v/>
      </c>
    </row>
    <row r="1373" spans="2:14">
      <c r="B1373" s="32">
        <f>IF(ISNUMBER(SEARCH('Φόρμα Εισαγωγής'!$B$2,C1373)),MAX($B$1:B1372)+1,0)</f>
        <v>0</v>
      </c>
      <c r="D1373" s="33">
        <f>IF(ISNUMBER(SEARCH('Φόρμα Εισαγωγής'!$C$2,E1373)),MAX($D$1:D1372)+1,0)</f>
        <v>0</v>
      </c>
      <c r="H1373" s="6">
        <f t="shared" si="74"/>
        <v>0</v>
      </c>
      <c r="I1373" s="6">
        <f t="shared" si="75"/>
        <v>0</v>
      </c>
      <c r="J1373" s="6">
        <f t="shared" si="76"/>
        <v>0</v>
      </c>
      <c r="L1373" s="4" t="str">
        <f>IFERROR(VLOOKUP(ROWS($L$2:L1373),$B$2:$C$1996,2,0),"")</f>
        <v/>
      </c>
      <c r="N1373" s="2" t="str">
        <f>IFERROR(VLOOKUP(ROWS($N$2:N1373),$D$2:$E$1996,2,0),"")</f>
        <v/>
      </c>
    </row>
    <row r="1374" spans="2:14">
      <c r="B1374" s="32">
        <f>IF(ISNUMBER(SEARCH('Φόρμα Εισαγωγής'!$B$2,C1374)),MAX($B$1:B1373)+1,0)</f>
        <v>0</v>
      </c>
      <c r="D1374" s="33">
        <f>IF(ISNUMBER(SEARCH('Φόρμα Εισαγωγής'!$C$2,E1374)),MAX($D$1:D1373)+1,0)</f>
        <v>0</v>
      </c>
      <c r="H1374" s="6">
        <f t="shared" si="74"/>
        <v>0</v>
      </c>
      <c r="I1374" s="6">
        <f t="shared" si="75"/>
        <v>0</v>
      </c>
      <c r="J1374" s="6">
        <f t="shared" si="76"/>
        <v>0</v>
      </c>
      <c r="L1374" s="4" t="str">
        <f>IFERROR(VLOOKUP(ROWS($L$2:L1374),$B$2:$C$1996,2,0),"")</f>
        <v/>
      </c>
      <c r="N1374" s="2" t="str">
        <f>IFERROR(VLOOKUP(ROWS($N$2:N1374),$D$2:$E$1996,2,0),"")</f>
        <v/>
      </c>
    </row>
    <row r="1375" spans="2:14">
      <c r="B1375" s="32">
        <f>IF(ISNUMBER(SEARCH('Φόρμα Εισαγωγής'!$B$2,C1375)),MAX($B$1:B1374)+1,0)</f>
        <v>0</v>
      </c>
      <c r="D1375" s="33">
        <f>IF(ISNUMBER(SEARCH('Φόρμα Εισαγωγής'!$C$2,E1375)),MAX($D$1:D1374)+1,0)</f>
        <v>0</v>
      </c>
      <c r="H1375" s="6">
        <f t="shared" si="74"/>
        <v>0</v>
      </c>
      <c r="I1375" s="6">
        <f t="shared" si="75"/>
        <v>0</v>
      </c>
      <c r="J1375" s="6">
        <f t="shared" si="76"/>
        <v>0</v>
      </c>
      <c r="L1375" s="4" t="str">
        <f>IFERROR(VLOOKUP(ROWS($L$2:L1375),$B$2:$C$1996,2,0),"")</f>
        <v/>
      </c>
      <c r="N1375" s="2" t="str">
        <f>IFERROR(VLOOKUP(ROWS($N$2:N1375),$D$2:$E$1996,2,0),"")</f>
        <v/>
      </c>
    </row>
    <row r="1376" spans="2:14">
      <c r="B1376" s="32">
        <f>IF(ISNUMBER(SEARCH('Φόρμα Εισαγωγής'!$B$2,C1376)),MAX($B$1:B1375)+1,0)</f>
        <v>0</v>
      </c>
      <c r="D1376" s="33">
        <f>IF(ISNUMBER(SEARCH('Φόρμα Εισαγωγής'!$C$2,E1376)),MAX($D$1:D1375)+1,0)</f>
        <v>0</v>
      </c>
      <c r="H1376" s="6">
        <f t="shared" si="74"/>
        <v>0</v>
      </c>
      <c r="I1376" s="6">
        <f t="shared" si="75"/>
        <v>0</v>
      </c>
      <c r="J1376" s="6">
        <f t="shared" si="76"/>
        <v>0</v>
      </c>
      <c r="L1376" s="4" t="str">
        <f>IFERROR(VLOOKUP(ROWS($L$2:L1376),$B$2:$C$1996,2,0),"")</f>
        <v/>
      </c>
      <c r="N1376" s="2" t="str">
        <f>IFERROR(VLOOKUP(ROWS($N$2:N1376),$D$2:$E$1996,2,0),"")</f>
        <v/>
      </c>
    </row>
    <row r="1377" spans="2:14">
      <c r="B1377" s="32">
        <f>IF(ISNUMBER(SEARCH('Φόρμα Εισαγωγής'!$B$2,C1377)),MAX($B$1:B1376)+1,0)</f>
        <v>0</v>
      </c>
      <c r="D1377" s="33">
        <f>IF(ISNUMBER(SEARCH('Φόρμα Εισαγωγής'!$C$2,E1377)),MAX($D$1:D1376)+1,0)</f>
        <v>0</v>
      </c>
      <c r="H1377" s="6">
        <f t="shared" si="74"/>
        <v>0</v>
      </c>
      <c r="I1377" s="6">
        <f t="shared" si="75"/>
        <v>0</v>
      </c>
      <c r="J1377" s="6">
        <f t="shared" si="76"/>
        <v>0</v>
      </c>
      <c r="L1377" s="4" t="str">
        <f>IFERROR(VLOOKUP(ROWS($L$2:L1377),$B$2:$C$1996,2,0),"")</f>
        <v/>
      </c>
      <c r="N1377" s="2" t="str">
        <f>IFERROR(VLOOKUP(ROWS($N$2:N1377),$D$2:$E$1996,2,0),"")</f>
        <v/>
      </c>
    </row>
    <row r="1378" spans="2:14">
      <c r="B1378" s="32">
        <f>IF(ISNUMBER(SEARCH('Φόρμα Εισαγωγής'!$B$2,C1378)),MAX($B$1:B1377)+1,0)</f>
        <v>0</v>
      </c>
      <c r="D1378" s="33">
        <f>IF(ISNUMBER(SEARCH('Φόρμα Εισαγωγής'!$C$2,E1378)),MAX($D$1:D1377)+1,0)</f>
        <v>0</v>
      </c>
      <c r="H1378" s="6">
        <f t="shared" si="74"/>
        <v>0</v>
      </c>
      <c r="I1378" s="6">
        <f t="shared" si="75"/>
        <v>0</v>
      </c>
      <c r="J1378" s="6">
        <f t="shared" si="76"/>
        <v>0</v>
      </c>
      <c r="L1378" s="4" t="str">
        <f>IFERROR(VLOOKUP(ROWS($L$2:L1378),$B$2:$C$1996,2,0),"")</f>
        <v/>
      </c>
      <c r="N1378" s="2" t="str">
        <f>IFERROR(VLOOKUP(ROWS($N$2:N1378),$D$2:$E$1996,2,0),"")</f>
        <v/>
      </c>
    </row>
    <row r="1379" spans="2:14">
      <c r="B1379" s="32">
        <f>IF(ISNUMBER(SEARCH('Φόρμα Εισαγωγής'!$B$2,C1379)),MAX($B$1:B1378)+1,0)</f>
        <v>0</v>
      </c>
      <c r="D1379" s="33">
        <f>IF(ISNUMBER(SEARCH('Φόρμα Εισαγωγής'!$C$2,E1379)),MAX($D$1:D1378)+1,0)</f>
        <v>0</v>
      </c>
      <c r="H1379" s="6">
        <f t="shared" si="74"/>
        <v>0</v>
      </c>
      <c r="I1379" s="6">
        <f t="shared" si="75"/>
        <v>0</v>
      </c>
      <c r="J1379" s="6">
        <f t="shared" si="76"/>
        <v>0</v>
      </c>
      <c r="L1379" s="4" t="str">
        <f>IFERROR(VLOOKUP(ROWS($L$2:L1379),$B$2:$C$1996,2,0),"")</f>
        <v/>
      </c>
      <c r="N1379" s="2" t="str">
        <f>IFERROR(VLOOKUP(ROWS($N$2:N1379),$D$2:$E$1996,2,0),"")</f>
        <v/>
      </c>
    </row>
    <row r="1380" spans="2:14">
      <c r="B1380" s="32">
        <f>IF(ISNUMBER(SEARCH('Φόρμα Εισαγωγής'!$B$2,C1380)),MAX($B$1:B1379)+1,0)</f>
        <v>0</v>
      </c>
      <c r="D1380" s="33">
        <f>IF(ISNUMBER(SEARCH('Φόρμα Εισαγωγής'!$C$2,E1380)),MAX($D$1:D1379)+1,0)</f>
        <v>0</v>
      </c>
      <c r="H1380" s="6">
        <f t="shared" si="74"/>
        <v>0</v>
      </c>
      <c r="I1380" s="6">
        <f t="shared" si="75"/>
        <v>0</v>
      </c>
      <c r="J1380" s="6">
        <f t="shared" si="76"/>
        <v>0</v>
      </c>
      <c r="L1380" s="4" t="str">
        <f>IFERROR(VLOOKUP(ROWS($L$2:L1380),$B$2:$C$1996,2,0),"")</f>
        <v/>
      </c>
      <c r="N1380" s="2" t="str">
        <f>IFERROR(VLOOKUP(ROWS($N$2:N1380),$D$2:$E$1996,2,0),"")</f>
        <v/>
      </c>
    </row>
    <row r="1381" spans="2:14">
      <c r="B1381" s="32">
        <f>IF(ISNUMBER(SEARCH('Φόρμα Εισαγωγής'!$B$2,C1381)),MAX($B$1:B1380)+1,0)</f>
        <v>0</v>
      </c>
      <c r="D1381" s="33">
        <f>IF(ISNUMBER(SEARCH('Φόρμα Εισαγωγής'!$C$2,E1381)),MAX($D$1:D1380)+1,0)</f>
        <v>0</v>
      </c>
      <c r="H1381" s="6">
        <f t="shared" si="74"/>
        <v>0</v>
      </c>
      <c r="I1381" s="6">
        <f t="shared" si="75"/>
        <v>0</v>
      </c>
      <c r="J1381" s="6">
        <f t="shared" si="76"/>
        <v>0</v>
      </c>
      <c r="L1381" s="4" t="str">
        <f>IFERROR(VLOOKUP(ROWS($L$2:L1381),$B$2:$C$1996,2,0),"")</f>
        <v/>
      </c>
      <c r="N1381" s="2" t="str">
        <f>IFERROR(VLOOKUP(ROWS($N$2:N1381),$D$2:$E$1996,2,0),"")</f>
        <v/>
      </c>
    </row>
    <row r="1382" spans="2:14">
      <c r="B1382" s="32">
        <f>IF(ISNUMBER(SEARCH('Φόρμα Εισαγωγής'!$B$2,C1382)),MAX($B$1:B1381)+1,0)</f>
        <v>0</v>
      </c>
      <c r="D1382" s="33">
        <f>IF(ISNUMBER(SEARCH('Φόρμα Εισαγωγής'!$C$2,E1382)),MAX($D$1:D1381)+1,0)</f>
        <v>0</v>
      </c>
      <c r="H1382" s="6">
        <f t="shared" si="74"/>
        <v>0</v>
      </c>
      <c r="I1382" s="6">
        <f t="shared" si="75"/>
        <v>0</v>
      </c>
      <c r="J1382" s="6">
        <f t="shared" si="76"/>
        <v>0</v>
      </c>
      <c r="L1382" s="4" t="str">
        <f>IFERROR(VLOOKUP(ROWS($L$2:L1382),$B$2:$C$1996,2,0),"")</f>
        <v/>
      </c>
      <c r="N1382" s="2" t="str">
        <f>IFERROR(VLOOKUP(ROWS($N$2:N1382),$D$2:$E$1996,2,0),"")</f>
        <v/>
      </c>
    </row>
    <row r="1383" spans="2:14">
      <c r="B1383" s="32">
        <f>IF(ISNUMBER(SEARCH('Φόρμα Εισαγωγής'!$B$2,C1383)),MAX($B$1:B1382)+1,0)</f>
        <v>0</v>
      </c>
      <c r="D1383" s="33">
        <f>IF(ISNUMBER(SEARCH('Φόρμα Εισαγωγής'!$C$2,E1383)),MAX($D$1:D1382)+1,0)</f>
        <v>0</v>
      </c>
      <c r="H1383" s="6">
        <f t="shared" si="74"/>
        <v>0</v>
      </c>
      <c r="I1383" s="6">
        <f t="shared" si="75"/>
        <v>0</v>
      </c>
      <c r="J1383" s="6">
        <f t="shared" si="76"/>
        <v>0</v>
      </c>
      <c r="L1383" s="4" t="str">
        <f>IFERROR(VLOOKUP(ROWS($L$2:L1383),$B$2:$C$1996,2,0),"")</f>
        <v/>
      </c>
      <c r="N1383" s="2" t="str">
        <f>IFERROR(VLOOKUP(ROWS($N$2:N1383),$D$2:$E$1996,2,0),"")</f>
        <v/>
      </c>
    </row>
    <row r="1384" spans="2:14">
      <c r="B1384" s="32">
        <f>IF(ISNUMBER(SEARCH('Φόρμα Εισαγωγής'!$B$2,C1384)),MAX($B$1:B1383)+1,0)</f>
        <v>0</v>
      </c>
      <c r="D1384" s="33">
        <f>IF(ISNUMBER(SEARCH('Φόρμα Εισαγωγής'!$C$2,E1384)),MAX($D$1:D1383)+1,0)</f>
        <v>0</v>
      </c>
      <c r="H1384" s="6">
        <f t="shared" si="74"/>
        <v>0</v>
      </c>
      <c r="I1384" s="6">
        <f t="shared" si="75"/>
        <v>0</v>
      </c>
      <c r="J1384" s="6">
        <f t="shared" si="76"/>
        <v>0</v>
      </c>
      <c r="L1384" s="4" t="str">
        <f>IFERROR(VLOOKUP(ROWS($L$2:L1384),$B$2:$C$1996,2,0),"")</f>
        <v/>
      </c>
      <c r="N1384" s="2" t="str">
        <f>IFERROR(VLOOKUP(ROWS($N$2:N1384),$D$2:$E$1996,2,0),"")</f>
        <v/>
      </c>
    </row>
    <row r="1385" spans="2:14">
      <c r="B1385" s="32">
        <f>IF(ISNUMBER(SEARCH('Φόρμα Εισαγωγής'!$B$2,C1385)),MAX($B$1:B1384)+1,0)</f>
        <v>0</v>
      </c>
      <c r="D1385" s="33">
        <f>IF(ISNUMBER(SEARCH('Φόρμα Εισαγωγής'!$C$2,E1385)),MAX($D$1:D1384)+1,0)</f>
        <v>0</v>
      </c>
      <c r="H1385" s="6">
        <f t="shared" si="74"/>
        <v>0</v>
      </c>
      <c r="I1385" s="6">
        <f t="shared" si="75"/>
        <v>0</v>
      </c>
      <c r="J1385" s="6">
        <f t="shared" si="76"/>
        <v>0</v>
      </c>
      <c r="L1385" s="4" t="str">
        <f>IFERROR(VLOOKUP(ROWS($L$2:L1385),$B$2:$C$1996,2,0),"")</f>
        <v/>
      </c>
      <c r="N1385" s="2" t="str">
        <f>IFERROR(VLOOKUP(ROWS($N$2:N1385),$D$2:$E$1996,2,0),"")</f>
        <v/>
      </c>
    </row>
    <row r="1386" spans="2:14">
      <c r="B1386" s="32">
        <f>IF(ISNUMBER(SEARCH('Φόρμα Εισαγωγής'!$B$2,C1386)),MAX($B$1:B1385)+1,0)</f>
        <v>0</v>
      </c>
      <c r="D1386" s="33">
        <f>IF(ISNUMBER(SEARCH('Φόρμα Εισαγωγής'!$C$2,E1386)),MAX($D$1:D1385)+1,0)</f>
        <v>0</v>
      </c>
      <c r="H1386" s="6">
        <f t="shared" si="74"/>
        <v>0</v>
      </c>
      <c r="I1386" s="6">
        <f t="shared" si="75"/>
        <v>0</v>
      </c>
      <c r="J1386" s="6">
        <f t="shared" si="76"/>
        <v>0</v>
      </c>
      <c r="L1386" s="4" t="str">
        <f>IFERROR(VLOOKUP(ROWS($L$2:L1386),$B$2:$C$1996,2,0),"")</f>
        <v/>
      </c>
      <c r="N1386" s="2" t="str">
        <f>IFERROR(VLOOKUP(ROWS($N$2:N1386),$D$2:$E$1996,2,0),"")</f>
        <v/>
      </c>
    </row>
    <row r="1387" spans="2:14">
      <c r="B1387" s="32">
        <f>IF(ISNUMBER(SEARCH('Φόρμα Εισαγωγής'!$B$2,C1387)),MAX($B$1:B1386)+1,0)</f>
        <v>0</v>
      </c>
      <c r="D1387" s="33">
        <f>IF(ISNUMBER(SEARCH('Φόρμα Εισαγωγής'!$C$2,E1387)),MAX($D$1:D1386)+1,0)</f>
        <v>0</v>
      </c>
      <c r="H1387" s="6">
        <f t="shared" si="74"/>
        <v>0</v>
      </c>
      <c r="I1387" s="6">
        <f t="shared" si="75"/>
        <v>0</v>
      </c>
      <c r="J1387" s="6">
        <f t="shared" si="76"/>
        <v>0</v>
      </c>
      <c r="L1387" s="4" t="str">
        <f>IFERROR(VLOOKUP(ROWS($L$2:L1387),$B$2:$C$1996,2,0),"")</f>
        <v/>
      </c>
      <c r="N1387" s="2" t="str">
        <f>IFERROR(VLOOKUP(ROWS($N$2:N1387),$D$2:$E$1996,2,0),"")</f>
        <v/>
      </c>
    </row>
    <row r="1388" spans="2:14">
      <c r="B1388" s="32">
        <f>IF(ISNUMBER(SEARCH('Φόρμα Εισαγωγής'!$B$2,C1388)),MAX($B$1:B1387)+1,0)</f>
        <v>0</v>
      </c>
      <c r="D1388" s="33">
        <f>IF(ISNUMBER(SEARCH('Φόρμα Εισαγωγής'!$C$2,E1388)),MAX($D$1:D1387)+1,0)</f>
        <v>0</v>
      </c>
      <c r="H1388" s="6">
        <f t="shared" si="74"/>
        <v>0</v>
      </c>
      <c r="I1388" s="6">
        <f t="shared" si="75"/>
        <v>0</v>
      </c>
      <c r="J1388" s="6">
        <f t="shared" si="76"/>
        <v>0</v>
      </c>
      <c r="L1388" s="4" t="str">
        <f>IFERROR(VLOOKUP(ROWS($L$2:L1388),$B$2:$C$1996,2,0),"")</f>
        <v/>
      </c>
      <c r="N1388" s="2" t="str">
        <f>IFERROR(VLOOKUP(ROWS($N$2:N1388),$D$2:$E$1996,2,0),"")</f>
        <v/>
      </c>
    </row>
    <row r="1389" spans="2:14">
      <c r="B1389" s="32">
        <f>IF(ISNUMBER(SEARCH('Φόρμα Εισαγωγής'!$B$2,C1389)),MAX($B$1:B1388)+1,0)</f>
        <v>0</v>
      </c>
      <c r="D1389" s="33">
        <f>IF(ISNUMBER(SEARCH('Φόρμα Εισαγωγής'!$C$2,E1389)),MAX($D$1:D1388)+1,0)</f>
        <v>0</v>
      </c>
      <c r="H1389" s="6">
        <f t="shared" si="74"/>
        <v>0</v>
      </c>
      <c r="I1389" s="6">
        <f t="shared" si="75"/>
        <v>0</v>
      </c>
      <c r="J1389" s="6">
        <f t="shared" si="76"/>
        <v>0</v>
      </c>
      <c r="L1389" s="4" t="str">
        <f>IFERROR(VLOOKUP(ROWS($L$2:L1389),$B$2:$C$1996,2,0),"")</f>
        <v/>
      </c>
      <c r="N1389" s="2" t="str">
        <f>IFERROR(VLOOKUP(ROWS($N$2:N1389),$D$2:$E$1996,2,0),"")</f>
        <v/>
      </c>
    </row>
    <row r="1390" spans="2:14">
      <c r="B1390" s="32">
        <f>IF(ISNUMBER(SEARCH('Φόρμα Εισαγωγής'!$B$2,C1390)),MAX($B$1:B1389)+1,0)</f>
        <v>0</v>
      </c>
      <c r="D1390" s="33">
        <f>IF(ISNUMBER(SEARCH('Φόρμα Εισαγωγής'!$C$2,E1390)),MAX($D$1:D1389)+1,0)</f>
        <v>0</v>
      </c>
      <c r="H1390" s="6">
        <f t="shared" si="74"/>
        <v>0</v>
      </c>
      <c r="I1390" s="6">
        <f t="shared" si="75"/>
        <v>0</v>
      </c>
      <c r="J1390" s="6">
        <f t="shared" si="76"/>
        <v>0</v>
      </c>
      <c r="L1390" s="4" t="str">
        <f>IFERROR(VLOOKUP(ROWS($L$2:L1390),$B$2:$C$1996,2,0),"")</f>
        <v/>
      </c>
      <c r="N1390" s="2" t="str">
        <f>IFERROR(VLOOKUP(ROWS($N$2:N1390),$D$2:$E$1996,2,0),"")</f>
        <v/>
      </c>
    </row>
    <row r="1391" spans="2:14">
      <c r="B1391" s="32">
        <f>IF(ISNUMBER(SEARCH('Φόρμα Εισαγωγής'!$B$2,C1391)),MAX($B$1:B1390)+1,0)</f>
        <v>0</v>
      </c>
      <c r="D1391" s="33">
        <f>IF(ISNUMBER(SEARCH('Φόρμα Εισαγωγής'!$C$2,E1391)),MAX($D$1:D1390)+1,0)</f>
        <v>0</v>
      </c>
      <c r="H1391" s="6">
        <f t="shared" si="74"/>
        <v>0</v>
      </c>
      <c r="I1391" s="6">
        <f t="shared" si="75"/>
        <v>0</v>
      </c>
      <c r="J1391" s="6">
        <f t="shared" si="76"/>
        <v>0</v>
      </c>
      <c r="L1391" s="4" t="str">
        <f>IFERROR(VLOOKUP(ROWS($L$2:L1391),$B$2:$C$1996,2,0),"")</f>
        <v/>
      </c>
      <c r="N1391" s="2" t="str">
        <f>IFERROR(VLOOKUP(ROWS($N$2:N1391),$D$2:$E$1996,2,0),"")</f>
        <v/>
      </c>
    </row>
    <row r="1392" spans="2:14">
      <c r="B1392" s="32">
        <f>IF(ISNUMBER(SEARCH('Φόρμα Εισαγωγής'!$B$2,C1392)),MAX($B$1:B1391)+1,0)</f>
        <v>0</v>
      </c>
      <c r="D1392" s="33">
        <f>IF(ISNUMBER(SEARCH('Φόρμα Εισαγωγής'!$C$2,E1392)),MAX($D$1:D1391)+1,0)</f>
        <v>0</v>
      </c>
      <c r="H1392" s="6">
        <f t="shared" si="74"/>
        <v>0</v>
      </c>
      <c r="I1392" s="6">
        <f t="shared" si="75"/>
        <v>0</v>
      </c>
      <c r="J1392" s="6">
        <f t="shared" si="76"/>
        <v>0</v>
      </c>
      <c r="L1392" s="4" t="str">
        <f>IFERROR(VLOOKUP(ROWS($L$2:L1392),$B$2:$C$1996,2,0),"")</f>
        <v/>
      </c>
      <c r="N1392" s="2" t="str">
        <f>IFERROR(VLOOKUP(ROWS($N$2:N1392),$D$2:$E$1996,2,0),"")</f>
        <v/>
      </c>
    </row>
    <row r="1393" spans="2:14">
      <c r="B1393" s="32">
        <f>IF(ISNUMBER(SEARCH('Φόρμα Εισαγωγής'!$B$2,C1393)),MAX($B$1:B1392)+1,0)</f>
        <v>0</v>
      </c>
      <c r="D1393" s="33">
        <f>IF(ISNUMBER(SEARCH('Φόρμα Εισαγωγής'!$C$2,E1393)),MAX($D$1:D1392)+1,0)</f>
        <v>0</v>
      </c>
      <c r="H1393" s="6">
        <f t="shared" si="74"/>
        <v>0</v>
      </c>
      <c r="I1393" s="6">
        <f t="shared" si="75"/>
        <v>0</v>
      </c>
      <c r="J1393" s="6">
        <f t="shared" si="76"/>
        <v>0</v>
      </c>
      <c r="L1393" s="4" t="str">
        <f>IFERROR(VLOOKUP(ROWS($L$2:L1393),$B$2:$C$1996,2,0),"")</f>
        <v/>
      </c>
      <c r="N1393" s="2" t="str">
        <f>IFERROR(VLOOKUP(ROWS($N$2:N1393),$D$2:$E$1996,2,0),"")</f>
        <v/>
      </c>
    </row>
    <row r="1394" spans="2:14">
      <c r="B1394" s="32">
        <f>IF(ISNUMBER(SEARCH('Φόρμα Εισαγωγής'!$B$2,C1394)),MAX($B$1:B1393)+1,0)</f>
        <v>0</v>
      </c>
      <c r="D1394" s="33">
        <f>IF(ISNUMBER(SEARCH('Φόρμα Εισαγωγής'!$C$2,E1394)),MAX($D$1:D1393)+1,0)</f>
        <v>0</v>
      </c>
      <c r="H1394" s="6">
        <f t="shared" si="74"/>
        <v>0</v>
      </c>
      <c r="I1394" s="6">
        <f t="shared" si="75"/>
        <v>0</v>
      </c>
      <c r="J1394" s="6">
        <f t="shared" si="76"/>
        <v>0</v>
      </c>
      <c r="L1394" s="4" t="str">
        <f>IFERROR(VLOOKUP(ROWS($L$2:L1394),$B$2:$C$1996,2,0),"")</f>
        <v/>
      </c>
      <c r="N1394" s="2" t="str">
        <f>IFERROR(VLOOKUP(ROWS($N$2:N1394),$D$2:$E$1996,2,0),"")</f>
        <v/>
      </c>
    </row>
    <row r="1395" spans="2:14">
      <c r="B1395" s="32">
        <f>IF(ISNUMBER(SEARCH('Φόρμα Εισαγωγής'!$B$2,C1395)),MAX($B$1:B1394)+1,0)</f>
        <v>0</v>
      </c>
      <c r="D1395" s="33">
        <f>IF(ISNUMBER(SEARCH('Φόρμα Εισαγωγής'!$C$2,E1395)),MAX($D$1:D1394)+1,0)</f>
        <v>0</v>
      </c>
      <c r="H1395" s="6">
        <f t="shared" si="74"/>
        <v>0</v>
      </c>
      <c r="I1395" s="6">
        <f t="shared" si="75"/>
        <v>0</v>
      </c>
      <c r="J1395" s="6">
        <f t="shared" si="76"/>
        <v>0</v>
      </c>
      <c r="L1395" s="4" t="str">
        <f>IFERROR(VLOOKUP(ROWS($L$2:L1395),$B$2:$C$1996,2,0),"")</f>
        <v/>
      </c>
      <c r="N1395" s="2" t="str">
        <f>IFERROR(VLOOKUP(ROWS($N$2:N1395),$D$2:$E$1996,2,0),"")</f>
        <v/>
      </c>
    </row>
    <row r="1396" spans="2:14">
      <c r="B1396" s="32">
        <f>IF(ISNUMBER(SEARCH('Φόρμα Εισαγωγής'!$B$2,C1396)),MAX($B$1:B1395)+1,0)</f>
        <v>0</v>
      </c>
      <c r="D1396" s="33">
        <f>IF(ISNUMBER(SEARCH('Φόρμα Εισαγωγής'!$C$2,E1396)),MAX($D$1:D1395)+1,0)</f>
        <v>0</v>
      </c>
      <c r="H1396" s="6">
        <f t="shared" si="74"/>
        <v>0</v>
      </c>
      <c r="I1396" s="6">
        <f t="shared" si="75"/>
        <v>0</v>
      </c>
      <c r="J1396" s="6">
        <f t="shared" si="76"/>
        <v>0</v>
      </c>
      <c r="L1396" s="4" t="str">
        <f>IFERROR(VLOOKUP(ROWS($L$2:L1396),$B$2:$C$1996,2,0),"")</f>
        <v/>
      </c>
      <c r="N1396" s="2" t="str">
        <f>IFERROR(VLOOKUP(ROWS($N$2:N1396),$D$2:$E$1996,2,0),"")</f>
        <v/>
      </c>
    </row>
    <row r="1397" spans="2:14">
      <c r="B1397" s="32">
        <f>IF(ISNUMBER(SEARCH('Φόρμα Εισαγωγής'!$B$2,C1397)),MAX($B$1:B1396)+1,0)</f>
        <v>0</v>
      </c>
      <c r="D1397" s="33">
        <f>IF(ISNUMBER(SEARCH('Φόρμα Εισαγωγής'!$C$2,E1397)),MAX($D$1:D1396)+1,0)</f>
        <v>0</v>
      </c>
      <c r="H1397" s="6">
        <f t="shared" si="74"/>
        <v>0</v>
      </c>
      <c r="I1397" s="6">
        <f t="shared" si="75"/>
        <v>0</v>
      </c>
      <c r="J1397" s="6">
        <f t="shared" si="76"/>
        <v>0</v>
      </c>
      <c r="L1397" s="4" t="str">
        <f>IFERROR(VLOOKUP(ROWS($L$2:L1397),$B$2:$C$1996,2,0),"")</f>
        <v/>
      </c>
      <c r="N1397" s="2" t="str">
        <f>IFERROR(VLOOKUP(ROWS($N$2:N1397),$D$2:$E$1996,2,0),"")</f>
        <v/>
      </c>
    </row>
    <row r="1398" spans="2:14">
      <c r="B1398" s="32">
        <f>IF(ISNUMBER(SEARCH('Φόρμα Εισαγωγής'!$B$2,C1398)),MAX($B$1:B1397)+1,0)</f>
        <v>0</v>
      </c>
      <c r="D1398" s="33">
        <f>IF(ISNUMBER(SEARCH('Φόρμα Εισαγωγής'!$C$2,E1398)),MAX($D$1:D1397)+1,0)</f>
        <v>0</v>
      </c>
      <c r="H1398" s="6">
        <f t="shared" si="74"/>
        <v>0</v>
      </c>
      <c r="I1398" s="6">
        <f t="shared" si="75"/>
        <v>0</v>
      </c>
      <c r="J1398" s="6">
        <f t="shared" si="76"/>
        <v>0</v>
      </c>
      <c r="L1398" s="4" t="str">
        <f>IFERROR(VLOOKUP(ROWS($L$2:L1398),$B$2:$C$1996,2,0),"")</f>
        <v/>
      </c>
      <c r="N1398" s="2" t="str">
        <f>IFERROR(VLOOKUP(ROWS($N$2:N1398),$D$2:$E$1996,2,0),"")</f>
        <v/>
      </c>
    </row>
    <row r="1399" spans="2:14">
      <c r="B1399" s="32">
        <f>IF(ISNUMBER(SEARCH('Φόρμα Εισαγωγής'!$B$2,C1399)),MAX($B$1:B1398)+1,0)</f>
        <v>0</v>
      </c>
      <c r="D1399" s="33">
        <f>IF(ISNUMBER(SEARCH('Φόρμα Εισαγωγής'!$C$2,E1399)),MAX($D$1:D1398)+1,0)</f>
        <v>0</v>
      </c>
      <c r="H1399" s="6">
        <f t="shared" si="74"/>
        <v>0</v>
      </c>
      <c r="I1399" s="6">
        <f t="shared" si="75"/>
        <v>0</v>
      </c>
      <c r="J1399" s="6">
        <f t="shared" si="76"/>
        <v>0</v>
      </c>
      <c r="L1399" s="4" t="str">
        <f>IFERROR(VLOOKUP(ROWS($L$2:L1399),$B$2:$C$1996,2,0),"")</f>
        <v/>
      </c>
      <c r="N1399" s="2" t="str">
        <f>IFERROR(VLOOKUP(ROWS($N$2:N1399),$D$2:$E$1996,2,0),"")</f>
        <v/>
      </c>
    </row>
    <row r="1400" spans="2:14">
      <c r="B1400" s="32">
        <f>IF(ISNUMBER(SEARCH('Φόρμα Εισαγωγής'!$B$2,C1400)),MAX($B$1:B1399)+1,0)</f>
        <v>0</v>
      </c>
      <c r="D1400" s="33">
        <f>IF(ISNUMBER(SEARCH('Φόρμα Εισαγωγής'!$C$2,E1400)),MAX($D$1:D1399)+1,0)</f>
        <v>0</v>
      </c>
      <c r="H1400" s="6">
        <f t="shared" si="74"/>
        <v>0</v>
      </c>
      <c r="I1400" s="6">
        <f t="shared" si="75"/>
        <v>0</v>
      </c>
      <c r="J1400" s="6">
        <f t="shared" si="76"/>
        <v>0</v>
      </c>
      <c r="L1400" s="4" t="str">
        <f>IFERROR(VLOOKUP(ROWS($L$2:L1400),$B$2:$C$1996,2,0),"")</f>
        <v/>
      </c>
      <c r="N1400" s="2" t="str">
        <f>IFERROR(VLOOKUP(ROWS($N$2:N1400),$D$2:$E$1996,2,0),"")</f>
        <v/>
      </c>
    </row>
    <row r="1401" spans="2:14">
      <c r="B1401" s="32">
        <f>IF(ISNUMBER(SEARCH('Φόρμα Εισαγωγής'!$B$2,C1401)),MAX($B$1:B1400)+1,0)</f>
        <v>0</v>
      </c>
      <c r="D1401" s="33">
        <f>IF(ISNUMBER(SEARCH('Φόρμα Εισαγωγής'!$C$2,E1401)),MAX($D$1:D1400)+1,0)</f>
        <v>0</v>
      </c>
      <c r="H1401" s="6">
        <f t="shared" si="74"/>
        <v>0</v>
      </c>
      <c r="I1401" s="6">
        <f t="shared" si="75"/>
        <v>0</v>
      </c>
      <c r="J1401" s="6">
        <f t="shared" si="76"/>
        <v>0</v>
      </c>
      <c r="L1401" s="4" t="str">
        <f>IFERROR(VLOOKUP(ROWS($L$2:L1401),$B$2:$C$1996,2,0),"")</f>
        <v/>
      </c>
      <c r="N1401" s="2" t="str">
        <f>IFERROR(VLOOKUP(ROWS($N$2:N1401),$D$2:$E$1996,2,0),"")</f>
        <v/>
      </c>
    </row>
    <row r="1402" spans="2:14">
      <c r="B1402" s="32">
        <f>IF(ISNUMBER(SEARCH('Φόρμα Εισαγωγής'!$B$2,C1402)),MAX($B$1:B1401)+1,0)</f>
        <v>0</v>
      </c>
      <c r="D1402" s="33">
        <f>IF(ISNUMBER(SEARCH('Φόρμα Εισαγωγής'!$C$2,E1402)),MAX($D$1:D1401)+1,0)</f>
        <v>0</v>
      </c>
      <c r="H1402" s="6">
        <f t="shared" si="74"/>
        <v>0</v>
      </c>
      <c r="I1402" s="6">
        <f t="shared" si="75"/>
        <v>0</v>
      </c>
      <c r="J1402" s="6">
        <f t="shared" si="76"/>
        <v>0</v>
      </c>
      <c r="L1402" s="4" t="str">
        <f>IFERROR(VLOOKUP(ROWS($L$2:L1402),$B$2:$C$1996,2,0),"")</f>
        <v/>
      </c>
      <c r="N1402" s="2" t="str">
        <f>IFERROR(VLOOKUP(ROWS($N$2:N1402),$D$2:$E$1996,2,0),"")</f>
        <v/>
      </c>
    </row>
    <row r="1403" spans="2:14">
      <c r="B1403" s="32">
        <f>IF(ISNUMBER(SEARCH('Φόρμα Εισαγωγής'!$B$2,C1403)),MAX($B$1:B1402)+1,0)</f>
        <v>0</v>
      </c>
      <c r="D1403" s="33">
        <f>IF(ISNUMBER(SEARCH('Φόρμα Εισαγωγής'!$C$2,E1403)),MAX($D$1:D1402)+1,0)</f>
        <v>0</v>
      </c>
      <c r="H1403" s="6">
        <f t="shared" si="74"/>
        <v>0</v>
      </c>
      <c r="I1403" s="6">
        <f t="shared" si="75"/>
        <v>0</v>
      </c>
      <c r="J1403" s="6">
        <f t="shared" si="76"/>
        <v>0</v>
      </c>
      <c r="L1403" s="4" t="str">
        <f>IFERROR(VLOOKUP(ROWS($L$2:L1403),$B$2:$C$1996,2,0),"")</f>
        <v/>
      </c>
      <c r="N1403" s="2" t="str">
        <f>IFERROR(VLOOKUP(ROWS($N$2:N1403),$D$2:$E$1996,2,0),"")</f>
        <v/>
      </c>
    </row>
    <row r="1404" spans="2:14">
      <c r="B1404" s="32">
        <f>IF(ISNUMBER(SEARCH('Φόρμα Εισαγωγής'!$B$2,C1404)),MAX($B$1:B1403)+1,0)</f>
        <v>0</v>
      </c>
      <c r="D1404" s="33">
        <f>IF(ISNUMBER(SEARCH('Φόρμα Εισαγωγής'!$C$2,E1404)),MAX($D$1:D1403)+1,0)</f>
        <v>0</v>
      </c>
      <c r="H1404" s="6">
        <f t="shared" si="74"/>
        <v>0</v>
      </c>
      <c r="I1404" s="6">
        <f t="shared" si="75"/>
        <v>0</v>
      </c>
      <c r="J1404" s="6">
        <f t="shared" si="76"/>
        <v>0</v>
      </c>
      <c r="L1404" s="4" t="str">
        <f>IFERROR(VLOOKUP(ROWS($L$2:L1404),$B$2:$C$1996,2,0),"")</f>
        <v/>
      </c>
      <c r="N1404" s="2" t="str">
        <f>IFERROR(VLOOKUP(ROWS($N$2:N1404),$D$2:$E$1996,2,0),"")</f>
        <v/>
      </c>
    </row>
    <row r="1405" spans="2:14">
      <c r="B1405" s="32">
        <f>IF(ISNUMBER(SEARCH('Φόρμα Εισαγωγής'!$B$2,C1405)),MAX($B$1:B1404)+1,0)</f>
        <v>0</v>
      </c>
      <c r="D1405" s="33">
        <f>IF(ISNUMBER(SEARCH('Φόρμα Εισαγωγής'!$C$2,E1405)),MAX($D$1:D1404)+1,0)</f>
        <v>0</v>
      </c>
      <c r="H1405" s="6">
        <f t="shared" si="74"/>
        <v>0</v>
      </c>
      <c r="I1405" s="6">
        <f t="shared" si="75"/>
        <v>0</v>
      </c>
      <c r="J1405" s="6">
        <f t="shared" si="76"/>
        <v>0</v>
      </c>
      <c r="L1405" s="4" t="str">
        <f>IFERROR(VLOOKUP(ROWS($L$2:L1405),$B$2:$C$1996,2,0),"")</f>
        <v/>
      </c>
      <c r="N1405" s="2" t="str">
        <f>IFERROR(VLOOKUP(ROWS($N$2:N1405),$D$2:$E$1996,2,0),"")</f>
        <v/>
      </c>
    </row>
    <row r="1406" spans="2:14">
      <c r="B1406" s="32">
        <f>IF(ISNUMBER(SEARCH('Φόρμα Εισαγωγής'!$B$2,C1406)),MAX($B$1:B1405)+1,0)</f>
        <v>0</v>
      </c>
      <c r="D1406" s="33">
        <f>IF(ISNUMBER(SEARCH('Φόρμα Εισαγωγής'!$C$2,E1406)),MAX($D$1:D1405)+1,0)</f>
        <v>0</v>
      </c>
      <c r="H1406" s="6">
        <f t="shared" si="74"/>
        <v>0</v>
      </c>
      <c r="I1406" s="6">
        <f t="shared" si="75"/>
        <v>0</v>
      </c>
      <c r="J1406" s="6">
        <f t="shared" si="76"/>
        <v>0</v>
      </c>
      <c r="L1406" s="4" t="str">
        <f>IFERROR(VLOOKUP(ROWS($L$2:L1406),$B$2:$C$1996,2,0),"")</f>
        <v/>
      </c>
      <c r="N1406" s="2" t="str">
        <f>IFERROR(VLOOKUP(ROWS($N$2:N1406),$D$2:$E$1996,2,0),"")</f>
        <v/>
      </c>
    </row>
    <row r="1407" spans="2:14">
      <c r="B1407" s="32">
        <f>IF(ISNUMBER(SEARCH('Φόρμα Εισαγωγής'!$B$2,C1407)),MAX($B$1:B1406)+1,0)</f>
        <v>0</v>
      </c>
      <c r="D1407" s="33">
        <f>IF(ISNUMBER(SEARCH('Φόρμα Εισαγωγής'!$C$2,E1407)),MAX($D$1:D1406)+1,0)</f>
        <v>0</v>
      </c>
      <c r="H1407" s="6">
        <f t="shared" si="74"/>
        <v>0</v>
      </c>
      <c r="I1407" s="6">
        <f t="shared" si="75"/>
        <v>0</v>
      </c>
      <c r="J1407" s="6">
        <f t="shared" si="76"/>
        <v>0</v>
      </c>
      <c r="L1407" s="4" t="str">
        <f>IFERROR(VLOOKUP(ROWS($L$2:L1407),$B$2:$C$1996,2,0),"")</f>
        <v/>
      </c>
      <c r="N1407" s="2" t="str">
        <f>IFERROR(VLOOKUP(ROWS($N$2:N1407),$D$2:$E$1996,2,0),"")</f>
        <v/>
      </c>
    </row>
    <row r="1408" spans="2:14">
      <c r="B1408" s="32">
        <f>IF(ISNUMBER(SEARCH('Φόρμα Εισαγωγής'!$B$2,C1408)),MAX($B$1:B1407)+1,0)</f>
        <v>0</v>
      </c>
      <c r="D1408" s="33">
        <f>IF(ISNUMBER(SEARCH('Φόρμα Εισαγωγής'!$C$2,E1408)),MAX($D$1:D1407)+1,0)</f>
        <v>0</v>
      </c>
      <c r="H1408" s="6">
        <f t="shared" ref="H1408:H1471" si="77">G1408+(G1408*0.24)</f>
        <v>0</v>
      </c>
      <c r="I1408" s="6">
        <f t="shared" ref="I1408:I1471" si="78">F1408*A1408</f>
        <v>0</v>
      </c>
      <c r="J1408" s="6">
        <f t="shared" ref="J1408:J1471" si="79">H1408*A1408</f>
        <v>0</v>
      </c>
      <c r="L1408" s="4" t="str">
        <f>IFERROR(VLOOKUP(ROWS($L$2:L1408),$B$2:$C$1996,2,0),"")</f>
        <v/>
      </c>
      <c r="N1408" s="2" t="str">
        <f>IFERROR(VLOOKUP(ROWS($N$2:N1408),$D$2:$E$1996,2,0),"")</f>
        <v/>
      </c>
    </row>
    <row r="1409" spans="2:14">
      <c r="B1409" s="32">
        <f>IF(ISNUMBER(SEARCH('Φόρμα Εισαγωγής'!$B$2,C1409)),MAX($B$1:B1408)+1,0)</f>
        <v>0</v>
      </c>
      <c r="D1409" s="33">
        <f>IF(ISNUMBER(SEARCH('Φόρμα Εισαγωγής'!$C$2,E1409)),MAX($D$1:D1408)+1,0)</f>
        <v>0</v>
      </c>
      <c r="H1409" s="6">
        <f t="shared" si="77"/>
        <v>0</v>
      </c>
      <c r="I1409" s="6">
        <f t="shared" si="78"/>
        <v>0</v>
      </c>
      <c r="J1409" s="6">
        <f t="shared" si="79"/>
        <v>0</v>
      </c>
      <c r="L1409" s="4" t="str">
        <f>IFERROR(VLOOKUP(ROWS($L$2:L1409),$B$2:$C$1996,2,0),"")</f>
        <v/>
      </c>
      <c r="N1409" s="2" t="str">
        <f>IFERROR(VLOOKUP(ROWS($N$2:N1409),$D$2:$E$1996,2,0),"")</f>
        <v/>
      </c>
    </row>
    <row r="1410" spans="2:14">
      <c r="B1410" s="32">
        <f>IF(ISNUMBER(SEARCH('Φόρμα Εισαγωγής'!$B$2,C1410)),MAX($B$1:B1409)+1,0)</f>
        <v>0</v>
      </c>
      <c r="D1410" s="33">
        <f>IF(ISNUMBER(SEARCH('Φόρμα Εισαγωγής'!$C$2,E1410)),MAX($D$1:D1409)+1,0)</f>
        <v>0</v>
      </c>
      <c r="H1410" s="6">
        <f t="shared" si="77"/>
        <v>0</v>
      </c>
      <c r="I1410" s="6">
        <f t="shared" si="78"/>
        <v>0</v>
      </c>
      <c r="J1410" s="6">
        <f t="shared" si="79"/>
        <v>0</v>
      </c>
      <c r="L1410" s="4" t="str">
        <f>IFERROR(VLOOKUP(ROWS($L$2:L1410),$B$2:$C$1996,2,0),"")</f>
        <v/>
      </c>
      <c r="N1410" s="2" t="str">
        <f>IFERROR(VLOOKUP(ROWS($N$2:N1410),$D$2:$E$1996,2,0),"")</f>
        <v/>
      </c>
    </row>
    <row r="1411" spans="2:14">
      <c r="B1411" s="32">
        <f>IF(ISNUMBER(SEARCH('Φόρμα Εισαγωγής'!$B$2,C1411)),MAX($B$1:B1410)+1,0)</f>
        <v>0</v>
      </c>
      <c r="D1411" s="33">
        <f>IF(ISNUMBER(SEARCH('Φόρμα Εισαγωγής'!$C$2,E1411)),MAX($D$1:D1410)+1,0)</f>
        <v>0</v>
      </c>
      <c r="H1411" s="6">
        <f t="shared" si="77"/>
        <v>0</v>
      </c>
      <c r="I1411" s="6">
        <f t="shared" si="78"/>
        <v>0</v>
      </c>
      <c r="J1411" s="6">
        <f t="shared" si="79"/>
        <v>0</v>
      </c>
      <c r="L1411" s="4" t="str">
        <f>IFERROR(VLOOKUP(ROWS($L$2:L1411),$B$2:$C$1996,2,0),"")</f>
        <v/>
      </c>
      <c r="N1411" s="2" t="str">
        <f>IFERROR(VLOOKUP(ROWS($N$2:N1411),$D$2:$E$1996,2,0),"")</f>
        <v/>
      </c>
    </row>
    <row r="1412" spans="2:14">
      <c r="B1412" s="32">
        <f>IF(ISNUMBER(SEARCH('Φόρμα Εισαγωγής'!$B$2,C1412)),MAX($B$1:B1411)+1,0)</f>
        <v>0</v>
      </c>
      <c r="D1412" s="33">
        <f>IF(ISNUMBER(SEARCH('Φόρμα Εισαγωγής'!$C$2,E1412)),MAX($D$1:D1411)+1,0)</f>
        <v>0</v>
      </c>
      <c r="H1412" s="6">
        <f t="shared" si="77"/>
        <v>0</v>
      </c>
      <c r="I1412" s="6">
        <f t="shared" si="78"/>
        <v>0</v>
      </c>
      <c r="J1412" s="6">
        <f t="shared" si="79"/>
        <v>0</v>
      </c>
      <c r="L1412" s="4" t="str">
        <f>IFERROR(VLOOKUP(ROWS($L$2:L1412),$B$2:$C$1996,2,0),"")</f>
        <v/>
      </c>
      <c r="N1412" s="2" t="str">
        <f>IFERROR(VLOOKUP(ROWS($N$2:N1412),$D$2:$E$1996,2,0),"")</f>
        <v/>
      </c>
    </row>
    <row r="1413" spans="2:14">
      <c r="B1413" s="32">
        <f>IF(ISNUMBER(SEARCH('Φόρμα Εισαγωγής'!$B$2,C1413)),MAX($B$1:B1412)+1,0)</f>
        <v>0</v>
      </c>
      <c r="D1413" s="33">
        <f>IF(ISNUMBER(SEARCH('Φόρμα Εισαγωγής'!$C$2,E1413)),MAX($D$1:D1412)+1,0)</f>
        <v>0</v>
      </c>
      <c r="H1413" s="6">
        <f t="shared" si="77"/>
        <v>0</v>
      </c>
      <c r="I1413" s="6">
        <f t="shared" si="78"/>
        <v>0</v>
      </c>
      <c r="J1413" s="6">
        <f t="shared" si="79"/>
        <v>0</v>
      </c>
      <c r="L1413" s="4" t="str">
        <f>IFERROR(VLOOKUP(ROWS($L$2:L1413),$B$2:$C$1996,2,0),"")</f>
        <v/>
      </c>
      <c r="N1413" s="2" t="str">
        <f>IFERROR(VLOOKUP(ROWS($N$2:N1413),$D$2:$E$1996,2,0),"")</f>
        <v/>
      </c>
    </row>
    <row r="1414" spans="2:14">
      <c r="B1414" s="32">
        <f>IF(ISNUMBER(SEARCH('Φόρμα Εισαγωγής'!$B$2,C1414)),MAX($B$1:B1413)+1,0)</f>
        <v>0</v>
      </c>
      <c r="D1414" s="33">
        <f>IF(ISNUMBER(SEARCH('Φόρμα Εισαγωγής'!$C$2,E1414)),MAX($D$1:D1413)+1,0)</f>
        <v>0</v>
      </c>
      <c r="H1414" s="6">
        <f t="shared" si="77"/>
        <v>0</v>
      </c>
      <c r="I1414" s="6">
        <f t="shared" si="78"/>
        <v>0</v>
      </c>
      <c r="J1414" s="6">
        <f t="shared" si="79"/>
        <v>0</v>
      </c>
      <c r="L1414" s="4" t="str">
        <f>IFERROR(VLOOKUP(ROWS($L$2:L1414),$B$2:$C$1996,2,0),"")</f>
        <v/>
      </c>
      <c r="N1414" s="2" t="str">
        <f>IFERROR(VLOOKUP(ROWS($N$2:N1414),$D$2:$E$1996,2,0),"")</f>
        <v/>
      </c>
    </row>
    <row r="1415" spans="2:14">
      <c r="B1415" s="32">
        <f>IF(ISNUMBER(SEARCH('Φόρμα Εισαγωγής'!$B$2,C1415)),MAX($B$1:B1414)+1,0)</f>
        <v>0</v>
      </c>
      <c r="D1415" s="33">
        <f>IF(ISNUMBER(SEARCH('Φόρμα Εισαγωγής'!$C$2,E1415)),MAX($D$1:D1414)+1,0)</f>
        <v>0</v>
      </c>
      <c r="H1415" s="6">
        <f t="shared" si="77"/>
        <v>0</v>
      </c>
      <c r="I1415" s="6">
        <f t="shared" si="78"/>
        <v>0</v>
      </c>
      <c r="J1415" s="6">
        <f t="shared" si="79"/>
        <v>0</v>
      </c>
      <c r="L1415" s="4" t="str">
        <f>IFERROR(VLOOKUP(ROWS($L$2:L1415),$B$2:$C$1996,2,0),"")</f>
        <v/>
      </c>
      <c r="N1415" s="2" t="str">
        <f>IFERROR(VLOOKUP(ROWS($N$2:N1415),$D$2:$E$1996,2,0),"")</f>
        <v/>
      </c>
    </row>
    <row r="1416" spans="2:14">
      <c r="B1416" s="32">
        <f>IF(ISNUMBER(SEARCH('Φόρμα Εισαγωγής'!$B$2,C1416)),MAX($B$1:B1415)+1,0)</f>
        <v>0</v>
      </c>
      <c r="D1416" s="33">
        <f>IF(ISNUMBER(SEARCH('Φόρμα Εισαγωγής'!$C$2,E1416)),MAX($D$1:D1415)+1,0)</f>
        <v>0</v>
      </c>
      <c r="H1416" s="6">
        <f t="shared" si="77"/>
        <v>0</v>
      </c>
      <c r="I1416" s="6">
        <f t="shared" si="78"/>
        <v>0</v>
      </c>
      <c r="J1416" s="6">
        <f t="shared" si="79"/>
        <v>0</v>
      </c>
      <c r="L1416" s="4" t="str">
        <f>IFERROR(VLOOKUP(ROWS($L$2:L1416),$B$2:$C$1996,2,0),"")</f>
        <v/>
      </c>
      <c r="N1416" s="2" t="str">
        <f>IFERROR(VLOOKUP(ROWS($N$2:N1416),$D$2:$E$1996,2,0),"")</f>
        <v/>
      </c>
    </row>
    <row r="1417" spans="2:14">
      <c r="B1417" s="32">
        <f>IF(ISNUMBER(SEARCH('Φόρμα Εισαγωγής'!$B$2,C1417)),MAX($B$1:B1416)+1,0)</f>
        <v>0</v>
      </c>
      <c r="D1417" s="33">
        <f>IF(ISNUMBER(SEARCH('Φόρμα Εισαγωγής'!$C$2,E1417)),MAX($D$1:D1416)+1,0)</f>
        <v>0</v>
      </c>
      <c r="H1417" s="6">
        <f t="shared" si="77"/>
        <v>0</v>
      </c>
      <c r="I1417" s="6">
        <f t="shared" si="78"/>
        <v>0</v>
      </c>
      <c r="J1417" s="6">
        <f t="shared" si="79"/>
        <v>0</v>
      </c>
      <c r="L1417" s="4" t="str">
        <f>IFERROR(VLOOKUP(ROWS($L$2:L1417),$B$2:$C$1996,2,0),"")</f>
        <v/>
      </c>
      <c r="N1417" s="2" t="str">
        <f>IFERROR(VLOOKUP(ROWS($N$2:N1417),$D$2:$E$1996,2,0),"")</f>
        <v/>
      </c>
    </row>
    <row r="1418" spans="2:14">
      <c r="B1418" s="32">
        <f>IF(ISNUMBER(SEARCH('Φόρμα Εισαγωγής'!$B$2,C1418)),MAX($B$1:B1417)+1,0)</f>
        <v>0</v>
      </c>
      <c r="D1418" s="33">
        <f>IF(ISNUMBER(SEARCH('Φόρμα Εισαγωγής'!$C$2,E1418)),MAX($D$1:D1417)+1,0)</f>
        <v>0</v>
      </c>
      <c r="H1418" s="6">
        <f t="shared" si="77"/>
        <v>0</v>
      </c>
      <c r="I1418" s="6">
        <f t="shared" si="78"/>
        <v>0</v>
      </c>
      <c r="J1418" s="6">
        <f t="shared" si="79"/>
        <v>0</v>
      </c>
      <c r="L1418" s="4" t="str">
        <f>IFERROR(VLOOKUP(ROWS($L$2:L1418),$B$2:$C$1996,2,0),"")</f>
        <v/>
      </c>
      <c r="N1418" s="2" t="str">
        <f>IFERROR(VLOOKUP(ROWS($N$2:N1418),$D$2:$E$1996,2,0),"")</f>
        <v/>
      </c>
    </row>
    <row r="1419" spans="2:14">
      <c r="B1419" s="32">
        <f>IF(ISNUMBER(SEARCH('Φόρμα Εισαγωγής'!$B$2,C1419)),MAX($B$1:B1418)+1,0)</f>
        <v>0</v>
      </c>
      <c r="D1419" s="33">
        <f>IF(ISNUMBER(SEARCH('Φόρμα Εισαγωγής'!$C$2,E1419)),MAX($D$1:D1418)+1,0)</f>
        <v>0</v>
      </c>
      <c r="H1419" s="6">
        <f t="shared" si="77"/>
        <v>0</v>
      </c>
      <c r="I1419" s="6">
        <f t="shared" si="78"/>
        <v>0</v>
      </c>
      <c r="J1419" s="6">
        <f t="shared" si="79"/>
        <v>0</v>
      </c>
      <c r="L1419" s="4" t="str">
        <f>IFERROR(VLOOKUP(ROWS($L$2:L1419),$B$2:$C$1996,2,0),"")</f>
        <v/>
      </c>
      <c r="N1419" s="2" t="str">
        <f>IFERROR(VLOOKUP(ROWS($N$2:N1419),$D$2:$E$1996,2,0),"")</f>
        <v/>
      </c>
    </row>
    <row r="1420" spans="2:14">
      <c r="B1420" s="32">
        <f>IF(ISNUMBER(SEARCH('Φόρμα Εισαγωγής'!$B$2,C1420)),MAX($B$1:B1419)+1,0)</f>
        <v>0</v>
      </c>
      <c r="D1420" s="33">
        <f>IF(ISNUMBER(SEARCH('Φόρμα Εισαγωγής'!$C$2,E1420)),MAX($D$1:D1419)+1,0)</f>
        <v>0</v>
      </c>
      <c r="H1420" s="6">
        <f t="shared" si="77"/>
        <v>0</v>
      </c>
      <c r="I1420" s="6">
        <f t="shared" si="78"/>
        <v>0</v>
      </c>
      <c r="J1420" s="6">
        <f t="shared" si="79"/>
        <v>0</v>
      </c>
      <c r="L1420" s="4" t="str">
        <f>IFERROR(VLOOKUP(ROWS($L$2:L1420),$B$2:$C$1996,2,0),"")</f>
        <v/>
      </c>
      <c r="N1420" s="2" t="str">
        <f>IFERROR(VLOOKUP(ROWS($N$2:N1420),$D$2:$E$1996,2,0),"")</f>
        <v/>
      </c>
    </row>
    <row r="1421" spans="2:14">
      <c r="B1421" s="32">
        <f>IF(ISNUMBER(SEARCH('Φόρμα Εισαγωγής'!$B$2,C1421)),MAX($B$1:B1420)+1,0)</f>
        <v>0</v>
      </c>
      <c r="D1421" s="33">
        <f>IF(ISNUMBER(SEARCH('Φόρμα Εισαγωγής'!$C$2,E1421)),MAX($D$1:D1420)+1,0)</f>
        <v>0</v>
      </c>
      <c r="H1421" s="6">
        <f t="shared" si="77"/>
        <v>0</v>
      </c>
      <c r="I1421" s="6">
        <f t="shared" si="78"/>
        <v>0</v>
      </c>
      <c r="J1421" s="6">
        <f t="shared" si="79"/>
        <v>0</v>
      </c>
      <c r="L1421" s="4" t="str">
        <f>IFERROR(VLOOKUP(ROWS($L$2:L1421),$B$2:$C$1996,2,0),"")</f>
        <v/>
      </c>
      <c r="N1421" s="2" t="str">
        <f>IFERROR(VLOOKUP(ROWS($N$2:N1421),$D$2:$E$1996,2,0),"")</f>
        <v/>
      </c>
    </row>
    <row r="1422" spans="2:14">
      <c r="B1422" s="32">
        <f>IF(ISNUMBER(SEARCH('Φόρμα Εισαγωγής'!$B$2,C1422)),MAX($B$1:B1421)+1,0)</f>
        <v>0</v>
      </c>
      <c r="D1422" s="33">
        <f>IF(ISNUMBER(SEARCH('Φόρμα Εισαγωγής'!$C$2,E1422)),MAX($D$1:D1421)+1,0)</f>
        <v>0</v>
      </c>
      <c r="H1422" s="6">
        <f t="shared" si="77"/>
        <v>0</v>
      </c>
      <c r="I1422" s="6">
        <f t="shared" si="78"/>
        <v>0</v>
      </c>
      <c r="J1422" s="6">
        <f t="shared" si="79"/>
        <v>0</v>
      </c>
      <c r="L1422" s="4" t="str">
        <f>IFERROR(VLOOKUP(ROWS($L$2:L1422),$B$2:$C$1996,2,0),"")</f>
        <v/>
      </c>
      <c r="N1422" s="2" t="str">
        <f>IFERROR(VLOOKUP(ROWS($N$2:N1422),$D$2:$E$1996,2,0),"")</f>
        <v/>
      </c>
    </row>
    <row r="1423" spans="2:14">
      <c r="B1423" s="32">
        <f>IF(ISNUMBER(SEARCH('Φόρμα Εισαγωγής'!$B$2,C1423)),MAX($B$1:B1422)+1,0)</f>
        <v>0</v>
      </c>
      <c r="D1423" s="33">
        <f>IF(ISNUMBER(SEARCH('Φόρμα Εισαγωγής'!$C$2,E1423)),MAX($D$1:D1422)+1,0)</f>
        <v>0</v>
      </c>
      <c r="H1423" s="6">
        <f t="shared" si="77"/>
        <v>0</v>
      </c>
      <c r="I1423" s="6">
        <f t="shared" si="78"/>
        <v>0</v>
      </c>
      <c r="J1423" s="6">
        <f t="shared" si="79"/>
        <v>0</v>
      </c>
      <c r="L1423" s="4" t="str">
        <f>IFERROR(VLOOKUP(ROWS($L$2:L1423),$B$2:$C$1996,2,0),"")</f>
        <v/>
      </c>
      <c r="N1423" s="2" t="str">
        <f>IFERROR(VLOOKUP(ROWS($N$2:N1423),$D$2:$E$1996,2,0),"")</f>
        <v/>
      </c>
    </row>
    <row r="1424" spans="2:14">
      <c r="B1424" s="32">
        <f>IF(ISNUMBER(SEARCH('Φόρμα Εισαγωγής'!$B$2,C1424)),MAX($B$1:B1423)+1,0)</f>
        <v>0</v>
      </c>
      <c r="D1424" s="33">
        <f>IF(ISNUMBER(SEARCH('Φόρμα Εισαγωγής'!$C$2,E1424)),MAX($D$1:D1423)+1,0)</f>
        <v>0</v>
      </c>
      <c r="H1424" s="6">
        <f t="shared" si="77"/>
        <v>0</v>
      </c>
      <c r="I1424" s="6">
        <f t="shared" si="78"/>
        <v>0</v>
      </c>
      <c r="J1424" s="6">
        <f t="shared" si="79"/>
        <v>0</v>
      </c>
      <c r="L1424" s="4" t="str">
        <f>IFERROR(VLOOKUP(ROWS($L$2:L1424),$B$2:$C$1996,2,0),"")</f>
        <v/>
      </c>
      <c r="N1424" s="2" t="str">
        <f>IFERROR(VLOOKUP(ROWS($N$2:N1424),$D$2:$E$1996,2,0),"")</f>
        <v/>
      </c>
    </row>
    <row r="1425" spans="2:14">
      <c r="B1425" s="32">
        <f>IF(ISNUMBER(SEARCH('Φόρμα Εισαγωγής'!$B$2,C1425)),MAX($B$1:B1424)+1,0)</f>
        <v>0</v>
      </c>
      <c r="D1425" s="33">
        <f>IF(ISNUMBER(SEARCH('Φόρμα Εισαγωγής'!$C$2,E1425)),MAX($D$1:D1424)+1,0)</f>
        <v>0</v>
      </c>
      <c r="H1425" s="6">
        <f t="shared" si="77"/>
        <v>0</v>
      </c>
      <c r="I1425" s="6">
        <f t="shared" si="78"/>
        <v>0</v>
      </c>
      <c r="J1425" s="6">
        <f t="shared" si="79"/>
        <v>0</v>
      </c>
      <c r="L1425" s="4" t="str">
        <f>IFERROR(VLOOKUP(ROWS($L$2:L1425),$B$2:$C$1996,2,0),"")</f>
        <v/>
      </c>
      <c r="N1425" s="2" t="str">
        <f>IFERROR(VLOOKUP(ROWS($N$2:N1425),$D$2:$E$1996,2,0),"")</f>
        <v/>
      </c>
    </row>
    <row r="1426" spans="2:14">
      <c r="B1426" s="32">
        <f>IF(ISNUMBER(SEARCH('Φόρμα Εισαγωγής'!$B$2,C1426)),MAX($B$1:B1425)+1,0)</f>
        <v>0</v>
      </c>
      <c r="D1426" s="33">
        <f>IF(ISNUMBER(SEARCH('Φόρμα Εισαγωγής'!$C$2,E1426)),MAX($D$1:D1425)+1,0)</f>
        <v>0</v>
      </c>
      <c r="H1426" s="6">
        <f t="shared" si="77"/>
        <v>0</v>
      </c>
      <c r="I1426" s="6">
        <f t="shared" si="78"/>
        <v>0</v>
      </c>
      <c r="J1426" s="6">
        <f t="shared" si="79"/>
        <v>0</v>
      </c>
      <c r="L1426" s="4" t="str">
        <f>IFERROR(VLOOKUP(ROWS($L$2:L1426),$B$2:$C$1996,2,0),"")</f>
        <v/>
      </c>
      <c r="N1426" s="2" t="str">
        <f>IFERROR(VLOOKUP(ROWS($N$2:N1426),$D$2:$E$1996,2,0),"")</f>
        <v/>
      </c>
    </row>
    <row r="1427" spans="2:14">
      <c r="B1427" s="32">
        <f>IF(ISNUMBER(SEARCH('Φόρμα Εισαγωγής'!$B$2,C1427)),MAX($B$1:B1426)+1,0)</f>
        <v>0</v>
      </c>
      <c r="D1427" s="33">
        <f>IF(ISNUMBER(SEARCH('Φόρμα Εισαγωγής'!$C$2,E1427)),MAX($D$1:D1426)+1,0)</f>
        <v>0</v>
      </c>
      <c r="H1427" s="6">
        <f t="shared" si="77"/>
        <v>0</v>
      </c>
      <c r="I1427" s="6">
        <f t="shared" si="78"/>
        <v>0</v>
      </c>
      <c r="J1427" s="6">
        <f t="shared" si="79"/>
        <v>0</v>
      </c>
      <c r="L1427" s="4" t="str">
        <f>IFERROR(VLOOKUP(ROWS($L$2:L1427),$B$2:$C$1996,2,0),"")</f>
        <v/>
      </c>
      <c r="N1427" s="2" t="str">
        <f>IFERROR(VLOOKUP(ROWS($N$2:N1427),$D$2:$E$1996,2,0),"")</f>
        <v/>
      </c>
    </row>
    <row r="1428" spans="2:14">
      <c r="B1428" s="32">
        <f>IF(ISNUMBER(SEARCH('Φόρμα Εισαγωγής'!$B$2,C1428)),MAX($B$1:B1427)+1,0)</f>
        <v>0</v>
      </c>
      <c r="D1428" s="33">
        <f>IF(ISNUMBER(SEARCH('Φόρμα Εισαγωγής'!$C$2,E1428)),MAX($D$1:D1427)+1,0)</f>
        <v>0</v>
      </c>
      <c r="H1428" s="6">
        <f t="shared" si="77"/>
        <v>0</v>
      </c>
      <c r="I1428" s="6">
        <f t="shared" si="78"/>
        <v>0</v>
      </c>
      <c r="J1428" s="6">
        <f t="shared" si="79"/>
        <v>0</v>
      </c>
      <c r="L1428" s="4" t="str">
        <f>IFERROR(VLOOKUP(ROWS($L$2:L1428),$B$2:$C$1996,2,0),"")</f>
        <v/>
      </c>
      <c r="N1428" s="2" t="str">
        <f>IFERROR(VLOOKUP(ROWS($N$2:N1428),$D$2:$E$1996,2,0),"")</f>
        <v/>
      </c>
    </row>
    <row r="1429" spans="2:14">
      <c r="B1429" s="32">
        <f>IF(ISNUMBER(SEARCH('Φόρμα Εισαγωγής'!$B$2,C1429)),MAX($B$1:B1428)+1,0)</f>
        <v>0</v>
      </c>
      <c r="D1429" s="33">
        <f>IF(ISNUMBER(SEARCH('Φόρμα Εισαγωγής'!$C$2,E1429)),MAX($D$1:D1428)+1,0)</f>
        <v>0</v>
      </c>
      <c r="H1429" s="6">
        <f t="shared" si="77"/>
        <v>0</v>
      </c>
      <c r="I1429" s="6">
        <f t="shared" si="78"/>
        <v>0</v>
      </c>
      <c r="J1429" s="6">
        <f t="shared" si="79"/>
        <v>0</v>
      </c>
      <c r="L1429" s="4" t="str">
        <f>IFERROR(VLOOKUP(ROWS($L$2:L1429),$B$2:$C$1996,2,0),"")</f>
        <v/>
      </c>
      <c r="N1429" s="2" t="str">
        <f>IFERROR(VLOOKUP(ROWS($N$2:N1429),$D$2:$E$1996,2,0),"")</f>
        <v/>
      </c>
    </row>
    <row r="1430" spans="2:14">
      <c r="B1430" s="32">
        <f>IF(ISNUMBER(SEARCH('Φόρμα Εισαγωγής'!$B$2,C1430)),MAX($B$1:B1429)+1,0)</f>
        <v>0</v>
      </c>
      <c r="D1430" s="33">
        <f>IF(ISNUMBER(SEARCH('Φόρμα Εισαγωγής'!$C$2,E1430)),MAX($D$1:D1429)+1,0)</f>
        <v>0</v>
      </c>
      <c r="H1430" s="6">
        <f t="shared" si="77"/>
        <v>0</v>
      </c>
      <c r="I1430" s="6">
        <f t="shared" si="78"/>
        <v>0</v>
      </c>
      <c r="J1430" s="6">
        <f t="shared" si="79"/>
        <v>0</v>
      </c>
      <c r="L1430" s="4" t="str">
        <f>IFERROR(VLOOKUP(ROWS($L$2:L1430),$B$2:$C$1996,2,0),"")</f>
        <v/>
      </c>
      <c r="N1430" s="2" t="str">
        <f>IFERROR(VLOOKUP(ROWS($N$2:N1430),$D$2:$E$1996,2,0),"")</f>
        <v/>
      </c>
    </row>
    <row r="1431" spans="2:14">
      <c r="B1431" s="32">
        <f>IF(ISNUMBER(SEARCH('Φόρμα Εισαγωγής'!$B$2,C1431)),MAX($B$1:B1430)+1,0)</f>
        <v>0</v>
      </c>
      <c r="D1431" s="33">
        <f>IF(ISNUMBER(SEARCH('Φόρμα Εισαγωγής'!$C$2,E1431)),MAX($D$1:D1430)+1,0)</f>
        <v>0</v>
      </c>
      <c r="H1431" s="6">
        <f t="shared" si="77"/>
        <v>0</v>
      </c>
      <c r="I1431" s="6">
        <f t="shared" si="78"/>
        <v>0</v>
      </c>
      <c r="J1431" s="6">
        <f t="shared" si="79"/>
        <v>0</v>
      </c>
      <c r="L1431" s="4" t="str">
        <f>IFERROR(VLOOKUP(ROWS($L$2:L1431),$B$2:$C$1996,2,0),"")</f>
        <v/>
      </c>
      <c r="N1431" s="2" t="str">
        <f>IFERROR(VLOOKUP(ROWS($N$2:N1431),$D$2:$E$1996,2,0),"")</f>
        <v/>
      </c>
    </row>
    <row r="1432" spans="2:14">
      <c r="B1432" s="32">
        <f>IF(ISNUMBER(SEARCH('Φόρμα Εισαγωγής'!$B$2,C1432)),MAX($B$1:B1431)+1,0)</f>
        <v>0</v>
      </c>
      <c r="D1432" s="33">
        <f>IF(ISNUMBER(SEARCH('Φόρμα Εισαγωγής'!$C$2,E1432)),MAX($D$1:D1431)+1,0)</f>
        <v>0</v>
      </c>
      <c r="H1432" s="6">
        <f t="shared" si="77"/>
        <v>0</v>
      </c>
      <c r="I1432" s="6">
        <f t="shared" si="78"/>
        <v>0</v>
      </c>
      <c r="J1432" s="6">
        <f t="shared" si="79"/>
        <v>0</v>
      </c>
      <c r="L1432" s="4" t="str">
        <f>IFERROR(VLOOKUP(ROWS($L$2:L1432),$B$2:$C$1996,2,0),"")</f>
        <v/>
      </c>
      <c r="N1432" s="2" t="str">
        <f>IFERROR(VLOOKUP(ROWS($N$2:N1432),$D$2:$E$1996,2,0),"")</f>
        <v/>
      </c>
    </row>
    <row r="1433" spans="2:14">
      <c r="B1433" s="32">
        <f>IF(ISNUMBER(SEARCH('Φόρμα Εισαγωγής'!$B$2,C1433)),MAX($B$1:B1432)+1,0)</f>
        <v>0</v>
      </c>
      <c r="D1433" s="33">
        <f>IF(ISNUMBER(SEARCH('Φόρμα Εισαγωγής'!$C$2,E1433)),MAX($D$1:D1432)+1,0)</f>
        <v>0</v>
      </c>
      <c r="H1433" s="6">
        <f t="shared" si="77"/>
        <v>0</v>
      </c>
      <c r="I1433" s="6">
        <f t="shared" si="78"/>
        <v>0</v>
      </c>
      <c r="J1433" s="6">
        <f t="shared" si="79"/>
        <v>0</v>
      </c>
      <c r="L1433" s="4" t="str">
        <f>IFERROR(VLOOKUP(ROWS($L$2:L1433),$B$2:$C$1996,2,0),"")</f>
        <v/>
      </c>
      <c r="N1433" s="2" t="str">
        <f>IFERROR(VLOOKUP(ROWS($N$2:N1433),$D$2:$E$1996,2,0),"")</f>
        <v/>
      </c>
    </row>
    <row r="1434" spans="2:14">
      <c r="B1434" s="32">
        <f>IF(ISNUMBER(SEARCH('Φόρμα Εισαγωγής'!$B$2,C1434)),MAX($B$1:B1433)+1,0)</f>
        <v>0</v>
      </c>
      <c r="D1434" s="33">
        <f>IF(ISNUMBER(SEARCH('Φόρμα Εισαγωγής'!$C$2,E1434)),MAX($D$1:D1433)+1,0)</f>
        <v>0</v>
      </c>
      <c r="H1434" s="6">
        <f t="shared" si="77"/>
        <v>0</v>
      </c>
      <c r="I1434" s="6">
        <f t="shared" si="78"/>
        <v>0</v>
      </c>
      <c r="J1434" s="6">
        <f t="shared" si="79"/>
        <v>0</v>
      </c>
      <c r="L1434" s="4" t="str">
        <f>IFERROR(VLOOKUP(ROWS($L$2:L1434),$B$2:$C$1996,2,0),"")</f>
        <v/>
      </c>
      <c r="N1434" s="2" t="str">
        <f>IFERROR(VLOOKUP(ROWS($N$2:N1434),$D$2:$E$1996,2,0),"")</f>
        <v/>
      </c>
    </row>
    <row r="1435" spans="2:14">
      <c r="B1435" s="32">
        <f>IF(ISNUMBER(SEARCH('Φόρμα Εισαγωγής'!$B$2,C1435)),MAX($B$1:B1434)+1,0)</f>
        <v>0</v>
      </c>
      <c r="D1435" s="33">
        <f>IF(ISNUMBER(SEARCH('Φόρμα Εισαγωγής'!$C$2,E1435)),MAX($D$1:D1434)+1,0)</f>
        <v>0</v>
      </c>
      <c r="H1435" s="6">
        <f t="shared" si="77"/>
        <v>0</v>
      </c>
      <c r="I1435" s="6">
        <f t="shared" si="78"/>
        <v>0</v>
      </c>
      <c r="J1435" s="6">
        <f t="shared" si="79"/>
        <v>0</v>
      </c>
      <c r="L1435" s="4" t="str">
        <f>IFERROR(VLOOKUP(ROWS($L$2:L1435),$B$2:$C$1996,2,0),"")</f>
        <v/>
      </c>
      <c r="N1435" s="2" t="str">
        <f>IFERROR(VLOOKUP(ROWS($N$2:N1435),$D$2:$E$1996,2,0),"")</f>
        <v/>
      </c>
    </row>
    <row r="1436" spans="2:14">
      <c r="B1436" s="32">
        <f>IF(ISNUMBER(SEARCH('Φόρμα Εισαγωγής'!$B$2,C1436)),MAX($B$1:B1435)+1,0)</f>
        <v>0</v>
      </c>
      <c r="D1436" s="33">
        <f>IF(ISNUMBER(SEARCH('Φόρμα Εισαγωγής'!$C$2,E1436)),MAX($D$1:D1435)+1,0)</f>
        <v>0</v>
      </c>
      <c r="H1436" s="6">
        <f t="shared" si="77"/>
        <v>0</v>
      </c>
      <c r="I1436" s="6">
        <f t="shared" si="78"/>
        <v>0</v>
      </c>
      <c r="J1436" s="6">
        <f t="shared" si="79"/>
        <v>0</v>
      </c>
      <c r="L1436" s="4" t="str">
        <f>IFERROR(VLOOKUP(ROWS($L$2:L1436),$B$2:$C$1996,2,0),"")</f>
        <v/>
      </c>
      <c r="N1436" s="2" t="str">
        <f>IFERROR(VLOOKUP(ROWS($N$2:N1436),$D$2:$E$1996,2,0),"")</f>
        <v/>
      </c>
    </row>
    <row r="1437" spans="2:14">
      <c r="B1437" s="32">
        <f>IF(ISNUMBER(SEARCH('Φόρμα Εισαγωγής'!$B$2,C1437)),MAX($B$1:B1436)+1,0)</f>
        <v>0</v>
      </c>
      <c r="D1437" s="33">
        <f>IF(ISNUMBER(SEARCH('Φόρμα Εισαγωγής'!$C$2,E1437)),MAX($D$1:D1436)+1,0)</f>
        <v>0</v>
      </c>
      <c r="H1437" s="6">
        <f t="shared" si="77"/>
        <v>0</v>
      </c>
      <c r="I1437" s="6">
        <f t="shared" si="78"/>
        <v>0</v>
      </c>
      <c r="J1437" s="6">
        <f t="shared" si="79"/>
        <v>0</v>
      </c>
      <c r="L1437" s="4" t="str">
        <f>IFERROR(VLOOKUP(ROWS($L$2:L1437),$B$2:$C$1996,2,0),"")</f>
        <v/>
      </c>
      <c r="N1437" s="2" t="str">
        <f>IFERROR(VLOOKUP(ROWS($N$2:N1437),$D$2:$E$1996,2,0),"")</f>
        <v/>
      </c>
    </row>
    <row r="1438" spans="2:14">
      <c r="B1438" s="32">
        <f>IF(ISNUMBER(SEARCH('Φόρμα Εισαγωγής'!$B$2,C1438)),MAX($B$1:B1437)+1,0)</f>
        <v>0</v>
      </c>
      <c r="D1438" s="33">
        <f>IF(ISNUMBER(SEARCH('Φόρμα Εισαγωγής'!$C$2,E1438)),MAX($D$1:D1437)+1,0)</f>
        <v>0</v>
      </c>
      <c r="H1438" s="6">
        <f t="shared" si="77"/>
        <v>0</v>
      </c>
      <c r="I1438" s="6">
        <f t="shared" si="78"/>
        <v>0</v>
      </c>
      <c r="J1438" s="6">
        <f t="shared" si="79"/>
        <v>0</v>
      </c>
      <c r="L1438" s="4" t="str">
        <f>IFERROR(VLOOKUP(ROWS($L$2:L1438),$B$2:$C$1996,2,0),"")</f>
        <v/>
      </c>
      <c r="N1438" s="2" t="str">
        <f>IFERROR(VLOOKUP(ROWS($N$2:N1438),$D$2:$E$1996,2,0),"")</f>
        <v/>
      </c>
    </row>
    <row r="1439" spans="2:14">
      <c r="B1439" s="32">
        <f>IF(ISNUMBER(SEARCH('Φόρμα Εισαγωγής'!$B$2,C1439)),MAX($B$1:B1438)+1,0)</f>
        <v>0</v>
      </c>
      <c r="D1439" s="33">
        <f>IF(ISNUMBER(SEARCH('Φόρμα Εισαγωγής'!$C$2,E1439)),MAX($D$1:D1438)+1,0)</f>
        <v>0</v>
      </c>
      <c r="H1439" s="6">
        <f t="shared" si="77"/>
        <v>0</v>
      </c>
      <c r="I1439" s="6">
        <f t="shared" si="78"/>
        <v>0</v>
      </c>
      <c r="J1439" s="6">
        <f t="shared" si="79"/>
        <v>0</v>
      </c>
      <c r="L1439" s="4" t="str">
        <f>IFERROR(VLOOKUP(ROWS($L$2:L1439),$B$2:$C$1996,2,0),"")</f>
        <v/>
      </c>
      <c r="N1439" s="2" t="str">
        <f>IFERROR(VLOOKUP(ROWS($N$2:N1439),$D$2:$E$1996,2,0),"")</f>
        <v/>
      </c>
    </row>
    <row r="1440" spans="2:14">
      <c r="B1440" s="32">
        <f>IF(ISNUMBER(SEARCH('Φόρμα Εισαγωγής'!$B$2,C1440)),MAX($B$1:B1439)+1,0)</f>
        <v>0</v>
      </c>
      <c r="D1440" s="33">
        <f>IF(ISNUMBER(SEARCH('Φόρμα Εισαγωγής'!$C$2,E1440)),MAX($D$1:D1439)+1,0)</f>
        <v>0</v>
      </c>
      <c r="H1440" s="6">
        <f t="shared" si="77"/>
        <v>0</v>
      </c>
      <c r="I1440" s="6">
        <f t="shared" si="78"/>
        <v>0</v>
      </c>
      <c r="J1440" s="6">
        <f t="shared" si="79"/>
        <v>0</v>
      </c>
      <c r="L1440" s="4" t="str">
        <f>IFERROR(VLOOKUP(ROWS($L$2:L1440),$B$2:$C$1996,2,0),"")</f>
        <v/>
      </c>
      <c r="N1440" s="2" t="str">
        <f>IFERROR(VLOOKUP(ROWS($N$2:N1440),$D$2:$E$1996,2,0),"")</f>
        <v/>
      </c>
    </row>
    <row r="1441" spans="2:14">
      <c r="B1441" s="32">
        <f>IF(ISNUMBER(SEARCH('Φόρμα Εισαγωγής'!$B$2,C1441)),MAX($B$1:B1440)+1,0)</f>
        <v>0</v>
      </c>
      <c r="D1441" s="33">
        <f>IF(ISNUMBER(SEARCH('Φόρμα Εισαγωγής'!$C$2,E1441)),MAX($D$1:D1440)+1,0)</f>
        <v>0</v>
      </c>
      <c r="H1441" s="6">
        <f t="shared" si="77"/>
        <v>0</v>
      </c>
      <c r="I1441" s="6">
        <f t="shared" si="78"/>
        <v>0</v>
      </c>
      <c r="J1441" s="6">
        <f t="shared" si="79"/>
        <v>0</v>
      </c>
      <c r="L1441" s="4" t="str">
        <f>IFERROR(VLOOKUP(ROWS($L$2:L1441),$B$2:$C$1996,2,0),"")</f>
        <v/>
      </c>
      <c r="N1441" s="2" t="str">
        <f>IFERROR(VLOOKUP(ROWS($N$2:N1441),$D$2:$E$1996,2,0),"")</f>
        <v/>
      </c>
    </row>
    <row r="1442" spans="2:14">
      <c r="B1442" s="32">
        <f>IF(ISNUMBER(SEARCH('Φόρμα Εισαγωγής'!$B$2,C1442)),MAX($B$1:B1441)+1,0)</f>
        <v>0</v>
      </c>
      <c r="D1442" s="33">
        <f>IF(ISNUMBER(SEARCH('Φόρμα Εισαγωγής'!$C$2,E1442)),MAX($D$1:D1441)+1,0)</f>
        <v>0</v>
      </c>
      <c r="H1442" s="6">
        <f t="shared" si="77"/>
        <v>0</v>
      </c>
      <c r="I1442" s="6">
        <f t="shared" si="78"/>
        <v>0</v>
      </c>
      <c r="J1442" s="6">
        <f t="shared" si="79"/>
        <v>0</v>
      </c>
      <c r="L1442" s="4" t="str">
        <f>IFERROR(VLOOKUP(ROWS($L$2:L1442),$B$2:$C$1996,2,0),"")</f>
        <v/>
      </c>
      <c r="N1442" s="2" t="str">
        <f>IFERROR(VLOOKUP(ROWS($N$2:N1442),$D$2:$E$1996,2,0),"")</f>
        <v/>
      </c>
    </row>
    <row r="1443" spans="2:14">
      <c r="B1443" s="32">
        <f>IF(ISNUMBER(SEARCH('Φόρμα Εισαγωγής'!$B$2,C1443)),MAX($B$1:B1442)+1,0)</f>
        <v>0</v>
      </c>
      <c r="D1443" s="33">
        <f>IF(ISNUMBER(SEARCH('Φόρμα Εισαγωγής'!$C$2,E1443)),MAX($D$1:D1442)+1,0)</f>
        <v>0</v>
      </c>
      <c r="H1443" s="6">
        <f t="shared" si="77"/>
        <v>0</v>
      </c>
      <c r="I1443" s="6">
        <f t="shared" si="78"/>
        <v>0</v>
      </c>
      <c r="J1443" s="6">
        <f t="shared" si="79"/>
        <v>0</v>
      </c>
      <c r="L1443" s="4" t="str">
        <f>IFERROR(VLOOKUP(ROWS($L$2:L1443),$B$2:$C$1996,2,0),"")</f>
        <v/>
      </c>
      <c r="N1443" s="2" t="str">
        <f>IFERROR(VLOOKUP(ROWS($N$2:N1443),$D$2:$E$1996,2,0),"")</f>
        <v/>
      </c>
    </row>
    <row r="1444" spans="2:14">
      <c r="B1444" s="32">
        <f>IF(ISNUMBER(SEARCH('Φόρμα Εισαγωγής'!$B$2,C1444)),MAX($B$1:B1443)+1,0)</f>
        <v>0</v>
      </c>
      <c r="D1444" s="33">
        <f>IF(ISNUMBER(SEARCH('Φόρμα Εισαγωγής'!$C$2,E1444)),MAX($D$1:D1443)+1,0)</f>
        <v>0</v>
      </c>
      <c r="H1444" s="6">
        <f t="shared" si="77"/>
        <v>0</v>
      </c>
      <c r="I1444" s="6">
        <f t="shared" si="78"/>
        <v>0</v>
      </c>
      <c r="J1444" s="6">
        <f t="shared" si="79"/>
        <v>0</v>
      </c>
      <c r="L1444" s="4" t="str">
        <f>IFERROR(VLOOKUP(ROWS($L$2:L1444),$B$2:$C$1996,2,0),"")</f>
        <v/>
      </c>
      <c r="N1444" s="2" t="str">
        <f>IFERROR(VLOOKUP(ROWS($N$2:N1444),$D$2:$E$1996,2,0),"")</f>
        <v/>
      </c>
    </row>
    <row r="1445" spans="2:14">
      <c r="B1445" s="32">
        <f>IF(ISNUMBER(SEARCH('Φόρμα Εισαγωγής'!$B$2,C1445)),MAX($B$1:B1444)+1,0)</f>
        <v>0</v>
      </c>
      <c r="D1445" s="33">
        <f>IF(ISNUMBER(SEARCH('Φόρμα Εισαγωγής'!$C$2,E1445)),MAX($D$1:D1444)+1,0)</f>
        <v>0</v>
      </c>
      <c r="H1445" s="6">
        <f t="shared" si="77"/>
        <v>0</v>
      </c>
      <c r="I1445" s="6">
        <f t="shared" si="78"/>
        <v>0</v>
      </c>
      <c r="J1445" s="6">
        <f t="shared" si="79"/>
        <v>0</v>
      </c>
      <c r="L1445" s="4" t="str">
        <f>IFERROR(VLOOKUP(ROWS($L$2:L1445),$B$2:$C$1996,2,0),"")</f>
        <v/>
      </c>
      <c r="N1445" s="2" t="str">
        <f>IFERROR(VLOOKUP(ROWS($N$2:N1445),$D$2:$E$1996,2,0),"")</f>
        <v/>
      </c>
    </row>
    <row r="1446" spans="2:14">
      <c r="B1446" s="32">
        <f>IF(ISNUMBER(SEARCH('Φόρμα Εισαγωγής'!$B$2,C1446)),MAX($B$1:B1445)+1,0)</f>
        <v>0</v>
      </c>
      <c r="D1446" s="33">
        <f>IF(ISNUMBER(SEARCH('Φόρμα Εισαγωγής'!$C$2,E1446)),MAX($D$1:D1445)+1,0)</f>
        <v>0</v>
      </c>
      <c r="H1446" s="6">
        <f t="shared" si="77"/>
        <v>0</v>
      </c>
      <c r="I1446" s="6">
        <f t="shared" si="78"/>
        <v>0</v>
      </c>
      <c r="J1446" s="6">
        <f t="shared" si="79"/>
        <v>0</v>
      </c>
      <c r="L1446" s="4" t="str">
        <f>IFERROR(VLOOKUP(ROWS($L$2:L1446),$B$2:$C$1996,2,0),"")</f>
        <v/>
      </c>
      <c r="N1446" s="2" t="str">
        <f>IFERROR(VLOOKUP(ROWS($N$2:N1446),$D$2:$E$1996,2,0),"")</f>
        <v/>
      </c>
    </row>
    <row r="1447" spans="2:14">
      <c r="B1447" s="32">
        <f>IF(ISNUMBER(SEARCH('Φόρμα Εισαγωγής'!$B$2,C1447)),MAX($B$1:B1446)+1,0)</f>
        <v>0</v>
      </c>
      <c r="D1447" s="33">
        <f>IF(ISNUMBER(SEARCH('Φόρμα Εισαγωγής'!$C$2,E1447)),MAX($D$1:D1446)+1,0)</f>
        <v>0</v>
      </c>
      <c r="H1447" s="6">
        <f t="shared" si="77"/>
        <v>0</v>
      </c>
      <c r="I1447" s="6">
        <f t="shared" si="78"/>
        <v>0</v>
      </c>
      <c r="J1447" s="6">
        <f t="shared" si="79"/>
        <v>0</v>
      </c>
      <c r="L1447" s="4" t="str">
        <f>IFERROR(VLOOKUP(ROWS($L$2:L1447),$B$2:$C$1996,2,0),"")</f>
        <v/>
      </c>
      <c r="N1447" s="2" t="str">
        <f>IFERROR(VLOOKUP(ROWS($N$2:N1447),$D$2:$E$1996,2,0),"")</f>
        <v/>
      </c>
    </row>
    <row r="1448" spans="2:14">
      <c r="B1448" s="32">
        <f>IF(ISNUMBER(SEARCH('Φόρμα Εισαγωγής'!$B$2,C1448)),MAX($B$1:B1447)+1,0)</f>
        <v>0</v>
      </c>
      <c r="D1448" s="33">
        <f>IF(ISNUMBER(SEARCH('Φόρμα Εισαγωγής'!$C$2,E1448)),MAX($D$1:D1447)+1,0)</f>
        <v>0</v>
      </c>
      <c r="H1448" s="6">
        <f t="shared" si="77"/>
        <v>0</v>
      </c>
      <c r="I1448" s="6">
        <f t="shared" si="78"/>
        <v>0</v>
      </c>
      <c r="J1448" s="6">
        <f t="shared" si="79"/>
        <v>0</v>
      </c>
      <c r="L1448" s="4" t="str">
        <f>IFERROR(VLOOKUP(ROWS($L$2:L1448),$B$2:$C$1996,2,0),"")</f>
        <v/>
      </c>
      <c r="N1448" s="2" t="str">
        <f>IFERROR(VLOOKUP(ROWS($N$2:N1448),$D$2:$E$1996,2,0),"")</f>
        <v/>
      </c>
    </row>
    <row r="1449" spans="2:14">
      <c r="B1449" s="32">
        <f>IF(ISNUMBER(SEARCH('Φόρμα Εισαγωγής'!$B$2,C1449)),MAX($B$1:B1448)+1,0)</f>
        <v>0</v>
      </c>
      <c r="D1449" s="33">
        <f>IF(ISNUMBER(SEARCH('Φόρμα Εισαγωγής'!$C$2,E1449)),MAX($D$1:D1448)+1,0)</f>
        <v>0</v>
      </c>
      <c r="H1449" s="6">
        <f t="shared" si="77"/>
        <v>0</v>
      </c>
      <c r="I1449" s="6">
        <f t="shared" si="78"/>
        <v>0</v>
      </c>
      <c r="J1449" s="6">
        <f t="shared" si="79"/>
        <v>0</v>
      </c>
      <c r="L1449" s="4" t="str">
        <f>IFERROR(VLOOKUP(ROWS($L$2:L1449),$B$2:$C$1996,2,0),"")</f>
        <v/>
      </c>
      <c r="N1449" s="2" t="str">
        <f>IFERROR(VLOOKUP(ROWS($N$2:N1449),$D$2:$E$1996,2,0),"")</f>
        <v/>
      </c>
    </row>
    <row r="1450" spans="2:14">
      <c r="B1450" s="32">
        <f>IF(ISNUMBER(SEARCH('Φόρμα Εισαγωγής'!$B$2,C1450)),MAX($B$1:B1449)+1,0)</f>
        <v>0</v>
      </c>
      <c r="D1450" s="33">
        <f>IF(ISNUMBER(SEARCH('Φόρμα Εισαγωγής'!$C$2,E1450)),MAX($D$1:D1449)+1,0)</f>
        <v>0</v>
      </c>
      <c r="H1450" s="6">
        <f t="shared" si="77"/>
        <v>0</v>
      </c>
      <c r="I1450" s="6">
        <f t="shared" si="78"/>
        <v>0</v>
      </c>
      <c r="J1450" s="6">
        <f t="shared" si="79"/>
        <v>0</v>
      </c>
      <c r="L1450" s="4" t="str">
        <f>IFERROR(VLOOKUP(ROWS($L$2:L1450),$B$2:$C$1996,2,0),"")</f>
        <v/>
      </c>
      <c r="N1450" s="2" t="str">
        <f>IFERROR(VLOOKUP(ROWS($N$2:N1450),$D$2:$E$1996,2,0),"")</f>
        <v/>
      </c>
    </row>
    <row r="1451" spans="2:14">
      <c r="B1451" s="32">
        <f>IF(ISNUMBER(SEARCH('Φόρμα Εισαγωγής'!$B$2,C1451)),MAX($B$1:B1450)+1,0)</f>
        <v>0</v>
      </c>
      <c r="D1451" s="33">
        <f>IF(ISNUMBER(SEARCH('Φόρμα Εισαγωγής'!$C$2,E1451)),MAX($D$1:D1450)+1,0)</f>
        <v>0</v>
      </c>
      <c r="H1451" s="6">
        <f t="shared" si="77"/>
        <v>0</v>
      </c>
      <c r="I1451" s="6">
        <f t="shared" si="78"/>
        <v>0</v>
      </c>
      <c r="J1451" s="6">
        <f t="shared" si="79"/>
        <v>0</v>
      </c>
      <c r="L1451" s="4" t="str">
        <f>IFERROR(VLOOKUP(ROWS($L$2:L1451),$B$2:$C$1996,2,0),"")</f>
        <v/>
      </c>
      <c r="N1451" s="2" t="str">
        <f>IFERROR(VLOOKUP(ROWS($N$2:N1451),$D$2:$E$1996,2,0),"")</f>
        <v/>
      </c>
    </row>
    <row r="1452" spans="2:14">
      <c r="B1452" s="32">
        <f>IF(ISNUMBER(SEARCH('Φόρμα Εισαγωγής'!$B$2,C1452)),MAX($B$1:B1451)+1,0)</f>
        <v>0</v>
      </c>
      <c r="D1452" s="33">
        <f>IF(ISNUMBER(SEARCH('Φόρμα Εισαγωγής'!$C$2,E1452)),MAX($D$1:D1451)+1,0)</f>
        <v>0</v>
      </c>
      <c r="H1452" s="6">
        <f t="shared" si="77"/>
        <v>0</v>
      </c>
      <c r="I1452" s="6">
        <f t="shared" si="78"/>
        <v>0</v>
      </c>
      <c r="J1452" s="6">
        <f t="shared" si="79"/>
        <v>0</v>
      </c>
      <c r="L1452" s="4" t="str">
        <f>IFERROR(VLOOKUP(ROWS($L$2:L1452),$B$2:$C$1996,2,0),"")</f>
        <v/>
      </c>
      <c r="N1452" s="2" t="str">
        <f>IFERROR(VLOOKUP(ROWS($N$2:N1452),$D$2:$E$1996,2,0),"")</f>
        <v/>
      </c>
    </row>
    <row r="1453" spans="2:14">
      <c r="B1453" s="32">
        <f>IF(ISNUMBER(SEARCH('Φόρμα Εισαγωγής'!$B$2,C1453)),MAX($B$1:B1452)+1,0)</f>
        <v>0</v>
      </c>
      <c r="D1453" s="33">
        <f>IF(ISNUMBER(SEARCH('Φόρμα Εισαγωγής'!$C$2,E1453)),MAX($D$1:D1452)+1,0)</f>
        <v>0</v>
      </c>
      <c r="H1453" s="6">
        <f t="shared" si="77"/>
        <v>0</v>
      </c>
      <c r="I1453" s="6">
        <f t="shared" si="78"/>
        <v>0</v>
      </c>
      <c r="J1453" s="6">
        <f t="shared" si="79"/>
        <v>0</v>
      </c>
      <c r="L1453" s="4" t="str">
        <f>IFERROR(VLOOKUP(ROWS($L$2:L1453),$B$2:$C$1996,2,0),"")</f>
        <v/>
      </c>
      <c r="N1453" s="2" t="str">
        <f>IFERROR(VLOOKUP(ROWS($N$2:N1453),$D$2:$E$1996,2,0),"")</f>
        <v/>
      </c>
    </row>
    <row r="1454" spans="2:14">
      <c r="B1454" s="32">
        <f>IF(ISNUMBER(SEARCH('Φόρμα Εισαγωγής'!$B$2,C1454)),MAX($B$1:B1453)+1,0)</f>
        <v>0</v>
      </c>
      <c r="D1454" s="33">
        <f>IF(ISNUMBER(SEARCH('Φόρμα Εισαγωγής'!$C$2,E1454)),MAX($D$1:D1453)+1,0)</f>
        <v>0</v>
      </c>
      <c r="H1454" s="6">
        <f t="shared" si="77"/>
        <v>0</v>
      </c>
      <c r="I1454" s="6">
        <f t="shared" si="78"/>
        <v>0</v>
      </c>
      <c r="J1454" s="6">
        <f t="shared" si="79"/>
        <v>0</v>
      </c>
      <c r="L1454" s="4" t="str">
        <f>IFERROR(VLOOKUP(ROWS($L$2:L1454),$B$2:$C$1996,2,0),"")</f>
        <v/>
      </c>
      <c r="N1454" s="2" t="str">
        <f>IFERROR(VLOOKUP(ROWS($N$2:N1454),$D$2:$E$1996,2,0),"")</f>
        <v/>
      </c>
    </row>
    <row r="1455" spans="2:14">
      <c r="B1455" s="32">
        <f>IF(ISNUMBER(SEARCH('Φόρμα Εισαγωγής'!$B$2,C1455)),MAX($B$1:B1454)+1,0)</f>
        <v>0</v>
      </c>
      <c r="D1455" s="33">
        <f>IF(ISNUMBER(SEARCH('Φόρμα Εισαγωγής'!$C$2,E1455)),MAX($D$1:D1454)+1,0)</f>
        <v>0</v>
      </c>
      <c r="H1455" s="6">
        <f t="shared" si="77"/>
        <v>0</v>
      </c>
      <c r="I1455" s="6">
        <f t="shared" si="78"/>
        <v>0</v>
      </c>
      <c r="J1455" s="6">
        <f t="shared" si="79"/>
        <v>0</v>
      </c>
      <c r="L1455" s="4" t="str">
        <f>IFERROR(VLOOKUP(ROWS($L$2:L1455),$B$2:$C$1996,2,0),"")</f>
        <v/>
      </c>
      <c r="N1455" s="2" t="str">
        <f>IFERROR(VLOOKUP(ROWS($N$2:N1455),$D$2:$E$1996,2,0),"")</f>
        <v/>
      </c>
    </row>
    <row r="1456" spans="2:14">
      <c r="B1456" s="32">
        <f>IF(ISNUMBER(SEARCH('Φόρμα Εισαγωγής'!$B$2,C1456)),MAX($B$1:B1455)+1,0)</f>
        <v>0</v>
      </c>
      <c r="D1456" s="33">
        <f>IF(ISNUMBER(SEARCH('Φόρμα Εισαγωγής'!$C$2,E1456)),MAX($D$1:D1455)+1,0)</f>
        <v>0</v>
      </c>
      <c r="H1456" s="6">
        <f t="shared" si="77"/>
        <v>0</v>
      </c>
      <c r="I1456" s="6">
        <f t="shared" si="78"/>
        <v>0</v>
      </c>
      <c r="J1456" s="6">
        <f t="shared" si="79"/>
        <v>0</v>
      </c>
      <c r="L1456" s="4" t="str">
        <f>IFERROR(VLOOKUP(ROWS($L$2:L1456),$B$2:$C$1996,2,0),"")</f>
        <v/>
      </c>
      <c r="N1456" s="2" t="str">
        <f>IFERROR(VLOOKUP(ROWS($N$2:N1456),$D$2:$E$1996,2,0),"")</f>
        <v/>
      </c>
    </row>
    <row r="1457" spans="2:14">
      <c r="B1457" s="32">
        <f>IF(ISNUMBER(SEARCH('Φόρμα Εισαγωγής'!$B$2,C1457)),MAX($B$1:B1456)+1,0)</f>
        <v>0</v>
      </c>
      <c r="D1457" s="33">
        <f>IF(ISNUMBER(SEARCH('Φόρμα Εισαγωγής'!$C$2,E1457)),MAX($D$1:D1456)+1,0)</f>
        <v>0</v>
      </c>
      <c r="H1457" s="6">
        <f t="shared" si="77"/>
        <v>0</v>
      </c>
      <c r="I1457" s="6">
        <f t="shared" si="78"/>
        <v>0</v>
      </c>
      <c r="J1457" s="6">
        <f t="shared" si="79"/>
        <v>0</v>
      </c>
      <c r="L1457" s="4" t="str">
        <f>IFERROR(VLOOKUP(ROWS($L$2:L1457),$B$2:$C$1996,2,0),"")</f>
        <v/>
      </c>
      <c r="N1457" s="2" t="str">
        <f>IFERROR(VLOOKUP(ROWS($N$2:N1457),$D$2:$E$1996,2,0),"")</f>
        <v/>
      </c>
    </row>
    <row r="1458" spans="2:14">
      <c r="B1458" s="32">
        <f>IF(ISNUMBER(SEARCH('Φόρμα Εισαγωγής'!$B$2,C1458)),MAX($B$1:B1457)+1,0)</f>
        <v>0</v>
      </c>
      <c r="D1458" s="33">
        <f>IF(ISNUMBER(SEARCH('Φόρμα Εισαγωγής'!$C$2,E1458)),MAX($D$1:D1457)+1,0)</f>
        <v>0</v>
      </c>
      <c r="H1458" s="6">
        <f t="shared" si="77"/>
        <v>0</v>
      </c>
      <c r="I1458" s="6">
        <f t="shared" si="78"/>
        <v>0</v>
      </c>
      <c r="J1458" s="6">
        <f t="shared" si="79"/>
        <v>0</v>
      </c>
      <c r="L1458" s="4" t="str">
        <f>IFERROR(VLOOKUP(ROWS($L$2:L1458),$B$2:$C$1996,2,0),"")</f>
        <v/>
      </c>
      <c r="N1458" s="2" t="str">
        <f>IFERROR(VLOOKUP(ROWS($N$2:N1458),$D$2:$E$1996,2,0),"")</f>
        <v/>
      </c>
    </row>
    <row r="1459" spans="2:14">
      <c r="B1459" s="32">
        <f>IF(ISNUMBER(SEARCH('Φόρμα Εισαγωγής'!$B$2,C1459)),MAX($B$1:B1458)+1,0)</f>
        <v>0</v>
      </c>
      <c r="D1459" s="33">
        <f>IF(ISNUMBER(SEARCH('Φόρμα Εισαγωγής'!$C$2,E1459)),MAX($D$1:D1458)+1,0)</f>
        <v>0</v>
      </c>
      <c r="H1459" s="6">
        <f t="shared" si="77"/>
        <v>0</v>
      </c>
      <c r="I1459" s="6">
        <f t="shared" si="78"/>
        <v>0</v>
      </c>
      <c r="J1459" s="6">
        <f t="shared" si="79"/>
        <v>0</v>
      </c>
      <c r="L1459" s="4" t="str">
        <f>IFERROR(VLOOKUP(ROWS($L$2:L1459),$B$2:$C$1996,2,0),"")</f>
        <v/>
      </c>
      <c r="N1459" s="2" t="str">
        <f>IFERROR(VLOOKUP(ROWS($N$2:N1459),$D$2:$E$1996,2,0),"")</f>
        <v/>
      </c>
    </row>
    <row r="1460" spans="2:14">
      <c r="B1460" s="32">
        <f>IF(ISNUMBER(SEARCH('Φόρμα Εισαγωγής'!$B$2,C1460)),MAX($B$1:B1459)+1,0)</f>
        <v>0</v>
      </c>
      <c r="D1460" s="33">
        <f>IF(ISNUMBER(SEARCH('Φόρμα Εισαγωγής'!$C$2,E1460)),MAX($D$1:D1459)+1,0)</f>
        <v>0</v>
      </c>
      <c r="H1460" s="6">
        <f t="shared" si="77"/>
        <v>0</v>
      </c>
      <c r="I1460" s="6">
        <f t="shared" si="78"/>
        <v>0</v>
      </c>
      <c r="J1460" s="6">
        <f t="shared" si="79"/>
        <v>0</v>
      </c>
      <c r="L1460" s="4" t="str">
        <f>IFERROR(VLOOKUP(ROWS($L$2:L1460),$B$2:$C$1996,2,0),"")</f>
        <v/>
      </c>
      <c r="N1460" s="2" t="str">
        <f>IFERROR(VLOOKUP(ROWS($N$2:N1460),$D$2:$E$1996,2,0),"")</f>
        <v/>
      </c>
    </row>
    <row r="1461" spans="2:14">
      <c r="B1461" s="32">
        <f>IF(ISNUMBER(SEARCH('Φόρμα Εισαγωγής'!$B$2,C1461)),MAX($B$1:B1460)+1,0)</f>
        <v>0</v>
      </c>
      <c r="D1461" s="33">
        <f>IF(ISNUMBER(SEARCH('Φόρμα Εισαγωγής'!$C$2,E1461)),MAX($D$1:D1460)+1,0)</f>
        <v>0</v>
      </c>
      <c r="H1461" s="6">
        <f t="shared" si="77"/>
        <v>0</v>
      </c>
      <c r="I1461" s="6">
        <f t="shared" si="78"/>
        <v>0</v>
      </c>
      <c r="J1461" s="6">
        <f t="shared" si="79"/>
        <v>0</v>
      </c>
      <c r="L1461" s="4" t="str">
        <f>IFERROR(VLOOKUP(ROWS($L$2:L1461),$B$2:$C$1996,2,0),"")</f>
        <v/>
      </c>
      <c r="N1461" s="2" t="str">
        <f>IFERROR(VLOOKUP(ROWS($N$2:N1461),$D$2:$E$1996,2,0),"")</f>
        <v/>
      </c>
    </row>
    <row r="1462" spans="2:14">
      <c r="B1462" s="32">
        <f>IF(ISNUMBER(SEARCH('Φόρμα Εισαγωγής'!$B$2,C1462)),MAX($B$1:B1461)+1,0)</f>
        <v>0</v>
      </c>
      <c r="D1462" s="33">
        <f>IF(ISNUMBER(SEARCH('Φόρμα Εισαγωγής'!$C$2,E1462)),MAX($D$1:D1461)+1,0)</f>
        <v>0</v>
      </c>
      <c r="H1462" s="6">
        <f t="shared" si="77"/>
        <v>0</v>
      </c>
      <c r="I1462" s="6">
        <f t="shared" si="78"/>
        <v>0</v>
      </c>
      <c r="J1462" s="6">
        <f t="shared" si="79"/>
        <v>0</v>
      </c>
      <c r="L1462" s="4" t="str">
        <f>IFERROR(VLOOKUP(ROWS($L$2:L1462),$B$2:$C$1996,2,0),"")</f>
        <v/>
      </c>
      <c r="N1462" s="2" t="str">
        <f>IFERROR(VLOOKUP(ROWS($N$2:N1462),$D$2:$E$1996,2,0),"")</f>
        <v/>
      </c>
    </row>
    <row r="1463" spans="2:14">
      <c r="B1463" s="32">
        <f>IF(ISNUMBER(SEARCH('Φόρμα Εισαγωγής'!$B$2,C1463)),MAX($B$1:B1462)+1,0)</f>
        <v>0</v>
      </c>
      <c r="D1463" s="33">
        <f>IF(ISNUMBER(SEARCH('Φόρμα Εισαγωγής'!$C$2,E1463)),MAX($D$1:D1462)+1,0)</f>
        <v>0</v>
      </c>
      <c r="H1463" s="6">
        <f t="shared" si="77"/>
        <v>0</v>
      </c>
      <c r="I1463" s="6">
        <f t="shared" si="78"/>
        <v>0</v>
      </c>
      <c r="J1463" s="6">
        <f t="shared" si="79"/>
        <v>0</v>
      </c>
      <c r="L1463" s="4" t="str">
        <f>IFERROR(VLOOKUP(ROWS($L$2:L1463),$B$2:$C$1996,2,0),"")</f>
        <v/>
      </c>
      <c r="N1463" s="2" t="str">
        <f>IFERROR(VLOOKUP(ROWS($N$2:N1463),$D$2:$E$1996,2,0),"")</f>
        <v/>
      </c>
    </row>
    <row r="1464" spans="2:14">
      <c r="B1464" s="32">
        <f>IF(ISNUMBER(SEARCH('Φόρμα Εισαγωγής'!$B$2,C1464)),MAX($B$1:B1463)+1,0)</f>
        <v>0</v>
      </c>
      <c r="D1464" s="33">
        <f>IF(ISNUMBER(SEARCH('Φόρμα Εισαγωγής'!$C$2,E1464)),MAX($D$1:D1463)+1,0)</f>
        <v>0</v>
      </c>
      <c r="H1464" s="6">
        <f t="shared" si="77"/>
        <v>0</v>
      </c>
      <c r="I1464" s="6">
        <f t="shared" si="78"/>
        <v>0</v>
      </c>
      <c r="J1464" s="6">
        <f t="shared" si="79"/>
        <v>0</v>
      </c>
      <c r="L1464" s="4" t="str">
        <f>IFERROR(VLOOKUP(ROWS($L$2:L1464),$B$2:$C$1996,2,0),"")</f>
        <v/>
      </c>
      <c r="N1464" s="2" t="str">
        <f>IFERROR(VLOOKUP(ROWS($N$2:N1464),$D$2:$E$1996,2,0),"")</f>
        <v/>
      </c>
    </row>
    <row r="1465" spans="2:14">
      <c r="B1465" s="32">
        <f>IF(ISNUMBER(SEARCH('Φόρμα Εισαγωγής'!$B$2,C1465)),MAX($B$1:B1464)+1,0)</f>
        <v>0</v>
      </c>
      <c r="D1465" s="33">
        <f>IF(ISNUMBER(SEARCH('Φόρμα Εισαγωγής'!$C$2,E1465)),MAX($D$1:D1464)+1,0)</f>
        <v>0</v>
      </c>
      <c r="H1465" s="6">
        <f t="shared" si="77"/>
        <v>0</v>
      </c>
      <c r="I1465" s="6">
        <f t="shared" si="78"/>
        <v>0</v>
      </c>
      <c r="J1465" s="6">
        <f t="shared" si="79"/>
        <v>0</v>
      </c>
      <c r="L1465" s="4" t="str">
        <f>IFERROR(VLOOKUP(ROWS($L$2:L1465),$B$2:$C$1996,2,0),"")</f>
        <v/>
      </c>
      <c r="N1465" s="2" t="str">
        <f>IFERROR(VLOOKUP(ROWS($N$2:N1465),$D$2:$E$1996,2,0),"")</f>
        <v/>
      </c>
    </row>
    <row r="1466" spans="2:14">
      <c r="B1466" s="32">
        <f>IF(ISNUMBER(SEARCH('Φόρμα Εισαγωγής'!$B$2,C1466)),MAX($B$1:B1465)+1,0)</f>
        <v>0</v>
      </c>
      <c r="D1466" s="33">
        <f>IF(ISNUMBER(SEARCH('Φόρμα Εισαγωγής'!$C$2,E1466)),MAX($D$1:D1465)+1,0)</f>
        <v>0</v>
      </c>
      <c r="H1466" s="6">
        <f t="shared" si="77"/>
        <v>0</v>
      </c>
      <c r="I1466" s="6">
        <f t="shared" si="78"/>
        <v>0</v>
      </c>
      <c r="J1466" s="6">
        <f t="shared" si="79"/>
        <v>0</v>
      </c>
      <c r="L1466" s="4" t="str">
        <f>IFERROR(VLOOKUP(ROWS($L$2:L1466),$B$2:$C$1996,2,0),"")</f>
        <v/>
      </c>
      <c r="N1466" s="2" t="str">
        <f>IFERROR(VLOOKUP(ROWS($N$2:N1466),$D$2:$E$1996,2,0),"")</f>
        <v/>
      </c>
    </row>
    <row r="1467" spans="2:14">
      <c r="B1467" s="32">
        <f>IF(ISNUMBER(SEARCH('Φόρμα Εισαγωγής'!$B$2,C1467)),MAX($B$1:B1466)+1,0)</f>
        <v>0</v>
      </c>
      <c r="D1467" s="33">
        <f>IF(ISNUMBER(SEARCH('Φόρμα Εισαγωγής'!$C$2,E1467)),MAX($D$1:D1466)+1,0)</f>
        <v>0</v>
      </c>
      <c r="H1467" s="6">
        <f t="shared" si="77"/>
        <v>0</v>
      </c>
      <c r="I1467" s="6">
        <f t="shared" si="78"/>
        <v>0</v>
      </c>
      <c r="J1467" s="6">
        <f t="shared" si="79"/>
        <v>0</v>
      </c>
      <c r="L1467" s="4" t="str">
        <f>IFERROR(VLOOKUP(ROWS($L$2:L1467),$B$2:$C$1996,2,0),"")</f>
        <v/>
      </c>
      <c r="N1467" s="2" t="str">
        <f>IFERROR(VLOOKUP(ROWS($N$2:N1467),$D$2:$E$1996,2,0),"")</f>
        <v/>
      </c>
    </row>
    <row r="1468" spans="2:14">
      <c r="B1468" s="32">
        <f>IF(ISNUMBER(SEARCH('Φόρμα Εισαγωγής'!$B$2,C1468)),MAX($B$1:B1467)+1,0)</f>
        <v>0</v>
      </c>
      <c r="D1468" s="33">
        <f>IF(ISNUMBER(SEARCH('Φόρμα Εισαγωγής'!$C$2,E1468)),MAX($D$1:D1467)+1,0)</f>
        <v>0</v>
      </c>
      <c r="H1468" s="6">
        <f t="shared" si="77"/>
        <v>0</v>
      </c>
      <c r="I1468" s="6">
        <f t="shared" si="78"/>
        <v>0</v>
      </c>
      <c r="J1468" s="6">
        <f t="shared" si="79"/>
        <v>0</v>
      </c>
      <c r="L1468" s="4" t="str">
        <f>IFERROR(VLOOKUP(ROWS($L$2:L1468),$B$2:$C$1996,2,0),"")</f>
        <v/>
      </c>
      <c r="N1468" s="2" t="str">
        <f>IFERROR(VLOOKUP(ROWS($N$2:N1468),$D$2:$E$1996,2,0),"")</f>
        <v/>
      </c>
    </row>
    <row r="1469" spans="2:14">
      <c r="B1469" s="32">
        <f>IF(ISNUMBER(SEARCH('Φόρμα Εισαγωγής'!$B$2,C1469)),MAX($B$1:B1468)+1,0)</f>
        <v>0</v>
      </c>
      <c r="D1469" s="33">
        <f>IF(ISNUMBER(SEARCH('Φόρμα Εισαγωγής'!$C$2,E1469)),MAX($D$1:D1468)+1,0)</f>
        <v>0</v>
      </c>
      <c r="H1469" s="6">
        <f t="shared" si="77"/>
        <v>0</v>
      </c>
      <c r="I1469" s="6">
        <f t="shared" si="78"/>
        <v>0</v>
      </c>
      <c r="J1469" s="6">
        <f t="shared" si="79"/>
        <v>0</v>
      </c>
      <c r="L1469" s="4" t="str">
        <f>IFERROR(VLOOKUP(ROWS($L$2:L1469),$B$2:$C$1996,2,0),"")</f>
        <v/>
      </c>
      <c r="N1469" s="2" t="str">
        <f>IFERROR(VLOOKUP(ROWS($N$2:N1469),$D$2:$E$1996,2,0),"")</f>
        <v/>
      </c>
    </row>
    <row r="1470" spans="2:14">
      <c r="B1470" s="32">
        <f>IF(ISNUMBER(SEARCH('Φόρμα Εισαγωγής'!$B$2,C1470)),MAX($B$1:B1469)+1,0)</f>
        <v>0</v>
      </c>
      <c r="D1470" s="33">
        <f>IF(ISNUMBER(SEARCH('Φόρμα Εισαγωγής'!$C$2,E1470)),MAX($D$1:D1469)+1,0)</f>
        <v>0</v>
      </c>
      <c r="H1470" s="6">
        <f t="shared" si="77"/>
        <v>0</v>
      </c>
      <c r="I1470" s="6">
        <f t="shared" si="78"/>
        <v>0</v>
      </c>
      <c r="J1470" s="6">
        <f t="shared" si="79"/>
        <v>0</v>
      </c>
      <c r="L1470" s="4" t="str">
        <f>IFERROR(VLOOKUP(ROWS($L$2:L1470),$B$2:$C$1996,2,0),"")</f>
        <v/>
      </c>
      <c r="N1470" s="2" t="str">
        <f>IFERROR(VLOOKUP(ROWS($N$2:N1470),$D$2:$E$1996,2,0),"")</f>
        <v/>
      </c>
    </row>
    <row r="1471" spans="2:14">
      <c r="B1471" s="32">
        <f>IF(ISNUMBER(SEARCH('Φόρμα Εισαγωγής'!$B$2,C1471)),MAX($B$1:B1470)+1,0)</f>
        <v>0</v>
      </c>
      <c r="D1471" s="33">
        <f>IF(ISNUMBER(SEARCH('Φόρμα Εισαγωγής'!$C$2,E1471)),MAX($D$1:D1470)+1,0)</f>
        <v>0</v>
      </c>
      <c r="H1471" s="6">
        <f t="shared" si="77"/>
        <v>0</v>
      </c>
      <c r="I1471" s="6">
        <f t="shared" si="78"/>
        <v>0</v>
      </c>
      <c r="J1471" s="6">
        <f t="shared" si="79"/>
        <v>0</v>
      </c>
      <c r="L1471" s="4" t="str">
        <f>IFERROR(VLOOKUP(ROWS($L$2:L1471),$B$2:$C$1996,2,0),"")</f>
        <v/>
      </c>
      <c r="N1471" s="2" t="str">
        <f>IFERROR(VLOOKUP(ROWS($N$2:N1471),$D$2:$E$1996,2,0),"")</f>
        <v/>
      </c>
    </row>
    <row r="1472" spans="2:14">
      <c r="B1472" s="32">
        <f>IF(ISNUMBER(SEARCH('Φόρμα Εισαγωγής'!$B$2,C1472)),MAX($B$1:B1471)+1,0)</f>
        <v>0</v>
      </c>
      <c r="D1472" s="33">
        <f>IF(ISNUMBER(SEARCH('Φόρμα Εισαγωγής'!$C$2,E1472)),MAX($D$1:D1471)+1,0)</f>
        <v>0</v>
      </c>
      <c r="H1472" s="6">
        <f t="shared" ref="H1472:H1535" si="80">G1472+(G1472*0.24)</f>
        <v>0</v>
      </c>
      <c r="I1472" s="6">
        <f t="shared" ref="I1472:I1535" si="81">F1472*A1472</f>
        <v>0</v>
      </c>
      <c r="J1472" s="6">
        <f t="shared" ref="J1472:J1535" si="82">H1472*A1472</f>
        <v>0</v>
      </c>
      <c r="L1472" s="4" t="str">
        <f>IFERROR(VLOOKUP(ROWS($L$2:L1472),$B$2:$C$1996,2,0),"")</f>
        <v/>
      </c>
      <c r="N1472" s="2" t="str">
        <f>IFERROR(VLOOKUP(ROWS($N$2:N1472),$D$2:$E$1996,2,0),"")</f>
        <v/>
      </c>
    </row>
    <row r="1473" spans="2:14">
      <c r="B1473" s="32">
        <f>IF(ISNUMBER(SEARCH('Φόρμα Εισαγωγής'!$B$2,C1473)),MAX($B$1:B1472)+1,0)</f>
        <v>0</v>
      </c>
      <c r="D1473" s="33">
        <f>IF(ISNUMBER(SEARCH('Φόρμα Εισαγωγής'!$C$2,E1473)),MAX($D$1:D1472)+1,0)</f>
        <v>0</v>
      </c>
      <c r="H1473" s="6">
        <f t="shared" si="80"/>
        <v>0</v>
      </c>
      <c r="I1473" s="6">
        <f t="shared" si="81"/>
        <v>0</v>
      </c>
      <c r="J1473" s="6">
        <f t="shared" si="82"/>
        <v>0</v>
      </c>
      <c r="L1473" s="4" t="str">
        <f>IFERROR(VLOOKUP(ROWS($L$2:L1473),$B$2:$C$1996,2,0),"")</f>
        <v/>
      </c>
      <c r="N1473" s="2" t="str">
        <f>IFERROR(VLOOKUP(ROWS($N$2:N1473),$D$2:$E$1996,2,0),"")</f>
        <v/>
      </c>
    </row>
    <row r="1474" spans="2:14">
      <c r="B1474" s="32">
        <f>IF(ISNUMBER(SEARCH('Φόρμα Εισαγωγής'!$B$2,C1474)),MAX($B$1:B1473)+1,0)</f>
        <v>0</v>
      </c>
      <c r="D1474" s="33">
        <f>IF(ISNUMBER(SEARCH('Φόρμα Εισαγωγής'!$C$2,E1474)),MAX($D$1:D1473)+1,0)</f>
        <v>0</v>
      </c>
      <c r="H1474" s="6">
        <f t="shared" si="80"/>
        <v>0</v>
      </c>
      <c r="I1474" s="6">
        <f t="shared" si="81"/>
        <v>0</v>
      </c>
      <c r="J1474" s="6">
        <f t="shared" si="82"/>
        <v>0</v>
      </c>
      <c r="L1474" s="4" t="str">
        <f>IFERROR(VLOOKUP(ROWS($L$2:L1474),$B$2:$C$1996,2,0),"")</f>
        <v/>
      </c>
      <c r="N1474" s="2" t="str">
        <f>IFERROR(VLOOKUP(ROWS($N$2:N1474),$D$2:$E$1996,2,0),"")</f>
        <v/>
      </c>
    </row>
    <row r="1475" spans="2:14">
      <c r="B1475" s="32">
        <f>IF(ISNUMBER(SEARCH('Φόρμα Εισαγωγής'!$B$2,C1475)),MAX($B$1:B1474)+1,0)</f>
        <v>0</v>
      </c>
      <c r="D1475" s="33">
        <f>IF(ISNUMBER(SEARCH('Φόρμα Εισαγωγής'!$C$2,E1475)),MAX($D$1:D1474)+1,0)</f>
        <v>0</v>
      </c>
      <c r="H1475" s="6">
        <f t="shared" si="80"/>
        <v>0</v>
      </c>
      <c r="I1475" s="6">
        <f t="shared" si="81"/>
        <v>0</v>
      </c>
      <c r="J1475" s="6">
        <f t="shared" si="82"/>
        <v>0</v>
      </c>
      <c r="L1475" s="4" t="str">
        <f>IFERROR(VLOOKUP(ROWS($L$2:L1475),$B$2:$C$1996,2,0),"")</f>
        <v/>
      </c>
      <c r="N1475" s="2" t="str">
        <f>IFERROR(VLOOKUP(ROWS($N$2:N1475),$D$2:$E$1996,2,0),"")</f>
        <v/>
      </c>
    </row>
    <row r="1476" spans="2:14">
      <c r="B1476" s="32">
        <f>IF(ISNUMBER(SEARCH('Φόρμα Εισαγωγής'!$B$2,C1476)),MAX($B$1:B1475)+1,0)</f>
        <v>0</v>
      </c>
      <c r="D1476" s="33">
        <f>IF(ISNUMBER(SEARCH('Φόρμα Εισαγωγής'!$C$2,E1476)),MAX($D$1:D1475)+1,0)</f>
        <v>0</v>
      </c>
      <c r="H1476" s="6">
        <f t="shared" si="80"/>
        <v>0</v>
      </c>
      <c r="I1476" s="6">
        <f t="shared" si="81"/>
        <v>0</v>
      </c>
      <c r="J1476" s="6">
        <f t="shared" si="82"/>
        <v>0</v>
      </c>
      <c r="L1476" s="4" t="str">
        <f>IFERROR(VLOOKUP(ROWS($L$2:L1476),$B$2:$C$1996,2,0),"")</f>
        <v/>
      </c>
      <c r="N1476" s="2" t="str">
        <f>IFERROR(VLOOKUP(ROWS($N$2:N1476),$D$2:$E$1996,2,0),"")</f>
        <v/>
      </c>
    </row>
    <row r="1477" spans="2:14">
      <c r="B1477" s="32">
        <f>IF(ISNUMBER(SEARCH('Φόρμα Εισαγωγής'!$B$2,C1477)),MAX($B$1:B1476)+1,0)</f>
        <v>0</v>
      </c>
      <c r="D1477" s="33">
        <f>IF(ISNUMBER(SEARCH('Φόρμα Εισαγωγής'!$C$2,E1477)),MAX($D$1:D1476)+1,0)</f>
        <v>0</v>
      </c>
      <c r="H1477" s="6">
        <f t="shared" si="80"/>
        <v>0</v>
      </c>
      <c r="I1477" s="6">
        <f t="shared" si="81"/>
        <v>0</v>
      </c>
      <c r="J1477" s="6">
        <f t="shared" si="82"/>
        <v>0</v>
      </c>
      <c r="L1477" s="4" t="str">
        <f>IFERROR(VLOOKUP(ROWS($L$2:L1477),$B$2:$C$1996,2,0),"")</f>
        <v/>
      </c>
      <c r="N1477" s="2" t="str">
        <f>IFERROR(VLOOKUP(ROWS($N$2:N1477),$D$2:$E$1996,2,0),"")</f>
        <v/>
      </c>
    </row>
    <row r="1478" spans="2:14">
      <c r="B1478" s="32">
        <f>IF(ISNUMBER(SEARCH('Φόρμα Εισαγωγής'!$B$2,C1478)),MAX($B$1:B1477)+1,0)</f>
        <v>0</v>
      </c>
      <c r="D1478" s="33">
        <f>IF(ISNUMBER(SEARCH('Φόρμα Εισαγωγής'!$C$2,E1478)),MAX($D$1:D1477)+1,0)</f>
        <v>0</v>
      </c>
      <c r="H1478" s="6">
        <f t="shared" si="80"/>
        <v>0</v>
      </c>
      <c r="I1478" s="6">
        <f t="shared" si="81"/>
        <v>0</v>
      </c>
      <c r="J1478" s="6">
        <f t="shared" si="82"/>
        <v>0</v>
      </c>
      <c r="L1478" s="4" t="str">
        <f>IFERROR(VLOOKUP(ROWS($L$2:L1478),$B$2:$C$1996,2,0),"")</f>
        <v/>
      </c>
      <c r="N1478" s="2" t="str">
        <f>IFERROR(VLOOKUP(ROWS($N$2:N1478),$D$2:$E$1996,2,0),"")</f>
        <v/>
      </c>
    </row>
    <row r="1479" spans="2:14">
      <c r="B1479" s="32">
        <f>IF(ISNUMBER(SEARCH('Φόρμα Εισαγωγής'!$B$2,C1479)),MAX($B$1:B1478)+1,0)</f>
        <v>0</v>
      </c>
      <c r="D1479" s="33">
        <f>IF(ISNUMBER(SEARCH('Φόρμα Εισαγωγής'!$C$2,E1479)),MAX($D$1:D1478)+1,0)</f>
        <v>0</v>
      </c>
      <c r="H1479" s="6">
        <f t="shared" si="80"/>
        <v>0</v>
      </c>
      <c r="I1479" s="6">
        <f t="shared" si="81"/>
        <v>0</v>
      </c>
      <c r="J1479" s="6">
        <f t="shared" si="82"/>
        <v>0</v>
      </c>
      <c r="L1479" s="4" t="str">
        <f>IFERROR(VLOOKUP(ROWS($L$2:L1479),$B$2:$C$1996,2,0),"")</f>
        <v/>
      </c>
      <c r="N1479" s="2" t="str">
        <f>IFERROR(VLOOKUP(ROWS($N$2:N1479),$D$2:$E$1996,2,0),"")</f>
        <v/>
      </c>
    </row>
    <row r="1480" spans="2:14">
      <c r="B1480" s="32">
        <f>IF(ISNUMBER(SEARCH('Φόρμα Εισαγωγής'!$B$2,C1480)),MAX($B$1:B1479)+1,0)</f>
        <v>0</v>
      </c>
      <c r="D1480" s="33">
        <f>IF(ISNUMBER(SEARCH('Φόρμα Εισαγωγής'!$C$2,E1480)),MAX($D$1:D1479)+1,0)</f>
        <v>0</v>
      </c>
      <c r="H1480" s="6">
        <f t="shared" si="80"/>
        <v>0</v>
      </c>
      <c r="I1480" s="6">
        <f t="shared" si="81"/>
        <v>0</v>
      </c>
      <c r="J1480" s="6">
        <f t="shared" si="82"/>
        <v>0</v>
      </c>
      <c r="L1480" s="4" t="str">
        <f>IFERROR(VLOOKUP(ROWS($L$2:L1480),$B$2:$C$1996,2,0),"")</f>
        <v/>
      </c>
      <c r="N1480" s="2" t="str">
        <f>IFERROR(VLOOKUP(ROWS($N$2:N1480),$D$2:$E$1996,2,0),"")</f>
        <v/>
      </c>
    </row>
    <row r="1481" spans="2:14">
      <c r="B1481" s="32">
        <f>IF(ISNUMBER(SEARCH('Φόρμα Εισαγωγής'!$B$2,C1481)),MAX($B$1:B1480)+1,0)</f>
        <v>0</v>
      </c>
      <c r="D1481" s="33">
        <f>IF(ISNUMBER(SEARCH('Φόρμα Εισαγωγής'!$C$2,E1481)),MAX($D$1:D1480)+1,0)</f>
        <v>0</v>
      </c>
      <c r="H1481" s="6">
        <f t="shared" si="80"/>
        <v>0</v>
      </c>
      <c r="I1481" s="6">
        <f t="shared" si="81"/>
        <v>0</v>
      </c>
      <c r="J1481" s="6">
        <f t="shared" si="82"/>
        <v>0</v>
      </c>
      <c r="L1481" s="4" t="str">
        <f>IFERROR(VLOOKUP(ROWS($L$2:L1481),$B$2:$C$1996,2,0),"")</f>
        <v/>
      </c>
      <c r="N1481" s="2" t="str">
        <f>IFERROR(VLOOKUP(ROWS($N$2:N1481),$D$2:$E$1996,2,0),"")</f>
        <v/>
      </c>
    </row>
    <row r="1482" spans="2:14">
      <c r="B1482" s="32">
        <f>IF(ISNUMBER(SEARCH('Φόρμα Εισαγωγής'!$B$2,C1482)),MAX($B$1:B1481)+1,0)</f>
        <v>0</v>
      </c>
      <c r="D1482" s="33">
        <f>IF(ISNUMBER(SEARCH('Φόρμα Εισαγωγής'!$C$2,E1482)),MAX($D$1:D1481)+1,0)</f>
        <v>0</v>
      </c>
      <c r="H1482" s="6">
        <f t="shared" si="80"/>
        <v>0</v>
      </c>
      <c r="I1482" s="6">
        <f t="shared" si="81"/>
        <v>0</v>
      </c>
      <c r="J1482" s="6">
        <f t="shared" si="82"/>
        <v>0</v>
      </c>
      <c r="L1482" s="4" t="str">
        <f>IFERROR(VLOOKUP(ROWS($L$2:L1482),$B$2:$C$1996,2,0),"")</f>
        <v/>
      </c>
      <c r="N1482" s="2" t="str">
        <f>IFERROR(VLOOKUP(ROWS($N$2:N1482),$D$2:$E$1996,2,0),"")</f>
        <v/>
      </c>
    </row>
    <row r="1483" spans="2:14">
      <c r="B1483" s="32">
        <f>IF(ISNUMBER(SEARCH('Φόρμα Εισαγωγής'!$B$2,C1483)),MAX($B$1:B1482)+1,0)</f>
        <v>0</v>
      </c>
      <c r="D1483" s="33">
        <f>IF(ISNUMBER(SEARCH('Φόρμα Εισαγωγής'!$C$2,E1483)),MAX($D$1:D1482)+1,0)</f>
        <v>0</v>
      </c>
      <c r="H1483" s="6">
        <f t="shared" si="80"/>
        <v>0</v>
      </c>
      <c r="I1483" s="6">
        <f t="shared" si="81"/>
        <v>0</v>
      </c>
      <c r="J1483" s="6">
        <f t="shared" si="82"/>
        <v>0</v>
      </c>
      <c r="L1483" s="4" t="str">
        <f>IFERROR(VLOOKUP(ROWS($L$2:L1483),$B$2:$C$1996,2,0),"")</f>
        <v/>
      </c>
      <c r="N1483" s="2" t="str">
        <f>IFERROR(VLOOKUP(ROWS($N$2:N1483),$D$2:$E$1996,2,0),"")</f>
        <v/>
      </c>
    </row>
    <row r="1484" spans="2:14">
      <c r="B1484" s="32">
        <f>IF(ISNUMBER(SEARCH('Φόρμα Εισαγωγής'!$B$2,C1484)),MAX($B$1:B1483)+1,0)</f>
        <v>0</v>
      </c>
      <c r="D1484" s="33">
        <f>IF(ISNUMBER(SEARCH('Φόρμα Εισαγωγής'!$C$2,E1484)),MAX($D$1:D1483)+1,0)</f>
        <v>0</v>
      </c>
      <c r="H1484" s="6">
        <f t="shared" si="80"/>
        <v>0</v>
      </c>
      <c r="I1484" s="6">
        <f t="shared" si="81"/>
        <v>0</v>
      </c>
      <c r="J1484" s="6">
        <f t="shared" si="82"/>
        <v>0</v>
      </c>
      <c r="L1484" s="4" t="str">
        <f>IFERROR(VLOOKUP(ROWS($L$2:L1484),$B$2:$C$1996,2,0),"")</f>
        <v/>
      </c>
      <c r="N1484" s="2" t="str">
        <f>IFERROR(VLOOKUP(ROWS($N$2:N1484),$D$2:$E$1996,2,0),"")</f>
        <v/>
      </c>
    </row>
    <row r="1485" spans="2:14">
      <c r="B1485" s="32">
        <f>IF(ISNUMBER(SEARCH('Φόρμα Εισαγωγής'!$B$2,C1485)),MAX($B$1:B1484)+1,0)</f>
        <v>0</v>
      </c>
      <c r="D1485" s="33">
        <f>IF(ISNUMBER(SEARCH('Φόρμα Εισαγωγής'!$C$2,E1485)),MAX($D$1:D1484)+1,0)</f>
        <v>0</v>
      </c>
      <c r="H1485" s="6">
        <f t="shared" si="80"/>
        <v>0</v>
      </c>
      <c r="I1485" s="6">
        <f t="shared" si="81"/>
        <v>0</v>
      </c>
      <c r="J1485" s="6">
        <f t="shared" si="82"/>
        <v>0</v>
      </c>
      <c r="L1485" s="4" t="str">
        <f>IFERROR(VLOOKUP(ROWS($L$2:L1485),$B$2:$C$1996,2,0),"")</f>
        <v/>
      </c>
      <c r="N1485" s="2" t="str">
        <f>IFERROR(VLOOKUP(ROWS($N$2:N1485),$D$2:$E$1996,2,0),"")</f>
        <v/>
      </c>
    </row>
    <row r="1486" spans="2:14">
      <c r="B1486" s="32">
        <f>IF(ISNUMBER(SEARCH('Φόρμα Εισαγωγής'!$B$2,C1486)),MAX($B$1:B1485)+1,0)</f>
        <v>0</v>
      </c>
      <c r="D1486" s="33">
        <f>IF(ISNUMBER(SEARCH('Φόρμα Εισαγωγής'!$C$2,E1486)),MAX($D$1:D1485)+1,0)</f>
        <v>0</v>
      </c>
      <c r="H1486" s="6">
        <f t="shared" si="80"/>
        <v>0</v>
      </c>
      <c r="I1486" s="6">
        <f t="shared" si="81"/>
        <v>0</v>
      </c>
      <c r="J1486" s="6">
        <f t="shared" si="82"/>
        <v>0</v>
      </c>
      <c r="L1486" s="4" t="str">
        <f>IFERROR(VLOOKUP(ROWS($L$2:L1486),$B$2:$C$1996,2,0),"")</f>
        <v/>
      </c>
      <c r="N1486" s="2" t="str">
        <f>IFERROR(VLOOKUP(ROWS($N$2:N1486),$D$2:$E$1996,2,0),"")</f>
        <v/>
      </c>
    </row>
    <row r="1487" spans="2:14">
      <c r="B1487" s="32">
        <f>IF(ISNUMBER(SEARCH('Φόρμα Εισαγωγής'!$B$2,C1487)),MAX($B$1:B1486)+1,0)</f>
        <v>0</v>
      </c>
      <c r="D1487" s="33">
        <f>IF(ISNUMBER(SEARCH('Φόρμα Εισαγωγής'!$C$2,E1487)),MAX($D$1:D1486)+1,0)</f>
        <v>0</v>
      </c>
      <c r="H1487" s="6">
        <f t="shared" si="80"/>
        <v>0</v>
      </c>
      <c r="I1487" s="6">
        <f t="shared" si="81"/>
        <v>0</v>
      </c>
      <c r="J1487" s="6">
        <f t="shared" si="82"/>
        <v>0</v>
      </c>
      <c r="L1487" s="4" t="str">
        <f>IFERROR(VLOOKUP(ROWS($L$2:L1487),$B$2:$C$1996,2,0),"")</f>
        <v/>
      </c>
      <c r="N1487" s="2" t="str">
        <f>IFERROR(VLOOKUP(ROWS($N$2:N1487),$D$2:$E$1996,2,0),"")</f>
        <v/>
      </c>
    </row>
    <row r="1488" spans="2:14">
      <c r="B1488" s="32">
        <f>IF(ISNUMBER(SEARCH('Φόρμα Εισαγωγής'!$B$2,C1488)),MAX($B$1:B1487)+1,0)</f>
        <v>0</v>
      </c>
      <c r="D1488" s="33">
        <f>IF(ISNUMBER(SEARCH('Φόρμα Εισαγωγής'!$C$2,E1488)),MAX($D$1:D1487)+1,0)</f>
        <v>0</v>
      </c>
      <c r="H1488" s="6">
        <f t="shared" si="80"/>
        <v>0</v>
      </c>
      <c r="I1488" s="6">
        <f t="shared" si="81"/>
        <v>0</v>
      </c>
      <c r="J1488" s="6">
        <f t="shared" si="82"/>
        <v>0</v>
      </c>
      <c r="L1488" s="4" t="str">
        <f>IFERROR(VLOOKUP(ROWS($L$2:L1488),$B$2:$C$1996,2,0),"")</f>
        <v/>
      </c>
      <c r="N1488" s="2" t="str">
        <f>IFERROR(VLOOKUP(ROWS($N$2:N1488),$D$2:$E$1996,2,0),"")</f>
        <v/>
      </c>
    </row>
    <row r="1489" spans="2:14">
      <c r="B1489" s="32">
        <f>IF(ISNUMBER(SEARCH('Φόρμα Εισαγωγής'!$B$2,C1489)),MAX($B$1:B1488)+1,0)</f>
        <v>0</v>
      </c>
      <c r="D1489" s="33">
        <f>IF(ISNUMBER(SEARCH('Φόρμα Εισαγωγής'!$C$2,E1489)),MAX($D$1:D1488)+1,0)</f>
        <v>0</v>
      </c>
      <c r="H1489" s="6">
        <f t="shared" si="80"/>
        <v>0</v>
      </c>
      <c r="I1489" s="6">
        <f t="shared" si="81"/>
        <v>0</v>
      </c>
      <c r="J1489" s="6">
        <f t="shared" si="82"/>
        <v>0</v>
      </c>
      <c r="L1489" s="4" t="str">
        <f>IFERROR(VLOOKUP(ROWS($L$2:L1489),$B$2:$C$1996,2,0),"")</f>
        <v/>
      </c>
      <c r="N1489" s="2" t="str">
        <f>IFERROR(VLOOKUP(ROWS($N$2:N1489),$D$2:$E$1996,2,0),"")</f>
        <v/>
      </c>
    </row>
    <row r="1490" spans="2:14">
      <c r="B1490" s="32">
        <f>IF(ISNUMBER(SEARCH('Φόρμα Εισαγωγής'!$B$2,C1490)),MAX($B$1:B1489)+1,0)</f>
        <v>0</v>
      </c>
      <c r="D1490" s="33">
        <f>IF(ISNUMBER(SEARCH('Φόρμα Εισαγωγής'!$C$2,E1490)),MAX($D$1:D1489)+1,0)</f>
        <v>0</v>
      </c>
      <c r="H1490" s="6">
        <f t="shared" si="80"/>
        <v>0</v>
      </c>
      <c r="I1490" s="6">
        <f t="shared" si="81"/>
        <v>0</v>
      </c>
      <c r="J1490" s="6">
        <f t="shared" si="82"/>
        <v>0</v>
      </c>
      <c r="L1490" s="4" t="str">
        <f>IFERROR(VLOOKUP(ROWS($L$2:L1490),$B$2:$C$1996,2,0),"")</f>
        <v/>
      </c>
      <c r="N1490" s="2" t="str">
        <f>IFERROR(VLOOKUP(ROWS($N$2:N1490),$D$2:$E$1996,2,0),"")</f>
        <v/>
      </c>
    </row>
    <row r="1491" spans="2:14">
      <c r="B1491" s="32">
        <f>IF(ISNUMBER(SEARCH('Φόρμα Εισαγωγής'!$B$2,C1491)),MAX($B$1:B1490)+1,0)</f>
        <v>0</v>
      </c>
      <c r="D1491" s="33">
        <f>IF(ISNUMBER(SEARCH('Φόρμα Εισαγωγής'!$C$2,E1491)),MAX($D$1:D1490)+1,0)</f>
        <v>0</v>
      </c>
      <c r="H1491" s="6">
        <f t="shared" si="80"/>
        <v>0</v>
      </c>
      <c r="I1491" s="6">
        <f t="shared" si="81"/>
        <v>0</v>
      </c>
      <c r="J1491" s="6">
        <f t="shared" si="82"/>
        <v>0</v>
      </c>
      <c r="L1491" s="4" t="str">
        <f>IFERROR(VLOOKUP(ROWS($L$2:L1491),$B$2:$C$1996,2,0),"")</f>
        <v/>
      </c>
      <c r="N1491" s="2" t="str">
        <f>IFERROR(VLOOKUP(ROWS($N$2:N1491),$D$2:$E$1996,2,0),"")</f>
        <v/>
      </c>
    </row>
    <row r="1492" spans="2:14">
      <c r="B1492" s="32">
        <f>IF(ISNUMBER(SEARCH('Φόρμα Εισαγωγής'!$B$2,C1492)),MAX($B$1:B1491)+1,0)</f>
        <v>0</v>
      </c>
      <c r="D1492" s="33">
        <f>IF(ISNUMBER(SEARCH('Φόρμα Εισαγωγής'!$C$2,E1492)),MAX($D$1:D1491)+1,0)</f>
        <v>0</v>
      </c>
      <c r="H1492" s="6">
        <f t="shared" si="80"/>
        <v>0</v>
      </c>
      <c r="I1492" s="6">
        <f t="shared" si="81"/>
        <v>0</v>
      </c>
      <c r="J1492" s="6">
        <f t="shared" si="82"/>
        <v>0</v>
      </c>
      <c r="L1492" s="4" t="str">
        <f>IFERROR(VLOOKUP(ROWS($L$2:L1492),$B$2:$C$1996,2,0),"")</f>
        <v/>
      </c>
      <c r="N1492" s="2" t="str">
        <f>IFERROR(VLOOKUP(ROWS($N$2:N1492),$D$2:$E$1996,2,0),"")</f>
        <v/>
      </c>
    </row>
    <row r="1493" spans="2:14">
      <c r="B1493" s="32">
        <f>IF(ISNUMBER(SEARCH('Φόρμα Εισαγωγής'!$B$2,C1493)),MAX($B$1:B1492)+1,0)</f>
        <v>0</v>
      </c>
      <c r="D1493" s="33">
        <f>IF(ISNUMBER(SEARCH('Φόρμα Εισαγωγής'!$C$2,E1493)),MAX($D$1:D1492)+1,0)</f>
        <v>0</v>
      </c>
      <c r="H1493" s="6">
        <f t="shared" si="80"/>
        <v>0</v>
      </c>
      <c r="I1493" s="6">
        <f t="shared" si="81"/>
        <v>0</v>
      </c>
      <c r="J1493" s="6">
        <f t="shared" si="82"/>
        <v>0</v>
      </c>
      <c r="L1493" s="4" t="str">
        <f>IFERROR(VLOOKUP(ROWS($L$2:L1493),$B$2:$C$1996,2,0),"")</f>
        <v/>
      </c>
      <c r="N1493" s="2" t="str">
        <f>IFERROR(VLOOKUP(ROWS($N$2:N1493),$D$2:$E$1996,2,0),"")</f>
        <v/>
      </c>
    </row>
    <row r="1494" spans="2:14">
      <c r="B1494" s="32">
        <f>IF(ISNUMBER(SEARCH('Φόρμα Εισαγωγής'!$B$2,C1494)),MAX($B$1:B1493)+1,0)</f>
        <v>0</v>
      </c>
      <c r="D1494" s="33">
        <f>IF(ISNUMBER(SEARCH('Φόρμα Εισαγωγής'!$C$2,E1494)),MAX($D$1:D1493)+1,0)</f>
        <v>0</v>
      </c>
      <c r="H1494" s="6">
        <f t="shared" si="80"/>
        <v>0</v>
      </c>
      <c r="I1494" s="6">
        <f t="shared" si="81"/>
        <v>0</v>
      </c>
      <c r="J1494" s="6">
        <f t="shared" si="82"/>
        <v>0</v>
      </c>
      <c r="L1494" s="4" t="str">
        <f>IFERROR(VLOOKUP(ROWS($L$2:L1494),$B$2:$C$1996,2,0),"")</f>
        <v/>
      </c>
      <c r="N1494" s="2" t="str">
        <f>IFERROR(VLOOKUP(ROWS($N$2:N1494),$D$2:$E$1996,2,0),"")</f>
        <v/>
      </c>
    </row>
    <row r="1495" spans="2:14">
      <c r="B1495" s="32">
        <f>IF(ISNUMBER(SEARCH('Φόρμα Εισαγωγής'!$B$2,C1495)),MAX($B$1:B1494)+1,0)</f>
        <v>0</v>
      </c>
      <c r="D1495" s="33">
        <f>IF(ISNUMBER(SEARCH('Φόρμα Εισαγωγής'!$C$2,E1495)),MAX($D$1:D1494)+1,0)</f>
        <v>0</v>
      </c>
      <c r="H1495" s="6">
        <f t="shared" si="80"/>
        <v>0</v>
      </c>
      <c r="I1495" s="6">
        <f t="shared" si="81"/>
        <v>0</v>
      </c>
      <c r="J1495" s="6">
        <f t="shared" si="82"/>
        <v>0</v>
      </c>
      <c r="L1495" s="4" t="str">
        <f>IFERROR(VLOOKUP(ROWS($L$2:L1495),$B$2:$C$1996,2,0),"")</f>
        <v/>
      </c>
      <c r="N1495" s="2" t="str">
        <f>IFERROR(VLOOKUP(ROWS($N$2:N1495),$D$2:$E$1996,2,0),"")</f>
        <v/>
      </c>
    </row>
    <row r="1496" spans="2:14">
      <c r="B1496" s="32">
        <f>IF(ISNUMBER(SEARCH('Φόρμα Εισαγωγής'!$B$2,C1496)),MAX($B$1:B1495)+1,0)</f>
        <v>0</v>
      </c>
      <c r="D1496" s="33">
        <f>IF(ISNUMBER(SEARCH('Φόρμα Εισαγωγής'!$C$2,E1496)),MAX($D$1:D1495)+1,0)</f>
        <v>0</v>
      </c>
      <c r="H1496" s="6">
        <f t="shared" si="80"/>
        <v>0</v>
      </c>
      <c r="I1496" s="6">
        <f t="shared" si="81"/>
        <v>0</v>
      </c>
      <c r="J1496" s="6">
        <f t="shared" si="82"/>
        <v>0</v>
      </c>
      <c r="L1496" s="4" t="str">
        <f>IFERROR(VLOOKUP(ROWS($L$2:L1496),$B$2:$C$1996,2,0),"")</f>
        <v/>
      </c>
      <c r="N1496" s="2" t="str">
        <f>IFERROR(VLOOKUP(ROWS($N$2:N1496),$D$2:$E$1996,2,0),"")</f>
        <v/>
      </c>
    </row>
    <row r="1497" spans="2:14">
      <c r="B1497" s="32">
        <f>IF(ISNUMBER(SEARCH('Φόρμα Εισαγωγής'!$B$2,C1497)),MAX($B$1:B1496)+1,0)</f>
        <v>0</v>
      </c>
      <c r="D1497" s="33">
        <f>IF(ISNUMBER(SEARCH('Φόρμα Εισαγωγής'!$C$2,E1497)),MAX($D$1:D1496)+1,0)</f>
        <v>0</v>
      </c>
      <c r="H1497" s="6">
        <f t="shared" si="80"/>
        <v>0</v>
      </c>
      <c r="I1497" s="6">
        <f t="shared" si="81"/>
        <v>0</v>
      </c>
      <c r="J1497" s="6">
        <f t="shared" si="82"/>
        <v>0</v>
      </c>
      <c r="L1497" s="4" t="str">
        <f>IFERROR(VLOOKUP(ROWS($L$2:L1497),$B$2:$C$1996,2,0),"")</f>
        <v/>
      </c>
      <c r="N1497" s="2" t="str">
        <f>IFERROR(VLOOKUP(ROWS($N$2:N1497),$D$2:$E$1996,2,0),"")</f>
        <v/>
      </c>
    </row>
    <row r="1498" spans="2:14">
      <c r="B1498" s="32">
        <f>IF(ISNUMBER(SEARCH('Φόρμα Εισαγωγής'!$B$2,C1498)),MAX($B$1:B1497)+1,0)</f>
        <v>0</v>
      </c>
      <c r="D1498" s="33">
        <f>IF(ISNUMBER(SEARCH('Φόρμα Εισαγωγής'!$C$2,E1498)),MAX($D$1:D1497)+1,0)</f>
        <v>0</v>
      </c>
      <c r="H1498" s="6">
        <f t="shared" si="80"/>
        <v>0</v>
      </c>
      <c r="I1498" s="6">
        <f t="shared" si="81"/>
        <v>0</v>
      </c>
      <c r="J1498" s="6">
        <f t="shared" si="82"/>
        <v>0</v>
      </c>
      <c r="L1498" s="4" t="str">
        <f>IFERROR(VLOOKUP(ROWS($L$2:L1498),$B$2:$C$1996,2,0),"")</f>
        <v/>
      </c>
      <c r="N1498" s="2" t="str">
        <f>IFERROR(VLOOKUP(ROWS($N$2:N1498),$D$2:$E$1996,2,0),"")</f>
        <v/>
      </c>
    </row>
    <row r="1499" spans="2:14">
      <c r="B1499" s="32">
        <f>IF(ISNUMBER(SEARCH('Φόρμα Εισαγωγής'!$B$2,C1499)),MAX($B$1:B1498)+1,0)</f>
        <v>0</v>
      </c>
      <c r="D1499" s="33">
        <f>IF(ISNUMBER(SEARCH('Φόρμα Εισαγωγής'!$C$2,E1499)),MAX($D$1:D1498)+1,0)</f>
        <v>0</v>
      </c>
      <c r="H1499" s="6">
        <f t="shared" si="80"/>
        <v>0</v>
      </c>
      <c r="I1499" s="6">
        <f t="shared" si="81"/>
        <v>0</v>
      </c>
      <c r="J1499" s="6">
        <f t="shared" si="82"/>
        <v>0</v>
      </c>
      <c r="L1499" s="4" t="str">
        <f>IFERROR(VLOOKUP(ROWS($L$2:L1499),$B$2:$C$1996,2,0),"")</f>
        <v/>
      </c>
      <c r="N1499" s="2" t="str">
        <f>IFERROR(VLOOKUP(ROWS($N$2:N1499),$D$2:$E$1996,2,0),"")</f>
        <v/>
      </c>
    </row>
    <row r="1500" spans="2:14">
      <c r="B1500" s="32">
        <f>IF(ISNUMBER(SEARCH('Φόρμα Εισαγωγής'!$B$2,C1500)),MAX($B$1:B1499)+1,0)</f>
        <v>0</v>
      </c>
      <c r="D1500" s="33">
        <f>IF(ISNUMBER(SEARCH('Φόρμα Εισαγωγής'!$C$2,E1500)),MAX($D$1:D1499)+1,0)</f>
        <v>0</v>
      </c>
      <c r="H1500" s="6">
        <f t="shared" si="80"/>
        <v>0</v>
      </c>
      <c r="I1500" s="6">
        <f t="shared" si="81"/>
        <v>0</v>
      </c>
      <c r="J1500" s="6">
        <f t="shared" si="82"/>
        <v>0</v>
      </c>
      <c r="L1500" s="4" t="str">
        <f>IFERROR(VLOOKUP(ROWS($L$2:L1500),$B$2:$C$1996,2,0),"")</f>
        <v/>
      </c>
      <c r="N1500" s="2" t="str">
        <f>IFERROR(VLOOKUP(ROWS($N$2:N1500),$D$2:$E$1996,2,0),"")</f>
        <v/>
      </c>
    </row>
    <row r="1501" spans="2:14">
      <c r="B1501" s="32">
        <f>IF(ISNUMBER(SEARCH('Φόρμα Εισαγωγής'!$B$2,C1501)),MAX($B$1:B1500)+1,0)</f>
        <v>0</v>
      </c>
      <c r="D1501" s="33">
        <f>IF(ISNUMBER(SEARCH('Φόρμα Εισαγωγής'!$C$2,E1501)),MAX($D$1:D1500)+1,0)</f>
        <v>0</v>
      </c>
      <c r="H1501" s="6">
        <f t="shared" si="80"/>
        <v>0</v>
      </c>
      <c r="I1501" s="6">
        <f t="shared" si="81"/>
        <v>0</v>
      </c>
      <c r="J1501" s="6">
        <f t="shared" si="82"/>
        <v>0</v>
      </c>
      <c r="L1501" s="4" t="str">
        <f>IFERROR(VLOOKUP(ROWS($L$2:L1501),$B$2:$C$1996,2,0),"")</f>
        <v/>
      </c>
      <c r="N1501" s="2" t="str">
        <f>IFERROR(VLOOKUP(ROWS($N$2:N1501),$D$2:$E$1996,2,0),"")</f>
        <v/>
      </c>
    </row>
    <row r="1502" spans="2:14">
      <c r="B1502" s="32">
        <f>IF(ISNUMBER(SEARCH('Φόρμα Εισαγωγής'!$B$2,C1502)),MAX($B$1:B1501)+1,0)</f>
        <v>0</v>
      </c>
      <c r="D1502" s="33">
        <f>IF(ISNUMBER(SEARCH('Φόρμα Εισαγωγής'!$C$2,E1502)),MAX($D$1:D1501)+1,0)</f>
        <v>0</v>
      </c>
      <c r="H1502" s="6">
        <f t="shared" si="80"/>
        <v>0</v>
      </c>
      <c r="I1502" s="6">
        <f t="shared" si="81"/>
        <v>0</v>
      </c>
      <c r="J1502" s="6">
        <f t="shared" si="82"/>
        <v>0</v>
      </c>
      <c r="L1502" s="4" t="str">
        <f>IFERROR(VLOOKUP(ROWS($L$2:L1502),$B$2:$C$1996,2,0),"")</f>
        <v/>
      </c>
      <c r="N1502" s="2" t="str">
        <f>IFERROR(VLOOKUP(ROWS($N$2:N1502),$D$2:$E$1996,2,0),"")</f>
        <v/>
      </c>
    </row>
    <row r="1503" spans="2:14">
      <c r="B1503" s="32">
        <f>IF(ISNUMBER(SEARCH('Φόρμα Εισαγωγής'!$B$2,C1503)),MAX($B$1:B1502)+1,0)</f>
        <v>0</v>
      </c>
      <c r="D1503" s="33">
        <f>IF(ISNUMBER(SEARCH('Φόρμα Εισαγωγής'!$C$2,E1503)),MAX($D$1:D1502)+1,0)</f>
        <v>0</v>
      </c>
      <c r="H1503" s="6">
        <f t="shared" si="80"/>
        <v>0</v>
      </c>
      <c r="I1503" s="6">
        <f t="shared" si="81"/>
        <v>0</v>
      </c>
      <c r="J1503" s="6">
        <f t="shared" si="82"/>
        <v>0</v>
      </c>
      <c r="L1503" s="4" t="str">
        <f>IFERROR(VLOOKUP(ROWS($L$2:L1503),$B$2:$C$1996,2,0),"")</f>
        <v/>
      </c>
      <c r="N1503" s="2" t="str">
        <f>IFERROR(VLOOKUP(ROWS($N$2:N1503),$D$2:$E$1996,2,0),"")</f>
        <v/>
      </c>
    </row>
    <row r="1504" spans="2:14">
      <c r="B1504" s="32">
        <f>IF(ISNUMBER(SEARCH('Φόρμα Εισαγωγής'!$B$2,C1504)),MAX($B$1:B1503)+1,0)</f>
        <v>0</v>
      </c>
      <c r="D1504" s="33">
        <f>IF(ISNUMBER(SEARCH('Φόρμα Εισαγωγής'!$C$2,E1504)),MAX($D$1:D1503)+1,0)</f>
        <v>0</v>
      </c>
      <c r="H1504" s="6">
        <f t="shared" si="80"/>
        <v>0</v>
      </c>
      <c r="I1504" s="6">
        <f t="shared" si="81"/>
        <v>0</v>
      </c>
      <c r="J1504" s="6">
        <f t="shared" si="82"/>
        <v>0</v>
      </c>
      <c r="L1504" s="4" t="str">
        <f>IFERROR(VLOOKUP(ROWS($L$2:L1504),$B$2:$C$1996,2,0),"")</f>
        <v/>
      </c>
      <c r="N1504" s="2" t="str">
        <f>IFERROR(VLOOKUP(ROWS($N$2:N1504),$D$2:$E$1996,2,0),"")</f>
        <v/>
      </c>
    </row>
    <row r="1505" spans="2:14">
      <c r="B1505" s="32">
        <f>IF(ISNUMBER(SEARCH('Φόρμα Εισαγωγής'!$B$2,C1505)),MAX($B$1:B1504)+1,0)</f>
        <v>0</v>
      </c>
      <c r="D1505" s="33">
        <f>IF(ISNUMBER(SEARCH('Φόρμα Εισαγωγής'!$C$2,E1505)),MAX($D$1:D1504)+1,0)</f>
        <v>0</v>
      </c>
      <c r="H1505" s="6">
        <f t="shared" si="80"/>
        <v>0</v>
      </c>
      <c r="I1505" s="6">
        <f t="shared" si="81"/>
        <v>0</v>
      </c>
      <c r="J1505" s="6">
        <f t="shared" si="82"/>
        <v>0</v>
      </c>
      <c r="L1505" s="4" t="str">
        <f>IFERROR(VLOOKUP(ROWS($L$2:L1505),$B$2:$C$1996,2,0),"")</f>
        <v/>
      </c>
      <c r="N1505" s="2" t="str">
        <f>IFERROR(VLOOKUP(ROWS($N$2:N1505),$D$2:$E$1996,2,0),"")</f>
        <v/>
      </c>
    </row>
    <row r="1506" spans="2:14">
      <c r="B1506" s="32">
        <f>IF(ISNUMBER(SEARCH('Φόρμα Εισαγωγής'!$B$2,C1506)),MAX($B$1:B1505)+1,0)</f>
        <v>0</v>
      </c>
      <c r="D1506" s="33">
        <f>IF(ISNUMBER(SEARCH('Φόρμα Εισαγωγής'!$C$2,E1506)),MAX($D$1:D1505)+1,0)</f>
        <v>0</v>
      </c>
      <c r="H1506" s="6">
        <f t="shared" si="80"/>
        <v>0</v>
      </c>
      <c r="I1506" s="6">
        <f t="shared" si="81"/>
        <v>0</v>
      </c>
      <c r="J1506" s="6">
        <f t="shared" si="82"/>
        <v>0</v>
      </c>
      <c r="L1506" s="4" t="str">
        <f>IFERROR(VLOOKUP(ROWS($L$2:L1506),$B$2:$C$1996,2,0),"")</f>
        <v/>
      </c>
      <c r="N1506" s="2" t="str">
        <f>IFERROR(VLOOKUP(ROWS($N$2:N1506),$D$2:$E$1996,2,0),"")</f>
        <v/>
      </c>
    </row>
    <row r="1507" spans="2:14">
      <c r="B1507" s="32">
        <f>IF(ISNUMBER(SEARCH('Φόρμα Εισαγωγής'!$B$2,C1507)),MAX($B$1:B1506)+1,0)</f>
        <v>0</v>
      </c>
      <c r="D1507" s="33">
        <f>IF(ISNUMBER(SEARCH('Φόρμα Εισαγωγής'!$C$2,E1507)),MAX($D$1:D1506)+1,0)</f>
        <v>0</v>
      </c>
      <c r="H1507" s="6">
        <f t="shared" si="80"/>
        <v>0</v>
      </c>
      <c r="I1507" s="6">
        <f t="shared" si="81"/>
        <v>0</v>
      </c>
      <c r="J1507" s="6">
        <f t="shared" si="82"/>
        <v>0</v>
      </c>
      <c r="L1507" s="4" t="str">
        <f>IFERROR(VLOOKUP(ROWS($L$2:L1507),$B$2:$C$1996,2,0),"")</f>
        <v/>
      </c>
      <c r="N1507" s="2" t="str">
        <f>IFERROR(VLOOKUP(ROWS($N$2:N1507),$D$2:$E$1996,2,0),"")</f>
        <v/>
      </c>
    </row>
    <row r="1508" spans="2:14">
      <c r="B1508" s="32">
        <f>IF(ISNUMBER(SEARCH('Φόρμα Εισαγωγής'!$B$2,C1508)),MAX($B$1:B1507)+1,0)</f>
        <v>0</v>
      </c>
      <c r="D1508" s="33">
        <f>IF(ISNUMBER(SEARCH('Φόρμα Εισαγωγής'!$C$2,E1508)),MAX($D$1:D1507)+1,0)</f>
        <v>0</v>
      </c>
      <c r="H1508" s="6">
        <f t="shared" si="80"/>
        <v>0</v>
      </c>
      <c r="I1508" s="6">
        <f t="shared" si="81"/>
        <v>0</v>
      </c>
      <c r="J1508" s="6">
        <f t="shared" si="82"/>
        <v>0</v>
      </c>
      <c r="L1508" s="4" t="str">
        <f>IFERROR(VLOOKUP(ROWS($L$2:L1508),$B$2:$C$1996,2,0),"")</f>
        <v/>
      </c>
      <c r="N1508" s="2" t="str">
        <f>IFERROR(VLOOKUP(ROWS($N$2:N1508),$D$2:$E$1996,2,0),"")</f>
        <v/>
      </c>
    </row>
    <row r="1509" spans="2:14">
      <c r="B1509" s="32">
        <f>IF(ISNUMBER(SEARCH('Φόρμα Εισαγωγής'!$B$2,C1509)),MAX($B$1:B1508)+1,0)</f>
        <v>0</v>
      </c>
      <c r="D1509" s="33">
        <f>IF(ISNUMBER(SEARCH('Φόρμα Εισαγωγής'!$C$2,E1509)),MAX($D$1:D1508)+1,0)</f>
        <v>0</v>
      </c>
      <c r="H1509" s="6">
        <f t="shared" si="80"/>
        <v>0</v>
      </c>
      <c r="I1509" s="6">
        <f t="shared" si="81"/>
        <v>0</v>
      </c>
      <c r="J1509" s="6">
        <f t="shared" si="82"/>
        <v>0</v>
      </c>
      <c r="L1509" s="4" t="str">
        <f>IFERROR(VLOOKUP(ROWS($L$2:L1509),$B$2:$C$1996,2,0),"")</f>
        <v/>
      </c>
      <c r="N1509" s="2" t="str">
        <f>IFERROR(VLOOKUP(ROWS($N$2:N1509),$D$2:$E$1996,2,0),"")</f>
        <v/>
      </c>
    </row>
    <row r="1510" spans="2:14">
      <c r="B1510" s="32">
        <f>IF(ISNUMBER(SEARCH('Φόρμα Εισαγωγής'!$B$2,C1510)),MAX($B$1:B1509)+1,0)</f>
        <v>0</v>
      </c>
      <c r="D1510" s="33">
        <f>IF(ISNUMBER(SEARCH('Φόρμα Εισαγωγής'!$C$2,E1510)),MAX($D$1:D1509)+1,0)</f>
        <v>0</v>
      </c>
      <c r="H1510" s="6">
        <f t="shared" si="80"/>
        <v>0</v>
      </c>
      <c r="I1510" s="6">
        <f t="shared" si="81"/>
        <v>0</v>
      </c>
      <c r="J1510" s="6">
        <f t="shared" si="82"/>
        <v>0</v>
      </c>
      <c r="L1510" s="4" t="str">
        <f>IFERROR(VLOOKUP(ROWS($L$2:L1510),$B$2:$C$1996,2,0),"")</f>
        <v/>
      </c>
      <c r="N1510" s="2" t="str">
        <f>IFERROR(VLOOKUP(ROWS($N$2:N1510),$D$2:$E$1996,2,0),"")</f>
        <v/>
      </c>
    </row>
    <row r="1511" spans="2:14">
      <c r="B1511" s="32">
        <f>IF(ISNUMBER(SEARCH('Φόρμα Εισαγωγής'!$B$2,C1511)),MAX($B$1:B1510)+1,0)</f>
        <v>0</v>
      </c>
      <c r="D1511" s="33">
        <f>IF(ISNUMBER(SEARCH('Φόρμα Εισαγωγής'!$C$2,E1511)),MAX($D$1:D1510)+1,0)</f>
        <v>0</v>
      </c>
      <c r="H1511" s="6">
        <f t="shared" si="80"/>
        <v>0</v>
      </c>
      <c r="I1511" s="6">
        <f t="shared" si="81"/>
        <v>0</v>
      </c>
      <c r="J1511" s="6">
        <f t="shared" si="82"/>
        <v>0</v>
      </c>
      <c r="L1511" s="4" t="str">
        <f>IFERROR(VLOOKUP(ROWS($L$2:L1511),$B$2:$C$1996,2,0),"")</f>
        <v/>
      </c>
      <c r="N1511" s="2" t="str">
        <f>IFERROR(VLOOKUP(ROWS($N$2:N1511),$D$2:$E$1996,2,0),"")</f>
        <v/>
      </c>
    </row>
    <row r="1512" spans="2:14">
      <c r="B1512" s="32">
        <f>IF(ISNUMBER(SEARCH('Φόρμα Εισαγωγής'!$B$2,C1512)),MAX($B$1:B1511)+1,0)</f>
        <v>0</v>
      </c>
      <c r="D1512" s="33">
        <f>IF(ISNUMBER(SEARCH('Φόρμα Εισαγωγής'!$C$2,E1512)),MAX($D$1:D1511)+1,0)</f>
        <v>0</v>
      </c>
      <c r="H1512" s="6">
        <f t="shared" si="80"/>
        <v>0</v>
      </c>
      <c r="I1512" s="6">
        <f t="shared" si="81"/>
        <v>0</v>
      </c>
      <c r="J1512" s="6">
        <f t="shared" si="82"/>
        <v>0</v>
      </c>
      <c r="L1512" s="4" t="str">
        <f>IFERROR(VLOOKUP(ROWS($L$2:L1512),$B$2:$C$1996,2,0),"")</f>
        <v/>
      </c>
      <c r="N1512" s="2" t="str">
        <f>IFERROR(VLOOKUP(ROWS($N$2:N1512),$D$2:$E$1996,2,0),"")</f>
        <v/>
      </c>
    </row>
    <row r="1513" spans="2:14">
      <c r="B1513" s="32">
        <f>IF(ISNUMBER(SEARCH('Φόρμα Εισαγωγής'!$B$2,C1513)),MAX($B$1:B1512)+1,0)</f>
        <v>0</v>
      </c>
      <c r="D1513" s="33">
        <f>IF(ISNUMBER(SEARCH('Φόρμα Εισαγωγής'!$C$2,E1513)),MAX($D$1:D1512)+1,0)</f>
        <v>0</v>
      </c>
      <c r="H1513" s="6">
        <f t="shared" si="80"/>
        <v>0</v>
      </c>
      <c r="I1513" s="6">
        <f t="shared" si="81"/>
        <v>0</v>
      </c>
      <c r="J1513" s="6">
        <f t="shared" si="82"/>
        <v>0</v>
      </c>
      <c r="L1513" s="4" t="str">
        <f>IFERROR(VLOOKUP(ROWS($L$2:L1513),$B$2:$C$1996,2,0),"")</f>
        <v/>
      </c>
      <c r="N1513" s="2" t="str">
        <f>IFERROR(VLOOKUP(ROWS($N$2:N1513),$D$2:$E$1996,2,0),"")</f>
        <v/>
      </c>
    </row>
    <row r="1514" spans="2:14">
      <c r="B1514" s="32">
        <f>IF(ISNUMBER(SEARCH('Φόρμα Εισαγωγής'!$B$2,C1514)),MAX($B$1:B1513)+1,0)</f>
        <v>0</v>
      </c>
      <c r="D1514" s="33">
        <f>IF(ISNUMBER(SEARCH('Φόρμα Εισαγωγής'!$C$2,E1514)),MAX($D$1:D1513)+1,0)</f>
        <v>0</v>
      </c>
      <c r="H1514" s="6">
        <f t="shared" si="80"/>
        <v>0</v>
      </c>
      <c r="I1514" s="6">
        <f t="shared" si="81"/>
        <v>0</v>
      </c>
      <c r="J1514" s="6">
        <f t="shared" si="82"/>
        <v>0</v>
      </c>
      <c r="L1514" s="4" t="str">
        <f>IFERROR(VLOOKUP(ROWS($L$2:L1514),$B$2:$C$1996,2,0),"")</f>
        <v/>
      </c>
      <c r="N1514" s="2" t="str">
        <f>IFERROR(VLOOKUP(ROWS($N$2:N1514),$D$2:$E$1996,2,0),"")</f>
        <v/>
      </c>
    </row>
    <row r="1515" spans="2:14">
      <c r="B1515" s="32">
        <f>IF(ISNUMBER(SEARCH('Φόρμα Εισαγωγής'!$B$2,C1515)),MAX($B$1:B1514)+1,0)</f>
        <v>0</v>
      </c>
      <c r="D1515" s="33">
        <f>IF(ISNUMBER(SEARCH('Φόρμα Εισαγωγής'!$C$2,E1515)),MAX($D$1:D1514)+1,0)</f>
        <v>0</v>
      </c>
      <c r="H1515" s="6">
        <f t="shared" si="80"/>
        <v>0</v>
      </c>
      <c r="I1515" s="6">
        <f t="shared" si="81"/>
        <v>0</v>
      </c>
      <c r="J1515" s="6">
        <f t="shared" si="82"/>
        <v>0</v>
      </c>
      <c r="L1515" s="4" t="str">
        <f>IFERROR(VLOOKUP(ROWS($L$2:L1515),$B$2:$C$1996,2,0),"")</f>
        <v/>
      </c>
      <c r="N1515" s="2" t="str">
        <f>IFERROR(VLOOKUP(ROWS($N$2:N1515),$D$2:$E$1996,2,0),"")</f>
        <v/>
      </c>
    </row>
    <row r="1516" spans="2:14">
      <c r="B1516" s="32">
        <f>IF(ISNUMBER(SEARCH('Φόρμα Εισαγωγής'!$B$2,C1516)),MAX($B$1:B1515)+1,0)</f>
        <v>0</v>
      </c>
      <c r="D1516" s="33">
        <f>IF(ISNUMBER(SEARCH('Φόρμα Εισαγωγής'!$C$2,E1516)),MAX($D$1:D1515)+1,0)</f>
        <v>0</v>
      </c>
      <c r="H1516" s="6">
        <f t="shared" si="80"/>
        <v>0</v>
      </c>
      <c r="I1516" s="6">
        <f t="shared" si="81"/>
        <v>0</v>
      </c>
      <c r="J1516" s="6">
        <f t="shared" si="82"/>
        <v>0</v>
      </c>
      <c r="L1516" s="4" t="str">
        <f>IFERROR(VLOOKUP(ROWS($L$2:L1516),$B$2:$C$1996,2,0),"")</f>
        <v/>
      </c>
      <c r="N1516" s="2" t="str">
        <f>IFERROR(VLOOKUP(ROWS($N$2:N1516),$D$2:$E$1996,2,0),"")</f>
        <v/>
      </c>
    </row>
    <row r="1517" spans="2:14">
      <c r="B1517" s="32">
        <f>IF(ISNUMBER(SEARCH('Φόρμα Εισαγωγής'!$B$2,C1517)),MAX($B$1:B1516)+1,0)</f>
        <v>0</v>
      </c>
      <c r="D1517" s="33">
        <f>IF(ISNUMBER(SEARCH('Φόρμα Εισαγωγής'!$C$2,E1517)),MAX($D$1:D1516)+1,0)</f>
        <v>0</v>
      </c>
      <c r="H1517" s="6">
        <f t="shared" si="80"/>
        <v>0</v>
      </c>
      <c r="I1517" s="6">
        <f t="shared" si="81"/>
        <v>0</v>
      </c>
      <c r="J1517" s="6">
        <f t="shared" si="82"/>
        <v>0</v>
      </c>
      <c r="L1517" s="4" t="str">
        <f>IFERROR(VLOOKUP(ROWS($L$2:L1517),$B$2:$C$1996,2,0),"")</f>
        <v/>
      </c>
      <c r="N1517" s="2" t="str">
        <f>IFERROR(VLOOKUP(ROWS($N$2:N1517),$D$2:$E$1996,2,0),"")</f>
        <v/>
      </c>
    </row>
    <row r="1518" spans="2:14">
      <c r="B1518" s="32">
        <f>IF(ISNUMBER(SEARCH('Φόρμα Εισαγωγής'!$B$2,C1518)),MAX($B$1:B1517)+1,0)</f>
        <v>0</v>
      </c>
      <c r="D1518" s="33">
        <f>IF(ISNUMBER(SEARCH('Φόρμα Εισαγωγής'!$C$2,E1518)),MAX($D$1:D1517)+1,0)</f>
        <v>0</v>
      </c>
      <c r="H1518" s="6">
        <f t="shared" si="80"/>
        <v>0</v>
      </c>
      <c r="I1518" s="6">
        <f t="shared" si="81"/>
        <v>0</v>
      </c>
      <c r="J1518" s="6">
        <f t="shared" si="82"/>
        <v>0</v>
      </c>
      <c r="L1518" s="4" t="str">
        <f>IFERROR(VLOOKUP(ROWS($L$2:L1518),$B$2:$C$1996,2,0),"")</f>
        <v/>
      </c>
      <c r="N1518" s="2" t="str">
        <f>IFERROR(VLOOKUP(ROWS($N$2:N1518),$D$2:$E$1996,2,0),"")</f>
        <v/>
      </c>
    </row>
    <row r="1519" spans="2:14">
      <c r="B1519" s="32">
        <f>IF(ISNUMBER(SEARCH('Φόρμα Εισαγωγής'!$B$2,C1519)),MAX($B$1:B1518)+1,0)</f>
        <v>0</v>
      </c>
      <c r="D1519" s="33">
        <f>IF(ISNUMBER(SEARCH('Φόρμα Εισαγωγής'!$C$2,E1519)),MAX($D$1:D1518)+1,0)</f>
        <v>0</v>
      </c>
      <c r="H1519" s="6">
        <f t="shared" si="80"/>
        <v>0</v>
      </c>
      <c r="I1519" s="6">
        <f t="shared" si="81"/>
        <v>0</v>
      </c>
      <c r="J1519" s="6">
        <f t="shared" si="82"/>
        <v>0</v>
      </c>
      <c r="L1519" s="4" t="str">
        <f>IFERROR(VLOOKUP(ROWS($L$2:L1519),$B$2:$C$1996,2,0),"")</f>
        <v/>
      </c>
      <c r="N1519" s="2" t="str">
        <f>IFERROR(VLOOKUP(ROWS($N$2:N1519),$D$2:$E$1996,2,0),"")</f>
        <v/>
      </c>
    </row>
    <row r="1520" spans="2:14">
      <c r="B1520" s="32">
        <f>IF(ISNUMBER(SEARCH('Φόρμα Εισαγωγής'!$B$2,C1520)),MAX($B$1:B1519)+1,0)</f>
        <v>0</v>
      </c>
      <c r="D1520" s="33">
        <f>IF(ISNUMBER(SEARCH('Φόρμα Εισαγωγής'!$C$2,E1520)),MAX($D$1:D1519)+1,0)</f>
        <v>0</v>
      </c>
      <c r="H1520" s="6">
        <f t="shared" si="80"/>
        <v>0</v>
      </c>
      <c r="I1520" s="6">
        <f t="shared" si="81"/>
        <v>0</v>
      </c>
      <c r="J1520" s="6">
        <f t="shared" si="82"/>
        <v>0</v>
      </c>
      <c r="L1520" s="4" t="str">
        <f>IFERROR(VLOOKUP(ROWS($L$2:L1520),$B$2:$C$1996,2,0),"")</f>
        <v/>
      </c>
      <c r="N1520" s="2" t="str">
        <f>IFERROR(VLOOKUP(ROWS($N$2:N1520),$D$2:$E$1996,2,0),"")</f>
        <v/>
      </c>
    </row>
    <row r="1521" spans="2:14">
      <c r="B1521" s="32">
        <f>IF(ISNUMBER(SEARCH('Φόρμα Εισαγωγής'!$B$2,C1521)),MAX($B$1:B1520)+1,0)</f>
        <v>0</v>
      </c>
      <c r="D1521" s="33">
        <f>IF(ISNUMBER(SEARCH('Φόρμα Εισαγωγής'!$C$2,E1521)),MAX($D$1:D1520)+1,0)</f>
        <v>0</v>
      </c>
      <c r="H1521" s="6">
        <f t="shared" si="80"/>
        <v>0</v>
      </c>
      <c r="I1521" s="6">
        <f t="shared" si="81"/>
        <v>0</v>
      </c>
      <c r="J1521" s="6">
        <f t="shared" si="82"/>
        <v>0</v>
      </c>
      <c r="L1521" s="4" t="str">
        <f>IFERROR(VLOOKUP(ROWS($L$2:L1521),$B$2:$C$1996,2,0),"")</f>
        <v/>
      </c>
      <c r="N1521" s="2" t="str">
        <f>IFERROR(VLOOKUP(ROWS($N$2:N1521),$D$2:$E$1996,2,0),"")</f>
        <v/>
      </c>
    </row>
    <row r="1522" spans="2:14">
      <c r="B1522" s="32">
        <f>IF(ISNUMBER(SEARCH('Φόρμα Εισαγωγής'!$B$2,C1522)),MAX($B$1:B1521)+1,0)</f>
        <v>0</v>
      </c>
      <c r="D1522" s="33">
        <f>IF(ISNUMBER(SEARCH('Φόρμα Εισαγωγής'!$C$2,E1522)),MAX($D$1:D1521)+1,0)</f>
        <v>0</v>
      </c>
      <c r="H1522" s="6">
        <f t="shared" si="80"/>
        <v>0</v>
      </c>
      <c r="I1522" s="6">
        <f t="shared" si="81"/>
        <v>0</v>
      </c>
      <c r="J1522" s="6">
        <f t="shared" si="82"/>
        <v>0</v>
      </c>
      <c r="L1522" s="4" t="str">
        <f>IFERROR(VLOOKUP(ROWS($L$2:L1522),$B$2:$C$1996,2,0),"")</f>
        <v/>
      </c>
      <c r="N1522" s="2" t="str">
        <f>IFERROR(VLOOKUP(ROWS($N$2:N1522),$D$2:$E$1996,2,0),"")</f>
        <v/>
      </c>
    </row>
    <row r="1523" spans="2:14">
      <c r="B1523" s="32">
        <f>IF(ISNUMBER(SEARCH('Φόρμα Εισαγωγής'!$B$2,C1523)),MAX($B$1:B1522)+1,0)</f>
        <v>0</v>
      </c>
      <c r="D1523" s="33">
        <f>IF(ISNUMBER(SEARCH('Φόρμα Εισαγωγής'!$C$2,E1523)),MAX($D$1:D1522)+1,0)</f>
        <v>0</v>
      </c>
      <c r="H1523" s="6">
        <f t="shared" si="80"/>
        <v>0</v>
      </c>
      <c r="I1523" s="6">
        <f t="shared" si="81"/>
        <v>0</v>
      </c>
      <c r="J1523" s="6">
        <f t="shared" si="82"/>
        <v>0</v>
      </c>
      <c r="L1523" s="4" t="str">
        <f>IFERROR(VLOOKUP(ROWS($L$2:L1523),$B$2:$C$1996,2,0),"")</f>
        <v/>
      </c>
      <c r="N1523" s="2" t="str">
        <f>IFERROR(VLOOKUP(ROWS($N$2:N1523),$D$2:$E$1996,2,0),"")</f>
        <v/>
      </c>
    </row>
    <row r="1524" spans="2:14">
      <c r="B1524" s="32">
        <f>IF(ISNUMBER(SEARCH('Φόρμα Εισαγωγής'!$B$2,C1524)),MAX($B$1:B1523)+1,0)</f>
        <v>0</v>
      </c>
      <c r="D1524" s="33">
        <f>IF(ISNUMBER(SEARCH('Φόρμα Εισαγωγής'!$C$2,E1524)),MAX($D$1:D1523)+1,0)</f>
        <v>0</v>
      </c>
      <c r="H1524" s="6">
        <f t="shared" si="80"/>
        <v>0</v>
      </c>
      <c r="I1524" s="6">
        <f t="shared" si="81"/>
        <v>0</v>
      </c>
      <c r="J1524" s="6">
        <f t="shared" si="82"/>
        <v>0</v>
      </c>
      <c r="L1524" s="4" t="str">
        <f>IFERROR(VLOOKUP(ROWS($L$2:L1524),$B$2:$C$1996,2,0),"")</f>
        <v/>
      </c>
      <c r="N1524" s="2" t="str">
        <f>IFERROR(VLOOKUP(ROWS($N$2:N1524),$D$2:$E$1996,2,0),"")</f>
        <v/>
      </c>
    </row>
    <row r="1525" spans="2:14">
      <c r="B1525" s="32">
        <f>IF(ISNUMBER(SEARCH('Φόρμα Εισαγωγής'!$B$2,C1525)),MAX($B$1:B1524)+1,0)</f>
        <v>0</v>
      </c>
      <c r="D1525" s="33">
        <f>IF(ISNUMBER(SEARCH('Φόρμα Εισαγωγής'!$C$2,E1525)),MAX($D$1:D1524)+1,0)</f>
        <v>0</v>
      </c>
      <c r="H1525" s="6">
        <f t="shared" si="80"/>
        <v>0</v>
      </c>
      <c r="I1525" s="6">
        <f t="shared" si="81"/>
        <v>0</v>
      </c>
      <c r="J1525" s="6">
        <f t="shared" si="82"/>
        <v>0</v>
      </c>
      <c r="L1525" s="4" t="str">
        <f>IFERROR(VLOOKUP(ROWS($L$2:L1525),$B$2:$C$1996,2,0),"")</f>
        <v/>
      </c>
      <c r="N1525" s="2" t="str">
        <f>IFERROR(VLOOKUP(ROWS($N$2:N1525),$D$2:$E$1996,2,0),"")</f>
        <v/>
      </c>
    </row>
    <row r="1526" spans="2:14">
      <c r="B1526" s="32">
        <f>IF(ISNUMBER(SEARCH('Φόρμα Εισαγωγής'!$B$2,C1526)),MAX($B$1:B1525)+1,0)</f>
        <v>0</v>
      </c>
      <c r="D1526" s="33">
        <f>IF(ISNUMBER(SEARCH('Φόρμα Εισαγωγής'!$C$2,E1526)),MAX($D$1:D1525)+1,0)</f>
        <v>0</v>
      </c>
      <c r="H1526" s="6">
        <f t="shared" si="80"/>
        <v>0</v>
      </c>
      <c r="I1526" s="6">
        <f t="shared" si="81"/>
        <v>0</v>
      </c>
      <c r="J1526" s="6">
        <f t="shared" si="82"/>
        <v>0</v>
      </c>
      <c r="L1526" s="4" t="str">
        <f>IFERROR(VLOOKUP(ROWS($L$2:L1526),$B$2:$C$1996,2,0),"")</f>
        <v/>
      </c>
      <c r="N1526" s="2" t="str">
        <f>IFERROR(VLOOKUP(ROWS($N$2:N1526),$D$2:$E$1996,2,0),"")</f>
        <v/>
      </c>
    </row>
    <row r="1527" spans="2:14">
      <c r="B1527" s="32">
        <f>IF(ISNUMBER(SEARCH('Φόρμα Εισαγωγής'!$B$2,C1527)),MAX($B$1:B1526)+1,0)</f>
        <v>0</v>
      </c>
      <c r="D1527" s="33">
        <f>IF(ISNUMBER(SEARCH('Φόρμα Εισαγωγής'!$C$2,E1527)),MAX($D$1:D1526)+1,0)</f>
        <v>0</v>
      </c>
      <c r="H1527" s="6">
        <f t="shared" si="80"/>
        <v>0</v>
      </c>
      <c r="I1527" s="6">
        <f t="shared" si="81"/>
        <v>0</v>
      </c>
      <c r="J1527" s="6">
        <f t="shared" si="82"/>
        <v>0</v>
      </c>
      <c r="L1527" s="4" t="str">
        <f>IFERROR(VLOOKUP(ROWS($L$2:L1527),$B$2:$C$1996,2,0),"")</f>
        <v/>
      </c>
      <c r="N1527" s="2" t="str">
        <f>IFERROR(VLOOKUP(ROWS($N$2:N1527),$D$2:$E$1996,2,0),"")</f>
        <v/>
      </c>
    </row>
    <row r="1528" spans="2:14">
      <c r="B1528" s="32">
        <f>IF(ISNUMBER(SEARCH('Φόρμα Εισαγωγής'!$B$2,C1528)),MAX($B$1:B1527)+1,0)</f>
        <v>0</v>
      </c>
      <c r="D1528" s="33">
        <f>IF(ISNUMBER(SEARCH('Φόρμα Εισαγωγής'!$C$2,E1528)),MAX($D$1:D1527)+1,0)</f>
        <v>0</v>
      </c>
      <c r="H1528" s="6">
        <f t="shared" si="80"/>
        <v>0</v>
      </c>
      <c r="I1528" s="6">
        <f t="shared" si="81"/>
        <v>0</v>
      </c>
      <c r="J1528" s="6">
        <f t="shared" si="82"/>
        <v>0</v>
      </c>
      <c r="L1528" s="4" t="str">
        <f>IFERROR(VLOOKUP(ROWS($L$2:L1528),$B$2:$C$1996,2,0),"")</f>
        <v/>
      </c>
      <c r="N1528" s="2" t="str">
        <f>IFERROR(VLOOKUP(ROWS($N$2:N1528),$D$2:$E$1996,2,0),"")</f>
        <v/>
      </c>
    </row>
    <row r="1529" spans="2:14">
      <c r="B1529" s="32">
        <f>IF(ISNUMBER(SEARCH('Φόρμα Εισαγωγής'!$B$2,C1529)),MAX($B$1:B1528)+1,0)</f>
        <v>0</v>
      </c>
      <c r="D1529" s="33">
        <f>IF(ISNUMBER(SEARCH('Φόρμα Εισαγωγής'!$C$2,E1529)),MAX($D$1:D1528)+1,0)</f>
        <v>0</v>
      </c>
      <c r="H1529" s="6">
        <f t="shared" si="80"/>
        <v>0</v>
      </c>
      <c r="I1529" s="6">
        <f t="shared" si="81"/>
        <v>0</v>
      </c>
      <c r="J1529" s="6">
        <f t="shared" si="82"/>
        <v>0</v>
      </c>
      <c r="L1529" s="4" t="str">
        <f>IFERROR(VLOOKUP(ROWS($L$2:L1529),$B$2:$C$1996,2,0),"")</f>
        <v/>
      </c>
      <c r="N1529" s="2" t="str">
        <f>IFERROR(VLOOKUP(ROWS($N$2:N1529),$D$2:$E$1996,2,0),"")</f>
        <v/>
      </c>
    </row>
    <row r="1530" spans="2:14">
      <c r="B1530" s="32">
        <f>IF(ISNUMBER(SEARCH('Φόρμα Εισαγωγής'!$B$2,C1530)),MAX($B$1:B1529)+1,0)</f>
        <v>0</v>
      </c>
      <c r="D1530" s="33">
        <f>IF(ISNUMBER(SEARCH('Φόρμα Εισαγωγής'!$C$2,E1530)),MAX($D$1:D1529)+1,0)</f>
        <v>0</v>
      </c>
      <c r="H1530" s="6">
        <f t="shared" si="80"/>
        <v>0</v>
      </c>
      <c r="I1530" s="6">
        <f t="shared" si="81"/>
        <v>0</v>
      </c>
      <c r="J1530" s="6">
        <f t="shared" si="82"/>
        <v>0</v>
      </c>
      <c r="L1530" s="4" t="str">
        <f>IFERROR(VLOOKUP(ROWS($L$2:L1530),$B$2:$C$1996,2,0),"")</f>
        <v/>
      </c>
      <c r="N1530" s="2" t="str">
        <f>IFERROR(VLOOKUP(ROWS($N$2:N1530),$D$2:$E$1996,2,0),"")</f>
        <v/>
      </c>
    </row>
    <row r="1531" spans="2:14">
      <c r="B1531" s="32">
        <f>IF(ISNUMBER(SEARCH('Φόρμα Εισαγωγής'!$B$2,C1531)),MAX($B$1:B1530)+1,0)</f>
        <v>0</v>
      </c>
      <c r="D1531" s="33">
        <f>IF(ISNUMBER(SEARCH('Φόρμα Εισαγωγής'!$C$2,E1531)),MAX($D$1:D1530)+1,0)</f>
        <v>0</v>
      </c>
      <c r="H1531" s="6">
        <f t="shared" si="80"/>
        <v>0</v>
      </c>
      <c r="I1531" s="6">
        <f t="shared" si="81"/>
        <v>0</v>
      </c>
      <c r="J1531" s="6">
        <f t="shared" si="82"/>
        <v>0</v>
      </c>
      <c r="L1531" s="4" t="str">
        <f>IFERROR(VLOOKUP(ROWS($L$2:L1531),$B$2:$C$1996,2,0),"")</f>
        <v/>
      </c>
      <c r="N1531" s="2" t="str">
        <f>IFERROR(VLOOKUP(ROWS($N$2:N1531),$D$2:$E$1996,2,0),"")</f>
        <v/>
      </c>
    </row>
    <row r="1532" spans="2:14">
      <c r="B1532" s="32">
        <f>IF(ISNUMBER(SEARCH('Φόρμα Εισαγωγής'!$B$2,C1532)),MAX($B$1:B1531)+1,0)</f>
        <v>0</v>
      </c>
      <c r="D1532" s="33">
        <f>IF(ISNUMBER(SEARCH('Φόρμα Εισαγωγής'!$C$2,E1532)),MAX($D$1:D1531)+1,0)</f>
        <v>0</v>
      </c>
      <c r="H1532" s="6">
        <f t="shared" si="80"/>
        <v>0</v>
      </c>
      <c r="I1532" s="6">
        <f t="shared" si="81"/>
        <v>0</v>
      </c>
      <c r="J1532" s="6">
        <f t="shared" si="82"/>
        <v>0</v>
      </c>
      <c r="L1532" s="4" t="str">
        <f>IFERROR(VLOOKUP(ROWS($L$2:L1532),$B$2:$C$1996,2,0),"")</f>
        <v/>
      </c>
      <c r="N1532" s="2" t="str">
        <f>IFERROR(VLOOKUP(ROWS($N$2:N1532),$D$2:$E$1996,2,0),"")</f>
        <v/>
      </c>
    </row>
    <row r="1533" spans="2:14">
      <c r="B1533" s="32">
        <f>IF(ISNUMBER(SEARCH('Φόρμα Εισαγωγής'!$B$2,C1533)),MAX($B$1:B1532)+1,0)</f>
        <v>0</v>
      </c>
      <c r="D1533" s="33">
        <f>IF(ISNUMBER(SEARCH('Φόρμα Εισαγωγής'!$C$2,E1533)),MAX($D$1:D1532)+1,0)</f>
        <v>0</v>
      </c>
      <c r="H1533" s="6">
        <f t="shared" si="80"/>
        <v>0</v>
      </c>
      <c r="I1533" s="6">
        <f t="shared" si="81"/>
        <v>0</v>
      </c>
      <c r="J1533" s="6">
        <f t="shared" si="82"/>
        <v>0</v>
      </c>
      <c r="L1533" s="4" t="str">
        <f>IFERROR(VLOOKUP(ROWS($L$2:L1533),$B$2:$C$1996,2,0),"")</f>
        <v/>
      </c>
      <c r="N1533" s="2" t="str">
        <f>IFERROR(VLOOKUP(ROWS($N$2:N1533),$D$2:$E$1996,2,0),"")</f>
        <v/>
      </c>
    </row>
    <row r="1534" spans="2:14">
      <c r="B1534" s="32">
        <f>IF(ISNUMBER(SEARCH('Φόρμα Εισαγωγής'!$B$2,C1534)),MAX($B$1:B1533)+1,0)</f>
        <v>0</v>
      </c>
      <c r="D1534" s="33">
        <f>IF(ISNUMBER(SEARCH('Φόρμα Εισαγωγής'!$C$2,E1534)),MAX($D$1:D1533)+1,0)</f>
        <v>0</v>
      </c>
      <c r="H1534" s="6">
        <f t="shared" si="80"/>
        <v>0</v>
      </c>
      <c r="I1534" s="6">
        <f t="shared" si="81"/>
        <v>0</v>
      </c>
      <c r="J1534" s="6">
        <f t="shared" si="82"/>
        <v>0</v>
      </c>
      <c r="L1534" s="4" t="str">
        <f>IFERROR(VLOOKUP(ROWS($L$2:L1534),$B$2:$C$1996,2,0),"")</f>
        <v/>
      </c>
      <c r="N1534" s="2" t="str">
        <f>IFERROR(VLOOKUP(ROWS($N$2:N1534),$D$2:$E$1996,2,0),"")</f>
        <v/>
      </c>
    </row>
    <row r="1535" spans="2:14">
      <c r="B1535" s="32">
        <f>IF(ISNUMBER(SEARCH('Φόρμα Εισαγωγής'!$B$2,C1535)),MAX($B$1:B1534)+1,0)</f>
        <v>0</v>
      </c>
      <c r="D1535" s="33">
        <f>IF(ISNUMBER(SEARCH('Φόρμα Εισαγωγής'!$C$2,E1535)),MAX($D$1:D1534)+1,0)</f>
        <v>0</v>
      </c>
      <c r="H1535" s="6">
        <f t="shared" si="80"/>
        <v>0</v>
      </c>
      <c r="I1535" s="6">
        <f t="shared" si="81"/>
        <v>0</v>
      </c>
      <c r="J1535" s="6">
        <f t="shared" si="82"/>
        <v>0</v>
      </c>
      <c r="L1535" s="4" t="str">
        <f>IFERROR(VLOOKUP(ROWS($L$2:L1535),$B$2:$C$1996,2,0),"")</f>
        <v/>
      </c>
      <c r="N1535" s="2" t="str">
        <f>IFERROR(VLOOKUP(ROWS($N$2:N1535),$D$2:$E$1996,2,0),"")</f>
        <v/>
      </c>
    </row>
    <row r="1536" spans="2:14">
      <c r="B1536" s="32">
        <f>IF(ISNUMBER(SEARCH('Φόρμα Εισαγωγής'!$B$2,C1536)),MAX($B$1:B1535)+1,0)</f>
        <v>0</v>
      </c>
      <c r="D1536" s="33">
        <f>IF(ISNUMBER(SEARCH('Φόρμα Εισαγωγής'!$C$2,E1536)),MAX($D$1:D1535)+1,0)</f>
        <v>0</v>
      </c>
      <c r="H1536" s="6">
        <f t="shared" ref="H1536:H1599" si="83">G1536+(G1536*0.24)</f>
        <v>0</v>
      </c>
      <c r="I1536" s="6">
        <f t="shared" ref="I1536:I1599" si="84">F1536*A1536</f>
        <v>0</v>
      </c>
      <c r="J1536" s="6">
        <f t="shared" ref="J1536:J1599" si="85">H1536*A1536</f>
        <v>0</v>
      </c>
      <c r="L1536" s="4" t="str">
        <f>IFERROR(VLOOKUP(ROWS($L$2:L1536),$B$2:$C$1996,2,0),"")</f>
        <v/>
      </c>
      <c r="N1536" s="2" t="str">
        <f>IFERROR(VLOOKUP(ROWS($N$2:N1536),$D$2:$E$1996,2,0),"")</f>
        <v/>
      </c>
    </row>
    <row r="1537" spans="2:14">
      <c r="B1537" s="32">
        <f>IF(ISNUMBER(SEARCH('Φόρμα Εισαγωγής'!$B$2,C1537)),MAX($B$1:B1536)+1,0)</f>
        <v>0</v>
      </c>
      <c r="D1537" s="33">
        <f>IF(ISNUMBER(SEARCH('Φόρμα Εισαγωγής'!$C$2,E1537)),MAX($D$1:D1536)+1,0)</f>
        <v>0</v>
      </c>
      <c r="H1537" s="6">
        <f t="shared" si="83"/>
        <v>0</v>
      </c>
      <c r="I1537" s="6">
        <f t="shared" si="84"/>
        <v>0</v>
      </c>
      <c r="J1537" s="6">
        <f t="shared" si="85"/>
        <v>0</v>
      </c>
      <c r="L1537" s="4" t="str">
        <f>IFERROR(VLOOKUP(ROWS($L$2:L1537),$B$2:$C$1996,2,0),"")</f>
        <v/>
      </c>
      <c r="N1537" s="2" t="str">
        <f>IFERROR(VLOOKUP(ROWS($N$2:N1537),$D$2:$E$1996,2,0),"")</f>
        <v/>
      </c>
    </row>
    <row r="1538" spans="2:14">
      <c r="B1538" s="32">
        <f>IF(ISNUMBER(SEARCH('Φόρμα Εισαγωγής'!$B$2,C1538)),MAX($B$1:B1537)+1,0)</f>
        <v>0</v>
      </c>
      <c r="D1538" s="33">
        <f>IF(ISNUMBER(SEARCH('Φόρμα Εισαγωγής'!$C$2,E1538)),MAX($D$1:D1537)+1,0)</f>
        <v>0</v>
      </c>
      <c r="H1538" s="6">
        <f t="shared" si="83"/>
        <v>0</v>
      </c>
      <c r="I1538" s="6">
        <f t="shared" si="84"/>
        <v>0</v>
      </c>
      <c r="J1538" s="6">
        <f t="shared" si="85"/>
        <v>0</v>
      </c>
      <c r="L1538" s="4" t="str">
        <f>IFERROR(VLOOKUP(ROWS($L$2:L1538),$B$2:$C$1996,2,0),"")</f>
        <v/>
      </c>
      <c r="N1538" s="2" t="str">
        <f>IFERROR(VLOOKUP(ROWS($N$2:N1538),$D$2:$E$1996,2,0),"")</f>
        <v/>
      </c>
    </row>
    <row r="1539" spans="2:14">
      <c r="B1539" s="32">
        <f>IF(ISNUMBER(SEARCH('Φόρμα Εισαγωγής'!$B$2,C1539)),MAX($B$1:B1538)+1,0)</f>
        <v>0</v>
      </c>
      <c r="D1539" s="33">
        <f>IF(ISNUMBER(SEARCH('Φόρμα Εισαγωγής'!$C$2,E1539)),MAX($D$1:D1538)+1,0)</f>
        <v>0</v>
      </c>
      <c r="H1539" s="6">
        <f t="shared" si="83"/>
        <v>0</v>
      </c>
      <c r="I1539" s="6">
        <f t="shared" si="84"/>
        <v>0</v>
      </c>
      <c r="J1539" s="6">
        <f t="shared" si="85"/>
        <v>0</v>
      </c>
      <c r="L1539" s="4" t="str">
        <f>IFERROR(VLOOKUP(ROWS($L$2:L1539),$B$2:$C$1996,2,0),"")</f>
        <v/>
      </c>
      <c r="N1539" s="2" t="str">
        <f>IFERROR(VLOOKUP(ROWS($N$2:N1539),$D$2:$E$1996,2,0),"")</f>
        <v/>
      </c>
    </row>
    <row r="1540" spans="2:14">
      <c r="B1540" s="32">
        <f>IF(ISNUMBER(SEARCH('Φόρμα Εισαγωγής'!$B$2,C1540)),MAX($B$1:B1539)+1,0)</f>
        <v>0</v>
      </c>
      <c r="D1540" s="33">
        <f>IF(ISNUMBER(SEARCH('Φόρμα Εισαγωγής'!$C$2,E1540)),MAX($D$1:D1539)+1,0)</f>
        <v>0</v>
      </c>
      <c r="H1540" s="6">
        <f t="shared" si="83"/>
        <v>0</v>
      </c>
      <c r="I1540" s="6">
        <f t="shared" si="84"/>
        <v>0</v>
      </c>
      <c r="J1540" s="6">
        <f t="shared" si="85"/>
        <v>0</v>
      </c>
      <c r="L1540" s="4" t="str">
        <f>IFERROR(VLOOKUP(ROWS($L$2:L1540),$B$2:$C$1996,2,0),"")</f>
        <v/>
      </c>
      <c r="N1540" s="2" t="str">
        <f>IFERROR(VLOOKUP(ROWS($N$2:N1540),$D$2:$E$1996,2,0),"")</f>
        <v/>
      </c>
    </row>
    <row r="1541" spans="2:14">
      <c r="B1541" s="32">
        <f>IF(ISNUMBER(SEARCH('Φόρμα Εισαγωγής'!$B$2,C1541)),MAX($B$1:B1540)+1,0)</f>
        <v>0</v>
      </c>
      <c r="D1541" s="33">
        <f>IF(ISNUMBER(SEARCH('Φόρμα Εισαγωγής'!$C$2,E1541)),MAX($D$1:D1540)+1,0)</f>
        <v>0</v>
      </c>
      <c r="H1541" s="6">
        <f t="shared" si="83"/>
        <v>0</v>
      </c>
      <c r="I1541" s="6">
        <f t="shared" si="84"/>
        <v>0</v>
      </c>
      <c r="J1541" s="6">
        <f t="shared" si="85"/>
        <v>0</v>
      </c>
      <c r="L1541" s="4" t="str">
        <f>IFERROR(VLOOKUP(ROWS($L$2:L1541),$B$2:$C$1996,2,0),"")</f>
        <v/>
      </c>
      <c r="N1541" s="2" t="str">
        <f>IFERROR(VLOOKUP(ROWS($N$2:N1541),$D$2:$E$1996,2,0),"")</f>
        <v/>
      </c>
    </row>
    <row r="1542" spans="2:14">
      <c r="B1542" s="32">
        <f>IF(ISNUMBER(SEARCH('Φόρμα Εισαγωγής'!$B$2,C1542)),MAX($B$1:B1541)+1,0)</f>
        <v>0</v>
      </c>
      <c r="D1542" s="33">
        <f>IF(ISNUMBER(SEARCH('Φόρμα Εισαγωγής'!$C$2,E1542)),MAX($D$1:D1541)+1,0)</f>
        <v>0</v>
      </c>
      <c r="H1542" s="6">
        <f t="shared" si="83"/>
        <v>0</v>
      </c>
      <c r="I1542" s="6">
        <f t="shared" si="84"/>
        <v>0</v>
      </c>
      <c r="J1542" s="6">
        <f t="shared" si="85"/>
        <v>0</v>
      </c>
      <c r="L1542" s="4" t="str">
        <f>IFERROR(VLOOKUP(ROWS($L$2:L1542),$B$2:$C$1996,2,0),"")</f>
        <v/>
      </c>
      <c r="N1542" s="2" t="str">
        <f>IFERROR(VLOOKUP(ROWS($N$2:N1542),$D$2:$E$1996,2,0),"")</f>
        <v/>
      </c>
    </row>
    <row r="1543" spans="2:14">
      <c r="B1543" s="32">
        <f>IF(ISNUMBER(SEARCH('Φόρμα Εισαγωγής'!$B$2,C1543)),MAX($B$1:B1542)+1,0)</f>
        <v>0</v>
      </c>
      <c r="D1543" s="33">
        <f>IF(ISNUMBER(SEARCH('Φόρμα Εισαγωγής'!$C$2,E1543)),MAX($D$1:D1542)+1,0)</f>
        <v>0</v>
      </c>
      <c r="H1543" s="6">
        <f t="shared" si="83"/>
        <v>0</v>
      </c>
      <c r="I1543" s="6">
        <f t="shared" si="84"/>
        <v>0</v>
      </c>
      <c r="J1543" s="6">
        <f t="shared" si="85"/>
        <v>0</v>
      </c>
      <c r="L1543" s="4" t="str">
        <f>IFERROR(VLOOKUP(ROWS($L$2:L1543),$B$2:$C$1996,2,0),"")</f>
        <v/>
      </c>
      <c r="N1543" s="2" t="str">
        <f>IFERROR(VLOOKUP(ROWS($N$2:N1543),$D$2:$E$1996,2,0),"")</f>
        <v/>
      </c>
    </row>
    <row r="1544" spans="2:14">
      <c r="B1544" s="32">
        <f>IF(ISNUMBER(SEARCH('Φόρμα Εισαγωγής'!$B$2,C1544)),MAX($B$1:B1543)+1,0)</f>
        <v>0</v>
      </c>
      <c r="D1544" s="33">
        <f>IF(ISNUMBER(SEARCH('Φόρμα Εισαγωγής'!$C$2,E1544)),MAX($D$1:D1543)+1,0)</f>
        <v>0</v>
      </c>
      <c r="H1544" s="6">
        <f t="shared" si="83"/>
        <v>0</v>
      </c>
      <c r="I1544" s="6">
        <f t="shared" si="84"/>
        <v>0</v>
      </c>
      <c r="J1544" s="6">
        <f t="shared" si="85"/>
        <v>0</v>
      </c>
      <c r="L1544" s="4" t="str">
        <f>IFERROR(VLOOKUP(ROWS($L$2:L1544),$B$2:$C$1996,2,0),"")</f>
        <v/>
      </c>
      <c r="N1544" s="2" t="str">
        <f>IFERROR(VLOOKUP(ROWS($N$2:N1544),$D$2:$E$1996,2,0),"")</f>
        <v/>
      </c>
    </row>
    <row r="1545" spans="2:14">
      <c r="B1545" s="32">
        <f>IF(ISNUMBER(SEARCH('Φόρμα Εισαγωγής'!$B$2,C1545)),MAX($B$1:B1544)+1,0)</f>
        <v>0</v>
      </c>
      <c r="D1545" s="33">
        <f>IF(ISNUMBER(SEARCH('Φόρμα Εισαγωγής'!$C$2,E1545)),MAX($D$1:D1544)+1,0)</f>
        <v>0</v>
      </c>
      <c r="H1545" s="6">
        <f t="shared" si="83"/>
        <v>0</v>
      </c>
      <c r="I1545" s="6">
        <f t="shared" si="84"/>
        <v>0</v>
      </c>
      <c r="J1545" s="6">
        <f t="shared" si="85"/>
        <v>0</v>
      </c>
      <c r="L1545" s="4" t="str">
        <f>IFERROR(VLOOKUP(ROWS($L$2:L1545),$B$2:$C$1996,2,0),"")</f>
        <v/>
      </c>
      <c r="N1545" s="2" t="str">
        <f>IFERROR(VLOOKUP(ROWS($N$2:N1545),$D$2:$E$1996,2,0),"")</f>
        <v/>
      </c>
    </row>
    <row r="1546" spans="2:14">
      <c r="B1546" s="32">
        <f>IF(ISNUMBER(SEARCH('Φόρμα Εισαγωγής'!$B$2,C1546)),MAX($B$1:B1545)+1,0)</f>
        <v>0</v>
      </c>
      <c r="D1546" s="33">
        <f>IF(ISNUMBER(SEARCH('Φόρμα Εισαγωγής'!$C$2,E1546)),MAX($D$1:D1545)+1,0)</f>
        <v>0</v>
      </c>
      <c r="H1546" s="6">
        <f t="shared" si="83"/>
        <v>0</v>
      </c>
      <c r="I1546" s="6">
        <f t="shared" si="84"/>
        <v>0</v>
      </c>
      <c r="J1546" s="6">
        <f t="shared" si="85"/>
        <v>0</v>
      </c>
      <c r="L1546" s="4" t="str">
        <f>IFERROR(VLOOKUP(ROWS($L$2:L1546),$B$2:$C$1996,2,0),"")</f>
        <v/>
      </c>
      <c r="N1546" s="2" t="str">
        <f>IFERROR(VLOOKUP(ROWS($N$2:N1546),$D$2:$E$1996,2,0),"")</f>
        <v/>
      </c>
    </row>
    <row r="1547" spans="2:14">
      <c r="B1547" s="32">
        <f>IF(ISNUMBER(SEARCH('Φόρμα Εισαγωγής'!$B$2,C1547)),MAX($B$1:B1546)+1,0)</f>
        <v>0</v>
      </c>
      <c r="D1547" s="33">
        <f>IF(ISNUMBER(SEARCH('Φόρμα Εισαγωγής'!$C$2,E1547)),MAX($D$1:D1546)+1,0)</f>
        <v>0</v>
      </c>
      <c r="H1547" s="6">
        <f t="shared" si="83"/>
        <v>0</v>
      </c>
      <c r="I1547" s="6">
        <f t="shared" si="84"/>
        <v>0</v>
      </c>
      <c r="J1547" s="6">
        <f t="shared" si="85"/>
        <v>0</v>
      </c>
      <c r="L1547" s="4" t="str">
        <f>IFERROR(VLOOKUP(ROWS($L$2:L1547),$B$2:$C$1996,2,0),"")</f>
        <v/>
      </c>
      <c r="N1547" s="2" t="str">
        <f>IFERROR(VLOOKUP(ROWS($N$2:N1547),$D$2:$E$1996,2,0),"")</f>
        <v/>
      </c>
    </row>
    <row r="1548" spans="2:14">
      <c r="B1548" s="32">
        <f>IF(ISNUMBER(SEARCH('Φόρμα Εισαγωγής'!$B$2,C1548)),MAX($B$1:B1547)+1,0)</f>
        <v>0</v>
      </c>
      <c r="D1548" s="33">
        <f>IF(ISNUMBER(SEARCH('Φόρμα Εισαγωγής'!$C$2,E1548)),MAX($D$1:D1547)+1,0)</f>
        <v>0</v>
      </c>
      <c r="H1548" s="6">
        <f t="shared" si="83"/>
        <v>0</v>
      </c>
      <c r="I1548" s="6">
        <f t="shared" si="84"/>
        <v>0</v>
      </c>
      <c r="J1548" s="6">
        <f t="shared" si="85"/>
        <v>0</v>
      </c>
      <c r="L1548" s="4" t="str">
        <f>IFERROR(VLOOKUP(ROWS($L$2:L1548),$B$2:$C$1996,2,0),"")</f>
        <v/>
      </c>
      <c r="N1548" s="2" t="str">
        <f>IFERROR(VLOOKUP(ROWS($N$2:N1548),$D$2:$E$1996,2,0),"")</f>
        <v/>
      </c>
    </row>
    <row r="1549" spans="2:14">
      <c r="B1549" s="32">
        <f>IF(ISNUMBER(SEARCH('Φόρμα Εισαγωγής'!$B$2,C1549)),MAX($B$1:B1548)+1,0)</f>
        <v>0</v>
      </c>
      <c r="D1549" s="33">
        <f>IF(ISNUMBER(SEARCH('Φόρμα Εισαγωγής'!$C$2,E1549)),MAX($D$1:D1548)+1,0)</f>
        <v>0</v>
      </c>
      <c r="H1549" s="6">
        <f t="shared" si="83"/>
        <v>0</v>
      </c>
      <c r="I1549" s="6">
        <f t="shared" si="84"/>
        <v>0</v>
      </c>
      <c r="J1549" s="6">
        <f t="shared" si="85"/>
        <v>0</v>
      </c>
      <c r="L1549" s="4" t="str">
        <f>IFERROR(VLOOKUP(ROWS($L$2:L1549),$B$2:$C$1996,2,0),"")</f>
        <v/>
      </c>
      <c r="N1549" s="2" t="str">
        <f>IFERROR(VLOOKUP(ROWS($N$2:N1549),$D$2:$E$1996,2,0),"")</f>
        <v/>
      </c>
    </row>
    <row r="1550" spans="2:14">
      <c r="B1550" s="32">
        <f>IF(ISNUMBER(SEARCH('Φόρμα Εισαγωγής'!$B$2,C1550)),MAX($B$1:B1549)+1,0)</f>
        <v>0</v>
      </c>
      <c r="D1550" s="33">
        <f>IF(ISNUMBER(SEARCH('Φόρμα Εισαγωγής'!$C$2,E1550)),MAX($D$1:D1549)+1,0)</f>
        <v>0</v>
      </c>
      <c r="H1550" s="6">
        <f t="shared" si="83"/>
        <v>0</v>
      </c>
      <c r="I1550" s="6">
        <f t="shared" si="84"/>
        <v>0</v>
      </c>
      <c r="J1550" s="6">
        <f t="shared" si="85"/>
        <v>0</v>
      </c>
      <c r="L1550" s="4" t="str">
        <f>IFERROR(VLOOKUP(ROWS($L$2:L1550),$B$2:$C$1996,2,0),"")</f>
        <v/>
      </c>
      <c r="N1550" s="2" t="str">
        <f>IFERROR(VLOOKUP(ROWS($N$2:N1550),$D$2:$E$1996,2,0),"")</f>
        <v/>
      </c>
    </row>
    <row r="1551" spans="2:14">
      <c r="B1551" s="32">
        <f>IF(ISNUMBER(SEARCH('Φόρμα Εισαγωγής'!$B$2,C1551)),MAX($B$1:B1550)+1,0)</f>
        <v>0</v>
      </c>
      <c r="D1551" s="33">
        <f>IF(ISNUMBER(SEARCH('Φόρμα Εισαγωγής'!$C$2,E1551)),MAX($D$1:D1550)+1,0)</f>
        <v>0</v>
      </c>
      <c r="H1551" s="6">
        <f t="shared" si="83"/>
        <v>0</v>
      </c>
      <c r="I1551" s="6">
        <f t="shared" si="84"/>
        <v>0</v>
      </c>
      <c r="J1551" s="6">
        <f t="shared" si="85"/>
        <v>0</v>
      </c>
      <c r="L1551" s="4" t="str">
        <f>IFERROR(VLOOKUP(ROWS($L$2:L1551),$B$2:$C$1996,2,0),"")</f>
        <v/>
      </c>
      <c r="N1551" s="2" t="str">
        <f>IFERROR(VLOOKUP(ROWS($N$2:N1551),$D$2:$E$1996,2,0),"")</f>
        <v/>
      </c>
    </row>
    <row r="1552" spans="2:14">
      <c r="B1552" s="32">
        <f>IF(ISNUMBER(SEARCH('Φόρμα Εισαγωγής'!$B$2,C1552)),MAX($B$1:B1551)+1,0)</f>
        <v>0</v>
      </c>
      <c r="D1552" s="33">
        <f>IF(ISNUMBER(SEARCH('Φόρμα Εισαγωγής'!$C$2,E1552)),MAX($D$1:D1551)+1,0)</f>
        <v>0</v>
      </c>
      <c r="H1552" s="6">
        <f t="shared" si="83"/>
        <v>0</v>
      </c>
      <c r="I1552" s="6">
        <f t="shared" si="84"/>
        <v>0</v>
      </c>
      <c r="J1552" s="6">
        <f t="shared" si="85"/>
        <v>0</v>
      </c>
      <c r="L1552" s="4" t="str">
        <f>IFERROR(VLOOKUP(ROWS($L$2:L1552),$B$2:$C$1996,2,0),"")</f>
        <v/>
      </c>
      <c r="N1552" s="2" t="str">
        <f>IFERROR(VLOOKUP(ROWS($N$2:N1552),$D$2:$E$1996,2,0),"")</f>
        <v/>
      </c>
    </row>
    <row r="1553" spans="2:14">
      <c r="B1553" s="32">
        <f>IF(ISNUMBER(SEARCH('Φόρμα Εισαγωγής'!$B$2,C1553)),MAX($B$1:B1552)+1,0)</f>
        <v>0</v>
      </c>
      <c r="D1553" s="33">
        <f>IF(ISNUMBER(SEARCH('Φόρμα Εισαγωγής'!$C$2,E1553)),MAX($D$1:D1552)+1,0)</f>
        <v>0</v>
      </c>
      <c r="H1553" s="6">
        <f t="shared" si="83"/>
        <v>0</v>
      </c>
      <c r="I1553" s="6">
        <f t="shared" si="84"/>
        <v>0</v>
      </c>
      <c r="J1553" s="6">
        <f t="shared" si="85"/>
        <v>0</v>
      </c>
      <c r="L1553" s="4" t="str">
        <f>IFERROR(VLOOKUP(ROWS($L$2:L1553),$B$2:$C$1996,2,0),"")</f>
        <v/>
      </c>
      <c r="N1553" s="2" t="str">
        <f>IFERROR(VLOOKUP(ROWS($N$2:N1553),$D$2:$E$1996,2,0),"")</f>
        <v/>
      </c>
    </row>
    <row r="1554" spans="2:14">
      <c r="B1554" s="32">
        <f>IF(ISNUMBER(SEARCH('Φόρμα Εισαγωγής'!$B$2,C1554)),MAX($B$1:B1553)+1,0)</f>
        <v>0</v>
      </c>
      <c r="D1554" s="33">
        <f>IF(ISNUMBER(SEARCH('Φόρμα Εισαγωγής'!$C$2,E1554)),MAX($D$1:D1553)+1,0)</f>
        <v>0</v>
      </c>
      <c r="H1554" s="6">
        <f t="shared" si="83"/>
        <v>0</v>
      </c>
      <c r="I1554" s="6">
        <f t="shared" si="84"/>
        <v>0</v>
      </c>
      <c r="J1554" s="6">
        <f t="shared" si="85"/>
        <v>0</v>
      </c>
      <c r="L1554" s="4" t="str">
        <f>IFERROR(VLOOKUP(ROWS($L$2:L1554),$B$2:$C$1996,2,0),"")</f>
        <v/>
      </c>
      <c r="N1554" s="2" t="str">
        <f>IFERROR(VLOOKUP(ROWS($N$2:N1554),$D$2:$E$1996,2,0),"")</f>
        <v/>
      </c>
    </row>
    <row r="1555" spans="2:14">
      <c r="B1555" s="32">
        <f>IF(ISNUMBER(SEARCH('Φόρμα Εισαγωγής'!$B$2,C1555)),MAX($B$1:B1554)+1,0)</f>
        <v>0</v>
      </c>
      <c r="D1555" s="33">
        <f>IF(ISNUMBER(SEARCH('Φόρμα Εισαγωγής'!$C$2,E1555)),MAX($D$1:D1554)+1,0)</f>
        <v>0</v>
      </c>
      <c r="H1555" s="6">
        <f t="shared" si="83"/>
        <v>0</v>
      </c>
      <c r="I1555" s="6">
        <f t="shared" si="84"/>
        <v>0</v>
      </c>
      <c r="J1555" s="6">
        <f t="shared" si="85"/>
        <v>0</v>
      </c>
      <c r="L1555" s="4" t="str">
        <f>IFERROR(VLOOKUP(ROWS($L$2:L1555),$B$2:$C$1996,2,0),"")</f>
        <v/>
      </c>
      <c r="N1555" s="2" t="str">
        <f>IFERROR(VLOOKUP(ROWS($N$2:N1555),$D$2:$E$1996,2,0),"")</f>
        <v/>
      </c>
    </row>
    <row r="1556" spans="2:14">
      <c r="B1556" s="32">
        <f>IF(ISNUMBER(SEARCH('Φόρμα Εισαγωγής'!$B$2,C1556)),MAX($B$1:B1555)+1,0)</f>
        <v>0</v>
      </c>
      <c r="D1556" s="33">
        <f>IF(ISNUMBER(SEARCH('Φόρμα Εισαγωγής'!$C$2,E1556)),MAX($D$1:D1555)+1,0)</f>
        <v>0</v>
      </c>
      <c r="H1556" s="6">
        <f t="shared" si="83"/>
        <v>0</v>
      </c>
      <c r="I1556" s="6">
        <f t="shared" si="84"/>
        <v>0</v>
      </c>
      <c r="J1556" s="6">
        <f t="shared" si="85"/>
        <v>0</v>
      </c>
      <c r="L1556" s="4" t="str">
        <f>IFERROR(VLOOKUP(ROWS($L$2:L1556),$B$2:$C$1996,2,0),"")</f>
        <v/>
      </c>
      <c r="N1556" s="2" t="str">
        <f>IFERROR(VLOOKUP(ROWS($N$2:N1556),$D$2:$E$1996,2,0),"")</f>
        <v/>
      </c>
    </row>
    <row r="1557" spans="2:14">
      <c r="B1557" s="32">
        <f>IF(ISNUMBER(SEARCH('Φόρμα Εισαγωγής'!$B$2,C1557)),MAX($B$1:B1556)+1,0)</f>
        <v>0</v>
      </c>
      <c r="D1557" s="33">
        <f>IF(ISNUMBER(SEARCH('Φόρμα Εισαγωγής'!$C$2,E1557)),MAX($D$1:D1556)+1,0)</f>
        <v>0</v>
      </c>
      <c r="H1557" s="6">
        <f t="shared" si="83"/>
        <v>0</v>
      </c>
      <c r="I1557" s="6">
        <f t="shared" si="84"/>
        <v>0</v>
      </c>
      <c r="J1557" s="6">
        <f t="shared" si="85"/>
        <v>0</v>
      </c>
      <c r="L1557" s="4" t="str">
        <f>IFERROR(VLOOKUP(ROWS($L$2:L1557),$B$2:$C$1996,2,0),"")</f>
        <v/>
      </c>
      <c r="N1557" s="2" t="str">
        <f>IFERROR(VLOOKUP(ROWS($N$2:N1557),$D$2:$E$1996,2,0),"")</f>
        <v/>
      </c>
    </row>
    <row r="1558" spans="2:14">
      <c r="B1558" s="32">
        <f>IF(ISNUMBER(SEARCH('Φόρμα Εισαγωγής'!$B$2,C1558)),MAX($B$1:B1557)+1,0)</f>
        <v>0</v>
      </c>
      <c r="D1558" s="33">
        <f>IF(ISNUMBER(SEARCH('Φόρμα Εισαγωγής'!$C$2,E1558)),MAX($D$1:D1557)+1,0)</f>
        <v>0</v>
      </c>
      <c r="H1558" s="6">
        <f t="shared" si="83"/>
        <v>0</v>
      </c>
      <c r="I1558" s="6">
        <f t="shared" si="84"/>
        <v>0</v>
      </c>
      <c r="J1558" s="6">
        <f t="shared" si="85"/>
        <v>0</v>
      </c>
      <c r="L1558" s="4" t="str">
        <f>IFERROR(VLOOKUP(ROWS($L$2:L1558),$B$2:$C$1996,2,0),"")</f>
        <v/>
      </c>
      <c r="N1558" s="2" t="str">
        <f>IFERROR(VLOOKUP(ROWS($N$2:N1558),$D$2:$E$1996,2,0),"")</f>
        <v/>
      </c>
    </row>
    <row r="1559" spans="2:14">
      <c r="B1559" s="32">
        <f>IF(ISNUMBER(SEARCH('Φόρμα Εισαγωγής'!$B$2,C1559)),MAX($B$1:B1558)+1,0)</f>
        <v>0</v>
      </c>
      <c r="D1559" s="33">
        <f>IF(ISNUMBER(SEARCH('Φόρμα Εισαγωγής'!$C$2,E1559)),MAX($D$1:D1558)+1,0)</f>
        <v>0</v>
      </c>
      <c r="H1559" s="6">
        <f t="shared" si="83"/>
        <v>0</v>
      </c>
      <c r="I1559" s="6">
        <f t="shared" si="84"/>
        <v>0</v>
      </c>
      <c r="J1559" s="6">
        <f t="shared" si="85"/>
        <v>0</v>
      </c>
      <c r="L1559" s="4" t="str">
        <f>IFERROR(VLOOKUP(ROWS($L$2:L1559),$B$2:$C$1996,2,0),"")</f>
        <v/>
      </c>
      <c r="N1559" s="2" t="str">
        <f>IFERROR(VLOOKUP(ROWS($N$2:N1559),$D$2:$E$1996,2,0),"")</f>
        <v/>
      </c>
    </row>
    <row r="1560" spans="2:14">
      <c r="B1560" s="32">
        <f>IF(ISNUMBER(SEARCH('Φόρμα Εισαγωγής'!$B$2,C1560)),MAX($B$1:B1559)+1,0)</f>
        <v>0</v>
      </c>
      <c r="D1560" s="33">
        <f>IF(ISNUMBER(SEARCH('Φόρμα Εισαγωγής'!$C$2,E1560)),MAX($D$1:D1559)+1,0)</f>
        <v>0</v>
      </c>
      <c r="H1560" s="6">
        <f t="shared" si="83"/>
        <v>0</v>
      </c>
      <c r="I1560" s="6">
        <f t="shared" si="84"/>
        <v>0</v>
      </c>
      <c r="J1560" s="6">
        <f t="shared" si="85"/>
        <v>0</v>
      </c>
      <c r="L1560" s="4" t="str">
        <f>IFERROR(VLOOKUP(ROWS($L$2:L1560),$B$2:$C$1996,2,0),"")</f>
        <v/>
      </c>
      <c r="N1560" s="2" t="str">
        <f>IFERROR(VLOOKUP(ROWS($N$2:N1560),$D$2:$E$1996,2,0),"")</f>
        <v/>
      </c>
    </row>
    <row r="1561" spans="2:14">
      <c r="B1561" s="32">
        <f>IF(ISNUMBER(SEARCH('Φόρμα Εισαγωγής'!$B$2,C1561)),MAX($B$1:B1560)+1,0)</f>
        <v>0</v>
      </c>
      <c r="D1561" s="33">
        <f>IF(ISNUMBER(SEARCH('Φόρμα Εισαγωγής'!$C$2,E1561)),MAX($D$1:D1560)+1,0)</f>
        <v>0</v>
      </c>
      <c r="H1561" s="6">
        <f t="shared" si="83"/>
        <v>0</v>
      </c>
      <c r="I1561" s="6">
        <f t="shared" si="84"/>
        <v>0</v>
      </c>
      <c r="J1561" s="6">
        <f t="shared" si="85"/>
        <v>0</v>
      </c>
      <c r="L1561" s="4" t="str">
        <f>IFERROR(VLOOKUP(ROWS($L$2:L1561),$B$2:$C$1996,2,0),"")</f>
        <v/>
      </c>
      <c r="N1561" s="2" t="str">
        <f>IFERROR(VLOOKUP(ROWS($N$2:N1561),$D$2:$E$1996,2,0),"")</f>
        <v/>
      </c>
    </row>
    <row r="1562" spans="2:14">
      <c r="B1562" s="32">
        <f>IF(ISNUMBER(SEARCH('Φόρμα Εισαγωγής'!$B$2,C1562)),MAX($B$1:B1561)+1,0)</f>
        <v>0</v>
      </c>
      <c r="D1562" s="33">
        <f>IF(ISNUMBER(SEARCH('Φόρμα Εισαγωγής'!$C$2,E1562)),MAX($D$1:D1561)+1,0)</f>
        <v>0</v>
      </c>
      <c r="H1562" s="6">
        <f t="shared" si="83"/>
        <v>0</v>
      </c>
      <c r="I1562" s="6">
        <f t="shared" si="84"/>
        <v>0</v>
      </c>
      <c r="J1562" s="6">
        <f t="shared" si="85"/>
        <v>0</v>
      </c>
      <c r="L1562" s="4" t="str">
        <f>IFERROR(VLOOKUP(ROWS($L$2:L1562),$B$2:$C$1996,2,0),"")</f>
        <v/>
      </c>
      <c r="N1562" s="2" t="str">
        <f>IFERROR(VLOOKUP(ROWS($N$2:N1562),$D$2:$E$1996,2,0),"")</f>
        <v/>
      </c>
    </row>
    <row r="1563" spans="2:14">
      <c r="B1563" s="32">
        <f>IF(ISNUMBER(SEARCH('Φόρμα Εισαγωγής'!$B$2,C1563)),MAX($B$1:B1562)+1,0)</f>
        <v>0</v>
      </c>
      <c r="D1563" s="33">
        <f>IF(ISNUMBER(SEARCH('Φόρμα Εισαγωγής'!$C$2,E1563)),MAX($D$1:D1562)+1,0)</f>
        <v>0</v>
      </c>
      <c r="H1563" s="6">
        <f t="shared" si="83"/>
        <v>0</v>
      </c>
      <c r="I1563" s="6">
        <f t="shared" si="84"/>
        <v>0</v>
      </c>
      <c r="J1563" s="6">
        <f t="shared" si="85"/>
        <v>0</v>
      </c>
      <c r="L1563" s="4" t="str">
        <f>IFERROR(VLOOKUP(ROWS($L$2:L1563),$B$2:$C$1996,2,0),"")</f>
        <v/>
      </c>
      <c r="N1563" s="2" t="str">
        <f>IFERROR(VLOOKUP(ROWS($N$2:N1563),$D$2:$E$1996,2,0),"")</f>
        <v/>
      </c>
    </row>
    <row r="1564" spans="2:14">
      <c r="B1564" s="32">
        <f>IF(ISNUMBER(SEARCH('Φόρμα Εισαγωγής'!$B$2,C1564)),MAX($B$1:B1563)+1,0)</f>
        <v>0</v>
      </c>
      <c r="D1564" s="33">
        <f>IF(ISNUMBER(SEARCH('Φόρμα Εισαγωγής'!$C$2,E1564)),MAX($D$1:D1563)+1,0)</f>
        <v>0</v>
      </c>
      <c r="H1564" s="6">
        <f t="shared" si="83"/>
        <v>0</v>
      </c>
      <c r="I1564" s="6">
        <f t="shared" si="84"/>
        <v>0</v>
      </c>
      <c r="J1564" s="6">
        <f t="shared" si="85"/>
        <v>0</v>
      </c>
      <c r="L1564" s="4" t="str">
        <f>IFERROR(VLOOKUP(ROWS($L$2:L1564),$B$2:$C$1996,2,0),"")</f>
        <v/>
      </c>
      <c r="N1564" s="2" t="str">
        <f>IFERROR(VLOOKUP(ROWS($N$2:N1564),$D$2:$E$1996,2,0),"")</f>
        <v/>
      </c>
    </row>
    <row r="1565" spans="2:14">
      <c r="B1565" s="32">
        <f>IF(ISNUMBER(SEARCH('Φόρμα Εισαγωγής'!$B$2,C1565)),MAX($B$1:B1564)+1,0)</f>
        <v>0</v>
      </c>
      <c r="D1565" s="33">
        <f>IF(ISNUMBER(SEARCH('Φόρμα Εισαγωγής'!$C$2,E1565)),MAX($D$1:D1564)+1,0)</f>
        <v>0</v>
      </c>
      <c r="H1565" s="6">
        <f t="shared" si="83"/>
        <v>0</v>
      </c>
      <c r="I1565" s="6">
        <f t="shared" si="84"/>
        <v>0</v>
      </c>
      <c r="J1565" s="6">
        <f t="shared" si="85"/>
        <v>0</v>
      </c>
      <c r="L1565" s="4" t="str">
        <f>IFERROR(VLOOKUP(ROWS($L$2:L1565),$B$2:$C$1996,2,0),"")</f>
        <v/>
      </c>
      <c r="N1565" s="2" t="str">
        <f>IFERROR(VLOOKUP(ROWS($N$2:N1565),$D$2:$E$1996,2,0),"")</f>
        <v/>
      </c>
    </row>
    <row r="1566" spans="2:14">
      <c r="B1566" s="32">
        <f>IF(ISNUMBER(SEARCH('Φόρμα Εισαγωγής'!$B$2,C1566)),MAX($B$1:B1565)+1,0)</f>
        <v>0</v>
      </c>
      <c r="D1566" s="33">
        <f>IF(ISNUMBER(SEARCH('Φόρμα Εισαγωγής'!$C$2,E1566)),MAX($D$1:D1565)+1,0)</f>
        <v>0</v>
      </c>
      <c r="H1566" s="6">
        <f t="shared" si="83"/>
        <v>0</v>
      </c>
      <c r="I1566" s="6">
        <f t="shared" si="84"/>
        <v>0</v>
      </c>
      <c r="J1566" s="6">
        <f t="shared" si="85"/>
        <v>0</v>
      </c>
      <c r="L1566" s="4" t="str">
        <f>IFERROR(VLOOKUP(ROWS($L$2:L1566),$B$2:$C$1996,2,0),"")</f>
        <v/>
      </c>
      <c r="N1566" s="2" t="str">
        <f>IFERROR(VLOOKUP(ROWS($N$2:N1566),$D$2:$E$1996,2,0),"")</f>
        <v/>
      </c>
    </row>
    <row r="1567" spans="2:14">
      <c r="B1567" s="32">
        <f>IF(ISNUMBER(SEARCH('Φόρμα Εισαγωγής'!$B$2,C1567)),MAX($B$1:B1566)+1,0)</f>
        <v>0</v>
      </c>
      <c r="D1567" s="33">
        <f>IF(ISNUMBER(SEARCH('Φόρμα Εισαγωγής'!$C$2,E1567)),MAX($D$1:D1566)+1,0)</f>
        <v>0</v>
      </c>
      <c r="H1567" s="6">
        <f t="shared" si="83"/>
        <v>0</v>
      </c>
      <c r="I1567" s="6">
        <f t="shared" si="84"/>
        <v>0</v>
      </c>
      <c r="J1567" s="6">
        <f t="shared" si="85"/>
        <v>0</v>
      </c>
      <c r="L1567" s="4" t="str">
        <f>IFERROR(VLOOKUP(ROWS($L$2:L1567),$B$2:$C$1996,2,0),"")</f>
        <v/>
      </c>
      <c r="N1567" s="2" t="str">
        <f>IFERROR(VLOOKUP(ROWS($N$2:N1567),$D$2:$E$1996,2,0),"")</f>
        <v/>
      </c>
    </row>
    <row r="1568" spans="2:14">
      <c r="B1568" s="32">
        <f>IF(ISNUMBER(SEARCH('Φόρμα Εισαγωγής'!$B$2,C1568)),MAX($B$1:B1567)+1,0)</f>
        <v>0</v>
      </c>
      <c r="D1568" s="33">
        <f>IF(ISNUMBER(SEARCH('Φόρμα Εισαγωγής'!$C$2,E1568)),MAX($D$1:D1567)+1,0)</f>
        <v>0</v>
      </c>
      <c r="H1568" s="6">
        <f t="shared" si="83"/>
        <v>0</v>
      </c>
      <c r="I1568" s="6">
        <f t="shared" si="84"/>
        <v>0</v>
      </c>
      <c r="J1568" s="6">
        <f t="shared" si="85"/>
        <v>0</v>
      </c>
      <c r="L1568" s="4" t="str">
        <f>IFERROR(VLOOKUP(ROWS($L$2:L1568),$B$2:$C$1996,2,0),"")</f>
        <v/>
      </c>
      <c r="N1568" s="2" t="str">
        <f>IFERROR(VLOOKUP(ROWS($N$2:N1568),$D$2:$E$1996,2,0),"")</f>
        <v/>
      </c>
    </row>
    <row r="1569" spans="2:14">
      <c r="B1569" s="32">
        <f>IF(ISNUMBER(SEARCH('Φόρμα Εισαγωγής'!$B$2,C1569)),MAX($B$1:B1568)+1,0)</f>
        <v>0</v>
      </c>
      <c r="D1569" s="33">
        <f>IF(ISNUMBER(SEARCH('Φόρμα Εισαγωγής'!$C$2,E1569)),MAX($D$1:D1568)+1,0)</f>
        <v>0</v>
      </c>
      <c r="H1569" s="6">
        <f t="shared" si="83"/>
        <v>0</v>
      </c>
      <c r="I1569" s="6">
        <f t="shared" si="84"/>
        <v>0</v>
      </c>
      <c r="J1569" s="6">
        <f t="shared" si="85"/>
        <v>0</v>
      </c>
      <c r="L1569" s="4" t="str">
        <f>IFERROR(VLOOKUP(ROWS($L$2:L1569),$B$2:$C$1996,2,0),"")</f>
        <v/>
      </c>
      <c r="N1569" s="2" t="str">
        <f>IFERROR(VLOOKUP(ROWS($N$2:N1569),$D$2:$E$1996,2,0),"")</f>
        <v/>
      </c>
    </row>
    <row r="1570" spans="2:14">
      <c r="B1570" s="32">
        <f>IF(ISNUMBER(SEARCH('Φόρμα Εισαγωγής'!$B$2,C1570)),MAX($B$1:B1569)+1,0)</f>
        <v>0</v>
      </c>
      <c r="D1570" s="33">
        <f>IF(ISNUMBER(SEARCH('Φόρμα Εισαγωγής'!$C$2,E1570)),MAX($D$1:D1569)+1,0)</f>
        <v>0</v>
      </c>
      <c r="H1570" s="6">
        <f t="shared" si="83"/>
        <v>0</v>
      </c>
      <c r="I1570" s="6">
        <f t="shared" si="84"/>
        <v>0</v>
      </c>
      <c r="J1570" s="6">
        <f t="shared" si="85"/>
        <v>0</v>
      </c>
      <c r="L1570" s="4" t="str">
        <f>IFERROR(VLOOKUP(ROWS($L$2:L1570),$B$2:$C$1996,2,0),"")</f>
        <v/>
      </c>
      <c r="N1570" s="2" t="str">
        <f>IFERROR(VLOOKUP(ROWS($N$2:N1570),$D$2:$E$1996,2,0),"")</f>
        <v/>
      </c>
    </row>
    <row r="1571" spans="2:14">
      <c r="B1571" s="32">
        <f>IF(ISNUMBER(SEARCH('Φόρμα Εισαγωγής'!$B$2,C1571)),MAX($B$1:B1570)+1,0)</f>
        <v>0</v>
      </c>
      <c r="D1571" s="33">
        <f>IF(ISNUMBER(SEARCH('Φόρμα Εισαγωγής'!$C$2,E1571)),MAX($D$1:D1570)+1,0)</f>
        <v>0</v>
      </c>
      <c r="H1571" s="6">
        <f t="shared" si="83"/>
        <v>0</v>
      </c>
      <c r="I1571" s="6">
        <f t="shared" si="84"/>
        <v>0</v>
      </c>
      <c r="J1571" s="6">
        <f t="shared" si="85"/>
        <v>0</v>
      </c>
      <c r="L1571" s="4" t="str">
        <f>IFERROR(VLOOKUP(ROWS($L$2:L1571),$B$2:$C$1996,2,0),"")</f>
        <v/>
      </c>
      <c r="N1571" s="2" t="str">
        <f>IFERROR(VLOOKUP(ROWS($N$2:N1571),$D$2:$E$1996,2,0),"")</f>
        <v/>
      </c>
    </row>
    <row r="1572" spans="2:14">
      <c r="B1572" s="32">
        <f>IF(ISNUMBER(SEARCH('Φόρμα Εισαγωγής'!$B$2,C1572)),MAX($B$1:B1571)+1,0)</f>
        <v>0</v>
      </c>
      <c r="D1572" s="33">
        <f>IF(ISNUMBER(SEARCH('Φόρμα Εισαγωγής'!$C$2,E1572)),MAX($D$1:D1571)+1,0)</f>
        <v>0</v>
      </c>
      <c r="H1572" s="6">
        <f t="shared" si="83"/>
        <v>0</v>
      </c>
      <c r="I1572" s="6">
        <f t="shared" si="84"/>
        <v>0</v>
      </c>
      <c r="J1572" s="6">
        <f t="shared" si="85"/>
        <v>0</v>
      </c>
      <c r="L1572" s="4" t="str">
        <f>IFERROR(VLOOKUP(ROWS($L$2:L1572),$B$2:$C$1996,2,0),"")</f>
        <v/>
      </c>
      <c r="N1572" s="2" t="str">
        <f>IFERROR(VLOOKUP(ROWS($N$2:N1572),$D$2:$E$1996,2,0),"")</f>
        <v/>
      </c>
    </row>
    <row r="1573" spans="2:14">
      <c r="B1573" s="32">
        <f>IF(ISNUMBER(SEARCH('Φόρμα Εισαγωγής'!$B$2,C1573)),MAX($B$1:B1572)+1,0)</f>
        <v>0</v>
      </c>
      <c r="D1573" s="33">
        <f>IF(ISNUMBER(SEARCH('Φόρμα Εισαγωγής'!$C$2,E1573)),MAX($D$1:D1572)+1,0)</f>
        <v>0</v>
      </c>
      <c r="H1573" s="6">
        <f t="shared" si="83"/>
        <v>0</v>
      </c>
      <c r="I1573" s="6">
        <f t="shared" si="84"/>
        <v>0</v>
      </c>
      <c r="J1573" s="6">
        <f t="shared" si="85"/>
        <v>0</v>
      </c>
      <c r="L1573" s="4" t="str">
        <f>IFERROR(VLOOKUP(ROWS($L$2:L1573),$B$2:$C$1996,2,0),"")</f>
        <v/>
      </c>
      <c r="N1573" s="2" t="str">
        <f>IFERROR(VLOOKUP(ROWS($N$2:N1573),$D$2:$E$1996,2,0),"")</f>
        <v/>
      </c>
    </row>
    <row r="1574" spans="2:14">
      <c r="B1574" s="32">
        <f>IF(ISNUMBER(SEARCH('Φόρμα Εισαγωγής'!$B$2,C1574)),MAX($B$1:B1573)+1,0)</f>
        <v>0</v>
      </c>
      <c r="D1574" s="33">
        <f>IF(ISNUMBER(SEARCH('Φόρμα Εισαγωγής'!$C$2,E1574)),MAX($D$1:D1573)+1,0)</f>
        <v>0</v>
      </c>
      <c r="H1574" s="6">
        <f t="shared" si="83"/>
        <v>0</v>
      </c>
      <c r="I1574" s="6">
        <f t="shared" si="84"/>
        <v>0</v>
      </c>
      <c r="J1574" s="6">
        <f t="shared" si="85"/>
        <v>0</v>
      </c>
      <c r="L1574" s="4" t="str">
        <f>IFERROR(VLOOKUP(ROWS($L$2:L1574),$B$2:$C$1996,2,0),"")</f>
        <v/>
      </c>
      <c r="N1574" s="2" t="str">
        <f>IFERROR(VLOOKUP(ROWS($N$2:N1574),$D$2:$E$1996,2,0),"")</f>
        <v/>
      </c>
    </row>
    <row r="1575" spans="2:14">
      <c r="B1575" s="32">
        <f>IF(ISNUMBER(SEARCH('Φόρμα Εισαγωγής'!$B$2,C1575)),MAX($B$1:B1574)+1,0)</f>
        <v>0</v>
      </c>
      <c r="D1575" s="33">
        <f>IF(ISNUMBER(SEARCH('Φόρμα Εισαγωγής'!$C$2,E1575)),MAX($D$1:D1574)+1,0)</f>
        <v>0</v>
      </c>
      <c r="H1575" s="6">
        <f t="shared" si="83"/>
        <v>0</v>
      </c>
      <c r="I1575" s="6">
        <f t="shared" si="84"/>
        <v>0</v>
      </c>
      <c r="J1575" s="6">
        <f t="shared" si="85"/>
        <v>0</v>
      </c>
      <c r="L1575" s="4" t="str">
        <f>IFERROR(VLOOKUP(ROWS($L$2:L1575),$B$2:$C$1996,2,0),"")</f>
        <v/>
      </c>
      <c r="N1575" s="2" t="str">
        <f>IFERROR(VLOOKUP(ROWS($N$2:N1575),$D$2:$E$1996,2,0),"")</f>
        <v/>
      </c>
    </row>
    <row r="1576" spans="2:14">
      <c r="B1576" s="32">
        <f>IF(ISNUMBER(SEARCH('Φόρμα Εισαγωγής'!$B$2,C1576)),MAX($B$1:B1575)+1,0)</f>
        <v>0</v>
      </c>
      <c r="D1576" s="33">
        <f>IF(ISNUMBER(SEARCH('Φόρμα Εισαγωγής'!$C$2,E1576)),MAX($D$1:D1575)+1,0)</f>
        <v>0</v>
      </c>
      <c r="H1576" s="6">
        <f t="shared" si="83"/>
        <v>0</v>
      </c>
      <c r="I1576" s="6">
        <f t="shared" si="84"/>
        <v>0</v>
      </c>
      <c r="J1576" s="6">
        <f t="shared" si="85"/>
        <v>0</v>
      </c>
      <c r="L1576" s="4" t="str">
        <f>IFERROR(VLOOKUP(ROWS($L$2:L1576),$B$2:$C$1996,2,0),"")</f>
        <v/>
      </c>
      <c r="N1576" s="2" t="str">
        <f>IFERROR(VLOOKUP(ROWS($N$2:N1576),$D$2:$E$1996,2,0),"")</f>
        <v/>
      </c>
    </row>
    <row r="1577" spans="2:14">
      <c r="B1577" s="32">
        <f>IF(ISNUMBER(SEARCH('Φόρμα Εισαγωγής'!$B$2,C1577)),MAX($B$1:B1576)+1,0)</f>
        <v>0</v>
      </c>
      <c r="D1577" s="33">
        <f>IF(ISNUMBER(SEARCH('Φόρμα Εισαγωγής'!$C$2,E1577)),MAX($D$1:D1576)+1,0)</f>
        <v>0</v>
      </c>
      <c r="H1577" s="6">
        <f t="shared" si="83"/>
        <v>0</v>
      </c>
      <c r="I1577" s="6">
        <f t="shared" si="84"/>
        <v>0</v>
      </c>
      <c r="J1577" s="6">
        <f t="shared" si="85"/>
        <v>0</v>
      </c>
      <c r="L1577" s="4" t="str">
        <f>IFERROR(VLOOKUP(ROWS($L$2:L1577),$B$2:$C$1996,2,0),"")</f>
        <v/>
      </c>
      <c r="N1577" s="2" t="str">
        <f>IFERROR(VLOOKUP(ROWS($N$2:N1577),$D$2:$E$1996,2,0),"")</f>
        <v/>
      </c>
    </row>
    <row r="1578" spans="2:14">
      <c r="B1578" s="32">
        <f>IF(ISNUMBER(SEARCH('Φόρμα Εισαγωγής'!$B$2,C1578)),MAX($B$1:B1577)+1,0)</f>
        <v>0</v>
      </c>
      <c r="D1578" s="33">
        <f>IF(ISNUMBER(SEARCH('Φόρμα Εισαγωγής'!$C$2,E1578)),MAX($D$1:D1577)+1,0)</f>
        <v>0</v>
      </c>
      <c r="H1578" s="6">
        <f t="shared" si="83"/>
        <v>0</v>
      </c>
      <c r="I1578" s="6">
        <f t="shared" si="84"/>
        <v>0</v>
      </c>
      <c r="J1578" s="6">
        <f t="shared" si="85"/>
        <v>0</v>
      </c>
      <c r="L1578" s="4" t="str">
        <f>IFERROR(VLOOKUP(ROWS($L$2:L1578),$B$2:$C$1996,2,0),"")</f>
        <v/>
      </c>
      <c r="N1578" s="2" t="str">
        <f>IFERROR(VLOOKUP(ROWS($N$2:N1578),$D$2:$E$1996,2,0),"")</f>
        <v/>
      </c>
    </row>
    <row r="1579" spans="2:14">
      <c r="B1579" s="32">
        <f>IF(ISNUMBER(SEARCH('Φόρμα Εισαγωγής'!$B$2,C1579)),MAX($B$1:B1578)+1,0)</f>
        <v>0</v>
      </c>
      <c r="D1579" s="33">
        <f>IF(ISNUMBER(SEARCH('Φόρμα Εισαγωγής'!$C$2,E1579)),MAX($D$1:D1578)+1,0)</f>
        <v>0</v>
      </c>
      <c r="H1579" s="6">
        <f t="shared" si="83"/>
        <v>0</v>
      </c>
      <c r="I1579" s="6">
        <f t="shared" si="84"/>
        <v>0</v>
      </c>
      <c r="J1579" s="6">
        <f t="shared" si="85"/>
        <v>0</v>
      </c>
      <c r="L1579" s="4" t="str">
        <f>IFERROR(VLOOKUP(ROWS($L$2:L1579),$B$2:$C$1996,2,0),"")</f>
        <v/>
      </c>
      <c r="N1579" s="2" t="str">
        <f>IFERROR(VLOOKUP(ROWS($N$2:N1579),$D$2:$E$1996,2,0),"")</f>
        <v/>
      </c>
    </row>
    <row r="1580" spans="2:14">
      <c r="B1580" s="32">
        <f>IF(ISNUMBER(SEARCH('Φόρμα Εισαγωγής'!$B$2,C1580)),MAX($B$1:B1579)+1,0)</f>
        <v>0</v>
      </c>
      <c r="D1580" s="33">
        <f>IF(ISNUMBER(SEARCH('Φόρμα Εισαγωγής'!$C$2,E1580)),MAX($D$1:D1579)+1,0)</f>
        <v>0</v>
      </c>
      <c r="H1580" s="6">
        <f t="shared" si="83"/>
        <v>0</v>
      </c>
      <c r="I1580" s="6">
        <f t="shared" si="84"/>
        <v>0</v>
      </c>
      <c r="J1580" s="6">
        <f t="shared" si="85"/>
        <v>0</v>
      </c>
      <c r="L1580" s="4" t="str">
        <f>IFERROR(VLOOKUP(ROWS($L$2:L1580),$B$2:$C$1996,2,0),"")</f>
        <v/>
      </c>
      <c r="N1580" s="2" t="str">
        <f>IFERROR(VLOOKUP(ROWS($N$2:N1580),$D$2:$E$1996,2,0),"")</f>
        <v/>
      </c>
    </row>
    <row r="1581" spans="2:14">
      <c r="B1581" s="32">
        <f>IF(ISNUMBER(SEARCH('Φόρμα Εισαγωγής'!$B$2,C1581)),MAX($B$1:B1580)+1,0)</f>
        <v>0</v>
      </c>
      <c r="D1581" s="33">
        <f>IF(ISNUMBER(SEARCH('Φόρμα Εισαγωγής'!$C$2,E1581)),MAX($D$1:D1580)+1,0)</f>
        <v>0</v>
      </c>
      <c r="H1581" s="6">
        <f t="shared" si="83"/>
        <v>0</v>
      </c>
      <c r="I1581" s="6">
        <f t="shared" si="84"/>
        <v>0</v>
      </c>
      <c r="J1581" s="6">
        <f t="shared" si="85"/>
        <v>0</v>
      </c>
      <c r="L1581" s="4" t="str">
        <f>IFERROR(VLOOKUP(ROWS($L$2:L1581),$B$2:$C$1996,2,0),"")</f>
        <v/>
      </c>
      <c r="N1581" s="2" t="str">
        <f>IFERROR(VLOOKUP(ROWS($N$2:N1581),$D$2:$E$1996,2,0),"")</f>
        <v/>
      </c>
    </row>
    <row r="1582" spans="2:14">
      <c r="B1582" s="32">
        <f>IF(ISNUMBER(SEARCH('Φόρμα Εισαγωγής'!$B$2,C1582)),MAX($B$1:B1581)+1,0)</f>
        <v>0</v>
      </c>
      <c r="D1582" s="33">
        <f>IF(ISNUMBER(SEARCH('Φόρμα Εισαγωγής'!$C$2,E1582)),MAX($D$1:D1581)+1,0)</f>
        <v>0</v>
      </c>
      <c r="H1582" s="6">
        <f t="shared" si="83"/>
        <v>0</v>
      </c>
      <c r="I1582" s="6">
        <f t="shared" si="84"/>
        <v>0</v>
      </c>
      <c r="J1582" s="6">
        <f t="shared" si="85"/>
        <v>0</v>
      </c>
      <c r="L1582" s="4" t="str">
        <f>IFERROR(VLOOKUP(ROWS($L$2:L1582),$B$2:$C$1996,2,0),"")</f>
        <v/>
      </c>
      <c r="N1582" s="2" t="str">
        <f>IFERROR(VLOOKUP(ROWS($N$2:N1582),$D$2:$E$1996,2,0),"")</f>
        <v/>
      </c>
    </row>
    <row r="1583" spans="2:14">
      <c r="B1583" s="32">
        <f>IF(ISNUMBER(SEARCH('Φόρμα Εισαγωγής'!$B$2,C1583)),MAX($B$1:B1582)+1,0)</f>
        <v>0</v>
      </c>
      <c r="D1583" s="33">
        <f>IF(ISNUMBER(SEARCH('Φόρμα Εισαγωγής'!$C$2,E1583)),MAX($D$1:D1582)+1,0)</f>
        <v>0</v>
      </c>
      <c r="H1583" s="6">
        <f t="shared" si="83"/>
        <v>0</v>
      </c>
      <c r="I1583" s="6">
        <f t="shared" si="84"/>
        <v>0</v>
      </c>
      <c r="J1583" s="6">
        <f t="shared" si="85"/>
        <v>0</v>
      </c>
      <c r="L1583" s="4" t="str">
        <f>IFERROR(VLOOKUP(ROWS($L$2:L1583),$B$2:$C$1996,2,0),"")</f>
        <v/>
      </c>
      <c r="N1583" s="2" t="str">
        <f>IFERROR(VLOOKUP(ROWS($N$2:N1583),$D$2:$E$1996,2,0),"")</f>
        <v/>
      </c>
    </row>
    <row r="1584" spans="2:14">
      <c r="B1584" s="32">
        <f>IF(ISNUMBER(SEARCH('Φόρμα Εισαγωγής'!$B$2,C1584)),MAX($B$1:B1583)+1,0)</f>
        <v>0</v>
      </c>
      <c r="D1584" s="33">
        <f>IF(ISNUMBER(SEARCH('Φόρμα Εισαγωγής'!$C$2,E1584)),MAX($D$1:D1583)+1,0)</f>
        <v>0</v>
      </c>
      <c r="H1584" s="6">
        <f t="shared" si="83"/>
        <v>0</v>
      </c>
      <c r="I1584" s="6">
        <f t="shared" si="84"/>
        <v>0</v>
      </c>
      <c r="J1584" s="6">
        <f t="shared" si="85"/>
        <v>0</v>
      </c>
      <c r="L1584" s="4" t="str">
        <f>IFERROR(VLOOKUP(ROWS($L$2:L1584),$B$2:$C$1996,2,0),"")</f>
        <v/>
      </c>
      <c r="N1584" s="2" t="str">
        <f>IFERROR(VLOOKUP(ROWS($N$2:N1584),$D$2:$E$1996,2,0),"")</f>
        <v/>
      </c>
    </row>
    <row r="1585" spans="2:14">
      <c r="B1585" s="32">
        <f>IF(ISNUMBER(SEARCH('Φόρμα Εισαγωγής'!$B$2,C1585)),MAX($B$1:B1584)+1,0)</f>
        <v>0</v>
      </c>
      <c r="D1585" s="33">
        <f>IF(ISNUMBER(SEARCH('Φόρμα Εισαγωγής'!$C$2,E1585)),MAX($D$1:D1584)+1,0)</f>
        <v>0</v>
      </c>
      <c r="H1585" s="6">
        <f t="shared" si="83"/>
        <v>0</v>
      </c>
      <c r="I1585" s="6">
        <f t="shared" si="84"/>
        <v>0</v>
      </c>
      <c r="J1585" s="6">
        <f t="shared" si="85"/>
        <v>0</v>
      </c>
      <c r="L1585" s="4" t="str">
        <f>IFERROR(VLOOKUP(ROWS($L$2:L1585),$B$2:$C$1996,2,0),"")</f>
        <v/>
      </c>
      <c r="N1585" s="2" t="str">
        <f>IFERROR(VLOOKUP(ROWS($N$2:N1585),$D$2:$E$1996,2,0),"")</f>
        <v/>
      </c>
    </row>
    <row r="1586" spans="2:14">
      <c r="B1586" s="32">
        <f>IF(ISNUMBER(SEARCH('Φόρμα Εισαγωγής'!$B$2,C1586)),MAX($B$1:B1585)+1,0)</f>
        <v>0</v>
      </c>
      <c r="D1586" s="33">
        <f>IF(ISNUMBER(SEARCH('Φόρμα Εισαγωγής'!$C$2,E1586)),MAX($D$1:D1585)+1,0)</f>
        <v>0</v>
      </c>
      <c r="H1586" s="6">
        <f t="shared" si="83"/>
        <v>0</v>
      </c>
      <c r="I1586" s="6">
        <f t="shared" si="84"/>
        <v>0</v>
      </c>
      <c r="J1586" s="6">
        <f t="shared" si="85"/>
        <v>0</v>
      </c>
      <c r="L1586" s="4" t="str">
        <f>IFERROR(VLOOKUP(ROWS($L$2:L1586),$B$2:$C$1996,2,0),"")</f>
        <v/>
      </c>
      <c r="N1586" s="2" t="str">
        <f>IFERROR(VLOOKUP(ROWS($N$2:N1586),$D$2:$E$1996,2,0),"")</f>
        <v/>
      </c>
    </row>
    <row r="1587" spans="2:14">
      <c r="B1587" s="32">
        <f>IF(ISNUMBER(SEARCH('Φόρμα Εισαγωγής'!$B$2,C1587)),MAX($B$1:B1586)+1,0)</f>
        <v>0</v>
      </c>
      <c r="D1587" s="33">
        <f>IF(ISNUMBER(SEARCH('Φόρμα Εισαγωγής'!$C$2,E1587)),MAX($D$1:D1586)+1,0)</f>
        <v>0</v>
      </c>
      <c r="H1587" s="6">
        <f t="shared" si="83"/>
        <v>0</v>
      </c>
      <c r="I1587" s="6">
        <f t="shared" si="84"/>
        <v>0</v>
      </c>
      <c r="J1587" s="6">
        <f t="shared" si="85"/>
        <v>0</v>
      </c>
      <c r="L1587" s="4" t="str">
        <f>IFERROR(VLOOKUP(ROWS($L$2:L1587),$B$2:$C$1996,2,0),"")</f>
        <v/>
      </c>
      <c r="N1587" s="2" t="str">
        <f>IFERROR(VLOOKUP(ROWS($N$2:N1587),$D$2:$E$1996,2,0),"")</f>
        <v/>
      </c>
    </row>
    <row r="1588" spans="2:14">
      <c r="B1588" s="32">
        <f>IF(ISNUMBER(SEARCH('Φόρμα Εισαγωγής'!$B$2,C1588)),MAX($B$1:B1587)+1,0)</f>
        <v>0</v>
      </c>
      <c r="D1588" s="33">
        <f>IF(ISNUMBER(SEARCH('Φόρμα Εισαγωγής'!$C$2,E1588)),MAX($D$1:D1587)+1,0)</f>
        <v>0</v>
      </c>
      <c r="H1588" s="6">
        <f t="shared" si="83"/>
        <v>0</v>
      </c>
      <c r="I1588" s="6">
        <f t="shared" si="84"/>
        <v>0</v>
      </c>
      <c r="J1588" s="6">
        <f t="shared" si="85"/>
        <v>0</v>
      </c>
      <c r="L1588" s="4" t="str">
        <f>IFERROR(VLOOKUP(ROWS($L$2:L1588),$B$2:$C$1996,2,0),"")</f>
        <v/>
      </c>
      <c r="N1588" s="2" t="str">
        <f>IFERROR(VLOOKUP(ROWS($N$2:N1588),$D$2:$E$1996,2,0),"")</f>
        <v/>
      </c>
    </row>
    <row r="1589" spans="2:14">
      <c r="B1589" s="32">
        <f>IF(ISNUMBER(SEARCH('Φόρμα Εισαγωγής'!$B$2,C1589)),MAX($B$1:B1588)+1,0)</f>
        <v>0</v>
      </c>
      <c r="D1589" s="33">
        <f>IF(ISNUMBER(SEARCH('Φόρμα Εισαγωγής'!$C$2,E1589)),MAX($D$1:D1588)+1,0)</f>
        <v>0</v>
      </c>
      <c r="H1589" s="6">
        <f t="shared" si="83"/>
        <v>0</v>
      </c>
      <c r="I1589" s="6">
        <f t="shared" si="84"/>
        <v>0</v>
      </c>
      <c r="J1589" s="6">
        <f t="shared" si="85"/>
        <v>0</v>
      </c>
      <c r="L1589" s="4" t="str">
        <f>IFERROR(VLOOKUP(ROWS($L$2:L1589),$B$2:$C$1996,2,0),"")</f>
        <v/>
      </c>
      <c r="N1589" s="2" t="str">
        <f>IFERROR(VLOOKUP(ROWS($N$2:N1589),$D$2:$E$1996,2,0),"")</f>
        <v/>
      </c>
    </row>
    <row r="1590" spans="2:14">
      <c r="B1590" s="32">
        <f>IF(ISNUMBER(SEARCH('Φόρμα Εισαγωγής'!$B$2,C1590)),MAX($B$1:B1589)+1,0)</f>
        <v>0</v>
      </c>
      <c r="D1590" s="33">
        <f>IF(ISNUMBER(SEARCH('Φόρμα Εισαγωγής'!$C$2,E1590)),MAX($D$1:D1589)+1,0)</f>
        <v>0</v>
      </c>
      <c r="H1590" s="6">
        <f t="shared" si="83"/>
        <v>0</v>
      </c>
      <c r="I1590" s="6">
        <f t="shared" si="84"/>
        <v>0</v>
      </c>
      <c r="J1590" s="6">
        <f t="shared" si="85"/>
        <v>0</v>
      </c>
      <c r="L1590" s="4" t="str">
        <f>IFERROR(VLOOKUP(ROWS($L$2:L1590),$B$2:$C$1996,2,0),"")</f>
        <v/>
      </c>
      <c r="N1590" s="2" t="str">
        <f>IFERROR(VLOOKUP(ROWS($N$2:N1590),$D$2:$E$1996,2,0),"")</f>
        <v/>
      </c>
    </row>
    <row r="1591" spans="2:14">
      <c r="B1591" s="32">
        <f>IF(ISNUMBER(SEARCH('Φόρμα Εισαγωγής'!$B$2,C1591)),MAX($B$1:B1590)+1,0)</f>
        <v>0</v>
      </c>
      <c r="D1591" s="33">
        <f>IF(ISNUMBER(SEARCH('Φόρμα Εισαγωγής'!$C$2,E1591)),MAX($D$1:D1590)+1,0)</f>
        <v>0</v>
      </c>
      <c r="H1591" s="6">
        <f t="shared" si="83"/>
        <v>0</v>
      </c>
      <c r="I1591" s="6">
        <f t="shared" si="84"/>
        <v>0</v>
      </c>
      <c r="J1591" s="6">
        <f t="shared" si="85"/>
        <v>0</v>
      </c>
      <c r="L1591" s="4" t="str">
        <f>IFERROR(VLOOKUP(ROWS($L$2:L1591),$B$2:$C$1996,2,0),"")</f>
        <v/>
      </c>
      <c r="N1591" s="2" t="str">
        <f>IFERROR(VLOOKUP(ROWS($N$2:N1591),$D$2:$E$1996,2,0),"")</f>
        <v/>
      </c>
    </row>
    <row r="1592" spans="2:14">
      <c r="B1592" s="32">
        <f>IF(ISNUMBER(SEARCH('Φόρμα Εισαγωγής'!$B$2,C1592)),MAX($B$1:B1591)+1,0)</f>
        <v>0</v>
      </c>
      <c r="D1592" s="33">
        <f>IF(ISNUMBER(SEARCH('Φόρμα Εισαγωγής'!$C$2,E1592)),MAX($D$1:D1591)+1,0)</f>
        <v>0</v>
      </c>
      <c r="H1592" s="6">
        <f t="shared" si="83"/>
        <v>0</v>
      </c>
      <c r="I1592" s="6">
        <f t="shared" si="84"/>
        <v>0</v>
      </c>
      <c r="J1592" s="6">
        <f t="shared" si="85"/>
        <v>0</v>
      </c>
      <c r="L1592" s="4" t="str">
        <f>IFERROR(VLOOKUP(ROWS($L$2:L1592),$B$2:$C$1996,2,0),"")</f>
        <v/>
      </c>
      <c r="N1592" s="2" t="str">
        <f>IFERROR(VLOOKUP(ROWS($N$2:N1592),$D$2:$E$1996,2,0),"")</f>
        <v/>
      </c>
    </row>
    <row r="1593" spans="2:14">
      <c r="B1593" s="32">
        <f>IF(ISNUMBER(SEARCH('Φόρμα Εισαγωγής'!$B$2,C1593)),MAX($B$1:B1592)+1,0)</f>
        <v>0</v>
      </c>
      <c r="D1593" s="33">
        <f>IF(ISNUMBER(SEARCH('Φόρμα Εισαγωγής'!$C$2,E1593)),MAX($D$1:D1592)+1,0)</f>
        <v>0</v>
      </c>
      <c r="H1593" s="6">
        <f t="shared" si="83"/>
        <v>0</v>
      </c>
      <c r="I1593" s="6">
        <f t="shared" si="84"/>
        <v>0</v>
      </c>
      <c r="J1593" s="6">
        <f t="shared" si="85"/>
        <v>0</v>
      </c>
      <c r="L1593" s="4" t="str">
        <f>IFERROR(VLOOKUP(ROWS($L$2:L1593),$B$2:$C$1996,2,0),"")</f>
        <v/>
      </c>
      <c r="N1593" s="2" t="str">
        <f>IFERROR(VLOOKUP(ROWS($N$2:N1593),$D$2:$E$1996,2,0),"")</f>
        <v/>
      </c>
    </row>
    <row r="1594" spans="2:14">
      <c r="B1594" s="32">
        <f>IF(ISNUMBER(SEARCH('Φόρμα Εισαγωγής'!$B$2,C1594)),MAX($B$1:B1593)+1,0)</f>
        <v>0</v>
      </c>
      <c r="D1594" s="33">
        <f>IF(ISNUMBER(SEARCH('Φόρμα Εισαγωγής'!$C$2,E1594)),MAX($D$1:D1593)+1,0)</f>
        <v>0</v>
      </c>
      <c r="H1594" s="6">
        <f t="shared" si="83"/>
        <v>0</v>
      </c>
      <c r="I1594" s="6">
        <f t="shared" si="84"/>
        <v>0</v>
      </c>
      <c r="J1594" s="6">
        <f t="shared" si="85"/>
        <v>0</v>
      </c>
      <c r="L1594" s="4" t="str">
        <f>IFERROR(VLOOKUP(ROWS($L$2:L1594),$B$2:$C$1996,2,0),"")</f>
        <v/>
      </c>
      <c r="N1594" s="2" t="str">
        <f>IFERROR(VLOOKUP(ROWS($N$2:N1594),$D$2:$E$1996,2,0),"")</f>
        <v/>
      </c>
    </row>
    <row r="1595" spans="2:14">
      <c r="B1595" s="32">
        <f>IF(ISNUMBER(SEARCH('Φόρμα Εισαγωγής'!$B$2,C1595)),MAX($B$1:B1594)+1,0)</f>
        <v>0</v>
      </c>
      <c r="D1595" s="33">
        <f>IF(ISNUMBER(SEARCH('Φόρμα Εισαγωγής'!$C$2,E1595)),MAX($D$1:D1594)+1,0)</f>
        <v>0</v>
      </c>
      <c r="H1595" s="6">
        <f t="shared" si="83"/>
        <v>0</v>
      </c>
      <c r="I1595" s="6">
        <f t="shared" si="84"/>
        <v>0</v>
      </c>
      <c r="J1595" s="6">
        <f t="shared" si="85"/>
        <v>0</v>
      </c>
      <c r="L1595" s="4" t="str">
        <f>IFERROR(VLOOKUP(ROWS($L$2:L1595),$B$2:$C$1996,2,0),"")</f>
        <v/>
      </c>
      <c r="N1595" s="2" t="str">
        <f>IFERROR(VLOOKUP(ROWS($N$2:N1595),$D$2:$E$1996,2,0),"")</f>
        <v/>
      </c>
    </row>
    <row r="1596" spans="2:14">
      <c r="B1596" s="32">
        <f>IF(ISNUMBER(SEARCH('Φόρμα Εισαγωγής'!$B$2,C1596)),MAX($B$1:B1595)+1,0)</f>
        <v>0</v>
      </c>
      <c r="D1596" s="33">
        <f>IF(ISNUMBER(SEARCH('Φόρμα Εισαγωγής'!$C$2,E1596)),MAX($D$1:D1595)+1,0)</f>
        <v>0</v>
      </c>
      <c r="H1596" s="6">
        <f t="shared" si="83"/>
        <v>0</v>
      </c>
      <c r="I1596" s="6">
        <f t="shared" si="84"/>
        <v>0</v>
      </c>
      <c r="J1596" s="6">
        <f t="shared" si="85"/>
        <v>0</v>
      </c>
      <c r="L1596" s="4" t="str">
        <f>IFERROR(VLOOKUP(ROWS($L$2:L1596),$B$2:$C$1996,2,0),"")</f>
        <v/>
      </c>
      <c r="N1596" s="2" t="str">
        <f>IFERROR(VLOOKUP(ROWS($N$2:N1596),$D$2:$E$1996,2,0),"")</f>
        <v/>
      </c>
    </row>
    <row r="1597" spans="2:14">
      <c r="B1597" s="32">
        <f>IF(ISNUMBER(SEARCH('Φόρμα Εισαγωγής'!$B$2,C1597)),MAX($B$1:B1596)+1,0)</f>
        <v>0</v>
      </c>
      <c r="D1597" s="33">
        <f>IF(ISNUMBER(SEARCH('Φόρμα Εισαγωγής'!$C$2,E1597)),MAX($D$1:D1596)+1,0)</f>
        <v>0</v>
      </c>
      <c r="H1597" s="6">
        <f t="shared" si="83"/>
        <v>0</v>
      </c>
      <c r="I1597" s="6">
        <f t="shared" si="84"/>
        <v>0</v>
      </c>
      <c r="J1597" s="6">
        <f t="shared" si="85"/>
        <v>0</v>
      </c>
      <c r="L1597" s="4" t="str">
        <f>IFERROR(VLOOKUP(ROWS($L$2:L1597),$B$2:$C$1996,2,0),"")</f>
        <v/>
      </c>
      <c r="N1597" s="2" t="str">
        <f>IFERROR(VLOOKUP(ROWS($N$2:N1597),$D$2:$E$1996,2,0),"")</f>
        <v/>
      </c>
    </row>
    <row r="1598" spans="2:14">
      <c r="B1598" s="32">
        <f>IF(ISNUMBER(SEARCH('Φόρμα Εισαγωγής'!$B$2,C1598)),MAX($B$1:B1597)+1,0)</f>
        <v>0</v>
      </c>
      <c r="D1598" s="33">
        <f>IF(ISNUMBER(SEARCH('Φόρμα Εισαγωγής'!$C$2,E1598)),MAX($D$1:D1597)+1,0)</f>
        <v>0</v>
      </c>
      <c r="H1598" s="6">
        <f t="shared" si="83"/>
        <v>0</v>
      </c>
      <c r="I1598" s="6">
        <f t="shared" si="84"/>
        <v>0</v>
      </c>
      <c r="J1598" s="6">
        <f t="shared" si="85"/>
        <v>0</v>
      </c>
      <c r="L1598" s="4" t="str">
        <f>IFERROR(VLOOKUP(ROWS($L$2:L1598),$B$2:$C$1996,2,0),"")</f>
        <v/>
      </c>
      <c r="N1598" s="2" t="str">
        <f>IFERROR(VLOOKUP(ROWS($N$2:N1598),$D$2:$E$1996,2,0),"")</f>
        <v/>
      </c>
    </row>
    <row r="1599" spans="2:14">
      <c r="B1599" s="32">
        <f>IF(ISNUMBER(SEARCH('Φόρμα Εισαγωγής'!$B$2,C1599)),MAX($B$1:B1598)+1,0)</f>
        <v>0</v>
      </c>
      <c r="D1599" s="33">
        <f>IF(ISNUMBER(SEARCH('Φόρμα Εισαγωγής'!$C$2,E1599)),MAX($D$1:D1598)+1,0)</f>
        <v>0</v>
      </c>
      <c r="H1599" s="6">
        <f t="shared" si="83"/>
        <v>0</v>
      </c>
      <c r="I1599" s="6">
        <f t="shared" si="84"/>
        <v>0</v>
      </c>
      <c r="J1599" s="6">
        <f t="shared" si="85"/>
        <v>0</v>
      </c>
      <c r="L1599" s="4" t="str">
        <f>IFERROR(VLOOKUP(ROWS($L$2:L1599),$B$2:$C$1996,2,0),"")</f>
        <v/>
      </c>
      <c r="N1599" s="2" t="str">
        <f>IFERROR(VLOOKUP(ROWS($N$2:N1599),$D$2:$E$1996,2,0),"")</f>
        <v/>
      </c>
    </row>
    <row r="1600" spans="2:14">
      <c r="B1600" s="32">
        <f>IF(ISNUMBER(SEARCH('Φόρμα Εισαγωγής'!$B$2,C1600)),MAX($B$1:B1599)+1,0)</f>
        <v>0</v>
      </c>
      <c r="D1600" s="33">
        <f>IF(ISNUMBER(SEARCH('Φόρμα Εισαγωγής'!$C$2,E1600)),MAX($D$1:D1599)+1,0)</f>
        <v>0</v>
      </c>
      <c r="H1600" s="6">
        <f t="shared" ref="H1600:H1663" si="86">G1600+(G1600*0.24)</f>
        <v>0</v>
      </c>
      <c r="I1600" s="6">
        <f t="shared" ref="I1600:I1663" si="87">F1600*A1600</f>
        <v>0</v>
      </c>
      <c r="J1600" s="6">
        <f t="shared" ref="J1600:J1663" si="88">H1600*A1600</f>
        <v>0</v>
      </c>
      <c r="L1600" s="4" t="str">
        <f>IFERROR(VLOOKUP(ROWS($L$2:L1600),$B$2:$C$1996,2,0),"")</f>
        <v/>
      </c>
      <c r="N1600" s="2" t="str">
        <f>IFERROR(VLOOKUP(ROWS($N$2:N1600),$D$2:$E$1996,2,0),"")</f>
        <v/>
      </c>
    </row>
    <row r="1601" spans="2:14">
      <c r="B1601" s="32">
        <f>IF(ISNUMBER(SEARCH('Φόρμα Εισαγωγής'!$B$2,C1601)),MAX($B$1:B1600)+1,0)</f>
        <v>0</v>
      </c>
      <c r="D1601" s="33">
        <f>IF(ISNUMBER(SEARCH('Φόρμα Εισαγωγής'!$C$2,E1601)),MAX($D$1:D1600)+1,0)</f>
        <v>0</v>
      </c>
      <c r="H1601" s="6">
        <f t="shared" si="86"/>
        <v>0</v>
      </c>
      <c r="I1601" s="6">
        <f t="shared" si="87"/>
        <v>0</v>
      </c>
      <c r="J1601" s="6">
        <f t="shared" si="88"/>
        <v>0</v>
      </c>
      <c r="L1601" s="4" t="str">
        <f>IFERROR(VLOOKUP(ROWS($L$2:L1601),$B$2:$C$1996,2,0),"")</f>
        <v/>
      </c>
      <c r="N1601" s="2" t="str">
        <f>IFERROR(VLOOKUP(ROWS($N$2:N1601),$D$2:$E$1996,2,0),"")</f>
        <v/>
      </c>
    </row>
    <row r="1602" spans="2:14">
      <c r="B1602" s="32">
        <f>IF(ISNUMBER(SEARCH('Φόρμα Εισαγωγής'!$B$2,C1602)),MAX($B$1:B1601)+1,0)</f>
        <v>0</v>
      </c>
      <c r="D1602" s="33">
        <f>IF(ISNUMBER(SEARCH('Φόρμα Εισαγωγής'!$C$2,E1602)),MAX($D$1:D1601)+1,0)</f>
        <v>0</v>
      </c>
      <c r="H1602" s="6">
        <f t="shared" si="86"/>
        <v>0</v>
      </c>
      <c r="I1602" s="6">
        <f t="shared" si="87"/>
        <v>0</v>
      </c>
      <c r="J1602" s="6">
        <f t="shared" si="88"/>
        <v>0</v>
      </c>
      <c r="L1602" s="4" t="str">
        <f>IFERROR(VLOOKUP(ROWS($L$2:L1602),$B$2:$C$1996,2,0),"")</f>
        <v/>
      </c>
      <c r="N1602" s="2" t="str">
        <f>IFERROR(VLOOKUP(ROWS($N$2:N1602),$D$2:$E$1996,2,0),"")</f>
        <v/>
      </c>
    </row>
    <row r="1603" spans="2:14">
      <c r="B1603" s="32">
        <f>IF(ISNUMBER(SEARCH('Φόρμα Εισαγωγής'!$B$2,C1603)),MAX($B$1:B1602)+1,0)</f>
        <v>0</v>
      </c>
      <c r="D1603" s="33">
        <f>IF(ISNUMBER(SEARCH('Φόρμα Εισαγωγής'!$C$2,E1603)),MAX($D$1:D1602)+1,0)</f>
        <v>0</v>
      </c>
      <c r="H1603" s="6">
        <f t="shared" si="86"/>
        <v>0</v>
      </c>
      <c r="I1603" s="6">
        <f t="shared" si="87"/>
        <v>0</v>
      </c>
      <c r="J1603" s="6">
        <f t="shared" si="88"/>
        <v>0</v>
      </c>
      <c r="L1603" s="4" t="str">
        <f>IFERROR(VLOOKUP(ROWS($L$2:L1603),$B$2:$C$1996,2,0),"")</f>
        <v/>
      </c>
      <c r="N1603" s="2" t="str">
        <f>IFERROR(VLOOKUP(ROWS($N$2:N1603),$D$2:$E$1996,2,0),"")</f>
        <v/>
      </c>
    </row>
    <row r="1604" spans="2:14">
      <c r="B1604" s="32">
        <f>IF(ISNUMBER(SEARCH('Φόρμα Εισαγωγής'!$B$2,C1604)),MAX($B$1:B1603)+1,0)</f>
        <v>0</v>
      </c>
      <c r="D1604" s="33">
        <f>IF(ISNUMBER(SEARCH('Φόρμα Εισαγωγής'!$C$2,E1604)),MAX($D$1:D1603)+1,0)</f>
        <v>0</v>
      </c>
      <c r="H1604" s="6">
        <f t="shared" si="86"/>
        <v>0</v>
      </c>
      <c r="I1604" s="6">
        <f t="shared" si="87"/>
        <v>0</v>
      </c>
      <c r="J1604" s="6">
        <f t="shared" si="88"/>
        <v>0</v>
      </c>
      <c r="L1604" s="4" t="str">
        <f>IFERROR(VLOOKUP(ROWS($L$2:L1604),$B$2:$C$1996,2,0),"")</f>
        <v/>
      </c>
      <c r="N1604" s="2" t="str">
        <f>IFERROR(VLOOKUP(ROWS($N$2:N1604),$D$2:$E$1996,2,0),"")</f>
        <v/>
      </c>
    </row>
    <row r="1605" spans="2:14">
      <c r="B1605" s="32">
        <f>IF(ISNUMBER(SEARCH('Φόρμα Εισαγωγής'!$B$2,C1605)),MAX($B$1:B1604)+1,0)</f>
        <v>0</v>
      </c>
      <c r="D1605" s="33">
        <f>IF(ISNUMBER(SEARCH('Φόρμα Εισαγωγής'!$C$2,E1605)),MAX($D$1:D1604)+1,0)</f>
        <v>0</v>
      </c>
      <c r="H1605" s="6">
        <f t="shared" si="86"/>
        <v>0</v>
      </c>
      <c r="I1605" s="6">
        <f t="shared" si="87"/>
        <v>0</v>
      </c>
      <c r="J1605" s="6">
        <f t="shared" si="88"/>
        <v>0</v>
      </c>
      <c r="L1605" s="4" t="str">
        <f>IFERROR(VLOOKUP(ROWS($L$2:L1605),$B$2:$C$1996,2,0),"")</f>
        <v/>
      </c>
      <c r="N1605" s="2" t="str">
        <f>IFERROR(VLOOKUP(ROWS($N$2:N1605),$D$2:$E$1996,2,0),"")</f>
        <v/>
      </c>
    </row>
    <row r="1606" spans="2:14">
      <c r="B1606" s="32">
        <f>IF(ISNUMBER(SEARCH('Φόρμα Εισαγωγής'!$B$2,C1606)),MAX($B$1:B1605)+1,0)</f>
        <v>0</v>
      </c>
      <c r="D1606" s="33">
        <f>IF(ISNUMBER(SEARCH('Φόρμα Εισαγωγής'!$C$2,E1606)),MAX($D$1:D1605)+1,0)</f>
        <v>0</v>
      </c>
      <c r="H1606" s="6">
        <f t="shared" si="86"/>
        <v>0</v>
      </c>
      <c r="I1606" s="6">
        <f t="shared" si="87"/>
        <v>0</v>
      </c>
      <c r="J1606" s="6">
        <f t="shared" si="88"/>
        <v>0</v>
      </c>
      <c r="L1606" s="4" t="str">
        <f>IFERROR(VLOOKUP(ROWS($L$2:L1606),$B$2:$C$1996,2,0),"")</f>
        <v/>
      </c>
      <c r="N1606" s="2" t="str">
        <f>IFERROR(VLOOKUP(ROWS($N$2:N1606),$D$2:$E$1996,2,0),"")</f>
        <v/>
      </c>
    </row>
    <row r="1607" spans="2:14">
      <c r="B1607" s="32">
        <f>IF(ISNUMBER(SEARCH('Φόρμα Εισαγωγής'!$B$2,C1607)),MAX($B$1:B1606)+1,0)</f>
        <v>0</v>
      </c>
      <c r="D1607" s="33">
        <f>IF(ISNUMBER(SEARCH('Φόρμα Εισαγωγής'!$C$2,E1607)),MAX($D$1:D1606)+1,0)</f>
        <v>0</v>
      </c>
      <c r="H1607" s="6">
        <f t="shared" si="86"/>
        <v>0</v>
      </c>
      <c r="I1607" s="6">
        <f t="shared" si="87"/>
        <v>0</v>
      </c>
      <c r="J1607" s="6">
        <f t="shared" si="88"/>
        <v>0</v>
      </c>
      <c r="L1607" s="4" t="str">
        <f>IFERROR(VLOOKUP(ROWS($L$2:L1607),$B$2:$C$1996,2,0),"")</f>
        <v/>
      </c>
      <c r="N1607" s="2" t="str">
        <f>IFERROR(VLOOKUP(ROWS($N$2:N1607),$D$2:$E$1996,2,0),"")</f>
        <v/>
      </c>
    </row>
    <row r="1608" spans="2:14">
      <c r="B1608" s="32">
        <f>IF(ISNUMBER(SEARCH('Φόρμα Εισαγωγής'!$B$2,C1608)),MAX($B$1:B1607)+1,0)</f>
        <v>0</v>
      </c>
      <c r="D1608" s="33">
        <f>IF(ISNUMBER(SEARCH('Φόρμα Εισαγωγής'!$C$2,E1608)),MAX($D$1:D1607)+1,0)</f>
        <v>0</v>
      </c>
      <c r="H1608" s="6">
        <f t="shared" si="86"/>
        <v>0</v>
      </c>
      <c r="I1608" s="6">
        <f t="shared" si="87"/>
        <v>0</v>
      </c>
      <c r="J1608" s="6">
        <f t="shared" si="88"/>
        <v>0</v>
      </c>
      <c r="L1608" s="4" t="str">
        <f>IFERROR(VLOOKUP(ROWS($L$2:L1608),$B$2:$C$1996,2,0),"")</f>
        <v/>
      </c>
      <c r="N1608" s="2" t="str">
        <f>IFERROR(VLOOKUP(ROWS($N$2:N1608),$D$2:$E$1996,2,0),"")</f>
        <v/>
      </c>
    </row>
    <row r="1609" spans="2:14">
      <c r="B1609" s="32">
        <f>IF(ISNUMBER(SEARCH('Φόρμα Εισαγωγής'!$B$2,C1609)),MAX($B$1:B1608)+1,0)</f>
        <v>0</v>
      </c>
      <c r="D1609" s="33">
        <f>IF(ISNUMBER(SEARCH('Φόρμα Εισαγωγής'!$C$2,E1609)),MAX($D$1:D1608)+1,0)</f>
        <v>0</v>
      </c>
      <c r="H1609" s="6">
        <f t="shared" si="86"/>
        <v>0</v>
      </c>
      <c r="I1609" s="6">
        <f t="shared" si="87"/>
        <v>0</v>
      </c>
      <c r="J1609" s="6">
        <f t="shared" si="88"/>
        <v>0</v>
      </c>
      <c r="L1609" s="4" t="str">
        <f>IFERROR(VLOOKUP(ROWS($L$2:L1609),$B$2:$C$1996,2,0),"")</f>
        <v/>
      </c>
      <c r="N1609" s="2" t="str">
        <f>IFERROR(VLOOKUP(ROWS($N$2:N1609),$D$2:$E$1996,2,0),"")</f>
        <v/>
      </c>
    </row>
    <row r="1610" spans="2:14">
      <c r="B1610" s="32">
        <f>IF(ISNUMBER(SEARCH('Φόρμα Εισαγωγής'!$B$2,C1610)),MAX($B$1:B1609)+1,0)</f>
        <v>0</v>
      </c>
      <c r="D1610" s="33">
        <f>IF(ISNUMBER(SEARCH('Φόρμα Εισαγωγής'!$C$2,E1610)),MAX($D$1:D1609)+1,0)</f>
        <v>0</v>
      </c>
      <c r="H1610" s="6">
        <f t="shared" si="86"/>
        <v>0</v>
      </c>
      <c r="I1610" s="6">
        <f t="shared" si="87"/>
        <v>0</v>
      </c>
      <c r="J1610" s="6">
        <f t="shared" si="88"/>
        <v>0</v>
      </c>
      <c r="L1610" s="4" t="str">
        <f>IFERROR(VLOOKUP(ROWS($L$2:L1610),$B$2:$C$1996,2,0),"")</f>
        <v/>
      </c>
      <c r="N1610" s="2" t="str">
        <f>IFERROR(VLOOKUP(ROWS($N$2:N1610),$D$2:$E$1996,2,0),"")</f>
        <v/>
      </c>
    </row>
    <row r="1611" spans="2:14">
      <c r="B1611" s="32">
        <f>IF(ISNUMBER(SEARCH('Φόρμα Εισαγωγής'!$B$2,C1611)),MAX($B$1:B1610)+1,0)</f>
        <v>0</v>
      </c>
      <c r="D1611" s="33">
        <f>IF(ISNUMBER(SEARCH('Φόρμα Εισαγωγής'!$C$2,E1611)),MAX($D$1:D1610)+1,0)</f>
        <v>0</v>
      </c>
      <c r="H1611" s="6">
        <f t="shared" si="86"/>
        <v>0</v>
      </c>
      <c r="I1611" s="6">
        <f t="shared" si="87"/>
        <v>0</v>
      </c>
      <c r="J1611" s="6">
        <f t="shared" si="88"/>
        <v>0</v>
      </c>
      <c r="L1611" s="4" t="str">
        <f>IFERROR(VLOOKUP(ROWS($L$2:L1611),$B$2:$C$1996,2,0),"")</f>
        <v/>
      </c>
      <c r="N1611" s="2" t="str">
        <f>IFERROR(VLOOKUP(ROWS($N$2:N1611),$D$2:$E$1996,2,0),"")</f>
        <v/>
      </c>
    </row>
    <row r="1612" spans="2:14">
      <c r="B1612" s="32">
        <f>IF(ISNUMBER(SEARCH('Φόρμα Εισαγωγής'!$B$2,C1612)),MAX($B$1:B1611)+1,0)</f>
        <v>0</v>
      </c>
      <c r="D1612" s="33">
        <f>IF(ISNUMBER(SEARCH('Φόρμα Εισαγωγής'!$C$2,E1612)),MAX($D$1:D1611)+1,0)</f>
        <v>0</v>
      </c>
      <c r="H1612" s="6">
        <f t="shared" si="86"/>
        <v>0</v>
      </c>
      <c r="I1612" s="6">
        <f t="shared" si="87"/>
        <v>0</v>
      </c>
      <c r="J1612" s="6">
        <f t="shared" si="88"/>
        <v>0</v>
      </c>
      <c r="L1612" s="4" t="str">
        <f>IFERROR(VLOOKUP(ROWS($L$2:L1612),$B$2:$C$1996,2,0),"")</f>
        <v/>
      </c>
      <c r="N1612" s="2" t="str">
        <f>IFERROR(VLOOKUP(ROWS($N$2:N1612),$D$2:$E$1996,2,0),"")</f>
        <v/>
      </c>
    </row>
    <row r="1613" spans="2:14">
      <c r="B1613" s="32">
        <f>IF(ISNUMBER(SEARCH('Φόρμα Εισαγωγής'!$B$2,C1613)),MAX($B$1:B1612)+1,0)</f>
        <v>0</v>
      </c>
      <c r="D1613" s="33">
        <f>IF(ISNUMBER(SEARCH('Φόρμα Εισαγωγής'!$C$2,E1613)),MAX($D$1:D1612)+1,0)</f>
        <v>0</v>
      </c>
      <c r="H1613" s="6">
        <f t="shared" si="86"/>
        <v>0</v>
      </c>
      <c r="I1613" s="6">
        <f t="shared" si="87"/>
        <v>0</v>
      </c>
      <c r="J1613" s="6">
        <f t="shared" si="88"/>
        <v>0</v>
      </c>
      <c r="L1613" s="4" t="str">
        <f>IFERROR(VLOOKUP(ROWS($L$2:L1613),$B$2:$C$1996,2,0),"")</f>
        <v/>
      </c>
      <c r="N1613" s="2" t="str">
        <f>IFERROR(VLOOKUP(ROWS($N$2:N1613),$D$2:$E$1996,2,0),"")</f>
        <v/>
      </c>
    </row>
    <row r="1614" spans="2:14">
      <c r="B1614" s="32">
        <f>IF(ISNUMBER(SEARCH('Φόρμα Εισαγωγής'!$B$2,C1614)),MAX($B$1:B1613)+1,0)</f>
        <v>0</v>
      </c>
      <c r="D1614" s="33">
        <f>IF(ISNUMBER(SEARCH('Φόρμα Εισαγωγής'!$C$2,E1614)),MAX($D$1:D1613)+1,0)</f>
        <v>0</v>
      </c>
      <c r="H1614" s="6">
        <f t="shared" si="86"/>
        <v>0</v>
      </c>
      <c r="I1614" s="6">
        <f t="shared" si="87"/>
        <v>0</v>
      </c>
      <c r="J1614" s="6">
        <f t="shared" si="88"/>
        <v>0</v>
      </c>
      <c r="L1614" s="4" t="str">
        <f>IFERROR(VLOOKUP(ROWS($L$2:L1614),$B$2:$C$1996,2,0),"")</f>
        <v/>
      </c>
      <c r="N1614" s="2" t="str">
        <f>IFERROR(VLOOKUP(ROWS($N$2:N1614),$D$2:$E$1996,2,0),"")</f>
        <v/>
      </c>
    </row>
    <row r="1615" spans="2:14">
      <c r="B1615" s="32">
        <f>IF(ISNUMBER(SEARCH('Φόρμα Εισαγωγής'!$B$2,C1615)),MAX($B$1:B1614)+1,0)</f>
        <v>0</v>
      </c>
      <c r="D1615" s="33">
        <f>IF(ISNUMBER(SEARCH('Φόρμα Εισαγωγής'!$C$2,E1615)),MAX($D$1:D1614)+1,0)</f>
        <v>0</v>
      </c>
      <c r="H1615" s="6">
        <f t="shared" si="86"/>
        <v>0</v>
      </c>
      <c r="I1615" s="6">
        <f t="shared" si="87"/>
        <v>0</v>
      </c>
      <c r="J1615" s="6">
        <f t="shared" si="88"/>
        <v>0</v>
      </c>
      <c r="L1615" s="4" t="str">
        <f>IFERROR(VLOOKUP(ROWS($L$2:L1615),$B$2:$C$1996,2,0),"")</f>
        <v/>
      </c>
      <c r="N1615" s="2" t="str">
        <f>IFERROR(VLOOKUP(ROWS($N$2:N1615),$D$2:$E$1996,2,0),"")</f>
        <v/>
      </c>
    </row>
    <row r="1616" spans="2:14">
      <c r="B1616" s="32">
        <f>IF(ISNUMBER(SEARCH('Φόρμα Εισαγωγής'!$B$2,C1616)),MAX($B$1:B1615)+1,0)</f>
        <v>0</v>
      </c>
      <c r="D1616" s="33">
        <f>IF(ISNUMBER(SEARCH('Φόρμα Εισαγωγής'!$C$2,E1616)),MAX($D$1:D1615)+1,0)</f>
        <v>0</v>
      </c>
      <c r="H1616" s="6">
        <f t="shared" si="86"/>
        <v>0</v>
      </c>
      <c r="I1616" s="6">
        <f t="shared" si="87"/>
        <v>0</v>
      </c>
      <c r="J1616" s="6">
        <f t="shared" si="88"/>
        <v>0</v>
      </c>
      <c r="L1616" s="4" t="str">
        <f>IFERROR(VLOOKUP(ROWS($L$2:L1616),$B$2:$C$1996,2,0),"")</f>
        <v/>
      </c>
      <c r="N1616" s="2" t="str">
        <f>IFERROR(VLOOKUP(ROWS($N$2:N1616),$D$2:$E$1996,2,0),"")</f>
        <v/>
      </c>
    </row>
    <row r="1617" spans="2:14">
      <c r="B1617" s="32">
        <f>IF(ISNUMBER(SEARCH('Φόρμα Εισαγωγής'!$B$2,C1617)),MAX($B$1:B1616)+1,0)</f>
        <v>0</v>
      </c>
      <c r="D1617" s="33">
        <f>IF(ISNUMBER(SEARCH('Φόρμα Εισαγωγής'!$C$2,E1617)),MAX($D$1:D1616)+1,0)</f>
        <v>0</v>
      </c>
      <c r="H1617" s="6">
        <f t="shared" si="86"/>
        <v>0</v>
      </c>
      <c r="I1617" s="6">
        <f t="shared" si="87"/>
        <v>0</v>
      </c>
      <c r="J1617" s="6">
        <f t="shared" si="88"/>
        <v>0</v>
      </c>
      <c r="L1617" s="4" t="str">
        <f>IFERROR(VLOOKUP(ROWS($L$2:L1617),$B$2:$C$1996,2,0),"")</f>
        <v/>
      </c>
      <c r="N1617" s="2" t="str">
        <f>IFERROR(VLOOKUP(ROWS($N$2:N1617),$D$2:$E$1996,2,0),"")</f>
        <v/>
      </c>
    </row>
    <row r="1618" spans="2:14">
      <c r="B1618" s="32">
        <f>IF(ISNUMBER(SEARCH('Φόρμα Εισαγωγής'!$B$2,C1618)),MAX($B$1:B1617)+1,0)</f>
        <v>0</v>
      </c>
      <c r="D1618" s="33">
        <f>IF(ISNUMBER(SEARCH('Φόρμα Εισαγωγής'!$C$2,E1618)),MAX($D$1:D1617)+1,0)</f>
        <v>0</v>
      </c>
      <c r="H1618" s="6">
        <f t="shared" si="86"/>
        <v>0</v>
      </c>
      <c r="I1618" s="6">
        <f t="shared" si="87"/>
        <v>0</v>
      </c>
      <c r="J1618" s="6">
        <f t="shared" si="88"/>
        <v>0</v>
      </c>
      <c r="L1618" s="4" t="str">
        <f>IFERROR(VLOOKUP(ROWS($L$2:L1618),$B$2:$C$1996,2,0),"")</f>
        <v/>
      </c>
      <c r="N1618" s="2" t="str">
        <f>IFERROR(VLOOKUP(ROWS($N$2:N1618),$D$2:$E$1996,2,0),"")</f>
        <v/>
      </c>
    </row>
    <row r="1619" spans="2:14">
      <c r="B1619" s="32">
        <f>IF(ISNUMBER(SEARCH('Φόρμα Εισαγωγής'!$B$2,C1619)),MAX($B$1:B1618)+1,0)</f>
        <v>0</v>
      </c>
      <c r="D1619" s="33">
        <f>IF(ISNUMBER(SEARCH('Φόρμα Εισαγωγής'!$C$2,E1619)),MAX($D$1:D1618)+1,0)</f>
        <v>0</v>
      </c>
      <c r="H1619" s="6">
        <f t="shared" si="86"/>
        <v>0</v>
      </c>
      <c r="I1619" s="6">
        <f t="shared" si="87"/>
        <v>0</v>
      </c>
      <c r="J1619" s="6">
        <f t="shared" si="88"/>
        <v>0</v>
      </c>
      <c r="L1619" s="4" t="str">
        <f>IFERROR(VLOOKUP(ROWS($L$2:L1619),$B$2:$C$1996,2,0),"")</f>
        <v/>
      </c>
      <c r="N1619" s="2" t="str">
        <f>IFERROR(VLOOKUP(ROWS($N$2:N1619),$D$2:$E$1996,2,0),"")</f>
        <v/>
      </c>
    </row>
    <row r="1620" spans="2:14">
      <c r="B1620" s="32">
        <f>IF(ISNUMBER(SEARCH('Φόρμα Εισαγωγής'!$B$2,C1620)),MAX($B$1:B1619)+1,0)</f>
        <v>0</v>
      </c>
      <c r="D1620" s="33">
        <f>IF(ISNUMBER(SEARCH('Φόρμα Εισαγωγής'!$C$2,E1620)),MAX($D$1:D1619)+1,0)</f>
        <v>0</v>
      </c>
      <c r="H1620" s="6">
        <f t="shared" si="86"/>
        <v>0</v>
      </c>
      <c r="I1620" s="6">
        <f t="shared" si="87"/>
        <v>0</v>
      </c>
      <c r="J1620" s="6">
        <f t="shared" si="88"/>
        <v>0</v>
      </c>
      <c r="L1620" s="4" t="str">
        <f>IFERROR(VLOOKUP(ROWS($L$2:L1620),$B$2:$C$1996,2,0),"")</f>
        <v/>
      </c>
      <c r="N1620" s="2" t="str">
        <f>IFERROR(VLOOKUP(ROWS($N$2:N1620),$D$2:$E$1996,2,0),"")</f>
        <v/>
      </c>
    </row>
    <row r="1621" spans="2:14">
      <c r="B1621" s="32">
        <f>IF(ISNUMBER(SEARCH('Φόρμα Εισαγωγής'!$B$2,C1621)),MAX($B$1:B1620)+1,0)</f>
        <v>0</v>
      </c>
      <c r="D1621" s="33">
        <f>IF(ISNUMBER(SEARCH('Φόρμα Εισαγωγής'!$C$2,E1621)),MAX($D$1:D1620)+1,0)</f>
        <v>0</v>
      </c>
      <c r="H1621" s="6">
        <f t="shared" si="86"/>
        <v>0</v>
      </c>
      <c r="I1621" s="6">
        <f t="shared" si="87"/>
        <v>0</v>
      </c>
      <c r="J1621" s="6">
        <f t="shared" si="88"/>
        <v>0</v>
      </c>
      <c r="L1621" s="4" t="str">
        <f>IFERROR(VLOOKUP(ROWS($L$2:L1621),$B$2:$C$1996,2,0),"")</f>
        <v/>
      </c>
      <c r="N1621" s="2" t="str">
        <f>IFERROR(VLOOKUP(ROWS($N$2:N1621),$D$2:$E$1996,2,0),"")</f>
        <v/>
      </c>
    </row>
    <row r="1622" spans="2:14">
      <c r="B1622" s="32">
        <f>IF(ISNUMBER(SEARCH('Φόρμα Εισαγωγής'!$B$2,C1622)),MAX($B$1:B1621)+1,0)</f>
        <v>0</v>
      </c>
      <c r="D1622" s="33">
        <f>IF(ISNUMBER(SEARCH('Φόρμα Εισαγωγής'!$C$2,E1622)),MAX($D$1:D1621)+1,0)</f>
        <v>0</v>
      </c>
      <c r="H1622" s="6">
        <f t="shared" si="86"/>
        <v>0</v>
      </c>
      <c r="I1622" s="6">
        <f t="shared" si="87"/>
        <v>0</v>
      </c>
      <c r="J1622" s="6">
        <f t="shared" si="88"/>
        <v>0</v>
      </c>
      <c r="L1622" s="4" t="str">
        <f>IFERROR(VLOOKUP(ROWS($L$2:L1622),$B$2:$C$1996,2,0),"")</f>
        <v/>
      </c>
      <c r="N1622" s="2" t="str">
        <f>IFERROR(VLOOKUP(ROWS($N$2:N1622),$D$2:$E$1996,2,0),"")</f>
        <v/>
      </c>
    </row>
    <row r="1623" spans="2:14">
      <c r="B1623" s="32">
        <f>IF(ISNUMBER(SEARCH('Φόρμα Εισαγωγής'!$B$2,C1623)),MAX($B$1:B1622)+1,0)</f>
        <v>0</v>
      </c>
      <c r="D1623" s="33">
        <f>IF(ISNUMBER(SEARCH('Φόρμα Εισαγωγής'!$C$2,E1623)),MAX($D$1:D1622)+1,0)</f>
        <v>0</v>
      </c>
      <c r="H1623" s="6">
        <f t="shared" si="86"/>
        <v>0</v>
      </c>
      <c r="I1623" s="6">
        <f t="shared" si="87"/>
        <v>0</v>
      </c>
      <c r="J1623" s="6">
        <f t="shared" si="88"/>
        <v>0</v>
      </c>
      <c r="L1623" s="4" t="str">
        <f>IFERROR(VLOOKUP(ROWS($L$2:L1623),$B$2:$C$1996,2,0),"")</f>
        <v/>
      </c>
      <c r="N1623" s="2" t="str">
        <f>IFERROR(VLOOKUP(ROWS($N$2:N1623),$D$2:$E$1996,2,0),"")</f>
        <v/>
      </c>
    </row>
    <row r="1624" spans="2:14">
      <c r="B1624" s="32">
        <f>IF(ISNUMBER(SEARCH('Φόρμα Εισαγωγής'!$B$2,C1624)),MAX($B$1:B1623)+1,0)</f>
        <v>0</v>
      </c>
      <c r="D1624" s="33">
        <f>IF(ISNUMBER(SEARCH('Φόρμα Εισαγωγής'!$C$2,E1624)),MAX($D$1:D1623)+1,0)</f>
        <v>0</v>
      </c>
      <c r="H1624" s="6">
        <f t="shared" si="86"/>
        <v>0</v>
      </c>
      <c r="I1624" s="6">
        <f t="shared" si="87"/>
        <v>0</v>
      </c>
      <c r="J1624" s="6">
        <f t="shared" si="88"/>
        <v>0</v>
      </c>
      <c r="L1624" s="4" t="str">
        <f>IFERROR(VLOOKUP(ROWS($L$2:L1624),$B$2:$C$1996,2,0),"")</f>
        <v/>
      </c>
      <c r="N1624" s="2" t="str">
        <f>IFERROR(VLOOKUP(ROWS($N$2:N1624),$D$2:$E$1996,2,0),"")</f>
        <v/>
      </c>
    </row>
    <row r="1625" spans="2:14">
      <c r="B1625" s="32">
        <f>IF(ISNUMBER(SEARCH('Φόρμα Εισαγωγής'!$B$2,C1625)),MAX($B$1:B1624)+1,0)</f>
        <v>0</v>
      </c>
      <c r="D1625" s="33">
        <f>IF(ISNUMBER(SEARCH('Φόρμα Εισαγωγής'!$C$2,E1625)),MAX($D$1:D1624)+1,0)</f>
        <v>0</v>
      </c>
      <c r="H1625" s="6">
        <f t="shared" si="86"/>
        <v>0</v>
      </c>
      <c r="I1625" s="6">
        <f t="shared" si="87"/>
        <v>0</v>
      </c>
      <c r="J1625" s="6">
        <f t="shared" si="88"/>
        <v>0</v>
      </c>
      <c r="L1625" s="4" t="str">
        <f>IFERROR(VLOOKUP(ROWS($L$2:L1625),$B$2:$C$1996,2,0),"")</f>
        <v/>
      </c>
      <c r="N1625" s="2" t="str">
        <f>IFERROR(VLOOKUP(ROWS($N$2:N1625),$D$2:$E$1996,2,0),"")</f>
        <v/>
      </c>
    </row>
    <row r="1626" spans="2:14">
      <c r="B1626" s="32">
        <f>IF(ISNUMBER(SEARCH('Φόρμα Εισαγωγής'!$B$2,C1626)),MAX($B$1:B1625)+1,0)</f>
        <v>0</v>
      </c>
      <c r="D1626" s="33">
        <f>IF(ISNUMBER(SEARCH('Φόρμα Εισαγωγής'!$C$2,E1626)),MAX($D$1:D1625)+1,0)</f>
        <v>0</v>
      </c>
      <c r="H1626" s="6">
        <f t="shared" si="86"/>
        <v>0</v>
      </c>
      <c r="I1626" s="6">
        <f t="shared" si="87"/>
        <v>0</v>
      </c>
      <c r="J1626" s="6">
        <f t="shared" si="88"/>
        <v>0</v>
      </c>
      <c r="L1626" s="4" t="str">
        <f>IFERROR(VLOOKUP(ROWS($L$2:L1626),$B$2:$C$1996,2,0),"")</f>
        <v/>
      </c>
      <c r="N1626" s="2" t="str">
        <f>IFERROR(VLOOKUP(ROWS($N$2:N1626),$D$2:$E$1996,2,0),"")</f>
        <v/>
      </c>
    </row>
    <row r="1627" spans="2:14">
      <c r="B1627" s="32">
        <f>IF(ISNUMBER(SEARCH('Φόρμα Εισαγωγής'!$B$2,C1627)),MAX($B$1:B1626)+1,0)</f>
        <v>0</v>
      </c>
      <c r="D1627" s="33">
        <f>IF(ISNUMBER(SEARCH('Φόρμα Εισαγωγής'!$C$2,E1627)),MAX($D$1:D1626)+1,0)</f>
        <v>0</v>
      </c>
      <c r="H1627" s="6">
        <f t="shared" si="86"/>
        <v>0</v>
      </c>
      <c r="I1627" s="6">
        <f t="shared" si="87"/>
        <v>0</v>
      </c>
      <c r="J1627" s="6">
        <f t="shared" si="88"/>
        <v>0</v>
      </c>
      <c r="L1627" s="4" t="str">
        <f>IFERROR(VLOOKUP(ROWS($L$2:L1627),$B$2:$C$1996,2,0),"")</f>
        <v/>
      </c>
      <c r="N1627" s="2" t="str">
        <f>IFERROR(VLOOKUP(ROWS($N$2:N1627),$D$2:$E$1996,2,0),"")</f>
        <v/>
      </c>
    </row>
    <row r="1628" spans="2:14">
      <c r="B1628" s="32">
        <f>IF(ISNUMBER(SEARCH('Φόρμα Εισαγωγής'!$B$2,C1628)),MAX($B$1:B1627)+1,0)</f>
        <v>0</v>
      </c>
      <c r="D1628" s="33">
        <f>IF(ISNUMBER(SEARCH('Φόρμα Εισαγωγής'!$C$2,E1628)),MAX($D$1:D1627)+1,0)</f>
        <v>0</v>
      </c>
      <c r="H1628" s="6">
        <f t="shared" si="86"/>
        <v>0</v>
      </c>
      <c r="I1628" s="6">
        <f t="shared" si="87"/>
        <v>0</v>
      </c>
      <c r="J1628" s="6">
        <f t="shared" si="88"/>
        <v>0</v>
      </c>
      <c r="L1628" s="4" t="str">
        <f>IFERROR(VLOOKUP(ROWS($L$2:L1628),$B$2:$C$1996,2,0),"")</f>
        <v/>
      </c>
      <c r="N1628" s="2" t="str">
        <f>IFERROR(VLOOKUP(ROWS($N$2:N1628),$D$2:$E$1996,2,0),"")</f>
        <v/>
      </c>
    </row>
    <row r="1629" spans="2:14">
      <c r="B1629" s="32">
        <f>IF(ISNUMBER(SEARCH('Φόρμα Εισαγωγής'!$B$2,C1629)),MAX($B$1:B1628)+1,0)</f>
        <v>0</v>
      </c>
      <c r="D1629" s="33">
        <f>IF(ISNUMBER(SEARCH('Φόρμα Εισαγωγής'!$C$2,E1629)),MAX($D$1:D1628)+1,0)</f>
        <v>0</v>
      </c>
      <c r="H1629" s="6">
        <f t="shared" si="86"/>
        <v>0</v>
      </c>
      <c r="I1629" s="6">
        <f t="shared" si="87"/>
        <v>0</v>
      </c>
      <c r="J1629" s="6">
        <f t="shared" si="88"/>
        <v>0</v>
      </c>
      <c r="L1629" s="4" t="str">
        <f>IFERROR(VLOOKUP(ROWS($L$2:L1629),$B$2:$C$1996,2,0),"")</f>
        <v/>
      </c>
      <c r="N1629" s="2" t="str">
        <f>IFERROR(VLOOKUP(ROWS($N$2:N1629),$D$2:$E$1996,2,0),"")</f>
        <v/>
      </c>
    </row>
    <row r="1630" spans="2:14">
      <c r="B1630" s="32">
        <f>IF(ISNUMBER(SEARCH('Φόρμα Εισαγωγής'!$B$2,C1630)),MAX($B$1:B1629)+1,0)</f>
        <v>0</v>
      </c>
      <c r="D1630" s="33">
        <f>IF(ISNUMBER(SEARCH('Φόρμα Εισαγωγής'!$C$2,E1630)),MAX($D$1:D1629)+1,0)</f>
        <v>0</v>
      </c>
      <c r="H1630" s="6">
        <f t="shared" si="86"/>
        <v>0</v>
      </c>
      <c r="I1630" s="6">
        <f t="shared" si="87"/>
        <v>0</v>
      </c>
      <c r="J1630" s="6">
        <f t="shared" si="88"/>
        <v>0</v>
      </c>
      <c r="L1630" s="4" t="str">
        <f>IFERROR(VLOOKUP(ROWS($L$2:L1630),$B$2:$C$1996,2,0),"")</f>
        <v/>
      </c>
      <c r="N1630" s="2" t="str">
        <f>IFERROR(VLOOKUP(ROWS($N$2:N1630),$D$2:$E$1996,2,0),"")</f>
        <v/>
      </c>
    </row>
    <row r="1631" spans="2:14">
      <c r="B1631" s="32">
        <f>IF(ISNUMBER(SEARCH('Φόρμα Εισαγωγής'!$B$2,C1631)),MAX($B$1:B1630)+1,0)</f>
        <v>0</v>
      </c>
      <c r="D1631" s="33">
        <f>IF(ISNUMBER(SEARCH('Φόρμα Εισαγωγής'!$C$2,E1631)),MAX($D$1:D1630)+1,0)</f>
        <v>0</v>
      </c>
      <c r="H1631" s="6">
        <f t="shared" si="86"/>
        <v>0</v>
      </c>
      <c r="I1631" s="6">
        <f t="shared" si="87"/>
        <v>0</v>
      </c>
      <c r="J1631" s="6">
        <f t="shared" si="88"/>
        <v>0</v>
      </c>
      <c r="L1631" s="4" t="str">
        <f>IFERROR(VLOOKUP(ROWS($L$2:L1631),$B$2:$C$1996,2,0),"")</f>
        <v/>
      </c>
      <c r="N1631" s="2" t="str">
        <f>IFERROR(VLOOKUP(ROWS($N$2:N1631),$D$2:$E$1996,2,0),"")</f>
        <v/>
      </c>
    </row>
    <row r="1632" spans="2:14">
      <c r="B1632" s="32">
        <f>IF(ISNUMBER(SEARCH('Φόρμα Εισαγωγής'!$B$2,C1632)),MAX($B$1:B1631)+1,0)</f>
        <v>0</v>
      </c>
      <c r="D1632" s="33">
        <f>IF(ISNUMBER(SEARCH('Φόρμα Εισαγωγής'!$C$2,E1632)),MAX($D$1:D1631)+1,0)</f>
        <v>0</v>
      </c>
      <c r="H1632" s="6">
        <f t="shared" si="86"/>
        <v>0</v>
      </c>
      <c r="I1632" s="6">
        <f t="shared" si="87"/>
        <v>0</v>
      </c>
      <c r="J1632" s="6">
        <f t="shared" si="88"/>
        <v>0</v>
      </c>
      <c r="L1632" s="4" t="str">
        <f>IFERROR(VLOOKUP(ROWS($L$2:L1632),$B$2:$C$1996,2,0),"")</f>
        <v/>
      </c>
      <c r="N1632" s="2" t="str">
        <f>IFERROR(VLOOKUP(ROWS($N$2:N1632),$D$2:$E$1996,2,0),"")</f>
        <v/>
      </c>
    </row>
    <row r="1633" spans="2:14">
      <c r="B1633" s="32">
        <f>IF(ISNUMBER(SEARCH('Φόρμα Εισαγωγής'!$B$2,C1633)),MAX($B$1:B1632)+1,0)</f>
        <v>0</v>
      </c>
      <c r="D1633" s="33">
        <f>IF(ISNUMBER(SEARCH('Φόρμα Εισαγωγής'!$C$2,E1633)),MAX($D$1:D1632)+1,0)</f>
        <v>0</v>
      </c>
      <c r="H1633" s="6">
        <f t="shared" si="86"/>
        <v>0</v>
      </c>
      <c r="I1633" s="6">
        <f t="shared" si="87"/>
        <v>0</v>
      </c>
      <c r="J1633" s="6">
        <f t="shared" si="88"/>
        <v>0</v>
      </c>
      <c r="L1633" s="4" t="str">
        <f>IFERROR(VLOOKUP(ROWS($L$2:L1633),$B$2:$C$1996,2,0),"")</f>
        <v/>
      </c>
      <c r="N1633" s="2" t="str">
        <f>IFERROR(VLOOKUP(ROWS($N$2:N1633),$D$2:$E$1996,2,0),"")</f>
        <v/>
      </c>
    </row>
    <row r="1634" spans="2:14">
      <c r="B1634" s="32">
        <f>IF(ISNUMBER(SEARCH('Φόρμα Εισαγωγής'!$B$2,C1634)),MAX($B$1:B1633)+1,0)</f>
        <v>0</v>
      </c>
      <c r="D1634" s="33">
        <f>IF(ISNUMBER(SEARCH('Φόρμα Εισαγωγής'!$C$2,E1634)),MAX($D$1:D1633)+1,0)</f>
        <v>0</v>
      </c>
      <c r="H1634" s="6">
        <f t="shared" si="86"/>
        <v>0</v>
      </c>
      <c r="I1634" s="6">
        <f t="shared" si="87"/>
        <v>0</v>
      </c>
      <c r="J1634" s="6">
        <f t="shared" si="88"/>
        <v>0</v>
      </c>
      <c r="L1634" s="4" t="str">
        <f>IFERROR(VLOOKUP(ROWS($L$2:L1634),$B$2:$C$1996,2,0),"")</f>
        <v/>
      </c>
      <c r="N1634" s="2" t="str">
        <f>IFERROR(VLOOKUP(ROWS($N$2:N1634),$D$2:$E$1996,2,0),"")</f>
        <v/>
      </c>
    </row>
    <row r="1635" spans="2:14">
      <c r="B1635" s="32">
        <f>IF(ISNUMBER(SEARCH('Φόρμα Εισαγωγής'!$B$2,C1635)),MAX($B$1:B1634)+1,0)</f>
        <v>0</v>
      </c>
      <c r="D1635" s="33">
        <f>IF(ISNUMBER(SEARCH('Φόρμα Εισαγωγής'!$C$2,E1635)),MAX($D$1:D1634)+1,0)</f>
        <v>0</v>
      </c>
      <c r="H1635" s="6">
        <f t="shared" si="86"/>
        <v>0</v>
      </c>
      <c r="I1635" s="6">
        <f t="shared" si="87"/>
        <v>0</v>
      </c>
      <c r="J1635" s="6">
        <f t="shared" si="88"/>
        <v>0</v>
      </c>
      <c r="L1635" s="4" t="str">
        <f>IFERROR(VLOOKUP(ROWS($L$2:L1635),$B$2:$C$1996,2,0),"")</f>
        <v/>
      </c>
      <c r="N1635" s="2" t="str">
        <f>IFERROR(VLOOKUP(ROWS($N$2:N1635),$D$2:$E$1996,2,0),"")</f>
        <v/>
      </c>
    </row>
    <row r="1636" spans="2:14">
      <c r="B1636" s="32">
        <f>IF(ISNUMBER(SEARCH('Φόρμα Εισαγωγής'!$B$2,C1636)),MAX($B$1:B1635)+1,0)</f>
        <v>0</v>
      </c>
      <c r="D1636" s="33">
        <f>IF(ISNUMBER(SEARCH('Φόρμα Εισαγωγής'!$C$2,E1636)),MAX($D$1:D1635)+1,0)</f>
        <v>0</v>
      </c>
      <c r="H1636" s="6">
        <f t="shared" si="86"/>
        <v>0</v>
      </c>
      <c r="I1636" s="6">
        <f t="shared" si="87"/>
        <v>0</v>
      </c>
      <c r="J1636" s="6">
        <f t="shared" si="88"/>
        <v>0</v>
      </c>
      <c r="L1636" s="4" t="str">
        <f>IFERROR(VLOOKUP(ROWS($L$2:L1636),$B$2:$C$1996,2,0),"")</f>
        <v/>
      </c>
      <c r="N1636" s="2" t="str">
        <f>IFERROR(VLOOKUP(ROWS($N$2:N1636),$D$2:$E$1996,2,0),"")</f>
        <v/>
      </c>
    </row>
    <row r="1637" spans="2:14">
      <c r="B1637" s="32">
        <f>IF(ISNUMBER(SEARCH('Φόρμα Εισαγωγής'!$B$2,C1637)),MAX($B$1:B1636)+1,0)</f>
        <v>0</v>
      </c>
      <c r="D1637" s="33">
        <f>IF(ISNUMBER(SEARCH('Φόρμα Εισαγωγής'!$C$2,E1637)),MAX($D$1:D1636)+1,0)</f>
        <v>0</v>
      </c>
      <c r="H1637" s="6">
        <f t="shared" si="86"/>
        <v>0</v>
      </c>
      <c r="I1637" s="6">
        <f t="shared" si="87"/>
        <v>0</v>
      </c>
      <c r="J1637" s="6">
        <f t="shared" si="88"/>
        <v>0</v>
      </c>
      <c r="L1637" s="4" t="str">
        <f>IFERROR(VLOOKUP(ROWS($L$2:L1637),$B$2:$C$1996,2,0),"")</f>
        <v/>
      </c>
      <c r="N1637" s="2" t="str">
        <f>IFERROR(VLOOKUP(ROWS($N$2:N1637),$D$2:$E$1996,2,0),"")</f>
        <v/>
      </c>
    </row>
    <row r="1638" spans="2:14">
      <c r="B1638" s="32">
        <f>IF(ISNUMBER(SEARCH('Φόρμα Εισαγωγής'!$B$2,C1638)),MAX($B$1:B1637)+1,0)</f>
        <v>0</v>
      </c>
      <c r="D1638" s="33">
        <f>IF(ISNUMBER(SEARCH('Φόρμα Εισαγωγής'!$C$2,E1638)),MAX($D$1:D1637)+1,0)</f>
        <v>0</v>
      </c>
      <c r="H1638" s="6">
        <f t="shared" si="86"/>
        <v>0</v>
      </c>
      <c r="I1638" s="6">
        <f t="shared" si="87"/>
        <v>0</v>
      </c>
      <c r="J1638" s="6">
        <f t="shared" si="88"/>
        <v>0</v>
      </c>
      <c r="L1638" s="4" t="str">
        <f>IFERROR(VLOOKUP(ROWS($L$2:L1638),$B$2:$C$1996,2,0),"")</f>
        <v/>
      </c>
      <c r="N1638" s="2" t="str">
        <f>IFERROR(VLOOKUP(ROWS($N$2:N1638),$D$2:$E$1996,2,0),"")</f>
        <v/>
      </c>
    </row>
    <row r="1639" spans="2:14">
      <c r="B1639" s="32">
        <f>IF(ISNUMBER(SEARCH('Φόρμα Εισαγωγής'!$B$2,C1639)),MAX($B$1:B1638)+1,0)</f>
        <v>0</v>
      </c>
      <c r="D1639" s="33">
        <f>IF(ISNUMBER(SEARCH('Φόρμα Εισαγωγής'!$C$2,E1639)),MAX($D$1:D1638)+1,0)</f>
        <v>0</v>
      </c>
      <c r="H1639" s="6">
        <f t="shared" si="86"/>
        <v>0</v>
      </c>
      <c r="I1639" s="6">
        <f t="shared" si="87"/>
        <v>0</v>
      </c>
      <c r="J1639" s="6">
        <f t="shared" si="88"/>
        <v>0</v>
      </c>
      <c r="L1639" s="4" t="str">
        <f>IFERROR(VLOOKUP(ROWS($L$2:L1639),$B$2:$C$1996,2,0),"")</f>
        <v/>
      </c>
      <c r="N1639" s="2" t="str">
        <f>IFERROR(VLOOKUP(ROWS($N$2:N1639),$D$2:$E$1996,2,0),"")</f>
        <v/>
      </c>
    </row>
    <row r="1640" spans="2:14">
      <c r="B1640" s="32">
        <f>IF(ISNUMBER(SEARCH('Φόρμα Εισαγωγής'!$B$2,C1640)),MAX($B$1:B1639)+1,0)</f>
        <v>0</v>
      </c>
      <c r="D1640" s="33">
        <f>IF(ISNUMBER(SEARCH('Φόρμα Εισαγωγής'!$C$2,E1640)),MAX($D$1:D1639)+1,0)</f>
        <v>0</v>
      </c>
      <c r="H1640" s="6">
        <f t="shared" si="86"/>
        <v>0</v>
      </c>
      <c r="I1640" s="6">
        <f t="shared" si="87"/>
        <v>0</v>
      </c>
      <c r="J1640" s="6">
        <f t="shared" si="88"/>
        <v>0</v>
      </c>
      <c r="L1640" s="4" t="str">
        <f>IFERROR(VLOOKUP(ROWS($L$2:L1640),$B$2:$C$1996,2,0),"")</f>
        <v/>
      </c>
      <c r="N1640" s="2" t="str">
        <f>IFERROR(VLOOKUP(ROWS($N$2:N1640),$D$2:$E$1996,2,0),"")</f>
        <v/>
      </c>
    </row>
    <row r="1641" spans="2:14">
      <c r="B1641" s="32">
        <f>IF(ISNUMBER(SEARCH('Φόρμα Εισαγωγής'!$B$2,C1641)),MAX($B$1:B1640)+1,0)</f>
        <v>0</v>
      </c>
      <c r="D1641" s="33">
        <f>IF(ISNUMBER(SEARCH('Φόρμα Εισαγωγής'!$C$2,E1641)),MAX($D$1:D1640)+1,0)</f>
        <v>0</v>
      </c>
      <c r="H1641" s="6">
        <f t="shared" si="86"/>
        <v>0</v>
      </c>
      <c r="I1641" s="6">
        <f t="shared" si="87"/>
        <v>0</v>
      </c>
      <c r="J1641" s="6">
        <f t="shared" si="88"/>
        <v>0</v>
      </c>
      <c r="L1641" s="4" t="str">
        <f>IFERROR(VLOOKUP(ROWS($L$2:L1641),$B$2:$C$1996,2,0),"")</f>
        <v/>
      </c>
      <c r="N1641" s="2" t="str">
        <f>IFERROR(VLOOKUP(ROWS($N$2:N1641),$D$2:$E$1996,2,0),"")</f>
        <v/>
      </c>
    </row>
    <row r="1642" spans="2:14">
      <c r="B1642" s="32">
        <f>IF(ISNUMBER(SEARCH('Φόρμα Εισαγωγής'!$B$2,C1642)),MAX($B$1:B1641)+1,0)</f>
        <v>0</v>
      </c>
      <c r="D1642" s="33">
        <f>IF(ISNUMBER(SEARCH('Φόρμα Εισαγωγής'!$C$2,E1642)),MAX($D$1:D1641)+1,0)</f>
        <v>0</v>
      </c>
      <c r="H1642" s="6">
        <f t="shared" si="86"/>
        <v>0</v>
      </c>
      <c r="I1642" s="6">
        <f t="shared" si="87"/>
        <v>0</v>
      </c>
      <c r="J1642" s="6">
        <f t="shared" si="88"/>
        <v>0</v>
      </c>
      <c r="L1642" s="4" t="str">
        <f>IFERROR(VLOOKUP(ROWS($L$2:L1642),$B$2:$C$1996,2,0),"")</f>
        <v/>
      </c>
      <c r="N1642" s="2" t="str">
        <f>IFERROR(VLOOKUP(ROWS($N$2:N1642),$D$2:$E$1996,2,0),"")</f>
        <v/>
      </c>
    </row>
    <row r="1643" spans="2:14">
      <c r="B1643" s="32">
        <f>IF(ISNUMBER(SEARCH('Φόρμα Εισαγωγής'!$B$2,C1643)),MAX($B$1:B1642)+1,0)</f>
        <v>0</v>
      </c>
      <c r="D1643" s="33">
        <f>IF(ISNUMBER(SEARCH('Φόρμα Εισαγωγής'!$C$2,E1643)),MAX($D$1:D1642)+1,0)</f>
        <v>0</v>
      </c>
      <c r="H1643" s="6">
        <f t="shared" si="86"/>
        <v>0</v>
      </c>
      <c r="I1643" s="6">
        <f t="shared" si="87"/>
        <v>0</v>
      </c>
      <c r="J1643" s="6">
        <f t="shared" si="88"/>
        <v>0</v>
      </c>
      <c r="L1643" s="4" t="str">
        <f>IFERROR(VLOOKUP(ROWS($L$2:L1643),$B$2:$C$1996,2,0),"")</f>
        <v/>
      </c>
      <c r="N1643" s="2" t="str">
        <f>IFERROR(VLOOKUP(ROWS($N$2:N1643),$D$2:$E$1996,2,0),"")</f>
        <v/>
      </c>
    </row>
    <row r="1644" spans="2:14">
      <c r="B1644" s="32">
        <f>IF(ISNUMBER(SEARCH('Φόρμα Εισαγωγής'!$B$2,C1644)),MAX($B$1:B1643)+1,0)</f>
        <v>0</v>
      </c>
      <c r="D1644" s="33">
        <f>IF(ISNUMBER(SEARCH('Φόρμα Εισαγωγής'!$C$2,E1644)),MAX($D$1:D1643)+1,0)</f>
        <v>0</v>
      </c>
      <c r="H1644" s="6">
        <f t="shared" si="86"/>
        <v>0</v>
      </c>
      <c r="I1644" s="6">
        <f t="shared" si="87"/>
        <v>0</v>
      </c>
      <c r="J1644" s="6">
        <f t="shared" si="88"/>
        <v>0</v>
      </c>
      <c r="L1644" s="4" t="str">
        <f>IFERROR(VLOOKUP(ROWS($L$2:L1644),$B$2:$C$1996,2,0),"")</f>
        <v/>
      </c>
      <c r="N1644" s="2" t="str">
        <f>IFERROR(VLOOKUP(ROWS($N$2:N1644),$D$2:$E$1996,2,0),"")</f>
        <v/>
      </c>
    </row>
    <row r="1645" spans="2:14">
      <c r="B1645" s="32">
        <f>IF(ISNUMBER(SEARCH('Φόρμα Εισαγωγής'!$B$2,C1645)),MAX($B$1:B1644)+1,0)</f>
        <v>0</v>
      </c>
      <c r="D1645" s="33">
        <f>IF(ISNUMBER(SEARCH('Φόρμα Εισαγωγής'!$C$2,E1645)),MAX($D$1:D1644)+1,0)</f>
        <v>0</v>
      </c>
      <c r="H1645" s="6">
        <f t="shared" si="86"/>
        <v>0</v>
      </c>
      <c r="I1645" s="6">
        <f t="shared" si="87"/>
        <v>0</v>
      </c>
      <c r="J1645" s="6">
        <f t="shared" si="88"/>
        <v>0</v>
      </c>
      <c r="L1645" s="4" t="str">
        <f>IFERROR(VLOOKUP(ROWS($L$2:L1645),$B$2:$C$1996,2,0),"")</f>
        <v/>
      </c>
      <c r="N1645" s="2" t="str">
        <f>IFERROR(VLOOKUP(ROWS($N$2:N1645),$D$2:$E$1996,2,0),"")</f>
        <v/>
      </c>
    </row>
    <row r="1646" spans="2:14">
      <c r="B1646" s="32">
        <f>IF(ISNUMBER(SEARCH('Φόρμα Εισαγωγής'!$B$2,C1646)),MAX($B$1:B1645)+1,0)</f>
        <v>0</v>
      </c>
      <c r="D1646" s="33">
        <f>IF(ISNUMBER(SEARCH('Φόρμα Εισαγωγής'!$C$2,E1646)),MAX($D$1:D1645)+1,0)</f>
        <v>0</v>
      </c>
      <c r="H1646" s="6">
        <f t="shared" si="86"/>
        <v>0</v>
      </c>
      <c r="I1646" s="6">
        <f t="shared" si="87"/>
        <v>0</v>
      </c>
      <c r="J1646" s="6">
        <f t="shared" si="88"/>
        <v>0</v>
      </c>
      <c r="L1646" s="4" t="str">
        <f>IFERROR(VLOOKUP(ROWS($L$2:L1646),$B$2:$C$1996,2,0),"")</f>
        <v/>
      </c>
      <c r="N1646" s="2" t="str">
        <f>IFERROR(VLOOKUP(ROWS($N$2:N1646),$D$2:$E$1996,2,0),"")</f>
        <v/>
      </c>
    </row>
    <row r="1647" spans="2:14">
      <c r="B1647" s="32">
        <f>IF(ISNUMBER(SEARCH('Φόρμα Εισαγωγής'!$B$2,C1647)),MAX($B$1:B1646)+1,0)</f>
        <v>0</v>
      </c>
      <c r="D1647" s="33">
        <f>IF(ISNUMBER(SEARCH('Φόρμα Εισαγωγής'!$C$2,E1647)),MAX($D$1:D1646)+1,0)</f>
        <v>0</v>
      </c>
      <c r="H1647" s="6">
        <f t="shared" si="86"/>
        <v>0</v>
      </c>
      <c r="I1647" s="6">
        <f t="shared" si="87"/>
        <v>0</v>
      </c>
      <c r="J1647" s="6">
        <f t="shared" si="88"/>
        <v>0</v>
      </c>
      <c r="L1647" s="4" t="str">
        <f>IFERROR(VLOOKUP(ROWS($L$2:L1647),$B$2:$C$1996,2,0),"")</f>
        <v/>
      </c>
      <c r="N1647" s="2" t="str">
        <f>IFERROR(VLOOKUP(ROWS($N$2:N1647),$D$2:$E$1996,2,0),"")</f>
        <v/>
      </c>
    </row>
    <row r="1648" spans="2:14">
      <c r="B1648" s="32">
        <f>IF(ISNUMBER(SEARCH('Φόρμα Εισαγωγής'!$B$2,C1648)),MAX($B$1:B1647)+1,0)</f>
        <v>0</v>
      </c>
      <c r="D1648" s="33">
        <f>IF(ISNUMBER(SEARCH('Φόρμα Εισαγωγής'!$C$2,E1648)),MAX($D$1:D1647)+1,0)</f>
        <v>0</v>
      </c>
      <c r="H1648" s="6">
        <f t="shared" si="86"/>
        <v>0</v>
      </c>
      <c r="I1648" s="6">
        <f t="shared" si="87"/>
        <v>0</v>
      </c>
      <c r="J1648" s="6">
        <f t="shared" si="88"/>
        <v>0</v>
      </c>
      <c r="L1648" s="4" t="str">
        <f>IFERROR(VLOOKUP(ROWS($L$2:L1648),$B$2:$C$1996,2,0),"")</f>
        <v/>
      </c>
      <c r="N1648" s="2" t="str">
        <f>IFERROR(VLOOKUP(ROWS($N$2:N1648),$D$2:$E$1996,2,0),"")</f>
        <v/>
      </c>
    </row>
    <row r="1649" spans="2:14">
      <c r="B1649" s="32">
        <f>IF(ISNUMBER(SEARCH('Φόρμα Εισαγωγής'!$B$2,C1649)),MAX($B$1:B1648)+1,0)</f>
        <v>0</v>
      </c>
      <c r="D1649" s="33">
        <f>IF(ISNUMBER(SEARCH('Φόρμα Εισαγωγής'!$C$2,E1649)),MAX($D$1:D1648)+1,0)</f>
        <v>0</v>
      </c>
      <c r="H1649" s="6">
        <f t="shared" si="86"/>
        <v>0</v>
      </c>
      <c r="I1649" s="6">
        <f t="shared" si="87"/>
        <v>0</v>
      </c>
      <c r="J1649" s="6">
        <f t="shared" si="88"/>
        <v>0</v>
      </c>
      <c r="L1649" s="4" t="str">
        <f>IFERROR(VLOOKUP(ROWS($L$2:L1649),$B$2:$C$1996,2,0),"")</f>
        <v/>
      </c>
      <c r="N1649" s="2" t="str">
        <f>IFERROR(VLOOKUP(ROWS($N$2:N1649),$D$2:$E$1996,2,0),"")</f>
        <v/>
      </c>
    </row>
    <row r="1650" spans="2:14">
      <c r="B1650" s="32">
        <f>IF(ISNUMBER(SEARCH('Φόρμα Εισαγωγής'!$B$2,C1650)),MAX($B$1:B1649)+1,0)</f>
        <v>0</v>
      </c>
      <c r="D1650" s="33">
        <f>IF(ISNUMBER(SEARCH('Φόρμα Εισαγωγής'!$C$2,E1650)),MAX($D$1:D1649)+1,0)</f>
        <v>0</v>
      </c>
      <c r="H1650" s="6">
        <f t="shared" si="86"/>
        <v>0</v>
      </c>
      <c r="I1650" s="6">
        <f t="shared" si="87"/>
        <v>0</v>
      </c>
      <c r="J1650" s="6">
        <f t="shared" si="88"/>
        <v>0</v>
      </c>
      <c r="L1650" s="4" t="str">
        <f>IFERROR(VLOOKUP(ROWS($L$2:L1650),$B$2:$C$1996,2,0),"")</f>
        <v/>
      </c>
      <c r="N1650" s="2" t="str">
        <f>IFERROR(VLOOKUP(ROWS($N$2:N1650),$D$2:$E$1996,2,0),"")</f>
        <v/>
      </c>
    </row>
    <row r="1651" spans="2:14">
      <c r="B1651" s="32">
        <f>IF(ISNUMBER(SEARCH('Φόρμα Εισαγωγής'!$B$2,C1651)),MAX($B$1:B1650)+1,0)</f>
        <v>0</v>
      </c>
      <c r="D1651" s="33">
        <f>IF(ISNUMBER(SEARCH('Φόρμα Εισαγωγής'!$C$2,E1651)),MAX($D$1:D1650)+1,0)</f>
        <v>0</v>
      </c>
      <c r="H1651" s="6">
        <f t="shared" si="86"/>
        <v>0</v>
      </c>
      <c r="I1651" s="6">
        <f t="shared" si="87"/>
        <v>0</v>
      </c>
      <c r="J1651" s="6">
        <f t="shared" si="88"/>
        <v>0</v>
      </c>
      <c r="L1651" s="4" t="str">
        <f>IFERROR(VLOOKUP(ROWS($L$2:L1651),$B$2:$C$1996,2,0),"")</f>
        <v/>
      </c>
      <c r="N1651" s="2" t="str">
        <f>IFERROR(VLOOKUP(ROWS($N$2:N1651),$D$2:$E$1996,2,0),"")</f>
        <v/>
      </c>
    </row>
    <row r="1652" spans="2:14">
      <c r="B1652" s="32">
        <f>IF(ISNUMBER(SEARCH('Φόρμα Εισαγωγής'!$B$2,C1652)),MAX($B$1:B1651)+1,0)</f>
        <v>0</v>
      </c>
      <c r="D1652" s="33">
        <f>IF(ISNUMBER(SEARCH('Φόρμα Εισαγωγής'!$C$2,E1652)),MAX($D$1:D1651)+1,0)</f>
        <v>0</v>
      </c>
      <c r="H1652" s="6">
        <f t="shared" si="86"/>
        <v>0</v>
      </c>
      <c r="I1652" s="6">
        <f t="shared" si="87"/>
        <v>0</v>
      </c>
      <c r="J1652" s="6">
        <f t="shared" si="88"/>
        <v>0</v>
      </c>
      <c r="L1652" s="4" t="str">
        <f>IFERROR(VLOOKUP(ROWS($L$2:L1652),$B$2:$C$1996,2,0),"")</f>
        <v/>
      </c>
      <c r="N1652" s="2" t="str">
        <f>IFERROR(VLOOKUP(ROWS($N$2:N1652),$D$2:$E$1996,2,0),"")</f>
        <v/>
      </c>
    </row>
    <row r="1653" spans="2:14">
      <c r="B1653" s="32">
        <f>IF(ISNUMBER(SEARCH('Φόρμα Εισαγωγής'!$B$2,C1653)),MAX($B$1:B1652)+1,0)</f>
        <v>0</v>
      </c>
      <c r="D1653" s="33">
        <f>IF(ISNUMBER(SEARCH('Φόρμα Εισαγωγής'!$C$2,E1653)),MAX($D$1:D1652)+1,0)</f>
        <v>0</v>
      </c>
      <c r="H1653" s="6">
        <f t="shared" si="86"/>
        <v>0</v>
      </c>
      <c r="I1653" s="6">
        <f t="shared" si="87"/>
        <v>0</v>
      </c>
      <c r="J1653" s="6">
        <f t="shared" si="88"/>
        <v>0</v>
      </c>
      <c r="L1653" s="4" t="str">
        <f>IFERROR(VLOOKUP(ROWS($L$2:L1653),$B$2:$C$1996,2,0),"")</f>
        <v/>
      </c>
      <c r="N1653" s="2" t="str">
        <f>IFERROR(VLOOKUP(ROWS($N$2:N1653),$D$2:$E$1996,2,0),"")</f>
        <v/>
      </c>
    </row>
    <row r="1654" spans="2:14">
      <c r="B1654" s="32">
        <f>IF(ISNUMBER(SEARCH('Φόρμα Εισαγωγής'!$B$2,C1654)),MAX($B$1:B1653)+1,0)</f>
        <v>0</v>
      </c>
      <c r="D1654" s="33">
        <f>IF(ISNUMBER(SEARCH('Φόρμα Εισαγωγής'!$C$2,E1654)),MAX($D$1:D1653)+1,0)</f>
        <v>0</v>
      </c>
      <c r="H1654" s="6">
        <f t="shared" si="86"/>
        <v>0</v>
      </c>
      <c r="I1654" s="6">
        <f t="shared" si="87"/>
        <v>0</v>
      </c>
      <c r="J1654" s="6">
        <f t="shared" si="88"/>
        <v>0</v>
      </c>
      <c r="L1654" s="4" t="str">
        <f>IFERROR(VLOOKUP(ROWS($L$2:L1654),$B$2:$C$1996,2,0),"")</f>
        <v/>
      </c>
      <c r="N1654" s="2" t="str">
        <f>IFERROR(VLOOKUP(ROWS($N$2:N1654),$D$2:$E$1996,2,0),"")</f>
        <v/>
      </c>
    </row>
    <row r="1655" spans="2:14">
      <c r="B1655" s="32">
        <f>IF(ISNUMBER(SEARCH('Φόρμα Εισαγωγής'!$B$2,C1655)),MAX($B$1:B1654)+1,0)</f>
        <v>0</v>
      </c>
      <c r="D1655" s="33">
        <f>IF(ISNUMBER(SEARCH('Φόρμα Εισαγωγής'!$C$2,E1655)),MAX($D$1:D1654)+1,0)</f>
        <v>0</v>
      </c>
      <c r="H1655" s="6">
        <f t="shared" si="86"/>
        <v>0</v>
      </c>
      <c r="I1655" s="6">
        <f t="shared" si="87"/>
        <v>0</v>
      </c>
      <c r="J1655" s="6">
        <f t="shared" si="88"/>
        <v>0</v>
      </c>
      <c r="L1655" s="4" t="str">
        <f>IFERROR(VLOOKUP(ROWS($L$2:L1655),$B$2:$C$1996,2,0),"")</f>
        <v/>
      </c>
      <c r="N1655" s="2" t="str">
        <f>IFERROR(VLOOKUP(ROWS($N$2:N1655),$D$2:$E$1996,2,0),"")</f>
        <v/>
      </c>
    </row>
    <row r="1656" spans="2:14">
      <c r="B1656" s="32">
        <f>IF(ISNUMBER(SEARCH('Φόρμα Εισαγωγής'!$B$2,C1656)),MAX($B$1:B1655)+1,0)</f>
        <v>0</v>
      </c>
      <c r="D1656" s="33">
        <f>IF(ISNUMBER(SEARCH('Φόρμα Εισαγωγής'!$C$2,E1656)),MAX($D$1:D1655)+1,0)</f>
        <v>0</v>
      </c>
      <c r="H1656" s="6">
        <f t="shared" si="86"/>
        <v>0</v>
      </c>
      <c r="I1656" s="6">
        <f t="shared" si="87"/>
        <v>0</v>
      </c>
      <c r="J1656" s="6">
        <f t="shared" si="88"/>
        <v>0</v>
      </c>
      <c r="L1656" s="4" t="str">
        <f>IFERROR(VLOOKUP(ROWS($L$2:L1656),$B$2:$C$1996,2,0),"")</f>
        <v/>
      </c>
      <c r="N1656" s="2" t="str">
        <f>IFERROR(VLOOKUP(ROWS($N$2:N1656),$D$2:$E$1996,2,0),"")</f>
        <v/>
      </c>
    </row>
    <row r="1657" spans="2:14">
      <c r="B1657" s="32">
        <f>IF(ISNUMBER(SEARCH('Φόρμα Εισαγωγής'!$B$2,C1657)),MAX($B$1:B1656)+1,0)</f>
        <v>0</v>
      </c>
      <c r="D1657" s="33">
        <f>IF(ISNUMBER(SEARCH('Φόρμα Εισαγωγής'!$C$2,E1657)),MAX($D$1:D1656)+1,0)</f>
        <v>0</v>
      </c>
      <c r="H1657" s="6">
        <f t="shared" si="86"/>
        <v>0</v>
      </c>
      <c r="I1657" s="6">
        <f t="shared" si="87"/>
        <v>0</v>
      </c>
      <c r="J1657" s="6">
        <f t="shared" si="88"/>
        <v>0</v>
      </c>
      <c r="L1657" s="4" t="str">
        <f>IFERROR(VLOOKUP(ROWS($L$2:L1657),$B$2:$C$1996,2,0),"")</f>
        <v/>
      </c>
      <c r="N1657" s="2" t="str">
        <f>IFERROR(VLOOKUP(ROWS($N$2:N1657),$D$2:$E$1996,2,0),"")</f>
        <v/>
      </c>
    </row>
    <row r="1658" spans="2:14">
      <c r="B1658" s="32">
        <f>IF(ISNUMBER(SEARCH('Φόρμα Εισαγωγής'!$B$2,C1658)),MAX($B$1:B1657)+1,0)</f>
        <v>0</v>
      </c>
      <c r="D1658" s="33">
        <f>IF(ISNUMBER(SEARCH('Φόρμα Εισαγωγής'!$C$2,E1658)),MAX($D$1:D1657)+1,0)</f>
        <v>0</v>
      </c>
      <c r="H1658" s="6">
        <f t="shared" si="86"/>
        <v>0</v>
      </c>
      <c r="I1658" s="6">
        <f t="shared" si="87"/>
        <v>0</v>
      </c>
      <c r="J1658" s="6">
        <f t="shared" si="88"/>
        <v>0</v>
      </c>
      <c r="L1658" s="4" t="str">
        <f>IFERROR(VLOOKUP(ROWS($L$2:L1658),$B$2:$C$1996,2,0),"")</f>
        <v/>
      </c>
      <c r="N1658" s="2" t="str">
        <f>IFERROR(VLOOKUP(ROWS($N$2:N1658),$D$2:$E$1996,2,0),"")</f>
        <v/>
      </c>
    </row>
    <row r="1659" spans="2:14">
      <c r="B1659" s="32">
        <f>IF(ISNUMBER(SEARCH('Φόρμα Εισαγωγής'!$B$2,C1659)),MAX($B$1:B1658)+1,0)</f>
        <v>0</v>
      </c>
      <c r="D1659" s="33">
        <f>IF(ISNUMBER(SEARCH('Φόρμα Εισαγωγής'!$C$2,E1659)),MAX($D$1:D1658)+1,0)</f>
        <v>0</v>
      </c>
      <c r="H1659" s="6">
        <f t="shared" si="86"/>
        <v>0</v>
      </c>
      <c r="I1659" s="6">
        <f t="shared" si="87"/>
        <v>0</v>
      </c>
      <c r="J1659" s="6">
        <f t="shared" si="88"/>
        <v>0</v>
      </c>
      <c r="L1659" s="4" t="str">
        <f>IFERROR(VLOOKUP(ROWS($L$2:L1659),$B$2:$C$1996,2,0),"")</f>
        <v/>
      </c>
      <c r="N1659" s="2" t="str">
        <f>IFERROR(VLOOKUP(ROWS($N$2:N1659),$D$2:$E$1996,2,0),"")</f>
        <v/>
      </c>
    </row>
    <row r="1660" spans="2:14">
      <c r="B1660" s="32">
        <f>IF(ISNUMBER(SEARCH('Φόρμα Εισαγωγής'!$B$2,C1660)),MAX($B$1:B1659)+1,0)</f>
        <v>0</v>
      </c>
      <c r="D1660" s="33">
        <f>IF(ISNUMBER(SEARCH('Φόρμα Εισαγωγής'!$C$2,E1660)),MAX($D$1:D1659)+1,0)</f>
        <v>0</v>
      </c>
      <c r="H1660" s="6">
        <f t="shared" si="86"/>
        <v>0</v>
      </c>
      <c r="I1660" s="6">
        <f t="shared" si="87"/>
        <v>0</v>
      </c>
      <c r="J1660" s="6">
        <f t="shared" si="88"/>
        <v>0</v>
      </c>
      <c r="L1660" s="4" t="str">
        <f>IFERROR(VLOOKUP(ROWS($L$2:L1660),$B$2:$C$1996,2,0),"")</f>
        <v/>
      </c>
      <c r="N1660" s="2" t="str">
        <f>IFERROR(VLOOKUP(ROWS($N$2:N1660),$D$2:$E$1996,2,0),"")</f>
        <v/>
      </c>
    </row>
    <row r="1661" spans="2:14">
      <c r="B1661" s="32">
        <f>IF(ISNUMBER(SEARCH('Φόρμα Εισαγωγής'!$B$2,C1661)),MAX($B$1:B1660)+1,0)</f>
        <v>0</v>
      </c>
      <c r="D1661" s="33">
        <f>IF(ISNUMBER(SEARCH('Φόρμα Εισαγωγής'!$C$2,E1661)),MAX($D$1:D1660)+1,0)</f>
        <v>0</v>
      </c>
      <c r="H1661" s="6">
        <f t="shared" si="86"/>
        <v>0</v>
      </c>
      <c r="I1661" s="6">
        <f t="shared" si="87"/>
        <v>0</v>
      </c>
      <c r="J1661" s="6">
        <f t="shared" si="88"/>
        <v>0</v>
      </c>
      <c r="L1661" s="4" t="str">
        <f>IFERROR(VLOOKUP(ROWS($L$2:L1661),$B$2:$C$1996,2,0),"")</f>
        <v/>
      </c>
      <c r="N1661" s="2" t="str">
        <f>IFERROR(VLOOKUP(ROWS($N$2:N1661),$D$2:$E$1996,2,0),"")</f>
        <v/>
      </c>
    </row>
    <row r="1662" spans="2:14">
      <c r="B1662" s="32">
        <f>IF(ISNUMBER(SEARCH('Φόρμα Εισαγωγής'!$B$2,C1662)),MAX($B$1:B1661)+1,0)</f>
        <v>0</v>
      </c>
      <c r="D1662" s="33">
        <f>IF(ISNUMBER(SEARCH('Φόρμα Εισαγωγής'!$C$2,E1662)),MAX($D$1:D1661)+1,0)</f>
        <v>0</v>
      </c>
      <c r="H1662" s="6">
        <f t="shared" si="86"/>
        <v>0</v>
      </c>
      <c r="I1662" s="6">
        <f t="shared" si="87"/>
        <v>0</v>
      </c>
      <c r="J1662" s="6">
        <f t="shared" si="88"/>
        <v>0</v>
      </c>
      <c r="L1662" s="4" t="str">
        <f>IFERROR(VLOOKUP(ROWS($L$2:L1662),$B$2:$C$1996,2,0),"")</f>
        <v/>
      </c>
      <c r="N1662" s="2" t="str">
        <f>IFERROR(VLOOKUP(ROWS($N$2:N1662),$D$2:$E$1996,2,0),"")</f>
        <v/>
      </c>
    </row>
    <row r="1663" spans="2:14">
      <c r="B1663" s="32">
        <f>IF(ISNUMBER(SEARCH('Φόρμα Εισαγωγής'!$B$2,C1663)),MAX($B$1:B1662)+1,0)</f>
        <v>0</v>
      </c>
      <c r="D1663" s="33">
        <f>IF(ISNUMBER(SEARCH('Φόρμα Εισαγωγής'!$C$2,E1663)),MAX($D$1:D1662)+1,0)</f>
        <v>0</v>
      </c>
      <c r="H1663" s="6">
        <f t="shared" si="86"/>
        <v>0</v>
      </c>
      <c r="I1663" s="6">
        <f t="shared" si="87"/>
        <v>0</v>
      </c>
      <c r="J1663" s="6">
        <f t="shared" si="88"/>
        <v>0</v>
      </c>
      <c r="L1663" s="4" t="str">
        <f>IFERROR(VLOOKUP(ROWS($L$2:L1663),$B$2:$C$1996,2,0),"")</f>
        <v/>
      </c>
      <c r="N1663" s="2" t="str">
        <f>IFERROR(VLOOKUP(ROWS($N$2:N1663),$D$2:$E$1996,2,0),"")</f>
        <v/>
      </c>
    </row>
    <row r="1664" spans="2:14">
      <c r="B1664" s="32">
        <f>IF(ISNUMBER(SEARCH('Φόρμα Εισαγωγής'!$B$2,C1664)),MAX($B$1:B1663)+1,0)</f>
        <v>0</v>
      </c>
      <c r="D1664" s="33">
        <f>IF(ISNUMBER(SEARCH('Φόρμα Εισαγωγής'!$C$2,E1664)),MAX($D$1:D1663)+1,0)</f>
        <v>0</v>
      </c>
      <c r="H1664" s="6">
        <f t="shared" ref="H1664:H1727" si="89">G1664+(G1664*0.24)</f>
        <v>0</v>
      </c>
      <c r="I1664" s="6">
        <f t="shared" ref="I1664:I1727" si="90">F1664*A1664</f>
        <v>0</v>
      </c>
      <c r="J1664" s="6">
        <f t="shared" ref="J1664:J1727" si="91">H1664*A1664</f>
        <v>0</v>
      </c>
      <c r="L1664" s="4" t="str">
        <f>IFERROR(VLOOKUP(ROWS($L$2:L1664),$B$2:$C$1996,2,0),"")</f>
        <v/>
      </c>
      <c r="N1664" s="2" t="str">
        <f>IFERROR(VLOOKUP(ROWS($N$2:N1664),$D$2:$E$1996,2,0),"")</f>
        <v/>
      </c>
    </row>
    <row r="1665" spans="2:14">
      <c r="B1665" s="32">
        <f>IF(ISNUMBER(SEARCH('Φόρμα Εισαγωγής'!$B$2,C1665)),MAX($B$1:B1664)+1,0)</f>
        <v>0</v>
      </c>
      <c r="D1665" s="33">
        <f>IF(ISNUMBER(SEARCH('Φόρμα Εισαγωγής'!$C$2,E1665)),MAX($D$1:D1664)+1,0)</f>
        <v>0</v>
      </c>
      <c r="H1665" s="6">
        <f t="shared" si="89"/>
        <v>0</v>
      </c>
      <c r="I1665" s="6">
        <f t="shared" si="90"/>
        <v>0</v>
      </c>
      <c r="J1665" s="6">
        <f t="shared" si="91"/>
        <v>0</v>
      </c>
      <c r="L1665" s="4" t="str">
        <f>IFERROR(VLOOKUP(ROWS($L$2:L1665),$B$2:$C$1996,2,0),"")</f>
        <v/>
      </c>
      <c r="N1665" s="2" t="str">
        <f>IFERROR(VLOOKUP(ROWS($N$2:N1665),$D$2:$E$1996,2,0),"")</f>
        <v/>
      </c>
    </row>
    <row r="1666" spans="2:14">
      <c r="B1666" s="32">
        <f>IF(ISNUMBER(SEARCH('Φόρμα Εισαγωγής'!$B$2,C1666)),MAX($B$1:B1665)+1,0)</f>
        <v>0</v>
      </c>
      <c r="D1666" s="33">
        <f>IF(ISNUMBER(SEARCH('Φόρμα Εισαγωγής'!$C$2,E1666)),MAX($D$1:D1665)+1,0)</f>
        <v>0</v>
      </c>
      <c r="H1666" s="6">
        <f t="shared" si="89"/>
        <v>0</v>
      </c>
      <c r="I1666" s="6">
        <f t="shared" si="90"/>
        <v>0</v>
      </c>
      <c r="J1666" s="6">
        <f t="shared" si="91"/>
        <v>0</v>
      </c>
      <c r="L1666" s="4" t="str">
        <f>IFERROR(VLOOKUP(ROWS($L$2:L1666),$B$2:$C$1996,2,0),"")</f>
        <v/>
      </c>
      <c r="N1666" s="2" t="str">
        <f>IFERROR(VLOOKUP(ROWS($N$2:N1666),$D$2:$E$1996,2,0),"")</f>
        <v/>
      </c>
    </row>
    <row r="1667" spans="2:14">
      <c r="B1667" s="32">
        <f>IF(ISNUMBER(SEARCH('Φόρμα Εισαγωγής'!$B$2,C1667)),MAX($B$1:B1666)+1,0)</f>
        <v>0</v>
      </c>
      <c r="D1667" s="33">
        <f>IF(ISNUMBER(SEARCH('Φόρμα Εισαγωγής'!$C$2,E1667)),MAX($D$1:D1666)+1,0)</f>
        <v>0</v>
      </c>
      <c r="H1667" s="6">
        <f t="shared" si="89"/>
        <v>0</v>
      </c>
      <c r="I1667" s="6">
        <f t="shared" si="90"/>
        <v>0</v>
      </c>
      <c r="J1667" s="6">
        <f t="shared" si="91"/>
        <v>0</v>
      </c>
      <c r="L1667" s="4" t="str">
        <f>IFERROR(VLOOKUP(ROWS($L$2:L1667),$B$2:$C$1996,2,0),"")</f>
        <v/>
      </c>
      <c r="N1667" s="2" t="str">
        <f>IFERROR(VLOOKUP(ROWS($N$2:N1667),$D$2:$E$1996,2,0),"")</f>
        <v/>
      </c>
    </row>
    <row r="1668" spans="2:14">
      <c r="B1668" s="32">
        <f>IF(ISNUMBER(SEARCH('Φόρμα Εισαγωγής'!$B$2,C1668)),MAX($B$1:B1667)+1,0)</f>
        <v>0</v>
      </c>
      <c r="D1668" s="33">
        <f>IF(ISNUMBER(SEARCH('Φόρμα Εισαγωγής'!$C$2,E1668)),MAX($D$1:D1667)+1,0)</f>
        <v>0</v>
      </c>
      <c r="H1668" s="6">
        <f t="shared" si="89"/>
        <v>0</v>
      </c>
      <c r="I1668" s="6">
        <f t="shared" si="90"/>
        <v>0</v>
      </c>
      <c r="J1668" s="6">
        <f t="shared" si="91"/>
        <v>0</v>
      </c>
      <c r="L1668" s="4" t="str">
        <f>IFERROR(VLOOKUP(ROWS($L$2:L1668),$B$2:$C$1996,2,0),"")</f>
        <v/>
      </c>
      <c r="N1668" s="2" t="str">
        <f>IFERROR(VLOOKUP(ROWS($N$2:N1668),$D$2:$E$1996,2,0),"")</f>
        <v/>
      </c>
    </row>
    <row r="1669" spans="2:14">
      <c r="B1669" s="32">
        <f>IF(ISNUMBER(SEARCH('Φόρμα Εισαγωγής'!$B$2,C1669)),MAX($B$1:B1668)+1,0)</f>
        <v>0</v>
      </c>
      <c r="D1669" s="33">
        <f>IF(ISNUMBER(SEARCH('Φόρμα Εισαγωγής'!$C$2,E1669)),MAX($D$1:D1668)+1,0)</f>
        <v>0</v>
      </c>
      <c r="H1669" s="6">
        <f t="shared" si="89"/>
        <v>0</v>
      </c>
      <c r="I1669" s="6">
        <f t="shared" si="90"/>
        <v>0</v>
      </c>
      <c r="J1669" s="6">
        <f t="shared" si="91"/>
        <v>0</v>
      </c>
      <c r="L1669" s="4" t="str">
        <f>IFERROR(VLOOKUP(ROWS($L$2:L1669),$B$2:$C$1996,2,0),"")</f>
        <v/>
      </c>
      <c r="N1669" s="2" t="str">
        <f>IFERROR(VLOOKUP(ROWS($N$2:N1669),$D$2:$E$1996,2,0),"")</f>
        <v/>
      </c>
    </row>
    <row r="1670" spans="2:14">
      <c r="B1670" s="32">
        <f>IF(ISNUMBER(SEARCH('Φόρμα Εισαγωγής'!$B$2,C1670)),MAX($B$1:B1669)+1,0)</f>
        <v>0</v>
      </c>
      <c r="D1670" s="33">
        <f>IF(ISNUMBER(SEARCH('Φόρμα Εισαγωγής'!$C$2,E1670)),MAX($D$1:D1669)+1,0)</f>
        <v>0</v>
      </c>
      <c r="H1670" s="6">
        <f t="shared" si="89"/>
        <v>0</v>
      </c>
      <c r="I1670" s="6">
        <f t="shared" si="90"/>
        <v>0</v>
      </c>
      <c r="J1670" s="6">
        <f t="shared" si="91"/>
        <v>0</v>
      </c>
      <c r="L1670" s="4" t="str">
        <f>IFERROR(VLOOKUP(ROWS($L$2:L1670),$B$2:$C$1996,2,0),"")</f>
        <v/>
      </c>
      <c r="N1670" s="2" t="str">
        <f>IFERROR(VLOOKUP(ROWS($N$2:N1670),$D$2:$E$1996,2,0),"")</f>
        <v/>
      </c>
    </row>
    <row r="1671" spans="2:14">
      <c r="B1671" s="32">
        <f>IF(ISNUMBER(SEARCH('Φόρμα Εισαγωγής'!$B$2,C1671)),MAX($B$1:B1670)+1,0)</f>
        <v>0</v>
      </c>
      <c r="D1671" s="33">
        <f>IF(ISNUMBER(SEARCH('Φόρμα Εισαγωγής'!$C$2,E1671)),MAX($D$1:D1670)+1,0)</f>
        <v>0</v>
      </c>
      <c r="H1671" s="6">
        <f t="shared" si="89"/>
        <v>0</v>
      </c>
      <c r="I1671" s="6">
        <f t="shared" si="90"/>
        <v>0</v>
      </c>
      <c r="J1671" s="6">
        <f t="shared" si="91"/>
        <v>0</v>
      </c>
      <c r="L1671" s="4" t="str">
        <f>IFERROR(VLOOKUP(ROWS($L$2:L1671),$B$2:$C$1996,2,0),"")</f>
        <v/>
      </c>
      <c r="N1671" s="2" t="str">
        <f>IFERROR(VLOOKUP(ROWS($N$2:N1671),$D$2:$E$1996,2,0),"")</f>
        <v/>
      </c>
    </row>
    <row r="1672" spans="2:14">
      <c r="B1672" s="32">
        <f>IF(ISNUMBER(SEARCH('Φόρμα Εισαγωγής'!$B$2,C1672)),MAX($B$1:B1671)+1,0)</f>
        <v>0</v>
      </c>
      <c r="D1672" s="33">
        <f>IF(ISNUMBER(SEARCH('Φόρμα Εισαγωγής'!$C$2,E1672)),MAX($D$1:D1671)+1,0)</f>
        <v>0</v>
      </c>
      <c r="H1672" s="6">
        <f t="shared" si="89"/>
        <v>0</v>
      </c>
      <c r="I1672" s="6">
        <f t="shared" si="90"/>
        <v>0</v>
      </c>
      <c r="J1672" s="6">
        <f t="shared" si="91"/>
        <v>0</v>
      </c>
      <c r="L1672" s="4" t="str">
        <f>IFERROR(VLOOKUP(ROWS($L$2:L1672),$B$2:$C$1996,2,0),"")</f>
        <v/>
      </c>
      <c r="N1672" s="2" t="str">
        <f>IFERROR(VLOOKUP(ROWS($N$2:N1672),$D$2:$E$1996,2,0),"")</f>
        <v/>
      </c>
    </row>
    <row r="1673" spans="2:14">
      <c r="B1673" s="32">
        <f>IF(ISNUMBER(SEARCH('Φόρμα Εισαγωγής'!$B$2,C1673)),MAX($B$1:B1672)+1,0)</f>
        <v>0</v>
      </c>
      <c r="D1673" s="33">
        <f>IF(ISNUMBER(SEARCH('Φόρμα Εισαγωγής'!$C$2,E1673)),MAX($D$1:D1672)+1,0)</f>
        <v>0</v>
      </c>
      <c r="H1673" s="6">
        <f t="shared" si="89"/>
        <v>0</v>
      </c>
      <c r="I1673" s="6">
        <f t="shared" si="90"/>
        <v>0</v>
      </c>
      <c r="J1673" s="6">
        <f t="shared" si="91"/>
        <v>0</v>
      </c>
      <c r="L1673" s="4" t="str">
        <f>IFERROR(VLOOKUP(ROWS($L$2:L1673),$B$2:$C$1996,2,0),"")</f>
        <v/>
      </c>
      <c r="N1673" s="2" t="str">
        <f>IFERROR(VLOOKUP(ROWS($N$2:N1673),$D$2:$E$1996,2,0),"")</f>
        <v/>
      </c>
    </row>
    <row r="1674" spans="2:14">
      <c r="B1674" s="32">
        <f>IF(ISNUMBER(SEARCH('Φόρμα Εισαγωγής'!$B$2,C1674)),MAX($B$1:B1673)+1,0)</f>
        <v>0</v>
      </c>
      <c r="D1674" s="33">
        <f>IF(ISNUMBER(SEARCH('Φόρμα Εισαγωγής'!$C$2,E1674)),MAX($D$1:D1673)+1,0)</f>
        <v>0</v>
      </c>
      <c r="H1674" s="6">
        <f t="shared" si="89"/>
        <v>0</v>
      </c>
      <c r="I1674" s="6">
        <f t="shared" si="90"/>
        <v>0</v>
      </c>
      <c r="J1674" s="6">
        <f t="shared" si="91"/>
        <v>0</v>
      </c>
      <c r="L1674" s="4" t="str">
        <f>IFERROR(VLOOKUP(ROWS($L$2:L1674),$B$2:$C$1996,2,0),"")</f>
        <v/>
      </c>
      <c r="N1674" s="2" t="str">
        <f>IFERROR(VLOOKUP(ROWS($N$2:N1674),$D$2:$E$1996,2,0),"")</f>
        <v/>
      </c>
    </row>
    <row r="1675" spans="2:14">
      <c r="B1675" s="32">
        <f>IF(ISNUMBER(SEARCH('Φόρμα Εισαγωγής'!$B$2,C1675)),MAX($B$1:B1674)+1,0)</f>
        <v>0</v>
      </c>
      <c r="D1675" s="33">
        <f>IF(ISNUMBER(SEARCH('Φόρμα Εισαγωγής'!$C$2,E1675)),MAX($D$1:D1674)+1,0)</f>
        <v>0</v>
      </c>
      <c r="H1675" s="6">
        <f t="shared" si="89"/>
        <v>0</v>
      </c>
      <c r="I1675" s="6">
        <f t="shared" si="90"/>
        <v>0</v>
      </c>
      <c r="J1675" s="6">
        <f t="shared" si="91"/>
        <v>0</v>
      </c>
      <c r="L1675" s="4" t="str">
        <f>IFERROR(VLOOKUP(ROWS($L$2:L1675),$B$2:$C$1996,2,0),"")</f>
        <v/>
      </c>
      <c r="N1675" s="2" t="str">
        <f>IFERROR(VLOOKUP(ROWS($N$2:N1675),$D$2:$E$1996,2,0),"")</f>
        <v/>
      </c>
    </row>
    <row r="1676" spans="2:14">
      <c r="B1676" s="32">
        <f>IF(ISNUMBER(SEARCH('Φόρμα Εισαγωγής'!$B$2,C1676)),MAX($B$1:B1675)+1,0)</f>
        <v>0</v>
      </c>
      <c r="D1676" s="33">
        <f>IF(ISNUMBER(SEARCH('Φόρμα Εισαγωγής'!$C$2,E1676)),MAX($D$1:D1675)+1,0)</f>
        <v>0</v>
      </c>
      <c r="H1676" s="6">
        <f t="shared" si="89"/>
        <v>0</v>
      </c>
      <c r="I1676" s="6">
        <f t="shared" si="90"/>
        <v>0</v>
      </c>
      <c r="J1676" s="6">
        <f t="shared" si="91"/>
        <v>0</v>
      </c>
      <c r="L1676" s="4" t="str">
        <f>IFERROR(VLOOKUP(ROWS($L$2:L1676),$B$2:$C$1996,2,0),"")</f>
        <v/>
      </c>
      <c r="N1676" s="2" t="str">
        <f>IFERROR(VLOOKUP(ROWS($N$2:N1676),$D$2:$E$1996,2,0),"")</f>
        <v/>
      </c>
    </row>
    <row r="1677" spans="2:14">
      <c r="B1677" s="32">
        <f>IF(ISNUMBER(SEARCH('Φόρμα Εισαγωγής'!$B$2,C1677)),MAX($B$1:B1676)+1,0)</f>
        <v>0</v>
      </c>
      <c r="D1677" s="33">
        <f>IF(ISNUMBER(SEARCH('Φόρμα Εισαγωγής'!$C$2,E1677)),MAX($D$1:D1676)+1,0)</f>
        <v>0</v>
      </c>
      <c r="H1677" s="6">
        <f t="shared" si="89"/>
        <v>0</v>
      </c>
      <c r="I1677" s="6">
        <f t="shared" si="90"/>
        <v>0</v>
      </c>
      <c r="J1677" s="6">
        <f t="shared" si="91"/>
        <v>0</v>
      </c>
      <c r="L1677" s="4" t="str">
        <f>IFERROR(VLOOKUP(ROWS($L$2:L1677),$B$2:$C$1996,2,0),"")</f>
        <v/>
      </c>
      <c r="N1677" s="2" t="str">
        <f>IFERROR(VLOOKUP(ROWS($N$2:N1677),$D$2:$E$1996,2,0),"")</f>
        <v/>
      </c>
    </row>
    <row r="1678" spans="2:14">
      <c r="B1678" s="32">
        <f>IF(ISNUMBER(SEARCH('Φόρμα Εισαγωγής'!$B$2,C1678)),MAX($B$1:B1677)+1,0)</f>
        <v>0</v>
      </c>
      <c r="D1678" s="33">
        <f>IF(ISNUMBER(SEARCH('Φόρμα Εισαγωγής'!$C$2,E1678)),MAX($D$1:D1677)+1,0)</f>
        <v>0</v>
      </c>
      <c r="H1678" s="6">
        <f t="shared" si="89"/>
        <v>0</v>
      </c>
      <c r="I1678" s="6">
        <f t="shared" si="90"/>
        <v>0</v>
      </c>
      <c r="J1678" s="6">
        <f t="shared" si="91"/>
        <v>0</v>
      </c>
      <c r="L1678" s="4" t="str">
        <f>IFERROR(VLOOKUP(ROWS($L$2:L1678),$B$2:$C$1996,2,0),"")</f>
        <v/>
      </c>
      <c r="N1678" s="2" t="str">
        <f>IFERROR(VLOOKUP(ROWS($N$2:N1678),$D$2:$E$1996,2,0),"")</f>
        <v/>
      </c>
    </row>
    <row r="1679" spans="2:14">
      <c r="B1679" s="32">
        <f>IF(ISNUMBER(SEARCH('Φόρμα Εισαγωγής'!$B$2,C1679)),MAX($B$1:B1678)+1,0)</f>
        <v>0</v>
      </c>
      <c r="D1679" s="33">
        <f>IF(ISNUMBER(SEARCH('Φόρμα Εισαγωγής'!$C$2,E1679)),MAX($D$1:D1678)+1,0)</f>
        <v>0</v>
      </c>
      <c r="H1679" s="6">
        <f t="shared" si="89"/>
        <v>0</v>
      </c>
      <c r="I1679" s="6">
        <f t="shared" si="90"/>
        <v>0</v>
      </c>
      <c r="J1679" s="6">
        <f t="shared" si="91"/>
        <v>0</v>
      </c>
      <c r="L1679" s="4" t="str">
        <f>IFERROR(VLOOKUP(ROWS($L$2:L1679),$B$2:$C$1996,2,0),"")</f>
        <v/>
      </c>
      <c r="N1679" s="2" t="str">
        <f>IFERROR(VLOOKUP(ROWS($N$2:N1679),$D$2:$E$1996,2,0),"")</f>
        <v/>
      </c>
    </row>
    <row r="1680" spans="2:14">
      <c r="B1680" s="32">
        <f>IF(ISNUMBER(SEARCH('Φόρμα Εισαγωγής'!$B$2,C1680)),MAX($B$1:B1679)+1,0)</f>
        <v>0</v>
      </c>
      <c r="D1680" s="33">
        <f>IF(ISNUMBER(SEARCH('Φόρμα Εισαγωγής'!$C$2,E1680)),MAX($D$1:D1679)+1,0)</f>
        <v>0</v>
      </c>
      <c r="H1680" s="6">
        <f t="shared" si="89"/>
        <v>0</v>
      </c>
      <c r="I1680" s="6">
        <f t="shared" si="90"/>
        <v>0</v>
      </c>
      <c r="J1680" s="6">
        <f t="shared" si="91"/>
        <v>0</v>
      </c>
      <c r="L1680" s="4" t="str">
        <f>IFERROR(VLOOKUP(ROWS($L$2:L1680),$B$2:$C$1996,2,0),"")</f>
        <v/>
      </c>
      <c r="N1680" s="2" t="str">
        <f>IFERROR(VLOOKUP(ROWS($N$2:N1680),$D$2:$E$1996,2,0),"")</f>
        <v/>
      </c>
    </row>
    <row r="1681" spans="2:14">
      <c r="B1681" s="32">
        <f>IF(ISNUMBER(SEARCH('Φόρμα Εισαγωγής'!$B$2,C1681)),MAX($B$1:B1680)+1,0)</f>
        <v>0</v>
      </c>
      <c r="D1681" s="33">
        <f>IF(ISNUMBER(SEARCH('Φόρμα Εισαγωγής'!$C$2,E1681)),MAX($D$1:D1680)+1,0)</f>
        <v>0</v>
      </c>
      <c r="H1681" s="6">
        <f t="shared" si="89"/>
        <v>0</v>
      </c>
      <c r="I1681" s="6">
        <f t="shared" si="90"/>
        <v>0</v>
      </c>
      <c r="J1681" s="6">
        <f t="shared" si="91"/>
        <v>0</v>
      </c>
      <c r="L1681" s="4" t="str">
        <f>IFERROR(VLOOKUP(ROWS($L$2:L1681),$B$2:$C$1996,2,0),"")</f>
        <v/>
      </c>
      <c r="N1681" s="2" t="str">
        <f>IFERROR(VLOOKUP(ROWS($N$2:N1681),$D$2:$E$1996,2,0),"")</f>
        <v/>
      </c>
    </row>
    <row r="1682" spans="2:14">
      <c r="B1682" s="32">
        <f>IF(ISNUMBER(SEARCH('Φόρμα Εισαγωγής'!$B$2,C1682)),MAX($B$1:B1681)+1,0)</f>
        <v>0</v>
      </c>
      <c r="D1682" s="33">
        <f>IF(ISNUMBER(SEARCH('Φόρμα Εισαγωγής'!$C$2,E1682)),MAX($D$1:D1681)+1,0)</f>
        <v>0</v>
      </c>
      <c r="H1682" s="6">
        <f t="shared" si="89"/>
        <v>0</v>
      </c>
      <c r="I1682" s="6">
        <f t="shared" si="90"/>
        <v>0</v>
      </c>
      <c r="J1682" s="6">
        <f t="shared" si="91"/>
        <v>0</v>
      </c>
      <c r="L1682" s="4" t="str">
        <f>IFERROR(VLOOKUP(ROWS($L$2:L1682),$B$2:$C$1996,2,0),"")</f>
        <v/>
      </c>
      <c r="N1682" s="2" t="str">
        <f>IFERROR(VLOOKUP(ROWS($N$2:N1682),$D$2:$E$1996,2,0),"")</f>
        <v/>
      </c>
    </row>
    <row r="1683" spans="2:14">
      <c r="B1683" s="32">
        <f>IF(ISNUMBER(SEARCH('Φόρμα Εισαγωγής'!$B$2,C1683)),MAX($B$1:B1682)+1,0)</f>
        <v>0</v>
      </c>
      <c r="D1683" s="33">
        <f>IF(ISNUMBER(SEARCH('Φόρμα Εισαγωγής'!$C$2,E1683)),MAX($D$1:D1682)+1,0)</f>
        <v>0</v>
      </c>
      <c r="H1683" s="6">
        <f t="shared" si="89"/>
        <v>0</v>
      </c>
      <c r="I1683" s="6">
        <f t="shared" si="90"/>
        <v>0</v>
      </c>
      <c r="J1683" s="6">
        <f t="shared" si="91"/>
        <v>0</v>
      </c>
      <c r="L1683" s="4" t="str">
        <f>IFERROR(VLOOKUP(ROWS($L$2:L1683),$B$2:$C$1996,2,0),"")</f>
        <v/>
      </c>
      <c r="N1683" s="2" t="str">
        <f>IFERROR(VLOOKUP(ROWS($N$2:N1683),$D$2:$E$1996,2,0),"")</f>
        <v/>
      </c>
    </row>
    <row r="1684" spans="2:14">
      <c r="B1684" s="32">
        <f>IF(ISNUMBER(SEARCH('Φόρμα Εισαγωγής'!$B$2,C1684)),MAX($B$1:B1683)+1,0)</f>
        <v>0</v>
      </c>
      <c r="D1684" s="33">
        <f>IF(ISNUMBER(SEARCH('Φόρμα Εισαγωγής'!$C$2,E1684)),MAX($D$1:D1683)+1,0)</f>
        <v>0</v>
      </c>
      <c r="H1684" s="6">
        <f t="shared" si="89"/>
        <v>0</v>
      </c>
      <c r="I1684" s="6">
        <f t="shared" si="90"/>
        <v>0</v>
      </c>
      <c r="J1684" s="6">
        <f t="shared" si="91"/>
        <v>0</v>
      </c>
      <c r="L1684" s="4" t="str">
        <f>IFERROR(VLOOKUP(ROWS($L$2:L1684),$B$2:$C$1996,2,0),"")</f>
        <v/>
      </c>
      <c r="N1684" s="2" t="str">
        <f>IFERROR(VLOOKUP(ROWS($N$2:N1684),$D$2:$E$1996,2,0),"")</f>
        <v/>
      </c>
    </row>
    <row r="1685" spans="2:14">
      <c r="B1685" s="32">
        <f>IF(ISNUMBER(SEARCH('Φόρμα Εισαγωγής'!$B$2,C1685)),MAX($B$1:B1684)+1,0)</f>
        <v>0</v>
      </c>
      <c r="D1685" s="33">
        <f>IF(ISNUMBER(SEARCH('Φόρμα Εισαγωγής'!$C$2,E1685)),MAX($D$1:D1684)+1,0)</f>
        <v>0</v>
      </c>
      <c r="H1685" s="6">
        <f t="shared" si="89"/>
        <v>0</v>
      </c>
      <c r="I1685" s="6">
        <f t="shared" si="90"/>
        <v>0</v>
      </c>
      <c r="J1685" s="6">
        <f t="shared" si="91"/>
        <v>0</v>
      </c>
      <c r="L1685" s="4" t="str">
        <f>IFERROR(VLOOKUP(ROWS($L$2:L1685),$B$2:$C$1996,2,0),"")</f>
        <v/>
      </c>
      <c r="N1685" s="2" t="str">
        <f>IFERROR(VLOOKUP(ROWS($N$2:N1685),$D$2:$E$1996,2,0),"")</f>
        <v/>
      </c>
    </row>
    <row r="1686" spans="2:14">
      <c r="B1686" s="32">
        <f>IF(ISNUMBER(SEARCH('Φόρμα Εισαγωγής'!$B$2,C1686)),MAX($B$1:B1685)+1,0)</f>
        <v>0</v>
      </c>
      <c r="D1686" s="33">
        <f>IF(ISNUMBER(SEARCH('Φόρμα Εισαγωγής'!$C$2,E1686)),MAX($D$1:D1685)+1,0)</f>
        <v>0</v>
      </c>
      <c r="H1686" s="6">
        <f t="shared" si="89"/>
        <v>0</v>
      </c>
      <c r="I1686" s="6">
        <f t="shared" si="90"/>
        <v>0</v>
      </c>
      <c r="J1686" s="6">
        <f t="shared" si="91"/>
        <v>0</v>
      </c>
      <c r="L1686" s="4" t="str">
        <f>IFERROR(VLOOKUP(ROWS($L$2:L1686),$B$2:$C$1996,2,0),"")</f>
        <v/>
      </c>
      <c r="N1686" s="2" t="str">
        <f>IFERROR(VLOOKUP(ROWS($N$2:N1686),$D$2:$E$1996,2,0),"")</f>
        <v/>
      </c>
    </row>
    <row r="1687" spans="2:14">
      <c r="B1687" s="32">
        <f>IF(ISNUMBER(SEARCH('Φόρμα Εισαγωγής'!$B$2,C1687)),MAX($B$1:B1686)+1,0)</f>
        <v>0</v>
      </c>
      <c r="D1687" s="33">
        <f>IF(ISNUMBER(SEARCH('Φόρμα Εισαγωγής'!$C$2,E1687)),MAX($D$1:D1686)+1,0)</f>
        <v>0</v>
      </c>
      <c r="H1687" s="6">
        <f t="shared" si="89"/>
        <v>0</v>
      </c>
      <c r="I1687" s="6">
        <f t="shared" si="90"/>
        <v>0</v>
      </c>
      <c r="J1687" s="6">
        <f t="shared" si="91"/>
        <v>0</v>
      </c>
      <c r="L1687" s="4" t="str">
        <f>IFERROR(VLOOKUP(ROWS($L$2:L1687),$B$2:$C$1996,2,0),"")</f>
        <v/>
      </c>
      <c r="N1687" s="2" t="str">
        <f>IFERROR(VLOOKUP(ROWS($N$2:N1687),$D$2:$E$1996,2,0),"")</f>
        <v/>
      </c>
    </row>
    <row r="1688" spans="2:14">
      <c r="B1688" s="32">
        <f>IF(ISNUMBER(SEARCH('Φόρμα Εισαγωγής'!$B$2,C1688)),MAX($B$1:B1687)+1,0)</f>
        <v>0</v>
      </c>
      <c r="D1688" s="33">
        <f>IF(ISNUMBER(SEARCH('Φόρμα Εισαγωγής'!$C$2,E1688)),MAX($D$1:D1687)+1,0)</f>
        <v>0</v>
      </c>
      <c r="H1688" s="6">
        <f t="shared" si="89"/>
        <v>0</v>
      </c>
      <c r="I1688" s="6">
        <f t="shared" si="90"/>
        <v>0</v>
      </c>
      <c r="J1688" s="6">
        <f t="shared" si="91"/>
        <v>0</v>
      </c>
      <c r="L1688" s="4" t="str">
        <f>IFERROR(VLOOKUP(ROWS($L$2:L1688),$B$2:$C$1996,2,0),"")</f>
        <v/>
      </c>
      <c r="N1688" s="2" t="str">
        <f>IFERROR(VLOOKUP(ROWS($N$2:N1688),$D$2:$E$1996,2,0),"")</f>
        <v/>
      </c>
    </row>
    <row r="1689" spans="2:14">
      <c r="B1689" s="32">
        <f>IF(ISNUMBER(SEARCH('Φόρμα Εισαγωγής'!$B$2,C1689)),MAX($B$1:B1688)+1,0)</f>
        <v>0</v>
      </c>
      <c r="D1689" s="33">
        <f>IF(ISNUMBER(SEARCH('Φόρμα Εισαγωγής'!$C$2,E1689)),MAX($D$1:D1688)+1,0)</f>
        <v>0</v>
      </c>
      <c r="H1689" s="6">
        <f t="shared" si="89"/>
        <v>0</v>
      </c>
      <c r="I1689" s="6">
        <f t="shared" si="90"/>
        <v>0</v>
      </c>
      <c r="J1689" s="6">
        <f t="shared" si="91"/>
        <v>0</v>
      </c>
      <c r="L1689" s="4" t="str">
        <f>IFERROR(VLOOKUP(ROWS($L$2:L1689),$B$2:$C$1996,2,0),"")</f>
        <v/>
      </c>
      <c r="N1689" s="2" t="str">
        <f>IFERROR(VLOOKUP(ROWS($N$2:N1689),$D$2:$E$1996,2,0),"")</f>
        <v/>
      </c>
    </row>
    <row r="1690" spans="2:14">
      <c r="B1690" s="32">
        <f>IF(ISNUMBER(SEARCH('Φόρμα Εισαγωγής'!$B$2,C1690)),MAX($B$1:B1689)+1,0)</f>
        <v>0</v>
      </c>
      <c r="D1690" s="33">
        <f>IF(ISNUMBER(SEARCH('Φόρμα Εισαγωγής'!$C$2,E1690)),MAX($D$1:D1689)+1,0)</f>
        <v>0</v>
      </c>
      <c r="H1690" s="6">
        <f t="shared" si="89"/>
        <v>0</v>
      </c>
      <c r="I1690" s="6">
        <f t="shared" si="90"/>
        <v>0</v>
      </c>
      <c r="J1690" s="6">
        <f t="shared" si="91"/>
        <v>0</v>
      </c>
      <c r="L1690" s="4" t="str">
        <f>IFERROR(VLOOKUP(ROWS($L$2:L1690),$B$2:$C$1996,2,0),"")</f>
        <v/>
      </c>
      <c r="N1690" s="2" t="str">
        <f>IFERROR(VLOOKUP(ROWS($N$2:N1690),$D$2:$E$1996,2,0),"")</f>
        <v/>
      </c>
    </row>
    <row r="1691" spans="2:14">
      <c r="B1691" s="32">
        <f>IF(ISNUMBER(SEARCH('Φόρμα Εισαγωγής'!$B$2,C1691)),MAX($B$1:B1690)+1,0)</f>
        <v>0</v>
      </c>
      <c r="D1691" s="33">
        <f>IF(ISNUMBER(SEARCH('Φόρμα Εισαγωγής'!$C$2,E1691)),MAX($D$1:D1690)+1,0)</f>
        <v>0</v>
      </c>
      <c r="H1691" s="6">
        <f t="shared" si="89"/>
        <v>0</v>
      </c>
      <c r="I1691" s="6">
        <f t="shared" si="90"/>
        <v>0</v>
      </c>
      <c r="J1691" s="6">
        <f t="shared" si="91"/>
        <v>0</v>
      </c>
      <c r="L1691" s="4" t="str">
        <f>IFERROR(VLOOKUP(ROWS($L$2:L1691),$B$2:$C$1996,2,0),"")</f>
        <v/>
      </c>
      <c r="N1691" s="2" t="str">
        <f>IFERROR(VLOOKUP(ROWS($N$2:N1691),$D$2:$E$1996,2,0),"")</f>
        <v/>
      </c>
    </row>
    <row r="1692" spans="2:14">
      <c r="B1692" s="32">
        <f>IF(ISNUMBER(SEARCH('Φόρμα Εισαγωγής'!$B$2,C1692)),MAX($B$1:B1691)+1,0)</f>
        <v>0</v>
      </c>
      <c r="D1692" s="33">
        <f>IF(ISNUMBER(SEARCH('Φόρμα Εισαγωγής'!$C$2,E1692)),MAX($D$1:D1691)+1,0)</f>
        <v>0</v>
      </c>
      <c r="H1692" s="6">
        <f t="shared" si="89"/>
        <v>0</v>
      </c>
      <c r="I1692" s="6">
        <f t="shared" si="90"/>
        <v>0</v>
      </c>
      <c r="J1692" s="6">
        <f t="shared" si="91"/>
        <v>0</v>
      </c>
      <c r="L1692" s="4" t="str">
        <f>IFERROR(VLOOKUP(ROWS($L$2:L1692),$B$2:$C$1996,2,0),"")</f>
        <v/>
      </c>
      <c r="N1692" s="2" t="str">
        <f>IFERROR(VLOOKUP(ROWS($N$2:N1692),$D$2:$E$1996,2,0),"")</f>
        <v/>
      </c>
    </row>
    <row r="1693" spans="2:14">
      <c r="B1693" s="32">
        <f>IF(ISNUMBER(SEARCH('Φόρμα Εισαγωγής'!$B$2,C1693)),MAX($B$1:B1692)+1,0)</f>
        <v>0</v>
      </c>
      <c r="D1693" s="33">
        <f>IF(ISNUMBER(SEARCH('Φόρμα Εισαγωγής'!$C$2,E1693)),MAX($D$1:D1692)+1,0)</f>
        <v>0</v>
      </c>
      <c r="H1693" s="6">
        <f t="shared" si="89"/>
        <v>0</v>
      </c>
      <c r="I1693" s="6">
        <f t="shared" si="90"/>
        <v>0</v>
      </c>
      <c r="J1693" s="6">
        <f t="shared" si="91"/>
        <v>0</v>
      </c>
      <c r="L1693" s="4" t="str">
        <f>IFERROR(VLOOKUP(ROWS($L$2:L1693),$B$2:$C$1996,2,0),"")</f>
        <v/>
      </c>
      <c r="N1693" s="2" t="str">
        <f>IFERROR(VLOOKUP(ROWS($N$2:N1693),$D$2:$E$1996,2,0),"")</f>
        <v/>
      </c>
    </row>
    <row r="1694" spans="2:14">
      <c r="B1694" s="32">
        <f>IF(ISNUMBER(SEARCH('Φόρμα Εισαγωγής'!$B$2,C1694)),MAX($B$1:B1693)+1,0)</f>
        <v>0</v>
      </c>
      <c r="D1694" s="33">
        <f>IF(ISNUMBER(SEARCH('Φόρμα Εισαγωγής'!$C$2,E1694)),MAX($D$1:D1693)+1,0)</f>
        <v>0</v>
      </c>
      <c r="H1694" s="6">
        <f t="shared" si="89"/>
        <v>0</v>
      </c>
      <c r="I1694" s="6">
        <f t="shared" si="90"/>
        <v>0</v>
      </c>
      <c r="J1694" s="6">
        <f t="shared" si="91"/>
        <v>0</v>
      </c>
      <c r="L1694" s="4" t="str">
        <f>IFERROR(VLOOKUP(ROWS($L$2:L1694),$B$2:$C$1996,2,0),"")</f>
        <v/>
      </c>
      <c r="N1694" s="2" t="str">
        <f>IFERROR(VLOOKUP(ROWS($N$2:N1694),$D$2:$E$1996,2,0),"")</f>
        <v/>
      </c>
    </row>
    <row r="1695" spans="2:14">
      <c r="B1695" s="32">
        <f>IF(ISNUMBER(SEARCH('Φόρμα Εισαγωγής'!$B$2,C1695)),MAX($B$1:B1694)+1,0)</f>
        <v>0</v>
      </c>
      <c r="D1695" s="33">
        <f>IF(ISNUMBER(SEARCH('Φόρμα Εισαγωγής'!$C$2,E1695)),MAX($D$1:D1694)+1,0)</f>
        <v>0</v>
      </c>
      <c r="H1695" s="6">
        <f t="shared" si="89"/>
        <v>0</v>
      </c>
      <c r="I1695" s="6">
        <f t="shared" si="90"/>
        <v>0</v>
      </c>
      <c r="J1695" s="6">
        <f t="shared" si="91"/>
        <v>0</v>
      </c>
      <c r="L1695" s="4" t="str">
        <f>IFERROR(VLOOKUP(ROWS($L$2:L1695),$B$2:$C$1996,2,0),"")</f>
        <v/>
      </c>
      <c r="N1695" s="2" t="str">
        <f>IFERROR(VLOOKUP(ROWS($N$2:N1695),$D$2:$E$1996,2,0),"")</f>
        <v/>
      </c>
    </row>
    <row r="1696" spans="2:14">
      <c r="B1696" s="32">
        <f>IF(ISNUMBER(SEARCH('Φόρμα Εισαγωγής'!$B$2,C1696)),MAX($B$1:B1695)+1,0)</f>
        <v>0</v>
      </c>
      <c r="D1696" s="33">
        <f>IF(ISNUMBER(SEARCH('Φόρμα Εισαγωγής'!$C$2,E1696)),MAX($D$1:D1695)+1,0)</f>
        <v>0</v>
      </c>
      <c r="H1696" s="6">
        <f t="shared" si="89"/>
        <v>0</v>
      </c>
      <c r="I1696" s="6">
        <f t="shared" si="90"/>
        <v>0</v>
      </c>
      <c r="J1696" s="6">
        <f t="shared" si="91"/>
        <v>0</v>
      </c>
      <c r="L1696" s="4" t="str">
        <f>IFERROR(VLOOKUP(ROWS($L$2:L1696),$B$2:$C$1996,2,0),"")</f>
        <v/>
      </c>
      <c r="N1696" s="2" t="str">
        <f>IFERROR(VLOOKUP(ROWS($N$2:N1696),$D$2:$E$1996,2,0),"")</f>
        <v/>
      </c>
    </row>
    <row r="1697" spans="2:14">
      <c r="B1697" s="32">
        <f>IF(ISNUMBER(SEARCH('Φόρμα Εισαγωγής'!$B$2,C1697)),MAX($B$1:B1696)+1,0)</f>
        <v>0</v>
      </c>
      <c r="D1697" s="33">
        <f>IF(ISNUMBER(SEARCH('Φόρμα Εισαγωγής'!$C$2,E1697)),MAX($D$1:D1696)+1,0)</f>
        <v>0</v>
      </c>
      <c r="H1697" s="6">
        <f t="shared" si="89"/>
        <v>0</v>
      </c>
      <c r="I1697" s="6">
        <f t="shared" si="90"/>
        <v>0</v>
      </c>
      <c r="J1697" s="6">
        <f t="shared" si="91"/>
        <v>0</v>
      </c>
      <c r="L1697" s="4" t="str">
        <f>IFERROR(VLOOKUP(ROWS($L$2:L1697),$B$2:$C$1996,2,0),"")</f>
        <v/>
      </c>
      <c r="N1697" s="2" t="str">
        <f>IFERROR(VLOOKUP(ROWS($N$2:N1697),$D$2:$E$1996,2,0),"")</f>
        <v/>
      </c>
    </row>
    <row r="1698" spans="2:14">
      <c r="B1698" s="32">
        <f>IF(ISNUMBER(SEARCH('Φόρμα Εισαγωγής'!$B$2,C1698)),MAX($B$1:B1697)+1,0)</f>
        <v>0</v>
      </c>
      <c r="D1698" s="33">
        <f>IF(ISNUMBER(SEARCH('Φόρμα Εισαγωγής'!$C$2,E1698)),MAX($D$1:D1697)+1,0)</f>
        <v>0</v>
      </c>
      <c r="H1698" s="6">
        <f t="shared" si="89"/>
        <v>0</v>
      </c>
      <c r="I1698" s="6">
        <f t="shared" si="90"/>
        <v>0</v>
      </c>
      <c r="J1698" s="6">
        <f t="shared" si="91"/>
        <v>0</v>
      </c>
      <c r="L1698" s="4" t="str">
        <f>IFERROR(VLOOKUP(ROWS($L$2:L1698),$B$2:$C$1996,2,0),"")</f>
        <v/>
      </c>
      <c r="N1698" s="2" t="str">
        <f>IFERROR(VLOOKUP(ROWS($N$2:N1698),$D$2:$E$1996,2,0),"")</f>
        <v/>
      </c>
    </row>
    <row r="1699" spans="2:14">
      <c r="B1699" s="32">
        <f>IF(ISNUMBER(SEARCH('Φόρμα Εισαγωγής'!$B$2,C1699)),MAX($B$1:B1698)+1,0)</f>
        <v>0</v>
      </c>
      <c r="D1699" s="33">
        <f>IF(ISNUMBER(SEARCH('Φόρμα Εισαγωγής'!$C$2,E1699)),MAX($D$1:D1698)+1,0)</f>
        <v>0</v>
      </c>
      <c r="H1699" s="6">
        <f t="shared" si="89"/>
        <v>0</v>
      </c>
      <c r="I1699" s="6">
        <f t="shared" si="90"/>
        <v>0</v>
      </c>
      <c r="J1699" s="6">
        <f t="shared" si="91"/>
        <v>0</v>
      </c>
      <c r="L1699" s="4" t="str">
        <f>IFERROR(VLOOKUP(ROWS($L$2:L1699),$B$2:$C$1996,2,0),"")</f>
        <v/>
      </c>
      <c r="N1699" s="2" t="str">
        <f>IFERROR(VLOOKUP(ROWS($N$2:N1699),$D$2:$E$1996,2,0),"")</f>
        <v/>
      </c>
    </row>
    <row r="1700" spans="2:14">
      <c r="B1700" s="32">
        <f>IF(ISNUMBER(SEARCH('Φόρμα Εισαγωγής'!$B$2,C1700)),MAX($B$1:B1699)+1,0)</f>
        <v>0</v>
      </c>
      <c r="D1700" s="33">
        <f>IF(ISNUMBER(SEARCH('Φόρμα Εισαγωγής'!$C$2,E1700)),MAX($D$1:D1699)+1,0)</f>
        <v>0</v>
      </c>
      <c r="H1700" s="6">
        <f t="shared" si="89"/>
        <v>0</v>
      </c>
      <c r="I1700" s="6">
        <f t="shared" si="90"/>
        <v>0</v>
      </c>
      <c r="J1700" s="6">
        <f t="shared" si="91"/>
        <v>0</v>
      </c>
      <c r="L1700" s="4" t="str">
        <f>IFERROR(VLOOKUP(ROWS($L$2:L1700),$B$2:$C$1996,2,0),"")</f>
        <v/>
      </c>
      <c r="N1700" s="2" t="str">
        <f>IFERROR(VLOOKUP(ROWS($N$2:N1700),$D$2:$E$1996,2,0),"")</f>
        <v/>
      </c>
    </row>
    <row r="1701" spans="2:14">
      <c r="B1701" s="32">
        <f>IF(ISNUMBER(SEARCH('Φόρμα Εισαγωγής'!$B$2,C1701)),MAX($B$1:B1700)+1,0)</f>
        <v>0</v>
      </c>
      <c r="D1701" s="33">
        <f>IF(ISNUMBER(SEARCH('Φόρμα Εισαγωγής'!$C$2,E1701)),MAX($D$1:D1700)+1,0)</f>
        <v>0</v>
      </c>
      <c r="H1701" s="6">
        <f t="shared" si="89"/>
        <v>0</v>
      </c>
      <c r="I1701" s="6">
        <f t="shared" si="90"/>
        <v>0</v>
      </c>
      <c r="J1701" s="6">
        <f t="shared" si="91"/>
        <v>0</v>
      </c>
      <c r="L1701" s="4" t="str">
        <f>IFERROR(VLOOKUP(ROWS($L$2:L1701),$B$2:$C$1996,2,0),"")</f>
        <v/>
      </c>
      <c r="N1701" s="2" t="str">
        <f>IFERROR(VLOOKUP(ROWS($N$2:N1701),$D$2:$E$1996,2,0),"")</f>
        <v/>
      </c>
    </row>
    <row r="1702" spans="2:14">
      <c r="B1702" s="32">
        <f>IF(ISNUMBER(SEARCH('Φόρμα Εισαγωγής'!$B$2,C1702)),MAX($B$1:B1701)+1,0)</f>
        <v>0</v>
      </c>
      <c r="D1702" s="33">
        <f>IF(ISNUMBER(SEARCH('Φόρμα Εισαγωγής'!$C$2,E1702)),MAX($D$1:D1701)+1,0)</f>
        <v>0</v>
      </c>
      <c r="H1702" s="6">
        <f t="shared" si="89"/>
        <v>0</v>
      </c>
      <c r="I1702" s="6">
        <f t="shared" si="90"/>
        <v>0</v>
      </c>
      <c r="J1702" s="6">
        <f t="shared" si="91"/>
        <v>0</v>
      </c>
      <c r="L1702" s="4" t="str">
        <f>IFERROR(VLOOKUP(ROWS($L$2:L1702),$B$2:$C$1996,2,0),"")</f>
        <v/>
      </c>
      <c r="N1702" s="2" t="str">
        <f>IFERROR(VLOOKUP(ROWS($N$2:N1702),$D$2:$E$1996,2,0),"")</f>
        <v/>
      </c>
    </row>
    <row r="1703" spans="2:14">
      <c r="B1703" s="32">
        <f>IF(ISNUMBER(SEARCH('Φόρμα Εισαγωγής'!$B$2,C1703)),MAX($B$1:B1702)+1,0)</f>
        <v>0</v>
      </c>
      <c r="D1703" s="33">
        <f>IF(ISNUMBER(SEARCH('Φόρμα Εισαγωγής'!$C$2,E1703)),MAX($D$1:D1702)+1,0)</f>
        <v>0</v>
      </c>
      <c r="H1703" s="6">
        <f t="shared" si="89"/>
        <v>0</v>
      </c>
      <c r="I1703" s="6">
        <f t="shared" si="90"/>
        <v>0</v>
      </c>
      <c r="J1703" s="6">
        <f t="shared" si="91"/>
        <v>0</v>
      </c>
      <c r="L1703" s="4" t="str">
        <f>IFERROR(VLOOKUP(ROWS($L$2:L1703),$B$2:$C$1996,2,0),"")</f>
        <v/>
      </c>
      <c r="N1703" s="2" t="str">
        <f>IFERROR(VLOOKUP(ROWS($N$2:N1703),$D$2:$E$1996,2,0),"")</f>
        <v/>
      </c>
    </row>
    <row r="1704" spans="2:14">
      <c r="B1704" s="32">
        <f>IF(ISNUMBER(SEARCH('Φόρμα Εισαγωγής'!$B$2,C1704)),MAX($B$1:B1703)+1,0)</f>
        <v>0</v>
      </c>
      <c r="D1704" s="33">
        <f>IF(ISNUMBER(SEARCH('Φόρμα Εισαγωγής'!$C$2,E1704)),MAX($D$1:D1703)+1,0)</f>
        <v>0</v>
      </c>
      <c r="H1704" s="6">
        <f t="shared" si="89"/>
        <v>0</v>
      </c>
      <c r="I1704" s="6">
        <f t="shared" si="90"/>
        <v>0</v>
      </c>
      <c r="J1704" s="6">
        <f t="shared" si="91"/>
        <v>0</v>
      </c>
      <c r="L1704" s="4" t="str">
        <f>IFERROR(VLOOKUP(ROWS($L$2:L1704),$B$2:$C$1996,2,0),"")</f>
        <v/>
      </c>
      <c r="N1704" s="2" t="str">
        <f>IFERROR(VLOOKUP(ROWS($N$2:N1704),$D$2:$E$1996,2,0),"")</f>
        <v/>
      </c>
    </row>
    <row r="1705" spans="2:14">
      <c r="B1705" s="32">
        <f>IF(ISNUMBER(SEARCH('Φόρμα Εισαγωγής'!$B$2,C1705)),MAX($B$1:B1704)+1,0)</f>
        <v>0</v>
      </c>
      <c r="D1705" s="33">
        <f>IF(ISNUMBER(SEARCH('Φόρμα Εισαγωγής'!$C$2,E1705)),MAX($D$1:D1704)+1,0)</f>
        <v>0</v>
      </c>
      <c r="H1705" s="6">
        <f t="shared" si="89"/>
        <v>0</v>
      </c>
      <c r="I1705" s="6">
        <f t="shared" si="90"/>
        <v>0</v>
      </c>
      <c r="J1705" s="6">
        <f t="shared" si="91"/>
        <v>0</v>
      </c>
      <c r="L1705" s="4" t="str">
        <f>IFERROR(VLOOKUP(ROWS($L$2:L1705),$B$2:$C$1996,2,0),"")</f>
        <v/>
      </c>
      <c r="N1705" s="2" t="str">
        <f>IFERROR(VLOOKUP(ROWS($N$2:N1705),$D$2:$E$1996,2,0),"")</f>
        <v/>
      </c>
    </row>
    <row r="1706" spans="2:14">
      <c r="B1706" s="32">
        <f>IF(ISNUMBER(SEARCH('Φόρμα Εισαγωγής'!$B$2,C1706)),MAX($B$1:B1705)+1,0)</f>
        <v>0</v>
      </c>
      <c r="D1706" s="33">
        <f>IF(ISNUMBER(SEARCH('Φόρμα Εισαγωγής'!$C$2,E1706)),MAX($D$1:D1705)+1,0)</f>
        <v>0</v>
      </c>
      <c r="H1706" s="6">
        <f t="shared" si="89"/>
        <v>0</v>
      </c>
      <c r="I1706" s="6">
        <f t="shared" si="90"/>
        <v>0</v>
      </c>
      <c r="J1706" s="6">
        <f t="shared" si="91"/>
        <v>0</v>
      </c>
      <c r="L1706" s="4" t="str">
        <f>IFERROR(VLOOKUP(ROWS($L$2:L1706),$B$2:$C$1996,2,0),"")</f>
        <v/>
      </c>
      <c r="N1706" s="2" t="str">
        <f>IFERROR(VLOOKUP(ROWS($N$2:N1706),$D$2:$E$1996,2,0),"")</f>
        <v/>
      </c>
    </row>
    <row r="1707" spans="2:14">
      <c r="B1707" s="32">
        <f>IF(ISNUMBER(SEARCH('Φόρμα Εισαγωγής'!$B$2,C1707)),MAX($B$1:B1706)+1,0)</f>
        <v>0</v>
      </c>
      <c r="D1707" s="33">
        <f>IF(ISNUMBER(SEARCH('Φόρμα Εισαγωγής'!$C$2,E1707)),MAX($D$1:D1706)+1,0)</f>
        <v>0</v>
      </c>
      <c r="H1707" s="6">
        <f t="shared" si="89"/>
        <v>0</v>
      </c>
      <c r="I1707" s="6">
        <f t="shared" si="90"/>
        <v>0</v>
      </c>
      <c r="J1707" s="6">
        <f t="shared" si="91"/>
        <v>0</v>
      </c>
      <c r="L1707" s="4" t="str">
        <f>IFERROR(VLOOKUP(ROWS($L$2:L1707),$B$2:$C$1996,2,0),"")</f>
        <v/>
      </c>
      <c r="N1707" s="2" t="str">
        <f>IFERROR(VLOOKUP(ROWS($N$2:N1707),$D$2:$E$1996,2,0),"")</f>
        <v/>
      </c>
    </row>
    <row r="1708" spans="2:14">
      <c r="B1708" s="32">
        <f>IF(ISNUMBER(SEARCH('Φόρμα Εισαγωγής'!$B$2,C1708)),MAX($B$1:B1707)+1,0)</f>
        <v>0</v>
      </c>
      <c r="D1708" s="33">
        <f>IF(ISNUMBER(SEARCH('Φόρμα Εισαγωγής'!$C$2,E1708)),MAX($D$1:D1707)+1,0)</f>
        <v>0</v>
      </c>
      <c r="H1708" s="6">
        <f t="shared" si="89"/>
        <v>0</v>
      </c>
      <c r="I1708" s="6">
        <f t="shared" si="90"/>
        <v>0</v>
      </c>
      <c r="J1708" s="6">
        <f t="shared" si="91"/>
        <v>0</v>
      </c>
      <c r="L1708" s="4" t="str">
        <f>IFERROR(VLOOKUP(ROWS($L$2:L1708),$B$2:$C$1996,2,0),"")</f>
        <v/>
      </c>
      <c r="N1708" s="2" t="str">
        <f>IFERROR(VLOOKUP(ROWS($N$2:N1708),$D$2:$E$1996,2,0),"")</f>
        <v/>
      </c>
    </row>
    <row r="1709" spans="2:14">
      <c r="B1709" s="32">
        <f>IF(ISNUMBER(SEARCH('Φόρμα Εισαγωγής'!$B$2,C1709)),MAX($B$1:B1708)+1,0)</f>
        <v>0</v>
      </c>
      <c r="D1709" s="33">
        <f>IF(ISNUMBER(SEARCH('Φόρμα Εισαγωγής'!$C$2,E1709)),MAX($D$1:D1708)+1,0)</f>
        <v>0</v>
      </c>
      <c r="H1709" s="6">
        <f t="shared" si="89"/>
        <v>0</v>
      </c>
      <c r="I1709" s="6">
        <f t="shared" si="90"/>
        <v>0</v>
      </c>
      <c r="J1709" s="6">
        <f t="shared" si="91"/>
        <v>0</v>
      </c>
      <c r="L1709" s="4" t="str">
        <f>IFERROR(VLOOKUP(ROWS($L$2:L1709),$B$2:$C$1996,2,0),"")</f>
        <v/>
      </c>
      <c r="N1709" s="2" t="str">
        <f>IFERROR(VLOOKUP(ROWS($N$2:N1709),$D$2:$E$1996,2,0),"")</f>
        <v/>
      </c>
    </row>
    <row r="1710" spans="2:14">
      <c r="B1710" s="32">
        <f>IF(ISNUMBER(SEARCH('Φόρμα Εισαγωγής'!$B$2,C1710)),MAX($B$1:B1709)+1,0)</f>
        <v>0</v>
      </c>
      <c r="D1710" s="33">
        <f>IF(ISNUMBER(SEARCH('Φόρμα Εισαγωγής'!$C$2,E1710)),MAX($D$1:D1709)+1,0)</f>
        <v>0</v>
      </c>
      <c r="H1710" s="6">
        <f t="shared" si="89"/>
        <v>0</v>
      </c>
      <c r="I1710" s="6">
        <f t="shared" si="90"/>
        <v>0</v>
      </c>
      <c r="J1710" s="6">
        <f t="shared" si="91"/>
        <v>0</v>
      </c>
      <c r="L1710" s="4" t="str">
        <f>IFERROR(VLOOKUP(ROWS($L$2:L1710),$B$2:$C$1996,2,0),"")</f>
        <v/>
      </c>
      <c r="N1710" s="2" t="str">
        <f>IFERROR(VLOOKUP(ROWS($N$2:N1710),$D$2:$E$1996,2,0),"")</f>
        <v/>
      </c>
    </row>
    <row r="1711" spans="2:14">
      <c r="B1711" s="32">
        <f>IF(ISNUMBER(SEARCH('Φόρμα Εισαγωγής'!$B$2,C1711)),MAX($B$1:B1710)+1,0)</f>
        <v>0</v>
      </c>
      <c r="D1711" s="33">
        <f>IF(ISNUMBER(SEARCH('Φόρμα Εισαγωγής'!$C$2,E1711)),MAX($D$1:D1710)+1,0)</f>
        <v>0</v>
      </c>
      <c r="H1711" s="6">
        <f t="shared" si="89"/>
        <v>0</v>
      </c>
      <c r="I1711" s="6">
        <f t="shared" si="90"/>
        <v>0</v>
      </c>
      <c r="J1711" s="6">
        <f t="shared" si="91"/>
        <v>0</v>
      </c>
      <c r="L1711" s="4" t="str">
        <f>IFERROR(VLOOKUP(ROWS($L$2:L1711),$B$2:$C$1996,2,0),"")</f>
        <v/>
      </c>
      <c r="N1711" s="2" t="str">
        <f>IFERROR(VLOOKUP(ROWS($N$2:N1711),$D$2:$E$1996,2,0),"")</f>
        <v/>
      </c>
    </row>
    <row r="1712" spans="2:14">
      <c r="B1712" s="32">
        <f>IF(ISNUMBER(SEARCH('Φόρμα Εισαγωγής'!$B$2,C1712)),MAX($B$1:B1711)+1,0)</f>
        <v>0</v>
      </c>
      <c r="D1712" s="33">
        <f>IF(ISNUMBER(SEARCH('Φόρμα Εισαγωγής'!$C$2,E1712)),MAX($D$1:D1711)+1,0)</f>
        <v>0</v>
      </c>
      <c r="H1712" s="6">
        <f t="shared" si="89"/>
        <v>0</v>
      </c>
      <c r="I1712" s="6">
        <f t="shared" si="90"/>
        <v>0</v>
      </c>
      <c r="J1712" s="6">
        <f t="shared" si="91"/>
        <v>0</v>
      </c>
      <c r="L1712" s="4" t="str">
        <f>IFERROR(VLOOKUP(ROWS($L$2:L1712),$B$2:$C$1996,2,0),"")</f>
        <v/>
      </c>
      <c r="N1712" s="2" t="str">
        <f>IFERROR(VLOOKUP(ROWS($N$2:N1712),$D$2:$E$1996,2,0),"")</f>
        <v/>
      </c>
    </row>
    <row r="1713" spans="2:14">
      <c r="B1713" s="32">
        <f>IF(ISNUMBER(SEARCH('Φόρμα Εισαγωγής'!$B$2,C1713)),MAX($B$1:B1712)+1,0)</f>
        <v>0</v>
      </c>
      <c r="D1713" s="33">
        <f>IF(ISNUMBER(SEARCH('Φόρμα Εισαγωγής'!$C$2,E1713)),MAX($D$1:D1712)+1,0)</f>
        <v>0</v>
      </c>
      <c r="H1713" s="6">
        <f t="shared" si="89"/>
        <v>0</v>
      </c>
      <c r="I1713" s="6">
        <f t="shared" si="90"/>
        <v>0</v>
      </c>
      <c r="J1713" s="6">
        <f t="shared" si="91"/>
        <v>0</v>
      </c>
      <c r="L1713" s="4" t="str">
        <f>IFERROR(VLOOKUP(ROWS($L$2:L1713),$B$2:$C$1996,2,0),"")</f>
        <v/>
      </c>
      <c r="N1713" s="2" t="str">
        <f>IFERROR(VLOOKUP(ROWS($N$2:N1713),$D$2:$E$1996,2,0),"")</f>
        <v/>
      </c>
    </row>
    <row r="1714" spans="2:14">
      <c r="B1714" s="32">
        <f>IF(ISNUMBER(SEARCH('Φόρμα Εισαγωγής'!$B$2,C1714)),MAX($B$1:B1713)+1,0)</f>
        <v>0</v>
      </c>
      <c r="D1714" s="33">
        <f>IF(ISNUMBER(SEARCH('Φόρμα Εισαγωγής'!$C$2,E1714)),MAX($D$1:D1713)+1,0)</f>
        <v>0</v>
      </c>
      <c r="H1714" s="6">
        <f t="shared" si="89"/>
        <v>0</v>
      </c>
      <c r="I1714" s="6">
        <f t="shared" si="90"/>
        <v>0</v>
      </c>
      <c r="J1714" s="6">
        <f t="shared" si="91"/>
        <v>0</v>
      </c>
      <c r="L1714" s="4" t="str">
        <f>IFERROR(VLOOKUP(ROWS($L$2:L1714),$B$2:$C$1996,2,0),"")</f>
        <v/>
      </c>
      <c r="N1714" s="2" t="str">
        <f>IFERROR(VLOOKUP(ROWS($N$2:N1714),$D$2:$E$1996,2,0),"")</f>
        <v/>
      </c>
    </row>
    <row r="1715" spans="2:14">
      <c r="B1715" s="32">
        <f>IF(ISNUMBER(SEARCH('Φόρμα Εισαγωγής'!$B$2,C1715)),MAX($B$1:B1714)+1,0)</f>
        <v>0</v>
      </c>
      <c r="D1715" s="33">
        <f>IF(ISNUMBER(SEARCH('Φόρμα Εισαγωγής'!$C$2,E1715)),MAX($D$1:D1714)+1,0)</f>
        <v>0</v>
      </c>
      <c r="H1715" s="6">
        <f t="shared" si="89"/>
        <v>0</v>
      </c>
      <c r="I1715" s="6">
        <f t="shared" si="90"/>
        <v>0</v>
      </c>
      <c r="J1715" s="6">
        <f t="shared" si="91"/>
        <v>0</v>
      </c>
      <c r="L1715" s="4" t="str">
        <f>IFERROR(VLOOKUP(ROWS($L$2:L1715),$B$2:$C$1996,2,0),"")</f>
        <v/>
      </c>
      <c r="N1715" s="2" t="str">
        <f>IFERROR(VLOOKUP(ROWS($N$2:N1715),$D$2:$E$1996,2,0),"")</f>
        <v/>
      </c>
    </row>
    <row r="1716" spans="2:14">
      <c r="B1716" s="32">
        <f>IF(ISNUMBER(SEARCH('Φόρμα Εισαγωγής'!$B$2,C1716)),MAX($B$1:B1715)+1,0)</f>
        <v>0</v>
      </c>
      <c r="D1716" s="33">
        <f>IF(ISNUMBER(SEARCH('Φόρμα Εισαγωγής'!$C$2,E1716)),MAX($D$1:D1715)+1,0)</f>
        <v>0</v>
      </c>
      <c r="H1716" s="6">
        <f t="shared" si="89"/>
        <v>0</v>
      </c>
      <c r="I1716" s="6">
        <f t="shared" si="90"/>
        <v>0</v>
      </c>
      <c r="J1716" s="6">
        <f t="shared" si="91"/>
        <v>0</v>
      </c>
      <c r="L1716" s="4" t="str">
        <f>IFERROR(VLOOKUP(ROWS($L$2:L1716),$B$2:$C$1996,2,0),"")</f>
        <v/>
      </c>
      <c r="N1716" s="2" t="str">
        <f>IFERROR(VLOOKUP(ROWS($N$2:N1716),$D$2:$E$1996,2,0),"")</f>
        <v/>
      </c>
    </row>
    <row r="1717" spans="2:14">
      <c r="B1717" s="32">
        <f>IF(ISNUMBER(SEARCH('Φόρμα Εισαγωγής'!$B$2,C1717)),MAX($B$1:B1716)+1,0)</f>
        <v>0</v>
      </c>
      <c r="D1717" s="33">
        <f>IF(ISNUMBER(SEARCH('Φόρμα Εισαγωγής'!$C$2,E1717)),MAX($D$1:D1716)+1,0)</f>
        <v>0</v>
      </c>
      <c r="H1717" s="6">
        <f t="shared" si="89"/>
        <v>0</v>
      </c>
      <c r="I1717" s="6">
        <f t="shared" si="90"/>
        <v>0</v>
      </c>
      <c r="J1717" s="6">
        <f t="shared" si="91"/>
        <v>0</v>
      </c>
      <c r="L1717" s="4" t="str">
        <f>IFERROR(VLOOKUP(ROWS($L$2:L1717),$B$2:$C$1996,2,0),"")</f>
        <v/>
      </c>
      <c r="N1717" s="2" t="str">
        <f>IFERROR(VLOOKUP(ROWS($N$2:N1717),$D$2:$E$1996,2,0),"")</f>
        <v/>
      </c>
    </row>
    <row r="1718" spans="2:14">
      <c r="B1718" s="32">
        <f>IF(ISNUMBER(SEARCH('Φόρμα Εισαγωγής'!$B$2,C1718)),MAX($B$1:B1717)+1,0)</f>
        <v>0</v>
      </c>
      <c r="D1718" s="33">
        <f>IF(ISNUMBER(SEARCH('Φόρμα Εισαγωγής'!$C$2,E1718)),MAX($D$1:D1717)+1,0)</f>
        <v>0</v>
      </c>
      <c r="H1718" s="6">
        <f t="shared" si="89"/>
        <v>0</v>
      </c>
      <c r="I1718" s="6">
        <f t="shared" si="90"/>
        <v>0</v>
      </c>
      <c r="J1718" s="6">
        <f t="shared" si="91"/>
        <v>0</v>
      </c>
      <c r="L1718" s="4" t="str">
        <f>IFERROR(VLOOKUP(ROWS($L$2:L1718),$B$2:$C$1996,2,0),"")</f>
        <v/>
      </c>
      <c r="N1718" s="2" t="str">
        <f>IFERROR(VLOOKUP(ROWS($N$2:N1718),$D$2:$E$1996,2,0),"")</f>
        <v/>
      </c>
    </row>
    <row r="1719" spans="2:14">
      <c r="B1719" s="32">
        <f>IF(ISNUMBER(SEARCH('Φόρμα Εισαγωγής'!$B$2,C1719)),MAX($B$1:B1718)+1,0)</f>
        <v>0</v>
      </c>
      <c r="D1719" s="33">
        <f>IF(ISNUMBER(SEARCH('Φόρμα Εισαγωγής'!$C$2,E1719)),MAX($D$1:D1718)+1,0)</f>
        <v>0</v>
      </c>
      <c r="H1719" s="6">
        <f t="shared" si="89"/>
        <v>0</v>
      </c>
      <c r="I1719" s="6">
        <f t="shared" si="90"/>
        <v>0</v>
      </c>
      <c r="J1719" s="6">
        <f t="shared" si="91"/>
        <v>0</v>
      </c>
      <c r="L1719" s="4" t="str">
        <f>IFERROR(VLOOKUP(ROWS($L$2:L1719),$B$2:$C$1996,2,0),"")</f>
        <v/>
      </c>
      <c r="N1719" s="2" t="str">
        <f>IFERROR(VLOOKUP(ROWS($N$2:N1719),$D$2:$E$1996,2,0),"")</f>
        <v/>
      </c>
    </row>
    <row r="1720" spans="2:14">
      <c r="B1720" s="32">
        <f>IF(ISNUMBER(SEARCH('Φόρμα Εισαγωγής'!$B$2,C1720)),MAX($B$1:B1719)+1,0)</f>
        <v>0</v>
      </c>
      <c r="D1720" s="33">
        <f>IF(ISNUMBER(SEARCH('Φόρμα Εισαγωγής'!$C$2,E1720)),MAX($D$1:D1719)+1,0)</f>
        <v>0</v>
      </c>
      <c r="H1720" s="6">
        <f t="shared" si="89"/>
        <v>0</v>
      </c>
      <c r="I1720" s="6">
        <f t="shared" si="90"/>
        <v>0</v>
      </c>
      <c r="J1720" s="6">
        <f t="shared" si="91"/>
        <v>0</v>
      </c>
      <c r="L1720" s="4" t="str">
        <f>IFERROR(VLOOKUP(ROWS($L$2:L1720),$B$2:$C$1996,2,0),"")</f>
        <v/>
      </c>
      <c r="N1720" s="2" t="str">
        <f>IFERROR(VLOOKUP(ROWS($N$2:N1720),$D$2:$E$1996,2,0),"")</f>
        <v/>
      </c>
    </row>
    <row r="1721" spans="2:14">
      <c r="B1721" s="32">
        <f>IF(ISNUMBER(SEARCH('Φόρμα Εισαγωγής'!$B$2,C1721)),MAX($B$1:B1720)+1,0)</f>
        <v>0</v>
      </c>
      <c r="D1721" s="33">
        <f>IF(ISNUMBER(SEARCH('Φόρμα Εισαγωγής'!$C$2,E1721)),MAX($D$1:D1720)+1,0)</f>
        <v>0</v>
      </c>
      <c r="H1721" s="6">
        <f t="shared" si="89"/>
        <v>0</v>
      </c>
      <c r="I1721" s="6">
        <f t="shared" si="90"/>
        <v>0</v>
      </c>
      <c r="J1721" s="6">
        <f t="shared" si="91"/>
        <v>0</v>
      </c>
      <c r="L1721" s="4" t="str">
        <f>IFERROR(VLOOKUP(ROWS($L$2:L1721),$B$2:$C$1996,2,0),"")</f>
        <v/>
      </c>
      <c r="N1721" s="2" t="str">
        <f>IFERROR(VLOOKUP(ROWS($N$2:N1721),$D$2:$E$1996,2,0),"")</f>
        <v/>
      </c>
    </row>
    <row r="1722" spans="2:14">
      <c r="B1722" s="32">
        <f>IF(ISNUMBER(SEARCH('Φόρμα Εισαγωγής'!$B$2,C1722)),MAX($B$1:B1721)+1,0)</f>
        <v>0</v>
      </c>
      <c r="D1722" s="33">
        <f>IF(ISNUMBER(SEARCH('Φόρμα Εισαγωγής'!$C$2,E1722)),MAX($D$1:D1721)+1,0)</f>
        <v>0</v>
      </c>
      <c r="H1722" s="6">
        <f t="shared" si="89"/>
        <v>0</v>
      </c>
      <c r="I1722" s="6">
        <f t="shared" si="90"/>
        <v>0</v>
      </c>
      <c r="J1722" s="6">
        <f t="shared" si="91"/>
        <v>0</v>
      </c>
      <c r="L1722" s="4" t="str">
        <f>IFERROR(VLOOKUP(ROWS($L$2:L1722),$B$2:$C$1996,2,0),"")</f>
        <v/>
      </c>
      <c r="N1722" s="2" t="str">
        <f>IFERROR(VLOOKUP(ROWS($N$2:N1722),$D$2:$E$1996,2,0),"")</f>
        <v/>
      </c>
    </row>
    <row r="1723" spans="2:14">
      <c r="B1723" s="32">
        <f>IF(ISNUMBER(SEARCH('Φόρμα Εισαγωγής'!$B$2,C1723)),MAX($B$1:B1722)+1,0)</f>
        <v>0</v>
      </c>
      <c r="D1723" s="33">
        <f>IF(ISNUMBER(SEARCH('Φόρμα Εισαγωγής'!$C$2,E1723)),MAX($D$1:D1722)+1,0)</f>
        <v>0</v>
      </c>
      <c r="H1723" s="6">
        <f t="shared" si="89"/>
        <v>0</v>
      </c>
      <c r="I1723" s="6">
        <f t="shared" si="90"/>
        <v>0</v>
      </c>
      <c r="J1723" s="6">
        <f t="shared" si="91"/>
        <v>0</v>
      </c>
      <c r="L1723" s="4" t="str">
        <f>IFERROR(VLOOKUP(ROWS($L$2:L1723),$B$2:$C$1996,2,0),"")</f>
        <v/>
      </c>
      <c r="N1723" s="2" t="str">
        <f>IFERROR(VLOOKUP(ROWS($N$2:N1723),$D$2:$E$1996,2,0),"")</f>
        <v/>
      </c>
    </row>
    <row r="1724" spans="2:14">
      <c r="B1724" s="32">
        <f>IF(ISNUMBER(SEARCH('Φόρμα Εισαγωγής'!$B$2,C1724)),MAX($B$1:B1723)+1,0)</f>
        <v>0</v>
      </c>
      <c r="D1724" s="33">
        <f>IF(ISNUMBER(SEARCH('Φόρμα Εισαγωγής'!$C$2,E1724)),MAX($D$1:D1723)+1,0)</f>
        <v>0</v>
      </c>
      <c r="H1724" s="6">
        <f t="shared" si="89"/>
        <v>0</v>
      </c>
      <c r="I1724" s="6">
        <f t="shared" si="90"/>
        <v>0</v>
      </c>
      <c r="J1724" s="6">
        <f t="shared" si="91"/>
        <v>0</v>
      </c>
      <c r="L1724" s="4" t="str">
        <f>IFERROR(VLOOKUP(ROWS($L$2:L1724),$B$2:$C$1996,2,0),"")</f>
        <v/>
      </c>
      <c r="N1724" s="2" t="str">
        <f>IFERROR(VLOOKUP(ROWS($N$2:N1724),$D$2:$E$1996,2,0),"")</f>
        <v/>
      </c>
    </row>
    <row r="1725" spans="2:14">
      <c r="B1725" s="32">
        <f>IF(ISNUMBER(SEARCH('Φόρμα Εισαγωγής'!$B$2,C1725)),MAX($B$1:B1724)+1,0)</f>
        <v>0</v>
      </c>
      <c r="D1725" s="33">
        <f>IF(ISNUMBER(SEARCH('Φόρμα Εισαγωγής'!$C$2,E1725)),MAX($D$1:D1724)+1,0)</f>
        <v>0</v>
      </c>
      <c r="H1725" s="6">
        <f t="shared" si="89"/>
        <v>0</v>
      </c>
      <c r="I1725" s="6">
        <f t="shared" si="90"/>
        <v>0</v>
      </c>
      <c r="J1725" s="6">
        <f t="shared" si="91"/>
        <v>0</v>
      </c>
      <c r="L1725" s="4" t="str">
        <f>IFERROR(VLOOKUP(ROWS($L$2:L1725),$B$2:$C$1996,2,0),"")</f>
        <v/>
      </c>
      <c r="N1725" s="2" t="str">
        <f>IFERROR(VLOOKUP(ROWS($N$2:N1725),$D$2:$E$1996,2,0),"")</f>
        <v/>
      </c>
    </row>
    <row r="1726" spans="2:14">
      <c r="B1726" s="32">
        <f>IF(ISNUMBER(SEARCH('Φόρμα Εισαγωγής'!$B$2,C1726)),MAX($B$1:B1725)+1,0)</f>
        <v>0</v>
      </c>
      <c r="D1726" s="33">
        <f>IF(ISNUMBER(SEARCH('Φόρμα Εισαγωγής'!$C$2,E1726)),MAX($D$1:D1725)+1,0)</f>
        <v>0</v>
      </c>
      <c r="H1726" s="6">
        <f t="shared" si="89"/>
        <v>0</v>
      </c>
      <c r="I1726" s="6">
        <f t="shared" si="90"/>
        <v>0</v>
      </c>
      <c r="J1726" s="6">
        <f t="shared" si="91"/>
        <v>0</v>
      </c>
      <c r="L1726" s="4" t="str">
        <f>IFERROR(VLOOKUP(ROWS($L$2:L1726),$B$2:$C$1996,2,0),"")</f>
        <v/>
      </c>
      <c r="N1726" s="2" t="str">
        <f>IFERROR(VLOOKUP(ROWS($N$2:N1726),$D$2:$E$1996,2,0),"")</f>
        <v/>
      </c>
    </row>
    <row r="1727" spans="2:14">
      <c r="B1727" s="32">
        <f>IF(ISNUMBER(SEARCH('Φόρμα Εισαγωγής'!$B$2,C1727)),MAX($B$1:B1726)+1,0)</f>
        <v>0</v>
      </c>
      <c r="D1727" s="33">
        <f>IF(ISNUMBER(SEARCH('Φόρμα Εισαγωγής'!$C$2,E1727)),MAX($D$1:D1726)+1,0)</f>
        <v>0</v>
      </c>
      <c r="H1727" s="6">
        <f t="shared" si="89"/>
        <v>0</v>
      </c>
      <c r="I1727" s="6">
        <f t="shared" si="90"/>
        <v>0</v>
      </c>
      <c r="J1727" s="6">
        <f t="shared" si="91"/>
        <v>0</v>
      </c>
      <c r="L1727" s="4" t="str">
        <f>IFERROR(VLOOKUP(ROWS($L$2:L1727),$B$2:$C$1996,2,0),"")</f>
        <v/>
      </c>
      <c r="N1727" s="2" t="str">
        <f>IFERROR(VLOOKUP(ROWS($N$2:N1727),$D$2:$E$1996,2,0),"")</f>
        <v/>
      </c>
    </row>
    <row r="1728" spans="2:14">
      <c r="B1728" s="32">
        <f>IF(ISNUMBER(SEARCH('Φόρμα Εισαγωγής'!$B$2,C1728)),MAX($B$1:B1727)+1,0)</f>
        <v>0</v>
      </c>
      <c r="D1728" s="33">
        <f>IF(ISNUMBER(SEARCH('Φόρμα Εισαγωγής'!$C$2,E1728)),MAX($D$1:D1727)+1,0)</f>
        <v>0</v>
      </c>
      <c r="H1728" s="6">
        <f t="shared" ref="H1728:H1791" si="92">G1728+(G1728*0.24)</f>
        <v>0</v>
      </c>
      <c r="I1728" s="6">
        <f t="shared" ref="I1728:I1791" si="93">F1728*A1728</f>
        <v>0</v>
      </c>
      <c r="J1728" s="6">
        <f t="shared" ref="J1728:J1791" si="94">H1728*A1728</f>
        <v>0</v>
      </c>
      <c r="L1728" s="4" t="str">
        <f>IFERROR(VLOOKUP(ROWS($L$2:L1728),$B$2:$C$1996,2,0),"")</f>
        <v/>
      </c>
      <c r="N1728" s="2" t="str">
        <f>IFERROR(VLOOKUP(ROWS($N$2:N1728),$D$2:$E$1996,2,0),"")</f>
        <v/>
      </c>
    </row>
    <row r="1729" spans="2:14">
      <c r="B1729" s="32">
        <f>IF(ISNUMBER(SEARCH('Φόρμα Εισαγωγής'!$B$2,C1729)),MAX($B$1:B1728)+1,0)</f>
        <v>0</v>
      </c>
      <c r="D1729" s="33">
        <f>IF(ISNUMBER(SEARCH('Φόρμα Εισαγωγής'!$C$2,E1729)),MAX($D$1:D1728)+1,0)</f>
        <v>0</v>
      </c>
      <c r="H1729" s="6">
        <f t="shared" si="92"/>
        <v>0</v>
      </c>
      <c r="I1729" s="6">
        <f t="shared" si="93"/>
        <v>0</v>
      </c>
      <c r="J1729" s="6">
        <f t="shared" si="94"/>
        <v>0</v>
      </c>
      <c r="L1729" s="4" t="str">
        <f>IFERROR(VLOOKUP(ROWS($L$2:L1729),$B$2:$C$1996,2,0),"")</f>
        <v/>
      </c>
      <c r="N1729" s="2" t="str">
        <f>IFERROR(VLOOKUP(ROWS($N$2:N1729),$D$2:$E$1996,2,0),"")</f>
        <v/>
      </c>
    </row>
    <row r="1730" spans="2:14">
      <c r="B1730" s="32">
        <f>IF(ISNUMBER(SEARCH('Φόρμα Εισαγωγής'!$B$2,C1730)),MAX($B$1:B1729)+1,0)</f>
        <v>0</v>
      </c>
      <c r="D1730" s="33">
        <f>IF(ISNUMBER(SEARCH('Φόρμα Εισαγωγής'!$C$2,E1730)),MAX($D$1:D1729)+1,0)</f>
        <v>0</v>
      </c>
      <c r="H1730" s="6">
        <f t="shared" si="92"/>
        <v>0</v>
      </c>
      <c r="I1730" s="6">
        <f t="shared" si="93"/>
        <v>0</v>
      </c>
      <c r="J1730" s="6">
        <f t="shared" si="94"/>
        <v>0</v>
      </c>
      <c r="L1730" s="4" t="str">
        <f>IFERROR(VLOOKUP(ROWS($L$2:L1730),$B$2:$C$1996,2,0),"")</f>
        <v/>
      </c>
      <c r="N1730" s="2" t="str">
        <f>IFERROR(VLOOKUP(ROWS($N$2:N1730),$D$2:$E$1996,2,0),"")</f>
        <v/>
      </c>
    </row>
    <row r="1731" spans="2:14">
      <c r="B1731" s="32">
        <f>IF(ISNUMBER(SEARCH('Φόρμα Εισαγωγής'!$B$2,C1731)),MAX($B$1:B1730)+1,0)</f>
        <v>0</v>
      </c>
      <c r="D1731" s="33">
        <f>IF(ISNUMBER(SEARCH('Φόρμα Εισαγωγής'!$C$2,E1731)),MAX($D$1:D1730)+1,0)</f>
        <v>0</v>
      </c>
      <c r="H1731" s="6">
        <f t="shared" si="92"/>
        <v>0</v>
      </c>
      <c r="I1731" s="6">
        <f t="shared" si="93"/>
        <v>0</v>
      </c>
      <c r="J1731" s="6">
        <f t="shared" si="94"/>
        <v>0</v>
      </c>
      <c r="L1731" s="4" t="str">
        <f>IFERROR(VLOOKUP(ROWS($L$2:L1731),$B$2:$C$1996,2,0),"")</f>
        <v/>
      </c>
      <c r="N1731" s="2" t="str">
        <f>IFERROR(VLOOKUP(ROWS($N$2:N1731),$D$2:$E$1996,2,0),"")</f>
        <v/>
      </c>
    </row>
    <row r="1732" spans="2:14">
      <c r="B1732" s="32">
        <f>IF(ISNUMBER(SEARCH('Φόρμα Εισαγωγής'!$B$2,C1732)),MAX($B$1:B1731)+1,0)</f>
        <v>0</v>
      </c>
      <c r="D1732" s="33">
        <f>IF(ISNUMBER(SEARCH('Φόρμα Εισαγωγής'!$C$2,E1732)),MAX($D$1:D1731)+1,0)</f>
        <v>0</v>
      </c>
      <c r="H1732" s="6">
        <f t="shared" si="92"/>
        <v>0</v>
      </c>
      <c r="I1732" s="6">
        <f t="shared" si="93"/>
        <v>0</v>
      </c>
      <c r="J1732" s="6">
        <f t="shared" si="94"/>
        <v>0</v>
      </c>
      <c r="L1732" s="4" t="str">
        <f>IFERROR(VLOOKUP(ROWS($L$2:L1732),$B$2:$C$1996,2,0),"")</f>
        <v/>
      </c>
      <c r="N1732" s="2" t="str">
        <f>IFERROR(VLOOKUP(ROWS($N$2:N1732),$D$2:$E$1996,2,0),"")</f>
        <v/>
      </c>
    </row>
    <row r="1733" spans="2:14">
      <c r="B1733" s="32">
        <f>IF(ISNUMBER(SEARCH('Φόρμα Εισαγωγής'!$B$2,C1733)),MAX($B$1:B1732)+1,0)</f>
        <v>0</v>
      </c>
      <c r="D1733" s="33">
        <f>IF(ISNUMBER(SEARCH('Φόρμα Εισαγωγής'!$C$2,E1733)),MAX($D$1:D1732)+1,0)</f>
        <v>0</v>
      </c>
      <c r="H1733" s="6">
        <f t="shared" si="92"/>
        <v>0</v>
      </c>
      <c r="I1733" s="6">
        <f t="shared" si="93"/>
        <v>0</v>
      </c>
      <c r="J1733" s="6">
        <f t="shared" si="94"/>
        <v>0</v>
      </c>
      <c r="L1733" s="4" t="str">
        <f>IFERROR(VLOOKUP(ROWS($L$2:L1733),$B$2:$C$1996,2,0),"")</f>
        <v/>
      </c>
      <c r="N1733" s="2" t="str">
        <f>IFERROR(VLOOKUP(ROWS($N$2:N1733),$D$2:$E$1996,2,0),"")</f>
        <v/>
      </c>
    </row>
    <row r="1734" spans="2:14">
      <c r="B1734" s="32">
        <f>IF(ISNUMBER(SEARCH('Φόρμα Εισαγωγής'!$B$2,C1734)),MAX($B$1:B1733)+1,0)</f>
        <v>0</v>
      </c>
      <c r="D1734" s="33">
        <f>IF(ISNUMBER(SEARCH('Φόρμα Εισαγωγής'!$C$2,E1734)),MAX($D$1:D1733)+1,0)</f>
        <v>0</v>
      </c>
      <c r="H1734" s="6">
        <f t="shared" si="92"/>
        <v>0</v>
      </c>
      <c r="I1734" s="6">
        <f t="shared" si="93"/>
        <v>0</v>
      </c>
      <c r="J1734" s="6">
        <f t="shared" si="94"/>
        <v>0</v>
      </c>
      <c r="L1734" s="4" t="str">
        <f>IFERROR(VLOOKUP(ROWS($L$2:L1734),$B$2:$C$1996,2,0),"")</f>
        <v/>
      </c>
      <c r="N1734" s="2" t="str">
        <f>IFERROR(VLOOKUP(ROWS($N$2:N1734),$D$2:$E$1996,2,0),"")</f>
        <v/>
      </c>
    </row>
    <row r="1735" spans="2:14">
      <c r="B1735" s="32">
        <f>IF(ISNUMBER(SEARCH('Φόρμα Εισαγωγής'!$B$2,C1735)),MAX($B$1:B1734)+1,0)</f>
        <v>0</v>
      </c>
      <c r="D1735" s="33">
        <f>IF(ISNUMBER(SEARCH('Φόρμα Εισαγωγής'!$C$2,E1735)),MAX($D$1:D1734)+1,0)</f>
        <v>0</v>
      </c>
      <c r="H1735" s="6">
        <f t="shared" si="92"/>
        <v>0</v>
      </c>
      <c r="I1735" s="6">
        <f t="shared" si="93"/>
        <v>0</v>
      </c>
      <c r="J1735" s="6">
        <f t="shared" si="94"/>
        <v>0</v>
      </c>
      <c r="L1735" s="4" t="str">
        <f>IFERROR(VLOOKUP(ROWS($L$2:L1735),$B$2:$C$1996,2,0),"")</f>
        <v/>
      </c>
      <c r="N1735" s="2" t="str">
        <f>IFERROR(VLOOKUP(ROWS($N$2:N1735),$D$2:$E$1996,2,0),"")</f>
        <v/>
      </c>
    </row>
    <row r="1736" spans="2:14">
      <c r="B1736" s="32">
        <f>IF(ISNUMBER(SEARCH('Φόρμα Εισαγωγής'!$B$2,C1736)),MAX($B$1:B1735)+1,0)</f>
        <v>0</v>
      </c>
      <c r="D1736" s="33">
        <f>IF(ISNUMBER(SEARCH('Φόρμα Εισαγωγής'!$C$2,E1736)),MAX($D$1:D1735)+1,0)</f>
        <v>0</v>
      </c>
      <c r="H1736" s="6">
        <f t="shared" si="92"/>
        <v>0</v>
      </c>
      <c r="I1736" s="6">
        <f t="shared" si="93"/>
        <v>0</v>
      </c>
      <c r="J1736" s="6">
        <f t="shared" si="94"/>
        <v>0</v>
      </c>
      <c r="L1736" s="4" t="str">
        <f>IFERROR(VLOOKUP(ROWS($L$2:L1736),$B$2:$C$1996,2,0),"")</f>
        <v/>
      </c>
      <c r="N1736" s="2" t="str">
        <f>IFERROR(VLOOKUP(ROWS($N$2:N1736),$D$2:$E$1996,2,0),"")</f>
        <v/>
      </c>
    </row>
    <row r="1737" spans="2:14">
      <c r="B1737" s="32">
        <f>IF(ISNUMBER(SEARCH('Φόρμα Εισαγωγής'!$B$2,C1737)),MAX($B$1:B1736)+1,0)</f>
        <v>0</v>
      </c>
      <c r="D1737" s="33">
        <f>IF(ISNUMBER(SEARCH('Φόρμα Εισαγωγής'!$C$2,E1737)),MAX($D$1:D1736)+1,0)</f>
        <v>0</v>
      </c>
      <c r="H1737" s="6">
        <f t="shared" si="92"/>
        <v>0</v>
      </c>
      <c r="I1737" s="6">
        <f t="shared" si="93"/>
        <v>0</v>
      </c>
      <c r="J1737" s="6">
        <f t="shared" si="94"/>
        <v>0</v>
      </c>
      <c r="L1737" s="4" t="str">
        <f>IFERROR(VLOOKUP(ROWS($L$2:L1737),$B$2:$C$1996,2,0),"")</f>
        <v/>
      </c>
      <c r="N1737" s="2" t="str">
        <f>IFERROR(VLOOKUP(ROWS($N$2:N1737),$D$2:$E$1996,2,0),"")</f>
        <v/>
      </c>
    </row>
    <row r="1738" spans="2:14">
      <c r="B1738" s="32">
        <f>IF(ISNUMBER(SEARCH('Φόρμα Εισαγωγής'!$B$2,C1738)),MAX($B$1:B1737)+1,0)</f>
        <v>0</v>
      </c>
      <c r="D1738" s="33">
        <f>IF(ISNUMBER(SEARCH('Φόρμα Εισαγωγής'!$C$2,E1738)),MAX($D$1:D1737)+1,0)</f>
        <v>0</v>
      </c>
      <c r="H1738" s="6">
        <f t="shared" si="92"/>
        <v>0</v>
      </c>
      <c r="I1738" s="6">
        <f t="shared" si="93"/>
        <v>0</v>
      </c>
      <c r="J1738" s="6">
        <f t="shared" si="94"/>
        <v>0</v>
      </c>
      <c r="L1738" s="4" t="str">
        <f>IFERROR(VLOOKUP(ROWS($L$2:L1738),$B$2:$C$1996,2,0),"")</f>
        <v/>
      </c>
      <c r="N1738" s="2" t="str">
        <f>IFERROR(VLOOKUP(ROWS($N$2:N1738),$D$2:$E$1996,2,0),"")</f>
        <v/>
      </c>
    </row>
    <row r="1739" spans="2:14">
      <c r="B1739" s="32">
        <f>IF(ISNUMBER(SEARCH('Φόρμα Εισαγωγής'!$B$2,C1739)),MAX($B$1:B1738)+1,0)</f>
        <v>0</v>
      </c>
      <c r="D1739" s="33">
        <f>IF(ISNUMBER(SEARCH('Φόρμα Εισαγωγής'!$C$2,E1739)),MAX($D$1:D1738)+1,0)</f>
        <v>0</v>
      </c>
      <c r="H1739" s="6">
        <f t="shared" si="92"/>
        <v>0</v>
      </c>
      <c r="I1739" s="6">
        <f t="shared" si="93"/>
        <v>0</v>
      </c>
      <c r="J1739" s="6">
        <f t="shared" si="94"/>
        <v>0</v>
      </c>
      <c r="L1739" s="4" t="str">
        <f>IFERROR(VLOOKUP(ROWS($L$2:L1739),$B$2:$C$1996,2,0),"")</f>
        <v/>
      </c>
      <c r="N1739" s="2" t="str">
        <f>IFERROR(VLOOKUP(ROWS($N$2:N1739),$D$2:$E$1996,2,0),"")</f>
        <v/>
      </c>
    </row>
    <row r="1740" spans="2:14">
      <c r="B1740" s="32">
        <f>IF(ISNUMBER(SEARCH('Φόρμα Εισαγωγής'!$B$2,C1740)),MAX($B$1:B1739)+1,0)</f>
        <v>0</v>
      </c>
      <c r="D1740" s="33">
        <f>IF(ISNUMBER(SEARCH('Φόρμα Εισαγωγής'!$C$2,E1740)),MAX($D$1:D1739)+1,0)</f>
        <v>0</v>
      </c>
      <c r="H1740" s="6">
        <f t="shared" si="92"/>
        <v>0</v>
      </c>
      <c r="I1740" s="6">
        <f t="shared" si="93"/>
        <v>0</v>
      </c>
      <c r="J1740" s="6">
        <f t="shared" si="94"/>
        <v>0</v>
      </c>
      <c r="L1740" s="4" t="str">
        <f>IFERROR(VLOOKUP(ROWS($L$2:L1740),$B$2:$C$1996,2,0),"")</f>
        <v/>
      </c>
      <c r="N1740" s="2" t="str">
        <f>IFERROR(VLOOKUP(ROWS($N$2:N1740),$D$2:$E$1996,2,0),"")</f>
        <v/>
      </c>
    </row>
    <row r="1741" spans="2:14">
      <c r="B1741" s="32">
        <f>IF(ISNUMBER(SEARCH('Φόρμα Εισαγωγής'!$B$2,C1741)),MAX($B$1:B1740)+1,0)</f>
        <v>0</v>
      </c>
      <c r="D1741" s="33">
        <f>IF(ISNUMBER(SEARCH('Φόρμα Εισαγωγής'!$C$2,E1741)),MAX($D$1:D1740)+1,0)</f>
        <v>0</v>
      </c>
      <c r="H1741" s="6">
        <f t="shared" si="92"/>
        <v>0</v>
      </c>
      <c r="I1741" s="6">
        <f t="shared" si="93"/>
        <v>0</v>
      </c>
      <c r="J1741" s="6">
        <f t="shared" si="94"/>
        <v>0</v>
      </c>
      <c r="L1741" s="4" t="str">
        <f>IFERROR(VLOOKUP(ROWS($L$2:L1741),$B$2:$C$1996,2,0),"")</f>
        <v/>
      </c>
      <c r="N1741" s="2" t="str">
        <f>IFERROR(VLOOKUP(ROWS($N$2:N1741),$D$2:$E$1996,2,0),"")</f>
        <v/>
      </c>
    </row>
    <row r="1742" spans="2:14">
      <c r="B1742" s="32">
        <f>IF(ISNUMBER(SEARCH('Φόρμα Εισαγωγής'!$B$2,C1742)),MAX($B$1:B1741)+1,0)</f>
        <v>0</v>
      </c>
      <c r="D1742" s="33">
        <f>IF(ISNUMBER(SEARCH('Φόρμα Εισαγωγής'!$C$2,E1742)),MAX($D$1:D1741)+1,0)</f>
        <v>0</v>
      </c>
      <c r="H1742" s="6">
        <f t="shared" si="92"/>
        <v>0</v>
      </c>
      <c r="I1742" s="6">
        <f t="shared" si="93"/>
        <v>0</v>
      </c>
      <c r="J1742" s="6">
        <f t="shared" si="94"/>
        <v>0</v>
      </c>
      <c r="L1742" s="4" t="str">
        <f>IFERROR(VLOOKUP(ROWS($L$2:L1742),$B$2:$C$1996,2,0),"")</f>
        <v/>
      </c>
      <c r="N1742" s="2" t="str">
        <f>IFERROR(VLOOKUP(ROWS($N$2:N1742),$D$2:$E$1996,2,0),"")</f>
        <v/>
      </c>
    </row>
    <row r="1743" spans="2:14">
      <c r="B1743" s="32">
        <f>IF(ISNUMBER(SEARCH('Φόρμα Εισαγωγής'!$B$2,C1743)),MAX($B$1:B1742)+1,0)</f>
        <v>0</v>
      </c>
      <c r="D1743" s="33">
        <f>IF(ISNUMBER(SEARCH('Φόρμα Εισαγωγής'!$C$2,E1743)),MAX($D$1:D1742)+1,0)</f>
        <v>0</v>
      </c>
      <c r="H1743" s="6">
        <f t="shared" si="92"/>
        <v>0</v>
      </c>
      <c r="I1743" s="6">
        <f t="shared" si="93"/>
        <v>0</v>
      </c>
      <c r="J1743" s="6">
        <f t="shared" si="94"/>
        <v>0</v>
      </c>
      <c r="L1743" s="4" t="str">
        <f>IFERROR(VLOOKUP(ROWS($L$2:L1743),$B$2:$C$1996,2,0),"")</f>
        <v/>
      </c>
      <c r="N1743" s="2" t="str">
        <f>IFERROR(VLOOKUP(ROWS($N$2:N1743),$D$2:$E$1996,2,0),"")</f>
        <v/>
      </c>
    </row>
    <row r="1744" spans="2:14">
      <c r="B1744" s="32">
        <f>IF(ISNUMBER(SEARCH('Φόρμα Εισαγωγής'!$B$2,C1744)),MAX($B$1:B1743)+1,0)</f>
        <v>0</v>
      </c>
      <c r="D1744" s="33">
        <f>IF(ISNUMBER(SEARCH('Φόρμα Εισαγωγής'!$C$2,E1744)),MAX($D$1:D1743)+1,0)</f>
        <v>0</v>
      </c>
      <c r="H1744" s="6">
        <f t="shared" si="92"/>
        <v>0</v>
      </c>
      <c r="I1744" s="6">
        <f t="shared" si="93"/>
        <v>0</v>
      </c>
      <c r="J1744" s="6">
        <f t="shared" si="94"/>
        <v>0</v>
      </c>
      <c r="L1744" s="4" t="str">
        <f>IFERROR(VLOOKUP(ROWS($L$2:L1744),$B$2:$C$1996,2,0),"")</f>
        <v/>
      </c>
      <c r="N1744" s="2" t="str">
        <f>IFERROR(VLOOKUP(ROWS($N$2:N1744),$D$2:$E$1996,2,0),"")</f>
        <v/>
      </c>
    </row>
    <row r="1745" spans="2:14">
      <c r="B1745" s="32">
        <f>IF(ISNUMBER(SEARCH('Φόρμα Εισαγωγής'!$B$2,C1745)),MAX($B$1:B1744)+1,0)</f>
        <v>0</v>
      </c>
      <c r="D1745" s="33">
        <f>IF(ISNUMBER(SEARCH('Φόρμα Εισαγωγής'!$C$2,E1745)),MAX($D$1:D1744)+1,0)</f>
        <v>0</v>
      </c>
      <c r="H1745" s="6">
        <f t="shared" si="92"/>
        <v>0</v>
      </c>
      <c r="I1745" s="6">
        <f t="shared" si="93"/>
        <v>0</v>
      </c>
      <c r="J1745" s="6">
        <f t="shared" si="94"/>
        <v>0</v>
      </c>
      <c r="L1745" s="4" t="str">
        <f>IFERROR(VLOOKUP(ROWS($L$2:L1745),$B$2:$C$1996,2,0),"")</f>
        <v/>
      </c>
      <c r="N1745" s="2" t="str">
        <f>IFERROR(VLOOKUP(ROWS($N$2:N1745),$D$2:$E$1996,2,0),"")</f>
        <v/>
      </c>
    </row>
    <row r="1746" spans="2:14">
      <c r="B1746" s="32">
        <f>IF(ISNUMBER(SEARCH('Φόρμα Εισαγωγής'!$B$2,C1746)),MAX($B$1:B1745)+1,0)</f>
        <v>0</v>
      </c>
      <c r="D1746" s="33">
        <f>IF(ISNUMBER(SEARCH('Φόρμα Εισαγωγής'!$C$2,E1746)),MAX($D$1:D1745)+1,0)</f>
        <v>0</v>
      </c>
      <c r="H1746" s="6">
        <f t="shared" si="92"/>
        <v>0</v>
      </c>
      <c r="I1746" s="6">
        <f t="shared" si="93"/>
        <v>0</v>
      </c>
      <c r="J1746" s="6">
        <f t="shared" si="94"/>
        <v>0</v>
      </c>
      <c r="L1746" s="4" t="str">
        <f>IFERROR(VLOOKUP(ROWS($L$2:L1746),$B$2:$C$1996,2,0),"")</f>
        <v/>
      </c>
      <c r="N1746" s="2" t="str">
        <f>IFERROR(VLOOKUP(ROWS($N$2:N1746),$D$2:$E$1996,2,0),"")</f>
        <v/>
      </c>
    </row>
    <row r="1747" spans="2:14">
      <c r="B1747" s="32">
        <f>IF(ISNUMBER(SEARCH('Φόρμα Εισαγωγής'!$B$2,C1747)),MAX($B$1:B1746)+1,0)</f>
        <v>0</v>
      </c>
      <c r="D1747" s="33">
        <f>IF(ISNUMBER(SEARCH('Φόρμα Εισαγωγής'!$C$2,E1747)),MAX($D$1:D1746)+1,0)</f>
        <v>0</v>
      </c>
      <c r="H1747" s="6">
        <f t="shared" si="92"/>
        <v>0</v>
      </c>
      <c r="I1747" s="6">
        <f t="shared" si="93"/>
        <v>0</v>
      </c>
      <c r="J1747" s="6">
        <f t="shared" si="94"/>
        <v>0</v>
      </c>
      <c r="L1747" s="4" t="str">
        <f>IFERROR(VLOOKUP(ROWS($L$2:L1747),$B$2:$C$1996,2,0),"")</f>
        <v/>
      </c>
      <c r="N1747" s="2" t="str">
        <f>IFERROR(VLOOKUP(ROWS($N$2:N1747),$D$2:$E$1996,2,0),"")</f>
        <v/>
      </c>
    </row>
    <row r="1748" spans="2:14">
      <c r="B1748" s="32">
        <f>IF(ISNUMBER(SEARCH('Φόρμα Εισαγωγής'!$B$2,C1748)),MAX($B$1:B1747)+1,0)</f>
        <v>0</v>
      </c>
      <c r="D1748" s="33">
        <f>IF(ISNUMBER(SEARCH('Φόρμα Εισαγωγής'!$C$2,E1748)),MAX($D$1:D1747)+1,0)</f>
        <v>0</v>
      </c>
      <c r="H1748" s="6">
        <f t="shared" si="92"/>
        <v>0</v>
      </c>
      <c r="I1748" s="6">
        <f t="shared" si="93"/>
        <v>0</v>
      </c>
      <c r="J1748" s="6">
        <f t="shared" si="94"/>
        <v>0</v>
      </c>
      <c r="L1748" s="4" t="str">
        <f>IFERROR(VLOOKUP(ROWS($L$2:L1748),$B$2:$C$1996,2,0),"")</f>
        <v/>
      </c>
      <c r="N1748" s="2" t="str">
        <f>IFERROR(VLOOKUP(ROWS($N$2:N1748),$D$2:$E$1996,2,0),"")</f>
        <v/>
      </c>
    </row>
    <row r="1749" spans="2:14">
      <c r="B1749" s="32">
        <f>IF(ISNUMBER(SEARCH('Φόρμα Εισαγωγής'!$B$2,C1749)),MAX($B$1:B1748)+1,0)</f>
        <v>0</v>
      </c>
      <c r="D1749" s="33">
        <f>IF(ISNUMBER(SEARCH('Φόρμα Εισαγωγής'!$C$2,E1749)),MAX($D$1:D1748)+1,0)</f>
        <v>0</v>
      </c>
      <c r="H1749" s="6">
        <f t="shared" si="92"/>
        <v>0</v>
      </c>
      <c r="I1749" s="6">
        <f t="shared" si="93"/>
        <v>0</v>
      </c>
      <c r="J1749" s="6">
        <f t="shared" si="94"/>
        <v>0</v>
      </c>
      <c r="L1749" s="4" t="str">
        <f>IFERROR(VLOOKUP(ROWS($L$2:L1749),$B$2:$C$1996,2,0),"")</f>
        <v/>
      </c>
      <c r="N1749" s="2" t="str">
        <f>IFERROR(VLOOKUP(ROWS($N$2:N1749),$D$2:$E$1996,2,0),"")</f>
        <v/>
      </c>
    </row>
    <row r="1750" spans="2:14">
      <c r="B1750" s="32">
        <f>IF(ISNUMBER(SEARCH('Φόρμα Εισαγωγής'!$B$2,C1750)),MAX($B$1:B1749)+1,0)</f>
        <v>0</v>
      </c>
      <c r="D1750" s="33">
        <f>IF(ISNUMBER(SEARCH('Φόρμα Εισαγωγής'!$C$2,E1750)),MAX($D$1:D1749)+1,0)</f>
        <v>0</v>
      </c>
      <c r="H1750" s="6">
        <f t="shared" si="92"/>
        <v>0</v>
      </c>
      <c r="I1750" s="6">
        <f t="shared" si="93"/>
        <v>0</v>
      </c>
      <c r="J1750" s="6">
        <f t="shared" si="94"/>
        <v>0</v>
      </c>
      <c r="L1750" s="4" t="str">
        <f>IFERROR(VLOOKUP(ROWS($L$2:L1750),$B$2:$C$1996,2,0),"")</f>
        <v/>
      </c>
      <c r="N1750" s="2" t="str">
        <f>IFERROR(VLOOKUP(ROWS($N$2:N1750),$D$2:$E$1996,2,0),"")</f>
        <v/>
      </c>
    </row>
    <row r="1751" spans="2:14">
      <c r="B1751" s="32">
        <f>IF(ISNUMBER(SEARCH('Φόρμα Εισαγωγής'!$B$2,C1751)),MAX($B$1:B1750)+1,0)</f>
        <v>0</v>
      </c>
      <c r="D1751" s="33">
        <f>IF(ISNUMBER(SEARCH('Φόρμα Εισαγωγής'!$C$2,E1751)),MAX($D$1:D1750)+1,0)</f>
        <v>0</v>
      </c>
      <c r="H1751" s="6">
        <f t="shared" si="92"/>
        <v>0</v>
      </c>
      <c r="I1751" s="6">
        <f t="shared" si="93"/>
        <v>0</v>
      </c>
      <c r="J1751" s="6">
        <f t="shared" si="94"/>
        <v>0</v>
      </c>
      <c r="L1751" s="4" t="str">
        <f>IFERROR(VLOOKUP(ROWS($L$2:L1751),$B$2:$C$1996,2,0),"")</f>
        <v/>
      </c>
      <c r="N1751" s="2" t="str">
        <f>IFERROR(VLOOKUP(ROWS($N$2:N1751),$D$2:$E$1996,2,0),"")</f>
        <v/>
      </c>
    </row>
    <row r="1752" spans="2:14">
      <c r="B1752" s="32">
        <f>IF(ISNUMBER(SEARCH('Φόρμα Εισαγωγής'!$B$2,C1752)),MAX($B$1:B1751)+1,0)</f>
        <v>0</v>
      </c>
      <c r="D1752" s="33">
        <f>IF(ISNUMBER(SEARCH('Φόρμα Εισαγωγής'!$C$2,E1752)),MAX($D$1:D1751)+1,0)</f>
        <v>0</v>
      </c>
      <c r="H1752" s="6">
        <f t="shared" si="92"/>
        <v>0</v>
      </c>
      <c r="I1752" s="6">
        <f t="shared" si="93"/>
        <v>0</v>
      </c>
      <c r="J1752" s="6">
        <f t="shared" si="94"/>
        <v>0</v>
      </c>
      <c r="L1752" s="4" t="str">
        <f>IFERROR(VLOOKUP(ROWS($L$2:L1752),$B$2:$C$1996,2,0),"")</f>
        <v/>
      </c>
      <c r="N1752" s="2" t="str">
        <f>IFERROR(VLOOKUP(ROWS($N$2:N1752),$D$2:$E$1996,2,0),"")</f>
        <v/>
      </c>
    </row>
    <row r="1753" spans="2:14">
      <c r="B1753" s="32">
        <f>IF(ISNUMBER(SEARCH('Φόρμα Εισαγωγής'!$B$2,C1753)),MAX($B$1:B1752)+1,0)</f>
        <v>0</v>
      </c>
      <c r="D1753" s="33">
        <f>IF(ISNUMBER(SEARCH('Φόρμα Εισαγωγής'!$C$2,E1753)),MAX($D$1:D1752)+1,0)</f>
        <v>0</v>
      </c>
      <c r="H1753" s="6">
        <f t="shared" si="92"/>
        <v>0</v>
      </c>
      <c r="I1753" s="6">
        <f t="shared" si="93"/>
        <v>0</v>
      </c>
      <c r="J1753" s="6">
        <f t="shared" si="94"/>
        <v>0</v>
      </c>
      <c r="L1753" s="4" t="str">
        <f>IFERROR(VLOOKUP(ROWS($L$2:L1753),$B$2:$C$1996,2,0),"")</f>
        <v/>
      </c>
      <c r="N1753" s="2" t="str">
        <f>IFERROR(VLOOKUP(ROWS($N$2:N1753),$D$2:$E$1996,2,0),"")</f>
        <v/>
      </c>
    </row>
    <row r="1754" spans="2:14">
      <c r="B1754" s="32">
        <f>IF(ISNUMBER(SEARCH('Φόρμα Εισαγωγής'!$B$2,C1754)),MAX($B$1:B1753)+1,0)</f>
        <v>0</v>
      </c>
      <c r="D1754" s="33">
        <f>IF(ISNUMBER(SEARCH('Φόρμα Εισαγωγής'!$C$2,E1754)),MAX($D$1:D1753)+1,0)</f>
        <v>0</v>
      </c>
      <c r="H1754" s="6">
        <f t="shared" si="92"/>
        <v>0</v>
      </c>
      <c r="I1754" s="6">
        <f t="shared" si="93"/>
        <v>0</v>
      </c>
      <c r="J1754" s="6">
        <f t="shared" si="94"/>
        <v>0</v>
      </c>
      <c r="L1754" s="4" t="str">
        <f>IFERROR(VLOOKUP(ROWS($L$2:L1754),$B$2:$C$1996,2,0),"")</f>
        <v/>
      </c>
      <c r="N1754" s="2" t="str">
        <f>IFERROR(VLOOKUP(ROWS($N$2:N1754),$D$2:$E$1996,2,0),"")</f>
        <v/>
      </c>
    </row>
    <row r="1755" spans="2:14">
      <c r="B1755" s="32">
        <f>IF(ISNUMBER(SEARCH('Φόρμα Εισαγωγής'!$B$2,C1755)),MAX($B$1:B1754)+1,0)</f>
        <v>0</v>
      </c>
      <c r="D1755" s="33">
        <f>IF(ISNUMBER(SEARCH('Φόρμα Εισαγωγής'!$C$2,E1755)),MAX($D$1:D1754)+1,0)</f>
        <v>0</v>
      </c>
      <c r="H1755" s="6">
        <f t="shared" si="92"/>
        <v>0</v>
      </c>
      <c r="I1755" s="6">
        <f t="shared" si="93"/>
        <v>0</v>
      </c>
      <c r="J1755" s="6">
        <f t="shared" si="94"/>
        <v>0</v>
      </c>
      <c r="L1755" s="4" t="str">
        <f>IFERROR(VLOOKUP(ROWS($L$2:L1755),$B$2:$C$1996,2,0),"")</f>
        <v/>
      </c>
      <c r="N1755" s="2" t="str">
        <f>IFERROR(VLOOKUP(ROWS($N$2:N1755),$D$2:$E$1996,2,0),"")</f>
        <v/>
      </c>
    </row>
    <row r="1756" spans="2:14">
      <c r="B1756" s="32">
        <f>IF(ISNUMBER(SEARCH('Φόρμα Εισαγωγής'!$B$2,C1756)),MAX($B$1:B1755)+1,0)</f>
        <v>0</v>
      </c>
      <c r="D1756" s="33">
        <f>IF(ISNUMBER(SEARCH('Φόρμα Εισαγωγής'!$C$2,E1756)),MAX($D$1:D1755)+1,0)</f>
        <v>0</v>
      </c>
      <c r="H1756" s="6">
        <f t="shared" si="92"/>
        <v>0</v>
      </c>
      <c r="I1756" s="6">
        <f t="shared" si="93"/>
        <v>0</v>
      </c>
      <c r="J1756" s="6">
        <f t="shared" si="94"/>
        <v>0</v>
      </c>
      <c r="L1756" s="4" t="str">
        <f>IFERROR(VLOOKUP(ROWS($L$2:L1756),$B$2:$C$1996,2,0),"")</f>
        <v/>
      </c>
      <c r="N1756" s="2" t="str">
        <f>IFERROR(VLOOKUP(ROWS($N$2:N1756),$D$2:$E$1996,2,0),"")</f>
        <v/>
      </c>
    </row>
    <row r="1757" spans="2:14">
      <c r="B1757" s="32">
        <f>IF(ISNUMBER(SEARCH('Φόρμα Εισαγωγής'!$B$2,C1757)),MAX($B$1:B1756)+1,0)</f>
        <v>0</v>
      </c>
      <c r="D1757" s="33">
        <f>IF(ISNUMBER(SEARCH('Φόρμα Εισαγωγής'!$C$2,E1757)),MAX($D$1:D1756)+1,0)</f>
        <v>0</v>
      </c>
      <c r="H1757" s="6">
        <f t="shared" si="92"/>
        <v>0</v>
      </c>
      <c r="I1757" s="6">
        <f t="shared" si="93"/>
        <v>0</v>
      </c>
      <c r="J1757" s="6">
        <f t="shared" si="94"/>
        <v>0</v>
      </c>
      <c r="L1757" s="4" t="str">
        <f>IFERROR(VLOOKUP(ROWS($L$2:L1757),$B$2:$C$1996,2,0),"")</f>
        <v/>
      </c>
      <c r="N1757" s="2" t="str">
        <f>IFERROR(VLOOKUP(ROWS($N$2:N1757),$D$2:$E$1996,2,0),"")</f>
        <v/>
      </c>
    </row>
    <row r="1758" spans="2:14">
      <c r="B1758" s="32">
        <f>IF(ISNUMBER(SEARCH('Φόρμα Εισαγωγής'!$B$2,C1758)),MAX($B$1:B1757)+1,0)</f>
        <v>0</v>
      </c>
      <c r="D1758" s="33">
        <f>IF(ISNUMBER(SEARCH('Φόρμα Εισαγωγής'!$C$2,E1758)),MAX($D$1:D1757)+1,0)</f>
        <v>0</v>
      </c>
      <c r="H1758" s="6">
        <f t="shared" si="92"/>
        <v>0</v>
      </c>
      <c r="I1758" s="6">
        <f t="shared" si="93"/>
        <v>0</v>
      </c>
      <c r="J1758" s="6">
        <f t="shared" si="94"/>
        <v>0</v>
      </c>
      <c r="L1758" s="4" t="str">
        <f>IFERROR(VLOOKUP(ROWS($L$2:L1758),$B$2:$C$1996,2,0),"")</f>
        <v/>
      </c>
      <c r="N1758" s="2" t="str">
        <f>IFERROR(VLOOKUP(ROWS($N$2:N1758),$D$2:$E$1996,2,0),"")</f>
        <v/>
      </c>
    </row>
    <row r="1759" spans="2:14">
      <c r="B1759" s="32">
        <f>IF(ISNUMBER(SEARCH('Φόρμα Εισαγωγής'!$B$2,C1759)),MAX($B$1:B1758)+1,0)</f>
        <v>0</v>
      </c>
      <c r="D1759" s="33">
        <f>IF(ISNUMBER(SEARCH('Φόρμα Εισαγωγής'!$C$2,E1759)),MAX($D$1:D1758)+1,0)</f>
        <v>0</v>
      </c>
      <c r="H1759" s="6">
        <f t="shared" si="92"/>
        <v>0</v>
      </c>
      <c r="I1759" s="6">
        <f t="shared" si="93"/>
        <v>0</v>
      </c>
      <c r="J1759" s="6">
        <f t="shared" si="94"/>
        <v>0</v>
      </c>
      <c r="L1759" s="4" t="str">
        <f>IFERROR(VLOOKUP(ROWS($L$2:L1759),$B$2:$C$1996,2,0),"")</f>
        <v/>
      </c>
      <c r="N1759" s="2" t="str">
        <f>IFERROR(VLOOKUP(ROWS($N$2:N1759),$D$2:$E$1996,2,0),"")</f>
        <v/>
      </c>
    </row>
    <row r="1760" spans="2:14">
      <c r="B1760" s="32">
        <f>IF(ISNUMBER(SEARCH('Φόρμα Εισαγωγής'!$B$2,C1760)),MAX($B$1:B1759)+1,0)</f>
        <v>0</v>
      </c>
      <c r="D1760" s="33">
        <f>IF(ISNUMBER(SEARCH('Φόρμα Εισαγωγής'!$C$2,E1760)),MAX($D$1:D1759)+1,0)</f>
        <v>0</v>
      </c>
      <c r="H1760" s="6">
        <f t="shared" si="92"/>
        <v>0</v>
      </c>
      <c r="I1760" s="6">
        <f t="shared" si="93"/>
        <v>0</v>
      </c>
      <c r="J1760" s="6">
        <f t="shared" si="94"/>
        <v>0</v>
      </c>
      <c r="L1760" s="4" t="str">
        <f>IFERROR(VLOOKUP(ROWS($L$2:L1760),$B$2:$C$1996,2,0),"")</f>
        <v/>
      </c>
      <c r="N1760" s="2" t="str">
        <f>IFERROR(VLOOKUP(ROWS($N$2:N1760),$D$2:$E$1996,2,0),"")</f>
        <v/>
      </c>
    </row>
    <row r="1761" spans="2:14">
      <c r="B1761" s="32">
        <f>IF(ISNUMBER(SEARCH('Φόρμα Εισαγωγής'!$B$2,C1761)),MAX($B$1:B1760)+1,0)</f>
        <v>0</v>
      </c>
      <c r="D1761" s="33">
        <f>IF(ISNUMBER(SEARCH('Φόρμα Εισαγωγής'!$C$2,E1761)),MAX($D$1:D1760)+1,0)</f>
        <v>0</v>
      </c>
      <c r="H1761" s="6">
        <f t="shared" si="92"/>
        <v>0</v>
      </c>
      <c r="I1761" s="6">
        <f t="shared" si="93"/>
        <v>0</v>
      </c>
      <c r="J1761" s="6">
        <f t="shared" si="94"/>
        <v>0</v>
      </c>
      <c r="L1761" s="4" t="str">
        <f>IFERROR(VLOOKUP(ROWS($L$2:L1761),$B$2:$C$1996,2,0),"")</f>
        <v/>
      </c>
      <c r="N1761" s="2" t="str">
        <f>IFERROR(VLOOKUP(ROWS($N$2:N1761),$D$2:$E$1996,2,0),"")</f>
        <v/>
      </c>
    </row>
    <row r="1762" spans="2:14">
      <c r="B1762" s="32">
        <f>IF(ISNUMBER(SEARCH('Φόρμα Εισαγωγής'!$B$2,C1762)),MAX($B$1:B1761)+1,0)</f>
        <v>0</v>
      </c>
      <c r="D1762" s="33">
        <f>IF(ISNUMBER(SEARCH('Φόρμα Εισαγωγής'!$C$2,E1762)),MAX($D$1:D1761)+1,0)</f>
        <v>0</v>
      </c>
      <c r="H1762" s="6">
        <f t="shared" si="92"/>
        <v>0</v>
      </c>
      <c r="I1762" s="6">
        <f t="shared" si="93"/>
        <v>0</v>
      </c>
      <c r="J1762" s="6">
        <f t="shared" si="94"/>
        <v>0</v>
      </c>
      <c r="L1762" s="4" t="str">
        <f>IFERROR(VLOOKUP(ROWS($L$2:L1762),$B$2:$C$1996,2,0),"")</f>
        <v/>
      </c>
      <c r="N1762" s="2" t="str">
        <f>IFERROR(VLOOKUP(ROWS($N$2:N1762),$D$2:$E$1996,2,0),"")</f>
        <v/>
      </c>
    </row>
    <row r="1763" spans="2:14">
      <c r="B1763" s="32">
        <f>IF(ISNUMBER(SEARCH('Φόρμα Εισαγωγής'!$B$2,C1763)),MAX($B$1:B1762)+1,0)</f>
        <v>0</v>
      </c>
      <c r="D1763" s="33">
        <f>IF(ISNUMBER(SEARCH('Φόρμα Εισαγωγής'!$C$2,E1763)),MAX($D$1:D1762)+1,0)</f>
        <v>0</v>
      </c>
      <c r="H1763" s="6">
        <f t="shared" si="92"/>
        <v>0</v>
      </c>
      <c r="I1763" s="6">
        <f t="shared" si="93"/>
        <v>0</v>
      </c>
      <c r="J1763" s="6">
        <f t="shared" si="94"/>
        <v>0</v>
      </c>
      <c r="L1763" s="4" t="str">
        <f>IFERROR(VLOOKUP(ROWS($L$2:L1763),$B$2:$C$1996,2,0),"")</f>
        <v/>
      </c>
      <c r="N1763" s="2" t="str">
        <f>IFERROR(VLOOKUP(ROWS($N$2:N1763),$D$2:$E$1996,2,0),"")</f>
        <v/>
      </c>
    </row>
    <row r="1764" spans="2:14">
      <c r="B1764" s="32">
        <f>IF(ISNUMBER(SEARCH('Φόρμα Εισαγωγής'!$B$2,C1764)),MAX($B$1:B1763)+1,0)</f>
        <v>0</v>
      </c>
      <c r="D1764" s="33">
        <f>IF(ISNUMBER(SEARCH('Φόρμα Εισαγωγής'!$C$2,E1764)),MAX($D$1:D1763)+1,0)</f>
        <v>0</v>
      </c>
      <c r="H1764" s="6">
        <f t="shared" si="92"/>
        <v>0</v>
      </c>
      <c r="I1764" s="6">
        <f t="shared" si="93"/>
        <v>0</v>
      </c>
      <c r="J1764" s="6">
        <f t="shared" si="94"/>
        <v>0</v>
      </c>
      <c r="L1764" s="4" t="str">
        <f>IFERROR(VLOOKUP(ROWS($L$2:L1764),$B$2:$C$1996,2,0),"")</f>
        <v/>
      </c>
      <c r="N1764" s="2" t="str">
        <f>IFERROR(VLOOKUP(ROWS($N$2:N1764),$D$2:$E$1996,2,0),"")</f>
        <v/>
      </c>
    </row>
    <row r="1765" spans="2:14">
      <c r="B1765" s="32">
        <f>IF(ISNUMBER(SEARCH('Φόρμα Εισαγωγής'!$B$2,C1765)),MAX($B$1:B1764)+1,0)</f>
        <v>0</v>
      </c>
      <c r="D1765" s="33">
        <f>IF(ISNUMBER(SEARCH('Φόρμα Εισαγωγής'!$C$2,E1765)),MAX($D$1:D1764)+1,0)</f>
        <v>0</v>
      </c>
      <c r="H1765" s="6">
        <f t="shared" si="92"/>
        <v>0</v>
      </c>
      <c r="I1765" s="6">
        <f t="shared" si="93"/>
        <v>0</v>
      </c>
      <c r="J1765" s="6">
        <f t="shared" si="94"/>
        <v>0</v>
      </c>
      <c r="L1765" s="4" t="str">
        <f>IFERROR(VLOOKUP(ROWS($L$2:L1765),$B$2:$C$1996,2,0),"")</f>
        <v/>
      </c>
      <c r="N1765" s="2" t="str">
        <f>IFERROR(VLOOKUP(ROWS($N$2:N1765),$D$2:$E$1996,2,0),"")</f>
        <v/>
      </c>
    </row>
    <row r="1766" spans="2:14">
      <c r="B1766" s="32">
        <f>IF(ISNUMBER(SEARCH('Φόρμα Εισαγωγής'!$B$2,C1766)),MAX($B$1:B1765)+1,0)</f>
        <v>0</v>
      </c>
      <c r="D1766" s="33">
        <f>IF(ISNUMBER(SEARCH('Φόρμα Εισαγωγής'!$C$2,E1766)),MAX($D$1:D1765)+1,0)</f>
        <v>0</v>
      </c>
      <c r="H1766" s="6">
        <f t="shared" si="92"/>
        <v>0</v>
      </c>
      <c r="I1766" s="6">
        <f t="shared" si="93"/>
        <v>0</v>
      </c>
      <c r="J1766" s="6">
        <f t="shared" si="94"/>
        <v>0</v>
      </c>
      <c r="L1766" s="4" t="str">
        <f>IFERROR(VLOOKUP(ROWS($L$2:L1766),$B$2:$C$1996,2,0),"")</f>
        <v/>
      </c>
      <c r="N1766" s="2" t="str">
        <f>IFERROR(VLOOKUP(ROWS($N$2:N1766),$D$2:$E$1996,2,0),"")</f>
        <v/>
      </c>
    </row>
    <row r="1767" spans="2:14">
      <c r="B1767" s="32">
        <f>IF(ISNUMBER(SEARCH('Φόρμα Εισαγωγής'!$B$2,C1767)),MAX($B$1:B1766)+1,0)</f>
        <v>0</v>
      </c>
      <c r="D1767" s="33">
        <f>IF(ISNUMBER(SEARCH('Φόρμα Εισαγωγής'!$C$2,E1767)),MAX($D$1:D1766)+1,0)</f>
        <v>0</v>
      </c>
      <c r="H1767" s="6">
        <f t="shared" si="92"/>
        <v>0</v>
      </c>
      <c r="I1767" s="6">
        <f t="shared" si="93"/>
        <v>0</v>
      </c>
      <c r="J1767" s="6">
        <f t="shared" si="94"/>
        <v>0</v>
      </c>
      <c r="L1767" s="4" t="str">
        <f>IFERROR(VLOOKUP(ROWS($L$2:L1767),$B$2:$C$1996,2,0),"")</f>
        <v/>
      </c>
      <c r="N1767" s="2" t="str">
        <f>IFERROR(VLOOKUP(ROWS($N$2:N1767),$D$2:$E$1996,2,0),"")</f>
        <v/>
      </c>
    </row>
    <row r="1768" spans="2:14">
      <c r="B1768" s="32">
        <f>IF(ISNUMBER(SEARCH('Φόρμα Εισαγωγής'!$B$2,C1768)),MAX($B$1:B1767)+1,0)</f>
        <v>0</v>
      </c>
      <c r="D1768" s="33">
        <f>IF(ISNUMBER(SEARCH('Φόρμα Εισαγωγής'!$C$2,E1768)),MAX($D$1:D1767)+1,0)</f>
        <v>0</v>
      </c>
      <c r="H1768" s="6">
        <f t="shared" si="92"/>
        <v>0</v>
      </c>
      <c r="I1768" s="6">
        <f t="shared" si="93"/>
        <v>0</v>
      </c>
      <c r="J1768" s="6">
        <f t="shared" si="94"/>
        <v>0</v>
      </c>
      <c r="L1768" s="4" t="str">
        <f>IFERROR(VLOOKUP(ROWS($L$2:L1768),$B$2:$C$1996,2,0),"")</f>
        <v/>
      </c>
      <c r="N1768" s="2" t="str">
        <f>IFERROR(VLOOKUP(ROWS($N$2:N1768),$D$2:$E$1996,2,0),"")</f>
        <v/>
      </c>
    </row>
    <row r="1769" spans="2:14">
      <c r="B1769" s="32">
        <f>IF(ISNUMBER(SEARCH('Φόρμα Εισαγωγής'!$B$2,C1769)),MAX($B$1:B1768)+1,0)</f>
        <v>0</v>
      </c>
      <c r="D1769" s="33">
        <f>IF(ISNUMBER(SEARCH('Φόρμα Εισαγωγής'!$C$2,E1769)),MAX($D$1:D1768)+1,0)</f>
        <v>0</v>
      </c>
      <c r="H1769" s="6">
        <f t="shared" si="92"/>
        <v>0</v>
      </c>
      <c r="I1769" s="6">
        <f t="shared" si="93"/>
        <v>0</v>
      </c>
      <c r="J1769" s="6">
        <f t="shared" si="94"/>
        <v>0</v>
      </c>
      <c r="L1769" s="4" t="str">
        <f>IFERROR(VLOOKUP(ROWS($L$2:L1769),$B$2:$C$1996,2,0),"")</f>
        <v/>
      </c>
      <c r="N1769" s="2" t="str">
        <f>IFERROR(VLOOKUP(ROWS($N$2:N1769),$D$2:$E$1996,2,0),"")</f>
        <v/>
      </c>
    </row>
    <row r="1770" spans="2:14">
      <c r="B1770" s="32">
        <f>IF(ISNUMBER(SEARCH('Φόρμα Εισαγωγής'!$B$2,C1770)),MAX($B$1:B1769)+1,0)</f>
        <v>0</v>
      </c>
      <c r="D1770" s="33">
        <f>IF(ISNUMBER(SEARCH('Φόρμα Εισαγωγής'!$C$2,E1770)),MAX($D$1:D1769)+1,0)</f>
        <v>0</v>
      </c>
      <c r="H1770" s="6">
        <f t="shared" si="92"/>
        <v>0</v>
      </c>
      <c r="I1770" s="6">
        <f t="shared" si="93"/>
        <v>0</v>
      </c>
      <c r="J1770" s="6">
        <f t="shared" si="94"/>
        <v>0</v>
      </c>
      <c r="L1770" s="4" t="str">
        <f>IFERROR(VLOOKUP(ROWS($L$2:L1770),$B$2:$C$1996,2,0),"")</f>
        <v/>
      </c>
      <c r="N1770" s="2" t="str">
        <f>IFERROR(VLOOKUP(ROWS($N$2:N1770),$D$2:$E$1996,2,0),"")</f>
        <v/>
      </c>
    </row>
    <row r="1771" spans="2:14">
      <c r="B1771" s="32">
        <f>IF(ISNUMBER(SEARCH('Φόρμα Εισαγωγής'!$B$2,C1771)),MAX($B$1:B1770)+1,0)</f>
        <v>0</v>
      </c>
      <c r="D1771" s="33">
        <f>IF(ISNUMBER(SEARCH('Φόρμα Εισαγωγής'!$C$2,E1771)),MAX($D$1:D1770)+1,0)</f>
        <v>0</v>
      </c>
      <c r="H1771" s="6">
        <f t="shared" si="92"/>
        <v>0</v>
      </c>
      <c r="I1771" s="6">
        <f t="shared" si="93"/>
        <v>0</v>
      </c>
      <c r="J1771" s="6">
        <f t="shared" si="94"/>
        <v>0</v>
      </c>
      <c r="L1771" s="4" t="str">
        <f>IFERROR(VLOOKUP(ROWS($L$2:L1771),$B$2:$C$1996,2,0),"")</f>
        <v/>
      </c>
      <c r="N1771" s="2" t="str">
        <f>IFERROR(VLOOKUP(ROWS($N$2:N1771),$D$2:$E$1996,2,0),"")</f>
        <v/>
      </c>
    </row>
    <row r="1772" spans="2:14">
      <c r="B1772" s="32">
        <f>IF(ISNUMBER(SEARCH('Φόρμα Εισαγωγής'!$B$2,C1772)),MAX($B$1:B1771)+1,0)</f>
        <v>0</v>
      </c>
      <c r="D1772" s="33">
        <f>IF(ISNUMBER(SEARCH('Φόρμα Εισαγωγής'!$C$2,E1772)),MAX($D$1:D1771)+1,0)</f>
        <v>0</v>
      </c>
      <c r="H1772" s="6">
        <f t="shared" si="92"/>
        <v>0</v>
      </c>
      <c r="I1772" s="6">
        <f t="shared" si="93"/>
        <v>0</v>
      </c>
      <c r="J1772" s="6">
        <f t="shared" si="94"/>
        <v>0</v>
      </c>
      <c r="L1772" s="4" t="str">
        <f>IFERROR(VLOOKUP(ROWS($L$2:L1772),$B$2:$C$1996,2,0),"")</f>
        <v/>
      </c>
      <c r="N1772" s="2" t="str">
        <f>IFERROR(VLOOKUP(ROWS($N$2:N1772),$D$2:$E$1996,2,0),"")</f>
        <v/>
      </c>
    </row>
    <row r="1773" spans="2:14">
      <c r="B1773" s="32">
        <f>IF(ISNUMBER(SEARCH('Φόρμα Εισαγωγής'!$B$2,C1773)),MAX($B$1:B1772)+1,0)</f>
        <v>0</v>
      </c>
      <c r="D1773" s="33">
        <f>IF(ISNUMBER(SEARCH('Φόρμα Εισαγωγής'!$C$2,E1773)),MAX($D$1:D1772)+1,0)</f>
        <v>0</v>
      </c>
      <c r="H1773" s="6">
        <f t="shared" si="92"/>
        <v>0</v>
      </c>
      <c r="I1773" s="6">
        <f t="shared" si="93"/>
        <v>0</v>
      </c>
      <c r="J1773" s="6">
        <f t="shared" si="94"/>
        <v>0</v>
      </c>
      <c r="L1773" s="4" t="str">
        <f>IFERROR(VLOOKUP(ROWS($L$2:L1773),$B$2:$C$1996,2,0),"")</f>
        <v/>
      </c>
      <c r="N1773" s="2" t="str">
        <f>IFERROR(VLOOKUP(ROWS($N$2:N1773),$D$2:$E$1996,2,0),"")</f>
        <v/>
      </c>
    </row>
    <row r="1774" spans="2:14">
      <c r="B1774" s="32">
        <f>IF(ISNUMBER(SEARCH('Φόρμα Εισαγωγής'!$B$2,C1774)),MAX($B$1:B1773)+1,0)</f>
        <v>0</v>
      </c>
      <c r="D1774" s="33">
        <f>IF(ISNUMBER(SEARCH('Φόρμα Εισαγωγής'!$C$2,E1774)),MAX($D$1:D1773)+1,0)</f>
        <v>0</v>
      </c>
      <c r="H1774" s="6">
        <f t="shared" si="92"/>
        <v>0</v>
      </c>
      <c r="I1774" s="6">
        <f t="shared" si="93"/>
        <v>0</v>
      </c>
      <c r="J1774" s="6">
        <f t="shared" si="94"/>
        <v>0</v>
      </c>
      <c r="L1774" s="4" t="str">
        <f>IFERROR(VLOOKUP(ROWS($L$2:L1774),$B$2:$C$1996,2,0),"")</f>
        <v/>
      </c>
      <c r="N1774" s="2" t="str">
        <f>IFERROR(VLOOKUP(ROWS($N$2:N1774),$D$2:$E$1996,2,0),"")</f>
        <v/>
      </c>
    </row>
    <row r="1775" spans="2:14">
      <c r="B1775" s="32">
        <f>IF(ISNUMBER(SEARCH('Φόρμα Εισαγωγής'!$B$2,C1775)),MAX($B$1:B1774)+1,0)</f>
        <v>0</v>
      </c>
      <c r="D1775" s="33">
        <f>IF(ISNUMBER(SEARCH('Φόρμα Εισαγωγής'!$C$2,E1775)),MAX($D$1:D1774)+1,0)</f>
        <v>0</v>
      </c>
      <c r="H1775" s="6">
        <f t="shared" si="92"/>
        <v>0</v>
      </c>
      <c r="I1775" s="6">
        <f t="shared" si="93"/>
        <v>0</v>
      </c>
      <c r="J1775" s="6">
        <f t="shared" si="94"/>
        <v>0</v>
      </c>
      <c r="L1775" s="4" t="str">
        <f>IFERROR(VLOOKUP(ROWS($L$2:L1775),$B$2:$C$1996,2,0),"")</f>
        <v/>
      </c>
      <c r="N1775" s="2" t="str">
        <f>IFERROR(VLOOKUP(ROWS($N$2:N1775),$D$2:$E$1996,2,0),"")</f>
        <v/>
      </c>
    </row>
    <row r="1776" spans="2:14">
      <c r="B1776" s="32">
        <f>IF(ISNUMBER(SEARCH('Φόρμα Εισαγωγής'!$B$2,C1776)),MAX($B$1:B1775)+1,0)</f>
        <v>0</v>
      </c>
      <c r="D1776" s="33">
        <f>IF(ISNUMBER(SEARCH('Φόρμα Εισαγωγής'!$C$2,E1776)),MAX($D$1:D1775)+1,0)</f>
        <v>0</v>
      </c>
      <c r="H1776" s="6">
        <f t="shared" si="92"/>
        <v>0</v>
      </c>
      <c r="I1776" s="6">
        <f t="shared" si="93"/>
        <v>0</v>
      </c>
      <c r="J1776" s="6">
        <f t="shared" si="94"/>
        <v>0</v>
      </c>
      <c r="L1776" s="4" t="str">
        <f>IFERROR(VLOOKUP(ROWS($L$2:L1776),$B$2:$C$1996,2,0),"")</f>
        <v/>
      </c>
      <c r="N1776" s="2" t="str">
        <f>IFERROR(VLOOKUP(ROWS($N$2:N1776),$D$2:$E$1996,2,0),"")</f>
        <v/>
      </c>
    </row>
    <row r="1777" spans="2:14">
      <c r="B1777" s="32">
        <f>IF(ISNUMBER(SEARCH('Φόρμα Εισαγωγής'!$B$2,C1777)),MAX($B$1:B1776)+1,0)</f>
        <v>0</v>
      </c>
      <c r="D1777" s="33">
        <f>IF(ISNUMBER(SEARCH('Φόρμα Εισαγωγής'!$C$2,E1777)),MAX($D$1:D1776)+1,0)</f>
        <v>0</v>
      </c>
      <c r="H1777" s="6">
        <f t="shared" si="92"/>
        <v>0</v>
      </c>
      <c r="I1777" s="6">
        <f t="shared" si="93"/>
        <v>0</v>
      </c>
      <c r="J1777" s="6">
        <f t="shared" si="94"/>
        <v>0</v>
      </c>
      <c r="L1777" s="4" t="str">
        <f>IFERROR(VLOOKUP(ROWS($L$2:L1777),$B$2:$C$1996,2,0),"")</f>
        <v/>
      </c>
      <c r="N1777" s="2" t="str">
        <f>IFERROR(VLOOKUP(ROWS($N$2:N1777),$D$2:$E$1996,2,0),"")</f>
        <v/>
      </c>
    </row>
    <row r="1778" spans="2:14">
      <c r="B1778" s="32">
        <f>IF(ISNUMBER(SEARCH('Φόρμα Εισαγωγής'!$B$2,C1778)),MAX($B$1:B1777)+1,0)</f>
        <v>0</v>
      </c>
      <c r="D1778" s="33">
        <f>IF(ISNUMBER(SEARCH('Φόρμα Εισαγωγής'!$C$2,E1778)),MAX($D$1:D1777)+1,0)</f>
        <v>0</v>
      </c>
      <c r="H1778" s="6">
        <f t="shared" si="92"/>
        <v>0</v>
      </c>
      <c r="I1778" s="6">
        <f t="shared" si="93"/>
        <v>0</v>
      </c>
      <c r="J1778" s="6">
        <f t="shared" si="94"/>
        <v>0</v>
      </c>
      <c r="L1778" s="4" t="str">
        <f>IFERROR(VLOOKUP(ROWS($L$2:L1778),$B$2:$C$1996,2,0),"")</f>
        <v/>
      </c>
      <c r="N1778" s="2" t="str">
        <f>IFERROR(VLOOKUP(ROWS($N$2:N1778),$D$2:$E$1996,2,0),"")</f>
        <v/>
      </c>
    </row>
    <row r="1779" spans="2:14">
      <c r="B1779" s="32">
        <f>IF(ISNUMBER(SEARCH('Φόρμα Εισαγωγής'!$B$2,C1779)),MAX($B$1:B1778)+1,0)</f>
        <v>0</v>
      </c>
      <c r="D1779" s="33">
        <f>IF(ISNUMBER(SEARCH('Φόρμα Εισαγωγής'!$C$2,E1779)),MAX($D$1:D1778)+1,0)</f>
        <v>0</v>
      </c>
      <c r="H1779" s="6">
        <f t="shared" si="92"/>
        <v>0</v>
      </c>
      <c r="I1779" s="6">
        <f t="shared" si="93"/>
        <v>0</v>
      </c>
      <c r="J1779" s="6">
        <f t="shared" si="94"/>
        <v>0</v>
      </c>
      <c r="L1779" s="4" t="str">
        <f>IFERROR(VLOOKUP(ROWS($L$2:L1779),$B$2:$C$1996,2,0),"")</f>
        <v/>
      </c>
      <c r="N1779" s="2" t="str">
        <f>IFERROR(VLOOKUP(ROWS($N$2:N1779),$D$2:$E$1996,2,0),"")</f>
        <v/>
      </c>
    </row>
    <row r="1780" spans="2:14">
      <c r="B1780" s="32">
        <f>IF(ISNUMBER(SEARCH('Φόρμα Εισαγωγής'!$B$2,C1780)),MAX($B$1:B1779)+1,0)</f>
        <v>0</v>
      </c>
      <c r="D1780" s="33">
        <f>IF(ISNUMBER(SEARCH('Φόρμα Εισαγωγής'!$C$2,E1780)),MAX($D$1:D1779)+1,0)</f>
        <v>0</v>
      </c>
      <c r="H1780" s="6">
        <f t="shared" si="92"/>
        <v>0</v>
      </c>
      <c r="I1780" s="6">
        <f t="shared" si="93"/>
        <v>0</v>
      </c>
      <c r="J1780" s="6">
        <f t="shared" si="94"/>
        <v>0</v>
      </c>
      <c r="L1780" s="4" t="str">
        <f>IFERROR(VLOOKUP(ROWS($L$2:L1780),$B$2:$C$1996,2,0),"")</f>
        <v/>
      </c>
      <c r="N1780" s="2" t="str">
        <f>IFERROR(VLOOKUP(ROWS($N$2:N1780),$D$2:$E$1996,2,0),"")</f>
        <v/>
      </c>
    </row>
    <row r="1781" spans="2:14">
      <c r="B1781" s="32">
        <f>IF(ISNUMBER(SEARCH('Φόρμα Εισαγωγής'!$B$2,C1781)),MAX($B$1:B1780)+1,0)</f>
        <v>0</v>
      </c>
      <c r="D1781" s="33">
        <f>IF(ISNUMBER(SEARCH('Φόρμα Εισαγωγής'!$C$2,E1781)),MAX($D$1:D1780)+1,0)</f>
        <v>0</v>
      </c>
      <c r="H1781" s="6">
        <f t="shared" si="92"/>
        <v>0</v>
      </c>
      <c r="I1781" s="6">
        <f t="shared" si="93"/>
        <v>0</v>
      </c>
      <c r="J1781" s="6">
        <f t="shared" si="94"/>
        <v>0</v>
      </c>
      <c r="L1781" s="4" t="str">
        <f>IFERROR(VLOOKUP(ROWS($L$2:L1781),$B$2:$C$1996,2,0),"")</f>
        <v/>
      </c>
      <c r="N1781" s="2" t="str">
        <f>IFERROR(VLOOKUP(ROWS($N$2:N1781),$D$2:$E$1996,2,0),"")</f>
        <v/>
      </c>
    </row>
    <row r="1782" spans="2:14">
      <c r="B1782" s="32">
        <f>IF(ISNUMBER(SEARCH('Φόρμα Εισαγωγής'!$B$2,C1782)),MAX($B$1:B1781)+1,0)</f>
        <v>0</v>
      </c>
      <c r="D1782" s="33">
        <f>IF(ISNUMBER(SEARCH('Φόρμα Εισαγωγής'!$C$2,E1782)),MAX($D$1:D1781)+1,0)</f>
        <v>0</v>
      </c>
      <c r="H1782" s="6">
        <f t="shared" si="92"/>
        <v>0</v>
      </c>
      <c r="I1782" s="6">
        <f t="shared" si="93"/>
        <v>0</v>
      </c>
      <c r="J1782" s="6">
        <f t="shared" si="94"/>
        <v>0</v>
      </c>
      <c r="L1782" s="4" t="str">
        <f>IFERROR(VLOOKUP(ROWS($L$2:L1782),$B$2:$C$1996,2,0),"")</f>
        <v/>
      </c>
      <c r="N1782" s="2" t="str">
        <f>IFERROR(VLOOKUP(ROWS($N$2:N1782),$D$2:$E$1996,2,0),"")</f>
        <v/>
      </c>
    </row>
    <row r="1783" spans="2:14">
      <c r="B1783" s="32">
        <f>IF(ISNUMBER(SEARCH('Φόρμα Εισαγωγής'!$B$2,C1783)),MAX($B$1:B1782)+1,0)</f>
        <v>0</v>
      </c>
      <c r="D1783" s="33">
        <f>IF(ISNUMBER(SEARCH('Φόρμα Εισαγωγής'!$C$2,E1783)),MAX($D$1:D1782)+1,0)</f>
        <v>0</v>
      </c>
      <c r="H1783" s="6">
        <f t="shared" si="92"/>
        <v>0</v>
      </c>
      <c r="I1783" s="6">
        <f t="shared" si="93"/>
        <v>0</v>
      </c>
      <c r="J1783" s="6">
        <f t="shared" si="94"/>
        <v>0</v>
      </c>
      <c r="L1783" s="4" t="str">
        <f>IFERROR(VLOOKUP(ROWS($L$2:L1783),$B$2:$C$1996,2,0),"")</f>
        <v/>
      </c>
      <c r="N1783" s="2" t="str">
        <f>IFERROR(VLOOKUP(ROWS($N$2:N1783),$D$2:$E$1996,2,0),"")</f>
        <v/>
      </c>
    </row>
    <row r="1784" spans="2:14">
      <c r="B1784" s="32">
        <f>IF(ISNUMBER(SEARCH('Φόρμα Εισαγωγής'!$B$2,C1784)),MAX($B$1:B1783)+1,0)</f>
        <v>0</v>
      </c>
      <c r="D1784" s="33">
        <f>IF(ISNUMBER(SEARCH('Φόρμα Εισαγωγής'!$C$2,E1784)),MAX($D$1:D1783)+1,0)</f>
        <v>0</v>
      </c>
      <c r="H1784" s="6">
        <f t="shared" si="92"/>
        <v>0</v>
      </c>
      <c r="I1784" s="6">
        <f t="shared" si="93"/>
        <v>0</v>
      </c>
      <c r="J1784" s="6">
        <f t="shared" si="94"/>
        <v>0</v>
      </c>
      <c r="L1784" s="4" t="str">
        <f>IFERROR(VLOOKUP(ROWS($L$2:L1784),$B$2:$C$1996,2,0),"")</f>
        <v/>
      </c>
      <c r="N1784" s="2" t="str">
        <f>IFERROR(VLOOKUP(ROWS($N$2:N1784),$D$2:$E$1996,2,0),"")</f>
        <v/>
      </c>
    </row>
    <row r="1785" spans="2:14">
      <c r="B1785" s="32">
        <f>IF(ISNUMBER(SEARCH('Φόρμα Εισαγωγής'!$B$2,C1785)),MAX($B$1:B1784)+1,0)</f>
        <v>0</v>
      </c>
      <c r="D1785" s="33">
        <f>IF(ISNUMBER(SEARCH('Φόρμα Εισαγωγής'!$C$2,E1785)),MAX($D$1:D1784)+1,0)</f>
        <v>0</v>
      </c>
      <c r="H1785" s="6">
        <f t="shared" si="92"/>
        <v>0</v>
      </c>
      <c r="I1785" s="6">
        <f t="shared" si="93"/>
        <v>0</v>
      </c>
      <c r="J1785" s="6">
        <f t="shared" si="94"/>
        <v>0</v>
      </c>
      <c r="L1785" s="4" t="str">
        <f>IFERROR(VLOOKUP(ROWS($L$2:L1785),$B$2:$C$1996,2,0),"")</f>
        <v/>
      </c>
      <c r="N1785" s="2" t="str">
        <f>IFERROR(VLOOKUP(ROWS($N$2:N1785),$D$2:$E$1996,2,0),"")</f>
        <v/>
      </c>
    </row>
    <row r="1786" spans="2:14">
      <c r="B1786" s="32">
        <f>IF(ISNUMBER(SEARCH('Φόρμα Εισαγωγής'!$B$2,C1786)),MAX($B$1:B1785)+1,0)</f>
        <v>0</v>
      </c>
      <c r="D1786" s="33">
        <f>IF(ISNUMBER(SEARCH('Φόρμα Εισαγωγής'!$C$2,E1786)),MAX($D$1:D1785)+1,0)</f>
        <v>0</v>
      </c>
      <c r="H1786" s="6">
        <f t="shared" si="92"/>
        <v>0</v>
      </c>
      <c r="I1786" s="6">
        <f t="shared" si="93"/>
        <v>0</v>
      </c>
      <c r="J1786" s="6">
        <f t="shared" si="94"/>
        <v>0</v>
      </c>
      <c r="L1786" s="4" t="str">
        <f>IFERROR(VLOOKUP(ROWS($L$2:L1786),$B$2:$C$1996,2,0),"")</f>
        <v/>
      </c>
      <c r="N1786" s="2" t="str">
        <f>IFERROR(VLOOKUP(ROWS($N$2:N1786),$D$2:$E$1996,2,0),"")</f>
        <v/>
      </c>
    </row>
    <row r="1787" spans="2:14">
      <c r="B1787" s="32">
        <f>IF(ISNUMBER(SEARCH('Φόρμα Εισαγωγής'!$B$2,C1787)),MAX($B$1:B1786)+1,0)</f>
        <v>0</v>
      </c>
      <c r="D1787" s="33">
        <f>IF(ISNUMBER(SEARCH('Φόρμα Εισαγωγής'!$C$2,E1787)),MAX($D$1:D1786)+1,0)</f>
        <v>0</v>
      </c>
      <c r="H1787" s="6">
        <f t="shared" si="92"/>
        <v>0</v>
      </c>
      <c r="I1787" s="6">
        <f t="shared" si="93"/>
        <v>0</v>
      </c>
      <c r="J1787" s="6">
        <f t="shared" si="94"/>
        <v>0</v>
      </c>
      <c r="L1787" s="4" t="str">
        <f>IFERROR(VLOOKUP(ROWS($L$2:L1787),$B$2:$C$1996,2,0),"")</f>
        <v/>
      </c>
      <c r="N1787" s="2" t="str">
        <f>IFERROR(VLOOKUP(ROWS($N$2:N1787),$D$2:$E$1996,2,0),"")</f>
        <v/>
      </c>
    </row>
    <row r="1788" spans="2:14">
      <c r="B1788" s="32">
        <f>IF(ISNUMBER(SEARCH('Φόρμα Εισαγωγής'!$B$2,C1788)),MAX($B$1:B1787)+1,0)</f>
        <v>0</v>
      </c>
      <c r="D1788" s="33">
        <f>IF(ISNUMBER(SEARCH('Φόρμα Εισαγωγής'!$C$2,E1788)),MAX($D$1:D1787)+1,0)</f>
        <v>0</v>
      </c>
      <c r="H1788" s="6">
        <f t="shared" si="92"/>
        <v>0</v>
      </c>
      <c r="I1788" s="6">
        <f t="shared" si="93"/>
        <v>0</v>
      </c>
      <c r="J1788" s="6">
        <f t="shared" si="94"/>
        <v>0</v>
      </c>
      <c r="L1788" s="4" t="str">
        <f>IFERROR(VLOOKUP(ROWS($L$2:L1788),$B$2:$C$1996,2,0),"")</f>
        <v/>
      </c>
      <c r="N1788" s="2" t="str">
        <f>IFERROR(VLOOKUP(ROWS($N$2:N1788),$D$2:$E$1996,2,0),"")</f>
        <v/>
      </c>
    </row>
    <row r="1789" spans="2:14">
      <c r="B1789" s="32">
        <f>IF(ISNUMBER(SEARCH('Φόρμα Εισαγωγής'!$B$2,C1789)),MAX($B$1:B1788)+1,0)</f>
        <v>0</v>
      </c>
      <c r="D1789" s="33">
        <f>IF(ISNUMBER(SEARCH('Φόρμα Εισαγωγής'!$C$2,E1789)),MAX($D$1:D1788)+1,0)</f>
        <v>0</v>
      </c>
      <c r="H1789" s="6">
        <f t="shared" si="92"/>
        <v>0</v>
      </c>
      <c r="I1789" s="6">
        <f t="shared" si="93"/>
        <v>0</v>
      </c>
      <c r="J1789" s="6">
        <f t="shared" si="94"/>
        <v>0</v>
      </c>
      <c r="L1789" s="4" t="str">
        <f>IFERROR(VLOOKUP(ROWS($L$2:L1789),$B$2:$C$1996,2,0),"")</f>
        <v/>
      </c>
      <c r="N1789" s="2" t="str">
        <f>IFERROR(VLOOKUP(ROWS($N$2:N1789),$D$2:$E$1996,2,0),"")</f>
        <v/>
      </c>
    </row>
    <row r="1790" spans="2:14">
      <c r="B1790" s="32">
        <f>IF(ISNUMBER(SEARCH('Φόρμα Εισαγωγής'!$B$2,C1790)),MAX($B$1:B1789)+1,0)</f>
        <v>0</v>
      </c>
      <c r="D1790" s="33">
        <f>IF(ISNUMBER(SEARCH('Φόρμα Εισαγωγής'!$C$2,E1790)),MAX($D$1:D1789)+1,0)</f>
        <v>0</v>
      </c>
      <c r="H1790" s="6">
        <f t="shared" si="92"/>
        <v>0</v>
      </c>
      <c r="I1790" s="6">
        <f t="shared" si="93"/>
        <v>0</v>
      </c>
      <c r="J1790" s="6">
        <f t="shared" si="94"/>
        <v>0</v>
      </c>
      <c r="L1790" s="4" t="str">
        <f>IFERROR(VLOOKUP(ROWS($L$2:L1790),$B$2:$C$1996,2,0),"")</f>
        <v/>
      </c>
      <c r="N1790" s="2" t="str">
        <f>IFERROR(VLOOKUP(ROWS($N$2:N1790),$D$2:$E$1996,2,0),"")</f>
        <v/>
      </c>
    </row>
    <row r="1791" spans="2:14">
      <c r="B1791" s="32">
        <f>IF(ISNUMBER(SEARCH('Φόρμα Εισαγωγής'!$B$2,C1791)),MAX($B$1:B1790)+1,0)</f>
        <v>0</v>
      </c>
      <c r="D1791" s="33">
        <f>IF(ISNUMBER(SEARCH('Φόρμα Εισαγωγής'!$C$2,E1791)),MAX($D$1:D1790)+1,0)</f>
        <v>0</v>
      </c>
      <c r="H1791" s="6">
        <f t="shared" si="92"/>
        <v>0</v>
      </c>
      <c r="I1791" s="6">
        <f t="shared" si="93"/>
        <v>0</v>
      </c>
      <c r="J1791" s="6">
        <f t="shared" si="94"/>
        <v>0</v>
      </c>
      <c r="L1791" s="4" t="str">
        <f>IFERROR(VLOOKUP(ROWS($L$2:L1791),$B$2:$C$1996,2,0),"")</f>
        <v/>
      </c>
      <c r="N1791" s="2" t="str">
        <f>IFERROR(VLOOKUP(ROWS($N$2:N1791),$D$2:$E$1996,2,0),"")</f>
        <v/>
      </c>
    </row>
    <row r="1792" spans="2:14">
      <c r="B1792" s="32">
        <f>IF(ISNUMBER(SEARCH('Φόρμα Εισαγωγής'!$B$2,C1792)),MAX($B$1:B1791)+1,0)</f>
        <v>0</v>
      </c>
      <c r="D1792" s="33">
        <f>IF(ISNUMBER(SEARCH('Φόρμα Εισαγωγής'!$C$2,E1792)),MAX($D$1:D1791)+1,0)</f>
        <v>0</v>
      </c>
      <c r="H1792" s="6">
        <f t="shared" ref="H1792:H1855" si="95">G1792+(G1792*0.24)</f>
        <v>0</v>
      </c>
      <c r="I1792" s="6">
        <f t="shared" ref="I1792:I1855" si="96">F1792*A1792</f>
        <v>0</v>
      </c>
      <c r="J1792" s="6">
        <f t="shared" ref="J1792:J1855" si="97">H1792*A1792</f>
        <v>0</v>
      </c>
      <c r="L1792" s="4" t="str">
        <f>IFERROR(VLOOKUP(ROWS($L$2:L1792),$B$2:$C$1996,2,0),"")</f>
        <v/>
      </c>
      <c r="N1792" s="2" t="str">
        <f>IFERROR(VLOOKUP(ROWS($N$2:N1792),$D$2:$E$1996,2,0),"")</f>
        <v/>
      </c>
    </row>
    <row r="1793" spans="2:14">
      <c r="B1793" s="32">
        <f>IF(ISNUMBER(SEARCH('Φόρμα Εισαγωγής'!$B$2,C1793)),MAX($B$1:B1792)+1,0)</f>
        <v>0</v>
      </c>
      <c r="D1793" s="33">
        <f>IF(ISNUMBER(SEARCH('Φόρμα Εισαγωγής'!$C$2,E1793)),MAX($D$1:D1792)+1,0)</f>
        <v>0</v>
      </c>
      <c r="H1793" s="6">
        <f t="shared" si="95"/>
        <v>0</v>
      </c>
      <c r="I1793" s="6">
        <f t="shared" si="96"/>
        <v>0</v>
      </c>
      <c r="J1793" s="6">
        <f t="shared" si="97"/>
        <v>0</v>
      </c>
      <c r="L1793" s="4" t="str">
        <f>IFERROR(VLOOKUP(ROWS($L$2:L1793),$B$2:$C$1996,2,0),"")</f>
        <v/>
      </c>
      <c r="N1793" s="2" t="str">
        <f>IFERROR(VLOOKUP(ROWS($N$2:N1793),$D$2:$E$1996,2,0),"")</f>
        <v/>
      </c>
    </row>
    <row r="1794" spans="2:14">
      <c r="B1794" s="32">
        <f>IF(ISNUMBER(SEARCH('Φόρμα Εισαγωγής'!$B$2,C1794)),MAX($B$1:B1793)+1,0)</f>
        <v>0</v>
      </c>
      <c r="D1794" s="33">
        <f>IF(ISNUMBER(SEARCH('Φόρμα Εισαγωγής'!$C$2,E1794)),MAX($D$1:D1793)+1,0)</f>
        <v>0</v>
      </c>
      <c r="H1794" s="6">
        <f t="shared" si="95"/>
        <v>0</v>
      </c>
      <c r="I1794" s="6">
        <f t="shared" si="96"/>
        <v>0</v>
      </c>
      <c r="J1794" s="6">
        <f t="shared" si="97"/>
        <v>0</v>
      </c>
      <c r="L1794" s="4" t="str">
        <f>IFERROR(VLOOKUP(ROWS($L$2:L1794),$B$2:$C$1996,2,0),"")</f>
        <v/>
      </c>
      <c r="N1794" s="2" t="str">
        <f>IFERROR(VLOOKUP(ROWS($N$2:N1794),$D$2:$E$1996,2,0),"")</f>
        <v/>
      </c>
    </row>
    <row r="1795" spans="2:14">
      <c r="B1795" s="32">
        <f>IF(ISNUMBER(SEARCH('Φόρμα Εισαγωγής'!$B$2,C1795)),MAX($B$1:B1794)+1,0)</f>
        <v>0</v>
      </c>
      <c r="D1795" s="33">
        <f>IF(ISNUMBER(SEARCH('Φόρμα Εισαγωγής'!$C$2,E1795)),MAX($D$1:D1794)+1,0)</f>
        <v>0</v>
      </c>
      <c r="H1795" s="6">
        <f t="shared" si="95"/>
        <v>0</v>
      </c>
      <c r="I1795" s="6">
        <f t="shared" si="96"/>
        <v>0</v>
      </c>
      <c r="J1795" s="6">
        <f t="shared" si="97"/>
        <v>0</v>
      </c>
      <c r="L1795" s="4" t="str">
        <f>IFERROR(VLOOKUP(ROWS($L$2:L1795),$B$2:$C$1996,2,0),"")</f>
        <v/>
      </c>
      <c r="N1795" s="2" t="str">
        <f>IFERROR(VLOOKUP(ROWS($N$2:N1795),$D$2:$E$1996,2,0),"")</f>
        <v/>
      </c>
    </row>
    <row r="1796" spans="2:14">
      <c r="B1796" s="32">
        <f>IF(ISNUMBER(SEARCH('Φόρμα Εισαγωγής'!$B$2,C1796)),MAX($B$1:B1795)+1,0)</f>
        <v>0</v>
      </c>
      <c r="D1796" s="33">
        <f>IF(ISNUMBER(SEARCH('Φόρμα Εισαγωγής'!$C$2,E1796)),MAX($D$1:D1795)+1,0)</f>
        <v>0</v>
      </c>
      <c r="H1796" s="6">
        <f t="shared" si="95"/>
        <v>0</v>
      </c>
      <c r="I1796" s="6">
        <f t="shared" si="96"/>
        <v>0</v>
      </c>
      <c r="J1796" s="6">
        <f t="shared" si="97"/>
        <v>0</v>
      </c>
      <c r="L1796" s="4" t="str">
        <f>IFERROR(VLOOKUP(ROWS($L$2:L1796),$B$2:$C$1996,2,0),"")</f>
        <v/>
      </c>
      <c r="N1796" s="2" t="str">
        <f>IFERROR(VLOOKUP(ROWS($N$2:N1796),$D$2:$E$1996,2,0),"")</f>
        <v/>
      </c>
    </row>
    <row r="1797" spans="2:14">
      <c r="B1797" s="32">
        <f>IF(ISNUMBER(SEARCH('Φόρμα Εισαγωγής'!$B$2,C1797)),MAX($B$1:B1796)+1,0)</f>
        <v>0</v>
      </c>
      <c r="D1797" s="33">
        <f>IF(ISNUMBER(SEARCH('Φόρμα Εισαγωγής'!$C$2,E1797)),MAX($D$1:D1796)+1,0)</f>
        <v>0</v>
      </c>
      <c r="H1797" s="6">
        <f t="shared" si="95"/>
        <v>0</v>
      </c>
      <c r="I1797" s="6">
        <f t="shared" si="96"/>
        <v>0</v>
      </c>
      <c r="J1797" s="6">
        <f t="shared" si="97"/>
        <v>0</v>
      </c>
      <c r="L1797" s="4" t="str">
        <f>IFERROR(VLOOKUP(ROWS($L$2:L1797),$B$2:$C$1996,2,0),"")</f>
        <v/>
      </c>
      <c r="N1797" s="2" t="str">
        <f>IFERROR(VLOOKUP(ROWS($N$2:N1797),$D$2:$E$1996,2,0),"")</f>
        <v/>
      </c>
    </row>
    <row r="1798" spans="2:14">
      <c r="B1798" s="32">
        <f>IF(ISNUMBER(SEARCH('Φόρμα Εισαγωγής'!$B$2,C1798)),MAX($B$1:B1797)+1,0)</f>
        <v>0</v>
      </c>
      <c r="D1798" s="33">
        <f>IF(ISNUMBER(SEARCH('Φόρμα Εισαγωγής'!$C$2,E1798)),MAX($D$1:D1797)+1,0)</f>
        <v>0</v>
      </c>
      <c r="H1798" s="6">
        <f t="shared" si="95"/>
        <v>0</v>
      </c>
      <c r="I1798" s="6">
        <f t="shared" si="96"/>
        <v>0</v>
      </c>
      <c r="J1798" s="6">
        <f t="shared" si="97"/>
        <v>0</v>
      </c>
      <c r="L1798" s="4" t="str">
        <f>IFERROR(VLOOKUP(ROWS($L$2:L1798),$B$2:$C$1996,2,0),"")</f>
        <v/>
      </c>
      <c r="N1798" s="2" t="str">
        <f>IFERROR(VLOOKUP(ROWS($N$2:N1798),$D$2:$E$1996,2,0),"")</f>
        <v/>
      </c>
    </row>
    <row r="1799" spans="2:14">
      <c r="B1799" s="32">
        <f>IF(ISNUMBER(SEARCH('Φόρμα Εισαγωγής'!$B$2,C1799)),MAX($B$1:B1798)+1,0)</f>
        <v>0</v>
      </c>
      <c r="D1799" s="33">
        <f>IF(ISNUMBER(SEARCH('Φόρμα Εισαγωγής'!$C$2,E1799)),MAX($D$1:D1798)+1,0)</f>
        <v>0</v>
      </c>
      <c r="H1799" s="6">
        <f t="shared" si="95"/>
        <v>0</v>
      </c>
      <c r="I1799" s="6">
        <f t="shared" si="96"/>
        <v>0</v>
      </c>
      <c r="J1799" s="6">
        <f t="shared" si="97"/>
        <v>0</v>
      </c>
      <c r="L1799" s="4" t="str">
        <f>IFERROR(VLOOKUP(ROWS($L$2:L1799),$B$2:$C$1996,2,0),"")</f>
        <v/>
      </c>
      <c r="N1799" s="2" t="str">
        <f>IFERROR(VLOOKUP(ROWS($N$2:N1799),$D$2:$E$1996,2,0),"")</f>
        <v/>
      </c>
    </row>
    <row r="1800" spans="2:14">
      <c r="B1800" s="32">
        <f>IF(ISNUMBER(SEARCH('Φόρμα Εισαγωγής'!$B$2,C1800)),MAX($B$1:B1799)+1,0)</f>
        <v>0</v>
      </c>
      <c r="D1800" s="33">
        <f>IF(ISNUMBER(SEARCH('Φόρμα Εισαγωγής'!$C$2,E1800)),MAX($D$1:D1799)+1,0)</f>
        <v>0</v>
      </c>
      <c r="H1800" s="6">
        <f t="shared" si="95"/>
        <v>0</v>
      </c>
      <c r="I1800" s="6">
        <f t="shared" si="96"/>
        <v>0</v>
      </c>
      <c r="J1800" s="6">
        <f t="shared" si="97"/>
        <v>0</v>
      </c>
      <c r="L1800" s="4" t="str">
        <f>IFERROR(VLOOKUP(ROWS($L$2:L1800),$B$2:$C$1996,2,0),"")</f>
        <v/>
      </c>
      <c r="N1800" s="2" t="str">
        <f>IFERROR(VLOOKUP(ROWS($N$2:N1800),$D$2:$E$1996,2,0),"")</f>
        <v/>
      </c>
    </row>
    <row r="1801" spans="2:14">
      <c r="B1801" s="32">
        <f>IF(ISNUMBER(SEARCH('Φόρμα Εισαγωγής'!$B$2,C1801)),MAX($B$1:B1800)+1,0)</f>
        <v>0</v>
      </c>
      <c r="D1801" s="33">
        <f>IF(ISNUMBER(SEARCH('Φόρμα Εισαγωγής'!$C$2,E1801)),MAX($D$1:D1800)+1,0)</f>
        <v>0</v>
      </c>
      <c r="H1801" s="6">
        <f t="shared" si="95"/>
        <v>0</v>
      </c>
      <c r="I1801" s="6">
        <f t="shared" si="96"/>
        <v>0</v>
      </c>
      <c r="J1801" s="6">
        <f t="shared" si="97"/>
        <v>0</v>
      </c>
      <c r="L1801" s="4" t="str">
        <f>IFERROR(VLOOKUP(ROWS($L$2:L1801),$B$2:$C$1996,2,0),"")</f>
        <v/>
      </c>
      <c r="N1801" s="2" t="str">
        <f>IFERROR(VLOOKUP(ROWS($N$2:N1801),$D$2:$E$1996,2,0),"")</f>
        <v/>
      </c>
    </row>
    <row r="1802" spans="2:14">
      <c r="B1802" s="32">
        <f>IF(ISNUMBER(SEARCH('Φόρμα Εισαγωγής'!$B$2,C1802)),MAX($B$1:B1801)+1,0)</f>
        <v>0</v>
      </c>
      <c r="D1802" s="33">
        <f>IF(ISNUMBER(SEARCH('Φόρμα Εισαγωγής'!$C$2,E1802)),MAX($D$1:D1801)+1,0)</f>
        <v>0</v>
      </c>
      <c r="H1802" s="6">
        <f t="shared" si="95"/>
        <v>0</v>
      </c>
      <c r="I1802" s="6">
        <f t="shared" si="96"/>
        <v>0</v>
      </c>
      <c r="J1802" s="6">
        <f t="shared" si="97"/>
        <v>0</v>
      </c>
      <c r="L1802" s="4" t="str">
        <f>IFERROR(VLOOKUP(ROWS($L$2:L1802),$B$2:$C$1996,2,0),"")</f>
        <v/>
      </c>
      <c r="N1802" s="2" t="str">
        <f>IFERROR(VLOOKUP(ROWS($N$2:N1802),$D$2:$E$1996,2,0),"")</f>
        <v/>
      </c>
    </row>
    <row r="1803" spans="2:14">
      <c r="B1803" s="32">
        <f>IF(ISNUMBER(SEARCH('Φόρμα Εισαγωγής'!$B$2,C1803)),MAX($B$1:B1802)+1,0)</f>
        <v>0</v>
      </c>
      <c r="D1803" s="33">
        <f>IF(ISNUMBER(SEARCH('Φόρμα Εισαγωγής'!$C$2,E1803)),MAX($D$1:D1802)+1,0)</f>
        <v>0</v>
      </c>
      <c r="H1803" s="6">
        <f t="shared" si="95"/>
        <v>0</v>
      </c>
      <c r="I1803" s="6">
        <f t="shared" si="96"/>
        <v>0</v>
      </c>
      <c r="J1803" s="6">
        <f t="shared" si="97"/>
        <v>0</v>
      </c>
      <c r="L1803" s="4" t="str">
        <f>IFERROR(VLOOKUP(ROWS($L$2:L1803),$B$2:$C$1996,2,0),"")</f>
        <v/>
      </c>
      <c r="N1803" s="2" t="str">
        <f>IFERROR(VLOOKUP(ROWS($N$2:N1803),$D$2:$E$1996,2,0),"")</f>
        <v/>
      </c>
    </row>
    <row r="1804" spans="2:14">
      <c r="B1804" s="32">
        <f>IF(ISNUMBER(SEARCH('Φόρμα Εισαγωγής'!$B$2,C1804)),MAX($B$1:B1803)+1,0)</f>
        <v>0</v>
      </c>
      <c r="D1804" s="33">
        <f>IF(ISNUMBER(SEARCH('Φόρμα Εισαγωγής'!$C$2,E1804)),MAX($D$1:D1803)+1,0)</f>
        <v>0</v>
      </c>
      <c r="H1804" s="6">
        <f t="shared" si="95"/>
        <v>0</v>
      </c>
      <c r="I1804" s="6">
        <f t="shared" si="96"/>
        <v>0</v>
      </c>
      <c r="J1804" s="6">
        <f t="shared" si="97"/>
        <v>0</v>
      </c>
      <c r="L1804" s="4" t="str">
        <f>IFERROR(VLOOKUP(ROWS($L$2:L1804),$B$2:$C$1996,2,0),"")</f>
        <v/>
      </c>
      <c r="N1804" s="2" t="str">
        <f>IFERROR(VLOOKUP(ROWS($N$2:N1804),$D$2:$E$1996,2,0),"")</f>
        <v/>
      </c>
    </row>
    <row r="1805" spans="2:14">
      <c r="B1805" s="32">
        <f>IF(ISNUMBER(SEARCH('Φόρμα Εισαγωγής'!$B$2,C1805)),MAX($B$1:B1804)+1,0)</f>
        <v>0</v>
      </c>
      <c r="D1805" s="33">
        <f>IF(ISNUMBER(SEARCH('Φόρμα Εισαγωγής'!$C$2,E1805)),MAX($D$1:D1804)+1,0)</f>
        <v>0</v>
      </c>
      <c r="H1805" s="6">
        <f t="shared" si="95"/>
        <v>0</v>
      </c>
      <c r="I1805" s="6">
        <f t="shared" si="96"/>
        <v>0</v>
      </c>
      <c r="J1805" s="6">
        <f t="shared" si="97"/>
        <v>0</v>
      </c>
      <c r="L1805" s="4" t="str">
        <f>IFERROR(VLOOKUP(ROWS($L$2:L1805),$B$2:$C$1996,2,0),"")</f>
        <v/>
      </c>
      <c r="N1805" s="2" t="str">
        <f>IFERROR(VLOOKUP(ROWS($N$2:N1805),$D$2:$E$1996,2,0),"")</f>
        <v/>
      </c>
    </row>
    <row r="1806" spans="2:14">
      <c r="B1806" s="32">
        <f>IF(ISNUMBER(SEARCH('Φόρμα Εισαγωγής'!$B$2,C1806)),MAX($B$1:B1805)+1,0)</f>
        <v>0</v>
      </c>
      <c r="D1806" s="33">
        <f>IF(ISNUMBER(SEARCH('Φόρμα Εισαγωγής'!$C$2,E1806)),MAX($D$1:D1805)+1,0)</f>
        <v>0</v>
      </c>
      <c r="H1806" s="6">
        <f t="shared" si="95"/>
        <v>0</v>
      </c>
      <c r="I1806" s="6">
        <f t="shared" si="96"/>
        <v>0</v>
      </c>
      <c r="J1806" s="6">
        <f t="shared" si="97"/>
        <v>0</v>
      </c>
      <c r="L1806" s="4" t="str">
        <f>IFERROR(VLOOKUP(ROWS($L$2:L1806),$B$2:$C$1996,2,0),"")</f>
        <v/>
      </c>
      <c r="N1806" s="2" t="str">
        <f>IFERROR(VLOOKUP(ROWS($N$2:N1806),$D$2:$E$1996,2,0),"")</f>
        <v/>
      </c>
    </row>
    <row r="1807" spans="2:14">
      <c r="B1807" s="32">
        <f>IF(ISNUMBER(SEARCH('Φόρμα Εισαγωγής'!$B$2,C1807)),MAX($B$1:B1806)+1,0)</f>
        <v>0</v>
      </c>
      <c r="D1807" s="33">
        <f>IF(ISNUMBER(SEARCH('Φόρμα Εισαγωγής'!$C$2,E1807)),MAX($D$1:D1806)+1,0)</f>
        <v>0</v>
      </c>
      <c r="H1807" s="6">
        <f t="shared" si="95"/>
        <v>0</v>
      </c>
      <c r="I1807" s="6">
        <f t="shared" si="96"/>
        <v>0</v>
      </c>
      <c r="J1807" s="6">
        <f t="shared" si="97"/>
        <v>0</v>
      </c>
      <c r="L1807" s="4" t="str">
        <f>IFERROR(VLOOKUP(ROWS($L$2:L1807),$B$2:$C$1996,2,0),"")</f>
        <v/>
      </c>
      <c r="N1807" s="2" t="str">
        <f>IFERROR(VLOOKUP(ROWS($N$2:N1807),$D$2:$E$1996,2,0),"")</f>
        <v/>
      </c>
    </row>
    <row r="1808" spans="2:14">
      <c r="B1808" s="32">
        <f>IF(ISNUMBER(SEARCH('Φόρμα Εισαγωγής'!$B$2,C1808)),MAX($B$1:B1807)+1,0)</f>
        <v>0</v>
      </c>
      <c r="D1808" s="33">
        <f>IF(ISNUMBER(SEARCH('Φόρμα Εισαγωγής'!$C$2,E1808)),MAX($D$1:D1807)+1,0)</f>
        <v>0</v>
      </c>
      <c r="H1808" s="6">
        <f t="shared" si="95"/>
        <v>0</v>
      </c>
      <c r="I1808" s="6">
        <f t="shared" si="96"/>
        <v>0</v>
      </c>
      <c r="J1808" s="6">
        <f t="shared" si="97"/>
        <v>0</v>
      </c>
      <c r="L1808" s="4" t="str">
        <f>IFERROR(VLOOKUP(ROWS($L$2:L1808),$B$2:$C$1996,2,0),"")</f>
        <v/>
      </c>
      <c r="N1808" s="2" t="str">
        <f>IFERROR(VLOOKUP(ROWS($N$2:N1808),$D$2:$E$1996,2,0),"")</f>
        <v/>
      </c>
    </row>
    <row r="1809" spans="2:14">
      <c r="B1809" s="32">
        <f>IF(ISNUMBER(SEARCH('Φόρμα Εισαγωγής'!$B$2,C1809)),MAX($B$1:B1808)+1,0)</f>
        <v>0</v>
      </c>
      <c r="D1809" s="33">
        <f>IF(ISNUMBER(SEARCH('Φόρμα Εισαγωγής'!$C$2,E1809)),MAX($D$1:D1808)+1,0)</f>
        <v>0</v>
      </c>
      <c r="H1809" s="6">
        <f t="shared" si="95"/>
        <v>0</v>
      </c>
      <c r="I1809" s="6">
        <f t="shared" si="96"/>
        <v>0</v>
      </c>
      <c r="J1809" s="6">
        <f t="shared" si="97"/>
        <v>0</v>
      </c>
      <c r="L1809" s="4" t="str">
        <f>IFERROR(VLOOKUP(ROWS($L$2:L1809),$B$2:$C$1996,2,0),"")</f>
        <v/>
      </c>
      <c r="N1809" s="2" t="str">
        <f>IFERROR(VLOOKUP(ROWS($N$2:N1809),$D$2:$E$1996,2,0),"")</f>
        <v/>
      </c>
    </row>
    <row r="1810" spans="2:14">
      <c r="B1810" s="32">
        <f>IF(ISNUMBER(SEARCH('Φόρμα Εισαγωγής'!$B$2,C1810)),MAX($B$1:B1809)+1,0)</f>
        <v>0</v>
      </c>
      <c r="D1810" s="33">
        <f>IF(ISNUMBER(SEARCH('Φόρμα Εισαγωγής'!$C$2,E1810)),MAX($D$1:D1809)+1,0)</f>
        <v>0</v>
      </c>
      <c r="H1810" s="6">
        <f t="shared" si="95"/>
        <v>0</v>
      </c>
      <c r="I1810" s="6">
        <f t="shared" si="96"/>
        <v>0</v>
      </c>
      <c r="J1810" s="6">
        <f t="shared" si="97"/>
        <v>0</v>
      </c>
      <c r="L1810" s="4" t="str">
        <f>IFERROR(VLOOKUP(ROWS($L$2:L1810),$B$2:$C$1996,2,0),"")</f>
        <v/>
      </c>
      <c r="N1810" s="2" t="str">
        <f>IFERROR(VLOOKUP(ROWS($N$2:N1810),$D$2:$E$1996,2,0),"")</f>
        <v/>
      </c>
    </row>
    <row r="1811" spans="2:14">
      <c r="B1811" s="32">
        <f>IF(ISNUMBER(SEARCH('Φόρμα Εισαγωγής'!$B$2,C1811)),MAX($B$1:B1810)+1,0)</f>
        <v>0</v>
      </c>
      <c r="D1811" s="33">
        <f>IF(ISNUMBER(SEARCH('Φόρμα Εισαγωγής'!$C$2,E1811)),MAX($D$1:D1810)+1,0)</f>
        <v>0</v>
      </c>
      <c r="H1811" s="6">
        <f t="shared" si="95"/>
        <v>0</v>
      </c>
      <c r="I1811" s="6">
        <f t="shared" si="96"/>
        <v>0</v>
      </c>
      <c r="J1811" s="6">
        <f t="shared" si="97"/>
        <v>0</v>
      </c>
      <c r="L1811" s="4" t="str">
        <f>IFERROR(VLOOKUP(ROWS($L$2:L1811),$B$2:$C$1996,2,0),"")</f>
        <v/>
      </c>
      <c r="N1811" s="2" t="str">
        <f>IFERROR(VLOOKUP(ROWS($N$2:N1811),$D$2:$E$1996,2,0),"")</f>
        <v/>
      </c>
    </row>
    <row r="1812" spans="2:14">
      <c r="B1812" s="32">
        <f>IF(ISNUMBER(SEARCH('Φόρμα Εισαγωγής'!$B$2,C1812)),MAX($B$1:B1811)+1,0)</f>
        <v>0</v>
      </c>
      <c r="D1812" s="33">
        <f>IF(ISNUMBER(SEARCH('Φόρμα Εισαγωγής'!$C$2,E1812)),MAX($D$1:D1811)+1,0)</f>
        <v>0</v>
      </c>
      <c r="H1812" s="6">
        <f t="shared" si="95"/>
        <v>0</v>
      </c>
      <c r="I1812" s="6">
        <f t="shared" si="96"/>
        <v>0</v>
      </c>
      <c r="J1812" s="6">
        <f t="shared" si="97"/>
        <v>0</v>
      </c>
      <c r="L1812" s="4" t="str">
        <f>IFERROR(VLOOKUP(ROWS($L$2:L1812),$B$2:$C$1996,2,0),"")</f>
        <v/>
      </c>
      <c r="N1812" s="2" t="str">
        <f>IFERROR(VLOOKUP(ROWS($N$2:N1812),$D$2:$E$1996,2,0),"")</f>
        <v/>
      </c>
    </row>
    <row r="1813" spans="2:14">
      <c r="B1813" s="32">
        <f>IF(ISNUMBER(SEARCH('Φόρμα Εισαγωγής'!$B$2,C1813)),MAX($B$1:B1812)+1,0)</f>
        <v>0</v>
      </c>
      <c r="D1813" s="33">
        <f>IF(ISNUMBER(SEARCH('Φόρμα Εισαγωγής'!$C$2,E1813)),MAX($D$1:D1812)+1,0)</f>
        <v>0</v>
      </c>
      <c r="H1813" s="6">
        <f t="shared" si="95"/>
        <v>0</v>
      </c>
      <c r="I1813" s="6">
        <f t="shared" si="96"/>
        <v>0</v>
      </c>
      <c r="J1813" s="6">
        <f t="shared" si="97"/>
        <v>0</v>
      </c>
      <c r="L1813" s="4" t="str">
        <f>IFERROR(VLOOKUP(ROWS($L$2:L1813),$B$2:$C$1996,2,0),"")</f>
        <v/>
      </c>
      <c r="N1813" s="2" t="str">
        <f>IFERROR(VLOOKUP(ROWS($N$2:N1813),$D$2:$E$1996,2,0),"")</f>
        <v/>
      </c>
    </row>
    <row r="1814" spans="2:14">
      <c r="B1814" s="32">
        <f>IF(ISNUMBER(SEARCH('Φόρμα Εισαγωγής'!$B$2,C1814)),MAX($B$1:B1813)+1,0)</f>
        <v>0</v>
      </c>
      <c r="D1814" s="33">
        <f>IF(ISNUMBER(SEARCH('Φόρμα Εισαγωγής'!$C$2,E1814)),MAX($D$1:D1813)+1,0)</f>
        <v>0</v>
      </c>
      <c r="H1814" s="6">
        <f t="shared" si="95"/>
        <v>0</v>
      </c>
      <c r="I1814" s="6">
        <f t="shared" si="96"/>
        <v>0</v>
      </c>
      <c r="J1814" s="6">
        <f t="shared" si="97"/>
        <v>0</v>
      </c>
      <c r="L1814" s="4" t="str">
        <f>IFERROR(VLOOKUP(ROWS($L$2:L1814),$B$2:$C$1996,2,0),"")</f>
        <v/>
      </c>
      <c r="N1814" s="2" t="str">
        <f>IFERROR(VLOOKUP(ROWS($N$2:N1814),$D$2:$E$1996,2,0),"")</f>
        <v/>
      </c>
    </row>
    <row r="1815" spans="2:14">
      <c r="B1815" s="32">
        <f>IF(ISNUMBER(SEARCH('Φόρμα Εισαγωγής'!$B$2,C1815)),MAX($B$1:B1814)+1,0)</f>
        <v>0</v>
      </c>
      <c r="D1815" s="33">
        <f>IF(ISNUMBER(SEARCH('Φόρμα Εισαγωγής'!$C$2,E1815)),MAX($D$1:D1814)+1,0)</f>
        <v>0</v>
      </c>
      <c r="H1815" s="6">
        <f t="shared" si="95"/>
        <v>0</v>
      </c>
      <c r="I1815" s="6">
        <f t="shared" si="96"/>
        <v>0</v>
      </c>
      <c r="J1815" s="6">
        <f t="shared" si="97"/>
        <v>0</v>
      </c>
      <c r="L1815" s="4" t="str">
        <f>IFERROR(VLOOKUP(ROWS($L$2:L1815),$B$2:$C$1996,2,0),"")</f>
        <v/>
      </c>
      <c r="N1815" s="2" t="str">
        <f>IFERROR(VLOOKUP(ROWS($N$2:N1815),$D$2:$E$1996,2,0),"")</f>
        <v/>
      </c>
    </row>
    <row r="1816" spans="2:14">
      <c r="B1816" s="32">
        <f>IF(ISNUMBER(SEARCH('Φόρμα Εισαγωγής'!$B$2,C1816)),MAX($B$1:B1815)+1,0)</f>
        <v>0</v>
      </c>
      <c r="D1816" s="33">
        <f>IF(ISNUMBER(SEARCH('Φόρμα Εισαγωγής'!$C$2,E1816)),MAX($D$1:D1815)+1,0)</f>
        <v>0</v>
      </c>
      <c r="H1816" s="6">
        <f t="shared" si="95"/>
        <v>0</v>
      </c>
      <c r="I1816" s="6">
        <f t="shared" si="96"/>
        <v>0</v>
      </c>
      <c r="J1816" s="6">
        <f t="shared" si="97"/>
        <v>0</v>
      </c>
      <c r="L1816" s="4" t="str">
        <f>IFERROR(VLOOKUP(ROWS($L$2:L1816),$B$2:$C$1996,2,0),"")</f>
        <v/>
      </c>
      <c r="N1816" s="2" t="str">
        <f>IFERROR(VLOOKUP(ROWS($N$2:N1816),$D$2:$E$1996,2,0),"")</f>
        <v/>
      </c>
    </row>
    <row r="1817" spans="2:14">
      <c r="B1817" s="32">
        <f>IF(ISNUMBER(SEARCH('Φόρμα Εισαγωγής'!$B$2,C1817)),MAX($B$1:B1816)+1,0)</f>
        <v>0</v>
      </c>
      <c r="D1817" s="33">
        <f>IF(ISNUMBER(SEARCH('Φόρμα Εισαγωγής'!$C$2,E1817)),MAX($D$1:D1816)+1,0)</f>
        <v>0</v>
      </c>
      <c r="H1817" s="6">
        <f t="shared" si="95"/>
        <v>0</v>
      </c>
      <c r="I1817" s="6">
        <f t="shared" si="96"/>
        <v>0</v>
      </c>
      <c r="J1817" s="6">
        <f t="shared" si="97"/>
        <v>0</v>
      </c>
      <c r="L1817" s="4" t="str">
        <f>IFERROR(VLOOKUP(ROWS($L$2:L1817),$B$2:$C$1996,2,0),"")</f>
        <v/>
      </c>
      <c r="N1817" s="2" t="str">
        <f>IFERROR(VLOOKUP(ROWS($N$2:N1817),$D$2:$E$1996,2,0),"")</f>
        <v/>
      </c>
    </row>
    <row r="1818" spans="2:14">
      <c r="B1818" s="32">
        <f>IF(ISNUMBER(SEARCH('Φόρμα Εισαγωγής'!$B$2,C1818)),MAX($B$1:B1817)+1,0)</f>
        <v>0</v>
      </c>
      <c r="D1818" s="33">
        <f>IF(ISNUMBER(SEARCH('Φόρμα Εισαγωγής'!$C$2,E1818)),MAX($D$1:D1817)+1,0)</f>
        <v>0</v>
      </c>
      <c r="H1818" s="6">
        <f t="shared" si="95"/>
        <v>0</v>
      </c>
      <c r="I1818" s="6">
        <f t="shared" si="96"/>
        <v>0</v>
      </c>
      <c r="J1818" s="6">
        <f t="shared" si="97"/>
        <v>0</v>
      </c>
      <c r="L1818" s="4" t="str">
        <f>IFERROR(VLOOKUP(ROWS($L$2:L1818),$B$2:$C$1996,2,0),"")</f>
        <v/>
      </c>
      <c r="N1818" s="2" t="str">
        <f>IFERROR(VLOOKUP(ROWS($N$2:N1818),$D$2:$E$1996,2,0),"")</f>
        <v/>
      </c>
    </row>
    <row r="1819" spans="2:14">
      <c r="B1819" s="32">
        <f>IF(ISNUMBER(SEARCH('Φόρμα Εισαγωγής'!$B$2,C1819)),MAX($B$1:B1818)+1,0)</f>
        <v>0</v>
      </c>
      <c r="D1819" s="33">
        <f>IF(ISNUMBER(SEARCH('Φόρμα Εισαγωγής'!$C$2,E1819)),MAX($D$1:D1818)+1,0)</f>
        <v>0</v>
      </c>
      <c r="H1819" s="6">
        <f t="shared" si="95"/>
        <v>0</v>
      </c>
      <c r="I1819" s="6">
        <f t="shared" si="96"/>
        <v>0</v>
      </c>
      <c r="J1819" s="6">
        <f t="shared" si="97"/>
        <v>0</v>
      </c>
      <c r="L1819" s="4" t="str">
        <f>IFERROR(VLOOKUP(ROWS($L$2:L1819),$B$2:$C$1996,2,0),"")</f>
        <v/>
      </c>
      <c r="N1819" s="2" t="str">
        <f>IFERROR(VLOOKUP(ROWS($N$2:N1819),$D$2:$E$1996,2,0),"")</f>
        <v/>
      </c>
    </row>
    <row r="1820" spans="2:14">
      <c r="B1820" s="32">
        <f>IF(ISNUMBER(SEARCH('Φόρμα Εισαγωγής'!$B$2,C1820)),MAX($B$1:B1819)+1,0)</f>
        <v>0</v>
      </c>
      <c r="D1820" s="33">
        <f>IF(ISNUMBER(SEARCH('Φόρμα Εισαγωγής'!$C$2,E1820)),MAX($D$1:D1819)+1,0)</f>
        <v>0</v>
      </c>
      <c r="H1820" s="6">
        <f t="shared" si="95"/>
        <v>0</v>
      </c>
      <c r="I1820" s="6">
        <f t="shared" si="96"/>
        <v>0</v>
      </c>
      <c r="J1820" s="6">
        <f t="shared" si="97"/>
        <v>0</v>
      </c>
      <c r="L1820" s="4" t="str">
        <f>IFERROR(VLOOKUP(ROWS($L$2:L1820),$B$2:$C$1996,2,0),"")</f>
        <v/>
      </c>
      <c r="N1820" s="2" t="str">
        <f>IFERROR(VLOOKUP(ROWS($N$2:N1820),$D$2:$E$1996,2,0),"")</f>
        <v/>
      </c>
    </row>
    <row r="1821" spans="2:14">
      <c r="B1821" s="32">
        <f>IF(ISNUMBER(SEARCH('Φόρμα Εισαγωγής'!$B$2,C1821)),MAX($B$1:B1820)+1,0)</f>
        <v>0</v>
      </c>
      <c r="D1821" s="33">
        <f>IF(ISNUMBER(SEARCH('Φόρμα Εισαγωγής'!$C$2,E1821)),MAX($D$1:D1820)+1,0)</f>
        <v>0</v>
      </c>
      <c r="H1821" s="6">
        <f t="shared" si="95"/>
        <v>0</v>
      </c>
      <c r="I1821" s="6">
        <f t="shared" si="96"/>
        <v>0</v>
      </c>
      <c r="J1821" s="6">
        <f t="shared" si="97"/>
        <v>0</v>
      </c>
      <c r="L1821" s="4" t="str">
        <f>IFERROR(VLOOKUP(ROWS($L$2:L1821),$B$2:$C$1996,2,0),"")</f>
        <v/>
      </c>
      <c r="N1821" s="2" t="str">
        <f>IFERROR(VLOOKUP(ROWS($N$2:N1821),$D$2:$E$1996,2,0),"")</f>
        <v/>
      </c>
    </row>
    <row r="1822" spans="2:14">
      <c r="B1822" s="32">
        <f>IF(ISNUMBER(SEARCH('Φόρμα Εισαγωγής'!$B$2,C1822)),MAX($B$1:B1821)+1,0)</f>
        <v>0</v>
      </c>
      <c r="D1822" s="33">
        <f>IF(ISNUMBER(SEARCH('Φόρμα Εισαγωγής'!$C$2,E1822)),MAX($D$1:D1821)+1,0)</f>
        <v>0</v>
      </c>
      <c r="H1822" s="6">
        <f t="shared" si="95"/>
        <v>0</v>
      </c>
      <c r="I1822" s="6">
        <f t="shared" si="96"/>
        <v>0</v>
      </c>
      <c r="J1822" s="6">
        <f t="shared" si="97"/>
        <v>0</v>
      </c>
      <c r="L1822" s="4" t="str">
        <f>IFERROR(VLOOKUP(ROWS($L$2:L1822),$B$2:$C$1996,2,0),"")</f>
        <v/>
      </c>
      <c r="N1822" s="2" t="str">
        <f>IFERROR(VLOOKUP(ROWS($N$2:N1822),$D$2:$E$1996,2,0),"")</f>
        <v/>
      </c>
    </row>
    <row r="1823" spans="2:14">
      <c r="B1823" s="32">
        <f>IF(ISNUMBER(SEARCH('Φόρμα Εισαγωγής'!$B$2,C1823)),MAX($B$1:B1822)+1,0)</f>
        <v>0</v>
      </c>
      <c r="D1823" s="33">
        <f>IF(ISNUMBER(SEARCH('Φόρμα Εισαγωγής'!$C$2,E1823)),MAX($D$1:D1822)+1,0)</f>
        <v>0</v>
      </c>
      <c r="H1823" s="6">
        <f t="shared" si="95"/>
        <v>0</v>
      </c>
      <c r="I1823" s="6">
        <f t="shared" si="96"/>
        <v>0</v>
      </c>
      <c r="J1823" s="6">
        <f t="shared" si="97"/>
        <v>0</v>
      </c>
      <c r="L1823" s="4" t="str">
        <f>IFERROR(VLOOKUP(ROWS($L$2:L1823),$B$2:$C$1996,2,0),"")</f>
        <v/>
      </c>
      <c r="N1823" s="2" t="str">
        <f>IFERROR(VLOOKUP(ROWS($N$2:N1823),$D$2:$E$1996,2,0),"")</f>
        <v/>
      </c>
    </row>
    <row r="1824" spans="2:14">
      <c r="B1824" s="32">
        <f>IF(ISNUMBER(SEARCH('Φόρμα Εισαγωγής'!$B$2,C1824)),MAX($B$1:B1823)+1,0)</f>
        <v>0</v>
      </c>
      <c r="D1824" s="33">
        <f>IF(ISNUMBER(SEARCH('Φόρμα Εισαγωγής'!$C$2,E1824)),MAX($D$1:D1823)+1,0)</f>
        <v>0</v>
      </c>
      <c r="H1824" s="6">
        <f t="shared" si="95"/>
        <v>0</v>
      </c>
      <c r="I1824" s="6">
        <f t="shared" si="96"/>
        <v>0</v>
      </c>
      <c r="J1824" s="6">
        <f t="shared" si="97"/>
        <v>0</v>
      </c>
      <c r="L1824" s="4" t="str">
        <f>IFERROR(VLOOKUP(ROWS($L$2:L1824),$B$2:$C$1996,2,0),"")</f>
        <v/>
      </c>
      <c r="N1824" s="2" t="str">
        <f>IFERROR(VLOOKUP(ROWS($N$2:N1824),$D$2:$E$1996,2,0),"")</f>
        <v/>
      </c>
    </row>
    <row r="1825" spans="2:14">
      <c r="B1825" s="32">
        <f>IF(ISNUMBER(SEARCH('Φόρμα Εισαγωγής'!$B$2,C1825)),MAX($B$1:B1824)+1,0)</f>
        <v>0</v>
      </c>
      <c r="D1825" s="33">
        <f>IF(ISNUMBER(SEARCH('Φόρμα Εισαγωγής'!$C$2,E1825)),MAX($D$1:D1824)+1,0)</f>
        <v>0</v>
      </c>
      <c r="H1825" s="6">
        <f t="shared" si="95"/>
        <v>0</v>
      </c>
      <c r="I1825" s="6">
        <f t="shared" si="96"/>
        <v>0</v>
      </c>
      <c r="J1825" s="6">
        <f t="shared" si="97"/>
        <v>0</v>
      </c>
      <c r="L1825" s="4" t="str">
        <f>IFERROR(VLOOKUP(ROWS($L$2:L1825),$B$2:$C$1996,2,0),"")</f>
        <v/>
      </c>
      <c r="N1825" s="2" t="str">
        <f>IFERROR(VLOOKUP(ROWS($N$2:N1825),$D$2:$E$1996,2,0),"")</f>
        <v/>
      </c>
    </row>
    <row r="1826" spans="2:14">
      <c r="B1826" s="32">
        <f>IF(ISNUMBER(SEARCH('Φόρμα Εισαγωγής'!$B$2,C1826)),MAX($B$1:B1825)+1,0)</f>
        <v>0</v>
      </c>
      <c r="D1826" s="33">
        <f>IF(ISNUMBER(SEARCH('Φόρμα Εισαγωγής'!$C$2,E1826)),MAX($D$1:D1825)+1,0)</f>
        <v>0</v>
      </c>
      <c r="H1826" s="6">
        <f t="shared" si="95"/>
        <v>0</v>
      </c>
      <c r="I1826" s="6">
        <f t="shared" si="96"/>
        <v>0</v>
      </c>
      <c r="J1826" s="6">
        <f t="shared" si="97"/>
        <v>0</v>
      </c>
      <c r="L1826" s="4" t="str">
        <f>IFERROR(VLOOKUP(ROWS($L$2:L1826),$B$2:$C$1996,2,0),"")</f>
        <v/>
      </c>
      <c r="N1826" s="2" t="str">
        <f>IFERROR(VLOOKUP(ROWS($N$2:N1826),$D$2:$E$1996,2,0),"")</f>
        <v/>
      </c>
    </row>
    <row r="1827" spans="2:14">
      <c r="B1827" s="32">
        <f>IF(ISNUMBER(SEARCH('Φόρμα Εισαγωγής'!$B$2,C1827)),MAX($B$1:B1826)+1,0)</f>
        <v>0</v>
      </c>
      <c r="D1827" s="33">
        <f>IF(ISNUMBER(SEARCH('Φόρμα Εισαγωγής'!$C$2,E1827)),MAX($D$1:D1826)+1,0)</f>
        <v>0</v>
      </c>
      <c r="H1827" s="6">
        <f t="shared" si="95"/>
        <v>0</v>
      </c>
      <c r="I1827" s="6">
        <f t="shared" si="96"/>
        <v>0</v>
      </c>
      <c r="J1827" s="6">
        <f t="shared" si="97"/>
        <v>0</v>
      </c>
      <c r="L1827" s="4" t="str">
        <f>IFERROR(VLOOKUP(ROWS($L$2:L1827),$B$2:$C$1996,2,0),"")</f>
        <v/>
      </c>
      <c r="N1827" s="2" t="str">
        <f>IFERROR(VLOOKUP(ROWS($N$2:N1827),$D$2:$E$1996,2,0),"")</f>
        <v/>
      </c>
    </row>
    <row r="1828" spans="2:14">
      <c r="B1828" s="32">
        <f>IF(ISNUMBER(SEARCH('Φόρμα Εισαγωγής'!$B$2,C1828)),MAX($B$1:B1827)+1,0)</f>
        <v>0</v>
      </c>
      <c r="D1828" s="33">
        <f>IF(ISNUMBER(SEARCH('Φόρμα Εισαγωγής'!$C$2,E1828)),MAX($D$1:D1827)+1,0)</f>
        <v>0</v>
      </c>
      <c r="H1828" s="6">
        <f t="shared" si="95"/>
        <v>0</v>
      </c>
      <c r="I1828" s="6">
        <f t="shared" si="96"/>
        <v>0</v>
      </c>
      <c r="J1828" s="6">
        <f t="shared" si="97"/>
        <v>0</v>
      </c>
      <c r="L1828" s="4" t="str">
        <f>IFERROR(VLOOKUP(ROWS($L$2:L1828),$B$2:$C$1996,2,0),"")</f>
        <v/>
      </c>
      <c r="N1828" s="2" t="str">
        <f>IFERROR(VLOOKUP(ROWS($N$2:N1828),$D$2:$E$1996,2,0),"")</f>
        <v/>
      </c>
    </row>
    <row r="1829" spans="2:14">
      <c r="B1829" s="32">
        <f>IF(ISNUMBER(SEARCH('Φόρμα Εισαγωγής'!$B$2,C1829)),MAX($B$1:B1828)+1,0)</f>
        <v>0</v>
      </c>
      <c r="D1829" s="33">
        <f>IF(ISNUMBER(SEARCH('Φόρμα Εισαγωγής'!$C$2,E1829)),MAX($D$1:D1828)+1,0)</f>
        <v>0</v>
      </c>
      <c r="H1829" s="6">
        <f t="shared" si="95"/>
        <v>0</v>
      </c>
      <c r="I1829" s="6">
        <f t="shared" si="96"/>
        <v>0</v>
      </c>
      <c r="J1829" s="6">
        <f t="shared" si="97"/>
        <v>0</v>
      </c>
      <c r="L1829" s="4" t="str">
        <f>IFERROR(VLOOKUP(ROWS($L$2:L1829),$B$2:$C$1996,2,0),"")</f>
        <v/>
      </c>
      <c r="N1829" s="2" t="str">
        <f>IFERROR(VLOOKUP(ROWS($N$2:N1829),$D$2:$E$1996,2,0),"")</f>
        <v/>
      </c>
    </row>
    <row r="1830" spans="2:14">
      <c r="B1830" s="32">
        <f>IF(ISNUMBER(SEARCH('Φόρμα Εισαγωγής'!$B$2,C1830)),MAX($B$1:B1829)+1,0)</f>
        <v>0</v>
      </c>
      <c r="D1830" s="33">
        <f>IF(ISNUMBER(SEARCH('Φόρμα Εισαγωγής'!$C$2,E1830)),MAX($D$1:D1829)+1,0)</f>
        <v>0</v>
      </c>
      <c r="H1830" s="6">
        <f t="shared" si="95"/>
        <v>0</v>
      </c>
      <c r="I1830" s="6">
        <f t="shared" si="96"/>
        <v>0</v>
      </c>
      <c r="J1830" s="6">
        <f t="shared" si="97"/>
        <v>0</v>
      </c>
      <c r="L1830" s="4" t="str">
        <f>IFERROR(VLOOKUP(ROWS($L$2:L1830),$B$2:$C$1996,2,0),"")</f>
        <v/>
      </c>
      <c r="N1830" s="2" t="str">
        <f>IFERROR(VLOOKUP(ROWS($N$2:N1830),$D$2:$E$1996,2,0),"")</f>
        <v/>
      </c>
    </row>
    <row r="1831" spans="2:14">
      <c r="B1831" s="32">
        <f>IF(ISNUMBER(SEARCH('Φόρμα Εισαγωγής'!$B$2,C1831)),MAX($B$1:B1830)+1,0)</f>
        <v>0</v>
      </c>
      <c r="D1831" s="33">
        <f>IF(ISNUMBER(SEARCH('Φόρμα Εισαγωγής'!$C$2,E1831)),MAX($D$1:D1830)+1,0)</f>
        <v>0</v>
      </c>
      <c r="H1831" s="6">
        <f t="shared" si="95"/>
        <v>0</v>
      </c>
      <c r="I1831" s="6">
        <f t="shared" si="96"/>
        <v>0</v>
      </c>
      <c r="J1831" s="6">
        <f t="shared" si="97"/>
        <v>0</v>
      </c>
      <c r="L1831" s="4" t="str">
        <f>IFERROR(VLOOKUP(ROWS($L$2:L1831),$B$2:$C$1996,2,0),"")</f>
        <v/>
      </c>
      <c r="N1831" s="2" t="str">
        <f>IFERROR(VLOOKUP(ROWS($N$2:N1831),$D$2:$E$1996,2,0),"")</f>
        <v/>
      </c>
    </row>
    <row r="1832" spans="2:14">
      <c r="B1832" s="32">
        <f>IF(ISNUMBER(SEARCH('Φόρμα Εισαγωγής'!$B$2,C1832)),MAX($B$1:B1831)+1,0)</f>
        <v>0</v>
      </c>
      <c r="D1832" s="33">
        <f>IF(ISNUMBER(SEARCH('Φόρμα Εισαγωγής'!$C$2,E1832)),MAX($D$1:D1831)+1,0)</f>
        <v>0</v>
      </c>
      <c r="H1832" s="6">
        <f t="shared" si="95"/>
        <v>0</v>
      </c>
      <c r="I1832" s="6">
        <f t="shared" si="96"/>
        <v>0</v>
      </c>
      <c r="J1832" s="6">
        <f t="shared" si="97"/>
        <v>0</v>
      </c>
      <c r="L1832" s="4" t="str">
        <f>IFERROR(VLOOKUP(ROWS($L$2:L1832),$B$2:$C$1996,2,0),"")</f>
        <v/>
      </c>
      <c r="N1832" s="2" t="str">
        <f>IFERROR(VLOOKUP(ROWS($N$2:N1832),$D$2:$E$1996,2,0),"")</f>
        <v/>
      </c>
    </row>
    <row r="1833" spans="2:14">
      <c r="B1833" s="32">
        <f>IF(ISNUMBER(SEARCH('Φόρμα Εισαγωγής'!$B$2,C1833)),MAX($B$1:B1832)+1,0)</f>
        <v>0</v>
      </c>
      <c r="D1833" s="33">
        <f>IF(ISNUMBER(SEARCH('Φόρμα Εισαγωγής'!$C$2,E1833)),MAX($D$1:D1832)+1,0)</f>
        <v>0</v>
      </c>
      <c r="H1833" s="6">
        <f t="shared" si="95"/>
        <v>0</v>
      </c>
      <c r="I1833" s="6">
        <f t="shared" si="96"/>
        <v>0</v>
      </c>
      <c r="J1833" s="6">
        <f t="shared" si="97"/>
        <v>0</v>
      </c>
      <c r="L1833" s="4" t="str">
        <f>IFERROR(VLOOKUP(ROWS($L$2:L1833),$B$2:$C$1996,2,0),"")</f>
        <v/>
      </c>
      <c r="N1833" s="2" t="str">
        <f>IFERROR(VLOOKUP(ROWS($N$2:N1833),$D$2:$E$1996,2,0),"")</f>
        <v/>
      </c>
    </row>
    <row r="1834" spans="2:14">
      <c r="B1834" s="32">
        <f>IF(ISNUMBER(SEARCH('Φόρμα Εισαγωγής'!$B$2,C1834)),MAX($B$1:B1833)+1,0)</f>
        <v>0</v>
      </c>
      <c r="D1834" s="33">
        <f>IF(ISNUMBER(SEARCH('Φόρμα Εισαγωγής'!$C$2,E1834)),MAX($D$1:D1833)+1,0)</f>
        <v>0</v>
      </c>
      <c r="H1834" s="6">
        <f t="shared" si="95"/>
        <v>0</v>
      </c>
      <c r="I1834" s="6">
        <f t="shared" si="96"/>
        <v>0</v>
      </c>
      <c r="J1834" s="6">
        <f t="shared" si="97"/>
        <v>0</v>
      </c>
      <c r="L1834" s="4" t="str">
        <f>IFERROR(VLOOKUP(ROWS($L$2:L1834),$B$2:$C$1996,2,0),"")</f>
        <v/>
      </c>
      <c r="N1834" s="2" t="str">
        <f>IFERROR(VLOOKUP(ROWS($N$2:N1834),$D$2:$E$1996,2,0),"")</f>
        <v/>
      </c>
    </row>
    <row r="1835" spans="2:14">
      <c r="B1835" s="32">
        <f>IF(ISNUMBER(SEARCH('Φόρμα Εισαγωγής'!$B$2,C1835)),MAX($B$1:B1834)+1,0)</f>
        <v>0</v>
      </c>
      <c r="D1835" s="33">
        <f>IF(ISNUMBER(SEARCH('Φόρμα Εισαγωγής'!$C$2,E1835)),MAX($D$1:D1834)+1,0)</f>
        <v>0</v>
      </c>
      <c r="H1835" s="6">
        <f t="shared" si="95"/>
        <v>0</v>
      </c>
      <c r="I1835" s="6">
        <f t="shared" si="96"/>
        <v>0</v>
      </c>
      <c r="J1835" s="6">
        <f t="shared" si="97"/>
        <v>0</v>
      </c>
      <c r="L1835" s="4" t="str">
        <f>IFERROR(VLOOKUP(ROWS($L$2:L1835),$B$2:$C$1996,2,0),"")</f>
        <v/>
      </c>
      <c r="N1835" s="2" t="str">
        <f>IFERROR(VLOOKUP(ROWS($N$2:N1835),$D$2:$E$1996,2,0),"")</f>
        <v/>
      </c>
    </row>
    <row r="1836" spans="2:14">
      <c r="B1836" s="32">
        <f>IF(ISNUMBER(SEARCH('Φόρμα Εισαγωγής'!$B$2,C1836)),MAX($B$1:B1835)+1,0)</f>
        <v>0</v>
      </c>
      <c r="D1836" s="33">
        <f>IF(ISNUMBER(SEARCH('Φόρμα Εισαγωγής'!$C$2,E1836)),MAX($D$1:D1835)+1,0)</f>
        <v>0</v>
      </c>
      <c r="H1836" s="6">
        <f t="shared" si="95"/>
        <v>0</v>
      </c>
      <c r="I1836" s="6">
        <f t="shared" si="96"/>
        <v>0</v>
      </c>
      <c r="J1836" s="6">
        <f t="shared" si="97"/>
        <v>0</v>
      </c>
      <c r="L1836" s="4" t="str">
        <f>IFERROR(VLOOKUP(ROWS($L$2:L1836),$B$2:$C$1996,2,0),"")</f>
        <v/>
      </c>
      <c r="N1836" s="2" t="str">
        <f>IFERROR(VLOOKUP(ROWS($N$2:N1836),$D$2:$E$1996,2,0),"")</f>
        <v/>
      </c>
    </row>
    <row r="1837" spans="2:14">
      <c r="B1837" s="32">
        <f>IF(ISNUMBER(SEARCH('Φόρμα Εισαγωγής'!$B$2,C1837)),MAX($B$1:B1836)+1,0)</f>
        <v>0</v>
      </c>
      <c r="D1837" s="33">
        <f>IF(ISNUMBER(SEARCH('Φόρμα Εισαγωγής'!$C$2,E1837)),MAX($D$1:D1836)+1,0)</f>
        <v>0</v>
      </c>
      <c r="H1837" s="6">
        <f t="shared" si="95"/>
        <v>0</v>
      </c>
      <c r="I1837" s="6">
        <f t="shared" si="96"/>
        <v>0</v>
      </c>
      <c r="J1837" s="6">
        <f t="shared" si="97"/>
        <v>0</v>
      </c>
      <c r="L1837" s="4" t="str">
        <f>IFERROR(VLOOKUP(ROWS($L$2:L1837),$B$2:$C$1996,2,0),"")</f>
        <v/>
      </c>
      <c r="N1837" s="2" t="str">
        <f>IFERROR(VLOOKUP(ROWS($N$2:N1837),$D$2:$E$1996,2,0),"")</f>
        <v/>
      </c>
    </row>
    <row r="1838" spans="2:14">
      <c r="B1838" s="32">
        <f>IF(ISNUMBER(SEARCH('Φόρμα Εισαγωγής'!$B$2,C1838)),MAX($B$1:B1837)+1,0)</f>
        <v>0</v>
      </c>
      <c r="D1838" s="33">
        <f>IF(ISNUMBER(SEARCH('Φόρμα Εισαγωγής'!$C$2,E1838)),MAX($D$1:D1837)+1,0)</f>
        <v>0</v>
      </c>
      <c r="H1838" s="6">
        <f t="shared" si="95"/>
        <v>0</v>
      </c>
      <c r="I1838" s="6">
        <f t="shared" si="96"/>
        <v>0</v>
      </c>
      <c r="J1838" s="6">
        <f t="shared" si="97"/>
        <v>0</v>
      </c>
      <c r="L1838" s="4" t="str">
        <f>IFERROR(VLOOKUP(ROWS($L$2:L1838),$B$2:$C$1996,2,0),"")</f>
        <v/>
      </c>
      <c r="N1838" s="2" t="str">
        <f>IFERROR(VLOOKUP(ROWS($N$2:N1838),$D$2:$E$1996,2,0),"")</f>
        <v/>
      </c>
    </row>
    <row r="1839" spans="2:14">
      <c r="B1839" s="32">
        <f>IF(ISNUMBER(SEARCH('Φόρμα Εισαγωγής'!$B$2,C1839)),MAX($B$1:B1838)+1,0)</f>
        <v>0</v>
      </c>
      <c r="D1839" s="33">
        <f>IF(ISNUMBER(SEARCH('Φόρμα Εισαγωγής'!$C$2,E1839)),MAX($D$1:D1838)+1,0)</f>
        <v>0</v>
      </c>
      <c r="H1839" s="6">
        <f t="shared" si="95"/>
        <v>0</v>
      </c>
      <c r="I1839" s="6">
        <f t="shared" si="96"/>
        <v>0</v>
      </c>
      <c r="J1839" s="6">
        <f t="shared" si="97"/>
        <v>0</v>
      </c>
      <c r="L1839" s="4" t="str">
        <f>IFERROR(VLOOKUP(ROWS($L$2:L1839),$B$2:$C$1996,2,0),"")</f>
        <v/>
      </c>
      <c r="N1839" s="2" t="str">
        <f>IFERROR(VLOOKUP(ROWS($N$2:N1839),$D$2:$E$1996,2,0),"")</f>
        <v/>
      </c>
    </row>
    <row r="1840" spans="2:14">
      <c r="B1840" s="32">
        <f>IF(ISNUMBER(SEARCH('Φόρμα Εισαγωγής'!$B$2,C1840)),MAX($B$1:B1839)+1,0)</f>
        <v>0</v>
      </c>
      <c r="D1840" s="33">
        <f>IF(ISNUMBER(SEARCH('Φόρμα Εισαγωγής'!$C$2,E1840)),MAX($D$1:D1839)+1,0)</f>
        <v>0</v>
      </c>
      <c r="H1840" s="6">
        <f t="shared" si="95"/>
        <v>0</v>
      </c>
      <c r="I1840" s="6">
        <f t="shared" si="96"/>
        <v>0</v>
      </c>
      <c r="J1840" s="6">
        <f t="shared" si="97"/>
        <v>0</v>
      </c>
      <c r="L1840" s="4" t="str">
        <f>IFERROR(VLOOKUP(ROWS($L$2:L1840),$B$2:$C$1996,2,0),"")</f>
        <v/>
      </c>
      <c r="N1840" s="2" t="str">
        <f>IFERROR(VLOOKUP(ROWS($N$2:N1840),$D$2:$E$1996,2,0),"")</f>
        <v/>
      </c>
    </row>
    <row r="1841" spans="2:14">
      <c r="B1841" s="32">
        <f>IF(ISNUMBER(SEARCH('Φόρμα Εισαγωγής'!$B$2,C1841)),MAX($B$1:B1840)+1,0)</f>
        <v>0</v>
      </c>
      <c r="D1841" s="33">
        <f>IF(ISNUMBER(SEARCH('Φόρμα Εισαγωγής'!$C$2,E1841)),MAX($D$1:D1840)+1,0)</f>
        <v>0</v>
      </c>
      <c r="H1841" s="6">
        <f t="shared" si="95"/>
        <v>0</v>
      </c>
      <c r="I1841" s="6">
        <f t="shared" si="96"/>
        <v>0</v>
      </c>
      <c r="J1841" s="6">
        <f t="shared" si="97"/>
        <v>0</v>
      </c>
      <c r="L1841" s="4" t="str">
        <f>IFERROR(VLOOKUP(ROWS($L$2:L1841),$B$2:$C$1996,2,0),"")</f>
        <v/>
      </c>
      <c r="N1841" s="2" t="str">
        <f>IFERROR(VLOOKUP(ROWS($N$2:N1841),$D$2:$E$1996,2,0),"")</f>
        <v/>
      </c>
    </row>
    <row r="1842" spans="2:14">
      <c r="B1842" s="32">
        <f>IF(ISNUMBER(SEARCH('Φόρμα Εισαγωγής'!$B$2,C1842)),MAX($B$1:B1841)+1,0)</f>
        <v>0</v>
      </c>
      <c r="D1842" s="33">
        <f>IF(ISNUMBER(SEARCH('Φόρμα Εισαγωγής'!$C$2,E1842)),MAX($D$1:D1841)+1,0)</f>
        <v>0</v>
      </c>
      <c r="H1842" s="6">
        <f t="shared" si="95"/>
        <v>0</v>
      </c>
      <c r="I1842" s="6">
        <f t="shared" si="96"/>
        <v>0</v>
      </c>
      <c r="J1842" s="6">
        <f t="shared" si="97"/>
        <v>0</v>
      </c>
      <c r="L1842" s="4" t="str">
        <f>IFERROR(VLOOKUP(ROWS($L$2:L1842),$B$2:$C$1996,2,0),"")</f>
        <v/>
      </c>
      <c r="N1842" s="2" t="str">
        <f>IFERROR(VLOOKUP(ROWS($N$2:N1842),$D$2:$E$1996,2,0),"")</f>
        <v/>
      </c>
    </row>
    <row r="1843" spans="2:14">
      <c r="B1843" s="32">
        <f>IF(ISNUMBER(SEARCH('Φόρμα Εισαγωγής'!$B$2,C1843)),MAX($B$1:B1842)+1,0)</f>
        <v>0</v>
      </c>
      <c r="D1843" s="33">
        <f>IF(ISNUMBER(SEARCH('Φόρμα Εισαγωγής'!$C$2,E1843)),MAX($D$1:D1842)+1,0)</f>
        <v>0</v>
      </c>
      <c r="H1843" s="6">
        <f t="shared" si="95"/>
        <v>0</v>
      </c>
      <c r="I1843" s="6">
        <f t="shared" si="96"/>
        <v>0</v>
      </c>
      <c r="J1843" s="6">
        <f t="shared" si="97"/>
        <v>0</v>
      </c>
      <c r="L1843" s="4" t="str">
        <f>IFERROR(VLOOKUP(ROWS($L$2:L1843),$B$2:$C$1996,2,0),"")</f>
        <v/>
      </c>
      <c r="N1843" s="2" t="str">
        <f>IFERROR(VLOOKUP(ROWS($N$2:N1843),$D$2:$E$1996,2,0),"")</f>
        <v/>
      </c>
    </row>
    <row r="1844" spans="2:14">
      <c r="B1844" s="32">
        <f>IF(ISNUMBER(SEARCH('Φόρμα Εισαγωγής'!$B$2,C1844)),MAX($B$1:B1843)+1,0)</f>
        <v>0</v>
      </c>
      <c r="D1844" s="33">
        <f>IF(ISNUMBER(SEARCH('Φόρμα Εισαγωγής'!$C$2,E1844)),MAX($D$1:D1843)+1,0)</f>
        <v>0</v>
      </c>
      <c r="H1844" s="6">
        <f t="shared" si="95"/>
        <v>0</v>
      </c>
      <c r="I1844" s="6">
        <f t="shared" si="96"/>
        <v>0</v>
      </c>
      <c r="J1844" s="6">
        <f t="shared" si="97"/>
        <v>0</v>
      </c>
      <c r="L1844" s="4" t="str">
        <f>IFERROR(VLOOKUP(ROWS($L$2:L1844),$B$2:$C$1996,2,0),"")</f>
        <v/>
      </c>
      <c r="N1844" s="2" t="str">
        <f>IFERROR(VLOOKUP(ROWS($N$2:N1844),$D$2:$E$1996,2,0),"")</f>
        <v/>
      </c>
    </row>
    <row r="1845" spans="2:14">
      <c r="B1845" s="32">
        <f>IF(ISNUMBER(SEARCH('Φόρμα Εισαγωγής'!$B$2,C1845)),MAX($B$1:B1844)+1,0)</f>
        <v>0</v>
      </c>
      <c r="D1845" s="33">
        <f>IF(ISNUMBER(SEARCH('Φόρμα Εισαγωγής'!$C$2,E1845)),MAX($D$1:D1844)+1,0)</f>
        <v>0</v>
      </c>
      <c r="H1845" s="6">
        <f t="shared" si="95"/>
        <v>0</v>
      </c>
      <c r="I1845" s="6">
        <f t="shared" si="96"/>
        <v>0</v>
      </c>
      <c r="J1845" s="6">
        <f t="shared" si="97"/>
        <v>0</v>
      </c>
      <c r="L1845" s="4" t="str">
        <f>IFERROR(VLOOKUP(ROWS($L$2:L1845),$B$2:$C$1996,2,0),"")</f>
        <v/>
      </c>
      <c r="N1845" s="2" t="str">
        <f>IFERROR(VLOOKUP(ROWS($N$2:N1845),$D$2:$E$1996,2,0),"")</f>
        <v/>
      </c>
    </row>
    <row r="1846" spans="2:14">
      <c r="B1846" s="32">
        <f>IF(ISNUMBER(SEARCH('Φόρμα Εισαγωγής'!$B$2,C1846)),MAX($B$1:B1845)+1,0)</f>
        <v>0</v>
      </c>
      <c r="D1846" s="33">
        <f>IF(ISNUMBER(SEARCH('Φόρμα Εισαγωγής'!$C$2,E1846)),MAX($D$1:D1845)+1,0)</f>
        <v>0</v>
      </c>
      <c r="H1846" s="6">
        <f t="shared" si="95"/>
        <v>0</v>
      </c>
      <c r="I1846" s="6">
        <f t="shared" si="96"/>
        <v>0</v>
      </c>
      <c r="J1846" s="6">
        <f t="shared" si="97"/>
        <v>0</v>
      </c>
      <c r="L1846" s="4" t="str">
        <f>IFERROR(VLOOKUP(ROWS($L$2:L1846),$B$2:$C$1996,2,0),"")</f>
        <v/>
      </c>
      <c r="N1846" s="2" t="str">
        <f>IFERROR(VLOOKUP(ROWS($N$2:N1846),$D$2:$E$1996,2,0),"")</f>
        <v/>
      </c>
    </row>
    <row r="1847" spans="2:14">
      <c r="B1847" s="32">
        <f>IF(ISNUMBER(SEARCH('Φόρμα Εισαγωγής'!$B$2,C1847)),MAX($B$1:B1846)+1,0)</f>
        <v>0</v>
      </c>
      <c r="D1847" s="33">
        <f>IF(ISNUMBER(SEARCH('Φόρμα Εισαγωγής'!$C$2,E1847)),MAX($D$1:D1846)+1,0)</f>
        <v>0</v>
      </c>
      <c r="H1847" s="6">
        <f t="shared" si="95"/>
        <v>0</v>
      </c>
      <c r="I1847" s="6">
        <f t="shared" si="96"/>
        <v>0</v>
      </c>
      <c r="J1847" s="6">
        <f t="shared" si="97"/>
        <v>0</v>
      </c>
      <c r="L1847" s="4" t="str">
        <f>IFERROR(VLOOKUP(ROWS($L$2:L1847),$B$2:$C$1996,2,0),"")</f>
        <v/>
      </c>
      <c r="N1847" s="2" t="str">
        <f>IFERROR(VLOOKUP(ROWS($N$2:N1847),$D$2:$E$1996,2,0),"")</f>
        <v/>
      </c>
    </row>
    <row r="1848" spans="2:14">
      <c r="B1848" s="32">
        <f>IF(ISNUMBER(SEARCH('Φόρμα Εισαγωγής'!$B$2,C1848)),MAX($B$1:B1847)+1,0)</f>
        <v>0</v>
      </c>
      <c r="D1848" s="33">
        <f>IF(ISNUMBER(SEARCH('Φόρμα Εισαγωγής'!$C$2,E1848)),MAX($D$1:D1847)+1,0)</f>
        <v>0</v>
      </c>
      <c r="H1848" s="6">
        <f t="shared" si="95"/>
        <v>0</v>
      </c>
      <c r="I1848" s="6">
        <f t="shared" si="96"/>
        <v>0</v>
      </c>
      <c r="J1848" s="6">
        <f t="shared" si="97"/>
        <v>0</v>
      </c>
      <c r="L1848" s="4" t="str">
        <f>IFERROR(VLOOKUP(ROWS($L$2:L1848),$B$2:$C$1996,2,0),"")</f>
        <v/>
      </c>
      <c r="N1848" s="2" t="str">
        <f>IFERROR(VLOOKUP(ROWS($N$2:N1848),$D$2:$E$1996,2,0),"")</f>
        <v/>
      </c>
    </row>
    <row r="1849" spans="2:14">
      <c r="B1849" s="32">
        <f>IF(ISNUMBER(SEARCH('Φόρμα Εισαγωγής'!$B$2,C1849)),MAX($B$1:B1848)+1,0)</f>
        <v>0</v>
      </c>
      <c r="D1849" s="33">
        <f>IF(ISNUMBER(SEARCH('Φόρμα Εισαγωγής'!$C$2,E1849)),MAX($D$1:D1848)+1,0)</f>
        <v>0</v>
      </c>
      <c r="H1849" s="6">
        <f t="shared" si="95"/>
        <v>0</v>
      </c>
      <c r="I1849" s="6">
        <f t="shared" si="96"/>
        <v>0</v>
      </c>
      <c r="J1849" s="6">
        <f t="shared" si="97"/>
        <v>0</v>
      </c>
      <c r="L1849" s="4" t="str">
        <f>IFERROR(VLOOKUP(ROWS($L$2:L1849),$B$2:$C$1996,2,0),"")</f>
        <v/>
      </c>
      <c r="N1849" s="2" t="str">
        <f>IFERROR(VLOOKUP(ROWS($N$2:N1849),$D$2:$E$1996,2,0),"")</f>
        <v/>
      </c>
    </row>
    <row r="1850" spans="2:14">
      <c r="B1850" s="32">
        <f>IF(ISNUMBER(SEARCH('Φόρμα Εισαγωγής'!$B$2,C1850)),MAX($B$1:B1849)+1,0)</f>
        <v>0</v>
      </c>
      <c r="D1850" s="33">
        <f>IF(ISNUMBER(SEARCH('Φόρμα Εισαγωγής'!$C$2,E1850)),MAX($D$1:D1849)+1,0)</f>
        <v>0</v>
      </c>
      <c r="H1850" s="6">
        <f t="shared" si="95"/>
        <v>0</v>
      </c>
      <c r="I1850" s="6">
        <f t="shared" si="96"/>
        <v>0</v>
      </c>
      <c r="J1850" s="6">
        <f t="shared" si="97"/>
        <v>0</v>
      </c>
      <c r="L1850" s="4" t="str">
        <f>IFERROR(VLOOKUP(ROWS($L$2:L1850),$B$2:$C$1996,2,0),"")</f>
        <v/>
      </c>
      <c r="N1850" s="2" t="str">
        <f>IFERROR(VLOOKUP(ROWS($N$2:N1850),$D$2:$E$1996,2,0),"")</f>
        <v/>
      </c>
    </row>
    <row r="1851" spans="2:14">
      <c r="B1851" s="32">
        <f>IF(ISNUMBER(SEARCH('Φόρμα Εισαγωγής'!$B$2,C1851)),MAX($B$1:B1850)+1,0)</f>
        <v>0</v>
      </c>
      <c r="D1851" s="33">
        <f>IF(ISNUMBER(SEARCH('Φόρμα Εισαγωγής'!$C$2,E1851)),MAX($D$1:D1850)+1,0)</f>
        <v>0</v>
      </c>
      <c r="H1851" s="6">
        <f t="shared" si="95"/>
        <v>0</v>
      </c>
      <c r="I1851" s="6">
        <f t="shared" si="96"/>
        <v>0</v>
      </c>
      <c r="J1851" s="6">
        <f t="shared" si="97"/>
        <v>0</v>
      </c>
      <c r="L1851" s="4" t="str">
        <f>IFERROR(VLOOKUP(ROWS($L$2:L1851),$B$2:$C$1996,2,0),"")</f>
        <v/>
      </c>
      <c r="N1851" s="2" t="str">
        <f>IFERROR(VLOOKUP(ROWS($N$2:N1851),$D$2:$E$1996,2,0),"")</f>
        <v/>
      </c>
    </row>
    <row r="1852" spans="2:14">
      <c r="B1852" s="32">
        <f>IF(ISNUMBER(SEARCH('Φόρμα Εισαγωγής'!$B$2,C1852)),MAX($B$1:B1851)+1,0)</f>
        <v>0</v>
      </c>
      <c r="D1852" s="33">
        <f>IF(ISNUMBER(SEARCH('Φόρμα Εισαγωγής'!$C$2,E1852)),MAX($D$1:D1851)+1,0)</f>
        <v>0</v>
      </c>
      <c r="H1852" s="6">
        <f t="shared" si="95"/>
        <v>0</v>
      </c>
      <c r="I1852" s="6">
        <f t="shared" si="96"/>
        <v>0</v>
      </c>
      <c r="J1852" s="6">
        <f t="shared" si="97"/>
        <v>0</v>
      </c>
      <c r="L1852" s="4" t="str">
        <f>IFERROR(VLOOKUP(ROWS($L$2:L1852),$B$2:$C$1996,2,0),"")</f>
        <v/>
      </c>
      <c r="N1852" s="2" t="str">
        <f>IFERROR(VLOOKUP(ROWS($N$2:N1852),$D$2:$E$1996,2,0),"")</f>
        <v/>
      </c>
    </row>
    <row r="1853" spans="2:14">
      <c r="B1853" s="32">
        <f>IF(ISNUMBER(SEARCH('Φόρμα Εισαγωγής'!$B$2,C1853)),MAX($B$1:B1852)+1,0)</f>
        <v>0</v>
      </c>
      <c r="D1853" s="33">
        <f>IF(ISNUMBER(SEARCH('Φόρμα Εισαγωγής'!$C$2,E1853)),MAX($D$1:D1852)+1,0)</f>
        <v>0</v>
      </c>
      <c r="H1853" s="6">
        <f t="shared" si="95"/>
        <v>0</v>
      </c>
      <c r="I1853" s="6">
        <f t="shared" si="96"/>
        <v>0</v>
      </c>
      <c r="J1853" s="6">
        <f t="shared" si="97"/>
        <v>0</v>
      </c>
      <c r="L1853" s="4" t="str">
        <f>IFERROR(VLOOKUP(ROWS($L$2:L1853),$B$2:$C$1996,2,0),"")</f>
        <v/>
      </c>
      <c r="N1853" s="2" t="str">
        <f>IFERROR(VLOOKUP(ROWS($N$2:N1853),$D$2:$E$1996,2,0),"")</f>
        <v/>
      </c>
    </row>
    <row r="1854" spans="2:14">
      <c r="B1854" s="32">
        <f>IF(ISNUMBER(SEARCH('Φόρμα Εισαγωγής'!$B$2,C1854)),MAX($B$1:B1853)+1,0)</f>
        <v>0</v>
      </c>
      <c r="D1854" s="33">
        <f>IF(ISNUMBER(SEARCH('Φόρμα Εισαγωγής'!$C$2,E1854)),MAX($D$1:D1853)+1,0)</f>
        <v>0</v>
      </c>
      <c r="H1854" s="6">
        <f t="shared" si="95"/>
        <v>0</v>
      </c>
      <c r="I1854" s="6">
        <f t="shared" si="96"/>
        <v>0</v>
      </c>
      <c r="J1854" s="6">
        <f t="shared" si="97"/>
        <v>0</v>
      </c>
      <c r="L1854" s="4" t="str">
        <f>IFERROR(VLOOKUP(ROWS($L$2:L1854),$B$2:$C$1996,2,0),"")</f>
        <v/>
      </c>
      <c r="N1854" s="2" t="str">
        <f>IFERROR(VLOOKUP(ROWS($N$2:N1854),$D$2:$E$1996,2,0),"")</f>
        <v/>
      </c>
    </row>
    <row r="1855" spans="2:14">
      <c r="B1855" s="32">
        <f>IF(ISNUMBER(SEARCH('Φόρμα Εισαγωγής'!$B$2,C1855)),MAX($B$1:B1854)+1,0)</f>
        <v>0</v>
      </c>
      <c r="D1855" s="33">
        <f>IF(ISNUMBER(SEARCH('Φόρμα Εισαγωγής'!$C$2,E1855)),MAX($D$1:D1854)+1,0)</f>
        <v>0</v>
      </c>
      <c r="H1855" s="6">
        <f t="shared" si="95"/>
        <v>0</v>
      </c>
      <c r="I1855" s="6">
        <f t="shared" si="96"/>
        <v>0</v>
      </c>
      <c r="J1855" s="6">
        <f t="shared" si="97"/>
        <v>0</v>
      </c>
      <c r="L1855" s="4" t="str">
        <f>IFERROR(VLOOKUP(ROWS($L$2:L1855),$B$2:$C$1996,2,0),"")</f>
        <v/>
      </c>
      <c r="N1855" s="2" t="str">
        <f>IFERROR(VLOOKUP(ROWS($N$2:N1855),$D$2:$E$1996,2,0),"")</f>
        <v/>
      </c>
    </row>
    <row r="1856" spans="2:14">
      <c r="B1856" s="32">
        <f>IF(ISNUMBER(SEARCH('Φόρμα Εισαγωγής'!$B$2,C1856)),MAX($B$1:B1855)+1,0)</f>
        <v>0</v>
      </c>
      <c r="D1856" s="33">
        <f>IF(ISNUMBER(SEARCH('Φόρμα Εισαγωγής'!$C$2,E1856)),MAX($D$1:D1855)+1,0)</f>
        <v>0</v>
      </c>
      <c r="H1856" s="6">
        <f t="shared" ref="H1856:H1919" si="98">G1856+(G1856*0.24)</f>
        <v>0</v>
      </c>
      <c r="I1856" s="6">
        <f t="shared" ref="I1856:I1919" si="99">F1856*A1856</f>
        <v>0</v>
      </c>
      <c r="J1856" s="6">
        <f t="shared" ref="J1856:J1919" si="100">H1856*A1856</f>
        <v>0</v>
      </c>
      <c r="L1856" s="4" t="str">
        <f>IFERROR(VLOOKUP(ROWS($L$2:L1856),$B$2:$C$1996,2,0),"")</f>
        <v/>
      </c>
      <c r="N1856" s="2" t="str">
        <f>IFERROR(VLOOKUP(ROWS($N$2:N1856),$D$2:$E$1996,2,0),"")</f>
        <v/>
      </c>
    </row>
    <row r="1857" spans="2:14">
      <c r="B1857" s="32">
        <f>IF(ISNUMBER(SEARCH('Φόρμα Εισαγωγής'!$B$2,C1857)),MAX($B$1:B1856)+1,0)</f>
        <v>0</v>
      </c>
      <c r="D1857" s="33">
        <f>IF(ISNUMBER(SEARCH('Φόρμα Εισαγωγής'!$C$2,E1857)),MAX($D$1:D1856)+1,0)</f>
        <v>0</v>
      </c>
      <c r="H1857" s="6">
        <f t="shared" si="98"/>
        <v>0</v>
      </c>
      <c r="I1857" s="6">
        <f t="shared" si="99"/>
        <v>0</v>
      </c>
      <c r="J1857" s="6">
        <f t="shared" si="100"/>
        <v>0</v>
      </c>
      <c r="L1857" s="4" t="str">
        <f>IFERROR(VLOOKUP(ROWS($L$2:L1857),$B$2:$C$1996,2,0),"")</f>
        <v/>
      </c>
      <c r="N1857" s="2" t="str">
        <f>IFERROR(VLOOKUP(ROWS($N$2:N1857),$D$2:$E$1996,2,0),"")</f>
        <v/>
      </c>
    </row>
    <row r="1858" spans="2:14">
      <c r="B1858" s="32">
        <f>IF(ISNUMBER(SEARCH('Φόρμα Εισαγωγής'!$B$2,C1858)),MAX($B$1:B1857)+1,0)</f>
        <v>0</v>
      </c>
      <c r="D1858" s="33">
        <f>IF(ISNUMBER(SEARCH('Φόρμα Εισαγωγής'!$C$2,E1858)),MAX($D$1:D1857)+1,0)</f>
        <v>0</v>
      </c>
      <c r="H1858" s="6">
        <f t="shared" si="98"/>
        <v>0</v>
      </c>
      <c r="I1858" s="6">
        <f t="shared" si="99"/>
        <v>0</v>
      </c>
      <c r="J1858" s="6">
        <f t="shared" si="100"/>
        <v>0</v>
      </c>
      <c r="L1858" s="4" t="str">
        <f>IFERROR(VLOOKUP(ROWS($L$2:L1858),$B$2:$C$1996,2,0),"")</f>
        <v/>
      </c>
      <c r="N1858" s="2" t="str">
        <f>IFERROR(VLOOKUP(ROWS($N$2:N1858),$D$2:$E$1996,2,0),"")</f>
        <v/>
      </c>
    </row>
    <row r="1859" spans="2:14">
      <c r="B1859" s="32">
        <f>IF(ISNUMBER(SEARCH('Φόρμα Εισαγωγής'!$B$2,C1859)),MAX($B$1:B1858)+1,0)</f>
        <v>0</v>
      </c>
      <c r="D1859" s="33">
        <f>IF(ISNUMBER(SEARCH('Φόρμα Εισαγωγής'!$C$2,E1859)),MAX($D$1:D1858)+1,0)</f>
        <v>0</v>
      </c>
      <c r="H1859" s="6">
        <f t="shared" si="98"/>
        <v>0</v>
      </c>
      <c r="I1859" s="6">
        <f t="shared" si="99"/>
        <v>0</v>
      </c>
      <c r="J1859" s="6">
        <f t="shared" si="100"/>
        <v>0</v>
      </c>
      <c r="L1859" s="4" t="str">
        <f>IFERROR(VLOOKUP(ROWS($L$2:L1859),$B$2:$C$1996,2,0),"")</f>
        <v/>
      </c>
      <c r="N1859" s="2" t="str">
        <f>IFERROR(VLOOKUP(ROWS($N$2:N1859),$D$2:$E$1996,2,0),"")</f>
        <v/>
      </c>
    </row>
    <row r="1860" spans="2:14">
      <c r="B1860" s="32">
        <f>IF(ISNUMBER(SEARCH('Φόρμα Εισαγωγής'!$B$2,C1860)),MAX($B$1:B1859)+1,0)</f>
        <v>0</v>
      </c>
      <c r="D1860" s="33">
        <f>IF(ISNUMBER(SEARCH('Φόρμα Εισαγωγής'!$C$2,E1860)),MAX($D$1:D1859)+1,0)</f>
        <v>0</v>
      </c>
      <c r="H1860" s="6">
        <f t="shared" si="98"/>
        <v>0</v>
      </c>
      <c r="I1860" s="6">
        <f t="shared" si="99"/>
        <v>0</v>
      </c>
      <c r="J1860" s="6">
        <f t="shared" si="100"/>
        <v>0</v>
      </c>
      <c r="L1860" s="4" t="str">
        <f>IFERROR(VLOOKUP(ROWS($L$2:L1860),$B$2:$C$1996,2,0),"")</f>
        <v/>
      </c>
      <c r="N1860" s="2" t="str">
        <f>IFERROR(VLOOKUP(ROWS($N$2:N1860),$D$2:$E$1996,2,0),"")</f>
        <v/>
      </c>
    </row>
    <row r="1861" spans="2:14">
      <c r="B1861" s="32">
        <f>IF(ISNUMBER(SEARCH('Φόρμα Εισαγωγής'!$B$2,C1861)),MAX($B$1:B1860)+1,0)</f>
        <v>0</v>
      </c>
      <c r="D1861" s="33">
        <f>IF(ISNUMBER(SEARCH('Φόρμα Εισαγωγής'!$C$2,E1861)),MAX($D$1:D1860)+1,0)</f>
        <v>0</v>
      </c>
      <c r="H1861" s="6">
        <f t="shared" si="98"/>
        <v>0</v>
      </c>
      <c r="I1861" s="6">
        <f t="shared" si="99"/>
        <v>0</v>
      </c>
      <c r="J1861" s="6">
        <f t="shared" si="100"/>
        <v>0</v>
      </c>
      <c r="L1861" s="4" t="str">
        <f>IFERROR(VLOOKUP(ROWS($L$2:L1861),$B$2:$C$1996,2,0),"")</f>
        <v/>
      </c>
      <c r="N1861" s="2" t="str">
        <f>IFERROR(VLOOKUP(ROWS($N$2:N1861),$D$2:$E$1996,2,0),"")</f>
        <v/>
      </c>
    </row>
    <row r="1862" spans="2:14">
      <c r="B1862" s="32">
        <f>IF(ISNUMBER(SEARCH('Φόρμα Εισαγωγής'!$B$2,C1862)),MAX($B$1:B1861)+1,0)</f>
        <v>0</v>
      </c>
      <c r="D1862" s="33">
        <f>IF(ISNUMBER(SEARCH('Φόρμα Εισαγωγής'!$C$2,E1862)),MAX($D$1:D1861)+1,0)</f>
        <v>0</v>
      </c>
      <c r="H1862" s="6">
        <f t="shared" si="98"/>
        <v>0</v>
      </c>
      <c r="I1862" s="6">
        <f t="shared" si="99"/>
        <v>0</v>
      </c>
      <c r="J1862" s="6">
        <f t="shared" si="100"/>
        <v>0</v>
      </c>
      <c r="L1862" s="4" t="str">
        <f>IFERROR(VLOOKUP(ROWS($L$2:L1862),$B$2:$C$1996,2,0),"")</f>
        <v/>
      </c>
      <c r="N1862" s="2" t="str">
        <f>IFERROR(VLOOKUP(ROWS($N$2:N1862),$D$2:$E$1996,2,0),"")</f>
        <v/>
      </c>
    </row>
    <row r="1863" spans="2:14">
      <c r="B1863" s="32">
        <f>IF(ISNUMBER(SEARCH('Φόρμα Εισαγωγής'!$B$2,C1863)),MAX($B$1:B1862)+1,0)</f>
        <v>0</v>
      </c>
      <c r="D1863" s="33">
        <f>IF(ISNUMBER(SEARCH('Φόρμα Εισαγωγής'!$C$2,E1863)),MAX($D$1:D1862)+1,0)</f>
        <v>0</v>
      </c>
      <c r="H1863" s="6">
        <f t="shared" si="98"/>
        <v>0</v>
      </c>
      <c r="I1863" s="6">
        <f t="shared" si="99"/>
        <v>0</v>
      </c>
      <c r="J1863" s="6">
        <f t="shared" si="100"/>
        <v>0</v>
      </c>
      <c r="L1863" s="4" t="str">
        <f>IFERROR(VLOOKUP(ROWS($L$2:L1863),$B$2:$C$1996,2,0),"")</f>
        <v/>
      </c>
      <c r="N1863" s="2" t="str">
        <f>IFERROR(VLOOKUP(ROWS($N$2:N1863),$D$2:$E$1996,2,0),"")</f>
        <v/>
      </c>
    </row>
    <row r="1864" spans="2:14">
      <c r="B1864" s="32">
        <f>IF(ISNUMBER(SEARCH('Φόρμα Εισαγωγής'!$B$2,C1864)),MAX($B$1:B1863)+1,0)</f>
        <v>0</v>
      </c>
      <c r="D1864" s="33">
        <f>IF(ISNUMBER(SEARCH('Φόρμα Εισαγωγής'!$C$2,E1864)),MAX($D$1:D1863)+1,0)</f>
        <v>0</v>
      </c>
      <c r="H1864" s="6">
        <f t="shared" si="98"/>
        <v>0</v>
      </c>
      <c r="I1864" s="6">
        <f t="shared" si="99"/>
        <v>0</v>
      </c>
      <c r="J1864" s="6">
        <f t="shared" si="100"/>
        <v>0</v>
      </c>
      <c r="L1864" s="4" t="str">
        <f>IFERROR(VLOOKUP(ROWS($L$2:L1864),$B$2:$C$1996,2,0),"")</f>
        <v/>
      </c>
      <c r="N1864" s="2" t="str">
        <f>IFERROR(VLOOKUP(ROWS($N$2:N1864),$D$2:$E$1996,2,0),"")</f>
        <v/>
      </c>
    </row>
    <row r="1865" spans="2:14">
      <c r="B1865" s="32">
        <f>IF(ISNUMBER(SEARCH('Φόρμα Εισαγωγής'!$B$2,C1865)),MAX($B$1:B1864)+1,0)</f>
        <v>0</v>
      </c>
      <c r="D1865" s="33">
        <f>IF(ISNUMBER(SEARCH('Φόρμα Εισαγωγής'!$C$2,E1865)),MAX($D$1:D1864)+1,0)</f>
        <v>0</v>
      </c>
      <c r="H1865" s="6">
        <f t="shared" si="98"/>
        <v>0</v>
      </c>
      <c r="I1865" s="6">
        <f t="shared" si="99"/>
        <v>0</v>
      </c>
      <c r="J1865" s="6">
        <f t="shared" si="100"/>
        <v>0</v>
      </c>
      <c r="L1865" s="4" t="str">
        <f>IFERROR(VLOOKUP(ROWS($L$2:L1865),$B$2:$C$1996,2,0),"")</f>
        <v/>
      </c>
      <c r="N1865" s="2" t="str">
        <f>IFERROR(VLOOKUP(ROWS($N$2:N1865),$D$2:$E$1996,2,0),"")</f>
        <v/>
      </c>
    </row>
    <row r="1866" spans="2:14">
      <c r="B1866" s="32">
        <f>IF(ISNUMBER(SEARCH('Φόρμα Εισαγωγής'!$B$2,C1866)),MAX($B$1:B1865)+1,0)</f>
        <v>0</v>
      </c>
      <c r="D1866" s="33">
        <f>IF(ISNUMBER(SEARCH('Φόρμα Εισαγωγής'!$C$2,E1866)),MAX($D$1:D1865)+1,0)</f>
        <v>0</v>
      </c>
      <c r="H1866" s="6">
        <f t="shared" si="98"/>
        <v>0</v>
      </c>
      <c r="I1866" s="6">
        <f t="shared" si="99"/>
        <v>0</v>
      </c>
      <c r="J1866" s="6">
        <f t="shared" si="100"/>
        <v>0</v>
      </c>
      <c r="L1866" s="4" t="str">
        <f>IFERROR(VLOOKUP(ROWS($L$2:L1866),$B$2:$C$1996,2,0),"")</f>
        <v/>
      </c>
      <c r="N1866" s="2" t="str">
        <f>IFERROR(VLOOKUP(ROWS($N$2:N1866),$D$2:$E$1996,2,0),"")</f>
        <v/>
      </c>
    </row>
    <row r="1867" spans="2:14">
      <c r="B1867" s="32">
        <f>IF(ISNUMBER(SEARCH('Φόρμα Εισαγωγής'!$B$2,C1867)),MAX($B$1:B1866)+1,0)</f>
        <v>0</v>
      </c>
      <c r="D1867" s="33">
        <f>IF(ISNUMBER(SEARCH('Φόρμα Εισαγωγής'!$C$2,E1867)),MAX($D$1:D1866)+1,0)</f>
        <v>0</v>
      </c>
      <c r="H1867" s="6">
        <f t="shared" si="98"/>
        <v>0</v>
      </c>
      <c r="I1867" s="6">
        <f t="shared" si="99"/>
        <v>0</v>
      </c>
      <c r="J1867" s="6">
        <f t="shared" si="100"/>
        <v>0</v>
      </c>
      <c r="L1867" s="4" t="str">
        <f>IFERROR(VLOOKUP(ROWS($L$2:L1867),$B$2:$C$1996,2,0),"")</f>
        <v/>
      </c>
      <c r="N1867" s="2" t="str">
        <f>IFERROR(VLOOKUP(ROWS($N$2:N1867),$D$2:$E$1996,2,0),"")</f>
        <v/>
      </c>
    </row>
    <row r="1868" spans="2:14">
      <c r="B1868" s="32">
        <f>IF(ISNUMBER(SEARCH('Φόρμα Εισαγωγής'!$B$2,C1868)),MAX($B$1:B1867)+1,0)</f>
        <v>0</v>
      </c>
      <c r="D1868" s="33">
        <f>IF(ISNUMBER(SEARCH('Φόρμα Εισαγωγής'!$C$2,E1868)),MAX($D$1:D1867)+1,0)</f>
        <v>0</v>
      </c>
      <c r="H1868" s="6">
        <f t="shared" si="98"/>
        <v>0</v>
      </c>
      <c r="I1868" s="6">
        <f t="shared" si="99"/>
        <v>0</v>
      </c>
      <c r="J1868" s="6">
        <f t="shared" si="100"/>
        <v>0</v>
      </c>
      <c r="L1868" s="4" t="str">
        <f>IFERROR(VLOOKUP(ROWS($L$2:L1868),$B$2:$C$1996,2,0),"")</f>
        <v/>
      </c>
      <c r="N1868" s="2" t="str">
        <f>IFERROR(VLOOKUP(ROWS($N$2:N1868),$D$2:$E$1996,2,0),"")</f>
        <v/>
      </c>
    </row>
    <row r="1869" spans="2:14">
      <c r="B1869" s="32">
        <f>IF(ISNUMBER(SEARCH('Φόρμα Εισαγωγής'!$B$2,C1869)),MAX($B$1:B1868)+1,0)</f>
        <v>0</v>
      </c>
      <c r="D1869" s="33">
        <f>IF(ISNUMBER(SEARCH('Φόρμα Εισαγωγής'!$C$2,E1869)),MAX($D$1:D1868)+1,0)</f>
        <v>0</v>
      </c>
      <c r="H1869" s="6">
        <f t="shared" si="98"/>
        <v>0</v>
      </c>
      <c r="I1869" s="6">
        <f t="shared" si="99"/>
        <v>0</v>
      </c>
      <c r="J1869" s="6">
        <f t="shared" si="100"/>
        <v>0</v>
      </c>
      <c r="L1869" s="4" t="str">
        <f>IFERROR(VLOOKUP(ROWS($L$2:L1869),$B$2:$C$1996,2,0),"")</f>
        <v/>
      </c>
      <c r="N1869" s="2" t="str">
        <f>IFERROR(VLOOKUP(ROWS($N$2:N1869),$D$2:$E$1996,2,0),"")</f>
        <v/>
      </c>
    </row>
    <row r="1870" spans="2:14">
      <c r="B1870" s="32">
        <f>IF(ISNUMBER(SEARCH('Φόρμα Εισαγωγής'!$B$2,C1870)),MAX($B$1:B1869)+1,0)</f>
        <v>0</v>
      </c>
      <c r="D1870" s="33">
        <f>IF(ISNUMBER(SEARCH('Φόρμα Εισαγωγής'!$C$2,E1870)),MAX($D$1:D1869)+1,0)</f>
        <v>0</v>
      </c>
      <c r="H1870" s="6">
        <f t="shared" si="98"/>
        <v>0</v>
      </c>
      <c r="I1870" s="6">
        <f t="shared" si="99"/>
        <v>0</v>
      </c>
      <c r="J1870" s="6">
        <f t="shared" si="100"/>
        <v>0</v>
      </c>
      <c r="L1870" s="4" t="str">
        <f>IFERROR(VLOOKUP(ROWS($L$2:L1870),$B$2:$C$1996,2,0),"")</f>
        <v/>
      </c>
      <c r="N1870" s="2" t="str">
        <f>IFERROR(VLOOKUP(ROWS($N$2:N1870),$D$2:$E$1996,2,0),"")</f>
        <v/>
      </c>
    </row>
    <row r="1871" spans="2:14">
      <c r="B1871" s="32">
        <f>IF(ISNUMBER(SEARCH('Φόρμα Εισαγωγής'!$B$2,C1871)),MAX($B$1:B1870)+1,0)</f>
        <v>0</v>
      </c>
      <c r="D1871" s="33">
        <f>IF(ISNUMBER(SEARCH('Φόρμα Εισαγωγής'!$C$2,E1871)),MAX($D$1:D1870)+1,0)</f>
        <v>0</v>
      </c>
      <c r="H1871" s="6">
        <f t="shared" si="98"/>
        <v>0</v>
      </c>
      <c r="I1871" s="6">
        <f t="shared" si="99"/>
        <v>0</v>
      </c>
      <c r="J1871" s="6">
        <f t="shared" si="100"/>
        <v>0</v>
      </c>
      <c r="L1871" s="4" t="str">
        <f>IFERROR(VLOOKUP(ROWS($L$2:L1871),$B$2:$C$1996,2,0),"")</f>
        <v/>
      </c>
      <c r="N1871" s="2" t="str">
        <f>IFERROR(VLOOKUP(ROWS($N$2:N1871),$D$2:$E$1996,2,0),"")</f>
        <v/>
      </c>
    </row>
    <row r="1872" spans="2:14">
      <c r="B1872" s="32">
        <f>IF(ISNUMBER(SEARCH('Φόρμα Εισαγωγής'!$B$2,C1872)),MAX($B$1:B1871)+1,0)</f>
        <v>0</v>
      </c>
      <c r="D1872" s="33">
        <f>IF(ISNUMBER(SEARCH('Φόρμα Εισαγωγής'!$C$2,E1872)),MAX($D$1:D1871)+1,0)</f>
        <v>0</v>
      </c>
      <c r="H1872" s="6">
        <f t="shared" si="98"/>
        <v>0</v>
      </c>
      <c r="I1872" s="6">
        <f t="shared" si="99"/>
        <v>0</v>
      </c>
      <c r="J1872" s="6">
        <f t="shared" si="100"/>
        <v>0</v>
      </c>
      <c r="L1872" s="4" t="str">
        <f>IFERROR(VLOOKUP(ROWS($L$2:L1872),$B$2:$C$1996,2,0),"")</f>
        <v/>
      </c>
      <c r="N1872" s="2" t="str">
        <f>IFERROR(VLOOKUP(ROWS($N$2:N1872),$D$2:$E$1996,2,0),"")</f>
        <v/>
      </c>
    </row>
    <row r="1873" spans="2:14">
      <c r="B1873" s="32">
        <f>IF(ISNUMBER(SEARCH('Φόρμα Εισαγωγής'!$B$2,C1873)),MAX($B$1:B1872)+1,0)</f>
        <v>0</v>
      </c>
      <c r="D1873" s="33">
        <f>IF(ISNUMBER(SEARCH('Φόρμα Εισαγωγής'!$C$2,E1873)),MAX($D$1:D1872)+1,0)</f>
        <v>0</v>
      </c>
      <c r="H1873" s="6">
        <f t="shared" si="98"/>
        <v>0</v>
      </c>
      <c r="I1873" s="6">
        <f t="shared" si="99"/>
        <v>0</v>
      </c>
      <c r="J1873" s="6">
        <f t="shared" si="100"/>
        <v>0</v>
      </c>
      <c r="L1873" s="4" t="str">
        <f>IFERROR(VLOOKUP(ROWS($L$2:L1873),$B$2:$C$1996,2,0),"")</f>
        <v/>
      </c>
      <c r="N1873" s="2" t="str">
        <f>IFERROR(VLOOKUP(ROWS($N$2:N1873),$D$2:$E$1996,2,0),"")</f>
        <v/>
      </c>
    </row>
    <row r="1874" spans="2:14">
      <c r="B1874" s="32">
        <f>IF(ISNUMBER(SEARCH('Φόρμα Εισαγωγής'!$B$2,C1874)),MAX($B$1:B1873)+1,0)</f>
        <v>0</v>
      </c>
      <c r="D1874" s="33">
        <f>IF(ISNUMBER(SEARCH('Φόρμα Εισαγωγής'!$C$2,E1874)),MAX($D$1:D1873)+1,0)</f>
        <v>0</v>
      </c>
      <c r="H1874" s="6">
        <f t="shared" si="98"/>
        <v>0</v>
      </c>
      <c r="I1874" s="6">
        <f t="shared" si="99"/>
        <v>0</v>
      </c>
      <c r="J1874" s="6">
        <f t="shared" si="100"/>
        <v>0</v>
      </c>
      <c r="L1874" s="4" t="str">
        <f>IFERROR(VLOOKUP(ROWS($L$2:L1874),$B$2:$C$1996,2,0),"")</f>
        <v/>
      </c>
      <c r="N1874" s="2" t="str">
        <f>IFERROR(VLOOKUP(ROWS($N$2:N1874),$D$2:$E$1996,2,0),"")</f>
        <v/>
      </c>
    </row>
    <row r="1875" spans="2:14">
      <c r="B1875" s="32">
        <f>IF(ISNUMBER(SEARCH('Φόρμα Εισαγωγής'!$B$2,C1875)),MAX($B$1:B1874)+1,0)</f>
        <v>0</v>
      </c>
      <c r="D1875" s="33">
        <f>IF(ISNUMBER(SEARCH('Φόρμα Εισαγωγής'!$C$2,E1875)),MAX($D$1:D1874)+1,0)</f>
        <v>0</v>
      </c>
      <c r="H1875" s="6">
        <f t="shared" si="98"/>
        <v>0</v>
      </c>
      <c r="I1875" s="6">
        <f t="shared" si="99"/>
        <v>0</v>
      </c>
      <c r="J1875" s="6">
        <f t="shared" si="100"/>
        <v>0</v>
      </c>
      <c r="L1875" s="4" t="str">
        <f>IFERROR(VLOOKUP(ROWS($L$2:L1875),$B$2:$C$1996,2,0),"")</f>
        <v/>
      </c>
      <c r="N1875" s="2" t="str">
        <f>IFERROR(VLOOKUP(ROWS($N$2:N1875),$D$2:$E$1996,2,0),"")</f>
        <v/>
      </c>
    </row>
    <row r="1876" spans="2:14">
      <c r="B1876" s="32">
        <f>IF(ISNUMBER(SEARCH('Φόρμα Εισαγωγής'!$B$2,C1876)),MAX($B$1:B1875)+1,0)</f>
        <v>0</v>
      </c>
      <c r="D1876" s="33">
        <f>IF(ISNUMBER(SEARCH('Φόρμα Εισαγωγής'!$C$2,E1876)),MAX($D$1:D1875)+1,0)</f>
        <v>0</v>
      </c>
      <c r="H1876" s="6">
        <f t="shared" si="98"/>
        <v>0</v>
      </c>
      <c r="I1876" s="6">
        <f t="shared" si="99"/>
        <v>0</v>
      </c>
      <c r="J1876" s="6">
        <f t="shared" si="100"/>
        <v>0</v>
      </c>
      <c r="L1876" s="4" t="str">
        <f>IFERROR(VLOOKUP(ROWS($L$2:L1876),$B$2:$C$1996,2,0),"")</f>
        <v/>
      </c>
      <c r="N1876" s="2" t="str">
        <f>IFERROR(VLOOKUP(ROWS($N$2:N1876),$D$2:$E$1996,2,0),"")</f>
        <v/>
      </c>
    </row>
    <row r="1877" spans="2:14">
      <c r="B1877" s="32">
        <f>IF(ISNUMBER(SEARCH('Φόρμα Εισαγωγής'!$B$2,C1877)),MAX($B$1:B1876)+1,0)</f>
        <v>0</v>
      </c>
      <c r="D1877" s="33">
        <f>IF(ISNUMBER(SEARCH('Φόρμα Εισαγωγής'!$C$2,E1877)),MAX($D$1:D1876)+1,0)</f>
        <v>0</v>
      </c>
      <c r="H1877" s="6">
        <f t="shared" si="98"/>
        <v>0</v>
      </c>
      <c r="I1877" s="6">
        <f t="shared" si="99"/>
        <v>0</v>
      </c>
      <c r="J1877" s="6">
        <f t="shared" si="100"/>
        <v>0</v>
      </c>
      <c r="L1877" s="4" t="str">
        <f>IFERROR(VLOOKUP(ROWS($L$2:L1877),$B$2:$C$1996,2,0),"")</f>
        <v/>
      </c>
      <c r="N1877" s="2" t="str">
        <f>IFERROR(VLOOKUP(ROWS($N$2:N1877),$D$2:$E$1996,2,0),"")</f>
        <v/>
      </c>
    </row>
    <row r="1878" spans="2:14">
      <c r="B1878" s="32">
        <f>IF(ISNUMBER(SEARCH('Φόρμα Εισαγωγής'!$B$2,C1878)),MAX($B$1:B1877)+1,0)</f>
        <v>0</v>
      </c>
      <c r="D1878" s="33">
        <f>IF(ISNUMBER(SEARCH('Φόρμα Εισαγωγής'!$C$2,E1878)),MAX($D$1:D1877)+1,0)</f>
        <v>0</v>
      </c>
      <c r="H1878" s="6">
        <f t="shared" si="98"/>
        <v>0</v>
      </c>
      <c r="I1878" s="6">
        <f t="shared" si="99"/>
        <v>0</v>
      </c>
      <c r="J1878" s="6">
        <f t="shared" si="100"/>
        <v>0</v>
      </c>
      <c r="L1878" s="4" t="str">
        <f>IFERROR(VLOOKUP(ROWS($L$2:L1878),$B$2:$C$1996,2,0),"")</f>
        <v/>
      </c>
      <c r="N1878" s="2" t="str">
        <f>IFERROR(VLOOKUP(ROWS($N$2:N1878),$D$2:$E$1996,2,0),"")</f>
        <v/>
      </c>
    </row>
    <row r="1879" spans="2:14">
      <c r="B1879" s="32">
        <f>IF(ISNUMBER(SEARCH('Φόρμα Εισαγωγής'!$B$2,C1879)),MAX($B$1:B1878)+1,0)</f>
        <v>0</v>
      </c>
      <c r="D1879" s="33">
        <f>IF(ISNUMBER(SEARCH('Φόρμα Εισαγωγής'!$C$2,E1879)),MAX($D$1:D1878)+1,0)</f>
        <v>0</v>
      </c>
      <c r="H1879" s="6">
        <f t="shared" si="98"/>
        <v>0</v>
      </c>
      <c r="I1879" s="6">
        <f t="shared" si="99"/>
        <v>0</v>
      </c>
      <c r="J1879" s="6">
        <f t="shared" si="100"/>
        <v>0</v>
      </c>
      <c r="L1879" s="4" t="str">
        <f>IFERROR(VLOOKUP(ROWS($L$2:L1879),$B$2:$C$1996,2,0),"")</f>
        <v/>
      </c>
      <c r="N1879" s="2" t="str">
        <f>IFERROR(VLOOKUP(ROWS($N$2:N1879),$D$2:$E$1996,2,0),"")</f>
        <v/>
      </c>
    </row>
    <row r="1880" spans="2:14">
      <c r="B1880" s="32">
        <f>IF(ISNUMBER(SEARCH('Φόρμα Εισαγωγής'!$B$2,C1880)),MAX($B$1:B1879)+1,0)</f>
        <v>0</v>
      </c>
      <c r="D1880" s="33">
        <f>IF(ISNUMBER(SEARCH('Φόρμα Εισαγωγής'!$C$2,E1880)),MAX($D$1:D1879)+1,0)</f>
        <v>0</v>
      </c>
      <c r="H1880" s="6">
        <f t="shared" si="98"/>
        <v>0</v>
      </c>
      <c r="I1880" s="6">
        <f t="shared" si="99"/>
        <v>0</v>
      </c>
      <c r="J1880" s="6">
        <f t="shared" si="100"/>
        <v>0</v>
      </c>
      <c r="L1880" s="4" t="str">
        <f>IFERROR(VLOOKUP(ROWS($L$2:L1880),$B$2:$C$1996,2,0),"")</f>
        <v/>
      </c>
      <c r="N1880" s="2" t="str">
        <f>IFERROR(VLOOKUP(ROWS($N$2:N1880),$D$2:$E$1996,2,0),"")</f>
        <v/>
      </c>
    </row>
    <row r="1881" spans="2:14">
      <c r="B1881" s="32">
        <f>IF(ISNUMBER(SEARCH('Φόρμα Εισαγωγής'!$B$2,C1881)),MAX($B$1:B1880)+1,0)</f>
        <v>0</v>
      </c>
      <c r="D1881" s="33">
        <f>IF(ISNUMBER(SEARCH('Φόρμα Εισαγωγής'!$C$2,E1881)),MAX($D$1:D1880)+1,0)</f>
        <v>0</v>
      </c>
      <c r="H1881" s="6">
        <f t="shared" si="98"/>
        <v>0</v>
      </c>
      <c r="I1881" s="6">
        <f t="shared" si="99"/>
        <v>0</v>
      </c>
      <c r="J1881" s="6">
        <f t="shared" si="100"/>
        <v>0</v>
      </c>
      <c r="L1881" s="4" t="str">
        <f>IFERROR(VLOOKUP(ROWS($L$2:L1881),$B$2:$C$1996,2,0),"")</f>
        <v/>
      </c>
      <c r="N1881" s="2" t="str">
        <f>IFERROR(VLOOKUP(ROWS($N$2:N1881),$D$2:$E$1996,2,0),"")</f>
        <v/>
      </c>
    </row>
    <row r="1882" spans="2:14">
      <c r="B1882" s="32">
        <f>IF(ISNUMBER(SEARCH('Φόρμα Εισαγωγής'!$B$2,C1882)),MAX($B$1:B1881)+1,0)</f>
        <v>0</v>
      </c>
      <c r="D1882" s="33">
        <f>IF(ISNUMBER(SEARCH('Φόρμα Εισαγωγής'!$C$2,E1882)),MAX($D$1:D1881)+1,0)</f>
        <v>0</v>
      </c>
      <c r="H1882" s="6">
        <f t="shared" si="98"/>
        <v>0</v>
      </c>
      <c r="I1882" s="6">
        <f t="shared" si="99"/>
        <v>0</v>
      </c>
      <c r="J1882" s="6">
        <f t="shared" si="100"/>
        <v>0</v>
      </c>
      <c r="L1882" s="4" t="str">
        <f>IFERROR(VLOOKUP(ROWS($L$2:L1882),$B$2:$C$1996,2,0),"")</f>
        <v/>
      </c>
      <c r="N1882" s="2" t="str">
        <f>IFERROR(VLOOKUP(ROWS($N$2:N1882),$D$2:$E$1996,2,0),"")</f>
        <v/>
      </c>
    </row>
    <row r="1883" spans="2:14">
      <c r="B1883" s="32">
        <f>IF(ISNUMBER(SEARCH('Φόρμα Εισαγωγής'!$B$2,C1883)),MAX($B$1:B1882)+1,0)</f>
        <v>0</v>
      </c>
      <c r="D1883" s="33">
        <f>IF(ISNUMBER(SEARCH('Φόρμα Εισαγωγής'!$C$2,E1883)),MAX($D$1:D1882)+1,0)</f>
        <v>0</v>
      </c>
      <c r="H1883" s="6">
        <f t="shared" si="98"/>
        <v>0</v>
      </c>
      <c r="I1883" s="6">
        <f t="shared" si="99"/>
        <v>0</v>
      </c>
      <c r="J1883" s="6">
        <f t="shared" si="100"/>
        <v>0</v>
      </c>
      <c r="L1883" s="4" t="str">
        <f>IFERROR(VLOOKUP(ROWS($L$2:L1883),$B$2:$C$1996,2,0),"")</f>
        <v/>
      </c>
      <c r="N1883" s="2" t="str">
        <f>IFERROR(VLOOKUP(ROWS($N$2:N1883),$D$2:$E$1996,2,0),"")</f>
        <v/>
      </c>
    </row>
    <row r="1884" spans="2:14">
      <c r="B1884" s="32">
        <f>IF(ISNUMBER(SEARCH('Φόρμα Εισαγωγής'!$B$2,C1884)),MAX($B$1:B1883)+1,0)</f>
        <v>0</v>
      </c>
      <c r="D1884" s="33">
        <f>IF(ISNUMBER(SEARCH('Φόρμα Εισαγωγής'!$C$2,E1884)),MAX($D$1:D1883)+1,0)</f>
        <v>0</v>
      </c>
      <c r="H1884" s="6">
        <f t="shared" si="98"/>
        <v>0</v>
      </c>
      <c r="I1884" s="6">
        <f t="shared" si="99"/>
        <v>0</v>
      </c>
      <c r="J1884" s="6">
        <f t="shared" si="100"/>
        <v>0</v>
      </c>
      <c r="L1884" s="4" t="str">
        <f>IFERROR(VLOOKUP(ROWS($L$2:L1884),$B$2:$C$1996,2,0),"")</f>
        <v/>
      </c>
      <c r="N1884" s="2" t="str">
        <f>IFERROR(VLOOKUP(ROWS($N$2:N1884),$D$2:$E$1996,2,0),"")</f>
        <v/>
      </c>
    </row>
    <row r="1885" spans="2:14">
      <c r="B1885" s="32">
        <f>IF(ISNUMBER(SEARCH('Φόρμα Εισαγωγής'!$B$2,C1885)),MAX($B$1:B1884)+1,0)</f>
        <v>0</v>
      </c>
      <c r="D1885" s="33">
        <f>IF(ISNUMBER(SEARCH('Φόρμα Εισαγωγής'!$C$2,E1885)),MAX($D$1:D1884)+1,0)</f>
        <v>0</v>
      </c>
      <c r="H1885" s="6">
        <f t="shared" si="98"/>
        <v>0</v>
      </c>
      <c r="I1885" s="6">
        <f t="shared" si="99"/>
        <v>0</v>
      </c>
      <c r="J1885" s="6">
        <f t="shared" si="100"/>
        <v>0</v>
      </c>
      <c r="L1885" s="4" t="str">
        <f>IFERROR(VLOOKUP(ROWS($L$2:L1885),$B$2:$C$1996,2,0),"")</f>
        <v/>
      </c>
      <c r="N1885" s="2" t="str">
        <f>IFERROR(VLOOKUP(ROWS($N$2:N1885),$D$2:$E$1996,2,0),"")</f>
        <v/>
      </c>
    </row>
    <row r="1886" spans="2:14">
      <c r="B1886" s="32">
        <f>IF(ISNUMBER(SEARCH('Φόρμα Εισαγωγής'!$B$2,C1886)),MAX($B$1:B1885)+1,0)</f>
        <v>0</v>
      </c>
      <c r="D1886" s="33">
        <f>IF(ISNUMBER(SEARCH('Φόρμα Εισαγωγής'!$C$2,E1886)),MAX($D$1:D1885)+1,0)</f>
        <v>0</v>
      </c>
      <c r="H1886" s="6">
        <f t="shared" si="98"/>
        <v>0</v>
      </c>
      <c r="I1886" s="6">
        <f t="shared" si="99"/>
        <v>0</v>
      </c>
      <c r="J1886" s="6">
        <f t="shared" si="100"/>
        <v>0</v>
      </c>
      <c r="L1886" s="4" t="str">
        <f>IFERROR(VLOOKUP(ROWS($L$2:L1886),$B$2:$C$1996,2,0),"")</f>
        <v/>
      </c>
      <c r="N1886" s="2" t="str">
        <f>IFERROR(VLOOKUP(ROWS($N$2:N1886),$D$2:$E$1996,2,0),"")</f>
        <v/>
      </c>
    </row>
    <row r="1887" spans="2:14">
      <c r="B1887" s="32">
        <f>IF(ISNUMBER(SEARCH('Φόρμα Εισαγωγής'!$B$2,C1887)),MAX($B$1:B1886)+1,0)</f>
        <v>0</v>
      </c>
      <c r="D1887" s="33">
        <f>IF(ISNUMBER(SEARCH('Φόρμα Εισαγωγής'!$C$2,E1887)),MAX($D$1:D1886)+1,0)</f>
        <v>0</v>
      </c>
      <c r="H1887" s="6">
        <f t="shared" si="98"/>
        <v>0</v>
      </c>
      <c r="I1887" s="6">
        <f t="shared" si="99"/>
        <v>0</v>
      </c>
      <c r="J1887" s="6">
        <f t="shared" si="100"/>
        <v>0</v>
      </c>
      <c r="L1887" s="4" t="str">
        <f>IFERROR(VLOOKUP(ROWS($L$2:L1887),$B$2:$C$1996,2,0),"")</f>
        <v/>
      </c>
      <c r="N1887" s="2" t="str">
        <f>IFERROR(VLOOKUP(ROWS($N$2:N1887),$D$2:$E$1996,2,0),"")</f>
        <v/>
      </c>
    </row>
    <row r="1888" spans="2:14">
      <c r="B1888" s="32">
        <f>IF(ISNUMBER(SEARCH('Φόρμα Εισαγωγής'!$B$2,C1888)),MAX($B$1:B1887)+1,0)</f>
        <v>0</v>
      </c>
      <c r="D1888" s="33">
        <f>IF(ISNUMBER(SEARCH('Φόρμα Εισαγωγής'!$C$2,E1888)),MAX($D$1:D1887)+1,0)</f>
        <v>0</v>
      </c>
      <c r="H1888" s="6">
        <f t="shared" si="98"/>
        <v>0</v>
      </c>
      <c r="I1888" s="6">
        <f t="shared" si="99"/>
        <v>0</v>
      </c>
      <c r="J1888" s="6">
        <f t="shared" si="100"/>
        <v>0</v>
      </c>
      <c r="L1888" s="4" t="str">
        <f>IFERROR(VLOOKUP(ROWS($L$2:L1888),$B$2:$C$1996,2,0),"")</f>
        <v/>
      </c>
      <c r="N1888" s="2" t="str">
        <f>IFERROR(VLOOKUP(ROWS($N$2:N1888),$D$2:$E$1996,2,0),"")</f>
        <v/>
      </c>
    </row>
    <row r="1889" spans="2:14">
      <c r="B1889" s="32">
        <f>IF(ISNUMBER(SEARCH('Φόρμα Εισαγωγής'!$B$2,C1889)),MAX($B$1:B1888)+1,0)</f>
        <v>0</v>
      </c>
      <c r="D1889" s="33">
        <f>IF(ISNUMBER(SEARCH('Φόρμα Εισαγωγής'!$C$2,E1889)),MAX($D$1:D1888)+1,0)</f>
        <v>0</v>
      </c>
      <c r="H1889" s="6">
        <f t="shared" si="98"/>
        <v>0</v>
      </c>
      <c r="I1889" s="6">
        <f t="shared" si="99"/>
        <v>0</v>
      </c>
      <c r="J1889" s="6">
        <f t="shared" si="100"/>
        <v>0</v>
      </c>
      <c r="L1889" s="4" t="str">
        <f>IFERROR(VLOOKUP(ROWS($L$2:L1889),$B$2:$C$1996,2,0),"")</f>
        <v/>
      </c>
      <c r="N1889" s="2" t="str">
        <f>IFERROR(VLOOKUP(ROWS($N$2:N1889),$D$2:$E$1996,2,0),"")</f>
        <v/>
      </c>
    </row>
    <row r="1890" spans="2:14">
      <c r="B1890" s="32">
        <f>IF(ISNUMBER(SEARCH('Φόρμα Εισαγωγής'!$B$2,C1890)),MAX($B$1:B1889)+1,0)</f>
        <v>0</v>
      </c>
      <c r="D1890" s="33">
        <f>IF(ISNUMBER(SEARCH('Φόρμα Εισαγωγής'!$C$2,E1890)),MAX($D$1:D1889)+1,0)</f>
        <v>0</v>
      </c>
      <c r="H1890" s="6">
        <f t="shared" si="98"/>
        <v>0</v>
      </c>
      <c r="I1890" s="6">
        <f t="shared" si="99"/>
        <v>0</v>
      </c>
      <c r="J1890" s="6">
        <f t="shared" si="100"/>
        <v>0</v>
      </c>
      <c r="L1890" s="4" t="str">
        <f>IFERROR(VLOOKUP(ROWS($L$2:L1890),$B$2:$C$1996,2,0),"")</f>
        <v/>
      </c>
      <c r="N1890" s="2" t="str">
        <f>IFERROR(VLOOKUP(ROWS($N$2:N1890),$D$2:$E$1996,2,0),"")</f>
        <v/>
      </c>
    </row>
    <row r="1891" spans="2:14">
      <c r="B1891" s="32">
        <f>IF(ISNUMBER(SEARCH('Φόρμα Εισαγωγής'!$B$2,C1891)),MAX($B$1:B1890)+1,0)</f>
        <v>0</v>
      </c>
      <c r="D1891" s="33">
        <f>IF(ISNUMBER(SEARCH('Φόρμα Εισαγωγής'!$C$2,E1891)),MAX($D$1:D1890)+1,0)</f>
        <v>0</v>
      </c>
      <c r="H1891" s="6">
        <f t="shared" si="98"/>
        <v>0</v>
      </c>
      <c r="I1891" s="6">
        <f t="shared" si="99"/>
        <v>0</v>
      </c>
      <c r="J1891" s="6">
        <f t="shared" si="100"/>
        <v>0</v>
      </c>
      <c r="L1891" s="4" t="str">
        <f>IFERROR(VLOOKUP(ROWS($L$2:L1891),$B$2:$C$1996,2,0),"")</f>
        <v/>
      </c>
      <c r="N1891" s="2" t="str">
        <f>IFERROR(VLOOKUP(ROWS($N$2:N1891),$D$2:$E$1996,2,0),"")</f>
        <v/>
      </c>
    </row>
    <row r="1892" spans="2:14">
      <c r="B1892" s="32">
        <f>IF(ISNUMBER(SEARCH('Φόρμα Εισαγωγής'!$B$2,C1892)),MAX($B$1:B1891)+1,0)</f>
        <v>0</v>
      </c>
      <c r="D1892" s="33">
        <f>IF(ISNUMBER(SEARCH('Φόρμα Εισαγωγής'!$C$2,E1892)),MAX($D$1:D1891)+1,0)</f>
        <v>0</v>
      </c>
      <c r="H1892" s="6">
        <f t="shared" si="98"/>
        <v>0</v>
      </c>
      <c r="I1892" s="6">
        <f t="shared" si="99"/>
        <v>0</v>
      </c>
      <c r="J1892" s="6">
        <f t="shared" si="100"/>
        <v>0</v>
      </c>
      <c r="L1892" s="4" t="str">
        <f>IFERROR(VLOOKUP(ROWS($L$2:L1892),$B$2:$C$1996,2,0),"")</f>
        <v/>
      </c>
      <c r="N1892" s="2" t="str">
        <f>IFERROR(VLOOKUP(ROWS($N$2:N1892),$D$2:$E$1996,2,0),"")</f>
        <v/>
      </c>
    </row>
    <row r="1893" spans="2:14">
      <c r="B1893" s="32">
        <f>IF(ISNUMBER(SEARCH('Φόρμα Εισαγωγής'!$B$2,C1893)),MAX($B$1:B1892)+1,0)</f>
        <v>0</v>
      </c>
      <c r="D1893" s="33">
        <f>IF(ISNUMBER(SEARCH('Φόρμα Εισαγωγής'!$C$2,E1893)),MAX($D$1:D1892)+1,0)</f>
        <v>0</v>
      </c>
      <c r="H1893" s="6">
        <f t="shared" si="98"/>
        <v>0</v>
      </c>
      <c r="I1893" s="6">
        <f t="shared" si="99"/>
        <v>0</v>
      </c>
      <c r="J1893" s="6">
        <f t="shared" si="100"/>
        <v>0</v>
      </c>
      <c r="L1893" s="4" t="str">
        <f>IFERROR(VLOOKUP(ROWS($L$2:L1893),$B$2:$C$1996,2,0),"")</f>
        <v/>
      </c>
      <c r="N1893" s="2" t="str">
        <f>IFERROR(VLOOKUP(ROWS($N$2:N1893),$D$2:$E$1996,2,0),"")</f>
        <v/>
      </c>
    </row>
    <row r="1894" spans="2:14">
      <c r="B1894" s="32">
        <f>IF(ISNUMBER(SEARCH('Φόρμα Εισαγωγής'!$B$2,C1894)),MAX($B$1:B1893)+1,0)</f>
        <v>0</v>
      </c>
      <c r="D1894" s="33">
        <f>IF(ISNUMBER(SEARCH('Φόρμα Εισαγωγής'!$C$2,E1894)),MAX($D$1:D1893)+1,0)</f>
        <v>0</v>
      </c>
      <c r="H1894" s="6">
        <f t="shared" si="98"/>
        <v>0</v>
      </c>
      <c r="I1894" s="6">
        <f t="shared" si="99"/>
        <v>0</v>
      </c>
      <c r="J1894" s="6">
        <f t="shared" si="100"/>
        <v>0</v>
      </c>
      <c r="L1894" s="4" t="str">
        <f>IFERROR(VLOOKUP(ROWS($L$2:L1894),$B$2:$C$1996,2,0),"")</f>
        <v/>
      </c>
      <c r="N1894" s="2" t="str">
        <f>IFERROR(VLOOKUP(ROWS($N$2:N1894),$D$2:$E$1996,2,0),"")</f>
        <v/>
      </c>
    </row>
    <row r="1895" spans="2:14">
      <c r="B1895" s="32">
        <f>IF(ISNUMBER(SEARCH('Φόρμα Εισαγωγής'!$B$2,C1895)),MAX($B$1:B1894)+1,0)</f>
        <v>0</v>
      </c>
      <c r="D1895" s="33">
        <f>IF(ISNUMBER(SEARCH('Φόρμα Εισαγωγής'!$C$2,E1895)),MAX($D$1:D1894)+1,0)</f>
        <v>0</v>
      </c>
      <c r="H1895" s="6">
        <f t="shared" si="98"/>
        <v>0</v>
      </c>
      <c r="I1895" s="6">
        <f t="shared" si="99"/>
        <v>0</v>
      </c>
      <c r="J1895" s="6">
        <f t="shared" si="100"/>
        <v>0</v>
      </c>
      <c r="L1895" s="4" t="str">
        <f>IFERROR(VLOOKUP(ROWS($L$2:L1895),$B$2:$C$1996,2,0),"")</f>
        <v/>
      </c>
      <c r="N1895" s="2" t="str">
        <f>IFERROR(VLOOKUP(ROWS($N$2:N1895),$D$2:$E$1996,2,0),"")</f>
        <v/>
      </c>
    </row>
    <row r="1896" spans="2:14">
      <c r="B1896" s="32">
        <f>IF(ISNUMBER(SEARCH('Φόρμα Εισαγωγής'!$B$2,C1896)),MAX($B$1:B1895)+1,0)</f>
        <v>0</v>
      </c>
      <c r="D1896" s="33">
        <f>IF(ISNUMBER(SEARCH('Φόρμα Εισαγωγής'!$C$2,E1896)),MAX($D$1:D1895)+1,0)</f>
        <v>0</v>
      </c>
      <c r="H1896" s="6">
        <f t="shared" si="98"/>
        <v>0</v>
      </c>
      <c r="I1896" s="6">
        <f t="shared" si="99"/>
        <v>0</v>
      </c>
      <c r="J1896" s="6">
        <f t="shared" si="100"/>
        <v>0</v>
      </c>
      <c r="L1896" s="4" t="str">
        <f>IFERROR(VLOOKUP(ROWS($L$2:L1896),$B$2:$C$1996,2,0),"")</f>
        <v/>
      </c>
      <c r="N1896" s="2" t="str">
        <f>IFERROR(VLOOKUP(ROWS($N$2:N1896),$D$2:$E$1996,2,0),"")</f>
        <v/>
      </c>
    </row>
    <row r="1897" spans="2:14">
      <c r="B1897" s="32">
        <f>IF(ISNUMBER(SEARCH('Φόρμα Εισαγωγής'!$B$2,C1897)),MAX($B$1:B1896)+1,0)</f>
        <v>0</v>
      </c>
      <c r="D1897" s="33">
        <f>IF(ISNUMBER(SEARCH('Φόρμα Εισαγωγής'!$C$2,E1897)),MAX($D$1:D1896)+1,0)</f>
        <v>0</v>
      </c>
      <c r="H1897" s="6">
        <f t="shared" si="98"/>
        <v>0</v>
      </c>
      <c r="I1897" s="6">
        <f t="shared" si="99"/>
        <v>0</v>
      </c>
      <c r="J1897" s="6">
        <f t="shared" si="100"/>
        <v>0</v>
      </c>
      <c r="L1897" s="4" t="str">
        <f>IFERROR(VLOOKUP(ROWS($L$2:L1897),$B$2:$C$1996,2,0),"")</f>
        <v/>
      </c>
      <c r="N1897" s="2" t="str">
        <f>IFERROR(VLOOKUP(ROWS($N$2:N1897),$D$2:$E$1996,2,0),"")</f>
        <v/>
      </c>
    </row>
    <row r="1898" spans="2:14">
      <c r="B1898" s="32">
        <f>IF(ISNUMBER(SEARCH('Φόρμα Εισαγωγής'!$B$2,C1898)),MAX($B$1:B1897)+1,0)</f>
        <v>0</v>
      </c>
      <c r="D1898" s="33">
        <f>IF(ISNUMBER(SEARCH('Φόρμα Εισαγωγής'!$C$2,E1898)),MAX($D$1:D1897)+1,0)</f>
        <v>0</v>
      </c>
      <c r="H1898" s="6">
        <f t="shared" si="98"/>
        <v>0</v>
      </c>
      <c r="I1898" s="6">
        <f t="shared" si="99"/>
        <v>0</v>
      </c>
      <c r="J1898" s="6">
        <f t="shared" si="100"/>
        <v>0</v>
      </c>
      <c r="L1898" s="4" t="str">
        <f>IFERROR(VLOOKUP(ROWS($L$2:L1898),$B$2:$C$1996,2,0),"")</f>
        <v/>
      </c>
      <c r="N1898" s="2" t="str">
        <f>IFERROR(VLOOKUP(ROWS($N$2:N1898),$D$2:$E$1996,2,0),"")</f>
        <v/>
      </c>
    </row>
    <row r="1899" spans="2:14">
      <c r="B1899" s="32">
        <f>IF(ISNUMBER(SEARCH('Φόρμα Εισαγωγής'!$B$2,C1899)),MAX($B$1:B1898)+1,0)</f>
        <v>0</v>
      </c>
      <c r="D1899" s="33">
        <f>IF(ISNUMBER(SEARCH('Φόρμα Εισαγωγής'!$C$2,E1899)),MAX($D$1:D1898)+1,0)</f>
        <v>0</v>
      </c>
      <c r="H1899" s="6">
        <f t="shared" si="98"/>
        <v>0</v>
      </c>
      <c r="I1899" s="6">
        <f t="shared" si="99"/>
        <v>0</v>
      </c>
      <c r="J1899" s="6">
        <f t="shared" si="100"/>
        <v>0</v>
      </c>
      <c r="L1899" s="4" t="str">
        <f>IFERROR(VLOOKUP(ROWS($L$2:L1899),$B$2:$C$1996,2,0),"")</f>
        <v/>
      </c>
      <c r="N1899" s="2" t="str">
        <f>IFERROR(VLOOKUP(ROWS($N$2:N1899),$D$2:$E$1996,2,0),"")</f>
        <v/>
      </c>
    </row>
    <row r="1900" spans="2:14">
      <c r="B1900" s="32">
        <f>IF(ISNUMBER(SEARCH('Φόρμα Εισαγωγής'!$B$2,C1900)),MAX($B$1:B1899)+1,0)</f>
        <v>0</v>
      </c>
      <c r="D1900" s="33">
        <f>IF(ISNUMBER(SEARCH('Φόρμα Εισαγωγής'!$C$2,E1900)),MAX($D$1:D1899)+1,0)</f>
        <v>0</v>
      </c>
      <c r="H1900" s="6">
        <f t="shared" si="98"/>
        <v>0</v>
      </c>
      <c r="I1900" s="6">
        <f t="shared" si="99"/>
        <v>0</v>
      </c>
      <c r="J1900" s="6">
        <f t="shared" si="100"/>
        <v>0</v>
      </c>
      <c r="L1900" s="4" t="str">
        <f>IFERROR(VLOOKUP(ROWS($L$2:L1900),$B$2:$C$1996,2,0),"")</f>
        <v/>
      </c>
      <c r="N1900" s="2" t="str">
        <f>IFERROR(VLOOKUP(ROWS($N$2:N1900),$D$2:$E$1996,2,0),"")</f>
        <v/>
      </c>
    </row>
    <row r="1901" spans="2:14">
      <c r="B1901" s="32">
        <f>IF(ISNUMBER(SEARCH('Φόρμα Εισαγωγής'!$B$2,C1901)),MAX($B$1:B1900)+1,0)</f>
        <v>0</v>
      </c>
      <c r="D1901" s="33">
        <f>IF(ISNUMBER(SEARCH('Φόρμα Εισαγωγής'!$C$2,E1901)),MAX($D$1:D1900)+1,0)</f>
        <v>0</v>
      </c>
      <c r="H1901" s="6">
        <f t="shared" si="98"/>
        <v>0</v>
      </c>
      <c r="I1901" s="6">
        <f t="shared" si="99"/>
        <v>0</v>
      </c>
      <c r="J1901" s="6">
        <f t="shared" si="100"/>
        <v>0</v>
      </c>
      <c r="L1901" s="4" t="str">
        <f>IFERROR(VLOOKUP(ROWS($L$2:L1901),$B$2:$C$1996,2,0),"")</f>
        <v/>
      </c>
      <c r="N1901" s="2" t="str">
        <f>IFERROR(VLOOKUP(ROWS($N$2:N1901),$D$2:$E$1996,2,0),"")</f>
        <v/>
      </c>
    </row>
    <row r="1902" spans="2:14">
      <c r="B1902" s="32">
        <f>IF(ISNUMBER(SEARCH('Φόρμα Εισαγωγής'!$B$2,C1902)),MAX($B$1:B1901)+1,0)</f>
        <v>0</v>
      </c>
      <c r="D1902" s="33">
        <f>IF(ISNUMBER(SEARCH('Φόρμα Εισαγωγής'!$C$2,E1902)),MAX($D$1:D1901)+1,0)</f>
        <v>0</v>
      </c>
      <c r="H1902" s="6">
        <f t="shared" si="98"/>
        <v>0</v>
      </c>
      <c r="I1902" s="6">
        <f t="shared" si="99"/>
        <v>0</v>
      </c>
      <c r="J1902" s="6">
        <f t="shared" si="100"/>
        <v>0</v>
      </c>
      <c r="L1902" s="4" t="str">
        <f>IFERROR(VLOOKUP(ROWS($L$2:L1902),$B$2:$C$1996,2,0),"")</f>
        <v/>
      </c>
      <c r="N1902" s="2" t="str">
        <f>IFERROR(VLOOKUP(ROWS($N$2:N1902),$D$2:$E$1996,2,0),"")</f>
        <v/>
      </c>
    </row>
    <row r="1903" spans="2:14">
      <c r="B1903" s="32">
        <f>IF(ISNUMBER(SEARCH('Φόρμα Εισαγωγής'!$B$2,C1903)),MAX($B$1:B1902)+1,0)</f>
        <v>0</v>
      </c>
      <c r="D1903" s="33">
        <f>IF(ISNUMBER(SEARCH('Φόρμα Εισαγωγής'!$C$2,E1903)),MAX($D$1:D1902)+1,0)</f>
        <v>0</v>
      </c>
      <c r="H1903" s="6">
        <f t="shared" si="98"/>
        <v>0</v>
      </c>
      <c r="I1903" s="6">
        <f t="shared" si="99"/>
        <v>0</v>
      </c>
      <c r="J1903" s="6">
        <f t="shared" si="100"/>
        <v>0</v>
      </c>
      <c r="L1903" s="4" t="str">
        <f>IFERROR(VLOOKUP(ROWS($L$2:L1903),$B$2:$C$1996,2,0),"")</f>
        <v/>
      </c>
      <c r="N1903" s="2" t="str">
        <f>IFERROR(VLOOKUP(ROWS($N$2:N1903),$D$2:$E$1996,2,0),"")</f>
        <v/>
      </c>
    </row>
    <row r="1904" spans="2:14">
      <c r="B1904" s="32">
        <f>IF(ISNUMBER(SEARCH('Φόρμα Εισαγωγής'!$B$2,C1904)),MAX($B$1:B1903)+1,0)</f>
        <v>0</v>
      </c>
      <c r="D1904" s="33">
        <f>IF(ISNUMBER(SEARCH('Φόρμα Εισαγωγής'!$C$2,E1904)),MAX($D$1:D1903)+1,0)</f>
        <v>0</v>
      </c>
      <c r="H1904" s="6">
        <f t="shared" si="98"/>
        <v>0</v>
      </c>
      <c r="I1904" s="6">
        <f t="shared" si="99"/>
        <v>0</v>
      </c>
      <c r="J1904" s="6">
        <f t="shared" si="100"/>
        <v>0</v>
      </c>
      <c r="L1904" s="4" t="str">
        <f>IFERROR(VLOOKUP(ROWS($L$2:L1904),$B$2:$C$1996,2,0),"")</f>
        <v/>
      </c>
      <c r="N1904" s="2" t="str">
        <f>IFERROR(VLOOKUP(ROWS($N$2:N1904),$D$2:$E$1996,2,0),"")</f>
        <v/>
      </c>
    </row>
    <row r="1905" spans="2:14">
      <c r="B1905" s="32">
        <f>IF(ISNUMBER(SEARCH('Φόρμα Εισαγωγής'!$B$2,C1905)),MAX($B$1:B1904)+1,0)</f>
        <v>0</v>
      </c>
      <c r="D1905" s="33">
        <f>IF(ISNUMBER(SEARCH('Φόρμα Εισαγωγής'!$C$2,E1905)),MAX($D$1:D1904)+1,0)</f>
        <v>0</v>
      </c>
      <c r="H1905" s="6">
        <f t="shared" si="98"/>
        <v>0</v>
      </c>
      <c r="I1905" s="6">
        <f t="shared" si="99"/>
        <v>0</v>
      </c>
      <c r="J1905" s="6">
        <f t="shared" si="100"/>
        <v>0</v>
      </c>
      <c r="L1905" s="4" t="str">
        <f>IFERROR(VLOOKUP(ROWS($L$2:L1905),$B$2:$C$1996,2,0),"")</f>
        <v/>
      </c>
      <c r="N1905" s="2" t="str">
        <f>IFERROR(VLOOKUP(ROWS($N$2:N1905),$D$2:$E$1996,2,0),"")</f>
        <v/>
      </c>
    </row>
    <row r="1906" spans="2:14">
      <c r="B1906" s="32">
        <f>IF(ISNUMBER(SEARCH('Φόρμα Εισαγωγής'!$B$2,C1906)),MAX($B$1:B1905)+1,0)</f>
        <v>0</v>
      </c>
      <c r="D1906" s="33">
        <f>IF(ISNUMBER(SEARCH('Φόρμα Εισαγωγής'!$C$2,E1906)),MAX($D$1:D1905)+1,0)</f>
        <v>0</v>
      </c>
      <c r="H1906" s="6">
        <f t="shared" si="98"/>
        <v>0</v>
      </c>
      <c r="I1906" s="6">
        <f t="shared" si="99"/>
        <v>0</v>
      </c>
      <c r="J1906" s="6">
        <f t="shared" si="100"/>
        <v>0</v>
      </c>
      <c r="L1906" s="4" t="str">
        <f>IFERROR(VLOOKUP(ROWS($L$2:L1906),$B$2:$C$1996,2,0),"")</f>
        <v/>
      </c>
      <c r="N1906" s="2" t="str">
        <f>IFERROR(VLOOKUP(ROWS($N$2:N1906),$D$2:$E$1996,2,0),"")</f>
        <v/>
      </c>
    </row>
    <row r="1907" spans="2:14">
      <c r="B1907" s="32">
        <f>IF(ISNUMBER(SEARCH('Φόρμα Εισαγωγής'!$B$2,C1907)),MAX($B$1:B1906)+1,0)</f>
        <v>0</v>
      </c>
      <c r="D1907" s="33">
        <f>IF(ISNUMBER(SEARCH('Φόρμα Εισαγωγής'!$C$2,E1907)),MAX($D$1:D1906)+1,0)</f>
        <v>0</v>
      </c>
      <c r="H1907" s="6">
        <f t="shared" si="98"/>
        <v>0</v>
      </c>
      <c r="I1907" s="6">
        <f t="shared" si="99"/>
        <v>0</v>
      </c>
      <c r="J1907" s="6">
        <f t="shared" si="100"/>
        <v>0</v>
      </c>
      <c r="L1907" s="4" t="str">
        <f>IFERROR(VLOOKUP(ROWS($L$2:L1907),$B$2:$C$1996,2,0),"")</f>
        <v/>
      </c>
      <c r="N1907" s="2" t="str">
        <f>IFERROR(VLOOKUP(ROWS($N$2:N1907),$D$2:$E$1996,2,0),"")</f>
        <v/>
      </c>
    </row>
    <row r="1908" spans="2:14">
      <c r="B1908" s="32">
        <f>IF(ISNUMBER(SEARCH('Φόρμα Εισαγωγής'!$B$2,C1908)),MAX($B$1:B1907)+1,0)</f>
        <v>0</v>
      </c>
      <c r="D1908" s="33">
        <f>IF(ISNUMBER(SEARCH('Φόρμα Εισαγωγής'!$C$2,E1908)),MAX($D$1:D1907)+1,0)</f>
        <v>0</v>
      </c>
      <c r="H1908" s="6">
        <f t="shared" si="98"/>
        <v>0</v>
      </c>
      <c r="I1908" s="6">
        <f t="shared" si="99"/>
        <v>0</v>
      </c>
      <c r="J1908" s="6">
        <f t="shared" si="100"/>
        <v>0</v>
      </c>
      <c r="L1908" s="4" t="str">
        <f>IFERROR(VLOOKUP(ROWS($L$2:L1908),$B$2:$C$1996,2,0),"")</f>
        <v/>
      </c>
      <c r="N1908" s="2" t="str">
        <f>IFERROR(VLOOKUP(ROWS($N$2:N1908),$D$2:$E$1996,2,0),"")</f>
        <v/>
      </c>
    </row>
    <row r="1909" spans="2:14">
      <c r="B1909" s="32">
        <f>IF(ISNUMBER(SEARCH('Φόρμα Εισαγωγής'!$B$2,C1909)),MAX($B$1:B1908)+1,0)</f>
        <v>0</v>
      </c>
      <c r="D1909" s="33">
        <f>IF(ISNUMBER(SEARCH('Φόρμα Εισαγωγής'!$C$2,E1909)),MAX($D$1:D1908)+1,0)</f>
        <v>0</v>
      </c>
      <c r="H1909" s="6">
        <f t="shared" si="98"/>
        <v>0</v>
      </c>
      <c r="I1909" s="6">
        <f t="shared" si="99"/>
        <v>0</v>
      </c>
      <c r="J1909" s="6">
        <f t="shared" si="100"/>
        <v>0</v>
      </c>
      <c r="L1909" s="4" t="str">
        <f>IFERROR(VLOOKUP(ROWS($L$2:L1909),$B$2:$C$1996,2,0),"")</f>
        <v/>
      </c>
      <c r="N1909" s="2" t="str">
        <f>IFERROR(VLOOKUP(ROWS($N$2:N1909),$D$2:$E$1996,2,0),"")</f>
        <v/>
      </c>
    </row>
    <row r="1910" spans="2:14">
      <c r="B1910" s="32">
        <f>IF(ISNUMBER(SEARCH('Φόρμα Εισαγωγής'!$B$2,C1910)),MAX($B$1:B1909)+1,0)</f>
        <v>0</v>
      </c>
      <c r="D1910" s="33">
        <f>IF(ISNUMBER(SEARCH('Φόρμα Εισαγωγής'!$C$2,E1910)),MAX($D$1:D1909)+1,0)</f>
        <v>0</v>
      </c>
      <c r="H1910" s="6">
        <f t="shared" si="98"/>
        <v>0</v>
      </c>
      <c r="I1910" s="6">
        <f t="shared" si="99"/>
        <v>0</v>
      </c>
      <c r="J1910" s="6">
        <f t="shared" si="100"/>
        <v>0</v>
      </c>
      <c r="L1910" s="4" t="str">
        <f>IFERROR(VLOOKUP(ROWS($L$2:L1910),$B$2:$C$1996,2,0),"")</f>
        <v/>
      </c>
      <c r="N1910" s="2" t="str">
        <f>IFERROR(VLOOKUP(ROWS($N$2:N1910),$D$2:$E$1996,2,0),"")</f>
        <v/>
      </c>
    </row>
    <row r="1911" spans="2:14">
      <c r="B1911" s="32">
        <f>IF(ISNUMBER(SEARCH('Φόρμα Εισαγωγής'!$B$2,C1911)),MAX($B$1:B1910)+1,0)</f>
        <v>0</v>
      </c>
      <c r="D1911" s="33">
        <f>IF(ISNUMBER(SEARCH('Φόρμα Εισαγωγής'!$C$2,E1911)),MAX($D$1:D1910)+1,0)</f>
        <v>0</v>
      </c>
      <c r="H1911" s="6">
        <f t="shared" si="98"/>
        <v>0</v>
      </c>
      <c r="I1911" s="6">
        <f t="shared" si="99"/>
        <v>0</v>
      </c>
      <c r="J1911" s="6">
        <f t="shared" si="100"/>
        <v>0</v>
      </c>
      <c r="L1911" s="4" t="str">
        <f>IFERROR(VLOOKUP(ROWS($L$2:L1911),$B$2:$C$1996,2,0),"")</f>
        <v/>
      </c>
      <c r="N1911" s="2" t="str">
        <f>IFERROR(VLOOKUP(ROWS($N$2:N1911),$D$2:$E$1996,2,0),"")</f>
        <v/>
      </c>
    </row>
    <row r="1912" spans="2:14">
      <c r="B1912" s="32">
        <f>IF(ISNUMBER(SEARCH('Φόρμα Εισαγωγής'!$B$2,C1912)),MAX($B$1:B1911)+1,0)</f>
        <v>0</v>
      </c>
      <c r="D1912" s="33">
        <f>IF(ISNUMBER(SEARCH('Φόρμα Εισαγωγής'!$C$2,E1912)),MAX($D$1:D1911)+1,0)</f>
        <v>0</v>
      </c>
      <c r="H1912" s="6">
        <f t="shared" si="98"/>
        <v>0</v>
      </c>
      <c r="I1912" s="6">
        <f t="shared" si="99"/>
        <v>0</v>
      </c>
      <c r="J1912" s="6">
        <f t="shared" si="100"/>
        <v>0</v>
      </c>
      <c r="L1912" s="4" t="str">
        <f>IFERROR(VLOOKUP(ROWS($L$2:L1912),$B$2:$C$1996,2,0),"")</f>
        <v/>
      </c>
      <c r="N1912" s="2" t="str">
        <f>IFERROR(VLOOKUP(ROWS($N$2:N1912),$D$2:$E$1996,2,0),"")</f>
        <v/>
      </c>
    </row>
    <row r="1913" spans="2:14">
      <c r="B1913" s="32">
        <f>IF(ISNUMBER(SEARCH('Φόρμα Εισαγωγής'!$B$2,C1913)),MAX($B$1:B1912)+1,0)</f>
        <v>0</v>
      </c>
      <c r="D1913" s="33">
        <f>IF(ISNUMBER(SEARCH('Φόρμα Εισαγωγής'!$C$2,E1913)),MAX($D$1:D1912)+1,0)</f>
        <v>0</v>
      </c>
      <c r="H1913" s="6">
        <f t="shared" si="98"/>
        <v>0</v>
      </c>
      <c r="I1913" s="6">
        <f t="shared" si="99"/>
        <v>0</v>
      </c>
      <c r="J1913" s="6">
        <f t="shared" si="100"/>
        <v>0</v>
      </c>
      <c r="L1913" s="4" t="str">
        <f>IFERROR(VLOOKUP(ROWS($L$2:L1913),$B$2:$C$1996,2,0),"")</f>
        <v/>
      </c>
      <c r="N1913" s="2" t="str">
        <f>IFERROR(VLOOKUP(ROWS($N$2:N1913),$D$2:$E$1996,2,0),"")</f>
        <v/>
      </c>
    </row>
    <row r="1914" spans="2:14">
      <c r="B1914" s="32">
        <f>IF(ISNUMBER(SEARCH('Φόρμα Εισαγωγής'!$B$2,C1914)),MAX($B$1:B1913)+1,0)</f>
        <v>0</v>
      </c>
      <c r="D1914" s="33">
        <f>IF(ISNUMBER(SEARCH('Φόρμα Εισαγωγής'!$C$2,E1914)),MAX($D$1:D1913)+1,0)</f>
        <v>0</v>
      </c>
      <c r="H1914" s="6">
        <f t="shared" si="98"/>
        <v>0</v>
      </c>
      <c r="I1914" s="6">
        <f t="shared" si="99"/>
        <v>0</v>
      </c>
      <c r="J1914" s="6">
        <f t="shared" si="100"/>
        <v>0</v>
      </c>
      <c r="L1914" s="4" t="str">
        <f>IFERROR(VLOOKUP(ROWS($L$2:L1914),$B$2:$C$1996,2,0),"")</f>
        <v/>
      </c>
      <c r="N1914" s="2" t="str">
        <f>IFERROR(VLOOKUP(ROWS($N$2:N1914),$D$2:$E$1996,2,0),"")</f>
        <v/>
      </c>
    </row>
    <row r="1915" spans="2:14">
      <c r="B1915" s="32">
        <f>IF(ISNUMBER(SEARCH('Φόρμα Εισαγωγής'!$B$2,C1915)),MAX($B$1:B1914)+1,0)</f>
        <v>0</v>
      </c>
      <c r="D1915" s="33">
        <f>IF(ISNUMBER(SEARCH('Φόρμα Εισαγωγής'!$C$2,E1915)),MAX($D$1:D1914)+1,0)</f>
        <v>0</v>
      </c>
      <c r="H1915" s="6">
        <f t="shared" si="98"/>
        <v>0</v>
      </c>
      <c r="I1915" s="6">
        <f t="shared" si="99"/>
        <v>0</v>
      </c>
      <c r="J1915" s="6">
        <f t="shared" si="100"/>
        <v>0</v>
      </c>
      <c r="L1915" s="4" t="str">
        <f>IFERROR(VLOOKUP(ROWS($L$2:L1915),$B$2:$C$1996,2,0),"")</f>
        <v/>
      </c>
      <c r="N1915" s="2" t="str">
        <f>IFERROR(VLOOKUP(ROWS($N$2:N1915),$D$2:$E$1996,2,0),"")</f>
        <v/>
      </c>
    </row>
    <row r="1916" spans="2:14">
      <c r="B1916" s="32">
        <f>IF(ISNUMBER(SEARCH('Φόρμα Εισαγωγής'!$B$2,C1916)),MAX($B$1:B1915)+1,0)</f>
        <v>0</v>
      </c>
      <c r="D1916" s="33">
        <f>IF(ISNUMBER(SEARCH('Φόρμα Εισαγωγής'!$C$2,E1916)),MAX($D$1:D1915)+1,0)</f>
        <v>0</v>
      </c>
      <c r="H1916" s="6">
        <f t="shared" si="98"/>
        <v>0</v>
      </c>
      <c r="I1916" s="6">
        <f t="shared" si="99"/>
        <v>0</v>
      </c>
      <c r="J1916" s="6">
        <f t="shared" si="100"/>
        <v>0</v>
      </c>
      <c r="L1916" s="4" t="str">
        <f>IFERROR(VLOOKUP(ROWS($L$2:L1916),$B$2:$C$1996,2,0),"")</f>
        <v/>
      </c>
      <c r="N1916" s="2" t="str">
        <f>IFERROR(VLOOKUP(ROWS($N$2:N1916),$D$2:$E$1996,2,0),"")</f>
        <v/>
      </c>
    </row>
    <row r="1917" spans="2:14">
      <c r="B1917" s="32">
        <f>IF(ISNUMBER(SEARCH('Φόρμα Εισαγωγής'!$B$2,C1917)),MAX($B$1:B1916)+1,0)</f>
        <v>0</v>
      </c>
      <c r="D1917" s="33">
        <f>IF(ISNUMBER(SEARCH('Φόρμα Εισαγωγής'!$C$2,E1917)),MAX($D$1:D1916)+1,0)</f>
        <v>0</v>
      </c>
      <c r="H1917" s="6">
        <f t="shared" si="98"/>
        <v>0</v>
      </c>
      <c r="I1917" s="6">
        <f t="shared" si="99"/>
        <v>0</v>
      </c>
      <c r="J1917" s="6">
        <f t="shared" si="100"/>
        <v>0</v>
      </c>
      <c r="L1917" s="4" t="str">
        <f>IFERROR(VLOOKUP(ROWS($L$2:L1917),$B$2:$C$1996,2,0),"")</f>
        <v/>
      </c>
      <c r="N1917" s="2" t="str">
        <f>IFERROR(VLOOKUP(ROWS($N$2:N1917),$D$2:$E$1996,2,0),"")</f>
        <v/>
      </c>
    </row>
    <row r="1918" spans="2:14">
      <c r="B1918" s="32">
        <f>IF(ISNUMBER(SEARCH('Φόρμα Εισαγωγής'!$B$2,C1918)),MAX($B$1:B1917)+1,0)</f>
        <v>0</v>
      </c>
      <c r="D1918" s="33">
        <f>IF(ISNUMBER(SEARCH('Φόρμα Εισαγωγής'!$C$2,E1918)),MAX($D$1:D1917)+1,0)</f>
        <v>0</v>
      </c>
      <c r="H1918" s="6">
        <f t="shared" si="98"/>
        <v>0</v>
      </c>
      <c r="I1918" s="6">
        <f t="shared" si="99"/>
        <v>0</v>
      </c>
      <c r="J1918" s="6">
        <f t="shared" si="100"/>
        <v>0</v>
      </c>
      <c r="L1918" s="4" t="str">
        <f>IFERROR(VLOOKUP(ROWS($L$2:L1918),$B$2:$C$1996,2,0),"")</f>
        <v/>
      </c>
      <c r="N1918" s="2" t="str">
        <f>IFERROR(VLOOKUP(ROWS($N$2:N1918),$D$2:$E$1996,2,0),"")</f>
        <v/>
      </c>
    </row>
    <row r="1919" spans="2:14">
      <c r="B1919" s="32">
        <f>IF(ISNUMBER(SEARCH('Φόρμα Εισαγωγής'!$B$2,C1919)),MAX($B$1:B1918)+1,0)</f>
        <v>0</v>
      </c>
      <c r="D1919" s="33">
        <f>IF(ISNUMBER(SEARCH('Φόρμα Εισαγωγής'!$C$2,E1919)),MAX($D$1:D1918)+1,0)</f>
        <v>0</v>
      </c>
      <c r="H1919" s="6">
        <f t="shared" si="98"/>
        <v>0</v>
      </c>
      <c r="I1919" s="6">
        <f t="shared" si="99"/>
        <v>0</v>
      </c>
      <c r="J1919" s="6">
        <f t="shared" si="100"/>
        <v>0</v>
      </c>
      <c r="L1919" s="4" t="str">
        <f>IFERROR(VLOOKUP(ROWS($L$2:L1919),$B$2:$C$1996,2,0),"")</f>
        <v/>
      </c>
      <c r="N1919" s="2" t="str">
        <f>IFERROR(VLOOKUP(ROWS($N$2:N1919),$D$2:$E$1996,2,0),"")</f>
        <v/>
      </c>
    </row>
    <row r="1920" spans="2:14">
      <c r="B1920" s="32">
        <f>IF(ISNUMBER(SEARCH('Φόρμα Εισαγωγής'!$B$2,C1920)),MAX($B$1:B1919)+1,0)</f>
        <v>0</v>
      </c>
      <c r="D1920" s="33">
        <f>IF(ISNUMBER(SEARCH('Φόρμα Εισαγωγής'!$C$2,E1920)),MAX($D$1:D1919)+1,0)</f>
        <v>0</v>
      </c>
      <c r="H1920" s="6">
        <f t="shared" ref="H1920:H1983" si="101">G1920+(G1920*0.24)</f>
        <v>0</v>
      </c>
      <c r="I1920" s="6">
        <f t="shared" ref="I1920:I1983" si="102">F1920*A1920</f>
        <v>0</v>
      </c>
      <c r="J1920" s="6">
        <f t="shared" ref="J1920:J1983" si="103">H1920*A1920</f>
        <v>0</v>
      </c>
      <c r="L1920" s="4" t="str">
        <f>IFERROR(VLOOKUP(ROWS($L$2:L1920),$B$2:$C$1996,2,0),"")</f>
        <v/>
      </c>
      <c r="N1920" s="2" t="str">
        <f>IFERROR(VLOOKUP(ROWS($N$2:N1920),$D$2:$E$1996,2,0),"")</f>
        <v/>
      </c>
    </row>
    <row r="1921" spans="2:14">
      <c r="B1921" s="32">
        <f>IF(ISNUMBER(SEARCH('Φόρμα Εισαγωγής'!$B$2,C1921)),MAX($B$1:B1920)+1,0)</f>
        <v>0</v>
      </c>
      <c r="D1921" s="33">
        <f>IF(ISNUMBER(SEARCH('Φόρμα Εισαγωγής'!$C$2,E1921)),MAX($D$1:D1920)+1,0)</f>
        <v>0</v>
      </c>
      <c r="H1921" s="6">
        <f t="shared" si="101"/>
        <v>0</v>
      </c>
      <c r="I1921" s="6">
        <f t="shared" si="102"/>
        <v>0</v>
      </c>
      <c r="J1921" s="6">
        <f t="shared" si="103"/>
        <v>0</v>
      </c>
      <c r="L1921" s="4" t="str">
        <f>IFERROR(VLOOKUP(ROWS($L$2:L1921),$B$2:$C$1996,2,0),"")</f>
        <v/>
      </c>
      <c r="N1921" s="2" t="str">
        <f>IFERROR(VLOOKUP(ROWS($N$2:N1921),$D$2:$E$1996,2,0),"")</f>
        <v/>
      </c>
    </row>
    <row r="1922" spans="2:14">
      <c r="B1922" s="32">
        <f>IF(ISNUMBER(SEARCH('Φόρμα Εισαγωγής'!$B$2,C1922)),MAX($B$1:B1921)+1,0)</f>
        <v>0</v>
      </c>
      <c r="D1922" s="33">
        <f>IF(ISNUMBER(SEARCH('Φόρμα Εισαγωγής'!$C$2,E1922)),MAX($D$1:D1921)+1,0)</f>
        <v>0</v>
      </c>
      <c r="H1922" s="6">
        <f t="shared" si="101"/>
        <v>0</v>
      </c>
      <c r="I1922" s="6">
        <f t="shared" si="102"/>
        <v>0</v>
      </c>
      <c r="J1922" s="6">
        <f t="shared" si="103"/>
        <v>0</v>
      </c>
      <c r="L1922" s="4" t="str">
        <f>IFERROR(VLOOKUP(ROWS($L$2:L1922),$B$2:$C$1996,2,0),"")</f>
        <v/>
      </c>
      <c r="N1922" s="2" t="str">
        <f>IFERROR(VLOOKUP(ROWS($N$2:N1922),$D$2:$E$1996,2,0),"")</f>
        <v/>
      </c>
    </row>
    <row r="1923" spans="2:14">
      <c r="B1923" s="32">
        <f>IF(ISNUMBER(SEARCH('Φόρμα Εισαγωγής'!$B$2,C1923)),MAX($B$1:B1922)+1,0)</f>
        <v>0</v>
      </c>
      <c r="D1923" s="33">
        <f>IF(ISNUMBER(SEARCH('Φόρμα Εισαγωγής'!$C$2,E1923)),MAX($D$1:D1922)+1,0)</f>
        <v>0</v>
      </c>
      <c r="H1923" s="6">
        <f t="shared" si="101"/>
        <v>0</v>
      </c>
      <c r="I1923" s="6">
        <f t="shared" si="102"/>
        <v>0</v>
      </c>
      <c r="J1923" s="6">
        <f t="shared" si="103"/>
        <v>0</v>
      </c>
      <c r="L1923" s="4" t="str">
        <f>IFERROR(VLOOKUP(ROWS($L$2:L1923),$B$2:$C$1996,2,0),"")</f>
        <v/>
      </c>
      <c r="N1923" s="2" t="str">
        <f>IFERROR(VLOOKUP(ROWS($N$2:N1923),$D$2:$E$1996,2,0),"")</f>
        <v/>
      </c>
    </row>
    <row r="1924" spans="2:14">
      <c r="B1924" s="32">
        <f>IF(ISNUMBER(SEARCH('Φόρμα Εισαγωγής'!$B$2,C1924)),MAX($B$1:B1923)+1,0)</f>
        <v>0</v>
      </c>
      <c r="D1924" s="33">
        <f>IF(ISNUMBER(SEARCH('Φόρμα Εισαγωγής'!$C$2,E1924)),MAX($D$1:D1923)+1,0)</f>
        <v>0</v>
      </c>
      <c r="H1924" s="6">
        <f t="shared" si="101"/>
        <v>0</v>
      </c>
      <c r="I1924" s="6">
        <f t="shared" si="102"/>
        <v>0</v>
      </c>
      <c r="J1924" s="6">
        <f t="shared" si="103"/>
        <v>0</v>
      </c>
      <c r="L1924" s="4" t="str">
        <f>IFERROR(VLOOKUP(ROWS($L$2:L1924),$B$2:$C$1996,2,0),"")</f>
        <v/>
      </c>
      <c r="N1924" s="2" t="str">
        <f>IFERROR(VLOOKUP(ROWS($N$2:N1924),$D$2:$E$1996,2,0),"")</f>
        <v/>
      </c>
    </row>
    <row r="1925" spans="2:14">
      <c r="B1925" s="32">
        <f>IF(ISNUMBER(SEARCH('Φόρμα Εισαγωγής'!$B$2,C1925)),MAX($B$1:B1924)+1,0)</f>
        <v>0</v>
      </c>
      <c r="D1925" s="33">
        <f>IF(ISNUMBER(SEARCH('Φόρμα Εισαγωγής'!$C$2,E1925)),MAX($D$1:D1924)+1,0)</f>
        <v>0</v>
      </c>
      <c r="H1925" s="6">
        <f t="shared" si="101"/>
        <v>0</v>
      </c>
      <c r="I1925" s="6">
        <f t="shared" si="102"/>
        <v>0</v>
      </c>
      <c r="J1925" s="6">
        <f t="shared" si="103"/>
        <v>0</v>
      </c>
      <c r="L1925" s="4" t="str">
        <f>IFERROR(VLOOKUP(ROWS($L$2:L1925),$B$2:$C$1996,2,0),"")</f>
        <v/>
      </c>
      <c r="N1925" s="2" t="str">
        <f>IFERROR(VLOOKUP(ROWS($N$2:N1925),$D$2:$E$1996,2,0),"")</f>
        <v/>
      </c>
    </row>
    <row r="1926" spans="2:14">
      <c r="B1926" s="32">
        <f>IF(ISNUMBER(SEARCH('Φόρμα Εισαγωγής'!$B$2,C1926)),MAX($B$1:B1925)+1,0)</f>
        <v>0</v>
      </c>
      <c r="D1926" s="33">
        <f>IF(ISNUMBER(SEARCH('Φόρμα Εισαγωγής'!$C$2,E1926)),MAX($D$1:D1925)+1,0)</f>
        <v>0</v>
      </c>
      <c r="H1926" s="6">
        <f t="shared" si="101"/>
        <v>0</v>
      </c>
      <c r="I1926" s="6">
        <f t="shared" si="102"/>
        <v>0</v>
      </c>
      <c r="J1926" s="6">
        <f t="shared" si="103"/>
        <v>0</v>
      </c>
      <c r="L1926" s="4" t="str">
        <f>IFERROR(VLOOKUP(ROWS($L$2:L1926),$B$2:$C$1996,2,0),"")</f>
        <v/>
      </c>
      <c r="N1926" s="2" t="str">
        <f>IFERROR(VLOOKUP(ROWS($N$2:N1926),$D$2:$E$1996,2,0),"")</f>
        <v/>
      </c>
    </row>
    <row r="1927" spans="2:14">
      <c r="B1927" s="32">
        <f>IF(ISNUMBER(SEARCH('Φόρμα Εισαγωγής'!$B$2,C1927)),MAX($B$1:B1926)+1,0)</f>
        <v>0</v>
      </c>
      <c r="D1927" s="33">
        <f>IF(ISNUMBER(SEARCH('Φόρμα Εισαγωγής'!$C$2,E1927)),MAX($D$1:D1926)+1,0)</f>
        <v>0</v>
      </c>
      <c r="H1927" s="6">
        <f t="shared" si="101"/>
        <v>0</v>
      </c>
      <c r="I1927" s="6">
        <f t="shared" si="102"/>
        <v>0</v>
      </c>
      <c r="J1927" s="6">
        <f t="shared" si="103"/>
        <v>0</v>
      </c>
      <c r="L1927" s="4" t="str">
        <f>IFERROR(VLOOKUP(ROWS($L$2:L1927),$B$2:$C$1996,2,0),"")</f>
        <v/>
      </c>
      <c r="N1927" s="2" t="str">
        <f>IFERROR(VLOOKUP(ROWS($N$2:N1927),$D$2:$E$1996,2,0),"")</f>
        <v/>
      </c>
    </row>
    <row r="1928" spans="2:14">
      <c r="B1928" s="32">
        <f>IF(ISNUMBER(SEARCH('Φόρμα Εισαγωγής'!$B$2,C1928)),MAX($B$1:B1927)+1,0)</f>
        <v>0</v>
      </c>
      <c r="D1928" s="33">
        <f>IF(ISNUMBER(SEARCH('Φόρμα Εισαγωγής'!$C$2,E1928)),MAX($D$1:D1927)+1,0)</f>
        <v>0</v>
      </c>
      <c r="H1928" s="6">
        <f t="shared" si="101"/>
        <v>0</v>
      </c>
      <c r="I1928" s="6">
        <f t="shared" si="102"/>
        <v>0</v>
      </c>
      <c r="J1928" s="6">
        <f t="shared" si="103"/>
        <v>0</v>
      </c>
      <c r="L1928" s="4" t="str">
        <f>IFERROR(VLOOKUP(ROWS($L$2:L1928),$B$2:$C$1996,2,0),"")</f>
        <v/>
      </c>
      <c r="N1928" s="2" t="str">
        <f>IFERROR(VLOOKUP(ROWS($N$2:N1928),$D$2:$E$1996,2,0),"")</f>
        <v/>
      </c>
    </row>
    <row r="1929" spans="2:14">
      <c r="B1929" s="32">
        <f>IF(ISNUMBER(SEARCH('Φόρμα Εισαγωγής'!$B$2,C1929)),MAX($B$1:B1928)+1,0)</f>
        <v>0</v>
      </c>
      <c r="D1929" s="33">
        <f>IF(ISNUMBER(SEARCH('Φόρμα Εισαγωγής'!$C$2,E1929)),MAX($D$1:D1928)+1,0)</f>
        <v>0</v>
      </c>
      <c r="H1929" s="6">
        <f t="shared" si="101"/>
        <v>0</v>
      </c>
      <c r="I1929" s="6">
        <f t="shared" si="102"/>
        <v>0</v>
      </c>
      <c r="J1929" s="6">
        <f t="shared" si="103"/>
        <v>0</v>
      </c>
      <c r="L1929" s="4" t="str">
        <f>IFERROR(VLOOKUP(ROWS($L$2:L1929),$B$2:$C$1996,2,0),"")</f>
        <v/>
      </c>
      <c r="N1929" s="2" t="str">
        <f>IFERROR(VLOOKUP(ROWS($N$2:N1929),$D$2:$E$1996,2,0),"")</f>
        <v/>
      </c>
    </row>
    <row r="1930" spans="2:14">
      <c r="B1930" s="32">
        <f>IF(ISNUMBER(SEARCH('Φόρμα Εισαγωγής'!$B$2,C1930)),MAX($B$1:B1929)+1,0)</f>
        <v>0</v>
      </c>
      <c r="D1930" s="33">
        <f>IF(ISNUMBER(SEARCH('Φόρμα Εισαγωγής'!$C$2,E1930)),MAX($D$1:D1929)+1,0)</f>
        <v>0</v>
      </c>
      <c r="H1930" s="6">
        <f t="shared" si="101"/>
        <v>0</v>
      </c>
      <c r="I1930" s="6">
        <f t="shared" si="102"/>
        <v>0</v>
      </c>
      <c r="J1930" s="6">
        <f t="shared" si="103"/>
        <v>0</v>
      </c>
      <c r="L1930" s="4" t="str">
        <f>IFERROR(VLOOKUP(ROWS($L$2:L1930),$B$2:$C$1996,2,0),"")</f>
        <v/>
      </c>
      <c r="N1930" s="2" t="str">
        <f>IFERROR(VLOOKUP(ROWS($N$2:N1930),$D$2:$E$1996,2,0),"")</f>
        <v/>
      </c>
    </row>
    <row r="1931" spans="2:14">
      <c r="B1931" s="32">
        <f>IF(ISNUMBER(SEARCH('Φόρμα Εισαγωγής'!$B$2,C1931)),MAX($B$1:B1930)+1,0)</f>
        <v>0</v>
      </c>
      <c r="D1931" s="33">
        <f>IF(ISNUMBER(SEARCH('Φόρμα Εισαγωγής'!$C$2,E1931)),MAX($D$1:D1930)+1,0)</f>
        <v>0</v>
      </c>
      <c r="H1931" s="6">
        <f t="shared" si="101"/>
        <v>0</v>
      </c>
      <c r="I1931" s="6">
        <f t="shared" si="102"/>
        <v>0</v>
      </c>
      <c r="J1931" s="6">
        <f t="shared" si="103"/>
        <v>0</v>
      </c>
      <c r="L1931" s="4" t="str">
        <f>IFERROR(VLOOKUP(ROWS($L$2:L1931),$B$2:$C$1996,2,0),"")</f>
        <v/>
      </c>
      <c r="N1931" s="2" t="str">
        <f>IFERROR(VLOOKUP(ROWS($N$2:N1931),$D$2:$E$1996,2,0),"")</f>
        <v/>
      </c>
    </row>
    <row r="1932" spans="2:14">
      <c r="B1932" s="32">
        <f>IF(ISNUMBER(SEARCH('Φόρμα Εισαγωγής'!$B$2,C1932)),MAX($B$1:B1931)+1,0)</f>
        <v>0</v>
      </c>
      <c r="D1932" s="33">
        <f>IF(ISNUMBER(SEARCH('Φόρμα Εισαγωγής'!$C$2,E1932)),MAX($D$1:D1931)+1,0)</f>
        <v>0</v>
      </c>
      <c r="H1932" s="6">
        <f t="shared" si="101"/>
        <v>0</v>
      </c>
      <c r="I1932" s="6">
        <f t="shared" si="102"/>
        <v>0</v>
      </c>
      <c r="J1932" s="6">
        <f t="shared" si="103"/>
        <v>0</v>
      </c>
      <c r="L1932" s="4" t="str">
        <f>IFERROR(VLOOKUP(ROWS($L$2:L1932),$B$2:$C$1996,2,0),"")</f>
        <v/>
      </c>
      <c r="N1932" s="2" t="str">
        <f>IFERROR(VLOOKUP(ROWS($N$2:N1932),$D$2:$E$1996,2,0),"")</f>
        <v/>
      </c>
    </row>
    <row r="1933" spans="2:14">
      <c r="B1933" s="32">
        <f>IF(ISNUMBER(SEARCH('Φόρμα Εισαγωγής'!$B$2,C1933)),MAX($B$1:B1932)+1,0)</f>
        <v>0</v>
      </c>
      <c r="D1933" s="33">
        <f>IF(ISNUMBER(SEARCH('Φόρμα Εισαγωγής'!$C$2,E1933)),MAX($D$1:D1932)+1,0)</f>
        <v>0</v>
      </c>
      <c r="H1933" s="6">
        <f t="shared" si="101"/>
        <v>0</v>
      </c>
      <c r="I1933" s="6">
        <f t="shared" si="102"/>
        <v>0</v>
      </c>
      <c r="J1933" s="6">
        <f t="shared" si="103"/>
        <v>0</v>
      </c>
      <c r="L1933" s="4" t="str">
        <f>IFERROR(VLOOKUP(ROWS($L$2:L1933),$B$2:$C$1996,2,0),"")</f>
        <v/>
      </c>
      <c r="N1933" s="2" t="str">
        <f>IFERROR(VLOOKUP(ROWS($N$2:N1933),$D$2:$E$1996,2,0),"")</f>
        <v/>
      </c>
    </row>
    <row r="1934" spans="2:14">
      <c r="B1934" s="32">
        <f>IF(ISNUMBER(SEARCH('Φόρμα Εισαγωγής'!$B$2,C1934)),MAX($B$1:B1933)+1,0)</f>
        <v>0</v>
      </c>
      <c r="D1934" s="33">
        <f>IF(ISNUMBER(SEARCH('Φόρμα Εισαγωγής'!$C$2,E1934)),MAX($D$1:D1933)+1,0)</f>
        <v>0</v>
      </c>
      <c r="H1934" s="6">
        <f t="shared" si="101"/>
        <v>0</v>
      </c>
      <c r="I1934" s="6">
        <f t="shared" si="102"/>
        <v>0</v>
      </c>
      <c r="J1934" s="6">
        <f t="shared" si="103"/>
        <v>0</v>
      </c>
      <c r="L1934" s="4" t="str">
        <f>IFERROR(VLOOKUP(ROWS($L$2:L1934),$B$2:$C$1996,2,0),"")</f>
        <v/>
      </c>
      <c r="N1934" s="2" t="str">
        <f>IFERROR(VLOOKUP(ROWS($N$2:N1934),$D$2:$E$1996,2,0),"")</f>
        <v/>
      </c>
    </row>
    <row r="1935" spans="2:14">
      <c r="B1935" s="32">
        <f>IF(ISNUMBER(SEARCH('Φόρμα Εισαγωγής'!$B$2,C1935)),MAX($B$1:B1934)+1,0)</f>
        <v>0</v>
      </c>
      <c r="D1935" s="33">
        <f>IF(ISNUMBER(SEARCH('Φόρμα Εισαγωγής'!$C$2,E1935)),MAX($D$1:D1934)+1,0)</f>
        <v>0</v>
      </c>
      <c r="H1935" s="6">
        <f t="shared" si="101"/>
        <v>0</v>
      </c>
      <c r="I1935" s="6">
        <f t="shared" si="102"/>
        <v>0</v>
      </c>
      <c r="J1935" s="6">
        <f t="shared" si="103"/>
        <v>0</v>
      </c>
      <c r="L1935" s="4" t="str">
        <f>IFERROR(VLOOKUP(ROWS($L$2:L1935),$B$2:$C$1996,2,0),"")</f>
        <v/>
      </c>
      <c r="N1935" s="2" t="str">
        <f>IFERROR(VLOOKUP(ROWS($N$2:N1935),$D$2:$E$1996,2,0),"")</f>
        <v/>
      </c>
    </row>
    <row r="1936" spans="2:14">
      <c r="B1936" s="32">
        <f>IF(ISNUMBER(SEARCH('Φόρμα Εισαγωγής'!$B$2,C1936)),MAX($B$1:B1935)+1,0)</f>
        <v>0</v>
      </c>
      <c r="D1936" s="33">
        <f>IF(ISNUMBER(SEARCH('Φόρμα Εισαγωγής'!$C$2,E1936)),MAX($D$1:D1935)+1,0)</f>
        <v>0</v>
      </c>
      <c r="H1936" s="6">
        <f t="shared" si="101"/>
        <v>0</v>
      </c>
      <c r="I1936" s="6">
        <f t="shared" si="102"/>
        <v>0</v>
      </c>
      <c r="J1936" s="6">
        <f t="shared" si="103"/>
        <v>0</v>
      </c>
      <c r="L1936" s="4" t="str">
        <f>IFERROR(VLOOKUP(ROWS($L$2:L1936),$B$2:$C$1996,2,0),"")</f>
        <v/>
      </c>
      <c r="N1936" s="2" t="str">
        <f>IFERROR(VLOOKUP(ROWS($N$2:N1936),$D$2:$E$1996,2,0),"")</f>
        <v/>
      </c>
    </row>
    <row r="1937" spans="2:14">
      <c r="B1937" s="32">
        <f>IF(ISNUMBER(SEARCH('Φόρμα Εισαγωγής'!$B$2,C1937)),MAX($B$1:B1936)+1,0)</f>
        <v>0</v>
      </c>
      <c r="D1937" s="33">
        <f>IF(ISNUMBER(SEARCH('Φόρμα Εισαγωγής'!$C$2,E1937)),MAX($D$1:D1936)+1,0)</f>
        <v>0</v>
      </c>
      <c r="H1937" s="6">
        <f t="shared" si="101"/>
        <v>0</v>
      </c>
      <c r="I1937" s="6">
        <f t="shared" si="102"/>
        <v>0</v>
      </c>
      <c r="J1937" s="6">
        <f t="shared" si="103"/>
        <v>0</v>
      </c>
      <c r="L1937" s="4" t="str">
        <f>IFERROR(VLOOKUP(ROWS($L$2:L1937),$B$2:$C$1996,2,0),"")</f>
        <v/>
      </c>
      <c r="N1937" s="2" t="str">
        <f>IFERROR(VLOOKUP(ROWS($N$2:N1937),$D$2:$E$1996,2,0),"")</f>
        <v/>
      </c>
    </row>
    <row r="1938" spans="2:14">
      <c r="B1938" s="32">
        <f>IF(ISNUMBER(SEARCH('Φόρμα Εισαγωγής'!$B$2,C1938)),MAX($B$1:B1937)+1,0)</f>
        <v>0</v>
      </c>
      <c r="D1938" s="33">
        <f>IF(ISNUMBER(SEARCH('Φόρμα Εισαγωγής'!$C$2,E1938)),MAX($D$1:D1937)+1,0)</f>
        <v>0</v>
      </c>
      <c r="H1938" s="6">
        <f t="shared" si="101"/>
        <v>0</v>
      </c>
      <c r="I1938" s="6">
        <f t="shared" si="102"/>
        <v>0</v>
      </c>
      <c r="J1938" s="6">
        <f t="shared" si="103"/>
        <v>0</v>
      </c>
      <c r="L1938" s="4" t="str">
        <f>IFERROR(VLOOKUP(ROWS($L$2:L1938),$B$2:$C$1996,2,0),"")</f>
        <v/>
      </c>
      <c r="N1938" s="2" t="str">
        <f>IFERROR(VLOOKUP(ROWS($N$2:N1938),$D$2:$E$1996,2,0),"")</f>
        <v/>
      </c>
    </row>
    <row r="1939" spans="2:14">
      <c r="B1939" s="32">
        <f>IF(ISNUMBER(SEARCH('Φόρμα Εισαγωγής'!$B$2,C1939)),MAX($B$1:B1938)+1,0)</f>
        <v>0</v>
      </c>
      <c r="D1939" s="33">
        <f>IF(ISNUMBER(SEARCH('Φόρμα Εισαγωγής'!$C$2,E1939)),MAX($D$1:D1938)+1,0)</f>
        <v>0</v>
      </c>
      <c r="H1939" s="6">
        <f t="shared" si="101"/>
        <v>0</v>
      </c>
      <c r="I1939" s="6">
        <f t="shared" si="102"/>
        <v>0</v>
      </c>
      <c r="J1939" s="6">
        <f t="shared" si="103"/>
        <v>0</v>
      </c>
      <c r="L1939" s="4" t="str">
        <f>IFERROR(VLOOKUP(ROWS($L$2:L1939),$B$2:$C$1996,2,0),"")</f>
        <v/>
      </c>
      <c r="N1939" s="2" t="str">
        <f>IFERROR(VLOOKUP(ROWS($N$2:N1939),$D$2:$E$1996,2,0),"")</f>
        <v/>
      </c>
    </row>
    <row r="1940" spans="2:14">
      <c r="B1940" s="32">
        <f>IF(ISNUMBER(SEARCH('Φόρμα Εισαγωγής'!$B$2,C1940)),MAX($B$1:B1939)+1,0)</f>
        <v>0</v>
      </c>
      <c r="D1940" s="33">
        <f>IF(ISNUMBER(SEARCH('Φόρμα Εισαγωγής'!$C$2,E1940)),MAX($D$1:D1939)+1,0)</f>
        <v>0</v>
      </c>
      <c r="H1940" s="6">
        <f t="shared" si="101"/>
        <v>0</v>
      </c>
      <c r="I1940" s="6">
        <f t="shared" si="102"/>
        <v>0</v>
      </c>
      <c r="J1940" s="6">
        <f t="shared" si="103"/>
        <v>0</v>
      </c>
      <c r="L1940" s="4" t="str">
        <f>IFERROR(VLOOKUP(ROWS($L$2:L1940),$B$2:$C$1996,2,0),"")</f>
        <v/>
      </c>
      <c r="N1940" s="2" t="str">
        <f>IFERROR(VLOOKUP(ROWS($N$2:N1940),$D$2:$E$1996,2,0),"")</f>
        <v/>
      </c>
    </row>
    <row r="1941" spans="2:14">
      <c r="B1941" s="32">
        <f>IF(ISNUMBER(SEARCH('Φόρμα Εισαγωγής'!$B$2,C1941)),MAX($B$1:B1940)+1,0)</f>
        <v>0</v>
      </c>
      <c r="D1941" s="33">
        <f>IF(ISNUMBER(SEARCH('Φόρμα Εισαγωγής'!$C$2,E1941)),MAX($D$1:D1940)+1,0)</f>
        <v>0</v>
      </c>
      <c r="H1941" s="6">
        <f t="shared" si="101"/>
        <v>0</v>
      </c>
      <c r="I1941" s="6">
        <f t="shared" si="102"/>
        <v>0</v>
      </c>
      <c r="J1941" s="6">
        <f t="shared" si="103"/>
        <v>0</v>
      </c>
      <c r="L1941" s="4" t="str">
        <f>IFERROR(VLOOKUP(ROWS($L$2:L1941),$B$2:$C$1996,2,0),"")</f>
        <v/>
      </c>
      <c r="N1941" s="2" t="str">
        <f>IFERROR(VLOOKUP(ROWS($N$2:N1941),$D$2:$E$1996,2,0),"")</f>
        <v/>
      </c>
    </row>
    <row r="1942" spans="2:14">
      <c r="B1942" s="32">
        <f>IF(ISNUMBER(SEARCH('Φόρμα Εισαγωγής'!$B$2,C1942)),MAX($B$1:B1941)+1,0)</f>
        <v>0</v>
      </c>
      <c r="D1942" s="33">
        <f>IF(ISNUMBER(SEARCH('Φόρμα Εισαγωγής'!$C$2,E1942)),MAX($D$1:D1941)+1,0)</f>
        <v>0</v>
      </c>
      <c r="H1942" s="6">
        <f t="shared" si="101"/>
        <v>0</v>
      </c>
      <c r="I1942" s="6">
        <f t="shared" si="102"/>
        <v>0</v>
      </c>
      <c r="J1942" s="6">
        <f t="shared" si="103"/>
        <v>0</v>
      </c>
      <c r="L1942" s="4" t="str">
        <f>IFERROR(VLOOKUP(ROWS($L$2:L1942),$B$2:$C$1996,2,0),"")</f>
        <v/>
      </c>
      <c r="N1942" s="2" t="str">
        <f>IFERROR(VLOOKUP(ROWS($N$2:N1942),$D$2:$E$1996,2,0),"")</f>
        <v/>
      </c>
    </row>
    <row r="1943" spans="2:14">
      <c r="B1943" s="32">
        <f>IF(ISNUMBER(SEARCH('Φόρμα Εισαγωγής'!$B$2,C1943)),MAX($B$1:B1942)+1,0)</f>
        <v>0</v>
      </c>
      <c r="D1943" s="33">
        <f>IF(ISNUMBER(SEARCH('Φόρμα Εισαγωγής'!$C$2,E1943)),MAX($D$1:D1942)+1,0)</f>
        <v>0</v>
      </c>
      <c r="H1943" s="6">
        <f t="shared" si="101"/>
        <v>0</v>
      </c>
      <c r="I1943" s="6">
        <f t="shared" si="102"/>
        <v>0</v>
      </c>
      <c r="J1943" s="6">
        <f t="shared" si="103"/>
        <v>0</v>
      </c>
      <c r="L1943" s="4" t="str">
        <f>IFERROR(VLOOKUP(ROWS($L$2:L1943),$B$2:$C$1996,2,0),"")</f>
        <v/>
      </c>
      <c r="N1943" s="2" t="str">
        <f>IFERROR(VLOOKUP(ROWS($N$2:N1943),$D$2:$E$1996,2,0),"")</f>
        <v/>
      </c>
    </row>
    <row r="1944" spans="2:14">
      <c r="B1944" s="32">
        <f>IF(ISNUMBER(SEARCH('Φόρμα Εισαγωγής'!$B$2,C1944)),MAX($B$1:B1943)+1,0)</f>
        <v>0</v>
      </c>
      <c r="D1944" s="33">
        <f>IF(ISNUMBER(SEARCH('Φόρμα Εισαγωγής'!$C$2,E1944)),MAX($D$1:D1943)+1,0)</f>
        <v>0</v>
      </c>
      <c r="H1944" s="6">
        <f t="shared" si="101"/>
        <v>0</v>
      </c>
      <c r="I1944" s="6">
        <f t="shared" si="102"/>
        <v>0</v>
      </c>
      <c r="J1944" s="6">
        <f t="shared" si="103"/>
        <v>0</v>
      </c>
      <c r="L1944" s="4" t="str">
        <f>IFERROR(VLOOKUP(ROWS($L$2:L1944),$B$2:$C$1996,2,0),"")</f>
        <v/>
      </c>
      <c r="N1944" s="2" t="str">
        <f>IFERROR(VLOOKUP(ROWS($N$2:N1944),$D$2:$E$1996,2,0),"")</f>
        <v/>
      </c>
    </row>
    <row r="1945" spans="2:14">
      <c r="B1945" s="32">
        <f>IF(ISNUMBER(SEARCH('Φόρμα Εισαγωγής'!$B$2,C1945)),MAX($B$1:B1944)+1,0)</f>
        <v>0</v>
      </c>
      <c r="D1945" s="33">
        <f>IF(ISNUMBER(SEARCH('Φόρμα Εισαγωγής'!$C$2,E1945)),MAX($D$1:D1944)+1,0)</f>
        <v>0</v>
      </c>
      <c r="H1945" s="6">
        <f t="shared" si="101"/>
        <v>0</v>
      </c>
      <c r="I1945" s="6">
        <f t="shared" si="102"/>
        <v>0</v>
      </c>
      <c r="J1945" s="6">
        <f t="shared" si="103"/>
        <v>0</v>
      </c>
      <c r="L1945" s="4" t="str">
        <f>IFERROR(VLOOKUP(ROWS($L$2:L1945),$B$2:$C$1996,2,0),"")</f>
        <v/>
      </c>
      <c r="N1945" s="2" t="str">
        <f>IFERROR(VLOOKUP(ROWS($N$2:N1945),$D$2:$E$1996,2,0),"")</f>
        <v/>
      </c>
    </row>
    <row r="1946" spans="2:14">
      <c r="B1946" s="32">
        <f>IF(ISNUMBER(SEARCH('Φόρμα Εισαγωγής'!$B$2,C1946)),MAX($B$1:B1945)+1,0)</f>
        <v>0</v>
      </c>
      <c r="D1946" s="33">
        <f>IF(ISNUMBER(SEARCH('Φόρμα Εισαγωγής'!$C$2,E1946)),MAX($D$1:D1945)+1,0)</f>
        <v>0</v>
      </c>
      <c r="H1946" s="6">
        <f t="shared" si="101"/>
        <v>0</v>
      </c>
      <c r="I1946" s="6">
        <f t="shared" si="102"/>
        <v>0</v>
      </c>
      <c r="J1946" s="6">
        <f t="shared" si="103"/>
        <v>0</v>
      </c>
      <c r="L1946" s="4" t="str">
        <f>IFERROR(VLOOKUP(ROWS($L$2:L1946),$B$2:$C$1996,2,0),"")</f>
        <v/>
      </c>
      <c r="N1946" s="2" t="str">
        <f>IFERROR(VLOOKUP(ROWS($N$2:N1946),$D$2:$E$1996,2,0),"")</f>
        <v/>
      </c>
    </row>
    <row r="1947" spans="2:14">
      <c r="B1947" s="32">
        <f>IF(ISNUMBER(SEARCH('Φόρμα Εισαγωγής'!$B$2,C1947)),MAX($B$1:B1946)+1,0)</f>
        <v>0</v>
      </c>
      <c r="D1947" s="33">
        <f>IF(ISNUMBER(SEARCH('Φόρμα Εισαγωγής'!$C$2,E1947)),MAX($D$1:D1946)+1,0)</f>
        <v>0</v>
      </c>
      <c r="H1947" s="6">
        <f t="shared" si="101"/>
        <v>0</v>
      </c>
      <c r="I1947" s="6">
        <f t="shared" si="102"/>
        <v>0</v>
      </c>
      <c r="J1947" s="6">
        <f t="shared" si="103"/>
        <v>0</v>
      </c>
      <c r="L1947" s="4" t="str">
        <f>IFERROR(VLOOKUP(ROWS($L$2:L1947),$B$2:$C$1996,2,0),"")</f>
        <v/>
      </c>
      <c r="N1947" s="2" t="str">
        <f>IFERROR(VLOOKUP(ROWS($N$2:N1947),$D$2:$E$1996,2,0),"")</f>
        <v/>
      </c>
    </row>
    <row r="1948" spans="2:14">
      <c r="B1948" s="32">
        <f>IF(ISNUMBER(SEARCH('Φόρμα Εισαγωγής'!$B$2,C1948)),MAX($B$1:B1947)+1,0)</f>
        <v>0</v>
      </c>
      <c r="D1948" s="33">
        <f>IF(ISNUMBER(SEARCH('Φόρμα Εισαγωγής'!$C$2,E1948)),MAX($D$1:D1947)+1,0)</f>
        <v>0</v>
      </c>
      <c r="H1948" s="6">
        <f t="shared" si="101"/>
        <v>0</v>
      </c>
      <c r="I1948" s="6">
        <f t="shared" si="102"/>
        <v>0</v>
      </c>
      <c r="J1948" s="6">
        <f t="shared" si="103"/>
        <v>0</v>
      </c>
      <c r="L1948" s="4" t="str">
        <f>IFERROR(VLOOKUP(ROWS($L$2:L1948),$B$2:$C$1996,2,0),"")</f>
        <v/>
      </c>
      <c r="N1948" s="2" t="str">
        <f>IFERROR(VLOOKUP(ROWS($N$2:N1948),$D$2:$E$1996,2,0),"")</f>
        <v/>
      </c>
    </row>
    <row r="1949" spans="2:14">
      <c r="B1949" s="32">
        <f>IF(ISNUMBER(SEARCH('Φόρμα Εισαγωγής'!$B$2,C1949)),MAX($B$1:B1948)+1,0)</f>
        <v>0</v>
      </c>
      <c r="D1949" s="33">
        <f>IF(ISNUMBER(SEARCH('Φόρμα Εισαγωγής'!$C$2,E1949)),MAX($D$1:D1948)+1,0)</f>
        <v>0</v>
      </c>
      <c r="H1949" s="6">
        <f t="shared" si="101"/>
        <v>0</v>
      </c>
      <c r="I1949" s="6">
        <f t="shared" si="102"/>
        <v>0</v>
      </c>
      <c r="J1949" s="6">
        <f t="shared" si="103"/>
        <v>0</v>
      </c>
      <c r="L1949" s="4" t="str">
        <f>IFERROR(VLOOKUP(ROWS($L$2:L1949),$B$2:$C$1996,2,0),"")</f>
        <v/>
      </c>
      <c r="N1949" s="2" t="str">
        <f>IFERROR(VLOOKUP(ROWS($N$2:N1949),$D$2:$E$1996,2,0),"")</f>
        <v/>
      </c>
    </row>
    <row r="1950" spans="2:14">
      <c r="B1950" s="32">
        <f>IF(ISNUMBER(SEARCH('Φόρμα Εισαγωγής'!$B$2,C1950)),MAX($B$1:B1949)+1,0)</f>
        <v>0</v>
      </c>
      <c r="D1950" s="33">
        <f>IF(ISNUMBER(SEARCH('Φόρμα Εισαγωγής'!$C$2,E1950)),MAX($D$1:D1949)+1,0)</f>
        <v>0</v>
      </c>
      <c r="H1950" s="6">
        <f t="shared" si="101"/>
        <v>0</v>
      </c>
      <c r="I1950" s="6">
        <f t="shared" si="102"/>
        <v>0</v>
      </c>
      <c r="J1950" s="6">
        <f t="shared" si="103"/>
        <v>0</v>
      </c>
      <c r="L1950" s="4" t="str">
        <f>IFERROR(VLOOKUP(ROWS($L$2:L1950),$B$2:$C$1996,2,0),"")</f>
        <v/>
      </c>
      <c r="N1950" s="2" t="str">
        <f>IFERROR(VLOOKUP(ROWS($N$2:N1950),$D$2:$E$1996,2,0),"")</f>
        <v/>
      </c>
    </row>
    <row r="1951" spans="2:14">
      <c r="B1951" s="32">
        <f>IF(ISNUMBER(SEARCH('Φόρμα Εισαγωγής'!$B$2,C1951)),MAX($B$1:B1950)+1,0)</f>
        <v>0</v>
      </c>
      <c r="D1951" s="33">
        <f>IF(ISNUMBER(SEARCH('Φόρμα Εισαγωγής'!$C$2,E1951)),MAX($D$1:D1950)+1,0)</f>
        <v>0</v>
      </c>
      <c r="H1951" s="6">
        <f t="shared" si="101"/>
        <v>0</v>
      </c>
      <c r="I1951" s="6">
        <f t="shared" si="102"/>
        <v>0</v>
      </c>
      <c r="J1951" s="6">
        <f t="shared" si="103"/>
        <v>0</v>
      </c>
      <c r="L1951" s="4" t="str">
        <f>IFERROR(VLOOKUP(ROWS($L$2:L1951),$B$2:$C$1996,2,0),"")</f>
        <v/>
      </c>
      <c r="N1951" s="2" t="str">
        <f>IFERROR(VLOOKUP(ROWS($N$2:N1951),$D$2:$E$1996,2,0),"")</f>
        <v/>
      </c>
    </row>
    <row r="1952" spans="2:14">
      <c r="B1952" s="32">
        <f>IF(ISNUMBER(SEARCH('Φόρμα Εισαγωγής'!$B$2,C1952)),MAX($B$1:B1951)+1,0)</f>
        <v>0</v>
      </c>
      <c r="D1952" s="33">
        <f>IF(ISNUMBER(SEARCH('Φόρμα Εισαγωγής'!$C$2,E1952)),MAX($D$1:D1951)+1,0)</f>
        <v>0</v>
      </c>
      <c r="H1952" s="6">
        <f t="shared" si="101"/>
        <v>0</v>
      </c>
      <c r="I1952" s="6">
        <f t="shared" si="102"/>
        <v>0</v>
      </c>
      <c r="J1952" s="6">
        <f t="shared" si="103"/>
        <v>0</v>
      </c>
      <c r="L1952" s="4" t="str">
        <f>IFERROR(VLOOKUP(ROWS($L$2:L1952),$B$2:$C$1996,2,0),"")</f>
        <v/>
      </c>
      <c r="N1952" s="2" t="str">
        <f>IFERROR(VLOOKUP(ROWS($N$2:N1952),$D$2:$E$1996,2,0),"")</f>
        <v/>
      </c>
    </row>
    <row r="1953" spans="2:14">
      <c r="B1953" s="32">
        <f>IF(ISNUMBER(SEARCH('Φόρμα Εισαγωγής'!$B$2,C1953)),MAX($B$1:B1952)+1,0)</f>
        <v>0</v>
      </c>
      <c r="D1953" s="33">
        <f>IF(ISNUMBER(SEARCH('Φόρμα Εισαγωγής'!$C$2,E1953)),MAX($D$1:D1952)+1,0)</f>
        <v>0</v>
      </c>
      <c r="H1953" s="6">
        <f t="shared" si="101"/>
        <v>0</v>
      </c>
      <c r="I1953" s="6">
        <f t="shared" si="102"/>
        <v>0</v>
      </c>
      <c r="J1953" s="6">
        <f t="shared" si="103"/>
        <v>0</v>
      </c>
      <c r="L1953" s="4" t="str">
        <f>IFERROR(VLOOKUP(ROWS($L$2:L1953),$B$2:$C$1996,2,0),"")</f>
        <v/>
      </c>
      <c r="N1953" s="2" t="str">
        <f>IFERROR(VLOOKUP(ROWS($N$2:N1953),$D$2:$E$1996,2,0),"")</f>
        <v/>
      </c>
    </row>
    <row r="1954" spans="2:14">
      <c r="B1954" s="32">
        <f>IF(ISNUMBER(SEARCH('Φόρμα Εισαγωγής'!$B$2,C1954)),MAX($B$1:B1953)+1,0)</f>
        <v>0</v>
      </c>
      <c r="D1954" s="33">
        <f>IF(ISNUMBER(SEARCH('Φόρμα Εισαγωγής'!$C$2,E1954)),MAX($D$1:D1953)+1,0)</f>
        <v>0</v>
      </c>
      <c r="H1954" s="6">
        <f t="shared" si="101"/>
        <v>0</v>
      </c>
      <c r="I1954" s="6">
        <f t="shared" si="102"/>
        <v>0</v>
      </c>
      <c r="J1954" s="6">
        <f t="shared" si="103"/>
        <v>0</v>
      </c>
      <c r="L1954" s="4" t="str">
        <f>IFERROR(VLOOKUP(ROWS($L$2:L1954),$B$2:$C$1996,2,0),"")</f>
        <v/>
      </c>
      <c r="N1954" s="2" t="str">
        <f>IFERROR(VLOOKUP(ROWS($N$2:N1954),$D$2:$E$1996,2,0),"")</f>
        <v/>
      </c>
    </row>
    <row r="1955" spans="2:14">
      <c r="B1955" s="32">
        <f>IF(ISNUMBER(SEARCH('Φόρμα Εισαγωγής'!$B$2,C1955)),MAX($B$1:B1954)+1,0)</f>
        <v>0</v>
      </c>
      <c r="D1955" s="33">
        <f>IF(ISNUMBER(SEARCH('Φόρμα Εισαγωγής'!$C$2,E1955)),MAX($D$1:D1954)+1,0)</f>
        <v>0</v>
      </c>
      <c r="H1955" s="6">
        <f t="shared" si="101"/>
        <v>0</v>
      </c>
      <c r="I1955" s="6">
        <f t="shared" si="102"/>
        <v>0</v>
      </c>
      <c r="J1955" s="6">
        <f t="shared" si="103"/>
        <v>0</v>
      </c>
      <c r="L1955" s="4" t="str">
        <f>IFERROR(VLOOKUP(ROWS($L$2:L1955),$B$2:$C$1996,2,0),"")</f>
        <v/>
      </c>
      <c r="N1955" s="2" t="str">
        <f>IFERROR(VLOOKUP(ROWS($N$2:N1955),$D$2:$E$1996,2,0),"")</f>
        <v/>
      </c>
    </row>
    <row r="1956" spans="2:14">
      <c r="B1956" s="32">
        <f>IF(ISNUMBER(SEARCH('Φόρμα Εισαγωγής'!$B$2,C1956)),MAX($B$1:B1955)+1,0)</f>
        <v>0</v>
      </c>
      <c r="D1956" s="33">
        <f>IF(ISNUMBER(SEARCH('Φόρμα Εισαγωγής'!$C$2,E1956)),MAX($D$1:D1955)+1,0)</f>
        <v>0</v>
      </c>
      <c r="H1956" s="6">
        <f t="shared" si="101"/>
        <v>0</v>
      </c>
      <c r="I1956" s="6">
        <f t="shared" si="102"/>
        <v>0</v>
      </c>
      <c r="J1956" s="6">
        <f t="shared" si="103"/>
        <v>0</v>
      </c>
      <c r="L1956" s="4" t="str">
        <f>IFERROR(VLOOKUP(ROWS($L$2:L1956),$B$2:$C$1996,2,0),"")</f>
        <v/>
      </c>
      <c r="N1956" s="2" t="str">
        <f>IFERROR(VLOOKUP(ROWS($N$2:N1956),$D$2:$E$1996,2,0),"")</f>
        <v/>
      </c>
    </row>
    <row r="1957" spans="2:14">
      <c r="B1957" s="32">
        <f>IF(ISNUMBER(SEARCH('Φόρμα Εισαγωγής'!$B$2,C1957)),MAX($B$1:B1956)+1,0)</f>
        <v>0</v>
      </c>
      <c r="D1957" s="33">
        <f>IF(ISNUMBER(SEARCH('Φόρμα Εισαγωγής'!$C$2,E1957)),MAX($D$1:D1956)+1,0)</f>
        <v>0</v>
      </c>
      <c r="H1957" s="6">
        <f t="shared" si="101"/>
        <v>0</v>
      </c>
      <c r="I1957" s="6">
        <f t="shared" si="102"/>
        <v>0</v>
      </c>
      <c r="J1957" s="6">
        <f t="shared" si="103"/>
        <v>0</v>
      </c>
      <c r="L1957" s="4" t="str">
        <f>IFERROR(VLOOKUP(ROWS($L$2:L1957),$B$2:$C$1996,2,0),"")</f>
        <v/>
      </c>
      <c r="N1957" s="2" t="str">
        <f>IFERROR(VLOOKUP(ROWS($N$2:N1957),$D$2:$E$1996,2,0),"")</f>
        <v/>
      </c>
    </row>
    <row r="1958" spans="2:14">
      <c r="B1958" s="32">
        <f>IF(ISNUMBER(SEARCH('Φόρμα Εισαγωγής'!$B$2,C1958)),MAX($B$1:B1957)+1,0)</f>
        <v>0</v>
      </c>
      <c r="D1958" s="33">
        <f>IF(ISNUMBER(SEARCH('Φόρμα Εισαγωγής'!$C$2,E1958)),MAX($D$1:D1957)+1,0)</f>
        <v>0</v>
      </c>
      <c r="H1958" s="6">
        <f t="shared" si="101"/>
        <v>0</v>
      </c>
      <c r="I1958" s="6">
        <f t="shared" si="102"/>
        <v>0</v>
      </c>
      <c r="J1958" s="6">
        <f t="shared" si="103"/>
        <v>0</v>
      </c>
      <c r="L1958" s="4" t="str">
        <f>IFERROR(VLOOKUP(ROWS($L$2:L1958),$B$2:$C$1996,2,0),"")</f>
        <v/>
      </c>
      <c r="N1958" s="2" t="str">
        <f>IFERROR(VLOOKUP(ROWS($N$2:N1958),$D$2:$E$1996,2,0),"")</f>
        <v/>
      </c>
    </row>
    <row r="1959" spans="2:14">
      <c r="B1959" s="32">
        <f>IF(ISNUMBER(SEARCH('Φόρμα Εισαγωγής'!$B$2,C1959)),MAX($B$1:B1958)+1,0)</f>
        <v>0</v>
      </c>
      <c r="D1959" s="33">
        <f>IF(ISNUMBER(SEARCH('Φόρμα Εισαγωγής'!$C$2,E1959)),MAX($D$1:D1958)+1,0)</f>
        <v>0</v>
      </c>
      <c r="H1959" s="6">
        <f t="shared" si="101"/>
        <v>0</v>
      </c>
      <c r="I1959" s="6">
        <f t="shared" si="102"/>
        <v>0</v>
      </c>
      <c r="J1959" s="6">
        <f t="shared" si="103"/>
        <v>0</v>
      </c>
      <c r="L1959" s="4" t="str">
        <f>IFERROR(VLOOKUP(ROWS($L$2:L1959),$B$2:$C$1996,2,0),"")</f>
        <v/>
      </c>
      <c r="N1959" s="2" t="str">
        <f>IFERROR(VLOOKUP(ROWS($N$2:N1959),$D$2:$E$1996,2,0),"")</f>
        <v/>
      </c>
    </row>
    <row r="1960" spans="2:14">
      <c r="B1960" s="32">
        <f>IF(ISNUMBER(SEARCH('Φόρμα Εισαγωγής'!$B$2,C1960)),MAX($B$1:B1959)+1,0)</f>
        <v>0</v>
      </c>
      <c r="D1960" s="33">
        <f>IF(ISNUMBER(SEARCH('Φόρμα Εισαγωγής'!$C$2,E1960)),MAX($D$1:D1959)+1,0)</f>
        <v>0</v>
      </c>
      <c r="H1960" s="6">
        <f t="shared" si="101"/>
        <v>0</v>
      </c>
      <c r="I1960" s="6">
        <f t="shared" si="102"/>
        <v>0</v>
      </c>
      <c r="J1960" s="6">
        <f t="shared" si="103"/>
        <v>0</v>
      </c>
      <c r="L1960" s="4" t="str">
        <f>IFERROR(VLOOKUP(ROWS($L$2:L1960),$B$2:$C$1996,2,0),"")</f>
        <v/>
      </c>
      <c r="N1960" s="2" t="str">
        <f>IFERROR(VLOOKUP(ROWS($N$2:N1960),$D$2:$E$1996,2,0),"")</f>
        <v/>
      </c>
    </row>
    <row r="1961" spans="2:14">
      <c r="B1961" s="32">
        <f>IF(ISNUMBER(SEARCH('Φόρμα Εισαγωγής'!$B$2,C1961)),MAX($B$1:B1960)+1,0)</f>
        <v>0</v>
      </c>
      <c r="D1961" s="33">
        <f>IF(ISNUMBER(SEARCH('Φόρμα Εισαγωγής'!$C$2,E1961)),MAX($D$1:D1960)+1,0)</f>
        <v>0</v>
      </c>
      <c r="H1961" s="6">
        <f t="shared" si="101"/>
        <v>0</v>
      </c>
      <c r="I1961" s="6">
        <f t="shared" si="102"/>
        <v>0</v>
      </c>
      <c r="J1961" s="6">
        <f t="shared" si="103"/>
        <v>0</v>
      </c>
      <c r="L1961" s="4" t="str">
        <f>IFERROR(VLOOKUP(ROWS($L$2:L1961),$B$2:$C$1996,2,0),"")</f>
        <v/>
      </c>
      <c r="N1961" s="2" t="str">
        <f>IFERROR(VLOOKUP(ROWS($N$2:N1961),$D$2:$E$1996,2,0),"")</f>
        <v/>
      </c>
    </row>
    <row r="1962" spans="2:14">
      <c r="B1962" s="32">
        <f>IF(ISNUMBER(SEARCH('Φόρμα Εισαγωγής'!$B$2,C1962)),MAX($B$1:B1961)+1,0)</f>
        <v>0</v>
      </c>
      <c r="D1962" s="33">
        <f>IF(ISNUMBER(SEARCH('Φόρμα Εισαγωγής'!$C$2,E1962)),MAX($D$1:D1961)+1,0)</f>
        <v>0</v>
      </c>
      <c r="H1962" s="6">
        <f t="shared" si="101"/>
        <v>0</v>
      </c>
      <c r="I1962" s="6">
        <f t="shared" si="102"/>
        <v>0</v>
      </c>
      <c r="J1962" s="6">
        <f t="shared" si="103"/>
        <v>0</v>
      </c>
      <c r="L1962" s="4" t="str">
        <f>IFERROR(VLOOKUP(ROWS($L$2:L1962),$B$2:$C$1996,2,0),"")</f>
        <v/>
      </c>
      <c r="N1962" s="2" t="str">
        <f>IFERROR(VLOOKUP(ROWS($N$2:N1962),$D$2:$E$1996,2,0),"")</f>
        <v/>
      </c>
    </row>
    <row r="1963" spans="2:14">
      <c r="B1963" s="32">
        <f>IF(ISNUMBER(SEARCH('Φόρμα Εισαγωγής'!$B$2,C1963)),MAX($B$1:B1962)+1,0)</f>
        <v>0</v>
      </c>
      <c r="D1963" s="33">
        <f>IF(ISNUMBER(SEARCH('Φόρμα Εισαγωγής'!$C$2,E1963)),MAX($D$1:D1962)+1,0)</f>
        <v>0</v>
      </c>
      <c r="H1963" s="6">
        <f t="shared" si="101"/>
        <v>0</v>
      </c>
      <c r="I1963" s="6">
        <f t="shared" si="102"/>
        <v>0</v>
      </c>
      <c r="J1963" s="6">
        <f t="shared" si="103"/>
        <v>0</v>
      </c>
      <c r="L1963" s="4" t="str">
        <f>IFERROR(VLOOKUP(ROWS($L$2:L1963),$B$2:$C$1996,2,0),"")</f>
        <v/>
      </c>
      <c r="N1963" s="2" t="str">
        <f>IFERROR(VLOOKUP(ROWS($N$2:N1963),$D$2:$E$1996,2,0),"")</f>
        <v/>
      </c>
    </row>
    <row r="1964" spans="2:14">
      <c r="B1964" s="32">
        <f>IF(ISNUMBER(SEARCH('Φόρμα Εισαγωγής'!$B$2,C1964)),MAX($B$1:B1963)+1,0)</f>
        <v>0</v>
      </c>
      <c r="D1964" s="33">
        <f>IF(ISNUMBER(SEARCH('Φόρμα Εισαγωγής'!$C$2,E1964)),MAX($D$1:D1963)+1,0)</f>
        <v>0</v>
      </c>
      <c r="H1964" s="6">
        <f t="shared" si="101"/>
        <v>0</v>
      </c>
      <c r="I1964" s="6">
        <f t="shared" si="102"/>
        <v>0</v>
      </c>
      <c r="J1964" s="6">
        <f t="shared" si="103"/>
        <v>0</v>
      </c>
      <c r="L1964" s="4" t="str">
        <f>IFERROR(VLOOKUP(ROWS($L$2:L1964),$B$2:$C$1996,2,0),"")</f>
        <v/>
      </c>
      <c r="N1964" s="2" t="str">
        <f>IFERROR(VLOOKUP(ROWS($N$2:N1964),$D$2:$E$1996,2,0),"")</f>
        <v/>
      </c>
    </row>
    <row r="1965" spans="2:14">
      <c r="B1965" s="32">
        <f>IF(ISNUMBER(SEARCH('Φόρμα Εισαγωγής'!$B$2,C1965)),MAX($B$1:B1964)+1,0)</f>
        <v>0</v>
      </c>
      <c r="D1965" s="33">
        <f>IF(ISNUMBER(SEARCH('Φόρμα Εισαγωγής'!$C$2,E1965)),MAX($D$1:D1964)+1,0)</f>
        <v>0</v>
      </c>
      <c r="H1965" s="6">
        <f t="shared" si="101"/>
        <v>0</v>
      </c>
      <c r="I1965" s="6">
        <f t="shared" si="102"/>
        <v>0</v>
      </c>
      <c r="J1965" s="6">
        <f t="shared" si="103"/>
        <v>0</v>
      </c>
      <c r="L1965" s="4" t="str">
        <f>IFERROR(VLOOKUP(ROWS($L$2:L1965),$B$2:$C$1996,2,0),"")</f>
        <v/>
      </c>
      <c r="N1965" s="2" t="str">
        <f>IFERROR(VLOOKUP(ROWS($N$2:N1965),$D$2:$E$1996,2,0),"")</f>
        <v/>
      </c>
    </row>
    <row r="1966" spans="2:14">
      <c r="B1966" s="32">
        <f>IF(ISNUMBER(SEARCH('Φόρμα Εισαγωγής'!$B$2,C1966)),MAX($B$1:B1965)+1,0)</f>
        <v>0</v>
      </c>
      <c r="D1966" s="33">
        <f>IF(ISNUMBER(SEARCH('Φόρμα Εισαγωγής'!$C$2,E1966)),MAX($D$1:D1965)+1,0)</f>
        <v>0</v>
      </c>
      <c r="H1966" s="6">
        <f t="shared" si="101"/>
        <v>0</v>
      </c>
      <c r="I1966" s="6">
        <f t="shared" si="102"/>
        <v>0</v>
      </c>
      <c r="J1966" s="6">
        <f t="shared" si="103"/>
        <v>0</v>
      </c>
      <c r="L1966" s="4" t="str">
        <f>IFERROR(VLOOKUP(ROWS($L$2:L1966),$B$2:$C$1996,2,0),"")</f>
        <v/>
      </c>
      <c r="N1966" s="2" t="str">
        <f>IFERROR(VLOOKUP(ROWS($N$2:N1966),$D$2:$E$1996,2,0),"")</f>
        <v/>
      </c>
    </row>
    <row r="1967" spans="2:14">
      <c r="B1967" s="32">
        <f>IF(ISNUMBER(SEARCH('Φόρμα Εισαγωγής'!$B$2,C1967)),MAX($B$1:B1966)+1,0)</f>
        <v>0</v>
      </c>
      <c r="D1967" s="33">
        <f>IF(ISNUMBER(SEARCH('Φόρμα Εισαγωγής'!$C$2,E1967)),MAX($D$1:D1966)+1,0)</f>
        <v>0</v>
      </c>
      <c r="H1967" s="6">
        <f t="shared" si="101"/>
        <v>0</v>
      </c>
      <c r="I1967" s="6">
        <f t="shared" si="102"/>
        <v>0</v>
      </c>
      <c r="J1967" s="6">
        <f t="shared" si="103"/>
        <v>0</v>
      </c>
      <c r="L1967" s="4" t="str">
        <f>IFERROR(VLOOKUP(ROWS($L$2:L1967),$B$2:$C$1996,2,0),"")</f>
        <v/>
      </c>
      <c r="N1967" s="2" t="str">
        <f>IFERROR(VLOOKUP(ROWS($N$2:N1967),$D$2:$E$1996,2,0),"")</f>
        <v/>
      </c>
    </row>
    <row r="1968" spans="2:14">
      <c r="B1968" s="32">
        <f>IF(ISNUMBER(SEARCH('Φόρμα Εισαγωγής'!$B$2,C1968)),MAX($B$1:B1967)+1,0)</f>
        <v>0</v>
      </c>
      <c r="D1968" s="33">
        <f>IF(ISNUMBER(SEARCH('Φόρμα Εισαγωγής'!$C$2,E1968)),MAX($D$1:D1967)+1,0)</f>
        <v>0</v>
      </c>
      <c r="H1968" s="6">
        <f t="shared" si="101"/>
        <v>0</v>
      </c>
      <c r="I1968" s="6">
        <f t="shared" si="102"/>
        <v>0</v>
      </c>
      <c r="J1968" s="6">
        <f t="shared" si="103"/>
        <v>0</v>
      </c>
      <c r="L1968" s="4" t="str">
        <f>IFERROR(VLOOKUP(ROWS($L$2:L1968),$B$2:$C$1996,2,0),"")</f>
        <v/>
      </c>
      <c r="N1968" s="2" t="str">
        <f>IFERROR(VLOOKUP(ROWS($N$2:N1968),$D$2:$E$1996,2,0),"")</f>
        <v/>
      </c>
    </row>
    <row r="1969" spans="2:14">
      <c r="B1969" s="32">
        <f>IF(ISNUMBER(SEARCH('Φόρμα Εισαγωγής'!$B$2,C1969)),MAX($B$1:B1968)+1,0)</f>
        <v>0</v>
      </c>
      <c r="D1969" s="33">
        <f>IF(ISNUMBER(SEARCH('Φόρμα Εισαγωγής'!$C$2,E1969)),MAX($D$1:D1968)+1,0)</f>
        <v>0</v>
      </c>
      <c r="H1969" s="6">
        <f t="shared" si="101"/>
        <v>0</v>
      </c>
      <c r="I1969" s="6">
        <f t="shared" si="102"/>
        <v>0</v>
      </c>
      <c r="J1969" s="6">
        <f t="shared" si="103"/>
        <v>0</v>
      </c>
      <c r="L1969" s="4" t="str">
        <f>IFERROR(VLOOKUP(ROWS($L$2:L1969),$B$2:$C$1996,2,0),"")</f>
        <v/>
      </c>
      <c r="N1969" s="2" t="str">
        <f>IFERROR(VLOOKUP(ROWS($N$2:N1969),$D$2:$E$1996,2,0),"")</f>
        <v/>
      </c>
    </row>
    <row r="1970" spans="2:14">
      <c r="B1970" s="32">
        <f>IF(ISNUMBER(SEARCH('Φόρμα Εισαγωγής'!$B$2,C1970)),MAX($B$1:B1969)+1,0)</f>
        <v>0</v>
      </c>
      <c r="D1970" s="33">
        <f>IF(ISNUMBER(SEARCH('Φόρμα Εισαγωγής'!$C$2,E1970)),MAX($D$1:D1969)+1,0)</f>
        <v>0</v>
      </c>
      <c r="H1970" s="6">
        <f t="shared" si="101"/>
        <v>0</v>
      </c>
      <c r="I1970" s="6">
        <f t="shared" si="102"/>
        <v>0</v>
      </c>
      <c r="J1970" s="6">
        <f t="shared" si="103"/>
        <v>0</v>
      </c>
      <c r="L1970" s="4" t="str">
        <f>IFERROR(VLOOKUP(ROWS($L$2:L1970),$B$2:$C$1996,2,0),"")</f>
        <v/>
      </c>
      <c r="N1970" s="2" t="str">
        <f>IFERROR(VLOOKUP(ROWS($N$2:N1970),$D$2:$E$1996,2,0),"")</f>
        <v/>
      </c>
    </row>
    <row r="1971" spans="2:14">
      <c r="B1971" s="32">
        <f>IF(ISNUMBER(SEARCH('Φόρμα Εισαγωγής'!$B$2,C1971)),MAX($B$1:B1970)+1,0)</f>
        <v>0</v>
      </c>
      <c r="D1971" s="33">
        <f>IF(ISNUMBER(SEARCH('Φόρμα Εισαγωγής'!$C$2,E1971)),MAX($D$1:D1970)+1,0)</f>
        <v>0</v>
      </c>
      <c r="H1971" s="6">
        <f t="shared" si="101"/>
        <v>0</v>
      </c>
      <c r="I1971" s="6">
        <f t="shared" si="102"/>
        <v>0</v>
      </c>
      <c r="J1971" s="6">
        <f t="shared" si="103"/>
        <v>0</v>
      </c>
      <c r="L1971" s="4" t="str">
        <f>IFERROR(VLOOKUP(ROWS($L$2:L1971),$B$2:$C$1996,2,0),"")</f>
        <v/>
      </c>
      <c r="N1971" s="2" t="str">
        <f>IFERROR(VLOOKUP(ROWS($N$2:N1971),$D$2:$E$1996,2,0),"")</f>
        <v/>
      </c>
    </row>
    <row r="1972" spans="2:14">
      <c r="B1972" s="32">
        <f>IF(ISNUMBER(SEARCH('Φόρμα Εισαγωγής'!$B$2,C1972)),MAX($B$1:B1971)+1,0)</f>
        <v>0</v>
      </c>
      <c r="D1972" s="33">
        <f>IF(ISNUMBER(SEARCH('Φόρμα Εισαγωγής'!$C$2,E1972)),MAX($D$1:D1971)+1,0)</f>
        <v>0</v>
      </c>
      <c r="H1972" s="6">
        <f t="shared" si="101"/>
        <v>0</v>
      </c>
      <c r="I1972" s="6">
        <f t="shared" si="102"/>
        <v>0</v>
      </c>
      <c r="J1972" s="6">
        <f t="shared" si="103"/>
        <v>0</v>
      </c>
      <c r="L1972" s="4" t="str">
        <f>IFERROR(VLOOKUP(ROWS($L$2:L1972),$B$2:$C$1996,2,0),"")</f>
        <v/>
      </c>
      <c r="N1972" s="2" t="str">
        <f>IFERROR(VLOOKUP(ROWS($N$2:N1972),$D$2:$E$1996,2,0),"")</f>
        <v/>
      </c>
    </row>
    <row r="1973" spans="2:14">
      <c r="B1973" s="32">
        <f>IF(ISNUMBER(SEARCH('Φόρμα Εισαγωγής'!$B$2,C1973)),MAX($B$1:B1972)+1,0)</f>
        <v>0</v>
      </c>
      <c r="D1973" s="33">
        <f>IF(ISNUMBER(SEARCH('Φόρμα Εισαγωγής'!$C$2,E1973)),MAX($D$1:D1972)+1,0)</f>
        <v>0</v>
      </c>
      <c r="H1973" s="6">
        <f t="shared" si="101"/>
        <v>0</v>
      </c>
      <c r="I1973" s="6">
        <f t="shared" si="102"/>
        <v>0</v>
      </c>
      <c r="J1973" s="6">
        <f t="shared" si="103"/>
        <v>0</v>
      </c>
      <c r="L1973" s="4" t="str">
        <f>IFERROR(VLOOKUP(ROWS($L$2:L1973),$B$2:$C$1996,2,0),"")</f>
        <v/>
      </c>
      <c r="N1973" s="2" t="str">
        <f>IFERROR(VLOOKUP(ROWS($N$2:N1973),$D$2:$E$1996,2,0),"")</f>
        <v/>
      </c>
    </row>
    <row r="1974" spans="2:14">
      <c r="B1974" s="32">
        <f>IF(ISNUMBER(SEARCH('Φόρμα Εισαγωγής'!$B$2,C1974)),MAX($B$1:B1973)+1,0)</f>
        <v>0</v>
      </c>
      <c r="D1974" s="33">
        <f>IF(ISNUMBER(SEARCH('Φόρμα Εισαγωγής'!$C$2,E1974)),MAX($D$1:D1973)+1,0)</f>
        <v>0</v>
      </c>
      <c r="H1974" s="6">
        <f t="shared" si="101"/>
        <v>0</v>
      </c>
      <c r="I1974" s="6">
        <f t="shared" si="102"/>
        <v>0</v>
      </c>
      <c r="J1974" s="6">
        <f t="shared" si="103"/>
        <v>0</v>
      </c>
      <c r="L1974" s="4" t="str">
        <f>IFERROR(VLOOKUP(ROWS($L$2:L1974),$B$2:$C$1996,2,0),"")</f>
        <v/>
      </c>
      <c r="N1974" s="2" t="str">
        <f>IFERROR(VLOOKUP(ROWS($N$2:N1974),$D$2:$E$1996,2,0),"")</f>
        <v/>
      </c>
    </row>
    <row r="1975" spans="2:14">
      <c r="B1975" s="32">
        <f>IF(ISNUMBER(SEARCH('Φόρμα Εισαγωγής'!$B$2,C1975)),MAX($B$1:B1974)+1,0)</f>
        <v>0</v>
      </c>
      <c r="D1975" s="33">
        <f>IF(ISNUMBER(SEARCH('Φόρμα Εισαγωγής'!$C$2,E1975)),MAX($D$1:D1974)+1,0)</f>
        <v>0</v>
      </c>
      <c r="H1975" s="6">
        <f t="shared" si="101"/>
        <v>0</v>
      </c>
      <c r="I1975" s="6">
        <f t="shared" si="102"/>
        <v>0</v>
      </c>
      <c r="J1975" s="6">
        <f t="shared" si="103"/>
        <v>0</v>
      </c>
      <c r="L1975" s="4" t="str">
        <f>IFERROR(VLOOKUP(ROWS($L$2:L1975),$B$2:$C$1996,2,0),"")</f>
        <v/>
      </c>
      <c r="N1975" s="2" t="str">
        <f>IFERROR(VLOOKUP(ROWS($N$2:N1975),$D$2:$E$1996,2,0),"")</f>
        <v/>
      </c>
    </row>
    <row r="1976" spans="2:14">
      <c r="B1976" s="32">
        <f>IF(ISNUMBER(SEARCH('Φόρμα Εισαγωγής'!$B$2,C1976)),MAX($B$1:B1975)+1,0)</f>
        <v>0</v>
      </c>
      <c r="D1976" s="33">
        <f>IF(ISNUMBER(SEARCH('Φόρμα Εισαγωγής'!$C$2,E1976)),MAX($D$1:D1975)+1,0)</f>
        <v>0</v>
      </c>
      <c r="H1976" s="6">
        <f t="shared" si="101"/>
        <v>0</v>
      </c>
      <c r="I1976" s="6">
        <f t="shared" si="102"/>
        <v>0</v>
      </c>
      <c r="J1976" s="6">
        <f t="shared" si="103"/>
        <v>0</v>
      </c>
      <c r="L1976" s="4" t="str">
        <f>IFERROR(VLOOKUP(ROWS($L$2:L1976),$B$2:$C$1996,2,0),"")</f>
        <v/>
      </c>
      <c r="N1976" s="2" t="str">
        <f>IFERROR(VLOOKUP(ROWS($N$2:N1976),$D$2:$E$1996,2,0),"")</f>
        <v/>
      </c>
    </row>
    <row r="1977" spans="2:14">
      <c r="B1977" s="32">
        <f>IF(ISNUMBER(SEARCH('Φόρμα Εισαγωγής'!$B$2,C1977)),MAX($B$1:B1976)+1,0)</f>
        <v>0</v>
      </c>
      <c r="D1977" s="33">
        <f>IF(ISNUMBER(SEARCH('Φόρμα Εισαγωγής'!$C$2,E1977)),MAX($D$1:D1976)+1,0)</f>
        <v>0</v>
      </c>
      <c r="H1977" s="6">
        <f t="shared" si="101"/>
        <v>0</v>
      </c>
      <c r="I1977" s="6">
        <f t="shared" si="102"/>
        <v>0</v>
      </c>
      <c r="J1977" s="6">
        <f t="shared" si="103"/>
        <v>0</v>
      </c>
      <c r="L1977" s="4" t="str">
        <f>IFERROR(VLOOKUP(ROWS($L$2:L1977),$B$2:$C$1996,2,0),"")</f>
        <v/>
      </c>
      <c r="N1977" s="2" t="str">
        <f>IFERROR(VLOOKUP(ROWS($N$2:N1977),$D$2:$E$1996,2,0),"")</f>
        <v/>
      </c>
    </row>
    <row r="1978" spans="2:14">
      <c r="B1978" s="32">
        <f>IF(ISNUMBER(SEARCH('Φόρμα Εισαγωγής'!$B$2,C1978)),MAX($B$1:B1977)+1,0)</f>
        <v>0</v>
      </c>
      <c r="D1978" s="33">
        <f>IF(ISNUMBER(SEARCH('Φόρμα Εισαγωγής'!$C$2,E1978)),MAX($D$1:D1977)+1,0)</f>
        <v>0</v>
      </c>
      <c r="H1978" s="6">
        <f t="shared" si="101"/>
        <v>0</v>
      </c>
      <c r="I1978" s="6">
        <f t="shared" si="102"/>
        <v>0</v>
      </c>
      <c r="J1978" s="6">
        <f t="shared" si="103"/>
        <v>0</v>
      </c>
      <c r="L1978" s="4" t="str">
        <f>IFERROR(VLOOKUP(ROWS($L$2:L1978),$B$2:$C$1996,2,0),"")</f>
        <v/>
      </c>
      <c r="N1978" s="2" t="str">
        <f>IFERROR(VLOOKUP(ROWS($N$2:N1978),$D$2:$E$1996,2,0),"")</f>
        <v/>
      </c>
    </row>
    <row r="1979" spans="2:14">
      <c r="B1979" s="32">
        <f>IF(ISNUMBER(SEARCH('Φόρμα Εισαγωγής'!$B$2,C1979)),MAX($B$1:B1978)+1,0)</f>
        <v>0</v>
      </c>
      <c r="D1979" s="33">
        <f>IF(ISNUMBER(SEARCH('Φόρμα Εισαγωγής'!$C$2,E1979)),MAX($D$1:D1978)+1,0)</f>
        <v>0</v>
      </c>
      <c r="H1979" s="6">
        <f t="shared" si="101"/>
        <v>0</v>
      </c>
      <c r="I1979" s="6">
        <f t="shared" si="102"/>
        <v>0</v>
      </c>
      <c r="J1979" s="6">
        <f t="shared" si="103"/>
        <v>0</v>
      </c>
      <c r="L1979" s="4" t="str">
        <f>IFERROR(VLOOKUP(ROWS($L$2:L1979),$B$2:$C$1996,2,0),"")</f>
        <v/>
      </c>
      <c r="N1979" s="2" t="str">
        <f>IFERROR(VLOOKUP(ROWS($N$2:N1979),$D$2:$E$1996,2,0),"")</f>
        <v/>
      </c>
    </row>
    <row r="1980" spans="2:14">
      <c r="B1980" s="32">
        <f>IF(ISNUMBER(SEARCH('Φόρμα Εισαγωγής'!$B$2,C1980)),MAX($B$1:B1979)+1,0)</f>
        <v>0</v>
      </c>
      <c r="D1980" s="33">
        <f>IF(ISNUMBER(SEARCH('Φόρμα Εισαγωγής'!$C$2,E1980)),MAX($D$1:D1979)+1,0)</f>
        <v>0</v>
      </c>
      <c r="H1980" s="6">
        <f t="shared" si="101"/>
        <v>0</v>
      </c>
      <c r="I1980" s="6">
        <f t="shared" si="102"/>
        <v>0</v>
      </c>
      <c r="J1980" s="6">
        <f t="shared" si="103"/>
        <v>0</v>
      </c>
      <c r="L1980" s="4" t="str">
        <f>IFERROR(VLOOKUP(ROWS($L$2:L1980),$B$2:$C$1996,2,0),"")</f>
        <v/>
      </c>
      <c r="N1980" s="2" t="str">
        <f>IFERROR(VLOOKUP(ROWS($N$2:N1980),$D$2:$E$1996,2,0),"")</f>
        <v/>
      </c>
    </row>
    <row r="1981" spans="2:14">
      <c r="B1981" s="32">
        <f>IF(ISNUMBER(SEARCH('Φόρμα Εισαγωγής'!$B$2,C1981)),MAX($B$1:B1980)+1,0)</f>
        <v>0</v>
      </c>
      <c r="D1981" s="33">
        <f>IF(ISNUMBER(SEARCH('Φόρμα Εισαγωγής'!$C$2,E1981)),MAX($D$1:D1980)+1,0)</f>
        <v>0</v>
      </c>
      <c r="H1981" s="6">
        <f t="shared" si="101"/>
        <v>0</v>
      </c>
      <c r="I1981" s="6">
        <f t="shared" si="102"/>
        <v>0</v>
      </c>
      <c r="J1981" s="6">
        <f t="shared" si="103"/>
        <v>0</v>
      </c>
      <c r="L1981" s="4" t="str">
        <f>IFERROR(VLOOKUP(ROWS($L$2:L1981),$B$2:$C$1996,2,0),"")</f>
        <v/>
      </c>
      <c r="N1981" s="2" t="str">
        <f>IFERROR(VLOOKUP(ROWS($N$2:N1981),$D$2:$E$1996,2,0),"")</f>
        <v/>
      </c>
    </row>
    <row r="1982" spans="2:14">
      <c r="B1982" s="32">
        <f>IF(ISNUMBER(SEARCH('Φόρμα Εισαγωγής'!$B$2,C1982)),MAX($B$1:B1981)+1,0)</f>
        <v>0</v>
      </c>
      <c r="D1982" s="33">
        <f>IF(ISNUMBER(SEARCH('Φόρμα Εισαγωγής'!$C$2,E1982)),MAX($D$1:D1981)+1,0)</f>
        <v>0</v>
      </c>
      <c r="H1982" s="6">
        <f t="shared" si="101"/>
        <v>0</v>
      </c>
      <c r="I1982" s="6">
        <f t="shared" si="102"/>
        <v>0</v>
      </c>
      <c r="J1982" s="6">
        <f t="shared" si="103"/>
        <v>0</v>
      </c>
      <c r="L1982" s="4" t="str">
        <f>IFERROR(VLOOKUP(ROWS($L$2:L1982),$B$2:$C$1996,2,0),"")</f>
        <v/>
      </c>
      <c r="N1982" s="2" t="str">
        <f>IFERROR(VLOOKUP(ROWS($N$2:N1982),$D$2:$E$1996,2,0),"")</f>
        <v/>
      </c>
    </row>
    <row r="1983" spans="2:14">
      <c r="B1983" s="32">
        <f>IF(ISNUMBER(SEARCH('Φόρμα Εισαγωγής'!$B$2,C1983)),MAX($B$1:B1982)+1,0)</f>
        <v>0</v>
      </c>
      <c r="D1983" s="33">
        <f>IF(ISNUMBER(SEARCH('Φόρμα Εισαγωγής'!$C$2,E1983)),MAX($D$1:D1982)+1,0)</f>
        <v>0</v>
      </c>
      <c r="H1983" s="6">
        <f t="shared" si="101"/>
        <v>0</v>
      </c>
      <c r="I1983" s="6">
        <f t="shared" si="102"/>
        <v>0</v>
      </c>
      <c r="J1983" s="6">
        <f t="shared" si="103"/>
        <v>0</v>
      </c>
      <c r="L1983" s="4" t="str">
        <f>IFERROR(VLOOKUP(ROWS($L$2:L1983),$B$2:$C$1996,2,0),"")</f>
        <v/>
      </c>
      <c r="N1983" s="2" t="str">
        <f>IFERROR(VLOOKUP(ROWS($N$2:N1983),$D$2:$E$1996,2,0),"")</f>
        <v/>
      </c>
    </row>
    <row r="1984" spans="2:14">
      <c r="B1984" s="32">
        <f>IF(ISNUMBER(SEARCH('Φόρμα Εισαγωγής'!$B$2,C1984)),MAX($B$1:B1983)+1,0)</f>
        <v>0</v>
      </c>
      <c r="D1984" s="33">
        <f>IF(ISNUMBER(SEARCH('Φόρμα Εισαγωγής'!$C$2,E1984)),MAX($D$1:D1983)+1,0)</f>
        <v>0</v>
      </c>
      <c r="H1984" s="6">
        <f t="shared" ref="H1984:H2047" si="104">G1984+(G1984*0.24)</f>
        <v>0</v>
      </c>
      <c r="I1984" s="6">
        <f t="shared" ref="I1984:I2047" si="105">F1984*A1984</f>
        <v>0</v>
      </c>
      <c r="J1984" s="6">
        <f t="shared" ref="J1984:J2047" si="106">H1984*A1984</f>
        <v>0</v>
      </c>
      <c r="L1984" s="4" t="str">
        <f>IFERROR(VLOOKUP(ROWS($L$2:L1984),$B$2:$C$1996,2,0),"")</f>
        <v/>
      </c>
      <c r="N1984" s="2" t="str">
        <f>IFERROR(VLOOKUP(ROWS($N$2:N1984),$D$2:$E$1996,2,0),"")</f>
        <v/>
      </c>
    </row>
    <row r="1985" spans="2:14">
      <c r="B1985" s="32">
        <f>IF(ISNUMBER(SEARCH('Φόρμα Εισαγωγής'!$B$2,C1985)),MAX($B$1:B1984)+1,0)</f>
        <v>0</v>
      </c>
      <c r="D1985" s="33">
        <f>IF(ISNUMBER(SEARCH('Φόρμα Εισαγωγής'!$C$2,E1985)),MAX($D$1:D1984)+1,0)</f>
        <v>0</v>
      </c>
      <c r="H1985" s="6">
        <f t="shared" si="104"/>
        <v>0</v>
      </c>
      <c r="I1985" s="6">
        <f t="shared" si="105"/>
        <v>0</v>
      </c>
      <c r="J1985" s="6">
        <f t="shared" si="106"/>
        <v>0</v>
      </c>
      <c r="L1985" s="4" t="str">
        <f>IFERROR(VLOOKUP(ROWS($L$2:L1985),$B$2:$C$1996,2,0),"")</f>
        <v/>
      </c>
      <c r="N1985" s="2" t="str">
        <f>IFERROR(VLOOKUP(ROWS($N$2:N1985),$D$2:$E$1996,2,0),"")</f>
        <v/>
      </c>
    </row>
    <row r="1986" spans="2:14">
      <c r="B1986" s="32">
        <f>IF(ISNUMBER(SEARCH('Φόρμα Εισαγωγής'!$B$2,C1986)),MAX($B$1:B1985)+1,0)</f>
        <v>0</v>
      </c>
      <c r="D1986" s="33">
        <f>IF(ISNUMBER(SEARCH('Φόρμα Εισαγωγής'!$C$2,E1986)),MAX($D$1:D1985)+1,0)</f>
        <v>0</v>
      </c>
      <c r="H1986" s="6">
        <f t="shared" si="104"/>
        <v>0</v>
      </c>
      <c r="I1986" s="6">
        <f t="shared" si="105"/>
        <v>0</v>
      </c>
      <c r="J1986" s="6">
        <f t="shared" si="106"/>
        <v>0</v>
      </c>
      <c r="L1986" s="4" t="str">
        <f>IFERROR(VLOOKUP(ROWS($L$2:L1986),$B$2:$C$1996,2,0),"")</f>
        <v/>
      </c>
      <c r="N1986" s="2" t="str">
        <f>IFERROR(VLOOKUP(ROWS($N$2:N1986),$D$2:$E$1996,2,0),"")</f>
        <v/>
      </c>
    </row>
    <row r="1987" spans="2:14">
      <c r="B1987" s="32">
        <f>IF(ISNUMBER(SEARCH('Φόρμα Εισαγωγής'!$B$2,C1987)),MAX($B$1:B1986)+1,0)</f>
        <v>0</v>
      </c>
      <c r="D1987" s="33">
        <f>IF(ISNUMBER(SEARCH('Φόρμα Εισαγωγής'!$C$2,E1987)),MAX($D$1:D1986)+1,0)</f>
        <v>0</v>
      </c>
      <c r="H1987" s="6">
        <f t="shared" si="104"/>
        <v>0</v>
      </c>
      <c r="I1987" s="6">
        <f t="shared" si="105"/>
        <v>0</v>
      </c>
      <c r="J1987" s="6">
        <f t="shared" si="106"/>
        <v>0</v>
      </c>
      <c r="L1987" s="4" t="str">
        <f>IFERROR(VLOOKUP(ROWS($L$2:L1987),$B$2:$C$1996,2,0),"")</f>
        <v/>
      </c>
      <c r="N1987" s="2" t="str">
        <f>IFERROR(VLOOKUP(ROWS($N$2:N1987),$D$2:$E$1996,2,0),"")</f>
        <v/>
      </c>
    </row>
    <row r="1988" spans="2:14">
      <c r="B1988" s="32">
        <f>IF(ISNUMBER(SEARCH('Φόρμα Εισαγωγής'!$B$2,C1988)),MAX($B$1:B1987)+1,0)</f>
        <v>0</v>
      </c>
      <c r="D1988" s="33">
        <f>IF(ISNUMBER(SEARCH('Φόρμα Εισαγωγής'!$C$2,E1988)),MAX($D$1:D1987)+1,0)</f>
        <v>0</v>
      </c>
      <c r="H1988" s="6">
        <f t="shared" si="104"/>
        <v>0</v>
      </c>
      <c r="I1988" s="6">
        <f t="shared" si="105"/>
        <v>0</v>
      </c>
      <c r="J1988" s="6">
        <f t="shared" si="106"/>
        <v>0</v>
      </c>
      <c r="L1988" s="4" t="str">
        <f>IFERROR(VLOOKUP(ROWS($L$2:L1988),$B$2:$C$1996,2,0),"")</f>
        <v/>
      </c>
      <c r="N1988" s="2" t="str">
        <f>IFERROR(VLOOKUP(ROWS($N$2:N1988),$D$2:$E$1996,2,0),"")</f>
        <v/>
      </c>
    </row>
    <row r="1989" spans="2:14">
      <c r="B1989" s="32">
        <f>IF(ISNUMBER(SEARCH('Φόρμα Εισαγωγής'!$B$2,C1989)),MAX($B$1:B1988)+1,0)</f>
        <v>0</v>
      </c>
      <c r="D1989" s="33">
        <f>IF(ISNUMBER(SEARCH('Φόρμα Εισαγωγής'!$C$2,E1989)),MAX($D$1:D1988)+1,0)</f>
        <v>0</v>
      </c>
      <c r="H1989" s="6">
        <f t="shared" si="104"/>
        <v>0</v>
      </c>
      <c r="I1989" s="6">
        <f t="shared" si="105"/>
        <v>0</v>
      </c>
      <c r="J1989" s="6">
        <f t="shared" si="106"/>
        <v>0</v>
      </c>
      <c r="L1989" s="4" t="str">
        <f>IFERROR(VLOOKUP(ROWS($L$2:L1989),$B$2:$C$1996,2,0),"")</f>
        <v/>
      </c>
      <c r="N1989" s="2" t="str">
        <f>IFERROR(VLOOKUP(ROWS($N$2:N1989),$D$2:$E$1996,2,0),"")</f>
        <v/>
      </c>
    </row>
    <row r="1990" spans="2:14">
      <c r="B1990" s="32">
        <f>IF(ISNUMBER(SEARCH('Φόρμα Εισαγωγής'!$B$2,C1990)),MAX($B$1:B1989)+1,0)</f>
        <v>0</v>
      </c>
      <c r="D1990" s="33">
        <f>IF(ISNUMBER(SEARCH('Φόρμα Εισαγωγής'!$C$2,E1990)),MAX($D$1:D1989)+1,0)</f>
        <v>0</v>
      </c>
      <c r="H1990" s="6">
        <f t="shared" si="104"/>
        <v>0</v>
      </c>
      <c r="I1990" s="6">
        <f t="shared" si="105"/>
        <v>0</v>
      </c>
      <c r="J1990" s="6">
        <f t="shared" si="106"/>
        <v>0</v>
      </c>
      <c r="L1990" s="4" t="str">
        <f>IFERROR(VLOOKUP(ROWS($L$2:L1990),$B$2:$C$1996,2,0),"")</f>
        <v/>
      </c>
      <c r="N1990" s="2" t="str">
        <f>IFERROR(VLOOKUP(ROWS($N$2:N1990),$D$2:$E$1996,2,0),"")</f>
        <v/>
      </c>
    </row>
    <row r="1991" spans="2:14">
      <c r="B1991" s="32">
        <f>IF(ISNUMBER(SEARCH('Φόρμα Εισαγωγής'!$B$2,C1991)),MAX($B$1:B1990)+1,0)</f>
        <v>0</v>
      </c>
      <c r="D1991" s="33">
        <f>IF(ISNUMBER(SEARCH('Φόρμα Εισαγωγής'!$C$2,E1991)),MAX($D$1:D1990)+1,0)</f>
        <v>0</v>
      </c>
      <c r="H1991" s="6">
        <f t="shared" si="104"/>
        <v>0</v>
      </c>
      <c r="I1991" s="6">
        <f t="shared" si="105"/>
        <v>0</v>
      </c>
      <c r="J1991" s="6">
        <f t="shared" si="106"/>
        <v>0</v>
      </c>
      <c r="L1991" s="4" t="str">
        <f>IFERROR(VLOOKUP(ROWS($L$2:L1991),$B$2:$C$1996,2,0),"")</f>
        <v/>
      </c>
      <c r="N1991" s="2" t="str">
        <f>IFERROR(VLOOKUP(ROWS($N$2:N1991),$D$2:$E$1996,2,0),"")</f>
        <v/>
      </c>
    </row>
    <row r="1992" spans="2:14">
      <c r="B1992" s="32">
        <f>IF(ISNUMBER(SEARCH('Φόρμα Εισαγωγής'!$B$2,C1992)),MAX($B$1:B1991)+1,0)</f>
        <v>0</v>
      </c>
      <c r="D1992" s="33">
        <f>IF(ISNUMBER(SEARCH('Φόρμα Εισαγωγής'!$C$2,E1992)),MAX($D$1:D1991)+1,0)</f>
        <v>0</v>
      </c>
      <c r="H1992" s="6">
        <f t="shared" si="104"/>
        <v>0</v>
      </c>
      <c r="I1992" s="6">
        <f t="shared" si="105"/>
        <v>0</v>
      </c>
      <c r="J1992" s="6">
        <f t="shared" si="106"/>
        <v>0</v>
      </c>
      <c r="L1992" s="4" t="str">
        <f>IFERROR(VLOOKUP(ROWS($L$2:L1992),$B$2:$C$1996,2,0),"")</f>
        <v/>
      </c>
      <c r="N1992" s="2" t="str">
        <f>IFERROR(VLOOKUP(ROWS($N$2:N1992),$D$2:$E$1996,2,0),"")</f>
        <v/>
      </c>
    </row>
    <row r="1993" spans="2:14">
      <c r="B1993" s="32">
        <f>IF(ISNUMBER(SEARCH('Φόρμα Εισαγωγής'!$B$2,C1993)),MAX($B$1:B1992)+1,0)</f>
        <v>0</v>
      </c>
      <c r="D1993" s="33">
        <f>IF(ISNUMBER(SEARCH('Φόρμα Εισαγωγής'!$C$2,E1993)),MAX($D$1:D1992)+1,0)</f>
        <v>0</v>
      </c>
      <c r="H1993" s="6">
        <f t="shared" si="104"/>
        <v>0</v>
      </c>
      <c r="I1993" s="6">
        <f t="shared" si="105"/>
        <v>0</v>
      </c>
      <c r="J1993" s="6">
        <f t="shared" si="106"/>
        <v>0</v>
      </c>
      <c r="L1993" s="4" t="str">
        <f>IFERROR(VLOOKUP(ROWS($L$2:L1993),$B$2:$C$1996,2,0),"")</f>
        <v/>
      </c>
      <c r="N1993" s="2" t="str">
        <f>IFERROR(VLOOKUP(ROWS($N$2:N1993),$D$2:$E$1996,2,0),"")</f>
        <v/>
      </c>
    </row>
    <row r="1994" spans="2:14">
      <c r="B1994" s="32">
        <f>IF(ISNUMBER(SEARCH('Φόρμα Εισαγωγής'!$B$2,C1994)),MAX($B$1:B1993)+1,0)</f>
        <v>0</v>
      </c>
      <c r="D1994" s="33">
        <f>IF(ISNUMBER(SEARCH('Φόρμα Εισαγωγής'!$C$2,E1994)),MAX($D$1:D1993)+1,0)</f>
        <v>0</v>
      </c>
      <c r="H1994" s="6">
        <f t="shared" si="104"/>
        <v>0</v>
      </c>
      <c r="I1994" s="6">
        <f t="shared" si="105"/>
        <v>0</v>
      </c>
      <c r="J1994" s="6">
        <f t="shared" si="106"/>
        <v>0</v>
      </c>
      <c r="L1994" s="4" t="str">
        <f>IFERROR(VLOOKUP(ROWS($L$2:L1994),$B$2:$C$1996,2,0),"")</f>
        <v/>
      </c>
      <c r="N1994" s="2" t="str">
        <f>IFERROR(VLOOKUP(ROWS($N$2:N1994),$D$2:$E$1996,2,0),"")</f>
        <v/>
      </c>
    </row>
    <row r="1995" spans="2:14">
      <c r="B1995" s="32">
        <f>IF(ISNUMBER(SEARCH('Φόρμα Εισαγωγής'!$B$2,C1995)),MAX($B$1:B1994)+1,0)</f>
        <v>0</v>
      </c>
      <c r="D1995" s="33">
        <f>IF(ISNUMBER(SEARCH('Φόρμα Εισαγωγής'!$C$2,E1995)),MAX($D$1:D1994)+1,0)</f>
        <v>0</v>
      </c>
      <c r="H1995" s="6">
        <f t="shared" si="104"/>
        <v>0</v>
      </c>
      <c r="I1995" s="6">
        <f t="shared" si="105"/>
        <v>0</v>
      </c>
      <c r="J1995" s="6">
        <f t="shared" si="106"/>
        <v>0</v>
      </c>
      <c r="L1995" s="4" t="str">
        <f>IFERROR(VLOOKUP(ROWS($L$2:L1995),$B$2:$C$1996,2,0),"")</f>
        <v/>
      </c>
      <c r="N1995" s="2" t="str">
        <f>IFERROR(VLOOKUP(ROWS($N$2:N1995),$D$2:$E$1996,2,0),"")</f>
        <v/>
      </c>
    </row>
    <row r="1996" spans="2:14">
      <c r="B1996" s="32">
        <f>IF(ISNUMBER(SEARCH('Φόρμα Εισαγωγής'!$B$2,C1996)),MAX($B$1:B1995)+1,0)</f>
        <v>0</v>
      </c>
      <c r="D1996" s="33">
        <f>IF(ISNUMBER(SEARCH('Φόρμα Εισαγωγής'!$C$2,E1996)),MAX($D$1:D1995)+1,0)</f>
        <v>0</v>
      </c>
      <c r="H1996" s="6">
        <f t="shared" si="104"/>
        <v>0</v>
      </c>
      <c r="I1996" s="6">
        <f t="shared" si="105"/>
        <v>0</v>
      </c>
      <c r="J1996" s="6">
        <f t="shared" si="106"/>
        <v>0</v>
      </c>
      <c r="L1996" s="4" t="str">
        <f>IFERROR(VLOOKUP(ROWS($L$2:L1996),$B$2:$C$1996,2,0),"")</f>
        <v/>
      </c>
      <c r="N1996" s="2" t="str">
        <f>IFERROR(VLOOKUP(ROWS($N$2:N1996),$D$2:$E$1996,2,0),"")</f>
        <v/>
      </c>
    </row>
    <row r="1997" spans="2:14">
      <c r="B1997" s="32">
        <f>IF(ISNUMBER(SEARCH('Φόρμα Εισαγωγής'!$B$2,C1997)),MAX($B$1:B1996)+1,0)</f>
        <v>0</v>
      </c>
      <c r="D1997" s="33">
        <f>IF(ISNUMBER(SEARCH('Φόρμα Εισαγωγής'!$C$2,E1997)),MAX($D$1:D1996)+1,0)</f>
        <v>0</v>
      </c>
      <c r="H1997" s="6">
        <f t="shared" si="104"/>
        <v>0</v>
      </c>
      <c r="I1997" s="6">
        <f t="shared" si="105"/>
        <v>0</v>
      </c>
      <c r="J1997" s="6">
        <f t="shared" si="106"/>
        <v>0</v>
      </c>
      <c r="L1997" s="4" t="str">
        <f>IFERROR(VLOOKUP(ROWS($L$2:L1997),$B$2:$C$1996,2,0),"")</f>
        <v/>
      </c>
      <c r="N1997" s="2" t="str">
        <f>IFERROR(VLOOKUP(ROWS($N$2:N1997),$D$2:$E$1996,2,0),"")</f>
        <v/>
      </c>
    </row>
    <row r="1998" spans="2:14">
      <c r="B1998" s="32">
        <f>IF(ISNUMBER(SEARCH('Φόρμα Εισαγωγής'!$B$2,C1998)),MAX($B$1:B1997)+1,0)</f>
        <v>0</v>
      </c>
      <c r="D1998" s="33">
        <f>IF(ISNUMBER(SEARCH('Φόρμα Εισαγωγής'!$C$2,E1998)),MAX($D$1:D1997)+1,0)</f>
        <v>0</v>
      </c>
      <c r="H1998" s="6">
        <f t="shared" si="104"/>
        <v>0</v>
      </c>
      <c r="I1998" s="6">
        <f t="shared" si="105"/>
        <v>0</v>
      </c>
      <c r="J1998" s="6">
        <f t="shared" si="106"/>
        <v>0</v>
      </c>
      <c r="L1998" s="4" t="str">
        <f>IFERROR(VLOOKUP(ROWS($L$2:L1998),$B$2:$C$1996,2,0),"")</f>
        <v/>
      </c>
      <c r="N1998" s="2" t="str">
        <f>IFERROR(VLOOKUP(ROWS($N$2:N1998),$D$2:$E$1996,2,0),"")</f>
        <v/>
      </c>
    </row>
    <row r="1999" spans="2:14">
      <c r="B1999" s="32">
        <f>IF(ISNUMBER(SEARCH('Φόρμα Εισαγωγής'!$B$2,C1999)),MAX($B$1:B1998)+1,0)</f>
        <v>0</v>
      </c>
      <c r="D1999" s="33">
        <f>IF(ISNUMBER(SEARCH('Φόρμα Εισαγωγής'!$C$2,E1999)),MAX($D$1:D1998)+1,0)</f>
        <v>0</v>
      </c>
      <c r="H1999" s="6">
        <f t="shared" si="104"/>
        <v>0</v>
      </c>
      <c r="I1999" s="6">
        <f t="shared" si="105"/>
        <v>0</v>
      </c>
      <c r="J1999" s="6">
        <f t="shared" si="106"/>
        <v>0</v>
      </c>
      <c r="L1999" s="4" t="str">
        <f>IFERROR(VLOOKUP(ROWS($L$2:L1999),$B$2:$C$1996,2,0),"")</f>
        <v/>
      </c>
      <c r="N1999" s="2" t="str">
        <f>IFERROR(VLOOKUP(ROWS($N$2:N1999),$D$2:$E$1996,2,0),"")</f>
        <v/>
      </c>
    </row>
    <row r="2000" spans="2:14">
      <c r="B2000" s="32">
        <f>IF(ISNUMBER(SEARCH('Φόρμα Εισαγωγής'!$B$2,C2000)),MAX($B$1:B1999)+1,0)</f>
        <v>0</v>
      </c>
      <c r="D2000" s="33">
        <f>IF(ISNUMBER(SEARCH('Φόρμα Εισαγωγής'!$C$2,E2000)),MAX($D$1:D1999)+1,0)</f>
        <v>0</v>
      </c>
      <c r="H2000" s="6">
        <f t="shared" si="104"/>
        <v>0</v>
      </c>
      <c r="I2000" s="6">
        <f t="shared" si="105"/>
        <v>0</v>
      </c>
      <c r="J2000" s="6">
        <f t="shared" si="106"/>
        <v>0</v>
      </c>
      <c r="L2000" s="4" t="str">
        <f>IFERROR(VLOOKUP(ROWS($L$2:L2000),$B$2:$C$1996,2,0),"")</f>
        <v/>
      </c>
      <c r="N2000" s="2" t="str">
        <f>IFERROR(VLOOKUP(ROWS($N$2:N2000),$D$2:$E$1996,2,0),"")</f>
        <v/>
      </c>
    </row>
    <row r="2001" spans="2:14">
      <c r="B2001" s="32">
        <f>IF(ISNUMBER(SEARCH('Φόρμα Εισαγωγής'!$B$2,C2001)),MAX($B$1:B2000)+1,0)</f>
        <v>0</v>
      </c>
      <c r="D2001" s="33">
        <f>IF(ISNUMBER(SEARCH('Φόρμα Εισαγωγής'!$C$2,E2001)),MAX($D$1:D2000)+1,0)</f>
        <v>0</v>
      </c>
      <c r="H2001" s="6">
        <f t="shared" si="104"/>
        <v>0</v>
      </c>
      <c r="I2001" s="6">
        <f t="shared" si="105"/>
        <v>0</v>
      </c>
      <c r="J2001" s="6">
        <f t="shared" si="106"/>
        <v>0</v>
      </c>
      <c r="L2001" s="4" t="str">
        <f>IFERROR(VLOOKUP(ROWS($L$2:L2001),$B$2:$C$1996,2,0),"")</f>
        <v/>
      </c>
      <c r="N2001" s="2" t="str">
        <f>IFERROR(VLOOKUP(ROWS($N$2:N2001),$D$2:$E$1996,2,0),"")</f>
        <v/>
      </c>
    </row>
    <row r="2002" spans="2:14">
      <c r="B2002" s="32">
        <f>IF(ISNUMBER(SEARCH('Φόρμα Εισαγωγής'!$B$2,C2002)),MAX($B$1:B2001)+1,0)</f>
        <v>0</v>
      </c>
      <c r="D2002" s="33">
        <f>IF(ISNUMBER(SEARCH('Φόρμα Εισαγωγής'!$C$2,E2002)),MAX($D$1:D2001)+1,0)</f>
        <v>0</v>
      </c>
      <c r="H2002" s="6">
        <f t="shared" si="104"/>
        <v>0</v>
      </c>
      <c r="I2002" s="6">
        <f t="shared" si="105"/>
        <v>0</v>
      </c>
      <c r="J2002" s="6">
        <f t="shared" si="106"/>
        <v>0</v>
      </c>
      <c r="L2002" s="4" t="str">
        <f>IFERROR(VLOOKUP(ROWS($L$2:L2002),$B$2:$C$1996,2,0),"")</f>
        <v/>
      </c>
      <c r="N2002" s="2" t="str">
        <f>IFERROR(VLOOKUP(ROWS($N$2:N2002),$D$2:$E$1996,2,0),"")</f>
        <v/>
      </c>
    </row>
    <row r="2003" spans="2:14">
      <c r="B2003" s="32">
        <f>IF(ISNUMBER(SEARCH('Φόρμα Εισαγωγής'!$B$2,C2003)),MAX($B$1:B2002)+1,0)</f>
        <v>0</v>
      </c>
      <c r="D2003" s="33">
        <f>IF(ISNUMBER(SEARCH('Φόρμα Εισαγωγής'!$C$2,E2003)),MAX($D$1:D2002)+1,0)</f>
        <v>0</v>
      </c>
      <c r="H2003" s="6">
        <f t="shared" si="104"/>
        <v>0</v>
      </c>
      <c r="I2003" s="6">
        <f t="shared" si="105"/>
        <v>0</v>
      </c>
      <c r="J2003" s="6">
        <f t="shared" si="106"/>
        <v>0</v>
      </c>
      <c r="L2003" s="4" t="str">
        <f>IFERROR(VLOOKUP(ROWS($L$2:L2003),$B$2:$C$1996,2,0),"")</f>
        <v/>
      </c>
      <c r="N2003" s="2" t="str">
        <f>IFERROR(VLOOKUP(ROWS($N$2:N2003),$D$2:$E$1996,2,0),"")</f>
        <v/>
      </c>
    </row>
    <row r="2004" spans="2:14">
      <c r="B2004" s="32">
        <f>IF(ISNUMBER(SEARCH('Φόρμα Εισαγωγής'!$B$2,C2004)),MAX($B$1:B2003)+1,0)</f>
        <v>0</v>
      </c>
      <c r="D2004" s="33">
        <f>IF(ISNUMBER(SEARCH('Φόρμα Εισαγωγής'!$C$2,E2004)),MAX($D$1:D2003)+1,0)</f>
        <v>0</v>
      </c>
      <c r="H2004" s="6">
        <f t="shared" si="104"/>
        <v>0</v>
      </c>
      <c r="I2004" s="6">
        <f t="shared" si="105"/>
        <v>0</v>
      </c>
      <c r="J2004" s="6">
        <f t="shared" si="106"/>
        <v>0</v>
      </c>
      <c r="L2004" s="4" t="str">
        <f>IFERROR(VLOOKUP(ROWS($L$2:L2004),$B$2:$C$1996,2,0),"")</f>
        <v/>
      </c>
      <c r="N2004" s="2" t="str">
        <f>IFERROR(VLOOKUP(ROWS($N$2:N2004),$D$2:$E$1996,2,0),"")</f>
        <v/>
      </c>
    </row>
    <row r="2005" spans="2:14">
      <c r="B2005" s="32">
        <f>IF(ISNUMBER(SEARCH('Φόρμα Εισαγωγής'!$B$2,C2005)),MAX($B$1:B2004)+1,0)</f>
        <v>0</v>
      </c>
      <c r="D2005" s="33">
        <f>IF(ISNUMBER(SEARCH('Φόρμα Εισαγωγής'!$C$2,E2005)),MAX($D$1:D2004)+1,0)</f>
        <v>0</v>
      </c>
      <c r="H2005" s="6">
        <f t="shared" si="104"/>
        <v>0</v>
      </c>
      <c r="I2005" s="6">
        <f t="shared" si="105"/>
        <v>0</v>
      </c>
      <c r="J2005" s="6">
        <f t="shared" si="106"/>
        <v>0</v>
      </c>
      <c r="L2005" s="4" t="str">
        <f>IFERROR(VLOOKUP(ROWS($L$2:L2005),$B$2:$C$1996,2,0),"")</f>
        <v/>
      </c>
      <c r="N2005" s="2" t="str">
        <f>IFERROR(VLOOKUP(ROWS($N$2:N2005),$D$2:$E$1996,2,0),"")</f>
        <v/>
      </c>
    </row>
    <row r="2006" spans="2:14">
      <c r="B2006" s="32">
        <f>IF(ISNUMBER(SEARCH('Φόρμα Εισαγωγής'!$B$2,C2006)),MAX($B$1:B2005)+1,0)</f>
        <v>0</v>
      </c>
      <c r="D2006" s="33">
        <f>IF(ISNUMBER(SEARCH('Φόρμα Εισαγωγής'!$C$2,E2006)),MAX($D$1:D2005)+1,0)</f>
        <v>0</v>
      </c>
      <c r="H2006" s="6">
        <f t="shared" si="104"/>
        <v>0</v>
      </c>
      <c r="I2006" s="6">
        <f t="shared" si="105"/>
        <v>0</v>
      </c>
      <c r="J2006" s="6">
        <f t="shared" si="106"/>
        <v>0</v>
      </c>
      <c r="L2006" s="4" t="str">
        <f>IFERROR(VLOOKUP(ROWS($L$2:L2006),$B$2:$C$1996,2,0),"")</f>
        <v/>
      </c>
      <c r="N2006" s="2" t="str">
        <f>IFERROR(VLOOKUP(ROWS($N$2:N2006),$D$2:$E$1996,2,0),"")</f>
        <v/>
      </c>
    </row>
    <row r="2007" spans="2:14">
      <c r="B2007" s="32">
        <f>IF(ISNUMBER(SEARCH('Φόρμα Εισαγωγής'!$B$2,C2007)),MAX($B$1:B2006)+1,0)</f>
        <v>0</v>
      </c>
      <c r="D2007" s="33">
        <f>IF(ISNUMBER(SEARCH('Φόρμα Εισαγωγής'!$C$2,E2007)),MAX($D$1:D2006)+1,0)</f>
        <v>0</v>
      </c>
      <c r="H2007" s="6">
        <f t="shared" si="104"/>
        <v>0</v>
      </c>
      <c r="I2007" s="6">
        <f t="shared" si="105"/>
        <v>0</v>
      </c>
      <c r="J2007" s="6">
        <f t="shared" si="106"/>
        <v>0</v>
      </c>
      <c r="L2007" s="4" t="str">
        <f>IFERROR(VLOOKUP(ROWS($L$2:L2007),$B$2:$C$1996,2,0),"")</f>
        <v/>
      </c>
      <c r="N2007" s="2" t="str">
        <f>IFERROR(VLOOKUP(ROWS($N$2:N2007),$D$2:$E$1996,2,0),"")</f>
        <v/>
      </c>
    </row>
    <row r="2008" spans="2:14">
      <c r="B2008" s="32">
        <f>IF(ISNUMBER(SEARCH('Φόρμα Εισαγωγής'!$B$2,C2008)),MAX($B$1:B2007)+1,0)</f>
        <v>0</v>
      </c>
      <c r="D2008" s="33">
        <f>IF(ISNUMBER(SEARCH('Φόρμα Εισαγωγής'!$C$2,E2008)),MAX($D$1:D2007)+1,0)</f>
        <v>0</v>
      </c>
      <c r="H2008" s="6">
        <f t="shared" si="104"/>
        <v>0</v>
      </c>
      <c r="I2008" s="6">
        <f t="shared" si="105"/>
        <v>0</v>
      </c>
      <c r="J2008" s="6">
        <f t="shared" si="106"/>
        <v>0</v>
      </c>
      <c r="L2008" s="4" t="str">
        <f>IFERROR(VLOOKUP(ROWS($L$2:L2008),$B$2:$C$1996,2,0),"")</f>
        <v/>
      </c>
      <c r="N2008" s="2" t="str">
        <f>IFERROR(VLOOKUP(ROWS($N$2:N2008),$D$2:$E$1996,2,0),"")</f>
        <v/>
      </c>
    </row>
    <row r="2009" spans="2:14">
      <c r="B2009" s="32">
        <f>IF(ISNUMBER(SEARCH('Φόρμα Εισαγωγής'!$B$2,C2009)),MAX($B$1:B2008)+1,0)</f>
        <v>0</v>
      </c>
      <c r="D2009" s="33">
        <f>IF(ISNUMBER(SEARCH('Φόρμα Εισαγωγής'!$C$2,E2009)),MAX($D$1:D2008)+1,0)</f>
        <v>0</v>
      </c>
      <c r="H2009" s="6">
        <f t="shared" si="104"/>
        <v>0</v>
      </c>
      <c r="I2009" s="6">
        <f t="shared" si="105"/>
        <v>0</v>
      </c>
      <c r="J2009" s="6">
        <f t="shared" si="106"/>
        <v>0</v>
      </c>
      <c r="L2009" s="4" t="str">
        <f>IFERROR(VLOOKUP(ROWS($L$2:L2009),$B$2:$C$1996,2,0),"")</f>
        <v/>
      </c>
      <c r="N2009" s="2" t="str">
        <f>IFERROR(VLOOKUP(ROWS($N$2:N2009),$D$2:$E$1996,2,0),"")</f>
        <v/>
      </c>
    </row>
    <row r="2010" spans="2:14">
      <c r="B2010" s="32">
        <f>IF(ISNUMBER(SEARCH('Φόρμα Εισαγωγής'!$B$2,C2010)),MAX($B$1:B2009)+1,0)</f>
        <v>0</v>
      </c>
      <c r="D2010" s="33">
        <f>IF(ISNUMBER(SEARCH('Φόρμα Εισαγωγής'!$C$2,E2010)),MAX($D$1:D2009)+1,0)</f>
        <v>0</v>
      </c>
      <c r="H2010" s="6">
        <f t="shared" si="104"/>
        <v>0</v>
      </c>
      <c r="I2010" s="6">
        <f t="shared" si="105"/>
        <v>0</v>
      </c>
      <c r="J2010" s="6">
        <f t="shared" si="106"/>
        <v>0</v>
      </c>
      <c r="L2010" s="4" t="str">
        <f>IFERROR(VLOOKUP(ROWS($L$2:L2010),$B$2:$C$1996,2,0),"")</f>
        <v/>
      </c>
      <c r="N2010" s="2" t="str">
        <f>IFERROR(VLOOKUP(ROWS($N$2:N2010),$D$2:$E$1996,2,0),"")</f>
        <v/>
      </c>
    </row>
    <row r="2011" spans="2:14">
      <c r="B2011" s="32">
        <f>IF(ISNUMBER(SEARCH('Φόρμα Εισαγωγής'!$B$2,C2011)),MAX($B$1:B2010)+1,0)</f>
        <v>0</v>
      </c>
      <c r="D2011" s="33">
        <f>IF(ISNUMBER(SEARCH('Φόρμα Εισαγωγής'!$C$2,E2011)),MAX($D$1:D2010)+1,0)</f>
        <v>0</v>
      </c>
      <c r="H2011" s="6">
        <f t="shared" si="104"/>
        <v>0</v>
      </c>
      <c r="I2011" s="6">
        <f t="shared" si="105"/>
        <v>0</v>
      </c>
      <c r="J2011" s="6">
        <f t="shared" si="106"/>
        <v>0</v>
      </c>
      <c r="L2011" s="4" t="str">
        <f>IFERROR(VLOOKUP(ROWS($L$2:L2011),$B$2:$C$1996,2,0),"")</f>
        <v/>
      </c>
      <c r="N2011" s="2" t="str">
        <f>IFERROR(VLOOKUP(ROWS($N$2:N2011),$D$2:$E$1996,2,0),"")</f>
        <v/>
      </c>
    </row>
    <row r="2012" spans="2:14">
      <c r="B2012" s="32">
        <f>IF(ISNUMBER(SEARCH('Φόρμα Εισαγωγής'!$B$2,C2012)),MAX($B$1:B2011)+1,0)</f>
        <v>0</v>
      </c>
      <c r="D2012" s="33">
        <f>IF(ISNUMBER(SEARCH('Φόρμα Εισαγωγής'!$C$2,E2012)),MAX($D$1:D2011)+1,0)</f>
        <v>0</v>
      </c>
      <c r="H2012" s="6">
        <f t="shared" si="104"/>
        <v>0</v>
      </c>
      <c r="I2012" s="6">
        <f t="shared" si="105"/>
        <v>0</v>
      </c>
      <c r="J2012" s="6">
        <f t="shared" si="106"/>
        <v>0</v>
      </c>
      <c r="L2012" s="4" t="str">
        <f>IFERROR(VLOOKUP(ROWS($L$2:L2012),$B$2:$C$1996,2,0),"")</f>
        <v/>
      </c>
      <c r="N2012" s="2" t="str">
        <f>IFERROR(VLOOKUP(ROWS($N$2:N2012),$D$2:$E$1996,2,0),"")</f>
        <v/>
      </c>
    </row>
    <row r="2013" spans="2:14">
      <c r="B2013" s="32">
        <f>IF(ISNUMBER(SEARCH('Φόρμα Εισαγωγής'!$B$2,C2013)),MAX($B$1:B2012)+1,0)</f>
        <v>0</v>
      </c>
      <c r="D2013" s="33">
        <f>IF(ISNUMBER(SEARCH('Φόρμα Εισαγωγής'!$C$2,E2013)),MAX($D$1:D2012)+1,0)</f>
        <v>0</v>
      </c>
      <c r="H2013" s="6">
        <f t="shared" si="104"/>
        <v>0</v>
      </c>
      <c r="I2013" s="6">
        <f t="shared" si="105"/>
        <v>0</v>
      </c>
      <c r="J2013" s="6">
        <f t="shared" si="106"/>
        <v>0</v>
      </c>
      <c r="L2013" s="4" t="str">
        <f>IFERROR(VLOOKUP(ROWS($L$2:L2013),$B$2:$C$1996,2,0),"")</f>
        <v/>
      </c>
      <c r="N2013" s="2" t="str">
        <f>IFERROR(VLOOKUP(ROWS($N$2:N2013),$D$2:$E$1996,2,0),"")</f>
        <v/>
      </c>
    </row>
    <row r="2014" spans="2:14">
      <c r="B2014" s="32">
        <f>IF(ISNUMBER(SEARCH('Φόρμα Εισαγωγής'!$B$2,C2014)),MAX($B$1:B2013)+1,0)</f>
        <v>0</v>
      </c>
      <c r="D2014" s="33">
        <f>IF(ISNUMBER(SEARCH('Φόρμα Εισαγωγής'!$C$2,E2014)),MAX($D$1:D2013)+1,0)</f>
        <v>0</v>
      </c>
      <c r="H2014" s="6">
        <f t="shared" si="104"/>
        <v>0</v>
      </c>
      <c r="I2014" s="6">
        <f t="shared" si="105"/>
        <v>0</v>
      </c>
      <c r="J2014" s="6">
        <f t="shared" si="106"/>
        <v>0</v>
      </c>
      <c r="L2014" s="4" t="str">
        <f>IFERROR(VLOOKUP(ROWS($L$2:L2014),$B$2:$C$1996,2,0),"")</f>
        <v/>
      </c>
      <c r="N2014" s="2" t="str">
        <f>IFERROR(VLOOKUP(ROWS($N$2:N2014),$D$2:$E$1996,2,0),"")</f>
        <v/>
      </c>
    </row>
    <row r="2015" spans="2:14">
      <c r="B2015" s="32">
        <f>IF(ISNUMBER(SEARCH('Φόρμα Εισαγωγής'!$B$2,C2015)),MAX($B$1:B2014)+1,0)</f>
        <v>0</v>
      </c>
      <c r="D2015" s="33">
        <f>IF(ISNUMBER(SEARCH('Φόρμα Εισαγωγής'!$C$2,E2015)),MAX($D$1:D2014)+1,0)</f>
        <v>0</v>
      </c>
      <c r="H2015" s="6">
        <f t="shared" si="104"/>
        <v>0</v>
      </c>
      <c r="I2015" s="6">
        <f t="shared" si="105"/>
        <v>0</v>
      </c>
      <c r="J2015" s="6">
        <f t="shared" si="106"/>
        <v>0</v>
      </c>
      <c r="L2015" s="4" t="str">
        <f>IFERROR(VLOOKUP(ROWS($L$2:L2015),$B$2:$C$1996,2,0),"")</f>
        <v/>
      </c>
      <c r="N2015" s="2" t="str">
        <f>IFERROR(VLOOKUP(ROWS($N$2:N2015),$D$2:$E$1996,2,0),"")</f>
        <v/>
      </c>
    </row>
    <row r="2016" spans="2:14">
      <c r="B2016" s="32">
        <f>IF(ISNUMBER(SEARCH('Φόρμα Εισαγωγής'!$B$2,C2016)),MAX($B$1:B2015)+1,0)</f>
        <v>0</v>
      </c>
      <c r="D2016" s="33">
        <f>IF(ISNUMBER(SEARCH('Φόρμα Εισαγωγής'!$C$2,E2016)),MAX($D$1:D2015)+1,0)</f>
        <v>0</v>
      </c>
      <c r="H2016" s="6">
        <f t="shared" si="104"/>
        <v>0</v>
      </c>
      <c r="I2016" s="6">
        <f t="shared" si="105"/>
        <v>0</v>
      </c>
      <c r="J2016" s="6">
        <f t="shared" si="106"/>
        <v>0</v>
      </c>
      <c r="L2016" s="4" t="str">
        <f>IFERROR(VLOOKUP(ROWS($L$2:L2016),$B$2:$C$1996,2,0),"")</f>
        <v/>
      </c>
      <c r="N2016" s="2" t="str">
        <f>IFERROR(VLOOKUP(ROWS($N$2:N2016),$D$2:$E$1996,2,0),"")</f>
        <v/>
      </c>
    </row>
    <row r="2017" spans="2:14">
      <c r="B2017" s="32">
        <f>IF(ISNUMBER(SEARCH('Φόρμα Εισαγωγής'!$B$2,C2017)),MAX($B$1:B2016)+1,0)</f>
        <v>0</v>
      </c>
      <c r="D2017" s="33">
        <f>IF(ISNUMBER(SEARCH('Φόρμα Εισαγωγής'!$C$2,E2017)),MAX($D$1:D2016)+1,0)</f>
        <v>0</v>
      </c>
      <c r="H2017" s="6">
        <f t="shared" si="104"/>
        <v>0</v>
      </c>
      <c r="I2017" s="6">
        <f t="shared" si="105"/>
        <v>0</v>
      </c>
      <c r="J2017" s="6">
        <f t="shared" si="106"/>
        <v>0</v>
      </c>
      <c r="L2017" s="4" t="str">
        <f>IFERROR(VLOOKUP(ROWS($L$2:L2017),$B$2:$C$1996,2,0),"")</f>
        <v/>
      </c>
      <c r="N2017" s="2" t="str">
        <f>IFERROR(VLOOKUP(ROWS($N$2:N2017),$D$2:$E$1996,2,0),"")</f>
        <v/>
      </c>
    </row>
    <row r="2018" spans="2:14">
      <c r="B2018" s="32">
        <f>IF(ISNUMBER(SEARCH('Φόρμα Εισαγωγής'!$B$2,C2018)),MAX($B$1:B2017)+1,0)</f>
        <v>0</v>
      </c>
      <c r="D2018" s="33">
        <f>IF(ISNUMBER(SEARCH('Φόρμα Εισαγωγής'!$C$2,E2018)),MAX($D$1:D2017)+1,0)</f>
        <v>0</v>
      </c>
      <c r="H2018" s="6">
        <f t="shared" si="104"/>
        <v>0</v>
      </c>
      <c r="I2018" s="6">
        <f t="shared" si="105"/>
        <v>0</v>
      </c>
      <c r="J2018" s="6">
        <f t="shared" si="106"/>
        <v>0</v>
      </c>
      <c r="L2018" s="4" t="str">
        <f>IFERROR(VLOOKUP(ROWS($L$2:L2018),$B$2:$C$1996,2,0),"")</f>
        <v/>
      </c>
      <c r="N2018" s="2" t="str">
        <f>IFERROR(VLOOKUP(ROWS($N$2:N2018),$D$2:$E$1996,2,0),"")</f>
        <v/>
      </c>
    </row>
    <row r="2019" spans="2:14">
      <c r="B2019" s="32">
        <f>IF(ISNUMBER(SEARCH('Φόρμα Εισαγωγής'!$B$2,C2019)),MAX($B$1:B2018)+1,0)</f>
        <v>0</v>
      </c>
      <c r="D2019" s="33">
        <f>IF(ISNUMBER(SEARCH('Φόρμα Εισαγωγής'!$C$2,E2019)),MAX($D$1:D2018)+1,0)</f>
        <v>0</v>
      </c>
      <c r="H2019" s="6">
        <f t="shared" si="104"/>
        <v>0</v>
      </c>
      <c r="I2019" s="6">
        <f t="shared" si="105"/>
        <v>0</v>
      </c>
      <c r="J2019" s="6">
        <f t="shared" si="106"/>
        <v>0</v>
      </c>
      <c r="L2019" s="4" t="str">
        <f>IFERROR(VLOOKUP(ROWS($L$2:L2019),$B$2:$C$1996,2,0),"")</f>
        <v/>
      </c>
      <c r="N2019" s="2" t="str">
        <f>IFERROR(VLOOKUP(ROWS($N$2:N2019),$D$2:$E$1996,2,0),"")</f>
        <v/>
      </c>
    </row>
    <row r="2020" spans="2:14">
      <c r="B2020" s="32">
        <f>IF(ISNUMBER(SEARCH('Φόρμα Εισαγωγής'!$B$2,C2020)),MAX($B$1:B2019)+1,0)</f>
        <v>0</v>
      </c>
      <c r="D2020" s="33">
        <f>IF(ISNUMBER(SEARCH('Φόρμα Εισαγωγής'!$C$2,E2020)),MAX($D$1:D2019)+1,0)</f>
        <v>0</v>
      </c>
      <c r="H2020" s="6">
        <f t="shared" si="104"/>
        <v>0</v>
      </c>
      <c r="I2020" s="6">
        <f t="shared" si="105"/>
        <v>0</v>
      </c>
      <c r="J2020" s="6">
        <f t="shared" si="106"/>
        <v>0</v>
      </c>
      <c r="L2020" s="4" t="str">
        <f>IFERROR(VLOOKUP(ROWS($L$2:L2020),$B$2:$C$1996,2,0),"")</f>
        <v/>
      </c>
      <c r="N2020" s="2" t="str">
        <f>IFERROR(VLOOKUP(ROWS($N$2:N2020),$D$2:$E$1996,2,0),"")</f>
        <v/>
      </c>
    </row>
    <row r="2021" spans="2:14">
      <c r="B2021" s="32">
        <f>IF(ISNUMBER(SEARCH('Φόρμα Εισαγωγής'!$B$2,C2021)),MAX($B$1:B2020)+1,0)</f>
        <v>0</v>
      </c>
      <c r="D2021" s="33">
        <f>IF(ISNUMBER(SEARCH('Φόρμα Εισαγωγής'!$C$2,E2021)),MAX($D$1:D2020)+1,0)</f>
        <v>0</v>
      </c>
      <c r="H2021" s="6">
        <f t="shared" si="104"/>
        <v>0</v>
      </c>
      <c r="I2021" s="6">
        <f t="shared" si="105"/>
        <v>0</v>
      </c>
      <c r="J2021" s="6">
        <f t="shared" si="106"/>
        <v>0</v>
      </c>
      <c r="L2021" s="4" t="str">
        <f>IFERROR(VLOOKUP(ROWS($L$2:L2021),$B$2:$C$1996,2,0),"")</f>
        <v/>
      </c>
      <c r="N2021" s="2" t="str">
        <f>IFERROR(VLOOKUP(ROWS($N$2:N2021),$D$2:$E$1996,2,0),"")</f>
        <v/>
      </c>
    </row>
    <row r="2022" spans="2:14">
      <c r="B2022" s="32">
        <f>IF(ISNUMBER(SEARCH('Φόρμα Εισαγωγής'!$B$2,C2022)),MAX($B$1:B2021)+1,0)</f>
        <v>0</v>
      </c>
      <c r="D2022" s="33">
        <f>IF(ISNUMBER(SEARCH('Φόρμα Εισαγωγής'!$C$2,E2022)),MAX($D$1:D2021)+1,0)</f>
        <v>0</v>
      </c>
      <c r="H2022" s="6">
        <f t="shared" si="104"/>
        <v>0</v>
      </c>
      <c r="I2022" s="6">
        <f t="shared" si="105"/>
        <v>0</v>
      </c>
      <c r="J2022" s="6">
        <f t="shared" si="106"/>
        <v>0</v>
      </c>
      <c r="L2022" s="4" t="str">
        <f>IFERROR(VLOOKUP(ROWS($L$2:L2022),$B$2:$C$1996,2,0),"")</f>
        <v/>
      </c>
      <c r="N2022" s="2" t="str">
        <f>IFERROR(VLOOKUP(ROWS($N$2:N2022),$D$2:$E$1996,2,0),"")</f>
        <v/>
      </c>
    </row>
    <row r="2023" spans="2:14">
      <c r="B2023" s="32">
        <f>IF(ISNUMBER(SEARCH('Φόρμα Εισαγωγής'!$B$2,C2023)),MAX($B$1:B2022)+1,0)</f>
        <v>0</v>
      </c>
      <c r="D2023" s="33">
        <f>IF(ISNUMBER(SEARCH('Φόρμα Εισαγωγής'!$C$2,E2023)),MAX($D$1:D2022)+1,0)</f>
        <v>0</v>
      </c>
      <c r="H2023" s="6">
        <f t="shared" si="104"/>
        <v>0</v>
      </c>
      <c r="I2023" s="6">
        <f t="shared" si="105"/>
        <v>0</v>
      </c>
      <c r="J2023" s="6">
        <f t="shared" si="106"/>
        <v>0</v>
      </c>
      <c r="L2023" s="4" t="str">
        <f>IFERROR(VLOOKUP(ROWS($L$2:L2023),$B$2:$C$1996,2,0),"")</f>
        <v/>
      </c>
      <c r="N2023" s="2" t="str">
        <f>IFERROR(VLOOKUP(ROWS($N$2:N2023),$D$2:$E$1996,2,0),"")</f>
        <v/>
      </c>
    </row>
    <row r="2024" spans="2:14">
      <c r="B2024" s="32">
        <f>IF(ISNUMBER(SEARCH('Φόρμα Εισαγωγής'!$B$2,C2024)),MAX($B$1:B2023)+1,0)</f>
        <v>0</v>
      </c>
      <c r="D2024" s="33">
        <f>IF(ISNUMBER(SEARCH('Φόρμα Εισαγωγής'!$C$2,E2024)),MAX($D$1:D2023)+1,0)</f>
        <v>0</v>
      </c>
      <c r="H2024" s="6">
        <f t="shared" si="104"/>
        <v>0</v>
      </c>
      <c r="I2024" s="6">
        <f t="shared" si="105"/>
        <v>0</v>
      </c>
      <c r="J2024" s="6">
        <f t="shared" si="106"/>
        <v>0</v>
      </c>
      <c r="L2024" s="4" t="str">
        <f>IFERROR(VLOOKUP(ROWS($L$2:L2024),$B$2:$C$1996,2,0),"")</f>
        <v/>
      </c>
      <c r="N2024" s="2" t="str">
        <f>IFERROR(VLOOKUP(ROWS($N$2:N2024),$D$2:$E$1996,2,0),"")</f>
        <v/>
      </c>
    </row>
    <row r="2025" spans="2:14">
      <c r="B2025" s="32">
        <f>IF(ISNUMBER(SEARCH('Φόρμα Εισαγωγής'!$B$2,C2025)),MAX($B$1:B2024)+1,0)</f>
        <v>0</v>
      </c>
      <c r="D2025" s="33">
        <f>IF(ISNUMBER(SEARCH('Φόρμα Εισαγωγής'!$C$2,E2025)),MAX($D$1:D2024)+1,0)</f>
        <v>0</v>
      </c>
      <c r="H2025" s="6">
        <f t="shared" si="104"/>
        <v>0</v>
      </c>
      <c r="I2025" s="6">
        <f t="shared" si="105"/>
        <v>0</v>
      </c>
      <c r="J2025" s="6">
        <f t="shared" si="106"/>
        <v>0</v>
      </c>
      <c r="L2025" s="4" t="str">
        <f>IFERROR(VLOOKUP(ROWS($L$2:L2025),$B$2:$C$1996,2,0),"")</f>
        <v/>
      </c>
      <c r="N2025" s="2" t="str">
        <f>IFERROR(VLOOKUP(ROWS($N$2:N2025),$D$2:$E$1996,2,0),"")</f>
        <v/>
      </c>
    </row>
    <row r="2026" spans="2:14">
      <c r="B2026" s="32">
        <f>IF(ISNUMBER(SEARCH('Φόρμα Εισαγωγής'!$B$2,C2026)),MAX($B$1:B2025)+1,0)</f>
        <v>0</v>
      </c>
      <c r="D2026" s="33">
        <f>IF(ISNUMBER(SEARCH('Φόρμα Εισαγωγής'!$C$2,E2026)),MAX($D$1:D2025)+1,0)</f>
        <v>0</v>
      </c>
      <c r="H2026" s="6">
        <f t="shared" si="104"/>
        <v>0</v>
      </c>
      <c r="I2026" s="6">
        <f t="shared" si="105"/>
        <v>0</v>
      </c>
      <c r="J2026" s="6">
        <f t="shared" si="106"/>
        <v>0</v>
      </c>
      <c r="L2026" s="4" t="str">
        <f>IFERROR(VLOOKUP(ROWS($L$2:L2026),$B$2:$C$1996,2,0),"")</f>
        <v/>
      </c>
      <c r="N2026" s="2" t="str">
        <f>IFERROR(VLOOKUP(ROWS($N$2:N2026),$D$2:$E$1996,2,0),"")</f>
        <v/>
      </c>
    </row>
    <row r="2027" spans="2:14">
      <c r="B2027" s="32">
        <f>IF(ISNUMBER(SEARCH('Φόρμα Εισαγωγής'!$B$2,C2027)),MAX($B$1:B2026)+1,0)</f>
        <v>0</v>
      </c>
      <c r="D2027" s="33">
        <f>IF(ISNUMBER(SEARCH('Φόρμα Εισαγωγής'!$C$2,E2027)),MAX($D$1:D2026)+1,0)</f>
        <v>0</v>
      </c>
      <c r="H2027" s="6">
        <f t="shared" si="104"/>
        <v>0</v>
      </c>
      <c r="I2027" s="6">
        <f t="shared" si="105"/>
        <v>0</v>
      </c>
      <c r="J2027" s="6">
        <f t="shared" si="106"/>
        <v>0</v>
      </c>
      <c r="L2027" s="4" t="str">
        <f>IFERROR(VLOOKUP(ROWS($L$2:L2027),$B$2:$C$1996,2,0),"")</f>
        <v/>
      </c>
      <c r="N2027" s="2" t="str">
        <f>IFERROR(VLOOKUP(ROWS($N$2:N2027),$D$2:$E$1996,2,0),"")</f>
        <v/>
      </c>
    </row>
    <row r="2028" spans="2:14">
      <c r="B2028" s="32">
        <f>IF(ISNUMBER(SEARCH('Φόρμα Εισαγωγής'!$B$2,C2028)),MAX($B$1:B2027)+1,0)</f>
        <v>0</v>
      </c>
      <c r="D2028" s="33">
        <f>IF(ISNUMBER(SEARCH('Φόρμα Εισαγωγής'!$C$2,E2028)),MAX($D$1:D2027)+1,0)</f>
        <v>0</v>
      </c>
      <c r="H2028" s="6">
        <f t="shared" si="104"/>
        <v>0</v>
      </c>
      <c r="I2028" s="6">
        <f t="shared" si="105"/>
        <v>0</v>
      </c>
      <c r="J2028" s="6">
        <f t="shared" si="106"/>
        <v>0</v>
      </c>
      <c r="L2028" s="4" t="str">
        <f>IFERROR(VLOOKUP(ROWS($L$2:L2028),$B$2:$C$1996,2,0),"")</f>
        <v/>
      </c>
      <c r="N2028" s="2" t="str">
        <f>IFERROR(VLOOKUP(ROWS($N$2:N2028),$D$2:$E$1996,2,0),"")</f>
        <v/>
      </c>
    </row>
    <row r="2029" spans="2:14">
      <c r="B2029" s="32">
        <f>IF(ISNUMBER(SEARCH('Φόρμα Εισαγωγής'!$B$2,C2029)),MAX($B$1:B2028)+1,0)</f>
        <v>0</v>
      </c>
      <c r="D2029" s="33">
        <f>IF(ISNUMBER(SEARCH('Φόρμα Εισαγωγής'!$C$2,E2029)),MAX($D$1:D2028)+1,0)</f>
        <v>0</v>
      </c>
      <c r="H2029" s="6">
        <f t="shared" si="104"/>
        <v>0</v>
      </c>
      <c r="I2029" s="6">
        <f t="shared" si="105"/>
        <v>0</v>
      </c>
      <c r="J2029" s="6">
        <f t="shared" si="106"/>
        <v>0</v>
      </c>
      <c r="L2029" s="4" t="str">
        <f>IFERROR(VLOOKUP(ROWS($L$2:L2029),$B$2:$C$1996,2,0),"")</f>
        <v/>
      </c>
      <c r="N2029" s="2" t="str">
        <f>IFERROR(VLOOKUP(ROWS($N$2:N2029),$D$2:$E$1996,2,0),"")</f>
        <v/>
      </c>
    </row>
    <row r="2030" spans="2:14">
      <c r="B2030" s="32">
        <f>IF(ISNUMBER(SEARCH('Φόρμα Εισαγωγής'!$B$2,C2030)),MAX($B$1:B2029)+1,0)</f>
        <v>0</v>
      </c>
      <c r="D2030" s="33">
        <f>IF(ISNUMBER(SEARCH('Φόρμα Εισαγωγής'!$C$2,E2030)),MAX($D$1:D2029)+1,0)</f>
        <v>0</v>
      </c>
      <c r="H2030" s="6">
        <f t="shared" si="104"/>
        <v>0</v>
      </c>
      <c r="I2030" s="6">
        <f t="shared" si="105"/>
        <v>0</v>
      </c>
      <c r="J2030" s="6">
        <f t="shared" si="106"/>
        <v>0</v>
      </c>
      <c r="L2030" s="4" t="str">
        <f>IFERROR(VLOOKUP(ROWS($L$2:L2030),$B$2:$C$1996,2,0),"")</f>
        <v/>
      </c>
      <c r="N2030" s="2" t="str">
        <f>IFERROR(VLOOKUP(ROWS($N$2:N2030),$D$2:$E$1996,2,0),"")</f>
        <v/>
      </c>
    </row>
    <row r="2031" spans="2:14">
      <c r="B2031" s="32">
        <f>IF(ISNUMBER(SEARCH('Φόρμα Εισαγωγής'!$B$2,C2031)),MAX($B$1:B2030)+1,0)</f>
        <v>0</v>
      </c>
      <c r="D2031" s="33">
        <f>IF(ISNUMBER(SEARCH('Φόρμα Εισαγωγής'!$C$2,E2031)),MAX($D$1:D2030)+1,0)</f>
        <v>0</v>
      </c>
      <c r="H2031" s="6">
        <f t="shared" si="104"/>
        <v>0</v>
      </c>
      <c r="I2031" s="6">
        <f t="shared" si="105"/>
        <v>0</v>
      </c>
      <c r="J2031" s="6">
        <f t="shared" si="106"/>
        <v>0</v>
      </c>
      <c r="L2031" s="4" t="str">
        <f>IFERROR(VLOOKUP(ROWS($L$2:L2031),$B$2:$C$1996,2,0),"")</f>
        <v/>
      </c>
      <c r="N2031" s="2" t="str">
        <f>IFERROR(VLOOKUP(ROWS($N$2:N2031),$D$2:$E$1996,2,0),"")</f>
        <v/>
      </c>
    </row>
    <row r="2032" spans="2:14">
      <c r="B2032" s="32">
        <f>IF(ISNUMBER(SEARCH('Φόρμα Εισαγωγής'!$B$2,C2032)),MAX($B$1:B2031)+1,0)</f>
        <v>0</v>
      </c>
      <c r="D2032" s="33">
        <f>IF(ISNUMBER(SEARCH('Φόρμα Εισαγωγής'!$C$2,E2032)),MAX($D$1:D2031)+1,0)</f>
        <v>0</v>
      </c>
      <c r="H2032" s="6">
        <f t="shared" si="104"/>
        <v>0</v>
      </c>
      <c r="I2032" s="6">
        <f t="shared" si="105"/>
        <v>0</v>
      </c>
      <c r="J2032" s="6">
        <f t="shared" si="106"/>
        <v>0</v>
      </c>
      <c r="L2032" s="4" t="str">
        <f>IFERROR(VLOOKUP(ROWS($L$2:L2032),$B$2:$C$1996,2,0),"")</f>
        <v/>
      </c>
      <c r="N2032" s="2" t="str">
        <f>IFERROR(VLOOKUP(ROWS($N$2:N2032),$D$2:$E$1996,2,0),"")</f>
        <v/>
      </c>
    </row>
    <row r="2033" spans="2:14">
      <c r="B2033" s="32">
        <f>IF(ISNUMBER(SEARCH('Φόρμα Εισαγωγής'!$B$2,C2033)),MAX($B$1:B2032)+1,0)</f>
        <v>0</v>
      </c>
      <c r="D2033" s="33">
        <f>IF(ISNUMBER(SEARCH('Φόρμα Εισαγωγής'!$C$2,E2033)),MAX($D$1:D2032)+1,0)</f>
        <v>0</v>
      </c>
      <c r="H2033" s="6">
        <f t="shared" si="104"/>
        <v>0</v>
      </c>
      <c r="I2033" s="6">
        <f t="shared" si="105"/>
        <v>0</v>
      </c>
      <c r="J2033" s="6">
        <f t="shared" si="106"/>
        <v>0</v>
      </c>
      <c r="L2033" s="4" t="str">
        <f>IFERROR(VLOOKUP(ROWS($L$2:L2033),$B$2:$C$1996,2,0),"")</f>
        <v/>
      </c>
      <c r="N2033" s="2" t="str">
        <f>IFERROR(VLOOKUP(ROWS($N$2:N2033),$D$2:$E$1996,2,0),"")</f>
        <v/>
      </c>
    </row>
    <row r="2034" spans="2:14">
      <c r="B2034" s="32">
        <f>IF(ISNUMBER(SEARCH('Φόρμα Εισαγωγής'!$B$2,C2034)),MAX($B$1:B2033)+1,0)</f>
        <v>0</v>
      </c>
      <c r="D2034" s="33">
        <f>IF(ISNUMBER(SEARCH('Φόρμα Εισαγωγής'!$C$2,E2034)),MAX($D$1:D2033)+1,0)</f>
        <v>0</v>
      </c>
      <c r="H2034" s="6">
        <f t="shared" si="104"/>
        <v>0</v>
      </c>
      <c r="I2034" s="6">
        <f t="shared" si="105"/>
        <v>0</v>
      </c>
      <c r="J2034" s="6">
        <f t="shared" si="106"/>
        <v>0</v>
      </c>
      <c r="L2034" s="4" t="str">
        <f>IFERROR(VLOOKUP(ROWS($L$2:L2034),$B$2:$C$1996,2,0),"")</f>
        <v/>
      </c>
      <c r="N2034" s="2" t="str">
        <f>IFERROR(VLOOKUP(ROWS($N$2:N2034),$D$2:$E$1996,2,0),"")</f>
        <v/>
      </c>
    </row>
    <row r="2035" spans="2:14">
      <c r="B2035" s="32">
        <f>IF(ISNUMBER(SEARCH('Φόρμα Εισαγωγής'!$B$2,C2035)),MAX($B$1:B2034)+1,0)</f>
        <v>0</v>
      </c>
      <c r="D2035" s="33">
        <f>IF(ISNUMBER(SEARCH('Φόρμα Εισαγωγής'!$C$2,E2035)),MAX($D$1:D2034)+1,0)</f>
        <v>0</v>
      </c>
      <c r="H2035" s="6">
        <f t="shared" si="104"/>
        <v>0</v>
      </c>
      <c r="I2035" s="6">
        <f t="shared" si="105"/>
        <v>0</v>
      </c>
      <c r="J2035" s="6">
        <f t="shared" si="106"/>
        <v>0</v>
      </c>
      <c r="L2035" s="4" t="str">
        <f>IFERROR(VLOOKUP(ROWS($L$2:L2035),$B$2:$C$1996,2,0),"")</f>
        <v/>
      </c>
      <c r="N2035" s="2" t="str">
        <f>IFERROR(VLOOKUP(ROWS($N$2:N2035),$D$2:$E$1996,2,0),"")</f>
        <v/>
      </c>
    </row>
    <row r="2036" spans="2:14">
      <c r="B2036" s="32">
        <f>IF(ISNUMBER(SEARCH('Φόρμα Εισαγωγής'!$B$2,C2036)),MAX($B$1:B2035)+1,0)</f>
        <v>0</v>
      </c>
      <c r="D2036" s="33">
        <f>IF(ISNUMBER(SEARCH('Φόρμα Εισαγωγής'!$C$2,E2036)),MAX($D$1:D2035)+1,0)</f>
        <v>0</v>
      </c>
      <c r="H2036" s="6">
        <f t="shared" si="104"/>
        <v>0</v>
      </c>
      <c r="I2036" s="6">
        <f t="shared" si="105"/>
        <v>0</v>
      </c>
      <c r="J2036" s="6">
        <f t="shared" si="106"/>
        <v>0</v>
      </c>
      <c r="L2036" s="4" t="str">
        <f>IFERROR(VLOOKUP(ROWS($L$2:L2036),$B$2:$C$1996,2,0),"")</f>
        <v/>
      </c>
      <c r="N2036" s="2" t="str">
        <f>IFERROR(VLOOKUP(ROWS($N$2:N2036),$D$2:$E$1996,2,0),"")</f>
        <v/>
      </c>
    </row>
    <row r="2037" spans="2:14">
      <c r="B2037" s="32">
        <f>IF(ISNUMBER(SEARCH('Φόρμα Εισαγωγής'!$B$2,C2037)),MAX($B$1:B2036)+1,0)</f>
        <v>0</v>
      </c>
      <c r="D2037" s="33">
        <f>IF(ISNUMBER(SEARCH('Φόρμα Εισαγωγής'!$C$2,E2037)),MAX($D$1:D2036)+1,0)</f>
        <v>0</v>
      </c>
      <c r="H2037" s="6">
        <f t="shared" si="104"/>
        <v>0</v>
      </c>
      <c r="I2037" s="6">
        <f t="shared" si="105"/>
        <v>0</v>
      </c>
      <c r="J2037" s="6">
        <f t="shared" si="106"/>
        <v>0</v>
      </c>
      <c r="L2037" s="4" t="str">
        <f>IFERROR(VLOOKUP(ROWS($L$2:L2037),$B$2:$C$1996,2,0),"")</f>
        <v/>
      </c>
      <c r="N2037" s="2" t="str">
        <f>IFERROR(VLOOKUP(ROWS($N$2:N2037),$D$2:$E$1996,2,0),"")</f>
        <v/>
      </c>
    </row>
    <row r="2038" spans="2:14">
      <c r="B2038" s="32">
        <f>IF(ISNUMBER(SEARCH('Φόρμα Εισαγωγής'!$B$2,C2038)),MAX($B$1:B2037)+1,0)</f>
        <v>0</v>
      </c>
      <c r="D2038" s="33">
        <f>IF(ISNUMBER(SEARCH('Φόρμα Εισαγωγής'!$C$2,E2038)),MAX($D$1:D2037)+1,0)</f>
        <v>0</v>
      </c>
      <c r="H2038" s="6">
        <f t="shared" si="104"/>
        <v>0</v>
      </c>
      <c r="I2038" s="6">
        <f t="shared" si="105"/>
        <v>0</v>
      </c>
      <c r="J2038" s="6">
        <f t="shared" si="106"/>
        <v>0</v>
      </c>
      <c r="L2038" s="4" t="str">
        <f>IFERROR(VLOOKUP(ROWS($L$2:L2038),$B$2:$C$1996,2,0),"")</f>
        <v/>
      </c>
      <c r="N2038" s="2" t="str">
        <f>IFERROR(VLOOKUP(ROWS($N$2:N2038),$D$2:$E$1996,2,0),"")</f>
        <v/>
      </c>
    </row>
    <row r="2039" spans="2:14">
      <c r="B2039" s="32">
        <f>IF(ISNUMBER(SEARCH('Φόρμα Εισαγωγής'!$B$2,C2039)),MAX($B$1:B2038)+1,0)</f>
        <v>0</v>
      </c>
      <c r="D2039" s="33">
        <f>IF(ISNUMBER(SEARCH('Φόρμα Εισαγωγής'!$C$2,E2039)),MAX($D$1:D2038)+1,0)</f>
        <v>0</v>
      </c>
      <c r="H2039" s="6">
        <f t="shared" si="104"/>
        <v>0</v>
      </c>
      <c r="I2039" s="6">
        <f t="shared" si="105"/>
        <v>0</v>
      </c>
      <c r="J2039" s="6">
        <f t="shared" si="106"/>
        <v>0</v>
      </c>
      <c r="L2039" s="4" t="str">
        <f>IFERROR(VLOOKUP(ROWS($L$2:L2039),$B$2:$C$1996,2,0),"")</f>
        <v/>
      </c>
      <c r="N2039" s="2" t="str">
        <f>IFERROR(VLOOKUP(ROWS($N$2:N2039),$D$2:$E$1996,2,0),"")</f>
        <v/>
      </c>
    </row>
    <row r="2040" spans="2:14">
      <c r="B2040" s="32">
        <f>IF(ISNUMBER(SEARCH('Φόρμα Εισαγωγής'!$B$2,C2040)),MAX($B$1:B2039)+1,0)</f>
        <v>0</v>
      </c>
      <c r="D2040" s="33">
        <f>IF(ISNUMBER(SEARCH('Φόρμα Εισαγωγής'!$C$2,E2040)),MAX($D$1:D2039)+1,0)</f>
        <v>0</v>
      </c>
      <c r="H2040" s="6">
        <f t="shared" si="104"/>
        <v>0</v>
      </c>
      <c r="I2040" s="6">
        <f t="shared" si="105"/>
        <v>0</v>
      </c>
      <c r="J2040" s="6">
        <f t="shared" si="106"/>
        <v>0</v>
      </c>
      <c r="L2040" s="4" t="str">
        <f>IFERROR(VLOOKUP(ROWS($L$2:L2040),$B$2:$C$1996,2,0),"")</f>
        <v/>
      </c>
      <c r="N2040" s="2" t="str">
        <f>IFERROR(VLOOKUP(ROWS($N$2:N2040),$D$2:$E$1996,2,0),"")</f>
        <v/>
      </c>
    </row>
    <row r="2041" spans="2:14">
      <c r="B2041" s="32">
        <f>IF(ISNUMBER(SEARCH('Φόρμα Εισαγωγής'!$B$2,C2041)),MAX($B$1:B2040)+1,0)</f>
        <v>0</v>
      </c>
      <c r="D2041" s="33">
        <f>IF(ISNUMBER(SEARCH('Φόρμα Εισαγωγής'!$C$2,E2041)),MAX($D$1:D2040)+1,0)</f>
        <v>0</v>
      </c>
      <c r="H2041" s="6">
        <f t="shared" si="104"/>
        <v>0</v>
      </c>
      <c r="I2041" s="6">
        <f t="shared" si="105"/>
        <v>0</v>
      </c>
      <c r="J2041" s="6">
        <f t="shared" si="106"/>
        <v>0</v>
      </c>
      <c r="L2041" s="4" t="str">
        <f>IFERROR(VLOOKUP(ROWS($L$2:L2041),$B$2:$C$1996,2,0),"")</f>
        <v/>
      </c>
      <c r="N2041" s="2" t="str">
        <f>IFERROR(VLOOKUP(ROWS($N$2:N2041),$D$2:$E$1996,2,0),"")</f>
        <v/>
      </c>
    </row>
    <row r="2042" spans="2:14">
      <c r="B2042" s="32">
        <f>IF(ISNUMBER(SEARCH('Φόρμα Εισαγωγής'!$B$2,C2042)),MAX($B$1:B2041)+1,0)</f>
        <v>0</v>
      </c>
      <c r="D2042" s="33">
        <f>IF(ISNUMBER(SEARCH('Φόρμα Εισαγωγής'!$C$2,E2042)),MAX($D$1:D2041)+1,0)</f>
        <v>0</v>
      </c>
      <c r="H2042" s="6">
        <f t="shared" si="104"/>
        <v>0</v>
      </c>
      <c r="I2042" s="6">
        <f t="shared" si="105"/>
        <v>0</v>
      </c>
      <c r="J2042" s="6">
        <f t="shared" si="106"/>
        <v>0</v>
      </c>
      <c r="L2042" s="4" t="str">
        <f>IFERROR(VLOOKUP(ROWS($L$2:L2042),$B$2:$C$1996,2,0),"")</f>
        <v/>
      </c>
      <c r="N2042" s="2" t="str">
        <f>IFERROR(VLOOKUP(ROWS($N$2:N2042),$D$2:$E$1996,2,0),"")</f>
        <v/>
      </c>
    </row>
    <row r="2043" spans="2:14">
      <c r="B2043" s="32">
        <f>IF(ISNUMBER(SEARCH('Φόρμα Εισαγωγής'!$B$2,C2043)),MAX($B$1:B2042)+1,0)</f>
        <v>0</v>
      </c>
      <c r="D2043" s="33">
        <f>IF(ISNUMBER(SEARCH('Φόρμα Εισαγωγής'!$C$2,E2043)),MAX($D$1:D2042)+1,0)</f>
        <v>0</v>
      </c>
      <c r="H2043" s="6">
        <f t="shared" si="104"/>
        <v>0</v>
      </c>
      <c r="I2043" s="6">
        <f t="shared" si="105"/>
        <v>0</v>
      </c>
      <c r="J2043" s="6">
        <f t="shared" si="106"/>
        <v>0</v>
      </c>
      <c r="L2043" s="4" t="str">
        <f>IFERROR(VLOOKUP(ROWS($L$2:L2043),$B$2:$C$1996,2,0),"")</f>
        <v/>
      </c>
      <c r="N2043" s="2" t="str">
        <f>IFERROR(VLOOKUP(ROWS($N$2:N2043),$D$2:$E$1996,2,0),"")</f>
        <v/>
      </c>
    </row>
    <row r="2044" spans="2:14">
      <c r="B2044" s="32">
        <f>IF(ISNUMBER(SEARCH('Φόρμα Εισαγωγής'!$B$2,C2044)),MAX($B$1:B2043)+1,0)</f>
        <v>0</v>
      </c>
      <c r="D2044" s="33">
        <f>IF(ISNUMBER(SEARCH('Φόρμα Εισαγωγής'!$C$2,E2044)),MAX($D$1:D2043)+1,0)</f>
        <v>0</v>
      </c>
      <c r="H2044" s="6">
        <f t="shared" si="104"/>
        <v>0</v>
      </c>
      <c r="I2044" s="6">
        <f t="shared" si="105"/>
        <v>0</v>
      </c>
      <c r="J2044" s="6">
        <f t="shared" si="106"/>
        <v>0</v>
      </c>
      <c r="L2044" s="4" t="str">
        <f>IFERROR(VLOOKUP(ROWS($L$2:L2044),$B$2:$C$1996,2,0),"")</f>
        <v/>
      </c>
      <c r="N2044" s="2" t="str">
        <f>IFERROR(VLOOKUP(ROWS($N$2:N2044),$D$2:$E$1996,2,0),"")</f>
        <v/>
      </c>
    </row>
    <row r="2045" spans="2:14">
      <c r="B2045" s="32">
        <f>IF(ISNUMBER(SEARCH('Φόρμα Εισαγωγής'!$B$2,C2045)),MAX($B$1:B2044)+1,0)</f>
        <v>0</v>
      </c>
      <c r="D2045" s="33">
        <f>IF(ISNUMBER(SEARCH('Φόρμα Εισαγωγής'!$C$2,E2045)),MAX($D$1:D2044)+1,0)</f>
        <v>0</v>
      </c>
      <c r="H2045" s="6">
        <f t="shared" si="104"/>
        <v>0</v>
      </c>
      <c r="I2045" s="6">
        <f t="shared" si="105"/>
        <v>0</v>
      </c>
      <c r="J2045" s="6">
        <f t="shared" si="106"/>
        <v>0</v>
      </c>
      <c r="L2045" s="4" t="str">
        <f>IFERROR(VLOOKUP(ROWS($L$2:L2045),$B$2:$C$1996,2,0),"")</f>
        <v/>
      </c>
      <c r="N2045" s="2" t="str">
        <f>IFERROR(VLOOKUP(ROWS($N$2:N2045),$D$2:$E$1996,2,0),"")</f>
        <v/>
      </c>
    </row>
    <row r="2046" spans="2:14">
      <c r="B2046" s="32">
        <f>IF(ISNUMBER(SEARCH('Φόρμα Εισαγωγής'!$B$2,C2046)),MAX($B$1:B2045)+1,0)</f>
        <v>0</v>
      </c>
      <c r="D2046" s="33">
        <f>IF(ISNUMBER(SEARCH('Φόρμα Εισαγωγής'!$C$2,E2046)),MAX($D$1:D2045)+1,0)</f>
        <v>0</v>
      </c>
      <c r="H2046" s="6">
        <f t="shared" si="104"/>
        <v>0</v>
      </c>
      <c r="I2046" s="6">
        <f t="shared" si="105"/>
        <v>0</v>
      </c>
      <c r="J2046" s="6">
        <f t="shared" si="106"/>
        <v>0</v>
      </c>
      <c r="L2046" s="4" t="str">
        <f>IFERROR(VLOOKUP(ROWS($L$2:L2046),$B$2:$C$1996,2,0),"")</f>
        <v/>
      </c>
      <c r="N2046" s="2" t="str">
        <f>IFERROR(VLOOKUP(ROWS($N$2:N2046),$D$2:$E$1996,2,0),"")</f>
        <v/>
      </c>
    </row>
    <row r="2047" spans="2:14">
      <c r="B2047" s="32">
        <f>IF(ISNUMBER(SEARCH('Φόρμα Εισαγωγής'!$B$2,C2047)),MAX($B$1:B2046)+1,0)</f>
        <v>0</v>
      </c>
      <c r="D2047" s="33">
        <f>IF(ISNUMBER(SEARCH('Φόρμα Εισαγωγής'!$C$2,E2047)),MAX($D$1:D2046)+1,0)</f>
        <v>0</v>
      </c>
      <c r="H2047" s="6">
        <f t="shared" si="104"/>
        <v>0</v>
      </c>
      <c r="I2047" s="6">
        <f t="shared" si="105"/>
        <v>0</v>
      </c>
      <c r="J2047" s="6">
        <f t="shared" si="106"/>
        <v>0</v>
      </c>
      <c r="L2047" s="4" t="str">
        <f>IFERROR(VLOOKUP(ROWS($L$2:L2047),$B$2:$C$1996,2,0),"")</f>
        <v/>
      </c>
      <c r="N2047" s="2" t="str">
        <f>IFERROR(VLOOKUP(ROWS($N$2:N2047),$D$2:$E$1996,2,0),"")</f>
        <v/>
      </c>
    </row>
    <row r="2048" spans="2:14">
      <c r="B2048" s="32">
        <f>IF(ISNUMBER(SEARCH('Φόρμα Εισαγωγής'!$B$2,C2048)),MAX($B$1:B2047)+1,0)</f>
        <v>0</v>
      </c>
      <c r="D2048" s="33">
        <f>IF(ISNUMBER(SEARCH('Φόρμα Εισαγωγής'!$C$2,E2048)),MAX($D$1:D2047)+1,0)</f>
        <v>0</v>
      </c>
      <c r="H2048" s="6">
        <f t="shared" ref="H2048:H2111" si="107">G2048+(G2048*0.24)</f>
        <v>0</v>
      </c>
      <c r="I2048" s="6">
        <f t="shared" ref="I2048:I2111" si="108">F2048*A2048</f>
        <v>0</v>
      </c>
      <c r="J2048" s="6">
        <f t="shared" ref="J2048:J2111" si="109">H2048*A2048</f>
        <v>0</v>
      </c>
      <c r="L2048" s="4" t="str">
        <f>IFERROR(VLOOKUP(ROWS($L$2:L2048),$B$2:$C$1996,2,0),"")</f>
        <v/>
      </c>
      <c r="N2048" s="2" t="str">
        <f>IFERROR(VLOOKUP(ROWS($N$2:N2048),$D$2:$E$1996,2,0),"")</f>
        <v/>
      </c>
    </row>
    <row r="2049" spans="2:14">
      <c r="B2049" s="32">
        <f>IF(ISNUMBER(SEARCH('Φόρμα Εισαγωγής'!$B$2,C2049)),MAX($B$1:B2048)+1,0)</f>
        <v>0</v>
      </c>
      <c r="D2049" s="33">
        <f>IF(ISNUMBER(SEARCH('Φόρμα Εισαγωγής'!$C$2,E2049)),MAX($D$1:D2048)+1,0)</f>
        <v>0</v>
      </c>
      <c r="H2049" s="6">
        <f t="shared" si="107"/>
        <v>0</v>
      </c>
      <c r="I2049" s="6">
        <f t="shared" si="108"/>
        <v>0</v>
      </c>
      <c r="J2049" s="6">
        <f t="shared" si="109"/>
        <v>0</v>
      </c>
      <c r="L2049" s="4" t="str">
        <f>IFERROR(VLOOKUP(ROWS($L$2:L2049),$B$2:$C$1996,2,0),"")</f>
        <v/>
      </c>
      <c r="N2049" s="2" t="str">
        <f>IFERROR(VLOOKUP(ROWS($N$2:N2049),$D$2:$E$1996,2,0),"")</f>
        <v/>
      </c>
    </row>
    <row r="2050" spans="2:14">
      <c r="B2050" s="32">
        <f>IF(ISNUMBER(SEARCH('Φόρμα Εισαγωγής'!$B$2,C2050)),MAX($B$1:B2049)+1,0)</f>
        <v>0</v>
      </c>
      <c r="D2050" s="33">
        <f>IF(ISNUMBER(SEARCH('Φόρμα Εισαγωγής'!$C$2,E2050)),MAX($D$1:D2049)+1,0)</f>
        <v>0</v>
      </c>
      <c r="H2050" s="6">
        <f t="shared" si="107"/>
        <v>0</v>
      </c>
      <c r="I2050" s="6">
        <f t="shared" si="108"/>
        <v>0</v>
      </c>
      <c r="J2050" s="6">
        <f t="shared" si="109"/>
        <v>0</v>
      </c>
      <c r="L2050" s="4" t="str">
        <f>IFERROR(VLOOKUP(ROWS($L$2:L2050),$B$2:$C$1996,2,0),"")</f>
        <v/>
      </c>
      <c r="N2050" s="2" t="str">
        <f>IFERROR(VLOOKUP(ROWS($N$2:N2050),$D$2:$E$1996,2,0),"")</f>
        <v/>
      </c>
    </row>
    <row r="2051" spans="2:14">
      <c r="B2051" s="32">
        <f>IF(ISNUMBER(SEARCH('Φόρμα Εισαγωγής'!$B$2,C2051)),MAX($B$1:B2050)+1,0)</f>
        <v>0</v>
      </c>
      <c r="D2051" s="33">
        <f>IF(ISNUMBER(SEARCH('Φόρμα Εισαγωγής'!$C$2,E2051)),MAX($D$1:D2050)+1,0)</f>
        <v>0</v>
      </c>
      <c r="H2051" s="6">
        <f t="shared" si="107"/>
        <v>0</v>
      </c>
      <c r="I2051" s="6">
        <f t="shared" si="108"/>
        <v>0</v>
      </c>
      <c r="J2051" s="6">
        <f t="shared" si="109"/>
        <v>0</v>
      </c>
      <c r="L2051" s="4" t="str">
        <f>IFERROR(VLOOKUP(ROWS($L$2:L2051),$B$2:$C$1996,2,0),"")</f>
        <v/>
      </c>
      <c r="N2051" s="2" t="str">
        <f>IFERROR(VLOOKUP(ROWS($N$2:N2051),$D$2:$E$1996,2,0),"")</f>
        <v/>
      </c>
    </row>
    <row r="2052" spans="2:14">
      <c r="B2052" s="32">
        <f>IF(ISNUMBER(SEARCH('Φόρμα Εισαγωγής'!$B$2,C2052)),MAX($B$1:B2051)+1,0)</f>
        <v>0</v>
      </c>
      <c r="D2052" s="33">
        <f>IF(ISNUMBER(SEARCH('Φόρμα Εισαγωγής'!$C$2,E2052)),MAX($D$1:D2051)+1,0)</f>
        <v>0</v>
      </c>
      <c r="H2052" s="6">
        <f t="shared" si="107"/>
        <v>0</v>
      </c>
      <c r="I2052" s="6">
        <f t="shared" si="108"/>
        <v>0</v>
      </c>
      <c r="J2052" s="6">
        <f t="shared" si="109"/>
        <v>0</v>
      </c>
      <c r="L2052" s="4" t="str">
        <f>IFERROR(VLOOKUP(ROWS($L$2:L2052),$B$2:$C$1996,2,0),"")</f>
        <v/>
      </c>
      <c r="N2052" s="2" t="str">
        <f>IFERROR(VLOOKUP(ROWS($N$2:N2052),$D$2:$E$1996,2,0),"")</f>
        <v/>
      </c>
    </row>
    <row r="2053" spans="2:14">
      <c r="B2053" s="32">
        <f>IF(ISNUMBER(SEARCH('Φόρμα Εισαγωγής'!$B$2,C2053)),MAX($B$1:B2052)+1,0)</f>
        <v>0</v>
      </c>
      <c r="D2053" s="33">
        <f>IF(ISNUMBER(SEARCH('Φόρμα Εισαγωγής'!$C$2,E2053)),MAX($D$1:D2052)+1,0)</f>
        <v>0</v>
      </c>
      <c r="H2053" s="6">
        <f t="shared" si="107"/>
        <v>0</v>
      </c>
      <c r="I2053" s="6">
        <f t="shared" si="108"/>
        <v>0</v>
      </c>
      <c r="J2053" s="6">
        <f t="shared" si="109"/>
        <v>0</v>
      </c>
      <c r="L2053" s="4" t="str">
        <f>IFERROR(VLOOKUP(ROWS($L$2:L2053),$B$2:$C$1996,2,0),"")</f>
        <v/>
      </c>
      <c r="N2053" s="2" t="str">
        <f>IFERROR(VLOOKUP(ROWS($N$2:N2053),$D$2:$E$1996,2,0),"")</f>
        <v/>
      </c>
    </row>
    <row r="2054" spans="2:14">
      <c r="B2054" s="32">
        <f>IF(ISNUMBER(SEARCH('Φόρμα Εισαγωγής'!$B$2,C2054)),MAX($B$1:B2053)+1,0)</f>
        <v>0</v>
      </c>
      <c r="D2054" s="33">
        <f>IF(ISNUMBER(SEARCH('Φόρμα Εισαγωγής'!$C$2,E2054)),MAX($D$1:D2053)+1,0)</f>
        <v>0</v>
      </c>
      <c r="H2054" s="6">
        <f t="shared" si="107"/>
        <v>0</v>
      </c>
      <c r="I2054" s="6">
        <f t="shared" si="108"/>
        <v>0</v>
      </c>
      <c r="J2054" s="6">
        <f t="shared" si="109"/>
        <v>0</v>
      </c>
      <c r="L2054" s="4" t="str">
        <f>IFERROR(VLOOKUP(ROWS($L$2:L2054),$B$2:$C$1996,2,0),"")</f>
        <v/>
      </c>
      <c r="N2054" s="2" t="str">
        <f>IFERROR(VLOOKUP(ROWS($N$2:N2054),$D$2:$E$1996,2,0),"")</f>
        <v/>
      </c>
    </row>
    <row r="2055" spans="2:14">
      <c r="B2055" s="32">
        <f>IF(ISNUMBER(SEARCH('Φόρμα Εισαγωγής'!$B$2,C2055)),MAX($B$1:B2054)+1,0)</f>
        <v>0</v>
      </c>
      <c r="D2055" s="33">
        <f>IF(ISNUMBER(SEARCH('Φόρμα Εισαγωγής'!$C$2,E2055)),MAX($D$1:D2054)+1,0)</f>
        <v>0</v>
      </c>
      <c r="H2055" s="6">
        <f t="shared" si="107"/>
        <v>0</v>
      </c>
      <c r="I2055" s="6">
        <f t="shared" si="108"/>
        <v>0</v>
      </c>
      <c r="J2055" s="6">
        <f t="shared" si="109"/>
        <v>0</v>
      </c>
      <c r="L2055" s="4" t="str">
        <f>IFERROR(VLOOKUP(ROWS($L$2:L2055),$B$2:$C$1996,2,0),"")</f>
        <v/>
      </c>
      <c r="N2055" s="2" t="str">
        <f>IFERROR(VLOOKUP(ROWS($N$2:N2055),$D$2:$E$1996,2,0),"")</f>
        <v/>
      </c>
    </row>
    <row r="2056" spans="2:14">
      <c r="B2056" s="32">
        <f>IF(ISNUMBER(SEARCH('Φόρμα Εισαγωγής'!$B$2,C2056)),MAX($B$1:B2055)+1,0)</f>
        <v>0</v>
      </c>
      <c r="D2056" s="33">
        <f>IF(ISNUMBER(SEARCH('Φόρμα Εισαγωγής'!$C$2,E2056)),MAX($D$1:D2055)+1,0)</f>
        <v>0</v>
      </c>
      <c r="H2056" s="6">
        <f t="shared" si="107"/>
        <v>0</v>
      </c>
      <c r="I2056" s="6">
        <f t="shared" si="108"/>
        <v>0</v>
      </c>
      <c r="J2056" s="6">
        <f t="shared" si="109"/>
        <v>0</v>
      </c>
      <c r="L2056" s="4" t="str">
        <f>IFERROR(VLOOKUP(ROWS($L$2:L2056),$B$2:$C$1996,2,0),"")</f>
        <v/>
      </c>
      <c r="N2056" s="2" t="str">
        <f>IFERROR(VLOOKUP(ROWS($N$2:N2056),$D$2:$E$1996,2,0),"")</f>
        <v/>
      </c>
    </row>
    <row r="2057" spans="2:14">
      <c r="B2057" s="32">
        <f>IF(ISNUMBER(SEARCH('Φόρμα Εισαγωγής'!$B$2,C2057)),MAX($B$1:B2056)+1,0)</f>
        <v>0</v>
      </c>
      <c r="D2057" s="33">
        <f>IF(ISNUMBER(SEARCH('Φόρμα Εισαγωγής'!$C$2,E2057)),MAX($D$1:D2056)+1,0)</f>
        <v>0</v>
      </c>
      <c r="H2057" s="6">
        <f t="shared" si="107"/>
        <v>0</v>
      </c>
      <c r="I2057" s="6">
        <f t="shared" si="108"/>
        <v>0</v>
      </c>
      <c r="J2057" s="6">
        <f t="shared" si="109"/>
        <v>0</v>
      </c>
      <c r="L2057" s="4" t="str">
        <f>IFERROR(VLOOKUP(ROWS($L$2:L2057),$B$2:$C$1996,2,0),"")</f>
        <v/>
      </c>
      <c r="N2057" s="2" t="str">
        <f>IFERROR(VLOOKUP(ROWS($N$2:N2057),$D$2:$E$1996,2,0),"")</f>
        <v/>
      </c>
    </row>
    <row r="2058" spans="2:14">
      <c r="B2058" s="32">
        <f>IF(ISNUMBER(SEARCH('Φόρμα Εισαγωγής'!$B$2,C2058)),MAX($B$1:B2057)+1,0)</f>
        <v>0</v>
      </c>
      <c r="D2058" s="33">
        <f>IF(ISNUMBER(SEARCH('Φόρμα Εισαγωγής'!$C$2,E2058)),MAX($D$1:D2057)+1,0)</f>
        <v>0</v>
      </c>
      <c r="H2058" s="6">
        <f t="shared" si="107"/>
        <v>0</v>
      </c>
      <c r="I2058" s="6">
        <f t="shared" si="108"/>
        <v>0</v>
      </c>
      <c r="J2058" s="6">
        <f t="shared" si="109"/>
        <v>0</v>
      </c>
      <c r="L2058" s="4" t="str">
        <f>IFERROR(VLOOKUP(ROWS($L$2:L2058),$B$2:$C$1996,2,0),"")</f>
        <v/>
      </c>
      <c r="N2058" s="2" t="str">
        <f>IFERROR(VLOOKUP(ROWS($N$2:N2058),$D$2:$E$1996,2,0),"")</f>
        <v/>
      </c>
    </row>
    <row r="2059" spans="2:14">
      <c r="B2059" s="32">
        <f>IF(ISNUMBER(SEARCH('Φόρμα Εισαγωγής'!$B$2,C2059)),MAX($B$1:B2058)+1,0)</f>
        <v>0</v>
      </c>
      <c r="D2059" s="33">
        <f>IF(ISNUMBER(SEARCH('Φόρμα Εισαγωγής'!$C$2,E2059)),MAX($D$1:D2058)+1,0)</f>
        <v>0</v>
      </c>
      <c r="H2059" s="6">
        <f t="shared" si="107"/>
        <v>0</v>
      </c>
      <c r="I2059" s="6">
        <f t="shared" si="108"/>
        <v>0</v>
      </c>
      <c r="J2059" s="6">
        <f t="shared" si="109"/>
        <v>0</v>
      </c>
      <c r="L2059" s="4" t="str">
        <f>IFERROR(VLOOKUP(ROWS($L$2:L2059),$B$2:$C$1996,2,0),"")</f>
        <v/>
      </c>
      <c r="N2059" s="2" t="str">
        <f>IFERROR(VLOOKUP(ROWS($N$2:N2059),$D$2:$E$1996,2,0),"")</f>
        <v/>
      </c>
    </row>
    <row r="2060" spans="2:14">
      <c r="B2060" s="32">
        <f>IF(ISNUMBER(SEARCH('Φόρμα Εισαγωγής'!$B$2,C2060)),MAX($B$1:B2059)+1,0)</f>
        <v>0</v>
      </c>
      <c r="D2060" s="33">
        <f>IF(ISNUMBER(SEARCH('Φόρμα Εισαγωγής'!$C$2,E2060)),MAX($D$1:D2059)+1,0)</f>
        <v>0</v>
      </c>
      <c r="H2060" s="6">
        <f t="shared" si="107"/>
        <v>0</v>
      </c>
      <c r="I2060" s="6">
        <f t="shared" si="108"/>
        <v>0</v>
      </c>
      <c r="J2060" s="6">
        <f t="shared" si="109"/>
        <v>0</v>
      </c>
      <c r="L2060" s="4" t="str">
        <f>IFERROR(VLOOKUP(ROWS($L$2:L2060),$B$2:$C$1996,2,0),"")</f>
        <v/>
      </c>
      <c r="N2060" s="2" t="str">
        <f>IFERROR(VLOOKUP(ROWS($N$2:N2060),$D$2:$E$1996,2,0),"")</f>
        <v/>
      </c>
    </row>
    <row r="2061" spans="2:14">
      <c r="B2061" s="32">
        <f>IF(ISNUMBER(SEARCH('Φόρμα Εισαγωγής'!$B$2,C2061)),MAX($B$1:B2060)+1,0)</f>
        <v>0</v>
      </c>
      <c r="D2061" s="33">
        <f>IF(ISNUMBER(SEARCH('Φόρμα Εισαγωγής'!$C$2,E2061)),MAX($D$1:D2060)+1,0)</f>
        <v>0</v>
      </c>
      <c r="H2061" s="6">
        <f t="shared" si="107"/>
        <v>0</v>
      </c>
      <c r="I2061" s="6">
        <f t="shared" si="108"/>
        <v>0</v>
      </c>
      <c r="J2061" s="6">
        <f t="shared" si="109"/>
        <v>0</v>
      </c>
      <c r="L2061" s="4" t="str">
        <f>IFERROR(VLOOKUP(ROWS($L$2:L2061),$B$2:$C$1996,2,0),"")</f>
        <v/>
      </c>
      <c r="N2061" s="2" t="str">
        <f>IFERROR(VLOOKUP(ROWS($N$2:N2061),$D$2:$E$1996,2,0),"")</f>
        <v/>
      </c>
    </row>
    <row r="2062" spans="2:14">
      <c r="B2062" s="32">
        <f>IF(ISNUMBER(SEARCH('Φόρμα Εισαγωγής'!$B$2,C2062)),MAX($B$1:B2061)+1,0)</f>
        <v>0</v>
      </c>
      <c r="D2062" s="33">
        <f>IF(ISNUMBER(SEARCH('Φόρμα Εισαγωγής'!$C$2,E2062)),MAX($D$1:D2061)+1,0)</f>
        <v>0</v>
      </c>
      <c r="H2062" s="6">
        <f t="shared" si="107"/>
        <v>0</v>
      </c>
      <c r="I2062" s="6">
        <f t="shared" si="108"/>
        <v>0</v>
      </c>
      <c r="J2062" s="6">
        <f t="shared" si="109"/>
        <v>0</v>
      </c>
      <c r="L2062" s="4" t="str">
        <f>IFERROR(VLOOKUP(ROWS($L$2:L2062),$B$2:$C$1996,2,0),"")</f>
        <v/>
      </c>
      <c r="N2062" s="2" t="str">
        <f>IFERROR(VLOOKUP(ROWS($N$2:N2062),$D$2:$E$1996,2,0),"")</f>
        <v/>
      </c>
    </row>
    <row r="2063" spans="2:14">
      <c r="B2063" s="32">
        <f>IF(ISNUMBER(SEARCH('Φόρμα Εισαγωγής'!$B$2,C2063)),MAX($B$1:B2062)+1,0)</f>
        <v>0</v>
      </c>
      <c r="D2063" s="33">
        <f>IF(ISNUMBER(SEARCH('Φόρμα Εισαγωγής'!$C$2,E2063)),MAX($D$1:D2062)+1,0)</f>
        <v>0</v>
      </c>
      <c r="H2063" s="6">
        <f t="shared" si="107"/>
        <v>0</v>
      </c>
      <c r="I2063" s="6">
        <f t="shared" si="108"/>
        <v>0</v>
      </c>
      <c r="J2063" s="6">
        <f t="shared" si="109"/>
        <v>0</v>
      </c>
      <c r="L2063" s="4" t="str">
        <f>IFERROR(VLOOKUP(ROWS($L$2:L2063),$B$2:$C$1996,2,0),"")</f>
        <v/>
      </c>
      <c r="N2063" s="2" t="str">
        <f>IFERROR(VLOOKUP(ROWS($N$2:N2063),$D$2:$E$1996,2,0),"")</f>
        <v/>
      </c>
    </row>
    <row r="2064" spans="2:14">
      <c r="B2064" s="32">
        <f>IF(ISNUMBER(SEARCH('Φόρμα Εισαγωγής'!$B$2,C2064)),MAX($B$1:B2063)+1,0)</f>
        <v>0</v>
      </c>
      <c r="D2064" s="33">
        <f>IF(ISNUMBER(SEARCH('Φόρμα Εισαγωγής'!$C$2,E2064)),MAX($D$1:D2063)+1,0)</f>
        <v>0</v>
      </c>
      <c r="H2064" s="6">
        <f t="shared" si="107"/>
        <v>0</v>
      </c>
      <c r="I2064" s="6">
        <f t="shared" si="108"/>
        <v>0</v>
      </c>
      <c r="J2064" s="6">
        <f t="shared" si="109"/>
        <v>0</v>
      </c>
      <c r="L2064" s="4" t="str">
        <f>IFERROR(VLOOKUP(ROWS($L$2:L2064),$B$2:$C$1996,2,0),"")</f>
        <v/>
      </c>
      <c r="N2064" s="2" t="str">
        <f>IFERROR(VLOOKUP(ROWS($N$2:N2064),$D$2:$E$1996,2,0),"")</f>
        <v/>
      </c>
    </row>
    <row r="2065" spans="2:14">
      <c r="B2065" s="32">
        <f>IF(ISNUMBER(SEARCH('Φόρμα Εισαγωγής'!$B$2,C2065)),MAX($B$1:B2064)+1,0)</f>
        <v>0</v>
      </c>
      <c r="D2065" s="33">
        <f>IF(ISNUMBER(SEARCH('Φόρμα Εισαγωγής'!$C$2,E2065)),MAX($D$1:D2064)+1,0)</f>
        <v>0</v>
      </c>
      <c r="H2065" s="6">
        <f t="shared" si="107"/>
        <v>0</v>
      </c>
      <c r="I2065" s="6">
        <f t="shared" si="108"/>
        <v>0</v>
      </c>
      <c r="J2065" s="6">
        <f t="shared" si="109"/>
        <v>0</v>
      </c>
      <c r="L2065" s="4" t="str">
        <f>IFERROR(VLOOKUP(ROWS($L$2:L2065),$B$2:$C$1996,2,0),"")</f>
        <v/>
      </c>
      <c r="N2065" s="2" t="str">
        <f>IFERROR(VLOOKUP(ROWS($N$2:N2065),$D$2:$E$1996,2,0),"")</f>
        <v/>
      </c>
    </row>
    <row r="2066" spans="2:14">
      <c r="B2066" s="32">
        <f>IF(ISNUMBER(SEARCH('Φόρμα Εισαγωγής'!$B$2,C2066)),MAX($B$1:B2065)+1,0)</f>
        <v>0</v>
      </c>
      <c r="D2066" s="33">
        <f>IF(ISNUMBER(SEARCH('Φόρμα Εισαγωγής'!$C$2,E2066)),MAX($D$1:D2065)+1,0)</f>
        <v>0</v>
      </c>
      <c r="H2066" s="6">
        <f t="shared" si="107"/>
        <v>0</v>
      </c>
      <c r="I2066" s="6">
        <f t="shared" si="108"/>
        <v>0</v>
      </c>
      <c r="J2066" s="6">
        <f t="shared" si="109"/>
        <v>0</v>
      </c>
      <c r="L2066" s="4" t="str">
        <f>IFERROR(VLOOKUP(ROWS($L$2:L2066),$B$2:$C$1996,2,0),"")</f>
        <v/>
      </c>
      <c r="N2066" s="2" t="str">
        <f>IFERROR(VLOOKUP(ROWS($N$2:N2066),$D$2:$E$1996,2,0),"")</f>
        <v/>
      </c>
    </row>
    <row r="2067" spans="2:14">
      <c r="B2067" s="32">
        <f>IF(ISNUMBER(SEARCH('Φόρμα Εισαγωγής'!$B$2,C2067)),MAX($B$1:B2066)+1,0)</f>
        <v>0</v>
      </c>
      <c r="D2067" s="33">
        <f>IF(ISNUMBER(SEARCH('Φόρμα Εισαγωγής'!$C$2,E2067)),MAX($D$1:D2066)+1,0)</f>
        <v>0</v>
      </c>
      <c r="H2067" s="6">
        <f t="shared" si="107"/>
        <v>0</v>
      </c>
      <c r="I2067" s="6">
        <f t="shared" si="108"/>
        <v>0</v>
      </c>
      <c r="J2067" s="6">
        <f t="shared" si="109"/>
        <v>0</v>
      </c>
      <c r="L2067" s="4" t="str">
        <f>IFERROR(VLOOKUP(ROWS($L$2:L2067),$B$2:$C$1996,2,0),"")</f>
        <v/>
      </c>
      <c r="N2067" s="2" t="str">
        <f>IFERROR(VLOOKUP(ROWS($N$2:N2067),$D$2:$E$1996,2,0),"")</f>
        <v/>
      </c>
    </row>
    <row r="2068" spans="2:14">
      <c r="B2068" s="32">
        <f>IF(ISNUMBER(SEARCH('Φόρμα Εισαγωγής'!$B$2,C2068)),MAX($B$1:B2067)+1,0)</f>
        <v>0</v>
      </c>
      <c r="D2068" s="33">
        <f>IF(ISNUMBER(SEARCH('Φόρμα Εισαγωγής'!$C$2,E2068)),MAX($D$1:D2067)+1,0)</f>
        <v>0</v>
      </c>
      <c r="H2068" s="6">
        <f t="shared" si="107"/>
        <v>0</v>
      </c>
      <c r="I2068" s="6">
        <f t="shared" si="108"/>
        <v>0</v>
      </c>
      <c r="J2068" s="6">
        <f t="shared" si="109"/>
        <v>0</v>
      </c>
      <c r="L2068" s="4" t="str">
        <f>IFERROR(VLOOKUP(ROWS($L$2:L2068),$B$2:$C$1996,2,0),"")</f>
        <v/>
      </c>
      <c r="N2068" s="2" t="str">
        <f>IFERROR(VLOOKUP(ROWS($N$2:N2068),$D$2:$E$1996,2,0),"")</f>
        <v/>
      </c>
    </row>
    <row r="2069" spans="2:14">
      <c r="B2069" s="32">
        <f>IF(ISNUMBER(SEARCH('Φόρμα Εισαγωγής'!$B$2,C2069)),MAX($B$1:B2068)+1,0)</f>
        <v>0</v>
      </c>
      <c r="D2069" s="33">
        <f>IF(ISNUMBER(SEARCH('Φόρμα Εισαγωγής'!$C$2,E2069)),MAX($D$1:D2068)+1,0)</f>
        <v>0</v>
      </c>
      <c r="H2069" s="6">
        <f t="shared" si="107"/>
        <v>0</v>
      </c>
      <c r="I2069" s="6">
        <f t="shared" si="108"/>
        <v>0</v>
      </c>
      <c r="J2069" s="6">
        <f t="shared" si="109"/>
        <v>0</v>
      </c>
      <c r="L2069" s="4" t="str">
        <f>IFERROR(VLOOKUP(ROWS($L$2:L2069),$B$2:$C$1996,2,0),"")</f>
        <v/>
      </c>
      <c r="N2069" s="2" t="str">
        <f>IFERROR(VLOOKUP(ROWS($N$2:N2069),$D$2:$E$1996,2,0),"")</f>
        <v/>
      </c>
    </row>
    <row r="2070" spans="2:14">
      <c r="B2070" s="32">
        <f>IF(ISNUMBER(SEARCH('Φόρμα Εισαγωγής'!$B$2,C2070)),MAX($B$1:B2069)+1,0)</f>
        <v>0</v>
      </c>
      <c r="D2070" s="33">
        <f>IF(ISNUMBER(SEARCH('Φόρμα Εισαγωγής'!$C$2,E2070)),MAX($D$1:D2069)+1,0)</f>
        <v>0</v>
      </c>
      <c r="H2070" s="6">
        <f t="shared" si="107"/>
        <v>0</v>
      </c>
      <c r="I2070" s="6">
        <f t="shared" si="108"/>
        <v>0</v>
      </c>
      <c r="J2070" s="6">
        <f t="shared" si="109"/>
        <v>0</v>
      </c>
      <c r="L2070" s="4" t="str">
        <f>IFERROR(VLOOKUP(ROWS($L$2:L2070),$B$2:$C$1996,2,0),"")</f>
        <v/>
      </c>
      <c r="N2070" s="2" t="str">
        <f>IFERROR(VLOOKUP(ROWS($N$2:N2070),$D$2:$E$1996,2,0),"")</f>
        <v/>
      </c>
    </row>
    <row r="2071" spans="2:14">
      <c r="B2071" s="32">
        <f>IF(ISNUMBER(SEARCH('Φόρμα Εισαγωγής'!$B$2,C2071)),MAX($B$1:B2070)+1,0)</f>
        <v>0</v>
      </c>
      <c r="D2071" s="33">
        <f>IF(ISNUMBER(SEARCH('Φόρμα Εισαγωγής'!$C$2,E2071)),MAX($D$1:D2070)+1,0)</f>
        <v>0</v>
      </c>
      <c r="H2071" s="6">
        <f t="shared" si="107"/>
        <v>0</v>
      </c>
      <c r="I2071" s="6">
        <f t="shared" si="108"/>
        <v>0</v>
      </c>
      <c r="J2071" s="6">
        <f t="shared" si="109"/>
        <v>0</v>
      </c>
      <c r="L2071" s="4" t="str">
        <f>IFERROR(VLOOKUP(ROWS($L$2:L2071),$B$2:$C$1996,2,0),"")</f>
        <v/>
      </c>
      <c r="N2071" s="2" t="str">
        <f>IFERROR(VLOOKUP(ROWS($N$2:N2071),$D$2:$E$1996,2,0),"")</f>
        <v/>
      </c>
    </row>
    <row r="2072" spans="2:14">
      <c r="B2072" s="32">
        <f>IF(ISNUMBER(SEARCH('Φόρμα Εισαγωγής'!$B$2,C2072)),MAX($B$1:B2071)+1,0)</f>
        <v>0</v>
      </c>
      <c r="D2072" s="33">
        <f>IF(ISNUMBER(SEARCH('Φόρμα Εισαγωγής'!$C$2,E2072)),MAX($D$1:D2071)+1,0)</f>
        <v>0</v>
      </c>
      <c r="H2072" s="6">
        <f t="shared" si="107"/>
        <v>0</v>
      </c>
      <c r="I2072" s="6">
        <f t="shared" si="108"/>
        <v>0</v>
      </c>
      <c r="J2072" s="6">
        <f t="shared" si="109"/>
        <v>0</v>
      </c>
      <c r="L2072" s="4" t="str">
        <f>IFERROR(VLOOKUP(ROWS($L$2:L2072),$B$2:$C$1996,2,0),"")</f>
        <v/>
      </c>
      <c r="N2072" s="2" t="str">
        <f>IFERROR(VLOOKUP(ROWS($N$2:N2072),$D$2:$E$1996,2,0),"")</f>
        <v/>
      </c>
    </row>
    <row r="2073" spans="2:14">
      <c r="B2073" s="32">
        <f>IF(ISNUMBER(SEARCH('Φόρμα Εισαγωγής'!$B$2,C2073)),MAX($B$1:B2072)+1,0)</f>
        <v>0</v>
      </c>
      <c r="D2073" s="33">
        <f>IF(ISNUMBER(SEARCH('Φόρμα Εισαγωγής'!$C$2,E2073)),MAX($D$1:D2072)+1,0)</f>
        <v>0</v>
      </c>
      <c r="H2073" s="6">
        <f t="shared" si="107"/>
        <v>0</v>
      </c>
      <c r="I2073" s="6">
        <f t="shared" si="108"/>
        <v>0</v>
      </c>
      <c r="J2073" s="6">
        <f t="shared" si="109"/>
        <v>0</v>
      </c>
      <c r="L2073" s="4" t="str">
        <f>IFERROR(VLOOKUP(ROWS($L$2:L2073),$B$2:$C$1996,2,0),"")</f>
        <v/>
      </c>
      <c r="N2073" s="2" t="str">
        <f>IFERROR(VLOOKUP(ROWS($N$2:N2073),$D$2:$E$1996,2,0),"")</f>
        <v/>
      </c>
    </row>
    <row r="2074" spans="2:14">
      <c r="B2074" s="32">
        <f>IF(ISNUMBER(SEARCH('Φόρμα Εισαγωγής'!$B$2,C2074)),MAX($B$1:B2073)+1,0)</f>
        <v>0</v>
      </c>
      <c r="D2074" s="33">
        <f>IF(ISNUMBER(SEARCH('Φόρμα Εισαγωγής'!$C$2,E2074)),MAX($D$1:D2073)+1,0)</f>
        <v>0</v>
      </c>
      <c r="H2074" s="6">
        <f t="shared" si="107"/>
        <v>0</v>
      </c>
      <c r="I2074" s="6">
        <f t="shared" si="108"/>
        <v>0</v>
      </c>
      <c r="J2074" s="6">
        <f t="shared" si="109"/>
        <v>0</v>
      </c>
      <c r="L2074" s="4" t="str">
        <f>IFERROR(VLOOKUP(ROWS($L$2:L2074),$B$2:$C$1996,2,0),"")</f>
        <v/>
      </c>
      <c r="N2074" s="2" t="str">
        <f>IFERROR(VLOOKUP(ROWS($N$2:N2074),$D$2:$E$1996,2,0),"")</f>
        <v/>
      </c>
    </row>
    <row r="2075" spans="2:14">
      <c r="B2075" s="32">
        <f>IF(ISNUMBER(SEARCH('Φόρμα Εισαγωγής'!$B$2,C2075)),MAX($B$1:B2074)+1,0)</f>
        <v>0</v>
      </c>
      <c r="D2075" s="33">
        <f>IF(ISNUMBER(SEARCH('Φόρμα Εισαγωγής'!$C$2,E2075)),MAX($D$1:D2074)+1,0)</f>
        <v>0</v>
      </c>
      <c r="H2075" s="6">
        <f t="shared" si="107"/>
        <v>0</v>
      </c>
      <c r="I2075" s="6">
        <f t="shared" si="108"/>
        <v>0</v>
      </c>
      <c r="J2075" s="6">
        <f t="shared" si="109"/>
        <v>0</v>
      </c>
      <c r="L2075" s="4" t="str">
        <f>IFERROR(VLOOKUP(ROWS($L$2:L2075),$B$2:$C$1996,2,0),"")</f>
        <v/>
      </c>
      <c r="N2075" s="2" t="str">
        <f>IFERROR(VLOOKUP(ROWS($N$2:N2075),$D$2:$E$1996,2,0),"")</f>
        <v/>
      </c>
    </row>
    <row r="2076" spans="2:14">
      <c r="B2076" s="32">
        <f>IF(ISNUMBER(SEARCH('Φόρμα Εισαγωγής'!$B$2,C2076)),MAX($B$1:B2075)+1,0)</f>
        <v>0</v>
      </c>
      <c r="D2076" s="33">
        <f>IF(ISNUMBER(SEARCH('Φόρμα Εισαγωγής'!$C$2,E2076)),MAX($D$1:D2075)+1,0)</f>
        <v>0</v>
      </c>
      <c r="H2076" s="6">
        <f t="shared" si="107"/>
        <v>0</v>
      </c>
      <c r="I2076" s="6">
        <f t="shared" si="108"/>
        <v>0</v>
      </c>
      <c r="J2076" s="6">
        <f t="shared" si="109"/>
        <v>0</v>
      </c>
      <c r="L2076" s="4" t="str">
        <f>IFERROR(VLOOKUP(ROWS($L$2:L2076),$B$2:$C$1996,2,0),"")</f>
        <v/>
      </c>
      <c r="N2076" s="2" t="str">
        <f>IFERROR(VLOOKUP(ROWS($N$2:N2076),$D$2:$E$1996,2,0),"")</f>
        <v/>
      </c>
    </row>
    <row r="2077" spans="2:14">
      <c r="B2077" s="32">
        <f>IF(ISNUMBER(SEARCH('Φόρμα Εισαγωγής'!$B$2,C2077)),MAX($B$1:B2076)+1,0)</f>
        <v>0</v>
      </c>
      <c r="D2077" s="33">
        <f>IF(ISNUMBER(SEARCH('Φόρμα Εισαγωγής'!$C$2,E2077)),MAX($D$1:D2076)+1,0)</f>
        <v>0</v>
      </c>
      <c r="H2077" s="6">
        <f t="shared" si="107"/>
        <v>0</v>
      </c>
      <c r="I2077" s="6">
        <f t="shared" si="108"/>
        <v>0</v>
      </c>
      <c r="J2077" s="6">
        <f t="shared" si="109"/>
        <v>0</v>
      </c>
      <c r="L2077" s="4" t="str">
        <f>IFERROR(VLOOKUP(ROWS($L$2:L2077),$B$2:$C$1996,2,0),"")</f>
        <v/>
      </c>
      <c r="N2077" s="2" t="str">
        <f>IFERROR(VLOOKUP(ROWS($N$2:N2077),$D$2:$E$1996,2,0),"")</f>
        <v/>
      </c>
    </row>
    <row r="2078" spans="2:14">
      <c r="B2078" s="32">
        <f>IF(ISNUMBER(SEARCH('Φόρμα Εισαγωγής'!$B$2,C2078)),MAX($B$1:B2077)+1,0)</f>
        <v>0</v>
      </c>
      <c r="D2078" s="33">
        <f>IF(ISNUMBER(SEARCH('Φόρμα Εισαγωγής'!$C$2,E2078)),MAX($D$1:D2077)+1,0)</f>
        <v>0</v>
      </c>
      <c r="H2078" s="6">
        <f t="shared" si="107"/>
        <v>0</v>
      </c>
      <c r="I2078" s="6">
        <f t="shared" si="108"/>
        <v>0</v>
      </c>
      <c r="J2078" s="6">
        <f t="shared" si="109"/>
        <v>0</v>
      </c>
      <c r="L2078" s="4" t="str">
        <f>IFERROR(VLOOKUP(ROWS($L$2:L2078),$B$2:$C$1996,2,0),"")</f>
        <v/>
      </c>
      <c r="N2078" s="2" t="str">
        <f>IFERROR(VLOOKUP(ROWS($N$2:N2078),$D$2:$E$1996,2,0),"")</f>
        <v/>
      </c>
    </row>
    <row r="2079" spans="2:14">
      <c r="B2079" s="32">
        <f>IF(ISNUMBER(SEARCH('Φόρμα Εισαγωγής'!$B$2,C2079)),MAX($B$1:B2078)+1,0)</f>
        <v>0</v>
      </c>
      <c r="D2079" s="33">
        <f>IF(ISNUMBER(SEARCH('Φόρμα Εισαγωγής'!$C$2,E2079)),MAX($D$1:D2078)+1,0)</f>
        <v>0</v>
      </c>
      <c r="H2079" s="6">
        <f t="shared" si="107"/>
        <v>0</v>
      </c>
      <c r="I2079" s="6">
        <f t="shared" si="108"/>
        <v>0</v>
      </c>
      <c r="J2079" s="6">
        <f t="shared" si="109"/>
        <v>0</v>
      </c>
      <c r="L2079" s="4" t="str">
        <f>IFERROR(VLOOKUP(ROWS($L$2:L2079),$B$2:$C$1996,2,0),"")</f>
        <v/>
      </c>
      <c r="N2079" s="2" t="str">
        <f>IFERROR(VLOOKUP(ROWS($N$2:N2079),$D$2:$E$1996,2,0),"")</f>
        <v/>
      </c>
    </row>
    <row r="2080" spans="2:14">
      <c r="B2080" s="32">
        <f>IF(ISNUMBER(SEARCH('Φόρμα Εισαγωγής'!$B$2,C2080)),MAX($B$1:B2079)+1,0)</f>
        <v>0</v>
      </c>
      <c r="D2080" s="33">
        <f>IF(ISNUMBER(SEARCH('Φόρμα Εισαγωγής'!$C$2,E2080)),MAX($D$1:D2079)+1,0)</f>
        <v>0</v>
      </c>
      <c r="H2080" s="6">
        <f t="shared" si="107"/>
        <v>0</v>
      </c>
      <c r="I2080" s="6">
        <f t="shared" si="108"/>
        <v>0</v>
      </c>
      <c r="J2080" s="6">
        <f t="shared" si="109"/>
        <v>0</v>
      </c>
      <c r="L2080" s="4" t="str">
        <f>IFERROR(VLOOKUP(ROWS($L$2:L2080),$B$2:$C$1996,2,0),"")</f>
        <v/>
      </c>
      <c r="N2080" s="2" t="str">
        <f>IFERROR(VLOOKUP(ROWS($N$2:N2080),$D$2:$E$1996,2,0),"")</f>
        <v/>
      </c>
    </row>
    <row r="2081" spans="2:14">
      <c r="B2081" s="32">
        <f>IF(ISNUMBER(SEARCH('Φόρμα Εισαγωγής'!$B$2,C2081)),MAX($B$1:B2080)+1,0)</f>
        <v>0</v>
      </c>
      <c r="D2081" s="33">
        <f>IF(ISNUMBER(SEARCH('Φόρμα Εισαγωγής'!$C$2,E2081)),MAX($D$1:D2080)+1,0)</f>
        <v>0</v>
      </c>
      <c r="H2081" s="6">
        <f t="shared" si="107"/>
        <v>0</v>
      </c>
      <c r="I2081" s="6">
        <f t="shared" si="108"/>
        <v>0</v>
      </c>
      <c r="J2081" s="6">
        <f t="shared" si="109"/>
        <v>0</v>
      </c>
      <c r="L2081" s="4" t="str">
        <f>IFERROR(VLOOKUP(ROWS($L$2:L2081),$B$2:$C$1996,2,0),"")</f>
        <v/>
      </c>
      <c r="N2081" s="2" t="str">
        <f>IFERROR(VLOOKUP(ROWS($N$2:N2081),$D$2:$E$1996,2,0),"")</f>
        <v/>
      </c>
    </row>
    <row r="2082" spans="2:14">
      <c r="B2082" s="32">
        <f>IF(ISNUMBER(SEARCH('Φόρμα Εισαγωγής'!$B$2,C2082)),MAX($B$1:B2081)+1,0)</f>
        <v>0</v>
      </c>
      <c r="D2082" s="33">
        <f>IF(ISNUMBER(SEARCH('Φόρμα Εισαγωγής'!$C$2,E2082)),MAX($D$1:D2081)+1,0)</f>
        <v>0</v>
      </c>
      <c r="H2082" s="6">
        <f t="shared" si="107"/>
        <v>0</v>
      </c>
      <c r="I2082" s="6">
        <f t="shared" si="108"/>
        <v>0</v>
      </c>
      <c r="J2082" s="6">
        <f t="shared" si="109"/>
        <v>0</v>
      </c>
      <c r="L2082" s="4" t="str">
        <f>IFERROR(VLOOKUP(ROWS($L$2:L2082),$B$2:$C$1996,2,0),"")</f>
        <v/>
      </c>
      <c r="N2082" s="2" t="str">
        <f>IFERROR(VLOOKUP(ROWS($N$2:N2082),$D$2:$E$1996,2,0),"")</f>
        <v/>
      </c>
    </row>
    <row r="2083" spans="2:14">
      <c r="B2083" s="32">
        <f>IF(ISNUMBER(SEARCH('Φόρμα Εισαγωγής'!$B$2,C2083)),MAX($B$1:B2082)+1,0)</f>
        <v>0</v>
      </c>
      <c r="D2083" s="33">
        <f>IF(ISNUMBER(SEARCH('Φόρμα Εισαγωγής'!$C$2,E2083)),MAX($D$1:D2082)+1,0)</f>
        <v>0</v>
      </c>
      <c r="H2083" s="6">
        <f t="shared" si="107"/>
        <v>0</v>
      </c>
      <c r="I2083" s="6">
        <f t="shared" si="108"/>
        <v>0</v>
      </c>
      <c r="J2083" s="6">
        <f t="shared" si="109"/>
        <v>0</v>
      </c>
      <c r="L2083" s="4" t="str">
        <f>IFERROR(VLOOKUP(ROWS($L$2:L2083),$B$2:$C$1996,2,0),"")</f>
        <v/>
      </c>
      <c r="N2083" s="2" t="str">
        <f>IFERROR(VLOOKUP(ROWS($N$2:N2083),$D$2:$E$1996,2,0),"")</f>
        <v/>
      </c>
    </row>
    <row r="2084" spans="2:14">
      <c r="B2084" s="32">
        <f>IF(ISNUMBER(SEARCH('Φόρμα Εισαγωγής'!$B$2,C2084)),MAX($B$1:B2083)+1,0)</f>
        <v>0</v>
      </c>
      <c r="D2084" s="33">
        <f>IF(ISNUMBER(SEARCH('Φόρμα Εισαγωγής'!$C$2,E2084)),MAX($D$1:D2083)+1,0)</f>
        <v>0</v>
      </c>
      <c r="H2084" s="6">
        <f t="shared" si="107"/>
        <v>0</v>
      </c>
      <c r="I2084" s="6">
        <f t="shared" si="108"/>
        <v>0</v>
      </c>
      <c r="J2084" s="6">
        <f t="shared" si="109"/>
        <v>0</v>
      </c>
      <c r="L2084" s="4" t="str">
        <f>IFERROR(VLOOKUP(ROWS($L$2:L2084),$B$2:$C$1996,2,0),"")</f>
        <v/>
      </c>
      <c r="N2084" s="2" t="str">
        <f>IFERROR(VLOOKUP(ROWS($N$2:N2084),$D$2:$E$1996,2,0),"")</f>
        <v/>
      </c>
    </row>
    <row r="2085" spans="2:14">
      <c r="B2085" s="32">
        <f>IF(ISNUMBER(SEARCH('Φόρμα Εισαγωγής'!$B$2,C2085)),MAX($B$1:B2084)+1,0)</f>
        <v>0</v>
      </c>
      <c r="D2085" s="33">
        <f>IF(ISNUMBER(SEARCH('Φόρμα Εισαγωγής'!$C$2,E2085)),MAX($D$1:D2084)+1,0)</f>
        <v>0</v>
      </c>
      <c r="H2085" s="6">
        <f t="shared" si="107"/>
        <v>0</v>
      </c>
      <c r="I2085" s="6">
        <f t="shared" si="108"/>
        <v>0</v>
      </c>
      <c r="J2085" s="6">
        <f t="shared" si="109"/>
        <v>0</v>
      </c>
      <c r="L2085" s="4" t="str">
        <f>IFERROR(VLOOKUP(ROWS($L$2:L2085),$B$2:$C$1996,2,0),"")</f>
        <v/>
      </c>
      <c r="N2085" s="2" t="str">
        <f>IFERROR(VLOOKUP(ROWS($N$2:N2085),$D$2:$E$1996,2,0),"")</f>
        <v/>
      </c>
    </row>
    <row r="2086" spans="2:14">
      <c r="B2086" s="32">
        <f>IF(ISNUMBER(SEARCH('Φόρμα Εισαγωγής'!$B$2,C2086)),MAX($B$1:B2085)+1,0)</f>
        <v>0</v>
      </c>
      <c r="D2086" s="33">
        <f>IF(ISNUMBER(SEARCH('Φόρμα Εισαγωγής'!$C$2,E2086)),MAX($D$1:D2085)+1,0)</f>
        <v>0</v>
      </c>
      <c r="H2086" s="6">
        <f t="shared" si="107"/>
        <v>0</v>
      </c>
      <c r="I2086" s="6">
        <f t="shared" si="108"/>
        <v>0</v>
      </c>
      <c r="J2086" s="6">
        <f t="shared" si="109"/>
        <v>0</v>
      </c>
      <c r="L2086" s="4" t="str">
        <f>IFERROR(VLOOKUP(ROWS($L$2:L2086),$B$2:$C$1996,2,0),"")</f>
        <v/>
      </c>
      <c r="N2086" s="2" t="str">
        <f>IFERROR(VLOOKUP(ROWS($N$2:N2086),$D$2:$E$1996,2,0),"")</f>
        <v/>
      </c>
    </row>
    <row r="2087" spans="2:14">
      <c r="B2087" s="32">
        <f>IF(ISNUMBER(SEARCH('Φόρμα Εισαγωγής'!$B$2,C2087)),MAX($B$1:B2086)+1,0)</f>
        <v>0</v>
      </c>
      <c r="D2087" s="33">
        <f>IF(ISNUMBER(SEARCH('Φόρμα Εισαγωγής'!$C$2,E2087)),MAX($D$1:D2086)+1,0)</f>
        <v>0</v>
      </c>
      <c r="H2087" s="6">
        <f t="shared" si="107"/>
        <v>0</v>
      </c>
      <c r="I2087" s="6">
        <f t="shared" si="108"/>
        <v>0</v>
      </c>
      <c r="J2087" s="6">
        <f t="shared" si="109"/>
        <v>0</v>
      </c>
      <c r="L2087" s="4" t="str">
        <f>IFERROR(VLOOKUP(ROWS($L$2:L2087),$B$2:$C$1996,2,0),"")</f>
        <v/>
      </c>
      <c r="N2087" s="2" t="str">
        <f>IFERROR(VLOOKUP(ROWS($N$2:N2087),$D$2:$E$1996,2,0),"")</f>
        <v/>
      </c>
    </row>
    <row r="2088" spans="2:14">
      <c r="B2088" s="32">
        <f>IF(ISNUMBER(SEARCH('Φόρμα Εισαγωγής'!$B$2,C2088)),MAX($B$1:B2087)+1,0)</f>
        <v>0</v>
      </c>
      <c r="D2088" s="33">
        <f>IF(ISNUMBER(SEARCH('Φόρμα Εισαγωγής'!$C$2,E2088)),MAX($D$1:D2087)+1,0)</f>
        <v>0</v>
      </c>
      <c r="H2088" s="6">
        <f t="shared" si="107"/>
        <v>0</v>
      </c>
      <c r="I2088" s="6">
        <f t="shared" si="108"/>
        <v>0</v>
      </c>
      <c r="J2088" s="6">
        <f t="shared" si="109"/>
        <v>0</v>
      </c>
      <c r="L2088" s="4" t="str">
        <f>IFERROR(VLOOKUP(ROWS($L$2:L2088),$B$2:$C$1996,2,0),"")</f>
        <v/>
      </c>
      <c r="N2088" s="2" t="str">
        <f>IFERROR(VLOOKUP(ROWS($N$2:N2088),$D$2:$E$1996,2,0),"")</f>
        <v/>
      </c>
    </row>
    <row r="2089" spans="2:14">
      <c r="B2089" s="32">
        <f>IF(ISNUMBER(SEARCH('Φόρμα Εισαγωγής'!$B$2,C2089)),MAX($B$1:B2088)+1,0)</f>
        <v>0</v>
      </c>
      <c r="D2089" s="33">
        <f>IF(ISNUMBER(SEARCH('Φόρμα Εισαγωγής'!$C$2,E2089)),MAX($D$1:D2088)+1,0)</f>
        <v>0</v>
      </c>
      <c r="H2089" s="6">
        <f t="shared" si="107"/>
        <v>0</v>
      </c>
      <c r="I2089" s="6">
        <f t="shared" si="108"/>
        <v>0</v>
      </c>
      <c r="J2089" s="6">
        <f t="shared" si="109"/>
        <v>0</v>
      </c>
      <c r="L2089" s="4" t="str">
        <f>IFERROR(VLOOKUP(ROWS($L$2:L2089),$B$2:$C$1996,2,0),"")</f>
        <v/>
      </c>
      <c r="N2089" s="2" t="str">
        <f>IFERROR(VLOOKUP(ROWS($N$2:N2089),$D$2:$E$1996,2,0),"")</f>
        <v/>
      </c>
    </row>
    <row r="2090" spans="2:14">
      <c r="B2090" s="32">
        <f>IF(ISNUMBER(SEARCH('Φόρμα Εισαγωγής'!$B$2,C2090)),MAX($B$1:B2089)+1,0)</f>
        <v>0</v>
      </c>
      <c r="D2090" s="33">
        <f>IF(ISNUMBER(SEARCH('Φόρμα Εισαγωγής'!$C$2,E2090)),MAX($D$1:D2089)+1,0)</f>
        <v>0</v>
      </c>
      <c r="H2090" s="6">
        <f t="shared" si="107"/>
        <v>0</v>
      </c>
      <c r="I2090" s="6">
        <f t="shared" si="108"/>
        <v>0</v>
      </c>
      <c r="J2090" s="6">
        <f t="shared" si="109"/>
        <v>0</v>
      </c>
      <c r="L2090" s="4" t="str">
        <f>IFERROR(VLOOKUP(ROWS($L$2:L2090),$B$2:$C$1996,2,0),"")</f>
        <v/>
      </c>
      <c r="N2090" s="2" t="str">
        <f>IFERROR(VLOOKUP(ROWS($N$2:N2090),$D$2:$E$1996,2,0),"")</f>
        <v/>
      </c>
    </row>
    <row r="2091" spans="2:14">
      <c r="B2091" s="32">
        <f>IF(ISNUMBER(SEARCH('Φόρμα Εισαγωγής'!$B$2,C2091)),MAX($B$1:B2090)+1,0)</f>
        <v>0</v>
      </c>
      <c r="D2091" s="33">
        <f>IF(ISNUMBER(SEARCH('Φόρμα Εισαγωγής'!$C$2,E2091)),MAX($D$1:D2090)+1,0)</f>
        <v>0</v>
      </c>
      <c r="H2091" s="6">
        <f t="shared" si="107"/>
        <v>0</v>
      </c>
      <c r="I2091" s="6">
        <f t="shared" si="108"/>
        <v>0</v>
      </c>
      <c r="J2091" s="6">
        <f t="shared" si="109"/>
        <v>0</v>
      </c>
      <c r="L2091" s="4" t="str">
        <f>IFERROR(VLOOKUP(ROWS($L$2:L2091),$B$2:$C$1996,2,0),"")</f>
        <v/>
      </c>
      <c r="N2091" s="2" t="str">
        <f>IFERROR(VLOOKUP(ROWS($N$2:N2091),$D$2:$E$1996,2,0),"")</f>
        <v/>
      </c>
    </row>
    <row r="2092" spans="2:14">
      <c r="B2092" s="32">
        <f>IF(ISNUMBER(SEARCH('Φόρμα Εισαγωγής'!$B$2,C2092)),MAX($B$1:B2091)+1,0)</f>
        <v>0</v>
      </c>
      <c r="D2092" s="33">
        <f>IF(ISNUMBER(SEARCH('Φόρμα Εισαγωγής'!$C$2,E2092)),MAX($D$1:D2091)+1,0)</f>
        <v>0</v>
      </c>
      <c r="H2092" s="6">
        <f t="shared" si="107"/>
        <v>0</v>
      </c>
      <c r="I2092" s="6">
        <f t="shared" si="108"/>
        <v>0</v>
      </c>
      <c r="J2092" s="6">
        <f t="shared" si="109"/>
        <v>0</v>
      </c>
      <c r="L2092" s="4" t="str">
        <f>IFERROR(VLOOKUP(ROWS($L$2:L2092),$B$2:$C$1996,2,0),"")</f>
        <v/>
      </c>
      <c r="N2092" s="2" t="str">
        <f>IFERROR(VLOOKUP(ROWS($N$2:N2092),$D$2:$E$1996,2,0),"")</f>
        <v/>
      </c>
    </row>
    <row r="2093" spans="2:14">
      <c r="B2093" s="32">
        <f>IF(ISNUMBER(SEARCH('Φόρμα Εισαγωγής'!$B$2,C2093)),MAX($B$1:B2092)+1,0)</f>
        <v>0</v>
      </c>
      <c r="D2093" s="33">
        <f>IF(ISNUMBER(SEARCH('Φόρμα Εισαγωγής'!$C$2,E2093)),MAX($D$1:D2092)+1,0)</f>
        <v>0</v>
      </c>
      <c r="H2093" s="6">
        <f t="shared" si="107"/>
        <v>0</v>
      </c>
      <c r="I2093" s="6">
        <f t="shared" si="108"/>
        <v>0</v>
      </c>
      <c r="J2093" s="6">
        <f t="shared" si="109"/>
        <v>0</v>
      </c>
      <c r="L2093" s="4" t="str">
        <f>IFERROR(VLOOKUP(ROWS($L$2:L2093),$B$2:$C$1996,2,0),"")</f>
        <v/>
      </c>
      <c r="N2093" s="2" t="str">
        <f>IFERROR(VLOOKUP(ROWS($N$2:N2093),$D$2:$E$1996,2,0),"")</f>
        <v/>
      </c>
    </row>
    <row r="2094" spans="2:14">
      <c r="B2094" s="32">
        <f>IF(ISNUMBER(SEARCH('Φόρμα Εισαγωγής'!$B$2,C2094)),MAX($B$1:B2093)+1,0)</f>
        <v>0</v>
      </c>
      <c r="D2094" s="33">
        <f>IF(ISNUMBER(SEARCH('Φόρμα Εισαγωγής'!$C$2,E2094)),MAX($D$1:D2093)+1,0)</f>
        <v>0</v>
      </c>
      <c r="H2094" s="6">
        <f t="shared" si="107"/>
        <v>0</v>
      </c>
      <c r="I2094" s="6">
        <f t="shared" si="108"/>
        <v>0</v>
      </c>
      <c r="J2094" s="6">
        <f t="shared" si="109"/>
        <v>0</v>
      </c>
      <c r="L2094" s="4" t="str">
        <f>IFERROR(VLOOKUP(ROWS($L$2:L2094),$B$2:$C$1996,2,0),"")</f>
        <v/>
      </c>
      <c r="N2094" s="2" t="str">
        <f>IFERROR(VLOOKUP(ROWS($N$2:N2094),$D$2:$E$1996,2,0),"")</f>
        <v/>
      </c>
    </row>
    <row r="2095" spans="2:14">
      <c r="B2095" s="32">
        <f>IF(ISNUMBER(SEARCH('Φόρμα Εισαγωγής'!$B$2,C2095)),MAX($B$1:B2094)+1,0)</f>
        <v>0</v>
      </c>
      <c r="D2095" s="33">
        <f>IF(ISNUMBER(SEARCH('Φόρμα Εισαγωγής'!$C$2,E2095)),MAX($D$1:D2094)+1,0)</f>
        <v>0</v>
      </c>
      <c r="H2095" s="6">
        <f t="shared" si="107"/>
        <v>0</v>
      </c>
      <c r="I2095" s="6">
        <f t="shared" si="108"/>
        <v>0</v>
      </c>
      <c r="J2095" s="6">
        <f t="shared" si="109"/>
        <v>0</v>
      </c>
      <c r="L2095" s="4" t="str">
        <f>IFERROR(VLOOKUP(ROWS($L$2:L2095),$B$2:$C$1996,2,0),"")</f>
        <v/>
      </c>
      <c r="N2095" s="2" t="str">
        <f>IFERROR(VLOOKUP(ROWS($N$2:N2095),$D$2:$E$1996,2,0),"")</f>
        <v/>
      </c>
    </row>
    <row r="2096" spans="2:14">
      <c r="B2096" s="32">
        <f>IF(ISNUMBER(SEARCH('Φόρμα Εισαγωγής'!$B$2,C2096)),MAX($B$1:B2095)+1,0)</f>
        <v>0</v>
      </c>
      <c r="D2096" s="33">
        <f>IF(ISNUMBER(SEARCH('Φόρμα Εισαγωγής'!$C$2,E2096)),MAX($D$1:D2095)+1,0)</f>
        <v>0</v>
      </c>
      <c r="H2096" s="6">
        <f t="shared" si="107"/>
        <v>0</v>
      </c>
      <c r="I2096" s="6">
        <f t="shared" si="108"/>
        <v>0</v>
      </c>
      <c r="J2096" s="6">
        <f t="shared" si="109"/>
        <v>0</v>
      </c>
      <c r="L2096" s="4" t="str">
        <f>IFERROR(VLOOKUP(ROWS($L$2:L2096),$B$2:$C$1996,2,0),"")</f>
        <v/>
      </c>
      <c r="N2096" s="2" t="str">
        <f>IFERROR(VLOOKUP(ROWS($N$2:N2096),$D$2:$E$1996,2,0),"")</f>
        <v/>
      </c>
    </row>
    <row r="2097" spans="2:14">
      <c r="B2097" s="32">
        <f>IF(ISNUMBER(SEARCH('Φόρμα Εισαγωγής'!$B$2,C2097)),MAX($B$1:B2096)+1,0)</f>
        <v>0</v>
      </c>
      <c r="D2097" s="33">
        <f>IF(ISNUMBER(SEARCH('Φόρμα Εισαγωγής'!$C$2,E2097)),MAX($D$1:D2096)+1,0)</f>
        <v>0</v>
      </c>
      <c r="H2097" s="6">
        <f t="shared" si="107"/>
        <v>0</v>
      </c>
      <c r="I2097" s="6">
        <f t="shared" si="108"/>
        <v>0</v>
      </c>
      <c r="J2097" s="6">
        <f t="shared" si="109"/>
        <v>0</v>
      </c>
      <c r="L2097" s="4" t="str">
        <f>IFERROR(VLOOKUP(ROWS($L$2:L2097),$B$2:$C$1996,2,0),"")</f>
        <v/>
      </c>
      <c r="N2097" s="2" t="str">
        <f>IFERROR(VLOOKUP(ROWS($N$2:N2097),$D$2:$E$1996,2,0),"")</f>
        <v/>
      </c>
    </row>
    <row r="2098" spans="2:14">
      <c r="B2098" s="32">
        <f>IF(ISNUMBER(SEARCH('Φόρμα Εισαγωγής'!$B$2,C2098)),MAX($B$1:B2097)+1,0)</f>
        <v>0</v>
      </c>
      <c r="D2098" s="33">
        <f>IF(ISNUMBER(SEARCH('Φόρμα Εισαγωγής'!$C$2,E2098)),MAX($D$1:D2097)+1,0)</f>
        <v>0</v>
      </c>
      <c r="H2098" s="6">
        <f t="shared" si="107"/>
        <v>0</v>
      </c>
      <c r="I2098" s="6">
        <f t="shared" si="108"/>
        <v>0</v>
      </c>
      <c r="J2098" s="6">
        <f t="shared" si="109"/>
        <v>0</v>
      </c>
      <c r="L2098" s="4" t="str">
        <f>IFERROR(VLOOKUP(ROWS($L$2:L2098),$B$2:$C$1996,2,0),"")</f>
        <v/>
      </c>
      <c r="N2098" s="2" t="str">
        <f>IFERROR(VLOOKUP(ROWS($N$2:N2098),$D$2:$E$1996,2,0),"")</f>
        <v/>
      </c>
    </row>
    <row r="2099" spans="2:14">
      <c r="B2099" s="32">
        <f>IF(ISNUMBER(SEARCH('Φόρμα Εισαγωγής'!$B$2,C2099)),MAX($B$1:B2098)+1,0)</f>
        <v>0</v>
      </c>
      <c r="D2099" s="33">
        <f>IF(ISNUMBER(SEARCH('Φόρμα Εισαγωγής'!$C$2,E2099)),MAX($D$1:D2098)+1,0)</f>
        <v>0</v>
      </c>
      <c r="H2099" s="6">
        <f t="shared" si="107"/>
        <v>0</v>
      </c>
      <c r="I2099" s="6">
        <f t="shared" si="108"/>
        <v>0</v>
      </c>
      <c r="J2099" s="6">
        <f t="shared" si="109"/>
        <v>0</v>
      </c>
      <c r="L2099" s="4" t="str">
        <f>IFERROR(VLOOKUP(ROWS($L$2:L2099),$B$2:$C$1996,2,0),"")</f>
        <v/>
      </c>
      <c r="N2099" s="2" t="str">
        <f>IFERROR(VLOOKUP(ROWS($N$2:N2099),$D$2:$E$1996,2,0),"")</f>
        <v/>
      </c>
    </row>
    <row r="2100" spans="2:14">
      <c r="B2100" s="32">
        <f>IF(ISNUMBER(SEARCH('Φόρμα Εισαγωγής'!$B$2,C2100)),MAX($B$1:B2099)+1,0)</f>
        <v>0</v>
      </c>
      <c r="D2100" s="33">
        <f>IF(ISNUMBER(SEARCH('Φόρμα Εισαγωγής'!$C$2,E2100)),MAX($D$1:D2099)+1,0)</f>
        <v>0</v>
      </c>
      <c r="H2100" s="6">
        <f t="shared" si="107"/>
        <v>0</v>
      </c>
      <c r="I2100" s="6">
        <f t="shared" si="108"/>
        <v>0</v>
      </c>
      <c r="J2100" s="6">
        <f t="shared" si="109"/>
        <v>0</v>
      </c>
      <c r="L2100" s="4" t="str">
        <f>IFERROR(VLOOKUP(ROWS($L$2:L2100),$B$2:$C$1996,2,0),"")</f>
        <v/>
      </c>
      <c r="N2100" s="2" t="str">
        <f>IFERROR(VLOOKUP(ROWS($N$2:N2100),$D$2:$E$1996,2,0),"")</f>
        <v/>
      </c>
    </row>
    <row r="2101" spans="2:14">
      <c r="B2101" s="32">
        <f>IF(ISNUMBER(SEARCH('Φόρμα Εισαγωγής'!$B$2,C2101)),MAX($B$1:B2100)+1,0)</f>
        <v>0</v>
      </c>
      <c r="D2101" s="33">
        <f>IF(ISNUMBER(SEARCH('Φόρμα Εισαγωγής'!$C$2,E2101)),MAX($D$1:D2100)+1,0)</f>
        <v>0</v>
      </c>
      <c r="H2101" s="6">
        <f t="shared" si="107"/>
        <v>0</v>
      </c>
      <c r="I2101" s="6">
        <f t="shared" si="108"/>
        <v>0</v>
      </c>
      <c r="J2101" s="6">
        <f t="shared" si="109"/>
        <v>0</v>
      </c>
      <c r="L2101" s="4" t="str">
        <f>IFERROR(VLOOKUP(ROWS($L$2:L2101),$B$2:$C$1996,2,0),"")</f>
        <v/>
      </c>
      <c r="N2101" s="2" t="str">
        <f>IFERROR(VLOOKUP(ROWS($N$2:N2101),$D$2:$E$1996,2,0),"")</f>
        <v/>
      </c>
    </row>
    <row r="2102" spans="2:14">
      <c r="B2102" s="32">
        <f>IF(ISNUMBER(SEARCH('Φόρμα Εισαγωγής'!$B$2,C2102)),MAX($B$1:B2101)+1,0)</f>
        <v>0</v>
      </c>
      <c r="D2102" s="33">
        <f>IF(ISNUMBER(SEARCH('Φόρμα Εισαγωγής'!$C$2,E2102)),MAX($D$1:D2101)+1,0)</f>
        <v>0</v>
      </c>
      <c r="H2102" s="6">
        <f t="shared" si="107"/>
        <v>0</v>
      </c>
      <c r="I2102" s="6">
        <f t="shared" si="108"/>
        <v>0</v>
      </c>
      <c r="J2102" s="6">
        <f t="shared" si="109"/>
        <v>0</v>
      </c>
      <c r="L2102" s="4" t="str">
        <f>IFERROR(VLOOKUP(ROWS($L$2:L2102),$B$2:$C$1996,2,0),"")</f>
        <v/>
      </c>
      <c r="N2102" s="2" t="str">
        <f>IFERROR(VLOOKUP(ROWS($N$2:N2102),$D$2:$E$1996,2,0),"")</f>
        <v/>
      </c>
    </row>
    <row r="2103" spans="2:14">
      <c r="B2103" s="32">
        <f>IF(ISNUMBER(SEARCH('Φόρμα Εισαγωγής'!$B$2,C2103)),MAX($B$1:B2102)+1,0)</f>
        <v>0</v>
      </c>
      <c r="D2103" s="33">
        <f>IF(ISNUMBER(SEARCH('Φόρμα Εισαγωγής'!$C$2,E2103)),MAX($D$1:D2102)+1,0)</f>
        <v>0</v>
      </c>
      <c r="H2103" s="6">
        <f t="shared" si="107"/>
        <v>0</v>
      </c>
      <c r="I2103" s="6">
        <f t="shared" si="108"/>
        <v>0</v>
      </c>
      <c r="J2103" s="6">
        <f t="shared" si="109"/>
        <v>0</v>
      </c>
      <c r="L2103" s="4" t="str">
        <f>IFERROR(VLOOKUP(ROWS($L$2:L2103),$B$2:$C$1996,2,0),"")</f>
        <v/>
      </c>
      <c r="N2103" s="2" t="str">
        <f>IFERROR(VLOOKUP(ROWS($N$2:N2103),$D$2:$E$1996,2,0),"")</f>
        <v/>
      </c>
    </row>
    <row r="2104" spans="2:14">
      <c r="B2104" s="32">
        <f>IF(ISNUMBER(SEARCH('Φόρμα Εισαγωγής'!$B$2,C2104)),MAX($B$1:B2103)+1,0)</f>
        <v>0</v>
      </c>
      <c r="D2104" s="33">
        <f>IF(ISNUMBER(SEARCH('Φόρμα Εισαγωγής'!$C$2,E2104)),MAX($D$1:D2103)+1,0)</f>
        <v>0</v>
      </c>
      <c r="H2104" s="6">
        <f t="shared" si="107"/>
        <v>0</v>
      </c>
      <c r="I2104" s="6">
        <f t="shared" si="108"/>
        <v>0</v>
      </c>
      <c r="J2104" s="6">
        <f t="shared" si="109"/>
        <v>0</v>
      </c>
      <c r="L2104" s="4" t="str">
        <f>IFERROR(VLOOKUP(ROWS($L$2:L2104),$B$2:$C$1996,2,0),"")</f>
        <v/>
      </c>
      <c r="N2104" s="2" t="str">
        <f>IFERROR(VLOOKUP(ROWS($N$2:N2104),$D$2:$E$1996,2,0),"")</f>
        <v/>
      </c>
    </row>
    <row r="2105" spans="2:14">
      <c r="B2105" s="32">
        <f>IF(ISNUMBER(SEARCH('Φόρμα Εισαγωγής'!$B$2,C2105)),MAX($B$1:B2104)+1,0)</f>
        <v>0</v>
      </c>
      <c r="D2105" s="33">
        <f>IF(ISNUMBER(SEARCH('Φόρμα Εισαγωγής'!$C$2,E2105)),MAX($D$1:D2104)+1,0)</f>
        <v>0</v>
      </c>
      <c r="H2105" s="6">
        <f t="shared" si="107"/>
        <v>0</v>
      </c>
      <c r="I2105" s="6">
        <f t="shared" si="108"/>
        <v>0</v>
      </c>
      <c r="J2105" s="6">
        <f t="shared" si="109"/>
        <v>0</v>
      </c>
      <c r="L2105" s="4" t="str">
        <f>IFERROR(VLOOKUP(ROWS($L$2:L2105),$B$2:$C$1996,2,0),"")</f>
        <v/>
      </c>
      <c r="N2105" s="2" t="str">
        <f>IFERROR(VLOOKUP(ROWS($N$2:N2105),$D$2:$E$1996,2,0),"")</f>
        <v/>
      </c>
    </row>
    <row r="2106" spans="2:14">
      <c r="B2106" s="32">
        <f>IF(ISNUMBER(SEARCH('Φόρμα Εισαγωγής'!$B$2,C2106)),MAX($B$1:B2105)+1,0)</f>
        <v>0</v>
      </c>
      <c r="D2106" s="33">
        <f>IF(ISNUMBER(SEARCH('Φόρμα Εισαγωγής'!$C$2,E2106)),MAX($D$1:D2105)+1,0)</f>
        <v>0</v>
      </c>
      <c r="H2106" s="6">
        <f t="shared" si="107"/>
        <v>0</v>
      </c>
      <c r="I2106" s="6">
        <f t="shared" si="108"/>
        <v>0</v>
      </c>
      <c r="J2106" s="6">
        <f t="shared" si="109"/>
        <v>0</v>
      </c>
      <c r="L2106" s="4" t="str">
        <f>IFERROR(VLOOKUP(ROWS($L$2:L2106),$B$2:$C$1996,2,0),"")</f>
        <v/>
      </c>
      <c r="N2106" s="2" t="str">
        <f>IFERROR(VLOOKUP(ROWS($N$2:N2106),$D$2:$E$1996,2,0),"")</f>
        <v/>
      </c>
    </row>
    <row r="2107" spans="2:14">
      <c r="B2107" s="32">
        <f>IF(ISNUMBER(SEARCH('Φόρμα Εισαγωγής'!$B$2,C2107)),MAX($B$1:B2106)+1,0)</f>
        <v>0</v>
      </c>
      <c r="D2107" s="33">
        <f>IF(ISNUMBER(SEARCH('Φόρμα Εισαγωγής'!$C$2,E2107)),MAX($D$1:D2106)+1,0)</f>
        <v>0</v>
      </c>
      <c r="H2107" s="6">
        <f t="shared" si="107"/>
        <v>0</v>
      </c>
      <c r="I2107" s="6">
        <f t="shared" si="108"/>
        <v>0</v>
      </c>
      <c r="J2107" s="6">
        <f t="shared" si="109"/>
        <v>0</v>
      </c>
      <c r="L2107" s="4" t="str">
        <f>IFERROR(VLOOKUP(ROWS($L$2:L2107),$B$2:$C$1996,2,0),"")</f>
        <v/>
      </c>
      <c r="N2107" s="2" t="str">
        <f>IFERROR(VLOOKUP(ROWS($N$2:N2107),$D$2:$E$1996,2,0),"")</f>
        <v/>
      </c>
    </row>
    <row r="2108" spans="2:14">
      <c r="B2108" s="32">
        <f>IF(ISNUMBER(SEARCH('Φόρμα Εισαγωγής'!$B$2,C2108)),MAX($B$1:B2107)+1,0)</f>
        <v>0</v>
      </c>
      <c r="D2108" s="33">
        <f>IF(ISNUMBER(SEARCH('Φόρμα Εισαγωγής'!$C$2,E2108)),MAX($D$1:D2107)+1,0)</f>
        <v>0</v>
      </c>
      <c r="H2108" s="6">
        <f t="shared" si="107"/>
        <v>0</v>
      </c>
      <c r="I2108" s="6">
        <f t="shared" si="108"/>
        <v>0</v>
      </c>
      <c r="J2108" s="6">
        <f t="shared" si="109"/>
        <v>0</v>
      </c>
      <c r="L2108" s="4" t="str">
        <f>IFERROR(VLOOKUP(ROWS($L$2:L2108),$B$2:$C$1996,2,0),"")</f>
        <v/>
      </c>
      <c r="N2108" s="2" t="str">
        <f>IFERROR(VLOOKUP(ROWS($N$2:N2108),$D$2:$E$1996,2,0),"")</f>
        <v/>
      </c>
    </row>
    <row r="2109" spans="2:14">
      <c r="B2109" s="32">
        <f>IF(ISNUMBER(SEARCH('Φόρμα Εισαγωγής'!$B$2,C2109)),MAX($B$1:B2108)+1,0)</f>
        <v>0</v>
      </c>
      <c r="D2109" s="33">
        <f>IF(ISNUMBER(SEARCH('Φόρμα Εισαγωγής'!$C$2,E2109)),MAX($D$1:D2108)+1,0)</f>
        <v>0</v>
      </c>
      <c r="H2109" s="6">
        <f t="shared" si="107"/>
        <v>0</v>
      </c>
      <c r="I2109" s="6">
        <f t="shared" si="108"/>
        <v>0</v>
      </c>
      <c r="J2109" s="6">
        <f t="shared" si="109"/>
        <v>0</v>
      </c>
      <c r="L2109" s="4" t="str">
        <f>IFERROR(VLOOKUP(ROWS($L$2:L2109),$B$2:$C$1996,2,0),"")</f>
        <v/>
      </c>
      <c r="N2109" s="2" t="str">
        <f>IFERROR(VLOOKUP(ROWS($N$2:N2109),$D$2:$E$1996,2,0),"")</f>
        <v/>
      </c>
    </row>
    <row r="2110" spans="2:14">
      <c r="B2110" s="32">
        <f>IF(ISNUMBER(SEARCH('Φόρμα Εισαγωγής'!$B$2,C2110)),MAX($B$1:B2109)+1,0)</f>
        <v>0</v>
      </c>
      <c r="D2110" s="33">
        <f>IF(ISNUMBER(SEARCH('Φόρμα Εισαγωγής'!$C$2,E2110)),MAX($D$1:D2109)+1,0)</f>
        <v>0</v>
      </c>
      <c r="H2110" s="6">
        <f t="shared" si="107"/>
        <v>0</v>
      </c>
      <c r="I2110" s="6">
        <f t="shared" si="108"/>
        <v>0</v>
      </c>
      <c r="J2110" s="6">
        <f t="shared" si="109"/>
        <v>0</v>
      </c>
      <c r="L2110" s="4" t="str">
        <f>IFERROR(VLOOKUP(ROWS($L$2:L2110),$B$2:$C$1996,2,0),"")</f>
        <v/>
      </c>
      <c r="N2110" s="2" t="str">
        <f>IFERROR(VLOOKUP(ROWS($N$2:N2110),$D$2:$E$1996,2,0),"")</f>
        <v/>
      </c>
    </row>
    <row r="2111" spans="2:14">
      <c r="B2111" s="32">
        <f>IF(ISNUMBER(SEARCH('Φόρμα Εισαγωγής'!$B$2,C2111)),MAX($B$1:B2110)+1,0)</f>
        <v>0</v>
      </c>
      <c r="D2111" s="33">
        <f>IF(ISNUMBER(SEARCH('Φόρμα Εισαγωγής'!$C$2,E2111)),MAX($D$1:D2110)+1,0)</f>
        <v>0</v>
      </c>
      <c r="H2111" s="6">
        <f t="shared" si="107"/>
        <v>0</v>
      </c>
      <c r="I2111" s="6">
        <f t="shared" si="108"/>
        <v>0</v>
      </c>
      <c r="J2111" s="6">
        <f t="shared" si="109"/>
        <v>0</v>
      </c>
      <c r="L2111" s="4" t="str">
        <f>IFERROR(VLOOKUP(ROWS($L$2:L2111),$B$2:$C$1996,2,0),"")</f>
        <v/>
      </c>
      <c r="N2111" s="2" t="str">
        <f>IFERROR(VLOOKUP(ROWS($N$2:N2111),$D$2:$E$1996,2,0),"")</f>
        <v/>
      </c>
    </row>
    <row r="2112" spans="2:14">
      <c r="B2112" s="32">
        <f>IF(ISNUMBER(SEARCH('Φόρμα Εισαγωγής'!$B$2,C2112)),MAX($B$1:B2111)+1,0)</f>
        <v>0</v>
      </c>
      <c r="D2112" s="33">
        <f>IF(ISNUMBER(SEARCH('Φόρμα Εισαγωγής'!$C$2,E2112)),MAX($D$1:D2111)+1,0)</f>
        <v>0</v>
      </c>
      <c r="H2112" s="6">
        <f t="shared" ref="H2112:H2175" si="110">G2112+(G2112*0.24)</f>
        <v>0</v>
      </c>
      <c r="I2112" s="6">
        <f t="shared" ref="I2112:I2175" si="111">F2112*A2112</f>
        <v>0</v>
      </c>
      <c r="J2112" s="6">
        <f t="shared" ref="J2112:J2175" si="112">H2112*A2112</f>
        <v>0</v>
      </c>
      <c r="L2112" s="4" t="str">
        <f>IFERROR(VLOOKUP(ROWS($L$2:L2112),$B$2:$C$1996,2,0),"")</f>
        <v/>
      </c>
      <c r="N2112" s="2" t="str">
        <f>IFERROR(VLOOKUP(ROWS($N$2:N2112),$D$2:$E$1996,2,0),"")</f>
        <v/>
      </c>
    </row>
    <row r="2113" spans="2:14">
      <c r="B2113" s="32">
        <f>IF(ISNUMBER(SEARCH('Φόρμα Εισαγωγής'!$B$2,C2113)),MAX($B$1:B2112)+1,0)</f>
        <v>0</v>
      </c>
      <c r="D2113" s="33">
        <f>IF(ISNUMBER(SEARCH('Φόρμα Εισαγωγής'!$C$2,E2113)),MAX($D$1:D2112)+1,0)</f>
        <v>0</v>
      </c>
      <c r="H2113" s="6">
        <f t="shared" si="110"/>
        <v>0</v>
      </c>
      <c r="I2113" s="6">
        <f t="shared" si="111"/>
        <v>0</v>
      </c>
      <c r="J2113" s="6">
        <f t="shared" si="112"/>
        <v>0</v>
      </c>
      <c r="L2113" s="4" t="str">
        <f>IFERROR(VLOOKUP(ROWS($L$2:L2113),$B$2:$C$1996,2,0),"")</f>
        <v/>
      </c>
      <c r="N2113" s="2" t="str">
        <f>IFERROR(VLOOKUP(ROWS($N$2:N2113),$D$2:$E$1996,2,0),"")</f>
        <v/>
      </c>
    </row>
    <row r="2114" spans="2:14">
      <c r="B2114" s="32">
        <f>IF(ISNUMBER(SEARCH('Φόρμα Εισαγωγής'!$B$2,C2114)),MAX($B$1:B2113)+1,0)</f>
        <v>0</v>
      </c>
      <c r="D2114" s="33">
        <f>IF(ISNUMBER(SEARCH('Φόρμα Εισαγωγής'!$C$2,E2114)),MAX($D$1:D2113)+1,0)</f>
        <v>0</v>
      </c>
      <c r="H2114" s="6">
        <f t="shared" si="110"/>
        <v>0</v>
      </c>
      <c r="I2114" s="6">
        <f t="shared" si="111"/>
        <v>0</v>
      </c>
      <c r="J2114" s="6">
        <f t="shared" si="112"/>
        <v>0</v>
      </c>
      <c r="L2114" s="4" t="str">
        <f>IFERROR(VLOOKUP(ROWS($L$2:L2114),$B$2:$C$1996,2,0),"")</f>
        <v/>
      </c>
      <c r="N2114" s="2" t="str">
        <f>IFERROR(VLOOKUP(ROWS($N$2:N2114),$D$2:$E$1996,2,0),"")</f>
        <v/>
      </c>
    </row>
    <row r="2115" spans="2:14">
      <c r="B2115" s="32">
        <f>IF(ISNUMBER(SEARCH('Φόρμα Εισαγωγής'!$B$2,C2115)),MAX($B$1:B2114)+1,0)</f>
        <v>0</v>
      </c>
      <c r="D2115" s="33">
        <f>IF(ISNUMBER(SEARCH('Φόρμα Εισαγωγής'!$C$2,E2115)),MAX($D$1:D2114)+1,0)</f>
        <v>0</v>
      </c>
      <c r="H2115" s="6">
        <f t="shared" si="110"/>
        <v>0</v>
      </c>
      <c r="I2115" s="6">
        <f t="shared" si="111"/>
        <v>0</v>
      </c>
      <c r="J2115" s="6">
        <f t="shared" si="112"/>
        <v>0</v>
      </c>
      <c r="L2115" s="4" t="str">
        <f>IFERROR(VLOOKUP(ROWS($L$2:L2115),$B$2:$C$1996,2,0),"")</f>
        <v/>
      </c>
      <c r="N2115" s="2" t="str">
        <f>IFERROR(VLOOKUP(ROWS($N$2:N2115),$D$2:$E$1996,2,0),"")</f>
        <v/>
      </c>
    </row>
    <row r="2116" spans="2:14">
      <c r="B2116" s="32">
        <f>IF(ISNUMBER(SEARCH('Φόρμα Εισαγωγής'!$B$2,C2116)),MAX($B$1:B2115)+1,0)</f>
        <v>0</v>
      </c>
      <c r="D2116" s="33">
        <f>IF(ISNUMBER(SEARCH('Φόρμα Εισαγωγής'!$C$2,E2116)),MAX($D$1:D2115)+1,0)</f>
        <v>0</v>
      </c>
      <c r="H2116" s="6">
        <f t="shared" si="110"/>
        <v>0</v>
      </c>
      <c r="I2116" s="6">
        <f t="shared" si="111"/>
        <v>0</v>
      </c>
      <c r="J2116" s="6">
        <f t="shared" si="112"/>
        <v>0</v>
      </c>
      <c r="L2116" s="4" t="str">
        <f>IFERROR(VLOOKUP(ROWS($L$2:L2116),$B$2:$C$1996,2,0),"")</f>
        <v/>
      </c>
      <c r="N2116" s="2" t="str">
        <f>IFERROR(VLOOKUP(ROWS($N$2:N2116),$D$2:$E$1996,2,0),"")</f>
        <v/>
      </c>
    </row>
    <row r="2117" spans="2:14">
      <c r="B2117" s="32">
        <f>IF(ISNUMBER(SEARCH('Φόρμα Εισαγωγής'!$B$2,C2117)),MAX($B$1:B2116)+1,0)</f>
        <v>0</v>
      </c>
      <c r="D2117" s="33">
        <f>IF(ISNUMBER(SEARCH('Φόρμα Εισαγωγής'!$C$2,E2117)),MAX($D$1:D2116)+1,0)</f>
        <v>0</v>
      </c>
      <c r="H2117" s="6">
        <f t="shared" si="110"/>
        <v>0</v>
      </c>
      <c r="I2117" s="6">
        <f t="shared" si="111"/>
        <v>0</v>
      </c>
      <c r="J2117" s="6">
        <f t="shared" si="112"/>
        <v>0</v>
      </c>
      <c r="L2117" s="4" t="str">
        <f>IFERROR(VLOOKUP(ROWS($L$2:L2117),$B$2:$C$1996,2,0),"")</f>
        <v/>
      </c>
      <c r="N2117" s="2" t="str">
        <f>IFERROR(VLOOKUP(ROWS($N$2:N2117),$D$2:$E$1996,2,0),"")</f>
        <v/>
      </c>
    </row>
    <row r="2118" spans="2:14">
      <c r="B2118" s="32">
        <f>IF(ISNUMBER(SEARCH('Φόρμα Εισαγωγής'!$B$2,C2118)),MAX($B$1:B2117)+1,0)</f>
        <v>0</v>
      </c>
      <c r="D2118" s="33">
        <f>IF(ISNUMBER(SEARCH('Φόρμα Εισαγωγής'!$C$2,E2118)),MAX($D$1:D2117)+1,0)</f>
        <v>0</v>
      </c>
      <c r="H2118" s="6">
        <f t="shared" si="110"/>
        <v>0</v>
      </c>
      <c r="I2118" s="6">
        <f t="shared" si="111"/>
        <v>0</v>
      </c>
      <c r="J2118" s="6">
        <f t="shared" si="112"/>
        <v>0</v>
      </c>
      <c r="L2118" s="4" t="str">
        <f>IFERROR(VLOOKUP(ROWS($L$2:L2118),$B$2:$C$1996,2,0),"")</f>
        <v/>
      </c>
      <c r="N2118" s="2" t="str">
        <f>IFERROR(VLOOKUP(ROWS($N$2:N2118),$D$2:$E$1996,2,0),"")</f>
        <v/>
      </c>
    </row>
    <row r="2119" spans="2:14">
      <c r="B2119" s="32">
        <f>IF(ISNUMBER(SEARCH('Φόρμα Εισαγωγής'!$B$2,C2119)),MAX($B$1:B2118)+1,0)</f>
        <v>0</v>
      </c>
      <c r="D2119" s="33">
        <f>IF(ISNUMBER(SEARCH('Φόρμα Εισαγωγής'!$C$2,E2119)),MAX($D$1:D2118)+1,0)</f>
        <v>0</v>
      </c>
      <c r="H2119" s="6">
        <f t="shared" si="110"/>
        <v>0</v>
      </c>
      <c r="I2119" s="6">
        <f t="shared" si="111"/>
        <v>0</v>
      </c>
      <c r="J2119" s="6">
        <f t="shared" si="112"/>
        <v>0</v>
      </c>
      <c r="L2119" s="4" t="str">
        <f>IFERROR(VLOOKUP(ROWS($L$2:L2119),$B$2:$C$1996,2,0),"")</f>
        <v/>
      </c>
      <c r="N2119" s="2" t="str">
        <f>IFERROR(VLOOKUP(ROWS($N$2:N2119),$D$2:$E$1996,2,0),"")</f>
        <v/>
      </c>
    </row>
    <row r="2120" spans="2:14">
      <c r="B2120" s="32">
        <f>IF(ISNUMBER(SEARCH('Φόρμα Εισαγωγής'!$B$2,C2120)),MAX($B$1:B2119)+1,0)</f>
        <v>0</v>
      </c>
      <c r="D2120" s="33">
        <f>IF(ISNUMBER(SEARCH('Φόρμα Εισαγωγής'!$C$2,E2120)),MAX($D$1:D2119)+1,0)</f>
        <v>0</v>
      </c>
      <c r="H2120" s="6">
        <f t="shared" si="110"/>
        <v>0</v>
      </c>
      <c r="I2120" s="6">
        <f t="shared" si="111"/>
        <v>0</v>
      </c>
      <c r="J2120" s="6">
        <f t="shared" si="112"/>
        <v>0</v>
      </c>
      <c r="L2120" s="4" t="str">
        <f>IFERROR(VLOOKUP(ROWS($L$2:L2120),$B$2:$C$1996,2,0),"")</f>
        <v/>
      </c>
      <c r="N2120" s="2" t="str">
        <f>IFERROR(VLOOKUP(ROWS($N$2:N2120),$D$2:$E$1996,2,0),"")</f>
        <v/>
      </c>
    </row>
    <row r="2121" spans="2:14">
      <c r="B2121" s="32">
        <f>IF(ISNUMBER(SEARCH('Φόρμα Εισαγωγής'!$B$2,C2121)),MAX($B$1:B2120)+1,0)</f>
        <v>0</v>
      </c>
      <c r="D2121" s="33">
        <f>IF(ISNUMBER(SEARCH('Φόρμα Εισαγωγής'!$C$2,E2121)),MAX($D$1:D2120)+1,0)</f>
        <v>0</v>
      </c>
      <c r="H2121" s="6">
        <f t="shared" si="110"/>
        <v>0</v>
      </c>
      <c r="I2121" s="6">
        <f t="shared" si="111"/>
        <v>0</v>
      </c>
      <c r="J2121" s="6">
        <f t="shared" si="112"/>
        <v>0</v>
      </c>
      <c r="L2121" s="4" t="str">
        <f>IFERROR(VLOOKUP(ROWS($L$2:L2121),$B$2:$C$1996,2,0),"")</f>
        <v/>
      </c>
      <c r="N2121" s="2" t="str">
        <f>IFERROR(VLOOKUP(ROWS($N$2:N2121),$D$2:$E$1996,2,0),"")</f>
        <v/>
      </c>
    </row>
    <row r="2122" spans="2:14">
      <c r="B2122" s="32">
        <f>IF(ISNUMBER(SEARCH('Φόρμα Εισαγωγής'!$B$2,C2122)),MAX($B$1:B2121)+1,0)</f>
        <v>0</v>
      </c>
      <c r="D2122" s="33">
        <f>IF(ISNUMBER(SEARCH('Φόρμα Εισαγωγής'!$C$2,E2122)),MAX($D$1:D2121)+1,0)</f>
        <v>0</v>
      </c>
      <c r="H2122" s="6">
        <f t="shared" si="110"/>
        <v>0</v>
      </c>
      <c r="I2122" s="6">
        <f t="shared" si="111"/>
        <v>0</v>
      </c>
      <c r="J2122" s="6">
        <f t="shared" si="112"/>
        <v>0</v>
      </c>
      <c r="L2122" s="4" t="str">
        <f>IFERROR(VLOOKUP(ROWS($L$2:L2122),$B$2:$C$1996,2,0),"")</f>
        <v/>
      </c>
      <c r="N2122" s="2" t="str">
        <f>IFERROR(VLOOKUP(ROWS($N$2:N2122),$D$2:$E$1996,2,0),"")</f>
        <v/>
      </c>
    </row>
    <row r="2123" spans="2:14">
      <c r="B2123" s="32">
        <f>IF(ISNUMBER(SEARCH('Φόρμα Εισαγωγής'!$B$2,C2123)),MAX($B$1:B2122)+1,0)</f>
        <v>0</v>
      </c>
      <c r="D2123" s="33">
        <f>IF(ISNUMBER(SEARCH('Φόρμα Εισαγωγής'!$C$2,E2123)),MAX($D$1:D2122)+1,0)</f>
        <v>0</v>
      </c>
      <c r="H2123" s="6">
        <f t="shared" si="110"/>
        <v>0</v>
      </c>
      <c r="I2123" s="6">
        <f t="shared" si="111"/>
        <v>0</v>
      </c>
      <c r="J2123" s="6">
        <f t="shared" si="112"/>
        <v>0</v>
      </c>
      <c r="L2123" s="4" t="str">
        <f>IFERROR(VLOOKUP(ROWS($L$2:L2123),$B$2:$C$1996,2,0),"")</f>
        <v/>
      </c>
      <c r="N2123" s="2" t="str">
        <f>IFERROR(VLOOKUP(ROWS($N$2:N2123),$D$2:$E$1996,2,0),"")</f>
        <v/>
      </c>
    </row>
    <row r="2124" spans="2:14">
      <c r="B2124" s="32">
        <f>IF(ISNUMBER(SEARCH('Φόρμα Εισαγωγής'!$B$2,C2124)),MAX($B$1:B2123)+1,0)</f>
        <v>0</v>
      </c>
      <c r="D2124" s="33">
        <f>IF(ISNUMBER(SEARCH('Φόρμα Εισαγωγής'!$C$2,E2124)),MAX($D$1:D2123)+1,0)</f>
        <v>0</v>
      </c>
      <c r="H2124" s="6">
        <f t="shared" si="110"/>
        <v>0</v>
      </c>
      <c r="I2124" s="6">
        <f t="shared" si="111"/>
        <v>0</v>
      </c>
      <c r="J2124" s="6">
        <f t="shared" si="112"/>
        <v>0</v>
      </c>
      <c r="L2124" s="4" t="str">
        <f>IFERROR(VLOOKUP(ROWS($L$2:L2124),$B$2:$C$1996,2,0),"")</f>
        <v/>
      </c>
      <c r="N2124" s="2" t="str">
        <f>IFERROR(VLOOKUP(ROWS($N$2:N2124),$D$2:$E$1996,2,0),"")</f>
        <v/>
      </c>
    </row>
    <row r="2125" spans="2:14">
      <c r="B2125" s="32">
        <f>IF(ISNUMBER(SEARCH('Φόρμα Εισαγωγής'!$B$2,C2125)),MAX($B$1:B2124)+1,0)</f>
        <v>0</v>
      </c>
      <c r="D2125" s="33">
        <f>IF(ISNUMBER(SEARCH('Φόρμα Εισαγωγής'!$C$2,E2125)),MAX($D$1:D2124)+1,0)</f>
        <v>0</v>
      </c>
      <c r="H2125" s="6">
        <f t="shared" si="110"/>
        <v>0</v>
      </c>
      <c r="I2125" s="6">
        <f t="shared" si="111"/>
        <v>0</v>
      </c>
      <c r="J2125" s="6">
        <f t="shared" si="112"/>
        <v>0</v>
      </c>
      <c r="L2125" s="4" t="str">
        <f>IFERROR(VLOOKUP(ROWS($L$2:L2125),$B$2:$C$1996,2,0),"")</f>
        <v/>
      </c>
      <c r="N2125" s="2" t="str">
        <f>IFERROR(VLOOKUP(ROWS($N$2:N2125),$D$2:$E$1996,2,0),"")</f>
        <v/>
      </c>
    </row>
    <row r="2126" spans="2:14">
      <c r="B2126" s="32">
        <f>IF(ISNUMBER(SEARCH('Φόρμα Εισαγωγής'!$B$2,C2126)),MAX($B$1:B2125)+1,0)</f>
        <v>0</v>
      </c>
      <c r="D2126" s="33">
        <f>IF(ISNUMBER(SEARCH('Φόρμα Εισαγωγής'!$C$2,E2126)),MAX($D$1:D2125)+1,0)</f>
        <v>0</v>
      </c>
      <c r="H2126" s="6">
        <f t="shared" si="110"/>
        <v>0</v>
      </c>
      <c r="I2126" s="6">
        <f t="shared" si="111"/>
        <v>0</v>
      </c>
      <c r="J2126" s="6">
        <f t="shared" si="112"/>
        <v>0</v>
      </c>
      <c r="L2126" s="4" t="str">
        <f>IFERROR(VLOOKUP(ROWS($L$2:L2126),$B$2:$C$1996,2,0),"")</f>
        <v/>
      </c>
      <c r="N2126" s="2" t="str">
        <f>IFERROR(VLOOKUP(ROWS($N$2:N2126),$D$2:$E$1996,2,0),"")</f>
        <v/>
      </c>
    </row>
    <row r="2127" spans="2:14">
      <c r="B2127" s="32">
        <f>IF(ISNUMBER(SEARCH('Φόρμα Εισαγωγής'!$B$2,C2127)),MAX($B$1:B2126)+1,0)</f>
        <v>0</v>
      </c>
      <c r="D2127" s="33">
        <f>IF(ISNUMBER(SEARCH('Φόρμα Εισαγωγής'!$C$2,E2127)),MAX($D$1:D2126)+1,0)</f>
        <v>0</v>
      </c>
      <c r="H2127" s="6">
        <f t="shared" si="110"/>
        <v>0</v>
      </c>
      <c r="I2127" s="6">
        <f t="shared" si="111"/>
        <v>0</v>
      </c>
      <c r="J2127" s="6">
        <f t="shared" si="112"/>
        <v>0</v>
      </c>
      <c r="L2127" s="4" t="str">
        <f>IFERROR(VLOOKUP(ROWS($L$2:L2127),$B$2:$C$1996,2,0),"")</f>
        <v/>
      </c>
      <c r="N2127" s="2" t="str">
        <f>IFERROR(VLOOKUP(ROWS($N$2:N2127),$D$2:$E$1996,2,0),"")</f>
        <v/>
      </c>
    </row>
    <row r="2128" spans="2:14">
      <c r="B2128" s="32">
        <f>IF(ISNUMBER(SEARCH('Φόρμα Εισαγωγής'!$B$2,C2128)),MAX($B$1:B2127)+1,0)</f>
        <v>0</v>
      </c>
      <c r="D2128" s="33">
        <f>IF(ISNUMBER(SEARCH('Φόρμα Εισαγωγής'!$C$2,E2128)),MAX($D$1:D2127)+1,0)</f>
        <v>0</v>
      </c>
      <c r="H2128" s="6">
        <f t="shared" si="110"/>
        <v>0</v>
      </c>
      <c r="I2128" s="6">
        <f t="shared" si="111"/>
        <v>0</v>
      </c>
      <c r="J2128" s="6">
        <f t="shared" si="112"/>
        <v>0</v>
      </c>
      <c r="L2128" s="4" t="str">
        <f>IFERROR(VLOOKUP(ROWS($L$2:L2128),$B$2:$C$1996,2,0),"")</f>
        <v/>
      </c>
      <c r="N2128" s="2" t="str">
        <f>IFERROR(VLOOKUP(ROWS($N$2:N2128),$D$2:$E$1996,2,0),"")</f>
        <v/>
      </c>
    </row>
    <row r="2129" spans="2:14">
      <c r="B2129" s="32">
        <f>IF(ISNUMBER(SEARCH('Φόρμα Εισαγωγής'!$B$2,C2129)),MAX($B$1:B2128)+1,0)</f>
        <v>0</v>
      </c>
      <c r="D2129" s="33">
        <f>IF(ISNUMBER(SEARCH('Φόρμα Εισαγωγής'!$C$2,E2129)),MAX($D$1:D2128)+1,0)</f>
        <v>0</v>
      </c>
      <c r="H2129" s="6">
        <f t="shared" si="110"/>
        <v>0</v>
      </c>
      <c r="I2129" s="6">
        <f t="shared" si="111"/>
        <v>0</v>
      </c>
      <c r="J2129" s="6">
        <f t="shared" si="112"/>
        <v>0</v>
      </c>
      <c r="L2129" s="4" t="str">
        <f>IFERROR(VLOOKUP(ROWS($L$2:L2129),$B$2:$C$1996,2,0),"")</f>
        <v/>
      </c>
      <c r="N2129" s="2" t="str">
        <f>IFERROR(VLOOKUP(ROWS($N$2:N2129),$D$2:$E$1996,2,0),"")</f>
        <v/>
      </c>
    </row>
    <row r="2130" spans="2:14">
      <c r="B2130" s="32">
        <f>IF(ISNUMBER(SEARCH('Φόρμα Εισαγωγής'!$B$2,C2130)),MAX($B$1:B2129)+1,0)</f>
        <v>0</v>
      </c>
      <c r="D2130" s="33">
        <f>IF(ISNUMBER(SEARCH('Φόρμα Εισαγωγής'!$C$2,E2130)),MAX($D$1:D2129)+1,0)</f>
        <v>0</v>
      </c>
      <c r="H2130" s="6">
        <f t="shared" si="110"/>
        <v>0</v>
      </c>
      <c r="I2130" s="6">
        <f t="shared" si="111"/>
        <v>0</v>
      </c>
      <c r="J2130" s="6">
        <f t="shared" si="112"/>
        <v>0</v>
      </c>
      <c r="L2130" s="4" t="str">
        <f>IFERROR(VLOOKUP(ROWS($L$2:L2130),$B$2:$C$1996,2,0),"")</f>
        <v/>
      </c>
      <c r="N2130" s="2" t="str">
        <f>IFERROR(VLOOKUP(ROWS($N$2:N2130),$D$2:$E$1996,2,0),"")</f>
        <v/>
      </c>
    </row>
    <row r="2131" spans="2:14">
      <c r="B2131" s="32">
        <f>IF(ISNUMBER(SEARCH('Φόρμα Εισαγωγής'!$B$2,C2131)),MAX($B$1:B2130)+1,0)</f>
        <v>0</v>
      </c>
      <c r="D2131" s="33">
        <f>IF(ISNUMBER(SEARCH('Φόρμα Εισαγωγής'!$C$2,E2131)),MAX($D$1:D2130)+1,0)</f>
        <v>0</v>
      </c>
      <c r="H2131" s="6">
        <f t="shared" si="110"/>
        <v>0</v>
      </c>
      <c r="I2131" s="6">
        <f t="shared" si="111"/>
        <v>0</v>
      </c>
      <c r="J2131" s="6">
        <f t="shared" si="112"/>
        <v>0</v>
      </c>
      <c r="L2131" s="4" t="str">
        <f>IFERROR(VLOOKUP(ROWS($L$2:L2131),$B$2:$C$1996,2,0),"")</f>
        <v/>
      </c>
      <c r="N2131" s="2" t="str">
        <f>IFERROR(VLOOKUP(ROWS($N$2:N2131),$D$2:$E$1996,2,0),"")</f>
        <v/>
      </c>
    </row>
    <row r="2132" spans="2:14">
      <c r="B2132" s="32">
        <f>IF(ISNUMBER(SEARCH('Φόρμα Εισαγωγής'!$B$2,C2132)),MAX($B$1:B2131)+1,0)</f>
        <v>0</v>
      </c>
      <c r="D2132" s="33">
        <f>IF(ISNUMBER(SEARCH('Φόρμα Εισαγωγής'!$C$2,E2132)),MAX($D$1:D2131)+1,0)</f>
        <v>0</v>
      </c>
      <c r="H2132" s="6">
        <f t="shared" si="110"/>
        <v>0</v>
      </c>
      <c r="I2132" s="6">
        <f t="shared" si="111"/>
        <v>0</v>
      </c>
      <c r="J2132" s="6">
        <f t="shared" si="112"/>
        <v>0</v>
      </c>
      <c r="L2132" s="4" t="str">
        <f>IFERROR(VLOOKUP(ROWS($L$2:L2132),$B$2:$C$1996,2,0),"")</f>
        <v/>
      </c>
      <c r="N2132" s="2" t="str">
        <f>IFERROR(VLOOKUP(ROWS($N$2:N2132),$D$2:$E$1996,2,0),"")</f>
        <v/>
      </c>
    </row>
    <row r="2133" spans="2:14">
      <c r="B2133" s="32">
        <f>IF(ISNUMBER(SEARCH('Φόρμα Εισαγωγής'!$B$2,C2133)),MAX($B$1:B2132)+1,0)</f>
        <v>0</v>
      </c>
      <c r="D2133" s="33">
        <f>IF(ISNUMBER(SEARCH('Φόρμα Εισαγωγής'!$C$2,E2133)),MAX($D$1:D2132)+1,0)</f>
        <v>0</v>
      </c>
      <c r="H2133" s="6">
        <f t="shared" si="110"/>
        <v>0</v>
      </c>
      <c r="I2133" s="6">
        <f t="shared" si="111"/>
        <v>0</v>
      </c>
      <c r="J2133" s="6">
        <f t="shared" si="112"/>
        <v>0</v>
      </c>
      <c r="L2133" s="4" t="str">
        <f>IFERROR(VLOOKUP(ROWS($L$2:L2133),$B$2:$C$1996,2,0),"")</f>
        <v/>
      </c>
      <c r="N2133" s="2" t="str">
        <f>IFERROR(VLOOKUP(ROWS($N$2:N2133),$D$2:$E$1996,2,0),"")</f>
        <v/>
      </c>
    </row>
    <row r="2134" spans="2:14">
      <c r="B2134" s="32">
        <f>IF(ISNUMBER(SEARCH('Φόρμα Εισαγωγής'!$B$2,C2134)),MAX($B$1:B2133)+1,0)</f>
        <v>0</v>
      </c>
      <c r="D2134" s="33">
        <f>IF(ISNUMBER(SEARCH('Φόρμα Εισαγωγής'!$C$2,E2134)),MAX($D$1:D2133)+1,0)</f>
        <v>0</v>
      </c>
      <c r="H2134" s="6">
        <f t="shared" si="110"/>
        <v>0</v>
      </c>
      <c r="I2134" s="6">
        <f t="shared" si="111"/>
        <v>0</v>
      </c>
      <c r="J2134" s="6">
        <f t="shared" si="112"/>
        <v>0</v>
      </c>
      <c r="L2134" s="4" t="str">
        <f>IFERROR(VLOOKUP(ROWS($L$2:L2134),$B$2:$C$1996,2,0),"")</f>
        <v/>
      </c>
      <c r="N2134" s="2" t="str">
        <f>IFERROR(VLOOKUP(ROWS($N$2:N2134),$D$2:$E$1996,2,0),"")</f>
        <v/>
      </c>
    </row>
    <row r="2135" spans="2:14">
      <c r="B2135" s="32">
        <f>IF(ISNUMBER(SEARCH('Φόρμα Εισαγωγής'!$B$2,C2135)),MAX($B$1:B2134)+1,0)</f>
        <v>0</v>
      </c>
      <c r="D2135" s="33">
        <f>IF(ISNUMBER(SEARCH('Φόρμα Εισαγωγής'!$C$2,E2135)),MAX($D$1:D2134)+1,0)</f>
        <v>0</v>
      </c>
      <c r="H2135" s="6">
        <f t="shared" si="110"/>
        <v>0</v>
      </c>
      <c r="I2135" s="6">
        <f t="shared" si="111"/>
        <v>0</v>
      </c>
      <c r="J2135" s="6">
        <f t="shared" si="112"/>
        <v>0</v>
      </c>
      <c r="L2135" s="4" t="str">
        <f>IFERROR(VLOOKUP(ROWS($L$2:L2135),$B$2:$C$1996,2,0),"")</f>
        <v/>
      </c>
      <c r="N2135" s="2" t="str">
        <f>IFERROR(VLOOKUP(ROWS($N$2:N2135),$D$2:$E$1996,2,0),"")</f>
        <v/>
      </c>
    </row>
    <row r="2136" spans="2:14">
      <c r="B2136" s="32">
        <f>IF(ISNUMBER(SEARCH('Φόρμα Εισαγωγής'!$B$2,C2136)),MAX($B$1:B2135)+1,0)</f>
        <v>0</v>
      </c>
      <c r="D2136" s="33">
        <f>IF(ISNUMBER(SEARCH('Φόρμα Εισαγωγής'!$C$2,E2136)),MAX($D$1:D2135)+1,0)</f>
        <v>0</v>
      </c>
      <c r="H2136" s="6">
        <f t="shared" si="110"/>
        <v>0</v>
      </c>
      <c r="I2136" s="6">
        <f t="shared" si="111"/>
        <v>0</v>
      </c>
      <c r="J2136" s="6">
        <f t="shared" si="112"/>
        <v>0</v>
      </c>
      <c r="L2136" s="4" t="str">
        <f>IFERROR(VLOOKUP(ROWS($L$2:L2136),$B$2:$C$1996,2,0),"")</f>
        <v/>
      </c>
      <c r="N2136" s="2" t="str">
        <f>IFERROR(VLOOKUP(ROWS($N$2:N2136),$D$2:$E$1996,2,0),"")</f>
        <v/>
      </c>
    </row>
    <row r="2137" spans="2:14">
      <c r="B2137" s="32">
        <f>IF(ISNUMBER(SEARCH('Φόρμα Εισαγωγής'!$B$2,C2137)),MAX($B$1:B2136)+1,0)</f>
        <v>0</v>
      </c>
      <c r="D2137" s="33">
        <f>IF(ISNUMBER(SEARCH('Φόρμα Εισαγωγής'!$C$2,E2137)),MAX($D$1:D2136)+1,0)</f>
        <v>0</v>
      </c>
      <c r="H2137" s="6">
        <f t="shared" si="110"/>
        <v>0</v>
      </c>
      <c r="I2137" s="6">
        <f t="shared" si="111"/>
        <v>0</v>
      </c>
      <c r="J2137" s="6">
        <f t="shared" si="112"/>
        <v>0</v>
      </c>
      <c r="L2137" s="4" t="str">
        <f>IFERROR(VLOOKUP(ROWS($L$2:L2137),$B$2:$C$1996,2,0),"")</f>
        <v/>
      </c>
      <c r="N2137" s="2" t="str">
        <f>IFERROR(VLOOKUP(ROWS($N$2:N2137),$D$2:$E$1996,2,0),"")</f>
        <v/>
      </c>
    </row>
    <row r="2138" spans="2:14">
      <c r="B2138" s="32">
        <f>IF(ISNUMBER(SEARCH('Φόρμα Εισαγωγής'!$B$2,C2138)),MAX($B$1:B2137)+1,0)</f>
        <v>0</v>
      </c>
      <c r="D2138" s="33">
        <f>IF(ISNUMBER(SEARCH('Φόρμα Εισαγωγής'!$C$2,E2138)),MAX($D$1:D2137)+1,0)</f>
        <v>0</v>
      </c>
      <c r="H2138" s="6">
        <f t="shared" si="110"/>
        <v>0</v>
      </c>
      <c r="I2138" s="6">
        <f t="shared" si="111"/>
        <v>0</v>
      </c>
      <c r="J2138" s="6">
        <f t="shared" si="112"/>
        <v>0</v>
      </c>
      <c r="L2138" s="4" t="str">
        <f>IFERROR(VLOOKUP(ROWS($L$2:L2138),$B$2:$C$1996,2,0),"")</f>
        <v/>
      </c>
      <c r="N2138" s="2" t="str">
        <f>IFERROR(VLOOKUP(ROWS($N$2:N2138),$D$2:$E$1996,2,0),"")</f>
        <v/>
      </c>
    </row>
    <row r="2139" spans="2:14">
      <c r="B2139" s="32">
        <f>IF(ISNUMBER(SEARCH('Φόρμα Εισαγωγής'!$B$2,C2139)),MAX($B$1:B2138)+1,0)</f>
        <v>0</v>
      </c>
      <c r="D2139" s="33">
        <f>IF(ISNUMBER(SEARCH('Φόρμα Εισαγωγής'!$C$2,E2139)),MAX($D$1:D2138)+1,0)</f>
        <v>0</v>
      </c>
      <c r="H2139" s="6">
        <f t="shared" si="110"/>
        <v>0</v>
      </c>
      <c r="I2139" s="6">
        <f t="shared" si="111"/>
        <v>0</v>
      </c>
      <c r="J2139" s="6">
        <f t="shared" si="112"/>
        <v>0</v>
      </c>
      <c r="L2139" s="4" t="str">
        <f>IFERROR(VLOOKUP(ROWS($L$2:L2139),$B$2:$C$1996,2,0),"")</f>
        <v/>
      </c>
      <c r="N2139" s="2" t="str">
        <f>IFERROR(VLOOKUP(ROWS($N$2:N2139),$D$2:$E$1996,2,0),"")</f>
        <v/>
      </c>
    </row>
    <row r="2140" spans="2:14">
      <c r="B2140" s="32">
        <f>IF(ISNUMBER(SEARCH('Φόρμα Εισαγωγής'!$B$2,C2140)),MAX($B$1:B2139)+1,0)</f>
        <v>0</v>
      </c>
      <c r="D2140" s="33">
        <f>IF(ISNUMBER(SEARCH('Φόρμα Εισαγωγής'!$C$2,E2140)),MAX($D$1:D2139)+1,0)</f>
        <v>0</v>
      </c>
      <c r="H2140" s="6">
        <f t="shared" si="110"/>
        <v>0</v>
      </c>
      <c r="I2140" s="6">
        <f t="shared" si="111"/>
        <v>0</v>
      </c>
      <c r="J2140" s="6">
        <f t="shared" si="112"/>
        <v>0</v>
      </c>
      <c r="L2140" s="4" t="str">
        <f>IFERROR(VLOOKUP(ROWS($L$2:L2140),$B$2:$C$1996,2,0),"")</f>
        <v/>
      </c>
      <c r="N2140" s="2" t="str">
        <f>IFERROR(VLOOKUP(ROWS($N$2:N2140),$D$2:$E$1996,2,0),"")</f>
        <v/>
      </c>
    </row>
    <row r="2141" spans="2:14">
      <c r="B2141" s="32">
        <f>IF(ISNUMBER(SEARCH('Φόρμα Εισαγωγής'!$B$2,C2141)),MAX($B$1:B2140)+1,0)</f>
        <v>0</v>
      </c>
      <c r="D2141" s="33">
        <f>IF(ISNUMBER(SEARCH('Φόρμα Εισαγωγής'!$C$2,E2141)),MAX($D$1:D2140)+1,0)</f>
        <v>0</v>
      </c>
      <c r="H2141" s="6">
        <f t="shared" si="110"/>
        <v>0</v>
      </c>
      <c r="I2141" s="6">
        <f t="shared" si="111"/>
        <v>0</v>
      </c>
      <c r="J2141" s="6">
        <f t="shared" si="112"/>
        <v>0</v>
      </c>
      <c r="L2141" s="4" t="str">
        <f>IFERROR(VLOOKUP(ROWS($L$2:L2141),$B$2:$C$1996,2,0),"")</f>
        <v/>
      </c>
      <c r="N2141" s="2" t="str">
        <f>IFERROR(VLOOKUP(ROWS($N$2:N2141),$D$2:$E$1996,2,0),"")</f>
        <v/>
      </c>
    </row>
    <row r="2142" spans="2:14">
      <c r="B2142" s="32">
        <f>IF(ISNUMBER(SEARCH('Φόρμα Εισαγωγής'!$B$2,C2142)),MAX($B$1:B2141)+1,0)</f>
        <v>0</v>
      </c>
      <c r="D2142" s="33">
        <f>IF(ISNUMBER(SEARCH('Φόρμα Εισαγωγής'!$C$2,E2142)),MAX($D$1:D2141)+1,0)</f>
        <v>0</v>
      </c>
      <c r="H2142" s="6">
        <f t="shared" si="110"/>
        <v>0</v>
      </c>
      <c r="I2142" s="6">
        <f t="shared" si="111"/>
        <v>0</v>
      </c>
      <c r="J2142" s="6">
        <f t="shared" si="112"/>
        <v>0</v>
      </c>
      <c r="L2142" s="4" t="str">
        <f>IFERROR(VLOOKUP(ROWS($L$2:L2142),$B$2:$C$1996,2,0),"")</f>
        <v/>
      </c>
      <c r="N2142" s="2" t="str">
        <f>IFERROR(VLOOKUP(ROWS($N$2:N2142),$D$2:$E$1996,2,0),"")</f>
        <v/>
      </c>
    </row>
    <row r="2143" spans="2:14">
      <c r="B2143" s="32">
        <f>IF(ISNUMBER(SEARCH('Φόρμα Εισαγωγής'!$B$2,C2143)),MAX($B$1:B2142)+1,0)</f>
        <v>0</v>
      </c>
      <c r="D2143" s="33">
        <f>IF(ISNUMBER(SEARCH('Φόρμα Εισαγωγής'!$C$2,E2143)),MAX($D$1:D2142)+1,0)</f>
        <v>0</v>
      </c>
      <c r="H2143" s="6">
        <f t="shared" si="110"/>
        <v>0</v>
      </c>
      <c r="I2143" s="6">
        <f t="shared" si="111"/>
        <v>0</v>
      </c>
      <c r="J2143" s="6">
        <f t="shared" si="112"/>
        <v>0</v>
      </c>
      <c r="L2143" s="4" t="str">
        <f>IFERROR(VLOOKUP(ROWS($L$2:L2143),$B$2:$C$1996,2,0),"")</f>
        <v/>
      </c>
      <c r="N2143" s="2" t="str">
        <f>IFERROR(VLOOKUP(ROWS($N$2:N2143),$D$2:$E$1996,2,0),"")</f>
        <v/>
      </c>
    </row>
    <row r="2144" spans="2:14">
      <c r="B2144" s="32">
        <f>IF(ISNUMBER(SEARCH('Φόρμα Εισαγωγής'!$B$2,C2144)),MAX($B$1:B2143)+1,0)</f>
        <v>0</v>
      </c>
      <c r="D2144" s="33">
        <f>IF(ISNUMBER(SEARCH('Φόρμα Εισαγωγής'!$C$2,E2144)),MAX($D$1:D2143)+1,0)</f>
        <v>0</v>
      </c>
      <c r="H2144" s="6">
        <f t="shared" si="110"/>
        <v>0</v>
      </c>
      <c r="I2144" s="6">
        <f t="shared" si="111"/>
        <v>0</v>
      </c>
      <c r="J2144" s="6">
        <f t="shared" si="112"/>
        <v>0</v>
      </c>
      <c r="L2144" s="4" t="str">
        <f>IFERROR(VLOOKUP(ROWS($L$2:L2144),$B$2:$C$1996,2,0),"")</f>
        <v/>
      </c>
      <c r="N2144" s="2" t="str">
        <f>IFERROR(VLOOKUP(ROWS($N$2:N2144),$D$2:$E$1996,2,0),"")</f>
        <v/>
      </c>
    </row>
    <row r="2145" spans="2:14">
      <c r="B2145" s="32">
        <f>IF(ISNUMBER(SEARCH('Φόρμα Εισαγωγής'!$B$2,C2145)),MAX($B$1:B2144)+1,0)</f>
        <v>0</v>
      </c>
      <c r="D2145" s="33">
        <f>IF(ISNUMBER(SEARCH('Φόρμα Εισαγωγής'!$C$2,E2145)),MAX($D$1:D2144)+1,0)</f>
        <v>0</v>
      </c>
      <c r="H2145" s="6">
        <f t="shared" si="110"/>
        <v>0</v>
      </c>
      <c r="I2145" s="6">
        <f t="shared" si="111"/>
        <v>0</v>
      </c>
      <c r="J2145" s="6">
        <f t="shared" si="112"/>
        <v>0</v>
      </c>
      <c r="L2145" s="4" t="str">
        <f>IFERROR(VLOOKUP(ROWS($L$2:L2145),$B$2:$C$1996,2,0),"")</f>
        <v/>
      </c>
      <c r="N2145" s="2" t="str">
        <f>IFERROR(VLOOKUP(ROWS($N$2:N2145),$D$2:$E$1996,2,0),"")</f>
        <v/>
      </c>
    </row>
    <row r="2146" spans="2:14">
      <c r="B2146" s="32">
        <f>IF(ISNUMBER(SEARCH('Φόρμα Εισαγωγής'!$B$2,C2146)),MAX($B$1:B2145)+1,0)</f>
        <v>0</v>
      </c>
      <c r="D2146" s="33">
        <f>IF(ISNUMBER(SEARCH('Φόρμα Εισαγωγής'!$C$2,E2146)),MAX($D$1:D2145)+1,0)</f>
        <v>0</v>
      </c>
      <c r="H2146" s="6">
        <f t="shared" si="110"/>
        <v>0</v>
      </c>
      <c r="I2146" s="6">
        <f t="shared" si="111"/>
        <v>0</v>
      </c>
      <c r="J2146" s="6">
        <f t="shared" si="112"/>
        <v>0</v>
      </c>
      <c r="L2146" s="4" t="str">
        <f>IFERROR(VLOOKUP(ROWS($L$2:L2146),$B$2:$C$1996,2,0),"")</f>
        <v/>
      </c>
      <c r="N2146" s="2" t="str">
        <f>IFERROR(VLOOKUP(ROWS($N$2:N2146),$D$2:$E$1996,2,0),"")</f>
        <v/>
      </c>
    </row>
    <row r="2147" spans="2:14">
      <c r="B2147" s="32">
        <f>IF(ISNUMBER(SEARCH('Φόρμα Εισαγωγής'!$B$2,C2147)),MAX($B$1:B2146)+1,0)</f>
        <v>0</v>
      </c>
      <c r="D2147" s="33">
        <f>IF(ISNUMBER(SEARCH('Φόρμα Εισαγωγής'!$C$2,E2147)),MAX($D$1:D2146)+1,0)</f>
        <v>0</v>
      </c>
      <c r="H2147" s="6">
        <f t="shared" si="110"/>
        <v>0</v>
      </c>
      <c r="I2147" s="6">
        <f t="shared" si="111"/>
        <v>0</v>
      </c>
      <c r="J2147" s="6">
        <f t="shared" si="112"/>
        <v>0</v>
      </c>
      <c r="L2147" s="4" t="str">
        <f>IFERROR(VLOOKUP(ROWS($L$2:L2147),$B$2:$C$1996,2,0),"")</f>
        <v/>
      </c>
      <c r="N2147" s="2" t="str">
        <f>IFERROR(VLOOKUP(ROWS($N$2:N2147),$D$2:$E$1996,2,0),"")</f>
        <v/>
      </c>
    </row>
    <row r="2148" spans="2:14">
      <c r="B2148" s="32">
        <f>IF(ISNUMBER(SEARCH('Φόρμα Εισαγωγής'!$B$2,C2148)),MAX($B$1:B2147)+1,0)</f>
        <v>0</v>
      </c>
      <c r="D2148" s="33">
        <f>IF(ISNUMBER(SEARCH('Φόρμα Εισαγωγής'!$C$2,E2148)),MAX($D$1:D2147)+1,0)</f>
        <v>0</v>
      </c>
      <c r="H2148" s="6">
        <f t="shared" si="110"/>
        <v>0</v>
      </c>
      <c r="I2148" s="6">
        <f t="shared" si="111"/>
        <v>0</v>
      </c>
      <c r="J2148" s="6">
        <f t="shared" si="112"/>
        <v>0</v>
      </c>
      <c r="L2148" s="4" t="str">
        <f>IFERROR(VLOOKUP(ROWS($L$2:L2148),$B$2:$C$1996,2,0),"")</f>
        <v/>
      </c>
      <c r="N2148" s="2" t="str">
        <f>IFERROR(VLOOKUP(ROWS($N$2:N2148),$D$2:$E$1996,2,0),"")</f>
        <v/>
      </c>
    </row>
    <row r="2149" spans="2:14">
      <c r="B2149" s="32">
        <f>IF(ISNUMBER(SEARCH('Φόρμα Εισαγωγής'!$B$2,C2149)),MAX($B$1:B2148)+1,0)</f>
        <v>0</v>
      </c>
      <c r="D2149" s="33">
        <f>IF(ISNUMBER(SEARCH('Φόρμα Εισαγωγής'!$C$2,E2149)),MAX($D$1:D2148)+1,0)</f>
        <v>0</v>
      </c>
      <c r="H2149" s="6">
        <f t="shared" si="110"/>
        <v>0</v>
      </c>
      <c r="I2149" s="6">
        <f t="shared" si="111"/>
        <v>0</v>
      </c>
      <c r="J2149" s="6">
        <f t="shared" si="112"/>
        <v>0</v>
      </c>
      <c r="L2149" s="4" t="str">
        <f>IFERROR(VLOOKUP(ROWS($L$2:L2149),$B$2:$C$1996,2,0),"")</f>
        <v/>
      </c>
      <c r="N2149" s="2" t="str">
        <f>IFERROR(VLOOKUP(ROWS($N$2:N2149),$D$2:$E$1996,2,0),"")</f>
        <v/>
      </c>
    </row>
    <row r="2150" spans="2:14">
      <c r="B2150" s="32">
        <f>IF(ISNUMBER(SEARCH('Φόρμα Εισαγωγής'!$B$2,C2150)),MAX($B$1:B2149)+1,0)</f>
        <v>0</v>
      </c>
      <c r="D2150" s="33">
        <f>IF(ISNUMBER(SEARCH('Φόρμα Εισαγωγής'!$C$2,E2150)),MAX($D$1:D2149)+1,0)</f>
        <v>0</v>
      </c>
      <c r="H2150" s="6">
        <f t="shared" si="110"/>
        <v>0</v>
      </c>
      <c r="I2150" s="6">
        <f t="shared" si="111"/>
        <v>0</v>
      </c>
      <c r="J2150" s="6">
        <f t="shared" si="112"/>
        <v>0</v>
      </c>
      <c r="L2150" s="4" t="str">
        <f>IFERROR(VLOOKUP(ROWS($L$2:L2150),$B$2:$C$1996,2,0),"")</f>
        <v/>
      </c>
      <c r="N2150" s="2" t="str">
        <f>IFERROR(VLOOKUP(ROWS($N$2:N2150),$D$2:$E$1996,2,0),"")</f>
        <v/>
      </c>
    </row>
    <row r="2151" spans="2:14">
      <c r="B2151" s="32">
        <f>IF(ISNUMBER(SEARCH('Φόρμα Εισαγωγής'!$B$2,C2151)),MAX($B$1:B2150)+1,0)</f>
        <v>0</v>
      </c>
      <c r="D2151" s="33">
        <f>IF(ISNUMBER(SEARCH('Φόρμα Εισαγωγής'!$C$2,E2151)),MAX($D$1:D2150)+1,0)</f>
        <v>0</v>
      </c>
      <c r="H2151" s="6">
        <f t="shared" si="110"/>
        <v>0</v>
      </c>
      <c r="I2151" s="6">
        <f t="shared" si="111"/>
        <v>0</v>
      </c>
      <c r="J2151" s="6">
        <f t="shared" si="112"/>
        <v>0</v>
      </c>
      <c r="L2151" s="4" t="str">
        <f>IFERROR(VLOOKUP(ROWS($L$2:L2151),$B$2:$C$1996,2,0),"")</f>
        <v/>
      </c>
      <c r="N2151" s="2" t="str">
        <f>IFERROR(VLOOKUP(ROWS($N$2:N2151),$D$2:$E$1996,2,0),"")</f>
        <v/>
      </c>
    </row>
    <row r="2152" spans="2:14">
      <c r="B2152" s="32">
        <f>IF(ISNUMBER(SEARCH('Φόρμα Εισαγωγής'!$B$2,C2152)),MAX($B$1:B2151)+1,0)</f>
        <v>0</v>
      </c>
      <c r="D2152" s="33">
        <f>IF(ISNUMBER(SEARCH('Φόρμα Εισαγωγής'!$C$2,E2152)),MAX($D$1:D2151)+1,0)</f>
        <v>0</v>
      </c>
      <c r="H2152" s="6">
        <f t="shared" si="110"/>
        <v>0</v>
      </c>
      <c r="I2152" s="6">
        <f t="shared" si="111"/>
        <v>0</v>
      </c>
      <c r="J2152" s="6">
        <f t="shared" si="112"/>
        <v>0</v>
      </c>
      <c r="L2152" s="4" t="str">
        <f>IFERROR(VLOOKUP(ROWS($L$2:L2152),$B$2:$C$1996,2,0),"")</f>
        <v/>
      </c>
      <c r="N2152" s="2" t="str">
        <f>IFERROR(VLOOKUP(ROWS($N$2:N2152),$D$2:$E$1996,2,0),"")</f>
        <v/>
      </c>
    </row>
    <row r="2153" spans="2:14">
      <c r="B2153" s="32">
        <f>IF(ISNUMBER(SEARCH('Φόρμα Εισαγωγής'!$B$2,C2153)),MAX($B$1:B2152)+1,0)</f>
        <v>0</v>
      </c>
      <c r="D2153" s="33">
        <f>IF(ISNUMBER(SEARCH('Φόρμα Εισαγωγής'!$C$2,E2153)),MAX($D$1:D2152)+1,0)</f>
        <v>0</v>
      </c>
      <c r="H2153" s="6">
        <f t="shared" si="110"/>
        <v>0</v>
      </c>
      <c r="I2153" s="6">
        <f t="shared" si="111"/>
        <v>0</v>
      </c>
      <c r="J2153" s="6">
        <f t="shared" si="112"/>
        <v>0</v>
      </c>
      <c r="L2153" s="4" t="str">
        <f>IFERROR(VLOOKUP(ROWS($L$2:L2153),$B$2:$C$1996,2,0),"")</f>
        <v/>
      </c>
      <c r="N2153" s="2" t="str">
        <f>IFERROR(VLOOKUP(ROWS($N$2:N2153),$D$2:$E$1996,2,0),"")</f>
        <v/>
      </c>
    </row>
    <row r="2154" spans="2:14">
      <c r="B2154" s="32">
        <f>IF(ISNUMBER(SEARCH('Φόρμα Εισαγωγής'!$B$2,C2154)),MAX($B$1:B2153)+1,0)</f>
        <v>0</v>
      </c>
      <c r="D2154" s="33">
        <f>IF(ISNUMBER(SEARCH('Φόρμα Εισαγωγής'!$C$2,E2154)),MAX($D$1:D2153)+1,0)</f>
        <v>0</v>
      </c>
      <c r="H2154" s="6">
        <f t="shared" si="110"/>
        <v>0</v>
      </c>
      <c r="I2154" s="6">
        <f t="shared" si="111"/>
        <v>0</v>
      </c>
      <c r="J2154" s="6">
        <f t="shared" si="112"/>
        <v>0</v>
      </c>
      <c r="L2154" s="4" t="str">
        <f>IFERROR(VLOOKUP(ROWS($L$2:L2154),$B$2:$C$1996,2,0),"")</f>
        <v/>
      </c>
      <c r="N2154" s="2" t="str">
        <f>IFERROR(VLOOKUP(ROWS($N$2:N2154),$D$2:$E$1996,2,0),"")</f>
        <v/>
      </c>
    </row>
    <row r="2155" spans="2:14">
      <c r="B2155" s="32">
        <f>IF(ISNUMBER(SEARCH('Φόρμα Εισαγωγής'!$B$2,C2155)),MAX($B$1:B2154)+1,0)</f>
        <v>0</v>
      </c>
      <c r="D2155" s="33">
        <f>IF(ISNUMBER(SEARCH('Φόρμα Εισαγωγής'!$C$2,E2155)),MAX($D$1:D2154)+1,0)</f>
        <v>0</v>
      </c>
      <c r="H2155" s="6">
        <f t="shared" si="110"/>
        <v>0</v>
      </c>
      <c r="I2155" s="6">
        <f t="shared" si="111"/>
        <v>0</v>
      </c>
      <c r="J2155" s="6">
        <f t="shared" si="112"/>
        <v>0</v>
      </c>
      <c r="L2155" s="4" t="str">
        <f>IFERROR(VLOOKUP(ROWS($L$2:L2155),$B$2:$C$1996,2,0),"")</f>
        <v/>
      </c>
      <c r="N2155" s="2" t="str">
        <f>IFERROR(VLOOKUP(ROWS($N$2:N2155),$D$2:$E$1996,2,0),"")</f>
        <v/>
      </c>
    </row>
    <row r="2156" spans="2:14">
      <c r="B2156" s="32">
        <f>IF(ISNUMBER(SEARCH('Φόρμα Εισαγωγής'!$B$2,C2156)),MAX($B$1:B2155)+1,0)</f>
        <v>0</v>
      </c>
      <c r="D2156" s="33">
        <f>IF(ISNUMBER(SEARCH('Φόρμα Εισαγωγής'!$C$2,E2156)),MAX($D$1:D2155)+1,0)</f>
        <v>0</v>
      </c>
      <c r="H2156" s="6">
        <f t="shared" si="110"/>
        <v>0</v>
      </c>
      <c r="I2156" s="6">
        <f t="shared" si="111"/>
        <v>0</v>
      </c>
      <c r="J2156" s="6">
        <f t="shared" si="112"/>
        <v>0</v>
      </c>
      <c r="L2156" s="4" t="str">
        <f>IFERROR(VLOOKUP(ROWS($L$2:L2156),$B$2:$C$1996,2,0),"")</f>
        <v/>
      </c>
      <c r="N2156" s="2" t="str">
        <f>IFERROR(VLOOKUP(ROWS($N$2:N2156),$D$2:$E$1996,2,0),"")</f>
        <v/>
      </c>
    </row>
    <row r="2157" spans="2:14">
      <c r="B2157" s="32">
        <f>IF(ISNUMBER(SEARCH('Φόρμα Εισαγωγής'!$B$2,C2157)),MAX($B$1:B2156)+1,0)</f>
        <v>0</v>
      </c>
      <c r="D2157" s="33">
        <f>IF(ISNUMBER(SEARCH('Φόρμα Εισαγωγής'!$C$2,E2157)),MAX($D$1:D2156)+1,0)</f>
        <v>0</v>
      </c>
      <c r="H2157" s="6">
        <f t="shared" si="110"/>
        <v>0</v>
      </c>
      <c r="I2157" s="6">
        <f t="shared" si="111"/>
        <v>0</v>
      </c>
      <c r="J2157" s="6">
        <f t="shared" si="112"/>
        <v>0</v>
      </c>
      <c r="L2157" s="4" t="str">
        <f>IFERROR(VLOOKUP(ROWS($L$2:L2157),$B$2:$C$1996,2,0),"")</f>
        <v/>
      </c>
      <c r="N2157" s="2" t="str">
        <f>IFERROR(VLOOKUP(ROWS($N$2:N2157),$D$2:$E$1996,2,0),"")</f>
        <v/>
      </c>
    </row>
    <row r="2158" spans="2:14">
      <c r="B2158" s="32">
        <f>IF(ISNUMBER(SEARCH('Φόρμα Εισαγωγής'!$B$2,C2158)),MAX($B$1:B2157)+1,0)</f>
        <v>0</v>
      </c>
      <c r="D2158" s="33">
        <f>IF(ISNUMBER(SEARCH('Φόρμα Εισαγωγής'!$C$2,E2158)),MAX($D$1:D2157)+1,0)</f>
        <v>0</v>
      </c>
      <c r="H2158" s="6">
        <f t="shared" si="110"/>
        <v>0</v>
      </c>
      <c r="I2158" s="6">
        <f t="shared" si="111"/>
        <v>0</v>
      </c>
      <c r="J2158" s="6">
        <f t="shared" si="112"/>
        <v>0</v>
      </c>
      <c r="L2158" s="4" t="str">
        <f>IFERROR(VLOOKUP(ROWS($L$2:L2158),$B$2:$C$1996,2,0),"")</f>
        <v/>
      </c>
      <c r="N2158" s="2" t="str">
        <f>IFERROR(VLOOKUP(ROWS($N$2:N2158),$D$2:$E$1996,2,0),"")</f>
        <v/>
      </c>
    </row>
    <row r="2159" spans="2:14">
      <c r="B2159" s="32">
        <f>IF(ISNUMBER(SEARCH('Φόρμα Εισαγωγής'!$B$2,C2159)),MAX($B$1:B2158)+1,0)</f>
        <v>0</v>
      </c>
      <c r="D2159" s="33">
        <f>IF(ISNUMBER(SEARCH('Φόρμα Εισαγωγής'!$C$2,E2159)),MAX($D$1:D2158)+1,0)</f>
        <v>0</v>
      </c>
      <c r="H2159" s="6">
        <f t="shared" si="110"/>
        <v>0</v>
      </c>
      <c r="I2159" s="6">
        <f t="shared" si="111"/>
        <v>0</v>
      </c>
      <c r="J2159" s="6">
        <f t="shared" si="112"/>
        <v>0</v>
      </c>
      <c r="L2159" s="4" t="str">
        <f>IFERROR(VLOOKUP(ROWS($L$2:L2159),$B$2:$C$1996,2,0),"")</f>
        <v/>
      </c>
      <c r="N2159" s="2" t="str">
        <f>IFERROR(VLOOKUP(ROWS($N$2:N2159),$D$2:$E$1996,2,0),"")</f>
        <v/>
      </c>
    </row>
    <row r="2160" spans="2:14">
      <c r="B2160" s="32">
        <f>IF(ISNUMBER(SEARCH('Φόρμα Εισαγωγής'!$B$2,C2160)),MAX($B$1:B2159)+1,0)</f>
        <v>0</v>
      </c>
      <c r="D2160" s="33">
        <f>IF(ISNUMBER(SEARCH('Φόρμα Εισαγωγής'!$C$2,E2160)),MAX($D$1:D2159)+1,0)</f>
        <v>0</v>
      </c>
      <c r="H2160" s="6">
        <f t="shared" si="110"/>
        <v>0</v>
      </c>
      <c r="I2160" s="6">
        <f t="shared" si="111"/>
        <v>0</v>
      </c>
      <c r="J2160" s="6">
        <f t="shared" si="112"/>
        <v>0</v>
      </c>
      <c r="L2160" s="4" t="str">
        <f>IFERROR(VLOOKUP(ROWS($L$2:L2160),$B$2:$C$1996,2,0),"")</f>
        <v/>
      </c>
      <c r="N2160" s="2" t="str">
        <f>IFERROR(VLOOKUP(ROWS($N$2:N2160),$D$2:$E$1996,2,0),"")</f>
        <v/>
      </c>
    </row>
    <row r="2161" spans="2:14">
      <c r="B2161" s="32">
        <f>IF(ISNUMBER(SEARCH('Φόρμα Εισαγωγής'!$B$2,C2161)),MAX($B$1:B2160)+1,0)</f>
        <v>0</v>
      </c>
      <c r="D2161" s="33">
        <f>IF(ISNUMBER(SEARCH('Φόρμα Εισαγωγής'!$C$2,E2161)),MAX($D$1:D2160)+1,0)</f>
        <v>0</v>
      </c>
      <c r="H2161" s="6">
        <f t="shared" si="110"/>
        <v>0</v>
      </c>
      <c r="I2161" s="6">
        <f t="shared" si="111"/>
        <v>0</v>
      </c>
      <c r="J2161" s="6">
        <f t="shared" si="112"/>
        <v>0</v>
      </c>
      <c r="L2161" s="4" t="str">
        <f>IFERROR(VLOOKUP(ROWS($L$2:L2161),$B$2:$C$1996,2,0),"")</f>
        <v/>
      </c>
      <c r="N2161" s="2" t="str">
        <f>IFERROR(VLOOKUP(ROWS($N$2:N2161),$D$2:$E$1996,2,0),"")</f>
        <v/>
      </c>
    </row>
    <row r="2162" spans="2:14">
      <c r="B2162" s="32">
        <f>IF(ISNUMBER(SEARCH('Φόρμα Εισαγωγής'!$B$2,C2162)),MAX($B$1:B2161)+1,0)</f>
        <v>0</v>
      </c>
      <c r="D2162" s="33">
        <f>IF(ISNUMBER(SEARCH('Φόρμα Εισαγωγής'!$C$2,E2162)),MAX($D$1:D2161)+1,0)</f>
        <v>0</v>
      </c>
      <c r="H2162" s="6">
        <f t="shared" si="110"/>
        <v>0</v>
      </c>
      <c r="I2162" s="6">
        <f t="shared" si="111"/>
        <v>0</v>
      </c>
      <c r="J2162" s="6">
        <f t="shared" si="112"/>
        <v>0</v>
      </c>
      <c r="L2162" s="4" t="str">
        <f>IFERROR(VLOOKUP(ROWS($L$2:L2162),$B$2:$C$1996,2,0),"")</f>
        <v/>
      </c>
      <c r="N2162" s="2" t="str">
        <f>IFERROR(VLOOKUP(ROWS($N$2:N2162),$D$2:$E$1996,2,0),"")</f>
        <v/>
      </c>
    </row>
    <row r="2163" spans="2:14">
      <c r="B2163" s="32">
        <f>IF(ISNUMBER(SEARCH('Φόρμα Εισαγωγής'!$B$2,C2163)),MAX($B$1:B2162)+1,0)</f>
        <v>0</v>
      </c>
      <c r="D2163" s="33">
        <f>IF(ISNUMBER(SEARCH('Φόρμα Εισαγωγής'!$C$2,E2163)),MAX($D$1:D2162)+1,0)</f>
        <v>0</v>
      </c>
      <c r="H2163" s="6">
        <f t="shared" si="110"/>
        <v>0</v>
      </c>
      <c r="I2163" s="6">
        <f t="shared" si="111"/>
        <v>0</v>
      </c>
      <c r="J2163" s="6">
        <f t="shared" si="112"/>
        <v>0</v>
      </c>
      <c r="L2163" s="4" t="str">
        <f>IFERROR(VLOOKUP(ROWS($L$2:L2163),$B$2:$C$1996,2,0),"")</f>
        <v/>
      </c>
      <c r="N2163" s="2" t="str">
        <f>IFERROR(VLOOKUP(ROWS($N$2:N2163),$D$2:$E$1996,2,0),"")</f>
        <v/>
      </c>
    </row>
    <row r="2164" spans="2:14">
      <c r="B2164" s="32">
        <f>IF(ISNUMBER(SEARCH('Φόρμα Εισαγωγής'!$B$2,C2164)),MAX($B$1:B2163)+1,0)</f>
        <v>0</v>
      </c>
      <c r="D2164" s="33">
        <f>IF(ISNUMBER(SEARCH('Φόρμα Εισαγωγής'!$C$2,E2164)),MAX($D$1:D2163)+1,0)</f>
        <v>0</v>
      </c>
      <c r="H2164" s="6">
        <f t="shared" si="110"/>
        <v>0</v>
      </c>
      <c r="I2164" s="6">
        <f t="shared" si="111"/>
        <v>0</v>
      </c>
      <c r="J2164" s="6">
        <f t="shared" si="112"/>
        <v>0</v>
      </c>
      <c r="L2164" s="4" t="str">
        <f>IFERROR(VLOOKUP(ROWS($L$2:L2164),$B$2:$C$1996,2,0),"")</f>
        <v/>
      </c>
      <c r="N2164" s="2" t="str">
        <f>IFERROR(VLOOKUP(ROWS($N$2:N2164),$D$2:$E$1996,2,0),"")</f>
        <v/>
      </c>
    </row>
    <row r="2165" spans="2:14">
      <c r="B2165" s="32">
        <f>IF(ISNUMBER(SEARCH('Φόρμα Εισαγωγής'!$B$2,C2165)),MAX($B$1:B2164)+1,0)</f>
        <v>0</v>
      </c>
      <c r="D2165" s="33">
        <f>IF(ISNUMBER(SEARCH('Φόρμα Εισαγωγής'!$C$2,E2165)),MAX($D$1:D2164)+1,0)</f>
        <v>0</v>
      </c>
      <c r="H2165" s="6">
        <f t="shared" si="110"/>
        <v>0</v>
      </c>
      <c r="I2165" s="6">
        <f t="shared" si="111"/>
        <v>0</v>
      </c>
      <c r="J2165" s="6">
        <f t="shared" si="112"/>
        <v>0</v>
      </c>
      <c r="L2165" s="4" t="str">
        <f>IFERROR(VLOOKUP(ROWS($L$2:L2165),$B$2:$C$1996,2,0),"")</f>
        <v/>
      </c>
      <c r="N2165" s="2" t="str">
        <f>IFERROR(VLOOKUP(ROWS($N$2:N2165),$D$2:$E$1996,2,0),"")</f>
        <v/>
      </c>
    </row>
    <row r="2166" spans="2:14">
      <c r="B2166" s="32">
        <f>IF(ISNUMBER(SEARCH('Φόρμα Εισαγωγής'!$B$2,C2166)),MAX($B$1:B2165)+1,0)</f>
        <v>0</v>
      </c>
      <c r="D2166" s="33">
        <f>IF(ISNUMBER(SEARCH('Φόρμα Εισαγωγής'!$C$2,E2166)),MAX($D$1:D2165)+1,0)</f>
        <v>0</v>
      </c>
      <c r="H2166" s="6">
        <f t="shared" si="110"/>
        <v>0</v>
      </c>
      <c r="I2166" s="6">
        <f t="shared" si="111"/>
        <v>0</v>
      </c>
      <c r="J2166" s="6">
        <f t="shared" si="112"/>
        <v>0</v>
      </c>
      <c r="L2166" s="4" t="str">
        <f>IFERROR(VLOOKUP(ROWS($L$2:L2166),$B$2:$C$1996,2,0),"")</f>
        <v/>
      </c>
      <c r="N2166" s="2" t="str">
        <f>IFERROR(VLOOKUP(ROWS($N$2:N2166),$D$2:$E$1996,2,0),"")</f>
        <v/>
      </c>
    </row>
    <row r="2167" spans="2:14">
      <c r="B2167" s="32">
        <f>IF(ISNUMBER(SEARCH('Φόρμα Εισαγωγής'!$B$2,C2167)),MAX($B$1:B2166)+1,0)</f>
        <v>0</v>
      </c>
      <c r="D2167" s="33">
        <f>IF(ISNUMBER(SEARCH('Φόρμα Εισαγωγής'!$C$2,E2167)),MAX($D$1:D2166)+1,0)</f>
        <v>0</v>
      </c>
      <c r="H2167" s="6">
        <f t="shared" si="110"/>
        <v>0</v>
      </c>
      <c r="I2167" s="6">
        <f t="shared" si="111"/>
        <v>0</v>
      </c>
      <c r="J2167" s="6">
        <f t="shared" si="112"/>
        <v>0</v>
      </c>
      <c r="L2167" s="4" t="str">
        <f>IFERROR(VLOOKUP(ROWS($L$2:L2167),$B$2:$C$1996,2,0),"")</f>
        <v/>
      </c>
      <c r="N2167" s="2" t="str">
        <f>IFERROR(VLOOKUP(ROWS($N$2:N2167),$D$2:$E$1996,2,0),"")</f>
        <v/>
      </c>
    </row>
    <row r="2168" spans="2:14">
      <c r="B2168" s="32">
        <f>IF(ISNUMBER(SEARCH('Φόρμα Εισαγωγής'!$B$2,C2168)),MAX($B$1:B2167)+1,0)</f>
        <v>0</v>
      </c>
      <c r="D2168" s="33">
        <f>IF(ISNUMBER(SEARCH('Φόρμα Εισαγωγής'!$C$2,E2168)),MAX($D$1:D2167)+1,0)</f>
        <v>0</v>
      </c>
      <c r="H2168" s="6">
        <f t="shared" si="110"/>
        <v>0</v>
      </c>
      <c r="I2168" s="6">
        <f t="shared" si="111"/>
        <v>0</v>
      </c>
      <c r="J2168" s="6">
        <f t="shared" si="112"/>
        <v>0</v>
      </c>
      <c r="L2168" s="4" t="str">
        <f>IFERROR(VLOOKUP(ROWS($L$2:L2168),$B$2:$C$1996,2,0),"")</f>
        <v/>
      </c>
      <c r="N2168" s="2" t="str">
        <f>IFERROR(VLOOKUP(ROWS($N$2:N2168),$D$2:$E$1996,2,0),"")</f>
        <v/>
      </c>
    </row>
    <row r="2169" spans="2:14">
      <c r="B2169" s="32">
        <f>IF(ISNUMBER(SEARCH('Φόρμα Εισαγωγής'!$B$2,C2169)),MAX($B$1:B2168)+1,0)</f>
        <v>0</v>
      </c>
      <c r="D2169" s="33">
        <f>IF(ISNUMBER(SEARCH('Φόρμα Εισαγωγής'!$C$2,E2169)),MAX($D$1:D2168)+1,0)</f>
        <v>0</v>
      </c>
      <c r="H2169" s="6">
        <f t="shared" si="110"/>
        <v>0</v>
      </c>
      <c r="I2169" s="6">
        <f t="shared" si="111"/>
        <v>0</v>
      </c>
      <c r="J2169" s="6">
        <f t="shared" si="112"/>
        <v>0</v>
      </c>
      <c r="L2169" s="4" t="str">
        <f>IFERROR(VLOOKUP(ROWS($L$2:L2169),$B$2:$C$1996,2,0),"")</f>
        <v/>
      </c>
      <c r="N2169" s="2" t="str">
        <f>IFERROR(VLOOKUP(ROWS($N$2:N2169),$D$2:$E$1996,2,0),"")</f>
        <v/>
      </c>
    </row>
    <row r="2170" spans="2:14">
      <c r="B2170" s="32">
        <f>IF(ISNUMBER(SEARCH('Φόρμα Εισαγωγής'!$B$2,C2170)),MAX($B$1:B2169)+1,0)</f>
        <v>0</v>
      </c>
      <c r="D2170" s="33">
        <f>IF(ISNUMBER(SEARCH('Φόρμα Εισαγωγής'!$C$2,E2170)),MAX($D$1:D2169)+1,0)</f>
        <v>0</v>
      </c>
      <c r="H2170" s="6">
        <f t="shared" si="110"/>
        <v>0</v>
      </c>
      <c r="I2170" s="6">
        <f t="shared" si="111"/>
        <v>0</v>
      </c>
      <c r="J2170" s="6">
        <f t="shared" si="112"/>
        <v>0</v>
      </c>
      <c r="L2170" s="4" t="str">
        <f>IFERROR(VLOOKUP(ROWS($L$2:L2170),$B$2:$C$1996,2,0),"")</f>
        <v/>
      </c>
      <c r="N2170" s="2" t="str">
        <f>IFERROR(VLOOKUP(ROWS($N$2:N2170),$D$2:$E$1996,2,0),"")</f>
        <v/>
      </c>
    </row>
    <row r="2171" spans="2:14">
      <c r="B2171" s="32">
        <f>IF(ISNUMBER(SEARCH('Φόρμα Εισαγωγής'!$B$2,C2171)),MAX($B$1:B2170)+1,0)</f>
        <v>0</v>
      </c>
      <c r="D2171" s="33">
        <f>IF(ISNUMBER(SEARCH('Φόρμα Εισαγωγής'!$C$2,E2171)),MAX($D$1:D2170)+1,0)</f>
        <v>0</v>
      </c>
      <c r="H2171" s="6">
        <f t="shared" si="110"/>
        <v>0</v>
      </c>
      <c r="I2171" s="6">
        <f t="shared" si="111"/>
        <v>0</v>
      </c>
      <c r="J2171" s="6">
        <f t="shared" si="112"/>
        <v>0</v>
      </c>
      <c r="L2171" s="4" t="str">
        <f>IFERROR(VLOOKUP(ROWS($L$2:L2171),$B$2:$C$1996,2,0),"")</f>
        <v/>
      </c>
      <c r="N2171" s="2" t="str">
        <f>IFERROR(VLOOKUP(ROWS($N$2:N2171),$D$2:$E$1996,2,0),"")</f>
        <v/>
      </c>
    </row>
    <row r="2172" spans="2:14">
      <c r="B2172" s="32">
        <f>IF(ISNUMBER(SEARCH('Φόρμα Εισαγωγής'!$B$2,C2172)),MAX($B$1:B2171)+1,0)</f>
        <v>0</v>
      </c>
      <c r="D2172" s="33">
        <f>IF(ISNUMBER(SEARCH('Φόρμα Εισαγωγής'!$C$2,E2172)),MAX($D$1:D2171)+1,0)</f>
        <v>0</v>
      </c>
      <c r="H2172" s="6">
        <f t="shared" si="110"/>
        <v>0</v>
      </c>
      <c r="I2172" s="6">
        <f t="shared" si="111"/>
        <v>0</v>
      </c>
      <c r="J2172" s="6">
        <f t="shared" si="112"/>
        <v>0</v>
      </c>
      <c r="L2172" s="4" t="str">
        <f>IFERROR(VLOOKUP(ROWS($L$2:L2172),$B$2:$C$1996,2,0),"")</f>
        <v/>
      </c>
      <c r="N2172" s="2" t="str">
        <f>IFERROR(VLOOKUP(ROWS($N$2:N2172),$D$2:$E$1996,2,0),"")</f>
        <v/>
      </c>
    </row>
    <row r="2173" spans="2:14">
      <c r="B2173" s="32">
        <f>IF(ISNUMBER(SEARCH('Φόρμα Εισαγωγής'!$B$2,C2173)),MAX($B$1:B2172)+1,0)</f>
        <v>0</v>
      </c>
      <c r="D2173" s="33">
        <f>IF(ISNUMBER(SEARCH('Φόρμα Εισαγωγής'!$C$2,E2173)),MAX($D$1:D2172)+1,0)</f>
        <v>0</v>
      </c>
      <c r="H2173" s="6">
        <f t="shared" si="110"/>
        <v>0</v>
      </c>
      <c r="I2173" s="6">
        <f t="shared" si="111"/>
        <v>0</v>
      </c>
      <c r="J2173" s="6">
        <f t="shared" si="112"/>
        <v>0</v>
      </c>
      <c r="L2173" s="4" t="str">
        <f>IFERROR(VLOOKUP(ROWS($L$2:L2173),$B$2:$C$1996,2,0),"")</f>
        <v/>
      </c>
      <c r="N2173" s="2" t="str">
        <f>IFERROR(VLOOKUP(ROWS($N$2:N2173),$D$2:$E$1996,2,0),"")</f>
        <v/>
      </c>
    </row>
    <row r="2174" spans="2:14">
      <c r="B2174" s="32">
        <f>IF(ISNUMBER(SEARCH('Φόρμα Εισαγωγής'!$B$2,C2174)),MAX($B$1:B2173)+1,0)</f>
        <v>0</v>
      </c>
      <c r="D2174" s="33">
        <f>IF(ISNUMBER(SEARCH('Φόρμα Εισαγωγής'!$C$2,E2174)),MAX($D$1:D2173)+1,0)</f>
        <v>0</v>
      </c>
      <c r="H2174" s="6">
        <f t="shared" si="110"/>
        <v>0</v>
      </c>
      <c r="I2174" s="6">
        <f t="shared" si="111"/>
        <v>0</v>
      </c>
      <c r="J2174" s="6">
        <f t="shared" si="112"/>
        <v>0</v>
      </c>
      <c r="L2174" s="4" t="str">
        <f>IFERROR(VLOOKUP(ROWS($L$2:L2174),$B$2:$C$1996,2,0),"")</f>
        <v/>
      </c>
      <c r="N2174" s="2" t="str">
        <f>IFERROR(VLOOKUP(ROWS($N$2:N2174),$D$2:$E$1996,2,0),"")</f>
        <v/>
      </c>
    </row>
    <row r="2175" spans="2:14">
      <c r="B2175" s="32">
        <f>IF(ISNUMBER(SEARCH('Φόρμα Εισαγωγής'!$B$2,C2175)),MAX($B$1:B2174)+1,0)</f>
        <v>0</v>
      </c>
      <c r="D2175" s="33">
        <f>IF(ISNUMBER(SEARCH('Φόρμα Εισαγωγής'!$C$2,E2175)),MAX($D$1:D2174)+1,0)</f>
        <v>0</v>
      </c>
      <c r="H2175" s="6">
        <f t="shared" si="110"/>
        <v>0</v>
      </c>
      <c r="I2175" s="6">
        <f t="shared" si="111"/>
        <v>0</v>
      </c>
      <c r="J2175" s="6">
        <f t="shared" si="112"/>
        <v>0</v>
      </c>
      <c r="L2175" s="4" t="str">
        <f>IFERROR(VLOOKUP(ROWS($L$2:L2175),$B$2:$C$1996,2,0),"")</f>
        <v/>
      </c>
      <c r="N2175" s="2" t="str">
        <f>IFERROR(VLOOKUP(ROWS($N$2:N2175),$D$2:$E$1996,2,0),"")</f>
        <v/>
      </c>
    </row>
    <row r="2176" spans="2:14">
      <c r="B2176" s="32">
        <f>IF(ISNUMBER(SEARCH('Φόρμα Εισαγωγής'!$B$2,C2176)),MAX($B$1:B2175)+1,0)</f>
        <v>0</v>
      </c>
      <c r="D2176" s="33">
        <f>IF(ISNUMBER(SEARCH('Φόρμα Εισαγωγής'!$C$2,E2176)),MAX($D$1:D2175)+1,0)</f>
        <v>0</v>
      </c>
      <c r="H2176" s="6">
        <f t="shared" ref="H2176:H2239" si="113">G2176+(G2176*0.24)</f>
        <v>0</v>
      </c>
      <c r="I2176" s="6">
        <f t="shared" ref="I2176:I2239" si="114">F2176*A2176</f>
        <v>0</v>
      </c>
      <c r="J2176" s="6">
        <f t="shared" ref="J2176:J2239" si="115">H2176*A2176</f>
        <v>0</v>
      </c>
      <c r="L2176" s="4" t="str">
        <f>IFERROR(VLOOKUP(ROWS($L$2:L2176),$B$2:$C$1996,2,0),"")</f>
        <v/>
      </c>
      <c r="N2176" s="2" t="str">
        <f>IFERROR(VLOOKUP(ROWS($N$2:N2176),$D$2:$E$1996,2,0),"")</f>
        <v/>
      </c>
    </row>
    <row r="2177" spans="2:14">
      <c r="B2177" s="32">
        <f>IF(ISNUMBER(SEARCH('Φόρμα Εισαγωγής'!$B$2,C2177)),MAX($B$1:B2176)+1,0)</f>
        <v>0</v>
      </c>
      <c r="D2177" s="33">
        <f>IF(ISNUMBER(SEARCH('Φόρμα Εισαγωγής'!$C$2,E2177)),MAX($D$1:D2176)+1,0)</f>
        <v>0</v>
      </c>
      <c r="H2177" s="6">
        <f t="shared" si="113"/>
        <v>0</v>
      </c>
      <c r="I2177" s="6">
        <f t="shared" si="114"/>
        <v>0</v>
      </c>
      <c r="J2177" s="6">
        <f t="shared" si="115"/>
        <v>0</v>
      </c>
      <c r="L2177" s="4" t="str">
        <f>IFERROR(VLOOKUP(ROWS($L$2:L2177),$B$2:$C$1996,2,0),"")</f>
        <v/>
      </c>
      <c r="N2177" s="2" t="str">
        <f>IFERROR(VLOOKUP(ROWS($N$2:N2177),$D$2:$E$1996,2,0),"")</f>
        <v/>
      </c>
    </row>
    <row r="2178" spans="2:14">
      <c r="B2178" s="32">
        <f>IF(ISNUMBER(SEARCH('Φόρμα Εισαγωγής'!$B$2,C2178)),MAX($B$1:B2177)+1,0)</f>
        <v>0</v>
      </c>
      <c r="D2178" s="33">
        <f>IF(ISNUMBER(SEARCH('Φόρμα Εισαγωγής'!$C$2,E2178)),MAX($D$1:D2177)+1,0)</f>
        <v>0</v>
      </c>
      <c r="H2178" s="6">
        <f t="shared" si="113"/>
        <v>0</v>
      </c>
      <c r="I2178" s="6">
        <f t="shared" si="114"/>
        <v>0</v>
      </c>
      <c r="J2178" s="6">
        <f t="shared" si="115"/>
        <v>0</v>
      </c>
      <c r="L2178" s="4" t="str">
        <f>IFERROR(VLOOKUP(ROWS($L$2:L2178),$B$2:$C$1996,2,0),"")</f>
        <v/>
      </c>
      <c r="N2178" s="2" t="str">
        <f>IFERROR(VLOOKUP(ROWS($N$2:N2178),$D$2:$E$1996,2,0),"")</f>
        <v/>
      </c>
    </row>
    <row r="2179" spans="2:14">
      <c r="B2179" s="32">
        <f>IF(ISNUMBER(SEARCH('Φόρμα Εισαγωγής'!$B$2,C2179)),MAX($B$1:B2178)+1,0)</f>
        <v>0</v>
      </c>
      <c r="D2179" s="33">
        <f>IF(ISNUMBER(SEARCH('Φόρμα Εισαγωγής'!$C$2,E2179)),MAX($D$1:D2178)+1,0)</f>
        <v>0</v>
      </c>
      <c r="H2179" s="6">
        <f t="shared" si="113"/>
        <v>0</v>
      </c>
      <c r="I2179" s="6">
        <f t="shared" si="114"/>
        <v>0</v>
      </c>
      <c r="J2179" s="6">
        <f t="shared" si="115"/>
        <v>0</v>
      </c>
      <c r="L2179" s="4" t="str">
        <f>IFERROR(VLOOKUP(ROWS($L$2:L2179),$B$2:$C$1996,2,0),"")</f>
        <v/>
      </c>
      <c r="N2179" s="2" t="str">
        <f>IFERROR(VLOOKUP(ROWS($N$2:N2179),$D$2:$E$1996,2,0),"")</f>
        <v/>
      </c>
    </row>
    <row r="2180" spans="2:14">
      <c r="B2180" s="32">
        <f>IF(ISNUMBER(SEARCH('Φόρμα Εισαγωγής'!$B$2,C2180)),MAX($B$1:B2179)+1,0)</f>
        <v>0</v>
      </c>
      <c r="D2180" s="33">
        <f>IF(ISNUMBER(SEARCH('Φόρμα Εισαγωγής'!$C$2,E2180)),MAX($D$1:D2179)+1,0)</f>
        <v>0</v>
      </c>
      <c r="H2180" s="6">
        <f t="shared" si="113"/>
        <v>0</v>
      </c>
      <c r="I2180" s="6">
        <f t="shared" si="114"/>
        <v>0</v>
      </c>
      <c r="J2180" s="6">
        <f t="shared" si="115"/>
        <v>0</v>
      </c>
      <c r="L2180" s="4" t="str">
        <f>IFERROR(VLOOKUP(ROWS($L$2:L2180),$B$2:$C$1996,2,0),"")</f>
        <v/>
      </c>
      <c r="N2180" s="2" t="str">
        <f>IFERROR(VLOOKUP(ROWS($N$2:N2180),$D$2:$E$1996,2,0),"")</f>
        <v/>
      </c>
    </row>
    <row r="2181" spans="2:14">
      <c r="B2181" s="32">
        <f>IF(ISNUMBER(SEARCH('Φόρμα Εισαγωγής'!$B$2,C2181)),MAX($B$1:B2180)+1,0)</f>
        <v>0</v>
      </c>
      <c r="D2181" s="33">
        <f>IF(ISNUMBER(SEARCH('Φόρμα Εισαγωγής'!$C$2,E2181)),MAX($D$1:D2180)+1,0)</f>
        <v>0</v>
      </c>
      <c r="H2181" s="6">
        <f t="shared" si="113"/>
        <v>0</v>
      </c>
      <c r="I2181" s="6">
        <f t="shared" si="114"/>
        <v>0</v>
      </c>
      <c r="J2181" s="6">
        <f t="shared" si="115"/>
        <v>0</v>
      </c>
      <c r="L2181" s="4" t="str">
        <f>IFERROR(VLOOKUP(ROWS($L$2:L2181),$B$2:$C$1996,2,0),"")</f>
        <v/>
      </c>
      <c r="N2181" s="2" t="str">
        <f>IFERROR(VLOOKUP(ROWS($N$2:N2181),$D$2:$E$1996,2,0),"")</f>
        <v/>
      </c>
    </row>
    <row r="2182" spans="2:14">
      <c r="B2182" s="32">
        <f>IF(ISNUMBER(SEARCH('Φόρμα Εισαγωγής'!$B$2,C2182)),MAX($B$1:B2181)+1,0)</f>
        <v>0</v>
      </c>
      <c r="D2182" s="33">
        <f>IF(ISNUMBER(SEARCH('Φόρμα Εισαγωγής'!$C$2,E2182)),MAX($D$1:D2181)+1,0)</f>
        <v>0</v>
      </c>
      <c r="H2182" s="6">
        <f t="shared" si="113"/>
        <v>0</v>
      </c>
      <c r="I2182" s="6">
        <f t="shared" si="114"/>
        <v>0</v>
      </c>
      <c r="J2182" s="6">
        <f t="shared" si="115"/>
        <v>0</v>
      </c>
      <c r="L2182" s="4" t="str">
        <f>IFERROR(VLOOKUP(ROWS($L$2:L2182),$B$2:$C$1996,2,0),"")</f>
        <v/>
      </c>
      <c r="N2182" s="2" t="str">
        <f>IFERROR(VLOOKUP(ROWS($N$2:N2182),$D$2:$E$1996,2,0),"")</f>
        <v/>
      </c>
    </row>
    <row r="2183" spans="2:14">
      <c r="B2183" s="32">
        <f>IF(ISNUMBER(SEARCH('Φόρμα Εισαγωγής'!$B$2,C2183)),MAX($B$1:B2182)+1,0)</f>
        <v>0</v>
      </c>
      <c r="D2183" s="33">
        <f>IF(ISNUMBER(SEARCH('Φόρμα Εισαγωγής'!$C$2,E2183)),MAX($D$1:D2182)+1,0)</f>
        <v>0</v>
      </c>
      <c r="H2183" s="6">
        <f t="shared" si="113"/>
        <v>0</v>
      </c>
      <c r="I2183" s="6">
        <f t="shared" si="114"/>
        <v>0</v>
      </c>
      <c r="J2183" s="6">
        <f t="shared" si="115"/>
        <v>0</v>
      </c>
      <c r="L2183" s="4" t="str">
        <f>IFERROR(VLOOKUP(ROWS($L$2:L2183),$B$2:$C$1996,2,0),"")</f>
        <v/>
      </c>
      <c r="N2183" s="2" t="str">
        <f>IFERROR(VLOOKUP(ROWS($N$2:N2183),$D$2:$E$1996,2,0),"")</f>
        <v/>
      </c>
    </row>
    <row r="2184" spans="2:14">
      <c r="B2184" s="32">
        <f>IF(ISNUMBER(SEARCH('Φόρμα Εισαγωγής'!$B$2,C2184)),MAX($B$1:B2183)+1,0)</f>
        <v>0</v>
      </c>
      <c r="D2184" s="33">
        <f>IF(ISNUMBER(SEARCH('Φόρμα Εισαγωγής'!$C$2,E2184)),MAX($D$1:D2183)+1,0)</f>
        <v>0</v>
      </c>
      <c r="H2184" s="6">
        <f t="shared" si="113"/>
        <v>0</v>
      </c>
      <c r="I2184" s="6">
        <f t="shared" si="114"/>
        <v>0</v>
      </c>
      <c r="J2184" s="6">
        <f t="shared" si="115"/>
        <v>0</v>
      </c>
      <c r="L2184" s="4" t="str">
        <f>IFERROR(VLOOKUP(ROWS($L$2:L2184),$B$2:$C$1996,2,0),"")</f>
        <v/>
      </c>
      <c r="N2184" s="2" t="str">
        <f>IFERROR(VLOOKUP(ROWS($N$2:N2184),$D$2:$E$1996,2,0),"")</f>
        <v/>
      </c>
    </row>
    <row r="2185" spans="2:14">
      <c r="B2185" s="32">
        <f>IF(ISNUMBER(SEARCH('Φόρμα Εισαγωγής'!$B$2,C2185)),MAX($B$1:B2184)+1,0)</f>
        <v>0</v>
      </c>
      <c r="D2185" s="33">
        <f>IF(ISNUMBER(SEARCH('Φόρμα Εισαγωγής'!$C$2,E2185)),MAX($D$1:D2184)+1,0)</f>
        <v>0</v>
      </c>
      <c r="H2185" s="6">
        <f t="shared" si="113"/>
        <v>0</v>
      </c>
      <c r="I2185" s="6">
        <f t="shared" si="114"/>
        <v>0</v>
      </c>
      <c r="J2185" s="6">
        <f t="shared" si="115"/>
        <v>0</v>
      </c>
      <c r="L2185" s="4" t="str">
        <f>IFERROR(VLOOKUP(ROWS($L$2:L2185),$B$2:$C$1996,2,0),"")</f>
        <v/>
      </c>
      <c r="N2185" s="2" t="str">
        <f>IFERROR(VLOOKUP(ROWS($N$2:N2185),$D$2:$E$1996,2,0),"")</f>
        <v/>
      </c>
    </row>
    <row r="2186" spans="2:14">
      <c r="B2186" s="32">
        <f>IF(ISNUMBER(SEARCH('Φόρμα Εισαγωγής'!$B$2,C2186)),MAX($B$1:B2185)+1,0)</f>
        <v>0</v>
      </c>
      <c r="D2186" s="33">
        <f>IF(ISNUMBER(SEARCH('Φόρμα Εισαγωγής'!$C$2,E2186)),MAX($D$1:D2185)+1,0)</f>
        <v>0</v>
      </c>
      <c r="H2186" s="6">
        <f t="shared" si="113"/>
        <v>0</v>
      </c>
      <c r="I2186" s="6">
        <f t="shared" si="114"/>
        <v>0</v>
      </c>
      <c r="J2186" s="6">
        <f t="shared" si="115"/>
        <v>0</v>
      </c>
      <c r="L2186" s="4" t="str">
        <f>IFERROR(VLOOKUP(ROWS($L$2:L2186),$B$2:$C$1996,2,0),"")</f>
        <v/>
      </c>
      <c r="N2186" s="2" t="str">
        <f>IFERROR(VLOOKUP(ROWS($N$2:N2186),$D$2:$E$1996,2,0),"")</f>
        <v/>
      </c>
    </row>
    <row r="2187" spans="2:14">
      <c r="B2187" s="32">
        <f>IF(ISNUMBER(SEARCH('Φόρμα Εισαγωγής'!$B$2,C2187)),MAX($B$1:B2186)+1,0)</f>
        <v>0</v>
      </c>
      <c r="D2187" s="33">
        <f>IF(ISNUMBER(SEARCH('Φόρμα Εισαγωγής'!$C$2,E2187)),MAX($D$1:D2186)+1,0)</f>
        <v>0</v>
      </c>
      <c r="H2187" s="6">
        <f t="shared" si="113"/>
        <v>0</v>
      </c>
      <c r="I2187" s="6">
        <f t="shared" si="114"/>
        <v>0</v>
      </c>
      <c r="J2187" s="6">
        <f t="shared" si="115"/>
        <v>0</v>
      </c>
      <c r="L2187" s="4" t="str">
        <f>IFERROR(VLOOKUP(ROWS($L$2:L2187),$B$2:$C$1996,2,0),"")</f>
        <v/>
      </c>
      <c r="N2187" s="2" t="str">
        <f>IFERROR(VLOOKUP(ROWS($N$2:N2187),$D$2:$E$1996,2,0),"")</f>
        <v/>
      </c>
    </row>
    <row r="2188" spans="2:14">
      <c r="B2188" s="32">
        <f>IF(ISNUMBER(SEARCH('Φόρμα Εισαγωγής'!$B$2,C2188)),MAX($B$1:B2187)+1,0)</f>
        <v>0</v>
      </c>
      <c r="D2188" s="33">
        <f>IF(ISNUMBER(SEARCH('Φόρμα Εισαγωγής'!$C$2,E2188)),MAX($D$1:D2187)+1,0)</f>
        <v>0</v>
      </c>
      <c r="H2188" s="6">
        <f t="shared" si="113"/>
        <v>0</v>
      </c>
      <c r="I2188" s="6">
        <f t="shared" si="114"/>
        <v>0</v>
      </c>
      <c r="J2188" s="6">
        <f t="shared" si="115"/>
        <v>0</v>
      </c>
      <c r="L2188" s="4" t="str">
        <f>IFERROR(VLOOKUP(ROWS($L$2:L2188),$B$2:$C$1996,2,0),"")</f>
        <v/>
      </c>
      <c r="N2188" s="2" t="str">
        <f>IFERROR(VLOOKUP(ROWS($N$2:N2188),$D$2:$E$1996,2,0),"")</f>
        <v/>
      </c>
    </row>
    <row r="2189" spans="2:14">
      <c r="B2189" s="32">
        <f>IF(ISNUMBER(SEARCH('Φόρμα Εισαγωγής'!$B$2,C2189)),MAX($B$1:B2188)+1,0)</f>
        <v>0</v>
      </c>
      <c r="D2189" s="33">
        <f>IF(ISNUMBER(SEARCH('Φόρμα Εισαγωγής'!$C$2,E2189)),MAX($D$1:D2188)+1,0)</f>
        <v>0</v>
      </c>
      <c r="H2189" s="6">
        <f t="shared" si="113"/>
        <v>0</v>
      </c>
      <c r="I2189" s="6">
        <f t="shared" si="114"/>
        <v>0</v>
      </c>
      <c r="J2189" s="6">
        <f t="shared" si="115"/>
        <v>0</v>
      </c>
      <c r="L2189" s="4" t="str">
        <f>IFERROR(VLOOKUP(ROWS($L$2:L2189),$B$2:$C$1996,2,0),"")</f>
        <v/>
      </c>
      <c r="N2189" s="2" t="str">
        <f>IFERROR(VLOOKUP(ROWS($N$2:N2189),$D$2:$E$1996,2,0),"")</f>
        <v/>
      </c>
    </row>
    <row r="2190" spans="2:14">
      <c r="B2190" s="32">
        <f>IF(ISNUMBER(SEARCH('Φόρμα Εισαγωγής'!$B$2,C2190)),MAX($B$1:B2189)+1,0)</f>
        <v>0</v>
      </c>
      <c r="D2190" s="33">
        <f>IF(ISNUMBER(SEARCH('Φόρμα Εισαγωγής'!$C$2,E2190)),MAX($D$1:D2189)+1,0)</f>
        <v>0</v>
      </c>
      <c r="H2190" s="6">
        <f t="shared" si="113"/>
        <v>0</v>
      </c>
      <c r="I2190" s="6">
        <f t="shared" si="114"/>
        <v>0</v>
      </c>
      <c r="J2190" s="6">
        <f t="shared" si="115"/>
        <v>0</v>
      </c>
      <c r="L2190" s="4" t="str">
        <f>IFERROR(VLOOKUP(ROWS($L$2:L2190),$B$2:$C$1996,2,0),"")</f>
        <v/>
      </c>
      <c r="N2190" s="2" t="str">
        <f>IFERROR(VLOOKUP(ROWS($N$2:N2190),$D$2:$E$1996,2,0),"")</f>
        <v/>
      </c>
    </row>
    <row r="2191" spans="2:14">
      <c r="B2191" s="32">
        <f>IF(ISNUMBER(SEARCH('Φόρμα Εισαγωγής'!$B$2,C2191)),MAX($B$1:B2190)+1,0)</f>
        <v>0</v>
      </c>
      <c r="D2191" s="33">
        <f>IF(ISNUMBER(SEARCH('Φόρμα Εισαγωγής'!$C$2,E2191)),MAX($D$1:D2190)+1,0)</f>
        <v>0</v>
      </c>
      <c r="H2191" s="6">
        <f t="shared" si="113"/>
        <v>0</v>
      </c>
      <c r="I2191" s="6">
        <f t="shared" si="114"/>
        <v>0</v>
      </c>
      <c r="J2191" s="6">
        <f t="shared" si="115"/>
        <v>0</v>
      </c>
      <c r="L2191" s="4" t="str">
        <f>IFERROR(VLOOKUP(ROWS($L$2:L2191),$B$2:$C$1996,2,0),"")</f>
        <v/>
      </c>
      <c r="N2191" s="2" t="str">
        <f>IFERROR(VLOOKUP(ROWS($N$2:N2191),$D$2:$E$1996,2,0),"")</f>
        <v/>
      </c>
    </row>
    <row r="2192" spans="2:14">
      <c r="B2192" s="32">
        <f>IF(ISNUMBER(SEARCH('Φόρμα Εισαγωγής'!$B$2,C2192)),MAX($B$1:B2191)+1,0)</f>
        <v>0</v>
      </c>
      <c r="D2192" s="33">
        <f>IF(ISNUMBER(SEARCH('Φόρμα Εισαγωγής'!$C$2,E2192)),MAX($D$1:D2191)+1,0)</f>
        <v>0</v>
      </c>
      <c r="H2192" s="6">
        <f t="shared" si="113"/>
        <v>0</v>
      </c>
      <c r="I2192" s="6">
        <f t="shared" si="114"/>
        <v>0</v>
      </c>
      <c r="J2192" s="6">
        <f t="shared" si="115"/>
        <v>0</v>
      </c>
      <c r="L2192" s="4" t="str">
        <f>IFERROR(VLOOKUP(ROWS($L$2:L2192),$B$2:$C$1996,2,0),"")</f>
        <v/>
      </c>
      <c r="N2192" s="2" t="str">
        <f>IFERROR(VLOOKUP(ROWS($N$2:N2192),$D$2:$E$1996,2,0),"")</f>
        <v/>
      </c>
    </row>
    <row r="2193" spans="2:14">
      <c r="B2193" s="32">
        <f>IF(ISNUMBER(SEARCH('Φόρμα Εισαγωγής'!$B$2,C2193)),MAX($B$1:B2192)+1,0)</f>
        <v>0</v>
      </c>
      <c r="D2193" s="33">
        <f>IF(ISNUMBER(SEARCH('Φόρμα Εισαγωγής'!$C$2,E2193)),MAX($D$1:D2192)+1,0)</f>
        <v>0</v>
      </c>
      <c r="H2193" s="6">
        <f t="shared" si="113"/>
        <v>0</v>
      </c>
      <c r="I2193" s="6">
        <f t="shared" si="114"/>
        <v>0</v>
      </c>
      <c r="J2193" s="6">
        <f t="shared" si="115"/>
        <v>0</v>
      </c>
      <c r="L2193" s="4" t="str">
        <f>IFERROR(VLOOKUP(ROWS($L$2:L2193),$B$2:$C$1996,2,0),"")</f>
        <v/>
      </c>
      <c r="N2193" s="2" t="str">
        <f>IFERROR(VLOOKUP(ROWS($N$2:N2193),$D$2:$E$1996,2,0),"")</f>
        <v/>
      </c>
    </row>
    <row r="2194" spans="2:14">
      <c r="B2194" s="32">
        <f>IF(ISNUMBER(SEARCH('Φόρμα Εισαγωγής'!$B$2,C2194)),MAX($B$1:B2193)+1,0)</f>
        <v>0</v>
      </c>
      <c r="D2194" s="33">
        <f>IF(ISNUMBER(SEARCH('Φόρμα Εισαγωγής'!$C$2,E2194)),MAX($D$1:D2193)+1,0)</f>
        <v>0</v>
      </c>
      <c r="H2194" s="6">
        <f t="shared" si="113"/>
        <v>0</v>
      </c>
      <c r="I2194" s="6">
        <f t="shared" si="114"/>
        <v>0</v>
      </c>
      <c r="J2194" s="6">
        <f t="shared" si="115"/>
        <v>0</v>
      </c>
      <c r="L2194" s="4" t="str">
        <f>IFERROR(VLOOKUP(ROWS($L$2:L2194),$B$2:$C$1996,2,0),"")</f>
        <v/>
      </c>
      <c r="N2194" s="2" t="str">
        <f>IFERROR(VLOOKUP(ROWS($N$2:N2194),$D$2:$E$1996,2,0),"")</f>
        <v/>
      </c>
    </row>
    <row r="2195" spans="2:14">
      <c r="B2195" s="32">
        <f>IF(ISNUMBER(SEARCH('Φόρμα Εισαγωγής'!$B$2,C2195)),MAX($B$1:B2194)+1,0)</f>
        <v>0</v>
      </c>
      <c r="D2195" s="33">
        <f>IF(ISNUMBER(SEARCH('Φόρμα Εισαγωγής'!$C$2,E2195)),MAX($D$1:D2194)+1,0)</f>
        <v>0</v>
      </c>
      <c r="H2195" s="6">
        <f t="shared" si="113"/>
        <v>0</v>
      </c>
      <c r="I2195" s="6">
        <f t="shared" si="114"/>
        <v>0</v>
      </c>
      <c r="J2195" s="6">
        <f t="shared" si="115"/>
        <v>0</v>
      </c>
      <c r="L2195" s="4" t="str">
        <f>IFERROR(VLOOKUP(ROWS($L$2:L2195),$B$2:$C$1996,2,0),"")</f>
        <v/>
      </c>
      <c r="N2195" s="2" t="str">
        <f>IFERROR(VLOOKUP(ROWS($N$2:N2195),$D$2:$E$1996,2,0),"")</f>
        <v/>
      </c>
    </row>
    <row r="2196" spans="2:14">
      <c r="B2196" s="32">
        <f>IF(ISNUMBER(SEARCH('Φόρμα Εισαγωγής'!$B$2,C2196)),MAX($B$1:B2195)+1,0)</f>
        <v>0</v>
      </c>
      <c r="D2196" s="33">
        <f>IF(ISNUMBER(SEARCH('Φόρμα Εισαγωγής'!$C$2,E2196)),MAX($D$1:D2195)+1,0)</f>
        <v>0</v>
      </c>
      <c r="H2196" s="6">
        <f t="shared" si="113"/>
        <v>0</v>
      </c>
      <c r="I2196" s="6">
        <f t="shared" si="114"/>
        <v>0</v>
      </c>
      <c r="J2196" s="6">
        <f t="shared" si="115"/>
        <v>0</v>
      </c>
      <c r="L2196" s="4" t="str">
        <f>IFERROR(VLOOKUP(ROWS($L$2:L2196),$B$2:$C$1996,2,0),"")</f>
        <v/>
      </c>
      <c r="N2196" s="2" t="str">
        <f>IFERROR(VLOOKUP(ROWS($N$2:N2196),$D$2:$E$1996,2,0),"")</f>
        <v/>
      </c>
    </row>
    <row r="2197" spans="2:14">
      <c r="B2197" s="32">
        <f>IF(ISNUMBER(SEARCH('Φόρμα Εισαγωγής'!$B$2,C2197)),MAX($B$1:B2196)+1,0)</f>
        <v>0</v>
      </c>
      <c r="D2197" s="33">
        <f>IF(ISNUMBER(SEARCH('Φόρμα Εισαγωγής'!$C$2,E2197)),MAX($D$1:D2196)+1,0)</f>
        <v>0</v>
      </c>
      <c r="H2197" s="6">
        <f t="shared" si="113"/>
        <v>0</v>
      </c>
      <c r="I2197" s="6">
        <f t="shared" si="114"/>
        <v>0</v>
      </c>
      <c r="J2197" s="6">
        <f t="shared" si="115"/>
        <v>0</v>
      </c>
      <c r="L2197" s="4" t="str">
        <f>IFERROR(VLOOKUP(ROWS($L$2:L2197),$B$2:$C$1996,2,0),"")</f>
        <v/>
      </c>
      <c r="N2197" s="2" t="str">
        <f>IFERROR(VLOOKUP(ROWS($N$2:N2197),$D$2:$E$1996,2,0),"")</f>
        <v/>
      </c>
    </row>
    <row r="2198" spans="2:14">
      <c r="B2198" s="32">
        <f>IF(ISNUMBER(SEARCH('Φόρμα Εισαγωγής'!$B$2,C2198)),MAX($B$1:B2197)+1,0)</f>
        <v>0</v>
      </c>
      <c r="D2198" s="33">
        <f>IF(ISNUMBER(SEARCH('Φόρμα Εισαγωγής'!$C$2,E2198)),MAX($D$1:D2197)+1,0)</f>
        <v>0</v>
      </c>
      <c r="H2198" s="6">
        <f t="shared" si="113"/>
        <v>0</v>
      </c>
      <c r="I2198" s="6">
        <f t="shared" si="114"/>
        <v>0</v>
      </c>
      <c r="J2198" s="6">
        <f t="shared" si="115"/>
        <v>0</v>
      </c>
      <c r="L2198" s="4" t="str">
        <f>IFERROR(VLOOKUP(ROWS($L$2:L2198),$B$2:$C$1996,2,0),"")</f>
        <v/>
      </c>
      <c r="N2198" s="2" t="str">
        <f>IFERROR(VLOOKUP(ROWS($N$2:N2198),$D$2:$E$1996,2,0),"")</f>
        <v/>
      </c>
    </row>
    <row r="2199" spans="2:14">
      <c r="B2199" s="32">
        <f>IF(ISNUMBER(SEARCH('Φόρμα Εισαγωγής'!$B$2,C2199)),MAX($B$1:B2198)+1,0)</f>
        <v>0</v>
      </c>
      <c r="D2199" s="33">
        <f>IF(ISNUMBER(SEARCH('Φόρμα Εισαγωγής'!$C$2,E2199)),MAX($D$1:D2198)+1,0)</f>
        <v>0</v>
      </c>
      <c r="H2199" s="6">
        <f t="shared" si="113"/>
        <v>0</v>
      </c>
      <c r="I2199" s="6">
        <f t="shared" si="114"/>
        <v>0</v>
      </c>
      <c r="J2199" s="6">
        <f t="shared" si="115"/>
        <v>0</v>
      </c>
      <c r="L2199" s="4" t="str">
        <f>IFERROR(VLOOKUP(ROWS($L$2:L2199),$B$2:$C$1996,2,0),"")</f>
        <v/>
      </c>
      <c r="N2199" s="2" t="str">
        <f>IFERROR(VLOOKUP(ROWS($N$2:N2199),$D$2:$E$1996,2,0),"")</f>
        <v/>
      </c>
    </row>
    <row r="2200" spans="2:14">
      <c r="B2200" s="32">
        <f>IF(ISNUMBER(SEARCH('Φόρμα Εισαγωγής'!$B$2,C2200)),MAX($B$1:B2199)+1,0)</f>
        <v>0</v>
      </c>
      <c r="D2200" s="33">
        <f>IF(ISNUMBER(SEARCH('Φόρμα Εισαγωγής'!$C$2,E2200)),MAX($D$1:D2199)+1,0)</f>
        <v>0</v>
      </c>
      <c r="H2200" s="6">
        <f t="shared" si="113"/>
        <v>0</v>
      </c>
      <c r="I2200" s="6">
        <f t="shared" si="114"/>
        <v>0</v>
      </c>
      <c r="J2200" s="6">
        <f t="shared" si="115"/>
        <v>0</v>
      </c>
      <c r="L2200" s="4" t="str">
        <f>IFERROR(VLOOKUP(ROWS($L$2:L2200),$B$2:$C$1996,2,0),"")</f>
        <v/>
      </c>
      <c r="N2200" s="2" t="str">
        <f>IFERROR(VLOOKUP(ROWS($N$2:N2200),$D$2:$E$1996,2,0),"")</f>
        <v/>
      </c>
    </row>
    <row r="2201" spans="2:14">
      <c r="B2201" s="32">
        <f>IF(ISNUMBER(SEARCH('Φόρμα Εισαγωγής'!$B$2,C2201)),MAX($B$1:B2200)+1,0)</f>
        <v>0</v>
      </c>
      <c r="D2201" s="33">
        <f>IF(ISNUMBER(SEARCH('Φόρμα Εισαγωγής'!$C$2,E2201)),MAX($D$1:D2200)+1,0)</f>
        <v>0</v>
      </c>
      <c r="H2201" s="6">
        <f t="shared" si="113"/>
        <v>0</v>
      </c>
      <c r="I2201" s="6">
        <f t="shared" si="114"/>
        <v>0</v>
      </c>
      <c r="J2201" s="6">
        <f t="shared" si="115"/>
        <v>0</v>
      </c>
      <c r="L2201" s="4" t="str">
        <f>IFERROR(VLOOKUP(ROWS($L$2:L2201),$B$2:$C$1996,2,0),"")</f>
        <v/>
      </c>
      <c r="N2201" s="2" t="str">
        <f>IFERROR(VLOOKUP(ROWS($N$2:N2201),$D$2:$E$1996,2,0),"")</f>
        <v/>
      </c>
    </row>
    <row r="2202" spans="2:14">
      <c r="B2202" s="32">
        <f>IF(ISNUMBER(SEARCH('Φόρμα Εισαγωγής'!$B$2,C2202)),MAX($B$1:B2201)+1,0)</f>
        <v>0</v>
      </c>
      <c r="D2202" s="33">
        <f>IF(ISNUMBER(SEARCH('Φόρμα Εισαγωγής'!$C$2,E2202)),MAX($D$1:D2201)+1,0)</f>
        <v>0</v>
      </c>
      <c r="H2202" s="6">
        <f t="shared" si="113"/>
        <v>0</v>
      </c>
      <c r="I2202" s="6">
        <f t="shared" si="114"/>
        <v>0</v>
      </c>
      <c r="J2202" s="6">
        <f t="shared" si="115"/>
        <v>0</v>
      </c>
      <c r="L2202" s="4" t="str">
        <f>IFERROR(VLOOKUP(ROWS($L$2:L2202),$B$2:$C$1996,2,0),"")</f>
        <v/>
      </c>
      <c r="N2202" s="2" t="str">
        <f>IFERROR(VLOOKUP(ROWS($N$2:N2202),$D$2:$E$1996,2,0),"")</f>
        <v/>
      </c>
    </row>
    <row r="2203" spans="2:14">
      <c r="B2203" s="32">
        <f>IF(ISNUMBER(SEARCH('Φόρμα Εισαγωγής'!$B$2,C2203)),MAX($B$1:B2202)+1,0)</f>
        <v>0</v>
      </c>
      <c r="D2203" s="33">
        <f>IF(ISNUMBER(SEARCH('Φόρμα Εισαγωγής'!$C$2,E2203)),MAX($D$1:D2202)+1,0)</f>
        <v>0</v>
      </c>
      <c r="H2203" s="6">
        <f t="shared" si="113"/>
        <v>0</v>
      </c>
      <c r="I2203" s="6">
        <f t="shared" si="114"/>
        <v>0</v>
      </c>
      <c r="J2203" s="6">
        <f t="shared" si="115"/>
        <v>0</v>
      </c>
      <c r="L2203" s="4" t="str">
        <f>IFERROR(VLOOKUP(ROWS($L$2:L2203),$B$2:$C$1996,2,0),"")</f>
        <v/>
      </c>
      <c r="N2203" s="2" t="str">
        <f>IFERROR(VLOOKUP(ROWS($N$2:N2203),$D$2:$E$1996,2,0),"")</f>
        <v/>
      </c>
    </row>
    <row r="2204" spans="2:14">
      <c r="B2204" s="32">
        <f>IF(ISNUMBER(SEARCH('Φόρμα Εισαγωγής'!$B$2,C2204)),MAX($B$1:B2203)+1,0)</f>
        <v>0</v>
      </c>
      <c r="D2204" s="33">
        <f>IF(ISNUMBER(SEARCH('Φόρμα Εισαγωγής'!$C$2,E2204)),MAX($D$1:D2203)+1,0)</f>
        <v>0</v>
      </c>
      <c r="H2204" s="6">
        <f t="shared" si="113"/>
        <v>0</v>
      </c>
      <c r="I2204" s="6">
        <f t="shared" si="114"/>
        <v>0</v>
      </c>
      <c r="J2204" s="6">
        <f t="shared" si="115"/>
        <v>0</v>
      </c>
      <c r="L2204" s="4" t="str">
        <f>IFERROR(VLOOKUP(ROWS($L$2:L2204),$B$2:$C$1996,2,0),"")</f>
        <v/>
      </c>
      <c r="N2204" s="2" t="str">
        <f>IFERROR(VLOOKUP(ROWS($N$2:N2204),$D$2:$E$1996,2,0),"")</f>
        <v/>
      </c>
    </row>
    <row r="2205" spans="2:14">
      <c r="B2205" s="32">
        <f>IF(ISNUMBER(SEARCH('Φόρμα Εισαγωγής'!$B$2,C2205)),MAX($B$1:B2204)+1,0)</f>
        <v>0</v>
      </c>
      <c r="D2205" s="33">
        <f>IF(ISNUMBER(SEARCH('Φόρμα Εισαγωγής'!$C$2,E2205)),MAX($D$1:D2204)+1,0)</f>
        <v>0</v>
      </c>
      <c r="H2205" s="6">
        <f t="shared" si="113"/>
        <v>0</v>
      </c>
      <c r="I2205" s="6">
        <f t="shared" si="114"/>
        <v>0</v>
      </c>
      <c r="J2205" s="6">
        <f t="shared" si="115"/>
        <v>0</v>
      </c>
      <c r="L2205" s="4" t="str">
        <f>IFERROR(VLOOKUP(ROWS($L$2:L2205),$B$2:$C$1996,2,0),"")</f>
        <v/>
      </c>
      <c r="N2205" s="2" t="str">
        <f>IFERROR(VLOOKUP(ROWS($N$2:N2205),$D$2:$E$1996,2,0),"")</f>
        <v/>
      </c>
    </row>
    <row r="2206" spans="2:14">
      <c r="B2206" s="32">
        <f>IF(ISNUMBER(SEARCH('Φόρμα Εισαγωγής'!$B$2,C2206)),MAX($B$1:B2205)+1,0)</f>
        <v>0</v>
      </c>
      <c r="D2206" s="33">
        <f>IF(ISNUMBER(SEARCH('Φόρμα Εισαγωγής'!$C$2,E2206)),MAX($D$1:D2205)+1,0)</f>
        <v>0</v>
      </c>
      <c r="H2206" s="6">
        <f t="shared" si="113"/>
        <v>0</v>
      </c>
      <c r="I2206" s="6">
        <f t="shared" si="114"/>
        <v>0</v>
      </c>
      <c r="J2206" s="6">
        <f t="shared" si="115"/>
        <v>0</v>
      </c>
      <c r="L2206" s="4" t="str">
        <f>IFERROR(VLOOKUP(ROWS($L$2:L2206),$B$2:$C$1996,2,0),"")</f>
        <v/>
      </c>
      <c r="N2206" s="2" t="str">
        <f>IFERROR(VLOOKUP(ROWS($N$2:N2206),$D$2:$E$1996,2,0),"")</f>
        <v/>
      </c>
    </row>
    <row r="2207" spans="2:14">
      <c r="B2207" s="32">
        <f>IF(ISNUMBER(SEARCH('Φόρμα Εισαγωγής'!$B$2,C2207)),MAX($B$1:B2206)+1,0)</f>
        <v>0</v>
      </c>
      <c r="D2207" s="33">
        <f>IF(ISNUMBER(SEARCH('Φόρμα Εισαγωγής'!$C$2,E2207)),MAX($D$1:D2206)+1,0)</f>
        <v>0</v>
      </c>
      <c r="H2207" s="6">
        <f t="shared" si="113"/>
        <v>0</v>
      </c>
      <c r="I2207" s="6">
        <f t="shared" si="114"/>
        <v>0</v>
      </c>
      <c r="J2207" s="6">
        <f t="shared" si="115"/>
        <v>0</v>
      </c>
      <c r="L2207" s="4" t="str">
        <f>IFERROR(VLOOKUP(ROWS($L$2:L2207),$B$2:$C$1996,2,0),"")</f>
        <v/>
      </c>
      <c r="N2207" s="2" t="str">
        <f>IFERROR(VLOOKUP(ROWS($N$2:N2207),$D$2:$E$1996,2,0),"")</f>
        <v/>
      </c>
    </row>
    <row r="2208" spans="2:14">
      <c r="B2208" s="32">
        <f>IF(ISNUMBER(SEARCH('Φόρμα Εισαγωγής'!$B$2,C2208)),MAX($B$1:B2207)+1,0)</f>
        <v>0</v>
      </c>
      <c r="D2208" s="33">
        <f>IF(ISNUMBER(SEARCH('Φόρμα Εισαγωγής'!$C$2,E2208)),MAX($D$1:D2207)+1,0)</f>
        <v>0</v>
      </c>
      <c r="H2208" s="6">
        <f t="shared" si="113"/>
        <v>0</v>
      </c>
      <c r="I2208" s="6">
        <f t="shared" si="114"/>
        <v>0</v>
      </c>
      <c r="J2208" s="6">
        <f t="shared" si="115"/>
        <v>0</v>
      </c>
      <c r="L2208" s="4" t="str">
        <f>IFERROR(VLOOKUP(ROWS($L$2:L2208),$B$2:$C$1996,2,0),"")</f>
        <v/>
      </c>
      <c r="N2208" s="2" t="str">
        <f>IFERROR(VLOOKUP(ROWS($N$2:N2208),$D$2:$E$1996,2,0),"")</f>
        <v/>
      </c>
    </row>
    <row r="2209" spans="2:14">
      <c r="B2209" s="32">
        <f>IF(ISNUMBER(SEARCH('Φόρμα Εισαγωγής'!$B$2,C2209)),MAX($B$1:B2208)+1,0)</f>
        <v>0</v>
      </c>
      <c r="D2209" s="33">
        <f>IF(ISNUMBER(SEARCH('Φόρμα Εισαγωγής'!$C$2,E2209)),MAX($D$1:D2208)+1,0)</f>
        <v>0</v>
      </c>
      <c r="H2209" s="6">
        <f t="shared" si="113"/>
        <v>0</v>
      </c>
      <c r="I2209" s="6">
        <f t="shared" si="114"/>
        <v>0</v>
      </c>
      <c r="J2209" s="6">
        <f t="shared" si="115"/>
        <v>0</v>
      </c>
      <c r="L2209" s="4" t="str">
        <f>IFERROR(VLOOKUP(ROWS($L$2:L2209),$B$2:$C$1996,2,0),"")</f>
        <v/>
      </c>
      <c r="N2209" s="2" t="str">
        <f>IFERROR(VLOOKUP(ROWS($N$2:N2209),$D$2:$E$1996,2,0),"")</f>
        <v/>
      </c>
    </row>
    <row r="2210" spans="2:14">
      <c r="B2210" s="32">
        <f>IF(ISNUMBER(SEARCH('Φόρμα Εισαγωγής'!$B$2,C2210)),MAX($B$1:B2209)+1,0)</f>
        <v>0</v>
      </c>
      <c r="D2210" s="33">
        <f>IF(ISNUMBER(SEARCH('Φόρμα Εισαγωγής'!$C$2,E2210)),MAX($D$1:D2209)+1,0)</f>
        <v>0</v>
      </c>
      <c r="H2210" s="6">
        <f t="shared" si="113"/>
        <v>0</v>
      </c>
      <c r="I2210" s="6">
        <f t="shared" si="114"/>
        <v>0</v>
      </c>
      <c r="J2210" s="6">
        <f t="shared" si="115"/>
        <v>0</v>
      </c>
      <c r="L2210" s="4" t="str">
        <f>IFERROR(VLOOKUP(ROWS($L$2:L2210),$B$2:$C$1996,2,0),"")</f>
        <v/>
      </c>
      <c r="N2210" s="2" t="str">
        <f>IFERROR(VLOOKUP(ROWS($N$2:N2210),$D$2:$E$1996,2,0),"")</f>
        <v/>
      </c>
    </row>
    <row r="2211" spans="2:14">
      <c r="B2211" s="32">
        <f>IF(ISNUMBER(SEARCH('Φόρμα Εισαγωγής'!$B$2,C2211)),MAX($B$1:B2210)+1,0)</f>
        <v>0</v>
      </c>
      <c r="D2211" s="33">
        <f>IF(ISNUMBER(SEARCH('Φόρμα Εισαγωγής'!$C$2,E2211)),MAX($D$1:D2210)+1,0)</f>
        <v>0</v>
      </c>
      <c r="H2211" s="6">
        <f t="shared" si="113"/>
        <v>0</v>
      </c>
      <c r="I2211" s="6">
        <f t="shared" si="114"/>
        <v>0</v>
      </c>
      <c r="J2211" s="6">
        <f t="shared" si="115"/>
        <v>0</v>
      </c>
      <c r="L2211" s="4" t="str">
        <f>IFERROR(VLOOKUP(ROWS($L$2:L2211),$B$2:$C$1996,2,0),"")</f>
        <v/>
      </c>
      <c r="N2211" s="2" t="str">
        <f>IFERROR(VLOOKUP(ROWS($N$2:N2211),$D$2:$E$1996,2,0),"")</f>
        <v/>
      </c>
    </row>
    <row r="2212" spans="2:14">
      <c r="B2212" s="32">
        <f>IF(ISNUMBER(SEARCH('Φόρμα Εισαγωγής'!$B$2,C2212)),MAX($B$1:B2211)+1,0)</f>
        <v>0</v>
      </c>
      <c r="D2212" s="33">
        <f>IF(ISNUMBER(SEARCH('Φόρμα Εισαγωγής'!$C$2,E2212)),MAX($D$1:D2211)+1,0)</f>
        <v>0</v>
      </c>
      <c r="H2212" s="6">
        <f t="shared" si="113"/>
        <v>0</v>
      </c>
      <c r="I2212" s="6">
        <f t="shared" si="114"/>
        <v>0</v>
      </c>
      <c r="J2212" s="6">
        <f t="shared" si="115"/>
        <v>0</v>
      </c>
      <c r="L2212" s="4" t="str">
        <f>IFERROR(VLOOKUP(ROWS($L$2:L2212),$B$2:$C$1996,2,0),"")</f>
        <v/>
      </c>
      <c r="N2212" s="2" t="str">
        <f>IFERROR(VLOOKUP(ROWS($N$2:N2212),$D$2:$E$1996,2,0),"")</f>
        <v/>
      </c>
    </row>
    <row r="2213" spans="2:14">
      <c r="B2213" s="32">
        <f>IF(ISNUMBER(SEARCH('Φόρμα Εισαγωγής'!$B$2,C2213)),MAX($B$1:B2212)+1,0)</f>
        <v>0</v>
      </c>
      <c r="D2213" s="33">
        <f>IF(ISNUMBER(SEARCH('Φόρμα Εισαγωγής'!$C$2,E2213)),MAX($D$1:D2212)+1,0)</f>
        <v>0</v>
      </c>
      <c r="H2213" s="6">
        <f t="shared" si="113"/>
        <v>0</v>
      </c>
      <c r="I2213" s="6">
        <f t="shared" si="114"/>
        <v>0</v>
      </c>
      <c r="J2213" s="6">
        <f t="shared" si="115"/>
        <v>0</v>
      </c>
      <c r="L2213" s="4" t="str">
        <f>IFERROR(VLOOKUP(ROWS($L$2:L2213),$B$2:$C$1996,2,0),"")</f>
        <v/>
      </c>
      <c r="N2213" s="2" t="str">
        <f>IFERROR(VLOOKUP(ROWS($N$2:N2213),$D$2:$E$1996,2,0),"")</f>
        <v/>
      </c>
    </row>
    <row r="2214" spans="2:14">
      <c r="B2214" s="32">
        <f>IF(ISNUMBER(SEARCH('Φόρμα Εισαγωγής'!$B$2,C2214)),MAX($B$1:B2213)+1,0)</f>
        <v>0</v>
      </c>
      <c r="D2214" s="33">
        <f>IF(ISNUMBER(SEARCH('Φόρμα Εισαγωγής'!$C$2,E2214)),MAX($D$1:D2213)+1,0)</f>
        <v>0</v>
      </c>
      <c r="H2214" s="6">
        <f t="shared" si="113"/>
        <v>0</v>
      </c>
      <c r="I2214" s="6">
        <f t="shared" si="114"/>
        <v>0</v>
      </c>
      <c r="J2214" s="6">
        <f t="shared" si="115"/>
        <v>0</v>
      </c>
      <c r="L2214" s="4" t="str">
        <f>IFERROR(VLOOKUP(ROWS($L$2:L2214),$B$2:$C$1996,2,0),"")</f>
        <v/>
      </c>
      <c r="N2214" s="2" t="str">
        <f>IFERROR(VLOOKUP(ROWS($N$2:N2214),$D$2:$E$1996,2,0),"")</f>
        <v/>
      </c>
    </row>
    <row r="2215" spans="2:14">
      <c r="B2215" s="32">
        <f>IF(ISNUMBER(SEARCH('Φόρμα Εισαγωγής'!$B$2,C2215)),MAX($B$1:B2214)+1,0)</f>
        <v>0</v>
      </c>
      <c r="D2215" s="33">
        <f>IF(ISNUMBER(SEARCH('Φόρμα Εισαγωγής'!$C$2,E2215)),MAX($D$1:D2214)+1,0)</f>
        <v>0</v>
      </c>
      <c r="H2215" s="6">
        <f t="shared" si="113"/>
        <v>0</v>
      </c>
      <c r="I2215" s="6">
        <f t="shared" si="114"/>
        <v>0</v>
      </c>
      <c r="J2215" s="6">
        <f t="shared" si="115"/>
        <v>0</v>
      </c>
      <c r="L2215" s="4" t="str">
        <f>IFERROR(VLOOKUP(ROWS($L$2:L2215),$B$2:$C$1996,2,0),"")</f>
        <v/>
      </c>
      <c r="N2215" s="2" t="str">
        <f>IFERROR(VLOOKUP(ROWS($N$2:N2215),$D$2:$E$1996,2,0),"")</f>
        <v/>
      </c>
    </row>
    <row r="2216" spans="2:14">
      <c r="B2216" s="32">
        <f>IF(ISNUMBER(SEARCH('Φόρμα Εισαγωγής'!$B$2,C2216)),MAX($B$1:B2215)+1,0)</f>
        <v>0</v>
      </c>
      <c r="D2216" s="33">
        <f>IF(ISNUMBER(SEARCH('Φόρμα Εισαγωγής'!$C$2,E2216)),MAX($D$1:D2215)+1,0)</f>
        <v>0</v>
      </c>
      <c r="H2216" s="6">
        <f t="shared" si="113"/>
        <v>0</v>
      </c>
      <c r="I2216" s="6">
        <f t="shared" si="114"/>
        <v>0</v>
      </c>
      <c r="J2216" s="6">
        <f t="shared" si="115"/>
        <v>0</v>
      </c>
      <c r="L2216" s="4" t="str">
        <f>IFERROR(VLOOKUP(ROWS($L$2:L2216),$B$2:$C$1996,2,0),"")</f>
        <v/>
      </c>
      <c r="N2216" s="2" t="str">
        <f>IFERROR(VLOOKUP(ROWS($N$2:N2216),$D$2:$E$1996,2,0),"")</f>
        <v/>
      </c>
    </row>
    <row r="2217" spans="2:14">
      <c r="B2217" s="32">
        <f>IF(ISNUMBER(SEARCH('Φόρμα Εισαγωγής'!$B$2,C2217)),MAX($B$1:B2216)+1,0)</f>
        <v>0</v>
      </c>
      <c r="D2217" s="33">
        <f>IF(ISNUMBER(SEARCH('Φόρμα Εισαγωγής'!$C$2,E2217)),MAX($D$1:D2216)+1,0)</f>
        <v>0</v>
      </c>
      <c r="H2217" s="6">
        <f t="shared" si="113"/>
        <v>0</v>
      </c>
      <c r="I2217" s="6">
        <f t="shared" si="114"/>
        <v>0</v>
      </c>
      <c r="J2217" s="6">
        <f t="shared" si="115"/>
        <v>0</v>
      </c>
      <c r="L2217" s="4" t="str">
        <f>IFERROR(VLOOKUP(ROWS($L$2:L2217),$B$2:$C$1996,2,0),"")</f>
        <v/>
      </c>
      <c r="N2217" s="2" t="str">
        <f>IFERROR(VLOOKUP(ROWS($N$2:N2217),$D$2:$E$1996,2,0),"")</f>
        <v/>
      </c>
    </row>
    <row r="2218" spans="2:14">
      <c r="B2218" s="32">
        <f>IF(ISNUMBER(SEARCH('Φόρμα Εισαγωγής'!$B$2,C2218)),MAX($B$1:B2217)+1,0)</f>
        <v>0</v>
      </c>
      <c r="D2218" s="33">
        <f>IF(ISNUMBER(SEARCH('Φόρμα Εισαγωγής'!$C$2,E2218)),MAX($D$1:D2217)+1,0)</f>
        <v>0</v>
      </c>
      <c r="H2218" s="6">
        <f t="shared" si="113"/>
        <v>0</v>
      </c>
      <c r="I2218" s="6">
        <f t="shared" si="114"/>
        <v>0</v>
      </c>
      <c r="J2218" s="6">
        <f t="shared" si="115"/>
        <v>0</v>
      </c>
      <c r="L2218" s="4" t="str">
        <f>IFERROR(VLOOKUP(ROWS($L$2:L2218),$B$2:$C$1996,2,0),"")</f>
        <v/>
      </c>
      <c r="N2218" s="2" t="str">
        <f>IFERROR(VLOOKUP(ROWS($N$2:N2218),$D$2:$E$1996,2,0),"")</f>
        <v/>
      </c>
    </row>
    <row r="2219" spans="2:14">
      <c r="B2219" s="32">
        <f>IF(ISNUMBER(SEARCH('Φόρμα Εισαγωγής'!$B$2,C2219)),MAX($B$1:B2218)+1,0)</f>
        <v>0</v>
      </c>
      <c r="D2219" s="33">
        <f>IF(ISNUMBER(SEARCH('Φόρμα Εισαγωγής'!$C$2,E2219)),MAX($D$1:D2218)+1,0)</f>
        <v>0</v>
      </c>
      <c r="H2219" s="6">
        <f t="shared" si="113"/>
        <v>0</v>
      </c>
      <c r="I2219" s="6">
        <f t="shared" si="114"/>
        <v>0</v>
      </c>
      <c r="J2219" s="6">
        <f t="shared" si="115"/>
        <v>0</v>
      </c>
      <c r="L2219" s="4" t="str">
        <f>IFERROR(VLOOKUP(ROWS($L$2:L2219),$B$2:$C$1996,2,0),"")</f>
        <v/>
      </c>
      <c r="N2219" s="2" t="str">
        <f>IFERROR(VLOOKUP(ROWS($N$2:N2219),$D$2:$E$1996,2,0),"")</f>
        <v/>
      </c>
    </row>
    <row r="2220" spans="2:14">
      <c r="B2220" s="32">
        <f>IF(ISNUMBER(SEARCH('Φόρμα Εισαγωγής'!$B$2,C2220)),MAX($B$1:B2219)+1,0)</f>
        <v>0</v>
      </c>
      <c r="D2220" s="33">
        <f>IF(ISNUMBER(SEARCH('Φόρμα Εισαγωγής'!$C$2,E2220)),MAX($D$1:D2219)+1,0)</f>
        <v>0</v>
      </c>
      <c r="H2220" s="6">
        <f t="shared" si="113"/>
        <v>0</v>
      </c>
      <c r="I2220" s="6">
        <f t="shared" si="114"/>
        <v>0</v>
      </c>
      <c r="J2220" s="6">
        <f t="shared" si="115"/>
        <v>0</v>
      </c>
      <c r="L2220" s="4" t="str">
        <f>IFERROR(VLOOKUP(ROWS($L$2:L2220),$B$2:$C$1996,2,0),"")</f>
        <v/>
      </c>
      <c r="N2220" s="2" t="str">
        <f>IFERROR(VLOOKUP(ROWS($N$2:N2220),$D$2:$E$1996,2,0),"")</f>
        <v/>
      </c>
    </row>
    <row r="2221" spans="2:14">
      <c r="B2221" s="32">
        <f>IF(ISNUMBER(SEARCH('Φόρμα Εισαγωγής'!$B$2,C2221)),MAX($B$1:B2220)+1,0)</f>
        <v>0</v>
      </c>
      <c r="D2221" s="33">
        <f>IF(ISNUMBER(SEARCH('Φόρμα Εισαγωγής'!$C$2,E2221)),MAX($D$1:D2220)+1,0)</f>
        <v>0</v>
      </c>
      <c r="H2221" s="6">
        <f t="shared" si="113"/>
        <v>0</v>
      </c>
      <c r="I2221" s="6">
        <f t="shared" si="114"/>
        <v>0</v>
      </c>
      <c r="J2221" s="6">
        <f t="shared" si="115"/>
        <v>0</v>
      </c>
      <c r="L2221" s="4" t="str">
        <f>IFERROR(VLOOKUP(ROWS($L$2:L2221),$B$2:$C$1996,2,0),"")</f>
        <v/>
      </c>
      <c r="N2221" s="2" t="str">
        <f>IFERROR(VLOOKUP(ROWS($N$2:N2221),$D$2:$E$1996,2,0),"")</f>
        <v/>
      </c>
    </row>
    <row r="2222" spans="2:14">
      <c r="B2222" s="32">
        <f>IF(ISNUMBER(SEARCH('Φόρμα Εισαγωγής'!$B$2,C2222)),MAX($B$1:B2221)+1,0)</f>
        <v>0</v>
      </c>
      <c r="D2222" s="33">
        <f>IF(ISNUMBER(SEARCH('Φόρμα Εισαγωγής'!$C$2,E2222)),MAX($D$1:D2221)+1,0)</f>
        <v>0</v>
      </c>
      <c r="H2222" s="6">
        <f t="shared" si="113"/>
        <v>0</v>
      </c>
      <c r="I2222" s="6">
        <f t="shared" si="114"/>
        <v>0</v>
      </c>
      <c r="J2222" s="6">
        <f t="shared" si="115"/>
        <v>0</v>
      </c>
      <c r="L2222" s="4" t="str">
        <f>IFERROR(VLOOKUP(ROWS($L$2:L2222),$B$2:$C$1996,2,0),"")</f>
        <v/>
      </c>
      <c r="N2222" s="2" t="str">
        <f>IFERROR(VLOOKUP(ROWS($N$2:N2222),$D$2:$E$1996,2,0),"")</f>
        <v/>
      </c>
    </row>
    <row r="2223" spans="2:14">
      <c r="B2223" s="32">
        <f>IF(ISNUMBER(SEARCH('Φόρμα Εισαγωγής'!$B$2,C2223)),MAX($B$1:B2222)+1,0)</f>
        <v>0</v>
      </c>
      <c r="D2223" s="33">
        <f>IF(ISNUMBER(SEARCH('Φόρμα Εισαγωγής'!$C$2,E2223)),MAX($D$1:D2222)+1,0)</f>
        <v>0</v>
      </c>
      <c r="H2223" s="6">
        <f t="shared" si="113"/>
        <v>0</v>
      </c>
      <c r="I2223" s="6">
        <f t="shared" si="114"/>
        <v>0</v>
      </c>
      <c r="J2223" s="6">
        <f t="shared" si="115"/>
        <v>0</v>
      </c>
      <c r="L2223" s="4" t="str">
        <f>IFERROR(VLOOKUP(ROWS($L$2:L2223),$B$2:$C$1996,2,0),"")</f>
        <v/>
      </c>
      <c r="N2223" s="2" t="str">
        <f>IFERROR(VLOOKUP(ROWS($N$2:N2223),$D$2:$E$1996,2,0),"")</f>
        <v/>
      </c>
    </row>
    <row r="2224" spans="2:14">
      <c r="B2224" s="32">
        <f>IF(ISNUMBER(SEARCH('Φόρμα Εισαγωγής'!$B$2,C2224)),MAX($B$1:B2223)+1,0)</f>
        <v>0</v>
      </c>
      <c r="D2224" s="33">
        <f>IF(ISNUMBER(SEARCH('Φόρμα Εισαγωγής'!$C$2,E2224)),MAX($D$1:D2223)+1,0)</f>
        <v>0</v>
      </c>
      <c r="H2224" s="6">
        <f t="shared" si="113"/>
        <v>0</v>
      </c>
      <c r="I2224" s="6">
        <f t="shared" si="114"/>
        <v>0</v>
      </c>
      <c r="J2224" s="6">
        <f t="shared" si="115"/>
        <v>0</v>
      </c>
      <c r="L2224" s="4" t="str">
        <f>IFERROR(VLOOKUP(ROWS($L$2:L2224),$B$2:$C$1996,2,0),"")</f>
        <v/>
      </c>
      <c r="N2224" s="2" t="str">
        <f>IFERROR(VLOOKUP(ROWS($N$2:N2224),$D$2:$E$1996,2,0),"")</f>
        <v/>
      </c>
    </row>
    <row r="2225" spans="2:14">
      <c r="B2225" s="32">
        <f>IF(ISNUMBER(SEARCH('Φόρμα Εισαγωγής'!$B$2,C2225)),MAX($B$1:B2224)+1,0)</f>
        <v>0</v>
      </c>
      <c r="D2225" s="33">
        <f>IF(ISNUMBER(SEARCH('Φόρμα Εισαγωγής'!$C$2,E2225)),MAX($D$1:D2224)+1,0)</f>
        <v>0</v>
      </c>
      <c r="H2225" s="6">
        <f t="shared" si="113"/>
        <v>0</v>
      </c>
      <c r="I2225" s="6">
        <f t="shared" si="114"/>
        <v>0</v>
      </c>
      <c r="J2225" s="6">
        <f t="shared" si="115"/>
        <v>0</v>
      </c>
      <c r="L2225" s="4" t="str">
        <f>IFERROR(VLOOKUP(ROWS($L$2:L2225),$B$2:$C$1996,2,0),"")</f>
        <v/>
      </c>
      <c r="N2225" s="2" t="str">
        <f>IFERROR(VLOOKUP(ROWS($N$2:N2225),$D$2:$E$1996,2,0),"")</f>
        <v/>
      </c>
    </row>
    <row r="2226" spans="2:14">
      <c r="B2226" s="32">
        <f>IF(ISNUMBER(SEARCH('Φόρμα Εισαγωγής'!$B$2,C2226)),MAX($B$1:B2225)+1,0)</f>
        <v>0</v>
      </c>
      <c r="D2226" s="33">
        <f>IF(ISNUMBER(SEARCH('Φόρμα Εισαγωγής'!$C$2,E2226)),MAX($D$1:D2225)+1,0)</f>
        <v>0</v>
      </c>
      <c r="H2226" s="6">
        <f t="shared" si="113"/>
        <v>0</v>
      </c>
      <c r="I2226" s="6">
        <f t="shared" si="114"/>
        <v>0</v>
      </c>
      <c r="J2226" s="6">
        <f t="shared" si="115"/>
        <v>0</v>
      </c>
      <c r="L2226" s="4" t="str">
        <f>IFERROR(VLOOKUP(ROWS($L$2:L2226),$B$2:$C$1996,2,0),"")</f>
        <v/>
      </c>
      <c r="N2226" s="2" t="str">
        <f>IFERROR(VLOOKUP(ROWS($N$2:N2226),$D$2:$E$1996,2,0),"")</f>
        <v/>
      </c>
    </row>
    <row r="2227" spans="2:14">
      <c r="B2227" s="32">
        <f>IF(ISNUMBER(SEARCH('Φόρμα Εισαγωγής'!$B$2,C2227)),MAX($B$1:B2226)+1,0)</f>
        <v>0</v>
      </c>
      <c r="D2227" s="33">
        <f>IF(ISNUMBER(SEARCH('Φόρμα Εισαγωγής'!$C$2,E2227)),MAX($D$1:D2226)+1,0)</f>
        <v>0</v>
      </c>
      <c r="H2227" s="6">
        <f t="shared" si="113"/>
        <v>0</v>
      </c>
      <c r="I2227" s="6">
        <f t="shared" si="114"/>
        <v>0</v>
      </c>
      <c r="J2227" s="6">
        <f t="shared" si="115"/>
        <v>0</v>
      </c>
      <c r="L2227" s="4" t="str">
        <f>IFERROR(VLOOKUP(ROWS($L$2:L2227),$B$2:$C$1996,2,0),"")</f>
        <v/>
      </c>
      <c r="N2227" s="2" t="str">
        <f>IFERROR(VLOOKUP(ROWS($N$2:N2227),$D$2:$E$1996,2,0),"")</f>
        <v/>
      </c>
    </row>
    <row r="2228" spans="2:14">
      <c r="B2228" s="32">
        <f>IF(ISNUMBER(SEARCH('Φόρμα Εισαγωγής'!$B$2,C2228)),MAX($B$1:B2227)+1,0)</f>
        <v>0</v>
      </c>
      <c r="D2228" s="33">
        <f>IF(ISNUMBER(SEARCH('Φόρμα Εισαγωγής'!$C$2,E2228)),MAX($D$1:D2227)+1,0)</f>
        <v>0</v>
      </c>
      <c r="H2228" s="6">
        <f t="shared" si="113"/>
        <v>0</v>
      </c>
      <c r="I2228" s="6">
        <f t="shared" si="114"/>
        <v>0</v>
      </c>
      <c r="J2228" s="6">
        <f t="shared" si="115"/>
        <v>0</v>
      </c>
      <c r="L2228" s="4" t="str">
        <f>IFERROR(VLOOKUP(ROWS($L$2:L2228),$B$2:$C$1996,2,0),"")</f>
        <v/>
      </c>
      <c r="N2228" s="2" t="str">
        <f>IFERROR(VLOOKUP(ROWS($N$2:N2228),$D$2:$E$1996,2,0),"")</f>
        <v/>
      </c>
    </row>
    <row r="2229" spans="2:14">
      <c r="B2229" s="32">
        <f>IF(ISNUMBER(SEARCH('Φόρμα Εισαγωγής'!$B$2,C2229)),MAX($B$1:B2228)+1,0)</f>
        <v>0</v>
      </c>
      <c r="D2229" s="33">
        <f>IF(ISNUMBER(SEARCH('Φόρμα Εισαγωγής'!$C$2,E2229)),MAX($D$1:D2228)+1,0)</f>
        <v>0</v>
      </c>
      <c r="H2229" s="6">
        <f t="shared" si="113"/>
        <v>0</v>
      </c>
      <c r="I2229" s="6">
        <f t="shared" si="114"/>
        <v>0</v>
      </c>
      <c r="J2229" s="6">
        <f t="shared" si="115"/>
        <v>0</v>
      </c>
      <c r="L2229" s="4" t="str">
        <f>IFERROR(VLOOKUP(ROWS($L$2:L2229),$B$2:$C$1996,2,0),"")</f>
        <v/>
      </c>
      <c r="N2229" s="2" t="str">
        <f>IFERROR(VLOOKUP(ROWS($N$2:N2229),$D$2:$E$1996,2,0),"")</f>
        <v/>
      </c>
    </row>
    <row r="2230" spans="2:14">
      <c r="B2230" s="32">
        <f>IF(ISNUMBER(SEARCH('Φόρμα Εισαγωγής'!$B$2,C2230)),MAX($B$1:B2229)+1,0)</f>
        <v>0</v>
      </c>
      <c r="D2230" s="33">
        <f>IF(ISNUMBER(SEARCH('Φόρμα Εισαγωγής'!$C$2,E2230)),MAX($D$1:D2229)+1,0)</f>
        <v>0</v>
      </c>
      <c r="H2230" s="6">
        <f t="shared" si="113"/>
        <v>0</v>
      </c>
      <c r="I2230" s="6">
        <f t="shared" si="114"/>
        <v>0</v>
      </c>
      <c r="J2230" s="6">
        <f t="shared" si="115"/>
        <v>0</v>
      </c>
      <c r="L2230" s="4" t="str">
        <f>IFERROR(VLOOKUP(ROWS($L$2:L2230),$B$2:$C$1996,2,0),"")</f>
        <v/>
      </c>
      <c r="N2230" s="2" t="str">
        <f>IFERROR(VLOOKUP(ROWS($N$2:N2230),$D$2:$E$1996,2,0),"")</f>
        <v/>
      </c>
    </row>
    <row r="2231" spans="2:14">
      <c r="B2231" s="32">
        <f>IF(ISNUMBER(SEARCH('Φόρμα Εισαγωγής'!$B$2,C2231)),MAX($B$1:B2230)+1,0)</f>
        <v>0</v>
      </c>
      <c r="D2231" s="33">
        <f>IF(ISNUMBER(SEARCH('Φόρμα Εισαγωγής'!$C$2,E2231)),MAX($D$1:D2230)+1,0)</f>
        <v>0</v>
      </c>
      <c r="H2231" s="6">
        <f t="shared" si="113"/>
        <v>0</v>
      </c>
      <c r="I2231" s="6">
        <f t="shared" si="114"/>
        <v>0</v>
      </c>
      <c r="J2231" s="6">
        <f t="shared" si="115"/>
        <v>0</v>
      </c>
      <c r="L2231" s="4" t="str">
        <f>IFERROR(VLOOKUP(ROWS($L$2:L2231),$B$2:$C$1996,2,0),"")</f>
        <v/>
      </c>
      <c r="N2231" s="2" t="str">
        <f>IFERROR(VLOOKUP(ROWS($N$2:N2231),$D$2:$E$1996,2,0),"")</f>
        <v/>
      </c>
    </row>
    <row r="2232" spans="2:14">
      <c r="B2232" s="32">
        <f>IF(ISNUMBER(SEARCH('Φόρμα Εισαγωγής'!$B$2,C2232)),MAX($B$1:B2231)+1,0)</f>
        <v>0</v>
      </c>
      <c r="D2232" s="33">
        <f>IF(ISNUMBER(SEARCH('Φόρμα Εισαγωγής'!$C$2,E2232)),MAX($D$1:D2231)+1,0)</f>
        <v>0</v>
      </c>
      <c r="H2232" s="6">
        <f t="shared" si="113"/>
        <v>0</v>
      </c>
      <c r="I2232" s="6">
        <f t="shared" si="114"/>
        <v>0</v>
      </c>
      <c r="J2232" s="6">
        <f t="shared" si="115"/>
        <v>0</v>
      </c>
      <c r="L2232" s="4" t="str">
        <f>IFERROR(VLOOKUP(ROWS($L$2:L2232),$B$2:$C$1996,2,0),"")</f>
        <v/>
      </c>
      <c r="N2232" s="2" t="str">
        <f>IFERROR(VLOOKUP(ROWS($N$2:N2232),$D$2:$E$1996,2,0),"")</f>
        <v/>
      </c>
    </row>
    <row r="2233" spans="2:14">
      <c r="B2233" s="32">
        <f>IF(ISNUMBER(SEARCH('Φόρμα Εισαγωγής'!$B$2,C2233)),MAX($B$1:B2232)+1,0)</f>
        <v>0</v>
      </c>
      <c r="D2233" s="33">
        <f>IF(ISNUMBER(SEARCH('Φόρμα Εισαγωγής'!$C$2,E2233)),MAX($D$1:D2232)+1,0)</f>
        <v>0</v>
      </c>
      <c r="H2233" s="6">
        <f t="shared" si="113"/>
        <v>0</v>
      </c>
      <c r="I2233" s="6">
        <f t="shared" si="114"/>
        <v>0</v>
      </c>
      <c r="J2233" s="6">
        <f t="shared" si="115"/>
        <v>0</v>
      </c>
      <c r="L2233" s="4" t="str">
        <f>IFERROR(VLOOKUP(ROWS($L$2:L2233),$B$2:$C$1996,2,0),"")</f>
        <v/>
      </c>
      <c r="N2233" s="2" t="str">
        <f>IFERROR(VLOOKUP(ROWS($N$2:N2233),$D$2:$E$1996,2,0),"")</f>
        <v/>
      </c>
    </row>
    <row r="2234" spans="2:14">
      <c r="B2234" s="32">
        <f>IF(ISNUMBER(SEARCH('Φόρμα Εισαγωγής'!$B$2,C2234)),MAX($B$1:B2233)+1,0)</f>
        <v>0</v>
      </c>
      <c r="D2234" s="33">
        <f>IF(ISNUMBER(SEARCH('Φόρμα Εισαγωγής'!$C$2,E2234)),MAX($D$1:D2233)+1,0)</f>
        <v>0</v>
      </c>
      <c r="H2234" s="6">
        <f t="shared" si="113"/>
        <v>0</v>
      </c>
      <c r="I2234" s="6">
        <f t="shared" si="114"/>
        <v>0</v>
      </c>
      <c r="J2234" s="6">
        <f t="shared" si="115"/>
        <v>0</v>
      </c>
      <c r="L2234" s="4" t="str">
        <f>IFERROR(VLOOKUP(ROWS($L$2:L2234),$B$2:$C$1996,2,0),"")</f>
        <v/>
      </c>
      <c r="N2234" s="2" t="str">
        <f>IFERROR(VLOOKUP(ROWS($N$2:N2234),$D$2:$E$1996,2,0),"")</f>
        <v/>
      </c>
    </row>
    <row r="2235" spans="2:14">
      <c r="B2235" s="32">
        <f>IF(ISNUMBER(SEARCH('Φόρμα Εισαγωγής'!$B$2,C2235)),MAX($B$1:B2234)+1,0)</f>
        <v>0</v>
      </c>
      <c r="D2235" s="33">
        <f>IF(ISNUMBER(SEARCH('Φόρμα Εισαγωγής'!$C$2,E2235)),MAX($D$1:D2234)+1,0)</f>
        <v>0</v>
      </c>
      <c r="H2235" s="6">
        <f t="shared" si="113"/>
        <v>0</v>
      </c>
      <c r="I2235" s="6">
        <f t="shared" si="114"/>
        <v>0</v>
      </c>
      <c r="J2235" s="6">
        <f t="shared" si="115"/>
        <v>0</v>
      </c>
      <c r="L2235" s="4" t="str">
        <f>IFERROR(VLOOKUP(ROWS($L$2:L2235),$B$2:$C$1996,2,0),"")</f>
        <v/>
      </c>
      <c r="N2235" s="2" t="str">
        <f>IFERROR(VLOOKUP(ROWS($N$2:N2235),$D$2:$E$1996,2,0),"")</f>
        <v/>
      </c>
    </row>
    <row r="2236" spans="2:14">
      <c r="B2236" s="32">
        <f>IF(ISNUMBER(SEARCH('Φόρμα Εισαγωγής'!$B$2,C2236)),MAX($B$1:B2235)+1,0)</f>
        <v>0</v>
      </c>
      <c r="D2236" s="33">
        <f>IF(ISNUMBER(SEARCH('Φόρμα Εισαγωγής'!$C$2,E2236)),MAX($D$1:D2235)+1,0)</f>
        <v>0</v>
      </c>
      <c r="H2236" s="6">
        <f t="shared" si="113"/>
        <v>0</v>
      </c>
      <c r="I2236" s="6">
        <f t="shared" si="114"/>
        <v>0</v>
      </c>
      <c r="J2236" s="6">
        <f t="shared" si="115"/>
        <v>0</v>
      </c>
      <c r="L2236" s="4" t="str">
        <f>IFERROR(VLOOKUP(ROWS($L$2:L2236),$B$2:$C$1996,2,0),"")</f>
        <v/>
      </c>
      <c r="N2236" s="2" t="str">
        <f>IFERROR(VLOOKUP(ROWS($N$2:N2236),$D$2:$E$1996,2,0),"")</f>
        <v/>
      </c>
    </row>
    <row r="2237" spans="2:14">
      <c r="B2237" s="32">
        <f>IF(ISNUMBER(SEARCH('Φόρμα Εισαγωγής'!$B$2,C2237)),MAX($B$1:B2236)+1,0)</f>
        <v>0</v>
      </c>
      <c r="D2237" s="33">
        <f>IF(ISNUMBER(SEARCH('Φόρμα Εισαγωγής'!$C$2,E2237)),MAX($D$1:D2236)+1,0)</f>
        <v>0</v>
      </c>
      <c r="H2237" s="6">
        <f t="shared" si="113"/>
        <v>0</v>
      </c>
      <c r="I2237" s="6">
        <f t="shared" si="114"/>
        <v>0</v>
      </c>
      <c r="J2237" s="6">
        <f t="shared" si="115"/>
        <v>0</v>
      </c>
      <c r="L2237" s="4" t="str">
        <f>IFERROR(VLOOKUP(ROWS($L$2:L2237),$B$2:$C$1996,2,0),"")</f>
        <v/>
      </c>
      <c r="N2237" s="2" t="str">
        <f>IFERROR(VLOOKUP(ROWS($N$2:N2237),$D$2:$E$1996,2,0),"")</f>
        <v/>
      </c>
    </row>
    <row r="2238" spans="2:14">
      <c r="B2238" s="32">
        <f>IF(ISNUMBER(SEARCH('Φόρμα Εισαγωγής'!$B$2,C2238)),MAX($B$1:B2237)+1,0)</f>
        <v>0</v>
      </c>
      <c r="D2238" s="33">
        <f>IF(ISNUMBER(SEARCH('Φόρμα Εισαγωγής'!$C$2,E2238)),MAX($D$1:D2237)+1,0)</f>
        <v>0</v>
      </c>
      <c r="H2238" s="6">
        <f t="shared" si="113"/>
        <v>0</v>
      </c>
      <c r="I2238" s="6">
        <f t="shared" si="114"/>
        <v>0</v>
      </c>
      <c r="J2238" s="6">
        <f t="shared" si="115"/>
        <v>0</v>
      </c>
      <c r="L2238" s="4" t="str">
        <f>IFERROR(VLOOKUP(ROWS($L$2:L2238),$B$2:$C$1996,2,0),"")</f>
        <v/>
      </c>
      <c r="N2238" s="2" t="str">
        <f>IFERROR(VLOOKUP(ROWS($N$2:N2238),$D$2:$E$1996,2,0),"")</f>
        <v/>
      </c>
    </row>
    <row r="2239" spans="2:14">
      <c r="B2239" s="32">
        <f>IF(ISNUMBER(SEARCH('Φόρμα Εισαγωγής'!$B$2,C2239)),MAX($B$1:B2238)+1,0)</f>
        <v>0</v>
      </c>
      <c r="D2239" s="33">
        <f>IF(ISNUMBER(SEARCH('Φόρμα Εισαγωγής'!$C$2,E2239)),MAX($D$1:D2238)+1,0)</f>
        <v>0</v>
      </c>
      <c r="H2239" s="6">
        <f t="shared" si="113"/>
        <v>0</v>
      </c>
      <c r="I2239" s="6">
        <f t="shared" si="114"/>
        <v>0</v>
      </c>
      <c r="J2239" s="6">
        <f t="shared" si="115"/>
        <v>0</v>
      </c>
      <c r="L2239" s="4" t="str">
        <f>IFERROR(VLOOKUP(ROWS($L$2:L2239),$B$2:$C$1996,2,0),"")</f>
        <v/>
      </c>
      <c r="N2239" s="2" t="str">
        <f>IFERROR(VLOOKUP(ROWS($N$2:N2239),$D$2:$E$1996,2,0),"")</f>
        <v/>
      </c>
    </row>
    <row r="2240" spans="2:14">
      <c r="B2240" s="32">
        <f>IF(ISNUMBER(SEARCH('Φόρμα Εισαγωγής'!$B$2,C2240)),MAX($B$1:B2239)+1,0)</f>
        <v>0</v>
      </c>
      <c r="D2240" s="33">
        <f>IF(ISNUMBER(SEARCH('Φόρμα Εισαγωγής'!$C$2,E2240)),MAX($D$1:D2239)+1,0)</f>
        <v>0</v>
      </c>
      <c r="H2240" s="6">
        <f t="shared" ref="H2240:H2303" si="116">G2240+(G2240*0.24)</f>
        <v>0</v>
      </c>
      <c r="I2240" s="6">
        <f t="shared" ref="I2240:I2303" si="117">F2240*A2240</f>
        <v>0</v>
      </c>
      <c r="J2240" s="6">
        <f t="shared" ref="J2240:J2303" si="118">H2240*A2240</f>
        <v>0</v>
      </c>
      <c r="L2240" s="4" t="str">
        <f>IFERROR(VLOOKUP(ROWS($L$2:L2240),$B$2:$C$1996,2,0),"")</f>
        <v/>
      </c>
      <c r="N2240" s="2" t="str">
        <f>IFERROR(VLOOKUP(ROWS($N$2:N2240),$D$2:$E$1996,2,0),"")</f>
        <v/>
      </c>
    </row>
    <row r="2241" spans="2:14">
      <c r="B2241" s="32">
        <f>IF(ISNUMBER(SEARCH('Φόρμα Εισαγωγής'!$B$2,C2241)),MAX($B$1:B2240)+1,0)</f>
        <v>0</v>
      </c>
      <c r="D2241" s="33">
        <f>IF(ISNUMBER(SEARCH('Φόρμα Εισαγωγής'!$C$2,E2241)),MAX($D$1:D2240)+1,0)</f>
        <v>0</v>
      </c>
      <c r="H2241" s="6">
        <f t="shared" si="116"/>
        <v>0</v>
      </c>
      <c r="I2241" s="6">
        <f t="shared" si="117"/>
        <v>0</v>
      </c>
      <c r="J2241" s="6">
        <f t="shared" si="118"/>
        <v>0</v>
      </c>
      <c r="L2241" s="4" t="str">
        <f>IFERROR(VLOOKUP(ROWS($L$2:L2241),$B$2:$C$1996,2,0),"")</f>
        <v/>
      </c>
      <c r="N2241" s="2" t="str">
        <f>IFERROR(VLOOKUP(ROWS($N$2:N2241),$D$2:$E$1996,2,0),"")</f>
        <v/>
      </c>
    </row>
    <row r="2242" spans="2:14">
      <c r="B2242" s="32">
        <f>IF(ISNUMBER(SEARCH('Φόρμα Εισαγωγής'!$B$2,C2242)),MAX($B$1:B2241)+1,0)</f>
        <v>0</v>
      </c>
      <c r="D2242" s="33">
        <f>IF(ISNUMBER(SEARCH('Φόρμα Εισαγωγής'!$C$2,E2242)),MAX($D$1:D2241)+1,0)</f>
        <v>0</v>
      </c>
      <c r="H2242" s="6">
        <f t="shared" si="116"/>
        <v>0</v>
      </c>
      <c r="I2242" s="6">
        <f t="shared" si="117"/>
        <v>0</v>
      </c>
      <c r="J2242" s="6">
        <f t="shared" si="118"/>
        <v>0</v>
      </c>
      <c r="L2242" s="4" t="str">
        <f>IFERROR(VLOOKUP(ROWS($L$2:L2242),$B$2:$C$1996,2,0),"")</f>
        <v/>
      </c>
      <c r="N2242" s="2" t="str">
        <f>IFERROR(VLOOKUP(ROWS($N$2:N2242),$D$2:$E$1996,2,0),"")</f>
        <v/>
      </c>
    </row>
    <row r="2243" spans="2:14">
      <c r="B2243" s="32">
        <f>IF(ISNUMBER(SEARCH('Φόρμα Εισαγωγής'!$B$2,C2243)),MAX($B$1:B2242)+1,0)</f>
        <v>0</v>
      </c>
      <c r="D2243" s="33">
        <f>IF(ISNUMBER(SEARCH('Φόρμα Εισαγωγής'!$C$2,E2243)),MAX($D$1:D2242)+1,0)</f>
        <v>0</v>
      </c>
      <c r="H2243" s="6">
        <f t="shared" si="116"/>
        <v>0</v>
      </c>
      <c r="I2243" s="6">
        <f t="shared" si="117"/>
        <v>0</v>
      </c>
      <c r="J2243" s="6">
        <f t="shared" si="118"/>
        <v>0</v>
      </c>
      <c r="L2243" s="4" t="str">
        <f>IFERROR(VLOOKUP(ROWS($L$2:L2243),$B$2:$C$1996,2,0),"")</f>
        <v/>
      </c>
      <c r="N2243" s="2" t="str">
        <f>IFERROR(VLOOKUP(ROWS($N$2:N2243),$D$2:$E$1996,2,0),"")</f>
        <v/>
      </c>
    </row>
    <row r="2244" spans="2:14">
      <c r="B2244" s="32">
        <f>IF(ISNUMBER(SEARCH('Φόρμα Εισαγωγής'!$B$2,C2244)),MAX($B$1:B2243)+1,0)</f>
        <v>0</v>
      </c>
      <c r="D2244" s="33">
        <f>IF(ISNUMBER(SEARCH('Φόρμα Εισαγωγής'!$C$2,E2244)),MAX($D$1:D2243)+1,0)</f>
        <v>0</v>
      </c>
      <c r="H2244" s="6">
        <f t="shared" si="116"/>
        <v>0</v>
      </c>
      <c r="I2244" s="6">
        <f t="shared" si="117"/>
        <v>0</v>
      </c>
      <c r="J2244" s="6">
        <f t="shared" si="118"/>
        <v>0</v>
      </c>
      <c r="L2244" s="4" t="str">
        <f>IFERROR(VLOOKUP(ROWS($L$2:L2244),$B$2:$C$1996,2,0),"")</f>
        <v/>
      </c>
      <c r="N2244" s="2" t="str">
        <f>IFERROR(VLOOKUP(ROWS($N$2:N2244),$D$2:$E$1996,2,0),"")</f>
        <v/>
      </c>
    </row>
    <row r="2245" spans="2:14">
      <c r="B2245" s="32">
        <f>IF(ISNUMBER(SEARCH('Φόρμα Εισαγωγής'!$B$2,C2245)),MAX($B$1:B2244)+1,0)</f>
        <v>0</v>
      </c>
      <c r="D2245" s="33">
        <f>IF(ISNUMBER(SEARCH('Φόρμα Εισαγωγής'!$C$2,E2245)),MAX($D$1:D2244)+1,0)</f>
        <v>0</v>
      </c>
      <c r="H2245" s="6">
        <f t="shared" si="116"/>
        <v>0</v>
      </c>
      <c r="I2245" s="6">
        <f t="shared" si="117"/>
        <v>0</v>
      </c>
      <c r="J2245" s="6">
        <f t="shared" si="118"/>
        <v>0</v>
      </c>
      <c r="L2245" s="4" t="str">
        <f>IFERROR(VLOOKUP(ROWS($L$2:L2245),$B$2:$C$1996,2,0),"")</f>
        <v/>
      </c>
      <c r="N2245" s="2" t="str">
        <f>IFERROR(VLOOKUP(ROWS($N$2:N2245),$D$2:$E$1996,2,0),"")</f>
        <v/>
      </c>
    </row>
    <row r="2246" spans="2:14">
      <c r="B2246" s="32">
        <f>IF(ISNUMBER(SEARCH('Φόρμα Εισαγωγής'!$B$2,C2246)),MAX($B$1:B2245)+1,0)</f>
        <v>0</v>
      </c>
      <c r="D2246" s="33">
        <f>IF(ISNUMBER(SEARCH('Φόρμα Εισαγωγής'!$C$2,E2246)),MAX($D$1:D2245)+1,0)</f>
        <v>0</v>
      </c>
      <c r="H2246" s="6">
        <f t="shared" si="116"/>
        <v>0</v>
      </c>
      <c r="I2246" s="6">
        <f t="shared" si="117"/>
        <v>0</v>
      </c>
      <c r="J2246" s="6">
        <f t="shared" si="118"/>
        <v>0</v>
      </c>
      <c r="L2246" s="4" t="str">
        <f>IFERROR(VLOOKUP(ROWS($L$2:L2246),$B$2:$C$1996,2,0),"")</f>
        <v/>
      </c>
      <c r="N2246" s="2" t="str">
        <f>IFERROR(VLOOKUP(ROWS($N$2:N2246),$D$2:$E$1996,2,0),"")</f>
        <v/>
      </c>
    </row>
    <row r="2247" spans="2:14">
      <c r="B2247" s="32">
        <f>IF(ISNUMBER(SEARCH('Φόρμα Εισαγωγής'!$B$2,C2247)),MAX($B$1:B2246)+1,0)</f>
        <v>0</v>
      </c>
      <c r="D2247" s="33">
        <f>IF(ISNUMBER(SEARCH('Φόρμα Εισαγωγής'!$C$2,E2247)),MAX($D$1:D2246)+1,0)</f>
        <v>0</v>
      </c>
      <c r="H2247" s="6">
        <f t="shared" si="116"/>
        <v>0</v>
      </c>
      <c r="I2247" s="6">
        <f t="shared" si="117"/>
        <v>0</v>
      </c>
      <c r="J2247" s="6">
        <f t="shared" si="118"/>
        <v>0</v>
      </c>
      <c r="L2247" s="4" t="str">
        <f>IFERROR(VLOOKUP(ROWS($L$2:L2247),$B$2:$C$1996,2,0),"")</f>
        <v/>
      </c>
      <c r="N2247" s="2" t="str">
        <f>IFERROR(VLOOKUP(ROWS($N$2:N2247),$D$2:$E$1996,2,0),"")</f>
        <v/>
      </c>
    </row>
    <row r="2248" spans="2:14">
      <c r="B2248" s="32">
        <f>IF(ISNUMBER(SEARCH('Φόρμα Εισαγωγής'!$B$2,C2248)),MAX($B$1:B2247)+1,0)</f>
        <v>0</v>
      </c>
      <c r="D2248" s="33">
        <f>IF(ISNUMBER(SEARCH('Φόρμα Εισαγωγής'!$C$2,E2248)),MAX($D$1:D2247)+1,0)</f>
        <v>0</v>
      </c>
      <c r="H2248" s="6">
        <f t="shared" si="116"/>
        <v>0</v>
      </c>
      <c r="I2248" s="6">
        <f t="shared" si="117"/>
        <v>0</v>
      </c>
      <c r="J2248" s="6">
        <f t="shared" si="118"/>
        <v>0</v>
      </c>
      <c r="L2248" s="4" t="str">
        <f>IFERROR(VLOOKUP(ROWS($L$2:L2248),$B$2:$C$1996,2,0),"")</f>
        <v/>
      </c>
      <c r="N2248" s="2" t="str">
        <f>IFERROR(VLOOKUP(ROWS($N$2:N2248),$D$2:$E$1996,2,0),"")</f>
        <v/>
      </c>
    </row>
    <row r="2249" spans="2:14">
      <c r="B2249" s="32">
        <f>IF(ISNUMBER(SEARCH('Φόρμα Εισαγωγής'!$B$2,C2249)),MAX($B$1:B2248)+1,0)</f>
        <v>0</v>
      </c>
      <c r="D2249" s="33">
        <f>IF(ISNUMBER(SEARCH('Φόρμα Εισαγωγής'!$C$2,E2249)),MAX($D$1:D2248)+1,0)</f>
        <v>0</v>
      </c>
      <c r="H2249" s="6">
        <f t="shared" si="116"/>
        <v>0</v>
      </c>
      <c r="I2249" s="6">
        <f t="shared" si="117"/>
        <v>0</v>
      </c>
      <c r="J2249" s="6">
        <f t="shared" si="118"/>
        <v>0</v>
      </c>
      <c r="L2249" s="4" t="str">
        <f>IFERROR(VLOOKUP(ROWS($L$2:L2249),$B$2:$C$1996,2,0),"")</f>
        <v/>
      </c>
      <c r="N2249" s="2" t="str">
        <f>IFERROR(VLOOKUP(ROWS($N$2:N2249),$D$2:$E$1996,2,0),"")</f>
        <v/>
      </c>
    </row>
    <row r="2250" spans="2:14">
      <c r="B2250" s="32">
        <f>IF(ISNUMBER(SEARCH('Φόρμα Εισαγωγής'!$B$2,C2250)),MAX($B$1:B2249)+1,0)</f>
        <v>0</v>
      </c>
      <c r="D2250" s="33">
        <f>IF(ISNUMBER(SEARCH('Φόρμα Εισαγωγής'!$C$2,E2250)),MAX($D$1:D2249)+1,0)</f>
        <v>0</v>
      </c>
      <c r="H2250" s="6">
        <f t="shared" si="116"/>
        <v>0</v>
      </c>
      <c r="I2250" s="6">
        <f t="shared" si="117"/>
        <v>0</v>
      </c>
      <c r="J2250" s="6">
        <f t="shared" si="118"/>
        <v>0</v>
      </c>
      <c r="L2250" s="4" t="str">
        <f>IFERROR(VLOOKUP(ROWS($L$2:L2250),$B$2:$C$1996,2,0),"")</f>
        <v/>
      </c>
      <c r="N2250" s="2" t="str">
        <f>IFERROR(VLOOKUP(ROWS($N$2:N2250),$D$2:$E$1996,2,0),"")</f>
        <v/>
      </c>
    </row>
    <row r="2251" spans="2:14">
      <c r="B2251" s="32">
        <f>IF(ISNUMBER(SEARCH('Φόρμα Εισαγωγής'!$B$2,C2251)),MAX($B$1:B2250)+1,0)</f>
        <v>0</v>
      </c>
      <c r="D2251" s="33">
        <f>IF(ISNUMBER(SEARCH('Φόρμα Εισαγωγής'!$C$2,E2251)),MAX($D$1:D2250)+1,0)</f>
        <v>0</v>
      </c>
      <c r="H2251" s="6">
        <f t="shared" si="116"/>
        <v>0</v>
      </c>
      <c r="I2251" s="6">
        <f t="shared" si="117"/>
        <v>0</v>
      </c>
      <c r="J2251" s="6">
        <f t="shared" si="118"/>
        <v>0</v>
      </c>
      <c r="L2251" s="4" t="str">
        <f>IFERROR(VLOOKUP(ROWS($L$2:L2251),$B$2:$C$1996,2,0),"")</f>
        <v/>
      </c>
      <c r="N2251" s="2" t="str">
        <f>IFERROR(VLOOKUP(ROWS($N$2:N2251),$D$2:$E$1996,2,0),"")</f>
        <v/>
      </c>
    </row>
    <row r="2252" spans="2:14">
      <c r="B2252" s="32">
        <f>IF(ISNUMBER(SEARCH('Φόρμα Εισαγωγής'!$B$2,C2252)),MAX($B$1:B2251)+1,0)</f>
        <v>0</v>
      </c>
      <c r="D2252" s="33">
        <f>IF(ISNUMBER(SEARCH('Φόρμα Εισαγωγής'!$C$2,E2252)),MAX($D$1:D2251)+1,0)</f>
        <v>0</v>
      </c>
      <c r="H2252" s="6">
        <f t="shared" si="116"/>
        <v>0</v>
      </c>
      <c r="I2252" s="6">
        <f t="shared" si="117"/>
        <v>0</v>
      </c>
      <c r="J2252" s="6">
        <f t="shared" si="118"/>
        <v>0</v>
      </c>
      <c r="L2252" s="4" t="str">
        <f>IFERROR(VLOOKUP(ROWS($L$2:L2252),$B$2:$C$1996,2,0),"")</f>
        <v/>
      </c>
      <c r="N2252" s="2" t="str">
        <f>IFERROR(VLOOKUP(ROWS($N$2:N2252),$D$2:$E$1996,2,0),"")</f>
        <v/>
      </c>
    </row>
    <row r="2253" spans="2:14">
      <c r="B2253" s="32">
        <f>IF(ISNUMBER(SEARCH('Φόρμα Εισαγωγής'!$B$2,C2253)),MAX($B$1:B2252)+1,0)</f>
        <v>0</v>
      </c>
      <c r="D2253" s="33">
        <f>IF(ISNUMBER(SEARCH('Φόρμα Εισαγωγής'!$C$2,E2253)),MAX($D$1:D2252)+1,0)</f>
        <v>0</v>
      </c>
      <c r="H2253" s="6">
        <f t="shared" si="116"/>
        <v>0</v>
      </c>
      <c r="I2253" s="6">
        <f t="shared" si="117"/>
        <v>0</v>
      </c>
      <c r="J2253" s="6">
        <f t="shared" si="118"/>
        <v>0</v>
      </c>
      <c r="L2253" s="4" t="str">
        <f>IFERROR(VLOOKUP(ROWS($L$2:L2253),$B$2:$C$1996,2,0),"")</f>
        <v/>
      </c>
      <c r="N2253" s="2" t="str">
        <f>IFERROR(VLOOKUP(ROWS($N$2:N2253),$D$2:$E$1996,2,0),"")</f>
        <v/>
      </c>
    </row>
    <row r="2254" spans="2:14">
      <c r="B2254" s="32">
        <f>IF(ISNUMBER(SEARCH('Φόρμα Εισαγωγής'!$B$2,C2254)),MAX($B$1:B2253)+1,0)</f>
        <v>0</v>
      </c>
      <c r="D2254" s="33">
        <f>IF(ISNUMBER(SEARCH('Φόρμα Εισαγωγής'!$C$2,E2254)),MAX($D$1:D2253)+1,0)</f>
        <v>0</v>
      </c>
      <c r="H2254" s="6">
        <f t="shared" si="116"/>
        <v>0</v>
      </c>
      <c r="I2254" s="6">
        <f t="shared" si="117"/>
        <v>0</v>
      </c>
      <c r="J2254" s="6">
        <f t="shared" si="118"/>
        <v>0</v>
      </c>
      <c r="L2254" s="4" t="str">
        <f>IFERROR(VLOOKUP(ROWS($L$2:L2254),$B$2:$C$1996,2,0),"")</f>
        <v/>
      </c>
      <c r="N2254" s="2" t="str">
        <f>IFERROR(VLOOKUP(ROWS($N$2:N2254),$D$2:$E$1996,2,0),"")</f>
        <v/>
      </c>
    </row>
    <row r="2255" spans="2:14">
      <c r="B2255" s="32">
        <f>IF(ISNUMBER(SEARCH('Φόρμα Εισαγωγής'!$B$2,C2255)),MAX($B$1:B2254)+1,0)</f>
        <v>0</v>
      </c>
      <c r="D2255" s="33">
        <f>IF(ISNUMBER(SEARCH('Φόρμα Εισαγωγής'!$C$2,E2255)),MAX($D$1:D2254)+1,0)</f>
        <v>0</v>
      </c>
      <c r="H2255" s="6">
        <f t="shared" si="116"/>
        <v>0</v>
      </c>
      <c r="I2255" s="6">
        <f t="shared" si="117"/>
        <v>0</v>
      </c>
      <c r="J2255" s="6">
        <f t="shared" si="118"/>
        <v>0</v>
      </c>
      <c r="L2255" s="4" t="str">
        <f>IFERROR(VLOOKUP(ROWS($L$2:L2255),$B$2:$C$1996,2,0),"")</f>
        <v/>
      </c>
      <c r="N2255" s="2" t="str">
        <f>IFERROR(VLOOKUP(ROWS($N$2:N2255),$D$2:$E$1996,2,0),"")</f>
        <v/>
      </c>
    </row>
    <row r="2256" spans="2:14">
      <c r="B2256" s="32">
        <f>IF(ISNUMBER(SEARCH('Φόρμα Εισαγωγής'!$B$2,C2256)),MAX($B$1:B2255)+1,0)</f>
        <v>0</v>
      </c>
      <c r="D2256" s="33">
        <f>IF(ISNUMBER(SEARCH('Φόρμα Εισαγωγής'!$C$2,E2256)),MAX($D$1:D2255)+1,0)</f>
        <v>0</v>
      </c>
      <c r="H2256" s="6">
        <f t="shared" si="116"/>
        <v>0</v>
      </c>
      <c r="I2256" s="6">
        <f t="shared" si="117"/>
        <v>0</v>
      </c>
      <c r="J2256" s="6">
        <f t="shared" si="118"/>
        <v>0</v>
      </c>
      <c r="L2256" s="4" t="str">
        <f>IFERROR(VLOOKUP(ROWS($L$2:L2256),$B$2:$C$1996,2,0),"")</f>
        <v/>
      </c>
      <c r="N2256" s="2" t="str">
        <f>IFERROR(VLOOKUP(ROWS($N$2:N2256),$D$2:$E$1996,2,0),"")</f>
        <v/>
      </c>
    </row>
    <row r="2257" spans="2:14">
      <c r="B2257" s="32">
        <f>IF(ISNUMBER(SEARCH('Φόρμα Εισαγωγής'!$B$2,C2257)),MAX($B$1:B2256)+1,0)</f>
        <v>0</v>
      </c>
      <c r="D2257" s="33">
        <f>IF(ISNUMBER(SEARCH('Φόρμα Εισαγωγής'!$C$2,E2257)),MAX($D$1:D2256)+1,0)</f>
        <v>0</v>
      </c>
      <c r="H2257" s="6">
        <f t="shared" si="116"/>
        <v>0</v>
      </c>
      <c r="I2257" s="6">
        <f t="shared" si="117"/>
        <v>0</v>
      </c>
      <c r="J2257" s="6">
        <f t="shared" si="118"/>
        <v>0</v>
      </c>
      <c r="L2257" s="4" t="str">
        <f>IFERROR(VLOOKUP(ROWS($L$2:L2257),$B$2:$C$1996,2,0),"")</f>
        <v/>
      </c>
      <c r="N2257" s="2" t="str">
        <f>IFERROR(VLOOKUP(ROWS($N$2:N2257),$D$2:$E$1996,2,0),"")</f>
        <v/>
      </c>
    </row>
    <row r="2258" spans="2:14">
      <c r="B2258" s="32">
        <f>IF(ISNUMBER(SEARCH('Φόρμα Εισαγωγής'!$B$2,C2258)),MAX($B$1:B2257)+1,0)</f>
        <v>0</v>
      </c>
      <c r="D2258" s="33">
        <f>IF(ISNUMBER(SEARCH('Φόρμα Εισαγωγής'!$C$2,E2258)),MAX($D$1:D2257)+1,0)</f>
        <v>0</v>
      </c>
      <c r="H2258" s="6">
        <f t="shared" si="116"/>
        <v>0</v>
      </c>
      <c r="I2258" s="6">
        <f t="shared" si="117"/>
        <v>0</v>
      </c>
      <c r="J2258" s="6">
        <f t="shared" si="118"/>
        <v>0</v>
      </c>
      <c r="L2258" s="4" t="str">
        <f>IFERROR(VLOOKUP(ROWS($L$2:L2258),$B$2:$C$1996,2,0),"")</f>
        <v/>
      </c>
      <c r="N2258" s="2" t="str">
        <f>IFERROR(VLOOKUP(ROWS($N$2:N2258),$D$2:$E$1996,2,0),"")</f>
        <v/>
      </c>
    </row>
    <row r="2259" spans="2:14">
      <c r="B2259" s="32">
        <f>IF(ISNUMBER(SEARCH('Φόρμα Εισαγωγής'!$B$2,C2259)),MAX($B$1:B2258)+1,0)</f>
        <v>0</v>
      </c>
      <c r="D2259" s="33">
        <f>IF(ISNUMBER(SEARCH('Φόρμα Εισαγωγής'!$C$2,E2259)),MAX($D$1:D2258)+1,0)</f>
        <v>0</v>
      </c>
      <c r="H2259" s="6">
        <f t="shared" si="116"/>
        <v>0</v>
      </c>
      <c r="I2259" s="6">
        <f t="shared" si="117"/>
        <v>0</v>
      </c>
      <c r="J2259" s="6">
        <f t="shared" si="118"/>
        <v>0</v>
      </c>
      <c r="L2259" s="4" t="str">
        <f>IFERROR(VLOOKUP(ROWS($L$2:L2259),$B$2:$C$1996,2,0),"")</f>
        <v/>
      </c>
      <c r="N2259" s="2" t="str">
        <f>IFERROR(VLOOKUP(ROWS($N$2:N2259),$D$2:$E$1996,2,0),"")</f>
        <v/>
      </c>
    </row>
    <row r="2260" spans="2:14">
      <c r="B2260" s="32">
        <f>IF(ISNUMBER(SEARCH('Φόρμα Εισαγωγής'!$B$2,C2260)),MAX($B$1:B2259)+1,0)</f>
        <v>0</v>
      </c>
      <c r="D2260" s="33">
        <f>IF(ISNUMBER(SEARCH('Φόρμα Εισαγωγής'!$C$2,E2260)),MAX($D$1:D2259)+1,0)</f>
        <v>0</v>
      </c>
      <c r="H2260" s="6">
        <f t="shared" si="116"/>
        <v>0</v>
      </c>
      <c r="I2260" s="6">
        <f t="shared" si="117"/>
        <v>0</v>
      </c>
      <c r="J2260" s="6">
        <f t="shared" si="118"/>
        <v>0</v>
      </c>
      <c r="L2260" s="4" t="str">
        <f>IFERROR(VLOOKUP(ROWS($L$2:L2260),$B$2:$C$1996,2,0),"")</f>
        <v/>
      </c>
      <c r="N2260" s="2" t="str">
        <f>IFERROR(VLOOKUP(ROWS($N$2:N2260),$D$2:$E$1996,2,0),"")</f>
        <v/>
      </c>
    </row>
    <row r="2261" spans="2:14">
      <c r="B2261" s="32">
        <f>IF(ISNUMBER(SEARCH('Φόρμα Εισαγωγής'!$B$2,C2261)),MAX($B$1:B2260)+1,0)</f>
        <v>0</v>
      </c>
      <c r="D2261" s="33">
        <f>IF(ISNUMBER(SEARCH('Φόρμα Εισαγωγής'!$C$2,E2261)),MAX($D$1:D2260)+1,0)</f>
        <v>0</v>
      </c>
      <c r="H2261" s="6">
        <f t="shared" si="116"/>
        <v>0</v>
      </c>
      <c r="I2261" s="6">
        <f t="shared" si="117"/>
        <v>0</v>
      </c>
      <c r="J2261" s="6">
        <f t="shared" si="118"/>
        <v>0</v>
      </c>
      <c r="L2261" s="4" t="str">
        <f>IFERROR(VLOOKUP(ROWS($L$2:L2261),$B$2:$C$1996,2,0),"")</f>
        <v/>
      </c>
      <c r="N2261" s="2" t="str">
        <f>IFERROR(VLOOKUP(ROWS($N$2:N2261),$D$2:$E$1996,2,0),"")</f>
        <v/>
      </c>
    </row>
    <row r="2262" spans="2:14">
      <c r="B2262" s="32">
        <f>IF(ISNUMBER(SEARCH('Φόρμα Εισαγωγής'!$B$2,C2262)),MAX($B$1:B2261)+1,0)</f>
        <v>0</v>
      </c>
      <c r="D2262" s="33">
        <f>IF(ISNUMBER(SEARCH('Φόρμα Εισαγωγής'!$C$2,E2262)),MAX($D$1:D2261)+1,0)</f>
        <v>0</v>
      </c>
      <c r="H2262" s="6">
        <f t="shared" si="116"/>
        <v>0</v>
      </c>
      <c r="I2262" s="6">
        <f t="shared" si="117"/>
        <v>0</v>
      </c>
      <c r="J2262" s="6">
        <f t="shared" si="118"/>
        <v>0</v>
      </c>
      <c r="L2262" s="4" t="str">
        <f>IFERROR(VLOOKUP(ROWS($L$2:L2262),$B$2:$C$1996,2,0),"")</f>
        <v/>
      </c>
      <c r="N2262" s="2" t="str">
        <f>IFERROR(VLOOKUP(ROWS($N$2:N2262),$D$2:$E$1996,2,0),"")</f>
        <v/>
      </c>
    </row>
    <row r="2263" spans="2:14">
      <c r="B2263" s="32">
        <f>IF(ISNUMBER(SEARCH('Φόρμα Εισαγωγής'!$B$2,C2263)),MAX($B$1:B2262)+1,0)</f>
        <v>0</v>
      </c>
      <c r="D2263" s="33">
        <f>IF(ISNUMBER(SEARCH('Φόρμα Εισαγωγής'!$C$2,E2263)),MAX($D$1:D2262)+1,0)</f>
        <v>0</v>
      </c>
      <c r="H2263" s="6">
        <f t="shared" si="116"/>
        <v>0</v>
      </c>
      <c r="I2263" s="6">
        <f t="shared" si="117"/>
        <v>0</v>
      </c>
      <c r="J2263" s="6">
        <f t="shared" si="118"/>
        <v>0</v>
      </c>
      <c r="L2263" s="4" t="str">
        <f>IFERROR(VLOOKUP(ROWS($L$2:L2263),$B$2:$C$1996,2,0),"")</f>
        <v/>
      </c>
      <c r="N2263" s="2" t="str">
        <f>IFERROR(VLOOKUP(ROWS($N$2:N2263),$D$2:$E$1996,2,0),"")</f>
        <v/>
      </c>
    </row>
    <row r="2264" spans="2:14">
      <c r="B2264" s="32">
        <f>IF(ISNUMBER(SEARCH('Φόρμα Εισαγωγής'!$B$2,C2264)),MAX($B$1:B2263)+1,0)</f>
        <v>0</v>
      </c>
      <c r="D2264" s="33">
        <f>IF(ISNUMBER(SEARCH('Φόρμα Εισαγωγής'!$C$2,E2264)),MAX($D$1:D2263)+1,0)</f>
        <v>0</v>
      </c>
      <c r="H2264" s="6">
        <f t="shared" si="116"/>
        <v>0</v>
      </c>
      <c r="I2264" s="6">
        <f t="shared" si="117"/>
        <v>0</v>
      </c>
      <c r="J2264" s="6">
        <f t="shared" si="118"/>
        <v>0</v>
      </c>
      <c r="L2264" s="4" t="str">
        <f>IFERROR(VLOOKUP(ROWS($L$2:L2264),$B$2:$C$1996,2,0),"")</f>
        <v/>
      </c>
      <c r="N2264" s="2" t="str">
        <f>IFERROR(VLOOKUP(ROWS($N$2:N2264),$D$2:$E$1996,2,0),"")</f>
        <v/>
      </c>
    </row>
    <row r="2265" spans="2:14">
      <c r="B2265" s="32">
        <f>IF(ISNUMBER(SEARCH('Φόρμα Εισαγωγής'!$B$2,C2265)),MAX($B$1:B2264)+1,0)</f>
        <v>0</v>
      </c>
      <c r="D2265" s="33">
        <f>IF(ISNUMBER(SEARCH('Φόρμα Εισαγωγής'!$C$2,E2265)),MAX($D$1:D2264)+1,0)</f>
        <v>0</v>
      </c>
      <c r="H2265" s="6">
        <f t="shared" si="116"/>
        <v>0</v>
      </c>
      <c r="I2265" s="6">
        <f t="shared" si="117"/>
        <v>0</v>
      </c>
      <c r="J2265" s="6">
        <f t="shared" si="118"/>
        <v>0</v>
      </c>
      <c r="L2265" s="4" t="str">
        <f>IFERROR(VLOOKUP(ROWS($L$2:L2265),$B$2:$C$1996,2,0),"")</f>
        <v/>
      </c>
      <c r="N2265" s="2" t="str">
        <f>IFERROR(VLOOKUP(ROWS($N$2:N2265),$D$2:$E$1996,2,0),"")</f>
        <v/>
      </c>
    </row>
    <row r="2266" spans="2:14">
      <c r="B2266" s="32">
        <f>IF(ISNUMBER(SEARCH('Φόρμα Εισαγωγής'!$B$2,C2266)),MAX($B$1:B2265)+1,0)</f>
        <v>0</v>
      </c>
      <c r="D2266" s="33">
        <f>IF(ISNUMBER(SEARCH('Φόρμα Εισαγωγής'!$C$2,E2266)),MAX($D$1:D2265)+1,0)</f>
        <v>0</v>
      </c>
      <c r="H2266" s="6">
        <f t="shared" si="116"/>
        <v>0</v>
      </c>
      <c r="I2266" s="6">
        <f t="shared" si="117"/>
        <v>0</v>
      </c>
      <c r="J2266" s="6">
        <f t="shared" si="118"/>
        <v>0</v>
      </c>
      <c r="L2266" s="4" t="str">
        <f>IFERROR(VLOOKUP(ROWS($L$2:L2266),$B$2:$C$1996,2,0),"")</f>
        <v/>
      </c>
      <c r="N2266" s="2" t="str">
        <f>IFERROR(VLOOKUP(ROWS($N$2:N2266),$D$2:$E$1996,2,0),"")</f>
        <v/>
      </c>
    </row>
    <row r="2267" spans="2:14">
      <c r="B2267" s="32">
        <f>IF(ISNUMBER(SEARCH('Φόρμα Εισαγωγής'!$B$2,C2267)),MAX($B$1:B2266)+1,0)</f>
        <v>0</v>
      </c>
      <c r="D2267" s="33">
        <f>IF(ISNUMBER(SEARCH('Φόρμα Εισαγωγής'!$C$2,E2267)),MAX($D$1:D2266)+1,0)</f>
        <v>0</v>
      </c>
      <c r="H2267" s="6">
        <f t="shared" si="116"/>
        <v>0</v>
      </c>
      <c r="I2267" s="6">
        <f t="shared" si="117"/>
        <v>0</v>
      </c>
      <c r="J2267" s="6">
        <f t="shared" si="118"/>
        <v>0</v>
      </c>
      <c r="L2267" s="4" t="str">
        <f>IFERROR(VLOOKUP(ROWS($L$2:L2267),$B$2:$C$1996,2,0),"")</f>
        <v/>
      </c>
      <c r="N2267" s="2" t="str">
        <f>IFERROR(VLOOKUP(ROWS($N$2:N2267),$D$2:$E$1996,2,0),"")</f>
        <v/>
      </c>
    </row>
    <row r="2268" spans="2:14">
      <c r="B2268" s="32">
        <f>IF(ISNUMBER(SEARCH('Φόρμα Εισαγωγής'!$B$2,C2268)),MAX($B$1:B2267)+1,0)</f>
        <v>0</v>
      </c>
      <c r="D2268" s="33">
        <f>IF(ISNUMBER(SEARCH('Φόρμα Εισαγωγής'!$C$2,E2268)),MAX($D$1:D2267)+1,0)</f>
        <v>0</v>
      </c>
      <c r="H2268" s="6">
        <f t="shared" si="116"/>
        <v>0</v>
      </c>
      <c r="I2268" s="6">
        <f t="shared" si="117"/>
        <v>0</v>
      </c>
      <c r="J2268" s="6">
        <f t="shared" si="118"/>
        <v>0</v>
      </c>
      <c r="L2268" s="4" t="str">
        <f>IFERROR(VLOOKUP(ROWS($L$2:L2268),$B$2:$C$1996,2,0),"")</f>
        <v/>
      </c>
      <c r="N2268" s="2" t="str">
        <f>IFERROR(VLOOKUP(ROWS($N$2:N2268),$D$2:$E$1996,2,0),"")</f>
        <v/>
      </c>
    </row>
    <row r="2269" spans="2:14">
      <c r="B2269" s="32">
        <f>IF(ISNUMBER(SEARCH('Φόρμα Εισαγωγής'!$B$2,C2269)),MAX($B$1:B2268)+1,0)</f>
        <v>0</v>
      </c>
      <c r="D2269" s="33">
        <f>IF(ISNUMBER(SEARCH('Φόρμα Εισαγωγής'!$C$2,E2269)),MAX($D$1:D2268)+1,0)</f>
        <v>0</v>
      </c>
      <c r="H2269" s="6">
        <f t="shared" si="116"/>
        <v>0</v>
      </c>
      <c r="I2269" s="6">
        <f t="shared" si="117"/>
        <v>0</v>
      </c>
      <c r="J2269" s="6">
        <f t="shared" si="118"/>
        <v>0</v>
      </c>
      <c r="L2269" s="4" t="str">
        <f>IFERROR(VLOOKUP(ROWS($L$2:L2269),$B$2:$C$1996,2,0),"")</f>
        <v/>
      </c>
      <c r="N2269" s="2" t="str">
        <f>IFERROR(VLOOKUP(ROWS($N$2:N2269),$D$2:$E$1996,2,0),"")</f>
        <v/>
      </c>
    </row>
    <row r="2270" spans="2:14">
      <c r="B2270" s="32">
        <f>IF(ISNUMBER(SEARCH('Φόρμα Εισαγωγής'!$B$2,C2270)),MAX($B$1:B2269)+1,0)</f>
        <v>0</v>
      </c>
      <c r="D2270" s="33">
        <f>IF(ISNUMBER(SEARCH('Φόρμα Εισαγωγής'!$C$2,E2270)),MAX($D$1:D2269)+1,0)</f>
        <v>0</v>
      </c>
      <c r="H2270" s="6">
        <f t="shared" si="116"/>
        <v>0</v>
      </c>
      <c r="I2270" s="6">
        <f t="shared" si="117"/>
        <v>0</v>
      </c>
      <c r="J2270" s="6">
        <f t="shared" si="118"/>
        <v>0</v>
      </c>
      <c r="L2270" s="4" t="str">
        <f>IFERROR(VLOOKUP(ROWS($L$2:L2270),$B$2:$C$1996,2,0),"")</f>
        <v/>
      </c>
      <c r="N2270" s="2" t="str">
        <f>IFERROR(VLOOKUP(ROWS($N$2:N2270),$D$2:$E$1996,2,0),"")</f>
        <v/>
      </c>
    </row>
    <row r="2271" spans="2:14">
      <c r="B2271" s="32">
        <f>IF(ISNUMBER(SEARCH('Φόρμα Εισαγωγής'!$B$2,C2271)),MAX($B$1:B2270)+1,0)</f>
        <v>0</v>
      </c>
      <c r="D2271" s="33">
        <f>IF(ISNUMBER(SEARCH('Φόρμα Εισαγωγής'!$C$2,E2271)),MAX($D$1:D2270)+1,0)</f>
        <v>0</v>
      </c>
      <c r="H2271" s="6">
        <f t="shared" si="116"/>
        <v>0</v>
      </c>
      <c r="I2271" s="6">
        <f t="shared" si="117"/>
        <v>0</v>
      </c>
      <c r="J2271" s="6">
        <f t="shared" si="118"/>
        <v>0</v>
      </c>
      <c r="L2271" s="4" t="str">
        <f>IFERROR(VLOOKUP(ROWS($L$2:L2271),$B$2:$C$1996,2,0),"")</f>
        <v/>
      </c>
      <c r="N2271" s="2" t="str">
        <f>IFERROR(VLOOKUP(ROWS($N$2:N2271),$D$2:$E$1996,2,0),"")</f>
        <v/>
      </c>
    </row>
    <row r="2272" spans="2:14">
      <c r="B2272" s="32">
        <f>IF(ISNUMBER(SEARCH('Φόρμα Εισαγωγής'!$B$2,C2272)),MAX($B$1:B2271)+1,0)</f>
        <v>0</v>
      </c>
      <c r="D2272" s="33">
        <f>IF(ISNUMBER(SEARCH('Φόρμα Εισαγωγής'!$C$2,E2272)),MAX($D$1:D2271)+1,0)</f>
        <v>0</v>
      </c>
      <c r="H2272" s="6">
        <f t="shared" si="116"/>
        <v>0</v>
      </c>
      <c r="I2272" s="6">
        <f t="shared" si="117"/>
        <v>0</v>
      </c>
      <c r="J2272" s="6">
        <f t="shared" si="118"/>
        <v>0</v>
      </c>
      <c r="L2272" s="4" t="str">
        <f>IFERROR(VLOOKUP(ROWS($L$2:L2272),$B$2:$C$1996,2,0),"")</f>
        <v/>
      </c>
      <c r="N2272" s="2" t="str">
        <f>IFERROR(VLOOKUP(ROWS($N$2:N2272),$D$2:$E$1996,2,0),"")</f>
        <v/>
      </c>
    </row>
    <row r="2273" spans="2:14">
      <c r="B2273" s="32">
        <f>IF(ISNUMBER(SEARCH('Φόρμα Εισαγωγής'!$B$2,C2273)),MAX($B$1:B2272)+1,0)</f>
        <v>0</v>
      </c>
      <c r="D2273" s="33">
        <f>IF(ISNUMBER(SEARCH('Φόρμα Εισαγωγής'!$C$2,E2273)),MAX($D$1:D2272)+1,0)</f>
        <v>0</v>
      </c>
      <c r="H2273" s="6">
        <f t="shared" si="116"/>
        <v>0</v>
      </c>
      <c r="I2273" s="6">
        <f t="shared" si="117"/>
        <v>0</v>
      </c>
      <c r="J2273" s="6">
        <f t="shared" si="118"/>
        <v>0</v>
      </c>
      <c r="L2273" s="4" t="str">
        <f>IFERROR(VLOOKUP(ROWS($L$2:L2273),$B$2:$C$1996,2,0),"")</f>
        <v/>
      </c>
      <c r="N2273" s="2" t="str">
        <f>IFERROR(VLOOKUP(ROWS($N$2:N2273),$D$2:$E$1996,2,0),"")</f>
        <v/>
      </c>
    </row>
    <row r="2274" spans="2:14">
      <c r="B2274" s="32">
        <f>IF(ISNUMBER(SEARCH('Φόρμα Εισαγωγής'!$B$2,C2274)),MAX($B$1:B2273)+1,0)</f>
        <v>0</v>
      </c>
      <c r="D2274" s="33">
        <f>IF(ISNUMBER(SEARCH('Φόρμα Εισαγωγής'!$C$2,E2274)),MAX($D$1:D2273)+1,0)</f>
        <v>0</v>
      </c>
      <c r="H2274" s="6">
        <f t="shared" si="116"/>
        <v>0</v>
      </c>
      <c r="I2274" s="6">
        <f t="shared" si="117"/>
        <v>0</v>
      </c>
      <c r="J2274" s="6">
        <f t="shared" si="118"/>
        <v>0</v>
      </c>
      <c r="L2274" s="4" t="str">
        <f>IFERROR(VLOOKUP(ROWS($L$2:L2274),$B$2:$C$1996,2,0),"")</f>
        <v/>
      </c>
      <c r="N2274" s="2" t="str">
        <f>IFERROR(VLOOKUP(ROWS($N$2:N2274),$D$2:$E$1996,2,0),"")</f>
        <v/>
      </c>
    </row>
    <row r="2275" spans="2:14">
      <c r="B2275" s="32">
        <f>IF(ISNUMBER(SEARCH('Φόρμα Εισαγωγής'!$B$2,C2275)),MAX($B$1:B2274)+1,0)</f>
        <v>0</v>
      </c>
      <c r="D2275" s="33">
        <f>IF(ISNUMBER(SEARCH('Φόρμα Εισαγωγής'!$C$2,E2275)),MAX($D$1:D2274)+1,0)</f>
        <v>0</v>
      </c>
      <c r="H2275" s="6">
        <f t="shared" si="116"/>
        <v>0</v>
      </c>
      <c r="I2275" s="6">
        <f t="shared" si="117"/>
        <v>0</v>
      </c>
      <c r="J2275" s="6">
        <f t="shared" si="118"/>
        <v>0</v>
      </c>
      <c r="L2275" s="4" t="str">
        <f>IFERROR(VLOOKUP(ROWS($L$2:L2275),$B$2:$C$1996,2,0),"")</f>
        <v/>
      </c>
      <c r="N2275" s="2" t="str">
        <f>IFERROR(VLOOKUP(ROWS($N$2:N2275),$D$2:$E$1996,2,0),"")</f>
        <v/>
      </c>
    </row>
    <row r="2276" spans="2:14">
      <c r="B2276" s="32">
        <f>IF(ISNUMBER(SEARCH('Φόρμα Εισαγωγής'!$B$2,C2276)),MAX($B$1:B2275)+1,0)</f>
        <v>0</v>
      </c>
      <c r="D2276" s="33">
        <f>IF(ISNUMBER(SEARCH('Φόρμα Εισαγωγής'!$C$2,E2276)),MAX($D$1:D2275)+1,0)</f>
        <v>0</v>
      </c>
      <c r="H2276" s="6">
        <f t="shared" si="116"/>
        <v>0</v>
      </c>
      <c r="I2276" s="6">
        <f t="shared" si="117"/>
        <v>0</v>
      </c>
      <c r="J2276" s="6">
        <f t="shared" si="118"/>
        <v>0</v>
      </c>
      <c r="L2276" s="4" t="str">
        <f>IFERROR(VLOOKUP(ROWS($L$2:L2276),$B$2:$C$1996,2,0),"")</f>
        <v/>
      </c>
      <c r="N2276" s="2" t="str">
        <f>IFERROR(VLOOKUP(ROWS($N$2:N2276),$D$2:$E$1996,2,0),"")</f>
        <v/>
      </c>
    </row>
    <row r="2277" spans="2:14">
      <c r="B2277" s="32">
        <f>IF(ISNUMBER(SEARCH('Φόρμα Εισαγωγής'!$B$2,C2277)),MAX($B$1:B2276)+1,0)</f>
        <v>0</v>
      </c>
      <c r="D2277" s="33">
        <f>IF(ISNUMBER(SEARCH('Φόρμα Εισαγωγής'!$C$2,E2277)),MAX($D$1:D2276)+1,0)</f>
        <v>0</v>
      </c>
      <c r="H2277" s="6">
        <f t="shared" si="116"/>
        <v>0</v>
      </c>
      <c r="I2277" s="6">
        <f t="shared" si="117"/>
        <v>0</v>
      </c>
      <c r="J2277" s="6">
        <f t="shared" si="118"/>
        <v>0</v>
      </c>
      <c r="L2277" s="4" t="str">
        <f>IFERROR(VLOOKUP(ROWS($L$2:L2277),$B$2:$C$1996,2,0),"")</f>
        <v/>
      </c>
      <c r="N2277" s="2" t="str">
        <f>IFERROR(VLOOKUP(ROWS($N$2:N2277),$D$2:$E$1996,2,0),"")</f>
        <v/>
      </c>
    </row>
    <row r="2278" spans="2:14">
      <c r="B2278" s="32">
        <f>IF(ISNUMBER(SEARCH('Φόρμα Εισαγωγής'!$B$2,C2278)),MAX($B$1:B2277)+1,0)</f>
        <v>0</v>
      </c>
      <c r="D2278" s="33">
        <f>IF(ISNUMBER(SEARCH('Φόρμα Εισαγωγής'!$C$2,E2278)),MAX($D$1:D2277)+1,0)</f>
        <v>0</v>
      </c>
      <c r="H2278" s="6">
        <f t="shared" si="116"/>
        <v>0</v>
      </c>
      <c r="I2278" s="6">
        <f t="shared" si="117"/>
        <v>0</v>
      </c>
      <c r="J2278" s="6">
        <f t="shared" si="118"/>
        <v>0</v>
      </c>
      <c r="L2278" s="4" t="str">
        <f>IFERROR(VLOOKUP(ROWS($L$2:L2278),$B$2:$C$1996,2,0),"")</f>
        <v/>
      </c>
      <c r="N2278" s="2" t="str">
        <f>IFERROR(VLOOKUP(ROWS($N$2:N2278),$D$2:$E$1996,2,0),"")</f>
        <v/>
      </c>
    </row>
    <row r="2279" spans="2:14">
      <c r="B2279" s="32">
        <f>IF(ISNUMBER(SEARCH('Φόρμα Εισαγωγής'!$B$2,C2279)),MAX($B$1:B2278)+1,0)</f>
        <v>0</v>
      </c>
      <c r="D2279" s="33">
        <f>IF(ISNUMBER(SEARCH('Φόρμα Εισαγωγής'!$C$2,E2279)),MAX($D$1:D2278)+1,0)</f>
        <v>0</v>
      </c>
      <c r="H2279" s="6">
        <f t="shared" si="116"/>
        <v>0</v>
      </c>
      <c r="I2279" s="6">
        <f t="shared" si="117"/>
        <v>0</v>
      </c>
      <c r="J2279" s="6">
        <f t="shared" si="118"/>
        <v>0</v>
      </c>
      <c r="L2279" s="4" t="str">
        <f>IFERROR(VLOOKUP(ROWS($L$2:L2279),$B$2:$C$1996,2,0),"")</f>
        <v/>
      </c>
      <c r="N2279" s="2" t="str">
        <f>IFERROR(VLOOKUP(ROWS($N$2:N2279),$D$2:$E$1996,2,0),"")</f>
        <v/>
      </c>
    </row>
    <row r="2280" spans="2:14">
      <c r="B2280" s="32">
        <f>IF(ISNUMBER(SEARCH('Φόρμα Εισαγωγής'!$B$2,C2280)),MAX($B$1:B2279)+1,0)</f>
        <v>0</v>
      </c>
      <c r="D2280" s="33">
        <f>IF(ISNUMBER(SEARCH('Φόρμα Εισαγωγής'!$C$2,E2280)),MAX($D$1:D2279)+1,0)</f>
        <v>0</v>
      </c>
      <c r="H2280" s="6">
        <f t="shared" si="116"/>
        <v>0</v>
      </c>
      <c r="I2280" s="6">
        <f t="shared" si="117"/>
        <v>0</v>
      </c>
      <c r="J2280" s="6">
        <f t="shared" si="118"/>
        <v>0</v>
      </c>
      <c r="L2280" s="4" t="str">
        <f>IFERROR(VLOOKUP(ROWS($L$2:L2280),$B$2:$C$1996,2,0),"")</f>
        <v/>
      </c>
      <c r="N2280" s="2" t="str">
        <f>IFERROR(VLOOKUP(ROWS($N$2:N2280),$D$2:$E$1996,2,0),"")</f>
        <v/>
      </c>
    </row>
    <row r="2281" spans="2:14">
      <c r="B2281" s="32">
        <f>IF(ISNUMBER(SEARCH('Φόρμα Εισαγωγής'!$B$2,C2281)),MAX($B$1:B2280)+1,0)</f>
        <v>0</v>
      </c>
      <c r="D2281" s="33">
        <f>IF(ISNUMBER(SEARCH('Φόρμα Εισαγωγής'!$C$2,E2281)),MAX($D$1:D2280)+1,0)</f>
        <v>0</v>
      </c>
      <c r="H2281" s="6">
        <f t="shared" si="116"/>
        <v>0</v>
      </c>
      <c r="I2281" s="6">
        <f t="shared" si="117"/>
        <v>0</v>
      </c>
      <c r="J2281" s="6">
        <f t="shared" si="118"/>
        <v>0</v>
      </c>
      <c r="L2281" s="4" t="str">
        <f>IFERROR(VLOOKUP(ROWS($L$2:L2281),$B$2:$C$1996,2,0),"")</f>
        <v/>
      </c>
      <c r="N2281" s="2" t="str">
        <f>IFERROR(VLOOKUP(ROWS($N$2:N2281),$D$2:$E$1996,2,0),"")</f>
        <v/>
      </c>
    </row>
    <row r="2282" spans="2:14">
      <c r="B2282" s="32">
        <f>IF(ISNUMBER(SEARCH('Φόρμα Εισαγωγής'!$B$2,C2282)),MAX($B$1:B2281)+1,0)</f>
        <v>0</v>
      </c>
      <c r="D2282" s="33">
        <f>IF(ISNUMBER(SEARCH('Φόρμα Εισαγωγής'!$C$2,E2282)),MAX($D$1:D2281)+1,0)</f>
        <v>0</v>
      </c>
      <c r="H2282" s="6">
        <f t="shared" si="116"/>
        <v>0</v>
      </c>
      <c r="I2282" s="6">
        <f t="shared" si="117"/>
        <v>0</v>
      </c>
      <c r="J2282" s="6">
        <f t="shared" si="118"/>
        <v>0</v>
      </c>
      <c r="L2282" s="4" t="str">
        <f>IFERROR(VLOOKUP(ROWS($L$2:L2282),$B$2:$C$1996,2,0),"")</f>
        <v/>
      </c>
      <c r="N2282" s="2" t="str">
        <f>IFERROR(VLOOKUP(ROWS($N$2:N2282),$D$2:$E$1996,2,0),"")</f>
        <v/>
      </c>
    </row>
    <row r="2283" spans="2:14">
      <c r="B2283" s="32">
        <f>IF(ISNUMBER(SEARCH('Φόρμα Εισαγωγής'!$B$2,C2283)),MAX($B$1:B2282)+1,0)</f>
        <v>0</v>
      </c>
      <c r="D2283" s="33">
        <f>IF(ISNUMBER(SEARCH('Φόρμα Εισαγωγής'!$C$2,E2283)),MAX($D$1:D2282)+1,0)</f>
        <v>0</v>
      </c>
      <c r="H2283" s="6">
        <f t="shared" si="116"/>
        <v>0</v>
      </c>
      <c r="I2283" s="6">
        <f t="shared" si="117"/>
        <v>0</v>
      </c>
      <c r="J2283" s="6">
        <f t="shared" si="118"/>
        <v>0</v>
      </c>
      <c r="L2283" s="4" t="str">
        <f>IFERROR(VLOOKUP(ROWS($L$2:L2283),$B$2:$C$1996,2,0),"")</f>
        <v/>
      </c>
      <c r="N2283" s="2" t="str">
        <f>IFERROR(VLOOKUP(ROWS($N$2:N2283),$D$2:$E$1996,2,0),"")</f>
        <v/>
      </c>
    </row>
    <row r="2284" spans="2:14">
      <c r="B2284" s="32">
        <f>IF(ISNUMBER(SEARCH('Φόρμα Εισαγωγής'!$B$2,C2284)),MAX($B$1:B2283)+1,0)</f>
        <v>0</v>
      </c>
      <c r="D2284" s="33">
        <f>IF(ISNUMBER(SEARCH('Φόρμα Εισαγωγής'!$C$2,E2284)),MAX($D$1:D2283)+1,0)</f>
        <v>0</v>
      </c>
      <c r="H2284" s="6">
        <f t="shared" si="116"/>
        <v>0</v>
      </c>
      <c r="I2284" s="6">
        <f t="shared" si="117"/>
        <v>0</v>
      </c>
      <c r="J2284" s="6">
        <f t="shared" si="118"/>
        <v>0</v>
      </c>
      <c r="L2284" s="4" t="str">
        <f>IFERROR(VLOOKUP(ROWS($L$2:L2284),$B$2:$C$1996,2,0),"")</f>
        <v/>
      </c>
      <c r="N2284" s="2" t="str">
        <f>IFERROR(VLOOKUP(ROWS($N$2:N2284),$D$2:$E$1996,2,0),"")</f>
        <v/>
      </c>
    </row>
    <row r="2285" spans="2:14">
      <c r="B2285" s="32">
        <f>IF(ISNUMBER(SEARCH('Φόρμα Εισαγωγής'!$B$2,C2285)),MAX($B$1:B2284)+1,0)</f>
        <v>0</v>
      </c>
      <c r="D2285" s="33">
        <f>IF(ISNUMBER(SEARCH('Φόρμα Εισαγωγής'!$C$2,E2285)),MAX($D$1:D2284)+1,0)</f>
        <v>0</v>
      </c>
      <c r="H2285" s="6">
        <f t="shared" si="116"/>
        <v>0</v>
      </c>
      <c r="I2285" s="6">
        <f t="shared" si="117"/>
        <v>0</v>
      </c>
      <c r="J2285" s="6">
        <f t="shared" si="118"/>
        <v>0</v>
      </c>
      <c r="L2285" s="4" t="str">
        <f>IFERROR(VLOOKUP(ROWS($L$2:L2285),$B$2:$C$1996,2,0),"")</f>
        <v/>
      </c>
      <c r="N2285" s="2" t="str">
        <f>IFERROR(VLOOKUP(ROWS($N$2:N2285),$D$2:$E$1996,2,0),"")</f>
        <v/>
      </c>
    </row>
    <row r="2286" spans="2:14">
      <c r="B2286" s="32">
        <f>IF(ISNUMBER(SEARCH('Φόρμα Εισαγωγής'!$B$2,C2286)),MAX($B$1:B2285)+1,0)</f>
        <v>0</v>
      </c>
      <c r="D2286" s="33">
        <f>IF(ISNUMBER(SEARCH('Φόρμα Εισαγωγής'!$C$2,E2286)),MAX($D$1:D2285)+1,0)</f>
        <v>0</v>
      </c>
      <c r="H2286" s="6">
        <f t="shared" si="116"/>
        <v>0</v>
      </c>
      <c r="I2286" s="6">
        <f t="shared" si="117"/>
        <v>0</v>
      </c>
      <c r="J2286" s="6">
        <f t="shared" si="118"/>
        <v>0</v>
      </c>
      <c r="L2286" s="4" t="str">
        <f>IFERROR(VLOOKUP(ROWS($L$2:L2286),$B$2:$C$1996,2,0),"")</f>
        <v/>
      </c>
      <c r="N2286" s="2" t="str">
        <f>IFERROR(VLOOKUP(ROWS($N$2:N2286),$D$2:$E$1996,2,0),"")</f>
        <v/>
      </c>
    </row>
    <row r="2287" spans="2:14">
      <c r="B2287" s="32">
        <f>IF(ISNUMBER(SEARCH('Φόρμα Εισαγωγής'!$B$2,C2287)),MAX($B$1:B2286)+1,0)</f>
        <v>0</v>
      </c>
      <c r="D2287" s="33">
        <f>IF(ISNUMBER(SEARCH('Φόρμα Εισαγωγής'!$C$2,E2287)),MAX($D$1:D2286)+1,0)</f>
        <v>0</v>
      </c>
      <c r="H2287" s="6">
        <f t="shared" si="116"/>
        <v>0</v>
      </c>
      <c r="I2287" s="6">
        <f t="shared" si="117"/>
        <v>0</v>
      </c>
      <c r="J2287" s="6">
        <f t="shared" si="118"/>
        <v>0</v>
      </c>
      <c r="L2287" s="4" t="str">
        <f>IFERROR(VLOOKUP(ROWS($L$2:L2287),$B$2:$C$1996,2,0),"")</f>
        <v/>
      </c>
      <c r="N2287" s="2" t="str">
        <f>IFERROR(VLOOKUP(ROWS($N$2:N2287),$D$2:$E$1996,2,0),"")</f>
        <v/>
      </c>
    </row>
    <row r="2288" spans="2:14">
      <c r="B2288" s="32">
        <f>IF(ISNUMBER(SEARCH('Φόρμα Εισαγωγής'!$B$2,C2288)),MAX($B$1:B2287)+1,0)</f>
        <v>0</v>
      </c>
      <c r="D2288" s="33">
        <f>IF(ISNUMBER(SEARCH('Φόρμα Εισαγωγής'!$C$2,E2288)),MAX($D$1:D2287)+1,0)</f>
        <v>0</v>
      </c>
      <c r="H2288" s="6">
        <f t="shared" si="116"/>
        <v>0</v>
      </c>
      <c r="I2288" s="6">
        <f t="shared" si="117"/>
        <v>0</v>
      </c>
      <c r="J2288" s="6">
        <f t="shared" si="118"/>
        <v>0</v>
      </c>
      <c r="L2288" s="4" t="str">
        <f>IFERROR(VLOOKUP(ROWS($L$2:L2288),$B$2:$C$1996,2,0),"")</f>
        <v/>
      </c>
      <c r="N2288" s="2" t="str">
        <f>IFERROR(VLOOKUP(ROWS($N$2:N2288),$D$2:$E$1996,2,0),"")</f>
        <v/>
      </c>
    </row>
    <row r="2289" spans="2:14">
      <c r="B2289" s="32">
        <f>IF(ISNUMBER(SEARCH('Φόρμα Εισαγωγής'!$B$2,C2289)),MAX($B$1:B2288)+1,0)</f>
        <v>0</v>
      </c>
      <c r="D2289" s="33">
        <f>IF(ISNUMBER(SEARCH('Φόρμα Εισαγωγής'!$C$2,E2289)),MAX($D$1:D2288)+1,0)</f>
        <v>0</v>
      </c>
      <c r="H2289" s="6">
        <f t="shared" si="116"/>
        <v>0</v>
      </c>
      <c r="I2289" s="6">
        <f t="shared" si="117"/>
        <v>0</v>
      </c>
      <c r="J2289" s="6">
        <f t="shared" si="118"/>
        <v>0</v>
      </c>
      <c r="L2289" s="4" t="str">
        <f>IFERROR(VLOOKUP(ROWS($L$2:L2289),$B$2:$C$1996,2,0),"")</f>
        <v/>
      </c>
      <c r="N2289" s="2" t="str">
        <f>IFERROR(VLOOKUP(ROWS($N$2:N2289),$D$2:$E$1996,2,0),"")</f>
        <v/>
      </c>
    </row>
    <row r="2290" spans="2:14">
      <c r="B2290" s="32">
        <f>IF(ISNUMBER(SEARCH('Φόρμα Εισαγωγής'!$B$2,C2290)),MAX($B$1:B2289)+1,0)</f>
        <v>0</v>
      </c>
      <c r="D2290" s="33">
        <f>IF(ISNUMBER(SEARCH('Φόρμα Εισαγωγής'!$C$2,E2290)),MAX($D$1:D2289)+1,0)</f>
        <v>0</v>
      </c>
      <c r="H2290" s="6">
        <f t="shared" si="116"/>
        <v>0</v>
      </c>
      <c r="I2290" s="6">
        <f t="shared" si="117"/>
        <v>0</v>
      </c>
      <c r="J2290" s="6">
        <f t="shared" si="118"/>
        <v>0</v>
      </c>
      <c r="L2290" s="4" t="str">
        <f>IFERROR(VLOOKUP(ROWS($L$2:L2290),$B$2:$C$1996,2,0),"")</f>
        <v/>
      </c>
      <c r="N2290" s="2" t="str">
        <f>IFERROR(VLOOKUP(ROWS($N$2:N2290),$D$2:$E$1996,2,0),"")</f>
        <v/>
      </c>
    </row>
    <row r="2291" spans="2:14">
      <c r="B2291" s="32">
        <f>IF(ISNUMBER(SEARCH('Φόρμα Εισαγωγής'!$B$2,C2291)),MAX($B$1:B2290)+1,0)</f>
        <v>0</v>
      </c>
      <c r="D2291" s="33">
        <f>IF(ISNUMBER(SEARCH('Φόρμα Εισαγωγής'!$C$2,E2291)),MAX($D$1:D2290)+1,0)</f>
        <v>0</v>
      </c>
      <c r="H2291" s="6">
        <f t="shared" si="116"/>
        <v>0</v>
      </c>
      <c r="I2291" s="6">
        <f t="shared" si="117"/>
        <v>0</v>
      </c>
      <c r="J2291" s="6">
        <f t="shared" si="118"/>
        <v>0</v>
      </c>
      <c r="L2291" s="4" t="str">
        <f>IFERROR(VLOOKUP(ROWS($L$2:L2291),$B$2:$C$1996,2,0),"")</f>
        <v/>
      </c>
      <c r="N2291" s="2" t="str">
        <f>IFERROR(VLOOKUP(ROWS($N$2:N2291),$D$2:$E$1996,2,0),"")</f>
        <v/>
      </c>
    </row>
    <row r="2292" spans="2:14">
      <c r="B2292" s="32">
        <f>IF(ISNUMBER(SEARCH('Φόρμα Εισαγωγής'!$B$2,C2292)),MAX($B$1:B2291)+1,0)</f>
        <v>0</v>
      </c>
      <c r="D2292" s="33">
        <f>IF(ISNUMBER(SEARCH('Φόρμα Εισαγωγής'!$C$2,E2292)),MAX($D$1:D2291)+1,0)</f>
        <v>0</v>
      </c>
      <c r="H2292" s="6">
        <f t="shared" si="116"/>
        <v>0</v>
      </c>
      <c r="I2292" s="6">
        <f t="shared" si="117"/>
        <v>0</v>
      </c>
      <c r="J2292" s="6">
        <f t="shared" si="118"/>
        <v>0</v>
      </c>
      <c r="L2292" s="4" t="str">
        <f>IFERROR(VLOOKUP(ROWS($L$2:L2292),$B$2:$C$1996,2,0),"")</f>
        <v/>
      </c>
      <c r="N2292" s="2" t="str">
        <f>IFERROR(VLOOKUP(ROWS($N$2:N2292),$D$2:$E$1996,2,0),"")</f>
        <v/>
      </c>
    </row>
    <row r="2293" spans="2:14">
      <c r="B2293" s="32">
        <f>IF(ISNUMBER(SEARCH('Φόρμα Εισαγωγής'!$B$2,C2293)),MAX($B$1:B2292)+1,0)</f>
        <v>0</v>
      </c>
      <c r="D2293" s="33">
        <f>IF(ISNUMBER(SEARCH('Φόρμα Εισαγωγής'!$C$2,E2293)),MAX($D$1:D2292)+1,0)</f>
        <v>0</v>
      </c>
      <c r="H2293" s="6">
        <f t="shared" si="116"/>
        <v>0</v>
      </c>
      <c r="I2293" s="6">
        <f t="shared" si="117"/>
        <v>0</v>
      </c>
      <c r="J2293" s="6">
        <f t="shared" si="118"/>
        <v>0</v>
      </c>
      <c r="L2293" s="4" t="str">
        <f>IFERROR(VLOOKUP(ROWS($L$2:L2293),$B$2:$C$1996,2,0),"")</f>
        <v/>
      </c>
      <c r="N2293" s="2" t="str">
        <f>IFERROR(VLOOKUP(ROWS($N$2:N2293),$D$2:$E$1996,2,0),"")</f>
        <v/>
      </c>
    </row>
    <row r="2294" spans="2:14">
      <c r="B2294" s="32">
        <f>IF(ISNUMBER(SEARCH('Φόρμα Εισαγωγής'!$B$2,C2294)),MAX($B$1:B2293)+1,0)</f>
        <v>0</v>
      </c>
      <c r="D2294" s="33">
        <f>IF(ISNUMBER(SEARCH('Φόρμα Εισαγωγής'!$C$2,E2294)),MAX($D$1:D2293)+1,0)</f>
        <v>0</v>
      </c>
      <c r="H2294" s="6">
        <f t="shared" si="116"/>
        <v>0</v>
      </c>
      <c r="I2294" s="6">
        <f t="shared" si="117"/>
        <v>0</v>
      </c>
      <c r="J2294" s="6">
        <f t="shared" si="118"/>
        <v>0</v>
      </c>
      <c r="L2294" s="4" t="str">
        <f>IFERROR(VLOOKUP(ROWS($L$2:L2294),$B$2:$C$1996,2,0),"")</f>
        <v/>
      </c>
      <c r="N2294" s="2" t="str">
        <f>IFERROR(VLOOKUP(ROWS($N$2:N2294),$D$2:$E$1996,2,0),"")</f>
        <v/>
      </c>
    </row>
    <row r="2295" spans="2:14">
      <c r="B2295" s="32">
        <f>IF(ISNUMBER(SEARCH('Φόρμα Εισαγωγής'!$B$2,C2295)),MAX($B$1:B2294)+1,0)</f>
        <v>0</v>
      </c>
      <c r="D2295" s="33">
        <f>IF(ISNUMBER(SEARCH('Φόρμα Εισαγωγής'!$C$2,E2295)),MAX($D$1:D2294)+1,0)</f>
        <v>0</v>
      </c>
      <c r="H2295" s="6">
        <f t="shared" si="116"/>
        <v>0</v>
      </c>
      <c r="I2295" s="6">
        <f t="shared" si="117"/>
        <v>0</v>
      </c>
      <c r="J2295" s="6">
        <f t="shared" si="118"/>
        <v>0</v>
      </c>
      <c r="L2295" s="4" t="str">
        <f>IFERROR(VLOOKUP(ROWS($L$2:L2295),$B$2:$C$1996,2,0),"")</f>
        <v/>
      </c>
      <c r="N2295" s="2" t="str">
        <f>IFERROR(VLOOKUP(ROWS($N$2:N2295),$D$2:$E$1996,2,0),"")</f>
        <v/>
      </c>
    </row>
    <row r="2296" spans="2:14">
      <c r="B2296" s="32">
        <f>IF(ISNUMBER(SEARCH('Φόρμα Εισαγωγής'!$B$2,C2296)),MAX($B$1:B2295)+1,0)</f>
        <v>0</v>
      </c>
      <c r="D2296" s="33">
        <f>IF(ISNUMBER(SEARCH('Φόρμα Εισαγωγής'!$C$2,E2296)),MAX($D$1:D2295)+1,0)</f>
        <v>0</v>
      </c>
      <c r="H2296" s="6">
        <f t="shared" si="116"/>
        <v>0</v>
      </c>
      <c r="I2296" s="6">
        <f t="shared" si="117"/>
        <v>0</v>
      </c>
      <c r="J2296" s="6">
        <f t="shared" si="118"/>
        <v>0</v>
      </c>
      <c r="L2296" s="4" t="str">
        <f>IFERROR(VLOOKUP(ROWS($L$2:L2296),$B$2:$C$1996,2,0),"")</f>
        <v/>
      </c>
      <c r="N2296" s="2" t="str">
        <f>IFERROR(VLOOKUP(ROWS($N$2:N2296),$D$2:$E$1996,2,0),"")</f>
        <v/>
      </c>
    </row>
    <row r="2297" spans="2:14">
      <c r="B2297" s="32">
        <f>IF(ISNUMBER(SEARCH('Φόρμα Εισαγωγής'!$B$2,C2297)),MAX($B$1:B2296)+1,0)</f>
        <v>0</v>
      </c>
      <c r="D2297" s="33">
        <f>IF(ISNUMBER(SEARCH('Φόρμα Εισαγωγής'!$C$2,E2297)),MAX($D$1:D2296)+1,0)</f>
        <v>0</v>
      </c>
      <c r="H2297" s="6">
        <f t="shared" si="116"/>
        <v>0</v>
      </c>
      <c r="I2297" s="6">
        <f t="shared" si="117"/>
        <v>0</v>
      </c>
      <c r="J2297" s="6">
        <f t="shared" si="118"/>
        <v>0</v>
      </c>
      <c r="L2297" s="4" t="str">
        <f>IFERROR(VLOOKUP(ROWS($L$2:L2297),$B$2:$C$1996,2,0),"")</f>
        <v/>
      </c>
      <c r="N2297" s="2" t="str">
        <f>IFERROR(VLOOKUP(ROWS($N$2:N2297),$D$2:$E$1996,2,0),"")</f>
        <v/>
      </c>
    </row>
    <row r="2298" spans="2:14">
      <c r="B2298" s="32">
        <f>IF(ISNUMBER(SEARCH('Φόρμα Εισαγωγής'!$B$2,C2298)),MAX($B$1:B2297)+1,0)</f>
        <v>0</v>
      </c>
      <c r="D2298" s="33">
        <f>IF(ISNUMBER(SEARCH('Φόρμα Εισαγωγής'!$C$2,E2298)),MAX($D$1:D2297)+1,0)</f>
        <v>0</v>
      </c>
      <c r="H2298" s="6">
        <f t="shared" si="116"/>
        <v>0</v>
      </c>
      <c r="I2298" s="6">
        <f t="shared" si="117"/>
        <v>0</v>
      </c>
      <c r="J2298" s="6">
        <f t="shared" si="118"/>
        <v>0</v>
      </c>
      <c r="L2298" s="4" t="str">
        <f>IFERROR(VLOOKUP(ROWS($L$2:L2298),$B$2:$C$1996,2,0),"")</f>
        <v/>
      </c>
      <c r="N2298" s="2" t="str">
        <f>IFERROR(VLOOKUP(ROWS($N$2:N2298),$D$2:$E$1996,2,0),"")</f>
        <v/>
      </c>
    </row>
    <row r="2299" spans="2:14">
      <c r="B2299" s="32">
        <f>IF(ISNUMBER(SEARCH('Φόρμα Εισαγωγής'!$B$2,C2299)),MAX($B$1:B2298)+1,0)</f>
        <v>0</v>
      </c>
      <c r="D2299" s="33">
        <f>IF(ISNUMBER(SEARCH('Φόρμα Εισαγωγής'!$C$2,E2299)),MAX($D$1:D2298)+1,0)</f>
        <v>0</v>
      </c>
      <c r="H2299" s="6">
        <f t="shared" si="116"/>
        <v>0</v>
      </c>
      <c r="I2299" s="6">
        <f t="shared" si="117"/>
        <v>0</v>
      </c>
      <c r="J2299" s="6">
        <f t="shared" si="118"/>
        <v>0</v>
      </c>
      <c r="L2299" s="4" t="str">
        <f>IFERROR(VLOOKUP(ROWS($L$2:L2299),$B$2:$C$1996,2,0),"")</f>
        <v/>
      </c>
      <c r="N2299" s="2" t="str">
        <f>IFERROR(VLOOKUP(ROWS($N$2:N2299),$D$2:$E$1996,2,0),"")</f>
        <v/>
      </c>
    </row>
    <row r="2300" spans="2:14">
      <c r="B2300" s="32">
        <f>IF(ISNUMBER(SEARCH('Φόρμα Εισαγωγής'!$B$2,C2300)),MAX($B$1:B2299)+1,0)</f>
        <v>0</v>
      </c>
      <c r="D2300" s="33">
        <f>IF(ISNUMBER(SEARCH('Φόρμα Εισαγωγής'!$C$2,E2300)),MAX($D$1:D2299)+1,0)</f>
        <v>0</v>
      </c>
      <c r="H2300" s="6">
        <f t="shared" si="116"/>
        <v>0</v>
      </c>
      <c r="I2300" s="6">
        <f t="shared" si="117"/>
        <v>0</v>
      </c>
      <c r="J2300" s="6">
        <f t="shared" si="118"/>
        <v>0</v>
      </c>
      <c r="L2300" s="4" t="str">
        <f>IFERROR(VLOOKUP(ROWS($L$2:L2300),$B$2:$C$1996,2,0),"")</f>
        <v/>
      </c>
      <c r="N2300" s="2" t="str">
        <f>IFERROR(VLOOKUP(ROWS($N$2:N2300),$D$2:$E$1996,2,0),"")</f>
        <v/>
      </c>
    </row>
    <row r="2301" spans="2:14">
      <c r="B2301" s="32">
        <f>IF(ISNUMBER(SEARCH('Φόρμα Εισαγωγής'!$B$2,C2301)),MAX($B$1:B2300)+1,0)</f>
        <v>0</v>
      </c>
      <c r="D2301" s="33">
        <f>IF(ISNUMBER(SEARCH('Φόρμα Εισαγωγής'!$C$2,E2301)),MAX($D$1:D2300)+1,0)</f>
        <v>0</v>
      </c>
      <c r="H2301" s="6">
        <f t="shared" si="116"/>
        <v>0</v>
      </c>
      <c r="I2301" s="6">
        <f t="shared" si="117"/>
        <v>0</v>
      </c>
      <c r="J2301" s="6">
        <f t="shared" si="118"/>
        <v>0</v>
      </c>
      <c r="L2301" s="4" t="str">
        <f>IFERROR(VLOOKUP(ROWS($L$2:L2301),$B$2:$C$1996,2,0),"")</f>
        <v/>
      </c>
      <c r="N2301" s="2" t="str">
        <f>IFERROR(VLOOKUP(ROWS($N$2:N2301),$D$2:$E$1996,2,0),"")</f>
        <v/>
      </c>
    </row>
    <row r="2302" spans="2:14">
      <c r="B2302" s="32">
        <f>IF(ISNUMBER(SEARCH('Φόρμα Εισαγωγής'!$B$2,C2302)),MAX($B$1:B2301)+1,0)</f>
        <v>0</v>
      </c>
      <c r="D2302" s="33">
        <f>IF(ISNUMBER(SEARCH('Φόρμα Εισαγωγής'!$C$2,E2302)),MAX($D$1:D2301)+1,0)</f>
        <v>0</v>
      </c>
      <c r="H2302" s="6">
        <f t="shared" si="116"/>
        <v>0</v>
      </c>
      <c r="I2302" s="6">
        <f t="shared" si="117"/>
        <v>0</v>
      </c>
      <c r="J2302" s="6">
        <f t="shared" si="118"/>
        <v>0</v>
      </c>
      <c r="L2302" s="4" t="str">
        <f>IFERROR(VLOOKUP(ROWS($L$2:L2302),$B$2:$C$1996,2,0),"")</f>
        <v/>
      </c>
      <c r="N2302" s="2" t="str">
        <f>IFERROR(VLOOKUP(ROWS($N$2:N2302),$D$2:$E$1996,2,0),"")</f>
        <v/>
      </c>
    </row>
    <row r="2303" spans="2:14">
      <c r="B2303" s="32">
        <f>IF(ISNUMBER(SEARCH('Φόρμα Εισαγωγής'!$B$2,C2303)),MAX($B$1:B2302)+1,0)</f>
        <v>0</v>
      </c>
      <c r="D2303" s="33">
        <f>IF(ISNUMBER(SEARCH('Φόρμα Εισαγωγής'!$C$2,E2303)),MAX($D$1:D2302)+1,0)</f>
        <v>0</v>
      </c>
      <c r="H2303" s="6">
        <f t="shared" si="116"/>
        <v>0</v>
      </c>
      <c r="I2303" s="6">
        <f t="shared" si="117"/>
        <v>0</v>
      </c>
      <c r="J2303" s="6">
        <f t="shared" si="118"/>
        <v>0</v>
      </c>
      <c r="L2303" s="4" t="str">
        <f>IFERROR(VLOOKUP(ROWS($L$2:L2303),$B$2:$C$1996,2,0),"")</f>
        <v/>
      </c>
      <c r="N2303" s="2" t="str">
        <f>IFERROR(VLOOKUP(ROWS($N$2:N2303),$D$2:$E$1996,2,0),"")</f>
        <v/>
      </c>
    </row>
    <row r="2304" spans="2:14">
      <c r="B2304" s="32">
        <f>IF(ISNUMBER(SEARCH('Φόρμα Εισαγωγής'!$B$2,C2304)),MAX($B$1:B2303)+1,0)</f>
        <v>0</v>
      </c>
      <c r="D2304" s="33">
        <f>IF(ISNUMBER(SEARCH('Φόρμα Εισαγωγής'!$C$2,E2304)),MAX($D$1:D2303)+1,0)</f>
        <v>0</v>
      </c>
      <c r="H2304" s="6">
        <f t="shared" ref="H2304:H2367" si="119">G2304+(G2304*0.24)</f>
        <v>0</v>
      </c>
      <c r="I2304" s="6">
        <f t="shared" ref="I2304:I2367" si="120">F2304*A2304</f>
        <v>0</v>
      </c>
      <c r="J2304" s="6">
        <f t="shared" ref="J2304:J2367" si="121">H2304*A2304</f>
        <v>0</v>
      </c>
      <c r="L2304" s="4" t="str">
        <f>IFERROR(VLOOKUP(ROWS($L$2:L2304),$B$2:$C$1996,2,0),"")</f>
        <v/>
      </c>
      <c r="N2304" s="2" t="str">
        <f>IFERROR(VLOOKUP(ROWS($N$2:N2304),$D$2:$E$1996,2,0),"")</f>
        <v/>
      </c>
    </row>
    <row r="2305" spans="2:14">
      <c r="B2305" s="32">
        <f>IF(ISNUMBER(SEARCH('Φόρμα Εισαγωγής'!$B$2,C2305)),MAX($B$1:B2304)+1,0)</f>
        <v>0</v>
      </c>
      <c r="D2305" s="33">
        <f>IF(ISNUMBER(SEARCH('Φόρμα Εισαγωγής'!$C$2,E2305)),MAX($D$1:D2304)+1,0)</f>
        <v>0</v>
      </c>
      <c r="H2305" s="6">
        <f t="shared" si="119"/>
        <v>0</v>
      </c>
      <c r="I2305" s="6">
        <f t="shared" si="120"/>
        <v>0</v>
      </c>
      <c r="J2305" s="6">
        <f t="shared" si="121"/>
        <v>0</v>
      </c>
      <c r="L2305" s="4" t="str">
        <f>IFERROR(VLOOKUP(ROWS($L$2:L2305),$B$2:$C$1996,2,0),"")</f>
        <v/>
      </c>
      <c r="N2305" s="2" t="str">
        <f>IFERROR(VLOOKUP(ROWS($N$2:N2305),$D$2:$E$1996,2,0),"")</f>
        <v/>
      </c>
    </row>
    <row r="2306" spans="2:14">
      <c r="B2306" s="32">
        <f>IF(ISNUMBER(SEARCH('Φόρμα Εισαγωγής'!$B$2,C2306)),MAX($B$1:B2305)+1,0)</f>
        <v>0</v>
      </c>
      <c r="D2306" s="33">
        <f>IF(ISNUMBER(SEARCH('Φόρμα Εισαγωγής'!$C$2,E2306)),MAX($D$1:D2305)+1,0)</f>
        <v>0</v>
      </c>
      <c r="H2306" s="6">
        <f t="shared" si="119"/>
        <v>0</v>
      </c>
      <c r="I2306" s="6">
        <f t="shared" si="120"/>
        <v>0</v>
      </c>
      <c r="J2306" s="6">
        <f t="shared" si="121"/>
        <v>0</v>
      </c>
      <c r="L2306" s="4" t="str">
        <f>IFERROR(VLOOKUP(ROWS($L$2:L2306),$B$2:$C$1996,2,0),"")</f>
        <v/>
      </c>
      <c r="N2306" s="2" t="str">
        <f>IFERROR(VLOOKUP(ROWS($N$2:N2306),$D$2:$E$1996,2,0),"")</f>
        <v/>
      </c>
    </row>
    <row r="2307" spans="2:14">
      <c r="B2307" s="32">
        <f>IF(ISNUMBER(SEARCH('Φόρμα Εισαγωγής'!$B$2,C2307)),MAX($B$1:B2306)+1,0)</f>
        <v>0</v>
      </c>
      <c r="D2307" s="33">
        <f>IF(ISNUMBER(SEARCH('Φόρμα Εισαγωγής'!$C$2,E2307)),MAX($D$1:D2306)+1,0)</f>
        <v>0</v>
      </c>
      <c r="H2307" s="6">
        <f t="shared" si="119"/>
        <v>0</v>
      </c>
      <c r="I2307" s="6">
        <f t="shared" si="120"/>
        <v>0</v>
      </c>
      <c r="J2307" s="6">
        <f t="shared" si="121"/>
        <v>0</v>
      </c>
      <c r="L2307" s="4" t="str">
        <f>IFERROR(VLOOKUP(ROWS($L$2:L2307),$B$2:$C$1996,2,0),"")</f>
        <v/>
      </c>
      <c r="N2307" s="2" t="str">
        <f>IFERROR(VLOOKUP(ROWS($N$2:N2307),$D$2:$E$1996,2,0),"")</f>
        <v/>
      </c>
    </row>
    <row r="2308" spans="2:14">
      <c r="B2308" s="32">
        <f>IF(ISNUMBER(SEARCH('Φόρμα Εισαγωγής'!$B$2,C2308)),MAX($B$1:B2307)+1,0)</f>
        <v>0</v>
      </c>
      <c r="D2308" s="33">
        <f>IF(ISNUMBER(SEARCH('Φόρμα Εισαγωγής'!$C$2,E2308)),MAX($D$1:D2307)+1,0)</f>
        <v>0</v>
      </c>
      <c r="H2308" s="6">
        <f t="shared" si="119"/>
        <v>0</v>
      </c>
      <c r="I2308" s="6">
        <f t="shared" si="120"/>
        <v>0</v>
      </c>
      <c r="J2308" s="6">
        <f t="shared" si="121"/>
        <v>0</v>
      </c>
      <c r="L2308" s="4" t="str">
        <f>IFERROR(VLOOKUP(ROWS($L$2:L2308),$B$2:$C$1996,2,0),"")</f>
        <v/>
      </c>
      <c r="N2308" s="2" t="str">
        <f>IFERROR(VLOOKUP(ROWS($N$2:N2308),$D$2:$E$1996,2,0),"")</f>
        <v/>
      </c>
    </row>
    <row r="2309" spans="2:14">
      <c r="B2309" s="32">
        <f>IF(ISNUMBER(SEARCH('Φόρμα Εισαγωγής'!$B$2,C2309)),MAX($B$1:B2308)+1,0)</f>
        <v>0</v>
      </c>
      <c r="D2309" s="33">
        <f>IF(ISNUMBER(SEARCH('Φόρμα Εισαγωγής'!$C$2,E2309)),MAX($D$1:D2308)+1,0)</f>
        <v>0</v>
      </c>
      <c r="H2309" s="6">
        <f t="shared" si="119"/>
        <v>0</v>
      </c>
      <c r="I2309" s="6">
        <f t="shared" si="120"/>
        <v>0</v>
      </c>
      <c r="J2309" s="6">
        <f t="shared" si="121"/>
        <v>0</v>
      </c>
      <c r="L2309" s="4" t="str">
        <f>IFERROR(VLOOKUP(ROWS($L$2:L2309),$B$2:$C$1996,2,0),"")</f>
        <v/>
      </c>
      <c r="N2309" s="2" t="str">
        <f>IFERROR(VLOOKUP(ROWS($N$2:N2309),$D$2:$E$1996,2,0),"")</f>
        <v/>
      </c>
    </row>
    <row r="2310" spans="2:14">
      <c r="B2310" s="32">
        <f>IF(ISNUMBER(SEARCH('Φόρμα Εισαγωγής'!$B$2,C2310)),MAX($B$1:B2309)+1,0)</f>
        <v>0</v>
      </c>
      <c r="D2310" s="33">
        <f>IF(ISNUMBER(SEARCH('Φόρμα Εισαγωγής'!$C$2,E2310)),MAX($D$1:D2309)+1,0)</f>
        <v>0</v>
      </c>
      <c r="H2310" s="6">
        <f t="shared" si="119"/>
        <v>0</v>
      </c>
      <c r="I2310" s="6">
        <f t="shared" si="120"/>
        <v>0</v>
      </c>
      <c r="J2310" s="6">
        <f t="shared" si="121"/>
        <v>0</v>
      </c>
      <c r="L2310" s="4" t="str">
        <f>IFERROR(VLOOKUP(ROWS($L$2:L2310),$B$2:$C$1996,2,0),"")</f>
        <v/>
      </c>
      <c r="N2310" s="2" t="str">
        <f>IFERROR(VLOOKUP(ROWS($N$2:N2310),$D$2:$E$1996,2,0),"")</f>
        <v/>
      </c>
    </row>
    <row r="2311" spans="2:14">
      <c r="B2311" s="32">
        <f>IF(ISNUMBER(SEARCH('Φόρμα Εισαγωγής'!$B$2,C2311)),MAX($B$1:B2310)+1,0)</f>
        <v>0</v>
      </c>
      <c r="D2311" s="33">
        <f>IF(ISNUMBER(SEARCH('Φόρμα Εισαγωγής'!$C$2,E2311)),MAX($D$1:D2310)+1,0)</f>
        <v>0</v>
      </c>
      <c r="H2311" s="6">
        <f t="shared" si="119"/>
        <v>0</v>
      </c>
      <c r="I2311" s="6">
        <f t="shared" si="120"/>
        <v>0</v>
      </c>
      <c r="J2311" s="6">
        <f t="shared" si="121"/>
        <v>0</v>
      </c>
      <c r="L2311" s="4" t="str">
        <f>IFERROR(VLOOKUP(ROWS($L$2:L2311),$B$2:$C$1996,2,0),"")</f>
        <v/>
      </c>
      <c r="N2311" s="2" t="str">
        <f>IFERROR(VLOOKUP(ROWS($N$2:N2311),$D$2:$E$1996,2,0),"")</f>
        <v/>
      </c>
    </row>
    <row r="2312" spans="2:14">
      <c r="B2312" s="32">
        <f>IF(ISNUMBER(SEARCH('Φόρμα Εισαγωγής'!$B$2,C2312)),MAX($B$1:B2311)+1,0)</f>
        <v>0</v>
      </c>
      <c r="D2312" s="33">
        <f>IF(ISNUMBER(SEARCH('Φόρμα Εισαγωγής'!$C$2,E2312)),MAX($D$1:D2311)+1,0)</f>
        <v>0</v>
      </c>
      <c r="H2312" s="6">
        <f t="shared" si="119"/>
        <v>0</v>
      </c>
      <c r="I2312" s="6">
        <f t="shared" si="120"/>
        <v>0</v>
      </c>
      <c r="J2312" s="6">
        <f t="shared" si="121"/>
        <v>0</v>
      </c>
      <c r="L2312" s="4" t="str">
        <f>IFERROR(VLOOKUP(ROWS($L$2:L2312),$B$2:$C$1996,2,0),"")</f>
        <v/>
      </c>
      <c r="N2312" s="2" t="str">
        <f>IFERROR(VLOOKUP(ROWS($N$2:N2312),$D$2:$E$1996,2,0),"")</f>
        <v/>
      </c>
    </row>
    <row r="2313" spans="2:14">
      <c r="B2313" s="32">
        <f>IF(ISNUMBER(SEARCH('Φόρμα Εισαγωγής'!$B$2,C2313)),MAX($B$1:B2312)+1,0)</f>
        <v>0</v>
      </c>
      <c r="D2313" s="33">
        <f>IF(ISNUMBER(SEARCH('Φόρμα Εισαγωγής'!$C$2,E2313)),MAX($D$1:D2312)+1,0)</f>
        <v>0</v>
      </c>
      <c r="H2313" s="6">
        <f t="shared" si="119"/>
        <v>0</v>
      </c>
      <c r="I2313" s="6">
        <f t="shared" si="120"/>
        <v>0</v>
      </c>
      <c r="J2313" s="6">
        <f t="shared" si="121"/>
        <v>0</v>
      </c>
      <c r="L2313" s="4" t="str">
        <f>IFERROR(VLOOKUP(ROWS($L$2:L2313),$B$2:$C$1996,2,0),"")</f>
        <v/>
      </c>
      <c r="N2313" s="2" t="str">
        <f>IFERROR(VLOOKUP(ROWS($N$2:N2313),$D$2:$E$1996,2,0),"")</f>
        <v/>
      </c>
    </row>
    <row r="2314" spans="2:14">
      <c r="B2314" s="32">
        <f>IF(ISNUMBER(SEARCH('Φόρμα Εισαγωγής'!$B$2,C2314)),MAX($B$1:B2313)+1,0)</f>
        <v>0</v>
      </c>
      <c r="D2314" s="33">
        <f>IF(ISNUMBER(SEARCH('Φόρμα Εισαγωγής'!$C$2,E2314)),MAX($D$1:D2313)+1,0)</f>
        <v>0</v>
      </c>
      <c r="H2314" s="6">
        <f t="shared" si="119"/>
        <v>0</v>
      </c>
      <c r="I2314" s="6">
        <f t="shared" si="120"/>
        <v>0</v>
      </c>
      <c r="J2314" s="6">
        <f t="shared" si="121"/>
        <v>0</v>
      </c>
      <c r="L2314" s="4" t="str">
        <f>IFERROR(VLOOKUP(ROWS($L$2:L2314),$B$2:$C$1996,2,0),"")</f>
        <v/>
      </c>
      <c r="N2314" s="2" t="str">
        <f>IFERROR(VLOOKUP(ROWS($N$2:N2314),$D$2:$E$1996,2,0),"")</f>
        <v/>
      </c>
    </row>
    <row r="2315" spans="2:14">
      <c r="B2315" s="32">
        <f>IF(ISNUMBER(SEARCH('Φόρμα Εισαγωγής'!$B$2,C2315)),MAX($B$1:B2314)+1,0)</f>
        <v>0</v>
      </c>
      <c r="D2315" s="33">
        <f>IF(ISNUMBER(SEARCH('Φόρμα Εισαγωγής'!$C$2,E2315)),MAX($D$1:D2314)+1,0)</f>
        <v>0</v>
      </c>
      <c r="H2315" s="6">
        <f t="shared" si="119"/>
        <v>0</v>
      </c>
      <c r="I2315" s="6">
        <f t="shared" si="120"/>
        <v>0</v>
      </c>
      <c r="J2315" s="6">
        <f t="shared" si="121"/>
        <v>0</v>
      </c>
      <c r="L2315" s="4" t="str">
        <f>IFERROR(VLOOKUP(ROWS($L$2:L2315),$B$2:$C$1996,2,0),"")</f>
        <v/>
      </c>
      <c r="N2315" s="2" t="str">
        <f>IFERROR(VLOOKUP(ROWS($N$2:N2315),$D$2:$E$1996,2,0),"")</f>
        <v/>
      </c>
    </row>
    <row r="2316" spans="2:14">
      <c r="B2316" s="32">
        <f>IF(ISNUMBER(SEARCH('Φόρμα Εισαγωγής'!$B$2,C2316)),MAX($B$1:B2315)+1,0)</f>
        <v>0</v>
      </c>
      <c r="D2316" s="33">
        <f>IF(ISNUMBER(SEARCH('Φόρμα Εισαγωγής'!$C$2,E2316)),MAX($D$1:D2315)+1,0)</f>
        <v>0</v>
      </c>
      <c r="H2316" s="6">
        <f t="shared" si="119"/>
        <v>0</v>
      </c>
      <c r="I2316" s="6">
        <f t="shared" si="120"/>
        <v>0</v>
      </c>
      <c r="J2316" s="6">
        <f t="shared" si="121"/>
        <v>0</v>
      </c>
      <c r="L2316" s="4" t="str">
        <f>IFERROR(VLOOKUP(ROWS($L$2:L2316),$B$2:$C$1996,2,0),"")</f>
        <v/>
      </c>
      <c r="N2316" s="2" t="str">
        <f>IFERROR(VLOOKUP(ROWS($N$2:N2316),$D$2:$E$1996,2,0),"")</f>
        <v/>
      </c>
    </row>
    <row r="2317" spans="2:14">
      <c r="B2317" s="32">
        <f>IF(ISNUMBER(SEARCH('Φόρμα Εισαγωγής'!$B$2,C2317)),MAX($B$1:B2316)+1,0)</f>
        <v>0</v>
      </c>
      <c r="D2317" s="33">
        <f>IF(ISNUMBER(SEARCH('Φόρμα Εισαγωγής'!$C$2,E2317)),MAX($D$1:D2316)+1,0)</f>
        <v>0</v>
      </c>
      <c r="H2317" s="6">
        <f t="shared" si="119"/>
        <v>0</v>
      </c>
      <c r="I2317" s="6">
        <f t="shared" si="120"/>
        <v>0</v>
      </c>
      <c r="J2317" s="6">
        <f t="shared" si="121"/>
        <v>0</v>
      </c>
      <c r="L2317" s="4" t="str">
        <f>IFERROR(VLOOKUP(ROWS($L$2:L2317),$B$2:$C$1996,2,0),"")</f>
        <v/>
      </c>
      <c r="N2317" s="2" t="str">
        <f>IFERROR(VLOOKUP(ROWS($N$2:N2317),$D$2:$E$1996,2,0),"")</f>
        <v/>
      </c>
    </row>
    <row r="2318" spans="2:14">
      <c r="B2318" s="32">
        <f>IF(ISNUMBER(SEARCH('Φόρμα Εισαγωγής'!$B$2,C2318)),MAX($B$1:B2317)+1,0)</f>
        <v>0</v>
      </c>
      <c r="D2318" s="33">
        <f>IF(ISNUMBER(SEARCH('Φόρμα Εισαγωγής'!$C$2,E2318)),MAX($D$1:D2317)+1,0)</f>
        <v>0</v>
      </c>
      <c r="H2318" s="6">
        <f t="shared" si="119"/>
        <v>0</v>
      </c>
      <c r="I2318" s="6">
        <f t="shared" si="120"/>
        <v>0</v>
      </c>
      <c r="J2318" s="6">
        <f t="shared" si="121"/>
        <v>0</v>
      </c>
      <c r="L2318" s="4" t="str">
        <f>IFERROR(VLOOKUP(ROWS($L$2:L2318),$B$2:$C$1996,2,0),"")</f>
        <v/>
      </c>
      <c r="N2318" s="2" t="str">
        <f>IFERROR(VLOOKUP(ROWS($N$2:N2318),$D$2:$E$1996,2,0),"")</f>
        <v/>
      </c>
    </row>
    <row r="2319" spans="2:14">
      <c r="B2319" s="32">
        <f>IF(ISNUMBER(SEARCH('Φόρμα Εισαγωγής'!$B$2,C2319)),MAX($B$1:B2318)+1,0)</f>
        <v>0</v>
      </c>
      <c r="D2319" s="33">
        <f>IF(ISNUMBER(SEARCH('Φόρμα Εισαγωγής'!$C$2,E2319)),MAX($D$1:D2318)+1,0)</f>
        <v>0</v>
      </c>
      <c r="H2319" s="6">
        <f t="shared" si="119"/>
        <v>0</v>
      </c>
      <c r="I2319" s="6">
        <f t="shared" si="120"/>
        <v>0</v>
      </c>
      <c r="J2319" s="6">
        <f t="shared" si="121"/>
        <v>0</v>
      </c>
      <c r="L2319" s="4" t="str">
        <f>IFERROR(VLOOKUP(ROWS($L$2:L2319),$B$2:$C$1996,2,0),"")</f>
        <v/>
      </c>
      <c r="N2319" s="2" t="str">
        <f>IFERROR(VLOOKUP(ROWS($N$2:N2319),$D$2:$E$1996,2,0),"")</f>
        <v/>
      </c>
    </row>
    <row r="2320" spans="2:14">
      <c r="B2320" s="32">
        <f>IF(ISNUMBER(SEARCH('Φόρμα Εισαγωγής'!$B$2,C2320)),MAX($B$1:B2319)+1,0)</f>
        <v>0</v>
      </c>
      <c r="D2320" s="33">
        <f>IF(ISNUMBER(SEARCH('Φόρμα Εισαγωγής'!$C$2,E2320)),MAX($D$1:D2319)+1,0)</f>
        <v>0</v>
      </c>
      <c r="H2320" s="6">
        <f t="shared" si="119"/>
        <v>0</v>
      </c>
      <c r="I2320" s="6">
        <f t="shared" si="120"/>
        <v>0</v>
      </c>
      <c r="J2320" s="6">
        <f t="shared" si="121"/>
        <v>0</v>
      </c>
      <c r="L2320" s="4" t="str">
        <f>IFERROR(VLOOKUP(ROWS($L$2:L2320),$B$2:$C$1996,2,0),"")</f>
        <v/>
      </c>
      <c r="N2320" s="2" t="str">
        <f>IFERROR(VLOOKUP(ROWS($N$2:N2320),$D$2:$E$1996,2,0),"")</f>
        <v/>
      </c>
    </row>
    <row r="2321" spans="2:14">
      <c r="B2321" s="32">
        <f>IF(ISNUMBER(SEARCH('Φόρμα Εισαγωγής'!$B$2,C2321)),MAX($B$1:B2320)+1,0)</f>
        <v>0</v>
      </c>
      <c r="D2321" s="33">
        <f>IF(ISNUMBER(SEARCH('Φόρμα Εισαγωγής'!$C$2,E2321)),MAX($D$1:D2320)+1,0)</f>
        <v>0</v>
      </c>
      <c r="H2321" s="6">
        <f t="shared" si="119"/>
        <v>0</v>
      </c>
      <c r="I2321" s="6">
        <f t="shared" si="120"/>
        <v>0</v>
      </c>
      <c r="J2321" s="6">
        <f t="shared" si="121"/>
        <v>0</v>
      </c>
      <c r="L2321" s="4" t="str">
        <f>IFERROR(VLOOKUP(ROWS($L$2:L2321),$B$2:$C$1996,2,0),"")</f>
        <v/>
      </c>
      <c r="N2321" s="2" t="str">
        <f>IFERROR(VLOOKUP(ROWS($N$2:N2321),$D$2:$E$1996,2,0),"")</f>
        <v/>
      </c>
    </row>
    <row r="2322" spans="2:14">
      <c r="B2322" s="32">
        <f>IF(ISNUMBER(SEARCH('Φόρμα Εισαγωγής'!$B$2,C2322)),MAX($B$1:B2321)+1,0)</f>
        <v>0</v>
      </c>
      <c r="D2322" s="33">
        <f>IF(ISNUMBER(SEARCH('Φόρμα Εισαγωγής'!$C$2,E2322)),MAX($D$1:D2321)+1,0)</f>
        <v>0</v>
      </c>
      <c r="H2322" s="6">
        <f t="shared" si="119"/>
        <v>0</v>
      </c>
      <c r="I2322" s="6">
        <f t="shared" si="120"/>
        <v>0</v>
      </c>
      <c r="J2322" s="6">
        <f t="shared" si="121"/>
        <v>0</v>
      </c>
      <c r="L2322" s="4" t="str">
        <f>IFERROR(VLOOKUP(ROWS($L$2:L2322),$B$2:$C$1996,2,0),"")</f>
        <v/>
      </c>
      <c r="N2322" s="2" t="str">
        <f>IFERROR(VLOOKUP(ROWS($N$2:N2322),$D$2:$E$1996,2,0),"")</f>
        <v/>
      </c>
    </row>
    <row r="2323" spans="2:14">
      <c r="B2323" s="32">
        <f>IF(ISNUMBER(SEARCH('Φόρμα Εισαγωγής'!$B$2,C2323)),MAX($B$1:B2322)+1,0)</f>
        <v>0</v>
      </c>
      <c r="D2323" s="33">
        <f>IF(ISNUMBER(SEARCH('Φόρμα Εισαγωγής'!$C$2,E2323)),MAX($D$1:D2322)+1,0)</f>
        <v>0</v>
      </c>
      <c r="H2323" s="6">
        <f t="shared" si="119"/>
        <v>0</v>
      </c>
      <c r="I2323" s="6">
        <f t="shared" si="120"/>
        <v>0</v>
      </c>
      <c r="J2323" s="6">
        <f t="shared" si="121"/>
        <v>0</v>
      </c>
      <c r="L2323" s="4" t="str">
        <f>IFERROR(VLOOKUP(ROWS($L$2:L2323),$B$2:$C$1996,2,0),"")</f>
        <v/>
      </c>
      <c r="N2323" s="2" t="str">
        <f>IFERROR(VLOOKUP(ROWS($N$2:N2323),$D$2:$E$1996,2,0),"")</f>
        <v/>
      </c>
    </row>
    <row r="2324" spans="2:14">
      <c r="B2324" s="32">
        <f>IF(ISNUMBER(SEARCH('Φόρμα Εισαγωγής'!$B$2,C2324)),MAX($B$1:B2323)+1,0)</f>
        <v>0</v>
      </c>
      <c r="D2324" s="33">
        <f>IF(ISNUMBER(SEARCH('Φόρμα Εισαγωγής'!$C$2,E2324)),MAX($D$1:D2323)+1,0)</f>
        <v>0</v>
      </c>
      <c r="H2324" s="6">
        <f t="shared" si="119"/>
        <v>0</v>
      </c>
      <c r="I2324" s="6">
        <f t="shared" si="120"/>
        <v>0</v>
      </c>
      <c r="J2324" s="6">
        <f t="shared" si="121"/>
        <v>0</v>
      </c>
      <c r="L2324" s="4" t="str">
        <f>IFERROR(VLOOKUP(ROWS($L$2:L2324),$B$2:$C$1996,2,0),"")</f>
        <v/>
      </c>
      <c r="N2324" s="2" t="str">
        <f>IFERROR(VLOOKUP(ROWS($N$2:N2324),$D$2:$E$1996,2,0),"")</f>
        <v/>
      </c>
    </row>
    <row r="2325" spans="2:14">
      <c r="B2325" s="32">
        <f>IF(ISNUMBER(SEARCH('Φόρμα Εισαγωγής'!$B$2,C2325)),MAX($B$1:B2324)+1,0)</f>
        <v>0</v>
      </c>
      <c r="D2325" s="33">
        <f>IF(ISNUMBER(SEARCH('Φόρμα Εισαγωγής'!$C$2,E2325)),MAX($D$1:D2324)+1,0)</f>
        <v>0</v>
      </c>
      <c r="H2325" s="6">
        <f t="shared" si="119"/>
        <v>0</v>
      </c>
      <c r="I2325" s="6">
        <f t="shared" si="120"/>
        <v>0</v>
      </c>
      <c r="J2325" s="6">
        <f t="shared" si="121"/>
        <v>0</v>
      </c>
      <c r="L2325" s="4" t="str">
        <f>IFERROR(VLOOKUP(ROWS($L$2:L2325),$B$2:$C$1996,2,0),"")</f>
        <v/>
      </c>
      <c r="N2325" s="2" t="str">
        <f>IFERROR(VLOOKUP(ROWS($N$2:N2325),$D$2:$E$1996,2,0),"")</f>
        <v/>
      </c>
    </row>
    <row r="2326" spans="2:14">
      <c r="B2326" s="32">
        <f>IF(ISNUMBER(SEARCH('Φόρμα Εισαγωγής'!$B$2,C2326)),MAX($B$1:B2325)+1,0)</f>
        <v>0</v>
      </c>
      <c r="D2326" s="33">
        <f>IF(ISNUMBER(SEARCH('Φόρμα Εισαγωγής'!$C$2,E2326)),MAX($D$1:D2325)+1,0)</f>
        <v>0</v>
      </c>
      <c r="H2326" s="6">
        <f t="shared" si="119"/>
        <v>0</v>
      </c>
      <c r="I2326" s="6">
        <f t="shared" si="120"/>
        <v>0</v>
      </c>
      <c r="J2326" s="6">
        <f t="shared" si="121"/>
        <v>0</v>
      </c>
      <c r="L2326" s="4" t="str">
        <f>IFERROR(VLOOKUP(ROWS($L$2:L2326),$B$2:$C$1996,2,0),"")</f>
        <v/>
      </c>
      <c r="N2326" s="2" t="str">
        <f>IFERROR(VLOOKUP(ROWS($N$2:N2326),$D$2:$E$1996,2,0),"")</f>
        <v/>
      </c>
    </row>
    <row r="2327" spans="2:14">
      <c r="B2327" s="32">
        <f>IF(ISNUMBER(SEARCH('Φόρμα Εισαγωγής'!$B$2,C2327)),MAX($B$1:B2326)+1,0)</f>
        <v>0</v>
      </c>
      <c r="D2327" s="33">
        <f>IF(ISNUMBER(SEARCH('Φόρμα Εισαγωγής'!$C$2,E2327)),MAX($D$1:D2326)+1,0)</f>
        <v>0</v>
      </c>
      <c r="H2327" s="6">
        <f t="shared" si="119"/>
        <v>0</v>
      </c>
      <c r="I2327" s="6">
        <f t="shared" si="120"/>
        <v>0</v>
      </c>
      <c r="J2327" s="6">
        <f t="shared" si="121"/>
        <v>0</v>
      </c>
      <c r="L2327" s="4" t="str">
        <f>IFERROR(VLOOKUP(ROWS($L$2:L2327),$B$2:$C$1996,2,0),"")</f>
        <v/>
      </c>
      <c r="N2327" s="2" t="str">
        <f>IFERROR(VLOOKUP(ROWS($N$2:N2327),$D$2:$E$1996,2,0),"")</f>
        <v/>
      </c>
    </row>
    <row r="2328" spans="2:14">
      <c r="B2328" s="32">
        <f>IF(ISNUMBER(SEARCH('Φόρμα Εισαγωγής'!$B$2,C2328)),MAX($B$1:B2327)+1,0)</f>
        <v>0</v>
      </c>
      <c r="D2328" s="33">
        <f>IF(ISNUMBER(SEARCH('Φόρμα Εισαγωγής'!$C$2,E2328)),MAX($D$1:D2327)+1,0)</f>
        <v>0</v>
      </c>
      <c r="H2328" s="6">
        <f t="shared" si="119"/>
        <v>0</v>
      </c>
      <c r="I2328" s="6">
        <f t="shared" si="120"/>
        <v>0</v>
      </c>
      <c r="J2328" s="6">
        <f t="shared" si="121"/>
        <v>0</v>
      </c>
      <c r="L2328" s="4" t="str">
        <f>IFERROR(VLOOKUP(ROWS($L$2:L2328),$B$2:$C$1996,2,0),"")</f>
        <v/>
      </c>
      <c r="N2328" s="2" t="str">
        <f>IFERROR(VLOOKUP(ROWS($N$2:N2328),$D$2:$E$1996,2,0),"")</f>
        <v/>
      </c>
    </row>
    <row r="2329" spans="2:14">
      <c r="B2329" s="32">
        <f>IF(ISNUMBER(SEARCH('Φόρμα Εισαγωγής'!$B$2,C2329)),MAX($B$1:B2328)+1,0)</f>
        <v>0</v>
      </c>
      <c r="D2329" s="33">
        <f>IF(ISNUMBER(SEARCH('Φόρμα Εισαγωγής'!$C$2,E2329)),MAX($D$1:D2328)+1,0)</f>
        <v>0</v>
      </c>
      <c r="H2329" s="6">
        <f t="shared" si="119"/>
        <v>0</v>
      </c>
      <c r="I2329" s="6">
        <f t="shared" si="120"/>
        <v>0</v>
      </c>
      <c r="J2329" s="6">
        <f t="shared" si="121"/>
        <v>0</v>
      </c>
      <c r="L2329" s="4" t="str">
        <f>IFERROR(VLOOKUP(ROWS($L$2:L2329),$B$2:$C$1996,2,0),"")</f>
        <v/>
      </c>
      <c r="N2329" s="2" t="str">
        <f>IFERROR(VLOOKUP(ROWS($N$2:N2329),$D$2:$E$1996,2,0),"")</f>
        <v/>
      </c>
    </row>
    <row r="2330" spans="2:14">
      <c r="B2330" s="32">
        <f>IF(ISNUMBER(SEARCH('Φόρμα Εισαγωγής'!$B$2,C2330)),MAX($B$1:B2329)+1,0)</f>
        <v>0</v>
      </c>
      <c r="D2330" s="33">
        <f>IF(ISNUMBER(SEARCH('Φόρμα Εισαγωγής'!$C$2,E2330)),MAX($D$1:D2329)+1,0)</f>
        <v>0</v>
      </c>
      <c r="H2330" s="6">
        <f t="shared" si="119"/>
        <v>0</v>
      </c>
      <c r="I2330" s="6">
        <f t="shared" si="120"/>
        <v>0</v>
      </c>
      <c r="J2330" s="6">
        <f t="shared" si="121"/>
        <v>0</v>
      </c>
      <c r="L2330" s="4" t="str">
        <f>IFERROR(VLOOKUP(ROWS($L$2:L2330),$B$2:$C$1996,2,0),"")</f>
        <v/>
      </c>
      <c r="N2330" s="2" t="str">
        <f>IFERROR(VLOOKUP(ROWS($N$2:N2330),$D$2:$E$1996,2,0),"")</f>
        <v/>
      </c>
    </row>
    <row r="2331" spans="2:14">
      <c r="B2331" s="32">
        <f>IF(ISNUMBER(SEARCH('Φόρμα Εισαγωγής'!$B$2,C2331)),MAX($B$1:B2330)+1,0)</f>
        <v>0</v>
      </c>
      <c r="D2331" s="33">
        <f>IF(ISNUMBER(SEARCH('Φόρμα Εισαγωγής'!$C$2,E2331)),MAX($D$1:D2330)+1,0)</f>
        <v>0</v>
      </c>
      <c r="H2331" s="6">
        <f t="shared" si="119"/>
        <v>0</v>
      </c>
      <c r="I2331" s="6">
        <f t="shared" si="120"/>
        <v>0</v>
      </c>
      <c r="J2331" s="6">
        <f t="shared" si="121"/>
        <v>0</v>
      </c>
      <c r="L2331" s="4" t="str">
        <f>IFERROR(VLOOKUP(ROWS($L$2:L2331),$B$2:$C$1996,2,0),"")</f>
        <v/>
      </c>
      <c r="N2331" s="2" t="str">
        <f>IFERROR(VLOOKUP(ROWS($N$2:N2331),$D$2:$E$1996,2,0),"")</f>
        <v/>
      </c>
    </row>
    <row r="2332" spans="2:14">
      <c r="B2332" s="32">
        <f>IF(ISNUMBER(SEARCH('Φόρμα Εισαγωγής'!$B$2,C2332)),MAX($B$1:B2331)+1,0)</f>
        <v>0</v>
      </c>
      <c r="D2332" s="33">
        <f>IF(ISNUMBER(SEARCH('Φόρμα Εισαγωγής'!$C$2,E2332)),MAX($D$1:D2331)+1,0)</f>
        <v>0</v>
      </c>
      <c r="H2332" s="6">
        <f t="shared" si="119"/>
        <v>0</v>
      </c>
      <c r="I2332" s="6">
        <f t="shared" si="120"/>
        <v>0</v>
      </c>
      <c r="J2332" s="6">
        <f t="shared" si="121"/>
        <v>0</v>
      </c>
      <c r="L2332" s="4" t="str">
        <f>IFERROR(VLOOKUP(ROWS($L$2:L2332),$B$2:$C$1996,2,0),"")</f>
        <v/>
      </c>
      <c r="N2332" s="2" t="str">
        <f>IFERROR(VLOOKUP(ROWS($N$2:N2332),$D$2:$E$1996,2,0),"")</f>
        <v/>
      </c>
    </row>
    <row r="2333" spans="2:14">
      <c r="B2333" s="32">
        <f>IF(ISNUMBER(SEARCH('Φόρμα Εισαγωγής'!$B$2,C2333)),MAX($B$1:B2332)+1,0)</f>
        <v>0</v>
      </c>
      <c r="D2333" s="33">
        <f>IF(ISNUMBER(SEARCH('Φόρμα Εισαγωγής'!$C$2,E2333)),MAX($D$1:D2332)+1,0)</f>
        <v>0</v>
      </c>
      <c r="H2333" s="6">
        <f t="shared" si="119"/>
        <v>0</v>
      </c>
      <c r="I2333" s="6">
        <f t="shared" si="120"/>
        <v>0</v>
      </c>
      <c r="J2333" s="6">
        <f t="shared" si="121"/>
        <v>0</v>
      </c>
      <c r="L2333" s="4" t="str">
        <f>IFERROR(VLOOKUP(ROWS($L$2:L2333),$B$2:$C$1996,2,0),"")</f>
        <v/>
      </c>
      <c r="N2333" s="2" t="str">
        <f>IFERROR(VLOOKUP(ROWS($N$2:N2333),$D$2:$E$1996,2,0),"")</f>
        <v/>
      </c>
    </row>
    <row r="2334" spans="2:14">
      <c r="B2334" s="32">
        <f>IF(ISNUMBER(SEARCH('Φόρμα Εισαγωγής'!$B$2,C2334)),MAX($B$1:B2333)+1,0)</f>
        <v>0</v>
      </c>
      <c r="D2334" s="33">
        <f>IF(ISNUMBER(SEARCH('Φόρμα Εισαγωγής'!$C$2,E2334)),MAX($D$1:D2333)+1,0)</f>
        <v>0</v>
      </c>
      <c r="H2334" s="6">
        <f t="shared" si="119"/>
        <v>0</v>
      </c>
      <c r="I2334" s="6">
        <f t="shared" si="120"/>
        <v>0</v>
      </c>
      <c r="J2334" s="6">
        <f t="shared" si="121"/>
        <v>0</v>
      </c>
      <c r="L2334" s="4" t="str">
        <f>IFERROR(VLOOKUP(ROWS($L$2:L2334),$B$2:$C$1996,2,0),"")</f>
        <v/>
      </c>
      <c r="N2334" s="2" t="str">
        <f>IFERROR(VLOOKUP(ROWS($N$2:N2334),$D$2:$E$1996,2,0),"")</f>
        <v/>
      </c>
    </row>
    <row r="2335" spans="2:14">
      <c r="B2335" s="32">
        <f>IF(ISNUMBER(SEARCH('Φόρμα Εισαγωγής'!$B$2,C2335)),MAX($B$1:B2334)+1,0)</f>
        <v>0</v>
      </c>
      <c r="D2335" s="33">
        <f>IF(ISNUMBER(SEARCH('Φόρμα Εισαγωγής'!$C$2,E2335)),MAX($D$1:D2334)+1,0)</f>
        <v>0</v>
      </c>
      <c r="H2335" s="6">
        <f t="shared" si="119"/>
        <v>0</v>
      </c>
      <c r="I2335" s="6">
        <f t="shared" si="120"/>
        <v>0</v>
      </c>
      <c r="J2335" s="6">
        <f t="shared" si="121"/>
        <v>0</v>
      </c>
      <c r="L2335" s="4" t="str">
        <f>IFERROR(VLOOKUP(ROWS($L$2:L2335),$B$2:$C$1996,2,0),"")</f>
        <v/>
      </c>
      <c r="N2335" s="2" t="str">
        <f>IFERROR(VLOOKUP(ROWS($N$2:N2335),$D$2:$E$1996,2,0),"")</f>
        <v/>
      </c>
    </row>
    <row r="2336" spans="2:14">
      <c r="B2336" s="32">
        <f>IF(ISNUMBER(SEARCH('Φόρμα Εισαγωγής'!$B$2,C2336)),MAX($B$1:B2335)+1,0)</f>
        <v>0</v>
      </c>
      <c r="D2336" s="33">
        <f>IF(ISNUMBER(SEARCH('Φόρμα Εισαγωγής'!$C$2,E2336)),MAX($D$1:D2335)+1,0)</f>
        <v>0</v>
      </c>
      <c r="H2336" s="6">
        <f t="shared" si="119"/>
        <v>0</v>
      </c>
      <c r="I2336" s="6">
        <f t="shared" si="120"/>
        <v>0</v>
      </c>
      <c r="J2336" s="6">
        <f t="shared" si="121"/>
        <v>0</v>
      </c>
      <c r="L2336" s="4" t="str">
        <f>IFERROR(VLOOKUP(ROWS($L$2:L2336),$B$2:$C$1996,2,0),"")</f>
        <v/>
      </c>
      <c r="N2336" s="2" t="str">
        <f>IFERROR(VLOOKUP(ROWS($N$2:N2336),$D$2:$E$1996,2,0),"")</f>
        <v/>
      </c>
    </row>
    <row r="2337" spans="2:14">
      <c r="B2337" s="32">
        <f>IF(ISNUMBER(SEARCH('Φόρμα Εισαγωγής'!$B$2,C2337)),MAX($B$1:B2336)+1,0)</f>
        <v>0</v>
      </c>
      <c r="D2337" s="33">
        <f>IF(ISNUMBER(SEARCH('Φόρμα Εισαγωγής'!$C$2,E2337)),MAX($D$1:D2336)+1,0)</f>
        <v>0</v>
      </c>
      <c r="H2337" s="6">
        <f t="shared" si="119"/>
        <v>0</v>
      </c>
      <c r="I2337" s="6">
        <f t="shared" si="120"/>
        <v>0</v>
      </c>
      <c r="J2337" s="6">
        <f t="shared" si="121"/>
        <v>0</v>
      </c>
      <c r="L2337" s="4" t="str">
        <f>IFERROR(VLOOKUP(ROWS($L$2:L2337),$B$2:$C$1996,2,0),"")</f>
        <v/>
      </c>
      <c r="N2337" s="2" t="str">
        <f>IFERROR(VLOOKUP(ROWS($N$2:N2337),$D$2:$E$1996,2,0),"")</f>
        <v/>
      </c>
    </row>
    <row r="2338" spans="2:14">
      <c r="B2338" s="32">
        <f>IF(ISNUMBER(SEARCH('Φόρμα Εισαγωγής'!$B$2,C2338)),MAX($B$1:B2337)+1,0)</f>
        <v>0</v>
      </c>
      <c r="D2338" s="33">
        <f>IF(ISNUMBER(SEARCH('Φόρμα Εισαγωγής'!$C$2,E2338)),MAX($D$1:D2337)+1,0)</f>
        <v>0</v>
      </c>
      <c r="H2338" s="6">
        <f t="shared" si="119"/>
        <v>0</v>
      </c>
      <c r="I2338" s="6">
        <f t="shared" si="120"/>
        <v>0</v>
      </c>
      <c r="J2338" s="6">
        <f t="shared" si="121"/>
        <v>0</v>
      </c>
      <c r="L2338" s="4" t="str">
        <f>IFERROR(VLOOKUP(ROWS($L$2:L2338),$B$2:$C$1996,2,0),"")</f>
        <v/>
      </c>
      <c r="N2338" s="2" t="str">
        <f>IFERROR(VLOOKUP(ROWS($N$2:N2338),$D$2:$E$1996,2,0),"")</f>
        <v/>
      </c>
    </row>
    <row r="2339" spans="2:14">
      <c r="B2339" s="32">
        <f>IF(ISNUMBER(SEARCH('Φόρμα Εισαγωγής'!$B$2,C2339)),MAX($B$1:B2338)+1,0)</f>
        <v>0</v>
      </c>
      <c r="D2339" s="33">
        <f>IF(ISNUMBER(SEARCH('Φόρμα Εισαγωγής'!$C$2,E2339)),MAX($D$1:D2338)+1,0)</f>
        <v>0</v>
      </c>
      <c r="H2339" s="6">
        <f t="shared" si="119"/>
        <v>0</v>
      </c>
      <c r="I2339" s="6">
        <f t="shared" si="120"/>
        <v>0</v>
      </c>
      <c r="J2339" s="6">
        <f t="shared" si="121"/>
        <v>0</v>
      </c>
      <c r="L2339" s="4" t="str">
        <f>IFERROR(VLOOKUP(ROWS($L$2:L2339),$B$2:$C$1996,2,0),"")</f>
        <v/>
      </c>
      <c r="N2339" s="2" t="str">
        <f>IFERROR(VLOOKUP(ROWS($N$2:N2339),$D$2:$E$1996,2,0),"")</f>
        <v/>
      </c>
    </row>
    <row r="2340" spans="2:14">
      <c r="B2340" s="32">
        <f>IF(ISNUMBER(SEARCH('Φόρμα Εισαγωγής'!$B$2,C2340)),MAX($B$1:B2339)+1,0)</f>
        <v>0</v>
      </c>
      <c r="D2340" s="33">
        <f>IF(ISNUMBER(SEARCH('Φόρμα Εισαγωγής'!$C$2,E2340)),MAX($D$1:D2339)+1,0)</f>
        <v>0</v>
      </c>
      <c r="H2340" s="6">
        <f t="shared" si="119"/>
        <v>0</v>
      </c>
      <c r="I2340" s="6">
        <f t="shared" si="120"/>
        <v>0</v>
      </c>
      <c r="J2340" s="6">
        <f t="shared" si="121"/>
        <v>0</v>
      </c>
      <c r="L2340" s="4" t="str">
        <f>IFERROR(VLOOKUP(ROWS($L$2:L2340),$B$2:$C$1996,2,0),"")</f>
        <v/>
      </c>
      <c r="N2340" s="2" t="str">
        <f>IFERROR(VLOOKUP(ROWS($N$2:N2340),$D$2:$E$1996,2,0),"")</f>
        <v/>
      </c>
    </row>
    <row r="2341" spans="2:14">
      <c r="B2341" s="32">
        <f>IF(ISNUMBER(SEARCH('Φόρμα Εισαγωγής'!$B$2,C2341)),MAX($B$1:B2340)+1,0)</f>
        <v>0</v>
      </c>
      <c r="D2341" s="33">
        <f>IF(ISNUMBER(SEARCH('Φόρμα Εισαγωγής'!$C$2,E2341)),MAX($D$1:D2340)+1,0)</f>
        <v>0</v>
      </c>
      <c r="H2341" s="6">
        <f t="shared" si="119"/>
        <v>0</v>
      </c>
      <c r="I2341" s="6">
        <f t="shared" si="120"/>
        <v>0</v>
      </c>
      <c r="J2341" s="6">
        <f t="shared" si="121"/>
        <v>0</v>
      </c>
      <c r="L2341" s="4" t="str">
        <f>IFERROR(VLOOKUP(ROWS($L$2:L2341),$B$2:$C$1996,2,0),"")</f>
        <v/>
      </c>
      <c r="N2341" s="2" t="str">
        <f>IFERROR(VLOOKUP(ROWS($N$2:N2341),$D$2:$E$1996,2,0),"")</f>
        <v/>
      </c>
    </row>
    <row r="2342" spans="2:14">
      <c r="B2342" s="32">
        <f>IF(ISNUMBER(SEARCH('Φόρμα Εισαγωγής'!$B$2,C2342)),MAX($B$1:B2341)+1,0)</f>
        <v>0</v>
      </c>
      <c r="D2342" s="33">
        <f>IF(ISNUMBER(SEARCH('Φόρμα Εισαγωγής'!$C$2,E2342)),MAX($D$1:D2341)+1,0)</f>
        <v>0</v>
      </c>
      <c r="H2342" s="6">
        <f t="shared" si="119"/>
        <v>0</v>
      </c>
      <c r="I2342" s="6">
        <f t="shared" si="120"/>
        <v>0</v>
      </c>
      <c r="J2342" s="6">
        <f t="shared" si="121"/>
        <v>0</v>
      </c>
      <c r="L2342" s="4" t="str">
        <f>IFERROR(VLOOKUP(ROWS($L$2:L2342),$B$2:$C$1996,2,0),"")</f>
        <v/>
      </c>
      <c r="N2342" s="2" t="str">
        <f>IFERROR(VLOOKUP(ROWS($N$2:N2342),$D$2:$E$1996,2,0),"")</f>
        <v/>
      </c>
    </row>
    <row r="2343" spans="2:14">
      <c r="B2343" s="32">
        <f>IF(ISNUMBER(SEARCH('Φόρμα Εισαγωγής'!$B$2,C2343)),MAX($B$1:B2342)+1,0)</f>
        <v>0</v>
      </c>
      <c r="D2343" s="33">
        <f>IF(ISNUMBER(SEARCH('Φόρμα Εισαγωγής'!$C$2,E2343)),MAX($D$1:D2342)+1,0)</f>
        <v>0</v>
      </c>
      <c r="H2343" s="6">
        <f t="shared" si="119"/>
        <v>0</v>
      </c>
      <c r="I2343" s="6">
        <f t="shared" si="120"/>
        <v>0</v>
      </c>
      <c r="J2343" s="6">
        <f t="shared" si="121"/>
        <v>0</v>
      </c>
      <c r="L2343" s="4" t="str">
        <f>IFERROR(VLOOKUP(ROWS($L$2:L2343),$B$2:$C$1996,2,0),"")</f>
        <v/>
      </c>
      <c r="N2343" s="2" t="str">
        <f>IFERROR(VLOOKUP(ROWS($N$2:N2343),$D$2:$E$1996,2,0),"")</f>
        <v/>
      </c>
    </row>
    <row r="2344" spans="2:14">
      <c r="B2344" s="32">
        <f>IF(ISNUMBER(SEARCH('Φόρμα Εισαγωγής'!$B$2,C2344)),MAX($B$1:B2343)+1,0)</f>
        <v>0</v>
      </c>
      <c r="D2344" s="33">
        <f>IF(ISNUMBER(SEARCH('Φόρμα Εισαγωγής'!$C$2,E2344)),MAX($D$1:D2343)+1,0)</f>
        <v>0</v>
      </c>
      <c r="H2344" s="6">
        <f t="shared" si="119"/>
        <v>0</v>
      </c>
      <c r="I2344" s="6">
        <f t="shared" si="120"/>
        <v>0</v>
      </c>
      <c r="J2344" s="6">
        <f t="shared" si="121"/>
        <v>0</v>
      </c>
      <c r="L2344" s="4" t="str">
        <f>IFERROR(VLOOKUP(ROWS($L$2:L2344),$B$2:$C$1996,2,0),"")</f>
        <v/>
      </c>
      <c r="N2344" s="2" t="str">
        <f>IFERROR(VLOOKUP(ROWS($N$2:N2344),$D$2:$E$1996,2,0),"")</f>
        <v/>
      </c>
    </row>
    <row r="2345" spans="2:14">
      <c r="B2345" s="32">
        <f>IF(ISNUMBER(SEARCH('Φόρμα Εισαγωγής'!$B$2,C2345)),MAX($B$1:B2344)+1,0)</f>
        <v>0</v>
      </c>
      <c r="D2345" s="33">
        <f>IF(ISNUMBER(SEARCH('Φόρμα Εισαγωγής'!$C$2,E2345)),MAX($D$1:D2344)+1,0)</f>
        <v>0</v>
      </c>
      <c r="H2345" s="6">
        <f t="shared" si="119"/>
        <v>0</v>
      </c>
      <c r="I2345" s="6">
        <f t="shared" si="120"/>
        <v>0</v>
      </c>
      <c r="J2345" s="6">
        <f t="shared" si="121"/>
        <v>0</v>
      </c>
      <c r="L2345" s="4" t="str">
        <f>IFERROR(VLOOKUP(ROWS($L$2:L2345),$B$2:$C$1996,2,0),"")</f>
        <v/>
      </c>
      <c r="N2345" s="2" t="str">
        <f>IFERROR(VLOOKUP(ROWS($N$2:N2345),$D$2:$E$1996,2,0),"")</f>
        <v/>
      </c>
    </row>
    <row r="2346" spans="2:14">
      <c r="B2346" s="32">
        <f>IF(ISNUMBER(SEARCH('Φόρμα Εισαγωγής'!$B$2,C2346)),MAX($B$1:B2345)+1,0)</f>
        <v>0</v>
      </c>
      <c r="D2346" s="33">
        <f>IF(ISNUMBER(SEARCH('Φόρμα Εισαγωγής'!$C$2,E2346)),MAX($D$1:D2345)+1,0)</f>
        <v>0</v>
      </c>
      <c r="H2346" s="6">
        <f t="shared" si="119"/>
        <v>0</v>
      </c>
      <c r="I2346" s="6">
        <f t="shared" si="120"/>
        <v>0</v>
      </c>
      <c r="J2346" s="6">
        <f t="shared" si="121"/>
        <v>0</v>
      </c>
      <c r="L2346" s="4" t="str">
        <f>IFERROR(VLOOKUP(ROWS($L$2:L2346),$B$2:$C$1996,2,0),"")</f>
        <v/>
      </c>
      <c r="N2346" s="2" t="str">
        <f>IFERROR(VLOOKUP(ROWS($N$2:N2346),$D$2:$E$1996,2,0),"")</f>
        <v/>
      </c>
    </row>
    <row r="2347" spans="2:14">
      <c r="B2347" s="32">
        <f>IF(ISNUMBER(SEARCH('Φόρμα Εισαγωγής'!$B$2,C2347)),MAX($B$1:B2346)+1,0)</f>
        <v>0</v>
      </c>
      <c r="D2347" s="33">
        <f>IF(ISNUMBER(SEARCH('Φόρμα Εισαγωγής'!$C$2,E2347)),MAX($D$1:D2346)+1,0)</f>
        <v>0</v>
      </c>
      <c r="H2347" s="6">
        <f t="shared" si="119"/>
        <v>0</v>
      </c>
      <c r="I2347" s="6">
        <f t="shared" si="120"/>
        <v>0</v>
      </c>
      <c r="J2347" s="6">
        <f t="shared" si="121"/>
        <v>0</v>
      </c>
      <c r="L2347" s="4" t="str">
        <f>IFERROR(VLOOKUP(ROWS($L$2:L2347),$B$2:$C$1996,2,0),"")</f>
        <v/>
      </c>
      <c r="N2347" s="2" t="str">
        <f>IFERROR(VLOOKUP(ROWS($N$2:N2347),$D$2:$E$1996,2,0),"")</f>
        <v/>
      </c>
    </row>
    <row r="2348" spans="2:14">
      <c r="B2348" s="32">
        <f>IF(ISNUMBER(SEARCH('Φόρμα Εισαγωγής'!$B$2,C2348)),MAX($B$1:B2347)+1,0)</f>
        <v>0</v>
      </c>
      <c r="D2348" s="33">
        <f>IF(ISNUMBER(SEARCH('Φόρμα Εισαγωγής'!$C$2,E2348)),MAX($D$1:D2347)+1,0)</f>
        <v>0</v>
      </c>
      <c r="H2348" s="6">
        <f t="shared" si="119"/>
        <v>0</v>
      </c>
      <c r="I2348" s="6">
        <f t="shared" si="120"/>
        <v>0</v>
      </c>
      <c r="J2348" s="6">
        <f t="shared" si="121"/>
        <v>0</v>
      </c>
      <c r="L2348" s="4" t="str">
        <f>IFERROR(VLOOKUP(ROWS($L$2:L2348),$B$2:$C$1996,2,0),"")</f>
        <v/>
      </c>
      <c r="N2348" s="2" t="str">
        <f>IFERROR(VLOOKUP(ROWS($N$2:N2348),$D$2:$E$1996,2,0),"")</f>
        <v/>
      </c>
    </row>
    <row r="2349" spans="2:14">
      <c r="B2349" s="32">
        <f>IF(ISNUMBER(SEARCH('Φόρμα Εισαγωγής'!$B$2,C2349)),MAX($B$1:B2348)+1,0)</f>
        <v>0</v>
      </c>
      <c r="D2349" s="33">
        <f>IF(ISNUMBER(SEARCH('Φόρμα Εισαγωγής'!$C$2,E2349)),MAX($D$1:D2348)+1,0)</f>
        <v>0</v>
      </c>
      <c r="H2349" s="6">
        <f t="shared" si="119"/>
        <v>0</v>
      </c>
      <c r="I2349" s="6">
        <f t="shared" si="120"/>
        <v>0</v>
      </c>
      <c r="J2349" s="6">
        <f t="shared" si="121"/>
        <v>0</v>
      </c>
      <c r="L2349" s="4" t="str">
        <f>IFERROR(VLOOKUP(ROWS($L$2:L2349),$B$2:$C$1996,2,0),"")</f>
        <v/>
      </c>
      <c r="N2349" s="2" t="str">
        <f>IFERROR(VLOOKUP(ROWS($N$2:N2349),$D$2:$E$1996,2,0),"")</f>
        <v/>
      </c>
    </row>
    <row r="2350" spans="2:14">
      <c r="B2350" s="32">
        <f>IF(ISNUMBER(SEARCH('Φόρμα Εισαγωγής'!$B$2,C2350)),MAX($B$1:B2349)+1,0)</f>
        <v>0</v>
      </c>
      <c r="D2350" s="33">
        <f>IF(ISNUMBER(SEARCH('Φόρμα Εισαγωγής'!$C$2,E2350)),MAX($D$1:D2349)+1,0)</f>
        <v>0</v>
      </c>
      <c r="H2350" s="6">
        <f t="shared" si="119"/>
        <v>0</v>
      </c>
      <c r="I2350" s="6">
        <f t="shared" si="120"/>
        <v>0</v>
      </c>
      <c r="J2350" s="6">
        <f t="shared" si="121"/>
        <v>0</v>
      </c>
      <c r="L2350" s="4" t="str">
        <f>IFERROR(VLOOKUP(ROWS($L$2:L2350),$B$2:$C$1996,2,0),"")</f>
        <v/>
      </c>
      <c r="N2350" s="2" t="str">
        <f>IFERROR(VLOOKUP(ROWS($N$2:N2350),$D$2:$E$1996,2,0),"")</f>
        <v/>
      </c>
    </row>
    <row r="2351" spans="2:14">
      <c r="B2351" s="32">
        <f>IF(ISNUMBER(SEARCH('Φόρμα Εισαγωγής'!$B$2,C2351)),MAX($B$1:B2350)+1,0)</f>
        <v>0</v>
      </c>
      <c r="D2351" s="33">
        <f>IF(ISNUMBER(SEARCH('Φόρμα Εισαγωγής'!$C$2,E2351)),MAX($D$1:D2350)+1,0)</f>
        <v>0</v>
      </c>
      <c r="H2351" s="6">
        <f t="shared" si="119"/>
        <v>0</v>
      </c>
      <c r="I2351" s="6">
        <f t="shared" si="120"/>
        <v>0</v>
      </c>
      <c r="J2351" s="6">
        <f t="shared" si="121"/>
        <v>0</v>
      </c>
      <c r="L2351" s="4" t="str">
        <f>IFERROR(VLOOKUP(ROWS($L$2:L2351),$B$2:$C$1996,2,0),"")</f>
        <v/>
      </c>
      <c r="N2351" s="2" t="str">
        <f>IFERROR(VLOOKUP(ROWS($N$2:N2351),$D$2:$E$1996,2,0),"")</f>
        <v/>
      </c>
    </row>
    <row r="2352" spans="2:14">
      <c r="B2352" s="32">
        <f>IF(ISNUMBER(SEARCH('Φόρμα Εισαγωγής'!$B$2,C2352)),MAX($B$1:B2351)+1,0)</f>
        <v>0</v>
      </c>
      <c r="D2352" s="33">
        <f>IF(ISNUMBER(SEARCH('Φόρμα Εισαγωγής'!$C$2,E2352)),MAX($D$1:D2351)+1,0)</f>
        <v>0</v>
      </c>
      <c r="H2352" s="6">
        <f t="shared" si="119"/>
        <v>0</v>
      </c>
      <c r="I2352" s="6">
        <f t="shared" si="120"/>
        <v>0</v>
      </c>
      <c r="J2352" s="6">
        <f t="shared" si="121"/>
        <v>0</v>
      </c>
      <c r="L2352" s="4" t="str">
        <f>IFERROR(VLOOKUP(ROWS($L$2:L2352),$B$2:$C$1996,2,0),"")</f>
        <v/>
      </c>
      <c r="N2352" s="2" t="str">
        <f>IFERROR(VLOOKUP(ROWS($N$2:N2352),$D$2:$E$1996,2,0),"")</f>
        <v/>
      </c>
    </row>
    <row r="2353" spans="2:14">
      <c r="B2353" s="32">
        <f>IF(ISNUMBER(SEARCH('Φόρμα Εισαγωγής'!$B$2,C2353)),MAX($B$1:B2352)+1,0)</f>
        <v>0</v>
      </c>
      <c r="D2353" s="33">
        <f>IF(ISNUMBER(SEARCH('Φόρμα Εισαγωγής'!$C$2,E2353)),MAX($D$1:D2352)+1,0)</f>
        <v>0</v>
      </c>
      <c r="H2353" s="6">
        <f t="shared" si="119"/>
        <v>0</v>
      </c>
      <c r="I2353" s="6">
        <f t="shared" si="120"/>
        <v>0</v>
      </c>
      <c r="J2353" s="6">
        <f t="shared" si="121"/>
        <v>0</v>
      </c>
      <c r="L2353" s="4" t="str">
        <f>IFERROR(VLOOKUP(ROWS($L$2:L2353),$B$2:$C$1996,2,0),"")</f>
        <v/>
      </c>
      <c r="N2353" s="2" t="str">
        <f>IFERROR(VLOOKUP(ROWS($N$2:N2353),$D$2:$E$1996,2,0),"")</f>
        <v/>
      </c>
    </row>
    <row r="2354" spans="2:14">
      <c r="B2354" s="32">
        <f>IF(ISNUMBER(SEARCH('Φόρμα Εισαγωγής'!$B$2,C2354)),MAX($B$1:B2353)+1,0)</f>
        <v>0</v>
      </c>
      <c r="D2354" s="33">
        <f>IF(ISNUMBER(SEARCH('Φόρμα Εισαγωγής'!$C$2,E2354)),MAX($D$1:D2353)+1,0)</f>
        <v>0</v>
      </c>
      <c r="H2354" s="6">
        <f t="shared" si="119"/>
        <v>0</v>
      </c>
      <c r="I2354" s="6">
        <f t="shared" si="120"/>
        <v>0</v>
      </c>
      <c r="J2354" s="6">
        <f t="shared" si="121"/>
        <v>0</v>
      </c>
      <c r="L2354" s="4" t="str">
        <f>IFERROR(VLOOKUP(ROWS($L$2:L2354),$B$2:$C$1996,2,0),"")</f>
        <v/>
      </c>
      <c r="N2354" s="2" t="str">
        <f>IFERROR(VLOOKUP(ROWS($N$2:N2354),$D$2:$E$1996,2,0),"")</f>
        <v/>
      </c>
    </row>
    <row r="2355" spans="2:14">
      <c r="B2355" s="32">
        <f>IF(ISNUMBER(SEARCH('Φόρμα Εισαγωγής'!$B$2,C2355)),MAX($B$1:B2354)+1,0)</f>
        <v>0</v>
      </c>
      <c r="D2355" s="33">
        <f>IF(ISNUMBER(SEARCH('Φόρμα Εισαγωγής'!$C$2,E2355)),MAX($D$1:D2354)+1,0)</f>
        <v>0</v>
      </c>
      <c r="H2355" s="6">
        <f t="shared" si="119"/>
        <v>0</v>
      </c>
      <c r="I2355" s="6">
        <f t="shared" si="120"/>
        <v>0</v>
      </c>
      <c r="J2355" s="6">
        <f t="shared" si="121"/>
        <v>0</v>
      </c>
      <c r="L2355" s="4" t="str">
        <f>IFERROR(VLOOKUP(ROWS($L$2:L2355),$B$2:$C$1996,2,0),"")</f>
        <v/>
      </c>
      <c r="N2355" s="2" t="str">
        <f>IFERROR(VLOOKUP(ROWS($N$2:N2355),$D$2:$E$1996,2,0),"")</f>
        <v/>
      </c>
    </row>
    <row r="2356" spans="2:14">
      <c r="B2356" s="32">
        <f>IF(ISNUMBER(SEARCH('Φόρμα Εισαγωγής'!$B$2,C2356)),MAX($B$1:B2355)+1,0)</f>
        <v>0</v>
      </c>
      <c r="D2356" s="33">
        <f>IF(ISNUMBER(SEARCH('Φόρμα Εισαγωγής'!$C$2,E2356)),MAX($D$1:D2355)+1,0)</f>
        <v>0</v>
      </c>
      <c r="H2356" s="6">
        <f t="shared" si="119"/>
        <v>0</v>
      </c>
      <c r="I2356" s="6">
        <f t="shared" si="120"/>
        <v>0</v>
      </c>
      <c r="J2356" s="6">
        <f t="shared" si="121"/>
        <v>0</v>
      </c>
      <c r="L2356" s="4" t="str">
        <f>IFERROR(VLOOKUP(ROWS($L$2:L2356),$B$2:$C$1996,2,0),"")</f>
        <v/>
      </c>
      <c r="N2356" s="2" t="str">
        <f>IFERROR(VLOOKUP(ROWS($N$2:N2356),$D$2:$E$1996,2,0),"")</f>
        <v/>
      </c>
    </row>
    <row r="2357" spans="2:14">
      <c r="B2357" s="32">
        <f>IF(ISNUMBER(SEARCH('Φόρμα Εισαγωγής'!$B$2,C2357)),MAX($B$1:B2356)+1,0)</f>
        <v>0</v>
      </c>
      <c r="D2357" s="33">
        <f>IF(ISNUMBER(SEARCH('Φόρμα Εισαγωγής'!$C$2,E2357)),MAX($D$1:D2356)+1,0)</f>
        <v>0</v>
      </c>
      <c r="H2357" s="6">
        <f t="shared" si="119"/>
        <v>0</v>
      </c>
      <c r="I2357" s="6">
        <f t="shared" si="120"/>
        <v>0</v>
      </c>
      <c r="J2357" s="6">
        <f t="shared" si="121"/>
        <v>0</v>
      </c>
      <c r="L2357" s="4" t="str">
        <f>IFERROR(VLOOKUP(ROWS($L$2:L2357),$B$2:$C$1996,2,0),"")</f>
        <v/>
      </c>
      <c r="N2357" s="2" t="str">
        <f>IFERROR(VLOOKUP(ROWS($N$2:N2357),$D$2:$E$1996,2,0),"")</f>
        <v/>
      </c>
    </row>
    <row r="2358" spans="2:14">
      <c r="B2358" s="32">
        <f>IF(ISNUMBER(SEARCH('Φόρμα Εισαγωγής'!$B$2,C2358)),MAX($B$1:B2357)+1,0)</f>
        <v>0</v>
      </c>
      <c r="D2358" s="33">
        <f>IF(ISNUMBER(SEARCH('Φόρμα Εισαγωγής'!$C$2,E2358)),MAX($D$1:D2357)+1,0)</f>
        <v>0</v>
      </c>
      <c r="H2358" s="6">
        <f t="shared" si="119"/>
        <v>0</v>
      </c>
      <c r="I2358" s="6">
        <f t="shared" si="120"/>
        <v>0</v>
      </c>
      <c r="J2358" s="6">
        <f t="shared" si="121"/>
        <v>0</v>
      </c>
      <c r="L2358" s="4" t="str">
        <f>IFERROR(VLOOKUP(ROWS($L$2:L2358),$B$2:$C$1996,2,0),"")</f>
        <v/>
      </c>
      <c r="N2358" s="2" t="str">
        <f>IFERROR(VLOOKUP(ROWS($N$2:N2358),$D$2:$E$1996,2,0),"")</f>
        <v/>
      </c>
    </row>
    <row r="2359" spans="2:14">
      <c r="B2359" s="32">
        <f>IF(ISNUMBER(SEARCH('Φόρμα Εισαγωγής'!$B$2,C2359)),MAX($B$1:B2358)+1,0)</f>
        <v>0</v>
      </c>
      <c r="D2359" s="33">
        <f>IF(ISNUMBER(SEARCH('Φόρμα Εισαγωγής'!$C$2,E2359)),MAX($D$1:D2358)+1,0)</f>
        <v>0</v>
      </c>
      <c r="H2359" s="6">
        <f t="shared" si="119"/>
        <v>0</v>
      </c>
      <c r="I2359" s="6">
        <f t="shared" si="120"/>
        <v>0</v>
      </c>
      <c r="J2359" s="6">
        <f t="shared" si="121"/>
        <v>0</v>
      </c>
      <c r="L2359" s="4" t="str">
        <f>IFERROR(VLOOKUP(ROWS($L$2:L2359),$B$2:$C$1996,2,0),"")</f>
        <v/>
      </c>
      <c r="N2359" s="2" t="str">
        <f>IFERROR(VLOOKUP(ROWS($N$2:N2359),$D$2:$E$1996,2,0),"")</f>
        <v/>
      </c>
    </row>
    <row r="2360" spans="2:14">
      <c r="B2360" s="32">
        <f>IF(ISNUMBER(SEARCH('Φόρμα Εισαγωγής'!$B$2,C2360)),MAX($B$1:B2359)+1,0)</f>
        <v>0</v>
      </c>
      <c r="D2360" s="33">
        <f>IF(ISNUMBER(SEARCH('Φόρμα Εισαγωγής'!$C$2,E2360)),MAX($D$1:D2359)+1,0)</f>
        <v>0</v>
      </c>
      <c r="H2360" s="6">
        <f t="shared" si="119"/>
        <v>0</v>
      </c>
      <c r="I2360" s="6">
        <f t="shared" si="120"/>
        <v>0</v>
      </c>
      <c r="J2360" s="6">
        <f t="shared" si="121"/>
        <v>0</v>
      </c>
      <c r="L2360" s="4" t="str">
        <f>IFERROR(VLOOKUP(ROWS($L$2:L2360),$B$2:$C$1996,2,0),"")</f>
        <v/>
      </c>
      <c r="N2360" s="2" t="str">
        <f>IFERROR(VLOOKUP(ROWS($N$2:N2360),$D$2:$E$1996,2,0),"")</f>
        <v/>
      </c>
    </row>
    <row r="2361" spans="2:14">
      <c r="B2361" s="32">
        <f>IF(ISNUMBER(SEARCH('Φόρμα Εισαγωγής'!$B$2,C2361)),MAX($B$1:B2360)+1,0)</f>
        <v>0</v>
      </c>
      <c r="D2361" s="33">
        <f>IF(ISNUMBER(SEARCH('Φόρμα Εισαγωγής'!$C$2,E2361)),MAX($D$1:D2360)+1,0)</f>
        <v>0</v>
      </c>
      <c r="H2361" s="6">
        <f t="shared" si="119"/>
        <v>0</v>
      </c>
      <c r="I2361" s="6">
        <f t="shared" si="120"/>
        <v>0</v>
      </c>
      <c r="J2361" s="6">
        <f t="shared" si="121"/>
        <v>0</v>
      </c>
      <c r="L2361" s="4" t="str">
        <f>IFERROR(VLOOKUP(ROWS($L$2:L2361),$B$2:$C$1996,2,0),"")</f>
        <v/>
      </c>
      <c r="N2361" s="2" t="str">
        <f>IFERROR(VLOOKUP(ROWS($N$2:N2361),$D$2:$E$1996,2,0),"")</f>
        <v/>
      </c>
    </row>
    <row r="2362" spans="2:14">
      <c r="B2362" s="32">
        <f>IF(ISNUMBER(SEARCH('Φόρμα Εισαγωγής'!$B$2,C2362)),MAX($B$1:B2361)+1,0)</f>
        <v>0</v>
      </c>
      <c r="D2362" s="33">
        <f>IF(ISNUMBER(SEARCH('Φόρμα Εισαγωγής'!$C$2,E2362)),MAX($D$1:D2361)+1,0)</f>
        <v>0</v>
      </c>
      <c r="H2362" s="6">
        <f t="shared" si="119"/>
        <v>0</v>
      </c>
      <c r="I2362" s="6">
        <f t="shared" si="120"/>
        <v>0</v>
      </c>
      <c r="J2362" s="6">
        <f t="shared" si="121"/>
        <v>0</v>
      </c>
      <c r="L2362" s="4" t="str">
        <f>IFERROR(VLOOKUP(ROWS($L$2:L2362),$B$2:$C$1996,2,0),"")</f>
        <v/>
      </c>
      <c r="N2362" s="2" t="str">
        <f>IFERROR(VLOOKUP(ROWS($N$2:N2362),$D$2:$E$1996,2,0),"")</f>
        <v/>
      </c>
    </row>
    <row r="2363" spans="2:14">
      <c r="B2363" s="32">
        <f>IF(ISNUMBER(SEARCH('Φόρμα Εισαγωγής'!$B$2,C2363)),MAX($B$1:B2362)+1,0)</f>
        <v>0</v>
      </c>
      <c r="D2363" s="33">
        <f>IF(ISNUMBER(SEARCH('Φόρμα Εισαγωγής'!$C$2,E2363)),MAX($D$1:D2362)+1,0)</f>
        <v>0</v>
      </c>
      <c r="H2363" s="6">
        <f t="shared" si="119"/>
        <v>0</v>
      </c>
      <c r="I2363" s="6">
        <f t="shared" si="120"/>
        <v>0</v>
      </c>
      <c r="J2363" s="6">
        <f t="shared" si="121"/>
        <v>0</v>
      </c>
      <c r="L2363" s="4" t="str">
        <f>IFERROR(VLOOKUP(ROWS($L$2:L2363),$B$2:$C$1996,2,0),"")</f>
        <v/>
      </c>
      <c r="N2363" s="2" t="str">
        <f>IFERROR(VLOOKUP(ROWS($N$2:N2363),$D$2:$E$1996,2,0),"")</f>
        <v/>
      </c>
    </row>
    <row r="2364" spans="2:14">
      <c r="B2364" s="32">
        <f>IF(ISNUMBER(SEARCH('Φόρμα Εισαγωγής'!$B$2,C2364)),MAX($B$1:B2363)+1,0)</f>
        <v>0</v>
      </c>
      <c r="D2364" s="33">
        <f>IF(ISNUMBER(SEARCH('Φόρμα Εισαγωγής'!$C$2,E2364)),MAX($D$1:D2363)+1,0)</f>
        <v>0</v>
      </c>
      <c r="H2364" s="6">
        <f t="shared" si="119"/>
        <v>0</v>
      </c>
      <c r="I2364" s="6">
        <f t="shared" si="120"/>
        <v>0</v>
      </c>
      <c r="J2364" s="6">
        <f t="shared" si="121"/>
        <v>0</v>
      </c>
      <c r="L2364" s="4" t="str">
        <f>IFERROR(VLOOKUP(ROWS($L$2:L2364),$B$2:$C$1996,2,0),"")</f>
        <v/>
      </c>
      <c r="N2364" s="2" t="str">
        <f>IFERROR(VLOOKUP(ROWS($N$2:N2364),$D$2:$E$1996,2,0),"")</f>
        <v/>
      </c>
    </row>
    <row r="2365" spans="2:14">
      <c r="B2365" s="32">
        <f>IF(ISNUMBER(SEARCH('Φόρμα Εισαγωγής'!$B$2,C2365)),MAX($B$1:B2364)+1,0)</f>
        <v>0</v>
      </c>
      <c r="D2365" s="33">
        <f>IF(ISNUMBER(SEARCH('Φόρμα Εισαγωγής'!$C$2,E2365)),MAX($D$1:D2364)+1,0)</f>
        <v>0</v>
      </c>
      <c r="H2365" s="6">
        <f t="shared" si="119"/>
        <v>0</v>
      </c>
      <c r="I2365" s="6">
        <f t="shared" si="120"/>
        <v>0</v>
      </c>
      <c r="J2365" s="6">
        <f t="shared" si="121"/>
        <v>0</v>
      </c>
      <c r="L2365" s="4" t="str">
        <f>IFERROR(VLOOKUP(ROWS($L$2:L2365),$B$2:$C$1996,2,0),"")</f>
        <v/>
      </c>
      <c r="N2365" s="2" t="str">
        <f>IFERROR(VLOOKUP(ROWS($N$2:N2365),$D$2:$E$1996,2,0),"")</f>
        <v/>
      </c>
    </row>
    <row r="2366" spans="2:14">
      <c r="B2366" s="32">
        <f>IF(ISNUMBER(SEARCH('Φόρμα Εισαγωγής'!$B$2,C2366)),MAX($B$1:B2365)+1,0)</f>
        <v>0</v>
      </c>
      <c r="D2366" s="33">
        <f>IF(ISNUMBER(SEARCH('Φόρμα Εισαγωγής'!$C$2,E2366)),MAX($D$1:D2365)+1,0)</f>
        <v>0</v>
      </c>
      <c r="H2366" s="6">
        <f t="shared" si="119"/>
        <v>0</v>
      </c>
      <c r="I2366" s="6">
        <f t="shared" si="120"/>
        <v>0</v>
      </c>
      <c r="J2366" s="6">
        <f t="shared" si="121"/>
        <v>0</v>
      </c>
      <c r="L2366" s="4" t="str">
        <f>IFERROR(VLOOKUP(ROWS($L$2:L2366),$B$2:$C$1996,2,0),"")</f>
        <v/>
      </c>
      <c r="N2366" s="2" t="str">
        <f>IFERROR(VLOOKUP(ROWS($N$2:N2366),$D$2:$E$1996,2,0),"")</f>
        <v/>
      </c>
    </row>
    <row r="2367" spans="2:14">
      <c r="B2367" s="32">
        <f>IF(ISNUMBER(SEARCH('Φόρμα Εισαγωγής'!$B$2,C2367)),MAX($B$1:B2366)+1,0)</f>
        <v>0</v>
      </c>
      <c r="D2367" s="33">
        <f>IF(ISNUMBER(SEARCH('Φόρμα Εισαγωγής'!$C$2,E2367)),MAX($D$1:D2366)+1,0)</f>
        <v>0</v>
      </c>
      <c r="H2367" s="6">
        <f t="shared" si="119"/>
        <v>0</v>
      </c>
      <c r="I2367" s="6">
        <f t="shared" si="120"/>
        <v>0</v>
      </c>
      <c r="J2367" s="6">
        <f t="shared" si="121"/>
        <v>0</v>
      </c>
      <c r="L2367" s="4" t="str">
        <f>IFERROR(VLOOKUP(ROWS($L$2:L2367),$B$2:$C$1996,2,0),"")</f>
        <v/>
      </c>
      <c r="N2367" s="2" t="str">
        <f>IFERROR(VLOOKUP(ROWS($N$2:N2367),$D$2:$E$1996,2,0),"")</f>
        <v/>
      </c>
    </row>
    <row r="2368" spans="2:14">
      <c r="B2368" s="32">
        <f>IF(ISNUMBER(SEARCH('Φόρμα Εισαγωγής'!$B$2,C2368)),MAX($B$1:B2367)+1,0)</f>
        <v>0</v>
      </c>
      <c r="D2368" s="33">
        <f>IF(ISNUMBER(SEARCH('Φόρμα Εισαγωγής'!$C$2,E2368)),MAX($D$1:D2367)+1,0)</f>
        <v>0</v>
      </c>
      <c r="H2368" s="6">
        <f t="shared" ref="H2368:H2431" si="122">G2368+(G2368*0.24)</f>
        <v>0</v>
      </c>
      <c r="I2368" s="6">
        <f t="shared" ref="I2368:I2431" si="123">F2368*A2368</f>
        <v>0</v>
      </c>
      <c r="J2368" s="6">
        <f t="shared" ref="J2368:J2431" si="124">H2368*A2368</f>
        <v>0</v>
      </c>
      <c r="L2368" s="4" t="str">
        <f>IFERROR(VLOOKUP(ROWS($L$2:L2368),$B$2:$C$1996,2,0),"")</f>
        <v/>
      </c>
      <c r="N2368" s="2" t="str">
        <f>IFERROR(VLOOKUP(ROWS($N$2:N2368),$D$2:$E$1996,2,0),"")</f>
        <v/>
      </c>
    </row>
    <row r="2369" spans="2:14">
      <c r="B2369" s="32">
        <f>IF(ISNUMBER(SEARCH('Φόρμα Εισαγωγής'!$B$2,C2369)),MAX($B$1:B2368)+1,0)</f>
        <v>0</v>
      </c>
      <c r="D2369" s="33">
        <f>IF(ISNUMBER(SEARCH('Φόρμα Εισαγωγής'!$C$2,E2369)),MAX($D$1:D2368)+1,0)</f>
        <v>0</v>
      </c>
      <c r="H2369" s="6">
        <f t="shared" si="122"/>
        <v>0</v>
      </c>
      <c r="I2369" s="6">
        <f t="shared" si="123"/>
        <v>0</v>
      </c>
      <c r="J2369" s="6">
        <f t="shared" si="124"/>
        <v>0</v>
      </c>
      <c r="L2369" s="4" t="str">
        <f>IFERROR(VLOOKUP(ROWS($L$2:L2369),$B$2:$C$1996,2,0),"")</f>
        <v/>
      </c>
      <c r="N2369" s="2" t="str">
        <f>IFERROR(VLOOKUP(ROWS($N$2:N2369),$D$2:$E$1996,2,0),"")</f>
        <v/>
      </c>
    </row>
    <row r="2370" spans="2:14">
      <c r="B2370" s="32">
        <f>IF(ISNUMBER(SEARCH('Φόρμα Εισαγωγής'!$B$2,C2370)),MAX($B$1:B2369)+1,0)</f>
        <v>0</v>
      </c>
      <c r="D2370" s="33">
        <f>IF(ISNUMBER(SEARCH('Φόρμα Εισαγωγής'!$C$2,E2370)),MAX($D$1:D2369)+1,0)</f>
        <v>0</v>
      </c>
      <c r="H2370" s="6">
        <f t="shared" si="122"/>
        <v>0</v>
      </c>
      <c r="I2370" s="6">
        <f t="shared" si="123"/>
        <v>0</v>
      </c>
      <c r="J2370" s="6">
        <f t="shared" si="124"/>
        <v>0</v>
      </c>
      <c r="L2370" s="4" t="str">
        <f>IFERROR(VLOOKUP(ROWS($L$2:L2370),$B$2:$C$1996,2,0),"")</f>
        <v/>
      </c>
      <c r="N2370" s="2" t="str">
        <f>IFERROR(VLOOKUP(ROWS($N$2:N2370),$D$2:$E$1996,2,0),"")</f>
        <v/>
      </c>
    </row>
    <row r="2371" spans="2:14">
      <c r="B2371" s="32">
        <f>IF(ISNUMBER(SEARCH('Φόρμα Εισαγωγής'!$B$2,C2371)),MAX($B$1:B2370)+1,0)</f>
        <v>0</v>
      </c>
      <c r="D2371" s="33">
        <f>IF(ISNUMBER(SEARCH('Φόρμα Εισαγωγής'!$C$2,E2371)),MAX($D$1:D2370)+1,0)</f>
        <v>0</v>
      </c>
      <c r="H2371" s="6">
        <f t="shared" si="122"/>
        <v>0</v>
      </c>
      <c r="I2371" s="6">
        <f t="shared" si="123"/>
        <v>0</v>
      </c>
      <c r="J2371" s="6">
        <f t="shared" si="124"/>
        <v>0</v>
      </c>
      <c r="L2371" s="4" t="str">
        <f>IFERROR(VLOOKUP(ROWS($L$2:L2371),$B$2:$C$1996,2,0),"")</f>
        <v/>
      </c>
      <c r="N2371" s="2" t="str">
        <f>IFERROR(VLOOKUP(ROWS($N$2:N2371),$D$2:$E$1996,2,0),"")</f>
        <v/>
      </c>
    </row>
    <row r="2372" spans="2:14">
      <c r="B2372" s="32">
        <f>IF(ISNUMBER(SEARCH('Φόρμα Εισαγωγής'!$B$2,C2372)),MAX($B$1:B2371)+1,0)</f>
        <v>0</v>
      </c>
      <c r="D2372" s="33">
        <f>IF(ISNUMBER(SEARCH('Φόρμα Εισαγωγής'!$C$2,E2372)),MAX($D$1:D2371)+1,0)</f>
        <v>0</v>
      </c>
      <c r="H2372" s="6">
        <f t="shared" si="122"/>
        <v>0</v>
      </c>
      <c r="I2372" s="6">
        <f t="shared" si="123"/>
        <v>0</v>
      </c>
      <c r="J2372" s="6">
        <f t="shared" si="124"/>
        <v>0</v>
      </c>
      <c r="L2372" s="4" t="str">
        <f>IFERROR(VLOOKUP(ROWS($L$2:L2372),$B$2:$C$1996,2,0),"")</f>
        <v/>
      </c>
      <c r="N2372" s="2" t="str">
        <f>IFERROR(VLOOKUP(ROWS($N$2:N2372),$D$2:$E$1996,2,0),"")</f>
        <v/>
      </c>
    </row>
    <row r="2373" spans="2:14">
      <c r="B2373" s="32">
        <f>IF(ISNUMBER(SEARCH('Φόρμα Εισαγωγής'!$B$2,C2373)),MAX($B$1:B2372)+1,0)</f>
        <v>0</v>
      </c>
      <c r="D2373" s="33">
        <f>IF(ISNUMBER(SEARCH('Φόρμα Εισαγωγής'!$C$2,E2373)),MAX($D$1:D2372)+1,0)</f>
        <v>0</v>
      </c>
      <c r="H2373" s="6">
        <f t="shared" si="122"/>
        <v>0</v>
      </c>
      <c r="I2373" s="6">
        <f t="shared" si="123"/>
        <v>0</v>
      </c>
      <c r="J2373" s="6">
        <f t="shared" si="124"/>
        <v>0</v>
      </c>
      <c r="L2373" s="4" t="str">
        <f>IFERROR(VLOOKUP(ROWS($L$2:L2373),$B$2:$C$1996,2,0),"")</f>
        <v/>
      </c>
      <c r="N2373" s="2" t="str">
        <f>IFERROR(VLOOKUP(ROWS($N$2:N2373),$D$2:$E$1996,2,0),"")</f>
        <v/>
      </c>
    </row>
    <row r="2374" spans="2:14">
      <c r="B2374" s="32">
        <f>IF(ISNUMBER(SEARCH('Φόρμα Εισαγωγής'!$B$2,C2374)),MAX($B$1:B2373)+1,0)</f>
        <v>0</v>
      </c>
      <c r="D2374" s="33">
        <f>IF(ISNUMBER(SEARCH('Φόρμα Εισαγωγής'!$C$2,E2374)),MAX($D$1:D2373)+1,0)</f>
        <v>0</v>
      </c>
      <c r="H2374" s="6">
        <f t="shared" si="122"/>
        <v>0</v>
      </c>
      <c r="I2374" s="6">
        <f t="shared" si="123"/>
        <v>0</v>
      </c>
      <c r="J2374" s="6">
        <f t="shared" si="124"/>
        <v>0</v>
      </c>
      <c r="L2374" s="4" t="str">
        <f>IFERROR(VLOOKUP(ROWS($L$2:L2374),$B$2:$C$1996,2,0),"")</f>
        <v/>
      </c>
      <c r="N2374" s="2" t="str">
        <f>IFERROR(VLOOKUP(ROWS($N$2:N2374),$D$2:$E$1996,2,0),"")</f>
        <v/>
      </c>
    </row>
    <row r="2375" spans="2:14">
      <c r="B2375" s="32">
        <f>IF(ISNUMBER(SEARCH('Φόρμα Εισαγωγής'!$B$2,C2375)),MAX($B$1:B2374)+1,0)</f>
        <v>0</v>
      </c>
      <c r="D2375" s="33">
        <f>IF(ISNUMBER(SEARCH('Φόρμα Εισαγωγής'!$C$2,E2375)),MAX($D$1:D2374)+1,0)</f>
        <v>0</v>
      </c>
      <c r="H2375" s="6">
        <f t="shared" si="122"/>
        <v>0</v>
      </c>
      <c r="I2375" s="6">
        <f t="shared" si="123"/>
        <v>0</v>
      </c>
      <c r="J2375" s="6">
        <f t="shared" si="124"/>
        <v>0</v>
      </c>
      <c r="L2375" s="4" t="str">
        <f>IFERROR(VLOOKUP(ROWS($L$2:L2375),$B$2:$C$1996,2,0),"")</f>
        <v/>
      </c>
      <c r="N2375" s="2" t="str">
        <f>IFERROR(VLOOKUP(ROWS($N$2:N2375),$D$2:$E$1996,2,0),"")</f>
        <v/>
      </c>
    </row>
    <row r="2376" spans="2:14">
      <c r="B2376" s="32">
        <f>IF(ISNUMBER(SEARCH('Φόρμα Εισαγωγής'!$B$2,C2376)),MAX($B$1:B2375)+1,0)</f>
        <v>0</v>
      </c>
      <c r="D2376" s="33">
        <f>IF(ISNUMBER(SEARCH('Φόρμα Εισαγωγής'!$C$2,E2376)),MAX($D$1:D2375)+1,0)</f>
        <v>0</v>
      </c>
      <c r="H2376" s="6">
        <f t="shared" si="122"/>
        <v>0</v>
      </c>
      <c r="I2376" s="6">
        <f t="shared" si="123"/>
        <v>0</v>
      </c>
      <c r="J2376" s="6">
        <f t="shared" si="124"/>
        <v>0</v>
      </c>
      <c r="L2376" s="4" t="str">
        <f>IFERROR(VLOOKUP(ROWS($L$2:L2376),$B$2:$C$1996,2,0),"")</f>
        <v/>
      </c>
      <c r="N2376" s="2" t="str">
        <f>IFERROR(VLOOKUP(ROWS($N$2:N2376),$D$2:$E$1996,2,0),"")</f>
        <v/>
      </c>
    </row>
    <row r="2377" spans="2:14">
      <c r="B2377" s="32">
        <f>IF(ISNUMBER(SEARCH('Φόρμα Εισαγωγής'!$B$2,C2377)),MAX($B$1:B2376)+1,0)</f>
        <v>0</v>
      </c>
      <c r="D2377" s="33">
        <f>IF(ISNUMBER(SEARCH('Φόρμα Εισαγωγής'!$C$2,E2377)),MAX($D$1:D2376)+1,0)</f>
        <v>0</v>
      </c>
      <c r="H2377" s="6">
        <f t="shared" si="122"/>
        <v>0</v>
      </c>
      <c r="I2377" s="6">
        <f t="shared" si="123"/>
        <v>0</v>
      </c>
      <c r="J2377" s="6">
        <f t="shared" si="124"/>
        <v>0</v>
      </c>
      <c r="L2377" s="4" t="str">
        <f>IFERROR(VLOOKUP(ROWS($L$2:L2377),$B$2:$C$1996,2,0),"")</f>
        <v/>
      </c>
      <c r="N2377" s="2" t="str">
        <f>IFERROR(VLOOKUP(ROWS($N$2:N2377),$D$2:$E$1996,2,0),"")</f>
        <v/>
      </c>
    </row>
    <row r="2378" spans="2:14">
      <c r="B2378" s="32">
        <f>IF(ISNUMBER(SEARCH('Φόρμα Εισαγωγής'!$B$2,C2378)),MAX($B$1:B2377)+1,0)</f>
        <v>0</v>
      </c>
      <c r="D2378" s="33">
        <f>IF(ISNUMBER(SEARCH('Φόρμα Εισαγωγής'!$C$2,E2378)),MAX($D$1:D2377)+1,0)</f>
        <v>0</v>
      </c>
      <c r="H2378" s="6">
        <f t="shared" si="122"/>
        <v>0</v>
      </c>
      <c r="I2378" s="6">
        <f t="shared" si="123"/>
        <v>0</v>
      </c>
      <c r="J2378" s="6">
        <f t="shared" si="124"/>
        <v>0</v>
      </c>
      <c r="L2378" s="4" t="str">
        <f>IFERROR(VLOOKUP(ROWS($L$2:L2378),$B$2:$C$1996,2,0),"")</f>
        <v/>
      </c>
      <c r="N2378" s="2" t="str">
        <f>IFERROR(VLOOKUP(ROWS($N$2:N2378),$D$2:$E$1996,2,0),"")</f>
        <v/>
      </c>
    </row>
    <row r="2379" spans="2:14">
      <c r="B2379" s="32">
        <f>IF(ISNUMBER(SEARCH('Φόρμα Εισαγωγής'!$B$2,C2379)),MAX($B$1:B2378)+1,0)</f>
        <v>0</v>
      </c>
      <c r="D2379" s="33">
        <f>IF(ISNUMBER(SEARCH('Φόρμα Εισαγωγής'!$C$2,E2379)),MAX($D$1:D2378)+1,0)</f>
        <v>0</v>
      </c>
      <c r="H2379" s="6">
        <f t="shared" si="122"/>
        <v>0</v>
      </c>
      <c r="I2379" s="6">
        <f t="shared" si="123"/>
        <v>0</v>
      </c>
      <c r="J2379" s="6">
        <f t="shared" si="124"/>
        <v>0</v>
      </c>
      <c r="L2379" s="4" t="str">
        <f>IFERROR(VLOOKUP(ROWS($L$2:L2379),$B$2:$C$1996,2,0),"")</f>
        <v/>
      </c>
      <c r="N2379" s="2" t="str">
        <f>IFERROR(VLOOKUP(ROWS($N$2:N2379),$D$2:$E$1996,2,0),"")</f>
        <v/>
      </c>
    </row>
    <row r="2380" spans="2:14">
      <c r="B2380" s="32">
        <f>IF(ISNUMBER(SEARCH('Φόρμα Εισαγωγής'!$B$2,C2380)),MAX($B$1:B2379)+1,0)</f>
        <v>0</v>
      </c>
      <c r="D2380" s="33">
        <f>IF(ISNUMBER(SEARCH('Φόρμα Εισαγωγής'!$C$2,E2380)),MAX($D$1:D2379)+1,0)</f>
        <v>0</v>
      </c>
      <c r="H2380" s="6">
        <f t="shared" si="122"/>
        <v>0</v>
      </c>
      <c r="I2380" s="6">
        <f t="shared" si="123"/>
        <v>0</v>
      </c>
      <c r="J2380" s="6">
        <f t="shared" si="124"/>
        <v>0</v>
      </c>
      <c r="L2380" s="4" t="str">
        <f>IFERROR(VLOOKUP(ROWS($L$2:L2380),$B$2:$C$1996,2,0),"")</f>
        <v/>
      </c>
      <c r="N2380" s="2" t="str">
        <f>IFERROR(VLOOKUP(ROWS($N$2:N2380),$D$2:$E$1996,2,0),"")</f>
        <v/>
      </c>
    </row>
    <row r="2381" spans="2:14">
      <c r="B2381" s="32">
        <f>IF(ISNUMBER(SEARCH('Φόρμα Εισαγωγής'!$B$2,C2381)),MAX($B$1:B2380)+1,0)</f>
        <v>0</v>
      </c>
      <c r="D2381" s="33">
        <f>IF(ISNUMBER(SEARCH('Φόρμα Εισαγωγής'!$C$2,E2381)),MAX($D$1:D2380)+1,0)</f>
        <v>0</v>
      </c>
      <c r="H2381" s="6">
        <f t="shared" si="122"/>
        <v>0</v>
      </c>
      <c r="I2381" s="6">
        <f t="shared" si="123"/>
        <v>0</v>
      </c>
      <c r="J2381" s="6">
        <f t="shared" si="124"/>
        <v>0</v>
      </c>
      <c r="L2381" s="4" t="str">
        <f>IFERROR(VLOOKUP(ROWS($L$2:L2381),$B$2:$C$1996,2,0),"")</f>
        <v/>
      </c>
      <c r="N2381" s="2" t="str">
        <f>IFERROR(VLOOKUP(ROWS($N$2:N2381),$D$2:$E$1996,2,0),"")</f>
        <v/>
      </c>
    </row>
    <row r="2382" spans="2:14">
      <c r="B2382" s="32">
        <f>IF(ISNUMBER(SEARCH('Φόρμα Εισαγωγής'!$B$2,C2382)),MAX($B$1:B2381)+1,0)</f>
        <v>0</v>
      </c>
      <c r="D2382" s="33">
        <f>IF(ISNUMBER(SEARCH('Φόρμα Εισαγωγής'!$C$2,E2382)),MAX($D$1:D2381)+1,0)</f>
        <v>0</v>
      </c>
      <c r="H2382" s="6">
        <f t="shared" si="122"/>
        <v>0</v>
      </c>
      <c r="I2382" s="6">
        <f t="shared" si="123"/>
        <v>0</v>
      </c>
      <c r="J2382" s="6">
        <f t="shared" si="124"/>
        <v>0</v>
      </c>
      <c r="L2382" s="4" t="str">
        <f>IFERROR(VLOOKUP(ROWS($L$2:L2382),$B$2:$C$1996,2,0),"")</f>
        <v/>
      </c>
      <c r="N2382" s="2" t="str">
        <f>IFERROR(VLOOKUP(ROWS($N$2:N2382),$D$2:$E$1996,2,0),"")</f>
        <v/>
      </c>
    </row>
    <row r="2383" spans="2:14">
      <c r="B2383" s="32">
        <f>IF(ISNUMBER(SEARCH('Φόρμα Εισαγωγής'!$B$2,C2383)),MAX($B$1:B2382)+1,0)</f>
        <v>0</v>
      </c>
      <c r="D2383" s="33">
        <f>IF(ISNUMBER(SEARCH('Φόρμα Εισαγωγής'!$C$2,E2383)),MAX($D$1:D2382)+1,0)</f>
        <v>0</v>
      </c>
      <c r="H2383" s="6">
        <f t="shared" si="122"/>
        <v>0</v>
      </c>
      <c r="I2383" s="6">
        <f t="shared" si="123"/>
        <v>0</v>
      </c>
      <c r="J2383" s="6">
        <f t="shared" si="124"/>
        <v>0</v>
      </c>
      <c r="L2383" s="4" t="str">
        <f>IFERROR(VLOOKUP(ROWS($L$2:L2383),$B$2:$C$1996,2,0),"")</f>
        <v/>
      </c>
      <c r="N2383" s="2" t="str">
        <f>IFERROR(VLOOKUP(ROWS($N$2:N2383),$D$2:$E$1996,2,0),"")</f>
        <v/>
      </c>
    </row>
    <row r="2384" spans="2:14">
      <c r="B2384" s="32">
        <f>IF(ISNUMBER(SEARCH('Φόρμα Εισαγωγής'!$B$2,C2384)),MAX($B$1:B2383)+1,0)</f>
        <v>0</v>
      </c>
      <c r="D2384" s="33">
        <f>IF(ISNUMBER(SEARCH('Φόρμα Εισαγωγής'!$C$2,E2384)),MAX($D$1:D2383)+1,0)</f>
        <v>0</v>
      </c>
      <c r="H2384" s="6">
        <f t="shared" si="122"/>
        <v>0</v>
      </c>
      <c r="I2384" s="6">
        <f t="shared" si="123"/>
        <v>0</v>
      </c>
      <c r="J2384" s="6">
        <f t="shared" si="124"/>
        <v>0</v>
      </c>
      <c r="L2384" s="4" t="str">
        <f>IFERROR(VLOOKUP(ROWS($L$2:L2384),$B$2:$C$1996,2,0),"")</f>
        <v/>
      </c>
      <c r="N2384" s="2" t="str">
        <f>IFERROR(VLOOKUP(ROWS($N$2:N2384),$D$2:$E$1996,2,0),"")</f>
        <v/>
      </c>
    </row>
    <row r="2385" spans="2:14">
      <c r="B2385" s="32">
        <f>IF(ISNUMBER(SEARCH('Φόρμα Εισαγωγής'!$B$2,C2385)),MAX($B$1:B2384)+1,0)</f>
        <v>0</v>
      </c>
      <c r="D2385" s="33">
        <f>IF(ISNUMBER(SEARCH('Φόρμα Εισαγωγής'!$C$2,E2385)),MAX($D$1:D2384)+1,0)</f>
        <v>0</v>
      </c>
      <c r="H2385" s="6">
        <f t="shared" si="122"/>
        <v>0</v>
      </c>
      <c r="I2385" s="6">
        <f t="shared" si="123"/>
        <v>0</v>
      </c>
      <c r="J2385" s="6">
        <f t="shared" si="124"/>
        <v>0</v>
      </c>
      <c r="L2385" s="4" t="str">
        <f>IFERROR(VLOOKUP(ROWS($L$2:L2385),$B$2:$C$1996,2,0),"")</f>
        <v/>
      </c>
      <c r="N2385" s="2" t="str">
        <f>IFERROR(VLOOKUP(ROWS($N$2:N2385),$D$2:$E$1996,2,0),"")</f>
        <v/>
      </c>
    </row>
    <row r="2386" spans="2:14">
      <c r="B2386" s="32">
        <f>IF(ISNUMBER(SEARCH('Φόρμα Εισαγωγής'!$B$2,C2386)),MAX($B$1:B2385)+1,0)</f>
        <v>0</v>
      </c>
      <c r="D2386" s="33">
        <f>IF(ISNUMBER(SEARCH('Φόρμα Εισαγωγής'!$C$2,E2386)),MAX($D$1:D2385)+1,0)</f>
        <v>0</v>
      </c>
      <c r="H2386" s="6">
        <f t="shared" si="122"/>
        <v>0</v>
      </c>
      <c r="I2386" s="6">
        <f t="shared" si="123"/>
        <v>0</v>
      </c>
      <c r="J2386" s="6">
        <f t="shared" si="124"/>
        <v>0</v>
      </c>
      <c r="L2386" s="4" t="str">
        <f>IFERROR(VLOOKUP(ROWS($L$2:L2386),$B$2:$C$1996,2,0),"")</f>
        <v/>
      </c>
      <c r="N2386" s="2" t="str">
        <f>IFERROR(VLOOKUP(ROWS($N$2:N2386),$D$2:$E$1996,2,0),"")</f>
        <v/>
      </c>
    </row>
    <row r="2387" spans="2:14">
      <c r="B2387" s="32">
        <f>IF(ISNUMBER(SEARCH('Φόρμα Εισαγωγής'!$B$2,C2387)),MAX($B$1:B2386)+1,0)</f>
        <v>0</v>
      </c>
      <c r="D2387" s="33">
        <f>IF(ISNUMBER(SEARCH('Φόρμα Εισαγωγής'!$C$2,E2387)),MAX($D$1:D2386)+1,0)</f>
        <v>0</v>
      </c>
      <c r="H2387" s="6">
        <f t="shared" si="122"/>
        <v>0</v>
      </c>
      <c r="I2387" s="6">
        <f t="shared" si="123"/>
        <v>0</v>
      </c>
      <c r="J2387" s="6">
        <f t="shared" si="124"/>
        <v>0</v>
      </c>
      <c r="L2387" s="4" t="str">
        <f>IFERROR(VLOOKUP(ROWS($L$2:L2387),$B$2:$C$1996,2,0),"")</f>
        <v/>
      </c>
      <c r="N2387" s="2" t="str">
        <f>IFERROR(VLOOKUP(ROWS($N$2:N2387),$D$2:$E$1996,2,0),"")</f>
        <v/>
      </c>
    </row>
    <row r="2388" spans="2:14">
      <c r="B2388" s="32">
        <f>IF(ISNUMBER(SEARCH('Φόρμα Εισαγωγής'!$B$2,C2388)),MAX($B$1:B2387)+1,0)</f>
        <v>0</v>
      </c>
      <c r="D2388" s="33">
        <f>IF(ISNUMBER(SEARCH('Φόρμα Εισαγωγής'!$C$2,E2388)),MAX($D$1:D2387)+1,0)</f>
        <v>0</v>
      </c>
      <c r="H2388" s="6">
        <f t="shared" si="122"/>
        <v>0</v>
      </c>
      <c r="I2388" s="6">
        <f t="shared" si="123"/>
        <v>0</v>
      </c>
      <c r="J2388" s="6">
        <f t="shared" si="124"/>
        <v>0</v>
      </c>
      <c r="L2388" s="4" t="str">
        <f>IFERROR(VLOOKUP(ROWS($L$2:L2388),$B$2:$C$1996,2,0),"")</f>
        <v/>
      </c>
      <c r="N2388" s="2" t="str">
        <f>IFERROR(VLOOKUP(ROWS($N$2:N2388),$D$2:$E$1996,2,0),"")</f>
        <v/>
      </c>
    </row>
    <row r="2389" spans="2:14">
      <c r="B2389" s="32">
        <f>IF(ISNUMBER(SEARCH('Φόρμα Εισαγωγής'!$B$2,C2389)),MAX($B$1:B2388)+1,0)</f>
        <v>0</v>
      </c>
      <c r="D2389" s="33">
        <f>IF(ISNUMBER(SEARCH('Φόρμα Εισαγωγής'!$C$2,E2389)),MAX($D$1:D2388)+1,0)</f>
        <v>0</v>
      </c>
      <c r="H2389" s="6">
        <f t="shared" si="122"/>
        <v>0</v>
      </c>
      <c r="I2389" s="6">
        <f t="shared" si="123"/>
        <v>0</v>
      </c>
      <c r="J2389" s="6">
        <f t="shared" si="124"/>
        <v>0</v>
      </c>
      <c r="L2389" s="4" t="str">
        <f>IFERROR(VLOOKUP(ROWS($L$2:L2389),$B$2:$C$1996,2,0),"")</f>
        <v/>
      </c>
      <c r="N2389" s="2" t="str">
        <f>IFERROR(VLOOKUP(ROWS($N$2:N2389),$D$2:$E$1996,2,0),"")</f>
        <v/>
      </c>
    </row>
    <row r="2390" spans="2:14">
      <c r="B2390" s="32">
        <f>IF(ISNUMBER(SEARCH('Φόρμα Εισαγωγής'!$B$2,C2390)),MAX($B$1:B2389)+1,0)</f>
        <v>0</v>
      </c>
      <c r="D2390" s="33">
        <f>IF(ISNUMBER(SEARCH('Φόρμα Εισαγωγής'!$C$2,E2390)),MAX($D$1:D2389)+1,0)</f>
        <v>0</v>
      </c>
      <c r="H2390" s="6">
        <f t="shared" si="122"/>
        <v>0</v>
      </c>
      <c r="I2390" s="6">
        <f t="shared" si="123"/>
        <v>0</v>
      </c>
      <c r="J2390" s="6">
        <f t="shared" si="124"/>
        <v>0</v>
      </c>
      <c r="L2390" s="4" t="str">
        <f>IFERROR(VLOOKUP(ROWS($L$2:L2390),$B$2:$C$1996,2,0),"")</f>
        <v/>
      </c>
      <c r="N2390" s="2" t="str">
        <f>IFERROR(VLOOKUP(ROWS($N$2:N2390),$D$2:$E$1996,2,0),"")</f>
        <v/>
      </c>
    </row>
    <row r="2391" spans="2:14">
      <c r="B2391" s="32">
        <f>IF(ISNUMBER(SEARCH('Φόρμα Εισαγωγής'!$B$2,C2391)),MAX($B$1:B2390)+1,0)</f>
        <v>0</v>
      </c>
      <c r="D2391" s="33">
        <f>IF(ISNUMBER(SEARCH('Φόρμα Εισαγωγής'!$C$2,E2391)),MAX($D$1:D2390)+1,0)</f>
        <v>0</v>
      </c>
      <c r="H2391" s="6">
        <f t="shared" si="122"/>
        <v>0</v>
      </c>
      <c r="I2391" s="6">
        <f t="shared" si="123"/>
        <v>0</v>
      </c>
      <c r="J2391" s="6">
        <f t="shared" si="124"/>
        <v>0</v>
      </c>
      <c r="L2391" s="4" t="str">
        <f>IFERROR(VLOOKUP(ROWS($L$2:L2391),$B$2:$C$1996,2,0),"")</f>
        <v/>
      </c>
      <c r="N2391" s="2" t="str">
        <f>IFERROR(VLOOKUP(ROWS($N$2:N2391),$D$2:$E$1996,2,0),"")</f>
        <v/>
      </c>
    </row>
    <row r="2392" spans="2:14">
      <c r="B2392" s="32">
        <f>IF(ISNUMBER(SEARCH('Φόρμα Εισαγωγής'!$B$2,C2392)),MAX($B$1:B2391)+1,0)</f>
        <v>0</v>
      </c>
      <c r="D2392" s="33">
        <f>IF(ISNUMBER(SEARCH('Φόρμα Εισαγωγής'!$C$2,E2392)),MAX($D$1:D2391)+1,0)</f>
        <v>0</v>
      </c>
      <c r="H2392" s="6">
        <f t="shared" si="122"/>
        <v>0</v>
      </c>
      <c r="I2392" s="6">
        <f t="shared" si="123"/>
        <v>0</v>
      </c>
      <c r="J2392" s="6">
        <f t="shared" si="124"/>
        <v>0</v>
      </c>
      <c r="L2392" s="4" t="str">
        <f>IFERROR(VLOOKUP(ROWS($L$2:L2392),$B$2:$C$1996,2,0),"")</f>
        <v/>
      </c>
      <c r="N2392" s="2" t="str">
        <f>IFERROR(VLOOKUP(ROWS($N$2:N2392),$D$2:$E$1996,2,0),"")</f>
        <v/>
      </c>
    </row>
    <row r="2393" spans="2:14">
      <c r="B2393" s="32">
        <f>IF(ISNUMBER(SEARCH('Φόρμα Εισαγωγής'!$B$2,C2393)),MAX($B$1:B2392)+1,0)</f>
        <v>0</v>
      </c>
      <c r="D2393" s="33">
        <f>IF(ISNUMBER(SEARCH('Φόρμα Εισαγωγής'!$C$2,E2393)),MAX($D$1:D2392)+1,0)</f>
        <v>0</v>
      </c>
      <c r="H2393" s="6">
        <f t="shared" si="122"/>
        <v>0</v>
      </c>
      <c r="I2393" s="6">
        <f t="shared" si="123"/>
        <v>0</v>
      </c>
      <c r="J2393" s="6">
        <f t="shared" si="124"/>
        <v>0</v>
      </c>
      <c r="L2393" s="4" t="str">
        <f>IFERROR(VLOOKUP(ROWS($L$2:L2393),$B$2:$C$1996,2,0),"")</f>
        <v/>
      </c>
      <c r="N2393" s="2" t="str">
        <f>IFERROR(VLOOKUP(ROWS($N$2:N2393),$D$2:$E$1996,2,0),"")</f>
        <v/>
      </c>
    </row>
    <row r="2394" spans="2:14">
      <c r="B2394" s="32">
        <f>IF(ISNUMBER(SEARCH('Φόρμα Εισαγωγής'!$B$2,C2394)),MAX($B$1:B2393)+1,0)</f>
        <v>0</v>
      </c>
      <c r="D2394" s="33">
        <f>IF(ISNUMBER(SEARCH('Φόρμα Εισαγωγής'!$C$2,E2394)),MAX($D$1:D2393)+1,0)</f>
        <v>0</v>
      </c>
      <c r="H2394" s="6">
        <f t="shared" si="122"/>
        <v>0</v>
      </c>
      <c r="I2394" s="6">
        <f t="shared" si="123"/>
        <v>0</v>
      </c>
      <c r="J2394" s="6">
        <f t="shared" si="124"/>
        <v>0</v>
      </c>
      <c r="L2394" s="4" t="str">
        <f>IFERROR(VLOOKUP(ROWS($L$2:L2394),$B$2:$C$1996,2,0),"")</f>
        <v/>
      </c>
      <c r="N2394" s="2" t="str">
        <f>IFERROR(VLOOKUP(ROWS($N$2:N2394),$D$2:$E$1996,2,0),"")</f>
        <v/>
      </c>
    </row>
    <row r="2395" spans="2:14">
      <c r="B2395" s="32">
        <f>IF(ISNUMBER(SEARCH('Φόρμα Εισαγωγής'!$B$2,C2395)),MAX($B$1:B2394)+1,0)</f>
        <v>0</v>
      </c>
      <c r="D2395" s="33">
        <f>IF(ISNUMBER(SEARCH('Φόρμα Εισαγωγής'!$C$2,E2395)),MAX($D$1:D2394)+1,0)</f>
        <v>0</v>
      </c>
      <c r="H2395" s="6">
        <f t="shared" si="122"/>
        <v>0</v>
      </c>
      <c r="I2395" s="6">
        <f t="shared" si="123"/>
        <v>0</v>
      </c>
      <c r="J2395" s="6">
        <f t="shared" si="124"/>
        <v>0</v>
      </c>
      <c r="L2395" s="4" t="str">
        <f>IFERROR(VLOOKUP(ROWS($L$2:L2395),$B$2:$C$1996,2,0),"")</f>
        <v/>
      </c>
      <c r="N2395" s="2" t="str">
        <f>IFERROR(VLOOKUP(ROWS($N$2:N2395),$D$2:$E$1996,2,0),"")</f>
        <v/>
      </c>
    </row>
    <row r="2396" spans="2:14">
      <c r="B2396" s="32">
        <f>IF(ISNUMBER(SEARCH('Φόρμα Εισαγωγής'!$B$2,C2396)),MAX($B$1:B2395)+1,0)</f>
        <v>0</v>
      </c>
      <c r="D2396" s="33">
        <f>IF(ISNUMBER(SEARCH('Φόρμα Εισαγωγής'!$C$2,E2396)),MAX($D$1:D2395)+1,0)</f>
        <v>0</v>
      </c>
      <c r="H2396" s="6">
        <f t="shared" si="122"/>
        <v>0</v>
      </c>
      <c r="I2396" s="6">
        <f t="shared" si="123"/>
        <v>0</v>
      </c>
      <c r="J2396" s="6">
        <f t="shared" si="124"/>
        <v>0</v>
      </c>
      <c r="L2396" s="4" t="str">
        <f>IFERROR(VLOOKUP(ROWS($L$2:L2396),$B$2:$C$1996,2,0),"")</f>
        <v/>
      </c>
      <c r="N2396" s="2" t="str">
        <f>IFERROR(VLOOKUP(ROWS($N$2:N2396),$D$2:$E$1996,2,0),"")</f>
        <v/>
      </c>
    </row>
    <row r="2397" spans="2:14">
      <c r="B2397" s="32">
        <f>IF(ISNUMBER(SEARCH('Φόρμα Εισαγωγής'!$B$2,C2397)),MAX($B$1:B2396)+1,0)</f>
        <v>0</v>
      </c>
      <c r="D2397" s="33">
        <f>IF(ISNUMBER(SEARCH('Φόρμα Εισαγωγής'!$C$2,E2397)),MAX($D$1:D2396)+1,0)</f>
        <v>0</v>
      </c>
      <c r="H2397" s="6">
        <f t="shared" si="122"/>
        <v>0</v>
      </c>
      <c r="I2397" s="6">
        <f t="shared" si="123"/>
        <v>0</v>
      </c>
      <c r="J2397" s="6">
        <f t="shared" si="124"/>
        <v>0</v>
      </c>
      <c r="L2397" s="4" t="str">
        <f>IFERROR(VLOOKUP(ROWS($L$2:L2397),$B$2:$C$1996,2,0),"")</f>
        <v/>
      </c>
      <c r="N2397" s="2" t="str">
        <f>IFERROR(VLOOKUP(ROWS($N$2:N2397),$D$2:$E$1996,2,0),"")</f>
        <v/>
      </c>
    </row>
    <row r="2398" spans="2:14">
      <c r="B2398" s="32">
        <f>IF(ISNUMBER(SEARCH('Φόρμα Εισαγωγής'!$B$2,C2398)),MAX($B$1:B2397)+1,0)</f>
        <v>0</v>
      </c>
      <c r="D2398" s="33">
        <f>IF(ISNUMBER(SEARCH('Φόρμα Εισαγωγής'!$C$2,E2398)),MAX($D$1:D2397)+1,0)</f>
        <v>0</v>
      </c>
      <c r="H2398" s="6">
        <f t="shared" si="122"/>
        <v>0</v>
      </c>
      <c r="I2398" s="6">
        <f t="shared" si="123"/>
        <v>0</v>
      </c>
      <c r="J2398" s="6">
        <f t="shared" si="124"/>
        <v>0</v>
      </c>
      <c r="L2398" s="4" t="str">
        <f>IFERROR(VLOOKUP(ROWS($L$2:L2398),$B$2:$C$1996,2,0),"")</f>
        <v/>
      </c>
      <c r="N2398" s="2" t="str">
        <f>IFERROR(VLOOKUP(ROWS($N$2:N2398),$D$2:$E$1996,2,0),"")</f>
        <v/>
      </c>
    </row>
    <row r="2399" spans="2:14">
      <c r="B2399" s="32">
        <f>IF(ISNUMBER(SEARCH('Φόρμα Εισαγωγής'!$B$2,C2399)),MAX($B$1:B2398)+1,0)</f>
        <v>0</v>
      </c>
      <c r="D2399" s="33">
        <f>IF(ISNUMBER(SEARCH('Φόρμα Εισαγωγής'!$C$2,E2399)),MAX($D$1:D2398)+1,0)</f>
        <v>0</v>
      </c>
      <c r="H2399" s="6">
        <f t="shared" si="122"/>
        <v>0</v>
      </c>
      <c r="I2399" s="6">
        <f t="shared" si="123"/>
        <v>0</v>
      </c>
      <c r="J2399" s="6">
        <f t="shared" si="124"/>
        <v>0</v>
      </c>
      <c r="L2399" s="4" t="str">
        <f>IFERROR(VLOOKUP(ROWS($L$2:L2399),$B$2:$C$1996,2,0),"")</f>
        <v/>
      </c>
      <c r="N2399" s="2" t="str">
        <f>IFERROR(VLOOKUP(ROWS($N$2:N2399),$D$2:$E$1996,2,0),"")</f>
        <v/>
      </c>
    </row>
    <row r="2400" spans="2:14">
      <c r="B2400" s="32">
        <f>IF(ISNUMBER(SEARCH('Φόρμα Εισαγωγής'!$B$2,C2400)),MAX($B$1:B2399)+1,0)</f>
        <v>0</v>
      </c>
      <c r="D2400" s="33">
        <f>IF(ISNUMBER(SEARCH('Φόρμα Εισαγωγής'!$C$2,E2400)),MAX($D$1:D2399)+1,0)</f>
        <v>0</v>
      </c>
      <c r="H2400" s="6">
        <f t="shared" si="122"/>
        <v>0</v>
      </c>
      <c r="I2400" s="6">
        <f t="shared" si="123"/>
        <v>0</v>
      </c>
      <c r="J2400" s="6">
        <f t="shared" si="124"/>
        <v>0</v>
      </c>
      <c r="L2400" s="4" t="str">
        <f>IFERROR(VLOOKUP(ROWS($L$2:L2400),$B$2:$C$1996,2,0),"")</f>
        <v/>
      </c>
      <c r="N2400" s="2" t="str">
        <f>IFERROR(VLOOKUP(ROWS($N$2:N2400),$D$2:$E$1996,2,0),"")</f>
        <v/>
      </c>
    </row>
    <row r="2401" spans="2:14">
      <c r="B2401" s="32">
        <f>IF(ISNUMBER(SEARCH('Φόρμα Εισαγωγής'!$B$2,C2401)),MAX($B$1:B2400)+1,0)</f>
        <v>0</v>
      </c>
      <c r="D2401" s="33">
        <f>IF(ISNUMBER(SEARCH('Φόρμα Εισαγωγής'!$C$2,E2401)),MAX($D$1:D2400)+1,0)</f>
        <v>0</v>
      </c>
      <c r="H2401" s="6">
        <f t="shared" si="122"/>
        <v>0</v>
      </c>
      <c r="I2401" s="6">
        <f t="shared" si="123"/>
        <v>0</v>
      </c>
      <c r="J2401" s="6">
        <f t="shared" si="124"/>
        <v>0</v>
      </c>
      <c r="L2401" s="4" t="str">
        <f>IFERROR(VLOOKUP(ROWS($L$2:L2401),$B$2:$C$1996,2,0),"")</f>
        <v/>
      </c>
      <c r="N2401" s="2" t="str">
        <f>IFERROR(VLOOKUP(ROWS($N$2:N2401),$D$2:$E$1996,2,0),"")</f>
        <v/>
      </c>
    </row>
    <row r="2402" spans="2:14">
      <c r="B2402" s="32">
        <f>IF(ISNUMBER(SEARCH('Φόρμα Εισαγωγής'!$B$2,C2402)),MAX($B$1:B2401)+1,0)</f>
        <v>0</v>
      </c>
      <c r="D2402" s="33">
        <f>IF(ISNUMBER(SEARCH('Φόρμα Εισαγωγής'!$C$2,E2402)),MAX($D$1:D2401)+1,0)</f>
        <v>0</v>
      </c>
      <c r="H2402" s="6">
        <f t="shared" si="122"/>
        <v>0</v>
      </c>
      <c r="I2402" s="6">
        <f t="shared" si="123"/>
        <v>0</v>
      </c>
      <c r="J2402" s="6">
        <f t="shared" si="124"/>
        <v>0</v>
      </c>
      <c r="L2402" s="4" t="str">
        <f>IFERROR(VLOOKUP(ROWS($L$2:L2402),$B$2:$C$1996,2,0),"")</f>
        <v/>
      </c>
      <c r="N2402" s="2" t="str">
        <f>IFERROR(VLOOKUP(ROWS($N$2:N2402),$D$2:$E$1996,2,0),"")</f>
        <v/>
      </c>
    </row>
    <row r="2403" spans="2:14">
      <c r="B2403" s="32">
        <f>IF(ISNUMBER(SEARCH('Φόρμα Εισαγωγής'!$B$2,C2403)),MAX($B$1:B2402)+1,0)</f>
        <v>0</v>
      </c>
      <c r="D2403" s="33">
        <f>IF(ISNUMBER(SEARCH('Φόρμα Εισαγωγής'!$C$2,E2403)),MAX($D$1:D2402)+1,0)</f>
        <v>0</v>
      </c>
      <c r="H2403" s="6">
        <f t="shared" si="122"/>
        <v>0</v>
      </c>
      <c r="I2403" s="6">
        <f t="shared" si="123"/>
        <v>0</v>
      </c>
      <c r="J2403" s="6">
        <f t="shared" si="124"/>
        <v>0</v>
      </c>
      <c r="L2403" s="4" t="str">
        <f>IFERROR(VLOOKUP(ROWS($L$2:L2403),$B$2:$C$1996,2,0),"")</f>
        <v/>
      </c>
      <c r="N2403" s="2" t="str">
        <f>IFERROR(VLOOKUP(ROWS($N$2:N2403),$D$2:$E$1996,2,0),"")</f>
        <v/>
      </c>
    </row>
    <row r="2404" spans="2:14">
      <c r="B2404" s="32">
        <f>IF(ISNUMBER(SEARCH('Φόρμα Εισαγωγής'!$B$2,C2404)),MAX($B$1:B2403)+1,0)</f>
        <v>0</v>
      </c>
      <c r="D2404" s="33">
        <f>IF(ISNUMBER(SEARCH('Φόρμα Εισαγωγής'!$C$2,E2404)),MAX($D$1:D2403)+1,0)</f>
        <v>0</v>
      </c>
      <c r="H2404" s="6">
        <f t="shared" si="122"/>
        <v>0</v>
      </c>
      <c r="I2404" s="6">
        <f t="shared" si="123"/>
        <v>0</v>
      </c>
      <c r="J2404" s="6">
        <f t="shared" si="124"/>
        <v>0</v>
      </c>
      <c r="L2404" s="4" t="str">
        <f>IFERROR(VLOOKUP(ROWS($L$2:L2404),$B$2:$C$1996,2,0),"")</f>
        <v/>
      </c>
      <c r="N2404" s="2" t="str">
        <f>IFERROR(VLOOKUP(ROWS($N$2:N2404),$D$2:$E$1996,2,0),"")</f>
        <v/>
      </c>
    </row>
    <row r="2405" spans="2:14">
      <c r="B2405" s="32">
        <f>IF(ISNUMBER(SEARCH('Φόρμα Εισαγωγής'!$B$2,C2405)),MAX($B$1:B2404)+1,0)</f>
        <v>0</v>
      </c>
      <c r="D2405" s="33">
        <f>IF(ISNUMBER(SEARCH('Φόρμα Εισαγωγής'!$C$2,E2405)),MAX($D$1:D2404)+1,0)</f>
        <v>0</v>
      </c>
      <c r="H2405" s="6">
        <f t="shared" si="122"/>
        <v>0</v>
      </c>
      <c r="I2405" s="6">
        <f t="shared" si="123"/>
        <v>0</v>
      </c>
      <c r="J2405" s="6">
        <f t="shared" si="124"/>
        <v>0</v>
      </c>
      <c r="L2405" s="4" t="str">
        <f>IFERROR(VLOOKUP(ROWS($L$2:L2405),$B$2:$C$1996,2,0),"")</f>
        <v/>
      </c>
      <c r="N2405" s="2" t="str">
        <f>IFERROR(VLOOKUP(ROWS($N$2:N2405),$D$2:$E$1996,2,0),"")</f>
        <v/>
      </c>
    </row>
    <row r="2406" spans="2:14">
      <c r="B2406" s="32">
        <f>IF(ISNUMBER(SEARCH('Φόρμα Εισαγωγής'!$B$2,C2406)),MAX($B$1:B2405)+1,0)</f>
        <v>0</v>
      </c>
      <c r="D2406" s="33">
        <f>IF(ISNUMBER(SEARCH('Φόρμα Εισαγωγής'!$C$2,E2406)),MAX($D$1:D2405)+1,0)</f>
        <v>0</v>
      </c>
      <c r="H2406" s="6">
        <f t="shared" si="122"/>
        <v>0</v>
      </c>
      <c r="I2406" s="6">
        <f t="shared" si="123"/>
        <v>0</v>
      </c>
      <c r="J2406" s="6">
        <f t="shared" si="124"/>
        <v>0</v>
      </c>
      <c r="L2406" s="4" t="str">
        <f>IFERROR(VLOOKUP(ROWS($L$2:L2406),$B$2:$C$1996,2,0),"")</f>
        <v/>
      </c>
      <c r="N2406" s="2" t="str">
        <f>IFERROR(VLOOKUP(ROWS($N$2:N2406),$D$2:$E$1996,2,0),"")</f>
        <v/>
      </c>
    </row>
    <row r="2407" spans="2:14">
      <c r="B2407" s="32">
        <f>IF(ISNUMBER(SEARCH('Φόρμα Εισαγωγής'!$B$2,C2407)),MAX($B$1:B2406)+1,0)</f>
        <v>0</v>
      </c>
      <c r="D2407" s="33">
        <f>IF(ISNUMBER(SEARCH('Φόρμα Εισαγωγής'!$C$2,E2407)),MAX($D$1:D2406)+1,0)</f>
        <v>0</v>
      </c>
      <c r="H2407" s="6">
        <f t="shared" si="122"/>
        <v>0</v>
      </c>
      <c r="I2407" s="6">
        <f t="shared" si="123"/>
        <v>0</v>
      </c>
      <c r="J2407" s="6">
        <f t="shared" si="124"/>
        <v>0</v>
      </c>
      <c r="L2407" s="4" t="str">
        <f>IFERROR(VLOOKUP(ROWS($L$2:L2407),$B$2:$C$1996,2,0),"")</f>
        <v/>
      </c>
      <c r="N2407" s="2" t="str">
        <f>IFERROR(VLOOKUP(ROWS($N$2:N2407),$D$2:$E$1996,2,0),"")</f>
        <v/>
      </c>
    </row>
    <row r="2408" spans="2:14">
      <c r="B2408" s="32">
        <f>IF(ISNUMBER(SEARCH('Φόρμα Εισαγωγής'!$B$2,C2408)),MAX($B$1:B2407)+1,0)</f>
        <v>0</v>
      </c>
      <c r="D2408" s="33">
        <f>IF(ISNUMBER(SEARCH('Φόρμα Εισαγωγής'!$C$2,E2408)),MAX($D$1:D2407)+1,0)</f>
        <v>0</v>
      </c>
      <c r="H2408" s="6">
        <f t="shared" si="122"/>
        <v>0</v>
      </c>
      <c r="I2408" s="6">
        <f t="shared" si="123"/>
        <v>0</v>
      </c>
      <c r="J2408" s="6">
        <f t="shared" si="124"/>
        <v>0</v>
      </c>
      <c r="L2408" s="4" t="str">
        <f>IFERROR(VLOOKUP(ROWS($L$2:L2408),$B$2:$C$1996,2,0),"")</f>
        <v/>
      </c>
      <c r="N2408" s="2" t="str">
        <f>IFERROR(VLOOKUP(ROWS($N$2:N2408),$D$2:$E$1996,2,0),"")</f>
        <v/>
      </c>
    </row>
    <row r="2409" spans="2:14">
      <c r="B2409" s="32">
        <f>IF(ISNUMBER(SEARCH('Φόρμα Εισαγωγής'!$B$2,C2409)),MAX($B$1:B2408)+1,0)</f>
        <v>0</v>
      </c>
      <c r="D2409" s="33">
        <f>IF(ISNUMBER(SEARCH('Φόρμα Εισαγωγής'!$C$2,E2409)),MAX($D$1:D2408)+1,0)</f>
        <v>0</v>
      </c>
      <c r="H2409" s="6">
        <f t="shared" si="122"/>
        <v>0</v>
      </c>
      <c r="I2409" s="6">
        <f t="shared" si="123"/>
        <v>0</v>
      </c>
      <c r="J2409" s="6">
        <f t="shared" si="124"/>
        <v>0</v>
      </c>
      <c r="L2409" s="4" t="str">
        <f>IFERROR(VLOOKUP(ROWS($L$2:L2409),$B$2:$C$1996,2,0),"")</f>
        <v/>
      </c>
      <c r="N2409" s="2" t="str">
        <f>IFERROR(VLOOKUP(ROWS($N$2:N2409),$D$2:$E$1996,2,0),"")</f>
        <v/>
      </c>
    </row>
    <row r="2410" spans="2:14">
      <c r="B2410" s="32">
        <f>IF(ISNUMBER(SEARCH('Φόρμα Εισαγωγής'!$B$2,C2410)),MAX($B$1:B2409)+1,0)</f>
        <v>0</v>
      </c>
      <c r="D2410" s="33">
        <f>IF(ISNUMBER(SEARCH('Φόρμα Εισαγωγής'!$C$2,E2410)),MAX($D$1:D2409)+1,0)</f>
        <v>0</v>
      </c>
      <c r="H2410" s="6">
        <f t="shared" si="122"/>
        <v>0</v>
      </c>
      <c r="I2410" s="6">
        <f t="shared" si="123"/>
        <v>0</v>
      </c>
      <c r="J2410" s="6">
        <f t="shared" si="124"/>
        <v>0</v>
      </c>
      <c r="L2410" s="4" t="str">
        <f>IFERROR(VLOOKUP(ROWS($L$2:L2410),$B$2:$C$1996,2,0),"")</f>
        <v/>
      </c>
      <c r="N2410" s="2" t="str">
        <f>IFERROR(VLOOKUP(ROWS($N$2:N2410),$D$2:$E$1996,2,0),"")</f>
        <v/>
      </c>
    </row>
    <row r="2411" spans="2:14">
      <c r="B2411" s="32">
        <f>IF(ISNUMBER(SEARCH('Φόρμα Εισαγωγής'!$B$2,C2411)),MAX($B$1:B2410)+1,0)</f>
        <v>0</v>
      </c>
      <c r="D2411" s="33">
        <f>IF(ISNUMBER(SEARCH('Φόρμα Εισαγωγής'!$C$2,E2411)),MAX($D$1:D2410)+1,0)</f>
        <v>0</v>
      </c>
      <c r="H2411" s="6">
        <f t="shared" si="122"/>
        <v>0</v>
      </c>
      <c r="I2411" s="6">
        <f t="shared" si="123"/>
        <v>0</v>
      </c>
      <c r="J2411" s="6">
        <f t="shared" si="124"/>
        <v>0</v>
      </c>
      <c r="L2411" s="4" t="str">
        <f>IFERROR(VLOOKUP(ROWS($L$2:L2411),$B$2:$C$1996,2,0),"")</f>
        <v/>
      </c>
      <c r="N2411" s="2" t="str">
        <f>IFERROR(VLOOKUP(ROWS($N$2:N2411),$D$2:$E$1996,2,0),"")</f>
        <v/>
      </c>
    </row>
    <row r="2412" spans="2:14">
      <c r="B2412" s="32">
        <f>IF(ISNUMBER(SEARCH('Φόρμα Εισαγωγής'!$B$2,C2412)),MAX($B$1:B2411)+1,0)</f>
        <v>0</v>
      </c>
      <c r="D2412" s="33">
        <f>IF(ISNUMBER(SEARCH('Φόρμα Εισαγωγής'!$C$2,E2412)),MAX($D$1:D2411)+1,0)</f>
        <v>0</v>
      </c>
      <c r="H2412" s="6">
        <f t="shared" si="122"/>
        <v>0</v>
      </c>
      <c r="I2412" s="6">
        <f t="shared" si="123"/>
        <v>0</v>
      </c>
      <c r="J2412" s="6">
        <f t="shared" si="124"/>
        <v>0</v>
      </c>
      <c r="L2412" s="4" t="str">
        <f>IFERROR(VLOOKUP(ROWS($L$2:L2412),$B$2:$C$1996,2,0),"")</f>
        <v/>
      </c>
      <c r="N2412" s="2" t="str">
        <f>IFERROR(VLOOKUP(ROWS($N$2:N2412),$D$2:$E$1996,2,0),"")</f>
        <v/>
      </c>
    </row>
    <row r="2413" spans="2:14">
      <c r="B2413" s="32">
        <f>IF(ISNUMBER(SEARCH('Φόρμα Εισαγωγής'!$B$2,C2413)),MAX($B$1:B2412)+1,0)</f>
        <v>0</v>
      </c>
      <c r="D2413" s="33">
        <f>IF(ISNUMBER(SEARCH('Φόρμα Εισαγωγής'!$C$2,E2413)),MAX($D$1:D2412)+1,0)</f>
        <v>0</v>
      </c>
      <c r="H2413" s="6">
        <f t="shared" si="122"/>
        <v>0</v>
      </c>
      <c r="I2413" s="6">
        <f t="shared" si="123"/>
        <v>0</v>
      </c>
      <c r="J2413" s="6">
        <f t="shared" si="124"/>
        <v>0</v>
      </c>
      <c r="L2413" s="4" t="str">
        <f>IFERROR(VLOOKUP(ROWS($L$2:L2413),$B$2:$C$1996,2,0),"")</f>
        <v/>
      </c>
      <c r="N2413" s="2" t="str">
        <f>IFERROR(VLOOKUP(ROWS($N$2:N2413),$D$2:$E$1996,2,0),"")</f>
        <v/>
      </c>
    </row>
    <row r="2414" spans="2:14">
      <c r="B2414" s="32">
        <f>IF(ISNUMBER(SEARCH('Φόρμα Εισαγωγής'!$B$2,C2414)),MAX($B$1:B2413)+1,0)</f>
        <v>0</v>
      </c>
      <c r="D2414" s="33">
        <f>IF(ISNUMBER(SEARCH('Φόρμα Εισαγωγής'!$C$2,E2414)),MAX($D$1:D2413)+1,0)</f>
        <v>0</v>
      </c>
      <c r="H2414" s="6">
        <f t="shared" si="122"/>
        <v>0</v>
      </c>
      <c r="I2414" s="6">
        <f t="shared" si="123"/>
        <v>0</v>
      </c>
      <c r="J2414" s="6">
        <f t="shared" si="124"/>
        <v>0</v>
      </c>
      <c r="L2414" s="4" t="str">
        <f>IFERROR(VLOOKUP(ROWS($L$2:L2414),$B$2:$C$1996,2,0),"")</f>
        <v/>
      </c>
      <c r="N2414" s="2" t="str">
        <f>IFERROR(VLOOKUP(ROWS($N$2:N2414),$D$2:$E$1996,2,0),"")</f>
        <v/>
      </c>
    </row>
    <row r="2415" spans="2:14">
      <c r="B2415" s="32">
        <f>IF(ISNUMBER(SEARCH('Φόρμα Εισαγωγής'!$B$2,C2415)),MAX($B$1:B2414)+1,0)</f>
        <v>0</v>
      </c>
      <c r="D2415" s="33">
        <f>IF(ISNUMBER(SEARCH('Φόρμα Εισαγωγής'!$C$2,E2415)),MAX($D$1:D2414)+1,0)</f>
        <v>0</v>
      </c>
      <c r="H2415" s="6">
        <f t="shared" si="122"/>
        <v>0</v>
      </c>
      <c r="I2415" s="6">
        <f t="shared" si="123"/>
        <v>0</v>
      </c>
      <c r="J2415" s="6">
        <f t="shared" si="124"/>
        <v>0</v>
      </c>
      <c r="L2415" s="4" t="str">
        <f>IFERROR(VLOOKUP(ROWS($L$2:L2415),$B$2:$C$1996,2,0),"")</f>
        <v/>
      </c>
      <c r="N2415" s="2" t="str">
        <f>IFERROR(VLOOKUP(ROWS($N$2:N2415),$D$2:$E$1996,2,0),"")</f>
        <v/>
      </c>
    </row>
    <row r="2416" spans="2:14">
      <c r="B2416" s="32">
        <f>IF(ISNUMBER(SEARCH('Φόρμα Εισαγωγής'!$B$2,C2416)),MAX($B$1:B2415)+1,0)</f>
        <v>0</v>
      </c>
      <c r="D2416" s="33">
        <f>IF(ISNUMBER(SEARCH('Φόρμα Εισαγωγής'!$C$2,E2416)),MAX($D$1:D2415)+1,0)</f>
        <v>0</v>
      </c>
      <c r="H2416" s="6">
        <f t="shared" si="122"/>
        <v>0</v>
      </c>
      <c r="I2416" s="6">
        <f t="shared" si="123"/>
        <v>0</v>
      </c>
      <c r="J2416" s="6">
        <f t="shared" si="124"/>
        <v>0</v>
      </c>
      <c r="L2416" s="4" t="str">
        <f>IFERROR(VLOOKUP(ROWS($L$2:L2416),$B$2:$C$1996,2,0),"")</f>
        <v/>
      </c>
      <c r="N2416" s="2" t="str">
        <f>IFERROR(VLOOKUP(ROWS($N$2:N2416),$D$2:$E$1996,2,0),"")</f>
        <v/>
      </c>
    </row>
    <row r="2417" spans="2:14">
      <c r="B2417" s="32">
        <f>IF(ISNUMBER(SEARCH('Φόρμα Εισαγωγής'!$B$2,C2417)),MAX($B$1:B2416)+1,0)</f>
        <v>0</v>
      </c>
      <c r="D2417" s="33">
        <f>IF(ISNUMBER(SEARCH('Φόρμα Εισαγωγής'!$C$2,E2417)),MAX($D$1:D2416)+1,0)</f>
        <v>0</v>
      </c>
      <c r="H2417" s="6">
        <f t="shared" si="122"/>
        <v>0</v>
      </c>
      <c r="I2417" s="6">
        <f t="shared" si="123"/>
        <v>0</v>
      </c>
      <c r="J2417" s="6">
        <f t="shared" si="124"/>
        <v>0</v>
      </c>
      <c r="L2417" s="4" t="str">
        <f>IFERROR(VLOOKUP(ROWS($L$2:L2417),$B$2:$C$1996,2,0),"")</f>
        <v/>
      </c>
      <c r="N2417" s="2" t="str">
        <f>IFERROR(VLOOKUP(ROWS($N$2:N2417),$D$2:$E$1996,2,0),"")</f>
        <v/>
      </c>
    </row>
    <row r="2418" spans="2:14">
      <c r="B2418" s="32">
        <f>IF(ISNUMBER(SEARCH('Φόρμα Εισαγωγής'!$B$2,C2418)),MAX($B$1:B2417)+1,0)</f>
        <v>0</v>
      </c>
      <c r="D2418" s="33">
        <f>IF(ISNUMBER(SEARCH('Φόρμα Εισαγωγής'!$C$2,E2418)),MAX($D$1:D2417)+1,0)</f>
        <v>0</v>
      </c>
      <c r="H2418" s="6">
        <f t="shared" si="122"/>
        <v>0</v>
      </c>
      <c r="I2418" s="6">
        <f t="shared" si="123"/>
        <v>0</v>
      </c>
      <c r="J2418" s="6">
        <f t="shared" si="124"/>
        <v>0</v>
      </c>
      <c r="L2418" s="4" t="str">
        <f>IFERROR(VLOOKUP(ROWS($L$2:L2418),$B$2:$C$1996,2,0),"")</f>
        <v/>
      </c>
      <c r="N2418" s="2" t="str">
        <f>IFERROR(VLOOKUP(ROWS($N$2:N2418),$D$2:$E$1996,2,0),"")</f>
        <v/>
      </c>
    </row>
    <row r="2419" spans="2:14">
      <c r="B2419" s="32">
        <f>IF(ISNUMBER(SEARCH('Φόρμα Εισαγωγής'!$B$2,C2419)),MAX($B$1:B2418)+1,0)</f>
        <v>0</v>
      </c>
      <c r="D2419" s="33">
        <f>IF(ISNUMBER(SEARCH('Φόρμα Εισαγωγής'!$C$2,E2419)),MAX($D$1:D2418)+1,0)</f>
        <v>0</v>
      </c>
      <c r="H2419" s="6">
        <f t="shared" si="122"/>
        <v>0</v>
      </c>
      <c r="I2419" s="6">
        <f t="shared" si="123"/>
        <v>0</v>
      </c>
      <c r="J2419" s="6">
        <f t="shared" si="124"/>
        <v>0</v>
      </c>
      <c r="L2419" s="4" t="str">
        <f>IFERROR(VLOOKUP(ROWS($L$2:L2419),$B$2:$C$1996,2,0),"")</f>
        <v/>
      </c>
      <c r="N2419" s="2" t="str">
        <f>IFERROR(VLOOKUP(ROWS($N$2:N2419),$D$2:$E$1996,2,0),"")</f>
        <v/>
      </c>
    </row>
    <row r="2420" spans="2:14">
      <c r="B2420" s="32">
        <f>IF(ISNUMBER(SEARCH('Φόρμα Εισαγωγής'!$B$2,C2420)),MAX($B$1:B2419)+1,0)</f>
        <v>0</v>
      </c>
      <c r="D2420" s="33">
        <f>IF(ISNUMBER(SEARCH('Φόρμα Εισαγωγής'!$C$2,E2420)),MAX($D$1:D2419)+1,0)</f>
        <v>0</v>
      </c>
      <c r="H2420" s="6">
        <f t="shared" si="122"/>
        <v>0</v>
      </c>
      <c r="I2420" s="6">
        <f t="shared" si="123"/>
        <v>0</v>
      </c>
      <c r="J2420" s="6">
        <f t="shared" si="124"/>
        <v>0</v>
      </c>
      <c r="L2420" s="4" t="str">
        <f>IFERROR(VLOOKUP(ROWS($L$2:L2420),$B$2:$C$1996,2,0),"")</f>
        <v/>
      </c>
      <c r="N2420" s="2" t="str">
        <f>IFERROR(VLOOKUP(ROWS($N$2:N2420),$D$2:$E$1996,2,0),"")</f>
        <v/>
      </c>
    </row>
    <row r="2421" spans="2:14">
      <c r="B2421" s="32">
        <f>IF(ISNUMBER(SEARCH('Φόρμα Εισαγωγής'!$B$2,C2421)),MAX($B$1:B2420)+1,0)</f>
        <v>0</v>
      </c>
      <c r="D2421" s="33">
        <f>IF(ISNUMBER(SEARCH('Φόρμα Εισαγωγής'!$C$2,E2421)),MAX($D$1:D2420)+1,0)</f>
        <v>0</v>
      </c>
      <c r="H2421" s="6">
        <f t="shared" si="122"/>
        <v>0</v>
      </c>
      <c r="I2421" s="6">
        <f t="shared" si="123"/>
        <v>0</v>
      </c>
      <c r="J2421" s="6">
        <f t="shared" si="124"/>
        <v>0</v>
      </c>
      <c r="L2421" s="4" t="str">
        <f>IFERROR(VLOOKUP(ROWS($L$2:L2421),$B$2:$C$1996,2,0),"")</f>
        <v/>
      </c>
      <c r="N2421" s="2" t="str">
        <f>IFERROR(VLOOKUP(ROWS($N$2:N2421),$D$2:$E$1996,2,0),"")</f>
        <v/>
      </c>
    </row>
    <row r="2422" spans="2:14">
      <c r="B2422" s="32">
        <f>IF(ISNUMBER(SEARCH('Φόρμα Εισαγωγής'!$B$2,C2422)),MAX($B$1:B2421)+1,0)</f>
        <v>0</v>
      </c>
      <c r="D2422" s="33">
        <f>IF(ISNUMBER(SEARCH('Φόρμα Εισαγωγής'!$C$2,E2422)),MAX($D$1:D2421)+1,0)</f>
        <v>0</v>
      </c>
      <c r="H2422" s="6">
        <f t="shared" si="122"/>
        <v>0</v>
      </c>
      <c r="I2422" s="6">
        <f t="shared" si="123"/>
        <v>0</v>
      </c>
      <c r="J2422" s="6">
        <f t="shared" si="124"/>
        <v>0</v>
      </c>
      <c r="L2422" s="4" t="str">
        <f>IFERROR(VLOOKUP(ROWS($L$2:L2422),$B$2:$C$1996,2,0),"")</f>
        <v/>
      </c>
      <c r="N2422" s="2" t="str">
        <f>IFERROR(VLOOKUP(ROWS($N$2:N2422),$D$2:$E$1996,2,0),"")</f>
        <v/>
      </c>
    </row>
    <row r="2423" spans="2:14">
      <c r="B2423" s="32">
        <f>IF(ISNUMBER(SEARCH('Φόρμα Εισαγωγής'!$B$2,C2423)),MAX($B$1:B2422)+1,0)</f>
        <v>0</v>
      </c>
      <c r="D2423" s="33">
        <f>IF(ISNUMBER(SEARCH('Φόρμα Εισαγωγής'!$C$2,E2423)),MAX($D$1:D2422)+1,0)</f>
        <v>0</v>
      </c>
      <c r="H2423" s="6">
        <f t="shared" si="122"/>
        <v>0</v>
      </c>
      <c r="I2423" s="6">
        <f t="shared" si="123"/>
        <v>0</v>
      </c>
      <c r="J2423" s="6">
        <f t="shared" si="124"/>
        <v>0</v>
      </c>
      <c r="L2423" s="4" t="str">
        <f>IFERROR(VLOOKUP(ROWS($L$2:L2423),$B$2:$C$1996,2,0),"")</f>
        <v/>
      </c>
      <c r="N2423" s="2" t="str">
        <f>IFERROR(VLOOKUP(ROWS($N$2:N2423),$D$2:$E$1996,2,0),"")</f>
        <v/>
      </c>
    </row>
    <row r="2424" spans="2:14">
      <c r="B2424" s="32">
        <f>IF(ISNUMBER(SEARCH('Φόρμα Εισαγωγής'!$B$2,C2424)),MAX($B$1:B2423)+1,0)</f>
        <v>0</v>
      </c>
      <c r="D2424" s="33">
        <f>IF(ISNUMBER(SEARCH('Φόρμα Εισαγωγής'!$C$2,E2424)),MAX($D$1:D2423)+1,0)</f>
        <v>0</v>
      </c>
      <c r="H2424" s="6">
        <f t="shared" si="122"/>
        <v>0</v>
      </c>
      <c r="I2424" s="6">
        <f t="shared" si="123"/>
        <v>0</v>
      </c>
      <c r="J2424" s="6">
        <f t="shared" si="124"/>
        <v>0</v>
      </c>
      <c r="L2424" s="4" t="str">
        <f>IFERROR(VLOOKUP(ROWS($L$2:L2424),$B$2:$C$1996,2,0),"")</f>
        <v/>
      </c>
      <c r="N2424" s="2" t="str">
        <f>IFERROR(VLOOKUP(ROWS($N$2:N2424),$D$2:$E$1996,2,0),"")</f>
        <v/>
      </c>
    </row>
    <row r="2425" spans="2:14">
      <c r="B2425" s="32">
        <f>IF(ISNUMBER(SEARCH('Φόρμα Εισαγωγής'!$B$2,C2425)),MAX($B$1:B2424)+1,0)</f>
        <v>0</v>
      </c>
      <c r="D2425" s="33">
        <f>IF(ISNUMBER(SEARCH('Φόρμα Εισαγωγής'!$C$2,E2425)),MAX($D$1:D2424)+1,0)</f>
        <v>0</v>
      </c>
      <c r="H2425" s="6">
        <f t="shared" si="122"/>
        <v>0</v>
      </c>
      <c r="I2425" s="6">
        <f t="shared" si="123"/>
        <v>0</v>
      </c>
      <c r="J2425" s="6">
        <f t="shared" si="124"/>
        <v>0</v>
      </c>
      <c r="L2425" s="4" t="str">
        <f>IFERROR(VLOOKUP(ROWS($L$2:L2425),$B$2:$C$1996,2,0),"")</f>
        <v/>
      </c>
      <c r="N2425" s="2" t="str">
        <f>IFERROR(VLOOKUP(ROWS($N$2:N2425),$D$2:$E$1996,2,0),"")</f>
        <v/>
      </c>
    </row>
    <row r="2426" spans="2:14">
      <c r="B2426" s="32">
        <f>IF(ISNUMBER(SEARCH('Φόρμα Εισαγωγής'!$B$2,C2426)),MAX($B$1:B2425)+1,0)</f>
        <v>0</v>
      </c>
      <c r="D2426" s="33">
        <f>IF(ISNUMBER(SEARCH('Φόρμα Εισαγωγής'!$C$2,E2426)),MAX($D$1:D2425)+1,0)</f>
        <v>0</v>
      </c>
      <c r="H2426" s="6">
        <f t="shared" si="122"/>
        <v>0</v>
      </c>
      <c r="I2426" s="6">
        <f t="shared" si="123"/>
        <v>0</v>
      </c>
      <c r="J2426" s="6">
        <f t="shared" si="124"/>
        <v>0</v>
      </c>
      <c r="L2426" s="4" t="str">
        <f>IFERROR(VLOOKUP(ROWS($L$2:L2426),$B$2:$C$1996,2,0),"")</f>
        <v/>
      </c>
      <c r="N2426" s="2" t="str">
        <f>IFERROR(VLOOKUP(ROWS($N$2:N2426),$D$2:$E$1996,2,0),"")</f>
        <v/>
      </c>
    </row>
    <row r="2427" spans="2:14">
      <c r="B2427" s="32">
        <f>IF(ISNUMBER(SEARCH('Φόρμα Εισαγωγής'!$B$2,C2427)),MAX($B$1:B2426)+1,0)</f>
        <v>0</v>
      </c>
      <c r="D2427" s="33">
        <f>IF(ISNUMBER(SEARCH('Φόρμα Εισαγωγής'!$C$2,E2427)),MAX($D$1:D2426)+1,0)</f>
        <v>0</v>
      </c>
      <c r="H2427" s="6">
        <f t="shared" si="122"/>
        <v>0</v>
      </c>
      <c r="I2427" s="6">
        <f t="shared" si="123"/>
        <v>0</v>
      </c>
      <c r="J2427" s="6">
        <f t="shared" si="124"/>
        <v>0</v>
      </c>
      <c r="L2427" s="4" t="str">
        <f>IFERROR(VLOOKUP(ROWS($L$2:L2427),$B$2:$C$1996,2,0),"")</f>
        <v/>
      </c>
      <c r="N2427" s="2" t="str">
        <f>IFERROR(VLOOKUP(ROWS($N$2:N2427),$D$2:$E$1996,2,0),"")</f>
        <v/>
      </c>
    </row>
    <row r="2428" spans="2:14">
      <c r="B2428" s="32">
        <f>IF(ISNUMBER(SEARCH('Φόρμα Εισαγωγής'!$B$2,C2428)),MAX($B$1:B2427)+1,0)</f>
        <v>0</v>
      </c>
      <c r="D2428" s="33">
        <f>IF(ISNUMBER(SEARCH('Φόρμα Εισαγωγής'!$C$2,E2428)),MAX($D$1:D2427)+1,0)</f>
        <v>0</v>
      </c>
      <c r="H2428" s="6">
        <f t="shared" si="122"/>
        <v>0</v>
      </c>
      <c r="I2428" s="6">
        <f t="shared" si="123"/>
        <v>0</v>
      </c>
      <c r="J2428" s="6">
        <f t="shared" si="124"/>
        <v>0</v>
      </c>
      <c r="L2428" s="4" t="str">
        <f>IFERROR(VLOOKUP(ROWS($L$2:L2428),$B$2:$C$1996,2,0),"")</f>
        <v/>
      </c>
      <c r="N2428" s="2" t="str">
        <f>IFERROR(VLOOKUP(ROWS($N$2:N2428),$D$2:$E$1996,2,0),"")</f>
        <v/>
      </c>
    </row>
    <row r="2429" spans="2:14">
      <c r="B2429" s="32">
        <f>IF(ISNUMBER(SEARCH('Φόρμα Εισαγωγής'!$B$2,C2429)),MAX($B$1:B2428)+1,0)</f>
        <v>0</v>
      </c>
      <c r="D2429" s="33">
        <f>IF(ISNUMBER(SEARCH('Φόρμα Εισαγωγής'!$C$2,E2429)),MAX($D$1:D2428)+1,0)</f>
        <v>0</v>
      </c>
      <c r="H2429" s="6">
        <f t="shared" si="122"/>
        <v>0</v>
      </c>
      <c r="I2429" s="6">
        <f t="shared" si="123"/>
        <v>0</v>
      </c>
      <c r="J2429" s="6">
        <f t="shared" si="124"/>
        <v>0</v>
      </c>
      <c r="L2429" s="4" t="str">
        <f>IFERROR(VLOOKUP(ROWS($L$2:L2429),$B$2:$C$1996,2,0),"")</f>
        <v/>
      </c>
      <c r="N2429" s="2" t="str">
        <f>IFERROR(VLOOKUP(ROWS($N$2:N2429),$D$2:$E$1996,2,0),"")</f>
        <v/>
      </c>
    </row>
    <row r="2430" spans="2:14">
      <c r="B2430" s="32">
        <f>IF(ISNUMBER(SEARCH('Φόρμα Εισαγωγής'!$B$2,C2430)),MAX($B$1:B2429)+1,0)</f>
        <v>0</v>
      </c>
      <c r="D2430" s="33">
        <f>IF(ISNUMBER(SEARCH('Φόρμα Εισαγωγής'!$C$2,E2430)),MAX($D$1:D2429)+1,0)</f>
        <v>0</v>
      </c>
      <c r="H2430" s="6">
        <f t="shared" si="122"/>
        <v>0</v>
      </c>
      <c r="I2430" s="6">
        <f t="shared" si="123"/>
        <v>0</v>
      </c>
      <c r="J2430" s="6">
        <f t="shared" si="124"/>
        <v>0</v>
      </c>
      <c r="L2430" s="4" t="str">
        <f>IFERROR(VLOOKUP(ROWS($L$2:L2430),$B$2:$C$1996,2,0),"")</f>
        <v/>
      </c>
      <c r="N2430" s="2" t="str">
        <f>IFERROR(VLOOKUP(ROWS($N$2:N2430),$D$2:$E$1996,2,0),"")</f>
        <v/>
      </c>
    </row>
    <row r="2431" spans="2:14">
      <c r="B2431" s="32">
        <f>IF(ISNUMBER(SEARCH('Φόρμα Εισαγωγής'!$B$2,C2431)),MAX($B$1:B2430)+1,0)</f>
        <v>0</v>
      </c>
      <c r="D2431" s="33">
        <f>IF(ISNUMBER(SEARCH('Φόρμα Εισαγωγής'!$C$2,E2431)),MAX($D$1:D2430)+1,0)</f>
        <v>0</v>
      </c>
      <c r="H2431" s="6">
        <f t="shared" si="122"/>
        <v>0</v>
      </c>
      <c r="I2431" s="6">
        <f t="shared" si="123"/>
        <v>0</v>
      </c>
      <c r="J2431" s="6">
        <f t="shared" si="124"/>
        <v>0</v>
      </c>
      <c r="L2431" s="4" t="str">
        <f>IFERROR(VLOOKUP(ROWS($L$2:L2431),$B$2:$C$1996,2,0),"")</f>
        <v/>
      </c>
      <c r="N2431" s="2" t="str">
        <f>IFERROR(VLOOKUP(ROWS($N$2:N2431),$D$2:$E$1996,2,0),"")</f>
        <v/>
      </c>
    </row>
    <row r="2432" spans="2:14">
      <c r="B2432" s="32">
        <f>IF(ISNUMBER(SEARCH('Φόρμα Εισαγωγής'!$B$2,C2432)),MAX($B$1:B2431)+1,0)</f>
        <v>0</v>
      </c>
      <c r="D2432" s="33">
        <f>IF(ISNUMBER(SEARCH('Φόρμα Εισαγωγής'!$C$2,E2432)),MAX($D$1:D2431)+1,0)</f>
        <v>0</v>
      </c>
      <c r="H2432" s="6">
        <f t="shared" ref="H2432:H2495" si="125">G2432+(G2432*0.24)</f>
        <v>0</v>
      </c>
      <c r="I2432" s="6">
        <f t="shared" ref="I2432:I2495" si="126">F2432*A2432</f>
        <v>0</v>
      </c>
      <c r="J2432" s="6">
        <f t="shared" ref="J2432:J2495" si="127">H2432*A2432</f>
        <v>0</v>
      </c>
      <c r="L2432" s="4" t="str">
        <f>IFERROR(VLOOKUP(ROWS($L$2:L2432),$B$2:$C$1996,2,0),"")</f>
        <v/>
      </c>
      <c r="N2432" s="2" t="str">
        <f>IFERROR(VLOOKUP(ROWS($N$2:N2432),$D$2:$E$1996,2,0),"")</f>
        <v/>
      </c>
    </row>
    <row r="2433" spans="2:14">
      <c r="B2433" s="32">
        <f>IF(ISNUMBER(SEARCH('Φόρμα Εισαγωγής'!$B$2,C2433)),MAX($B$1:B2432)+1,0)</f>
        <v>0</v>
      </c>
      <c r="D2433" s="33">
        <f>IF(ISNUMBER(SEARCH('Φόρμα Εισαγωγής'!$C$2,E2433)),MAX($D$1:D2432)+1,0)</f>
        <v>0</v>
      </c>
      <c r="H2433" s="6">
        <f t="shared" si="125"/>
        <v>0</v>
      </c>
      <c r="I2433" s="6">
        <f t="shared" si="126"/>
        <v>0</v>
      </c>
      <c r="J2433" s="6">
        <f t="shared" si="127"/>
        <v>0</v>
      </c>
      <c r="L2433" s="4" t="str">
        <f>IFERROR(VLOOKUP(ROWS($L$2:L2433),$B$2:$C$1996,2,0),"")</f>
        <v/>
      </c>
      <c r="N2433" s="2" t="str">
        <f>IFERROR(VLOOKUP(ROWS($N$2:N2433),$D$2:$E$1996,2,0),"")</f>
        <v/>
      </c>
    </row>
    <row r="2434" spans="2:14">
      <c r="B2434" s="32">
        <f>IF(ISNUMBER(SEARCH('Φόρμα Εισαγωγής'!$B$2,C2434)),MAX($B$1:B2433)+1,0)</f>
        <v>0</v>
      </c>
      <c r="D2434" s="33">
        <f>IF(ISNUMBER(SEARCH('Φόρμα Εισαγωγής'!$C$2,E2434)),MAX($D$1:D2433)+1,0)</f>
        <v>0</v>
      </c>
      <c r="H2434" s="6">
        <f t="shared" si="125"/>
        <v>0</v>
      </c>
      <c r="I2434" s="6">
        <f t="shared" si="126"/>
        <v>0</v>
      </c>
      <c r="J2434" s="6">
        <f t="shared" si="127"/>
        <v>0</v>
      </c>
      <c r="L2434" s="4" t="str">
        <f>IFERROR(VLOOKUP(ROWS($L$2:L2434),$B$2:$C$1996,2,0),"")</f>
        <v/>
      </c>
      <c r="N2434" s="2" t="str">
        <f>IFERROR(VLOOKUP(ROWS($N$2:N2434),$D$2:$E$1996,2,0),"")</f>
        <v/>
      </c>
    </row>
    <row r="2435" spans="2:14">
      <c r="B2435" s="32">
        <f>IF(ISNUMBER(SEARCH('Φόρμα Εισαγωγής'!$B$2,C2435)),MAX($B$1:B2434)+1,0)</f>
        <v>0</v>
      </c>
      <c r="D2435" s="33">
        <f>IF(ISNUMBER(SEARCH('Φόρμα Εισαγωγής'!$C$2,E2435)),MAX($D$1:D2434)+1,0)</f>
        <v>0</v>
      </c>
      <c r="H2435" s="6">
        <f t="shared" si="125"/>
        <v>0</v>
      </c>
      <c r="I2435" s="6">
        <f t="shared" si="126"/>
        <v>0</v>
      </c>
      <c r="J2435" s="6">
        <f t="shared" si="127"/>
        <v>0</v>
      </c>
      <c r="L2435" s="4" t="str">
        <f>IFERROR(VLOOKUP(ROWS($L$2:L2435),$B$2:$C$1996,2,0),"")</f>
        <v/>
      </c>
      <c r="N2435" s="2" t="str">
        <f>IFERROR(VLOOKUP(ROWS($N$2:N2435),$D$2:$E$1996,2,0),"")</f>
        <v/>
      </c>
    </row>
    <row r="2436" spans="2:14">
      <c r="B2436" s="32">
        <f>IF(ISNUMBER(SEARCH('Φόρμα Εισαγωγής'!$B$2,C2436)),MAX($B$1:B2435)+1,0)</f>
        <v>0</v>
      </c>
      <c r="D2436" s="33">
        <f>IF(ISNUMBER(SEARCH('Φόρμα Εισαγωγής'!$C$2,E2436)),MAX($D$1:D2435)+1,0)</f>
        <v>0</v>
      </c>
      <c r="H2436" s="6">
        <f t="shared" si="125"/>
        <v>0</v>
      </c>
      <c r="I2436" s="6">
        <f t="shared" si="126"/>
        <v>0</v>
      </c>
      <c r="J2436" s="6">
        <f t="shared" si="127"/>
        <v>0</v>
      </c>
      <c r="L2436" s="4" t="str">
        <f>IFERROR(VLOOKUP(ROWS($L$2:L2436),$B$2:$C$1996,2,0),"")</f>
        <v/>
      </c>
      <c r="N2436" s="2" t="str">
        <f>IFERROR(VLOOKUP(ROWS($N$2:N2436),$D$2:$E$1996,2,0),"")</f>
        <v/>
      </c>
    </row>
    <row r="2437" spans="2:14">
      <c r="B2437" s="32">
        <f>IF(ISNUMBER(SEARCH('Φόρμα Εισαγωγής'!$B$2,C2437)),MAX($B$1:B2436)+1,0)</f>
        <v>0</v>
      </c>
      <c r="D2437" s="33">
        <f>IF(ISNUMBER(SEARCH('Φόρμα Εισαγωγής'!$C$2,E2437)),MAX($D$1:D2436)+1,0)</f>
        <v>0</v>
      </c>
      <c r="H2437" s="6">
        <f t="shared" si="125"/>
        <v>0</v>
      </c>
      <c r="I2437" s="6">
        <f t="shared" si="126"/>
        <v>0</v>
      </c>
      <c r="J2437" s="6">
        <f t="shared" si="127"/>
        <v>0</v>
      </c>
      <c r="L2437" s="4" t="str">
        <f>IFERROR(VLOOKUP(ROWS($L$2:L2437),$B$2:$C$1996,2,0),"")</f>
        <v/>
      </c>
      <c r="N2437" s="2" t="str">
        <f>IFERROR(VLOOKUP(ROWS($N$2:N2437),$D$2:$E$1996,2,0),"")</f>
        <v/>
      </c>
    </row>
    <row r="2438" spans="2:14">
      <c r="B2438" s="32">
        <f>IF(ISNUMBER(SEARCH('Φόρμα Εισαγωγής'!$B$2,C2438)),MAX($B$1:B2437)+1,0)</f>
        <v>0</v>
      </c>
      <c r="D2438" s="33">
        <f>IF(ISNUMBER(SEARCH('Φόρμα Εισαγωγής'!$C$2,E2438)),MAX($D$1:D2437)+1,0)</f>
        <v>0</v>
      </c>
      <c r="H2438" s="6">
        <f t="shared" si="125"/>
        <v>0</v>
      </c>
      <c r="I2438" s="6">
        <f t="shared" si="126"/>
        <v>0</v>
      </c>
      <c r="J2438" s="6">
        <f t="shared" si="127"/>
        <v>0</v>
      </c>
      <c r="L2438" s="4" t="str">
        <f>IFERROR(VLOOKUP(ROWS($L$2:L2438),$B$2:$C$1996,2,0),"")</f>
        <v/>
      </c>
      <c r="N2438" s="2" t="str">
        <f>IFERROR(VLOOKUP(ROWS($N$2:N2438),$D$2:$E$1996,2,0),"")</f>
        <v/>
      </c>
    </row>
    <row r="2439" spans="2:14">
      <c r="B2439" s="32">
        <f>IF(ISNUMBER(SEARCH('Φόρμα Εισαγωγής'!$B$2,C2439)),MAX($B$1:B2438)+1,0)</f>
        <v>0</v>
      </c>
      <c r="D2439" s="33">
        <f>IF(ISNUMBER(SEARCH('Φόρμα Εισαγωγής'!$C$2,E2439)),MAX($D$1:D2438)+1,0)</f>
        <v>0</v>
      </c>
      <c r="H2439" s="6">
        <f t="shared" si="125"/>
        <v>0</v>
      </c>
      <c r="I2439" s="6">
        <f t="shared" si="126"/>
        <v>0</v>
      </c>
      <c r="J2439" s="6">
        <f t="shared" si="127"/>
        <v>0</v>
      </c>
      <c r="L2439" s="4" t="str">
        <f>IFERROR(VLOOKUP(ROWS($L$2:L2439),$B$2:$C$1996,2,0),"")</f>
        <v/>
      </c>
      <c r="N2439" s="2" t="str">
        <f>IFERROR(VLOOKUP(ROWS($N$2:N2439),$D$2:$E$1996,2,0),"")</f>
        <v/>
      </c>
    </row>
    <row r="2440" spans="2:14">
      <c r="B2440" s="32">
        <f>IF(ISNUMBER(SEARCH('Φόρμα Εισαγωγής'!$B$2,C2440)),MAX($B$1:B2439)+1,0)</f>
        <v>0</v>
      </c>
      <c r="D2440" s="33">
        <f>IF(ISNUMBER(SEARCH('Φόρμα Εισαγωγής'!$C$2,E2440)),MAX($D$1:D2439)+1,0)</f>
        <v>0</v>
      </c>
      <c r="H2440" s="6">
        <f t="shared" si="125"/>
        <v>0</v>
      </c>
      <c r="I2440" s="6">
        <f t="shared" si="126"/>
        <v>0</v>
      </c>
      <c r="J2440" s="6">
        <f t="shared" si="127"/>
        <v>0</v>
      </c>
      <c r="L2440" s="4" t="str">
        <f>IFERROR(VLOOKUP(ROWS($L$2:L2440),$B$2:$C$1996,2,0),"")</f>
        <v/>
      </c>
      <c r="N2440" s="2" t="str">
        <f>IFERROR(VLOOKUP(ROWS($N$2:N2440),$D$2:$E$1996,2,0),"")</f>
        <v/>
      </c>
    </row>
    <row r="2441" spans="2:14">
      <c r="B2441" s="32">
        <f>IF(ISNUMBER(SEARCH('Φόρμα Εισαγωγής'!$B$2,C2441)),MAX($B$1:B2440)+1,0)</f>
        <v>0</v>
      </c>
      <c r="D2441" s="33">
        <f>IF(ISNUMBER(SEARCH('Φόρμα Εισαγωγής'!$C$2,E2441)),MAX($D$1:D2440)+1,0)</f>
        <v>0</v>
      </c>
      <c r="H2441" s="6">
        <f t="shared" si="125"/>
        <v>0</v>
      </c>
      <c r="I2441" s="6">
        <f t="shared" si="126"/>
        <v>0</v>
      </c>
      <c r="J2441" s="6">
        <f t="shared" si="127"/>
        <v>0</v>
      </c>
      <c r="L2441" s="4" t="str">
        <f>IFERROR(VLOOKUP(ROWS($L$2:L2441),$B$2:$C$1996,2,0),"")</f>
        <v/>
      </c>
      <c r="N2441" s="2" t="str">
        <f>IFERROR(VLOOKUP(ROWS($N$2:N2441),$D$2:$E$1996,2,0),"")</f>
        <v/>
      </c>
    </row>
    <row r="2442" spans="2:14">
      <c r="B2442" s="32">
        <f>IF(ISNUMBER(SEARCH('Φόρμα Εισαγωγής'!$B$2,C2442)),MAX($B$1:B2441)+1,0)</f>
        <v>0</v>
      </c>
      <c r="D2442" s="33">
        <f>IF(ISNUMBER(SEARCH('Φόρμα Εισαγωγής'!$C$2,E2442)),MAX($D$1:D2441)+1,0)</f>
        <v>0</v>
      </c>
      <c r="H2442" s="6">
        <f t="shared" si="125"/>
        <v>0</v>
      </c>
      <c r="I2442" s="6">
        <f t="shared" si="126"/>
        <v>0</v>
      </c>
      <c r="J2442" s="6">
        <f t="shared" si="127"/>
        <v>0</v>
      </c>
      <c r="L2442" s="4" t="str">
        <f>IFERROR(VLOOKUP(ROWS($L$2:L2442),$B$2:$C$1996,2,0),"")</f>
        <v/>
      </c>
      <c r="N2442" s="2" t="str">
        <f>IFERROR(VLOOKUP(ROWS($N$2:N2442),$D$2:$E$1996,2,0),"")</f>
        <v/>
      </c>
    </row>
    <row r="2443" spans="2:14">
      <c r="B2443" s="32">
        <f>IF(ISNUMBER(SEARCH('Φόρμα Εισαγωγής'!$B$2,C2443)),MAX($B$1:B2442)+1,0)</f>
        <v>0</v>
      </c>
      <c r="D2443" s="33">
        <f>IF(ISNUMBER(SEARCH('Φόρμα Εισαγωγής'!$C$2,E2443)),MAX($D$1:D2442)+1,0)</f>
        <v>0</v>
      </c>
      <c r="H2443" s="6">
        <f t="shared" si="125"/>
        <v>0</v>
      </c>
      <c r="I2443" s="6">
        <f t="shared" si="126"/>
        <v>0</v>
      </c>
      <c r="J2443" s="6">
        <f t="shared" si="127"/>
        <v>0</v>
      </c>
      <c r="L2443" s="4" t="str">
        <f>IFERROR(VLOOKUP(ROWS($L$2:L2443),$B$2:$C$1996,2,0),"")</f>
        <v/>
      </c>
      <c r="N2443" s="2" t="str">
        <f>IFERROR(VLOOKUP(ROWS($N$2:N2443),$D$2:$E$1996,2,0),"")</f>
        <v/>
      </c>
    </row>
    <row r="2444" spans="2:14">
      <c r="B2444" s="32">
        <f>IF(ISNUMBER(SEARCH('Φόρμα Εισαγωγής'!$B$2,C2444)),MAX($B$1:B2443)+1,0)</f>
        <v>0</v>
      </c>
      <c r="D2444" s="33">
        <f>IF(ISNUMBER(SEARCH('Φόρμα Εισαγωγής'!$C$2,E2444)),MAX($D$1:D2443)+1,0)</f>
        <v>0</v>
      </c>
      <c r="H2444" s="6">
        <f t="shared" si="125"/>
        <v>0</v>
      </c>
      <c r="I2444" s="6">
        <f t="shared" si="126"/>
        <v>0</v>
      </c>
      <c r="J2444" s="6">
        <f t="shared" si="127"/>
        <v>0</v>
      </c>
      <c r="L2444" s="4" t="str">
        <f>IFERROR(VLOOKUP(ROWS($L$2:L2444),$B$2:$C$1996,2,0),"")</f>
        <v/>
      </c>
      <c r="N2444" s="2" t="str">
        <f>IFERROR(VLOOKUP(ROWS($N$2:N2444),$D$2:$E$1996,2,0),"")</f>
        <v/>
      </c>
    </row>
    <row r="2445" spans="2:14">
      <c r="B2445" s="32">
        <f>IF(ISNUMBER(SEARCH('Φόρμα Εισαγωγής'!$B$2,C2445)),MAX($B$1:B2444)+1,0)</f>
        <v>0</v>
      </c>
      <c r="D2445" s="33">
        <f>IF(ISNUMBER(SEARCH('Φόρμα Εισαγωγής'!$C$2,E2445)),MAX($D$1:D2444)+1,0)</f>
        <v>0</v>
      </c>
      <c r="H2445" s="6">
        <f t="shared" si="125"/>
        <v>0</v>
      </c>
      <c r="I2445" s="6">
        <f t="shared" si="126"/>
        <v>0</v>
      </c>
      <c r="J2445" s="6">
        <f t="shared" si="127"/>
        <v>0</v>
      </c>
      <c r="L2445" s="4" t="str">
        <f>IFERROR(VLOOKUP(ROWS($L$2:L2445),$B$2:$C$1996,2,0),"")</f>
        <v/>
      </c>
      <c r="N2445" s="2" t="str">
        <f>IFERROR(VLOOKUP(ROWS($N$2:N2445),$D$2:$E$1996,2,0),"")</f>
        <v/>
      </c>
    </row>
    <row r="2446" spans="2:14">
      <c r="B2446" s="32">
        <f>IF(ISNUMBER(SEARCH('Φόρμα Εισαγωγής'!$B$2,C2446)),MAX($B$1:B2445)+1,0)</f>
        <v>0</v>
      </c>
      <c r="D2446" s="33">
        <f>IF(ISNUMBER(SEARCH('Φόρμα Εισαγωγής'!$C$2,E2446)),MAX($D$1:D2445)+1,0)</f>
        <v>0</v>
      </c>
      <c r="H2446" s="6">
        <f t="shared" si="125"/>
        <v>0</v>
      </c>
      <c r="I2446" s="6">
        <f t="shared" si="126"/>
        <v>0</v>
      </c>
      <c r="J2446" s="6">
        <f t="shared" si="127"/>
        <v>0</v>
      </c>
      <c r="L2446" s="4" t="str">
        <f>IFERROR(VLOOKUP(ROWS($L$2:L2446),$B$2:$C$1996,2,0),"")</f>
        <v/>
      </c>
      <c r="N2446" s="2" t="str">
        <f>IFERROR(VLOOKUP(ROWS($N$2:N2446),$D$2:$E$1996,2,0),"")</f>
        <v/>
      </c>
    </row>
    <row r="2447" spans="2:14">
      <c r="B2447" s="32">
        <f>IF(ISNUMBER(SEARCH('Φόρμα Εισαγωγής'!$B$2,C2447)),MAX($B$1:B2446)+1,0)</f>
        <v>0</v>
      </c>
      <c r="D2447" s="33">
        <f>IF(ISNUMBER(SEARCH('Φόρμα Εισαγωγής'!$C$2,E2447)),MAX($D$1:D2446)+1,0)</f>
        <v>0</v>
      </c>
      <c r="H2447" s="6">
        <f t="shared" si="125"/>
        <v>0</v>
      </c>
      <c r="I2447" s="6">
        <f t="shared" si="126"/>
        <v>0</v>
      </c>
      <c r="J2447" s="6">
        <f t="shared" si="127"/>
        <v>0</v>
      </c>
      <c r="L2447" s="4" t="str">
        <f>IFERROR(VLOOKUP(ROWS($L$2:L2447),$B$2:$C$1996,2,0),"")</f>
        <v/>
      </c>
      <c r="N2447" s="2" t="str">
        <f>IFERROR(VLOOKUP(ROWS($N$2:N2447),$D$2:$E$1996,2,0),"")</f>
        <v/>
      </c>
    </row>
    <row r="2448" spans="2:14">
      <c r="B2448" s="32">
        <f>IF(ISNUMBER(SEARCH('Φόρμα Εισαγωγής'!$B$2,C2448)),MAX($B$1:B2447)+1,0)</f>
        <v>0</v>
      </c>
      <c r="D2448" s="33">
        <f>IF(ISNUMBER(SEARCH('Φόρμα Εισαγωγής'!$C$2,E2448)),MAX($D$1:D2447)+1,0)</f>
        <v>0</v>
      </c>
      <c r="H2448" s="6">
        <f t="shared" si="125"/>
        <v>0</v>
      </c>
      <c r="I2448" s="6">
        <f t="shared" si="126"/>
        <v>0</v>
      </c>
      <c r="J2448" s="6">
        <f t="shared" si="127"/>
        <v>0</v>
      </c>
      <c r="L2448" s="4" t="str">
        <f>IFERROR(VLOOKUP(ROWS($L$2:L2448),$B$2:$C$1996,2,0),"")</f>
        <v/>
      </c>
      <c r="N2448" s="2" t="str">
        <f>IFERROR(VLOOKUP(ROWS($N$2:N2448),$D$2:$E$1996,2,0),"")</f>
        <v/>
      </c>
    </row>
    <row r="2449" spans="2:14">
      <c r="B2449" s="32">
        <f>IF(ISNUMBER(SEARCH('Φόρμα Εισαγωγής'!$B$2,C2449)),MAX($B$1:B2448)+1,0)</f>
        <v>0</v>
      </c>
      <c r="D2449" s="33">
        <f>IF(ISNUMBER(SEARCH('Φόρμα Εισαγωγής'!$C$2,E2449)),MAX($D$1:D2448)+1,0)</f>
        <v>0</v>
      </c>
      <c r="H2449" s="6">
        <f t="shared" si="125"/>
        <v>0</v>
      </c>
      <c r="I2449" s="6">
        <f t="shared" si="126"/>
        <v>0</v>
      </c>
      <c r="J2449" s="6">
        <f t="shared" si="127"/>
        <v>0</v>
      </c>
      <c r="L2449" s="4" t="str">
        <f>IFERROR(VLOOKUP(ROWS($L$2:L2449),$B$2:$C$1996,2,0),"")</f>
        <v/>
      </c>
      <c r="N2449" s="2" t="str">
        <f>IFERROR(VLOOKUP(ROWS($N$2:N2449),$D$2:$E$1996,2,0),"")</f>
        <v/>
      </c>
    </row>
    <row r="2450" spans="2:14">
      <c r="B2450" s="32">
        <f>IF(ISNUMBER(SEARCH('Φόρμα Εισαγωγής'!$B$2,C2450)),MAX($B$1:B2449)+1,0)</f>
        <v>0</v>
      </c>
      <c r="D2450" s="33">
        <f>IF(ISNUMBER(SEARCH('Φόρμα Εισαγωγής'!$C$2,E2450)),MAX($D$1:D2449)+1,0)</f>
        <v>0</v>
      </c>
      <c r="H2450" s="6">
        <f t="shared" si="125"/>
        <v>0</v>
      </c>
      <c r="I2450" s="6">
        <f t="shared" si="126"/>
        <v>0</v>
      </c>
      <c r="J2450" s="6">
        <f t="shared" si="127"/>
        <v>0</v>
      </c>
      <c r="L2450" s="4" t="str">
        <f>IFERROR(VLOOKUP(ROWS($L$2:L2450),$B$2:$C$1996,2,0),"")</f>
        <v/>
      </c>
      <c r="N2450" s="2" t="str">
        <f>IFERROR(VLOOKUP(ROWS($N$2:N2450),$D$2:$E$1996,2,0),"")</f>
        <v/>
      </c>
    </row>
    <row r="2451" spans="2:14">
      <c r="B2451" s="32">
        <f>IF(ISNUMBER(SEARCH('Φόρμα Εισαγωγής'!$B$2,C2451)),MAX($B$1:B2450)+1,0)</f>
        <v>0</v>
      </c>
      <c r="D2451" s="33">
        <f>IF(ISNUMBER(SEARCH('Φόρμα Εισαγωγής'!$C$2,E2451)),MAX($D$1:D2450)+1,0)</f>
        <v>0</v>
      </c>
      <c r="H2451" s="6">
        <f t="shared" si="125"/>
        <v>0</v>
      </c>
      <c r="I2451" s="6">
        <f t="shared" si="126"/>
        <v>0</v>
      </c>
      <c r="J2451" s="6">
        <f t="shared" si="127"/>
        <v>0</v>
      </c>
      <c r="L2451" s="4" t="str">
        <f>IFERROR(VLOOKUP(ROWS($L$2:L2451),$B$2:$C$1996,2,0),"")</f>
        <v/>
      </c>
      <c r="N2451" s="2" t="str">
        <f>IFERROR(VLOOKUP(ROWS($N$2:N2451),$D$2:$E$1996,2,0),"")</f>
        <v/>
      </c>
    </row>
    <row r="2452" spans="2:14">
      <c r="B2452" s="32">
        <f>IF(ISNUMBER(SEARCH('Φόρμα Εισαγωγής'!$B$2,C2452)),MAX($B$1:B2451)+1,0)</f>
        <v>0</v>
      </c>
      <c r="D2452" s="33">
        <f>IF(ISNUMBER(SEARCH('Φόρμα Εισαγωγής'!$C$2,E2452)),MAX($D$1:D2451)+1,0)</f>
        <v>0</v>
      </c>
      <c r="H2452" s="6">
        <f t="shared" si="125"/>
        <v>0</v>
      </c>
      <c r="I2452" s="6">
        <f t="shared" si="126"/>
        <v>0</v>
      </c>
      <c r="J2452" s="6">
        <f t="shared" si="127"/>
        <v>0</v>
      </c>
      <c r="L2452" s="4" t="str">
        <f>IFERROR(VLOOKUP(ROWS($L$2:L2452),$B$2:$C$1996,2,0),"")</f>
        <v/>
      </c>
      <c r="N2452" s="2" t="str">
        <f>IFERROR(VLOOKUP(ROWS($N$2:N2452),$D$2:$E$1996,2,0),"")</f>
        <v/>
      </c>
    </row>
    <row r="2453" spans="2:14">
      <c r="B2453" s="32">
        <f>IF(ISNUMBER(SEARCH('Φόρμα Εισαγωγής'!$B$2,C2453)),MAX($B$1:B2452)+1,0)</f>
        <v>0</v>
      </c>
      <c r="D2453" s="33">
        <f>IF(ISNUMBER(SEARCH('Φόρμα Εισαγωγής'!$C$2,E2453)),MAX($D$1:D2452)+1,0)</f>
        <v>0</v>
      </c>
      <c r="H2453" s="6">
        <f t="shared" si="125"/>
        <v>0</v>
      </c>
      <c r="I2453" s="6">
        <f t="shared" si="126"/>
        <v>0</v>
      </c>
      <c r="J2453" s="6">
        <f t="shared" si="127"/>
        <v>0</v>
      </c>
      <c r="L2453" s="4" t="str">
        <f>IFERROR(VLOOKUP(ROWS($L$2:L2453),$B$2:$C$1996,2,0),"")</f>
        <v/>
      </c>
      <c r="N2453" s="2" t="str">
        <f>IFERROR(VLOOKUP(ROWS($N$2:N2453),$D$2:$E$1996,2,0),"")</f>
        <v/>
      </c>
    </row>
    <row r="2454" spans="2:14">
      <c r="B2454" s="32">
        <f>IF(ISNUMBER(SEARCH('Φόρμα Εισαγωγής'!$B$2,C2454)),MAX($B$1:B2453)+1,0)</f>
        <v>0</v>
      </c>
      <c r="D2454" s="33">
        <f>IF(ISNUMBER(SEARCH('Φόρμα Εισαγωγής'!$C$2,E2454)),MAX($D$1:D2453)+1,0)</f>
        <v>0</v>
      </c>
      <c r="H2454" s="6">
        <f t="shared" si="125"/>
        <v>0</v>
      </c>
      <c r="I2454" s="6">
        <f t="shared" si="126"/>
        <v>0</v>
      </c>
      <c r="J2454" s="6">
        <f t="shared" si="127"/>
        <v>0</v>
      </c>
      <c r="L2454" s="4" t="str">
        <f>IFERROR(VLOOKUP(ROWS($L$2:L2454),$B$2:$C$1996,2,0),"")</f>
        <v/>
      </c>
      <c r="N2454" s="2" t="str">
        <f>IFERROR(VLOOKUP(ROWS($N$2:N2454),$D$2:$E$1996,2,0),"")</f>
        <v/>
      </c>
    </row>
    <row r="2455" spans="2:14">
      <c r="B2455" s="32">
        <f>IF(ISNUMBER(SEARCH('Φόρμα Εισαγωγής'!$B$2,C2455)),MAX($B$1:B2454)+1,0)</f>
        <v>0</v>
      </c>
      <c r="D2455" s="33">
        <f>IF(ISNUMBER(SEARCH('Φόρμα Εισαγωγής'!$C$2,E2455)),MAX($D$1:D2454)+1,0)</f>
        <v>0</v>
      </c>
      <c r="H2455" s="6">
        <f t="shared" si="125"/>
        <v>0</v>
      </c>
      <c r="I2455" s="6">
        <f t="shared" si="126"/>
        <v>0</v>
      </c>
      <c r="J2455" s="6">
        <f t="shared" si="127"/>
        <v>0</v>
      </c>
      <c r="L2455" s="4" t="str">
        <f>IFERROR(VLOOKUP(ROWS($L$2:L2455),$B$2:$C$1996,2,0),"")</f>
        <v/>
      </c>
      <c r="N2455" s="2" t="str">
        <f>IFERROR(VLOOKUP(ROWS($N$2:N2455),$D$2:$E$1996,2,0),"")</f>
        <v/>
      </c>
    </row>
    <row r="2456" spans="2:14">
      <c r="B2456" s="32">
        <f>IF(ISNUMBER(SEARCH('Φόρμα Εισαγωγής'!$B$2,C2456)),MAX($B$1:B2455)+1,0)</f>
        <v>0</v>
      </c>
      <c r="D2456" s="33">
        <f>IF(ISNUMBER(SEARCH('Φόρμα Εισαγωγής'!$C$2,E2456)),MAX($D$1:D2455)+1,0)</f>
        <v>0</v>
      </c>
      <c r="H2456" s="6">
        <f t="shared" si="125"/>
        <v>0</v>
      </c>
      <c r="I2456" s="6">
        <f t="shared" si="126"/>
        <v>0</v>
      </c>
      <c r="J2456" s="6">
        <f t="shared" si="127"/>
        <v>0</v>
      </c>
      <c r="L2456" s="4" t="str">
        <f>IFERROR(VLOOKUP(ROWS($L$2:L2456),$B$2:$C$1996,2,0),"")</f>
        <v/>
      </c>
      <c r="N2456" s="2" t="str">
        <f>IFERROR(VLOOKUP(ROWS($N$2:N2456),$D$2:$E$1996,2,0),"")</f>
        <v/>
      </c>
    </row>
    <row r="2457" spans="2:14">
      <c r="B2457" s="32">
        <f>IF(ISNUMBER(SEARCH('Φόρμα Εισαγωγής'!$B$2,C2457)),MAX($B$1:B2456)+1,0)</f>
        <v>0</v>
      </c>
      <c r="D2457" s="33">
        <f>IF(ISNUMBER(SEARCH('Φόρμα Εισαγωγής'!$C$2,E2457)),MAX($D$1:D2456)+1,0)</f>
        <v>0</v>
      </c>
      <c r="H2457" s="6">
        <f t="shared" si="125"/>
        <v>0</v>
      </c>
      <c r="I2457" s="6">
        <f t="shared" si="126"/>
        <v>0</v>
      </c>
      <c r="J2457" s="6">
        <f t="shared" si="127"/>
        <v>0</v>
      </c>
      <c r="L2457" s="4" t="str">
        <f>IFERROR(VLOOKUP(ROWS($L$2:L2457),$B$2:$C$1996,2,0),"")</f>
        <v/>
      </c>
      <c r="N2457" s="2" t="str">
        <f>IFERROR(VLOOKUP(ROWS($N$2:N2457),$D$2:$E$1996,2,0),"")</f>
        <v/>
      </c>
    </row>
    <row r="2458" spans="2:14">
      <c r="B2458" s="32">
        <f>IF(ISNUMBER(SEARCH('Φόρμα Εισαγωγής'!$B$2,C2458)),MAX($B$1:B2457)+1,0)</f>
        <v>0</v>
      </c>
      <c r="D2458" s="33">
        <f>IF(ISNUMBER(SEARCH('Φόρμα Εισαγωγής'!$C$2,E2458)),MAX($D$1:D2457)+1,0)</f>
        <v>0</v>
      </c>
      <c r="H2458" s="6">
        <f t="shared" si="125"/>
        <v>0</v>
      </c>
      <c r="I2458" s="6">
        <f t="shared" si="126"/>
        <v>0</v>
      </c>
      <c r="J2458" s="6">
        <f t="shared" si="127"/>
        <v>0</v>
      </c>
      <c r="L2458" s="4" t="str">
        <f>IFERROR(VLOOKUP(ROWS($L$2:L2458),$B$2:$C$1996,2,0),"")</f>
        <v/>
      </c>
      <c r="N2458" s="2" t="str">
        <f>IFERROR(VLOOKUP(ROWS($N$2:N2458),$D$2:$E$1996,2,0),"")</f>
        <v/>
      </c>
    </row>
    <row r="2459" spans="2:14">
      <c r="B2459" s="32">
        <f>IF(ISNUMBER(SEARCH('Φόρμα Εισαγωγής'!$B$2,C2459)),MAX($B$1:B2458)+1,0)</f>
        <v>0</v>
      </c>
      <c r="D2459" s="33">
        <f>IF(ISNUMBER(SEARCH('Φόρμα Εισαγωγής'!$C$2,E2459)),MAX($D$1:D2458)+1,0)</f>
        <v>0</v>
      </c>
      <c r="H2459" s="6">
        <f t="shared" si="125"/>
        <v>0</v>
      </c>
      <c r="I2459" s="6">
        <f t="shared" si="126"/>
        <v>0</v>
      </c>
      <c r="J2459" s="6">
        <f t="shared" si="127"/>
        <v>0</v>
      </c>
      <c r="L2459" s="4" t="str">
        <f>IFERROR(VLOOKUP(ROWS($L$2:L2459),$B$2:$C$1996,2,0),"")</f>
        <v/>
      </c>
      <c r="N2459" s="2" t="str">
        <f>IFERROR(VLOOKUP(ROWS($N$2:N2459),$D$2:$E$1996,2,0),"")</f>
        <v/>
      </c>
    </row>
    <row r="2460" spans="2:14">
      <c r="B2460" s="32">
        <f>IF(ISNUMBER(SEARCH('Φόρμα Εισαγωγής'!$B$2,C2460)),MAX($B$1:B2459)+1,0)</f>
        <v>0</v>
      </c>
      <c r="D2460" s="33">
        <f>IF(ISNUMBER(SEARCH('Φόρμα Εισαγωγής'!$C$2,E2460)),MAX($D$1:D2459)+1,0)</f>
        <v>0</v>
      </c>
      <c r="H2460" s="6">
        <f t="shared" si="125"/>
        <v>0</v>
      </c>
      <c r="I2460" s="6">
        <f t="shared" si="126"/>
        <v>0</v>
      </c>
      <c r="J2460" s="6">
        <f t="shared" si="127"/>
        <v>0</v>
      </c>
      <c r="L2460" s="4" t="str">
        <f>IFERROR(VLOOKUP(ROWS($L$2:L2460),$B$2:$C$1996,2,0),"")</f>
        <v/>
      </c>
      <c r="N2460" s="2" t="str">
        <f>IFERROR(VLOOKUP(ROWS($N$2:N2460),$D$2:$E$1996,2,0),"")</f>
        <v/>
      </c>
    </row>
    <row r="2461" spans="2:14">
      <c r="B2461" s="32">
        <f>IF(ISNUMBER(SEARCH('Φόρμα Εισαγωγής'!$B$2,C2461)),MAX($B$1:B2460)+1,0)</f>
        <v>0</v>
      </c>
      <c r="D2461" s="33">
        <f>IF(ISNUMBER(SEARCH('Φόρμα Εισαγωγής'!$C$2,E2461)),MAX($D$1:D2460)+1,0)</f>
        <v>0</v>
      </c>
      <c r="H2461" s="6">
        <f t="shared" si="125"/>
        <v>0</v>
      </c>
      <c r="I2461" s="6">
        <f t="shared" si="126"/>
        <v>0</v>
      </c>
      <c r="J2461" s="6">
        <f t="shared" si="127"/>
        <v>0</v>
      </c>
      <c r="L2461" s="4" t="str">
        <f>IFERROR(VLOOKUP(ROWS($L$2:L2461),$B$2:$C$1996,2,0),"")</f>
        <v/>
      </c>
      <c r="N2461" s="2" t="str">
        <f>IFERROR(VLOOKUP(ROWS($N$2:N2461),$D$2:$E$1996,2,0),"")</f>
        <v/>
      </c>
    </row>
    <row r="2462" spans="2:14">
      <c r="B2462" s="32">
        <f>IF(ISNUMBER(SEARCH('Φόρμα Εισαγωγής'!$B$2,C2462)),MAX($B$1:B2461)+1,0)</f>
        <v>0</v>
      </c>
      <c r="D2462" s="33">
        <f>IF(ISNUMBER(SEARCH('Φόρμα Εισαγωγής'!$C$2,E2462)),MAX($D$1:D2461)+1,0)</f>
        <v>0</v>
      </c>
      <c r="H2462" s="6">
        <f t="shared" si="125"/>
        <v>0</v>
      </c>
      <c r="I2462" s="6">
        <f t="shared" si="126"/>
        <v>0</v>
      </c>
      <c r="J2462" s="6">
        <f t="shared" si="127"/>
        <v>0</v>
      </c>
      <c r="L2462" s="4" t="str">
        <f>IFERROR(VLOOKUP(ROWS($L$2:L2462),$B$2:$C$1996,2,0),"")</f>
        <v/>
      </c>
      <c r="N2462" s="2" t="str">
        <f>IFERROR(VLOOKUP(ROWS($N$2:N2462),$D$2:$E$1996,2,0),"")</f>
        <v/>
      </c>
    </row>
    <row r="2463" spans="2:14">
      <c r="B2463" s="32">
        <f>IF(ISNUMBER(SEARCH('Φόρμα Εισαγωγής'!$B$2,C2463)),MAX($B$1:B2462)+1,0)</f>
        <v>0</v>
      </c>
      <c r="D2463" s="33">
        <f>IF(ISNUMBER(SEARCH('Φόρμα Εισαγωγής'!$C$2,E2463)),MAX($D$1:D2462)+1,0)</f>
        <v>0</v>
      </c>
      <c r="H2463" s="6">
        <f t="shared" si="125"/>
        <v>0</v>
      </c>
      <c r="I2463" s="6">
        <f t="shared" si="126"/>
        <v>0</v>
      </c>
      <c r="J2463" s="6">
        <f t="shared" si="127"/>
        <v>0</v>
      </c>
      <c r="L2463" s="4" t="str">
        <f>IFERROR(VLOOKUP(ROWS($L$2:L2463),$B$2:$C$1996,2,0),"")</f>
        <v/>
      </c>
      <c r="N2463" s="2" t="str">
        <f>IFERROR(VLOOKUP(ROWS($N$2:N2463),$D$2:$E$1996,2,0),"")</f>
        <v/>
      </c>
    </row>
    <row r="2464" spans="2:14">
      <c r="B2464" s="32">
        <f>IF(ISNUMBER(SEARCH('Φόρμα Εισαγωγής'!$B$2,C2464)),MAX($B$1:B2463)+1,0)</f>
        <v>0</v>
      </c>
      <c r="D2464" s="33">
        <f>IF(ISNUMBER(SEARCH('Φόρμα Εισαγωγής'!$C$2,E2464)),MAX($D$1:D2463)+1,0)</f>
        <v>0</v>
      </c>
      <c r="H2464" s="6">
        <f t="shared" si="125"/>
        <v>0</v>
      </c>
      <c r="I2464" s="6">
        <f t="shared" si="126"/>
        <v>0</v>
      </c>
      <c r="J2464" s="6">
        <f t="shared" si="127"/>
        <v>0</v>
      </c>
      <c r="L2464" s="4" t="str">
        <f>IFERROR(VLOOKUP(ROWS($L$2:L2464),$B$2:$C$1996,2,0),"")</f>
        <v/>
      </c>
      <c r="N2464" s="2" t="str">
        <f>IFERROR(VLOOKUP(ROWS($N$2:N2464),$D$2:$E$1996,2,0),"")</f>
        <v/>
      </c>
    </row>
    <row r="2465" spans="2:14">
      <c r="B2465" s="32">
        <f>IF(ISNUMBER(SEARCH('Φόρμα Εισαγωγής'!$B$2,C2465)),MAX($B$1:B2464)+1,0)</f>
        <v>0</v>
      </c>
      <c r="D2465" s="33">
        <f>IF(ISNUMBER(SEARCH('Φόρμα Εισαγωγής'!$C$2,E2465)),MAX($D$1:D2464)+1,0)</f>
        <v>0</v>
      </c>
      <c r="H2465" s="6">
        <f t="shared" si="125"/>
        <v>0</v>
      </c>
      <c r="I2465" s="6">
        <f t="shared" si="126"/>
        <v>0</v>
      </c>
      <c r="J2465" s="6">
        <f t="shared" si="127"/>
        <v>0</v>
      </c>
      <c r="L2465" s="4" t="str">
        <f>IFERROR(VLOOKUP(ROWS($L$2:L2465),$B$2:$C$1996,2,0),"")</f>
        <v/>
      </c>
      <c r="N2465" s="2" t="str">
        <f>IFERROR(VLOOKUP(ROWS($N$2:N2465),$D$2:$E$1996,2,0),"")</f>
        <v/>
      </c>
    </row>
    <row r="2466" spans="2:14">
      <c r="B2466" s="32">
        <f>IF(ISNUMBER(SEARCH('Φόρμα Εισαγωγής'!$B$2,C2466)),MAX($B$1:B2465)+1,0)</f>
        <v>0</v>
      </c>
      <c r="D2466" s="33">
        <f>IF(ISNUMBER(SEARCH('Φόρμα Εισαγωγής'!$C$2,E2466)),MAX($D$1:D2465)+1,0)</f>
        <v>0</v>
      </c>
      <c r="H2466" s="6">
        <f t="shared" si="125"/>
        <v>0</v>
      </c>
      <c r="I2466" s="6">
        <f t="shared" si="126"/>
        <v>0</v>
      </c>
      <c r="J2466" s="6">
        <f t="shared" si="127"/>
        <v>0</v>
      </c>
      <c r="L2466" s="4" t="str">
        <f>IFERROR(VLOOKUP(ROWS($L$2:L2466),$B$2:$C$1996,2,0),"")</f>
        <v/>
      </c>
      <c r="N2466" s="2" t="str">
        <f>IFERROR(VLOOKUP(ROWS($N$2:N2466),$D$2:$E$1996,2,0),"")</f>
        <v/>
      </c>
    </row>
    <row r="2467" spans="2:14">
      <c r="B2467" s="32">
        <f>IF(ISNUMBER(SEARCH('Φόρμα Εισαγωγής'!$B$2,C2467)),MAX($B$1:B2466)+1,0)</f>
        <v>0</v>
      </c>
      <c r="D2467" s="33">
        <f>IF(ISNUMBER(SEARCH('Φόρμα Εισαγωγής'!$C$2,E2467)),MAX($D$1:D2466)+1,0)</f>
        <v>0</v>
      </c>
      <c r="H2467" s="6">
        <f t="shared" si="125"/>
        <v>0</v>
      </c>
      <c r="I2467" s="6">
        <f t="shared" si="126"/>
        <v>0</v>
      </c>
      <c r="J2467" s="6">
        <f t="shared" si="127"/>
        <v>0</v>
      </c>
      <c r="L2467" s="4" t="str">
        <f>IFERROR(VLOOKUP(ROWS($L$2:L2467),$B$2:$C$1996,2,0),"")</f>
        <v/>
      </c>
      <c r="N2467" s="2" t="str">
        <f>IFERROR(VLOOKUP(ROWS($N$2:N2467),$D$2:$E$1996,2,0),"")</f>
        <v/>
      </c>
    </row>
    <row r="2468" spans="2:14">
      <c r="B2468" s="32">
        <f>IF(ISNUMBER(SEARCH('Φόρμα Εισαγωγής'!$B$2,C2468)),MAX($B$1:B2467)+1,0)</f>
        <v>0</v>
      </c>
      <c r="D2468" s="33">
        <f>IF(ISNUMBER(SEARCH('Φόρμα Εισαγωγής'!$C$2,E2468)),MAX($D$1:D2467)+1,0)</f>
        <v>0</v>
      </c>
      <c r="H2468" s="6">
        <f t="shared" si="125"/>
        <v>0</v>
      </c>
      <c r="I2468" s="6">
        <f t="shared" si="126"/>
        <v>0</v>
      </c>
      <c r="J2468" s="6">
        <f t="shared" si="127"/>
        <v>0</v>
      </c>
      <c r="L2468" s="4" t="str">
        <f>IFERROR(VLOOKUP(ROWS($L$2:L2468),$B$2:$C$1996,2,0),"")</f>
        <v/>
      </c>
      <c r="N2468" s="2" t="str">
        <f>IFERROR(VLOOKUP(ROWS($N$2:N2468),$D$2:$E$1996,2,0),"")</f>
        <v/>
      </c>
    </row>
    <row r="2469" spans="2:14">
      <c r="B2469" s="32">
        <f>IF(ISNUMBER(SEARCH('Φόρμα Εισαγωγής'!$B$2,C2469)),MAX($B$1:B2468)+1,0)</f>
        <v>0</v>
      </c>
      <c r="D2469" s="33">
        <f>IF(ISNUMBER(SEARCH('Φόρμα Εισαγωγής'!$C$2,E2469)),MAX($D$1:D2468)+1,0)</f>
        <v>0</v>
      </c>
      <c r="H2469" s="6">
        <f t="shared" si="125"/>
        <v>0</v>
      </c>
      <c r="I2469" s="6">
        <f t="shared" si="126"/>
        <v>0</v>
      </c>
      <c r="J2469" s="6">
        <f t="shared" si="127"/>
        <v>0</v>
      </c>
      <c r="L2469" s="4" t="str">
        <f>IFERROR(VLOOKUP(ROWS($L$2:L2469),$B$2:$C$1996,2,0),"")</f>
        <v/>
      </c>
      <c r="N2469" s="2" t="str">
        <f>IFERROR(VLOOKUP(ROWS($N$2:N2469),$D$2:$E$1996,2,0),"")</f>
        <v/>
      </c>
    </row>
    <row r="2470" spans="2:14">
      <c r="B2470" s="32">
        <f>IF(ISNUMBER(SEARCH('Φόρμα Εισαγωγής'!$B$2,C2470)),MAX($B$1:B2469)+1,0)</f>
        <v>0</v>
      </c>
      <c r="D2470" s="33">
        <f>IF(ISNUMBER(SEARCH('Φόρμα Εισαγωγής'!$C$2,E2470)),MAX($D$1:D2469)+1,0)</f>
        <v>0</v>
      </c>
      <c r="H2470" s="6">
        <f t="shared" si="125"/>
        <v>0</v>
      </c>
      <c r="I2470" s="6">
        <f t="shared" si="126"/>
        <v>0</v>
      </c>
      <c r="J2470" s="6">
        <f t="shared" si="127"/>
        <v>0</v>
      </c>
      <c r="L2470" s="4" t="str">
        <f>IFERROR(VLOOKUP(ROWS($L$2:L2470),$B$2:$C$1996,2,0),"")</f>
        <v/>
      </c>
      <c r="N2470" s="2" t="str">
        <f>IFERROR(VLOOKUP(ROWS($N$2:N2470),$D$2:$E$1996,2,0),"")</f>
        <v/>
      </c>
    </row>
    <row r="2471" spans="2:14">
      <c r="B2471" s="32">
        <f>IF(ISNUMBER(SEARCH('Φόρμα Εισαγωγής'!$B$2,C2471)),MAX($B$1:B2470)+1,0)</f>
        <v>0</v>
      </c>
      <c r="D2471" s="33">
        <f>IF(ISNUMBER(SEARCH('Φόρμα Εισαγωγής'!$C$2,E2471)),MAX($D$1:D2470)+1,0)</f>
        <v>0</v>
      </c>
      <c r="H2471" s="6">
        <f t="shared" si="125"/>
        <v>0</v>
      </c>
      <c r="I2471" s="6">
        <f t="shared" si="126"/>
        <v>0</v>
      </c>
      <c r="J2471" s="6">
        <f t="shared" si="127"/>
        <v>0</v>
      </c>
      <c r="L2471" s="4" t="str">
        <f>IFERROR(VLOOKUP(ROWS($L$2:L2471),$B$2:$C$1996,2,0),"")</f>
        <v/>
      </c>
      <c r="N2471" s="2" t="str">
        <f>IFERROR(VLOOKUP(ROWS($N$2:N2471),$D$2:$E$1996,2,0),"")</f>
        <v/>
      </c>
    </row>
    <row r="2472" spans="2:14">
      <c r="B2472" s="32">
        <f>IF(ISNUMBER(SEARCH('Φόρμα Εισαγωγής'!$B$2,C2472)),MAX($B$1:B2471)+1,0)</f>
        <v>0</v>
      </c>
      <c r="D2472" s="33">
        <f>IF(ISNUMBER(SEARCH('Φόρμα Εισαγωγής'!$C$2,E2472)),MAX($D$1:D2471)+1,0)</f>
        <v>0</v>
      </c>
      <c r="H2472" s="6">
        <f t="shared" si="125"/>
        <v>0</v>
      </c>
      <c r="I2472" s="6">
        <f t="shared" si="126"/>
        <v>0</v>
      </c>
      <c r="J2472" s="6">
        <f t="shared" si="127"/>
        <v>0</v>
      </c>
      <c r="L2472" s="4" t="str">
        <f>IFERROR(VLOOKUP(ROWS($L$2:L2472),$B$2:$C$1996,2,0),"")</f>
        <v/>
      </c>
      <c r="N2472" s="2" t="str">
        <f>IFERROR(VLOOKUP(ROWS($N$2:N2472),$D$2:$E$1996,2,0),"")</f>
        <v/>
      </c>
    </row>
    <row r="2473" spans="2:14">
      <c r="B2473" s="32">
        <f>IF(ISNUMBER(SEARCH('Φόρμα Εισαγωγής'!$B$2,C2473)),MAX($B$1:B2472)+1,0)</f>
        <v>0</v>
      </c>
      <c r="D2473" s="33">
        <f>IF(ISNUMBER(SEARCH('Φόρμα Εισαγωγής'!$C$2,E2473)),MAX($D$1:D2472)+1,0)</f>
        <v>0</v>
      </c>
      <c r="H2473" s="6">
        <f t="shared" si="125"/>
        <v>0</v>
      </c>
      <c r="I2473" s="6">
        <f t="shared" si="126"/>
        <v>0</v>
      </c>
      <c r="J2473" s="6">
        <f t="shared" si="127"/>
        <v>0</v>
      </c>
      <c r="L2473" s="4" t="str">
        <f>IFERROR(VLOOKUP(ROWS($L$2:L2473),$B$2:$C$1996,2,0),"")</f>
        <v/>
      </c>
      <c r="N2473" s="2" t="str">
        <f>IFERROR(VLOOKUP(ROWS($N$2:N2473),$D$2:$E$1996,2,0),"")</f>
        <v/>
      </c>
    </row>
    <row r="2474" spans="2:14">
      <c r="B2474" s="32">
        <f>IF(ISNUMBER(SEARCH('Φόρμα Εισαγωγής'!$B$2,C2474)),MAX($B$1:B2473)+1,0)</f>
        <v>0</v>
      </c>
      <c r="D2474" s="33">
        <f>IF(ISNUMBER(SEARCH('Φόρμα Εισαγωγής'!$C$2,E2474)),MAX($D$1:D2473)+1,0)</f>
        <v>0</v>
      </c>
      <c r="H2474" s="6">
        <f t="shared" si="125"/>
        <v>0</v>
      </c>
      <c r="I2474" s="6">
        <f t="shared" si="126"/>
        <v>0</v>
      </c>
      <c r="J2474" s="6">
        <f t="shared" si="127"/>
        <v>0</v>
      </c>
      <c r="L2474" s="4" t="str">
        <f>IFERROR(VLOOKUP(ROWS($L$2:L2474),$B$2:$C$1996,2,0),"")</f>
        <v/>
      </c>
      <c r="N2474" s="2" t="str">
        <f>IFERROR(VLOOKUP(ROWS($N$2:N2474),$D$2:$E$1996,2,0),"")</f>
        <v/>
      </c>
    </row>
    <row r="2475" spans="2:14">
      <c r="B2475" s="32">
        <f>IF(ISNUMBER(SEARCH('Φόρμα Εισαγωγής'!$B$2,C2475)),MAX($B$1:B2474)+1,0)</f>
        <v>0</v>
      </c>
      <c r="D2475" s="33">
        <f>IF(ISNUMBER(SEARCH('Φόρμα Εισαγωγής'!$C$2,E2475)),MAX($D$1:D2474)+1,0)</f>
        <v>0</v>
      </c>
      <c r="H2475" s="6">
        <f t="shared" si="125"/>
        <v>0</v>
      </c>
      <c r="I2475" s="6">
        <f t="shared" si="126"/>
        <v>0</v>
      </c>
      <c r="J2475" s="6">
        <f t="shared" si="127"/>
        <v>0</v>
      </c>
      <c r="L2475" s="4" t="str">
        <f>IFERROR(VLOOKUP(ROWS($L$2:L2475),$B$2:$C$1996,2,0),"")</f>
        <v/>
      </c>
      <c r="N2475" s="2" t="str">
        <f>IFERROR(VLOOKUP(ROWS($N$2:N2475),$D$2:$E$1996,2,0),"")</f>
        <v/>
      </c>
    </row>
    <row r="2476" spans="2:14">
      <c r="B2476" s="32">
        <f>IF(ISNUMBER(SEARCH('Φόρμα Εισαγωγής'!$B$2,C2476)),MAX($B$1:B2475)+1,0)</f>
        <v>0</v>
      </c>
      <c r="D2476" s="33">
        <f>IF(ISNUMBER(SEARCH('Φόρμα Εισαγωγής'!$C$2,E2476)),MAX($D$1:D2475)+1,0)</f>
        <v>0</v>
      </c>
      <c r="H2476" s="6">
        <f t="shared" si="125"/>
        <v>0</v>
      </c>
      <c r="I2476" s="6">
        <f t="shared" si="126"/>
        <v>0</v>
      </c>
      <c r="J2476" s="6">
        <f t="shared" si="127"/>
        <v>0</v>
      </c>
      <c r="L2476" s="4" t="str">
        <f>IFERROR(VLOOKUP(ROWS($L$2:L2476),$B$2:$C$1996,2,0),"")</f>
        <v/>
      </c>
      <c r="N2476" s="2" t="str">
        <f>IFERROR(VLOOKUP(ROWS($N$2:N2476),$D$2:$E$1996,2,0),"")</f>
        <v/>
      </c>
    </row>
    <row r="2477" spans="2:14">
      <c r="B2477" s="32">
        <f>IF(ISNUMBER(SEARCH('Φόρμα Εισαγωγής'!$B$2,C2477)),MAX($B$1:B2476)+1,0)</f>
        <v>0</v>
      </c>
      <c r="D2477" s="33">
        <f>IF(ISNUMBER(SEARCH('Φόρμα Εισαγωγής'!$C$2,E2477)),MAX($D$1:D2476)+1,0)</f>
        <v>0</v>
      </c>
      <c r="H2477" s="6">
        <f t="shared" si="125"/>
        <v>0</v>
      </c>
      <c r="I2477" s="6">
        <f t="shared" si="126"/>
        <v>0</v>
      </c>
      <c r="J2477" s="6">
        <f t="shared" si="127"/>
        <v>0</v>
      </c>
      <c r="L2477" s="4" t="str">
        <f>IFERROR(VLOOKUP(ROWS($L$2:L2477),$B$2:$C$1996,2,0),"")</f>
        <v/>
      </c>
      <c r="N2477" s="2" t="str">
        <f>IFERROR(VLOOKUP(ROWS($N$2:N2477),$D$2:$E$1996,2,0),"")</f>
        <v/>
      </c>
    </row>
    <row r="2478" spans="2:14">
      <c r="B2478" s="32">
        <f>IF(ISNUMBER(SEARCH('Φόρμα Εισαγωγής'!$B$2,C2478)),MAX($B$1:B2477)+1,0)</f>
        <v>0</v>
      </c>
      <c r="D2478" s="33">
        <f>IF(ISNUMBER(SEARCH('Φόρμα Εισαγωγής'!$C$2,E2478)),MAX($D$1:D2477)+1,0)</f>
        <v>0</v>
      </c>
      <c r="H2478" s="6">
        <f t="shared" si="125"/>
        <v>0</v>
      </c>
      <c r="I2478" s="6">
        <f t="shared" si="126"/>
        <v>0</v>
      </c>
      <c r="J2478" s="6">
        <f t="shared" si="127"/>
        <v>0</v>
      </c>
      <c r="L2478" s="4" t="str">
        <f>IFERROR(VLOOKUP(ROWS($L$2:L2478),$B$2:$C$1996,2,0),"")</f>
        <v/>
      </c>
      <c r="N2478" s="2" t="str">
        <f>IFERROR(VLOOKUP(ROWS($N$2:N2478),$D$2:$E$1996,2,0),"")</f>
        <v/>
      </c>
    </row>
    <row r="2479" spans="2:14">
      <c r="B2479" s="32">
        <f>IF(ISNUMBER(SEARCH('Φόρμα Εισαγωγής'!$B$2,C2479)),MAX($B$1:B2478)+1,0)</f>
        <v>0</v>
      </c>
      <c r="D2479" s="33">
        <f>IF(ISNUMBER(SEARCH('Φόρμα Εισαγωγής'!$C$2,E2479)),MAX($D$1:D2478)+1,0)</f>
        <v>0</v>
      </c>
      <c r="H2479" s="6">
        <f t="shared" si="125"/>
        <v>0</v>
      </c>
      <c r="I2479" s="6">
        <f t="shared" si="126"/>
        <v>0</v>
      </c>
      <c r="J2479" s="6">
        <f t="shared" si="127"/>
        <v>0</v>
      </c>
      <c r="L2479" s="4" t="str">
        <f>IFERROR(VLOOKUP(ROWS($L$2:L2479),$B$2:$C$1996,2,0),"")</f>
        <v/>
      </c>
      <c r="N2479" s="2" t="str">
        <f>IFERROR(VLOOKUP(ROWS($N$2:N2479),$D$2:$E$1996,2,0),"")</f>
        <v/>
      </c>
    </row>
    <row r="2480" spans="2:14">
      <c r="B2480" s="32">
        <f>IF(ISNUMBER(SEARCH('Φόρμα Εισαγωγής'!$B$2,C2480)),MAX($B$1:B2479)+1,0)</f>
        <v>0</v>
      </c>
      <c r="D2480" s="33">
        <f>IF(ISNUMBER(SEARCH('Φόρμα Εισαγωγής'!$C$2,E2480)),MAX($D$1:D2479)+1,0)</f>
        <v>0</v>
      </c>
      <c r="H2480" s="6">
        <f t="shared" si="125"/>
        <v>0</v>
      </c>
      <c r="I2480" s="6">
        <f t="shared" si="126"/>
        <v>0</v>
      </c>
      <c r="J2480" s="6">
        <f t="shared" si="127"/>
        <v>0</v>
      </c>
      <c r="L2480" s="4" t="str">
        <f>IFERROR(VLOOKUP(ROWS($L$2:L2480),$B$2:$C$1996,2,0),"")</f>
        <v/>
      </c>
      <c r="N2480" s="2" t="str">
        <f>IFERROR(VLOOKUP(ROWS($N$2:N2480),$D$2:$E$1996,2,0),"")</f>
        <v/>
      </c>
    </row>
    <row r="2481" spans="2:14">
      <c r="B2481" s="32">
        <f>IF(ISNUMBER(SEARCH('Φόρμα Εισαγωγής'!$B$2,C2481)),MAX($B$1:B2480)+1,0)</f>
        <v>0</v>
      </c>
      <c r="D2481" s="33">
        <f>IF(ISNUMBER(SEARCH('Φόρμα Εισαγωγής'!$C$2,E2481)),MAX($D$1:D2480)+1,0)</f>
        <v>0</v>
      </c>
      <c r="H2481" s="6">
        <f t="shared" si="125"/>
        <v>0</v>
      </c>
      <c r="I2481" s="6">
        <f t="shared" si="126"/>
        <v>0</v>
      </c>
      <c r="J2481" s="6">
        <f t="shared" si="127"/>
        <v>0</v>
      </c>
      <c r="L2481" s="4" t="str">
        <f>IFERROR(VLOOKUP(ROWS($L$2:L2481),$B$2:$C$1996,2,0),"")</f>
        <v/>
      </c>
      <c r="N2481" s="2" t="str">
        <f>IFERROR(VLOOKUP(ROWS($N$2:N2481),$D$2:$E$1996,2,0),"")</f>
        <v/>
      </c>
    </row>
    <row r="2482" spans="2:14">
      <c r="B2482" s="32">
        <f>IF(ISNUMBER(SEARCH('Φόρμα Εισαγωγής'!$B$2,C2482)),MAX($B$1:B2481)+1,0)</f>
        <v>0</v>
      </c>
      <c r="D2482" s="33">
        <f>IF(ISNUMBER(SEARCH('Φόρμα Εισαγωγής'!$C$2,E2482)),MAX($D$1:D2481)+1,0)</f>
        <v>0</v>
      </c>
      <c r="H2482" s="6">
        <f t="shared" si="125"/>
        <v>0</v>
      </c>
      <c r="I2482" s="6">
        <f t="shared" si="126"/>
        <v>0</v>
      </c>
      <c r="J2482" s="6">
        <f t="shared" si="127"/>
        <v>0</v>
      </c>
      <c r="L2482" s="4" t="str">
        <f>IFERROR(VLOOKUP(ROWS($L$2:L2482),$B$2:$C$1996,2,0),"")</f>
        <v/>
      </c>
      <c r="N2482" s="2" t="str">
        <f>IFERROR(VLOOKUP(ROWS($N$2:N2482),$D$2:$E$1996,2,0),"")</f>
        <v/>
      </c>
    </row>
    <row r="2483" spans="2:14">
      <c r="B2483" s="32">
        <f>IF(ISNUMBER(SEARCH('Φόρμα Εισαγωγής'!$B$2,C2483)),MAX($B$1:B2482)+1,0)</f>
        <v>0</v>
      </c>
      <c r="D2483" s="33">
        <f>IF(ISNUMBER(SEARCH('Φόρμα Εισαγωγής'!$C$2,E2483)),MAX($D$1:D2482)+1,0)</f>
        <v>0</v>
      </c>
      <c r="H2483" s="6">
        <f t="shared" si="125"/>
        <v>0</v>
      </c>
      <c r="I2483" s="6">
        <f t="shared" si="126"/>
        <v>0</v>
      </c>
      <c r="J2483" s="6">
        <f t="shared" si="127"/>
        <v>0</v>
      </c>
      <c r="L2483" s="4" t="str">
        <f>IFERROR(VLOOKUP(ROWS($L$2:L2483),$B$2:$C$1996,2,0),"")</f>
        <v/>
      </c>
      <c r="N2483" s="2" t="str">
        <f>IFERROR(VLOOKUP(ROWS($N$2:N2483),$D$2:$E$1996,2,0),"")</f>
        <v/>
      </c>
    </row>
    <row r="2484" spans="2:14">
      <c r="B2484" s="32">
        <f>IF(ISNUMBER(SEARCH('Φόρμα Εισαγωγής'!$B$2,C2484)),MAX($B$1:B2483)+1,0)</f>
        <v>0</v>
      </c>
      <c r="D2484" s="33">
        <f>IF(ISNUMBER(SEARCH('Φόρμα Εισαγωγής'!$C$2,E2484)),MAX($D$1:D2483)+1,0)</f>
        <v>0</v>
      </c>
      <c r="H2484" s="6">
        <f t="shared" si="125"/>
        <v>0</v>
      </c>
      <c r="I2484" s="6">
        <f t="shared" si="126"/>
        <v>0</v>
      </c>
      <c r="J2484" s="6">
        <f t="shared" si="127"/>
        <v>0</v>
      </c>
      <c r="L2484" s="4" t="str">
        <f>IFERROR(VLOOKUP(ROWS($L$2:L2484),$B$2:$C$1996,2,0),"")</f>
        <v/>
      </c>
      <c r="N2484" s="2" t="str">
        <f>IFERROR(VLOOKUP(ROWS($N$2:N2484),$D$2:$E$1996,2,0),"")</f>
        <v/>
      </c>
    </row>
    <row r="2485" spans="2:14">
      <c r="B2485" s="32">
        <f>IF(ISNUMBER(SEARCH('Φόρμα Εισαγωγής'!$B$2,C2485)),MAX($B$1:B2484)+1,0)</f>
        <v>0</v>
      </c>
      <c r="D2485" s="33">
        <f>IF(ISNUMBER(SEARCH('Φόρμα Εισαγωγής'!$C$2,E2485)),MAX($D$1:D2484)+1,0)</f>
        <v>0</v>
      </c>
      <c r="H2485" s="6">
        <f t="shared" si="125"/>
        <v>0</v>
      </c>
      <c r="I2485" s="6">
        <f t="shared" si="126"/>
        <v>0</v>
      </c>
      <c r="J2485" s="6">
        <f t="shared" si="127"/>
        <v>0</v>
      </c>
      <c r="L2485" s="4" t="str">
        <f>IFERROR(VLOOKUP(ROWS($L$2:L2485),$B$2:$C$1996,2,0),"")</f>
        <v/>
      </c>
      <c r="N2485" s="2" t="str">
        <f>IFERROR(VLOOKUP(ROWS($N$2:N2485),$D$2:$E$1996,2,0),"")</f>
        <v/>
      </c>
    </row>
    <row r="2486" spans="2:14">
      <c r="B2486" s="32">
        <f>IF(ISNUMBER(SEARCH('Φόρμα Εισαγωγής'!$B$2,C2486)),MAX($B$1:B2485)+1,0)</f>
        <v>0</v>
      </c>
      <c r="D2486" s="33">
        <f>IF(ISNUMBER(SEARCH('Φόρμα Εισαγωγής'!$C$2,E2486)),MAX($D$1:D2485)+1,0)</f>
        <v>0</v>
      </c>
      <c r="H2486" s="6">
        <f t="shared" si="125"/>
        <v>0</v>
      </c>
      <c r="I2486" s="6">
        <f t="shared" si="126"/>
        <v>0</v>
      </c>
      <c r="J2486" s="6">
        <f t="shared" si="127"/>
        <v>0</v>
      </c>
      <c r="L2486" s="4" t="str">
        <f>IFERROR(VLOOKUP(ROWS($L$2:L2486),$B$2:$C$1996,2,0),"")</f>
        <v/>
      </c>
      <c r="N2486" s="2" t="str">
        <f>IFERROR(VLOOKUP(ROWS($N$2:N2486),$D$2:$E$1996,2,0),"")</f>
        <v/>
      </c>
    </row>
    <row r="2487" spans="2:14">
      <c r="B2487" s="32">
        <f>IF(ISNUMBER(SEARCH('Φόρμα Εισαγωγής'!$B$2,C2487)),MAX($B$1:B2486)+1,0)</f>
        <v>0</v>
      </c>
      <c r="D2487" s="33">
        <f>IF(ISNUMBER(SEARCH('Φόρμα Εισαγωγής'!$C$2,E2487)),MAX($D$1:D2486)+1,0)</f>
        <v>0</v>
      </c>
      <c r="H2487" s="6">
        <f t="shared" si="125"/>
        <v>0</v>
      </c>
      <c r="I2487" s="6">
        <f t="shared" si="126"/>
        <v>0</v>
      </c>
      <c r="J2487" s="6">
        <f t="shared" si="127"/>
        <v>0</v>
      </c>
      <c r="L2487" s="4" t="str">
        <f>IFERROR(VLOOKUP(ROWS($L$2:L2487),$B$2:$C$1996,2,0),"")</f>
        <v/>
      </c>
      <c r="N2487" s="2" t="str">
        <f>IFERROR(VLOOKUP(ROWS($N$2:N2487),$D$2:$E$1996,2,0),"")</f>
        <v/>
      </c>
    </row>
    <row r="2488" spans="2:14">
      <c r="B2488" s="32">
        <f>IF(ISNUMBER(SEARCH('Φόρμα Εισαγωγής'!$B$2,C2488)),MAX($B$1:B2487)+1,0)</f>
        <v>0</v>
      </c>
      <c r="D2488" s="33">
        <f>IF(ISNUMBER(SEARCH('Φόρμα Εισαγωγής'!$C$2,E2488)),MAX($D$1:D2487)+1,0)</f>
        <v>0</v>
      </c>
      <c r="H2488" s="6">
        <f t="shared" si="125"/>
        <v>0</v>
      </c>
      <c r="I2488" s="6">
        <f t="shared" si="126"/>
        <v>0</v>
      </c>
      <c r="J2488" s="6">
        <f t="shared" si="127"/>
        <v>0</v>
      </c>
      <c r="L2488" s="4" t="str">
        <f>IFERROR(VLOOKUP(ROWS($L$2:L2488),$B$2:$C$1996,2,0),"")</f>
        <v/>
      </c>
      <c r="N2488" s="2" t="str">
        <f>IFERROR(VLOOKUP(ROWS($N$2:N2488),$D$2:$E$1996,2,0),"")</f>
        <v/>
      </c>
    </row>
    <row r="2489" spans="2:14">
      <c r="B2489" s="32">
        <f>IF(ISNUMBER(SEARCH('Φόρμα Εισαγωγής'!$B$2,C2489)),MAX($B$1:B2488)+1,0)</f>
        <v>0</v>
      </c>
      <c r="D2489" s="33">
        <f>IF(ISNUMBER(SEARCH('Φόρμα Εισαγωγής'!$C$2,E2489)),MAX($D$1:D2488)+1,0)</f>
        <v>0</v>
      </c>
      <c r="H2489" s="6">
        <f t="shared" si="125"/>
        <v>0</v>
      </c>
      <c r="I2489" s="6">
        <f t="shared" si="126"/>
        <v>0</v>
      </c>
      <c r="J2489" s="6">
        <f t="shared" si="127"/>
        <v>0</v>
      </c>
      <c r="L2489" s="4" t="str">
        <f>IFERROR(VLOOKUP(ROWS($L$2:L2489),$B$2:$C$1996,2,0),"")</f>
        <v/>
      </c>
      <c r="N2489" s="2" t="str">
        <f>IFERROR(VLOOKUP(ROWS($N$2:N2489),$D$2:$E$1996,2,0),"")</f>
        <v/>
      </c>
    </row>
    <row r="2490" spans="2:14">
      <c r="B2490" s="32">
        <f>IF(ISNUMBER(SEARCH('Φόρμα Εισαγωγής'!$B$2,C2490)),MAX($B$1:B2489)+1,0)</f>
        <v>0</v>
      </c>
      <c r="D2490" s="33">
        <f>IF(ISNUMBER(SEARCH('Φόρμα Εισαγωγής'!$C$2,E2490)),MAX($D$1:D2489)+1,0)</f>
        <v>0</v>
      </c>
      <c r="H2490" s="6">
        <f t="shared" si="125"/>
        <v>0</v>
      </c>
      <c r="I2490" s="6">
        <f t="shared" si="126"/>
        <v>0</v>
      </c>
      <c r="J2490" s="6">
        <f t="shared" si="127"/>
        <v>0</v>
      </c>
      <c r="L2490" s="4" t="str">
        <f>IFERROR(VLOOKUP(ROWS($L$2:L2490),$B$2:$C$1996,2,0),"")</f>
        <v/>
      </c>
      <c r="N2490" s="2" t="str">
        <f>IFERROR(VLOOKUP(ROWS($N$2:N2490),$D$2:$E$1996,2,0),"")</f>
        <v/>
      </c>
    </row>
    <row r="2491" spans="2:14">
      <c r="B2491" s="32">
        <f>IF(ISNUMBER(SEARCH('Φόρμα Εισαγωγής'!$B$2,C2491)),MAX($B$1:B2490)+1,0)</f>
        <v>0</v>
      </c>
      <c r="D2491" s="33">
        <f>IF(ISNUMBER(SEARCH('Φόρμα Εισαγωγής'!$C$2,E2491)),MAX($D$1:D2490)+1,0)</f>
        <v>0</v>
      </c>
      <c r="H2491" s="6">
        <f t="shared" si="125"/>
        <v>0</v>
      </c>
      <c r="I2491" s="6">
        <f t="shared" si="126"/>
        <v>0</v>
      </c>
      <c r="J2491" s="6">
        <f t="shared" si="127"/>
        <v>0</v>
      </c>
      <c r="L2491" s="4" t="str">
        <f>IFERROR(VLOOKUP(ROWS($L$2:L2491),$B$2:$C$1996,2,0),"")</f>
        <v/>
      </c>
      <c r="N2491" s="2" t="str">
        <f>IFERROR(VLOOKUP(ROWS($N$2:N2491),$D$2:$E$1996,2,0),"")</f>
        <v/>
      </c>
    </row>
    <row r="2492" spans="2:14">
      <c r="B2492" s="32">
        <f>IF(ISNUMBER(SEARCH('Φόρμα Εισαγωγής'!$B$2,C2492)),MAX($B$1:B2491)+1,0)</f>
        <v>0</v>
      </c>
      <c r="D2492" s="33">
        <f>IF(ISNUMBER(SEARCH('Φόρμα Εισαγωγής'!$C$2,E2492)),MAX($D$1:D2491)+1,0)</f>
        <v>0</v>
      </c>
      <c r="H2492" s="6">
        <f t="shared" si="125"/>
        <v>0</v>
      </c>
      <c r="I2492" s="6">
        <f t="shared" si="126"/>
        <v>0</v>
      </c>
      <c r="J2492" s="6">
        <f t="shared" si="127"/>
        <v>0</v>
      </c>
      <c r="L2492" s="4" t="str">
        <f>IFERROR(VLOOKUP(ROWS($L$2:L2492),$B$2:$C$1996,2,0),"")</f>
        <v/>
      </c>
      <c r="N2492" s="2" t="str">
        <f>IFERROR(VLOOKUP(ROWS($N$2:N2492),$D$2:$E$1996,2,0),"")</f>
        <v/>
      </c>
    </row>
    <row r="2493" spans="2:14">
      <c r="B2493" s="32">
        <f>IF(ISNUMBER(SEARCH('Φόρμα Εισαγωγής'!$B$2,C2493)),MAX($B$1:B2492)+1,0)</f>
        <v>0</v>
      </c>
      <c r="D2493" s="33">
        <f>IF(ISNUMBER(SEARCH('Φόρμα Εισαγωγής'!$C$2,E2493)),MAX($D$1:D2492)+1,0)</f>
        <v>0</v>
      </c>
      <c r="H2493" s="6">
        <f t="shared" si="125"/>
        <v>0</v>
      </c>
      <c r="I2493" s="6">
        <f t="shared" si="126"/>
        <v>0</v>
      </c>
      <c r="J2493" s="6">
        <f t="shared" si="127"/>
        <v>0</v>
      </c>
      <c r="L2493" s="4" t="str">
        <f>IFERROR(VLOOKUP(ROWS($L$2:L2493),$B$2:$C$1996,2,0),"")</f>
        <v/>
      </c>
      <c r="N2493" s="2" t="str">
        <f>IFERROR(VLOOKUP(ROWS($N$2:N2493),$D$2:$E$1996,2,0),"")</f>
        <v/>
      </c>
    </row>
    <row r="2494" spans="2:14">
      <c r="B2494" s="32">
        <f>IF(ISNUMBER(SEARCH('Φόρμα Εισαγωγής'!$B$2,C2494)),MAX($B$1:B2493)+1,0)</f>
        <v>0</v>
      </c>
      <c r="D2494" s="33">
        <f>IF(ISNUMBER(SEARCH('Φόρμα Εισαγωγής'!$C$2,E2494)),MAX($D$1:D2493)+1,0)</f>
        <v>0</v>
      </c>
      <c r="H2494" s="6">
        <f t="shared" si="125"/>
        <v>0</v>
      </c>
      <c r="I2494" s="6">
        <f t="shared" si="126"/>
        <v>0</v>
      </c>
      <c r="J2494" s="6">
        <f t="shared" si="127"/>
        <v>0</v>
      </c>
      <c r="L2494" s="4" t="str">
        <f>IFERROR(VLOOKUP(ROWS($L$2:L2494),$B$2:$C$1996,2,0),"")</f>
        <v/>
      </c>
      <c r="N2494" s="2" t="str">
        <f>IFERROR(VLOOKUP(ROWS($N$2:N2494),$D$2:$E$1996,2,0),"")</f>
        <v/>
      </c>
    </row>
    <row r="2495" spans="2:14">
      <c r="B2495" s="32">
        <f>IF(ISNUMBER(SEARCH('Φόρμα Εισαγωγής'!$B$2,C2495)),MAX($B$1:B2494)+1,0)</f>
        <v>0</v>
      </c>
      <c r="D2495" s="33">
        <f>IF(ISNUMBER(SEARCH('Φόρμα Εισαγωγής'!$C$2,E2495)),MAX($D$1:D2494)+1,0)</f>
        <v>0</v>
      </c>
      <c r="H2495" s="6">
        <f t="shared" si="125"/>
        <v>0</v>
      </c>
      <c r="I2495" s="6">
        <f t="shared" si="126"/>
        <v>0</v>
      </c>
      <c r="J2495" s="6">
        <f t="shared" si="127"/>
        <v>0</v>
      </c>
      <c r="L2495" s="4" t="str">
        <f>IFERROR(VLOOKUP(ROWS($L$2:L2495),$B$2:$C$1996,2,0),"")</f>
        <v/>
      </c>
      <c r="N2495" s="2" t="str">
        <f>IFERROR(VLOOKUP(ROWS($N$2:N2495),$D$2:$E$1996,2,0),"")</f>
        <v/>
      </c>
    </row>
    <row r="2496" spans="2:14">
      <c r="B2496" s="32">
        <f>IF(ISNUMBER(SEARCH('Φόρμα Εισαγωγής'!$B$2,C2496)),MAX($B$1:B2495)+1,0)</f>
        <v>0</v>
      </c>
      <c r="D2496" s="33">
        <f>IF(ISNUMBER(SEARCH('Φόρμα Εισαγωγής'!$C$2,E2496)),MAX($D$1:D2495)+1,0)</f>
        <v>0</v>
      </c>
      <c r="H2496" s="6">
        <f t="shared" ref="H2496:H2559" si="128">G2496+(G2496*0.24)</f>
        <v>0</v>
      </c>
      <c r="I2496" s="6">
        <f t="shared" ref="I2496:I2559" si="129">F2496*A2496</f>
        <v>0</v>
      </c>
      <c r="J2496" s="6">
        <f t="shared" ref="J2496:J2559" si="130">H2496*A2496</f>
        <v>0</v>
      </c>
      <c r="L2496" s="4" t="str">
        <f>IFERROR(VLOOKUP(ROWS($L$2:L2496),$B$2:$C$1996,2,0),"")</f>
        <v/>
      </c>
      <c r="N2496" s="2" t="str">
        <f>IFERROR(VLOOKUP(ROWS($N$2:N2496),$D$2:$E$1996,2,0),"")</f>
        <v/>
      </c>
    </row>
    <row r="2497" spans="2:14">
      <c r="B2497" s="32">
        <f>IF(ISNUMBER(SEARCH('Φόρμα Εισαγωγής'!$B$2,C2497)),MAX($B$1:B2496)+1,0)</f>
        <v>0</v>
      </c>
      <c r="D2497" s="33">
        <f>IF(ISNUMBER(SEARCH('Φόρμα Εισαγωγής'!$C$2,E2497)),MAX($D$1:D2496)+1,0)</f>
        <v>0</v>
      </c>
      <c r="H2497" s="6">
        <f t="shared" si="128"/>
        <v>0</v>
      </c>
      <c r="I2497" s="6">
        <f t="shared" si="129"/>
        <v>0</v>
      </c>
      <c r="J2497" s="6">
        <f t="shared" si="130"/>
        <v>0</v>
      </c>
      <c r="L2497" s="4" t="str">
        <f>IFERROR(VLOOKUP(ROWS($L$2:L2497),$B$2:$C$1996,2,0),"")</f>
        <v/>
      </c>
      <c r="N2497" s="2" t="str">
        <f>IFERROR(VLOOKUP(ROWS($N$2:N2497),$D$2:$E$1996,2,0),"")</f>
        <v/>
      </c>
    </row>
    <row r="2498" spans="2:14">
      <c r="B2498" s="32">
        <f>IF(ISNUMBER(SEARCH('Φόρμα Εισαγωγής'!$B$2,C2498)),MAX($B$1:B2497)+1,0)</f>
        <v>0</v>
      </c>
      <c r="D2498" s="33">
        <f>IF(ISNUMBER(SEARCH('Φόρμα Εισαγωγής'!$C$2,E2498)),MAX($D$1:D2497)+1,0)</f>
        <v>0</v>
      </c>
      <c r="H2498" s="6">
        <f t="shared" si="128"/>
        <v>0</v>
      </c>
      <c r="I2498" s="6">
        <f t="shared" si="129"/>
        <v>0</v>
      </c>
      <c r="J2498" s="6">
        <f t="shared" si="130"/>
        <v>0</v>
      </c>
      <c r="L2498" s="4" t="str">
        <f>IFERROR(VLOOKUP(ROWS($L$2:L2498),$B$2:$C$1996,2,0),"")</f>
        <v/>
      </c>
      <c r="N2498" s="2" t="str">
        <f>IFERROR(VLOOKUP(ROWS($N$2:N2498),$D$2:$E$1996,2,0),"")</f>
        <v/>
      </c>
    </row>
    <row r="2499" spans="2:14">
      <c r="B2499" s="32">
        <f>IF(ISNUMBER(SEARCH('Φόρμα Εισαγωγής'!$B$2,C2499)),MAX($B$1:B2498)+1,0)</f>
        <v>0</v>
      </c>
      <c r="D2499" s="33">
        <f>IF(ISNUMBER(SEARCH('Φόρμα Εισαγωγής'!$C$2,E2499)),MAX($D$1:D2498)+1,0)</f>
        <v>0</v>
      </c>
      <c r="H2499" s="6">
        <f t="shared" si="128"/>
        <v>0</v>
      </c>
      <c r="I2499" s="6">
        <f t="shared" si="129"/>
        <v>0</v>
      </c>
      <c r="J2499" s="6">
        <f t="shared" si="130"/>
        <v>0</v>
      </c>
      <c r="L2499" s="4" t="str">
        <f>IFERROR(VLOOKUP(ROWS($L$2:L2499),$B$2:$C$1996,2,0),"")</f>
        <v/>
      </c>
      <c r="N2499" s="2" t="str">
        <f>IFERROR(VLOOKUP(ROWS($N$2:N2499),$D$2:$E$1996,2,0),"")</f>
        <v/>
      </c>
    </row>
    <row r="2500" spans="2:14">
      <c r="B2500" s="32">
        <f>IF(ISNUMBER(SEARCH('Φόρμα Εισαγωγής'!$B$2,C2500)),MAX($B$1:B2499)+1,0)</f>
        <v>0</v>
      </c>
      <c r="D2500" s="33">
        <f>IF(ISNUMBER(SEARCH('Φόρμα Εισαγωγής'!$C$2,E2500)),MAX($D$1:D2499)+1,0)</f>
        <v>0</v>
      </c>
      <c r="H2500" s="6">
        <f t="shared" si="128"/>
        <v>0</v>
      </c>
      <c r="I2500" s="6">
        <f t="shared" si="129"/>
        <v>0</v>
      </c>
      <c r="J2500" s="6">
        <f t="shared" si="130"/>
        <v>0</v>
      </c>
      <c r="L2500" s="4" t="str">
        <f>IFERROR(VLOOKUP(ROWS($L$2:L2500),$B$2:$C$1996,2,0),"")</f>
        <v/>
      </c>
      <c r="N2500" s="2" t="str">
        <f>IFERROR(VLOOKUP(ROWS($N$2:N2500),$D$2:$E$1996,2,0),"")</f>
        <v/>
      </c>
    </row>
    <row r="2501" spans="2:14">
      <c r="B2501" s="32">
        <f>IF(ISNUMBER(SEARCH('Φόρμα Εισαγωγής'!$B$2,C2501)),MAX($B$1:B2500)+1,0)</f>
        <v>0</v>
      </c>
      <c r="D2501" s="33">
        <f>IF(ISNUMBER(SEARCH('Φόρμα Εισαγωγής'!$C$2,E2501)),MAX($D$1:D2500)+1,0)</f>
        <v>0</v>
      </c>
      <c r="H2501" s="6">
        <f t="shared" si="128"/>
        <v>0</v>
      </c>
      <c r="I2501" s="6">
        <f t="shared" si="129"/>
        <v>0</v>
      </c>
      <c r="J2501" s="6">
        <f t="shared" si="130"/>
        <v>0</v>
      </c>
      <c r="L2501" s="4" t="str">
        <f>IFERROR(VLOOKUP(ROWS($L$2:L2501),$B$2:$C$1996,2,0),"")</f>
        <v/>
      </c>
      <c r="N2501" s="2" t="str">
        <f>IFERROR(VLOOKUP(ROWS($N$2:N2501),$D$2:$E$1996,2,0),"")</f>
        <v/>
      </c>
    </row>
    <row r="2502" spans="2:14">
      <c r="B2502" s="32">
        <f>IF(ISNUMBER(SEARCH('Φόρμα Εισαγωγής'!$B$2,C2502)),MAX($B$1:B2501)+1,0)</f>
        <v>0</v>
      </c>
      <c r="D2502" s="33">
        <f>IF(ISNUMBER(SEARCH('Φόρμα Εισαγωγής'!$C$2,E2502)),MAX($D$1:D2501)+1,0)</f>
        <v>0</v>
      </c>
      <c r="H2502" s="6">
        <f t="shared" si="128"/>
        <v>0</v>
      </c>
      <c r="I2502" s="6">
        <f t="shared" si="129"/>
        <v>0</v>
      </c>
      <c r="J2502" s="6">
        <f t="shared" si="130"/>
        <v>0</v>
      </c>
      <c r="L2502" s="4" t="str">
        <f>IFERROR(VLOOKUP(ROWS($L$2:L2502),$B$2:$C$1996,2,0),"")</f>
        <v/>
      </c>
      <c r="N2502" s="2" t="str">
        <f>IFERROR(VLOOKUP(ROWS($N$2:N2502),$D$2:$E$1996,2,0),"")</f>
        <v/>
      </c>
    </row>
    <row r="2503" spans="2:14">
      <c r="B2503" s="32">
        <f>IF(ISNUMBER(SEARCH('Φόρμα Εισαγωγής'!$B$2,C2503)),MAX($B$1:B2502)+1,0)</f>
        <v>0</v>
      </c>
      <c r="D2503" s="33">
        <f>IF(ISNUMBER(SEARCH('Φόρμα Εισαγωγής'!$C$2,E2503)),MAX($D$1:D2502)+1,0)</f>
        <v>0</v>
      </c>
      <c r="H2503" s="6">
        <f t="shared" si="128"/>
        <v>0</v>
      </c>
      <c r="I2503" s="6">
        <f t="shared" si="129"/>
        <v>0</v>
      </c>
      <c r="J2503" s="6">
        <f t="shared" si="130"/>
        <v>0</v>
      </c>
      <c r="L2503" s="4" t="str">
        <f>IFERROR(VLOOKUP(ROWS($L$2:L2503),$B$2:$C$1996,2,0),"")</f>
        <v/>
      </c>
      <c r="N2503" s="2" t="str">
        <f>IFERROR(VLOOKUP(ROWS($N$2:N2503),$D$2:$E$1996,2,0),"")</f>
        <v/>
      </c>
    </row>
    <row r="2504" spans="2:14">
      <c r="B2504" s="32">
        <f>IF(ISNUMBER(SEARCH('Φόρμα Εισαγωγής'!$B$2,C2504)),MAX($B$1:B2503)+1,0)</f>
        <v>0</v>
      </c>
      <c r="D2504" s="33">
        <f>IF(ISNUMBER(SEARCH('Φόρμα Εισαγωγής'!$C$2,E2504)),MAX($D$1:D2503)+1,0)</f>
        <v>0</v>
      </c>
      <c r="H2504" s="6">
        <f t="shared" si="128"/>
        <v>0</v>
      </c>
      <c r="I2504" s="6">
        <f t="shared" si="129"/>
        <v>0</v>
      </c>
      <c r="J2504" s="6">
        <f t="shared" si="130"/>
        <v>0</v>
      </c>
      <c r="L2504" s="4" t="str">
        <f>IFERROR(VLOOKUP(ROWS($L$2:L2504),$B$2:$C$1996,2,0),"")</f>
        <v/>
      </c>
      <c r="N2504" s="2" t="str">
        <f>IFERROR(VLOOKUP(ROWS($N$2:N2504),$D$2:$E$1996,2,0),"")</f>
        <v/>
      </c>
    </row>
    <row r="2505" spans="2:14">
      <c r="B2505" s="32">
        <f>IF(ISNUMBER(SEARCH('Φόρμα Εισαγωγής'!$B$2,C2505)),MAX($B$1:B2504)+1,0)</f>
        <v>0</v>
      </c>
      <c r="D2505" s="33">
        <f>IF(ISNUMBER(SEARCH('Φόρμα Εισαγωγής'!$C$2,E2505)),MAX($D$1:D2504)+1,0)</f>
        <v>0</v>
      </c>
      <c r="H2505" s="6">
        <f t="shared" si="128"/>
        <v>0</v>
      </c>
      <c r="I2505" s="6">
        <f t="shared" si="129"/>
        <v>0</v>
      </c>
      <c r="J2505" s="6">
        <f t="shared" si="130"/>
        <v>0</v>
      </c>
      <c r="L2505" s="4" t="str">
        <f>IFERROR(VLOOKUP(ROWS($L$2:L2505),$B$2:$C$1996,2,0),"")</f>
        <v/>
      </c>
      <c r="N2505" s="2" t="str">
        <f>IFERROR(VLOOKUP(ROWS($N$2:N2505),$D$2:$E$1996,2,0),"")</f>
        <v/>
      </c>
    </row>
    <row r="2506" spans="2:14">
      <c r="B2506" s="32">
        <f>IF(ISNUMBER(SEARCH('Φόρμα Εισαγωγής'!$B$2,C2506)),MAX($B$1:B2505)+1,0)</f>
        <v>0</v>
      </c>
      <c r="D2506" s="33">
        <f>IF(ISNUMBER(SEARCH('Φόρμα Εισαγωγής'!$C$2,E2506)),MAX($D$1:D2505)+1,0)</f>
        <v>0</v>
      </c>
      <c r="H2506" s="6">
        <f t="shared" si="128"/>
        <v>0</v>
      </c>
      <c r="I2506" s="6">
        <f t="shared" si="129"/>
        <v>0</v>
      </c>
      <c r="J2506" s="6">
        <f t="shared" si="130"/>
        <v>0</v>
      </c>
      <c r="L2506" s="4" t="str">
        <f>IFERROR(VLOOKUP(ROWS($L$2:L2506),$B$2:$C$1996,2,0),"")</f>
        <v/>
      </c>
      <c r="N2506" s="2" t="str">
        <f>IFERROR(VLOOKUP(ROWS($N$2:N2506),$D$2:$E$1996,2,0),"")</f>
        <v/>
      </c>
    </row>
    <row r="2507" spans="2:14">
      <c r="B2507" s="32">
        <f>IF(ISNUMBER(SEARCH('Φόρμα Εισαγωγής'!$B$2,C2507)),MAX($B$1:B2506)+1,0)</f>
        <v>0</v>
      </c>
      <c r="D2507" s="33">
        <f>IF(ISNUMBER(SEARCH('Φόρμα Εισαγωγής'!$C$2,E2507)),MAX($D$1:D2506)+1,0)</f>
        <v>0</v>
      </c>
      <c r="H2507" s="6">
        <f t="shared" si="128"/>
        <v>0</v>
      </c>
      <c r="I2507" s="6">
        <f t="shared" si="129"/>
        <v>0</v>
      </c>
      <c r="J2507" s="6">
        <f t="shared" si="130"/>
        <v>0</v>
      </c>
      <c r="L2507" s="4" t="str">
        <f>IFERROR(VLOOKUP(ROWS($L$2:L2507),$B$2:$C$1996,2,0),"")</f>
        <v/>
      </c>
      <c r="N2507" s="2" t="str">
        <f>IFERROR(VLOOKUP(ROWS($N$2:N2507),$D$2:$E$1996,2,0),"")</f>
        <v/>
      </c>
    </row>
    <row r="2508" spans="2:14">
      <c r="B2508" s="32">
        <f>IF(ISNUMBER(SEARCH('Φόρμα Εισαγωγής'!$B$2,C2508)),MAX($B$1:B2507)+1,0)</f>
        <v>0</v>
      </c>
      <c r="D2508" s="33">
        <f>IF(ISNUMBER(SEARCH('Φόρμα Εισαγωγής'!$C$2,E2508)),MAX($D$1:D2507)+1,0)</f>
        <v>0</v>
      </c>
      <c r="H2508" s="6">
        <f t="shared" si="128"/>
        <v>0</v>
      </c>
      <c r="I2508" s="6">
        <f t="shared" si="129"/>
        <v>0</v>
      </c>
      <c r="J2508" s="6">
        <f t="shared" si="130"/>
        <v>0</v>
      </c>
      <c r="L2508" s="4" t="str">
        <f>IFERROR(VLOOKUP(ROWS($L$2:L2508),$B$2:$C$1996,2,0),"")</f>
        <v/>
      </c>
      <c r="N2508" s="2" t="str">
        <f>IFERROR(VLOOKUP(ROWS($N$2:N2508),$D$2:$E$1996,2,0),"")</f>
        <v/>
      </c>
    </row>
    <row r="2509" spans="2:14">
      <c r="B2509" s="32">
        <f>IF(ISNUMBER(SEARCH('Φόρμα Εισαγωγής'!$B$2,C2509)),MAX($B$1:B2508)+1,0)</f>
        <v>0</v>
      </c>
      <c r="D2509" s="33">
        <f>IF(ISNUMBER(SEARCH('Φόρμα Εισαγωγής'!$C$2,E2509)),MAX($D$1:D2508)+1,0)</f>
        <v>0</v>
      </c>
      <c r="H2509" s="6">
        <f t="shared" si="128"/>
        <v>0</v>
      </c>
      <c r="I2509" s="6">
        <f t="shared" si="129"/>
        <v>0</v>
      </c>
      <c r="J2509" s="6">
        <f t="shared" si="130"/>
        <v>0</v>
      </c>
      <c r="L2509" s="4" t="str">
        <f>IFERROR(VLOOKUP(ROWS($L$2:L2509),$B$2:$C$1996,2,0),"")</f>
        <v/>
      </c>
      <c r="N2509" s="2" t="str">
        <f>IFERROR(VLOOKUP(ROWS($N$2:N2509),$D$2:$E$1996,2,0),"")</f>
        <v/>
      </c>
    </row>
    <row r="2510" spans="2:14">
      <c r="B2510" s="32">
        <f>IF(ISNUMBER(SEARCH('Φόρμα Εισαγωγής'!$B$2,C2510)),MAX($B$1:B2509)+1,0)</f>
        <v>0</v>
      </c>
      <c r="D2510" s="33">
        <f>IF(ISNUMBER(SEARCH('Φόρμα Εισαγωγής'!$C$2,E2510)),MAX($D$1:D2509)+1,0)</f>
        <v>0</v>
      </c>
      <c r="H2510" s="6">
        <f t="shared" si="128"/>
        <v>0</v>
      </c>
      <c r="I2510" s="6">
        <f t="shared" si="129"/>
        <v>0</v>
      </c>
      <c r="J2510" s="6">
        <f t="shared" si="130"/>
        <v>0</v>
      </c>
      <c r="L2510" s="4" t="str">
        <f>IFERROR(VLOOKUP(ROWS($L$2:L2510),$B$2:$C$1996,2,0),"")</f>
        <v/>
      </c>
      <c r="N2510" s="2" t="str">
        <f>IFERROR(VLOOKUP(ROWS($N$2:N2510),$D$2:$E$1996,2,0),"")</f>
        <v/>
      </c>
    </row>
    <row r="2511" spans="2:14">
      <c r="B2511" s="32">
        <f>IF(ISNUMBER(SEARCH('Φόρμα Εισαγωγής'!$B$2,C2511)),MAX($B$1:B2510)+1,0)</f>
        <v>0</v>
      </c>
      <c r="D2511" s="33">
        <f>IF(ISNUMBER(SEARCH('Φόρμα Εισαγωγής'!$C$2,E2511)),MAX($D$1:D2510)+1,0)</f>
        <v>0</v>
      </c>
      <c r="H2511" s="6">
        <f t="shared" si="128"/>
        <v>0</v>
      </c>
      <c r="I2511" s="6">
        <f t="shared" si="129"/>
        <v>0</v>
      </c>
      <c r="J2511" s="6">
        <f t="shared" si="130"/>
        <v>0</v>
      </c>
      <c r="L2511" s="4" t="str">
        <f>IFERROR(VLOOKUP(ROWS($L$2:L2511),$B$2:$C$1996,2,0),"")</f>
        <v/>
      </c>
      <c r="N2511" s="2" t="str">
        <f>IFERROR(VLOOKUP(ROWS($N$2:N2511),$D$2:$E$1996,2,0),"")</f>
        <v/>
      </c>
    </row>
    <row r="2512" spans="2:14">
      <c r="B2512" s="32">
        <f>IF(ISNUMBER(SEARCH('Φόρμα Εισαγωγής'!$B$2,C2512)),MAX($B$1:B2511)+1,0)</f>
        <v>0</v>
      </c>
      <c r="D2512" s="33">
        <f>IF(ISNUMBER(SEARCH('Φόρμα Εισαγωγής'!$C$2,E2512)),MAX($D$1:D2511)+1,0)</f>
        <v>0</v>
      </c>
      <c r="H2512" s="6">
        <f t="shared" si="128"/>
        <v>0</v>
      </c>
      <c r="I2512" s="6">
        <f t="shared" si="129"/>
        <v>0</v>
      </c>
      <c r="J2512" s="6">
        <f t="shared" si="130"/>
        <v>0</v>
      </c>
      <c r="L2512" s="4" t="str">
        <f>IFERROR(VLOOKUP(ROWS($L$2:L2512),$B$2:$C$1996,2,0),"")</f>
        <v/>
      </c>
      <c r="N2512" s="2" t="str">
        <f>IFERROR(VLOOKUP(ROWS($N$2:N2512),$D$2:$E$1996,2,0),"")</f>
        <v/>
      </c>
    </row>
    <row r="2513" spans="2:14">
      <c r="B2513" s="32">
        <f>IF(ISNUMBER(SEARCH('Φόρμα Εισαγωγής'!$B$2,C2513)),MAX($B$1:B2512)+1,0)</f>
        <v>0</v>
      </c>
      <c r="D2513" s="33">
        <f>IF(ISNUMBER(SEARCH('Φόρμα Εισαγωγής'!$C$2,E2513)),MAX($D$1:D2512)+1,0)</f>
        <v>0</v>
      </c>
      <c r="H2513" s="6">
        <f t="shared" si="128"/>
        <v>0</v>
      </c>
      <c r="I2513" s="6">
        <f t="shared" si="129"/>
        <v>0</v>
      </c>
      <c r="J2513" s="6">
        <f t="shared" si="130"/>
        <v>0</v>
      </c>
      <c r="L2513" s="4" t="str">
        <f>IFERROR(VLOOKUP(ROWS($L$2:L2513),$B$2:$C$1996,2,0),"")</f>
        <v/>
      </c>
      <c r="N2513" s="2" t="str">
        <f>IFERROR(VLOOKUP(ROWS($N$2:N2513),$D$2:$E$1996,2,0),"")</f>
        <v/>
      </c>
    </row>
    <row r="2514" spans="2:14">
      <c r="B2514" s="32">
        <f>IF(ISNUMBER(SEARCH('Φόρμα Εισαγωγής'!$B$2,C2514)),MAX($B$1:B2513)+1,0)</f>
        <v>0</v>
      </c>
      <c r="D2514" s="33">
        <f>IF(ISNUMBER(SEARCH('Φόρμα Εισαγωγής'!$C$2,E2514)),MAX($D$1:D2513)+1,0)</f>
        <v>0</v>
      </c>
      <c r="H2514" s="6">
        <f t="shared" si="128"/>
        <v>0</v>
      </c>
      <c r="I2514" s="6">
        <f t="shared" si="129"/>
        <v>0</v>
      </c>
      <c r="J2514" s="6">
        <f t="shared" si="130"/>
        <v>0</v>
      </c>
      <c r="L2514" s="4" t="str">
        <f>IFERROR(VLOOKUP(ROWS($L$2:L2514),$B$2:$C$1996,2,0),"")</f>
        <v/>
      </c>
      <c r="N2514" s="2" t="str">
        <f>IFERROR(VLOOKUP(ROWS($N$2:N2514),$D$2:$E$1996,2,0),"")</f>
        <v/>
      </c>
    </row>
    <row r="2515" spans="2:14">
      <c r="B2515" s="32">
        <f>IF(ISNUMBER(SEARCH('Φόρμα Εισαγωγής'!$B$2,C2515)),MAX($B$1:B2514)+1,0)</f>
        <v>0</v>
      </c>
      <c r="D2515" s="33">
        <f>IF(ISNUMBER(SEARCH('Φόρμα Εισαγωγής'!$C$2,E2515)),MAX($D$1:D2514)+1,0)</f>
        <v>0</v>
      </c>
      <c r="H2515" s="6">
        <f t="shared" si="128"/>
        <v>0</v>
      </c>
      <c r="I2515" s="6">
        <f t="shared" si="129"/>
        <v>0</v>
      </c>
      <c r="J2515" s="6">
        <f t="shared" si="130"/>
        <v>0</v>
      </c>
      <c r="L2515" s="4" t="str">
        <f>IFERROR(VLOOKUP(ROWS($L$2:L2515),$B$2:$C$1996,2,0),"")</f>
        <v/>
      </c>
      <c r="N2515" s="2" t="str">
        <f>IFERROR(VLOOKUP(ROWS($N$2:N2515),$D$2:$E$1996,2,0),"")</f>
        <v/>
      </c>
    </row>
    <row r="2516" spans="2:14">
      <c r="B2516" s="32">
        <f>IF(ISNUMBER(SEARCH('Φόρμα Εισαγωγής'!$B$2,C2516)),MAX($B$1:B2515)+1,0)</f>
        <v>0</v>
      </c>
      <c r="D2516" s="33">
        <f>IF(ISNUMBER(SEARCH('Φόρμα Εισαγωγής'!$C$2,E2516)),MAX($D$1:D2515)+1,0)</f>
        <v>0</v>
      </c>
      <c r="H2516" s="6">
        <f t="shared" si="128"/>
        <v>0</v>
      </c>
      <c r="I2516" s="6">
        <f t="shared" si="129"/>
        <v>0</v>
      </c>
      <c r="J2516" s="6">
        <f t="shared" si="130"/>
        <v>0</v>
      </c>
      <c r="L2516" s="4" t="str">
        <f>IFERROR(VLOOKUP(ROWS($L$2:L2516),$B$2:$C$1996,2,0),"")</f>
        <v/>
      </c>
      <c r="N2516" s="2" t="str">
        <f>IFERROR(VLOOKUP(ROWS($N$2:N2516),$D$2:$E$1996,2,0),"")</f>
        <v/>
      </c>
    </row>
    <row r="2517" spans="2:14">
      <c r="B2517" s="32">
        <f>IF(ISNUMBER(SEARCH('Φόρμα Εισαγωγής'!$B$2,C2517)),MAX($B$1:B2516)+1,0)</f>
        <v>0</v>
      </c>
      <c r="D2517" s="33">
        <f>IF(ISNUMBER(SEARCH('Φόρμα Εισαγωγής'!$C$2,E2517)),MAX($D$1:D2516)+1,0)</f>
        <v>0</v>
      </c>
      <c r="H2517" s="6">
        <f t="shared" si="128"/>
        <v>0</v>
      </c>
      <c r="I2517" s="6">
        <f t="shared" si="129"/>
        <v>0</v>
      </c>
      <c r="J2517" s="6">
        <f t="shared" si="130"/>
        <v>0</v>
      </c>
      <c r="L2517" s="4" t="str">
        <f>IFERROR(VLOOKUP(ROWS($L$2:L2517),$B$2:$C$1996,2,0),"")</f>
        <v/>
      </c>
      <c r="N2517" s="2" t="str">
        <f>IFERROR(VLOOKUP(ROWS($N$2:N2517),$D$2:$E$1996,2,0),"")</f>
        <v/>
      </c>
    </row>
    <row r="2518" spans="2:14">
      <c r="B2518" s="32">
        <f>IF(ISNUMBER(SEARCH('Φόρμα Εισαγωγής'!$B$2,C2518)),MAX($B$1:B2517)+1,0)</f>
        <v>0</v>
      </c>
      <c r="D2518" s="33">
        <f>IF(ISNUMBER(SEARCH('Φόρμα Εισαγωγής'!$C$2,E2518)),MAX($D$1:D2517)+1,0)</f>
        <v>0</v>
      </c>
      <c r="H2518" s="6">
        <f t="shared" si="128"/>
        <v>0</v>
      </c>
      <c r="I2518" s="6">
        <f t="shared" si="129"/>
        <v>0</v>
      </c>
      <c r="J2518" s="6">
        <f t="shared" si="130"/>
        <v>0</v>
      </c>
      <c r="L2518" s="4" t="str">
        <f>IFERROR(VLOOKUP(ROWS($L$2:L2518),$B$2:$C$1996,2,0),"")</f>
        <v/>
      </c>
      <c r="N2518" s="2" t="str">
        <f>IFERROR(VLOOKUP(ROWS($N$2:N2518),$D$2:$E$1996,2,0),"")</f>
        <v/>
      </c>
    </row>
    <row r="2519" spans="2:14">
      <c r="B2519" s="32">
        <f>IF(ISNUMBER(SEARCH('Φόρμα Εισαγωγής'!$B$2,C2519)),MAX($B$1:B2518)+1,0)</f>
        <v>0</v>
      </c>
      <c r="D2519" s="33">
        <f>IF(ISNUMBER(SEARCH('Φόρμα Εισαγωγής'!$C$2,E2519)),MAX($D$1:D2518)+1,0)</f>
        <v>0</v>
      </c>
      <c r="H2519" s="6">
        <f t="shared" si="128"/>
        <v>0</v>
      </c>
      <c r="I2519" s="6">
        <f t="shared" si="129"/>
        <v>0</v>
      </c>
      <c r="J2519" s="6">
        <f t="shared" si="130"/>
        <v>0</v>
      </c>
      <c r="L2519" s="4" t="str">
        <f>IFERROR(VLOOKUP(ROWS($L$2:L2519),$B$2:$C$1996,2,0),"")</f>
        <v/>
      </c>
      <c r="N2519" s="2" t="str">
        <f>IFERROR(VLOOKUP(ROWS($N$2:N2519),$D$2:$E$1996,2,0),"")</f>
        <v/>
      </c>
    </row>
    <row r="2520" spans="2:14">
      <c r="B2520" s="32">
        <f>IF(ISNUMBER(SEARCH('Φόρμα Εισαγωγής'!$B$2,C2520)),MAX($B$1:B2519)+1,0)</f>
        <v>0</v>
      </c>
      <c r="D2520" s="33">
        <f>IF(ISNUMBER(SEARCH('Φόρμα Εισαγωγής'!$C$2,E2520)),MAX($D$1:D2519)+1,0)</f>
        <v>0</v>
      </c>
      <c r="H2520" s="6">
        <f t="shared" si="128"/>
        <v>0</v>
      </c>
      <c r="I2520" s="6">
        <f t="shared" si="129"/>
        <v>0</v>
      </c>
      <c r="J2520" s="6">
        <f t="shared" si="130"/>
        <v>0</v>
      </c>
      <c r="L2520" s="4" t="str">
        <f>IFERROR(VLOOKUP(ROWS($L$2:L2520),$B$2:$C$1996,2,0),"")</f>
        <v/>
      </c>
      <c r="N2520" s="2" t="str">
        <f>IFERROR(VLOOKUP(ROWS($N$2:N2520),$D$2:$E$1996,2,0),"")</f>
        <v/>
      </c>
    </row>
    <row r="2521" spans="2:14">
      <c r="B2521" s="32">
        <f>IF(ISNUMBER(SEARCH('Φόρμα Εισαγωγής'!$B$2,C2521)),MAX($B$1:B2520)+1,0)</f>
        <v>0</v>
      </c>
      <c r="D2521" s="33">
        <f>IF(ISNUMBER(SEARCH('Φόρμα Εισαγωγής'!$C$2,E2521)),MAX($D$1:D2520)+1,0)</f>
        <v>0</v>
      </c>
      <c r="H2521" s="6">
        <f t="shared" si="128"/>
        <v>0</v>
      </c>
      <c r="I2521" s="6">
        <f t="shared" si="129"/>
        <v>0</v>
      </c>
      <c r="J2521" s="6">
        <f t="shared" si="130"/>
        <v>0</v>
      </c>
      <c r="L2521" s="4" t="str">
        <f>IFERROR(VLOOKUP(ROWS($L$2:L2521),$B$2:$C$1996,2,0),"")</f>
        <v/>
      </c>
      <c r="N2521" s="2" t="str">
        <f>IFERROR(VLOOKUP(ROWS($N$2:N2521),$D$2:$E$1996,2,0),"")</f>
        <v/>
      </c>
    </row>
    <row r="2522" spans="2:14">
      <c r="B2522" s="32">
        <f>IF(ISNUMBER(SEARCH('Φόρμα Εισαγωγής'!$B$2,C2522)),MAX($B$1:B2521)+1,0)</f>
        <v>0</v>
      </c>
      <c r="D2522" s="33">
        <f>IF(ISNUMBER(SEARCH('Φόρμα Εισαγωγής'!$C$2,E2522)),MAX($D$1:D2521)+1,0)</f>
        <v>0</v>
      </c>
      <c r="H2522" s="6">
        <f t="shared" si="128"/>
        <v>0</v>
      </c>
      <c r="I2522" s="6">
        <f t="shared" si="129"/>
        <v>0</v>
      </c>
      <c r="J2522" s="6">
        <f t="shared" si="130"/>
        <v>0</v>
      </c>
      <c r="L2522" s="4" t="str">
        <f>IFERROR(VLOOKUP(ROWS($L$2:L2522),$B$2:$C$1996,2,0),"")</f>
        <v/>
      </c>
      <c r="N2522" s="2" t="str">
        <f>IFERROR(VLOOKUP(ROWS($N$2:N2522),$D$2:$E$1996,2,0),"")</f>
        <v/>
      </c>
    </row>
    <row r="2523" spans="2:14">
      <c r="B2523" s="32">
        <f>IF(ISNUMBER(SEARCH('Φόρμα Εισαγωγής'!$B$2,C2523)),MAX($B$1:B2522)+1,0)</f>
        <v>0</v>
      </c>
      <c r="D2523" s="33">
        <f>IF(ISNUMBER(SEARCH('Φόρμα Εισαγωγής'!$C$2,E2523)),MAX($D$1:D2522)+1,0)</f>
        <v>0</v>
      </c>
      <c r="H2523" s="6">
        <f t="shared" si="128"/>
        <v>0</v>
      </c>
      <c r="I2523" s="6">
        <f t="shared" si="129"/>
        <v>0</v>
      </c>
      <c r="J2523" s="6">
        <f t="shared" si="130"/>
        <v>0</v>
      </c>
      <c r="L2523" s="4" t="str">
        <f>IFERROR(VLOOKUP(ROWS($L$2:L2523),$B$2:$C$1996,2,0),"")</f>
        <v/>
      </c>
      <c r="N2523" s="2" t="str">
        <f>IFERROR(VLOOKUP(ROWS($N$2:N2523),$D$2:$E$1996,2,0),"")</f>
        <v/>
      </c>
    </row>
    <row r="2524" spans="2:14">
      <c r="B2524" s="32">
        <f>IF(ISNUMBER(SEARCH('Φόρμα Εισαγωγής'!$B$2,C2524)),MAX($B$1:B2523)+1,0)</f>
        <v>0</v>
      </c>
      <c r="D2524" s="33">
        <f>IF(ISNUMBER(SEARCH('Φόρμα Εισαγωγής'!$C$2,E2524)),MAX($D$1:D2523)+1,0)</f>
        <v>0</v>
      </c>
      <c r="H2524" s="6">
        <f t="shared" si="128"/>
        <v>0</v>
      </c>
      <c r="I2524" s="6">
        <f t="shared" si="129"/>
        <v>0</v>
      </c>
      <c r="J2524" s="6">
        <f t="shared" si="130"/>
        <v>0</v>
      </c>
      <c r="L2524" s="4" t="str">
        <f>IFERROR(VLOOKUP(ROWS($L$2:L2524),$B$2:$C$1996,2,0),"")</f>
        <v/>
      </c>
      <c r="N2524" s="2" t="str">
        <f>IFERROR(VLOOKUP(ROWS($N$2:N2524),$D$2:$E$1996,2,0),"")</f>
        <v/>
      </c>
    </row>
    <row r="2525" spans="2:14">
      <c r="B2525" s="32">
        <f>IF(ISNUMBER(SEARCH('Φόρμα Εισαγωγής'!$B$2,C2525)),MAX($B$1:B2524)+1,0)</f>
        <v>0</v>
      </c>
      <c r="D2525" s="33">
        <f>IF(ISNUMBER(SEARCH('Φόρμα Εισαγωγής'!$C$2,E2525)),MAX($D$1:D2524)+1,0)</f>
        <v>0</v>
      </c>
      <c r="H2525" s="6">
        <f t="shared" si="128"/>
        <v>0</v>
      </c>
      <c r="I2525" s="6">
        <f t="shared" si="129"/>
        <v>0</v>
      </c>
      <c r="J2525" s="6">
        <f t="shared" si="130"/>
        <v>0</v>
      </c>
      <c r="L2525" s="4" t="str">
        <f>IFERROR(VLOOKUP(ROWS($L$2:L2525),$B$2:$C$1996,2,0),"")</f>
        <v/>
      </c>
      <c r="N2525" s="2" t="str">
        <f>IFERROR(VLOOKUP(ROWS($N$2:N2525),$D$2:$E$1996,2,0),"")</f>
        <v/>
      </c>
    </row>
    <row r="2526" spans="2:14">
      <c r="B2526" s="32">
        <f>IF(ISNUMBER(SEARCH('Φόρμα Εισαγωγής'!$B$2,C2526)),MAX($B$1:B2525)+1,0)</f>
        <v>0</v>
      </c>
      <c r="D2526" s="33">
        <f>IF(ISNUMBER(SEARCH('Φόρμα Εισαγωγής'!$C$2,E2526)),MAX($D$1:D2525)+1,0)</f>
        <v>0</v>
      </c>
      <c r="H2526" s="6">
        <f t="shared" si="128"/>
        <v>0</v>
      </c>
      <c r="I2526" s="6">
        <f t="shared" si="129"/>
        <v>0</v>
      </c>
      <c r="J2526" s="6">
        <f t="shared" si="130"/>
        <v>0</v>
      </c>
      <c r="L2526" s="4" t="str">
        <f>IFERROR(VLOOKUP(ROWS($L$2:L2526),$B$2:$C$1996,2,0),"")</f>
        <v/>
      </c>
      <c r="N2526" s="2" t="str">
        <f>IFERROR(VLOOKUP(ROWS($N$2:N2526),$D$2:$E$1996,2,0),"")</f>
        <v/>
      </c>
    </row>
    <row r="2527" spans="2:14">
      <c r="B2527" s="32">
        <f>IF(ISNUMBER(SEARCH('Φόρμα Εισαγωγής'!$B$2,C2527)),MAX($B$1:B2526)+1,0)</f>
        <v>0</v>
      </c>
      <c r="D2527" s="33">
        <f>IF(ISNUMBER(SEARCH('Φόρμα Εισαγωγής'!$C$2,E2527)),MAX($D$1:D2526)+1,0)</f>
        <v>0</v>
      </c>
      <c r="H2527" s="6">
        <f t="shared" si="128"/>
        <v>0</v>
      </c>
      <c r="I2527" s="6">
        <f t="shared" si="129"/>
        <v>0</v>
      </c>
      <c r="J2527" s="6">
        <f t="shared" si="130"/>
        <v>0</v>
      </c>
      <c r="L2527" s="4" t="str">
        <f>IFERROR(VLOOKUP(ROWS($L$2:L2527),$B$2:$C$1996,2,0),"")</f>
        <v/>
      </c>
      <c r="N2527" s="2" t="str">
        <f>IFERROR(VLOOKUP(ROWS($N$2:N2527),$D$2:$E$1996,2,0),"")</f>
        <v/>
      </c>
    </row>
    <row r="2528" spans="2:14">
      <c r="B2528" s="32">
        <f>IF(ISNUMBER(SEARCH('Φόρμα Εισαγωγής'!$B$2,C2528)),MAX($B$1:B2527)+1,0)</f>
        <v>0</v>
      </c>
      <c r="D2528" s="33">
        <f>IF(ISNUMBER(SEARCH('Φόρμα Εισαγωγής'!$C$2,E2528)),MAX($D$1:D2527)+1,0)</f>
        <v>0</v>
      </c>
      <c r="H2528" s="6">
        <f t="shared" si="128"/>
        <v>0</v>
      </c>
      <c r="I2528" s="6">
        <f t="shared" si="129"/>
        <v>0</v>
      </c>
      <c r="J2528" s="6">
        <f t="shared" si="130"/>
        <v>0</v>
      </c>
      <c r="L2528" s="4" t="str">
        <f>IFERROR(VLOOKUP(ROWS($L$2:L2528),$B$2:$C$1996,2,0),"")</f>
        <v/>
      </c>
      <c r="N2528" s="2" t="str">
        <f>IFERROR(VLOOKUP(ROWS($N$2:N2528),$D$2:$E$1996,2,0),"")</f>
        <v/>
      </c>
    </row>
    <row r="2529" spans="2:14">
      <c r="B2529" s="32">
        <f>IF(ISNUMBER(SEARCH('Φόρμα Εισαγωγής'!$B$2,C2529)),MAX($B$1:B2528)+1,0)</f>
        <v>0</v>
      </c>
      <c r="D2529" s="33">
        <f>IF(ISNUMBER(SEARCH('Φόρμα Εισαγωγής'!$C$2,E2529)),MAX($D$1:D2528)+1,0)</f>
        <v>0</v>
      </c>
      <c r="H2529" s="6">
        <f t="shared" si="128"/>
        <v>0</v>
      </c>
      <c r="I2529" s="6">
        <f t="shared" si="129"/>
        <v>0</v>
      </c>
      <c r="J2529" s="6">
        <f t="shared" si="130"/>
        <v>0</v>
      </c>
      <c r="L2529" s="4" t="str">
        <f>IFERROR(VLOOKUP(ROWS($L$2:L2529),$B$2:$C$1996,2,0),"")</f>
        <v/>
      </c>
      <c r="N2529" s="2" t="str">
        <f>IFERROR(VLOOKUP(ROWS($N$2:N2529),$D$2:$E$1996,2,0),"")</f>
        <v/>
      </c>
    </row>
    <row r="2530" spans="2:14">
      <c r="B2530" s="32">
        <f>IF(ISNUMBER(SEARCH('Φόρμα Εισαγωγής'!$B$2,C2530)),MAX($B$1:B2529)+1,0)</f>
        <v>0</v>
      </c>
      <c r="D2530" s="33">
        <f>IF(ISNUMBER(SEARCH('Φόρμα Εισαγωγής'!$C$2,E2530)),MAX($D$1:D2529)+1,0)</f>
        <v>0</v>
      </c>
      <c r="H2530" s="6">
        <f t="shared" si="128"/>
        <v>0</v>
      </c>
      <c r="I2530" s="6">
        <f t="shared" si="129"/>
        <v>0</v>
      </c>
      <c r="J2530" s="6">
        <f t="shared" si="130"/>
        <v>0</v>
      </c>
      <c r="L2530" s="4" t="str">
        <f>IFERROR(VLOOKUP(ROWS($L$2:L2530),$B$2:$C$1996,2,0),"")</f>
        <v/>
      </c>
      <c r="N2530" s="2" t="str">
        <f>IFERROR(VLOOKUP(ROWS($N$2:N2530),$D$2:$E$1996,2,0),"")</f>
        <v/>
      </c>
    </row>
    <row r="2531" spans="2:14">
      <c r="B2531" s="32">
        <f>IF(ISNUMBER(SEARCH('Φόρμα Εισαγωγής'!$B$2,C2531)),MAX($B$1:B2530)+1,0)</f>
        <v>0</v>
      </c>
      <c r="D2531" s="33">
        <f>IF(ISNUMBER(SEARCH('Φόρμα Εισαγωγής'!$C$2,E2531)),MAX($D$1:D2530)+1,0)</f>
        <v>0</v>
      </c>
      <c r="H2531" s="6">
        <f t="shared" si="128"/>
        <v>0</v>
      </c>
      <c r="I2531" s="6">
        <f t="shared" si="129"/>
        <v>0</v>
      </c>
      <c r="J2531" s="6">
        <f t="shared" si="130"/>
        <v>0</v>
      </c>
      <c r="L2531" s="4" t="str">
        <f>IFERROR(VLOOKUP(ROWS($L$2:L2531),$B$2:$C$1996,2,0),"")</f>
        <v/>
      </c>
      <c r="N2531" s="2" t="str">
        <f>IFERROR(VLOOKUP(ROWS($N$2:N2531),$D$2:$E$1996,2,0),"")</f>
        <v/>
      </c>
    </row>
    <row r="2532" spans="2:14">
      <c r="B2532" s="32">
        <f>IF(ISNUMBER(SEARCH('Φόρμα Εισαγωγής'!$B$2,C2532)),MAX($B$1:B2531)+1,0)</f>
        <v>0</v>
      </c>
      <c r="D2532" s="33">
        <f>IF(ISNUMBER(SEARCH('Φόρμα Εισαγωγής'!$C$2,E2532)),MAX($D$1:D2531)+1,0)</f>
        <v>0</v>
      </c>
      <c r="H2532" s="6">
        <f t="shared" si="128"/>
        <v>0</v>
      </c>
      <c r="I2532" s="6">
        <f t="shared" si="129"/>
        <v>0</v>
      </c>
      <c r="J2532" s="6">
        <f t="shared" si="130"/>
        <v>0</v>
      </c>
      <c r="L2532" s="4" t="str">
        <f>IFERROR(VLOOKUP(ROWS($L$2:L2532),$B$2:$C$1996,2,0),"")</f>
        <v/>
      </c>
      <c r="N2532" s="2" t="str">
        <f>IFERROR(VLOOKUP(ROWS($N$2:N2532),$D$2:$E$1996,2,0),"")</f>
        <v/>
      </c>
    </row>
    <row r="2533" spans="2:14">
      <c r="B2533" s="32">
        <f>IF(ISNUMBER(SEARCH('Φόρμα Εισαγωγής'!$B$2,C2533)),MAX($B$1:B2532)+1,0)</f>
        <v>0</v>
      </c>
      <c r="D2533" s="33">
        <f>IF(ISNUMBER(SEARCH('Φόρμα Εισαγωγής'!$C$2,E2533)),MAX($D$1:D2532)+1,0)</f>
        <v>0</v>
      </c>
      <c r="H2533" s="6">
        <f t="shared" si="128"/>
        <v>0</v>
      </c>
      <c r="I2533" s="6">
        <f t="shared" si="129"/>
        <v>0</v>
      </c>
      <c r="J2533" s="6">
        <f t="shared" si="130"/>
        <v>0</v>
      </c>
      <c r="L2533" s="4" t="str">
        <f>IFERROR(VLOOKUP(ROWS($L$2:L2533),$B$2:$C$1996,2,0),"")</f>
        <v/>
      </c>
      <c r="N2533" s="2" t="str">
        <f>IFERROR(VLOOKUP(ROWS($N$2:N2533),$D$2:$E$1996,2,0),"")</f>
        <v/>
      </c>
    </row>
    <row r="2534" spans="2:14">
      <c r="B2534" s="32">
        <f>IF(ISNUMBER(SEARCH('Φόρμα Εισαγωγής'!$B$2,C2534)),MAX($B$1:B2533)+1,0)</f>
        <v>0</v>
      </c>
      <c r="D2534" s="33">
        <f>IF(ISNUMBER(SEARCH('Φόρμα Εισαγωγής'!$C$2,E2534)),MAX($D$1:D2533)+1,0)</f>
        <v>0</v>
      </c>
      <c r="H2534" s="6">
        <f t="shared" si="128"/>
        <v>0</v>
      </c>
      <c r="I2534" s="6">
        <f t="shared" si="129"/>
        <v>0</v>
      </c>
      <c r="J2534" s="6">
        <f t="shared" si="130"/>
        <v>0</v>
      </c>
      <c r="L2534" s="4" t="str">
        <f>IFERROR(VLOOKUP(ROWS($L$2:L2534),$B$2:$C$1996,2,0),"")</f>
        <v/>
      </c>
      <c r="N2534" s="2" t="str">
        <f>IFERROR(VLOOKUP(ROWS($N$2:N2534),$D$2:$E$1996,2,0),"")</f>
        <v/>
      </c>
    </row>
    <row r="2535" spans="2:14">
      <c r="B2535" s="32">
        <f>IF(ISNUMBER(SEARCH('Φόρμα Εισαγωγής'!$B$2,C2535)),MAX($B$1:B2534)+1,0)</f>
        <v>0</v>
      </c>
      <c r="D2535" s="33">
        <f>IF(ISNUMBER(SEARCH('Φόρμα Εισαγωγής'!$C$2,E2535)),MAX($D$1:D2534)+1,0)</f>
        <v>0</v>
      </c>
      <c r="H2535" s="6">
        <f t="shared" si="128"/>
        <v>0</v>
      </c>
      <c r="I2535" s="6">
        <f t="shared" si="129"/>
        <v>0</v>
      </c>
      <c r="J2535" s="6">
        <f t="shared" si="130"/>
        <v>0</v>
      </c>
      <c r="L2535" s="4" t="str">
        <f>IFERROR(VLOOKUP(ROWS($L$2:L2535),$B$2:$C$1996,2,0),"")</f>
        <v/>
      </c>
      <c r="N2535" s="2" t="str">
        <f>IFERROR(VLOOKUP(ROWS($N$2:N2535),$D$2:$E$1996,2,0),"")</f>
        <v/>
      </c>
    </row>
    <row r="2536" spans="2:14">
      <c r="B2536" s="32">
        <f>IF(ISNUMBER(SEARCH('Φόρμα Εισαγωγής'!$B$2,C2536)),MAX($B$1:B2535)+1,0)</f>
        <v>0</v>
      </c>
      <c r="D2536" s="33">
        <f>IF(ISNUMBER(SEARCH('Φόρμα Εισαγωγής'!$C$2,E2536)),MAX($D$1:D2535)+1,0)</f>
        <v>0</v>
      </c>
      <c r="H2536" s="6">
        <f t="shared" si="128"/>
        <v>0</v>
      </c>
      <c r="I2536" s="6">
        <f t="shared" si="129"/>
        <v>0</v>
      </c>
      <c r="J2536" s="6">
        <f t="shared" si="130"/>
        <v>0</v>
      </c>
      <c r="L2536" s="4" t="str">
        <f>IFERROR(VLOOKUP(ROWS($L$2:L2536),$B$2:$C$1996,2,0),"")</f>
        <v/>
      </c>
      <c r="N2536" s="2" t="str">
        <f>IFERROR(VLOOKUP(ROWS($N$2:N2536),$D$2:$E$1996,2,0),"")</f>
        <v/>
      </c>
    </row>
    <row r="2537" spans="2:14">
      <c r="B2537" s="32">
        <f>IF(ISNUMBER(SEARCH('Φόρμα Εισαγωγής'!$B$2,C2537)),MAX($B$1:B2536)+1,0)</f>
        <v>0</v>
      </c>
      <c r="D2537" s="33">
        <f>IF(ISNUMBER(SEARCH('Φόρμα Εισαγωγής'!$C$2,E2537)),MAX($D$1:D2536)+1,0)</f>
        <v>0</v>
      </c>
      <c r="H2537" s="6">
        <f t="shared" si="128"/>
        <v>0</v>
      </c>
      <c r="I2537" s="6">
        <f t="shared" si="129"/>
        <v>0</v>
      </c>
      <c r="J2537" s="6">
        <f t="shared" si="130"/>
        <v>0</v>
      </c>
      <c r="L2537" s="4" t="str">
        <f>IFERROR(VLOOKUP(ROWS($L$2:L2537),$B$2:$C$1996,2,0),"")</f>
        <v/>
      </c>
      <c r="N2537" s="2" t="str">
        <f>IFERROR(VLOOKUP(ROWS($N$2:N2537),$D$2:$E$1996,2,0),"")</f>
        <v/>
      </c>
    </row>
    <row r="2538" spans="2:14">
      <c r="B2538" s="32">
        <f>IF(ISNUMBER(SEARCH('Φόρμα Εισαγωγής'!$B$2,C2538)),MAX($B$1:B2537)+1,0)</f>
        <v>0</v>
      </c>
      <c r="D2538" s="33">
        <f>IF(ISNUMBER(SEARCH('Φόρμα Εισαγωγής'!$C$2,E2538)),MAX($D$1:D2537)+1,0)</f>
        <v>0</v>
      </c>
      <c r="H2538" s="6">
        <f t="shared" si="128"/>
        <v>0</v>
      </c>
      <c r="I2538" s="6">
        <f t="shared" si="129"/>
        <v>0</v>
      </c>
      <c r="J2538" s="6">
        <f t="shared" si="130"/>
        <v>0</v>
      </c>
      <c r="L2538" s="4" t="str">
        <f>IFERROR(VLOOKUP(ROWS($L$2:L2538),$B$2:$C$1996,2,0),"")</f>
        <v/>
      </c>
      <c r="N2538" s="2" t="str">
        <f>IFERROR(VLOOKUP(ROWS($N$2:N2538),$D$2:$E$1996,2,0),"")</f>
        <v/>
      </c>
    </row>
    <row r="2539" spans="2:14">
      <c r="B2539" s="32">
        <f>IF(ISNUMBER(SEARCH('Φόρμα Εισαγωγής'!$B$2,C2539)),MAX($B$1:B2538)+1,0)</f>
        <v>0</v>
      </c>
      <c r="D2539" s="33">
        <f>IF(ISNUMBER(SEARCH('Φόρμα Εισαγωγής'!$C$2,E2539)),MAX($D$1:D2538)+1,0)</f>
        <v>0</v>
      </c>
      <c r="H2539" s="6">
        <f t="shared" si="128"/>
        <v>0</v>
      </c>
      <c r="I2539" s="6">
        <f t="shared" si="129"/>
        <v>0</v>
      </c>
      <c r="J2539" s="6">
        <f t="shared" si="130"/>
        <v>0</v>
      </c>
      <c r="L2539" s="4" t="str">
        <f>IFERROR(VLOOKUP(ROWS($L$2:L2539),$B$2:$C$1996,2,0),"")</f>
        <v/>
      </c>
      <c r="N2539" s="2" t="str">
        <f>IFERROR(VLOOKUP(ROWS($N$2:N2539),$D$2:$E$1996,2,0),"")</f>
        <v/>
      </c>
    </row>
    <row r="2540" spans="2:14">
      <c r="B2540" s="32">
        <f>IF(ISNUMBER(SEARCH('Φόρμα Εισαγωγής'!$B$2,C2540)),MAX($B$1:B2539)+1,0)</f>
        <v>0</v>
      </c>
      <c r="D2540" s="33">
        <f>IF(ISNUMBER(SEARCH('Φόρμα Εισαγωγής'!$C$2,E2540)),MAX($D$1:D2539)+1,0)</f>
        <v>0</v>
      </c>
      <c r="H2540" s="6">
        <f t="shared" si="128"/>
        <v>0</v>
      </c>
      <c r="I2540" s="6">
        <f t="shared" si="129"/>
        <v>0</v>
      </c>
      <c r="J2540" s="6">
        <f t="shared" si="130"/>
        <v>0</v>
      </c>
      <c r="L2540" s="4" t="str">
        <f>IFERROR(VLOOKUP(ROWS($L$2:L2540),$B$2:$C$1996,2,0),"")</f>
        <v/>
      </c>
      <c r="N2540" s="2" t="str">
        <f>IFERROR(VLOOKUP(ROWS($N$2:N2540),$D$2:$E$1996,2,0),"")</f>
        <v/>
      </c>
    </row>
    <row r="2541" spans="2:14">
      <c r="B2541" s="32">
        <f>IF(ISNUMBER(SEARCH('Φόρμα Εισαγωγής'!$B$2,C2541)),MAX($B$1:B2540)+1,0)</f>
        <v>0</v>
      </c>
      <c r="D2541" s="33">
        <f>IF(ISNUMBER(SEARCH('Φόρμα Εισαγωγής'!$C$2,E2541)),MAX($D$1:D2540)+1,0)</f>
        <v>0</v>
      </c>
      <c r="H2541" s="6">
        <f t="shared" si="128"/>
        <v>0</v>
      </c>
      <c r="I2541" s="6">
        <f t="shared" si="129"/>
        <v>0</v>
      </c>
      <c r="J2541" s="6">
        <f t="shared" si="130"/>
        <v>0</v>
      </c>
      <c r="L2541" s="4" t="str">
        <f>IFERROR(VLOOKUP(ROWS($L$2:L2541),$B$2:$C$1996,2,0),"")</f>
        <v/>
      </c>
      <c r="N2541" s="2" t="str">
        <f>IFERROR(VLOOKUP(ROWS($N$2:N2541),$D$2:$E$1996,2,0),"")</f>
        <v/>
      </c>
    </row>
    <row r="2542" spans="2:14">
      <c r="B2542" s="32">
        <f>IF(ISNUMBER(SEARCH('Φόρμα Εισαγωγής'!$B$2,C2542)),MAX($B$1:B2541)+1,0)</f>
        <v>0</v>
      </c>
      <c r="D2542" s="33">
        <f>IF(ISNUMBER(SEARCH('Φόρμα Εισαγωγής'!$C$2,E2542)),MAX($D$1:D2541)+1,0)</f>
        <v>0</v>
      </c>
      <c r="H2542" s="6">
        <f t="shared" si="128"/>
        <v>0</v>
      </c>
      <c r="I2542" s="6">
        <f t="shared" si="129"/>
        <v>0</v>
      </c>
      <c r="J2542" s="6">
        <f t="shared" si="130"/>
        <v>0</v>
      </c>
      <c r="L2542" s="4" t="str">
        <f>IFERROR(VLOOKUP(ROWS($L$2:L2542),$B$2:$C$1996,2,0),"")</f>
        <v/>
      </c>
      <c r="N2542" s="2" t="str">
        <f>IFERROR(VLOOKUP(ROWS($N$2:N2542),$D$2:$E$1996,2,0),"")</f>
        <v/>
      </c>
    </row>
    <row r="2543" spans="2:14">
      <c r="B2543" s="32">
        <f>IF(ISNUMBER(SEARCH('Φόρμα Εισαγωγής'!$B$2,C2543)),MAX($B$1:B2542)+1,0)</f>
        <v>0</v>
      </c>
      <c r="D2543" s="33">
        <f>IF(ISNUMBER(SEARCH('Φόρμα Εισαγωγής'!$C$2,E2543)),MAX($D$1:D2542)+1,0)</f>
        <v>0</v>
      </c>
      <c r="H2543" s="6">
        <f t="shared" si="128"/>
        <v>0</v>
      </c>
      <c r="I2543" s="6">
        <f t="shared" si="129"/>
        <v>0</v>
      </c>
      <c r="J2543" s="6">
        <f t="shared" si="130"/>
        <v>0</v>
      </c>
      <c r="L2543" s="4" t="str">
        <f>IFERROR(VLOOKUP(ROWS($L$2:L2543),$B$2:$C$1996,2,0),"")</f>
        <v/>
      </c>
      <c r="N2543" s="2" t="str">
        <f>IFERROR(VLOOKUP(ROWS($N$2:N2543),$D$2:$E$1996,2,0),"")</f>
        <v/>
      </c>
    </row>
    <row r="2544" spans="2:14">
      <c r="B2544" s="32">
        <f>IF(ISNUMBER(SEARCH('Φόρμα Εισαγωγής'!$B$2,C2544)),MAX($B$1:B2543)+1,0)</f>
        <v>0</v>
      </c>
      <c r="D2544" s="33">
        <f>IF(ISNUMBER(SEARCH('Φόρμα Εισαγωγής'!$C$2,E2544)),MAX($D$1:D2543)+1,0)</f>
        <v>0</v>
      </c>
      <c r="H2544" s="6">
        <f t="shared" si="128"/>
        <v>0</v>
      </c>
      <c r="I2544" s="6">
        <f t="shared" si="129"/>
        <v>0</v>
      </c>
      <c r="J2544" s="6">
        <f t="shared" si="130"/>
        <v>0</v>
      </c>
      <c r="L2544" s="4" t="str">
        <f>IFERROR(VLOOKUP(ROWS($L$2:L2544),$B$2:$C$1996,2,0),"")</f>
        <v/>
      </c>
      <c r="N2544" s="2" t="str">
        <f>IFERROR(VLOOKUP(ROWS($N$2:N2544),$D$2:$E$1996,2,0),"")</f>
        <v/>
      </c>
    </row>
    <row r="2545" spans="2:14">
      <c r="B2545" s="32">
        <f>IF(ISNUMBER(SEARCH('Φόρμα Εισαγωγής'!$B$2,C2545)),MAX($B$1:B2544)+1,0)</f>
        <v>0</v>
      </c>
      <c r="D2545" s="33">
        <f>IF(ISNUMBER(SEARCH('Φόρμα Εισαγωγής'!$C$2,E2545)),MAX($D$1:D2544)+1,0)</f>
        <v>0</v>
      </c>
      <c r="H2545" s="6">
        <f t="shared" si="128"/>
        <v>0</v>
      </c>
      <c r="I2545" s="6">
        <f t="shared" si="129"/>
        <v>0</v>
      </c>
      <c r="J2545" s="6">
        <f t="shared" si="130"/>
        <v>0</v>
      </c>
      <c r="L2545" s="4" t="str">
        <f>IFERROR(VLOOKUP(ROWS($L$2:L2545),$B$2:$C$1996,2,0),"")</f>
        <v/>
      </c>
      <c r="N2545" s="2" t="str">
        <f>IFERROR(VLOOKUP(ROWS($N$2:N2545),$D$2:$E$1996,2,0),"")</f>
        <v/>
      </c>
    </row>
    <row r="2546" spans="2:14">
      <c r="B2546" s="32">
        <f>IF(ISNUMBER(SEARCH('Φόρμα Εισαγωγής'!$B$2,C2546)),MAX($B$1:B2545)+1,0)</f>
        <v>0</v>
      </c>
      <c r="D2546" s="33">
        <f>IF(ISNUMBER(SEARCH('Φόρμα Εισαγωγής'!$C$2,E2546)),MAX($D$1:D2545)+1,0)</f>
        <v>0</v>
      </c>
      <c r="H2546" s="6">
        <f t="shared" si="128"/>
        <v>0</v>
      </c>
      <c r="I2546" s="6">
        <f t="shared" si="129"/>
        <v>0</v>
      </c>
      <c r="J2546" s="6">
        <f t="shared" si="130"/>
        <v>0</v>
      </c>
      <c r="L2546" s="4" t="str">
        <f>IFERROR(VLOOKUP(ROWS($L$2:L2546),$B$2:$C$1996,2,0),"")</f>
        <v/>
      </c>
      <c r="N2546" s="2" t="str">
        <f>IFERROR(VLOOKUP(ROWS($N$2:N2546),$D$2:$E$1996,2,0),"")</f>
        <v/>
      </c>
    </row>
    <row r="2547" spans="2:14">
      <c r="B2547" s="32">
        <f>IF(ISNUMBER(SEARCH('Φόρμα Εισαγωγής'!$B$2,C2547)),MAX($B$1:B2546)+1,0)</f>
        <v>0</v>
      </c>
      <c r="D2547" s="33">
        <f>IF(ISNUMBER(SEARCH('Φόρμα Εισαγωγής'!$C$2,E2547)),MAX($D$1:D2546)+1,0)</f>
        <v>0</v>
      </c>
      <c r="H2547" s="6">
        <f t="shared" si="128"/>
        <v>0</v>
      </c>
      <c r="I2547" s="6">
        <f t="shared" si="129"/>
        <v>0</v>
      </c>
      <c r="J2547" s="6">
        <f t="shared" si="130"/>
        <v>0</v>
      </c>
      <c r="L2547" s="4" t="str">
        <f>IFERROR(VLOOKUP(ROWS($L$2:L2547),$B$2:$C$1996,2,0),"")</f>
        <v/>
      </c>
      <c r="N2547" s="2" t="str">
        <f>IFERROR(VLOOKUP(ROWS($N$2:N2547),$D$2:$E$1996,2,0),"")</f>
        <v/>
      </c>
    </row>
    <row r="2548" spans="2:14">
      <c r="B2548" s="32">
        <f>IF(ISNUMBER(SEARCH('Φόρμα Εισαγωγής'!$B$2,C2548)),MAX($B$1:B2547)+1,0)</f>
        <v>0</v>
      </c>
      <c r="D2548" s="33">
        <f>IF(ISNUMBER(SEARCH('Φόρμα Εισαγωγής'!$C$2,E2548)),MAX($D$1:D2547)+1,0)</f>
        <v>0</v>
      </c>
      <c r="H2548" s="6">
        <f t="shared" si="128"/>
        <v>0</v>
      </c>
      <c r="I2548" s="6">
        <f t="shared" si="129"/>
        <v>0</v>
      </c>
      <c r="J2548" s="6">
        <f t="shared" si="130"/>
        <v>0</v>
      </c>
      <c r="L2548" s="4" t="str">
        <f>IFERROR(VLOOKUP(ROWS($L$2:L2548),$B$2:$C$1996,2,0),"")</f>
        <v/>
      </c>
      <c r="N2548" s="2" t="str">
        <f>IFERROR(VLOOKUP(ROWS($N$2:N2548),$D$2:$E$1996,2,0),"")</f>
        <v/>
      </c>
    </row>
    <row r="2549" spans="2:14">
      <c r="B2549" s="32">
        <f>IF(ISNUMBER(SEARCH('Φόρμα Εισαγωγής'!$B$2,C2549)),MAX($B$1:B2548)+1,0)</f>
        <v>0</v>
      </c>
      <c r="D2549" s="33">
        <f>IF(ISNUMBER(SEARCH('Φόρμα Εισαγωγής'!$C$2,E2549)),MAX($D$1:D2548)+1,0)</f>
        <v>0</v>
      </c>
      <c r="H2549" s="6">
        <f t="shared" si="128"/>
        <v>0</v>
      </c>
      <c r="I2549" s="6">
        <f t="shared" si="129"/>
        <v>0</v>
      </c>
      <c r="J2549" s="6">
        <f t="shared" si="130"/>
        <v>0</v>
      </c>
      <c r="L2549" s="4" t="str">
        <f>IFERROR(VLOOKUP(ROWS($L$2:L2549),$B$2:$C$1996,2,0),"")</f>
        <v/>
      </c>
      <c r="N2549" s="2" t="str">
        <f>IFERROR(VLOOKUP(ROWS($N$2:N2549),$D$2:$E$1996,2,0),"")</f>
        <v/>
      </c>
    </row>
    <row r="2550" spans="2:14">
      <c r="B2550" s="32">
        <f>IF(ISNUMBER(SEARCH('Φόρμα Εισαγωγής'!$B$2,C2550)),MAX($B$1:B2549)+1,0)</f>
        <v>0</v>
      </c>
      <c r="D2550" s="33">
        <f>IF(ISNUMBER(SEARCH('Φόρμα Εισαγωγής'!$C$2,E2550)),MAX($D$1:D2549)+1,0)</f>
        <v>0</v>
      </c>
      <c r="H2550" s="6">
        <f t="shared" si="128"/>
        <v>0</v>
      </c>
      <c r="I2550" s="6">
        <f t="shared" si="129"/>
        <v>0</v>
      </c>
      <c r="J2550" s="6">
        <f t="shared" si="130"/>
        <v>0</v>
      </c>
      <c r="L2550" s="4" t="str">
        <f>IFERROR(VLOOKUP(ROWS($L$2:L2550),$B$2:$C$1996,2,0),"")</f>
        <v/>
      </c>
      <c r="N2550" s="2" t="str">
        <f>IFERROR(VLOOKUP(ROWS($N$2:N2550),$D$2:$E$1996,2,0),"")</f>
        <v/>
      </c>
    </row>
    <row r="2551" spans="2:14">
      <c r="B2551" s="32">
        <f>IF(ISNUMBER(SEARCH('Φόρμα Εισαγωγής'!$B$2,C2551)),MAX($B$1:B2550)+1,0)</f>
        <v>0</v>
      </c>
      <c r="D2551" s="33">
        <f>IF(ISNUMBER(SEARCH('Φόρμα Εισαγωγής'!$C$2,E2551)),MAX($D$1:D2550)+1,0)</f>
        <v>0</v>
      </c>
      <c r="H2551" s="6">
        <f t="shared" si="128"/>
        <v>0</v>
      </c>
      <c r="I2551" s="6">
        <f t="shared" si="129"/>
        <v>0</v>
      </c>
      <c r="J2551" s="6">
        <f t="shared" si="130"/>
        <v>0</v>
      </c>
      <c r="L2551" s="4" t="str">
        <f>IFERROR(VLOOKUP(ROWS($L$2:L2551),$B$2:$C$1996,2,0),"")</f>
        <v/>
      </c>
      <c r="N2551" s="2" t="str">
        <f>IFERROR(VLOOKUP(ROWS($N$2:N2551),$D$2:$E$1996,2,0),"")</f>
        <v/>
      </c>
    </row>
    <row r="2552" spans="2:14">
      <c r="B2552" s="32">
        <f>IF(ISNUMBER(SEARCH('Φόρμα Εισαγωγής'!$B$2,C2552)),MAX($B$1:B2551)+1,0)</f>
        <v>0</v>
      </c>
      <c r="D2552" s="33">
        <f>IF(ISNUMBER(SEARCH('Φόρμα Εισαγωγής'!$C$2,E2552)),MAX($D$1:D2551)+1,0)</f>
        <v>0</v>
      </c>
      <c r="H2552" s="6">
        <f t="shared" si="128"/>
        <v>0</v>
      </c>
      <c r="I2552" s="6">
        <f t="shared" si="129"/>
        <v>0</v>
      </c>
      <c r="J2552" s="6">
        <f t="shared" si="130"/>
        <v>0</v>
      </c>
      <c r="L2552" s="4" t="str">
        <f>IFERROR(VLOOKUP(ROWS($L$2:L2552),$B$2:$C$1996,2,0),"")</f>
        <v/>
      </c>
      <c r="N2552" s="2" t="str">
        <f>IFERROR(VLOOKUP(ROWS($N$2:N2552),$D$2:$E$1996,2,0),"")</f>
        <v/>
      </c>
    </row>
    <row r="2553" spans="2:14">
      <c r="B2553" s="32">
        <f>IF(ISNUMBER(SEARCH('Φόρμα Εισαγωγής'!$B$2,C2553)),MAX($B$1:B2552)+1,0)</f>
        <v>0</v>
      </c>
      <c r="D2553" s="33">
        <f>IF(ISNUMBER(SEARCH('Φόρμα Εισαγωγής'!$C$2,E2553)),MAX($D$1:D2552)+1,0)</f>
        <v>0</v>
      </c>
      <c r="H2553" s="6">
        <f t="shared" si="128"/>
        <v>0</v>
      </c>
      <c r="I2553" s="6">
        <f t="shared" si="129"/>
        <v>0</v>
      </c>
      <c r="J2553" s="6">
        <f t="shared" si="130"/>
        <v>0</v>
      </c>
      <c r="L2553" s="4" t="str">
        <f>IFERROR(VLOOKUP(ROWS($L$2:L2553),$B$2:$C$1996,2,0),"")</f>
        <v/>
      </c>
      <c r="N2553" s="2" t="str">
        <f>IFERROR(VLOOKUP(ROWS($N$2:N2553),$D$2:$E$1996,2,0),"")</f>
        <v/>
      </c>
    </row>
    <row r="2554" spans="2:14">
      <c r="B2554" s="32">
        <f>IF(ISNUMBER(SEARCH('Φόρμα Εισαγωγής'!$B$2,C2554)),MAX($B$1:B2553)+1,0)</f>
        <v>0</v>
      </c>
      <c r="D2554" s="33">
        <f>IF(ISNUMBER(SEARCH('Φόρμα Εισαγωγής'!$C$2,E2554)),MAX($D$1:D2553)+1,0)</f>
        <v>0</v>
      </c>
      <c r="H2554" s="6">
        <f t="shared" si="128"/>
        <v>0</v>
      </c>
      <c r="I2554" s="6">
        <f t="shared" si="129"/>
        <v>0</v>
      </c>
      <c r="J2554" s="6">
        <f t="shared" si="130"/>
        <v>0</v>
      </c>
      <c r="L2554" s="4" t="str">
        <f>IFERROR(VLOOKUP(ROWS($L$2:L2554),$B$2:$C$1996,2,0),"")</f>
        <v/>
      </c>
      <c r="N2554" s="2" t="str">
        <f>IFERROR(VLOOKUP(ROWS($N$2:N2554),$D$2:$E$1996,2,0),"")</f>
        <v/>
      </c>
    </row>
    <row r="2555" spans="2:14">
      <c r="B2555" s="32">
        <f>IF(ISNUMBER(SEARCH('Φόρμα Εισαγωγής'!$B$2,C2555)),MAX($B$1:B2554)+1,0)</f>
        <v>0</v>
      </c>
      <c r="D2555" s="33">
        <f>IF(ISNUMBER(SEARCH('Φόρμα Εισαγωγής'!$C$2,E2555)),MAX($D$1:D2554)+1,0)</f>
        <v>0</v>
      </c>
      <c r="H2555" s="6">
        <f t="shared" si="128"/>
        <v>0</v>
      </c>
      <c r="I2555" s="6">
        <f t="shared" si="129"/>
        <v>0</v>
      </c>
      <c r="J2555" s="6">
        <f t="shared" si="130"/>
        <v>0</v>
      </c>
      <c r="L2555" s="4" t="str">
        <f>IFERROR(VLOOKUP(ROWS($L$2:L2555),$B$2:$C$1996,2,0),"")</f>
        <v/>
      </c>
      <c r="N2555" s="2" t="str">
        <f>IFERROR(VLOOKUP(ROWS($N$2:N2555),$D$2:$E$1996,2,0),"")</f>
        <v/>
      </c>
    </row>
    <row r="2556" spans="2:14">
      <c r="B2556" s="32">
        <f>IF(ISNUMBER(SEARCH('Φόρμα Εισαγωγής'!$B$2,C2556)),MAX($B$1:B2555)+1,0)</f>
        <v>0</v>
      </c>
      <c r="D2556" s="33">
        <f>IF(ISNUMBER(SEARCH('Φόρμα Εισαγωγής'!$C$2,E2556)),MAX($D$1:D2555)+1,0)</f>
        <v>0</v>
      </c>
      <c r="H2556" s="6">
        <f t="shared" si="128"/>
        <v>0</v>
      </c>
      <c r="I2556" s="6">
        <f t="shared" si="129"/>
        <v>0</v>
      </c>
      <c r="J2556" s="6">
        <f t="shared" si="130"/>
        <v>0</v>
      </c>
      <c r="L2556" s="4" t="str">
        <f>IFERROR(VLOOKUP(ROWS($L$2:L2556),$B$2:$C$1996,2,0),"")</f>
        <v/>
      </c>
      <c r="N2556" s="2" t="str">
        <f>IFERROR(VLOOKUP(ROWS($N$2:N2556),$D$2:$E$1996,2,0),"")</f>
        <v/>
      </c>
    </row>
    <row r="2557" spans="2:14">
      <c r="B2557" s="32">
        <f>IF(ISNUMBER(SEARCH('Φόρμα Εισαγωγής'!$B$2,C2557)),MAX($B$1:B2556)+1,0)</f>
        <v>0</v>
      </c>
      <c r="D2557" s="33">
        <f>IF(ISNUMBER(SEARCH('Φόρμα Εισαγωγής'!$C$2,E2557)),MAX($D$1:D2556)+1,0)</f>
        <v>0</v>
      </c>
      <c r="H2557" s="6">
        <f t="shared" si="128"/>
        <v>0</v>
      </c>
      <c r="I2557" s="6">
        <f t="shared" si="129"/>
        <v>0</v>
      </c>
      <c r="J2557" s="6">
        <f t="shared" si="130"/>
        <v>0</v>
      </c>
      <c r="L2557" s="4" t="str">
        <f>IFERROR(VLOOKUP(ROWS($L$2:L2557),$B$2:$C$1996,2,0),"")</f>
        <v/>
      </c>
      <c r="N2557" s="2" t="str">
        <f>IFERROR(VLOOKUP(ROWS($N$2:N2557),$D$2:$E$1996,2,0),"")</f>
        <v/>
      </c>
    </row>
    <row r="2558" spans="2:14">
      <c r="B2558" s="32">
        <f>IF(ISNUMBER(SEARCH('Φόρμα Εισαγωγής'!$B$2,C2558)),MAX($B$1:B2557)+1,0)</f>
        <v>0</v>
      </c>
      <c r="D2558" s="33">
        <f>IF(ISNUMBER(SEARCH('Φόρμα Εισαγωγής'!$C$2,E2558)),MAX($D$1:D2557)+1,0)</f>
        <v>0</v>
      </c>
      <c r="H2558" s="6">
        <f t="shared" si="128"/>
        <v>0</v>
      </c>
      <c r="I2558" s="6">
        <f t="shared" si="129"/>
        <v>0</v>
      </c>
      <c r="J2558" s="6">
        <f t="shared" si="130"/>
        <v>0</v>
      </c>
      <c r="L2558" s="4" t="str">
        <f>IFERROR(VLOOKUP(ROWS($L$2:L2558),$B$2:$C$1996,2,0),"")</f>
        <v/>
      </c>
      <c r="N2558" s="2" t="str">
        <f>IFERROR(VLOOKUP(ROWS($N$2:N2558),$D$2:$E$1996,2,0),"")</f>
        <v/>
      </c>
    </row>
    <row r="2559" spans="2:14">
      <c r="B2559" s="32">
        <f>IF(ISNUMBER(SEARCH('Φόρμα Εισαγωγής'!$B$2,C2559)),MAX($B$1:B2558)+1,0)</f>
        <v>0</v>
      </c>
      <c r="D2559" s="33">
        <f>IF(ISNUMBER(SEARCH('Φόρμα Εισαγωγής'!$C$2,E2559)),MAX($D$1:D2558)+1,0)</f>
        <v>0</v>
      </c>
      <c r="H2559" s="6">
        <f t="shared" si="128"/>
        <v>0</v>
      </c>
      <c r="I2559" s="6">
        <f t="shared" si="129"/>
        <v>0</v>
      </c>
      <c r="J2559" s="6">
        <f t="shared" si="130"/>
        <v>0</v>
      </c>
      <c r="L2559" s="4" t="str">
        <f>IFERROR(VLOOKUP(ROWS($L$2:L2559),$B$2:$C$1996,2,0),"")</f>
        <v/>
      </c>
      <c r="N2559" s="2" t="str">
        <f>IFERROR(VLOOKUP(ROWS($N$2:N2559),$D$2:$E$1996,2,0),"")</f>
        <v/>
      </c>
    </row>
    <row r="2560" spans="2:14">
      <c r="B2560" s="32">
        <f>IF(ISNUMBER(SEARCH('Φόρμα Εισαγωγής'!$B$2,C2560)),MAX($B$1:B2559)+1,0)</f>
        <v>0</v>
      </c>
      <c r="D2560" s="33">
        <f>IF(ISNUMBER(SEARCH('Φόρμα Εισαγωγής'!$C$2,E2560)),MAX($D$1:D2559)+1,0)</f>
        <v>0</v>
      </c>
      <c r="H2560" s="6">
        <f t="shared" ref="H2560:H2623" si="131">G2560+(G2560*0.24)</f>
        <v>0</v>
      </c>
      <c r="I2560" s="6">
        <f t="shared" ref="I2560:I2623" si="132">F2560*A2560</f>
        <v>0</v>
      </c>
      <c r="J2560" s="6">
        <f t="shared" ref="J2560:J2623" si="133">H2560*A2560</f>
        <v>0</v>
      </c>
      <c r="L2560" s="4" t="str">
        <f>IFERROR(VLOOKUP(ROWS($L$2:L2560),$B$2:$C$1996,2,0),"")</f>
        <v/>
      </c>
      <c r="N2560" s="2" t="str">
        <f>IFERROR(VLOOKUP(ROWS($N$2:N2560),$D$2:$E$1996,2,0),"")</f>
        <v/>
      </c>
    </row>
    <row r="2561" spans="2:14">
      <c r="B2561" s="32">
        <f>IF(ISNUMBER(SEARCH('Φόρμα Εισαγωγής'!$B$2,C2561)),MAX($B$1:B2560)+1,0)</f>
        <v>0</v>
      </c>
      <c r="D2561" s="33">
        <f>IF(ISNUMBER(SEARCH('Φόρμα Εισαγωγής'!$C$2,E2561)),MAX($D$1:D2560)+1,0)</f>
        <v>0</v>
      </c>
      <c r="H2561" s="6">
        <f t="shared" si="131"/>
        <v>0</v>
      </c>
      <c r="I2561" s="6">
        <f t="shared" si="132"/>
        <v>0</v>
      </c>
      <c r="J2561" s="6">
        <f t="shared" si="133"/>
        <v>0</v>
      </c>
      <c r="L2561" s="4" t="str">
        <f>IFERROR(VLOOKUP(ROWS($L$2:L2561),$B$2:$C$1996,2,0),"")</f>
        <v/>
      </c>
      <c r="N2561" s="2" t="str">
        <f>IFERROR(VLOOKUP(ROWS($N$2:N2561),$D$2:$E$1996,2,0),"")</f>
        <v/>
      </c>
    </row>
    <row r="2562" spans="2:14">
      <c r="B2562" s="32">
        <f>IF(ISNUMBER(SEARCH('Φόρμα Εισαγωγής'!$B$2,C2562)),MAX($B$1:B2561)+1,0)</f>
        <v>0</v>
      </c>
      <c r="D2562" s="33">
        <f>IF(ISNUMBER(SEARCH('Φόρμα Εισαγωγής'!$C$2,E2562)),MAX($D$1:D2561)+1,0)</f>
        <v>0</v>
      </c>
      <c r="H2562" s="6">
        <f t="shared" si="131"/>
        <v>0</v>
      </c>
      <c r="I2562" s="6">
        <f t="shared" si="132"/>
        <v>0</v>
      </c>
      <c r="J2562" s="6">
        <f t="shared" si="133"/>
        <v>0</v>
      </c>
      <c r="L2562" s="4" t="str">
        <f>IFERROR(VLOOKUP(ROWS($L$2:L2562),$B$2:$C$1996,2,0),"")</f>
        <v/>
      </c>
      <c r="N2562" s="2" t="str">
        <f>IFERROR(VLOOKUP(ROWS($N$2:N2562),$D$2:$E$1996,2,0),"")</f>
        <v/>
      </c>
    </row>
    <row r="2563" spans="2:14">
      <c r="B2563" s="32">
        <f>IF(ISNUMBER(SEARCH('Φόρμα Εισαγωγής'!$B$2,C2563)),MAX($B$1:B2562)+1,0)</f>
        <v>0</v>
      </c>
      <c r="D2563" s="33">
        <f>IF(ISNUMBER(SEARCH('Φόρμα Εισαγωγής'!$C$2,E2563)),MAX($D$1:D2562)+1,0)</f>
        <v>0</v>
      </c>
      <c r="H2563" s="6">
        <f t="shared" si="131"/>
        <v>0</v>
      </c>
      <c r="I2563" s="6">
        <f t="shared" si="132"/>
        <v>0</v>
      </c>
      <c r="J2563" s="6">
        <f t="shared" si="133"/>
        <v>0</v>
      </c>
      <c r="L2563" s="4" t="str">
        <f>IFERROR(VLOOKUP(ROWS($L$2:L2563),$B$2:$C$1996,2,0),"")</f>
        <v/>
      </c>
      <c r="N2563" s="2" t="str">
        <f>IFERROR(VLOOKUP(ROWS($N$2:N2563),$D$2:$E$1996,2,0),"")</f>
        <v/>
      </c>
    </row>
    <row r="2564" spans="2:14">
      <c r="B2564" s="32">
        <f>IF(ISNUMBER(SEARCH('Φόρμα Εισαγωγής'!$B$2,C2564)),MAX($B$1:B2563)+1,0)</f>
        <v>0</v>
      </c>
      <c r="D2564" s="33">
        <f>IF(ISNUMBER(SEARCH('Φόρμα Εισαγωγής'!$C$2,E2564)),MAX($D$1:D2563)+1,0)</f>
        <v>0</v>
      </c>
      <c r="H2564" s="6">
        <f t="shared" si="131"/>
        <v>0</v>
      </c>
      <c r="I2564" s="6">
        <f t="shared" si="132"/>
        <v>0</v>
      </c>
      <c r="J2564" s="6">
        <f t="shared" si="133"/>
        <v>0</v>
      </c>
      <c r="L2564" s="4" t="str">
        <f>IFERROR(VLOOKUP(ROWS($L$2:L2564),$B$2:$C$1996,2,0),"")</f>
        <v/>
      </c>
      <c r="N2564" s="2" t="str">
        <f>IFERROR(VLOOKUP(ROWS($N$2:N2564),$D$2:$E$1996,2,0),"")</f>
        <v/>
      </c>
    </row>
    <row r="2565" spans="2:14">
      <c r="B2565" s="32">
        <f>IF(ISNUMBER(SEARCH('Φόρμα Εισαγωγής'!$B$2,C2565)),MAX($B$1:B2564)+1,0)</f>
        <v>0</v>
      </c>
      <c r="D2565" s="33">
        <f>IF(ISNUMBER(SEARCH('Φόρμα Εισαγωγής'!$C$2,E2565)),MAX($D$1:D2564)+1,0)</f>
        <v>0</v>
      </c>
      <c r="H2565" s="6">
        <f t="shared" si="131"/>
        <v>0</v>
      </c>
      <c r="I2565" s="6">
        <f t="shared" si="132"/>
        <v>0</v>
      </c>
      <c r="J2565" s="6">
        <f t="shared" si="133"/>
        <v>0</v>
      </c>
      <c r="L2565" s="4" t="str">
        <f>IFERROR(VLOOKUP(ROWS($L$2:L2565),$B$2:$C$1996,2,0),"")</f>
        <v/>
      </c>
      <c r="N2565" s="2" t="str">
        <f>IFERROR(VLOOKUP(ROWS($N$2:N2565),$D$2:$E$1996,2,0),"")</f>
        <v/>
      </c>
    </row>
    <row r="2566" spans="2:14">
      <c r="B2566" s="32">
        <f>IF(ISNUMBER(SEARCH('Φόρμα Εισαγωγής'!$B$2,C2566)),MAX($B$1:B2565)+1,0)</f>
        <v>0</v>
      </c>
      <c r="D2566" s="33">
        <f>IF(ISNUMBER(SEARCH('Φόρμα Εισαγωγής'!$C$2,E2566)),MAX($D$1:D2565)+1,0)</f>
        <v>0</v>
      </c>
      <c r="H2566" s="6">
        <f t="shared" si="131"/>
        <v>0</v>
      </c>
      <c r="I2566" s="6">
        <f t="shared" si="132"/>
        <v>0</v>
      </c>
      <c r="J2566" s="6">
        <f t="shared" si="133"/>
        <v>0</v>
      </c>
      <c r="L2566" s="4" t="str">
        <f>IFERROR(VLOOKUP(ROWS($L$2:L2566),$B$2:$C$1996,2,0),"")</f>
        <v/>
      </c>
      <c r="N2566" s="2" t="str">
        <f>IFERROR(VLOOKUP(ROWS($N$2:N2566),$D$2:$E$1996,2,0),"")</f>
        <v/>
      </c>
    </row>
    <row r="2567" spans="2:14">
      <c r="B2567" s="32">
        <f>IF(ISNUMBER(SEARCH('Φόρμα Εισαγωγής'!$B$2,C2567)),MAX($B$1:B2566)+1,0)</f>
        <v>0</v>
      </c>
      <c r="D2567" s="33">
        <f>IF(ISNUMBER(SEARCH('Φόρμα Εισαγωγής'!$C$2,E2567)),MAX($D$1:D2566)+1,0)</f>
        <v>0</v>
      </c>
      <c r="H2567" s="6">
        <f t="shared" si="131"/>
        <v>0</v>
      </c>
      <c r="I2567" s="6">
        <f t="shared" si="132"/>
        <v>0</v>
      </c>
      <c r="J2567" s="6">
        <f t="shared" si="133"/>
        <v>0</v>
      </c>
      <c r="L2567" s="4" t="str">
        <f>IFERROR(VLOOKUP(ROWS($L$2:L2567),$B$2:$C$1996,2,0),"")</f>
        <v/>
      </c>
      <c r="N2567" s="2" t="str">
        <f>IFERROR(VLOOKUP(ROWS($N$2:N2567),$D$2:$E$1996,2,0),"")</f>
        <v/>
      </c>
    </row>
    <row r="2568" spans="2:14">
      <c r="B2568" s="32">
        <f>IF(ISNUMBER(SEARCH('Φόρμα Εισαγωγής'!$B$2,C2568)),MAX($B$1:B2567)+1,0)</f>
        <v>0</v>
      </c>
      <c r="D2568" s="33">
        <f>IF(ISNUMBER(SEARCH('Φόρμα Εισαγωγής'!$C$2,E2568)),MAX($D$1:D2567)+1,0)</f>
        <v>0</v>
      </c>
      <c r="H2568" s="6">
        <f t="shared" si="131"/>
        <v>0</v>
      </c>
      <c r="I2568" s="6">
        <f t="shared" si="132"/>
        <v>0</v>
      </c>
      <c r="J2568" s="6">
        <f t="shared" si="133"/>
        <v>0</v>
      </c>
      <c r="L2568" s="4" t="str">
        <f>IFERROR(VLOOKUP(ROWS($L$2:L2568),$B$2:$C$1996,2,0),"")</f>
        <v/>
      </c>
      <c r="N2568" s="2" t="str">
        <f>IFERROR(VLOOKUP(ROWS($N$2:N2568),$D$2:$E$1996,2,0),"")</f>
        <v/>
      </c>
    </row>
    <row r="2569" spans="2:14">
      <c r="B2569" s="32">
        <f>IF(ISNUMBER(SEARCH('Φόρμα Εισαγωγής'!$B$2,C2569)),MAX($B$1:B2568)+1,0)</f>
        <v>0</v>
      </c>
      <c r="D2569" s="33">
        <f>IF(ISNUMBER(SEARCH('Φόρμα Εισαγωγής'!$C$2,E2569)),MAX($D$1:D2568)+1,0)</f>
        <v>0</v>
      </c>
      <c r="H2569" s="6">
        <f t="shared" si="131"/>
        <v>0</v>
      </c>
      <c r="I2569" s="6">
        <f t="shared" si="132"/>
        <v>0</v>
      </c>
      <c r="J2569" s="6">
        <f t="shared" si="133"/>
        <v>0</v>
      </c>
      <c r="L2569" s="4" t="str">
        <f>IFERROR(VLOOKUP(ROWS($L$2:L2569),$B$2:$C$1996,2,0),"")</f>
        <v/>
      </c>
      <c r="N2569" s="2" t="str">
        <f>IFERROR(VLOOKUP(ROWS($N$2:N2569),$D$2:$E$1996,2,0),"")</f>
        <v/>
      </c>
    </row>
    <row r="2570" spans="2:14">
      <c r="B2570" s="32">
        <f>IF(ISNUMBER(SEARCH('Φόρμα Εισαγωγής'!$B$2,C2570)),MAX($B$1:B2569)+1,0)</f>
        <v>0</v>
      </c>
      <c r="D2570" s="33">
        <f>IF(ISNUMBER(SEARCH('Φόρμα Εισαγωγής'!$C$2,E2570)),MAX($D$1:D2569)+1,0)</f>
        <v>0</v>
      </c>
      <c r="H2570" s="6">
        <f t="shared" si="131"/>
        <v>0</v>
      </c>
      <c r="I2570" s="6">
        <f t="shared" si="132"/>
        <v>0</v>
      </c>
      <c r="J2570" s="6">
        <f t="shared" si="133"/>
        <v>0</v>
      </c>
      <c r="L2570" s="4" t="str">
        <f>IFERROR(VLOOKUP(ROWS($L$2:L2570),$B$2:$C$1996,2,0),"")</f>
        <v/>
      </c>
      <c r="N2570" s="2" t="str">
        <f>IFERROR(VLOOKUP(ROWS($N$2:N2570),$D$2:$E$1996,2,0),"")</f>
        <v/>
      </c>
    </row>
    <row r="2571" spans="2:14">
      <c r="B2571" s="32">
        <f>IF(ISNUMBER(SEARCH('Φόρμα Εισαγωγής'!$B$2,C2571)),MAX($B$1:B2570)+1,0)</f>
        <v>0</v>
      </c>
      <c r="D2571" s="33">
        <f>IF(ISNUMBER(SEARCH('Φόρμα Εισαγωγής'!$C$2,E2571)),MAX($D$1:D2570)+1,0)</f>
        <v>0</v>
      </c>
      <c r="H2571" s="6">
        <f t="shared" si="131"/>
        <v>0</v>
      </c>
      <c r="I2571" s="6">
        <f t="shared" si="132"/>
        <v>0</v>
      </c>
      <c r="J2571" s="6">
        <f t="shared" si="133"/>
        <v>0</v>
      </c>
      <c r="L2571" s="4" t="str">
        <f>IFERROR(VLOOKUP(ROWS($L$2:L2571),$B$2:$C$1996,2,0),"")</f>
        <v/>
      </c>
      <c r="N2571" s="2" t="str">
        <f>IFERROR(VLOOKUP(ROWS($N$2:N2571),$D$2:$E$1996,2,0),"")</f>
        <v/>
      </c>
    </row>
    <row r="2572" spans="2:14">
      <c r="B2572" s="32">
        <f>IF(ISNUMBER(SEARCH('Φόρμα Εισαγωγής'!$B$2,C2572)),MAX($B$1:B2571)+1,0)</f>
        <v>0</v>
      </c>
      <c r="D2572" s="33">
        <f>IF(ISNUMBER(SEARCH('Φόρμα Εισαγωγής'!$C$2,E2572)),MAX($D$1:D2571)+1,0)</f>
        <v>0</v>
      </c>
      <c r="H2572" s="6">
        <f t="shared" si="131"/>
        <v>0</v>
      </c>
      <c r="I2572" s="6">
        <f t="shared" si="132"/>
        <v>0</v>
      </c>
      <c r="J2572" s="6">
        <f t="shared" si="133"/>
        <v>0</v>
      </c>
      <c r="L2572" s="4" t="str">
        <f>IFERROR(VLOOKUP(ROWS($L$2:L2572),$B$2:$C$1996,2,0),"")</f>
        <v/>
      </c>
      <c r="N2572" s="2" t="str">
        <f>IFERROR(VLOOKUP(ROWS($N$2:N2572),$D$2:$E$1996,2,0),"")</f>
        <v/>
      </c>
    </row>
    <row r="2573" spans="2:14">
      <c r="B2573" s="32">
        <f>IF(ISNUMBER(SEARCH('Φόρμα Εισαγωγής'!$B$2,C2573)),MAX($B$1:B2572)+1,0)</f>
        <v>0</v>
      </c>
      <c r="D2573" s="33">
        <f>IF(ISNUMBER(SEARCH('Φόρμα Εισαγωγής'!$C$2,E2573)),MAX($D$1:D2572)+1,0)</f>
        <v>0</v>
      </c>
      <c r="H2573" s="6">
        <f t="shared" si="131"/>
        <v>0</v>
      </c>
      <c r="I2573" s="6">
        <f t="shared" si="132"/>
        <v>0</v>
      </c>
      <c r="J2573" s="6">
        <f t="shared" si="133"/>
        <v>0</v>
      </c>
      <c r="L2573" s="4" t="str">
        <f>IFERROR(VLOOKUP(ROWS($L$2:L2573),$B$2:$C$1996,2,0),"")</f>
        <v/>
      </c>
      <c r="N2573" s="2" t="str">
        <f>IFERROR(VLOOKUP(ROWS($N$2:N2573),$D$2:$E$1996,2,0),"")</f>
        <v/>
      </c>
    </row>
    <row r="2574" spans="2:14">
      <c r="B2574" s="32">
        <f>IF(ISNUMBER(SEARCH('Φόρμα Εισαγωγής'!$B$2,C2574)),MAX($B$1:B2573)+1,0)</f>
        <v>0</v>
      </c>
      <c r="D2574" s="33">
        <f>IF(ISNUMBER(SEARCH('Φόρμα Εισαγωγής'!$C$2,E2574)),MAX($D$1:D2573)+1,0)</f>
        <v>0</v>
      </c>
      <c r="H2574" s="6">
        <f t="shared" si="131"/>
        <v>0</v>
      </c>
      <c r="I2574" s="6">
        <f t="shared" si="132"/>
        <v>0</v>
      </c>
      <c r="J2574" s="6">
        <f t="shared" si="133"/>
        <v>0</v>
      </c>
      <c r="L2574" s="4" t="str">
        <f>IFERROR(VLOOKUP(ROWS($L$2:L2574),$B$2:$C$1996,2,0),"")</f>
        <v/>
      </c>
      <c r="N2574" s="2" t="str">
        <f>IFERROR(VLOOKUP(ROWS($N$2:N2574),$D$2:$E$1996,2,0),"")</f>
        <v/>
      </c>
    </row>
    <row r="2575" spans="2:14">
      <c r="B2575" s="32">
        <f>IF(ISNUMBER(SEARCH('Φόρμα Εισαγωγής'!$B$2,C2575)),MAX($B$1:B2574)+1,0)</f>
        <v>0</v>
      </c>
      <c r="D2575" s="33">
        <f>IF(ISNUMBER(SEARCH('Φόρμα Εισαγωγής'!$C$2,E2575)),MAX($D$1:D2574)+1,0)</f>
        <v>0</v>
      </c>
      <c r="H2575" s="6">
        <f t="shared" si="131"/>
        <v>0</v>
      </c>
      <c r="I2575" s="6">
        <f t="shared" si="132"/>
        <v>0</v>
      </c>
      <c r="J2575" s="6">
        <f t="shared" si="133"/>
        <v>0</v>
      </c>
      <c r="L2575" s="4" t="str">
        <f>IFERROR(VLOOKUP(ROWS($L$2:L2575),$B$2:$C$1996,2,0),"")</f>
        <v/>
      </c>
      <c r="N2575" s="2" t="str">
        <f>IFERROR(VLOOKUP(ROWS($N$2:N2575),$D$2:$E$1996,2,0),"")</f>
        <v/>
      </c>
    </row>
    <row r="2576" spans="2:14">
      <c r="B2576" s="32">
        <f>IF(ISNUMBER(SEARCH('Φόρμα Εισαγωγής'!$B$2,C2576)),MAX($B$1:B2575)+1,0)</f>
        <v>0</v>
      </c>
      <c r="D2576" s="33">
        <f>IF(ISNUMBER(SEARCH('Φόρμα Εισαγωγής'!$C$2,E2576)),MAX($D$1:D2575)+1,0)</f>
        <v>0</v>
      </c>
      <c r="H2576" s="6">
        <f t="shared" si="131"/>
        <v>0</v>
      </c>
      <c r="I2576" s="6">
        <f t="shared" si="132"/>
        <v>0</v>
      </c>
      <c r="J2576" s="6">
        <f t="shared" si="133"/>
        <v>0</v>
      </c>
      <c r="L2576" s="4" t="str">
        <f>IFERROR(VLOOKUP(ROWS($L$2:L2576),$B$2:$C$1996,2,0),"")</f>
        <v/>
      </c>
      <c r="N2576" s="2" t="str">
        <f>IFERROR(VLOOKUP(ROWS($N$2:N2576),$D$2:$E$1996,2,0),"")</f>
        <v/>
      </c>
    </row>
    <row r="2577" spans="2:14">
      <c r="B2577" s="32">
        <f>IF(ISNUMBER(SEARCH('Φόρμα Εισαγωγής'!$B$2,C2577)),MAX($B$1:B2576)+1,0)</f>
        <v>0</v>
      </c>
      <c r="D2577" s="33">
        <f>IF(ISNUMBER(SEARCH('Φόρμα Εισαγωγής'!$C$2,E2577)),MAX($D$1:D2576)+1,0)</f>
        <v>0</v>
      </c>
      <c r="H2577" s="6">
        <f t="shared" si="131"/>
        <v>0</v>
      </c>
      <c r="I2577" s="6">
        <f t="shared" si="132"/>
        <v>0</v>
      </c>
      <c r="J2577" s="6">
        <f t="shared" si="133"/>
        <v>0</v>
      </c>
      <c r="L2577" s="4" t="str">
        <f>IFERROR(VLOOKUP(ROWS($L$2:L2577),$B$2:$C$1996,2,0),"")</f>
        <v/>
      </c>
      <c r="N2577" s="2" t="str">
        <f>IFERROR(VLOOKUP(ROWS($N$2:N2577),$D$2:$E$1996,2,0),"")</f>
        <v/>
      </c>
    </row>
    <row r="2578" spans="2:14">
      <c r="B2578" s="32">
        <f>IF(ISNUMBER(SEARCH('Φόρμα Εισαγωγής'!$B$2,C2578)),MAX($B$1:B2577)+1,0)</f>
        <v>0</v>
      </c>
      <c r="D2578" s="33">
        <f>IF(ISNUMBER(SEARCH('Φόρμα Εισαγωγής'!$C$2,E2578)),MAX($D$1:D2577)+1,0)</f>
        <v>0</v>
      </c>
      <c r="H2578" s="6">
        <f t="shared" si="131"/>
        <v>0</v>
      </c>
      <c r="I2578" s="6">
        <f t="shared" si="132"/>
        <v>0</v>
      </c>
      <c r="J2578" s="6">
        <f t="shared" si="133"/>
        <v>0</v>
      </c>
      <c r="L2578" s="4" t="str">
        <f>IFERROR(VLOOKUP(ROWS($L$2:L2578),$B$2:$C$1996,2,0),"")</f>
        <v/>
      </c>
      <c r="N2578" s="2" t="str">
        <f>IFERROR(VLOOKUP(ROWS($N$2:N2578),$D$2:$E$1996,2,0),"")</f>
        <v/>
      </c>
    </row>
    <row r="2579" spans="2:14">
      <c r="B2579" s="32">
        <f>IF(ISNUMBER(SEARCH('Φόρμα Εισαγωγής'!$B$2,C2579)),MAX($B$1:B2578)+1,0)</f>
        <v>0</v>
      </c>
      <c r="D2579" s="33">
        <f>IF(ISNUMBER(SEARCH('Φόρμα Εισαγωγής'!$C$2,E2579)),MAX($D$1:D2578)+1,0)</f>
        <v>0</v>
      </c>
      <c r="H2579" s="6">
        <f t="shared" si="131"/>
        <v>0</v>
      </c>
      <c r="I2579" s="6">
        <f t="shared" si="132"/>
        <v>0</v>
      </c>
      <c r="J2579" s="6">
        <f t="shared" si="133"/>
        <v>0</v>
      </c>
      <c r="L2579" s="4" t="str">
        <f>IFERROR(VLOOKUP(ROWS($L$2:L2579),$B$2:$C$1996,2,0),"")</f>
        <v/>
      </c>
      <c r="N2579" s="2" t="str">
        <f>IFERROR(VLOOKUP(ROWS($N$2:N2579),$D$2:$E$1996,2,0),"")</f>
        <v/>
      </c>
    </row>
    <row r="2580" spans="2:14">
      <c r="B2580" s="32">
        <f>IF(ISNUMBER(SEARCH('Φόρμα Εισαγωγής'!$B$2,C2580)),MAX($B$1:B2579)+1,0)</f>
        <v>0</v>
      </c>
      <c r="D2580" s="33">
        <f>IF(ISNUMBER(SEARCH('Φόρμα Εισαγωγής'!$C$2,E2580)),MAX($D$1:D2579)+1,0)</f>
        <v>0</v>
      </c>
      <c r="H2580" s="6">
        <f t="shared" si="131"/>
        <v>0</v>
      </c>
      <c r="I2580" s="6">
        <f t="shared" si="132"/>
        <v>0</v>
      </c>
      <c r="J2580" s="6">
        <f t="shared" si="133"/>
        <v>0</v>
      </c>
      <c r="L2580" s="4" t="str">
        <f>IFERROR(VLOOKUP(ROWS($L$2:L2580),$B$2:$C$1996,2,0),"")</f>
        <v/>
      </c>
      <c r="N2580" s="2" t="str">
        <f>IFERROR(VLOOKUP(ROWS($N$2:N2580),$D$2:$E$1996,2,0),"")</f>
        <v/>
      </c>
    </row>
    <row r="2581" spans="2:14">
      <c r="B2581" s="32">
        <f>IF(ISNUMBER(SEARCH('Φόρμα Εισαγωγής'!$B$2,C2581)),MAX($B$1:B2580)+1,0)</f>
        <v>0</v>
      </c>
      <c r="D2581" s="33">
        <f>IF(ISNUMBER(SEARCH('Φόρμα Εισαγωγής'!$C$2,E2581)),MAX($D$1:D2580)+1,0)</f>
        <v>0</v>
      </c>
      <c r="H2581" s="6">
        <f t="shared" si="131"/>
        <v>0</v>
      </c>
      <c r="I2581" s="6">
        <f t="shared" si="132"/>
        <v>0</v>
      </c>
      <c r="J2581" s="6">
        <f t="shared" si="133"/>
        <v>0</v>
      </c>
      <c r="L2581" s="4" t="str">
        <f>IFERROR(VLOOKUP(ROWS($L$2:L2581),$B$2:$C$1996,2,0),"")</f>
        <v/>
      </c>
      <c r="N2581" s="2" t="str">
        <f>IFERROR(VLOOKUP(ROWS($N$2:N2581),$D$2:$E$1996,2,0),"")</f>
        <v/>
      </c>
    </row>
    <row r="2582" spans="2:14">
      <c r="B2582" s="32">
        <f>IF(ISNUMBER(SEARCH('Φόρμα Εισαγωγής'!$B$2,C2582)),MAX($B$1:B2581)+1,0)</f>
        <v>0</v>
      </c>
      <c r="D2582" s="33">
        <f>IF(ISNUMBER(SEARCH('Φόρμα Εισαγωγής'!$C$2,E2582)),MAX($D$1:D2581)+1,0)</f>
        <v>0</v>
      </c>
      <c r="H2582" s="6">
        <f t="shared" si="131"/>
        <v>0</v>
      </c>
      <c r="I2582" s="6">
        <f t="shared" si="132"/>
        <v>0</v>
      </c>
      <c r="J2582" s="6">
        <f t="shared" si="133"/>
        <v>0</v>
      </c>
      <c r="L2582" s="4" t="str">
        <f>IFERROR(VLOOKUP(ROWS($L$2:L2582),$B$2:$C$1996,2,0),"")</f>
        <v/>
      </c>
      <c r="N2582" s="2" t="str">
        <f>IFERROR(VLOOKUP(ROWS($N$2:N2582),$D$2:$E$1996,2,0),"")</f>
        <v/>
      </c>
    </row>
    <row r="2583" spans="2:14">
      <c r="B2583" s="32">
        <f>IF(ISNUMBER(SEARCH('Φόρμα Εισαγωγής'!$B$2,C2583)),MAX($B$1:B2582)+1,0)</f>
        <v>0</v>
      </c>
      <c r="D2583" s="33">
        <f>IF(ISNUMBER(SEARCH('Φόρμα Εισαγωγής'!$C$2,E2583)),MAX($D$1:D2582)+1,0)</f>
        <v>0</v>
      </c>
      <c r="H2583" s="6">
        <f t="shared" si="131"/>
        <v>0</v>
      </c>
      <c r="I2583" s="6">
        <f t="shared" si="132"/>
        <v>0</v>
      </c>
      <c r="J2583" s="6">
        <f t="shared" si="133"/>
        <v>0</v>
      </c>
      <c r="L2583" s="4" t="str">
        <f>IFERROR(VLOOKUP(ROWS($L$2:L2583),$B$2:$C$1996,2,0),"")</f>
        <v/>
      </c>
      <c r="N2583" s="2" t="str">
        <f>IFERROR(VLOOKUP(ROWS($N$2:N2583),$D$2:$E$1996,2,0),"")</f>
        <v/>
      </c>
    </row>
    <row r="2584" spans="2:14">
      <c r="B2584" s="32">
        <f>IF(ISNUMBER(SEARCH('Φόρμα Εισαγωγής'!$B$2,C2584)),MAX($B$1:B2583)+1,0)</f>
        <v>0</v>
      </c>
      <c r="D2584" s="33">
        <f>IF(ISNUMBER(SEARCH('Φόρμα Εισαγωγής'!$C$2,E2584)),MAX($D$1:D2583)+1,0)</f>
        <v>0</v>
      </c>
      <c r="H2584" s="6">
        <f t="shared" si="131"/>
        <v>0</v>
      </c>
      <c r="I2584" s="6">
        <f t="shared" si="132"/>
        <v>0</v>
      </c>
      <c r="J2584" s="6">
        <f t="shared" si="133"/>
        <v>0</v>
      </c>
      <c r="L2584" s="4" t="str">
        <f>IFERROR(VLOOKUP(ROWS($L$2:L2584),$B$2:$C$1996,2,0),"")</f>
        <v/>
      </c>
      <c r="N2584" s="2" t="str">
        <f>IFERROR(VLOOKUP(ROWS($N$2:N2584),$D$2:$E$1996,2,0),"")</f>
        <v/>
      </c>
    </row>
    <row r="2585" spans="2:14">
      <c r="B2585" s="32">
        <f>IF(ISNUMBER(SEARCH('Φόρμα Εισαγωγής'!$B$2,C2585)),MAX($B$1:B2584)+1,0)</f>
        <v>0</v>
      </c>
      <c r="D2585" s="33">
        <f>IF(ISNUMBER(SEARCH('Φόρμα Εισαγωγής'!$C$2,E2585)),MAX($D$1:D2584)+1,0)</f>
        <v>0</v>
      </c>
      <c r="H2585" s="6">
        <f t="shared" si="131"/>
        <v>0</v>
      </c>
      <c r="I2585" s="6">
        <f t="shared" si="132"/>
        <v>0</v>
      </c>
      <c r="J2585" s="6">
        <f t="shared" si="133"/>
        <v>0</v>
      </c>
      <c r="L2585" s="4" t="str">
        <f>IFERROR(VLOOKUP(ROWS($L$2:L2585),$B$2:$C$1996,2,0),"")</f>
        <v/>
      </c>
      <c r="N2585" s="2" t="str">
        <f>IFERROR(VLOOKUP(ROWS($N$2:N2585),$D$2:$E$1996,2,0),"")</f>
        <v/>
      </c>
    </row>
    <row r="2586" spans="2:14">
      <c r="B2586" s="32">
        <f>IF(ISNUMBER(SEARCH('Φόρμα Εισαγωγής'!$B$2,C2586)),MAX($B$1:B2585)+1,0)</f>
        <v>0</v>
      </c>
      <c r="D2586" s="33">
        <f>IF(ISNUMBER(SEARCH('Φόρμα Εισαγωγής'!$C$2,E2586)),MAX($D$1:D2585)+1,0)</f>
        <v>0</v>
      </c>
      <c r="H2586" s="6">
        <f t="shared" si="131"/>
        <v>0</v>
      </c>
      <c r="I2586" s="6">
        <f t="shared" si="132"/>
        <v>0</v>
      </c>
      <c r="J2586" s="6">
        <f t="shared" si="133"/>
        <v>0</v>
      </c>
      <c r="L2586" s="4" t="str">
        <f>IFERROR(VLOOKUP(ROWS($L$2:L2586),$B$2:$C$1996,2,0),"")</f>
        <v/>
      </c>
      <c r="N2586" s="2" t="str">
        <f>IFERROR(VLOOKUP(ROWS($N$2:N2586),$D$2:$E$1996,2,0),"")</f>
        <v/>
      </c>
    </row>
    <row r="2587" spans="2:14">
      <c r="B2587" s="32">
        <f>IF(ISNUMBER(SEARCH('Φόρμα Εισαγωγής'!$B$2,C2587)),MAX($B$1:B2586)+1,0)</f>
        <v>0</v>
      </c>
      <c r="D2587" s="33">
        <f>IF(ISNUMBER(SEARCH('Φόρμα Εισαγωγής'!$C$2,E2587)),MAX($D$1:D2586)+1,0)</f>
        <v>0</v>
      </c>
      <c r="H2587" s="6">
        <f t="shared" si="131"/>
        <v>0</v>
      </c>
      <c r="I2587" s="6">
        <f t="shared" si="132"/>
        <v>0</v>
      </c>
      <c r="J2587" s="6">
        <f t="shared" si="133"/>
        <v>0</v>
      </c>
      <c r="L2587" s="4" t="str">
        <f>IFERROR(VLOOKUP(ROWS($L$2:L2587),$B$2:$C$1996,2,0),"")</f>
        <v/>
      </c>
      <c r="N2587" s="2" t="str">
        <f>IFERROR(VLOOKUP(ROWS($N$2:N2587),$D$2:$E$1996,2,0),"")</f>
        <v/>
      </c>
    </row>
    <row r="2588" spans="2:14">
      <c r="B2588" s="32">
        <f>IF(ISNUMBER(SEARCH('Φόρμα Εισαγωγής'!$B$2,C2588)),MAX($B$1:B2587)+1,0)</f>
        <v>0</v>
      </c>
      <c r="D2588" s="33">
        <f>IF(ISNUMBER(SEARCH('Φόρμα Εισαγωγής'!$C$2,E2588)),MAX($D$1:D2587)+1,0)</f>
        <v>0</v>
      </c>
      <c r="H2588" s="6">
        <f t="shared" si="131"/>
        <v>0</v>
      </c>
      <c r="I2588" s="6">
        <f t="shared" si="132"/>
        <v>0</v>
      </c>
      <c r="J2588" s="6">
        <f t="shared" si="133"/>
        <v>0</v>
      </c>
      <c r="L2588" s="4" t="str">
        <f>IFERROR(VLOOKUP(ROWS($L$2:L2588),$B$2:$C$1996,2,0),"")</f>
        <v/>
      </c>
      <c r="N2588" s="2" t="str">
        <f>IFERROR(VLOOKUP(ROWS($N$2:N2588),$D$2:$E$1996,2,0),"")</f>
        <v/>
      </c>
    </row>
    <row r="2589" spans="2:14">
      <c r="B2589" s="32">
        <f>IF(ISNUMBER(SEARCH('Φόρμα Εισαγωγής'!$B$2,C2589)),MAX($B$1:B2588)+1,0)</f>
        <v>0</v>
      </c>
      <c r="D2589" s="33">
        <f>IF(ISNUMBER(SEARCH('Φόρμα Εισαγωγής'!$C$2,E2589)),MAX($D$1:D2588)+1,0)</f>
        <v>0</v>
      </c>
      <c r="H2589" s="6">
        <f t="shared" si="131"/>
        <v>0</v>
      </c>
      <c r="I2589" s="6">
        <f t="shared" si="132"/>
        <v>0</v>
      </c>
      <c r="J2589" s="6">
        <f t="shared" si="133"/>
        <v>0</v>
      </c>
      <c r="L2589" s="4" t="str">
        <f>IFERROR(VLOOKUP(ROWS($L$2:L2589),$B$2:$C$1996,2,0),"")</f>
        <v/>
      </c>
      <c r="N2589" s="2" t="str">
        <f>IFERROR(VLOOKUP(ROWS($N$2:N2589),$D$2:$E$1996,2,0),"")</f>
        <v/>
      </c>
    </row>
    <row r="2590" spans="2:14">
      <c r="B2590" s="32">
        <f>IF(ISNUMBER(SEARCH('Φόρμα Εισαγωγής'!$B$2,C2590)),MAX($B$1:B2589)+1,0)</f>
        <v>0</v>
      </c>
      <c r="D2590" s="33">
        <f>IF(ISNUMBER(SEARCH('Φόρμα Εισαγωγής'!$C$2,E2590)),MAX($D$1:D2589)+1,0)</f>
        <v>0</v>
      </c>
      <c r="H2590" s="6">
        <f t="shared" si="131"/>
        <v>0</v>
      </c>
      <c r="I2590" s="6">
        <f t="shared" si="132"/>
        <v>0</v>
      </c>
      <c r="J2590" s="6">
        <f t="shared" si="133"/>
        <v>0</v>
      </c>
      <c r="L2590" s="4" t="str">
        <f>IFERROR(VLOOKUP(ROWS($L$2:L2590),$B$2:$C$1996,2,0),"")</f>
        <v/>
      </c>
      <c r="N2590" s="2" t="str">
        <f>IFERROR(VLOOKUP(ROWS($N$2:N2590),$D$2:$E$1996,2,0),"")</f>
        <v/>
      </c>
    </row>
    <row r="2591" spans="2:14">
      <c r="B2591" s="32">
        <f>IF(ISNUMBER(SEARCH('Φόρμα Εισαγωγής'!$B$2,C2591)),MAX($B$1:B2590)+1,0)</f>
        <v>0</v>
      </c>
      <c r="D2591" s="33">
        <f>IF(ISNUMBER(SEARCH('Φόρμα Εισαγωγής'!$C$2,E2591)),MAX($D$1:D2590)+1,0)</f>
        <v>0</v>
      </c>
      <c r="H2591" s="6">
        <f t="shared" si="131"/>
        <v>0</v>
      </c>
      <c r="I2591" s="6">
        <f t="shared" si="132"/>
        <v>0</v>
      </c>
      <c r="J2591" s="6">
        <f t="shared" si="133"/>
        <v>0</v>
      </c>
      <c r="L2591" s="4" t="str">
        <f>IFERROR(VLOOKUP(ROWS($L$2:L2591),$B$2:$C$1996,2,0),"")</f>
        <v/>
      </c>
      <c r="N2591" s="2" t="str">
        <f>IFERROR(VLOOKUP(ROWS($N$2:N2591),$D$2:$E$1996,2,0),"")</f>
        <v/>
      </c>
    </row>
    <row r="2592" spans="2:14">
      <c r="B2592" s="32">
        <f>IF(ISNUMBER(SEARCH('Φόρμα Εισαγωγής'!$B$2,C2592)),MAX($B$1:B2591)+1,0)</f>
        <v>0</v>
      </c>
      <c r="D2592" s="33">
        <f>IF(ISNUMBER(SEARCH('Φόρμα Εισαγωγής'!$C$2,E2592)),MAX($D$1:D2591)+1,0)</f>
        <v>0</v>
      </c>
      <c r="H2592" s="6">
        <f t="shared" si="131"/>
        <v>0</v>
      </c>
      <c r="I2592" s="6">
        <f t="shared" si="132"/>
        <v>0</v>
      </c>
      <c r="J2592" s="6">
        <f t="shared" si="133"/>
        <v>0</v>
      </c>
      <c r="L2592" s="4" t="str">
        <f>IFERROR(VLOOKUP(ROWS($L$2:L2592),$B$2:$C$1996,2,0),"")</f>
        <v/>
      </c>
      <c r="N2592" s="2" t="str">
        <f>IFERROR(VLOOKUP(ROWS($N$2:N2592),$D$2:$E$1996,2,0),"")</f>
        <v/>
      </c>
    </row>
    <row r="2593" spans="2:14">
      <c r="B2593" s="32">
        <f>IF(ISNUMBER(SEARCH('Φόρμα Εισαγωγής'!$B$2,C2593)),MAX($B$1:B2592)+1,0)</f>
        <v>0</v>
      </c>
      <c r="D2593" s="33">
        <f>IF(ISNUMBER(SEARCH('Φόρμα Εισαγωγής'!$C$2,E2593)),MAX($D$1:D2592)+1,0)</f>
        <v>0</v>
      </c>
      <c r="H2593" s="6">
        <f t="shared" si="131"/>
        <v>0</v>
      </c>
      <c r="I2593" s="6">
        <f t="shared" si="132"/>
        <v>0</v>
      </c>
      <c r="J2593" s="6">
        <f t="shared" si="133"/>
        <v>0</v>
      </c>
      <c r="L2593" s="4" t="str">
        <f>IFERROR(VLOOKUP(ROWS($L$2:L2593),$B$2:$C$1996,2,0),"")</f>
        <v/>
      </c>
      <c r="N2593" s="2" t="str">
        <f>IFERROR(VLOOKUP(ROWS($N$2:N2593),$D$2:$E$1996,2,0),"")</f>
        <v/>
      </c>
    </row>
    <row r="2594" spans="2:14">
      <c r="B2594" s="32">
        <f>IF(ISNUMBER(SEARCH('Φόρμα Εισαγωγής'!$B$2,C2594)),MAX($B$1:B2593)+1,0)</f>
        <v>0</v>
      </c>
      <c r="D2594" s="33">
        <f>IF(ISNUMBER(SEARCH('Φόρμα Εισαγωγής'!$C$2,E2594)),MAX($D$1:D2593)+1,0)</f>
        <v>0</v>
      </c>
      <c r="H2594" s="6">
        <f t="shared" si="131"/>
        <v>0</v>
      </c>
      <c r="I2594" s="6">
        <f t="shared" si="132"/>
        <v>0</v>
      </c>
      <c r="J2594" s="6">
        <f t="shared" si="133"/>
        <v>0</v>
      </c>
      <c r="L2594" s="4" t="str">
        <f>IFERROR(VLOOKUP(ROWS($L$2:L2594),$B$2:$C$1996,2,0),"")</f>
        <v/>
      </c>
      <c r="N2594" s="2" t="str">
        <f>IFERROR(VLOOKUP(ROWS($N$2:N2594),$D$2:$E$1996,2,0),"")</f>
        <v/>
      </c>
    </row>
    <row r="2595" spans="2:14">
      <c r="B2595" s="32">
        <f>IF(ISNUMBER(SEARCH('Φόρμα Εισαγωγής'!$B$2,C2595)),MAX($B$1:B2594)+1,0)</f>
        <v>0</v>
      </c>
      <c r="D2595" s="33">
        <f>IF(ISNUMBER(SEARCH('Φόρμα Εισαγωγής'!$C$2,E2595)),MAX($D$1:D2594)+1,0)</f>
        <v>0</v>
      </c>
      <c r="H2595" s="6">
        <f t="shared" si="131"/>
        <v>0</v>
      </c>
      <c r="I2595" s="6">
        <f t="shared" si="132"/>
        <v>0</v>
      </c>
      <c r="J2595" s="6">
        <f t="shared" si="133"/>
        <v>0</v>
      </c>
      <c r="L2595" s="4" t="str">
        <f>IFERROR(VLOOKUP(ROWS($L$2:L2595),$B$2:$C$1996,2,0),"")</f>
        <v/>
      </c>
      <c r="N2595" s="2" t="str">
        <f>IFERROR(VLOOKUP(ROWS($N$2:N2595),$D$2:$E$1996,2,0),"")</f>
        <v/>
      </c>
    </row>
    <row r="2596" spans="2:14">
      <c r="B2596" s="32">
        <f>IF(ISNUMBER(SEARCH('Φόρμα Εισαγωγής'!$B$2,C2596)),MAX($B$1:B2595)+1,0)</f>
        <v>0</v>
      </c>
      <c r="D2596" s="33">
        <f>IF(ISNUMBER(SEARCH('Φόρμα Εισαγωγής'!$C$2,E2596)),MAX($D$1:D2595)+1,0)</f>
        <v>0</v>
      </c>
      <c r="H2596" s="6">
        <f t="shared" si="131"/>
        <v>0</v>
      </c>
      <c r="I2596" s="6">
        <f t="shared" si="132"/>
        <v>0</v>
      </c>
      <c r="J2596" s="6">
        <f t="shared" si="133"/>
        <v>0</v>
      </c>
      <c r="L2596" s="4" t="str">
        <f>IFERROR(VLOOKUP(ROWS($L$2:L2596),$B$2:$C$1996,2,0),"")</f>
        <v/>
      </c>
      <c r="N2596" s="2" t="str">
        <f>IFERROR(VLOOKUP(ROWS($N$2:N2596),$D$2:$E$1996,2,0),"")</f>
        <v/>
      </c>
    </row>
    <row r="2597" spans="2:14">
      <c r="B2597" s="32">
        <f>IF(ISNUMBER(SEARCH('Φόρμα Εισαγωγής'!$B$2,C2597)),MAX($B$1:B2596)+1,0)</f>
        <v>0</v>
      </c>
      <c r="D2597" s="33">
        <f>IF(ISNUMBER(SEARCH('Φόρμα Εισαγωγής'!$C$2,E2597)),MAX($D$1:D2596)+1,0)</f>
        <v>0</v>
      </c>
      <c r="H2597" s="6">
        <f t="shared" si="131"/>
        <v>0</v>
      </c>
      <c r="I2597" s="6">
        <f t="shared" si="132"/>
        <v>0</v>
      </c>
      <c r="J2597" s="6">
        <f t="shared" si="133"/>
        <v>0</v>
      </c>
      <c r="L2597" s="4" t="str">
        <f>IFERROR(VLOOKUP(ROWS($L$2:L2597),$B$2:$C$1996,2,0),"")</f>
        <v/>
      </c>
      <c r="N2597" s="2" t="str">
        <f>IFERROR(VLOOKUP(ROWS($N$2:N2597),$D$2:$E$1996,2,0),"")</f>
        <v/>
      </c>
    </row>
    <row r="2598" spans="2:14">
      <c r="B2598" s="32">
        <f>IF(ISNUMBER(SEARCH('Φόρμα Εισαγωγής'!$B$2,C2598)),MAX($B$1:B2597)+1,0)</f>
        <v>0</v>
      </c>
      <c r="D2598" s="33">
        <f>IF(ISNUMBER(SEARCH('Φόρμα Εισαγωγής'!$C$2,E2598)),MAX($D$1:D2597)+1,0)</f>
        <v>0</v>
      </c>
      <c r="H2598" s="6">
        <f t="shared" si="131"/>
        <v>0</v>
      </c>
      <c r="I2598" s="6">
        <f t="shared" si="132"/>
        <v>0</v>
      </c>
      <c r="J2598" s="6">
        <f t="shared" si="133"/>
        <v>0</v>
      </c>
      <c r="L2598" s="4" t="str">
        <f>IFERROR(VLOOKUP(ROWS($L$2:L2598),$B$2:$C$1996,2,0),"")</f>
        <v/>
      </c>
      <c r="N2598" s="2" t="str">
        <f>IFERROR(VLOOKUP(ROWS($N$2:N2598),$D$2:$E$1996,2,0),"")</f>
        <v/>
      </c>
    </row>
    <row r="2599" spans="2:14">
      <c r="B2599" s="32">
        <f>IF(ISNUMBER(SEARCH('Φόρμα Εισαγωγής'!$B$2,C2599)),MAX($B$1:B2598)+1,0)</f>
        <v>0</v>
      </c>
      <c r="D2599" s="33">
        <f>IF(ISNUMBER(SEARCH('Φόρμα Εισαγωγής'!$C$2,E2599)),MAX($D$1:D2598)+1,0)</f>
        <v>0</v>
      </c>
      <c r="H2599" s="6">
        <f t="shared" si="131"/>
        <v>0</v>
      </c>
      <c r="I2599" s="6">
        <f t="shared" si="132"/>
        <v>0</v>
      </c>
      <c r="J2599" s="6">
        <f t="shared" si="133"/>
        <v>0</v>
      </c>
      <c r="L2599" s="4" t="str">
        <f>IFERROR(VLOOKUP(ROWS($L$2:L2599),$B$2:$C$1996,2,0),"")</f>
        <v/>
      </c>
      <c r="N2599" s="2" t="str">
        <f>IFERROR(VLOOKUP(ROWS($N$2:N2599),$D$2:$E$1996,2,0),"")</f>
        <v/>
      </c>
    </row>
    <row r="2600" spans="2:14">
      <c r="B2600" s="32">
        <f>IF(ISNUMBER(SEARCH('Φόρμα Εισαγωγής'!$B$2,C2600)),MAX($B$1:B2599)+1,0)</f>
        <v>0</v>
      </c>
      <c r="D2600" s="33">
        <f>IF(ISNUMBER(SEARCH('Φόρμα Εισαγωγής'!$C$2,E2600)),MAX($D$1:D2599)+1,0)</f>
        <v>0</v>
      </c>
      <c r="H2600" s="6">
        <f t="shared" si="131"/>
        <v>0</v>
      </c>
      <c r="I2600" s="6">
        <f t="shared" si="132"/>
        <v>0</v>
      </c>
      <c r="J2600" s="6">
        <f t="shared" si="133"/>
        <v>0</v>
      </c>
      <c r="L2600" s="4" t="str">
        <f>IFERROR(VLOOKUP(ROWS($L$2:L2600),$B$2:$C$1996,2,0),"")</f>
        <v/>
      </c>
      <c r="N2600" s="2" t="str">
        <f>IFERROR(VLOOKUP(ROWS($N$2:N2600),$D$2:$E$1996,2,0),"")</f>
        <v/>
      </c>
    </row>
    <row r="2601" spans="2:14">
      <c r="B2601" s="32">
        <f>IF(ISNUMBER(SEARCH('Φόρμα Εισαγωγής'!$B$2,C2601)),MAX($B$1:B2600)+1,0)</f>
        <v>0</v>
      </c>
      <c r="D2601" s="33">
        <f>IF(ISNUMBER(SEARCH('Φόρμα Εισαγωγής'!$C$2,E2601)),MAX($D$1:D2600)+1,0)</f>
        <v>0</v>
      </c>
      <c r="H2601" s="6">
        <f t="shared" si="131"/>
        <v>0</v>
      </c>
      <c r="I2601" s="6">
        <f t="shared" si="132"/>
        <v>0</v>
      </c>
      <c r="J2601" s="6">
        <f t="shared" si="133"/>
        <v>0</v>
      </c>
      <c r="L2601" s="4" t="str">
        <f>IFERROR(VLOOKUP(ROWS($L$2:L2601),$B$2:$C$1996,2,0),"")</f>
        <v/>
      </c>
      <c r="N2601" s="2" t="str">
        <f>IFERROR(VLOOKUP(ROWS($N$2:N2601),$D$2:$E$1996,2,0),"")</f>
        <v/>
      </c>
    </row>
    <row r="2602" spans="2:14">
      <c r="B2602" s="32">
        <f>IF(ISNUMBER(SEARCH('Φόρμα Εισαγωγής'!$B$2,C2602)),MAX($B$1:B2601)+1,0)</f>
        <v>0</v>
      </c>
      <c r="D2602" s="33">
        <f>IF(ISNUMBER(SEARCH('Φόρμα Εισαγωγής'!$C$2,E2602)),MAX($D$1:D2601)+1,0)</f>
        <v>0</v>
      </c>
      <c r="H2602" s="6">
        <f t="shared" si="131"/>
        <v>0</v>
      </c>
      <c r="I2602" s="6">
        <f t="shared" si="132"/>
        <v>0</v>
      </c>
      <c r="J2602" s="6">
        <f t="shared" si="133"/>
        <v>0</v>
      </c>
      <c r="L2602" s="4" t="str">
        <f>IFERROR(VLOOKUP(ROWS($L$2:L2602),$B$2:$C$1996,2,0),"")</f>
        <v/>
      </c>
      <c r="N2602" s="2" t="str">
        <f>IFERROR(VLOOKUP(ROWS($N$2:N2602),$D$2:$E$1996,2,0),"")</f>
        <v/>
      </c>
    </row>
    <row r="2603" spans="2:14">
      <c r="B2603" s="32">
        <f>IF(ISNUMBER(SEARCH('Φόρμα Εισαγωγής'!$B$2,C2603)),MAX($B$1:B2602)+1,0)</f>
        <v>0</v>
      </c>
      <c r="D2603" s="33">
        <f>IF(ISNUMBER(SEARCH('Φόρμα Εισαγωγής'!$C$2,E2603)),MAX($D$1:D2602)+1,0)</f>
        <v>0</v>
      </c>
      <c r="H2603" s="6">
        <f t="shared" si="131"/>
        <v>0</v>
      </c>
      <c r="I2603" s="6">
        <f t="shared" si="132"/>
        <v>0</v>
      </c>
      <c r="J2603" s="6">
        <f t="shared" si="133"/>
        <v>0</v>
      </c>
      <c r="L2603" s="4" t="str">
        <f>IFERROR(VLOOKUP(ROWS($L$2:L2603),$B$2:$C$1996,2,0),"")</f>
        <v/>
      </c>
      <c r="N2603" s="2" t="str">
        <f>IFERROR(VLOOKUP(ROWS($N$2:N2603),$D$2:$E$1996,2,0),"")</f>
        <v/>
      </c>
    </row>
    <row r="2604" spans="2:14">
      <c r="B2604" s="32">
        <f>IF(ISNUMBER(SEARCH('Φόρμα Εισαγωγής'!$B$2,C2604)),MAX($B$1:B2603)+1,0)</f>
        <v>0</v>
      </c>
      <c r="D2604" s="33">
        <f>IF(ISNUMBER(SEARCH('Φόρμα Εισαγωγής'!$C$2,E2604)),MAX($D$1:D2603)+1,0)</f>
        <v>0</v>
      </c>
      <c r="H2604" s="6">
        <f t="shared" si="131"/>
        <v>0</v>
      </c>
      <c r="I2604" s="6">
        <f t="shared" si="132"/>
        <v>0</v>
      </c>
      <c r="J2604" s="6">
        <f t="shared" si="133"/>
        <v>0</v>
      </c>
      <c r="L2604" s="4" t="str">
        <f>IFERROR(VLOOKUP(ROWS($L$2:L2604),$B$2:$C$1996,2,0),"")</f>
        <v/>
      </c>
      <c r="N2604" s="2" t="str">
        <f>IFERROR(VLOOKUP(ROWS($N$2:N2604),$D$2:$E$1996,2,0),"")</f>
        <v/>
      </c>
    </row>
    <row r="2605" spans="2:14">
      <c r="B2605" s="32">
        <f>IF(ISNUMBER(SEARCH('Φόρμα Εισαγωγής'!$B$2,C2605)),MAX($B$1:B2604)+1,0)</f>
        <v>0</v>
      </c>
      <c r="D2605" s="33">
        <f>IF(ISNUMBER(SEARCH('Φόρμα Εισαγωγής'!$C$2,E2605)),MAX($D$1:D2604)+1,0)</f>
        <v>0</v>
      </c>
      <c r="H2605" s="6">
        <f t="shared" si="131"/>
        <v>0</v>
      </c>
      <c r="I2605" s="6">
        <f t="shared" si="132"/>
        <v>0</v>
      </c>
      <c r="J2605" s="6">
        <f t="shared" si="133"/>
        <v>0</v>
      </c>
      <c r="L2605" s="4" t="str">
        <f>IFERROR(VLOOKUP(ROWS($L$2:L2605),$B$2:$C$1996,2,0),"")</f>
        <v/>
      </c>
      <c r="N2605" s="2" t="str">
        <f>IFERROR(VLOOKUP(ROWS($N$2:N2605),$D$2:$E$1996,2,0),"")</f>
        <v/>
      </c>
    </row>
    <row r="2606" spans="2:14">
      <c r="B2606" s="32">
        <f>IF(ISNUMBER(SEARCH('Φόρμα Εισαγωγής'!$B$2,C2606)),MAX($B$1:B2605)+1,0)</f>
        <v>0</v>
      </c>
      <c r="D2606" s="33">
        <f>IF(ISNUMBER(SEARCH('Φόρμα Εισαγωγής'!$C$2,E2606)),MAX($D$1:D2605)+1,0)</f>
        <v>0</v>
      </c>
      <c r="H2606" s="6">
        <f t="shared" si="131"/>
        <v>0</v>
      </c>
      <c r="I2606" s="6">
        <f t="shared" si="132"/>
        <v>0</v>
      </c>
      <c r="J2606" s="6">
        <f t="shared" si="133"/>
        <v>0</v>
      </c>
      <c r="L2606" s="4" t="str">
        <f>IFERROR(VLOOKUP(ROWS($L$2:L2606),$B$2:$C$1996,2,0),"")</f>
        <v/>
      </c>
      <c r="N2606" s="2" t="str">
        <f>IFERROR(VLOOKUP(ROWS($N$2:N2606),$D$2:$E$1996,2,0),"")</f>
        <v/>
      </c>
    </row>
    <row r="2607" spans="2:14">
      <c r="B2607" s="32">
        <f>IF(ISNUMBER(SEARCH('Φόρμα Εισαγωγής'!$B$2,C2607)),MAX($B$1:B2606)+1,0)</f>
        <v>0</v>
      </c>
      <c r="D2607" s="33">
        <f>IF(ISNUMBER(SEARCH('Φόρμα Εισαγωγής'!$C$2,E2607)),MAX($D$1:D2606)+1,0)</f>
        <v>0</v>
      </c>
      <c r="H2607" s="6">
        <f t="shared" si="131"/>
        <v>0</v>
      </c>
      <c r="I2607" s="6">
        <f t="shared" si="132"/>
        <v>0</v>
      </c>
      <c r="J2607" s="6">
        <f t="shared" si="133"/>
        <v>0</v>
      </c>
      <c r="L2607" s="4" t="str">
        <f>IFERROR(VLOOKUP(ROWS($L$2:L2607),$B$2:$C$1996,2,0),"")</f>
        <v/>
      </c>
      <c r="N2607" s="2" t="str">
        <f>IFERROR(VLOOKUP(ROWS($N$2:N2607),$D$2:$E$1996,2,0),"")</f>
        <v/>
      </c>
    </row>
    <row r="2608" spans="2:14">
      <c r="B2608" s="32">
        <f>IF(ISNUMBER(SEARCH('Φόρμα Εισαγωγής'!$B$2,C2608)),MAX($B$1:B2607)+1,0)</f>
        <v>0</v>
      </c>
      <c r="D2608" s="33">
        <f>IF(ISNUMBER(SEARCH('Φόρμα Εισαγωγής'!$C$2,E2608)),MAX($D$1:D2607)+1,0)</f>
        <v>0</v>
      </c>
      <c r="H2608" s="6">
        <f t="shared" si="131"/>
        <v>0</v>
      </c>
      <c r="I2608" s="6">
        <f t="shared" si="132"/>
        <v>0</v>
      </c>
      <c r="J2608" s="6">
        <f t="shared" si="133"/>
        <v>0</v>
      </c>
      <c r="L2608" s="4" t="str">
        <f>IFERROR(VLOOKUP(ROWS($L$2:L2608),$B$2:$C$1996,2,0),"")</f>
        <v/>
      </c>
      <c r="N2608" s="2" t="str">
        <f>IFERROR(VLOOKUP(ROWS($N$2:N2608),$D$2:$E$1996,2,0),"")</f>
        <v/>
      </c>
    </row>
    <row r="2609" spans="2:14">
      <c r="B2609" s="32">
        <f>IF(ISNUMBER(SEARCH('Φόρμα Εισαγωγής'!$B$2,C2609)),MAX($B$1:B2608)+1,0)</f>
        <v>0</v>
      </c>
      <c r="D2609" s="33">
        <f>IF(ISNUMBER(SEARCH('Φόρμα Εισαγωγής'!$C$2,E2609)),MAX($D$1:D2608)+1,0)</f>
        <v>0</v>
      </c>
      <c r="H2609" s="6">
        <f t="shared" si="131"/>
        <v>0</v>
      </c>
      <c r="I2609" s="6">
        <f t="shared" si="132"/>
        <v>0</v>
      </c>
      <c r="J2609" s="6">
        <f t="shared" si="133"/>
        <v>0</v>
      </c>
      <c r="L2609" s="4" t="str">
        <f>IFERROR(VLOOKUP(ROWS($L$2:L2609),$B$2:$C$1996,2,0),"")</f>
        <v/>
      </c>
      <c r="N2609" s="2" t="str">
        <f>IFERROR(VLOOKUP(ROWS($N$2:N2609),$D$2:$E$1996,2,0),"")</f>
        <v/>
      </c>
    </row>
    <row r="2610" spans="2:14">
      <c r="B2610" s="32">
        <f>IF(ISNUMBER(SEARCH('Φόρμα Εισαγωγής'!$B$2,C2610)),MAX($B$1:B2609)+1,0)</f>
        <v>0</v>
      </c>
      <c r="D2610" s="33">
        <f>IF(ISNUMBER(SEARCH('Φόρμα Εισαγωγής'!$C$2,E2610)),MAX($D$1:D2609)+1,0)</f>
        <v>0</v>
      </c>
      <c r="H2610" s="6">
        <f t="shared" si="131"/>
        <v>0</v>
      </c>
      <c r="I2610" s="6">
        <f t="shared" si="132"/>
        <v>0</v>
      </c>
      <c r="J2610" s="6">
        <f t="shared" si="133"/>
        <v>0</v>
      </c>
      <c r="L2610" s="4" t="str">
        <f>IFERROR(VLOOKUP(ROWS($L$2:L2610),$B$2:$C$1996,2,0),"")</f>
        <v/>
      </c>
      <c r="N2610" s="2" t="str">
        <f>IFERROR(VLOOKUP(ROWS($N$2:N2610),$D$2:$E$1996,2,0),"")</f>
        <v/>
      </c>
    </row>
    <row r="2611" spans="2:14">
      <c r="B2611" s="32">
        <f>IF(ISNUMBER(SEARCH('Φόρμα Εισαγωγής'!$B$2,C2611)),MAX($B$1:B2610)+1,0)</f>
        <v>0</v>
      </c>
      <c r="D2611" s="33">
        <f>IF(ISNUMBER(SEARCH('Φόρμα Εισαγωγής'!$C$2,E2611)),MAX($D$1:D2610)+1,0)</f>
        <v>0</v>
      </c>
      <c r="H2611" s="6">
        <f t="shared" si="131"/>
        <v>0</v>
      </c>
      <c r="I2611" s="6">
        <f t="shared" si="132"/>
        <v>0</v>
      </c>
      <c r="J2611" s="6">
        <f t="shared" si="133"/>
        <v>0</v>
      </c>
      <c r="L2611" s="4" t="str">
        <f>IFERROR(VLOOKUP(ROWS($L$2:L2611),$B$2:$C$1996,2,0),"")</f>
        <v/>
      </c>
      <c r="N2611" s="2" t="str">
        <f>IFERROR(VLOOKUP(ROWS($N$2:N2611),$D$2:$E$1996,2,0),"")</f>
        <v/>
      </c>
    </row>
    <row r="2612" spans="2:14">
      <c r="B2612" s="32">
        <f>IF(ISNUMBER(SEARCH('Φόρμα Εισαγωγής'!$B$2,C2612)),MAX($B$1:B2611)+1,0)</f>
        <v>0</v>
      </c>
      <c r="D2612" s="33">
        <f>IF(ISNUMBER(SEARCH('Φόρμα Εισαγωγής'!$C$2,E2612)),MAX($D$1:D2611)+1,0)</f>
        <v>0</v>
      </c>
      <c r="H2612" s="6">
        <f t="shared" si="131"/>
        <v>0</v>
      </c>
      <c r="I2612" s="6">
        <f t="shared" si="132"/>
        <v>0</v>
      </c>
      <c r="J2612" s="6">
        <f t="shared" si="133"/>
        <v>0</v>
      </c>
      <c r="L2612" s="4" t="str">
        <f>IFERROR(VLOOKUP(ROWS($L$2:L2612),$B$2:$C$1996,2,0),"")</f>
        <v/>
      </c>
      <c r="N2612" s="2" t="str">
        <f>IFERROR(VLOOKUP(ROWS($N$2:N2612),$D$2:$E$1996,2,0),"")</f>
        <v/>
      </c>
    </row>
    <row r="2613" spans="2:14">
      <c r="B2613" s="32">
        <f>IF(ISNUMBER(SEARCH('Φόρμα Εισαγωγής'!$B$2,C2613)),MAX($B$1:B2612)+1,0)</f>
        <v>0</v>
      </c>
      <c r="D2613" s="33">
        <f>IF(ISNUMBER(SEARCH('Φόρμα Εισαγωγής'!$C$2,E2613)),MAX($D$1:D2612)+1,0)</f>
        <v>0</v>
      </c>
      <c r="H2613" s="6">
        <f t="shared" si="131"/>
        <v>0</v>
      </c>
      <c r="I2613" s="6">
        <f t="shared" si="132"/>
        <v>0</v>
      </c>
      <c r="J2613" s="6">
        <f t="shared" si="133"/>
        <v>0</v>
      </c>
      <c r="L2613" s="4" t="str">
        <f>IFERROR(VLOOKUP(ROWS($L$2:L2613),$B$2:$C$1996,2,0),"")</f>
        <v/>
      </c>
      <c r="N2613" s="2" t="str">
        <f>IFERROR(VLOOKUP(ROWS($N$2:N2613),$D$2:$E$1996,2,0),"")</f>
        <v/>
      </c>
    </row>
    <row r="2614" spans="2:14">
      <c r="B2614" s="32">
        <f>IF(ISNUMBER(SEARCH('Φόρμα Εισαγωγής'!$B$2,C2614)),MAX($B$1:B2613)+1,0)</f>
        <v>0</v>
      </c>
      <c r="D2614" s="33">
        <f>IF(ISNUMBER(SEARCH('Φόρμα Εισαγωγής'!$C$2,E2614)),MAX($D$1:D2613)+1,0)</f>
        <v>0</v>
      </c>
      <c r="H2614" s="6">
        <f t="shared" si="131"/>
        <v>0</v>
      </c>
      <c r="I2614" s="6">
        <f t="shared" si="132"/>
        <v>0</v>
      </c>
      <c r="J2614" s="6">
        <f t="shared" si="133"/>
        <v>0</v>
      </c>
      <c r="L2614" s="4" t="str">
        <f>IFERROR(VLOOKUP(ROWS($L$2:L2614),$B$2:$C$1996,2,0),"")</f>
        <v/>
      </c>
      <c r="N2614" s="2" t="str">
        <f>IFERROR(VLOOKUP(ROWS($N$2:N2614),$D$2:$E$1996,2,0),"")</f>
        <v/>
      </c>
    </row>
    <row r="2615" spans="2:14">
      <c r="B2615" s="32">
        <f>IF(ISNUMBER(SEARCH('Φόρμα Εισαγωγής'!$B$2,C2615)),MAX($B$1:B2614)+1,0)</f>
        <v>0</v>
      </c>
      <c r="D2615" s="33">
        <f>IF(ISNUMBER(SEARCH('Φόρμα Εισαγωγής'!$C$2,E2615)),MAX($D$1:D2614)+1,0)</f>
        <v>0</v>
      </c>
      <c r="H2615" s="6">
        <f t="shared" si="131"/>
        <v>0</v>
      </c>
      <c r="I2615" s="6">
        <f t="shared" si="132"/>
        <v>0</v>
      </c>
      <c r="J2615" s="6">
        <f t="shared" si="133"/>
        <v>0</v>
      </c>
      <c r="L2615" s="4" t="str">
        <f>IFERROR(VLOOKUP(ROWS($L$2:L2615),$B$2:$C$1996,2,0),"")</f>
        <v/>
      </c>
      <c r="N2615" s="2" t="str">
        <f>IFERROR(VLOOKUP(ROWS($N$2:N2615),$D$2:$E$1996,2,0),"")</f>
        <v/>
      </c>
    </row>
    <row r="2616" spans="2:14">
      <c r="B2616" s="32">
        <f>IF(ISNUMBER(SEARCH('Φόρμα Εισαγωγής'!$B$2,C2616)),MAX($B$1:B2615)+1,0)</f>
        <v>0</v>
      </c>
      <c r="D2616" s="33">
        <f>IF(ISNUMBER(SEARCH('Φόρμα Εισαγωγής'!$C$2,E2616)),MAX($D$1:D2615)+1,0)</f>
        <v>0</v>
      </c>
      <c r="H2616" s="6">
        <f t="shared" si="131"/>
        <v>0</v>
      </c>
      <c r="I2616" s="6">
        <f t="shared" si="132"/>
        <v>0</v>
      </c>
      <c r="J2616" s="6">
        <f t="shared" si="133"/>
        <v>0</v>
      </c>
      <c r="L2616" s="4" t="str">
        <f>IFERROR(VLOOKUP(ROWS($L$2:L2616),$B$2:$C$1996,2,0),"")</f>
        <v/>
      </c>
      <c r="N2616" s="2" t="str">
        <f>IFERROR(VLOOKUP(ROWS($N$2:N2616),$D$2:$E$1996,2,0),"")</f>
        <v/>
      </c>
    </row>
    <row r="2617" spans="2:14">
      <c r="B2617" s="32">
        <f>IF(ISNUMBER(SEARCH('Φόρμα Εισαγωγής'!$B$2,C2617)),MAX($B$1:B2616)+1,0)</f>
        <v>0</v>
      </c>
      <c r="D2617" s="33">
        <f>IF(ISNUMBER(SEARCH('Φόρμα Εισαγωγής'!$C$2,E2617)),MAX($D$1:D2616)+1,0)</f>
        <v>0</v>
      </c>
      <c r="H2617" s="6">
        <f t="shared" si="131"/>
        <v>0</v>
      </c>
      <c r="I2617" s="6">
        <f t="shared" si="132"/>
        <v>0</v>
      </c>
      <c r="J2617" s="6">
        <f t="shared" si="133"/>
        <v>0</v>
      </c>
      <c r="L2617" s="4" t="str">
        <f>IFERROR(VLOOKUP(ROWS($L$2:L2617),$B$2:$C$1996,2,0),"")</f>
        <v/>
      </c>
      <c r="N2617" s="2" t="str">
        <f>IFERROR(VLOOKUP(ROWS($N$2:N2617),$D$2:$E$1996,2,0),"")</f>
        <v/>
      </c>
    </row>
    <row r="2618" spans="2:14">
      <c r="B2618" s="32">
        <f>IF(ISNUMBER(SEARCH('Φόρμα Εισαγωγής'!$B$2,C2618)),MAX($B$1:B2617)+1,0)</f>
        <v>0</v>
      </c>
      <c r="D2618" s="33">
        <f>IF(ISNUMBER(SEARCH('Φόρμα Εισαγωγής'!$C$2,E2618)),MAX($D$1:D2617)+1,0)</f>
        <v>0</v>
      </c>
      <c r="H2618" s="6">
        <f t="shared" si="131"/>
        <v>0</v>
      </c>
      <c r="I2618" s="6">
        <f t="shared" si="132"/>
        <v>0</v>
      </c>
      <c r="J2618" s="6">
        <f t="shared" si="133"/>
        <v>0</v>
      </c>
      <c r="L2618" s="4" t="str">
        <f>IFERROR(VLOOKUP(ROWS($L$2:L2618),$B$2:$C$1996,2,0),"")</f>
        <v/>
      </c>
      <c r="N2618" s="2" t="str">
        <f>IFERROR(VLOOKUP(ROWS($N$2:N2618),$D$2:$E$1996,2,0),"")</f>
        <v/>
      </c>
    </row>
    <row r="2619" spans="2:14">
      <c r="B2619" s="32">
        <f>IF(ISNUMBER(SEARCH('Φόρμα Εισαγωγής'!$B$2,C2619)),MAX($B$1:B2618)+1,0)</f>
        <v>0</v>
      </c>
      <c r="D2619" s="33">
        <f>IF(ISNUMBER(SEARCH('Φόρμα Εισαγωγής'!$C$2,E2619)),MAX($D$1:D2618)+1,0)</f>
        <v>0</v>
      </c>
      <c r="H2619" s="6">
        <f t="shared" si="131"/>
        <v>0</v>
      </c>
      <c r="I2619" s="6">
        <f t="shared" si="132"/>
        <v>0</v>
      </c>
      <c r="J2619" s="6">
        <f t="shared" si="133"/>
        <v>0</v>
      </c>
      <c r="L2619" s="4" t="str">
        <f>IFERROR(VLOOKUP(ROWS($L$2:L2619),$B$2:$C$1996,2,0),"")</f>
        <v/>
      </c>
      <c r="N2619" s="2" t="str">
        <f>IFERROR(VLOOKUP(ROWS($N$2:N2619),$D$2:$E$1996,2,0),"")</f>
        <v/>
      </c>
    </row>
    <row r="2620" spans="2:14">
      <c r="B2620" s="32">
        <f>IF(ISNUMBER(SEARCH('Φόρμα Εισαγωγής'!$B$2,C2620)),MAX($B$1:B2619)+1,0)</f>
        <v>0</v>
      </c>
      <c r="D2620" s="33">
        <f>IF(ISNUMBER(SEARCH('Φόρμα Εισαγωγής'!$C$2,E2620)),MAX($D$1:D2619)+1,0)</f>
        <v>0</v>
      </c>
      <c r="H2620" s="6">
        <f t="shared" si="131"/>
        <v>0</v>
      </c>
      <c r="I2620" s="6">
        <f t="shared" si="132"/>
        <v>0</v>
      </c>
      <c r="J2620" s="6">
        <f t="shared" si="133"/>
        <v>0</v>
      </c>
      <c r="L2620" s="4" t="str">
        <f>IFERROR(VLOOKUP(ROWS($L$2:L2620),$B$2:$C$1996,2,0),"")</f>
        <v/>
      </c>
      <c r="N2620" s="2" t="str">
        <f>IFERROR(VLOOKUP(ROWS($N$2:N2620),$D$2:$E$1996,2,0),"")</f>
        <v/>
      </c>
    </row>
    <row r="2621" spans="2:14">
      <c r="B2621" s="32">
        <f>IF(ISNUMBER(SEARCH('Φόρμα Εισαγωγής'!$B$2,C2621)),MAX($B$1:B2620)+1,0)</f>
        <v>0</v>
      </c>
      <c r="D2621" s="33">
        <f>IF(ISNUMBER(SEARCH('Φόρμα Εισαγωγής'!$C$2,E2621)),MAX($D$1:D2620)+1,0)</f>
        <v>0</v>
      </c>
      <c r="H2621" s="6">
        <f t="shared" si="131"/>
        <v>0</v>
      </c>
      <c r="I2621" s="6">
        <f t="shared" si="132"/>
        <v>0</v>
      </c>
      <c r="J2621" s="6">
        <f t="shared" si="133"/>
        <v>0</v>
      </c>
      <c r="L2621" s="4" t="str">
        <f>IFERROR(VLOOKUP(ROWS($L$2:L2621),$B$2:$C$1996,2,0),"")</f>
        <v/>
      </c>
      <c r="N2621" s="2" t="str">
        <f>IFERROR(VLOOKUP(ROWS($N$2:N2621),$D$2:$E$1996,2,0),"")</f>
        <v/>
      </c>
    </row>
    <row r="2622" spans="2:14">
      <c r="B2622" s="32">
        <f>IF(ISNUMBER(SEARCH('Φόρμα Εισαγωγής'!$B$2,C2622)),MAX($B$1:B2621)+1,0)</f>
        <v>0</v>
      </c>
      <c r="D2622" s="33">
        <f>IF(ISNUMBER(SEARCH('Φόρμα Εισαγωγής'!$C$2,E2622)),MAX($D$1:D2621)+1,0)</f>
        <v>0</v>
      </c>
      <c r="H2622" s="6">
        <f t="shared" si="131"/>
        <v>0</v>
      </c>
      <c r="I2622" s="6">
        <f t="shared" si="132"/>
        <v>0</v>
      </c>
      <c r="J2622" s="6">
        <f t="shared" si="133"/>
        <v>0</v>
      </c>
      <c r="L2622" s="4" t="str">
        <f>IFERROR(VLOOKUP(ROWS($L$2:L2622),$B$2:$C$1996,2,0),"")</f>
        <v/>
      </c>
      <c r="N2622" s="2" t="str">
        <f>IFERROR(VLOOKUP(ROWS($N$2:N2622),$D$2:$E$1996,2,0),"")</f>
        <v/>
      </c>
    </row>
    <row r="2623" spans="2:14">
      <c r="B2623" s="32">
        <f>IF(ISNUMBER(SEARCH('Φόρμα Εισαγωγής'!$B$2,C2623)),MAX($B$1:B2622)+1,0)</f>
        <v>0</v>
      </c>
      <c r="D2623" s="33">
        <f>IF(ISNUMBER(SEARCH('Φόρμα Εισαγωγής'!$C$2,E2623)),MAX($D$1:D2622)+1,0)</f>
        <v>0</v>
      </c>
      <c r="H2623" s="6">
        <f t="shared" si="131"/>
        <v>0</v>
      </c>
      <c r="I2623" s="6">
        <f t="shared" si="132"/>
        <v>0</v>
      </c>
      <c r="J2623" s="6">
        <f t="shared" si="133"/>
        <v>0</v>
      </c>
      <c r="L2623" s="4" t="str">
        <f>IFERROR(VLOOKUP(ROWS($L$2:L2623),$B$2:$C$1996,2,0),"")</f>
        <v/>
      </c>
      <c r="N2623" s="2" t="str">
        <f>IFERROR(VLOOKUP(ROWS($N$2:N2623),$D$2:$E$1996,2,0),"")</f>
        <v/>
      </c>
    </row>
    <row r="2624" spans="2:14">
      <c r="B2624" s="32">
        <f>IF(ISNUMBER(SEARCH('Φόρμα Εισαγωγής'!$B$2,C2624)),MAX($B$1:B2623)+1,0)</f>
        <v>0</v>
      </c>
      <c r="D2624" s="33">
        <f>IF(ISNUMBER(SEARCH('Φόρμα Εισαγωγής'!$C$2,E2624)),MAX($D$1:D2623)+1,0)</f>
        <v>0</v>
      </c>
      <c r="H2624" s="6">
        <f t="shared" ref="H2624:H2687" si="134">G2624+(G2624*0.24)</f>
        <v>0</v>
      </c>
      <c r="I2624" s="6">
        <f t="shared" ref="I2624:I2687" si="135">F2624*A2624</f>
        <v>0</v>
      </c>
      <c r="J2624" s="6">
        <f t="shared" ref="J2624:J2687" si="136">H2624*A2624</f>
        <v>0</v>
      </c>
      <c r="L2624" s="4" t="str">
        <f>IFERROR(VLOOKUP(ROWS($L$2:L2624),$B$2:$C$1996,2,0),"")</f>
        <v/>
      </c>
      <c r="N2624" s="2" t="str">
        <f>IFERROR(VLOOKUP(ROWS($N$2:N2624),$D$2:$E$1996,2,0),"")</f>
        <v/>
      </c>
    </row>
    <row r="2625" spans="2:14">
      <c r="B2625" s="32">
        <f>IF(ISNUMBER(SEARCH('Φόρμα Εισαγωγής'!$B$2,C2625)),MAX($B$1:B2624)+1,0)</f>
        <v>0</v>
      </c>
      <c r="D2625" s="33">
        <f>IF(ISNUMBER(SEARCH('Φόρμα Εισαγωγής'!$C$2,E2625)),MAX($D$1:D2624)+1,0)</f>
        <v>0</v>
      </c>
      <c r="H2625" s="6">
        <f t="shared" si="134"/>
        <v>0</v>
      </c>
      <c r="I2625" s="6">
        <f t="shared" si="135"/>
        <v>0</v>
      </c>
      <c r="J2625" s="6">
        <f t="shared" si="136"/>
        <v>0</v>
      </c>
      <c r="L2625" s="4" t="str">
        <f>IFERROR(VLOOKUP(ROWS($L$2:L2625),$B$2:$C$1996,2,0),"")</f>
        <v/>
      </c>
      <c r="N2625" s="2" t="str">
        <f>IFERROR(VLOOKUP(ROWS($N$2:N2625),$D$2:$E$1996,2,0),"")</f>
        <v/>
      </c>
    </row>
    <row r="2626" spans="2:14">
      <c r="B2626" s="32">
        <f>IF(ISNUMBER(SEARCH('Φόρμα Εισαγωγής'!$B$2,C2626)),MAX($B$1:B2625)+1,0)</f>
        <v>0</v>
      </c>
      <c r="D2626" s="33">
        <f>IF(ISNUMBER(SEARCH('Φόρμα Εισαγωγής'!$C$2,E2626)),MAX($D$1:D2625)+1,0)</f>
        <v>0</v>
      </c>
      <c r="H2626" s="6">
        <f t="shared" si="134"/>
        <v>0</v>
      </c>
      <c r="I2626" s="6">
        <f t="shared" si="135"/>
        <v>0</v>
      </c>
      <c r="J2626" s="6">
        <f t="shared" si="136"/>
        <v>0</v>
      </c>
      <c r="L2626" s="4" t="str">
        <f>IFERROR(VLOOKUP(ROWS($L$2:L2626),$B$2:$C$1996,2,0),"")</f>
        <v/>
      </c>
      <c r="N2626" s="2" t="str">
        <f>IFERROR(VLOOKUP(ROWS($N$2:N2626),$D$2:$E$1996,2,0),"")</f>
        <v/>
      </c>
    </row>
    <row r="2627" spans="2:14">
      <c r="B2627" s="32">
        <f>IF(ISNUMBER(SEARCH('Φόρμα Εισαγωγής'!$B$2,C2627)),MAX($B$1:B2626)+1,0)</f>
        <v>0</v>
      </c>
      <c r="D2627" s="33">
        <f>IF(ISNUMBER(SEARCH('Φόρμα Εισαγωγής'!$C$2,E2627)),MAX($D$1:D2626)+1,0)</f>
        <v>0</v>
      </c>
      <c r="H2627" s="6">
        <f t="shared" si="134"/>
        <v>0</v>
      </c>
      <c r="I2627" s="6">
        <f t="shared" si="135"/>
        <v>0</v>
      </c>
      <c r="J2627" s="6">
        <f t="shared" si="136"/>
        <v>0</v>
      </c>
      <c r="L2627" s="4" t="str">
        <f>IFERROR(VLOOKUP(ROWS($L$2:L2627),$B$2:$C$1996,2,0),"")</f>
        <v/>
      </c>
      <c r="N2627" s="2" t="str">
        <f>IFERROR(VLOOKUP(ROWS($N$2:N2627),$D$2:$E$1996,2,0),"")</f>
        <v/>
      </c>
    </row>
    <row r="2628" spans="2:14">
      <c r="B2628" s="32">
        <f>IF(ISNUMBER(SEARCH('Φόρμα Εισαγωγής'!$B$2,C2628)),MAX($B$1:B2627)+1,0)</f>
        <v>0</v>
      </c>
      <c r="D2628" s="33">
        <f>IF(ISNUMBER(SEARCH('Φόρμα Εισαγωγής'!$C$2,E2628)),MAX($D$1:D2627)+1,0)</f>
        <v>0</v>
      </c>
      <c r="H2628" s="6">
        <f t="shared" si="134"/>
        <v>0</v>
      </c>
      <c r="I2628" s="6">
        <f t="shared" si="135"/>
        <v>0</v>
      </c>
      <c r="J2628" s="6">
        <f t="shared" si="136"/>
        <v>0</v>
      </c>
      <c r="L2628" s="4" t="str">
        <f>IFERROR(VLOOKUP(ROWS($L$2:L2628),$B$2:$C$1996,2,0),"")</f>
        <v/>
      </c>
      <c r="N2628" s="2" t="str">
        <f>IFERROR(VLOOKUP(ROWS($N$2:N2628),$D$2:$E$1996,2,0),"")</f>
        <v/>
      </c>
    </row>
    <row r="2629" spans="2:14">
      <c r="B2629" s="32">
        <f>IF(ISNUMBER(SEARCH('Φόρμα Εισαγωγής'!$B$2,C2629)),MAX($B$1:B2628)+1,0)</f>
        <v>0</v>
      </c>
      <c r="D2629" s="33">
        <f>IF(ISNUMBER(SEARCH('Φόρμα Εισαγωγής'!$C$2,E2629)),MAX($D$1:D2628)+1,0)</f>
        <v>0</v>
      </c>
      <c r="H2629" s="6">
        <f t="shared" si="134"/>
        <v>0</v>
      </c>
      <c r="I2629" s="6">
        <f t="shared" si="135"/>
        <v>0</v>
      </c>
      <c r="J2629" s="6">
        <f t="shared" si="136"/>
        <v>0</v>
      </c>
      <c r="L2629" s="4" t="str">
        <f>IFERROR(VLOOKUP(ROWS($L$2:L2629),$B$2:$C$1996,2,0),"")</f>
        <v/>
      </c>
      <c r="N2629" s="2" t="str">
        <f>IFERROR(VLOOKUP(ROWS($N$2:N2629),$D$2:$E$1996,2,0),"")</f>
        <v/>
      </c>
    </row>
    <row r="2630" spans="2:14">
      <c r="B2630" s="32">
        <f>IF(ISNUMBER(SEARCH('Φόρμα Εισαγωγής'!$B$2,C2630)),MAX($B$1:B2629)+1,0)</f>
        <v>0</v>
      </c>
      <c r="D2630" s="33">
        <f>IF(ISNUMBER(SEARCH('Φόρμα Εισαγωγής'!$C$2,E2630)),MAX($D$1:D2629)+1,0)</f>
        <v>0</v>
      </c>
      <c r="H2630" s="6">
        <f t="shared" si="134"/>
        <v>0</v>
      </c>
      <c r="I2630" s="6">
        <f t="shared" si="135"/>
        <v>0</v>
      </c>
      <c r="J2630" s="6">
        <f t="shared" si="136"/>
        <v>0</v>
      </c>
      <c r="L2630" s="4" t="str">
        <f>IFERROR(VLOOKUP(ROWS($L$2:L2630),$B$2:$C$1996,2,0),"")</f>
        <v/>
      </c>
      <c r="N2630" s="2" t="str">
        <f>IFERROR(VLOOKUP(ROWS($N$2:N2630),$D$2:$E$1996,2,0),"")</f>
        <v/>
      </c>
    </row>
    <row r="2631" spans="2:14">
      <c r="B2631" s="32">
        <f>IF(ISNUMBER(SEARCH('Φόρμα Εισαγωγής'!$B$2,C2631)),MAX($B$1:B2630)+1,0)</f>
        <v>0</v>
      </c>
      <c r="D2631" s="33">
        <f>IF(ISNUMBER(SEARCH('Φόρμα Εισαγωγής'!$C$2,E2631)),MAX($D$1:D2630)+1,0)</f>
        <v>0</v>
      </c>
      <c r="H2631" s="6">
        <f t="shared" si="134"/>
        <v>0</v>
      </c>
      <c r="I2631" s="6">
        <f t="shared" si="135"/>
        <v>0</v>
      </c>
      <c r="J2631" s="6">
        <f t="shared" si="136"/>
        <v>0</v>
      </c>
      <c r="L2631" s="4" t="str">
        <f>IFERROR(VLOOKUP(ROWS($L$2:L2631),$B$2:$C$1996,2,0),"")</f>
        <v/>
      </c>
      <c r="N2631" s="2" t="str">
        <f>IFERROR(VLOOKUP(ROWS($N$2:N2631),$D$2:$E$1996,2,0),"")</f>
        <v/>
      </c>
    </row>
    <row r="2632" spans="2:14">
      <c r="B2632" s="32">
        <f>IF(ISNUMBER(SEARCH('Φόρμα Εισαγωγής'!$B$2,C2632)),MAX($B$1:B2631)+1,0)</f>
        <v>0</v>
      </c>
      <c r="D2632" s="33">
        <f>IF(ISNUMBER(SEARCH('Φόρμα Εισαγωγής'!$C$2,E2632)),MAX($D$1:D2631)+1,0)</f>
        <v>0</v>
      </c>
      <c r="H2632" s="6">
        <f t="shared" si="134"/>
        <v>0</v>
      </c>
      <c r="I2632" s="6">
        <f t="shared" si="135"/>
        <v>0</v>
      </c>
      <c r="J2632" s="6">
        <f t="shared" si="136"/>
        <v>0</v>
      </c>
      <c r="L2632" s="4" t="str">
        <f>IFERROR(VLOOKUP(ROWS($L$2:L2632),$B$2:$C$1996,2,0),"")</f>
        <v/>
      </c>
      <c r="N2632" s="2" t="str">
        <f>IFERROR(VLOOKUP(ROWS($N$2:N2632),$D$2:$E$1996,2,0),"")</f>
        <v/>
      </c>
    </row>
    <row r="2633" spans="2:14">
      <c r="B2633" s="32">
        <f>IF(ISNUMBER(SEARCH('Φόρμα Εισαγωγής'!$B$2,C2633)),MAX($B$1:B2632)+1,0)</f>
        <v>0</v>
      </c>
      <c r="D2633" s="33">
        <f>IF(ISNUMBER(SEARCH('Φόρμα Εισαγωγής'!$C$2,E2633)),MAX($D$1:D2632)+1,0)</f>
        <v>0</v>
      </c>
      <c r="H2633" s="6">
        <f t="shared" si="134"/>
        <v>0</v>
      </c>
      <c r="I2633" s="6">
        <f t="shared" si="135"/>
        <v>0</v>
      </c>
      <c r="J2633" s="6">
        <f t="shared" si="136"/>
        <v>0</v>
      </c>
      <c r="L2633" s="4" t="str">
        <f>IFERROR(VLOOKUP(ROWS($L$2:L2633),$B$2:$C$1996,2,0),"")</f>
        <v/>
      </c>
      <c r="N2633" s="2" t="str">
        <f>IFERROR(VLOOKUP(ROWS($N$2:N2633),$D$2:$E$1996,2,0),"")</f>
        <v/>
      </c>
    </row>
    <row r="2634" spans="2:14">
      <c r="B2634" s="32">
        <f>IF(ISNUMBER(SEARCH('Φόρμα Εισαγωγής'!$B$2,C2634)),MAX($B$1:B2633)+1,0)</f>
        <v>0</v>
      </c>
      <c r="D2634" s="33">
        <f>IF(ISNUMBER(SEARCH('Φόρμα Εισαγωγής'!$C$2,E2634)),MAX($D$1:D2633)+1,0)</f>
        <v>0</v>
      </c>
      <c r="H2634" s="6">
        <f t="shared" si="134"/>
        <v>0</v>
      </c>
      <c r="I2634" s="6">
        <f t="shared" si="135"/>
        <v>0</v>
      </c>
      <c r="J2634" s="6">
        <f t="shared" si="136"/>
        <v>0</v>
      </c>
      <c r="L2634" s="4" t="str">
        <f>IFERROR(VLOOKUP(ROWS($L$2:L2634),$B$2:$C$1996,2,0),"")</f>
        <v/>
      </c>
      <c r="N2634" s="2" t="str">
        <f>IFERROR(VLOOKUP(ROWS($N$2:N2634),$D$2:$E$1996,2,0),"")</f>
        <v/>
      </c>
    </row>
    <row r="2635" spans="2:14">
      <c r="B2635" s="32">
        <f>IF(ISNUMBER(SEARCH('Φόρμα Εισαγωγής'!$B$2,C2635)),MAX($B$1:B2634)+1,0)</f>
        <v>0</v>
      </c>
      <c r="D2635" s="33">
        <f>IF(ISNUMBER(SEARCH('Φόρμα Εισαγωγής'!$C$2,E2635)),MAX($D$1:D2634)+1,0)</f>
        <v>0</v>
      </c>
      <c r="H2635" s="6">
        <f t="shared" si="134"/>
        <v>0</v>
      </c>
      <c r="I2635" s="6">
        <f t="shared" si="135"/>
        <v>0</v>
      </c>
      <c r="J2635" s="6">
        <f t="shared" si="136"/>
        <v>0</v>
      </c>
      <c r="L2635" s="4" t="str">
        <f>IFERROR(VLOOKUP(ROWS($L$2:L2635),$B$2:$C$1996,2,0),"")</f>
        <v/>
      </c>
      <c r="N2635" s="2" t="str">
        <f>IFERROR(VLOOKUP(ROWS($N$2:N2635),$D$2:$E$1996,2,0),"")</f>
        <v/>
      </c>
    </row>
    <row r="2636" spans="2:14">
      <c r="B2636" s="32">
        <f>IF(ISNUMBER(SEARCH('Φόρμα Εισαγωγής'!$B$2,C2636)),MAX($B$1:B2635)+1,0)</f>
        <v>0</v>
      </c>
      <c r="D2636" s="33">
        <f>IF(ISNUMBER(SEARCH('Φόρμα Εισαγωγής'!$C$2,E2636)),MAX($D$1:D2635)+1,0)</f>
        <v>0</v>
      </c>
      <c r="H2636" s="6">
        <f t="shared" si="134"/>
        <v>0</v>
      </c>
      <c r="I2636" s="6">
        <f t="shared" si="135"/>
        <v>0</v>
      </c>
      <c r="J2636" s="6">
        <f t="shared" si="136"/>
        <v>0</v>
      </c>
      <c r="L2636" s="4" t="str">
        <f>IFERROR(VLOOKUP(ROWS($L$2:L2636),$B$2:$C$1996,2,0),"")</f>
        <v/>
      </c>
      <c r="N2636" s="2" t="str">
        <f>IFERROR(VLOOKUP(ROWS($N$2:N2636),$D$2:$E$1996,2,0),"")</f>
        <v/>
      </c>
    </row>
    <row r="2637" spans="2:14">
      <c r="B2637" s="32">
        <f>IF(ISNUMBER(SEARCH('Φόρμα Εισαγωγής'!$B$2,C2637)),MAX($B$1:B2636)+1,0)</f>
        <v>0</v>
      </c>
      <c r="D2637" s="33">
        <f>IF(ISNUMBER(SEARCH('Φόρμα Εισαγωγής'!$C$2,E2637)),MAX($D$1:D2636)+1,0)</f>
        <v>0</v>
      </c>
      <c r="H2637" s="6">
        <f t="shared" si="134"/>
        <v>0</v>
      </c>
      <c r="I2637" s="6">
        <f t="shared" si="135"/>
        <v>0</v>
      </c>
      <c r="J2637" s="6">
        <f t="shared" si="136"/>
        <v>0</v>
      </c>
      <c r="L2637" s="4" t="str">
        <f>IFERROR(VLOOKUP(ROWS($L$2:L2637),$B$2:$C$1996,2,0),"")</f>
        <v/>
      </c>
      <c r="N2637" s="2" t="str">
        <f>IFERROR(VLOOKUP(ROWS($N$2:N2637),$D$2:$E$1996,2,0),"")</f>
        <v/>
      </c>
    </row>
    <row r="2638" spans="2:14">
      <c r="B2638" s="32">
        <f>IF(ISNUMBER(SEARCH('Φόρμα Εισαγωγής'!$B$2,C2638)),MAX($B$1:B2637)+1,0)</f>
        <v>0</v>
      </c>
      <c r="D2638" s="33">
        <f>IF(ISNUMBER(SEARCH('Φόρμα Εισαγωγής'!$C$2,E2638)),MAX($D$1:D2637)+1,0)</f>
        <v>0</v>
      </c>
      <c r="H2638" s="6">
        <f t="shared" si="134"/>
        <v>0</v>
      </c>
      <c r="I2638" s="6">
        <f t="shared" si="135"/>
        <v>0</v>
      </c>
      <c r="J2638" s="6">
        <f t="shared" si="136"/>
        <v>0</v>
      </c>
      <c r="L2638" s="4" t="str">
        <f>IFERROR(VLOOKUP(ROWS($L$2:L2638),$B$2:$C$1996,2,0),"")</f>
        <v/>
      </c>
      <c r="N2638" s="2" t="str">
        <f>IFERROR(VLOOKUP(ROWS($N$2:N2638),$D$2:$E$1996,2,0),"")</f>
        <v/>
      </c>
    </row>
    <row r="2639" spans="2:14">
      <c r="B2639" s="32">
        <f>IF(ISNUMBER(SEARCH('Φόρμα Εισαγωγής'!$B$2,C2639)),MAX($B$1:B2638)+1,0)</f>
        <v>0</v>
      </c>
      <c r="D2639" s="33">
        <f>IF(ISNUMBER(SEARCH('Φόρμα Εισαγωγής'!$C$2,E2639)),MAX($D$1:D2638)+1,0)</f>
        <v>0</v>
      </c>
      <c r="H2639" s="6">
        <f t="shared" si="134"/>
        <v>0</v>
      </c>
      <c r="I2639" s="6">
        <f t="shared" si="135"/>
        <v>0</v>
      </c>
      <c r="J2639" s="6">
        <f t="shared" si="136"/>
        <v>0</v>
      </c>
      <c r="L2639" s="4" t="str">
        <f>IFERROR(VLOOKUP(ROWS($L$2:L2639),$B$2:$C$1996,2,0),"")</f>
        <v/>
      </c>
      <c r="N2639" s="2" t="str">
        <f>IFERROR(VLOOKUP(ROWS($N$2:N2639),$D$2:$E$1996,2,0),"")</f>
        <v/>
      </c>
    </row>
    <row r="2640" spans="2:14">
      <c r="B2640" s="32">
        <f>IF(ISNUMBER(SEARCH('Φόρμα Εισαγωγής'!$B$2,C2640)),MAX($B$1:B2639)+1,0)</f>
        <v>0</v>
      </c>
      <c r="D2640" s="33">
        <f>IF(ISNUMBER(SEARCH('Φόρμα Εισαγωγής'!$C$2,E2640)),MAX($D$1:D2639)+1,0)</f>
        <v>0</v>
      </c>
      <c r="H2640" s="6">
        <f t="shared" si="134"/>
        <v>0</v>
      </c>
      <c r="I2640" s="6">
        <f t="shared" si="135"/>
        <v>0</v>
      </c>
      <c r="J2640" s="6">
        <f t="shared" si="136"/>
        <v>0</v>
      </c>
      <c r="L2640" s="4" t="str">
        <f>IFERROR(VLOOKUP(ROWS($L$2:L2640),$B$2:$C$1996,2,0),"")</f>
        <v/>
      </c>
      <c r="N2640" s="2" t="str">
        <f>IFERROR(VLOOKUP(ROWS($N$2:N2640),$D$2:$E$1996,2,0),"")</f>
        <v/>
      </c>
    </row>
    <row r="2641" spans="2:14">
      <c r="B2641" s="32">
        <f>IF(ISNUMBER(SEARCH('Φόρμα Εισαγωγής'!$B$2,C2641)),MAX($B$1:B2640)+1,0)</f>
        <v>0</v>
      </c>
      <c r="D2641" s="33">
        <f>IF(ISNUMBER(SEARCH('Φόρμα Εισαγωγής'!$C$2,E2641)),MAX($D$1:D2640)+1,0)</f>
        <v>0</v>
      </c>
      <c r="H2641" s="6">
        <f t="shared" si="134"/>
        <v>0</v>
      </c>
      <c r="I2641" s="6">
        <f t="shared" si="135"/>
        <v>0</v>
      </c>
      <c r="J2641" s="6">
        <f t="shared" si="136"/>
        <v>0</v>
      </c>
      <c r="L2641" s="4" t="str">
        <f>IFERROR(VLOOKUP(ROWS($L$2:L2641),$B$2:$C$1996,2,0),"")</f>
        <v/>
      </c>
      <c r="N2641" s="2" t="str">
        <f>IFERROR(VLOOKUP(ROWS($N$2:N2641),$D$2:$E$1996,2,0),"")</f>
        <v/>
      </c>
    </row>
    <row r="2642" spans="2:14">
      <c r="B2642" s="32">
        <f>IF(ISNUMBER(SEARCH('Φόρμα Εισαγωγής'!$B$2,C2642)),MAX($B$1:B2641)+1,0)</f>
        <v>0</v>
      </c>
      <c r="D2642" s="33">
        <f>IF(ISNUMBER(SEARCH('Φόρμα Εισαγωγής'!$C$2,E2642)),MAX($D$1:D2641)+1,0)</f>
        <v>0</v>
      </c>
      <c r="H2642" s="6">
        <f t="shared" si="134"/>
        <v>0</v>
      </c>
      <c r="I2642" s="6">
        <f t="shared" si="135"/>
        <v>0</v>
      </c>
      <c r="J2642" s="6">
        <f t="shared" si="136"/>
        <v>0</v>
      </c>
      <c r="L2642" s="4" t="str">
        <f>IFERROR(VLOOKUP(ROWS($L$2:L2642),$B$2:$C$1996,2,0),"")</f>
        <v/>
      </c>
      <c r="N2642" s="2" t="str">
        <f>IFERROR(VLOOKUP(ROWS($N$2:N2642),$D$2:$E$1996,2,0),"")</f>
        <v/>
      </c>
    </row>
    <row r="2643" spans="2:14">
      <c r="B2643" s="32">
        <f>IF(ISNUMBER(SEARCH('Φόρμα Εισαγωγής'!$B$2,C2643)),MAX($B$1:B2642)+1,0)</f>
        <v>0</v>
      </c>
      <c r="D2643" s="33">
        <f>IF(ISNUMBER(SEARCH('Φόρμα Εισαγωγής'!$C$2,E2643)),MAX($D$1:D2642)+1,0)</f>
        <v>0</v>
      </c>
      <c r="H2643" s="6">
        <f t="shared" si="134"/>
        <v>0</v>
      </c>
      <c r="I2643" s="6">
        <f t="shared" si="135"/>
        <v>0</v>
      </c>
      <c r="J2643" s="6">
        <f t="shared" si="136"/>
        <v>0</v>
      </c>
      <c r="L2643" s="4" t="str">
        <f>IFERROR(VLOOKUP(ROWS($L$2:L2643),$B$2:$C$1996,2,0),"")</f>
        <v/>
      </c>
      <c r="N2643" s="2" t="str">
        <f>IFERROR(VLOOKUP(ROWS($N$2:N2643),$D$2:$E$1996,2,0),"")</f>
        <v/>
      </c>
    </row>
    <row r="2644" spans="2:14">
      <c r="B2644" s="32">
        <f>IF(ISNUMBER(SEARCH('Φόρμα Εισαγωγής'!$B$2,C2644)),MAX($B$1:B2643)+1,0)</f>
        <v>0</v>
      </c>
      <c r="D2644" s="33">
        <f>IF(ISNUMBER(SEARCH('Φόρμα Εισαγωγής'!$C$2,E2644)),MAX($D$1:D2643)+1,0)</f>
        <v>0</v>
      </c>
      <c r="H2644" s="6">
        <f t="shared" si="134"/>
        <v>0</v>
      </c>
      <c r="I2644" s="6">
        <f t="shared" si="135"/>
        <v>0</v>
      </c>
      <c r="J2644" s="6">
        <f t="shared" si="136"/>
        <v>0</v>
      </c>
      <c r="L2644" s="4" t="str">
        <f>IFERROR(VLOOKUP(ROWS($L$2:L2644),$B$2:$C$1996,2,0),"")</f>
        <v/>
      </c>
      <c r="N2644" s="2" t="str">
        <f>IFERROR(VLOOKUP(ROWS($N$2:N2644),$D$2:$E$1996,2,0),"")</f>
        <v/>
      </c>
    </row>
    <row r="2645" spans="2:14">
      <c r="B2645" s="32">
        <f>IF(ISNUMBER(SEARCH('Φόρμα Εισαγωγής'!$B$2,C2645)),MAX($B$1:B2644)+1,0)</f>
        <v>0</v>
      </c>
      <c r="D2645" s="33">
        <f>IF(ISNUMBER(SEARCH('Φόρμα Εισαγωγής'!$C$2,E2645)),MAX($D$1:D2644)+1,0)</f>
        <v>0</v>
      </c>
      <c r="H2645" s="6">
        <f t="shared" si="134"/>
        <v>0</v>
      </c>
      <c r="I2645" s="6">
        <f t="shared" si="135"/>
        <v>0</v>
      </c>
      <c r="J2645" s="6">
        <f t="shared" si="136"/>
        <v>0</v>
      </c>
      <c r="L2645" s="4" t="str">
        <f>IFERROR(VLOOKUP(ROWS($L$2:L2645),$B$2:$C$1996,2,0),"")</f>
        <v/>
      </c>
      <c r="N2645" s="2" t="str">
        <f>IFERROR(VLOOKUP(ROWS($N$2:N2645),$D$2:$E$1996,2,0),"")</f>
        <v/>
      </c>
    </row>
    <row r="2646" spans="2:14">
      <c r="B2646" s="32">
        <f>IF(ISNUMBER(SEARCH('Φόρμα Εισαγωγής'!$B$2,C2646)),MAX($B$1:B2645)+1,0)</f>
        <v>0</v>
      </c>
      <c r="D2646" s="33">
        <f>IF(ISNUMBER(SEARCH('Φόρμα Εισαγωγής'!$C$2,E2646)),MAX($D$1:D2645)+1,0)</f>
        <v>0</v>
      </c>
      <c r="H2646" s="6">
        <f t="shared" si="134"/>
        <v>0</v>
      </c>
      <c r="I2646" s="6">
        <f t="shared" si="135"/>
        <v>0</v>
      </c>
      <c r="J2646" s="6">
        <f t="shared" si="136"/>
        <v>0</v>
      </c>
      <c r="L2646" s="4" t="str">
        <f>IFERROR(VLOOKUP(ROWS($L$2:L2646),$B$2:$C$1996,2,0),"")</f>
        <v/>
      </c>
      <c r="N2646" s="2" t="str">
        <f>IFERROR(VLOOKUP(ROWS($N$2:N2646),$D$2:$E$1996,2,0),"")</f>
        <v/>
      </c>
    </row>
    <row r="2647" spans="2:14">
      <c r="B2647" s="32">
        <f>IF(ISNUMBER(SEARCH('Φόρμα Εισαγωγής'!$B$2,C2647)),MAX($B$1:B2646)+1,0)</f>
        <v>0</v>
      </c>
      <c r="D2647" s="33">
        <f>IF(ISNUMBER(SEARCH('Φόρμα Εισαγωγής'!$C$2,E2647)),MAX($D$1:D2646)+1,0)</f>
        <v>0</v>
      </c>
      <c r="H2647" s="6">
        <f t="shared" si="134"/>
        <v>0</v>
      </c>
      <c r="I2647" s="6">
        <f t="shared" si="135"/>
        <v>0</v>
      </c>
      <c r="J2647" s="6">
        <f t="shared" si="136"/>
        <v>0</v>
      </c>
      <c r="L2647" s="4" t="str">
        <f>IFERROR(VLOOKUP(ROWS($L$2:L2647),$B$2:$C$1996,2,0),"")</f>
        <v/>
      </c>
      <c r="N2647" s="2" t="str">
        <f>IFERROR(VLOOKUP(ROWS($N$2:N2647),$D$2:$E$1996,2,0),"")</f>
        <v/>
      </c>
    </row>
    <row r="2648" spans="2:14">
      <c r="B2648" s="32">
        <f>IF(ISNUMBER(SEARCH('Φόρμα Εισαγωγής'!$B$2,C2648)),MAX($B$1:B2647)+1,0)</f>
        <v>0</v>
      </c>
      <c r="D2648" s="33">
        <f>IF(ISNUMBER(SEARCH('Φόρμα Εισαγωγής'!$C$2,E2648)),MAX($D$1:D2647)+1,0)</f>
        <v>0</v>
      </c>
      <c r="H2648" s="6">
        <f t="shared" si="134"/>
        <v>0</v>
      </c>
      <c r="I2648" s="6">
        <f t="shared" si="135"/>
        <v>0</v>
      </c>
      <c r="J2648" s="6">
        <f t="shared" si="136"/>
        <v>0</v>
      </c>
      <c r="L2648" s="4" t="str">
        <f>IFERROR(VLOOKUP(ROWS($L$2:L2648),$B$2:$C$1996,2,0),"")</f>
        <v/>
      </c>
      <c r="N2648" s="2" t="str">
        <f>IFERROR(VLOOKUP(ROWS($N$2:N2648),$D$2:$E$1996,2,0),"")</f>
        <v/>
      </c>
    </row>
    <row r="2649" spans="2:14">
      <c r="B2649" s="32">
        <f>IF(ISNUMBER(SEARCH('Φόρμα Εισαγωγής'!$B$2,C2649)),MAX($B$1:B2648)+1,0)</f>
        <v>0</v>
      </c>
      <c r="D2649" s="33">
        <f>IF(ISNUMBER(SEARCH('Φόρμα Εισαγωγής'!$C$2,E2649)),MAX($D$1:D2648)+1,0)</f>
        <v>0</v>
      </c>
      <c r="H2649" s="6">
        <f t="shared" si="134"/>
        <v>0</v>
      </c>
      <c r="I2649" s="6">
        <f t="shared" si="135"/>
        <v>0</v>
      </c>
      <c r="J2649" s="6">
        <f t="shared" si="136"/>
        <v>0</v>
      </c>
      <c r="L2649" s="4" t="str">
        <f>IFERROR(VLOOKUP(ROWS($L$2:L2649),$B$2:$C$1996,2,0),"")</f>
        <v/>
      </c>
      <c r="N2649" s="2" t="str">
        <f>IFERROR(VLOOKUP(ROWS($N$2:N2649),$D$2:$E$1996,2,0),"")</f>
        <v/>
      </c>
    </row>
    <row r="2650" spans="2:14">
      <c r="B2650" s="32">
        <f>IF(ISNUMBER(SEARCH('Φόρμα Εισαγωγής'!$B$2,C2650)),MAX($B$1:B2649)+1,0)</f>
        <v>0</v>
      </c>
      <c r="D2650" s="33">
        <f>IF(ISNUMBER(SEARCH('Φόρμα Εισαγωγής'!$C$2,E2650)),MAX($D$1:D2649)+1,0)</f>
        <v>0</v>
      </c>
      <c r="H2650" s="6">
        <f t="shared" si="134"/>
        <v>0</v>
      </c>
      <c r="I2650" s="6">
        <f t="shared" si="135"/>
        <v>0</v>
      </c>
      <c r="J2650" s="6">
        <f t="shared" si="136"/>
        <v>0</v>
      </c>
      <c r="L2650" s="4" t="str">
        <f>IFERROR(VLOOKUP(ROWS($L$2:L2650),$B$2:$C$1996,2,0),"")</f>
        <v/>
      </c>
      <c r="N2650" s="2" t="str">
        <f>IFERROR(VLOOKUP(ROWS($N$2:N2650),$D$2:$E$1996,2,0),"")</f>
        <v/>
      </c>
    </row>
    <row r="2651" spans="2:14">
      <c r="B2651" s="32">
        <f>IF(ISNUMBER(SEARCH('Φόρμα Εισαγωγής'!$B$2,C2651)),MAX($B$1:B2650)+1,0)</f>
        <v>0</v>
      </c>
      <c r="D2651" s="33">
        <f>IF(ISNUMBER(SEARCH('Φόρμα Εισαγωγής'!$C$2,E2651)),MAX($D$1:D2650)+1,0)</f>
        <v>0</v>
      </c>
      <c r="H2651" s="6">
        <f t="shared" si="134"/>
        <v>0</v>
      </c>
      <c r="I2651" s="6">
        <f t="shared" si="135"/>
        <v>0</v>
      </c>
      <c r="J2651" s="6">
        <f t="shared" si="136"/>
        <v>0</v>
      </c>
      <c r="L2651" s="4" t="str">
        <f>IFERROR(VLOOKUP(ROWS($L$2:L2651),$B$2:$C$1996,2,0),"")</f>
        <v/>
      </c>
      <c r="N2651" s="2" t="str">
        <f>IFERROR(VLOOKUP(ROWS($N$2:N2651),$D$2:$E$1996,2,0),"")</f>
        <v/>
      </c>
    </row>
    <row r="2652" spans="2:14">
      <c r="B2652" s="32">
        <f>IF(ISNUMBER(SEARCH('Φόρμα Εισαγωγής'!$B$2,C2652)),MAX($B$1:B2651)+1,0)</f>
        <v>0</v>
      </c>
      <c r="D2652" s="33">
        <f>IF(ISNUMBER(SEARCH('Φόρμα Εισαγωγής'!$C$2,E2652)),MAX($D$1:D2651)+1,0)</f>
        <v>0</v>
      </c>
      <c r="H2652" s="6">
        <f t="shared" si="134"/>
        <v>0</v>
      </c>
      <c r="I2652" s="6">
        <f t="shared" si="135"/>
        <v>0</v>
      </c>
      <c r="J2652" s="6">
        <f t="shared" si="136"/>
        <v>0</v>
      </c>
      <c r="L2652" s="4" t="str">
        <f>IFERROR(VLOOKUP(ROWS($L$2:L2652),$B$2:$C$1996,2,0),"")</f>
        <v/>
      </c>
      <c r="N2652" s="2" t="str">
        <f>IFERROR(VLOOKUP(ROWS($N$2:N2652),$D$2:$E$1996,2,0),"")</f>
        <v/>
      </c>
    </row>
    <row r="2653" spans="2:14">
      <c r="B2653" s="32">
        <f>IF(ISNUMBER(SEARCH('Φόρμα Εισαγωγής'!$B$2,C2653)),MAX($B$1:B2652)+1,0)</f>
        <v>0</v>
      </c>
      <c r="D2653" s="33">
        <f>IF(ISNUMBER(SEARCH('Φόρμα Εισαγωγής'!$C$2,E2653)),MAX($D$1:D2652)+1,0)</f>
        <v>0</v>
      </c>
      <c r="H2653" s="6">
        <f t="shared" si="134"/>
        <v>0</v>
      </c>
      <c r="I2653" s="6">
        <f t="shared" si="135"/>
        <v>0</v>
      </c>
      <c r="J2653" s="6">
        <f t="shared" si="136"/>
        <v>0</v>
      </c>
      <c r="L2653" s="4" t="str">
        <f>IFERROR(VLOOKUP(ROWS($L$2:L2653),$B$2:$C$1996,2,0),"")</f>
        <v/>
      </c>
      <c r="N2653" s="2" t="str">
        <f>IFERROR(VLOOKUP(ROWS($N$2:N2653),$D$2:$E$1996,2,0),"")</f>
        <v/>
      </c>
    </row>
    <row r="2654" spans="2:14">
      <c r="B2654" s="32">
        <f>IF(ISNUMBER(SEARCH('Φόρμα Εισαγωγής'!$B$2,C2654)),MAX($B$1:B2653)+1,0)</f>
        <v>0</v>
      </c>
      <c r="D2654" s="33">
        <f>IF(ISNUMBER(SEARCH('Φόρμα Εισαγωγής'!$C$2,E2654)),MAX($D$1:D2653)+1,0)</f>
        <v>0</v>
      </c>
      <c r="H2654" s="6">
        <f t="shared" si="134"/>
        <v>0</v>
      </c>
      <c r="I2654" s="6">
        <f t="shared" si="135"/>
        <v>0</v>
      </c>
      <c r="J2654" s="6">
        <f t="shared" si="136"/>
        <v>0</v>
      </c>
      <c r="L2654" s="4" t="str">
        <f>IFERROR(VLOOKUP(ROWS($L$2:L2654),$B$2:$C$1996,2,0),"")</f>
        <v/>
      </c>
      <c r="N2654" s="2" t="str">
        <f>IFERROR(VLOOKUP(ROWS($N$2:N2654),$D$2:$E$1996,2,0),"")</f>
        <v/>
      </c>
    </row>
    <row r="2655" spans="2:14">
      <c r="B2655" s="32">
        <f>IF(ISNUMBER(SEARCH('Φόρμα Εισαγωγής'!$B$2,C2655)),MAX($B$1:B2654)+1,0)</f>
        <v>0</v>
      </c>
      <c r="D2655" s="33">
        <f>IF(ISNUMBER(SEARCH('Φόρμα Εισαγωγής'!$C$2,E2655)),MAX($D$1:D2654)+1,0)</f>
        <v>0</v>
      </c>
      <c r="H2655" s="6">
        <f t="shared" si="134"/>
        <v>0</v>
      </c>
      <c r="I2655" s="6">
        <f t="shared" si="135"/>
        <v>0</v>
      </c>
      <c r="J2655" s="6">
        <f t="shared" si="136"/>
        <v>0</v>
      </c>
      <c r="L2655" s="4" t="str">
        <f>IFERROR(VLOOKUP(ROWS($L$2:L2655),$B$2:$C$1996,2,0),"")</f>
        <v/>
      </c>
      <c r="N2655" s="2" t="str">
        <f>IFERROR(VLOOKUP(ROWS($N$2:N2655),$D$2:$E$1996,2,0),"")</f>
        <v/>
      </c>
    </row>
    <row r="2656" spans="2:14">
      <c r="B2656" s="32">
        <f>IF(ISNUMBER(SEARCH('Φόρμα Εισαγωγής'!$B$2,C2656)),MAX($B$1:B2655)+1,0)</f>
        <v>0</v>
      </c>
      <c r="D2656" s="33">
        <f>IF(ISNUMBER(SEARCH('Φόρμα Εισαγωγής'!$C$2,E2656)),MAX($D$1:D2655)+1,0)</f>
        <v>0</v>
      </c>
      <c r="H2656" s="6">
        <f t="shared" si="134"/>
        <v>0</v>
      </c>
      <c r="I2656" s="6">
        <f t="shared" si="135"/>
        <v>0</v>
      </c>
      <c r="J2656" s="6">
        <f t="shared" si="136"/>
        <v>0</v>
      </c>
      <c r="L2656" s="4" t="str">
        <f>IFERROR(VLOOKUP(ROWS($L$2:L2656),$B$2:$C$1996,2,0),"")</f>
        <v/>
      </c>
      <c r="N2656" s="2" t="str">
        <f>IFERROR(VLOOKUP(ROWS($N$2:N2656),$D$2:$E$1996,2,0),"")</f>
        <v/>
      </c>
    </row>
    <row r="2657" spans="2:14">
      <c r="B2657" s="32">
        <f>IF(ISNUMBER(SEARCH('Φόρμα Εισαγωγής'!$B$2,C2657)),MAX($B$1:B2656)+1,0)</f>
        <v>0</v>
      </c>
      <c r="D2657" s="33">
        <f>IF(ISNUMBER(SEARCH('Φόρμα Εισαγωγής'!$C$2,E2657)),MAX($D$1:D2656)+1,0)</f>
        <v>0</v>
      </c>
      <c r="H2657" s="6">
        <f t="shared" si="134"/>
        <v>0</v>
      </c>
      <c r="I2657" s="6">
        <f t="shared" si="135"/>
        <v>0</v>
      </c>
      <c r="J2657" s="6">
        <f t="shared" si="136"/>
        <v>0</v>
      </c>
      <c r="L2657" s="4" t="str">
        <f>IFERROR(VLOOKUP(ROWS($L$2:L2657),$B$2:$C$1996,2,0),"")</f>
        <v/>
      </c>
      <c r="N2657" s="2" t="str">
        <f>IFERROR(VLOOKUP(ROWS($N$2:N2657),$D$2:$E$1996,2,0),"")</f>
        <v/>
      </c>
    </row>
    <row r="2658" spans="2:14">
      <c r="B2658" s="32">
        <f>IF(ISNUMBER(SEARCH('Φόρμα Εισαγωγής'!$B$2,C2658)),MAX($B$1:B2657)+1,0)</f>
        <v>0</v>
      </c>
      <c r="D2658" s="33">
        <f>IF(ISNUMBER(SEARCH('Φόρμα Εισαγωγής'!$C$2,E2658)),MAX($D$1:D2657)+1,0)</f>
        <v>0</v>
      </c>
      <c r="H2658" s="6">
        <f t="shared" si="134"/>
        <v>0</v>
      </c>
      <c r="I2658" s="6">
        <f t="shared" si="135"/>
        <v>0</v>
      </c>
      <c r="J2658" s="6">
        <f t="shared" si="136"/>
        <v>0</v>
      </c>
      <c r="L2658" s="4" t="str">
        <f>IFERROR(VLOOKUP(ROWS($L$2:L2658),$B$2:$C$1996,2,0),"")</f>
        <v/>
      </c>
      <c r="N2658" s="2" t="str">
        <f>IFERROR(VLOOKUP(ROWS($N$2:N2658),$D$2:$E$1996,2,0),"")</f>
        <v/>
      </c>
    </row>
    <row r="2659" spans="2:14">
      <c r="B2659" s="32">
        <f>IF(ISNUMBER(SEARCH('Φόρμα Εισαγωγής'!$B$2,C2659)),MAX($B$1:B2658)+1,0)</f>
        <v>0</v>
      </c>
      <c r="D2659" s="33">
        <f>IF(ISNUMBER(SEARCH('Φόρμα Εισαγωγής'!$C$2,E2659)),MAX($D$1:D2658)+1,0)</f>
        <v>0</v>
      </c>
      <c r="H2659" s="6">
        <f t="shared" si="134"/>
        <v>0</v>
      </c>
      <c r="I2659" s="6">
        <f t="shared" si="135"/>
        <v>0</v>
      </c>
      <c r="J2659" s="6">
        <f t="shared" si="136"/>
        <v>0</v>
      </c>
      <c r="L2659" s="4" t="str">
        <f>IFERROR(VLOOKUP(ROWS($L$2:L2659),$B$2:$C$1996,2,0),"")</f>
        <v/>
      </c>
      <c r="N2659" s="2" t="str">
        <f>IFERROR(VLOOKUP(ROWS($N$2:N2659),$D$2:$E$1996,2,0),"")</f>
        <v/>
      </c>
    </row>
    <row r="2660" spans="2:14">
      <c r="B2660" s="32">
        <f>IF(ISNUMBER(SEARCH('Φόρμα Εισαγωγής'!$B$2,C2660)),MAX($B$1:B2659)+1,0)</f>
        <v>0</v>
      </c>
      <c r="D2660" s="33">
        <f>IF(ISNUMBER(SEARCH('Φόρμα Εισαγωγής'!$C$2,E2660)),MAX($D$1:D2659)+1,0)</f>
        <v>0</v>
      </c>
      <c r="H2660" s="6">
        <f t="shared" si="134"/>
        <v>0</v>
      </c>
      <c r="I2660" s="6">
        <f t="shared" si="135"/>
        <v>0</v>
      </c>
      <c r="J2660" s="6">
        <f t="shared" si="136"/>
        <v>0</v>
      </c>
      <c r="L2660" s="4" t="str">
        <f>IFERROR(VLOOKUP(ROWS($L$2:L2660),$B$2:$C$1996,2,0),"")</f>
        <v/>
      </c>
      <c r="N2660" s="2" t="str">
        <f>IFERROR(VLOOKUP(ROWS($N$2:N2660),$D$2:$E$1996,2,0),"")</f>
        <v/>
      </c>
    </row>
    <row r="2661" spans="2:14">
      <c r="B2661" s="32">
        <f>IF(ISNUMBER(SEARCH('Φόρμα Εισαγωγής'!$B$2,C2661)),MAX($B$1:B2660)+1,0)</f>
        <v>0</v>
      </c>
      <c r="D2661" s="33">
        <f>IF(ISNUMBER(SEARCH('Φόρμα Εισαγωγής'!$C$2,E2661)),MAX($D$1:D2660)+1,0)</f>
        <v>0</v>
      </c>
      <c r="H2661" s="6">
        <f t="shared" si="134"/>
        <v>0</v>
      </c>
      <c r="I2661" s="6">
        <f t="shared" si="135"/>
        <v>0</v>
      </c>
      <c r="J2661" s="6">
        <f t="shared" si="136"/>
        <v>0</v>
      </c>
      <c r="L2661" s="4" t="str">
        <f>IFERROR(VLOOKUP(ROWS($L$2:L2661),$B$2:$C$1996,2,0),"")</f>
        <v/>
      </c>
      <c r="N2661" s="2" t="str">
        <f>IFERROR(VLOOKUP(ROWS($N$2:N2661),$D$2:$E$1996,2,0),"")</f>
        <v/>
      </c>
    </row>
    <row r="2662" spans="2:14">
      <c r="B2662" s="32">
        <f>IF(ISNUMBER(SEARCH('Φόρμα Εισαγωγής'!$B$2,C2662)),MAX($B$1:B2661)+1,0)</f>
        <v>0</v>
      </c>
      <c r="D2662" s="33">
        <f>IF(ISNUMBER(SEARCH('Φόρμα Εισαγωγής'!$C$2,E2662)),MAX($D$1:D2661)+1,0)</f>
        <v>0</v>
      </c>
      <c r="H2662" s="6">
        <f t="shared" si="134"/>
        <v>0</v>
      </c>
      <c r="I2662" s="6">
        <f t="shared" si="135"/>
        <v>0</v>
      </c>
      <c r="J2662" s="6">
        <f t="shared" si="136"/>
        <v>0</v>
      </c>
      <c r="L2662" s="4" t="str">
        <f>IFERROR(VLOOKUP(ROWS($L$2:L2662),$B$2:$C$1996,2,0),"")</f>
        <v/>
      </c>
      <c r="N2662" s="2" t="str">
        <f>IFERROR(VLOOKUP(ROWS($N$2:N2662),$D$2:$E$1996,2,0),"")</f>
        <v/>
      </c>
    </row>
    <row r="2663" spans="2:14">
      <c r="B2663" s="32">
        <f>IF(ISNUMBER(SEARCH('Φόρμα Εισαγωγής'!$B$2,C2663)),MAX($B$1:B2662)+1,0)</f>
        <v>0</v>
      </c>
      <c r="D2663" s="33">
        <f>IF(ISNUMBER(SEARCH('Φόρμα Εισαγωγής'!$C$2,E2663)),MAX($D$1:D2662)+1,0)</f>
        <v>0</v>
      </c>
      <c r="H2663" s="6">
        <f t="shared" si="134"/>
        <v>0</v>
      </c>
      <c r="I2663" s="6">
        <f t="shared" si="135"/>
        <v>0</v>
      </c>
      <c r="J2663" s="6">
        <f t="shared" si="136"/>
        <v>0</v>
      </c>
      <c r="L2663" s="4" t="str">
        <f>IFERROR(VLOOKUP(ROWS($L$2:L2663),$B$2:$C$1996,2,0),"")</f>
        <v/>
      </c>
      <c r="N2663" s="2" t="str">
        <f>IFERROR(VLOOKUP(ROWS($N$2:N2663),$D$2:$E$1996,2,0),"")</f>
        <v/>
      </c>
    </row>
    <row r="2664" spans="2:14">
      <c r="B2664" s="32">
        <f>IF(ISNUMBER(SEARCH('Φόρμα Εισαγωγής'!$B$2,C2664)),MAX($B$1:B2663)+1,0)</f>
        <v>0</v>
      </c>
      <c r="D2664" s="33">
        <f>IF(ISNUMBER(SEARCH('Φόρμα Εισαγωγής'!$C$2,E2664)),MAX($D$1:D2663)+1,0)</f>
        <v>0</v>
      </c>
      <c r="H2664" s="6">
        <f t="shared" si="134"/>
        <v>0</v>
      </c>
      <c r="I2664" s="6">
        <f t="shared" si="135"/>
        <v>0</v>
      </c>
      <c r="J2664" s="6">
        <f t="shared" si="136"/>
        <v>0</v>
      </c>
      <c r="L2664" s="4" t="str">
        <f>IFERROR(VLOOKUP(ROWS($L$2:L2664),$B$2:$C$1996,2,0),"")</f>
        <v/>
      </c>
      <c r="N2664" s="2" t="str">
        <f>IFERROR(VLOOKUP(ROWS($N$2:N2664),$D$2:$E$1996,2,0),"")</f>
        <v/>
      </c>
    </row>
    <row r="2665" spans="2:14">
      <c r="B2665" s="32">
        <f>IF(ISNUMBER(SEARCH('Φόρμα Εισαγωγής'!$B$2,C2665)),MAX($B$1:B2664)+1,0)</f>
        <v>0</v>
      </c>
      <c r="D2665" s="33">
        <f>IF(ISNUMBER(SEARCH('Φόρμα Εισαγωγής'!$C$2,E2665)),MAX($D$1:D2664)+1,0)</f>
        <v>0</v>
      </c>
      <c r="H2665" s="6">
        <f t="shared" si="134"/>
        <v>0</v>
      </c>
      <c r="I2665" s="6">
        <f t="shared" si="135"/>
        <v>0</v>
      </c>
      <c r="J2665" s="6">
        <f t="shared" si="136"/>
        <v>0</v>
      </c>
      <c r="L2665" s="4" t="str">
        <f>IFERROR(VLOOKUP(ROWS($L$2:L2665),$B$2:$C$1996,2,0),"")</f>
        <v/>
      </c>
      <c r="N2665" s="2" t="str">
        <f>IFERROR(VLOOKUP(ROWS($N$2:N2665),$D$2:$E$1996,2,0),"")</f>
        <v/>
      </c>
    </row>
    <row r="2666" spans="2:14">
      <c r="B2666" s="32">
        <f>IF(ISNUMBER(SEARCH('Φόρμα Εισαγωγής'!$B$2,C2666)),MAX($B$1:B2665)+1,0)</f>
        <v>0</v>
      </c>
      <c r="D2666" s="33">
        <f>IF(ISNUMBER(SEARCH('Φόρμα Εισαγωγής'!$C$2,E2666)),MAX($D$1:D2665)+1,0)</f>
        <v>0</v>
      </c>
      <c r="H2666" s="6">
        <f t="shared" si="134"/>
        <v>0</v>
      </c>
      <c r="I2666" s="6">
        <f t="shared" si="135"/>
        <v>0</v>
      </c>
      <c r="J2666" s="6">
        <f t="shared" si="136"/>
        <v>0</v>
      </c>
      <c r="L2666" s="4" t="str">
        <f>IFERROR(VLOOKUP(ROWS($L$2:L2666),$B$2:$C$1996,2,0),"")</f>
        <v/>
      </c>
      <c r="N2666" s="2" t="str">
        <f>IFERROR(VLOOKUP(ROWS($N$2:N2666),$D$2:$E$1996,2,0),"")</f>
        <v/>
      </c>
    </row>
    <row r="2667" spans="2:14">
      <c r="B2667" s="32">
        <f>IF(ISNUMBER(SEARCH('Φόρμα Εισαγωγής'!$B$2,C2667)),MAX($B$1:B2666)+1,0)</f>
        <v>0</v>
      </c>
      <c r="D2667" s="33">
        <f>IF(ISNUMBER(SEARCH('Φόρμα Εισαγωγής'!$C$2,E2667)),MAX($D$1:D2666)+1,0)</f>
        <v>0</v>
      </c>
      <c r="H2667" s="6">
        <f t="shared" si="134"/>
        <v>0</v>
      </c>
      <c r="I2667" s="6">
        <f t="shared" si="135"/>
        <v>0</v>
      </c>
      <c r="J2667" s="6">
        <f t="shared" si="136"/>
        <v>0</v>
      </c>
      <c r="L2667" s="4" t="str">
        <f>IFERROR(VLOOKUP(ROWS($L$2:L2667),$B$2:$C$1996,2,0),"")</f>
        <v/>
      </c>
      <c r="N2667" s="2" t="str">
        <f>IFERROR(VLOOKUP(ROWS($N$2:N2667),$D$2:$E$1996,2,0),"")</f>
        <v/>
      </c>
    </row>
    <row r="2668" spans="2:14">
      <c r="B2668" s="32">
        <f>IF(ISNUMBER(SEARCH('Φόρμα Εισαγωγής'!$B$2,C2668)),MAX($B$1:B2667)+1,0)</f>
        <v>0</v>
      </c>
      <c r="D2668" s="33">
        <f>IF(ISNUMBER(SEARCH('Φόρμα Εισαγωγής'!$C$2,E2668)),MAX($D$1:D2667)+1,0)</f>
        <v>0</v>
      </c>
      <c r="H2668" s="6">
        <f t="shared" si="134"/>
        <v>0</v>
      </c>
      <c r="I2668" s="6">
        <f t="shared" si="135"/>
        <v>0</v>
      </c>
      <c r="J2668" s="6">
        <f t="shared" si="136"/>
        <v>0</v>
      </c>
      <c r="L2668" s="4" t="str">
        <f>IFERROR(VLOOKUP(ROWS($L$2:L2668),$B$2:$C$1996,2,0),"")</f>
        <v/>
      </c>
      <c r="N2668" s="2" t="str">
        <f>IFERROR(VLOOKUP(ROWS($N$2:N2668),$D$2:$E$1996,2,0),"")</f>
        <v/>
      </c>
    </row>
    <row r="2669" spans="2:14">
      <c r="B2669" s="32">
        <f>IF(ISNUMBER(SEARCH('Φόρμα Εισαγωγής'!$B$2,C2669)),MAX($B$1:B2668)+1,0)</f>
        <v>0</v>
      </c>
      <c r="D2669" s="33">
        <f>IF(ISNUMBER(SEARCH('Φόρμα Εισαγωγής'!$C$2,E2669)),MAX($D$1:D2668)+1,0)</f>
        <v>0</v>
      </c>
      <c r="H2669" s="6">
        <f t="shared" si="134"/>
        <v>0</v>
      </c>
      <c r="I2669" s="6">
        <f t="shared" si="135"/>
        <v>0</v>
      </c>
      <c r="J2669" s="6">
        <f t="shared" si="136"/>
        <v>0</v>
      </c>
      <c r="L2669" s="4" t="str">
        <f>IFERROR(VLOOKUP(ROWS($L$2:L2669),$B$2:$C$1996,2,0),"")</f>
        <v/>
      </c>
      <c r="N2669" s="2" t="str">
        <f>IFERROR(VLOOKUP(ROWS($N$2:N2669),$D$2:$E$1996,2,0),"")</f>
        <v/>
      </c>
    </row>
    <row r="2670" spans="2:14">
      <c r="B2670" s="32">
        <f>IF(ISNUMBER(SEARCH('Φόρμα Εισαγωγής'!$B$2,C2670)),MAX($B$1:B2669)+1,0)</f>
        <v>0</v>
      </c>
      <c r="D2670" s="33">
        <f>IF(ISNUMBER(SEARCH('Φόρμα Εισαγωγής'!$C$2,E2670)),MAX($D$1:D2669)+1,0)</f>
        <v>0</v>
      </c>
      <c r="H2670" s="6">
        <f t="shared" si="134"/>
        <v>0</v>
      </c>
      <c r="I2670" s="6">
        <f t="shared" si="135"/>
        <v>0</v>
      </c>
      <c r="J2670" s="6">
        <f t="shared" si="136"/>
        <v>0</v>
      </c>
      <c r="L2670" s="4" t="str">
        <f>IFERROR(VLOOKUP(ROWS($L$2:L2670),$B$2:$C$1996,2,0),"")</f>
        <v/>
      </c>
      <c r="N2670" s="2" t="str">
        <f>IFERROR(VLOOKUP(ROWS($N$2:N2670),$D$2:$E$1996,2,0),"")</f>
        <v/>
      </c>
    </row>
    <row r="2671" spans="2:14">
      <c r="B2671" s="32">
        <f>IF(ISNUMBER(SEARCH('Φόρμα Εισαγωγής'!$B$2,C2671)),MAX($B$1:B2670)+1,0)</f>
        <v>0</v>
      </c>
      <c r="D2671" s="33">
        <f>IF(ISNUMBER(SEARCH('Φόρμα Εισαγωγής'!$C$2,E2671)),MAX($D$1:D2670)+1,0)</f>
        <v>0</v>
      </c>
      <c r="H2671" s="6">
        <f t="shared" si="134"/>
        <v>0</v>
      </c>
      <c r="I2671" s="6">
        <f t="shared" si="135"/>
        <v>0</v>
      </c>
      <c r="J2671" s="6">
        <f t="shared" si="136"/>
        <v>0</v>
      </c>
      <c r="L2671" s="4" t="str">
        <f>IFERROR(VLOOKUP(ROWS($L$2:L2671),$B$2:$C$1996,2,0),"")</f>
        <v/>
      </c>
      <c r="N2671" s="2" t="str">
        <f>IFERROR(VLOOKUP(ROWS($N$2:N2671),$D$2:$E$1996,2,0),"")</f>
        <v/>
      </c>
    </row>
    <row r="2672" spans="2:14">
      <c r="B2672" s="32">
        <f>IF(ISNUMBER(SEARCH('Φόρμα Εισαγωγής'!$B$2,C2672)),MAX($B$1:B2671)+1,0)</f>
        <v>0</v>
      </c>
      <c r="D2672" s="33">
        <f>IF(ISNUMBER(SEARCH('Φόρμα Εισαγωγής'!$C$2,E2672)),MAX($D$1:D2671)+1,0)</f>
        <v>0</v>
      </c>
      <c r="H2672" s="6">
        <f t="shared" si="134"/>
        <v>0</v>
      </c>
      <c r="I2672" s="6">
        <f t="shared" si="135"/>
        <v>0</v>
      </c>
      <c r="J2672" s="6">
        <f t="shared" si="136"/>
        <v>0</v>
      </c>
      <c r="L2672" s="4" t="str">
        <f>IFERROR(VLOOKUP(ROWS($L$2:L2672),$B$2:$C$1996,2,0),"")</f>
        <v/>
      </c>
      <c r="N2672" s="2" t="str">
        <f>IFERROR(VLOOKUP(ROWS($N$2:N2672),$D$2:$E$1996,2,0),"")</f>
        <v/>
      </c>
    </row>
    <row r="2673" spans="2:14">
      <c r="B2673" s="32">
        <f>IF(ISNUMBER(SEARCH('Φόρμα Εισαγωγής'!$B$2,C2673)),MAX($B$1:B2672)+1,0)</f>
        <v>0</v>
      </c>
      <c r="D2673" s="33">
        <f>IF(ISNUMBER(SEARCH('Φόρμα Εισαγωγής'!$C$2,E2673)),MAX($D$1:D2672)+1,0)</f>
        <v>0</v>
      </c>
      <c r="H2673" s="6">
        <f t="shared" si="134"/>
        <v>0</v>
      </c>
      <c r="I2673" s="6">
        <f t="shared" si="135"/>
        <v>0</v>
      </c>
      <c r="J2673" s="6">
        <f t="shared" si="136"/>
        <v>0</v>
      </c>
      <c r="L2673" s="4" t="str">
        <f>IFERROR(VLOOKUP(ROWS($L$2:L2673),$B$2:$C$1996,2,0),"")</f>
        <v/>
      </c>
      <c r="N2673" s="2" t="str">
        <f>IFERROR(VLOOKUP(ROWS($N$2:N2673),$D$2:$E$1996,2,0),"")</f>
        <v/>
      </c>
    </row>
    <row r="2674" spans="2:14">
      <c r="B2674" s="32">
        <f>IF(ISNUMBER(SEARCH('Φόρμα Εισαγωγής'!$B$2,C2674)),MAX($B$1:B2673)+1,0)</f>
        <v>0</v>
      </c>
      <c r="D2674" s="33">
        <f>IF(ISNUMBER(SEARCH('Φόρμα Εισαγωγής'!$C$2,E2674)),MAX($D$1:D2673)+1,0)</f>
        <v>0</v>
      </c>
      <c r="H2674" s="6">
        <f t="shared" si="134"/>
        <v>0</v>
      </c>
      <c r="I2674" s="6">
        <f t="shared" si="135"/>
        <v>0</v>
      </c>
      <c r="J2674" s="6">
        <f t="shared" si="136"/>
        <v>0</v>
      </c>
      <c r="L2674" s="4" t="str">
        <f>IFERROR(VLOOKUP(ROWS($L$2:L2674),$B$2:$C$1996,2,0),"")</f>
        <v/>
      </c>
      <c r="N2674" s="2" t="str">
        <f>IFERROR(VLOOKUP(ROWS($N$2:N2674),$D$2:$E$1996,2,0),"")</f>
        <v/>
      </c>
    </row>
    <row r="2675" spans="2:14">
      <c r="B2675" s="32">
        <f>IF(ISNUMBER(SEARCH('Φόρμα Εισαγωγής'!$B$2,C2675)),MAX($B$1:B2674)+1,0)</f>
        <v>0</v>
      </c>
      <c r="D2675" s="33">
        <f>IF(ISNUMBER(SEARCH('Φόρμα Εισαγωγής'!$C$2,E2675)),MAX($D$1:D2674)+1,0)</f>
        <v>0</v>
      </c>
      <c r="H2675" s="6">
        <f t="shared" si="134"/>
        <v>0</v>
      </c>
      <c r="I2675" s="6">
        <f t="shared" si="135"/>
        <v>0</v>
      </c>
      <c r="J2675" s="6">
        <f t="shared" si="136"/>
        <v>0</v>
      </c>
      <c r="L2675" s="4" t="str">
        <f>IFERROR(VLOOKUP(ROWS($L$2:L2675),$B$2:$C$1996,2,0),"")</f>
        <v/>
      </c>
      <c r="N2675" s="2" t="str">
        <f>IFERROR(VLOOKUP(ROWS($N$2:N2675),$D$2:$E$1996,2,0),"")</f>
        <v/>
      </c>
    </row>
    <row r="2676" spans="2:14">
      <c r="B2676" s="32">
        <f>IF(ISNUMBER(SEARCH('Φόρμα Εισαγωγής'!$B$2,C2676)),MAX($B$1:B2675)+1,0)</f>
        <v>0</v>
      </c>
      <c r="D2676" s="33">
        <f>IF(ISNUMBER(SEARCH('Φόρμα Εισαγωγής'!$C$2,E2676)),MAX($D$1:D2675)+1,0)</f>
        <v>0</v>
      </c>
      <c r="H2676" s="6">
        <f t="shared" si="134"/>
        <v>0</v>
      </c>
      <c r="I2676" s="6">
        <f t="shared" si="135"/>
        <v>0</v>
      </c>
      <c r="J2676" s="6">
        <f t="shared" si="136"/>
        <v>0</v>
      </c>
      <c r="L2676" s="4" t="str">
        <f>IFERROR(VLOOKUP(ROWS($L$2:L2676),$B$2:$C$1996,2,0),"")</f>
        <v/>
      </c>
      <c r="N2676" s="2" t="str">
        <f>IFERROR(VLOOKUP(ROWS($N$2:N2676),$D$2:$E$1996,2,0),"")</f>
        <v/>
      </c>
    </row>
    <row r="2677" spans="2:14">
      <c r="B2677" s="32">
        <f>IF(ISNUMBER(SEARCH('Φόρμα Εισαγωγής'!$B$2,C2677)),MAX($B$1:B2676)+1,0)</f>
        <v>0</v>
      </c>
      <c r="D2677" s="33">
        <f>IF(ISNUMBER(SEARCH('Φόρμα Εισαγωγής'!$C$2,E2677)),MAX($D$1:D2676)+1,0)</f>
        <v>0</v>
      </c>
      <c r="H2677" s="6">
        <f t="shared" si="134"/>
        <v>0</v>
      </c>
      <c r="I2677" s="6">
        <f t="shared" si="135"/>
        <v>0</v>
      </c>
      <c r="J2677" s="6">
        <f t="shared" si="136"/>
        <v>0</v>
      </c>
      <c r="L2677" s="4" t="str">
        <f>IFERROR(VLOOKUP(ROWS($L$2:L2677),$B$2:$C$1996,2,0),"")</f>
        <v/>
      </c>
      <c r="N2677" s="2" t="str">
        <f>IFERROR(VLOOKUP(ROWS($N$2:N2677),$D$2:$E$1996,2,0),"")</f>
        <v/>
      </c>
    </row>
    <row r="2678" spans="2:14">
      <c r="B2678" s="32">
        <f>IF(ISNUMBER(SEARCH('Φόρμα Εισαγωγής'!$B$2,C2678)),MAX($B$1:B2677)+1,0)</f>
        <v>0</v>
      </c>
      <c r="D2678" s="33">
        <f>IF(ISNUMBER(SEARCH('Φόρμα Εισαγωγής'!$C$2,E2678)),MAX($D$1:D2677)+1,0)</f>
        <v>0</v>
      </c>
      <c r="H2678" s="6">
        <f t="shared" si="134"/>
        <v>0</v>
      </c>
      <c r="I2678" s="6">
        <f t="shared" si="135"/>
        <v>0</v>
      </c>
      <c r="J2678" s="6">
        <f t="shared" si="136"/>
        <v>0</v>
      </c>
      <c r="L2678" s="4" t="str">
        <f>IFERROR(VLOOKUP(ROWS($L$2:L2678),$B$2:$C$1996,2,0),"")</f>
        <v/>
      </c>
      <c r="N2678" s="2" t="str">
        <f>IFERROR(VLOOKUP(ROWS($N$2:N2678),$D$2:$E$1996,2,0),"")</f>
        <v/>
      </c>
    </row>
    <row r="2679" spans="2:14">
      <c r="B2679" s="32">
        <f>IF(ISNUMBER(SEARCH('Φόρμα Εισαγωγής'!$B$2,C2679)),MAX($B$1:B2678)+1,0)</f>
        <v>0</v>
      </c>
      <c r="D2679" s="33">
        <f>IF(ISNUMBER(SEARCH('Φόρμα Εισαγωγής'!$C$2,E2679)),MAX($D$1:D2678)+1,0)</f>
        <v>0</v>
      </c>
      <c r="H2679" s="6">
        <f t="shared" si="134"/>
        <v>0</v>
      </c>
      <c r="I2679" s="6">
        <f t="shared" si="135"/>
        <v>0</v>
      </c>
      <c r="J2679" s="6">
        <f t="shared" si="136"/>
        <v>0</v>
      </c>
      <c r="L2679" s="4" t="str">
        <f>IFERROR(VLOOKUP(ROWS($L$2:L2679),$B$2:$C$1996,2,0),"")</f>
        <v/>
      </c>
      <c r="N2679" s="2" t="str">
        <f>IFERROR(VLOOKUP(ROWS($N$2:N2679),$D$2:$E$1996,2,0),"")</f>
        <v/>
      </c>
    </row>
    <row r="2680" spans="2:14">
      <c r="B2680" s="32">
        <f>IF(ISNUMBER(SEARCH('Φόρμα Εισαγωγής'!$B$2,C2680)),MAX($B$1:B2679)+1,0)</f>
        <v>0</v>
      </c>
      <c r="D2680" s="33">
        <f>IF(ISNUMBER(SEARCH('Φόρμα Εισαγωγής'!$C$2,E2680)),MAX($D$1:D2679)+1,0)</f>
        <v>0</v>
      </c>
      <c r="H2680" s="6">
        <f t="shared" si="134"/>
        <v>0</v>
      </c>
      <c r="I2680" s="6">
        <f t="shared" si="135"/>
        <v>0</v>
      </c>
      <c r="J2680" s="6">
        <f t="shared" si="136"/>
        <v>0</v>
      </c>
      <c r="L2680" s="4" t="str">
        <f>IFERROR(VLOOKUP(ROWS($L$2:L2680),$B$2:$C$1996,2,0),"")</f>
        <v/>
      </c>
      <c r="N2680" s="2" t="str">
        <f>IFERROR(VLOOKUP(ROWS($N$2:N2680),$D$2:$E$1996,2,0),"")</f>
        <v/>
      </c>
    </row>
    <row r="2681" spans="2:14">
      <c r="B2681" s="32">
        <f>IF(ISNUMBER(SEARCH('Φόρμα Εισαγωγής'!$B$2,C2681)),MAX($B$1:B2680)+1,0)</f>
        <v>0</v>
      </c>
      <c r="D2681" s="33">
        <f>IF(ISNUMBER(SEARCH('Φόρμα Εισαγωγής'!$C$2,E2681)),MAX($D$1:D2680)+1,0)</f>
        <v>0</v>
      </c>
      <c r="H2681" s="6">
        <f t="shared" si="134"/>
        <v>0</v>
      </c>
      <c r="I2681" s="6">
        <f t="shared" si="135"/>
        <v>0</v>
      </c>
      <c r="J2681" s="6">
        <f t="shared" si="136"/>
        <v>0</v>
      </c>
      <c r="L2681" s="4" t="str">
        <f>IFERROR(VLOOKUP(ROWS($L$2:L2681),$B$2:$C$1996,2,0),"")</f>
        <v/>
      </c>
      <c r="N2681" s="2" t="str">
        <f>IFERROR(VLOOKUP(ROWS($N$2:N2681),$D$2:$E$1996,2,0),"")</f>
        <v/>
      </c>
    </row>
    <row r="2682" spans="2:14">
      <c r="B2682" s="32">
        <f>IF(ISNUMBER(SEARCH('Φόρμα Εισαγωγής'!$B$2,C2682)),MAX($B$1:B2681)+1,0)</f>
        <v>0</v>
      </c>
      <c r="D2682" s="33">
        <f>IF(ISNUMBER(SEARCH('Φόρμα Εισαγωγής'!$C$2,E2682)),MAX($D$1:D2681)+1,0)</f>
        <v>0</v>
      </c>
      <c r="H2682" s="6">
        <f t="shared" si="134"/>
        <v>0</v>
      </c>
      <c r="I2682" s="6">
        <f t="shared" si="135"/>
        <v>0</v>
      </c>
      <c r="J2682" s="6">
        <f t="shared" si="136"/>
        <v>0</v>
      </c>
      <c r="L2682" s="4" t="str">
        <f>IFERROR(VLOOKUP(ROWS($L$2:L2682),$B$2:$C$1996,2,0),"")</f>
        <v/>
      </c>
      <c r="N2682" s="2" t="str">
        <f>IFERROR(VLOOKUP(ROWS($N$2:N2682),$D$2:$E$1996,2,0),"")</f>
        <v/>
      </c>
    </row>
    <row r="2683" spans="2:14">
      <c r="B2683" s="32">
        <f>IF(ISNUMBER(SEARCH('Φόρμα Εισαγωγής'!$B$2,C2683)),MAX($B$1:B2682)+1,0)</f>
        <v>0</v>
      </c>
      <c r="D2683" s="33">
        <f>IF(ISNUMBER(SEARCH('Φόρμα Εισαγωγής'!$C$2,E2683)),MAX($D$1:D2682)+1,0)</f>
        <v>0</v>
      </c>
      <c r="H2683" s="6">
        <f t="shared" si="134"/>
        <v>0</v>
      </c>
      <c r="I2683" s="6">
        <f t="shared" si="135"/>
        <v>0</v>
      </c>
      <c r="J2683" s="6">
        <f t="shared" si="136"/>
        <v>0</v>
      </c>
      <c r="L2683" s="4" t="str">
        <f>IFERROR(VLOOKUP(ROWS($L$2:L2683),$B$2:$C$1996,2,0),"")</f>
        <v/>
      </c>
      <c r="N2683" s="2" t="str">
        <f>IFERROR(VLOOKUP(ROWS($N$2:N2683),$D$2:$E$1996,2,0),"")</f>
        <v/>
      </c>
    </row>
    <row r="2684" spans="2:14">
      <c r="B2684" s="32">
        <f>IF(ISNUMBER(SEARCH('Φόρμα Εισαγωγής'!$B$2,C2684)),MAX($B$1:B2683)+1,0)</f>
        <v>0</v>
      </c>
      <c r="D2684" s="33">
        <f>IF(ISNUMBER(SEARCH('Φόρμα Εισαγωγής'!$C$2,E2684)),MAX($D$1:D2683)+1,0)</f>
        <v>0</v>
      </c>
      <c r="H2684" s="6">
        <f t="shared" si="134"/>
        <v>0</v>
      </c>
      <c r="I2684" s="6">
        <f t="shared" si="135"/>
        <v>0</v>
      </c>
      <c r="J2684" s="6">
        <f t="shared" si="136"/>
        <v>0</v>
      </c>
      <c r="L2684" s="4" t="str">
        <f>IFERROR(VLOOKUP(ROWS($L$2:L2684),$B$2:$C$1996,2,0),"")</f>
        <v/>
      </c>
      <c r="N2684" s="2" t="str">
        <f>IFERROR(VLOOKUP(ROWS($N$2:N2684),$D$2:$E$1996,2,0),"")</f>
        <v/>
      </c>
    </row>
    <row r="2685" spans="2:14">
      <c r="B2685" s="32">
        <f>IF(ISNUMBER(SEARCH('Φόρμα Εισαγωγής'!$B$2,C2685)),MAX($B$1:B2684)+1,0)</f>
        <v>0</v>
      </c>
      <c r="D2685" s="33">
        <f>IF(ISNUMBER(SEARCH('Φόρμα Εισαγωγής'!$C$2,E2685)),MAX($D$1:D2684)+1,0)</f>
        <v>0</v>
      </c>
      <c r="H2685" s="6">
        <f t="shared" si="134"/>
        <v>0</v>
      </c>
      <c r="I2685" s="6">
        <f t="shared" si="135"/>
        <v>0</v>
      </c>
      <c r="J2685" s="6">
        <f t="shared" si="136"/>
        <v>0</v>
      </c>
      <c r="L2685" s="4" t="str">
        <f>IFERROR(VLOOKUP(ROWS($L$2:L2685),$B$2:$C$1996,2,0),"")</f>
        <v/>
      </c>
      <c r="N2685" s="2" t="str">
        <f>IFERROR(VLOOKUP(ROWS($N$2:N2685),$D$2:$E$1996,2,0),"")</f>
        <v/>
      </c>
    </row>
    <row r="2686" spans="2:14">
      <c r="B2686" s="32">
        <f>IF(ISNUMBER(SEARCH('Φόρμα Εισαγωγής'!$B$2,C2686)),MAX($B$1:B2685)+1,0)</f>
        <v>0</v>
      </c>
      <c r="D2686" s="33">
        <f>IF(ISNUMBER(SEARCH('Φόρμα Εισαγωγής'!$C$2,E2686)),MAX($D$1:D2685)+1,0)</f>
        <v>0</v>
      </c>
      <c r="H2686" s="6">
        <f t="shared" si="134"/>
        <v>0</v>
      </c>
      <c r="I2686" s="6">
        <f t="shared" si="135"/>
        <v>0</v>
      </c>
      <c r="J2686" s="6">
        <f t="shared" si="136"/>
        <v>0</v>
      </c>
      <c r="L2686" s="4" t="str">
        <f>IFERROR(VLOOKUP(ROWS($L$2:L2686),$B$2:$C$1996,2,0),"")</f>
        <v/>
      </c>
      <c r="N2686" s="2" t="str">
        <f>IFERROR(VLOOKUP(ROWS($N$2:N2686),$D$2:$E$1996,2,0),"")</f>
        <v/>
      </c>
    </row>
    <row r="2687" spans="2:14">
      <c r="B2687" s="32">
        <f>IF(ISNUMBER(SEARCH('Φόρμα Εισαγωγής'!$B$2,C2687)),MAX($B$1:B2686)+1,0)</f>
        <v>0</v>
      </c>
      <c r="D2687" s="33">
        <f>IF(ISNUMBER(SEARCH('Φόρμα Εισαγωγής'!$C$2,E2687)),MAX($D$1:D2686)+1,0)</f>
        <v>0</v>
      </c>
      <c r="H2687" s="6">
        <f t="shared" si="134"/>
        <v>0</v>
      </c>
      <c r="I2687" s="6">
        <f t="shared" si="135"/>
        <v>0</v>
      </c>
      <c r="J2687" s="6">
        <f t="shared" si="136"/>
        <v>0</v>
      </c>
      <c r="L2687" s="4" t="str">
        <f>IFERROR(VLOOKUP(ROWS($L$2:L2687),$B$2:$C$1996,2,0),"")</f>
        <v/>
      </c>
      <c r="N2687" s="2" t="str">
        <f>IFERROR(VLOOKUP(ROWS($N$2:N2687),$D$2:$E$1996,2,0),"")</f>
        <v/>
      </c>
    </row>
    <row r="2688" spans="2:14">
      <c r="B2688" s="32">
        <f>IF(ISNUMBER(SEARCH('Φόρμα Εισαγωγής'!$B$2,C2688)),MAX($B$1:B2687)+1,0)</f>
        <v>0</v>
      </c>
      <c r="D2688" s="33">
        <f>IF(ISNUMBER(SEARCH('Φόρμα Εισαγωγής'!$C$2,E2688)),MAX($D$1:D2687)+1,0)</f>
        <v>0</v>
      </c>
      <c r="H2688" s="6">
        <f t="shared" ref="H2688:H2751" si="137">G2688+(G2688*0.24)</f>
        <v>0</v>
      </c>
      <c r="I2688" s="6">
        <f t="shared" ref="I2688:I2751" si="138">F2688*A2688</f>
        <v>0</v>
      </c>
      <c r="J2688" s="6">
        <f t="shared" ref="J2688:J2751" si="139">H2688*A2688</f>
        <v>0</v>
      </c>
      <c r="L2688" s="4" t="str">
        <f>IFERROR(VLOOKUP(ROWS($L$2:L2688),$B$2:$C$1996,2,0),"")</f>
        <v/>
      </c>
      <c r="N2688" s="2" t="str">
        <f>IFERROR(VLOOKUP(ROWS($N$2:N2688),$D$2:$E$1996,2,0),"")</f>
        <v/>
      </c>
    </row>
    <row r="2689" spans="2:14">
      <c r="B2689" s="32">
        <f>IF(ISNUMBER(SEARCH('Φόρμα Εισαγωγής'!$B$2,C2689)),MAX($B$1:B2688)+1,0)</f>
        <v>0</v>
      </c>
      <c r="D2689" s="33">
        <f>IF(ISNUMBER(SEARCH('Φόρμα Εισαγωγής'!$C$2,E2689)),MAX($D$1:D2688)+1,0)</f>
        <v>0</v>
      </c>
      <c r="H2689" s="6">
        <f t="shared" si="137"/>
        <v>0</v>
      </c>
      <c r="I2689" s="6">
        <f t="shared" si="138"/>
        <v>0</v>
      </c>
      <c r="J2689" s="6">
        <f t="shared" si="139"/>
        <v>0</v>
      </c>
      <c r="L2689" s="4" t="str">
        <f>IFERROR(VLOOKUP(ROWS($L$2:L2689),$B$2:$C$1996,2,0),"")</f>
        <v/>
      </c>
      <c r="N2689" s="2" t="str">
        <f>IFERROR(VLOOKUP(ROWS($N$2:N2689),$D$2:$E$1996,2,0),"")</f>
        <v/>
      </c>
    </row>
    <row r="2690" spans="2:14">
      <c r="B2690" s="32">
        <f>IF(ISNUMBER(SEARCH('Φόρμα Εισαγωγής'!$B$2,C2690)),MAX($B$1:B2689)+1,0)</f>
        <v>0</v>
      </c>
      <c r="D2690" s="33">
        <f>IF(ISNUMBER(SEARCH('Φόρμα Εισαγωγής'!$C$2,E2690)),MAX($D$1:D2689)+1,0)</f>
        <v>0</v>
      </c>
      <c r="H2690" s="6">
        <f t="shared" si="137"/>
        <v>0</v>
      </c>
      <c r="I2690" s="6">
        <f t="shared" si="138"/>
        <v>0</v>
      </c>
      <c r="J2690" s="6">
        <f t="shared" si="139"/>
        <v>0</v>
      </c>
      <c r="L2690" s="4" t="str">
        <f>IFERROR(VLOOKUP(ROWS($L$2:L2690),$B$2:$C$1996,2,0),"")</f>
        <v/>
      </c>
      <c r="N2690" s="2" t="str">
        <f>IFERROR(VLOOKUP(ROWS($N$2:N2690),$D$2:$E$1996,2,0),"")</f>
        <v/>
      </c>
    </row>
    <row r="2691" spans="2:14">
      <c r="B2691" s="32">
        <f>IF(ISNUMBER(SEARCH('Φόρμα Εισαγωγής'!$B$2,C2691)),MAX($B$1:B2690)+1,0)</f>
        <v>0</v>
      </c>
      <c r="D2691" s="33">
        <f>IF(ISNUMBER(SEARCH('Φόρμα Εισαγωγής'!$C$2,E2691)),MAX($D$1:D2690)+1,0)</f>
        <v>0</v>
      </c>
      <c r="H2691" s="6">
        <f t="shared" si="137"/>
        <v>0</v>
      </c>
      <c r="I2691" s="6">
        <f t="shared" si="138"/>
        <v>0</v>
      </c>
      <c r="J2691" s="6">
        <f t="shared" si="139"/>
        <v>0</v>
      </c>
      <c r="L2691" s="4" t="str">
        <f>IFERROR(VLOOKUP(ROWS($L$2:L2691),$B$2:$C$1996,2,0),"")</f>
        <v/>
      </c>
      <c r="N2691" s="2" t="str">
        <f>IFERROR(VLOOKUP(ROWS($N$2:N2691),$D$2:$E$1996,2,0),"")</f>
        <v/>
      </c>
    </row>
    <row r="2692" spans="2:14">
      <c r="B2692" s="32">
        <f>IF(ISNUMBER(SEARCH('Φόρμα Εισαγωγής'!$B$2,C2692)),MAX($B$1:B2691)+1,0)</f>
        <v>0</v>
      </c>
      <c r="D2692" s="33">
        <f>IF(ISNUMBER(SEARCH('Φόρμα Εισαγωγής'!$C$2,E2692)),MAX($D$1:D2691)+1,0)</f>
        <v>0</v>
      </c>
      <c r="H2692" s="6">
        <f t="shared" si="137"/>
        <v>0</v>
      </c>
      <c r="I2692" s="6">
        <f t="shared" si="138"/>
        <v>0</v>
      </c>
      <c r="J2692" s="6">
        <f t="shared" si="139"/>
        <v>0</v>
      </c>
      <c r="L2692" s="4" t="str">
        <f>IFERROR(VLOOKUP(ROWS($L$2:L2692),$B$2:$C$1996,2,0),"")</f>
        <v/>
      </c>
      <c r="N2692" s="2" t="str">
        <f>IFERROR(VLOOKUP(ROWS($N$2:N2692),$D$2:$E$1996,2,0),"")</f>
        <v/>
      </c>
    </row>
    <row r="2693" spans="2:14">
      <c r="B2693" s="32">
        <f>IF(ISNUMBER(SEARCH('Φόρμα Εισαγωγής'!$B$2,C2693)),MAX($B$1:B2692)+1,0)</f>
        <v>0</v>
      </c>
      <c r="D2693" s="33">
        <f>IF(ISNUMBER(SEARCH('Φόρμα Εισαγωγής'!$C$2,E2693)),MAX($D$1:D2692)+1,0)</f>
        <v>0</v>
      </c>
      <c r="H2693" s="6">
        <f t="shared" si="137"/>
        <v>0</v>
      </c>
      <c r="I2693" s="6">
        <f t="shared" si="138"/>
        <v>0</v>
      </c>
      <c r="J2693" s="6">
        <f t="shared" si="139"/>
        <v>0</v>
      </c>
      <c r="L2693" s="4" t="str">
        <f>IFERROR(VLOOKUP(ROWS($L$2:L2693),$B$2:$C$1996,2,0),"")</f>
        <v/>
      </c>
      <c r="N2693" s="2" t="str">
        <f>IFERROR(VLOOKUP(ROWS($N$2:N2693),$D$2:$E$1996,2,0),"")</f>
        <v/>
      </c>
    </row>
    <row r="2694" spans="2:14">
      <c r="B2694" s="32">
        <f>IF(ISNUMBER(SEARCH('Φόρμα Εισαγωγής'!$B$2,C2694)),MAX($B$1:B2693)+1,0)</f>
        <v>0</v>
      </c>
      <c r="D2694" s="33">
        <f>IF(ISNUMBER(SEARCH('Φόρμα Εισαγωγής'!$C$2,E2694)),MAX($D$1:D2693)+1,0)</f>
        <v>0</v>
      </c>
      <c r="H2694" s="6">
        <f t="shared" si="137"/>
        <v>0</v>
      </c>
      <c r="I2694" s="6">
        <f t="shared" si="138"/>
        <v>0</v>
      </c>
      <c r="J2694" s="6">
        <f t="shared" si="139"/>
        <v>0</v>
      </c>
      <c r="L2694" s="4" t="str">
        <f>IFERROR(VLOOKUP(ROWS($L$2:L2694),$B$2:$C$1996,2,0),"")</f>
        <v/>
      </c>
      <c r="N2694" s="2" t="str">
        <f>IFERROR(VLOOKUP(ROWS($N$2:N2694),$D$2:$E$1996,2,0),"")</f>
        <v/>
      </c>
    </row>
    <row r="2695" spans="2:14">
      <c r="B2695" s="32">
        <f>IF(ISNUMBER(SEARCH('Φόρμα Εισαγωγής'!$B$2,C2695)),MAX($B$1:B2694)+1,0)</f>
        <v>0</v>
      </c>
      <c r="D2695" s="33">
        <f>IF(ISNUMBER(SEARCH('Φόρμα Εισαγωγής'!$C$2,E2695)),MAX($D$1:D2694)+1,0)</f>
        <v>0</v>
      </c>
      <c r="H2695" s="6">
        <f t="shared" si="137"/>
        <v>0</v>
      </c>
      <c r="I2695" s="6">
        <f t="shared" si="138"/>
        <v>0</v>
      </c>
      <c r="J2695" s="6">
        <f t="shared" si="139"/>
        <v>0</v>
      </c>
      <c r="L2695" s="4" t="str">
        <f>IFERROR(VLOOKUP(ROWS($L$2:L2695),$B$2:$C$1996,2,0),"")</f>
        <v/>
      </c>
      <c r="N2695" s="2" t="str">
        <f>IFERROR(VLOOKUP(ROWS($N$2:N2695),$D$2:$E$1996,2,0),"")</f>
        <v/>
      </c>
    </row>
    <row r="2696" spans="2:14">
      <c r="B2696" s="32">
        <f>IF(ISNUMBER(SEARCH('Φόρμα Εισαγωγής'!$B$2,C2696)),MAX($B$1:B2695)+1,0)</f>
        <v>0</v>
      </c>
      <c r="D2696" s="33">
        <f>IF(ISNUMBER(SEARCH('Φόρμα Εισαγωγής'!$C$2,E2696)),MAX($D$1:D2695)+1,0)</f>
        <v>0</v>
      </c>
      <c r="H2696" s="6">
        <f t="shared" si="137"/>
        <v>0</v>
      </c>
      <c r="I2696" s="6">
        <f t="shared" si="138"/>
        <v>0</v>
      </c>
      <c r="J2696" s="6">
        <f t="shared" si="139"/>
        <v>0</v>
      </c>
      <c r="L2696" s="4" t="str">
        <f>IFERROR(VLOOKUP(ROWS($L$2:L2696),$B$2:$C$1996,2,0),"")</f>
        <v/>
      </c>
      <c r="N2696" s="2" t="str">
        <f>IFERROR(VLOOKUP(ROWS($N$2:N2696),$D$2:$E$1996,2,0),"")</f>
        <v/>
      </c>
    </row>
    <row r="2697" spans="2:14">
      <c r="B2697" s="32">
        <f>IF(ISNUMBER(SEARCH('Φόρμα Εισαγωγής'!$B$2,C2697)),MAX($B$1:B2696)+1,0)</f>
        <v>0</v>
      </c>
      <c r="D2697" s="33">
        <f>IF(ISNUMBER(SEARCH('Φόρμα Εισαγωγής'!$C$2,E2697)),MAX($D$1:D2696)+1,0)</f>
        <v>0</v>
      </c>
      <c r="H2697" s="6">
        <f t="shared" si="137"/>
        <v>0</v>
      </c>
      <c r="I2697" s="6">
        <f t="shared" si="138"/>
        <v>0</v>
      </c>
      <c r="J2697" s="6">
        <f t="shared" si="139"/>
        <v>0</v>
      </c>
      <c r="L2697" s="4" t="str">
        <f>IFERROR(VLOOKUP(ROWS($L$2:L2697),$B$2:$C$1996,2,0),"")</f>
        <v/>
      </c>
      <c r="N2697" s="2" t="str">
        <f>IFERROR(VLOOKUP(ROWS($N$2:N2697),$D$2:$E$1996,2,0),"")</f>
        <v/>
      </c>
    </row>
    <row r="2698" spans="2:14">
      <c r="B2698" s="32">
        <f>IF(ISNUMBER(SEARCH('Φόρμα Εισαγωγής'!$B$2,C2698)),MAX($B$1:B2697)+1,0)</f>
        <v>0</v>
      </c>
      <c r="D2698" s="33">
        <f>IF(ISNUMBER(SEARCH('Φόρμα Εισαγωγής'!$C$2,E2698)),MAX($D$1:D2697)+1,0)</f>
        <v>0</v>
      </c>
      <c r="H2698" s="6">
        <f t="shared" si="137"/>
        <v>0</v>
      </c>
      <c r="I2698" s="6">
        <f t="shared" si="138"/>
        <v>0</v>
      </c>
      <c r="J2698" s="6">
        <f t="shared" si="139"/>
        <v>0</v>
      </c>
      <c r="L2698" s="4" t="str">
        <f>IFERROR(VLOOKUP(ROWS($L$2:L2698),$B$2:$C$1996,2,0),"")</f>
        <v/>
      </c>
      <c r="N2698" s="2" t="str">
        <f>IFERROR(VLOOKUP(ROWS($N$2:N2698),$D$2:$E$1996,2,0),"")</f>
        <v/>
      </c>
    </row>
    <row r="2699" spans="2:14">
      <c r="B2699" s="32">
        <f>IF(ISNUMBER(SEARCH('Φόρμα Εισαγωγής'!$B$2,C2699)),MAX($B$1:B2698)+1,0)</f>
        <v>0</v>
      </c>
      <c r="D2699" s="33">
        <f>IF(ISNUMBER(SEARCH('Φόρμα Εισαγωγής'!$C$2,E2699)),MAX($D$1:D2698)+1,0)</f>
        <v>0</v>
      </c>
      <c r="H2699" s="6">
        <f t="shared" si="137"/>
        <v>0</v>
      </c>
      <c r="I2699" s="6">
        <f t="shared" si="138"/>
        <v>0</v>
      </c>
      <c r="J2699" s="6">
        <f t="shared" si="139"/>
        <v>0</v>
      </c>
      <c r="L2699" s="4" t="str">
        <f>IFERROR(VLOOKUP(ROWS($L$2:L2699),$B$2:$C$1996,2,0),"")</f>
        <v/>
      </c>
      <c r="N2699" s="2" t="str">
        <f>IFERROR(VLOOKUP(ROWS($N$2:N2699),$D$2:$E$1996,2,0),"")</f>
        <v/>
      </c>
    </row>
    <row r="2700" spans="2:14">
      <c r="B2700" s="32">
        <f>IF(ISNUMBER(SEARCH('Φόρμα Εισαγωγής'!$B$2,C2700)),MAX($B$1:B2699)+1,0)</f>
        <v>0</v>
      </c>
      <c r="D2700" s="33">
        <f>IF(ISNUMBER(SEARCH('Φόρμα Εισαγωγής'!$C$2,E2700)),MAX($D$1:D2699)+1,0)</f>
        <v>0</v>
      </c>
      <c r="H2700" s="6">
        <f t="shared" si="137"/>
        <v>0</v>
      </c>
      <c r="I2700" s="6">
        <f t="shared" si="138"/>
        <v>0</v>
      </c>
      <c r="J2700" s="6">
        <f t="shared" si="139"/>
        <v>0</v>
      </c>
      <c r="L2700" s="4" t="str">
        <f>IFERROR(VLOOKUP(ROWS($L$2:L2700),$B$2:$C$1996,2,0),"")</f>
        <v/>
      </c>
      <c r="N2700" s="2" t="str">
        <f>IFERROR(VLOOKUP(ROWS($N$2:N2700),$D$2:$E$1996,2,0),"")</f>
        <v/>
      </c>
    </row>
    <row r="2701" spans="2:14">
      <c r="B2701" s="32">
        <f>IF(ISNUMBER(SEARCH('Φόρμα Εισαγωγής'!$B$2,C2701)),MAX($B$1:B2700)+1,0)</f>
        <v>0</v>
      </c>
      <c r="D2701" s="33">
        <f>IF(ISNUMBER(SEARCH('Φόρμα Εισαγωγής'!$C$2,E2701)),MAX($D$1:D2700)+1,0)</f>
        <v>0</v>
      </c>
      <c r="H2701" s="6">
        <f t="shared" si="137"/>
        <v>0</v>
      </c>
      <c r="I2701" s="6">
        <f t="shared" si="138"/>
        <v>0</v>
      </c>
      <c r="J2701" s="6">
        <f t="shared" si="139"/>
        <v>0</v>
      </c>
      <c r="L2701" s="4" t="str">
        <f>IFERROR(VLOOKUP(ROWS($L$2:L2701),$B$2:$C$1996,2,0),"")</f>
        <v/>
      </c>
      <c r="N2701" s="2" t="str">
        <f>IFERROR(VLOOKUP(ROWS($N$2:N2701),$D$2:$E$1996,2,0),"")</f>
        <v/>
      </c>
    </row>
    <row r="2702" spans="2:14">
      <c r="B2702" s="32">
        <f>IF(ISNUMBER(SEARCH('Φόρμα Εισαγωγής'!$B$2,C2702)),MAX($B$1:B2701)+1,0)</f>
        <v>0</v>
      </c>
      <c r="D2702" s="33">
        <f>IF(ISNUMBER(SEARCH('Φόρμα Εισαγωγής'!$C$2,E2702)),MAX($D$1:D2701)+1,0)</f>
        <v>0</v>
      </c>
      <c r="H2702" s="6">
        <f t="shared" si="137"/>
        <v>0</v>
      </c>
      <c r="I2702" s="6">
        <f t="shared" si="138"/>
        <v>0</v>
      </c>
      <c r="J2702" s="6">
        <f t="shared" si="139"/>
        <v>0</v>
      </c>
      <c r="L2702" s="4" t="str">
        <f>IFERROR(VLOOKUP(ROWS($L$2:L2702),$B$2:$C$1996,2,0),"")</f>
        <v/>
      </c>
      <c r="N2702" s="2" t="str">
        <f>IFERROR(VLOOKUP(ROWS($N$2:N2702),$D$2:$E$1996,2,0),"")</f>
        <v/>
      </c>
    </row>
    <row r="2703" spans="2:14">
      <c r="B2703" s="32">
        <f>IF(ISNUMBER(SEARCH('Φόρμα Εισαγωγής'!$B$2,C2703)),MAX($B$1:B2702)+1,0)</f>
        <v>0</v>
      </c>
      <c r="D2703" s="33">
        <f>IF(ISNUMBER(SEARCH('Φόρμα Εισαγωγής'!$C$2,E2703)),MAX($D$1:D2702)+1,0)</f>
        <v>0</v>
      </c>
      <c r="H2703" s="6">
        <f t="shared" si="137"/>
        <v>0</v>
      </c>
      <c r="I2703" s="6">
        <f t="shared" si="138"/>
        <v>0</v>
      </c>
      <c r="J2703" s="6">
        <f t="shared" si="139"/>
        <v>0</v>
      </c>
      <c r="L2703" s="4" t="str">
        <f>IFERROR(VLOOKUP(ROWS($L$2:L2703),$B$2:$C$1996,2,0),"")</f>
        <v/>
      </c>
      <c r="N2703" s="2" t="str">
        <f>IFERROR(VLOOKUP(ROWS($N$2:N2703),$D$2:$E$1996,2,0),"")</f>
        <v/>
      </c>
    </row>
    <row r="2704" spans="2:14">
      <c r="B2704" s="32">
        <f>IF(ISNUMBER(SEARCH('Φόρμα Εισαγωγής'!$B$2,C2704)),MAX($B$1:B2703)+1,0)</f>
        <v>0</v>
      </c>
      <c r="D2704" s="33">
        <f>IF(ISNUMBER(SEARCH('Φόρμα Εισαγωγής'!$C$2,E2704)),MAX($D$1:D2703)+1,0)</f>
        <v>0</v>
      </c>
      <c r="H2704" s="6">
        <f t="shared" si="137"/>
        <v>0</v>
      </c>
      <c r="I2704" s="6">
        <f t="shared" si="138"/>
        <v>0</v>
      </c>
      <c r="J2704" s="6">
        <f t="shared" si="139"/>
        <v>0</v>
      </c>
      <c r="L2704" s="4" t="str">
        <f>IFERROR(VLOOKUP(ROWS($L$2:L2704),$B$2:$C$1996,2,0),"")</f>
        <v/>
      </c>
      <c r="N2704" s="2" t="str">
        <f>IFERROR(VLOOKUP(ROWS($N$2:N2704),$D$2:$E$1996,2,0),"")</f>
        <v/>
      </c>
    </row>
    <row r="2705" spans="2:14">
      <c r="B2705" s="32">
        <f>IF(ISNUMBER(SEARCH('Φόρμα Εισαγωγής'!$B$2,C2705)),MAX($B$1:B2704)+1,0)</f>
        <v>0</v>
      </c>
      <c r="D2705" s="33">
        <f>IF(ISNUMBER(SEARCH('Φόρμα Εισαγωγής'!$C$2,E2705)),MAX($D$1:D2704)+1,0)</f>
        <v>0</v>
      </c>
      <c r="H2705" s="6">
        <f t="shared" si="137"/>
        <v>0</v>
      </c>
      <c r="I2705" s="6">
        <f t="shared" si="138"/>
        <v>0</v>
      </c>
      <c r="J2705" s="6">
        <f t="shared" si="139"/>
        <v>0</v>
      </c>
      <c r="L2705" s="4" t="str">
        <f>IFERROR(VLOOKUP(ROWS($L$2:L2705),$B$2:$C$1996,2,0),"")</f>
        <v/>
      </c>
      <c r="N2705" s="2" t="str">
        <f>IFERROR(VLOOKUP(ROWS($N$2:N2705),$D$2:$E$1996,2,0),"")</f>
        <v/>
      </c>
    </row>
    <row r="2706" spans="2:14">
      <c r="B2706" s="32">
        <f>IF(ISNUMBER(SEARCH('Φόρμα Εισαγωγής'!$B$2,C2706)),MAX($B$1:B2705)+1,0)</f>
        <v>0</v>
      </c>
      <c r="D2706" s="33">
        <f>IF(ISNUMBER(SEARCH('Φόρμα Εισαγωγής'!$C$2,E2706)),MAX($D$1:D2705)+1,0)</f>
        <v>0</v>
      </c>
      <c r="H2706" s="6">
        <f t="shared" si="137"/>
        <v>0</v>
      </c>
      <c r="I2706" s="6">
        <f t="shared" si="138"/>
        <v>0</v>
      </c>
      <c r="J2706" s="6">
        <f t="shared" si="139"/>
        <v>0</v>
      </c>
      <c r="L2706" s="4" t="str">
        <f>IFERROR(VLOOKUP(ROWS($L$2:L2706),$B$2:$C$1996,2,0),"")</f>
        <v/>
      </c>
      <c r="N2706" s="2" t="str">
        <f>IFERROR(VLOOKUP(ROWS($N$2:N2706),$D$2:$E$1996,2,0),"")</f>
        <v/>
      </c>
    </row>
    <row r="2707" spans="2:14">
      <c r="B2707" s="32">
        <f>IF(ISNUMBER(SEARCH('Φόρμα Εισαγωγής'!$B$2,C2707)),MAX($B$1:B2706)+1,0)</f>
        <v>0</v>
      </c>
      <c r="D2707" s="33">
        <f>IF(ISNUMBER(SEARCH('Φόρμα Εισαγωγής'!$C$2,E2707)),MAX($D$1:D2706)+1,0)</f>
        <v>0</v>
      </c>
      <c r="H2707" s="6">
        <f t="shared" si="137"/>
        <v>0</v>
      </c>
      <c r="I2707" s="6">
        <f t="shared" si="138"/>
        <v>0</v>
      </c>
      <c r="J2707" s="6">
        <f t="shared" si="139"/>
        <v>0</v>
      </c>
      <c r="L2707" s="4" t="str">
        <f>IFERROR(VLOOKUP(ROWS($L$2:L2707),$B$2:$C$1996,2,0),"")</f>
        <v/>
      </c>
      <c r="N2707" s="2" t="str">
        <f>IFERROR(VLOOKUP(ROWS($N$2:N2707),$D$2:$E$1996,2,0),"")</f>
        <v/>
      </c>
    </row>
    <row r="2708" spans="2:14">
      <c r="B2708" s="32">
        <f>IF(ISNUMBER(SEARCH('Φόρμα Εισαγωγής'!$B$2,C2708)),MAX($B$1:B2707)+1,0)</f>
        <v>0</v>
      </c>
      <c r="D2708" s="33">
        <f>IF(ISNUMBER(SEARCH('Φόρμα Εισαγωγής'!$C$2,E2708)),MAX($D$1:D2707)+1,0)</f>
        <v>0</v>
      </c>
      <c r="H2708" s="6">
        <f t="shared" si="137"/>
        <v>0</v>
      </c>
      <c r="I2708" s="6">
        <f t="shared" si="138"/>
        <v>0</v>
      </c>
      <c r="J2708" s="6">
        <f t="shared" si="139"/>
        <v>0</v>
      </c>
      <c r="L2708" s="4" t="str">
        <f>IFERROR(VLOOKUP(ROWS($L$2:L2708),$B$2:$C$1996,2,0),"")</f>
        <v/>
      </c>
      <c r="N2708" s="2" t="str">
        <f>IFERROR(VLOOKUP(ROWS($N$2:N2708),$D$2:$E$1996,2,0),"")</f>
        <v/>
      </c>
    </row>
    <row r="2709" spans="2:14">
      <c r="B2709" s="32">
        <f>IF(ISNUMBER(SEARCH('Φόρμα Εισαγωγής'!$B$2,C2709)),MAX($B$1:B2708)+1,0)</f>
        <v>0</v>
      </c>
      <c r="D2709" s="33">
        <f>IF(ISNUMBER(SEARCH('Φόρμα Εισαγωγής'!$C$2,E2709)),MAX($D$1:D2708)+1,0)</f>
        <v>0</v>
      </c>
      <c r="H2709" s="6">
        <f t="shared" si="137"/>
        <v>0</v>
      </c>
      <c r="I2709" s="6">
        <f t="shared" si="138"/>
        <v>0</v>
      </c>
      <c r="J2709" s="6">
        <f t="shared" si="139"/>
        <v>0</v>
      </c>
      <c r="L2709" s="4" t="str">
        <f>IFERROR(VLOOKUP(ROWS($L$2:L2709),$B$2:$C$1996,2,0),"")</f>
        <v/>
      </c>
      <c r="N2709" s="2" t="str">
        <f>IFERROR(VLOOKUP(ROWS($N$2:N2709),$D$2:$E$1996,2,0),"")</f>
        <v/>
      </c>
    </row>
    <row r="2710" spans="2:14">
      <c r="B2710" s="32">
        <f>IF(ISNUMBER(SEARCH('Φόρμα Εισαγωγής'!$B$2,C2710)),MAX($B$1:B2709)+1,0)</f>
        <v>0</v>
      </c>
      <c r="D2710" s="33">
        <f>IF(ISNUMBER(SEARCH('Φόρμα Εισαγωγής'!$C$2,E2710)),MAX($D$1:D2709)+1,0)</f>
        <v>0</v>
      </c>
      <c r="H2710" s="6">
        <f t="shared" si="137"/>
        <v>0</v>
      </c>
      <c r="I2710" s="6">
        <f t="shared" si="138"/>
        <v>0</v>
      </c>
      <c r="J2710" s="6">
        <f t="shared" si="139"/>
        <v>0</v>
      </c>
      <c r="L2710" s="4" t="str">
        <f>IFERROR(VLOOKUP(ROWS($L$2:L2710),$B$2:$C$1996,2,0),"")</f>
        <v/>
      </c>
      <c r="N2710" s="2" t="str">
        <f>IFERROR(VLOOKUP(ROWS($N$2:N2710),$D$2:$E$1996,2,0),"")</f>
        <v/>
      </c>
    </row>
    <row r="2711" spans="2:14">
      <c r="B2711" s="32">
        <f>IF(ISNUMBER(SEARCH('Φόρμα Εισαγωγής'!$B$2,C2711)),MAX($B$1:B2710)+1,0)</f>
        <v>0</v>
      </c>
      <c r="D2711" s="33">
        <f>IF(ISNUMBER(SEARCH('Φόρμα Εισαγωγής'!$C$2,E2711)),MAX($D$1:D2710)+1,0)</f>
        <v>0</v>
      </c>
      <c r="H2711" s="6">
        <f t="shared" si="137"/>
        <v>0</v>
      </c>
      <c r="I2711" s="6">
        <f t="shared" si="138"/>
        <v>0</v>
      </c>
      <c r="J2711" s="6">
        <f t="shared" si="139"/>
        <v>0</v>
      </c>
      <c r="L2711" s="4" t="str">
        <f>IFERROR(VLOOKUP(ROWS($L$2:L2711),$B$2:$C$1996,2,0),"")</f>
        <v/>
      </c>
      <c r="N2711" s="2" t="str">
        <f>IFERROR(VLOOKUP(ROWS($N$2:N2711),$D$2:$E$1996,2,0),"")</f>
        <v/>
      </c>
    </row>
    <row r="2712" spans="2:14">
      <c r="B2712" s="32">
        <f>IF(ISNUMBER(SEARCH('Φόρμα Εισαγωγής'!$B$2,C2712)),MAX($B$1:B2711)+1,0)</f>
        <v>0</v>
      </c>
      <c r="D2712" s="33">
        <f>IF(ISNUMBER(SEARCH('Φόρμα Εισαγωγής'!$C$2,E2712)),MAX($D$1:D2711)+1,0)</f>
        <v>0</v>
      </c>
      <c r="H2712" s="6">
        <f t="shared" si="137"/>
        <v>0</v>
      </c>
      <c r="I2712" s="6">
        <f t="shared" si="138"/>
        <v>0</v>
      </c>
      <c r="J2712" s="6">
        <f t="shared" si="139"/>
        <v>0</v>
      </c>
      <c r="L2712" s="4" t="str">
        <f>IFERROR(VLOOKUP(ROWS($L$2:L2712),$B$2:$C$1996,2,0),"")</f>
        <v/>
      </c>
      <c r="N2712" s="2" t="str">
        <f>IFERROR(VLOOKUP(ROWS($N$2:N2712),$D$2:$E$1996,2,0),"")</f>
        <v/>
      </c>
    </row>
    <row r="2713" spans="2:14">
      <c r="B2713" s="32">
        <f>IF(ISNUMBER(SEARCH('Φόρμα Εισαγωγής'!$B$2,C2713)),MAX($B$1:B2712)+1,0)</f>
        <v>0</v>
      </c>
      <c r="D2713" s="33">
        <f>IF(ISNUMBER(SEARCH('Φόρμα Εισαγωγής'!$C$2,E2713)),MAX($D$1:D2712)+1,0)</f>
        <v>0</v>
      </c>
      <c r="H2713" s="6">
        <f t="shared" si="137"/>
        <v>0</v>
      </c>
      <c r="I2713" s="6">
        <f t="shared" si="138"/>
        <v>0</v>
      </c>
      <c r="J2713" s="6">
        <f t="shared" si="139"/>
        <v>0</v>
      </c>
      <c r="L2713" s="4" t="str">
        <f>IFERROR(VLOOKUP(ROWS($L$2:L2713),$B$2:$C$1996,2,0),"")</f>
        <v/>
      </c>
      <c r="N2713" s="2" t="str">
        <f>IFERROR(VLOOKUP(ROWS($N$2:N2713),$D$2:$E$1996,2,0),"")</f>
        <v/>
      </c>
    </row>
    <row r="2714" spans="2:14">
      <c r="B2714" s="32">
        <f>IF(ISNUMBER(SEARCH('Φόρμα Εισαγωγής'!$B$2,C2714)),MAX($B$1:B2713)+1,0)</f>
        <v>0</v>
      </c>
      <c r="D2714" s="33">
        <f>IF(ISNUMBER(SEARCH('Φόρμα Εισαγωγής'!$C$2,E2714)),MAX($D$1:D2713)+1,0)</f>
        <v>0</v>
      </c>
      <c r="H2714" s="6">
        <f t="shared" si="137"/>
        <v>0</v>
      </c>
      <c r="I2714" s="6">
        <f t="shared" si="138"/>
        <v>0</v>
      </c>
      <c r="J2714" s="6">
        <f t="shared" si="139"/>
        <v>0</v>
      </c>
      <c r="L2714" s="4" t="str">
        <f>IFERROR(VLOOKUP(ROWS($L$2:L2714),$B$2:$C$1996,2,0),"")</f>
        <v/>
      </c>
      <c r="N2714" s="2" t="str">
        <f>IFERROR(VLOOKUP(ROWS($N$2:N2714),$D$2:$E$1996,2,0),"")</f>
        <v/>
      </c>
    </row>
    <row r="2715" spans="2:14">
      <c r="B2715" s="32">
        <f>IF(ISNUMBER(SEARCH('Φόρμα Εισαγωγής'!$B$2,C2715)),MAX($B$1:B2714)+1,0)</f>
        <v>0</v>
      </c>
      <c r="D2715" s="33">
        <f>IF(ISNUMBER(SEARCH('Φόρμα Εισαγωγής'!$C$2,E2715)),MAX($D$1:D2714)+1,0)</f>
        <v>0</v>
      </c>
      <c r="H2715" s="6">
        <f t="shared" si="137"/>
        <v>0</v>
      </c>
      <c r="I2715" s="6">
        <f t="shared" si="138"/>
        <v>0</v>
      </c>
      <c r="J2715" s="6">
        <f t="shared" si="139"/>
        <v>0</v>
      </c>
      <c r="L2715" s="4" t="str">
        <f>IFERROR(VLOOKUP(ROWS($L$2:L2715),$B$2:$C$1996,2,0),"")</f>
        <v/>
      </c>
      <c r="N2715" s="2" t="str">
        <f>IFERROR(VLOOKUP(ROWS($N$2:N2715),$D$2:$E$1996,2,0),"")</f>
        <v/>
      </c>
    </row>
    <row r="2716" spans="2:14">
      <c r="B2716" s="32">
        <f>IF(ISNUMBER(SEARCH('Φόρμα Εισαγωγής'!$B$2,C2716)),MAX($B$1:B2715)+1,0)</f>
        <v>0</v>
      </c>
      <c r="D2716" s="33">
        <f>IF(ISNUMBER(SEARCH('Φόρμα Εισαγωγής'!$C$2,E2716)),MAX($D$1:D2715)+1,0)</f>
        <v>0</v>
      </c>
      <c r="H2716" s="6">
        <f t="shared" si="137"/>
        <v>0</v>
      </c>
      <c r="I2716" s="6">
        <f t="shared" si="138"/>
        <v>0</v>
      </c>
      <c r="J2716" s="6">
        <f t="shared" si="139"/>
        <v>0</v>
      </c>
      <c r="L2716" s="4" t="str">
        <f>IFERROR(VLOOKUP(ROWS($L$2:L2716),$B$2:$C$1996,2,0),"")</f>
        <v/>
      </c>
      <c r="N2716" s="2" t="str">
        <f>IFERROR(VLOOKUP(ROWS($N$2:N2716),$D$2:$E$1996,2,0),"")</f>
        <v/>
      </c>
    </row>
    <row r="2717" spans="2:14">
      <c r="B2717" s="32">
        <f>IF(ISNUMBER(SEARCH('Φόρμα Εισαγωγής'!$B$2,C2717)),MAX($B$1:B2716)+1,0)</f>
        <v>0</v>
      </c>
      <c r="D2717" s="33">
        <f>IF(ISNUMBER(SEARCH('Φόρμα Εισαγωγής'!$C$2,E2717)),MAX($D$1:D2716)+1,0)</f>
        <v>0</v>
      </c>
      <c r="H2717" s="6">
        <f t="shared" si="137"/>
        <v>0</v>
      </c>
      <c r="I2717" s="6">
        <f t="shared" si="138"/>
        <v>0</v>
      </c>
      <c r="J2717" s="6">
        <f t="shared" si="139"/>
        <v>0</v>
      </c>
      <c r="L2717" s="4" t="str">
        <f>IFERROR(VLOOKUP(ROWS($L$2:L2717),$B$2:$C$1996,2,0),"")</f>
        <v/>
      </c>
      <c r="N2717" s="2" t="str">
        <f>IFERROR(VLOOKUP(ROWS($N$2:N2717),$D$2:$E$1996,2,0),"")</f>
        <v/>
      </c>
    </row>
    <row r="2718" spans="2:14">
      <c r="B2718" s="32">
        <f>IF(ISNUMBER(SEARCH('Φόρμα Εισαγωγής'!$B$2,C2718)),MAX($B$1:B2717)+1,0)</f>
        <v>0</v>
      </c>
      <c r="D2718" s="33">
        <f>IF(ISNUMBER(SEARCH('Φόρμα Εισαγωγής'!$C$2,E2718)),MAX($D$1:D2717)+1,0)</f>
        <v>0</v>
      </c>
      <c r="H2718" s="6">
        <f t="shared" si="137"/>
        <v>0</v>
      </c>
      <c r="I2718" s="6">
        <f t="shared" si="138"/>
        <v>0</v>
      </c>
      <c r="J2718" s="6">
        <f t="shared" si="139"/>
        <v>0</v>
      </c>
      <c r="L2718" s="4" t="str">
        <f>IFERROR(VLOOKUP(ROWS($L$2:L2718),$B$2:$C$1996,2,0),"")</f>
        <v/>
      </c>
      <c r="N2718" s="2" t="str">
        <f>IFERROR(VLOOKUP(ROWS($N$2:N2718),$D$2:$E$1996,2,0),"")</f>
        <v/>
      </c>
    </row>
    <row r="2719" spans="2:14">
      <c r="B2719" s="32">
        <f>IF(ISNUMBER(SEARCH('Φόρμα Εισαγωγής'!$B$2,C2719)),MAX($B$1:B2718)+1,0)</f>
        <v>0</v>
      </c>
      <c r="D2719" s="33">
        <f>IF(ISNUMBER(SEARCH('Φόρμα Εισαγωγής'!$C$2,E2719)),MAX($D$1:D2718)+1,0)</f>
        <v>0</v>
      </c>
      <c r="H2719" s="6">
        <f t="shared" si="137"/>
        <v>0</v>
      </c>
      <c r="I2719" s="6">
        <f t="shared" si="138"/>
        <v>0</v>
      </c>
      <c r="J2719" s="6">
        <f t="shared" si="139"/>
        <v>0</v>
      </c>
      <c r="L2719" s="4" t="str">
        <f>IFERROR(VLOOKUP(ROWS($L$2:L2719),$B$2:$C$1996,2,0),"")</f>
        <v/>
      </c>
      <c r="N2719" s="2" t="str">
        <f>IFERROR(VLOOKUP(ROWS($N$2:N2719),$D$2:$E$1996,2,0),"")</f>
        <v/>
      </c>
    </row>
    <row r="2720" spans="2:14">
      <c r="B2720" s="32">
        <f>IF(ISNUMBER(SEARCH('Φόρμα Εισαγωγής'!$B$2,C2720)),MAX($B$1:B2719)+1,0)</f>
        <v>0</v>
      </c>
      <c r="D2720" s="33">
        <f>IF(ISNUMBER(SEARCH('Φόρμα Εισαγωγής'!$C$2,E2720)),MAX($D$1:D2719)+1,0)</f>
        <v>0</v>
      </c>
      <c r="H2720" s="6">
        <f t="shared" si="137"/>
        <v>0</v>
      </c>
      <c r="I2720" s="6">
        <f t="shared" si="138"/>
        <v>0</v>
      </c>
      <c r="J2720" s="6">
        <f t="shared" si="139"/>
        <v>0</v>
      </c>
      <c r="L2720" s="4" t="str">
        <f>IFERROR(VLOOKUP(ROWS($L$2:L2720),$B$2:$C$1996,2,0),"")</f>
        <v/>
      </c>
      <c r="N2720" s="2" t="str">
        <f>IFERROR(VLOOKUP(ROWS($N$2:N2720),$D$2:$E$1996,2,0),"")</f>
        <v/>
      </c>
    </row>
    <row r="2721" spans="2:14">
      <c r="B2721" s="32">
        <f>IF(ISNUMBER(SEARCH('Φόρμα Εισαγωγής'!$B$2,C2721)),MAX($B$1:B2720)+1,0)</f>
        <v>0</v>
      </c>
      <c r="D2721" s="33">
        <f>IF(ISNUMBER(SEARCH('Φόρμα Εισαγωγής'!$C$2,E2721)),MAX($D$1:D2720)+1,0)</f>
        <v>0</v>
      </c>
      <c r="H2721" s="6">
        <f t="shared" si="137"/>
        <v>0</v>
      </c>
      <c r="I2721" s="6">
        <f t="shared" si="138"/>
        <v>0</v>
      </c>
      <c r="J2721" s="6">
        <f t="shared" si="139"/>
        <v>0</v>
      </c>
      <c r="L2721" s="4" t="str">
        <f>IFERROR(VLOOKUP(ROWS($L$2:L2721),$B$2:$C$1996,2,0),"")</f>
        <v/>
      </c>
      <c r="N2721" s="2" t="str">
        <f>IFERROR(VLOOKUP(ROWS($N$2:N2721),$D$2:$E$1996,2,0),"")</f>
        <v/>
      </c>
    </row>
    <row r="2722" spans="2:14">
      <c r="B2722" s="32">
        <f>IF(ISNUMBER(SEARCH('Φόρμα Εισαγωγής'!$B$2,C2722)),MAX($B$1:B2721)+1,0)</f>
        <v>0</v>
      </c>
      <c r="D2722" s="33">
        <f>IF(ISNUMBER(SEARCH('Φόρμα Εισαγωγής'!$C$2,E2722)),MAX($D$1:D2721)+1,0)</f>
        <v>0</v>
      </c>
      <c r="H2722" s="6">
        <f t="shared" si="137"/>
        <v>0</v>
      </c>
      <c r="I2722" s="6">
        <f t="shared" si="138"/>
        <v>0</v>
      </c>
      <c r="J2722" s="6">
        <f t="shared" si="139"/>
        <v>0</v>
      </c>
      <c r="L2722" s="4" t="str">
        <f>IFERROR(VLOOKUP(ROWS($L$2:L2722),$B$2:$C$1996,2,0),"")</f>
        <v/>
      </c>
      <c r="N2722" s="2" t="str">
        <f>IFERROR(VLOOKUP(ROWS($N$2:N2722),$D$2:$E$1996,2,0),"")</f>
        <v/>
      </c>
    </row>
    <row r="2723" spans="2:14">
      <c r="B2723" s="32">
        <f>IF(ISNUMBER(SEARCH('Φόρμα Εισαγωγής'!$B$2,C2723)),MAX($B$1:B2722)+1,0)</f>
        <v>0</v>
      </c>
      <c r="D2723" s="33">
        <f>IF(ISNUMBER(SEARCH('Φόρμα Εισαγωγής'!$C$2,E2723)),MAX($D$1:D2722)+1,0)</f>
        <v>0</v>
      </c>
      <c r="H2723" s="6">
        <f t="shared" si="137"/>
        <v>0</v>
      </c>
      <c r="I2723" s="6">
        <f t="shared" si="138"/>
        <v>0</v>
      </c>
      <c r="J2723" s="6">
        <f t="shared" si="139"/>
        <v>0</v>
      </c>
      <c r="L2723" s="4" t="str">
        <f>IFERROR(VLOOKUP(ROWS($L$2:L2723),$B$2:$C$1996,2,0),"")</f>
        <v/>
      </c>
      <c r="N2723" s="2" t="str">
        <f>IFERROR(VLOOKUP(ROWS($N$2:N2723),$D$2:$E$1996,2,0),"")</f>
        <v/>
      </c>
    </row>
    <row r="2724" spans="2:14">
      <c r="B2724" s="32">
        <f>IF(ISNUMBER(SEARCH('Φόρμα Εισαγωγής'!$B$2,C2724)),MAX($B$1:B2723)+1,0)</f>
        <v>0</v>
      </c>
      <c r="D2724" s="33">
        <f>IF(ISNUMBER(SEARCH('Φόρμα Εισαγωγής'!$C$2,E2724)),MAX($D$1:D2723)+1,0)</f>
        <v>0</v>
      </c>
      <c r="H2724" s="6">
        <f t="shared" si="137"/>
        <v>0</v>
      </c>
      <c r="I2724" s="6">
        <f t="shared" si="138"/>
        <v>0</v>
      </c>
      <c r="J2724" s="6">
        <f t="shared" si="139"/>
        <v>0</v>
      </c>
      <c r="L2724" s="4" t="str">
        <f>IFERROR(VLOOKUP(ROWS($L$2:L2724),$B$2:$C$1996,2,0),"")</f>
        <v/>
      </c>
      <c r="N2724" s="2" t="str">
        <f>IFERROR(VLOOKUP(ROWS($N$2:N2724),$D$2:$E$1996,2,0),"")</f>
        <v/>
      </c>
    </row>
    <row r="2725" spans="2:14">
      <c r="B2725" s="32">
        <f>IF(ISNUMBER(SEARCH('Φόρμα Εισαγωγής'!$B$2,C2725)),MAX($B$1:B2724)+1,0)</f>
        <v>0</v>
      </c>
      <c r="D2725" s="33">
        <f>IF(ISNUMBER(SEARCH('Φόρμα Εισαγωγής'!$C$2,E2725)),MAX($D$1:D2724)+1,0)</f>
        <v>0</v>
      </c>
      <c r="H2725" s="6">
        <f t="shared" si="137"/>
        <v>0</v>
      </c>
      <c r="I2725" s="6">
        <f t="shared" si="138"/>
        <v>0</v>
      </c>
      <c r="J2725" s="6">
        <f t="shared" si="139"/>
        <v>0</v>
      </c>
      <c r="L2725" s="4" t="str">
        <f>IFERROR(VLOOKUP(ROWS($L$2:L2725),$B$2:$C$1996,2,0),"")</f>
        <v/>
      </c>
      <c r="N2725" s="2" t="str">
        <f>IFERROR(VLOOKUP(ROWS($N$2:N2725),$D$2:$E$1996,2,0),"")</f>
        <v/>
      </c>
    </row>
    <row r="2726" spans="2:14">
      <c r="B2726" s="32">
        <f>IF(ISNUMBER(SEARCH('Φόρμα Εισαγωγής'!$B$2,C2726)),MAX($B$1:B2725)+1,0)</f>
        <v>0</v>
      </c>
      <c r="D2726" s="33">
        <f>IF(ISNUMBER(SEARCH('Φόρμα Εισαγωγής'!$C$2,E2726)),MAX($D$1:D2725)+1,0)</f>
        <v>0</v>
      </c>
      <c r="H2726" s="6">
        <f t="shared" si="137"/>
        <v>0</v>
      </c>
      <c r="I2726" s="6">
        <f t="shared" si="138"/>
        <v>0</v>
      </c>
      <c r="J2726" s="6">
        <f t="shared" si="139"/>
        <v>0</v>
      </c>
      <c r="L2726" s="4" t="str">
        <f>IFERROR(VLOOKUP(ROWS($L$2:L2726),$B$2:$C$1996,2,0),"")</f>
        <v/>
      </c>
      <c r="N2726" s="2" t="str">
        <f>IFERROR(VLOOKUP(ROWS($N$2:N2726),$D$2:$E$1996,2,0),"")</f>
        <v/>
      </c>
    </row>
    <row r="2727" spans="2:14">
      <c r="B2727" s="32">
        <f>IF(ISNUMBER(SEARCH('Φόρμα Εισαγωγής'!$B$2,C2727)),MAX($B$1:B2726)+1,0)</f>
        <v>0</v>
      </c>
      <c r="D2727" s="33">
        <f>IF(ISNUMBER(SEARCH('Φόρμα Εισαγωγής'!$C$2,E2727)),MAX($D$1:D2726)+1,0)</f>
        <v>0</v>
      </c>
      <c r="H2727" s="6">
        <f t="shared" si="137"/>
        <v>0</v>
      </c>
      <c r="I2727" s="6">
        <f t="shared" si="138"/>
        <v>0</v>
      </c>
      <c r="J2727" s="6">
        <f t="shared" si="139"/>
        <v>0</v>
      </c>
      <c r="L2727" s="4" t="str">
        <f>IFERROR(VLOOKUP(ROWS($L$2:L2727),$B$2:$C$1996,2,0),"")</f>
        <v/>
      </c>
      <c r="N2727" s="2" t="str">
        <f>IFERROR(VLOOKUP(ROWS($N$2:N2727),$D$2:$E$1996,2,0),"")</f>
        <v/>
      </c>
    </row>
    <row r="2728" spans="2:14">
      <c r="B2728" s="32">
        <f>IF(ISNUMBER(SEARCH('Φόρμα Εισαγωγής'!$B$2,C2728)),MAX($B$1:B2727)+1,0)</f>
        <v>0</v>
      </c>
      <c r="D2728" s="33">
        <f>IF(ISNUMBER(SEARCH('Φόρμα Εισαγωγής'!$C$2,E2728)),MAX($D$1:D2727)+1,0)</f>
        <v>0</v>
      </c>
      <c r="H2728" s="6">
        <f t="shared" si="137"/>
        <v>0</v>
      </c>
      <c r="I2728" s="6">
        <f t="shared" si="138"/>
        <v>0</v>
      </c>
      <c r="J2728" s="6">
        <f t="shared" si="139"/>
        <v>0</v>
      </c>
      <c r="L2728" s="4" t="str">
        <f>IFERROR(VLOOKUP(ROWS($L$2:L2728),$B$2:$C$1996,2,0),"")</f>
        <v/>
      </c>
      <c r="N2728" s="2" t="str">
        <f>IFERROR(VLOOKUP(ROWS($N$2:N2728),$D$2:$E$1996,2,0),"")</f>
        <v/>
      </c>
    </row>
    <row r="2729" spans="2:14">
      <c r="B2729" s="32">
        <f>IF(ISNUMBER(SEARCH('Φόρμα Εισαγωγής'!$B$2,C2729)),MAX($B$1:B2728)+1,0)</f>
        <v>0</v>
      </c>
      <c r="D2729" s="33">
        <f>IF(ISNUMBER(SEARCH('Φόρμα Εισαγωγής'!$C$2,E2729)),MAX($D$1:D2728)+1,0)</f>
        <v>0</v>
      </c>
      <c r="H2729" s="6">
        <f t="shared" si="137"/>
        <v>0</v>
      </c>
      <c r="I2729" s="6">
        <f t="shared" si="138"/>
        <v>0</v>
      </c>
      <c r="J2729" s="6">
        <f t="shared" si="139"/>
        <v>0</v>
      </c>
      <c r="L2729" s="4" t="str">
        <f>IFERROR(VLOOKUP(ROWS($L$2:L2729),$B$2:$C$1996,2,0),"")</f>
        <v/>
      </c>
      <c r="N2729" s="2" t="str">
        <f>IFERROR(VLOOKUP(ROWS($N$2:N2729),$D$2:$E$1996,2,0),"")</f>
        <v/>
      </c>
    </row>
    <row r="2730" spans="2:14">
      <c r="B2730" s="32">
        <f>IF(ISNUMBER(SEARCH('Φόρμα Εισαγωγής'!$B$2,C2730)),MAX($B$1:B2729)+1,0)</f>
        <v>0</v>
      </c>
      <c r="D2730" s="33">
        <f>IF(ISNUMBER(SEARCH('Φόρμα Εισαγωγής'!$C$2,E2730)),MAX($D$1:D2729)+1,0)</f>
        <v>0</v>
      </c>
      <c r="H2730" s="6">
        <f t="shared" si="137"/>
        <v>0</v>
      </c>
      <c r="I2730" s="6">
        <f t="shared" si="138"/>
        <v>0</v>
      </c>
      <c r="J2730" s="6">
        <f t="shared" si="139"/>
        <v>0</v>
      </c>
      <c r="L2730" s="4" t="str">
        <f>IFERROR(VLOOKUP(ROWS($L$2:L2730),$B$2:$C$1996,2,0),"")</f>
        <v/>
      </c>
      <c r="N2730" s="2" t="str">
        <f>IFERROR(VLOOKUP(ROWS($N$2:N2730),$D$2:$E$1996,2,0),"")</f>
        <v/>
      </c>
    </row>
    <row r="2731" spans="2:14">
      <c r="B2731" s="32">
        <f>IF(ISNUMBER(SEARCH('Φόρμα Εισαγωγής'!$B$2,C2731)),MAX($B$1:B2730)+1,0)</f>
        <v>0</v>
      </c>
      <c r="D2731" s="33">
        <f>IF(ISNUMBER(SEARCH('Φόρμα Εισαγωγής'!$C$2,E2731)),MAX($D$1:D2730)+1,0)</f>
        <v>0</v>
      </c>
      <c r="H2731" s="6">
        <f t="shared" si="137"/>
        <v>0</v>
      </c>
      <c r="I2731" s="6">
        <f t="shared" si="138"/>
        <v>0</v>
      </c>
      <c r="J2731" s="6">
        <f t="shared" si="139"/>
        <v>0</v>
      </c>
      <c r="L2731" s="4" t="str">
        <f>IFERROR(VLOOKUP(ROWS($L$2:L2731),$B$2:$C$1996,2,0),"")</f>
        <v/>
      </c>
      <c r="N2731" s="2" t="str">
        <f>IFERROR(VLOOKUP(ROWS($N$2:N2731),$D$2:$E$1996,2,0),"")</f>
        <v/>
      </c>
    </row>
    <row r="2732" spans="2:14">
      <c r="B2732" s="32">
        <f>IF(ISNUMBER(SEARCH('Φόρμα Εισαγωγής'!$B$2,C2732)),MAX($B$1:B2731)+1,0)</f>
        <v>0</v>
      </c>
      <c r="D2732" s="33">
        <f>IF(ISNUMBER(SEARCH('Φόρμα Εισαγωγής'!$C$2,E2732)),MAX($D$1:D2731)+1,0)</f>
        <v>0</v>
      </c>
      <c r="H2732" s="6">
        <f t="shared" si="137"/>
        <v>0</v>
      </c>
      <c r="I2732" s="6">
        <f t="shared" si="138"/>
        <v>0</v>
      </c>
      <c r="J2732" s="6">
        <f t="shared" si="139"/>
        <v>0</v>
      </c>
      <c r="L2732" s="4" t="str">
        <f>IFERROR(VLOOKUP(ROWS($L$2:L2732),$B$2:$C$1996,2,0),"")</f>
        <v/>
      </c>
      <c r="N2732" s="2" t="str">
        <f>IFERROR(VLOOKUP(ROWS($N$2:N2732),$D$2:$E$1996,2,0),"")</f>
        <v/>
      </c>
    </row>
    <row r="2733" spans="2:14">
      <c r="B2733" s="32">
        <f>IF(ISNUMBER(SEARCH('Φόρμα Εισαγωγής'!$B$2,C2733)),MAX($B$1:B2732)+1,0)</f>
        <v>0</v>
      </c>
      <c r="D2733" s="33">
        <f>IF(ISNUMBER(SEARCH('Φόρμα Εισαγωγής'!$C$2,E2733)),MAX($D$1:D2732)+1,0)</f>
        <v>0</v>
      </c>
      <c r="H2733" s="6">
        <f t="shared" si="137"/>
        <v>0</v>
      </c>
      <c r="I2733" s="6">
        <f t="shared" si="138"/>
        <v>0</v>
      </c>
      <c r="J2733" s="6">
        <f t="shared" si="139"/>
        <v>0</v>
      </c>
      <c r="L2733" s="4" t="str">
        <f>IFERROR(VLOOKUP(ROWS($L$2:L2733),$B$2:$C$1996,2,0),"")</f>
        <v/>
      </c>
      <c r="N2733" s="2" t="str">
        <f>IFERROR(VLOOKUP(ROWS($N$2:N2733),$D$2:$E$1996,2,0),"")</f>
        <v/>
      </c>
    </row>
    <row r="2734" spans="2:14">
      <c r="B2734" s="32">
        <f>IF(ISNUMBER(SEARCH('Φόρμα Εισαγωγής'!$B$2,C2734)),MAX($B$1:B2733)+1,0)</f>
        <v>0</v>
      </c>
      <c r="D2734" s="33">
        <f>IF(ISNUMBER(SEARCH('Φόρμα Εισαγωγής'!$C$2,E2734)),MAX($D$1:D2733)+1,0)</f>
        <v>0</v>
      </c>
      <c r="H2734" s="6">
        <f t="shared" si="137"/>
        <v>0</v>
      </c>
      <c r="I2734" s="6">
        <f t="shared" si="138"/>
        <v>0</v>
      </c>
      <c r="J2734" s="6">
        <f t="shared" si="139"/>
        <v>0</v>
      </c>
      <c r="L2734" s="4" t="str">
        <f>IFERROR(VLOOKUP(ROWS($L$2:L2734),$B$2:$C$1996,2,0),"")</f>
        <v/>
      </c>
      <c r="N2734" s="2" t="str">
        <f>IFERROR(VLOOKUP(ROWS($N$2:N2734),$D$2:$E$1996,2,0),"")</f>
        <v/>
      </c>
    </row>
    <row r="2735" spans="2:14">
      <c r="B2735" s="32">
        <f>IF(ISNUMBER(SEARCH('Φόρμα Εισαγωγής'!$B$2,C2735)),MAX($B$1:B2734)+1,0)</f>
        <v>0</v>
      </c>
      <c r="D2735" s="33">
        <f>IF(ISNUMBER(SEARCH('Φόρμα Εισαγωγής'!$C$2,E2735)),MAX($D$1:D2734)+1,0)</f>
        <v>0</v>
      </c>
      <c r="H2735" s="6">
        <f t="shared" si="137"/>
        <v>0</v>
      </c>
      <c r="I2735" s="6">
        <f t="shared" si="138"/>
        <v>0</v>
      </c>
      <c r="J2735" s="6">
        <f t="shared" si="139"/>
        <v>0</v>
      </c>
      <c r="L2735" s="4" t="str">
        <f>IFERROR(VLOOKUP(ROWS($L$2:L2735),$B$2:$C$1996,2,0),"")</f>
        <v/>
      </c>
      <c r="N2735" s="2" t="str">
        <f>IFERROR(VLOOKUP(ROWS($N$2:N2735),$D$2:$E$1996,2,0),"")</f>
        <v/>
      </c>
    </row>
    <row r="2736" spans="2:14">
      <c r="B2736" s="32">
        <f>IF(ISNUMBER(SEARCH('Φόρμα Εισαγωγής'!$B$2,C2736)),MAX($B$1:B2735)+1,0)</f>
        <v>0</v>
      </c>
      <c r="D2736" s="33">
        <f>IF(ISNUMBER(SEARCH('Φόρμα Εισαγωγής'!$C$2,E2736)),MAX($D$1:D2735)+1,0)</f>
        <v>0</v>
      </c>
      <c r="H2736" s="6">
        <f t="shared" si="137"/>
        <v>0</v>
      </c>
      <c r="I2736" s="6">
        <f t="shared" si="138"/>
        <v>0</v>
      </c>
      <c r="J2736" s="6">
        <f t="shared" si="139"/>
        <v>0</v>
      </c>
      <c r="L2736" s="4" t="str">
        <f>IFERROR(VLOOKUP(ROWS($L$2:L2736),$B$2:$C$1996,2,0),"")</f>
        <v/>
      </c>
      <c r="N2736" s="2" t="str">
        <f>IFERROR(VLOOKUP(ROWS($N$2:N2736),$D$2:$E$1996,2,0),"")</f>
        <v/>
      </c>
    </row>
    <row r="2737" spans="2:14">
      <c r="B2737" s="32">
        <f>IF(ISNUMBER(SEARCH('Φόρμα Εισαγωγής'!$B$2,C2737)),MAX($B$1:B2736)+1,0)</f>
        <v>0</v>
      </c>
      <c r="D2737" s="33">
        <f>IF(ISNUMBER(SEARCH('Φόρμα Εισαγωγής'!$C$2,E2737)),MAX($D$1:D2736)+1,0)</f>
        <v>0</v>
      </c>
      <c r="H2737" s="6">
        <f t="shared" si="137"/>
        <v>0</v>
      </c>
      <c r="I2737" s="6">
        <f t="shared" si="138"/>
        <v>0</v>
      </c>
      <c r="J2737" s="6">
        <f t="shared" si="139"/>
        <v>0</v>
      </c>
      <c r="L2737" s="4" t="str">
        <f>IFERROR(VLOOKUP(ROWS($L$2:L2737),$B$2:$C$1996,2,0),"")</f>
        <v/>
      </c>
      <c r="N2737" s="2" t="str">
        <f>IFERROR(VLOOKUP(ROWS($N$2:N2737),$D$2:$E$1996,2,0),"")</f>
        <v/>
      </c>
    </row>
    <row r="2738" spans="2:14">
      <c r="B2738" s="32">
        <f>IF(ISNUMBER(SEARCH('Φόρμα Εισαγωγής'!$B$2,C2738)),MAX($B$1:B2737)+1,0)</f>
        <v>0</v>
      </c>
      <c r="D2738" s="33">
        <f>IF(ISNUMBER(SEARCH('Φόρμα Εισαγωγής'!$C$2,E2738)),MAX($D$1:D2737)+1,0)</f>
        <v>0</v>
      </c>
      <c r="H2738" s="6">
        <f t="shared" si="137"/>
        <v>0</v>
      </c>
      <c r="I2738" s="6">
        <f t="shared" si="138"/>
        <v>0</v>
      </c>
      <c r="J2738" s="6">
        <f t="shared" si="139"/>
        <v>0</v>
      </c>
      <c r="L2738" s="4" t="str">
        <f>IFERROR(VLOOKUP(ROWS($L$2:L2738),$B$2:$C$1996,2,0),"")</f>
        <v/>
      </c>
      <c r="N2738" s="2" t="str">
        <f>IFERROR(VLOOKUP(ROWS($N$2:N2738),$D$2:$E$1996,2,0),"")</f>
        <v/>
      </c>
    </row>
    <row r="2739" spans="2:14">
      <c r="B2739" s="32">
        <f>IF(ISNUMBER(SEARCH('Φόρμα Εισαγωγής'!$B$2,C2739)),MAX($B$1:B2738)+1,0)</f>
        <v>0</v>
      </c>
      <c r="D2739" s="33">
        <f>IF(ISNUMBER(SEARCH('Φόρμα Εισαγωγής'!$C$2,E2739)),MAX($D$1:D2738)+1,0)</f>
        <v>0</v>
      </c>
      <c r="H2739" s="6">
        <f t="shared" si="137"/>
        <v>0</v>
      </c>
      <c r="I2739" s="6">
        <f t="shared" si="138"/>
        <v>0</v>
      </c>
      <c r="J2739" s="6">
        <f t="shared" si="139"/>
        <v>0</v>
      </c>
      <c r="L2739" s="4" t="str">
        <f>IFERROR(VLOOKUP(ROWS($L$2:L2739),$B$2:$C$1996,2,0),"")</f>
        <v/>
      </c>
      <c r="N2739" s="2" t="str">
        <f>IFERROR(VLOOKUP(ROWS($N$2:N2739),$D$2:$E$1996,2,0),"")</f>
        <v/>
      </c>
    </row>
    <row r="2740" spans="2:14">
      <c r="B2740" s="32">
        <f>IF(ISNUMBER(SEARCH('Φόρμα Εισαγωγής'!$B$2,C2740)),MAX($B$1:B2739)+1,0)</f>
        <v>0</v>
      </c>
      <c r="D2740" s="33">
        <f>IF(ISNUMBER(SEARCH('Φόρμα Εισαγωγής'!$C$2,E2740)),MAX($D$1:D2739)+1,0)</f>
        <v>0</v>
      </c>
      <c r="H2740" s="6">
        <f t="shared" si="137"/>
        <v>0</v>
      </c>
      <c r="I2740" s="6">
        <f t="shared" si="138"/>
        <v>0</v>
      </c>
      <c r="J2740" s="6">
        <f t="shared" si="139"/>
        <v>0</v>
      </c>
      <c r="L2740" s="4" t="str">
        <f>IFERROR(VLOOKUP(ROWS($L$2:L2740),$B$2:$C$1996,2,0),"")</f>
        <v/>
      </c>
      <c r="N2740" s="2" t="str">
        <f>IFERROR(VLOOKUP(ROWS($N$2:N2740),$D$2:$E$1996,2,0),"")</f>
        <v/>
      </c>
    </row>
    <row r="2741" spans="2:14">
      <c r="B2741" s="32">
        <f>IF(ISNUMBER(SEARCH('Φόρμα Εισαγωγής'!$B$2,C2741)),MAX($B$1:B2740)+1,0)</f>
        <v>0</v>
      </c>
      <c r="D2741" s="33">
        <f>IF(ISNUMBER(SEARCH('Φόρμα Εισαγωγής'!$C$2,E2741)),MAX($D$1:D2740)+1,0)</f>
        <v>0</v>
      </c>
      <c r="H2741" s="6">
        <f t="shared" si="137"/>
        <v>0</v>
      </c>
      <c r="I2741" s="6">
        <f t="shared" si="138"/>
        <v>0</v>
      </c>
      <c r="J2741" s="6">
        <f t="shared" si="139"/>
        <v>0</v>
      </c>
      <c r="L2741" s="4" t="str">
        <f>IFERROR(VLOOKUP(ROWS($L$2:L2741),$B$2:$C$1996,2,0),"")</f>
        <v/>
      </c>
      <c r="N2741" s="2" t="str">
        <f>IFERROR(VLOOKUP(ROWS($N$2:N2741),$D$2:$E$1996,2,0),"")</f>
        <v/>
      </c>
    </row>
    <row r="2742" spans="2:14">
      <c r="B2742" s="32">
        <f>IF(ISNUMBER(SEARCH('Φόρμα Εισαγωγής'!$B$2,C2742)),MAX($B$1:B2741)+1,0)</f>
        <v>0</v>
      </c>
      <c r="D2742" s="33">
        <f>IF(ISNUMBER(SEARCH('Φόρμα Εισαγωγής'!$C$2,E2742)),MAX($D$1:D2741)+1,0)</f>
        <v>0</v>
      </c>
      <c r="H2742" s="6">
        <f t="shared" si="137"/>
        <v>0</v>
      </c>
      <c r="I2742" s="6">
        <f t="shared" si="138"/>
        <v>0</v>
      </c>
      <c r="J2742" s="6">
        <f t="shared" si="139"/>
        <v>0</v>
      </c>
      <c r="L2742" s="4" t="str">
        <f>IFERROR(VLOOKUP(ROWS($L$2:L2742),$B$2:$C$1996,2,0),"")</f>
        <v/>
      </c>
      <c r="N2742" s="2" t="str">
        <f>IFERROR(VLOOKUP(ROWS($N$2:N2742),$D$2:$E$1996,2,0),"")</f>
        <v/>
      </c>
    </row>
    <row r="2743" spans="2:14">
      <c r="B2743" s="32">
        <f>IF(ISNUMBER(SEARCH('Φόρμα Εισαγωγής'!$B$2,C2743)),MAX($B$1:B2742)+1,0)</f>
        <v>0</v>
      </c>
      <c r="D2743" s="33">
        <f>IF(ISNUMBER(SEARCH('Φόρμα Εισαγωγής'!$C$2,E2743)),MAX($D$1:D2742)+1,0)</f>
        <v>0</v>
      </c>
      <c r="H2743" s="6">
        <f t="shared" si="137"/>
        <v>0</v>
      </c>
      <c r="I2743" s="6">
        <f t="shared" si="138"/>
        <v>0</v>
      </c>
      <c r="J2743" s="6">
        <f t="shared" si="139"/>
        <v>0</v>
      </c>
      <c r="L2743" s="4" t="str">
        <f>IFERROR(VLOOKUP(ROWS($L$2:L2743),$B$2:$C$1996,2,0),"")</f>
        <v/>
      </c>
      <c r="N2743" s="2" t="str">
        <f>IFERROR(VLOOKUP(ROWS($N$2:N2743),$D$2:$E$1996,2,0),"")</f>
        <v/>
      </c>
    </row>
    <row r="2744" spans="2:14">
      <c r="B2744" s="32">
        <f>IF(ISNUMBER(SEARCH('Φόρμα Εισαγωγής'!$B$2,C2744)),MAX($B$1:B2743)+1,0)</f>
        <v>0</v>
      </c>
      <c r="D2744" s="33">
        <f>IF(ISNUMBER(SEARCH('Φόρμα Εισαγωγής'!$C$2,E2744)),MAX($D$1:D2743)+1,0)</f>
        <v>0</v>
      </c>
      <c r="H2744" s="6">
        <f t="shared" si="137"/>
        <v>0</v>
      </c>
      <c r="I2744" s="6">
        <f t="shared" si="138"/>
        <v>0</v>
      </c>
      <c r="J2744" s="6">
        <f t="shared" si="139"/>
        <v>0</v>
      </c>
      <c r="L2744" s="4" t="str">
        <f>IFERROR(VLOOKUP(ROWS($L$2:L2744),$B$2:$C$1996,2,0),"")</f>
        <v/>
      </c>
      <c r="N2744" s="2" t="str">
        <f>IFERROR(VLOOKUP(ROWS($N$2:N2744),$D$2:$E$1996,2,0),"")</f>
        <v/>
      </c>
    </row>
    <row r="2745" spans="2:14">
      <c r="B2745" s="32">
        <f>IF(ISNUMBER(SEARCH('Φόρμα Εισαγωγής'!$B$2,C2745)),MAX($B$1:B2744)+1,0)</f>
        <v>0</v>
      </c>
      <c r="D2745" s="33">
        <f>IF(ISNUMBER(SEARCH('Φόρμα Εισαγωγής'!$C$2,E2745)),MAX($D$1:D2744)+1,0)</f>
        <v>0</v>
      </c>
      <c r="H2745" s="6">
        <f t="shared" si="137"/>
        <v>0</v>
      </c>
      <c r="I2745" s="6">
        <f t="shared" si="138"/>
        <v>0</v>
      </c>
      <c r="J2745" s="6">
        <f t="shared" si="139"/>
        <v>0</v>
      </c>
      <c r="L2745" s="4" t="str">
        <f>IFERROR(VLOOKUP(ROWS($L$2:L2745),$B$2:$C$1996,2,0),"")</f>
        <v/>
      </c>
      <c r="N2745" s="2" t="str">
        <f>IFERROR(VLOOKUP(ROWS($N$2:N2745),$D$2:$E$1996,2,0),"")</f>
        <v/>
      </c>
    </row>
    <row r="2746" spans="2:14">
      <c r="B2746" s="32">
        <f>IF(ISNUMBER(SEARCH('Φόρμα Εισαγωγής'!$B$2,C2746)),MAX($B$1:B2745)+1,0)</f>
        <v>0</v>
      </c>
      <c r="D2746" s="33">
        <f>IF(ISNUMBER(SEARCH('Φόρμα Εισαγωγής'!$C$2,E2746)),MAX($D$1:D2745)+1,0)</f>
        <v>0</v>
      </c>
      <c r="H2746" s="6">
        <f t="shared" si="137"/>
        <v>0</v>
      </c>
      <c r="I2746" s="6">
        <f t="shared" si="138"/>
        <v>0</v>
      </c>
      <c r="J2746" s="6">
        <f t="shared" si="139"/>
        <v>0</v>
      </c>
      <c r="L2746" s="4" t="str">
        <f>IFERROR(VLOOKUP(ROWS($L$2:L2746),$B$2:$C$1996,2,0),"")</f>
        <v/>
      </c>
      <c r="N2746" s="2" t="str">
        <f>IFERROR(VLOOKUP(ROWS($N$2:N2746),$D$2:$E$1996,2,0),"")</f>
        <v/>
      </c>
    </row>
    <row r="2747" spans="2:14">
      <c r="B2747" s="32">
        <f>IF(ISNUMBER(SEARCH('Φόρμα Εισαγωγής'!$B$2,C2747)),MAX($B$1:B2746)+1,0)</f>
        <v>0</v>
      </c>
      <c r="D2747" s="33">
        <f>IF(ISNUMBER(SEARCH('Φόρμα Εισαγωγής'!$C$2,E2747)),MAX($D$1:D2746)+1,0)</f>
        <v>0</v>
      </c>
      <c r="H2747" s="6">
        <f t="shared" si="137"/>
        <v>0</v>
      </c>
      <c r="I2747" s="6">
        <f t="shared" si="138"/>
        <v>0</v>
      </c>
      <c r="J2747" s="6">
        <f t="shared" si="139"/>
        <v>0</v>
      </c>
      <c r="L2747" s="4" t="str">
        <f>IFERROR(VLOOKUP(ROWS($L$2:L2747),$B$2:$C$1996,2,0),"")</f>
        <v/>
      </c>
      <c r="N2747" s="2" t="str">
        <f>IFERROR(VLOOKUP(ROWS($N$2:N2747),$D$2:$E$1996,2,0),"")</f>
        <v/>
      </c>
    </row>
    <row r="2748" spans="2:14">
      <c r="B2748" s="32">
        <f>IF(ISNUMBER(SEARCH('Φόρμα Εισαγωγής'!$B$2,C2748)),MAX($B$1:B2747)+1,0)</f>
        <v>0</v>
      </c>
      <c r="D2748" s="33">
        <f>IF(ISNUMBER(SEARCH('Φόρμα Εισαγωγής'!$C$2,E2748)),MAX($D$1:D2747)+1,0)</f>
        <v>0</v>
      </c>
      <c r="H2748" s="6">
        <f t="shared" si="137"/>
        <v>0</v>
      </c>
      <c r="I2748" s="6">
        <f t="shared" si="138"/>
        <v>0</v>
      </c>
      <c r="J2748" s="6">
        <f t="shared" si="139"/>
        <v>0</v>
      </c>
      <c r="L2748" s="4" t="str">
        <f>IFERROR(VLOOKUP(ROWS($L$2:L2748),$B$2:$C$1996,2,0),"")</f>
        <v/>
      </c>
      <c r="N2748" s="2" t="str">
        <f>IFERROR(VLOOKUP(ROWS($N$2:N2748),$D$2:$E$1996,2,0),"")</f>
        <v/>
      </c>
    </row>
    <row r="2749" spans="2:14">
      <c r="B2749" s="32">
        <f>IF(ISNUMBER(SEARCH('Φόρμα Εισαγωγής'!$B$2,C2749)),MAX($B$1:B2748)+1,0)</f>
        <v>0</v>
      </c>
      <c r="D2749" s="33">
        <f>IF(ISNUMBER(SEARCH('Φόρμα Εισαγωγής'!$C$2,E2749)),MAX($D$1:D2748)+1,0)</f>
        <v>0</v>
      </c>
      <c r="H2749" s="6">
        <f t="shared" si="137"/>
        <v>0</v>
      </c>
      <c r="I2749" s="6">
        <f t="shared" si="138"/>
        <v>0</v>
      </c>
      <c r="J2749" s="6">
        <f t="shared" si="139"/>
        <v>0</v>
      </c>
      <c r="L2749" s="4" t="str">
        <f>IFERROR(VLOOKUP(ROWS($L$2:L2749),$B$2:$C$1996,2,0),"")</f>
        <v/>
      </c>
      <c r="N2749" s="2" t="str">
        <f>IFERROR(VLOOKUP(ROWS($N$2:N2749),$D$2:$E$1996,2,0),"")</f>
        <v/>
      </c>
    </row>
    <row r="2750" spans="2:14">
      <c r="B2750" s="32">
        <f>IF(ISNUMBER(SEARCH('Φόρμα Εισαγωγής'!$B$2,C2750)),MAX($B$1:B2749)+1,0)</f>
        <v>0</v>
      </c>
      <c r="D2750" s="33">
        <f>IF(ISNUMBER(SEARCH('Φόρμα Εισαγωγής'!$C$2,E2750)),MAX($D$1:D2749)+1,0)</f>
        <v>0</v>
      </c>
      <c r="H2750" s="6">
        <f t="shared" si="137"/>
        <v>0</v>
      </c>
      <c r="I2750" s="6">
        <f t="shared" si="138"/>
        <v>0</v>
      </c>
      <c r="J2750" s="6">
        <f t="shared" si="139"/>
        <v>0</v>
      </c>
      <c r="L2750" s="4" t="str">
        <f>IFERROR(VLOOKUP(ROWS($L$2:L2750),$B$2:$C$1996,2,0),"")</f>
        <v/>
      </c>
      <c r="N2750" s="2" t="str">
        <f>IFERROR(VLOOKUP(ROWS($N$2:N2750),$D$2:$E$1996,2,0),"")</f>
        <v/>
      </c>
    </row>
    <row r="2751" spans="2:14">
      <c r="B2751" s="32">
        <f>IF(ISNUMBER(SEARCH('Φόρμα Εισαγωγής'!$B$2,C2751)),MAX($B$1:B2750)+1,0)</f>
        <v>0</v>
      </c>
      <c r="D2751" s="33">
        <f>IF(ISNUMBER(SEARCH('Φόρμα Εισαγωγής'!$C$2,E2751)),MAX($D$1:D2750)+1,0)</f>
        <v>0</v>
      </c>
      <c r="H2751" s="6">
        <f t="shared" si="137"/>
        <v>0</v>
      </c>
      <c r="I2751" s="6">
        <f t="shared" si="138"/>
        <v>0</v>
      </c>
      <c r="J2751" s="6">
        <f t="shared" si="139"/>
        <v>0</v>
      </c>
      <c r="L2751" s="4" t="str">
        <f>IFERROR(VLOOKUP(ROWS($L$2:L2751),$B$2:$C$1996,2,0),"")</f>
        <v/>
      </c>
      <c r="N2751" s="2" t="str">
        <f>IFERROR(VLOOKUP(ROWS($N$2:N2751),$D$2:$E$1996,2,0),"")</f>
        <v/>
      </c>
    </row>
    <row r="2752" spans="2:14">
      <c r="B2752" s="32">
        <f>IF(ISNUMBER(SEARCH('Φόρμα Εισαγωγής'!$B$2,C2752)),MAX($B$1:B2751)+1,0)</f>
        <v>0</v>
      </c>
      <c r="D2752" s="33">
        <f>IF(ISNUMBER(SEARCH('Φόρμα Εισαγωγής'!$C$2,E2752)),MAX($D$1:D2751)+1,0)</f>
        <v>0</v>
      </c>
      <c r="H2752" s="6">
        <f t="shared" ref="H2752:H2815" si="140">G2752+(G2752*0.24)</f>
        <v>0</v>
      </c>
      <c r="I2752" s="6">
        <f t="shared" ref="I2752:I2815" si="141">F2752*A2752</f>
        <v>0</v>
      </c>
      <c r="J2752" s="6">
        <f t="shared" ref="J2752:J2815" si="142">H2752*A2752</f>
        <v>0</v>
      </c>
      <c r="L2752" s="4" t="str">
        <f>IFERROR(VLOOKUP(ROWS($L$2:L2752),$B$2:$C$1996,2,0),"")</f>
        <v/>
      </c>
      <c r="N2752" s="2" t="str">
        <f>IFERROR(VLOOKUP(ROWS($N$2:N2752),$D$2:$E$1996,2,0),"")</f>
        <v/>
      </c>
    </row>
    <row r="2753" spans="2:14">
      <c r="B2753" s="32">
        <f>IF(ISNUMBER(SEARCH('Φόρμα Εισαγωγής'!$B$2,C2753)),MAX($B$1:B2752)+1,0)</f>
        <v>0</v>
      </c>
      <c r="D2753" s="33">
        <f>IF(ISNUMBER(SEARCH('Φόρμα Εισαγωγής'!$C$2,E2753)),MAX($D$1:D2752)+1,0)</f>
        <v>0</v>
      </c>
      <c r="H2753" s="6">
        <f t="shared" si="140"/>
        <v>0</v>
      </c>
      <c r="I2753" s="6">
        <f t="shared" si="141"/>
        <v>0</v>
      </c>
      <c r="J2753" s="6">
        <f t="shared" si="142"/>
        <v>0</v>
      </c>
      <c r="L2753" s="4" t="str">
        <f>IFERROR(VLOOKUP(ROWS($L$2:L2753),$B$2:$C$1996,2,0),"")</f>
        <v/>
      </c>
      <c r="N2753" s="2" t="str">
        <f>IFERROR(VLOOKUP(ROWS($N$2:N2753),$D$2:$E$1996,2,0),"")</f>
        <v/>
      </c>
    </row>
    <row r="2754" spans="2:14">
      <c r="B2754" s="32">
        <f>IF(ISNUMBER(SEARCH('Φόρμα Εισαγωγής'!$B$2,C2754)),MAX($B$1:B2753)+1,0)</f>
        <v>0</v>
      </c>
      <c r="D2754" s="33">
        <f>IF(ISNUMBER(SEARCH('Φόρμα Εισαγωγής'!$C$2,E2754)),MAX($D$1:D2753)+1,0)</f>
        <v>0</v>
      </c>
      <c r="H2754" s="6">
        <f t="shared" si="140"/>
        <v>0</v>
      </c>
      <c r="I2754" s="6">
        <f t="shared" si="141"/>
        <v>0</v>
      </c>
      <c r="J2754" s="6">
        <f t="shared" si="142"/>
        <v>0</v>
      </c>
      <c r="L2754" s="4" t="str">
        <f>IFERROR(VLOOKUP(ROWS($L$2:L2754),$B$2:$C$1996,2,0),"")</f>
        <v/>
      </c>
      <c r="N2754" s="2" t="str">
        <f>IFERROR(VLOOKUP(ROWS($N$2:N2754),$D$2:$E$1996,2,0),"")</f>
        <v/>
      </c>
    </row>
    <row r="2755" spans="2:14">
      <c r="B2755" s="32">
        <f>IF(ISNUMBER(SEARCH('Φόρμα Εισαγωγής'!$B$2,C2755)),MAX($B$1:B2754)+1,0)</f>
        <v>0</v>
      </c>
      <c r="D2755" s="33">
        <f>IF(ISNUMBER(SEARCH('Φόρμα Εισαγωγής'!$C$2,E2755)),MAX($D$1:D2754)+1,0)</f>
        <v>0</v>
      </c>
      <c r="H2755" s="6">
        <f t="shared" si="140"/>
        <v>0</v>
      </c>
      <c r="I2755" s="6">
        <f t="shared" si="141"/>
        <v>0</v>
      </c>
      <c r="J2755" s="6">
        <f t="shared" si="142"/>
        <v>0</v>
      </c>
      <c r="L2755" s="4" t="str">
        <f>IFERROR(VLOOKUP(ROWS($L$2:L2755),$B$2:$C$1996,2,0),"")</f>
        <v/>
      </c>
      <c r="N2755" s="2" t="str">
        <f>IFERROR(VLOOKUP(ROWS($N$2:N2755),$D$2:$E$1996,2,0),"")</f>
        <v/>
      </c>
    </row>
    <row r="2756" spans="2:14">
      <c r="B2756" s="32">
        <f>IF(ISNUMBER(SEARCH('Φόρμα Εισαγωγής'!$B$2,C2756)),MAX($B$1:B2755)+1,0)</f>
        <v>0</v>
      </c>
      <c r="D2756" s="33">
        <f>IF(ISNUMBER(SEARCH('Φόρμα Εισαγωγής'!$C$2,E2756)),MAX($D$1:D2755)+1,0)</f>
        <v>0</v>
      </c>
      <c r="H2756" s="6">
        <f t="shared" si="140"/>
        <v>0</v>
      </c>
      <c r="I2756" s="6">
        <f t="shared" si="141"/>
        <v>0</v>
      </c>
      <c r="J2756" s="6">
        <f t="shared" si="142"/>
        <v>0</v>
      </c>
      <c r="L2756" s="4" t="str">
        <f>IFERROR(VLOOKUP(ROWS($L$2:L2756),$B$2:$C$1996,2,0),"")</f>
        <v/>
      </c>
      <c r="N2756" s="2" t="str">
        <f>IFERROR(VLOOKUP(ROWS($N$2:N2756),$D$2:$E$1996,2,0),"")</f>
        <v/>
      </c>
    </row>
    <row r="2757" spans="2:14">
      <c r="B2757" s="32">
        <f>IF(ISNUMBER(SEARCH('Φόρμα Εισαγωγής'!$B$2,C2757)),MAX($B$1:B2756)+1,0)</f>
        <v>0</v>
      </c>
      <c r="D2757" s="33">
        <f>IF(ISNUMBER(SEARCH('Φόρμα Εισαγωγής'!$C$2,E2757)),MAX($D$1:D2756)+1,0)</f>
        <v>0</v>
      </c>
      <c r="H2757" s="6">
        <f t="shared" si="140"/>
        <v>0</v>
      </c>
      <c r="I2757" s="6">
        <f t="shared" si="141"/>
        <v>0</v>
      </c>
      <c r="J2757" s="6">
        <f t="shared" si="142"/>
        <v>0</v>
      </c>
      <c r="L2757" s="4" t="str">
        <f>IFERROR(VLOOKUP(ROWS($L$2:L2757),$B$2:$C$1996,2,0),"")</f>
        <v/>
      </c>
      <c r="N2757" s="2" t="str">
        <f>IFERROR(VLOOKUP(ROWS($N$2:N2757),$D$2:$E$1996,2,0),"")</f>
        <v/>
      </c>
    </row>
    <row r="2758" spans="2:14">
      <c r="B2758" s="32">
        <f>IF(ISNUMBER(SEARCH('Φόρμα Εισαγωγής'!$B$2,C2758)),MAX($B$1:B2757)+1,0)</f>
        <v>0</v>
      </c>
      <c r="D2758" s="33">
        <f>IF(ISNUMBER(SEARCH('Φόρμα Εισαγωγής'!$C$2,E2758)),MAX($D$1:D2757)+1,0)</f>
        <v>0</v>
      </c>
      <c r="H2758" s="6">
        <f t="shared" si="140"/>
        <v>0</v>
      </c>
      <c r="I2758" s="6">
        <f t="shared" si="141"/>
        <v>0</v>
      </c>
      <c r="J2758" s="6">
        <f t="shared" si="142"/>
        <v>0</v>
      </c>
      <c r="L2758" s="4" t="str">
        <f>IFERROR(VLOOKUP(ROWS($L$2:L2758),$B$2:$C$1996,2,0),"")</f>
        <v/>
      </c>
      <c r="N2758" s="2" t="str">
        <f>IFERROR(VLOOKUP(ROWS($N$2:N2758),$D$2:$E$1996,2,0),"")</f>
        <v/>
      </c>
    </row>
    <row r="2759" spans="2:14">
      <c r="B2759" s="32">
        <f>IF(ISNUMBER(SEARCH('Φόρμα Εισαγωγής'!$B$2,C2759)),MAX($B$1:B2758)+1,0)</f>
        <v>0</v>
      </c>
      <c r="D2759" s="33">
        <f>IF(ISNUMBER(SEARCH('Φόρμα Εισαγωγής'!$C$2,E2759)),MAX($D$1:D2758)+1,0)</f>
        <v>0</v>
      </c>
      <c r="H2759" s="6">
        <f t="shared" si="140"/>
        <v>0</v>
      </c>
      <c r="I2759" s="6">
        <f t="shared" si="141"/>
        <v>0</v>
      </c>
      <c r="J2759" s="6">
        <f t="shared" si="142"/>
        <v>0</v>
      </c>
      <c r="L2759" s="4" t="str">
        <f>IFERROR(VLOOKUP(ROWS($L$2:L2759),$B$2:$C$1996,2,0),"")</f>
        <v/>
      </c>
      <c r="N2759" s="2" t="str">
        <f>IFERROR(VLOOKUP(ROWS($N$2:N2759),$D$2:$E$1996,2,0),"")</f>
        <v/>
      </c>
    </row>
    <row r="2760" spans="2:14">
      <c r="B2760" s="32">
        <f>IF(ISNUMBER(SEARCH('Φόρμα Εισαγωγής'!$B$2,C2760)),MAX($B$1:B2759)+1,0)</f>
        <v>0</v>
      </c>
      <c r="D2760" s="33">
        <f>IF(ISNUMBER(SEARCH('Φόρμα Εισαγωγής'!$C$2,E2760)),MAX($D$1:D2759)+1,0)</f>
        <v>0</v>
      </c>
      <c r="H2760" s="6">
        <f t="shared" si="140"/>
        <v>0</v>
      </c>
      <c r="I2760" s="6">
        <f t="shared" si="141"/>
        <v>0</v>
      </c>
      <c r="J2760" s="6">
        <f t="shared" si="142"/>
        <v>0</v>
      </c>
      <c r="L2760" s="4" t="str">
        <f>IFERROR(VLOOKUP(ROWS($L$2:L2760),$B$2:$C$1996,2,0),"")</f>
        <v/>
      </c>
      <c r="N2760" s="2" t="str">
        <f>IFERROR(VLOOKUP(ROWS($N$2:N2760),$D$2:$E$1996,2,0),"")</f>
        <v/>
      </c>
    </row>
    <row r="2761" spans="2:14">
      <c r="B2761" s="32">
        <f>IF(ISNUMBER(SEARCH('Φόρμα Εισαγωγής'!$B$2,C2761)),MAX($B$1:B2760)+1,0)</f>
        <v>0</v>
      </c>
      <c r="D2761" s="33">
        <f>IF(ISNUMBER(SEARCH('Φόρμα Εισαγωγής'!$C$2,E2761)),MAX($D$1:D2760)+1,0)</f>
        <v>0</v>
      </c>
      <c r="H2761" s="6">
        <f t="shared" si="140"/>
        <v>0</v>
      </c>
      <c r="I2761" s="6">
        <f t="shared" si="141"/>
        <v>0</v>
      </c>
      <c r="J2761" s="6">
        <f t="shared" si="142"/>
        <v>0</v>
      </c>
      <c r="L2761" s="4" t="str">
        <f>IFERROR(VLOOKUP(ROWS($L$2:L2761),$B$2:$C$1996,2,0),"")</f>
        <v/>
      </c>
      <c r="N2761" s="2" t="str">
        <f>IFERROR(VLOOKUP(ROWS($N$2:N2761),$D$2:$E$1996,2,0),"")</f>
        <v/>
      </c>
    </row>
    <row r="2762" spans="2:14">
      <c r="B2762" s="32">
        <f>IF(ISNUMBER(SEARCH('Φόρμα Εισαγωγής'!$B$2,C2762)),MAX($B$1:B2761)+1,0)</f>
        <v>0</v>
      </c>
      <c r="D2762" s="33">
        <f>IF(ISNUMBER(SEARCH('Φόρμα Εισαγωγής'!$C$2,E2762)),MAX($D$1:D2761)+1,0)</f>
        <v>0</v>
      </c>
      <c r="H2762" s="6">
        <f t="shared" si="140"/>
        <v>0</v>
      </c>
      <c r="I2762" s="6">
        <f t="shared" si="141"/>
        <v>0</v>
      </c>
      <c r="J2762" s="6">
        <f t="shared" si="142"/>
        <v>0</v>
      </c>
      <c r="L2762" s="4" t="str">
        <f>IFERROR(VLOOKUP(ROWS($L$2:L2762),$B$2:$C$1996,2,0),"")</f>
        <v/>
      </c>
      <c r="N2762" s="2" t="str">
        <f>IFERROR(VLOOKUP(ROWS($N$2:N2762),$D$2:$E$1996,2,0),"")</f>
        <v/>
      </c>
    </row>
    <row r="2763" spans="2:14">
      <c r="B2763" s="32">
        <f>IF(ISNUMBER(SEARCH('Φόρμα Εισαγωγής'!$B$2,C2763)),MAX($B$1:B2762)+1,0)</f>
        <v>0</v>
      </c>
      <c r="D2763" s="33">
        <f>IF(ISNUMBER(SEARCH('Φόρμα Εισαγωγής'!$C$2,E2763)),MAX($D$1:D2762)+1,0)</f>
        <v>0</v>
      </c>
      <c r="H2763" s="6">
        <f t="shared" si="140"/>
        <v>0</v>
      </c>
      <c r="I2763" s="6">
        <f t="shared" si="141"/>
        <v>0</v>
      </c>
      <c r="J2763" s="6">
        <f t="shared" si="142"/>
        <v>0</v>
      </c>
      <c r="L2763" s="4" t="str">
        <f>IFERROR(VLOOKUP(ROWS($L$2:L2763),$B$2:$C$1996,2,0),"")</f>
        <v/>
      </c>
      <c r="N2763" s="2" t="str">
        <f>IFERROR(VLOOKUP(ROWS($N$2:N2763),$D$2:$E$1996,2,0),"")</f>
        <v/>
      </c>
    </row>
    <row r="2764" spans="2:14">
      <c r="B2764" s="32">
        <f>IF(ISNUMBER(SEARCH('Φόρμα Εισαγωγής'!$B$2,C2764)),MAX($B$1:B2763)+1,0)</f>
        <v>0</v>
      </c>
      <c r="D2764" s="33">
        <f>IF(ISNUMBER(SEARCH('Φόρμα Εισαγωγής'!$C$2,E2764)),MAX($D$1:D2763)+1,0)</f>
        <v>0</v>
      </c>
      <c r="H2764" s="6">
        <f t="shared" si="140"/>
        <v>0</v>
      </c>
      <c r="I2764" s="6">
        <f t="shared" si="141"/>
        <v>0</v>
      </c>
      <c r="J2764" s="6">
        <f t="shared" si="142"/>
        <v>0</v>
      </c>
      <c r="L2764" s="4" t="str">
        <f>IFERROR(VLOOKUP(ROWS($L$2:L2764),$B$2:$C$1996,2,0),"")</f>
        <v/>
      </c>
      <c r="N2764" s="2" t="str">
        <f>IFERROR(VLOOKUP(ROWS($N$2:N2764),$D$2:$E$1996,2,0),"")</f>
        <v/>
      </c>
    </row>
    <row r="2765" spans="2:14">
      <c r="B2765" s="32">
        <f>IF(ISNUMBER(SEARCH('Φόρμα Εισαγωγής'!$B$2,C2765)),MAX($B$1:B2764)+1,0)</f>
        <v>0</v>
      </c>
      <c r="D2765" s="33">
        <f>IF(ISNUMBER(SEARCH('Φόρμα Εισαγωγής'!$C$2,E2765)),MAX($D$1:D2764)+1,0)</f>
        <v>0</v>
      </c>
      <c r="H2765" s="6">
        <f t="shared" si="140"/>
        <v>0</v>
      </c>
      <c r="I2765" s="6">
        <f t="shared" si="141"/>
        <v>0</v>
      </c>
      <c r="J2765" s="6">
        <f t="shared" si="142"/>
        <v>0</v>
      </c>
      <c r="L2765" s="4" t="str">
        <f>IFERROR(VLOOKUP(ROWS($L$2:L2765),$B$2:$C$1996,2,0),"")</f>
        <v/>
      </c>
      <c r="N2765" s="2" t="str">
        <f>IFERROR(VLOOKUP(ROWS($N$2:N2765),$D$2:$E$1996,2,0),"")</f>
        <v/>
      </c>
    </row>
    <row r="2766" spans="2:14">
      <c r="B2766" s="32">
        <f>IF(ISNUMBER(SEARCH('Φόρμα Εισαγωγής'!$B$2,C2766)),MAX($B$1:B2765)+1,0)</f>
        <v>0</v>
      </c>
      <c r="D2766" s="33">
        <f>IF(ISNUMBER(SEARCH('Φόρμα Εισαγωγής'!$C$2,E2766)),MAX($D$1:D2765)+1,0)</f>
        <v>0</v>
      </c>
      <c r="H2766" s="6">
        <f t="shared" si="140"/>
        <v>0</v>
      </c>
      <c r="I2766" s="6">
        <f t="shared" si="141"/>
        <v>0</v>
      </c>
      <c r="J2766" s="6">
        <f t="shared" si="142"/>
        <v>0</v>
      </c>
      <c r="L2766" s="4" t="str">
        <f>IFERROR(VLOOKUP(ROWS($L$2:L2766),$B$2:$C$1996,2,0),"")</f>
        <v/>
      </c>
      <c r="N2766" s="2" t="str">
        <f>IFERROR(VLOOKUP(ROWS($N$2:N2766),$D$2:$E$1996,2,0),"")</f>
        <v/>
      </c>
    </row>
    <row r="2767" spans="2:14">
      <c r="B2767" s="32">
        <f>IF(ISNUMBER(SEARCH('Φόρμα Εισαγωγής'!$B$2,C2767)),MAX($B$1:B2766)+1,0)</f>
        <v>0</v>
      </c>
      <c r="D2767" s="33">
        <f>IF(ISNUMBER(SEARCH('Φόρμα Εισαγωγής'!$C$2,E2767)),MAX($D$1:D2766)+1,0)</f>
        <v>0</v>
      </c>
      <c r="H2767" s="6">
        <f t="shared" si="140"/>
        <v>0</v>
      </c>
      <c r="I2767" s="6">
        <f t="shared" si="141"/>
        <v>0</v>
      </c>
      <c r="J2767" s="6">
        <f t="shared" si="142"/>
        <v>0</v>
      </c>
      <c r="L2767" s="4" t="str">
        <f>IFERROR(VLOOKUP(ROWS($L$2:L2767),$B$2:$C$1996,2,0),"")</f>
        <v/>
      </c>
      <c r="N2767" s="2" t="str">
        <f>IFERROR(VLOOKUP(ROWS($N$2:N2767),$D$2:$E$1996,2,0),"")</f>
        <v/>
      </c>
    </row>
    <row r="2768" spans="2:14">
      <c r="B2768" s="32">
        <f>IF(ISNUMBER(SEARCH('Φόρμα Εισαγωγής'!$B$2,C2768)),MAX($B$1:B2767)+1,0)</f>
        <v>0</v>
      </c>
      <c r="D2768" s="33">
        <f>IF(ISNUMBER(SEARCH('Φόρμα Εισαγωγής'!$C$2,E2768)),MAX($D$1:D2767)+1,0)</f>
        <v>0</v>
      </c>
      <c r="H2768" s="6">
        <f t="shared" si="140"/>
        <v>0</v>
      </c>
      <c r="I2768" s="6">
        <f t="shared" si="141"/>
        <v>0</v>
      </c>
      <c r="J2768" s="6">
        <f t="shared" si="142"/>
        <v>0</v>
      </c>
      <c r="L2768" s="4" t="str">
        <f>IFERROR(VLOOKUP(ROWS($L$2:L2768),$B$2:$C$1996,2,0),"")</f>
        <v/>
      </c>
      <c r="N2768" s="2" t="str">
        <f>IFERROR(VLOOKUP(ROWS($N$2:N2768),$D$2:$E$1996,2,0),"")</f>
        <v/>
      </c>
    </row>
    <row r="2769" spans="2:14">
      <c r="B2769" s="32">
        <f>IF(ISNUMBER(SEARCH('Φόρμα Εισαγωγής'!$B$2,C2769)),MAX($B$1:B2768)+1,0)</f>
        <v>0</v>
      </c>
      <c r="D2769" s="33">
        <f>IF(ISNUMBER(SEARCH('Φόρμα Εισαγωγής'!$C$2,E2769)),MAX($D$1:D2768)+1,0)</f>
        <v>0</v>
      </c>
      <c r="H2769" s="6">
        <f t="shared" si="140"/>
        <v>0</v>
      </c>
      <c r="I2769" s="6">
        <f t="shared" si="141"/>
        <v>0</v>
      </c>
      <c r="J2769" s="6">
        <f t="shared" si="142"/>
        <v>0</v>
      </c>
      <c r="L2769" s="4" t="str">
        <f>IFERROR(VLOOKUP(ROWS($L$2:L2769),$B$2:$C$1996,2,0),"")</f>
        <v/>
      </c>
      <c r="N2769" s="2" t="str">
        <f>IFERROR(VLOOKUP(ROWS($N$2:N2769),$D$2:$E$1996,2,0),"")</f>
        <v/>
      </c>
    </row>
    <row r="2770" spans="2:14">
      <c r="B2770" s="32">
        <f>IF(ISNUMBER(SEARCH('Φόρμα Εισαγωγής'!$B$2,C2770)),MAX($B$1:B2769)+1,0)</f>
        <v>0</v>
      </c>
      <c r="D2770" s="33">
        <f>IF(ISNUMBER(SEARCH('Φόρμα Εισαγωγής'!$C$2,E2770)),MAX($D$1:D2769)+1,0)</f>
        <v>0</v>
      </c>
      <c r="H2770" s="6">
        <f t="shared" si="140"/>
        <v>0</v>
      </c>
      <c r="I2770" s="6">
        <f t="shared" si="141"/>
        <v>0</v>
      </c>
      <c r="J2770" s="6">
        <f t="shared" si="142"/>
        <v>0</v>
      </c>
      <c r="L2770" s="4" t="str">
        <f>IFERROR(VLOOKUP(ROWS($L$2:L2770),$B$2:$C$1996,2,0),"")</f>
        <v/>
      </c>
      <c r="N2770" s="2" t="str">
        <f>IFERROR(VLOOKUP(ROWS($N$2:N2770),$D$2:$E$1996,2,0),"")</f>
        <v/>
      </c>
    </row>
    <row r="2771" spans="2:14">
      <c r="B2771" s="32">
        <f>IF(ISNUMBER(SEARCH('Φόρμα Εισαγωγής'!$B$2,C2771)),MAX($B$1:B2770)+1,0)</f>
        <v>0</v>
      </c>
      <c r="D2771" s="33">
        <f>IF(ISNUMBER(SEARCH('Φόρμα Εισαγωγής'!$C$2,E2771)),MAX($D$1:D2770)+1,0)</f>
        <v>0</v>
      </c>
      <c r="H2771" s="6">
        <f t="shared" si="140"/>
        <v>0</v>
      </c>
      <c r="I2771" s="6">
        <f t="shared" si="141"/>
        <v>0</v>
      </c>
      <c r="J2771" s="6">
        <f t="shared" si="142"/>
        <v>0</v>
      </c>
      <c r="L2771" s="4" t="str">
        <f>IFERROR(VLOOKUP(ROWS($L$2:L2771),$B$2:$C$1996,2,0),"")</f>
        <v/>
      </c>
      <c r="N2771" s="2" t="str">
        <f>IFERROR(VLOOKUP(ROWS($N$2:N2771),$D$2:$E$1996,2,0),"")</f>
        <v/>
      </c>
    </row>
    <row r="2772" spans="2:14">
      <c r="B2772" s="32">
        <f>IF(ISNUMBER(SEARCH('Φόρμα Εισαγωγής'!$B$2,C2772)),MAX($B$1:B2771)+1,0)</f>
        <v>0</v>
      </c>
      <c r="D2772" s="33">
        <f>IF(ISNUMBER(SEARCH('Φόρμα Εισαγωγής'!$C$2,E2772)),MAX($D$1:D2771)+1,0)</f>
        <v>0</v>
      </c>
      <c r="H2772" s="6">
        <f t="shared" si="140"/>
        <v>0</v>
      </c>
      <c r="I2772" s="6">
        <f t="shared" si="141"/>
        <v>0</v>
      </c>
      <c r="J2772" s="6">
        <f t="shared" si="142"/>
        <v>0</v>
      </c>
      <c r="L2772" s="4" t="str">
        <f>IFERROR(VLOOKUP(ROWS($L$2:L2772),$B$2:$C$1996,2,0),"")</f>
        <v/>
      </c>
      <c r="N2772" s="2" t="str">
        <f>IFERROR(VLOOKUP(ROWS($N$2:N2772),$D$2:$E$1996,2,0),"")</f>
        <v/>
      </c>
    </row>
    <row r="2773" spans="2:14">
      <c r="B2773" s="32">
        <f>IF(ISNUMBER(SEARCH('Φόρμα Εισαγωγής'!$B$2,C2773)),MAX($B$1:B2772)+1,0)</f>
        <v>0</v>
      </c>
      <c r="D2773" s="33">
        <f>IF(ISNUMBER(SEARCH('Φόρμα Εισαγωγής'!$C$2,E2773)),MAX($D$1:D2772)+1,0)</f>
        <v>0</v>
      </c>
      <c r="H2773" s="6">
        <f t="shared" si="140"/>
        <v>0</v>
      </c>
      <c r="I2773" s="6">
        <f t="shared" si="141"/>
        <v>0</v>
      </c>
      <c r="J2773" s="6">
        <f t="shared" si="142"/>
        <v>0</v>
      </c>
      <c r="L2773" s="4" t="str">
        <f>IFERROR(VLOOKUP(ROWS($L$2:L2773),$B$2:$C$1996,2,0),"")</f>
        <v/>
      </c>
      <c r="N2773" s="2" t="str">
        <f>IFERROR(VLOOKUP(ROWS($N$2:N2773),$D$2:$E$1996,2,0),"")</f>
        <v/>
      </c>
    </row>
    <row r="2774" spans="2:14">
      <c r="B2774" s="32">
        <f>IF(ISNUMBER(SEARCH('Φόρμα Εισαγωγής'!$B$2,C2774)),MAX($B$1:B2773)+1,0)</f>
        <v>0</v>
      </c>
      <c r="D2774" s="33">
        <f>IF(ISNUMBER(SEARCH('Φόρμα Εισαγωγής'!$C$2,E2774)),MAX($D$1:D2773)+1,0)</f>
        <v>0</v>
      </c>
      <c r="H2774" s="6">
        <f t="shared" si="140"/>
        <v>0</v>
      </c>
      <c r="I2774" s="6">
        <f t="shared" si="141"/>
        <v>0</v>
      </c>
      <c r="J2774" s="6">
        <f t="shared" si="142"/>
        <v>0</v>
      </c>
      <c r="L2774" s="4" t="str">
        <f>IFERROR(VLOOKUP(ROWS($L$2:L2774),$B$2:$C$1996,2,0),"")</f>
        <v/>
      </c>
      <c r="N2774" s="2" t="str">
        <f>IFERROR(VLOOKUP(ROWS($N$2:N2774),$D$2:$E$1996,2,0),"")</f>
        <v/>
      </c>
    </row>
    <row r="2775" spans="2:14">
      <c r="B2775" s="32">
        <f>IF(ISNUMBER(SEARCH('Φόρμα Εισαγωγής'!$B$2,C2775)),MAX($B$1:B2774)+1,0)</f>
        <v>0</v>
      </c>
      <c r="D2775" s="33">
        <f>IF(ISNUMBER(SEARCH('Φόρμα Εισαγωγής'!$C$2,E2775)),MAX($D$1:D2774)+1,0)</f>
        <v>0</v>
      </c>
      <c r="H2775" s="6">
        <f t="shared" si="140"/>
        <v>0</v>
      </c>
      <c r="I2775" s="6">
        <f t="shared" si="141"/>
        <v>0</v>
      </c>
      <c r="J2775" s="6">
        <f t="shared" si="142"/>
        <v>0</v>
      </c>
      <c r="L2775" s="4" t="str">
        <f>IFERROR(VLOOKUP(ROWS($L$2:L2775),$B$2:$C$1996,2,0),"")</f>
        <v/>
      </c>
      <c r="N2775" s="2" t="str">
        <f>IFERROR(VLOOKUP(ROWS($N$2:N2775),$D$2:$E$1996,2,0),"")</f>
        <v/>
      </c>
    </row>
    <row r="2776" spans="2:14">
      <c r="B2776" s="32">
        <f>IF(ISNUMBER(SEARCH('Φόρμα Εισαγωγής'!$B$2,C2776)),MAX($B$1:B2775)+1,0)</f>
        <v>0</v>
      </c>
      <c r="D2776" s="33">
        <f>IF(ISNUMBER(SEARCH('Φόρμα Εισαγωγής'!$C$2,E2776)),MAX($D$1:D2775)+1,0)</f>
        <v>0</v>
      </c>
      <c r="H2776" s="6">
        <f t="shared" si="140"/>
        <v>0</v>
      </c>
      <c r="I2776" s="6">
        <f t="shared" si="141"/>
        <v>0</v>
      </c>
      <c r="J2776" s="6">
        <f t="shared" si="142"/>
        <v>0</v>
      </c>
      <c r="L2776" s="4" t="str">
        <f>IFERROR(VLOOKUP(ROWS($L$2:L2776),$B$2:$C$1996,2,0),"")</f>
        <v/>
      </c>
      <c r="N2776" s="2" t="str">
        <f>IFERROR(VLOOKUP(ROWS($N$2:N2776),$D$2:$E$1996,2,0),"")</f>
        <v/>
      </c>
    </row>
    <row r="2777" spans="2:14">
      <c r="B2777" s="32">
        <f>IF(ISNUMBER(SEARCH('Φόρμα Εισαγωγής'!$B$2,C2777)),MAX($B$1:B2776)+1,0)</f>
        <v>0</v>
      </c>
      <c r="D2777" s="33">
        <f>IF(ISNUMBER(SEARCH('Φόρμα Εισαγωγής'!$C$2,E2777)),MAX($D$1:D2776)+1,0)</f>
        <v>0</v>
      </c>
      <c r="H2777" s="6">
        <f t="shared" si="140"/>
        <v>0</v>
      </c>
      <c r="I2777" s="6">
        <f t="shared" si="141"/>
        <v>0</v>
      </c>
      <c r="J2777" s="6">
        <f t="shared" si="142"/>
        <v>0</v>
      </c>
      <c r="L2777" s="4" t="str">
        <f>IFERROR(VLOOKUP(ROWS($L$2:L2777),$B$2:$C$1996,2,0),"")</f>
        <v/>
      </c>
      <c r="N2777" s="2" t="str">
        <f>IFERROR(VLOOKUP(ROWS($N$2:N2777),$D$2:$E$1996,2,0),"")</f>
        <v/>
      </c>
    </row>
    <row r="2778" spans="2:14">
      <c r="B2778" s="32">
        <f>IF(ISNUMBER(SEARCH('Φόρμα Εισαγωγής'!$B$2,C2778)),MAX($B$1:B2777)+1,0)</f>
        <v>0</v>
      </c>
      <c r="D2778" s="33">
        <f>IF(ISNUMBER(SEARCH('Φόρμα Εισαγωγής'!$C$2,E2778)),MAX($D$1:D2777)+1,0)</f>
        <v>0</v>
      </c>
      <c r="H2778" s="6">
        <f t="shared" si="140"/>
        <v>0</v>
      </c>
      <c r="I2778" s="6">
        <f t="shared" si="141"/>
        <v>0</v>
      </c>
      <c r="J2778" s="6">
        <f t="shared" si="142"/>
        <v>0</v>
      </c>
      <c r="L2778" s="4" t="str">
        <f>IFERROR(VLOOKUP(ROWS($L$2:L2778),$B$2:$C$1996,2,0),"")</f>
        <v/>
      </c>
      <c r="N2778" s="2" t="str">
        <f>IFERROR(VLOOKUP(ROWS($N$2:N2778),$D$2:$E$1996,2,0),"")</f>
        <v/>
      </c>
    </row>
    <row r="2779" spans="2:14">
      <c r="B2779" s="32">
        <f>IF(ISNUMBER(SEARCH('Φόρμα Εισαγωγής'!$B$2,C2779)),MAX($B$1:B2778)+1,0)</f>
        <v>0</v>
      </c>
      <c r="D2779" s="33">
        <f>IF(ISNUMBER(SEARCH('Φόρμα Εισαγωγής'!$C$2,E2779)),MAX($D$1:D2778)+1,0)</f>
        <v>0</v>
      </c>
      <c r="H2779" s="6">
        <f t="shared" si="140"/>
        <v>0</v>
      </c>
      <c r="I2779" s="6">
        <f t="shared" si="141"/>
        <v>0</v>
      </c>
      <c r="J2779" s="6">
        <f t="shared" si="142"/>
        <v>0</v>
      </c>
      <c r="L2779" s="4" t="str">
        <f>IFERROR(VLOOKUP(ROWS($L$2:L2779),$B$2:$C$1996,2,0),"")</f>
        <v/>
      </c>
      <c r="N2779" s="2" t="str">
        <f>IFERROR(VLOOKUP(ROWS($N$2:N2779),$D$2:$E$1996,2,0),"")</f>
        <v/>
      </c>
    </row>
    <row r="2780" spans="2:14">
      <c r="B2780" s="32">
        <f>IF(ISNUMBER(SEARCH('Φόρμα Εισαγωγής'!$B$2,C2780)),MAX($B$1:B2779)+1,0)</f>
        <v>0</v>
      </c>
      <c r="D2780" s="33">
        <f>IF(ISNUMBER(SEARCH('Φόρμα Εισαγωγής'!$C$2,E2780)),MAX($D$1:D2779)+1,0)</f>
        <v>0</v>
      </c>
      <c r="H2780" s="6">
        <f t="shared" si="140"/>
        <v>0</v>
      </c>
      <c r="I2780" s="6">
        <f t="shared" si="141"/>
        <v>0</v>
      </c>
      <c r="J2780" s="6">
        <f t="shared" si="142"/>
        <v>0</v>
      </c>
      <c r="L2780" s="4" t="str">
        <f>IFERROR(VLOOKUP(ROWS($L$2:L2780),$B$2:$C$1996,2,0),"")</f>
        <v/>
      </c>
      <c r="N2780" s="2" t="str">
        <f>IFERROR(VLOOKUP(ROWS($N$2:N2780),$D$2:$E$1996,2,0),"")</f>
        <v/>
      </c>
    </row>
    <row r="2781" spans="2:14">
      <c r="B2781" s="32">
        <f>IF(ISNUMBER(SEARCH('Φόρμα Εισαγωγής'!$B$2,C2781)),MAX($B$1:B2780)+1,0)</f>
        <v>0</v>
      </c>
      <c r="D2781" s="33">
        <f>IF(ISNUMBER(SEARCH('Φόρμα Εισαγωγής'!$C$2,E2781)),MAX($D$1:D2780)+1,0)</f>
        <v>0</v>
      </c>
      <c r="H2781" s="6">
        <f t="shared" si="140"/>
        <v>0</v>
      </c>
      <c r="I2781" s="6">
        <f t="shared" si="141"/>
        <v>0</v>
      </c>
      <c r="J2781" s="6">
        <f t="shared" si="142"/>
        <v>0</v>
      </c>
      <c r="L2781" s="4" t="str">
        <f>IFERROR(VLOOKUP(ROWS($L$2:L2781),$B$2:$C$1996,2,0),"")</f>
        <v/>
      </c>
      <c r="N2781" s="2" t="str">
        <f>IFERROR(VLOOKUP(ROWS($N$2:N2781),$D$2:$E$1996,2,0),"")</f>
        <v/>
      </c>
    </row>
    <row r="2782" spans="2:14">
      <c r="B2782" s="32">
        <f>IF(ISNUMBER(SEARCH('Φόρμα Εισαγωγής'!$B$2,C2782)),MAX($B$1:B2781)+1,0)</f>
        <v>0</v>
      </c>
      <c r="D2782" s="33">
        <f>IF(ISNUMBER(SEARCH('Φόρμα Εισαγωγής'!$C$2,E2782)),MAX($D$1:D2781)+1,0)</f>
        <v>0</v>
      </c>
      <c r="H2782" s="6">
        <f t="shared" si="140"/>
        <v>0</v>
      </c>
      <c r="I2782" s="6">
        <f t="shared" si="141"/>
        <v>0</v>
      </c>
      <c r="J2782" s="6">
        <f t="shared" si="142"/>
        <v>0</v>
      </c>
      <c r="L2782" s="4" t="str">
        <f>IFERROR(VLOOKUP(ROWS($L$2:L2782),$B$2:$C$1996,2,0),"")</f>
        <v/>
      </c>
      <c r="N2782" s="2" t="str">
        <f>IFERROR(VLOOKUP(ROWS($N$2:N2782),$D$2:$E$1996,2,0),"")</f>
        <v/>
      </c>
    </row>
    <row r="2783" spans="2:14">
      <c r="B2783" s="32">
        <f>IF(ISNUMBER(SEARCH('Φόρμα Εισαγωγής'!$B$2,C2783)),MAX($B$1:B2782)+1,0)</f>
        <v>0</v>
      </c>
      <c r="D2783" s="33">
        <f>IF(ISNUMBER(SEARCH('Φόρμα Εισαγωγής'!$C$2,E2783)),MAX($D$1:D2782)+1,0)</f>
        <v>0</v>
      </c>
      <c r="H2783" s="6">
        <f t="shared" si="140"/>
        <v>0</v>
      </c>
      <c r="I2783" s="6">
        <f t="shared" si="141"/>
        <v>0</v>
      </c>
      <c r="J2783" s="6">
        <f t="shared" si="142"/>
        <v>0</v>
      </c>
      <c r="L2783" s="4" t="str">
        <f>IFERROR(VLOOKUP(ROWS($L$2:L2783),$B$2:$C$1996,2,0),"")</f>
        <v/>
      </c>
      <c r="N2783" s="2" t="str">
        <f>IFERROR(VLOOKUP(ROWS($N$2:N2783),$D$2:$E$1996,2,0),"")</f>
        <v/>
      </c>
    </row>
    <row r="2784" spans="2:14">
      <c r="B2784" s="32">
        <f>IF(ISNUMBER(SEARCH('Φόρμα Εισαγωγής'!$B$2,C2784)),MAX($B$1:B2783)+1,0)</f>
        <v>0</v>
      </c>
      <c r="D2784" s="33">
        <f>IF(ISNUMBER(SEARCH('Φόρμα Εισαγωγής'!$C$2,E2784)),MAX($D$1:D2783)+1,0)</f>
        <v>0</v>
      </c>
      <c r="H2784" s="6">
        <f t="shared" si="140"/>
        <v>0</v>
      </c>
      <c r="I2784" s="6">
        <f t="shared" si="141"/>
        <v>0</v>
      </c>
      <c r="J2784" s="6">
        <f t="shared" si="142"/>
        <v>0</v>
      </c>
      <c r="L2784" s="4" t="str">
        <f>IFERROR(VLOOKUP(ROWS($L$2:L2784),$B$2:$C$1996,2,0),"")</f>
        <v/>
      </c>
      <c r="N2784" s="2" t="str">
        <f>IFERROR(VLOOKUP(ROWS($N$2:N2784),$D$2:$E$1996,2,0),"")</f>
        <v/>
      </c>
    </row>
    <row r="2785" spans="2:14">
      <c r="B2785" s="32">
        <f>IF(ISNUMBER(SEARCH('Φόρμα Εισαγωγής'!$B$2,C2785)),MAX($B$1:B2784)+1,0)</f>
        <v>0</v>
      </c>
      <c r="D2785" s="33">
        <f>IF(ISNUMBER(SEARCH('Φόρμα Εισαγωγής'!$C$2,E2785)),MAX($D$1:D2784)+1,0)</f>
        <v>0</v>
      </c>
      <c r="H2785" s="6">
        <f t="shared" si="140"/>
        <v>0</v>
      </c>
      <c r="I2785" s="6">
        <f t="shared" si="141"/>
        <v>0</v>
      </c>
      <c r="J2785" s="6">
        <f t="shared" si="142"/>
        <v>0</v>
      </c>
      <c r="L2785" s="4" t="str">
        <f>IFERROR(VLOOKUP(ROWS($L$2:L2785),$B$2:$C$1996,2,0),"")</f>
        <v/>
      </c>
      <c r="N2785" s="2" t="str">
        <f>IFERROR(VLOOKUP(ROWS($N$2:N2785),$D$2:$E$1996,2,0),"")</f>
        <v/>
      </c>
    </row>
    <row r="2786" spans="2:14">
      <c r="B2786" s="32">
        <f>IF(ISNUMBER(SEARCH('Φόρμα Εισαγωγής'!$B$2,C2786)),MAX($B$1:B2785)+1,0)</f>
        <v>0</v>
      </c>
      <c r="D2786" s="33">
        <f>IF(ISNUMBER(SEARCH('Φόρμα Εισαγωγής'!$C$2,E2786)),MAX($D$1:D2785)+1,0)</f>
        <v>0</v>
      </c>
      <c r="H2786" s="6">
        <f t="shared" si="140"/>
        <v>0</v>
      </c>
      <c r="I2786" s="6">
        <f t="shared" si="141"/>
        <v>0</v>
      </c>
      <c r="J2786" s="6">
        <f t="shared" si="142"/>
        <v>0</v>
      </c>
      <c r="L2786" s="4" t="str">
        <f>IFERROR(VLOOKUP(ROWS($L$2:L2786),$B$2:$C$1996,2,0),"")</f>
        <v/>
      </c>
      <c r="N2786" s="2" t="str">
        <f>IFERROR(VLOOKUP(ROWS($N$2:N2786),$D$2:$E$1996,2,0),"")</f>
        <v/>
      </c>
    </row>
    <row r="2787" spans="2:14">
      <c r="B2787" s="32">
        <f>IF(ISNUMBER(SEARCH('Φόρμα Εισαγωγής'!$B$2,C2787)),MAX($B$1:B2786)+1,0)</f>
        <v>0</v>
      </c>
      <c r="D2787" s="33">
        <f>IF(ISNUMBER(SEARCH('Φόρμα Εισαγωγής'!$C$2,E2787)),MAX($D$1:D2786)+1,0)</f>
        <v>0</v>
      </c>
      <c r="H2787" s="6">
        <f t="shared" si="140"/>
        <v>0</v>
      </c>
      <c r="I2787" s="6">
        <f t="shared" si="141"/>
        <v>0</v>
      </c>
      <c r="J2787" s="6">
        <f t="shared" si="142"/>
        <v>0</v>
      </c>
      <c r="L2787" s="4" t="str">
        <f>IFERROR(VLOOKUP(ROWS($L$2:L2787),$B$2:$C$1996,2,0),"")</f>
        <v/>
      </c>
      <c r="N2787" s="2" t="str">
        <f>IFERROR(VLOOKUP(ROWS($N$2:N2787),$D$2:$E$1996,2,0),"")</f>
        <v/>
      </c>
    </row>
    <row r="2788" spans="2:14">
      <c r="B2788" s="32">
        <f>IF(ISNUMBER(SEARCH('Φόρμα Εισαγωγής'!$B$2,C2788)),MAX($B$1:B2787)+1,0)</f>
        <v>0</v>
      </c>
      <c r="D2788" s="33">
        <f>IF(ISNUMBER(SEARCH('Φόρμα Εισαγωγής'!$C$2,E2788)),MAX($D$1:D2787)+1,0)</f>
        <v>0</v>
      </c>
      <c r="H2788" s="6">
        <f t="shared" si="140"/>
        <v>0</v>
      </c>
      <c r="I2788" s="6">
        <f t="shared" si="141"/>
        <v>0</v>
      </c>
      <c r="J2788" s="6">
        <f t="shared" si="142"/>
        <v>0</v>
      </c>
      <c r="L2788" s="4" t="str">
        <f>IFERROR(VLOOKUP(ROWS($L$2:L2788),$B$2:$C$1996,2,0),"")</f>
        <v/>
      </c>
      <c r="N2788" s="2" t="str">
        <f>IFERROR(VLOOKUP(ROWS($N$2:N2788),$D$2:$E$1996,2,0),"")</f>
        <v/>
      </c>
    </row>
    <row r="2789" spans="2:14">
      <c r="B2789" s="32">
        <f>IF(ISNUMBER(SEARCH('Φόρμα Εισαγωγής'!$B$2,C2789)),MAX($B$1:B2788)+1,0)</f>
        <v>0</v>
      </c>
      <c r="D2789" s="33">
        <f>IF(ISNUMBER(SEARCH('Φόρμα Εισαγωγής'!$C$2,E2789)),MAX($D$1:D2788)+1,0)</f>
        <v>0</v>
      </c>
      <c r="H2789" s="6">
        <f t="shared" si="140"/>
        <v>0</v>
      </c>
      <c r="I2789" s="6">
        <f t="shared" si="141"/>
        <v>0</v>
      </c>
      <c r="J2789" s="6">
        <f t="shared" si="142"/>
        <v>0</v>
      </c>
      <c r="L2789" s="4" t="str">
        <f>IFERROR(VLOOKUP(ROWS($L$2:L2789),$B$2:$C$1996,2,0),"")</f>
        <v/>
      </c>
      <c r="N2789" s="2" t="str">
        <f>IFERROR(VLOOKUP(ROWS($N$2:N2789),$D$2:$E$1996,2,0),"")</f>
        <v/>
      </c>
    </row>
    <row r="2790" spans="2:14">
      <c r="B2790" s="32">
        <f>IF(ISNUMBER(SEARCH('Φόρμα Εισαγωγής'!$B$2,C2790)),MAX($B$1:B2789)+1,0)</f>
        <v>0</v>
      </c>
      <c r="D2790" s="33">
        <f>IF(ISNUMBER(SEARCH('Φόρμα Εισαγωγής'!$C$2,E2790)),MAX($D$1:D2789)+1,0)</f>
        <v>0</v>
      </c>
      <c r="H2790" s="6">
        <f t="shared" si="140"/>
        <v>0</v>
      </c>
      <c r="I2790" s="6">
        <f t="shared" si="141"/>
        <v>0</v>
      </c>
      <c r="J2790" s="6">
        <f t="shared" si="142"/>
        <v>0</v>
      </c>
      <c r="L2790" s="4" t="str">
        <f>IFERROR(VLOOKUP(ROWS($L$2:L2790),$B$2:$C$1996,2,0),"")</f>
        <v/>
      </c>
      <c r="N2790" s="2" t="str">
        <f>IFERROR(VLOOKUP(ROWS($N$2:N2790),$D$2:$E$1996,2,0),"")</f>
        <v/>
      </c>
    </row>
    <row r="2791" spans="2:14">
      <c r="B2791" s="32">
        <f>IF(ISNUMBER(SEARCH('Φόρμα Εισαγωγής'!$B$2,C2791)),MAX($B$1:B2790)+1,0)</f>
        <v>0</v>
      </c>
      <c r="D2791" s="33">
        <f>IF(ISNUMBER(SEARCH('Φόρμα Εισαγωγής'!$C$2,E2791)),MAX($D$1:D2790)+1,0)</f>
        <v>0</v>
      </c>
      <c r="H2791" s="6">
        <f t="shared" si="140"/>
        <v>0</v>
      </c>
      <c r="I2791" s="6">
        <f t="shared" si="141"/>
        <v>0</v>
      </c>
      <c r="J2791" s="6">
        <f t="shared" si="142"/>
        <v>0</v>
      </c>
      <c r="L2791" s="4" t="str">
        <f>IFERROR(VLOOKUP(ROWS($L$2:L2791),$B$2:$C$1996,2,0),"")</f>
        <v/>
      </c>
      <c r="N2791" s="2" t="str">
        <f>IFERROR(VLOOKUP(ROWS($N$2:N2791),$D$2:$E$1996,2,0),"")</f>
        <v/>
      </c>
    </row>
    <row r="2792" spans="2:14">
      <c r="B2792" s="32">
        <f>IF(ISNUMBER(SEARCH('Φόρμα Εισαγωγής'!$B$2,C2792)),MAX($B$1:B2791)+1,0)</f>
        <v>0</v>
      </c>
      <c r="D2792" s="33">
        <f>IF(ISNUMBER(SEARCH('Φόρμα Εισαγωγής'!$C$2,E2792)),MAX($D$1:D2791)+1,0)</f>
        <v>0</v>
      </c>
      <c r="H2792" s="6">
        <f t="shared" si="140"/>
        <v>0</v>
      </c>
      <c r="I2792" s="6">
        <f t="shared" si="141"/>
        <v>0</v>
      </c>
      <c r="J2792" s="6">
        <f t="shared" si="142"/>
        <v>0</v>
      </c>
      <c r="L2792" s="4" t="str">
        <f>IFERROR(VLOOKUP(ROWS($L$2:L2792),$B$2:$C$1996,2,0),"")</f>
        <v/>
      </c>
      <c r="N2792" s="2" t="str">
        <f>IFERROR(VLOOKUP(ROWS($N$2:N2792),$D$2:$E$1996,2,0),"")</f>
        <v/>
      </c>
    </row>
    <row r="2793" spans="2:14">
      <c r="B2793" s="32">
        <f>IF(ISNUMBER(SEARCH('Φόρμα Εισαγωγής'!$B$2,C2793)),MAX($B$1:B2792)+1,0)</f>
        <v>0</v>
      </c>
      <c r="D2793" s="33">
        <f>IF(ISNUMBER(SEARCH('Φόρμα Εισαγωγής'!$C$2,E2793)),MAX($D$1:D2792)+1,0)</f>
        <v>0</v>
      </c>
      <c r="H2793" s="6">
        <f t="shared" si="140"/>
        <v>0</v>
      </c>
      <c r="I2793" s="6">
        <f t="shared" si="141"/>
        <v>0</v>
      </c>
      <c r="J2793" s="6">
        <f t="shared" si="142"/>
        <v>0</v>
      </c>
      <c r="L2793" s="4" t="str">
        <f>IFERROR(VLOOKUP(ROWS($L$2:L2793),$B$2:$C$1996,2,0),"")</f>
        <v/>
      </c>
      <c r="N2793" s="2" t="str">
        <f>IFERROR(VLOOKUP(ROWS($N$2:N2793),$D$2:$E$1996,2,0),"")</f>
        <v/>
      </c>
    </row>
    <row r="2794" spans="2:14">
      <c r="B2794" s="32">
        <f>IF(ISNUMBER(SEARCH('Φόρμα Εισαγωγής'!$B$2,C2794)),MAX($B$1:B2793)+1,0)</f>
        <v>0</v>
      </c>
      <c r="D2794" s="33">
        <f>IF(ISNUMBER(SEARCH('Φόρμα Εισαγωγής'!$C$2,E2794)),MAX($D$1:D2793)+1,0)</f>
        <v>0</v>
      </c>
      <c r="H2794" s="6">
        <f t="shared" si="140"/>
        <v>0</v>
      </c>
      <c r="I2794" s="6">
        <f t="shared" si="141"/>
        <v>0</v>
      </c>
      <c r="J2794" s="6">
        <f t="shared" si="142"/>
        <v>0</v>
      </c>
      <c r="L2794" s="4" t="str">
        <f>IFERROR(VLOOKUP(ROWS($L$2:L2794),$B$2:$C$1996,2,0),"")</f>
        <v/>
      </c>
      <c r="N2794" s="2" t="str">
        <f>IFERROR(VLOOKUP(ROWS($N$2:N2794),$D$2:$E$1996,2,0),"")</f>
        <v/>
      </c>
    </row>
    <row r="2795" spans="2:14">
      <c r="B2795" s="32">
        <f>IF(ISNUMBER(SEARCH('Φόρμα Εισαγωγής'!$B$2,C2795)),MAX($B$1:B2794)+1,0)</f>
        <v>0</v>
      </c>
      <c r="D2795" s="33">
        <f>IF(ISNUMBER(SEARCH('Φόρμα Εισαγωγής'!$C$2,E2795)),MAX($D$1:D2794)+1,0)</f>
        <v>0</v>
      </c>
      <c r="H2795" s="6">
        <f t="shared" si="140"/>
        <v>0</v>
      </c>
      <c r="I2795" s="6">
        <f t="shared" si="141"/>
        <v>0</v>
      </c>
      <c r="J2795" s="6">
        <f t="shared" si="142"/>
        <v>0</v>
      </c>
      <c r="L2795" s="4" t="str">
        <f>IFERROR(VLOOKUP(ROWS($L$2:L2795),$B$2:$C$1996,2,0),"")</f>
        <v/>
      </c>
      <c r="N2795" s="2" t="str">
        <f>IFERROR(VLOOKUP(ROWS($N$2:N2795),$D$2:$E$1996,2,0),"")</f>
        <v/>
      </c>
    </row>
    <row r="2796" spans="2:14">
      <c r="B2796" s="32">
        <f>IF(ISNUMBER(SEARCH('Φόρμα Εισαγωγής'!$B$2,C2796)),MAX($B$1:B2795)+1,0)</f>
        <v>0</v>
      </c>
      <c r="D2796" s="33">
        <f>IF(ISNUMBER(SEARCH('Φόρμα Εισαγωγής'!$C$2,E2796)),MAX($D$1:D2795)+1,0)</f>
        <v>0</v>
      </c>
      <c r="H2796" s="6">
        <f t="shared" si="140"/>
        <v>0</v>
      </c>
      <c r="I2796" s="6">
        <f t="shared" si="141"/>
        <v>0</v>
      </c>
      <c r="J2796" s="6">
        <f t="shared" si="142"/>
        <v>0</v>
      </c>
      <c r="L2796" s="4" t="str">
        <f>IFERROR(VLOOKUP(ROWS($L$2:L2796),$B$2:$C$1996,2,0),"")</f>
        <v/>
      </c>
      <c r="N2796" s="2" t="str">
        <f>IFERROR(VLOOKUP(ROWS($N$2:N2796),$D$2:$E$1996,2,0),"")</f>
        <v/>
      </c>
    </row>
    <row r="2797" spans="2:14">
      <c r="B2797" s="32">
        <f>IF(ISNUMBER(SEARCH('Φόρμα Εισαγωγής'!$B$2,C2797)),MAX($B$1:B2796)+1,0)</f>
        <v>0</v>
      </c>
      <c r="D2797" s="33">
        <f>IF(ISNUMBER(SEARCH('Φόρμα Εισαγωγής'!$C$2,E2797)),MAX($D$1:D2796)+1,0)</f>
        <v>0</v>
      </c>
      <c r="H2797" s="6">
        <f t="shared" si="140"/>
        <v>0</v>
      </c>
      <c r="I2797" s="6">
        <f t="shared" si="141"/>
        <v>0</v>
      </c>
      <c r="J2797" s="6">
        <f t="shared" si="142"/>
        <v>0</v>
      </c>
      <c r="L2797" s="4" t="str">
        <f>IFERROR(VLOOKUP(ROWS($L$2:L2797),$B$2:$C$1996,2,0),"")</f>
        <v/>
      </c>
      <c r="N2797" s="2" t="str">
        <f>IFERROR(VLOOKUP(ROWS($N$2:N2797),$D$2:$E$1996,2,0),"")</f>
        <v/>
      </c>
    </row>
    <row r="2798" spans="2:14">
      <c r="B2798" s="32">
        <f>IF(ISNUMBER(SEARCH('Φόρμα Εισαγωγής'!$B$2,C2798)),MAX($B$1:B2797)+1,0)</f>
        <v>0</v>
      </c>
      <c r="D2798" s="33">
        <f>IF(ISNUMBER(SEARCH('Φόρμα Εισαγωγής'!$C$2,E2798)),MAX($D$1:D2797)+1,0)</f>
        <v>0</v>
      </c>
      <c r="H2798" s="6">
        <f t="shared" si="140"/>
        <v>0</v>
      </c>
      <c r="I2798" s="6">
        <f t="shared" si="141"/>
        <v>0</v>
      </c>
      <c r="J2798" s="6">
        <f t="shared" si="142"/>
        <v>0</v>
      </c>
      <c r="L2798" s="4" t="str">
        <f>IFERROR(VLOOKUP(ROWS($L$2:L2798),$B$2:$C$1996,2,0),"")</f>
        <v/>
      </c>
      <c r="N2798" s="2" t="str">
        <f>IFERROR(VLOOKUP(ROWS($N$2:N2798),$D$2:$E$1996,2,0),"")</f>
        <v/>
      </c>
    </row>
    <row r="2799" spans="2:14">
      <c r="B2799" s="32">
        <f>IF(ISNUMBER(SEARCH('Φόρμα Εισαγωγής'!$B$2,C2799)),MAX($B$1:B2798)+1,0)</f>
        <v>0</v>
      </c>
      <c r="D2799" s="33">
        <f>IF(ISNUMBER(SEARCH('Φόρμα Εισαγωγής'!$C$2,E2799)),MAX($D$1:D2798)+1,0)</f>
        <v>0</v>
      </c>
      <c r="H2799" s="6">
        <f t="shared" si="140"/>
        <v>0</v>
      </c>
      <c r="I2799" s="6">
        <f t="shared" si="141"/>
        <v>0</v>
      </c>
      <c r="J2799" s="6">
        <f t="shared" si="142"/>
        <v>0</v>
      </c>
      <c r="L2799" s="4" t="str">
        <f>IFERROR(VLOOKUP(ROWS($L$2:L2799),$B$2:$C$1996,2,0),"")</f>
        <v/>
      </c>
      <c r="N2799" s="2" t="str">
        <f>IFERROR(VLOOKUP(ROWS($N$2:N2799),$D$2:$E$1996,2,0),"")</f>
        <v/>
      </c>
    </row>
    <row r="2800" spans="2:14">
      <c r="B2800" s="32">
        <f>IF(ISNUMBER(SEARCH('Φόρμα Εισαγωγής'!$B$2,C2800)),MAX($B$1:B2799)+1,0)</f>
        <v>0</v>
      </c>
      <c r="D2800" s="33">
        <f>IF(ISNUMBER(SEARCH('Φόρμα Εισαγωγής'!$C$2,E2800)),MAX($D$1:D2799)+1,0)</f>
        <v>0</v>
      </c>
      <c r="H2800" s="6">
        <f t="shared" si="140"/>
        <v>0</v>
      </c>
      <c r="I2800" s="6">
        <f t="shared" si="141"/>
        <v>0</v>
      </c>
      <c r="J2800" s="6">
        <f t="shared" si="142"/>
        <v>0</v>
      </c>
      <c r="L2800" s="4" t="str">
        <f>IFERROR(VLOOKUP(ROWS($L$2:L2800),$B$2:$C$1996,2,0),"")</f>
        <v/>
      </c>
      <c r="N2800" s="2" t="str">
        <f>IFERROR(VLOOKUP(ROWS($N$2:N2800),$D$2:$E$1996,2,0),"")</f>
        <v/>
      </c>
    </row>
    <row r="2801" spans="2:14">
      <c r="B2801" s="32">
        <f>IF(ISNUMBER(SEARCH('Φόρμα Εισαγωγής'!$B$2,C2801)),MAX($B$1:B2800)+1,0)</f>
        <v>0</v>
      </c>
      <c r="D2801" s="33">
        <f>IF(ISNUMBER(SEARCH('Φόρμα Εισαγωγής'!$C$2,E2801)),MAX($D$1:D2800)+1,0)</f>
        <v>0</v>
      </c>
      <c r="H2801" s="6">
        <f t="shared" si="140"/>
        <v>0</v>
      </c>
      <c r="I2801" s="6">
        <f t="shared" si="141"/>
        <v>0</v>
      </c>
      <c r="J2801" s="6">
        <f t="shared" si="142"/>
        <v>0</v>
      </c>
      <c r="L2801" s="4" t="str">
        <f>IFERROR(VLOOKUP(ROWS($L$2:L2801),$B$2:$C$1996,2,0),"")</f>
        <v/>
      </c>
      <c r="N2801" s="2" t="str">
        <f>IFERROR(VLOOKUP(ROWS($N$2:N2801),$D$2:$E$1996,2,0),"")</f>
        <v/>
      </c>
    </row>
    <row r="2802" spans="2:14">
      <c r="B2802" s="32">
        <f>IF(ISNUMBER(SEARCH('Φόρμα Εισαγωγής'!$B$2,C2802)),MAX($B$1:B2801)+1,0)</f>
        <v>0</v>
      </c>
      <c r="D2802" s="33">
        <f>IF(ISNUMBER(SEARCH('Φόρμα Εισαγωγής'!$C$2,E2802)),MAX($D$1:D2801)+1,0)</f>
        <v>0</v>
      </c>
      <c r="H2802" s="6">
        <f t="shared" si="140"/>
        <v>0</v>
      </c>
      <c r="I2802" s="6">
        <f t="shared" si="141"/>
        <v>0</v>
      </c>
      <c r="J2802" s="6">
        <f t="shared" si="142"/>
        <v>0</v>
      </c>
      <c r="L2802" s="4" t="str">
        <f>IFERROR(VLOOKUP(ROWS($L$2:L2802),$B$2:$C$1996,2,0),"")</f>
        <v/>
      </c>
      <c r="N2802" s="2" t="str">
        <f>IFERROR(VLOOKUP(ROWS($N$2:N2802),$D$2:$E$1996,2,0),"")</f>
        <v/>
      </c>
    </row>
    <row r="2803" spans="2:14">
      <c r="B2803" s="32">
        <f>IF(ISNUMBER(SEARCH('Φόρμα Εισαγωγής'!$B$2,C2803)),MAX($B$1:B2802)+1,0)</f>
        <v>0</v>
      </c>
      <c r="D2803" s="33">
        <f>IF(ISNUMBER(SEARCH('Φόρμα Εισαγωγής'!$C$2,E2803)),MAX($D$1:D2802)+1,0)</f>
        <v>0</v>
      </c>
      <c r="H2803" s="6">
        <f t="shared" si="140"/>
        <v>0</v>
      </c>
      <c r="I2803" s="6">
        <f t="shared" si="141"/>
        <v>0</v>
      </c>
      <c r="J2803" s="6">
        <f t="shared" si="142"/>
        <v>0</v>
      </c>
      <c r="L2803" s="4" t="str">
        <f>IFERROR(VLOOKUP(ROWS($L$2:L2803),$B$2:$C$1996,2,0),"")</f>
        <v/>
      </c>
      <c r="N2803" s="2" t="str">
        <f>IFERROR(VLOOKUP(ROWS($N$2:N2803),$D$2:$E$1996,2,0),"")</f>
        <v/>
      </c>
    </row>
    <row r="2804" spans="2:14">
      <c r="B2804" s="32">
        <f>IF(ISNUMBER(SEARCH('Φόρμα Εισαγωγής'!$B$2,C2804)),MAX($B$1:B2803)+1,0)</f>
        <v>0</v>
      </c>
      <c r="D2804" s="33">
        <f>IF(ISNUMBER(SEARCH('Φόρμα Εισαγωγής'!$C$2,E2804)),MAX($D$1:D2803)+1,0)</f>
        <v>0</v>
      </c>
      <c r="H2804" s="6">
        <f t="shared" si="140"/>
        <v>0</v>
      </c>
      <c r="I2804" s="6">
        <f t="shared" si="141"/>
        <v>0</v>
      </c>
      <c r="J2804" s="6">
        <f t="shared" si="142"/>
        <v>0</v>
      </c>
      <c r="L2804" s="4" t="str">
        <f>IFERROR(VLOOKUP(ROWS($L$2:L2804),$B$2:$C$1996,2,0),"")</f>
        <v/>
      </c>
      <c r="N2804" s="2" t="str">
        <f>IFERROR(VLOOKUP(ROWS($N$2:N2804),$D$2:$E$1996,2,0),"")</f>
        <v/>
      </c>
    </row>
    <row r="2805" spans="2:14">
      <c r="B2805" s="32">
        <f>IF(ISNUMBER(SEARCH('Φόρμα Εισαγωγής'!$B$2,C2805)),MAX($B$1:B2804)+1,0)</f>
        <v>0</v>
      </c>
      <c r="D2805" s="33">
        <f>IF(ISNUMBER(SEARCH('Φόρμα Εισαγωγής'!$C$2,E2805)),MAX($D$1:D2804)+1,0)</f>
        <v>0</v>
      </c>
      <c r="H2805" s="6">
        <f t="shared" si="140"/>
        <v>0</v>
      </c>
      <c r="I2805" s="6">
        <f t="shared" si="141"/>
        <v>0</v>
      </c>
      <c r="J2805" s="6">
        <f t="shared" si="142"/>
        <v>0</v>
      </c>
      <c r="L2805" s="4" t="str">
        <f>IFERROR(VLOOKUP(ROWS($L$2:L2805),$B$2:$C$1996,2,0),"")</f>
        <v/>
      </c>
      <c r="N2805" s="2" t="str">
        <f>IFERROR(VLOOKUP(ROWS($N$2:N2805),$D$2:$E$1996,2,0),"")</f>
        <v/>
      </c>
    </row>
    <row r="2806" spans="2:14">
      <c r="B2806" s="32">
        <f>IF(ISNUMBER(SEARCH('Φόρμα Εισαγωγής'!$B$2,C2806)),MAX($B$1:B2805)+1,0)</f>
        <v>0</v>
      </c>
      <c r="D2806" s="33">
        <f>IF(ISNUMBER(SEARCH('Φόρμα Εισαγωγής'!$C$2,E2806)),MAX($D$1:D2805)+1,0)</f>
        <v>0</v>
      </c>
      <c r="H2806" s="6">
        <f t="shared" si="140"/>
        <v>0</v>
      </c>
      <c r="I2806" s="6">
        <f t="shared" si="141"/>
        <v>0</v>
      </c>
      <c r="J2806" s="6">
        <f t="shared" si="142"/>
        <v>0</v>
      </c>
      <c r="L2806" s="4" t="str">
        <f>IFERROR(VLOOKUP(ROWS($L$2:L2806),$B$2:$C$1996,2,0),"")</f>
        <v/>
      </c>
      <c r="N2806" s="2" t="str">
        <f>IFERROR(VLOOKUP(ROWS($N$2:N2806),$D$2:$E$1996,2,0),"")</f>
        <v/>
      </c>
    </row>
    <row r="2807" spans="2:14">
      <c r="B2807" s="32">
        <f>IF(ISNUMBER(SEARCH('Φόρμα Εισαγωγής'!$B$2,C2807)),MAX($B$1:B2806)+1,0)</f>
        <v>0</v>
      </c>
      <c r="D2807" s="33">
        <f>IF(ISNUMBER(SEARCH('Φόρμα Εισαγωγής'!$C$2,E2807)),MAX($D$1:D2806)+1,0)</f>
        <v>0</v>
      </c>
      <c r="H2807" s="6">
        <f t="shared" si="140"/>
        <v>0</v>
      </c>
      <c r="I2807" s="6">
        <f t="shared" si="141"/>
        <v>0</v>
      </c>
      <c r="J2807" s="6">
        <f t="shared" si="142"/>
        <v>0</v>
      </c>
      <c r="L2807" s="4" t="str">
        <f>IFERROR(VLOOKUP(ROWS($L$2:L2807),$B$2:$C$1996,2,0),"")</f>
        <v/>
      </c>
      <c r="N2807" s="2" t="str">
        <f>IFERROR(VLOOKUP(ROWS($N$2:N2807),$D$2:$E$1996,2,0),"")</f>
        <v/>
      </c>
    </row>
    <row r="2808" spans="2:14">
      <c r="B2808" s="32">
        <f>IF(ISNUMBER(SEARCH('Φόρμα Εισαγωγής'!$B$2,C2808)),MAX($B$1:B2807)+1,0)</f>
        <v>0</v>
      </c>
      <c r="D2808" s="33">
        <f>IF(ISNUMBER(SEARCH('Φόρμα Εισαγωγής'!$C$2,E2808)),MAX($D$1:D2807)+1,0)</f>
        <v>0</v>
      </c>
      <c r="H2808" s="6">
        <f t="shared" si="140"/>
        <v>0</v>
      </c>
      <c r="I2808" s="6">
        <f t="shared" si="141"/>
        <v>0</v>
      </c>
      <c r="J2808" s="6">
        <f t="shared" si="142"/>
        <v>0</v>
      </c>
      <c r="L2808" s="4" t="str">
        <f>IFERROR(VLOOKUP(ROWS($L$2:L2808),$B$2:$C$1996,2,0),"")</f>
        <v/>
      </c>
      <c r="N2808" s="2" t="str">
        <f>IFERROR(VLOOKUP(ROWS($N$2:N2808),$D$2:$E$1996,2,0),"")</f>
        <v/>
      </c>
    </row>
    <row r="2809" spans="2:14">
      <c r="B2809" s="32">
        <f>IF(ISNUMBER(SEARCH('Φόρμα Εισαγωγής'!$B$2,C2809)),MAX($B$1:B2808)+1,0)</f>
        <v>0</v>
      </c>
      <c r="D2809" s="33">
        <f>IF(ISNUMBER(SEARCH('Φόρμα Εισαγωγής'!$C$2,E2809)),MAX($D$1:D2808)+1,0)</f>
        <v>0</v>
      </c>
      <c r="H2809" s="6">
        <f t="shared" si="140"/>
        <v>0</v>
      </c>
      <c r="I2809" s="6">
        <f t="shared" si="141"/>
        <v>0</v>
      </c>
      <c r="J2809" s="6">
        <f t="shared" si="142"/>
        <v>0</v>
      </c>
      <c r="L2809" s="4" t="str">
        <f>IFERROR(VLOOKUP(ROWS($L$2:L2809),$B$2:$C$1996,2,0),"")</f>
        <v/>
      </c>
      <c r="N2809" s="2" t="str">
        <f>IFERROR(VLOOKUP(ROWS($N$2:N2809),$D$2:$E$1996,2,0),"")</f>
        <v/>
      </c>
    </row>
    <row r="2810" spans="2:14">
      <c r="B2810" s="32">
        <f>IF(ISNUMBER(SEARCH('Φόρμα Εισαγωγής'!$B$2,C2810)),MAX($B$1:B2809)+1,0)</f>
        <v>0</v>
      </c>
      <c r="D2810" s="33">
        <f>IF(ISNUMBER(SEARCH('Φόρμα Εισαγωγής'!$C$2,E2810)),MAX($D$1:D2809)+1,0)</f>
        <v>0</v>
      </c>
      <c r="H2810" s="6">
        <f t="shared" si="140"/>
        <v>0</v>
      </c>
      <c r="I2810" s="6">
        <f t="shared" si="141"/>
        <v>0</v>
      </c>
      <c r="J2810" s="6">
        <f t="shared" si="142"/>
        <v>0</v>
      </c>
      <c r="L2810" s="4" t="str">
        <f>IFERROR(VLOOKUP(ROWS($L$2:L2810),$B$2:$C$1996,2,0),"")</f>
        <v/>
      </c>
      <c r="N2810" s="2" t="str">
        <f>IFERROR(VLOOKUP(ROWS($N$2:N2810),$D$2:$E$1996,2,0),"")</f>
        <v/>
      </c>
    </row>
    <row r="2811" spans="2:14">
      <c r="B2811" s="32">
        <f>IF(ISNUMBER(SEARCH('Φόρμα Εισαγωγής'!$B$2,C2811)),MAX($B$1:B2810)+1,0)</f>
        <v>0</v>
      </c>
      <c r="D2811" s="33">
        <f>IF(ISNUMBER(SEARCH('Φόρμα Εισαγωγής'!$C$2,E2811)),MAX($D$1:D2810)+1,0)</f>
        <v>0</v>
      </c>
      <c r="H2811" s="6">
        <f t="shared" si="140"/>
        <v>0</v>
      </c>
      <c r="I2811" s="6">
        <f t="shared" si="141"/>
        <v>0</v>
      </c>
      <c r="J2811" s="6">
        <f t="shared" si="142"/>
        <v>0</v>
      </c>
      <c r="L2811" s="4" t="str">
        <f>IFERROR(VLOOKUP(ROWS($L$2:L2811),$B$2:$C$1996,2,0),"")</f>
        <v/>
      </c>
      <c r="N2811" s="2" t="str">
        <f>IFERROR(VLOOKUP(ROWS($N$2:N2811),$D$2:$E$1996,2,0),"")</f>
        <v/>
      </c>
    </row>
    <row r="2812" spans="2:14">
      <c r="B2812" s="32">
        <f>IF(ISNUMBER(SEARCH('Φόρμα Εισαγωγής'!$B$2,C2812)),MAX($B$1:B2811)+1,0)</f>
        <v>0</v>
      </c>
      <c r="D2812" s="33">
        <f>IF(ISNUMBER(SEARCH('Φόρμα Εισαγωγής'!$C$2,E2812)),MAX($D$1:D2811)+1,0)</f>
        <v>0</v>
      </c>
      <c r="H2812" s="6">
        <f t="shared" si="140"/>
        <v>0</v>
      </c>
      <c r="I2812" s="6">
        <f t="shared" si="141"/>
        <v>0</v>
      </c>
      <c r="J2812" s="6">
        <f t="shared" si="142"/>
        <v>0</v>
      </c>
      <c r="L2812" s="4" t="str">
        <f>IFERROR(VLOOKUP(ROWS($L$2:L2812),$B$2:$C$1996,2,0),"")</f>
        <v/>
      </c>
      <c r="N2812" s="2" t="str">
        <f>IFERROR(VLOOKUP(ROWS($N$2:N2812),$D$2:$E$1996,2,0),"")</f>
        <v/>
      </c>
    </row>
    <row r="2813" spans="2:14">
      <c r="B2813" s="32">
        <f>IF(ISNUMBER(SEARCH('Φόρμα Εισαγωγής'!$B$2,C2813)),MAX($B$1:B2812)+1,0)</f>
        <v>0</v>
      </c>
      <c r="D2813" s="33">
        <f>IF(ISNUMBER(SEARCH('Φόρμα Εισαγωγής'!$C$2,E2813)),MAX($D$1:D2812)+1,0)</f>
        <v>0</v>
      </c>
      <c r="H2813" s="6">
        <f t="shared" si="140"/>
        <v>0</v>
      </c>
      <c r="I2813" s="6">
        <f t="shared" si="141"/>
        <v>0</v>
      </c>
      <c r="J2813" s="6">
        <f t="shared" si="142"/>
        <v>0</v>
      </c>
      <c r="L2813" s="4" t="str">
        <f>IFERROR(VLOOKUP(ROWS($L$2:L2813),$B$2:$C$1996,2,0),"")</f>
        <v/>
      </c>
      <c r="N2813" s="2" t="str">
        <f>IFERROR(VLOOKUP(ROWS($N$2:N2813),$D$2:$E$1996,2,0),"")</f>
        <v/>
      </c>
    </row>
    <row r="2814" spans="2:14">
      <c r="B2814" s="32">
        <f>IF(ISNUMBER(SEARCH('Φόρμα Εισαγωγής'!$B$2,C2814)),MAX($B$1:B2813)+1,0)</f>
        <v>0</v>
      </c>
      <c r="D2814" s="33">
        <f>IF(ISNUMBER(SEARCH('Φόρμα Εισαγωγής'!$C$2,E2814)),MAX($D$1:D2813)+1,0)</f>
        <v>0</v>
      </c>
      <c r="H2814" s="6">
        <f t="shared" si="140"/>
        <v>0</v>
      </c>
      <c r="I2814" s="6">
        <f t="shared" si="141"/>
        <v>0</v>
      </c>
      <c r="J2814" s="6">
        <f t="shared" si="142"/>
        <v>0</v>
      </c>
      <c r="L2814" s="4" t="str">
        <f>IFERROR(VLOOKUP(ROWS($L$2:L2814),$B$2:$C$1996,2,0),"")</f>
        <v/>
      </c>
      <c r="N2814" s="2" t="str">
        <f>IFERROR(VLOOKUP(ROWS($N$2:N2814),$D$2:$E$1996,2,0),"")</f>
        <v/>
      </c>
    </row>
    <row r="2815" spans="2:14">
      <c r="B2815" s="32">
        <f>IF(ISNUMBER(SEARCH('Φόρμα Εισαγωγής'!$B$2,C2815)),MAX($B$1:B2814)+1,0)</f>
        <v>0</v>
      </c>
      <c r="D2815" s="33">
        <f>IF(ISNUMBER(SEARCH('Φόρμα Εισαγωγής'!$C$2,E2815)),MAX($D$1:D2814)+1,0)</f>
        <v>0</v>
      </c>
      <c r="H2815" s="6">
        <f t="shared" si="140"/>
        <v>0</v>
      </c>
      <c r="I2815" s="6">
        <f t="shared" si="141"/>
        <v>0</v>
      </c>
      <c r="J2815" s="6">
        <f t="shared" si="142"/>
        <v>0</v>
      </c>
      <c r="L2815" s="4" t="str">
        <f>IFERROR(VLOOKUP(ROWS($L$2:L2815),$B$2:$C$1996,2,0),"")</f>
        <v/>
      </c>
      <c r="N2815" s="2" t="str">
        <f>IFERROR(VLOOKUP(ROWS($N$2:N2815),$D$2:$E$1996,2,0),"")</f>
        <v/>
      </c>
    </row>
    <row r="2816" spans="2:14">
      <c r="B2816" s="32">
        <f>IF(ISNUMBER(SEARCH('Φόρμα Εισαγωγής'!$B$2,C2816)),MAX($B$1:B2815)+1,0)</f>
        <v>0</v>
      </c>
      <c r="D2816" s="33">
        <f>IF(ISNUMBER(SEARCH('Φόρμα Εισαγωγής'!$C$2,E2816)),MAX($D$1:D2815)+1,0)</f>
        <v>0</v>
      </c>
      <c r="H2816" s="6">
        <f t="shared" ref="H2816:H2879" si="143">G2816+(G2816*0.24)</f>
        <v>0</v>
      </c>
      <c r="I2816" s="6">
        <f t="shared" ref="I2816:I2879" si="144">F2816*A2816</f>
        <v>0</v>
      </c>
      <c r="J2816" s="6">
        <f t="shared" ref="J2816:J2879" si="145">H2816*A2816</f>
        <v>0</v>
      </c>
      <c r="L2816" s="4" t="str">
        <f>IFERROR(VLOOKUP(ROWS($L$2:L2816),$B$2:$C$1996,2,0),"")</f>
        <v/>
      </c>
      <c r="N2816" s="2" t="str">
        <f>IFERROR(VLOOKUP(ROWS($N$2:N2816),$D$2:$E$1996,2,0),"")</f>
        <v/>
      </c>
    </row>
    <row r="2817" spans="2:14">
      <c r="B2817" s="32">
        <f>IF(ISNUMBER(SEARCH('Φόρμα Εισαγωγής'!$B$2,C2817)),MAX($B$1:B2816)+1,0)</f>
        <v>0</v>
      </c>
      <c r="D2817" s="33">
        <f>IF(ISNUMBER(SEARCH('Φόρμα Εισαγωγής'!$C$2,E2817)),MAX($D$1:D2816)+1,0)</f>
        <v>0</v>
      </c>
      <c r="H2817" s="6">
        <f t="shared" si="143"/>
        <v>0</v>
      </c>
      <c r="I2817" s="6">
        <f t="shared" si="144"/>
        <v>0</v>
      </c>
      <c r="J2817" s="6">
        <f t="shared" si="145"/>
        <v>0</v>
      </c>
      <c r="L2817" s="4" t="str">
        <f>IFERROR(VLOOKUP(ROWS($L$2:L2817),$B$2:$C$1996,2,0),"")</f>
        <v/>
      </c>
      <c r="N2817" s="2" t="str">
        <f>IFERROR(VLOOKUP(ROWS($N$2:N2817),$D$2:$E$1996,2,0),"")</f>
        <v/>
      </c>
    </row>
    <row r="2818" spans="2:14">
      <c r="B2818" s="32">
        <f>IF(ISNUMBER(SEARCH('Φόρμα Εισαγωγής'!$B$2,C2818)),MAX($B$1:B2817)+1,0)</f>
        <v>0</v>
      </c>
      <c r="D2818" s="33">
        <f>IF(ISNUMBER(SEARCH('Φόρμα Εισαγωγής'!$C$2,E2818)),MAX($D$1:D2817)+1,0)</f>
        <v>0</v>
      </c>
      <c r="H2818" s="6">
        <f t="shared" si="143"/>
        <v>0</v>
      </c>
      <c r="I2818" s="6">
        <f t="shared" si="144"/>
        <v>0</v>
      </c>
      <c r="J2818" s="6">
        <f t="shared" si="145"/>
        <v>0</v>
      </c>
      <c r="L2818" s="4" t="str">
        <f>IFERROR(VLOOKUP(ROWS($L$2:L2818),$B$2:$C$1996,2,0),"")</f>
        <v/>
      </c>
      <c r="N2818" s="2" t="str">
        <f>IFERROR(VLOOKUP(ROWS($N$2:N2818),$D$2:$E$1996,2,0),"")</f>
        <v/>
      </c>
    </row>
    <row r="2819" spans="2:14">
      <c r="B2819" s="32">
        <f>IF(ISNUMBER(SEARCH('Φόρμα Εισαγωγής'!$B$2,C2819)),MAX($B$1:B2818)+1,0)</f>
        <v>0</v>
      </c>
      <c r="D2819" s="33">
        <f>IF(ISNUMBER(SEARCH('Φόρμα Εισαγωγής'!$C$2,E2819)),MAX($D$1:D2818)+1,0)</f>
        <v>0</v>
      </c>
      <c r="H2819" s="6">
        <f t="shared" si="143"/>
        <v>0</v>
      </c>
      <c r="I2819" s="6">
        <f t="shared" si="144"/>
        <v>0</v>
      </c>
      <c r="J2819" s="6">
        <f t="shared" si="145"/>
        <v>0</v>
      </c>
      <c r="L2819" s="4" t="str">
        <f>IFERROR(VLOOKUP(ROWS($L$2:L2819),$B$2:$C$1996,2,0),"")</f>
        <v/>
      </c>
      <c r="N2819" s="2" t="str">
        <f>IFERROR(VLOOKUP(ROWS($N$2:N2819),$D$2:$E$1996,2,0),"")</f>
        <v/>
      </c>
    </row>
    <row r="2820" spans="2:14">
      <c r="B2820" s="32">
        <f>IF(ISNUMBER(SEARCH('Φόρμα Εισαγωγής'!$B$2,C2820)),MAX($B$1:B2819)+1,0)</f>
        <v>0</v>
      </c>
      <c r="D2820" s="33">
        <f>IF(ISNUMBER(SEARCH('Φόρμα Εισαγωγής'!$C$2,E2820)),MAX($D$1:D2819)+1,0)</f>
        <v>0</v>
      </c>
      <c r="H2820" s="6">
        <f t="shared" si="143"/>
        <v>0</v>
      </c>
      <c r="I2820" s="6">
        <f t="shared" si="144"/>
        <v>0</v>
      </c>
      <c r="J2820" s="6">
        <f t="shared" si="145"/>
        <v>0</v>
      </c>
      <c r="L2820" s="4" t="str">
        <f>IFERROR(VLOOKUP(ROWS($L$2:L2820),$B$2:$C$1996,2,0),"")</f>
        <v/>
      </c>
      <c r="N2820" s="2" t="str">
        <f>IFERROR(VLOOKUP(ROWS($N$2:N2820),$D$2:$E$1996,2,0),"")</f>
        <v/>
      </c>
    </row>
    <row r="2821" spans="2:14">
      <c r="B2821" s="32">
        <f>IF(ISNUMBER(SEARCH('Φόρμα Εισαγωγής'!$B$2,C2821)),MAX($B$1:B2820)+1,0)</f>
        <v>0</v>
      </c>
      <c r="D2821" s="33">
        <f>IF(ISNUMBER(SEARCH('Φόρμα Εισαγωγής'!$C$2,E2821)),MAX($D$1:D2820)+1,0)</f>
        <v>0</v>
      </c>
      <c r="H2821" s="6">
        <f t="shared" si="143"/>
        <v>0</v>
      </c>
      <c r="I2821" s="6">
        <f t="shared" si="144"/>
        <v>0</v>
      </c>
      <c r="J2821" s="6">
        <f t="shared" si="145"/>
        <v>0</v>
      </c>
      <c r="L2821" s="4" t="str">
        <f>IFERROR(VLOOKUP(ROWS($L$2:L2821),$B$2:$C$1996,2,0),"")</f>
        <v/>
      </c>
      <c r="N2821" s="2" t="str">
        <f>IFERROR(VLOOKUP(ROWS($N$2:N2821),$D$2:$E$1996,2,0),"")</f>
        <v/>
      </c>
    </row>
    <row r="2822" spans="2:14">
      <c r="B2822" s="32">
        <f>IF(ISNUMBER(SEARCH('Φόρμα Εισαγωγής'!$B$2,C2822)),MAX($B$1:B2821)+1,0)</f>
        <v>0</v>
      </c>
      <c r="D2822" s="33">
        <f>IF(ISNUMBER(SEARCH('Φόρμα Εισαγωγής'!$C$2,E2822)),MAX($D$1:D2821)+1,0)</f>
        <v>0</v>
      </c>
      <c r="H2822" s="6">
        <f t="shared" si="143"/>
        <v>0</v>
      </c>
      <c r="I2822" s="6">
        <f t="shared" si="144"/>
        <v>0</v>
      </c>
      <c r="J2822" s="6">
        <f t="shared" si="145"/>
        <v>0</v>
      </c>
      <c r="L2822" s="4" t="str">
        <f>IFERROR(VLOOKUP(ROWS($L$2:L2822),$B$2:$C$1996,2,0),"")</f>
        <v/>
      </c>
      <c r="N2822" s="2" t="str">
        <f>IFERROR(VLOOKUP(ROWS($N$2:N2822),$D$2:$E$1996,2,0),"")</f>
        <v/>
      </c>
    </row>
    <row r="2823" spans="2:14">
      <c r="B2823" s="32">
        <f>IF(ISNUMBER(SEARCH('Φόρμα Εισαγωγής'!$B$2,C2823)),MAX($B$1:B2822)+1,0)</f>
        <v>0</v>
      </c>
      <c r="D2823" s="33">
        <f>IF(ISNUMBER(SEARCH('Φόρμα Εισαγωγής'!$C$2,E2823)),MAX($D$1:D2822)+1,0)</f>
        <v>0</v>
      </c>
      <c r="H2823" s="6">
        <f t="shared" si="143"/>
        <v>0</v>
      </c>
      <c r="I2823" s="6">
        <f t="shared" si="144"/>
        <v>0</v>
      </c>
      <c r="J2823" s="6">
        <f t="shared" si="145"/>
        <v>0</v>
      </c>
      <c r="L2823" s="4" t="str">
        <f>IFERROR(VLOOKUP(ROWS($L$2:L2823),$B$2:$C$1996,2,0),"")</f>
        <v/>
      </c>
      <c r="N2823" s="2" t="str">
        <f>IFERROR(VLOOKUP(ROWS($N$2:N2823),$D$2:$E$1996,2,0),"")</f>
        <v/>
      </c>
    </row>
    <row r="2824" spans="2:14">
      <c r="B2824" s="32">
        <f>IF(ISNUMBER(SEARCH('Φόρμα Εισαγωγής'!$B$2,C2824)),MAX($B$1:B2823)+1,0)</f>
        <v>0</v>
      </c>
      <c r="D2824" s="33">
        <f>IF(ISNUMBER(SEARCH('Φόρμα Εισαγωγής'!$C$2,E2824)),MAX($D$1:D2823)+1,0)</f>
        <v>0</v>
      </c>
      <c r="H2824" s="6">
        <f t="shared" si="143"/>
        <v>0</v>
      </c>
      <c r="I2824" s="6">
        <f t="shared" si="144"/>
        <v>0</v>
      </c>
      <c r="J2824" s="6">
        <f t="shared" si="145"/>
        <v>0</v>
      </c>
      <c r="L2824" s="4" t="str">
        <f>IFERROR(VLOOKUP(ROWS($L$2:L2824),$B$2:$C$1996,2,0),"")</f>
        <v/>
      </c>
      <c r="N2824" s="2" t="str">
        <f>IFERROR(VLOOKUP(ROWS($N$2:N2824),$D$2:$E$1996,2,0),"")</f>
        <v/>
      </c>
    </row>
    <row r="2825" spans="2:14">
      <c r="B2825" s="32">
        <f>IF(ISNUMBER(SEARCH('Φόρμα Εισαγωγής'!$B$2,C2825)),MAX($B$1:B2824)+1,0)</f>
        <v>0</v>
      </c>
      <c r="D2825" s="33">
        <f>IF(ISNUMBER(SEARCH('Φόρμα Εισαγωγής'!$C$2,E2825)),MAX($D$1:D2824)+1,0)</f>
        <v>0</v>
      </c>
      <c r="H2825" s="6">
        <f t="shared" si="143"/>
        <v>0</v>
      </c>
      <c r="I2825" s="6">
        <f t="shared" si="144"/>
        <v>0</v>
      </c>
      <c r="J2825" s="6">
        <f t="shared" si="145"/>
        <v>0</v>
      </c>
      <c r="L2825" s="4" t="str">
        <f>IFERROR(VLOOKUP(ROWS($L$2:L2825),$B$2:$C$1996,2,0),"")</f>
        <v/>
      </c>
      <c r="N2825" s="2" t="str">
        <f>IFERROR(VLOOKUP(ROWS($N$2:N2825),$D$2:$E$1996,2,0),"")</f>
        <v/>
      </c>
    </row>
    <row r="2826" spans="2:14">
      <c r="B2826" s="32">
        <f>IF(ISNUMBER(SEARCH('Φόρμα Εισαγωγής'!$B$2,C2826)),MAX($B$1:B2825)+1,0)</f>
        <v>0</v>
      </c>
      <c r="D2826" s="33">
        <f>IF(ISNUMBER(SEARCH('Φόρμα Εισαγωγής'!$C$2,E2826)),MAX($D$1:D2825)+1,0)</f>
        <v>0</v>
      </c>
      <c r="H2826" s="6">
        <f t="shared" si="143"/>
        <v>0</v>
      </c>
      <c r="I2826" s="6">
        <f t="shared" si="144"/>
        <v>0</v>
      </c>
      <c r="J2826" s="6">
        <f t="shared" si="145"/>
        <v>0</v>
      </c>
      <c r="L2826" s="4" t="str">
        <f>IFERROR(VLOOKUP(ROWS($L$2:L2826),$B$2:$C$1996,2,0),"")</f>
        <v/>
      </c>
      <c r="N2826" s="2" t="str">
        <f>IFERROR(VLOOKUP(ROWS($N$2:N2826),$D$2:$E$1996,2,0),"")</f>
        <v/>
      </c>
    </row>
    <row r="2827" spans="2:14">
      <c r="B2827" s="32">
        <f>IF(ISNUMBER(SEARCH('Φόρμα Εισαγωγής'!$B$2,C2827)),MAX($B$1:B2826)+1,0)</f>
        <v>0</v>
      </c>
      <c r="D2827" s="33">
        <f>IF(ISNUMBER(SEARCH('Φόρμα Εισαγωγής'!$C$2,E2827)),MAX($D$1:D2826)+1,0)</f>
        <v>0</v>
      </c>
      <c r="H2827" s="6">
        <f t="shared" si="143"/>
        <v>0</v>
      </c>
      <c r="I2827" s="6">
        <f t="shared" si="144"/>
        <v>0</v>
      </c>
      <c r="J2827" s="6">
        <f t="shared" si="145"/>
        <v>0</v>
      </c>
      <c r="L2827" s="4" t="str">
        <f>IFERROR(VLOOKUP(ROWS($L$2:L2827),$B$2:$C$1996,2,0),"")</f>
        <v/>
      </c>
      <c r="N2827" s="2" t="str">
        <f>IFERROR(VLOOKUP(ROWS($N$2:N2827),$D$2:$E$1996,2,0),"")</f>
        <v/>
      </c>
    </row>
    <row r="2828" spans="2:14">
      <c r="B2828" s="32">
        <f>IF(ISNUMBER(SEARCH('Φόρμα Εισαγωγής'!$B$2,C2828)),MAX($B$1:B2827)+1,0)</f>
        <v>0</v>
      </c>
      <c r="D2828" s="33">
        <f>IF(ISNUMBER(SEARCH('Φόρμα Εισαγωγής'!$C$2,E2828)),MAX($D$1:D2827)+1,0)</f>
        <v>0</v>
      </c>
      <c r="H2828" s="6">
        <f t="shared" si="143"/>
        <v>0</v>
      </c>
      <c r="I2828" s="6">
        <f t="shared" si="144"/>
        <v>0</v>
      </c>
      <c r="J2828" s="6">
        <f t="shared" si="145"/>
        <v>0</v>
      </c>
      <c r="L2828" s="4" t="str">
        <f>IFERROR(VLOOKUP(ROWS($L$2:L2828),$B$2:$C$1996,2,0),"")</f>
        <v/>
      </c>
      <c r="N2828" s="2" t="str">
        <f>IFERROR(VLOOKUP(ROWS($N$2:N2828),$D$2:$E$1996,2,0),"")</f>
        <v/>
      </c>
    </row>
    <row r="2829" spans="2:14">
      <c r="B2829" s="32">
        <f>IF(ISNUMBER(SEARCH('Φόρμα Εισαγωγής'!$B$2,C2829)),MAX($B$1:B2828)+1,0)</f>
        <v>0</v>
      </c>
      <c r="D2829" s="33">
        <f>IF(ISNUMBER(SEARCH('Φόρμα Εισαγωγής'!$C$2,E2829)),MAX($D$1:D2828)+1,0)</f>
        <v>0</v>
      </c>
      <c r="H2829" s="6">
        <f t="shared" si="143"/>
        <v>0</v>
      </c>
      <c r="I2829" s="6">
        <f t="shared" si="144"/>
        <v>0</v>
      </c>
      <c r="J2829" s="6">
        <f t="shared" si="145"/>
        <v>0</v>
      </c>
      <c r="L2829" s="4" t="str">
        <f>IFERROR(VLOOKUP(ROWS($L$2:L2829),$B$2:$C$1996,2,0),"")</f>
        <v/>
      </c>
      <c r="N2829" s="2" t="str">
        <f>IFERROR(VLOOKUP(ROWS($N$2:N2829),$D$2:$E$1996,2,0),"")</f>
        <v/>
      </c>
    </row>
    <row r="2830" spans="2:14">
      <c r="B2830" s="32">
        <f>IF(ISNUMBER(SEARCH('Φόρμα Εισαγωγής'!$B$2,C2830)),MAX($B$1:B2829)+1,0)</f>
        <v>0</v>
      </c>
      <c r="D2830" s="33">
        <f>IF(ISNUMBER(SEARCH('Φόρμα Εισαγωγής'!$C$2,E2830)),MAX($D$1:D2829)+1,0)</f>
        <v>0</v>
      </c>
      <c r="H2830" s="6">
        <f t="shared" si="143"/>
        <v>0</v>
      </c>
      <c r="I2830" s="6">
        <f t="shared" si="144"/>
        <v>0</v>
      </c>
      <c r="J2830" s="6">
        <f t="shared" si="145"/>
        <v>0</v>
      </c>
      <c r="L2830" s="4" t="str">
        <f>IFERROR(VLOOKUP(ROWS($L$2:L2830),$B$2:$C$1996,2,0),"")</f>
        <v/>
      </c>
      <c r="N2830" s="2" t="str">
        <f>IFERROR(VLOOKUP(ROWS($N$2:N2830),$D$2:$E$1996,2,0),"")</f>
        <v/>
      </c>
    </row>
    <row r="2831" spans="2:14">
      <c r="B2831" s="32">
        <f>IF(ISNUMBER(SEARCH('Φόρμα Εισαγωγής'!$B$2,C2831)),MAX($B$1:B2830)+1,0)</f>
        <v>0</v>
      </c>
      <c r="D2831" s="33">
        <f>IF(ISNUMBER(SEARCH('Φόρμα Εισαγωγής'!$C$2,E2831)),MAX($D$1:D2830)+1,0)</f>
        <v>0</v>
      </c>
      <c r="H2831" s="6">
        <f t="shared" si="143"/>
        <v>0</v>
      </c>
      <c r="I2831" s="6">
        <f t="shared" si="144"/>
        <v>0</v>
      </c>
      <c r="J2831" s="6">
        <f t="shared" si="145"/>
        <v>0</v>
      </c>
      <c r="L2831" s="4" t="str">
        <f>IFERROR(VLOOKUP(ROWS($L$2:L2831),$B$2:$C$1996,2,0),"")</f>
        <v/>
      </c>
      <c r="N2831" s="2" t="str">
        <f>IFERROR(VLOOKUP(ROWS($N$2:N2831),$D$2:$E$1996,2,0),"")</f>
        <v/>
      </c>
    </row>
    <row r="2832" spans="2:14">
      <c r="B2832" s="32">
        <f>IF(ISNUMBER(SEARCH('Φόρμα Εισαγωγής'!$B$2,C2832)),MAX($B$1:B2831)+1,0)</f>
        <v>0</v>
      </c>
      <c r="D2832" s="33">
        <f>IF(ISNUMBER(SEARCH('Φόρμα Εισαγωγής'!$C$2,E2832)),MAX($D$1:D2831)+1,0)</f>
        <v>0</v>
      </c>
      <c r="H2832" s="6">
        <f t="shared" si="143"/>
        <v>0</v>
      </c>
      <c r="I2832" s="6">
        <f t="shared" si="144"/>
        <v>0</v>
      </c>
      <c r="J2832" s="6">
        <f t="shared" si="145"/>
        <v>0</v>
      </c>
      <c r="L2832" s="4" t="str">
        <f>IFERROR(VLOOKUP(ROWS($L$2:L2832),$B$2:$C$1996,2,0),"")</f>
        <v/>
      </c>
      <c r="N2832" s="2" t="str">
        <f>IFERROR(VLOOKUP(ROWS($N$2:N2832),$D$2:$E$1996,2,0),"")</f>
        <v/>
      </c>
    </row>
    <row r="2833" spans="2:14">
      <c r="B2833" s="32">
        <f>IF(ISNUMBER(SEARCH('Φόρμα Εισαγωγής'!$B$2,C2833)),MAX($B$1:B2832)+1,0)</f>
        <v>0</v>
      </c>
      <c r="D2833" s="33">
        <f>IF(ISNUMBER(SEARCH('Φόρμα Εισαγωγής'!$C$2,E2833)),MAX($D$1:D2832)+1,0)</f>
        <v>0</v>
      </c>
      <c r="H2833" s="6">
        <f t="shared" si="143"/>
        <v>0</v>
      </c>
      <c r="I2833" s="6">
        <f t="shared" si="144"/>
        <v>0</v>
      </c>
      <c r="J2833" s="6">
        <f t="shared" si="145"/>
        <v>0</v>
      </c>
      <c r="L2833" s="4" t="str">
        <f>IFERROR(VLOOKUP(ROWS($L$2:L2833),$B$2:$C$1996,2,0),"")</f>
        <v/>
      </c>
      <c r="N2833" s="2" t="str">
        <f>IFERROR(VLOOKUP(ROWS($N$2:N2833),$D$2:$E$1996,2,0),"")</f>
        <v/>
      </c>
    </row>
    <row r="2834" spans="2:14">
      <c r="B2834" s="32">
        <f>IF(ISNUMBER(SEARCH('Φόρμα Εισαγωγής'!$B$2,C2834)),MAX($B$1:B2833)+1,0)</f>
        <v>0</v>
      </c>
      <c r="D2834" s="33">
        <f>IF(ISNUMBER(SEARCH('Φόρμα Εισαγωγής'!$C$2,E2834)),MAX($D$1:D2833)+1,0)</f>
        <v>0</v>
      </c>
      <c r="H2834" s="6">
        <f t="shared" si="143"/>
        <v>0</v>
      </c>
      <c r="I2834" s="6">
        <f t="shared" si="144"/>
        <v>0</v>
      </c>
      <c r="J2834" s="6">
        <f t="shared" si="145"/>
        <v>0</v>
      </c>
      <c r="L2834" s="4" t="str">
        <f>IFERROR(VLOOKUP(ROWS($L$2:L2834),$B$2:$C$1996,2,0),"")</f>
        <v/>
      </c>
      <c r="N2834" s="2" t="str">
        <f>IFERROR(VLOOKUP(ROWS($N$2:N2834),$D$2:$E$1996,2,0),"")</f>
        <v/>
      </c>
    </row>
    <row r="2835" spans="2:14">
      <c r="B2835" s="32">
        <f>IF(ISNUMBER(SEARCH('Φόρμα Εισαγωγής'!$B$2,C2835)),MAX($B$1:B2834)+1,0)</f>
        <v>0</v>
      </c>
      <c r="D2835" s="33">
        <f>IF(ISNUMBER(SEARCH('Φόρμα Εισαγωγής'!$C$2,E2835)),MAX($D$1:D2834)+1,0)</f>
        <v>0</v>
      </c>
      <c r="H2835" s="6">
        <f t="shared" si="143"/>
        <v>0</v>
      </c>
      <c r="I2835" s="6">
        <f t="shared" si="144"/>
        <v>0</v>
      </c>
      <c r="J2835" s="6">
        <f t="shared" si="145"/>
        <v>0</v>
      </c>
      <c r="L2835" s="4" t="str">
        <f>IFERROR(VLOOKUP(ROWS($L$2:L2835),$B$2:$C$1996,2,0),"")</f>
        <v/>
      </c>
      <c r="N2835" s="2" t="str">
        <f>IFERROR(VLOOKUP(ROWS($N$2:N2835),$D$2:$E$1996,2,0),"")</f>
        <v/>
      </c>
    </row>
    <row r="2836" spans="2:14">
      <c r="B2836" s="32">
        <f>IF(ISNUMBER(SEARCH('Φόρμα Εισαγωγής'!$B$2,C2836)),MAX($B$1:B2835)+1,0)</f>
        <v>0</v>
      </c>
      <c r="D2836" s="33">
        <f>IF(ISNUMBER(SEARCH('Φόρμα Εισαγωγής'!$C$2,E2836)),MAX($D$1:D2835)+1,0)</f>
        <v>0</v>
      </c>
      <c r="H2836" s="6">
        <f t="shared" si="143"/>
        <v>0</v>
      </c>
      <c r="I2836" s="6">
        <f t="shared" si="144"/>
        <v>0</v>
      </c>
      <c r="J2836" s="6">
        <f t="shared" si="145"/>
        <v>0</v>
      </c>
      <c r="L2836" s="4" t="str">
        <f>IFERROR(VLOOKUP(ROWS($L$2:L2836),$B$2:$C$1996,2,0),"")</f>
        <v/>
      </c>
      <c r="N2836" s="2" t="str">
        <f>IFERROR(VLOOKUP(ROWS($N$2:N2836),$D$2:$E$1996,2,0),"")</f>
        <v/>
      </c>
    </row>
    <row r="2837" spans="2:14">
      <c r="B2837" s="32">
        <f>IF(ISNUMBER(SEARCH('Φόρμα Εισαγωγής'!$B$2,C2837)),MAX($B$1:B2836)+1,0)</f>
        <v>0</v>
      </c>
      <c r="D2837" s="33">
        <f>IF(ISNUMBER(SEARCH('Φόρμα Εισαγωγής'!$C$2,E2837)),MAX($D$1:D2836)+1,0)</f>
        <v>0</v>
      </c>
      <c r="H2837" s="6">
        <f t="shared" si="143"/>
        <v>0</v>
      </c>
      <c r="I2837" s="6">
        <f t="shared" si="144"/>
        <v>0</v>
      </c>
      <c r="J2837" s="6">
        <f t="shared" si="145"/>
        <v>0</v>
      </c>
      <c r="L2837" s="4" t="str">
        <f>IFERROR(VLOOKUP(ROWS($L$2:L2837),$B$2:$C$1996,2,0),"")</f>
        <v/>
      </c>
      <c r="N2837" s="2" t="str">
        <f>IFERROR(VLOOKUP(ROWS($N$2:N2837),$D$2:$E$1996,2,0),"")</f>
        <v/>
      </c>
    </row>
    <row r="2838" spans="2:14">
      <c r="B2838" s="32">
        <f>IF(ISNUMBER(SEARCH('Φόρμα Εισαγωγής'!$B$2,C2838)),MAX($B$1:B2837)+1,0)</f>
        <v>0</v>
      </c>
      <c r="D2838" s="33">
        <f>IF(ISNUMBER(SEARCH('Φόρμα Εισαγωγής'!$C$2,E2838)),MAX($D$1:D2837)+1,0)</f>
        <v>0</v>
      </c>
      <c r="H2838" s="6">
        <f t="shared" si="143"/>
        <v>0</v>
      </c>
      <c r="I2838" s="6">
        <f t="shared" si="144"/>
        <v>0</v>
      </c>
      <c r="J2838" s="6">
        <f t="shared" si="145"/>
        <v>0</v>
      </c>
      <c r="L2838" s="4" t="str">
        <f>IFERROR(VLOOKUP(ROWS($L$2:L2838),$B$2:$C$1996,2,0),"")</f>
        <v/>
      </c>
      <c r="N2838" s="2" t="str">
        <f>IFERROR(VLOOKUP(ROWS($N$2:N2838),$D$2:$E$1996,2,0),"")</f>
        <v/>
      </c>
    </row>
    <row r="2839" spans="2:14">
      <c r="B2839" s="32">
        <f>IF(ISNUMBER(SEARCH('Φόρμα Εισαγωγής'!$B$2,C2839)),MAX($B$1:B2838)+1,0)</f>
        <v>0</v>
      </c>
      <c r="D2839" s="33">
        <f>IF(ISNUMBER(SEARCH('Φόρμα Εισαγωγής'!$C$2,E2839)),MAX($D$1:D2838)+1,0)</f>
        <v>0</v>
      </c>
      <c r="H2839" s="6">
        <f t="shared" si="143"/>
        <v>0</v>
      </c>
      <c r="I2839" s="6">
        <f t="shared" si="144"/>
        <v>0</v>
      </c>
      <c r="J2839" s="6">
        <f t="shared" si="145"/>
        <v>0</v>
      </c>
      <c r="L2839" s="4" t="str">
        <f>IFERROR(VLOOKUP(ROWS($L$2:L2839),$B$2:$C$1996,2,0),"")</f>
        <v/>
      </c>
      <c r="N2839" s="2" t="str">
        <f>IFERROR(VLOOKUP(ROWS($N$2:N2839),$D$2:$E$1996,2,0),"")</f>
        <v/>
      </c>
    </row>
    <row r="2840" spans="2:14">
      <c r="B2840" s="32">
        <f>IF(ISNUMBER(SEARCH('Φόρμα Εισαγωγής'!$B$2,C2840)),MAX($B$1:B2839)+1,0)</f>
        <v>0</v>
      </c>
      <c r="D2840" s="33">
        <f>IF(ISNUMBER(SEARCH('Φόρμα Εισαγωγής'!$C$2,E2840)),MAX($D$1:D2839)+1,0)</f>
        <v>0</v>
      </c>
      <c r="H2840" s="6">
        <f t="shared" si="143"/>
        <v>0</v>
      </c>
      <c r="I2840" s="6">
        <f t="shared" si="144"/>
        <v>0</v>
      </c>
      <c r="J2840" s="6">
        <f t="shared" si="145"/>
        <v>0</v>
      </c>
      <c r="L2840" s="4" t="str">
        <f>IFERROR(VLOOKUP(ROWS($L$2:L2840),$B$2:$C$1996,2,0),"")</f>
        <v/>
      </c>
      <c r="N2840" s="2" t="str">
        <f>IFERROR(VLOOKUP(ROWS($N$2:N2840),$D$2:$E$1996,2,0),"")</f>
        <v/>
      </c>
    </row>
    <row r="2841" spans="2:14">
      <c r="B2841" s="32">
        <f>IF(ISNUMBER(SEARCH('Φόρμα Εισαγωγής'!$B$2,C2841)),MAX($B$1:B2840)+1,0)</f>
        <v>0</v>
      </c>
      <c r="D2841" s="33">
        <f>IF(ISNUMBER(SEARCH('Φόρμα Εισαγωγής'!$C$2,E2841)),MAX($D$1:D2840)+1,0)</f>
        <v>0</v>
      </c>
      <c r="H2841" s="6">
        <f t="shared" si="143"/>
        <v>0</v>
      </c>
      <c r="I2841" s="6">
        <f t="shared" si="144"/>
        <v>0</v>
      </c>
      <c r="J2841" s="6">
        <f t="shared" si="145"/>
        <v>0</v>
      </c>
      <c r="L2841" s="4" t="str">
        <f>IFERROR(VLOOKUP(ROWS($L$2:L2841),$B$2:$C$1996,2,0),"")</f>
        <v/>
      </c>
      <c r="N2841" s="2" t="str">
        <f>IFERROR(VLOOKUP(ROWS($N$2:N2841),$D$2:$E$1996,2,0),"")</f>
        <v/>
      </c>
    </row>
    <row r="2842" spans="2:14">
      <c r="B2842" s="32">
        <f>IF(ISNUMBER(SEARCH('Φόρμα Εισαγωγής'!$B$2,C2842)),MAX($B$1:B2841)+1,0)</f>
        <v>0</v>
      </c>
      <c r="D2842" s="33">
        <f>IF(ISNUMBER(SEARCH('Φόρμα Εισαγωγής'!$C$2,E2842)),MAX($D$1:D2841)+1,0)</f>
        <v>0</v>
      </c>
      <c r="H2842" s="6">
        <f t="shared" si="143"/>
        <v>0</v>
      </c>
      <c r="I2842" s="6">
        <f t="shared" si="144"/>
        <v>0</v>
      </c>
      <c r="J2842" s="6">
        <f t="shared" si="145"/>
        <v>0</v>
      </c>
      <c r="L2842" s="4" t="str">
        <f>IFERROR(VLOOKUP(ROWS($L$2:L2842),$B$2:$C$1996,2,0),"")</f>
        <v/>
      </c>
      <c r="N2842" s="2" t="str">
        <f>IFERROR(VLOOKUP(ROWS($N$2:N2842),$D$2:$E$1996,2,0),"")</f>
        <v/>
      </c>
    </row>
    <row r="2843" spans="2:14">
      <c r="B2843" s="32">
        <f>IF(ISNUMBER(SEARCH('Φόρμα Εισαγωγής'!$B$2,C2843)),MAX($B$1:B2842)+1,0)</f>
        <v>0</v>
      </c>
      <c r="D2843" s="33">
        <f>IF(ISNUMBER(SEARCH('Φόρμα Εισαγωγής'!$C$2,E2843)),MAX($D$1:D2842)+1,0)</f>
        <v>0</v>
      </c>
      <c r="H2843" s="6">
        <f t="shared" si="143"/>
        <v>0</v>
      </c>
      <c r="I2843" s="6">
        <f t="shared" si="144"/>
        <v>0</v>
      </c>
      <c r="J2843" s="6">
        <f t="shared" si="145"/>
        <v>0</v>
      </c>
      <c r="L2843" s="4" t="str">
        <f>IFERROR(VLOOKUP(ROWS($L$2:L2843),$B$2:$C$1996,2,0),"")</f>
        <v/>
      </c>
      <c r="N2843" s="2" t="str">
        <f>IFERROR(VLOOKUP(ROWS($N$2:N2843),$D$2:$E$1996,2,0),"")</f>
        <v/>
      </c>
    </row>
    <row r="2844" spans="2:14">
      <c r="B2844" s="32">
        <f>IF(ISNUMBER(SEARCH('Φόρμα Εισαγωγής'!$B$2,C2844)),MAX($B$1:B2843)+1,0)</f>
        <v>0</v>
      </c>
      <c r="D2844" s="33">
        <f>IF(ISNUMBER(SEARCH('Φόρμα Εισαγωγής'!$C$2,E2844)),MAX($D$1:D2843)+1,0)</f>
        <v>0</v>
      </c>
      <c r="H2844" s="6">
        <f t="shared" si="143"/>
        <v>0</v>
      </c>
      <c r="I2844" s="6">
        <f t="shared" si="144"/>
        <v>0</v>
      </c>
      <c r="J2844" s="6">
        <f t="shared" si="145"/>
        <v>0</v>
      </c>
      <c r="L2844" s="4" t="str">
        <f>IFERROR(VLOOKUP(ROWS($L$2:L2844),$B$2:$C$1996,2,0),"")</f>
        <v/>
      </c>
      <c r="N2844" s="2" t="str">
        <f>IFERROR(VLOOKUP(ROWS($N$2:N2844),$D$2:$E$1996,2,0),"")</f>
        <v/>
      </c>
    </row>
    <row r="2845" spans="2:14">
      <c r="B2845" s="32">
        <f>IF(ISNUMBER(SEARCH('Φόρμα Εισαγωγής'!$B$2,C2845)),MAX($B$1:B2844)+1,0)</f>
        <v>0</v>
      </c>
      <c r="D2845" s="33">
        <f>IF(ISNUMBER(SEARCH('Φόρμα Εισαγωγής'!$C$2,E2845)),MAX($D$1:D2844)+1,0)</f>
        <v>0</v>
      </c>
      <c r="H2845" s="6">
        <f t="shared" si="143"/>
        <v>0</v>
      </c>
      <c r="I2845" s="6">
        <f t="shared" si="144"/>
        <v>0</v>
      </c>
      <c r="J2845" s="6">
        <f t="shared" si="145"/>
        <v>0</v>
      </c>
      <c r="L2845" s="4" t="str">
        <f>IFERROR(VLOOKUP(ROWS($L$2:L2845),$B$2:$C$1996,2,0),"")</f>
        <v/>
      </c>
      <c r="N2845" s="2" t="str">
        <f>IFERROR(VLOOKUP(ROWS($N$2:N2845),$D$2:$E$1996,2,0),"")</f>
        <v/>
      </c>
    </row>
    <row r="2846" spans="2:14">
      <c r="B2846" s="32">
        <f>IF(ISNUMBER(SEARCH('Φόρμα Εισαγωγής'!$B$2,C2846)),MAX($B$1:B2845)+1,0)</f>
        <v>0</v>
      </c>
      <c r="D2846" s="33">
        <f>IF(ISNUMBER(SEARCH('Φόρμα Εισαγωγής'!$C$2,E2846)),MAX($D$1:D2845)+1,0)</f>
        <v>0</v>
      </c>
      <c r="H2846" s="6">
        <f t="shared" si="143"/>
        <v>0</v>
      </c>
      <c r="I2846" s="6">
        <f t="shared" si="144"/>
        <v>0</v>
      </c>
      <c r="J2846" s="6">
        <f t="shared" si="145"/>
        <v>0</v>
      </c>
      <c r="L2846" s="4" t="str">
        <f>IFERROR(VLOOKUP(ROWS($L$2:L2846),$B$2:$C$1996,2,0),"")</f>
        <v/>
      </c>
      <c r="N2846" s="2" t="str">
        <f>IFERROR(VLOOKUP(ROWS($N$2:N2846),$D$2:$E$1996,2,0),"")</f>
        <v/>
      </c>
    </row>
    <row r="2847" spans="2:14">
      <c r="B2847" s="32">
        <f>IF(ISNUMBER(SEARCH('Φόρμα Εισαγωγής'!$B$2,C2847)),MAX($B$1:B2846)+1,0)</f>
        <v>0</v>
      </c>
      <c r="D2847" s="33">
        <f>IF(ISNUMBER(SEARCH('Φόρμα Εισαγωγής'!$C$2,E2847)),MAX($D$1:D2846)+1,0)</f>
        <v>0</v>
      </c>
      <c r="H2847" s="6">
        <f t="shared" si="143"/>
        <v>0</v>
      </c>
      <c r="I2847" s="6">
        <f t="shared" si="144"/>
        <v>0</v>
      </c>
      <c r="J2847" s="6">
        <f t="shared" si="145"/>
        <v>0</v>
      </c>
      <c r="L2847" s="4" t="str">
        <f>IFERROR(VLOOKUP(ROWS($L$2:L2847),$B$2:$C$1996,2,0),"")</f>
        <v/>
      </c>
      <c r="N2847" s="2" t="str">
        <f>IFERROR(VLOOKUP(ROWS($N$2:N2847),$D$2:$E$1996,2,0),"")</f>
        <v/>
      </c>
    </row>
    <row r="2848" spans="2:14">
      <c r="B2848" s="32">
        <f>IF(ISNUMBER(SEARCH('Φόρμα Εισαγωγής'!$B$2,C2848)),MAX($B$1:B2847)+1,0)</f>
        <v>0</v>
      </c>
      <c r="D2848" s="33">
        <f>IF(ISNUMBER(SEARCH('Φόρμα Εισαγωγής'!$C$2,E2848)),MAX($D$1:D2847)+1,0)</f>
        <v>0</v>
      </c>
      <c r="H2848" s="6">
        <f t="shared" si="143"/>
        <v>0</v>
      </c>
      <c r="I2848" s="6">
        <f t="shared" si="144"/>
        <v>0</v>
      </c>
      <c r="J2848" s="6">
        <f t="shared" si="145"/>
        <v>0</v>
      </c>
      <c r="L2848" s="4" t="str">
        <f>IFERROR(VLOOKUP(ROWS($L$2:L2848),$B$2:$C$1996,2,0),"")</f>
        <v/>
      </c>
      <c r="N2848" s="2" t="str">
        <f>IFERROR(VLOOKUP(ROWS($N$2:N2848),$D$2:$E$1996,2,0),"")</f>
        <v/>
      </c>
    </row>
    <row r="2849" spans="2:14">
      <c r="B2849" s="32">
        <f>IF(ISNUMBER(SEARCH('Φόρμα Εισαγωγής'!$B$2,C2849)),MAX($B$1:B2848)+1,0)</f>
        <v>0</v>
      </c>
      <c r="D2849" s="33">
        <f>IF(ISNUMBER(SEARCH('Φόρμα Εισαγωγής'!$C$2,E2849)),MAX($D$1:D2848)+1,0)</f>
        <v>0</v>
      </c>
      <c r="H2849" s="6">
        <f t="shared" si="143"/>
        <v>0</v>
      </c>
      <c r="I2849" s="6">
        <f t="shared" si="144"/>
        <v>0</v>
      </c>
      <c r="J2849" s="6">
        <f t="shared" si="145"/>
        <v>0</v>
      </c>
      <c r="L2849" s="4" t="str">
        <f>IFERROR(VLOOKUP(ROWS($L$2:L2849),$B$2:$C$1996,2,0),"")</f>
        <v/>
      </c>
      <c r="N2849" s="2" t="str">
        <f>IFERROR(VLOOKUP(ROWS($N$2:N2849),$D$2:$E$1996,2,0),"")</f>
        <v/>
      </c>
    </row>
    <row r="2850" spans="2:14">
      <c r="B2850" s="32">
        <f>IF(ISNUMBER(SEARCH('Φόρμα Εισαγωγής'!$B$2,C2850)),MAX($B$1:B2849)+1,0)</f>
        <v>0</v>
      </c>
      <c r="D2850" s="33">
        <f>IF(ISNUMBER(SEARCH('Φόρμα Εισαγωγής'!$C$2,E2850)),MAX($D$1:D2849)+1,0)</f>
        <v>0</v>
      </c>
      <c r="H2850" s="6">
        <f t="shared" si="143"/>
        <v>0</v>
      </c>
      <c r="I2850" s="6">
        <f t="shared" si="144"/>
        <v>0</v>
      </c>
      <c r="J2850" s="6">
        <f t="shared" si="145"/>
        <v>0</v>
      </c>
      <c r="L2850" s="4" t="str">
        <f>IFERROR(VLOOKUP(ROWS($L$2:L2850),$B$2:$C$1996,2,0),"")</f>
        <v/>
      </c>
      <c r="N2850" s="2" t="str">
        <f>IFERROR(VLOOKUP(ROWS($N$2:N2850),$D$2:$E$1996,2,0),"")</f>
        <v/>
      </c>
    </row>
    <row r="2851" spans="2:14">
      <c r="B2851" s="32">
        <f>IF(ISNUMBER(SEARCH('Φόρμα Εισαγωγής'!$B$2,C2851)),MAX($B$1:B2850)+1,0)</f>
        <v>0</v>
      </c>
      <c r="D2851" s="33">
        <f>IF(ISNUMBER(SEARCH('Φόρμα Εισαγωγής'!$C$2,E2851)),MAX($D$1:D2850)+1,0)</f>
        <v>0</v>
      </c>
      <c r="H2851" s="6">
        <f t="shared" si="143"/>
        <v>0</v>
      </c>
      <c r="I2851" s="6">
        <f t="shared" si="144"/>
        <v>0</v>
      </c>
      <c r="J2851" s="6">
        <f t="shared" si="145"/>
        <v>0</v>
      </c>
      <c r="L2851" s="4" t="str">
        <f>IFERROR(VLOOKUP(ROWS($L$2:L2851),$B$2:$C$1996,2,0),"")</f>
        <v/>
      </c>
      <c r="N2851" s="2" t="str">
        <f>IFERROR(VLOOKUP(ROWS($N$2:N2851),$D$2:$E$1996,2,0),"")</f>
        <v/>
      </c>
    </row>
    <row r="2852" spans="2:14">
      <c r="B2852" s="32">
        <f>IF(ISNUMBER(SEARCH('Φόρμα Εισαγωγής'!$B$2,C2852)),MAX($B$1:B2851)+1,0)</f>
        <v>0</v>
      </c>
      <c r="D2852" s="33">
        <f>IF(ISNUMBER(SEARCH('Φόρμα Εισαγωγής'!$C$2,E2852)),MAX($D$1:D2851)+1,0)</f>
        <v>0</v>
      </c>
      <c r="H2852" s="6">
        <f t="shared" si="143"/>
        <v>0</v>
      </c>
      <c r="I2852" s="6">
        <f t="shared" si="144"/>
        <v>0</v>
      </c>
      <c r="J2852" s="6">
        <f t="shared" si="145"/>
        <v>0</v>
      </c>
      <c r="L2852" s="4" t="str">
        <f>IFERROR(VLOOKUP(ROWS($L$2:L2852),$B$2:$C$1996,2,0),"")</f>
        <v/>
      </c>
      <c r="N2852" s="2" t="str">
        <f>IFERROR(VLOOKUP(ROWS($N$2:N2852),$D$2:$E$1996,2,0),"")</f>
        <v/>
      </c>
    </row>
    <row r="2853" spans="2:14">
      <c r="B2853" s="32">
        <f>IF(ISNUMBER(SEARCH('Φόρμα Εισαγωγής'!$B$2,C2853)),MAX($B$1:B2852)+1,0)</f>
        <v>0</v>
      </c>
      <c r="D2853" s="33">
        <f>IF(ISNUMBER(SEARCH('Φόρμα Εισαγωγής'!$C$2,E2853)),MAX($D$1:D2852)+1,0)</f>
        <v>0</v>
      </c>
      <c r="H2853" s="6">
        <f t="shared" si="143"/>
        <v>0</v>
      </c>
      <c r="I2853" s="6">
        <f t="shared" si="144"/>
        <v>0</v>
      </c>
      <c r="J2853" s="6">
        <f t="shared" si="145"/>
        <v>0</v>
      </c>
      <c r="L2853" s="4" t="str">
        <f>IFERROR(VLOOKUP(ROWS($L$2:L2853),$B$2:$C$1996,2,0),"")</f>
        <v/>
      </c>
      <c r="N2853" s="2" t="str">
        <f>IFERROR(VLOOKUP(ROWS($N$2:N2853),$D$2:$E$1996,2,0),"")</f>
        <v/>
      </c>
    </row>
    <row r="2854" spans="2:14">
      <c r="B2854" s="32">
        <f>IF(ISNUMBER(SEARCH('Φόρμα Εισαγωγής'!$B$2,C2854)),MAX($B$1:B2853)+1,0)</f>
        <v>0</v>
      </c>
      <c r="D2854" s="33">
        <f>IF(ISNUMBER(SEARCH('Φόρμα Εισαγωγής'!$C$2,E2854)),MAX($D$1:D2853)+1,0)</f>
        <v>0</v>
      </c>
      <c r="H2854" s="6">
        <f t="shared" si="143"/>
        <v>0</v>
      </c>
      <c r="I2854" s="6">
        <f t="shared" si="144"/>
        <v>0</v>
      </c>
      <c r="J2854" s="6">
        <f t="shared" si="145"/>
        <v>0</v>
      </c>
      <c r="L2854" s="4" t="str">
        <f>IFERROR(VLOOKUP(ROWS($L$2:L2854),$B$2:$C$1996,2,0),"")</f>
        <v/>
      </c>
      <c r="N2854" s="2" t="str">
        <f>IFERROR(VLOOKUP(ROWS($N$2:N2854),$D$2:$E$1996,2,0),"")</f>
        <v/>
      </c>
    </row>
    <row r="2855" spans="2:14">
      <c r="B2855" s="32">
        <f>IF(ISNUMBER(SEARCH('Φόρμα Εισαγωγής'!$B$2,C2855)),MAX($B$1:B2854)+1,0)</f>
        <v>0</v>
      </c>
      <c r="D2855" s="33">
        <f>IF(ISNUMBER(SEARCH('Φόρμα Εισαγωγής'!$C$2,E2855)),MAX($D$1:D2854)+1,0)</f>
        <v>0</v>
      </c>
      <c r="H2855" s="6">
        <f t="shared" si="143"/>
        <v>0</v>
      </c>
      <c r="I2855" s="6">
        <f t="shared" si="144"/>
        <v>0</v>
      </c>
      <c r="J2855" s="6">
        <f t="shared" si="145"/>
        <v>0</v>
      </c>
      <c r="L2855" s="4" t="str">
        <f>IFERROR(VLOOKUP(ROWS($L$2:L2855),$B$2:$C$1996,2,0),"")</f>
        <v/>
      </c>
      <c r="N2855" s="2" t="str">
        <f>IFERROR(VLOOKUP(ROWS($N$2:N2855),$D$2:$E$1996,2,0),"")</f>
        <v/>
      </c>
    </row>
    <row r="2856" spans="2:14">
      <c r="B2856" s="32">
        <f>IF(ISNUMBER(SEARCH('Φόρμα Εισαγωγής'!$B$2,C2856)),MAX($B$1:B2855)+1,0)</f>
        <v>0</v>
      </c>
      <c r="D2856" s="33">
        <f>IF(ISNUMBER(SEARCH('Φόρμα Εισαγωγής'!$C$2,E2856)),MAX($D$1:D2855)+1,0)</f>
        <v>0</v>
      </c>
      <c r="H2856" s="6">
        <f t="shared" si="143"/>
        <v>0</v>
      </c>
      <c r="I2856" s="6">
        <f t="shared" si="144"/>
        <v>0</v>
      </c>
      <c r="J2856" s="6">
        <f t="shared" si="145"/>
        <v>0</v>
      </c>
      <c r="L2856" s="4" t="str">
        <f>IFERROR(VLOOKUP(ROWS($L$2:L2856),$B$2:$C$1996,2,0),"")</f>
        <v/>
      </c>
      <c r="N2856" s="2" t="str">
        <f>IFERROR(VLOOKUP(ROWS($N$2:N2856),$D$2:$E$1996,2,0),"")</f>
        <v/>
      </c>
    </row>
    <row r="2857" spans="2:14">
      <c r="B2857" s="32">
        <f>IF(ISNUMBER(SEARCH('Φόρμα Εισαγωγής'!$B$2,C2857)),MAX($B$1:B2856)+1,0)</f>
        <v>0</v>
      </c>
      <c r="D2857" s="33">
        <f>IF(ISNUMBER(SEARCH('Φόρμα Εισαγωγής'!$C$2,E2857)),MAX($D$1:D2856)+1,0)</f>
        <v>0</v>
      </c>
      <c r="H2857" s="6">
        <f t="shared" si="143"/>
        <v>0</v>
      </c>
      <c r="I2857" s="6">
        <f t="shared" si="144"/>
        <v>0</v>
      </c>
      <c r="J2857" s="6">
        <f t="shared" si="145"/>
        <v>0</v>
      </c>
      <c r="L2857" s="4" t="str">
        <f>IFERROR(VLOOKUP(ROWS($L$2:L2857),$B$2:$C$1996,2,0),"")</f>
        <v/>
      </c>
      <c r="N2857" s="2" t="str">
        <f>IFERROR(VLOOKUP(ROWS($N$2:N2857),$D$2:$E$1996,2,0),"")</f>
        <v/>
      </c>
    </row>
    <row r="2858" spans="2:14">
      <c r="B2858" s="32">
        <f>IF(ISNUMBER(SEARCH('Φόρμα Εισαγωγής'!$B$2,C2858)),MAX($B$1:B2857)+1,0)</f>
        <v>0</v>
      </c>
      <c r="D2858" s="33">
        <f>IF(ISNUMBER(SEARCH('Φόρμα Εισαγωγής'!$C$2,E2858)),MAX($D$1:D2857)+1,0)</f>
        <v>0</v>
      </c>
      <c r="H2858" s="6">
        <f t="shared" si="143"/>
        <v>0</v>
      </c>
      <c r="I2858" s="6">
        <f t="shared" si="144"/>
        <v>0</v>
      </c>
      <c r="J2858" s="6">
        <f t="shared" si="145"/>
        <v>0</v>
      </c>
      <c r="L2858" s="4" t="str">
        <f>IFERROR(VLOOKUP(ROWS($L$2:L2858),$B$2:$C$1996,2,0),"")</f>
        <v/>
      </c>
      <c r="N2858" s="2" t="str">
        <f>IFERROR(VLOOKUP(ROWS($N$2:N2858),$D$2:$E$1996,2,0),"")</f>
        <v/>
      </c>
    </row>
    <row r="2859" spans="2:14">
      <c r="B2859" s="32">
        <f>IF(ISNUMBER(SEARCH('Φόρμα Εισαγωγής'!$B$2,C2859)),MAX($B$1:B2858)+1,0)</f>
        <v>0</v>
      </c>
      <c r="D2859" s="33">
        <f>IF(ISNUMBER(SEARCH('Φόρμα Εισαγωγής'!$C$2,E2859)),MAX($D$1:D2858)+1,0)</f>
        <v>0</v>
      </c>
      <c r="H2859" s="6">
        <f t="shared" si="143"/>
        <v>0</v>
      </c>
      <c r="I2859" s="6">
        <f t="shared" si="144"/>
        <v>0</v>
      </c>
      <c r="J2859" s="6">
        <f t="shared" si="145"/>
        <v>0</v>
      </c>
      <c r="L2859" s="4" t="str">
        <f>IFERROR(VLOOKUP(ROWS($L$2:L2859),$B$2:$C$1996,2,0),"")</f>
        <v/>
      </c>
      <c r="N2859" s="2" t="str">
        <f>IFERROR(VLOOKUP(ROWS($N$2:N2859),$D$2:$E$1996,2,0),"")</f>
        <v/>
      </c>
    </row>
    <row r="2860" spans="2:14">
      <c r="B2860" s="32">
        <f>IF(ISNUMBER(SEARCH('Φόρμα Εισαγωγής'!$B$2,C2860)),MAX($B$1:B2859)+1,0)</f>
        <v>0</v>
      </c>
      <c r="D2860" s="33">
        <f>IF(ISNUMBER(SEARCH('Φόρμα Εισαγωγής'!$C$2,E2860)),MAX($D$1:D2859)+1,0)</f>
        <v>0</v>
      </c>
      <c r="H2860" s="6">
        <f t="shared" si="143"/>
        <v>0</v>
      </c>
      <c r="I2860" s="6">
        <f t="shared" si="144"/>
        <v>0</v>
      </c>
      <c r="J2860" s="6">
        <f t="shared" si="145"/>
        <v>0</v>
      </c>
      <c r="L2860" s="4" t="str">
        <f>IFERROR(VLOOKUP(ROWS($L$2:L2860),$B$2:$C$1996,2,0),"")</f>
        <v/>
      </c>
      <c r="N2860" s="2" t="str">
        <f>IFERROR(VLOOKUP(ROWS($N$2:N2860),$D$2:$E$1996,2,0),"")</f>
        <v/>
      </c>
    </row>
    <row r="2861" spans="2:14">
      <c r="B2861" s="32">
        <f>IF(ISNUMBER(SEARCH('Φόρμα Εισαγωγής'!$B$2,C2861)),MAX($B$1:B2860)+1,0)</f>
        <v>0</v>
      </c>
      <c r="D2861" s="33">
        <f>IF(ISNUMBER(SEARCH('Φόρμα Εισαγωγής'!$C$2,E2861)),MAX($D$1:D2860)+1,0)</f>
        <v>0</v>
      </c>
      <c r="H2861" s="6">
        <f t="shared" si="143"/>
        <v>0</v>
      </c>
      <c r="I2861" s="6">
        <f t="shared" si="144"/>
        <v>0</v>
      </c>
      <c r="J2861" s="6">
        <f t="shared" si="145"/>
        <v>0</v>
      </c>
      <c r="L2861" s="4" t="str">
        <f>IFERROR(VLOOKUP(ROWS($L$2:L2861),$B$2:$C$1996,2,0),"")</f>
        <v/>
      </c>
      <c r="N2861" s="2" t="str">
        <f>IFERROR(VLOOKUP(ROWS($N$2:N2861),$D$2:$E$1996,2,0),"")</f>
        <v/>
      </c>
    </row>
    <row r="2862" spans="2:14">
      <c r="B2862" s="32">
        <f>IF(ISNUMBER(SEARCH('Φόρμα Εισαγωγής'!$B$2,C2862)),MAX($B$1:B2861)+1,0)</f>
        <v>0</v>
      </c>
      <c r="D2862" s="33">
        <f>IF(ISNUMBER(SEARCH('Φόρμα Εισαγωγής'!$C$2,E2862)),MAX($D$1:D2861)+1,0)</f>
        <v>0</v>
      </c>
      <c r="H2862" s="6">
        <f t="shared" si="143"/>
        <v>0</v>
      </c>
      <c r="I2862" s="6">
        <f t="shared" si="144"/>
        <v>0</v>
      </c>
      <c r="J2862" s="6">
        <f t="shared" si="145"/>
        <v>0</v>
      </c>
      <c r="L2862" s="4" t="str">
        <f>IFERROR(VLOOKUP(ROWS($L$2:L2862),$B$2:$C$1996,2,0),"")</f>
        <v/>
      </c>
      <c r="N2862" s="2" t="str">
        <f>IFERROR(VLOOKUP(ROWS($N$2:N2862),$D$2:$E$1996,2,0),"")</f>
        <v/>
      </c>
    </row>
    <row r="2863" spans="2:14">
      <c r="B2863" s="32">
        <f>IF(ISNUMBER(SEARCH('Φόρμα Εισαγωγής'!$B$2,C2863)),MAX($B$1:B2862)+1,0)</f>
        <v>0</v>
      </c>
      <c r="D2863" s="33">
        <f>IF(ISNUMBER(SEARCH('Φόρμα Εισαγωγής'!$C$2,E2863)),MAX($D$1:D2862)+1,0)</f>
        <v>0</v>
      </c>
      <c r="H2863" s="6">
        <f t="shared" si="143"/>
        <v>0</v>
      </c>
      <c r="I2863" s="6">
        <f t="shared" si="144"/>
        <v>0</v>
      </c>
      <c r="J2863" s="6">
        <f t="shared" si="145"/>
        <v>0</v>
      </c>
      <c r="L2863" s="4" t="str">
        <f>IFERROR(VLOOKUP(ROWS($L$2:L2863),$B$2:$C$1996,2,0),"")</f>
        <v/>
      </c>
      <c r="N2863" s="2" t="str">
        <f>IFERROR(VLOOKUP(ROWS($N$2:N2863),$D$2:$E$1996,2,0),"")</f>
        <v/>
      </c>
    </row>
    <row r="2864" spans="2:14">
      <c r="B2864" s="32">
        <f>IF(ISNUMBER(SEARCH('Φόρμα Εισαγωγής'!$B$2,C2864)),MAX($B$1:B2863)+1,0)</f>
        <v>0</v>
      </c>
      <c r="D2864" s="33">
        <f>IF(ISNUMBER(SEARCH('Φόρμα Εισαγωγής'!$C$2,E2864)),MAX($D$1:D2863)+1,0)</f>
        <v>0</v>
      </c>
      <c r="H2864" s="6">
        <f t="shared" si="143"/>
        <v>0</v>
      </c>
      <c r="I2864" s="6">
        <f t="shared" si="144"/>
        <v>0</v>
      </c>
      <c r="J2864" s="6">
        <f t="shared" si="145"/>
        <v>0</v>
      </c>
      <c r="L2864" s="4" t="str">
        <f>IFERROR(VLOOKUP(ROWS($L$2:L2864),$B$2:$C$1996,2,0),"")</f>
        <v/>
      </c>
      <c r="N2864" s="2" t="str">
        <f>IFERROR(VLOOKUP(ROWS($N$2:N2864),$D$2:$E$1996,2,0),"")</f>
        <v/>
      </c>
    </row>
    <row r="2865" spans="2:14">
      <c r="B2865" s="32">
        <f>IF(ISNUMBER(SEARCH('Φόρμα Εισαγωγής'!$B$2,C2865)),MAX($B$1:B2864)+1,0)</f>
        <v>0</v>
      </c>
      <c r="D2865" s="33">
        <f>IF(ISNUMBER(SEARCH('Φόρμα Εισαγωγής'!$C$2,E2865)),MAX($D$1:D2864)+1,0)</f>
        <v>0</v>
      </c>
      <c r="H2865" s="6">
        <f t="shared" si="143"/>
        <v>0</v>
      </c>
      <c r="I2865" s="6">
        <f t="shared" si="144"/>
        <v>0</v>
      </c>
      <c r="J2865" s="6">
        <f t="shared" si="145"/>
        <v>0</v>
      </c>
      <c r="L2865" s="4" t="str">
        <f>IFERROR(VLOOKUP(ROWS($L$2:L2865),$B$2:$C$1996,2,0),"")</f>
        <v/>
      </c>
      <c r="N2865" s="2" t="str">
        <f>IFERROR(VLOOKUP(ROWS($N$2:N2865),$D$2:$E$1996,2,0),"")</f>
        <v/>
      </c>
    </row>
    <row r="2866" spans="2:14">
      <c r="B2866" s="32">
        <f>IF(ISNUMBER(SEARCH('Φόρμα Εισαγωγής'!$B$2,C2866)),MAX($B$1:B2865)+1,0)</f>
        <v>0</v>
      </c>
      <c r="D2866" s="33">
        <f>IF(ISNUMBER(SEARCH('Φόρμα Εισαγωγής'!$C$2,E2866)),MAX($D$1:D2865)+1,0)</f>
        <v>0</v>
      </c>
      <c r="H2866" s="6">
        <f t="shared" si="143"/>
        <v>0</v>
      </c>
      <c r="I2866" s="6">
        <f t="shared" si="144"/>
        <v>0</v>
      </c>
      <c r="J2866" s="6">
        <f t="shared" si="145"/>
        <v>0</v>
      </c>
      <c r="L2866" s="4" t="str">
        <f>IFERROR(VLOOKUP(ROWS($L$2:L2866),$B$2:$C$1996,2,0),"")</f>
        <v/>
      </c>
      <c r="N2866" s="2" t="str">
        <f>IFERROR(VLOOKUP(ROWS($N$2:N2866),$D$2:$E$1996,2,0),"")</f>
        <v/>
      </c>
    </row>
    <row r="2867" spans="2:14">
      <c r="B2867" s="32">
        <f>IF(ISNUMBER(SEARCH('Φόρμα Εισαγωγής'!$B$2,C2867)),MAX($B$1:B2866)+1,0)</f>
        <v>0</v>
      </c>
      <c r="D2867" s="33">
        <f>IF(ISNUMBER(SEARCH('Φόρμα Εισαγωγής'!$C$2,E2867)),MAX($D$1:D2866)+1,0)</f>
        <v>0</v>
      </c>
      <c r="H2867" s="6">
        <f t="shared" si="143"/>
        <v>0</v>
      </c>
      <c r="I2867" s="6">
        <f t="shared" si="144"/>
        <v>0</v>
      </c>
      <c r="J2867" s="6">
        <f t="shared" si="145"/>
        <v>0</v>
      </c>
      <c r="L2867" s="4" t="str">
        <f>IFERROR(VLOOKUP(ROWS($L$2:L2867),$B$2:$C$1996,2,0),"")</f>
        <v/>
      </c>
      <c r="N2867" s="2" t="str">
        <f>IFERROR(VLOOKUP(ROWS($N$2:N2867),$D$2:$E$1996,2,0),"")</f>
        <v/>
      </c>
    </row>
    <row r="2868" spans="2:14">
      <c r="B2868" s="32">
        <f>IF(ISNUMBER(SEARCH('Φόρμα Εισαγωγής'!$B$2,C2868)),MAX($B$1:B2867)+1,0)</f>
        <v>0</v>
      </c>
      <c r="D2868" s="33">
        <f>IF(ISNUMBER(SEARCH('Φόρμα Εισαγωγής'!$C$2,E2868)),MAX($D$1:D2867)+1,0)</f>
        <v>0</v>
      </c>
      <c r="H2868" s="6">
        <f t="shared" si="143"/>
        <v>0</v>
      </c>
      <c r="I2868" s="6">
        <f t="shared" si="144"/>
        <v>0</v>
      </c>
      <c r="J2868" s="6">
        <f t="shared" si="145"/>
        <v>0</v>
      </c>
      <c r="L2868" s="4" t="str">
        <f>IFERROR(VLOOKUP(ROWS($L$2:L2868),$B$2:$C$1996,2,0),"")</f>
        <v/>
      </c>
      <c r="N2868" s="2" t="str">
        <f>IFERROR(VLOOKUP(ROWS($N$2:N2868),$D$2:$E$1996,2,0),"")</f>
        <v/>
      </c>
    </row>
    <row r="2869" spans="2:14">
      <c r="B2869" s="32">
        <f>IF(ISNUMBER(SEARCH('Φόρμα Εισαγωγής'!$B$2,C2869)),MAX($B$1:B2868)+1,0)</f>
        <v>0</v>
      </c>
      <c r="D2869" s="33">
        <f>IF(ISNUMBER(SEARCH('Φόρμα Εισαγωγής'!$C$2,E2869)),MAX($D$1:D2868)+1,0)</f>
        <v>0</v>
      </c>
      <c r="H2869" s="6">
        <f t="shared" si="143"/>
        <v>0</v>
      </c>
      <c r="I2869" s="6">
        <f t="shared" si="144"/>
        <v>0</v>
      </c>
      <c r="J2869" s="6">
        <f t="shared" si="145"/>
        <v>0</v>
      </c>
      <c r="L2869" s="4" t="str">
        <f>IFERROR(VLOOKUP(ROWS($L$2:L2869),$B$2:$C$1996,2,0),"")</f>
        <v/>
      </c>
      <c r="N2869" s="2" t="str">
        <f>IFERROR(VLOOKUP(ROWS($N$2:N2869),$D$2:$E$1996,2,0),"")</f>
        <v/>
      </c>
    </row>
    <row r="2870" spans="2:14">
      <c r="B2870" s="32">
        <f>IF(ISNUMBER(SEARCH('Φόρμα Εισαγωγής'!$B$2,C2870)),MAX($B$1:B2869)+1,0)</f>
        <v>0</v>
      </c>
      <c r="D2870" s="33">
        <f>IF(ISNUMBER(SEARCH('Φόρμα Εισαγωγής'!$C$2,E2870)),MAX($D$1:D2869)+1,0)</f>
        <v>0</v>
      </c>
      <c r="H2870" s="6">
        <f t="shared" si="143"/>
        <v>0</v>
      </c>
      <c r="I2870" s="6">
        <f t="shared" si="144"/>
        <v>0</v>
      </c>
      <c r="J2870" s="6">
        <f t="shared" si="145"/>
        <v>0</v>
      </c>
      <c r="L2870" s="4" t="str">
        <f>IFERROR(VLOOKUP(ROWS($L$2:L2870),$B$2:$C$1996,2,0),"")</f>
        <v/>
      </c>
      <c r="N2870" s="2" t="str">
        <f>IFERROR(VLOOKUP(ROWS($N$2:N2870),$D$2:$E$1996,2,0),"")</f>
        <v/>
      </c>
    </row>
    <row r="2871" spans="2:14">
      <c r="B2871" s="32">
        <f>IF(ISNUMBER(SEARCH('Φόρμα Εισαγωγής'!$B$2,C2871)),MAX($B$1:B2870)+1,0)</f>
        <v>0</v>
      </c>
      <c r="D2871" s="33">
        <f>IF(ISNUMBER(SEARCH('Φόρμα Εισαγωγής'!$C$2,E2871)),MAX($D$1:D2870)+1,0)</f>
        <v>0</v>
      </c>
      <c r="H2871" s="6">
        <f t="shared" si="143"/>
        <v>0</v>
      </c>
      <c r="I2871" s="6">
        <f t="shared" si="144"/>
        <v>0</v>
      </c>
      <c r="J2871" s="6">
        <f t="shared" si="145"/>
        <v>0</v>
      </c>
      <c r="L2871" s="4" t="str">
        <f>IFERROR(VLOOKUP(ROWS($L$2:L2871),$B$2:$C$1996,2,0),"")</f>
        <v/>
      </c>
      <c r="N2871" s="2" t="str">
        <f>IFERROR(VLOOKUP(ROWS($N$2:N2871),$D$2:$E$1996,2,0),"")</f>
        <v/>
      </c>
    </row>
    <row r="2872" spans="2:14">
      <c r="B2872" s="32">
        <f>IF(ISNUMBER(SEARCH('Φόρμα Εισαγωγής'!$B$2,C2872)),MAX($B$1:B2871)+1,0)</f>
        <v>0</v>
      </c>
      <c r="D2872" s="33">
        <f>IF(ISNUMBER(SEARCH('Φόρμα Εισαγωγής'!$C$2,E2872)),MAX($D$1:D2871)+1,0)</f>
        <v>0</v>
      </c>
      <c r="H2872" s="6">
        <f t="shared" si="143"/>
        <v>0</v>
      </c>
      <c r="I2872" s="6">
        <f t="shared" si="144"/>
        <v>0</v>
      </c>
      <c r="J2872" s="6">
        <f t="shared" si="145"/>
        <v>0</v>
      </c>
      <c r="L2872" s="4" t="str">
        <f>IFERROR(VLOOKUP(ROWS($L$2:L2872),$B$2:$C$1996,2,0),"")</f>
        <v/>
      </c>
      <c r="N2872" s="2" t="str">
        <f>IFERROR(VLOOKUP(ROWS($N$2:N2872),$D$2:$E$1996,2,0),"")</f>
        <v/>
      </c>
    </row>
    <row r="2873" spans="2:14">
      <c r="B2873" s="32">
        <f>IF(ISNUMBER(SEARCH('Φόρμα Εισαγωγής'!$B$2,C2873)),MAX($B$1:B2872)+1,0)</f>
        <v>0</v>
      </c>
      <c r="D2873" s="33">
        <f>IF(ISNUMBER(SEARCH('Φόρμα Εισαγωγής'!$C$2,E2873)),MAX($D$1:D2872)+1,0)</f>
        <v>0</v>
      </c>
      <c r="H2873" s="6">
        <f t="shared" si="143"/>
        <v>0</v>
      </c>
      <c r="I2873" s="6">
        <f t="shared" si="144"/>
        <v>0</v>
      </c>
      <c r="J2873" s="6">
        <f t="shared" si="145"/>
        <v>0</v>
      </c>
      <c r="L2873" s="4" t="str">
        <f>IFERROR(VLOOKUP(ROWS($L$2:L2873),$B$2:$C$1996,2,0),"")</f>
        <v/>
      </c>
      <c r="N2873" s="2" t="str">
        <f>IFERROR(VLOOKUP(ROWS($N$2:N2873),$D$2:$E$1996,2,0),"")</f>
        <v/>
      </c>
    </row>
    <row r="2874" spans="2:14">
      <c r="B2874" s="32">
        <f>IF(ISNUMBER(SEARCH('Φόρμα Εισαγωγής'!$B$2,C2874)),MAX($B$1:B2873)+1,0)</f>
        <v>0</v>
      </c>
      <c r="D2874" s="33">
        <f>IF(ISNUMBER(SEARCH('Φόρμα Εισαγωγής'!$C$2,E2874)),MAX($D$1:D2873)+1,0)</f>
        <v>0</v>
      </c>
      <c r="H2874" s="6">
        <f t="shared" si="143"/>
        <v>0</v>
      </c>
      <c r="I2874" s="6">
        <f t="shared" si="144"/>
        <v>0</v>
      </c>
      <c r="J2874" s="6">
        <f t="shared" si="145"/>
        <v>0</v>
      </c>
      <c r="L2874" s="4" t="str">
        <f>IFERROR(VLOOKUP(ROWS($L$2:L2874),$B$2:$C$1996,2,0),"")</f>
        <v/>
      </c>
      <c r="N2874" s="2" t="str">
        <f>IFERROR(VLOOKUP(ROWS($N$2:N2874),$D$2:$E$1996,2,0),"")</f>
        <v/>
      </c>
    </row>
    <row r="2875" spans="2:14">
      <c r="B2875" s="32">
        <f>IF(ISNUMBER(SEARCH('Φόρμα Εισαγωγής'!$B$2,C2875)),MAX($B$1:B2874)+1,0)</f>
        <v>0</v>
      </c>
      <c r="D2875" s="33">
        <f>IF(ISNUMBER(SEARCH('Φόρμα Εισαγωγής'!$C$2,E2875)),MAX($D$1:D2874)+1,0)</f>
        <v>0</v>
      </c>
      <c r="H2875" s="6">
        <f t="shared" si="143"/>
        <v>0</v>
      </c>
      <c r="I2875" s="6">
        <f t="shared" si="144"/>
        <v>0</v>
      </c>
      <c r="J2875" s="6">
        <f t="shared" si="145"/>
        <v>0</v>
      </c>
      <c r="L2875" s="4" t="str">
        <f>IFERROR(VLOOKUP(ROWS($L$2:L2875),$B$2:$C$1996,2,0),"")</f>
        <v/>
      </c>
      <c r="N2875" s="2" t="str">
        <f>IFERROR(VLOOKUP(ROWS($N$2:N2875),$D$2:$E$1996,2,0),"")</f>
        <v/>
      </c>
    </row>
    <row r="2876" spans="2:14">
      <c r="B2876" s="32">
        <f>IF(ISNUMBER(SEARCH('Φόρμα Εισαγωγής'!$B$2,C2876)),MAX($B$1:B2875)+1,0)</f>
        <v>0</v>
      </c>
      <c r="D2876" s="33">
        <f>IF(ISNUMBER(SEARCH('Φόρμα Εισαγωγής'!$C$2,E2876)),MAX($D$1:D2875)+1,0)</f>
        <v>0</v>
      </c>
      <c r="H2876" s="6">
        <f t="shared" si="143"/>
        <v>0</v>
      </c>
      <c r="I2876" s="6">
        <f t="shared" si="144"/>
        <v>0</v>
      </c>
      <c r="J2876" s="6">
        <f t="shared" si="145"/>
        <v>0</v>
      </c>
      <c r="L2876" s="4" t="str">
        <f>IFERROR(VLOOKUP(ROWS($L$2:L2876),$B$2:$C$1996,2,0),"")</f>
        <v/>
      </c>
      <c r="N2876" s="2" t="str">
        <f>IFERROR(VLOOKUP(ROWS($N$2:N2876),$D$2:$E$1996,2,0),"")</f>
        <v/>
      </c>
    </row>
    <row r="2877" spans="2:14">
      <c r="B2877" s="32">
        <f>IF(ISNUMBER(SEARCH('Φόρμα Εισαγωγής'!$B$2,C2877)),MAX($B$1:B2876)+1,0)</f>
        <v>0</v>
      </c>
      <c r="D2877" s="33">
        <f>IF(ISNUMBER(SEARCH('Φόρμα Εισαγωγής'!$C$2,E2877)),MAX($D$1:D2876)+1,0)</f>
        <v>0</v>
      </c>
      <c r="H2877" s="6">
        <f t="shared" si="143"/>
        <v>0</v>
      </c>
      <c r="I2877" s="6">
        <f t="shared" si="144"/>
        <v>0</v>
      </c>
      <c r="J2877" s="6">
        <f t="shared" si="145"/>
        <v>0</v>
      </c>
      <c r="L2877" s="4" t="str">
        <f>IFERROR(VLOOKUP(ROWS($L$2:L2877),$B$2:$C$1996,2,0),"")</f>
        <v/>
      </c>
      <c r="N2877" s="2" t="str">
        <f>IFERROR(VLOOKUP(ROWS($N$2:N2877),$D$2:$E$1996,2,0),"")</f>
        <v/>
      </c>
    </row>
    <row r="2878" spans="2:14">
      <c r="B2878" s="32">
        <f>IF(ISNUMBER(SEARCH('Φόρμα Εισαγωγής'!$B$2,C2878)),MAX($B$1:B2877)+1,0)</f>
        <v>0</v>
      </c>
      <c r="D2878" s="33">
        <f>IF(ISNUMBER(SEARCH('Φόρμα Εισαγωγής'!$C$2,E2878)),MAX($D$1:D2877)+1,0)</f>
        <v>0</v>
      </c>
      <c r="H2878" s="6">
        <f t="shared" si="143"/>
        <v>0</v>
      </c>
      <c r="I2878" s="6">
        <f t="shared" si="144"/>
        <v>0</v>
      </c>
      <c r="J2878" s="6">
        <f t="shared" si="145"/>
        <v>0</v>
      </c>
      <c r="L2878" s="4" t="str">
        <f>IFERROR(VLOOKUP(ROWS($L$2:L2878),$B$2:$C$1996,2,0),"")</f>
        <v/>
      </c>
      <c r="N2878" s="2" t="str">
        <f>IFERROR(VLOOKUP(ROWS($N$2:N2878),$D$2:$E$1996,2,0),"")</f>
        <v/>
      </c>
    </row>
    <row r="2879" spans="2:14">
      <c r="B2879" s="32">
        <f>IF(ISNUMBER(SEARCH('Φόρμα Εισαγωγής'!$B$2,C2879)),MAX($B$1:B2878)+1,0)</f>
        <v>0</v>
      </c>
      <c r="D2879" s="33">
        <f>IF(ISNUMBER(SEARCH('Φόρμα Εισαγωγής'!$C$2,E2879)),MAX($D$1:D2878)+1,0)</f>
        <v>0</v>
      </c>
      <c r="H2879" s="6">
        <f t="shared" si="143"/>
        <v>0</v>
      </c>
      <c r="I2879" s="6">
        <f t="shared" si="144"/>
        <v>0</v>
      </c>
      <c r="J2879" s="6">
        <f t="shared" si="145"/>
        <v>0</v>
      </c>
      <c r="L2879" s="4" t="str">
        <f>IFERROR(VLOOKUP(ROWS($L$2:L2879),$B$2:$C$1996,2,0),"")</f>
        <v/>
      </c>
      <c r="N2879" s="2" t="str">
        <f>IFERROR(VLOOKUP(ROWS($N$2:N2879),$D$2:$E$1996,2,0),"")</f>
        <v/>
      </c>
    </row>
    <row r="2880" spans="2:14">
      <c r="B2880" s="32">
        <f>IF(ISNUMBER(SEARCH('Φόρμα Εισαγωγής'!$B$2,C2880)),MAX($B$1:B2879)+1,0)</f>
        <v>0</v>
      </c>
      <c r="D2880" s="33">
        <f>IF(ISNUMBER(SEARCH('Φόρμα Εισαγωγής'!$C$2,E2880)),MAX($D$1:D2879)+1,0)</f>
        <v>0</v>
      </c>
      <c r="H2880" s="6">
        <f t="shared" ref="H2880:H2943" si="146">G2880+(G2880*0.24)</f>
        <v>0</v>
      </c>
      <c r="I2880" s="6">
        <f t="shared" ref="I2880:I2943" si="147">F2880*A2880</f>
        <v>0</v>
      </c>
      <c r="J2880" s="6">
        <f t="shared" ref="J2880:J2943" si="148">H2880*A2880</f>
        <v>0</v>
      </c>
      <c r="L2880" s="4" t="str">
        <f>IFERROR(VLOOKUP(ROWS($L$2:L2880),$B$2:$C$1996,2,0),"")</f>
        <v/>
      </c>
      <c r="N2880" s="2" t="str">
        <f>IFERROR(VLOOKUP(ROWS($N$2:N2880),$D$2:$E$1996,2,0),"")</f>
        <v/>
      </c>
    </row>
    <row r="2881" spans="2:14">
      <c r="B2881" s="32">
        <f>IF(ISNUMBER(SEARCH('Φόρμα Εισαγωγής'!$B$2,C2881)),MAX($B$1:B2880)+1,0)</f>
        <v>0</v>
      </c>
      <c r="D2881" s="33">
        <f>IF(ISNUMBER(SEARCH('Φόρμα Εισαγωγής'!$C$2,E2881)),MAX($D$1:D2880)+1,0)</f>
        <v>0</v>
      </c>
      <c r="H2881" s="6">
        <f t="shared" si="146"/>
        <v>0</v>
      </c>
      <c r="I2881" s="6">
        <f t="shared" si="147"/>
        <v>0</v>
      </c>
      <c r="J2881" s="6">
        <f t="shared" si="148"/>
        <v>0</v>
      </c>
      <c r="L2881" s="4" t="str">
        <f>IFERROR(VLOOKUP(ROWS($L$2:L2881),$B$2:$C$1996,2,0),"")</f>
        <v/>
      </c>
      <c r="N2881" s="2" t="str">
        <f>IFERROR(VLOOKUP(ROWS($N$2:N2881),$D$2:$E$1996,2,0),"")</f>
        <v/>
      </c>
    </row>
    <row r="2882" spans="2:14">
      <c r="B2882" s="32">
        <f>IF(ISNUMBER(SEARCH('Φόρμα Εισαγωγής'!$B$2,C2882)),MAX($B$1:B2881)+1,0)</f>
        <v>0</v>
      </c>
      <c r="D2882" s="33">
        <f>IF(ISNUMBER(SEARCH('Φόρμα Εισαγωγής'!$C$2,E2882)),MAX($D$1:D2881)+1,0)</f>
        <v>0</v>
      </c>
      <c r="H2882" s="6">
        <f t="shared" si="146"/>
        <v>0</v>
      </c>
      <c r="I2882" s="6">
        <f t="shared" si="147"/>
        <v>0</v>
      </c>
      <c r="J2882" s="6">
        <f t="shared" si="148"/>
        <v>0</v>
      </c>
      <c r="L2882" s="4" t="str">
        <f>IFERROR(VLOOKUP(ROWS($L$2:L2882),$B$2:$C$1996,2,0),"")</f>
        <v/>
      </c>
      <c r="N2882" s="2" t="str">
        <f>IFERROR(VLOOKUP(ROWS($N$2:N2882),$D$2:$E$1996,2,0),"")</f>
        <v/>
      </c>
    </row>
    <row r="2883" spans="2:14">
      <c r="B2883" s="32">
        <f>IF(ISNUMBER(SEARCH('Φόρμα Εισαγωγής'!$B$2,C2883)),MAX($B$1:B2882)+1,0)</f>
        <v>0</v>
      </c>
      <c r="D2883" s="33">
        <f>IF(ISNUMBER(SEARCH('Φόρμα Εισαγωγής'!$C$2,E2883)),MAX($D$1:D2882)+1,0)</f>
        <v>0</v>
      </c>
      <c r="H2883" s="6">
        <f t="shared" si="146"/>
        <v>0</v>
      </c>
      <c r="I2883" s="6">
        <f t="shared" si="147"/>
        <v>0</v>
      </c>
      <c r="J2883" s="6">
        <f t="shared" si="148"/>
        <v>0</v>
      </c>
      <c r="L2883" s="4" t="str">
        <f>IFERROR(VLOOKUP(ROWS($L$2:L2883),$B$2:$C$1996,2,0),"")</f>
        <v/>
      </c>
      <c r="N2883" s="2" t="str">
        <f>IFERROR(VLOOKUP(ROWS($N$2:N2883),$D$2:$E$1996,2,0),"")</f>
        <v/>
      </c>
    </row>
    <row r="2884" spans="2:14">
      <c r="B2884" s="32">
        <f>IF(ISNUMBER(SEARCH('Φόρμα Εισαγωγής'!$B$2,C2884)),MAX($B$1:B2883)+1,0)</f>
        <v>0</v>
      </c>
      <c r="D2884" s="33">
        <f>IF(ISNUMBER(SEARCH('Φόρμα Εισαγωγής'!$C$2,E2884)),MAX($D$1:D2883)+1,0)</f>
        <v>0</v>
      </c>
      <c r="H2884" s="6">
        <f t="shared" si="146"/>
        <v>0</v>
      </c>
      <c r="I2884" s="6">
        <f t="shared" si="147"/>
        <v>0</v>
      </c>
      <c r="J2884" s="6">
        <f t="shared" si="148"/>
        <v>0</v>
      </c>
      <c r="L2884" s="4" t="str">
        <f>IFERROR(VLOOKUP(ROWS($L$2:L2884),$B$2:$C$1996,2,0),"")</f>
        <v/>
      </c>
      <c r="N2884" s="2" t="str">
        <f>IFERROR(VLOOKUP(ROWS($N$2:N2884),$D$2:$E$1996,2,0),"")</f>
        <v/>
      </c>
    </row>
    <row r="2885" spans="2:14">
      <c r="B2885" s="32">
        <f>IF(ISNUMBER(SEARCH('Φόρμα Εισαγωγής'!$B$2,C2885)),MAX($B$1:B2884)+1,0)</f>
        <v>0</v>
      </c>
      <c r="D2885" s="33">
        <f>IF(ISNUMBER(SEARCH('Φόρμα Εισαγωγής'!$C$2,E2885)),MAX($D$1:D2884)+1,0)</f>
        <v>0</v>
      </c>
      <c r="H2885" s="6">
        <f t="shared" si="146"/>
        <v>0</v>
      </c>
      <c r="I2885" s="6">
        <f t="shared" si="147"/>
        <v>0</v>
      </c>
      <c r="J2885" s="6">
        <f t="shared" si="148"/>
        <v>0</v>
      </c>
      <c r="L2885" s="4" t="str">
        <f>IFERROR(VLOOKUP(ROWS($L$2:L2885),$B$2:$C$1996,2,0),"")</f>
        <v/>
      </c>
      <c r="N2885" s="2" t="str">
        <f>IFERROR(VLOOKUP(ROWS($N$2:N2885),$D$2:$E$1996,2,0),"")</f>
        <v/>
      </c>
    </row>
    <row r="2886" spans="2:14">
      <c r="B2886" s="32">
        <f>IF(ISNUMBER(SEARCH('Φόρμα Εισαγωγής'!$B$2,C2886)),MAX($B$1:B2885)+1,0)</f>
        <v>0</v>
      </c>
      <c r="D2886" s="33">
        <f>IF(ISNUMBER(SEARCH('Φόρμα Εισαγωγής'!$C$2,E2886)),MAX($D$1:D2885)+1,0)</f>
        <v>0</v>
      </c>
      <c r="H2886" s="6">
        <f t="shared" si="146"/>
        <v>0</v>
      </c>
      <c r="I2886" s="6">
        <f t="shared" si="147"/>
        <v>0</v>
      </c>
      <c r="J2886" s="6">
        <f t="shared" si="148"/>
        <v>0</v>
      </c>
      <c r="L2886" s="4" t="str">
        <f>IFERROR(VLOOKUP(ROWS($L$2:L2886),$B$2:$C$1996,2,0),"")</f>
        <v/>
      </c>
      <c r="N2886" s="2" t="str">
        <f>IFERROR(VLOOKUP(ROWS($N$2:N2886),$D$2:$E$1996,2,0),"")</f>
        <v/>
      </c>
    </row>
    <row r="2887" spans="2:14">
      <c r="B2887" s="32">
        <f>IF(ISNUMBER(SEARCH('Φόρμα Εισαγωγής'!$B$2,C2887)),MAX($B$1:B2886)+1,0)</f>
        <v>0</v>
      </c>
      <c r="D2887" s="33">
        <f>IF(ISNUMBER(SEARCH('Φόρμα Εισαγωγής'!$C$2,E2887)),MAX($D$1:D2886)+1,0)</f>
        <v>0</v>
      </c>
      <c r="H2887" s="6">
        <f t="shared" si="146"/>
        <v>0</v>
      </c>
      <c r="I2887" s="6">
        <f t="shared" si="147"/>
        <v>0</v>
      </c>
      <c r="J2887" s="6">
        <f t="shared" si="148"/>
        <v>0</v>
      </c>
      <c r="L2887" s="4" t="str">
        <f>IFERROR(VLOOKUP(ROWS($L$2:L2887),$B$2:$C$1996,2,0),"")</f>
        <v/>
      </c>
      <c r="N2887" s="2" t="str">
        <f>IFERROR(VLOOKUP(ROWS($N$2:N2887),$D$2:$E$1996,2,0),"")</f>
        <v/>
      </c>
    </row>
    <row r="2888" spans="2:14">
      <c r="B2888" s="32">
        <f>IF(ISNUMBER(SEARCH('Φόρμα Εισαγωγής'!$B$2,C2888)),MAX($B$1:B2887)+1,0)</f>
        <v>0</v>
      </c>
      <c r="D2888" s="33">
        <f>IF(ISNUMBER(SEARCH('Φόρμα Εισαγωγής'!$C$2,E2888)),MAX($D$1:D2887)+1,0)</f>
        <v>0</v>
      </c>
      <c r="H2888" s="6">
        <f t="shared" si="146"/>
        <v>0</v>
      </c>
      <c r="I2888" s="6">
        <f t="shared" si="147"/>
        <v>0</v>
      </c>
      <c r="J2888" s="6">
        <f t="shared" si="148"/>
        <v>0</v>
      </c>
      <c r="L2888" s="4" t="str">
        <f>IFERROR(VLOOKUP(ROWS($L$2:L2888),$B$2:$C$1996,2,0),"")</f>
        <v/>
      </c>
      <c r="N2888" s="2" t="str">
        <f>IFERROR(VLOOKUP(ROWS($N$2:N2888),$D$2:$E$1996,2,0),"")</f>
        <v/>
      </c>
    </row>
    <row r="2889" spans="2:14">
      <c r="B2889" s="32">
        <f>IF(ISNUMBER(SEARCH('Φόρμα Εισαγωγής'!$B$2,C2889)),MAX($B$1:B2888)+1,0)</f>
        <v>0</v>
      </c>
      <c r="D2889" s="33">
        <f>IF(ISNUMBER(SEARCH('Φόρμα Εισαγωγής'!$C$2,E2889)),MAX($D$1:D2888)+1,0)</f>
        <v>0</v>
      </c>
      <c r="H2889" s="6">
        <f t="shared" si="146"/>
        <v>0</v>
      </c>
      <c r="I2889" s="6">
        <f t="shared" si="147"/>
        <v>0</v>
      </c>
      <c r="J2889" s="6">
        <f t="shared" si="148"/>
        <v>0</v>
      </c>
      <c r="L2889" s="4" t="str">
        <f>IFERROR(VLOOKUP(ROWS($L$2:L2889),$B$2:$C$1996,2,0),"")</f>
        <v/>
      </c>
      <c r="N2889" s="2" t="str">
        <f>IFERROR(VLOOKUP(ROWS($N$2:N2889),$D$2:$E$1996,2,0),"")</f>
        <v/>
      </c>
    </row>
    <row r="2890" spans="2:14">
      <c r="B2890" s="32">
        <f>IF(ISNUMBER(SEARCH('Φόρμα Εισαγωγής'!$B$2,C2890)),MAX($B$1:B2889)+1,0)</f>
        <v>0</v>
      </c>
      <c r="D2890" s="33">
        <f>IF(ISNUMBER(SEARCH('Φόρμα Εισαγωγής'!$C$2,E2890)),MAX($D$1:D2889)+1,0)</f>
        <v>0</v>
      </c>
      <c r="H2890" s="6">
        <f t="shared" si="146"/>
        <v>0</v>
      </c>
      <c r="I2890" s="6">
        <f t="shared" si="147"/>
        <v>0</v>
      </c>
      <c r="J2890" s="6">
        <f t="shared" si="148"/>
        <v>0</v>
      </c>
      <c r="L2890" s="4" t="str">
        <f>IFERROR(VLOOKUP(ROWS($L$2:L2890),$B$2:$C$1996,2,0),"")</f>
        <v/>
      </c>
      <c r="N2890" s="2" t="str">
        <f>IFERROR(VLOOKUP(ROWS($N$2:N2890),$D$2:$E$1996,2,0),"")</f>
        <v/>
      </c>
    </row>
    <row r="2891" spans="2:14">
      <c r="B2891" s="32">
        <f>IF(ISNUMBER(SEARCH('Φόρμα Εισαγωγής'!$B$2,C2891)),MAX($B$1:B2890)+1,0)</f>
        <v>0</v>
      </c>
      <c r="D2891" s="33">
        <f>IF(ISNUMBER(SEARCH('Φόρμα Εισαγωγής'!$C$2,E2891)),MAX($D$1:D2890)+1,0)</f>
        <v>0</v>
      </c>
      <c r="H2891" s="6">
        <f t="shared" si="146"/>
        <v>0</v>
      </c>
      <c r="I2891" s="6">
        <f t="shared" si="147"/>
        <v>0</v>
      </c>
      <c r="J2891" s="6">
        <f t="shared" si="148"/>
        <v>0</v>
      </c>
      <c r="L2891" s="4" t="str">
        <f>IFERROR(VLOOKUP(ROWS($L$2:L2891),$B$2:$C$1996,2,0),"")</f>
        <v/>
      </c>
      <c r="N2891" s="2" t="str">
        <f>IFERROR(VLOOKUP(ROWS($N$2:N2891),$D$2:$E$1996,2,0),"")</f>
        <v/>
      </c>
    </row>
    <row r="2892" spans="2:14">
      <c r="B2892" s="32">
        <f>IF(ISNUMBER(SEARCH('Φόρμα Εισαγωγής'!$B$2,C2892)),MAX($B$1:B2891)+1,0)</f>
        <v>0</v>
      </c>
      <c r="D2892" s="33">
        <f>IF(ISNUMBER(SEARCH('Φόρμα Εισαγωγής'!$C$2,E2892)),MAX($D$1:D2891)+1,0)</f>
        <v>0</v>
      </c>
      <c r="H2892" s="6">
        <f t="shared" si="146"/>
        <v>0</v>
      </c>
      <c r="I2892" s="6">
        <f t="shared" si="147"/>
        <v>0</v>
      </c>
      <c r="J2892" s="6">
        <f t="shared" si="148"/>
        <v>0</v>
      </c>
      <c r="L2892" s="4" t="str">
        <f>IFERROR(VLOOKUP(ROWS($L$2:L2892),$B$2:$C$1996,2,0),"")</f>
        <v/>
      </c>
      <c r="N2892" s="2" t="str">
        <f>IFERROR(VLOOKUP(ROWS($N$2:N2892),$D$2:$E$1996,2,0),"")</f>
        <v/>
      </c>
    </row>
    <row r="2893" spans="2:14">
      <c r="B2893" s="32">
        <f>IF(ISNUMBER(SEARCH('Φόρμα Εισαγωγής'!$B$2,C2893)),MAX($B$1:B2892)+1,0)</f>
        <v>0</v>
      </c>
      <c r="D2893" s="33">
        <f>IF(ISNUMBER(SEARCH('Φόρμα Εισαγωγής'!$C$2,E2893)),MAX($D$1:D2892)+1,0)</f>
        <v>0</v>
      </c>
      <c r="H2893" s="6">
        <f t="shared" si="146"/>
        <v>0</v>
      </c>
      <c r="I2893" s="6">
        <f t="shared" si="147"/>
        <v>0</v>
      </c>
      <c r="J2893" s="6">
        <f t="shared" si="148"/>
        <v>0</v>
      </c>
      <c r="L2893" s="4" t="str">
        <f>IFERROR(VLOOKUP(ROWS($L$2:L2893),$B$2:$C$1996,2,0),"")</f>
        <v/>
      </c>
      <c r="N2893" s="2" t="str">
        <f>IFERROR(VLOOKUP(ROWS($N$2:N2893),$D$2:$E$1996,2,0),"")</f>
        <v/>
      </c>
    </row>
    <row r="2894" spans="2:14">
      <c r="B2894" s="32">
        <f>IF(ISNUMBER(SEARCH('Φόρμα Εισαγωγής'!$B$2,C2894)),MAX($B$1:B2893)+1,0)</f>
        <v>0</v>
      </c>
      <c r="D2894" s="33">
        <f>IF(ISNUMBER(SEARCH('Φόρμα Εισαγωγής'!$C$2,E2894)),MAX($D$1:D2893)+1,0)</f>
        <v>0</v>
      </c>
      <c r="H2894" s="6">
        <f t="shared" si="146"/>
        <v>0</v>
      </c>
      <c r="I2894" s="6">
        <f t="shared" si="147"/>
        <v>0</v>
      </c>
      <c r="J2894" s="6">
        <f t="shared" si="148"/>
        <v>0</v>
      </c>
      <c r="L2894" s="4" t="str">
        <f>IFERROR(VLOOKUP(ROWS($L$2:L2894),$B$2:$C$1996,2,0),"")</f>
        <v/>
      </c>
      <c r="N2894" s="2" t="str">
        <f>IFERROR(VLOOKUP(ROWS($N$2:N2894),$D$2:$E$1996,2,0),"")</f>
        <v/>
      </c>
    </row>
    <row r="2895" spans="2:14">
      <c r="B2895" s="32">
        <f>IF(ISNUMBER(SEARCH('Φόρμα Εισαγωγής'!$B$2,C2895)),MAX($B$1:B2894)+1,0)</f>
        <v>0</v>
      </c>
      <c r="D2895" s="33">
        <f>IF(ISNUMBER(SEARCH('Φόρμα Εισαγωγής'!$C$2,E2895)),MAX($D$1:D2894)+1,0)</f>
        <v>0</v>
      </c>
      <c r="H2895" s="6">
        <f t="shared" si="146"/>
        <v>0</v>
      </c>
      <c r="I2895" s="6">
        <f t="shared" si="147"/>
        <v>0</v>
      </c>
      <c r="J2895" s="6">
        <f t="shared" si="148"/>
        <v>0</v>
      </c>
      <c r="L2895" s="4" t="str">
        <f>IFERROR(VLOOKUP(ROWS($L$2:L2895),$B$2:$C$1996,2,0),"")</f>
        <v/>
      </c>
      <c r="N2895" s="2" t="str">
        <f>IFERROR(VLOOKUP(ROWS($N$2:N2895),$D$2:$E$1996,2,0),"")</f>
        <v/>
      </c>
    </row>
    <row r="2896" spans="2:14">
      <c r="B2896" s="32">
        <f>IF(ISNUMBER(SEARCH('Φόρμα Εισαγωγής'!$B$2,C2896)),MAX($B$1:B2895)+1,0)</f>
        <v>0</v>
      </c>
      <c r="D2896" s="33">
        <f>IF(ISNUMBER(SEARCH('Φόρμα Εισαγωγής'!$C$2,E2896)),MAX($D$1:D2895)+1,0)</f>
        <v>0</v>
      </c>
      <c r="H2896" s="6">
        <f t="shared" si="146"/>
        <v>0</v>
      </c>
      <c r="I2896" s="6">
        <f t="shared" si="147"/>
        <v>0</v>
      </c>
      <c r="J2896" s="6">
        <f t="shared" si="148"/>
        <v>0</v>
      </c>
      <c r="L2896" s="4" t="str">
        <f>IFERROR(VLOOKUP(ROWS($L$2:L2896),$B$2:$C$1996,2,0),"")</f>
        <v/>
      </c>
      <c r="N2896" s="2" t="str">
        <f>IFERROR(VLOOKUP(ROWS($N$2:N2896),$D$2:$E$1996,2,0),"")</f>
        <v/>
      </c>
    </row>
    <row r="2897" spans="2:14">
      <c r="B2897" s="32">
        <f>IF(ISNUMBER(SEARCH('Φόρμα Εισαγωγής'!$B$2,C2897)),MAX($B$1:B2896)+1,0)</f>
        <v>0</v>
      </c>
      <c r="D2897" s="33">
        <f>IF(ISNUMBER(SEARCH('Φόρμα Εισαγωγής'!$C$2,E2897)),MAX($D$1:D2896)+1,0)</f>
        <v>0</v>
      </c>
      <c r="H2897" s="6">
        <f t="shared" si="146"/>
        <v>0</v>
      </c>
      <c r="I2897" s="6">
        <f t="shared" si="147"/>
        <v>0</v>
      </c>
      <c r="J2897" s="6">
        <f t="shared" si="148"/>
        <v>0</v>
      </c>
      <c r="L2897" s="4" t="str">
        <f>IFERROR(VLOOKUP(ROWS($L$2:L2897),$B$2:$C$1996,2,0),"")</f>
        <v/>
      </c>
      <c r="N2897" s="2" t="str">
        <f>IFERROR(VLOOKUP(ROWS($N$2:N2897),$D$2:$E$1996,2,0),"")</f>
        <v/>
      </c>
    </row>
    <row r="2898" spans="2:14">
      <c r="B2898" s="32">
        <f>IF(ISNUMBER(SEARCH('Φόρμα Εισαγωγής'!$B$2,C2898)),MAX($B$1:B2897)+1,0)</f>
        <v>0</v>
      </c>
      <c r="D2898" s="33">
        <f>IF(ISNUMBER(SEARCH('Φόρμα Εισαγωγής'!$C$2,E2898)),MAX($D$1:D2897)+1,0)</f>
        <v>0</v>
      </c>
      <c r="H2898" s="6">
        <f t="shared" si="146"/>
        <v>0</v>
      </c>
      <c r="I2898" s="6">
        <f t="shared" si="147"/>
        <v>0</v>
      </c>
      <c r="J2898" s="6">
        <f t="shared" si="148"/>
        <v>0</v>
      </c>
      <c r="L2898" s="4" t="str">
        <f>IFERROR(VLOOKUP(ROWS($L$2:L2898),$B$2:$C$1996,2,0),"")</f>
        <v/>
      </c>
      <c r="N2898" s="2" t="str">
        <f>IFERROR(VLOOKUP(ROWS($N$2:N2898),$D$2:$E$1996,2,0),"")</f>
        <v/>
      </c>
    </row>
    <row r="2899" spans="2:14">
      <c r="B2899" s="32">
        <f>IF(ISNUMBER(SEARCH('Φόρμα Εισαγωγής'!$B$2,C2899)),MAX($B$1:B2898)+1,0)</f>
        <v>0</v>
      </c>
      <c r="D2899" s="33">
        <f>IF(ISNUMBER(SEARCH('Φόρμα Εισαγωγής'!$C$2,E2899)),MAX($D$1:D2898)+1,0)</f>
        <v>0</v>
      </c>
      <c r="H2899" s="6">
        <f t="shared" si="146"/>
        <v>0</v>
      </c>
      <c r="I2899" s="6">
        <f t="shared" si="147"/>
        <v>0</v>
      </c>
      <c r="J2899" s="6">
        <f t="shared" si="148"/>
        <v>0</v>
      </c>
      <c r="L2899" s="4" t="str">
        <f>IFERROR(VLOOKUP(ROWS($L$2:L2899),$B$2:$C$1996,2,0),"")</f>
        <v/>
      </c>
      <c r="N2899" s="2" t="str">
        <f>IFERROR(VLOOKUP(ROWS($N$2:N2899),$D$2:$E$1996,2,0),"")</f>
        <v/>
      </c>
    </row>
    <row r="2900" spans="2:14">
      <c r="B2900" s="32">
        <f>IF(ISNUMBER(SEARCH('Φόρμα Εισαγωγής'!$B$2,C2900)),MAX($B$1:B2899)+1,0)</f>
        <v>0</v>
      </c>
      <c r="D2900" s="33">
        <f>IF(ISNUMBER(SEARCH('Φόρμα Εισαγωγής'!$C$2,E2900)),MAX($D$1:D2899)+1,0)</f>
        <v>0</v>
      </c>
      <c r="H2900" s="6">
        <f t="shared" si="146"/>
        <v>0</v>
      </c>
      <c r="I2900" s="6">
        <f t="shared" si="147"/>
        <v>0</v>
      </c>
      <c r="J2900" s="6">
        <f t="shared" si="148"/>
        <v>0</v>
      </c>
      <c r="L2900" s="4" t="str">
        <f>IFERROR(VLOOKUP(ROWS($L$2:L2900),$B$2:$C$1996,2,0),"")</f>
        <v/>
      </c>
      <c r="N2900" s="2" t="str">
        <f>IFERROR(VLOOKUP(ROWS($N$2:N2900),$D$2:$E$1996,2,0),"")</f>
        <v/>
      </c>
    </row>
    <row r="2901" spans="2:14">
      <c r="B2901" s="32">
        <f>IF(ISNUMBER(SEARCH('Φόρμα Εισαγωγής'!$B$2,C2901)),MAX($B$1:B2900)+1,0)</f>
        <v>0</v>
      </c>
      <c r="D2901" s="33">
        <f>IF(ISNUMBER(SEARCH('Φόρμα Εισαγωγής'!$C$2,E2901)),MAX($D$1:D2900)+1,0)</f>
        <v>0</v>
      </c>
      <c r="H2901" s="6">
        <f t="shared" si="146"/>
        <v>0</v>
      </c>
      <c r="I2901" s="6">
        <f t="shared" si="147"/>
        <v>0</v>
      </c>
      <c r="J2901" s="6">
        <f t="shared" si="148"/>
        <v>0</v>
      </c>
      <c r="L2901" s="4" t="str">
        <f>IFERROR(VLOOKUP(ROWS($L$2:L2901),$B$2:$C$1996,2,0),"")</f>
        <v/>
      </c>
      <c r="N2901" s="2" t="str">
        <f>IFERROR(VLOOKUP(ROWS($N$2:N2901),$D$2:$E$1996,2,0),"")</f>
        <v/>
      </c>
    </row>
    <row r="2902" spans="2:14">
      <c r="B2902" s="32">
        <f>IF(ISNUMBER(SEARCH('Φόρμα Εισαγωγής'!$B$2,C2902)),MAX($B$1:B2901)+1,0)</f>
        <v>0</v>
      </c>
      <c r="D2902" s="33">
        <f>IF(ISNUMBER(SEARCH('Φόρμα Εισαγωγής'!$C$2,E2902)),MAX($D$1:D2901)+1,0)</f>
        <v>0</v>
      </c>
      <c r="H2902" s="6">
        <f t="shared" si="146"/>
        <v>0</v>
      </c>
      <c r="I2902" s="6">
        <f t="shared" si="147"/>
        <v>0</v>
      </c>
      <c r="J2902" s="6">
        <f t="shared" si="148"/>
        <v>0</v>
      </c>
      <c r="L2902" s="4" t="str">
        <f>IFERROR(VLOOKUP(ROWS($L$2:L2902),$B$2:$C$1996,2,0),"")</f>
        <v/>
      </c>
      <c r="N2902" s="2" t="str">
        <f>IFERROR(VLOOKUP(ROWS($N$2:N2902),$D$2:$E$1996,2,0),"")</f>
        <v/>
      </c>
    </row>
    <row r="2903" spans="2:14">
      <c r="B2903" s="32">
        <f>IF(ISNUMBER(SEARCH('Φόρμα Εισαγωγής'!$B$2,C2903)),MAX($B$1:B2902)+1,0)</f>
        <v>0</v>
      </c>
      <c r="D2903" s="33">
        <f>IF(ISNUMBER(SEARCH('Φόρμα Εισαγωγής'!$C$2,E2903)),MAX($D$1:D2902)+1,0)</f>
        <v>0</v>
      </c>
      <c r="H2903" s="6">
        <f t="shared" si="146"/>
        <v>0</v>
      </c>
      <c r="I2903" s="6">
        <f t="shared" si="147"/>
        <v>0</v>
      </c>
      <c r="J2903" s="6">
        <f t="shared" si="148"/>
        <v>0</v>
      </c>
      <c r="L2903" s="4" t="str">
        <f>IFERROR(VLOOKUP(ROWS($L$2:L2903),$B$2:$C$1996,2,0),"")</f>
        <v/>
      </c>
      <c r="N2903" s="2" t="str">
        <f>IFERROR(VLOOKUP(ROWS($N$2:N2903),$D$2:$E$1996,2,0),"")</f>
        <v/>
      </c>
    </row>
    <row r="2904" spans="2:14">
      <c r="B2904" s="32">
        <f>IF(ISNUMBER(SEARCH('Φόρμα Εισαγωγής'!$B$2,C2904)),MAX($B$1:B2903)+1,0)</f>
        <v>0</v>
      </c>
      <c r="D2904" s="33">
        <f>IF(ISNUMBER(SEARCH('Φόρμα Εισαγωγής'!$C$2,E2904)),MAX($D$1:D2903)+1,0)</f>
        <v>0</v>
      </c>
      <c r="H2904" s="6">
        <f t="shared" si="146"/>
        <v>0</v>
      </c>
      <c r="I2904" s="6">
        <f t="shared" si="147"/>
        <v>0</v>
      </c>
      <c r="J2904" s="6">
        <f t="shared" si="148"/>
        <v>0</v>
      </c>
      <c r="L2904" s="4" t="str">
        <f>IFERROR(VLOOKUP(ROWS($L$2:L2904),$B$2:$C$1996,2,0),"")</f>
        <v/>
      </c>
      <c r="N2904" s="2" t="str">
        <f>IFERROR(VLOOKUP(ROWS($N$2:N2904),$D$2:$E$1996,2,0),"")</f>
        <v/>
      </c>
    </row>
    <row r="2905" spans="2:14">
      <c r="B2905" s="32">
        <f>IF(ISNUMBER(SEARCH('Φόρμα Εισαγωγής'!$B$2,C2905)),MAX($B$1:B2904)+1,0)</f>
        <v>0</v>
      </c>
      <c r="D2905" s="33">
        <f>IF(ISNUMBER(SEARCH('Φόρμα Εισαγωγής'!$C$2,E2905)),MAX($D$1:D2904)+1,0)</f>
        <v>0</v>
      </c>
      <c r="H2905" s="6">
        <f t="shared" si="146"/>
        <v>0</v>
      </c>
      <c r="I2905" s="6">
        <f t="shared" si="147"/>
        <v>0</v>
      </c>
      <c r="J2905" s="6">
        <f t="shared" si="148"/>
        <v>0</v>
      </c>
      <c r="L2905" s="4" t="str">
        <f>IFERROR(VLOOKUP(ROWS($L$2:L2905),$B$2:$C$1996,2,0),"")</f>
        <v/>
      </c>
      <c r="N2905" s="2" t="str">
        <f>IFERROR(VLOOKUP(ROWS($N$2:N2905),$D$2:$E$1996,2,0),"")</f>
        <v/>
      </c>
    </row>
    <row r="2906" spans="2:14">
      <c r="B2906" s="32">
        <f>IF(ISNUMBER(SEARCH('Φόρμα Εισαγωγής'!$B$2,C2906)),MAX($B$1:B2905)+1,0)</f>
        <v>0</v>
      </c>
      <c r="D2906" s="33">
        <f>IF(ISNUMBER(SEARCH('Φόρμα Εισαγωγής'!$C$2,E2906)),MAX($D$1:D2905)+1,0)</f>
        <v>0</v>
      </c>
      <c r="H2906" s="6">
        <f t="shared" si="146"/>
        <v>0</v>
      </c>
      <c r="I2906" s="6">
        <f t="shared" si="147"/>
        <v>0</v>
      </c>
      <c r="J2906" s="6">
        <f t="shared" si="148"/>
        <v>0</v>
      </c>
      <c r="L2906" s="4" t="str">
        <f>IFERROR(VLOOKUP(ROWS($L$2:L2906),$B$2:$C$1996,2,0),"")</f>
        <v/>
      </c>
      <c r="N2906" s="2" t="str">
        <f>IFERROR(VLOOKUP(ROWS($N$2:N2906),$D$2:$E$1996,2,0),"")</f>
        <v/>
      </c>
    </row>
    <row r="2907" spans="2:14">
      <c r="B2907" s="32">
        <f>IF(ISNUMBER(SEARCH('Φόρμα Εισαγωγής'!$B$2,C2907)),MAX($B$1:B2906)+1,0)</f>
        <v>0</v>
      </c>
      <c r="D2907" s="33">
        <f>IF(ISNUMBER(SEARCH('Φόρμα Εισαγωγής'!$C$2,E2907)),MAX($D$1:D2906)+1,0)</f>
        <v>0</v>
      </c>
      <c r="H2907" s="6">
        <f t="shared" si="146"/>
        <v>0</v>
      </c>
      <c r="I2907" s="6">
        <f t="shared" si="147"/>
        <v>0</v>
      </c>
      <c r="J2907" s="6">
        <f t="shared" si="148"/>
        <v>0</v>
      </c>
      <c r="L2907" s="4" t="str">
        <f>IFERROR(VLOOKUP(ROWS($L$2:L2907),$B$2:$C$1996,2,0),"")</f>
        <v/>
      </c>
      <c r="N2907" s="2" t="str">
        <f>IFERROR(VLOOKUP(ROWS($N$2:N2907),$D$2:$E$1996,2,0),"")</f>
        <v/>
      </c>
    </row>
    <row r="2908" spans="2:14">
      <c r="B2908" s="32">
        <f>IF(ISNUMBER(SEARCH('Φόρμα Εισαγωγής'!$B$2,C2908)),MAX($B$1:B2907)+1,0)</f>
        <v>0</v>
      </c>
      <c r="D2908" s="33">
        <f>IF(ISNUMBER(SEARCH('Φόρμα Εισαγωγής'!$C$2,E2908)),MAX($D$1:D2907)+1,0)</f>
        <v>0</v>
      </c>
      <c r="H2908" s="6">
        <f t="shared" si="146"/>
        <v>0</v>
      </c>
      <c r="I2908" s="6">
        <f t="shared" si="147"/>
        <v>0</v>
      </c>
      <c r="J2908" s="6">
        <f t="shared" si="148"/>
        <v>0</v>
      </c>
      <c r="L2908" s="4" t="str">
        <f>IFERROR(VLOOKUP(ROWS($L$2:L2908),$B$2:$C$1996,2,0),"")</f>
        <v/>
      </c>
      <c r="N2908" s="2" t="str">
        <f>IFERROR(VLOOKUP(ROWS($N$2:N2908),$D$2:$E$1996,2,0),"")</f>
        <v/>
      </c>
    </row>
    <row r="2909" spans="2:14">
      <c r="B2909" s="32">
        <f>IF(ISNUMBER(SEARCH('Φόρμα Εισαγωγής'!$B$2,C2909)),MAX($B$1:B2908)+1,0)</f>
        <v>0</v>
      </c>
      <c r="D2909" s="33">
        <f>IF(ISNUMBER(SEARCH('Φόρμα Εισαγωγής'!$C$2,E2909)),MAX($D$1:D2908)+1,0)</f>
        <v>0</v>
      </c>
      <c r="H2909" s="6">
        <f t="shared" si="146"/>
        <v>0</v>
      </c>
      <c r="I2909" s="6">
        <f t="shared" si="147"/>
        <v>0</v>
      </c>
      <c r="J2909" s="6">
        <f t="shared" si="148"/>
        <v>0</v>
      </c>
      <c r="L2909" s="4" t="str">
        <f>IFERROR(VLOOKUP(ROWS($L$2:L2909),$B$2:$C$1996,2,0),"")</f>
        <v/>
      </c>
      <c r="N2909" s="2" t="str">
        <f>IFERROR(VLOOKUP(ROWS($N$2:N2909),$D$2:$E$1996,2,0),"")</f>
        <v/>
      </c>
    </row>
    <row r="2910" spans="2:14">
      <c r="B2910" s="32">
        <f>IF(ISNUMBER(SEARCH('Φόρμα Εισαγωγής'!$B$2,C2910)),MAX($B$1:B2909)+1,0)</f>
        <v>0</v>
      </c>
      <c r="D2910" s="33">
        <f>IF(ISNUMBER(SEARCH('Φόρμα Εισαγωγής'!$C$2,E2910)),MAX($D$1:D2909)+1,0)</f>
        <v>0</v>
      </c>
      <c r="H2910" s="6">
        <f t="shared" si="146"/>
        <v>0</v>
      </c>
      <c r="I2910" s="6">
        <f t="shared" si="147"/>
        <v>0</v>
      </c>
      <c r="J2910" s="6">
        <f t="shared" si="148"/>
        <v>0</v>
      </c>
      <c r="L2910" s="4" t="str">
        <f>IFERROR(VLOOKUP(ROWS($L$2:L2910),$B$2:$C$1996,2,0),"")</f>
        <v/>
      </c>
      <c r="N2910" s="2" t="str">
        <f>IFERROR(VLOOKUP(ROWS($N$2:N2910),$D$2:$E$1996,2,0),"")</f>
        <v/>
      </c>
    </row>
    <row r="2911" spans="2:14">
      <c r="B2911" s="32">
        <f>IF(ISNUMBER(SEARCH('Φόρμα Εισαγωγής'!$B$2,C2911)),MAX($B$1:B2910)+1,0)</f>
        <v>0</v>
      </c>
      <c r="D2911" s="33">
        <f>IF(ISNUMBER(SEARCH('Φόρμα Εισαγωγής'!$C$2,E2911)),MAX($D$1:D2910)+1,0)</f>
        <v>0</v>
      </c>
      <c r="H2911" s="6">
        <f t="shared" si="146"/>
        <v>0</v>
      </c>
      <c r="I2911" s="6">
        <f t="shared" si="147"/>
        <v>0</v>
      </c>
      <c r="J2911" s="6">
        <f t="shared" si="148"/>
        <v>0</v>
      </c>
      <c r="L2911" s="4" t="str">
        <f>IFERROR(VLOOKUP(ROWS($L$2:L2911),$B$2:$C$1996,2,0),"")</f>
        <v/>
      </c>
      <c r="N2911" s="2" t="str">
        <f>IFERROR(VLOOKUP(ROWS($N$2:N2911),$D$2:$E$1996,2,0),"")</f>
        <v/>
      </c>
    </row>
    <row r="2912" spans="2:14">
      <c r="B2912" s="32">
        <f>IF(ISNUMBER(SEARCH('Φόρμα Εισαγωγής'!$B$2,C2912)),MAX($B$1:B2911)+1,0)</f>
        <v>0</v>
      </c>
      <c r="D2912" s="33">
        <f>IF(ISNUMBER(SEARCH('Φόρμα Εισαγωγής'!$C$2,E2912)),MAX($D$1:D2911)+1,0)</f>
        <v>0</v>
      </c>
      <c r="H2912" s="6">
        <f t="shared" si="146"/>
        <v>0</v>
      </c>
      <c r="I2912" s="6">
        <f t="shared" si="147"/>
        <v>0</v>
      </c>
      <c r="J2912" s="6">
        <f t="shared" si="148"/>
        <v>0</v>
      </c>
      <c r="L2912" s="4" t="str">
        <f>IFERROR(VLOOKUP(ROWS($L$2:L2912),$B$2:$C$1996,2,0),"")</f>
        <v/>
      </c>
      <c r="N2912" s="2" t="str">
        <f>IFERROR(VLOOKUP(ROWS($N$2:N2912),$D$2:$E$1996,2,0),"")</f>
        <v/>
      </c>
    </row>
    <row r="2913" spans="2:14">
      <c r="B2913" s="32">
        <f>IF(ISNUMBER(SEARCH('Φόρμα Εισαγωγής'!$B$2,C2913)),MAX($B$1:B2912)+1,0)</f>
        <v>0</v>
      </c>
      <c r="D2913" s="33">
        <f>IF(ISNUMBER(SEARCH('Φόρμα Εισαγωγής'!$C$2,E2913)),MAX($D$1:D2912)+1,0)</f>
        <v>0</v>
      </c>
      <c r="H2913" s="6">
        <f t="shared" si="146"/>
        <v>0</v>
      </c>
      <c r="I2913" s="6">
        <f t="shared" si="147"/>
        <v>0</v>
      </c>
      <c r="J2913" s="6">
        <f t="shared" si="148"/>
        <v>0</v>
      </c>
      <c r="L2913" s="4" t="str">
        <f>IFERROR(VLOOKUP(ROWS($L$2:L2913),$B$2:$C$1996,2,0),"")</f>
        <v/>
      </c>
      <c r="N2913" s="2" t="str">
        <f>IFERROR(VLOOKUP(ROWS($N$2:N2913),$D$2:$E$1996,2,0),"")</f>
        <v/>
      </c>
    </row>
    <row r="2914" spans="2:14">
      <c r="B2914" s="32">
        <f>IF(ISNUMBER(SEARCH('Φόρμα Εισαγωγής'!$B$2,C2914)),MAX($B$1:B2913)+1,0)</f>
        <v>0</v>
      </c>
      <c r="D2914" s="33">
        <f>IF(ISNUMBER(SEARCH('Φόρμα Εισαγωγής'!$C$2,E2914)),MAX($D$1:D2913)+1,0)</f>
        <v>0</v>
      </c>
      <c r="H2914" s="6">
        <f t="shared" si="146"/>
        <v>0</v>
      </c>
      <c r="I2914" s="6">
        <f t="shared" si="147"/>
        <v>0</v>
      </c>
      <c r="J2914" s="6">
        <f t="shared" si="148"/>
        <v>0</v>
      </c>
      <c r="L2914" s="4" t="str">
        <f>IFERROR(VLOOKUP(ROWS($L$2:L2914),$B$2:$C$1996,2,0),"")</f>
        <v/>
      </c>
      <c r="N2914" s="2" t="str">
        <f>IFERROR(VLOOKUP(ROWS($N$2:N2914),$D$2:$E$1996,2,0),"")</f>
        <v/>
      </c>
    </row>
    <row r="2915" spans="2:14">
      <c r="B2915" s="32">
        <f>IF(ISNUMBER(SEARCH('Φόρμα Εισαγωγής'!$B$2,C2915)),MAX($B$1:B2914)+1,0)</f>
        <v>0</v>
      </c>
      <c r="D2915" s="33">
        <f>IF(ISNUMBER(SEARCH('Φόρμα Εισαγωγής'!$C$2,E2915)),MAX($D$1:D2914)+1,0)</f>
        <v>0</v>
      </c>
      <c r="H2915" s="6">
        <f t="shared" si="146"/>
        <v>0</v>
      </c>
      <c r="I2915" s="6">
        <f t="shared" si="147"/>
        <v>0</v>
      </c>
      <c r="J2915" s="6">
        <f t="shared" si="148"/>
        <v>0</v>
      </c>
      <c r="L2915" s="4" t="str">
        <f>IFERROR(VLOOKUP(ROWS($L$2:L2915),$B$2:$C$1996,2,0),"")</f>
        <v/>
      </c>
      <c r="N2915" s="2" t="str">
        <f>IFERROR(VLOOKUP(ROWS($N$2:N2915),$D$2:$E$1996,2,0),"")</f>
        <v/>
      </c>
    </row>
    <row r="2916" spans="2:14">
      <c r="B2916" s="32">
        <f>IF(ISNUMBER(SEARCH('Φόρμα Εισαγωγής'!$B$2,C2916)),MAX($B$1:B2915)+1,0)</f>
        <v>0</v>
      </c>
      <c r="D2916" s="33">
        <f>IF(ISNUMBER(SEARCH('Φόρμα Εισαγωγής'!$C$2,E2916)),MAX($D$1:D2915)+1,0)</f>
        <v>0</v>
      </c>
      <c r="H2916" s="6">
        <f t="shared" si="146"/>
        <v>0</v>
      </c>
      <c r="I2916" s="6">
        <f t="shared" si="147"/>
        <v>0</v>
      </c>
      <c r="J2916" s="6">
        <f t="shared" si="148"/>
        <v>0</v>
      </c>
      <c r="L2916" s="4" t="str">
        <f>IFERROR(VLOOKUP(ROWS($L$2:L2916),$B$2:$C$1996,2,0),"")</f>
        <v/>
      </c>
      <c r="N2916" s="2" t="str">
        <f>IFERROR(VLOOKUP(ROWS($N$2:N2916),$D$2:$E$1996,2,0),"")</f>
        <v/>
      </c>
    </row>
    <row r="2917" spans="2:14">
      <c r="B2917" s="32">
        <f>IF(ISNUMBER(SEARCH('Φόρμα Εισαγωγής'!$B$2,C2917)),MAX($B$1:B2916)+1,0)</f>
        <v>0</v>
      </c>
      <c r="D2917" s="33">
        <f>IF(ISNUMBER(SEARCH('Φόρμα Εισαγωγής'!$C$2,E2917)),MAX($D$1:D2916)+1,0)</f>
        <v>0</v>
      </c>
      <c r="H2917" s="6">
        <f t="shared" si="146"/>
        <v>0</v>
      </c>
      <c r="I2917" s="6">
        <f t="shared" si="147"/>
        <v>0</v>
      </c>
      <c r="J2917" s="6">
        <f t="shared" si="148"/>
        <v>0</v>
      </c>
      <c r="L2917" s="4" t="str">
        <f>IFERROR(VLOOKUP(ROWS($L$2:L2917),$B$2:$C$1996,2,0),"")</f>
        <v/>
      </c>
      <c r="N2917" s="2" t="str">
        <f>IFERROR(VLOOKUP(ROWS($N$2:N2917),$D$2:$E$1996,2,0),"")</f>
        <v/>
      </c>
    </row>
    <row r="2918" spans="2:14">
      <c r="B2918" s="32">
        <f>IF(ISNUMBER(SEARCH('Φόρμα Εισαγωγής'!$B$2,C2918)),MAX($B$1:B2917)+1,0)</f>
        <v>0</v>
      </c>
      <c r="D2918" s="33">
        <f>IF(ISNUMBER(SEARCH('Φόρμα Εισαγωγής'!$C$2,E2918)),MAX($D$1:D2917)+1,0)</f>
        <v>0</v>
      </c>
      <c r="H2918" s="6">
        <f t="shared" si="146"/>
        <v>0</v>
      </c>
      <c r="I2918" s="6">
        <f t="shared" si="147"/>
        <v>0</v>
      </c>
      <c r="J2918" s="6">
        <f t="shared" si="148"/>
        <v>0</v>
      </c>
      <c r="L2918" s="4" t="str">
        <f>IFERROR(VLOOKUP(ROWS($L$2:L2918),$B$2:$C$1996,2,0),"")</f>
        <v/>
      </c>
      <c r="N2918" s="2" t="str">
        <f>IFERROR(VLOOKUP(ROWS($N$2:N2918),$D$2:$E$1996,2,0),"")</f>
        <v/>
      </c>
    </row>
    <row r="2919" spans="2:14">
      <c r="B2919" s="32">
        <f>IF(ISNUMBER(SEARCH('Φόρμα Εισαγωγής'!$B$2,C2919)),MAX($B$1:B2918)+1,0)</f>
        <v>0</v>
      </c>
      <c r="D2919" s="33">
        <f>IF(ISNUMBER(SEARCH('Φόρμα Εισαγωγής'!$C$2,E2919)),MAX($D$1:D2918)+1,0)</f>
        <v>0</v>
      </c>
      <c r="H2919" s="6">
        <f t="shared" si="146"/>
        <v>0</v>
      </c>
      <c r="I2919" s="6">
        <f t="shared" si="147"/>
        <v>0</v>
      </c>
      <c r="J2919" s="6">
        <f t="shared" si="148"/>
        <v>0</v>
      </c>
      <c r="L2919" s="4" t="str">
        <f>IFERROR(VLOOKUP(ROWS($L$2:L2919),$B$2:$C$1996,2,0),"")</f>
        <v/>
      </c>
      <c r="N2919" s="2" t="str">
        <f>IFERROR(VLOOKUP(ROWS($N$2:N2919),$D$2:$E$1996,2,0),"")</f>
        <v/>
      </c>
    </row>
    <row r="2920" spans="2:14">
      <c r="B2920" s="32">
        <f>IF(ISNUMBER(SEARCH('Φόρμα Εισαγωγής'!$B$2,C2920)),MAX($B$1:B2919)+1,0)</f>
        <v>0</v>
      </c>
      <c r="D2920" s="33">
        <f>IF(ISNUMBER(SEARCH('Φόρμα Εισαγωγής'!$C$2,E2920)),MAX($D$1:D2919)+1,0)</f>
        <v>0</v>
      </c>
      <c r="H2920" s="6">
        <f t="shared" si="146"/>
        <v>0</v>
      </c>
      <c r="I2920" s="6">
        <f t="shared" si="147"/>
        <v>0</v>
      </c>
      <c r="J2920" s="6">
        <f t="shared" si="148"/>
        <v>0</v>
      </c>
      <c r="L2920" s="4" t="str">
        <f>IFERROR(VLOOKUP(ROWS($L$2:L2920),$B$2:$C$1996,2,0),"")</f>
        <v/>
      </c>
      <c r="N2920" s="2" t="str">
        <f>IFERROR(VLOOKUP(ROWS($N$2:N2920),$D$2:$E$1996,2,0),"")</f>
        <v/>
      </c>
    </row>
    <row r="2921" spans="2:14">
      <c r="B2921" s="32">
        <f>IF(ISNUMBER(SEARCH('Φόρμα Εισαγωγής'!$B$2,C2921)),MAX($B$1:B2920)+1,0)</f>
        <v>0</v>
      </c>
      <c r="D2921" s="33">
        <f>IF(ISNUMBER(SEARCH('Φόρμα Εισαγωγής'!$C$2,E2921)),MAX($D$1:D2920)+1,0)</f>
        <v>0</v>
      </c>
      <c r="H2921" s="6">
        <f t="shared" si="146"/>
        <v>0</v>
      </c>
      <c r="I2921" s="6">
        <f t="shared" si="147"/>
        <v>0</v>
      </c>
      <c r="J2921" s="6">
        <f t="shared" si="148"/>
        <v>0</v>
      </c>
      <c r="L2921" s="4" t="str">
        <f>IFERROR(VLOOKUP(ROWS($L$2:L2921),$B$2:$C$1996,2,0),"")</f>
        <v/>
      </c>
      <c r="N2921" s="2" t="str">
        <f>IFERROR(VLOOKUP(ROWS($N$2:N2921),$D$2:$E$1996,2,0),"")</f>
        <v/>
      </c>
    </row>
    <row r="2922" spans="2:14">
      <c r="B2922" s="32">
        <f>IF(ISNUMBER(SEARCH('Φόρμα Εισαγωγής'!$B$2,C2922)),MAX($B$1:B2921)+1,0)</f>
        <v>0</v>
      </c>
      <c r="D2922" s="33">
        <f>IF(ISNUMBER(SEARCH('Φόρμα Εισαγωγής'!$C$2,E2922)),MAX($D$1:D2921)+1,0)</f>
        <v>0</v>
      </c>
      <c r="H2922" s="6">
        <f t="shared" si="146"/>
        <v>0</v>
      </c>
      <c r="I2922" s="6">
        <f t="shared" si="147"/>
        <v>0</v>
      </c>
      <c r="J2922" s="6">
        <f t="shared" si="148"/>
        <v>0</v>
      </c>
      <c r="L2922" s="4" t="str">
        <f>IFERROR(VLOOKUP(ROWS($L$2:L2922),$B$2:$C$1996,2,0),"")</f>
        <v/>
      </c>
      <c r="N2922" s="2" t="str">
        <f>IFERROR(VLOOKUP(ROWS($N$2:N2922),$D$2:$E$1996,2,0),"")</f>
        <v/>
      </c>
    </row>
    <row r="2923" spans="2:14">
      <c r="B2923" s="32">
        <f>IF(ISNUMBER(SEARCH('Φόρμα Εισαγωγής'!$B$2,C2923)),MAX($B$1:B2922)+1,0)</f>
        <v>0</v>
      </c>
      <c r="D2923" s="33">
        <f>IF(ISNUMBER(SEARCH('Φόρμα Εισαγωγής'!$C$2,E2923)),MAX($D$1:D2922)+1,0)</f>
        <v>0</v>
      </c>
      <c r="H2923" s="6">
        <f t="shared" si="146"/>
        <v>0</v>
      </c>
      <c r="I2923" s="6">
        <f t="shared" si="147"/>
        <v>0</v>
      </c>
      <c r="J2923" s="6">
        <f t="shared" si="148"/>
        <v>0</v>
      </c>
      <c r="L2923" s="4" t="str">
        <f>IFERROR(VLOOKUP(ROWS($L$2:L2923),$B$2:$C$1996,2,0),"")</f>
        <v/>
      </c>
      <c r="N2923" s="2" t="str">
        <f>IFERROR(VLOOKUP(ROWS($N$2:N2923),$D$2:$E$1996,2,0),"")</f>
        <v/>
      </c>
    </row>
    <row r="2924" spans="2:14">
      <c r="B2924" s="32">
        <f>IF(ISNUMBER(SEARCH('Φόρμα Εισαγωγής'!$B$2,C2924)),MAX($B$1:B2923)+1,0)</f>
        <v>0</v>
      </c>
      <c r="D2924" s="33">
        <f>IF(ISNUMBER(SEARCH('Φόρμα Εισαγωγής'!$C$2,E2924)),MAX($D$1:D2923)+1,0)</f>
        <v>0</v>
      </c>
      <c r="H2924" s="6">
        <f t="shared" si="146"/>
        <v>0</v>
      </c>
      <c r="I2924" s="6">
        <f t="shared" si="147"/>
        <v>0</v>
      </c>
      <c r="J2924" s="6">
        <f t="shared" si="148"/>
        <v>0</v>
      </c>
      <c r="L2924" s="4" t="str">
        <f>IFERROR(VLOOKUP(ROWS($L$2:L2924),$B$2:$C$1996,2,0),"")</f>
        <v/>
      </c>
      <c r="N2924" s="2" t="str">
        <f>IFERROR(VLOOKUP(ROWS($N$2:N2924),$D$2:$E$1996,2,0),"")</f>
        <v/>
      </c>
    </row>
    <row r="2925" spans="2:14">
      <c r="B2925" s="32">
        <f>IF(ISNUMBER(SEARCH('Φόρμα Εισαγωγής'!$B$2,C2925)),MAX($B$1:B2924)+1,0)</f>
        <v>0</v>
      </c>
      <c r="D2925" s="33">
        <f>IF(ISNUMBER(SEARCH('Φόρμα Εισαγωγής'!$C$2,E2925)),MAX($D$1:D2924)+1,0)</f>
        <v>0</v>
      </c>
      <c r="H2925" s="6">
        <f t="shared" si="146"/>
        <v>0</v>
      </c>
      <c r="I2925" s="6">
        <f t="shared" si="147"/>
        <v>0</v>
      </c>
      <c r="J2925" s="6">
        <f t="shared" si="148"/>
        <v>0</v>
      </c>
      <c r="L2925" s="4" t="str">
        <f>IFERROR(VLOOKUP(ROWS($L$2:L2925),$B$2:$C$1996,2,0),"")</f>
        <v/>
      </c>
      <c r="N2925" s="2" t="str">
        <f>IFERROR(VLOOKUP(ROWS($N$2:N2925),$D$2:$E$1996,2,0),"")</f>
        <v/>
      </c>
    </row>
    <row r="2926" spans="2:14">
      <c r="B2926" s="32">
        <f>IF(ISNUMBER(SEARCH('Φόρμα Εισαγωγής'!$B$2,C2926)),MAX($B$1:B2925)+1,0)</f>
        <v>0</v>
      </c>
      <c r="D2926" s="33">
        <f>IF(ISNUMBER(SEARCH('Φόρμα Εισαγωγής'!$C$2,E2926)),MAX($D$1:D2925)+1,0)</f>
        <v>0</v>
      </c>
      <c r="H2926" s="6">
        <f t="shared" si="146"/>
        <v>0</v>
      </c>
      <c r="I2926" s="6">
        <f t="shared" si="147"/>
        <v>0</v>
      </c>
      <c r="J2926" s="6">
        <f t="shared" si="148"/>
        <v>0</v>
      </c>
      <c r="L2926" s="4" t="str">
        <f>IFERROR(VLOOKUP(ROWS($L$2:L2926),$B$2:$C$1996,2,0),"")</f>
        <v/>
      </c>
      <c r="N2926" s="2" t="str">
        <f>IFERROR(VLOOKUP(ROWS($N$2:N2926),$D$2:$E$1996,2,0),"")</f>
        <v/>
      </c>
    </row>
    <row r="2927" spans="2:14">
      <c r="B2927" s="32">
        <f>IF(ISNUMBER(SEARCH('Φόρμα Εισαγωγής'!$B$2,C2927)),MAX($B$1:B2926)+1,0)</f>
        <v>0</v>
      </c>
      <c r="D2927" s="33">
        <f>IF(ISNUMBER(SEARCH('Φόρμα Εισαγωγής'!$C$2,E2927)),MAX($D$1:D2926)+1,0)</f>
        <v>0</v>
      </c>
      <c r="H2927" s="6">
        <f t="shared" si="146"/>
        <v>0</v>
      </c>
      <c r="I2927" s="6">
        <f t="shared" si="147"/>
        <v>0</v>
      </c>
      <c r="J2927" s="6">
        <f t="shared" si="148"/>
        <v>0</v>
      </c>
      <c r="L2927" s="4" t="str">
        <f>IFERROR(VLOOKUP(ROWS($L$2:L2927),$B$2:$C$1996,2,0),"")</f>
        <v/>
      </c>
      <c r="N2927" s="2" t="str">
        <f>IFERROR(VLOOKUP(ROWS($N$2:N2927),$D$2:$E$1996,2,0),"")</f>
        <v/>
      </c>
    </row>
    <row r="2928" spans="2:14">
      <c r="B2928" s="32">
        <f>IF(ISNUMBER(SEARCH('Φόρμα Εισαγωγής'!$B$2,C2928)),MAX($B$1:B2927)+1,0)</f>
        <v>0</v>
      </c>
      <c r="D2928" s="33">
        <f>IF(ISNUMBER(SEARCH('Φόρμα Εισαγωγής'!$C$2,E2928)),MAX($D$1:D2927)+1,0)</f>
        <v>0</v>
      </c>
      <c r="H2928" s="6">
        <f t="shared" si="146"/>
        <v>0</v>
      </c>
      <c r="I2928" s="6">
        <f t="shared" si="147"/>
        <v>0</v>
      </c>
      <c r="J2928" s="6">
        <f t="shared" si="148"/>
        <v>0</v>
      </c>
      <c r="L2928" s="4" t="str">
        <f>IFERROR(VLOOKUP(ROWS($L$2:L2928),$B$2:$C$1996,2,0),"")</f>
        <v/>
      </c>
      <c r="N2928" s="2" t="str">
        <f>IFERROR(VLOOKUP(ROWS($N$2:N2928),$D$2:$E$1996,2,0),"")</f>
        <v/>
      </c>
    </row>
    <row r="2929" spans="2:14">
      <c r="B2929" s="32">
        <f>IF(ISNUMBER(SEARCH('Φόρμα Εισαγωγής'!$B$2,C2929)),MAX($B$1:B2928)+1,0)</f>
        <v>0</v>
      </c>
      <c r="D2929" s="33">
        <f>IF(ISNUMBER(SEARCH('Φόρμα Εισαγωγής'!$C$2,E2929)),MAX($D$1:D2928)+1,0)</f>
        <v>0</v>
      </c>
      <c r="H2929" s="6">
        <f t="shared" si="146"/>
        <v>0</v>
      </c>
      <c r="I2929" s="6">
        <f t="shared" si="147"/>
        <v>0</v>
      </c>
      <c r="J2929" s="6">
        <f t="shared" si="148"/>
        <v>0</v>
      </c>
      <c r="L2929" s="4" t="str">
        <f>IFERROR(VLOOKUP(ROWS($L$2:L2929),$B$2:$C$1996,2,0),"")</f>
        <v/>
      </c>
      <c r="N2929" s="2" t="str">
        <f>IFERROR(VLOOKUP(ROWS($N$2:N2929),$D$2:$E$1996,2,0),"")</f>
        <v/>
      </c>
    </row>
    <row r="2930" spans="2:14">
      <c r="B2930" s="32">
        <f>IF(ISNUMBER(SEARCH('Φόρμα Εισαγωγής'!$B$2,C2930)),MAX($B$1:B2929)+1,0)</f>
        <v>0</v>
      </c>
      <c r="D2930" s="33">
        <f>IF(ISNUMBER(SEARCH('Φόρμα Εισαγωγής'!$C$2,E2930)),MAX($D$1:D2929)+1,0)</f>
        <v>0</v>
      </c>
      <c r="H2930" s="6">
        <f t="shared" si="146"/>
        <v>0</v>
      </c>
      <c r="I2930" s="6">
        <f t="shared" si="147"/>
        <v>0</v>
      </c>
      <c r="J2930" s="6">
        <f t="shared" si="148"/>
        <v>0</v>
      </c>
      <c r="L2930" s="4" t="str">
        <f>IFERROR(VLOOKUP(ROWS($L$2:L2930),$B$2:$C$1996,2,0),"")</f>
        <v/>
      </c>
      <c r="N2930" s="2" t="str">
        <f>IFERROR(VLOOKUP(ROWS($N$2:N2930),$D$2:$E$1996,2,0),"")</f>
        <v/>
      </c>
    </row>
    <row r="2931" spans="2:14">
      <c r="B2931" s="32">
        <f>IF(ISNUMBER(SEARCH('Φόρμα Εισαγωγής'!$B$2,C2931)),MAX($B$1:B2930)+1,0)</f>
        <v>0</v>
      </c>
      <c r="D2931" s="33">
        <f>IF(ISNUMBER(SEARCH('Φόρμα Εισαγωγής'!$C$2,E2931)),MAX($D$1:D2930)+1,0)</f>
        <v>0</v>
      </c>
      <c r="H2931" s="6">
        <f t="shared" si="146"/>
        <v>0</v>
      </c>
      <c r="I2931" s="6">
        <f t="shared" si="147"/>
        <v>0</v>
      </c>
      <c r="J2931" s="6">
        <f t="shared" si="148"/>
        <v>0</v>
      </c>
      <c r="L2931" s="4" t="str">
        <f>IFERROR(VLOOKUP(ROWS($L$2:L2931),$B$2:$C$1996,2,0),"")</f>
        <v/>
      </c>
      <c r="N2931" s="2" t="str">
        <f>IFERROR(VLOOKUP(ROWS($N$2:N2931),$D$2:$E$1996,2,0),"")</f>
        <v/>
      </c>
    </row>
    <row r="2932" spans="2:14">
      <c r="B2932" s="32">
        <f>IF(ISNUMBER(SEARCH('Φόρμα Εισαγωγής'!$B$2,C2932)),MAX($B$1:B2931)+1,0)</f>
        <v>0</v>
      </c>
      <c r="D2932" s="33">
        <f>IF(ISNUMBER(SEARCH('Φόρμα Εισαγωγής'!$C$2,E2932)),MAX($D$1:D2931)+1,0)</f>
        <v>0</v>
      </c>
      <c r="H2932" s="6">
        <f t="shared" si="146"/>
        <v>0</v>
      </c>
      <c r="I2932" s="6">
        <f t="shared" si="147"/>
        <v>0</v>
      </c>
      <c r="J2932" s="6">
        <f t="shared" si="148"/>
        <v>0</v>
      </c>
      <c r="L2932" s="4" t="str">
        <f>IFERROR(VLOOKUP(ROWS($L$2:L2932),$B$2:$C$1996,2,0),"")</f>
        <v/>
      </c>
      <c r="N2932" s="2" t="str">
        <f>IFERROR(VLOOKUP(ROWS($N$2:N2932),$D$2:$E$1996,2,0),"")</f>
        <v/>
      </c>
    </row>
    <row r="2933" spans="2:14">
      <c r="B2933" s="32">
        <f>IF(ISNUMBER(SEARCH('Φόρμα Εισαγωγής'!$B$2,C2933)),MAX($B$1:B2932)+1,0)</f>
        <v>0</v>
      </c>
      <c r="D2933" s="33">
        <f>IF(ISNUMBER(SEARCH('Φόρμα Εισαγωγής'!$C$2,E2933)),MAX($D$1:D2932)+1,0)</f>
        <v>0</v>
      </c>
      <c r="H2933" s="6">
        <f t="shared" si="146"/>
        <v>0</v>
      </c>
      <c r="I2933" s="6">
        <f t="shared" si="147"/>
        <v>0</v>
      </c>
      <c r="J2933" s="6">
        <f t="shared" si="148"/>
        <v>0</v>
      </c>
      <c r="L2933" s="4" t="str">
        <f>IFERROR(VLOOKUP(ROWS($L$2:L2933),$B$2:$C$1996,2,0),"")</f>
        <v/>
      </c>
      <c r="N2933" s="2" t="str">
        <f>IFERROR(VLOOKUP(ROWS($N$2:N2933),$D$2:$E$1996,2,0),"")</f>
        <v/>
      </c>
    </row>
    <row r="2934" spans="2:14">
      <c r="B2934" s="32">
        <f>IF(ISNUMBER(SEARCH('Φόρμα Εισαγωγής'!$B$2,C2934)),MAX($B$1:B2933)+1,0)</f>
        <v>0</v>
      </c>
      <c r="D2934" s="33">
        <f>IF(ISNUMBER(SEARCH('Φόρμα Εισαγωγής'!$C$2,E2934)),MAX($D$1:D2933)+1,0)</f>
        <v>0</v>
      </c>
      <c r="H2934" s="6">
        <f t="shared" si="146"/>
        <v>0</v>
      </c>
      <c r="I2934" s="6">
        <f t="shared" si="147"/>
        <v>0</v>
      </c>
      <c r="J2934" s="6">
        <f t="shared" si="148"/>
        <v>0</v>
      </c>
      <c r="L2934" s="4" t="str">
        <f>IFERROR(VLOOKUP(ROWS($L$2:L2934),$B$2:$C$1996,2,0),"")</f>
        <v/>
      </c>
      <c r="N2934" s="2" t="str">
        <f>IFERROR(VLOOKUP(ROWS($N$2:N2934),$D$2:$E$1996,2,0),"")</f>
        <v/>
      </c>
    </row>
    <row r="2935" spans="2:14">
      <c r="B2935" s="32">
        <f>IF(ISNUMBER(SEARCH('Φόρμα Εισαγωγής'!$B$2,C2935)),MAX($B$1:B2934)+1,0)</f>
        <v>0</v>
      </c>
      <c r="D2935" s="33">
        <f>IF(ISNUMBER(SEARCH('Φόρμα Εισαγωγής'!$C$2,E2935)),MAX($D$1:D2934)+1,0)</f>
        <v>0</v>
      </c>
      <c r="H2935" s="6">
        <f t="shared" si="146"/>
        <v>0</v>
      </c>
      <c r="I2935" s="6">
        <f t="shared" si="147"/>
        <v>0</v>
      </c>
      <c r="J2935" s="6">
        <f t="shared" si="148"/>
        <v>0</v>
      </c>
      <c r="L2935" s="4" t="str">
        <f>IFERROR(VLOOKUP(ROWS($L$2:L2935),$B$2:$C$1996,2,0),"")</f>
        <v/>
      </c>
      <c r="N2935" s="2" t="str">
        <f>IFERROR(VLOOKUP(ROWS($N$2:N2935),$D$2:$E$1996,2,0),"")</f>
        <v/>
      </c>
    </row>
    <row r="2936" spans="2:14">
      <c r="B2936" s="32">
        <f>IF(ISNUMBER(SEARCH('Φόρμα Εισαγωγής'!$B$2,C2936)),MAX($B$1:B2935)+1,0)</f>
        <v>0</v>
      </c>
      <c r="D2936" s="33">
        <f>IF(ISNUMBER(SEARCH('Φόρμα Εισαγωγής'!$C$2,E2936)),MAX($D$1:D2935)+1,0)</f>
        <v>0</v>
      </c>
      <c r="H2936" s="6">
        <f t="shared" si="146"/>
        <v>0</v>
      </c>
      <c r="I2936" s="6">
        <f t="shared" si="147"/>
        <v>0</v>
      </c>
      <c r="J2936" s="6">
        <f t="shared" si="148"/>
        <v>0</v>
      </c>
      <c r="L2936" s="4" t="str">
        <f>IFERROR(VLOOKUP(ROWS($L$2:L2936),$B$2:$C$1996,2,0),"")</f>
        <v/>
      </c>
      <c r="N2936" s="2" t="str">
        <f>IFERROR(VLOOKUP(ROWS($N$2:N2936),$D$2:$E$1996,2,0),"")</f>
        <v/>
      </c>
    </row>
    <row r="2937" spans="2:14">
      <c r="B2937" s="32">
        <f>IF(ISNUMBER(SEARCH('Φόρμα Εισαγωγής'!$B$2,C2937)),MAX($B$1:B2936)+1,0)</f>
        <v>0</v>
      </c>
      <c r="D2937" s="33">
        <f>IF(ISNUMBER(SEARCH('Φόρμα Εισαγωγής'!$C$2,E2937)),MAX($D$1:D2936)+1,0)</f>
        <v>0</v>
      </c>
      <c r="H2937" s="6">
        <f t="shared" si="146"/>
        <v>0</v>
      </c>
      <c r="I2937" s="6">
        <f t="shared" si="147"/>
        <v>0</v>
      </c>
      <c r="J2937" s="6">
        <f t="shared" si="148"/>
        <v>0</v>
      </c>
      <c r="L2937" s="4" t="str">
        <f>IFERROR(VLOOKUP(ROWS($L$2:L2937),$B$2:$C$1996,2,0),"")</f>
        <v/>
      </c>
      <c r="N2937" s="2" t="str">
        <f>IFERROR(VLOOKUP(ROWS($N$2:N2937),$D$2:$E$1996,2,0),"")</f>
        <v/>
      </c>
    </row>
    <row r="2938" spans="2:14">
      <c r="B2938" s="32">
        <f>IF(ISNUMBER(SEARCH('Φόρμα Εισαγωγής'!$B$2,C2938)),MAX($B$1:B2937)+1,0)</f>
        <v>0</v>
      </c>
      <c r="D2938" s="33">
        <f>IF(ISNUMBER(SEARCH('Φόρμα Εισαγωγής'!$C$2,E2938)),MAX($D$1:D2937)+1,0)</f>
        <v>0</v>
      </c>
      <c r="H2938" s="6">
        <f t="shared" si="146"/>
        <v>0</v>
      </c>
      <c r="I2938" s="6">
        <f t="shared" si="147"/>
        <v>0</v>
      </c>
      <c r="J2938" s="6">
        <f t="shared" si="148"/>
        <v>0</v>
      </c>
      <c r="L2938" s="4" t="str">
        <f>IFERROR(VLOOKUP(ROWS($L$2:L2938),$B$2:$C$1996,2,0),"")</f>
        <v/>
      </c>
      <c r="N2938" s="2" t="str">
        <f>IFERROR(VLOOKUP(ROWS($N$2:N2938),$D$2:$E$1996,2,0),"")</f>
        <v/>
      </c>
    </row>
    <row r="2939" spans="2:14">
      <c r="B2939" s="32">
        <f>IF(ISNUMBER(SEARCH('Φόρμα Εισαγωγής'!$B$2,C2939)),MAX($B$1:B2938)+1,0)</f>
        <v>0</v>
      </c>
      <c r="D2939" s="33">
        <f>IF(ISNUMBER(SEARCH('Φόρμα Εισαγωγής'!$C$2,E2939)),MAX($D$1:D2938)+1,0)</f>
        <v>0</v>
      </c>
      <c r="H2939" s="6">
        <f t="shared" si="146"/>
        <v>0</v>
      </c>
      <c r="I2939" s="6">
        <f t="shared" si="147"/>
        <v>0</v>
      </c>
      <c r="J2939" s="6">
        <f t="shared" si="148"/>
        <v>0</v>
      </c>
      <c r="L2939" s="4" t="str">
        <f>IFERROR(VLOOKUP(ROWS($L$2:L2939),$B$2:$C$1996,2,0),"")</f>
        <v/>
      </c>
      <c r="N2939" s="2" t="str">
        <f>IFERROR(VLOOKUP(ROWS($N$2:N2939),$D$2:$E$1996,2,0),"")</f>
        <v/>
      </c>
    </row>
    <row r="2940" spans="2:14">
      <c r="B2940" s="32">
        <f>IF(ISNUMBER(SEARCH('Φόρμα Εισαγωγής'!$B$2,C2940)),MAX($B$1:B2939)+1,0)</f>
        <v>0</v>
      </c>
      <c r="D2940" s="33">
        <f>IF(ISNUMBER(SEARCH('Φόρμα Εισαγωγής'!$C$2,E2940)),MAX($D$1:D2939)+1,0)</f>
        <v>0</v>
      </c>
      <c r="H2940" s="6">
        <f t="shared" si="146"/>
        <v>0</v>
      </c>
      <c r="I2940" s="6">
        <f t="shared" si="147"/>
        <v>0</v>
      </c>
      <c r="J2940" s="6">
        <f t="shared" si="148"/>
        <v>0</v>
      </c>
      <c r="L2940" s="4" t="str">
        <f>IFERROR(VLOOKUP(ROWS($L$2:L2940),$B$2:$C$1996,2,0),"")</f>
        <v/>
      </c>
      <c r="N2940" s="2" t="str">
        <f>IFERROR(VLOOKUP(ROWS($N$2:N2940),$D$2:$E$1996,2,0),"")</f>
        <v/>
      </c>
    </row>
    <row r="2941" spans="2:14">
      <c r="B2941" s="32">
        <f>IF(ISNUMBER(SEARCH('Φόρμα Εισαγωγής'!$B$2,C2941)),MAX($B$1:B2940)+1,0)</f>
        <v>0</v>
      </c>
      <c r="D2941" s="33">
        <f>IF(ISNUMBER(SEARCH('Φόρμα Εισαγωγής'!$C$2,E2941)),MAX($D$1:D2940)+1,0)</f>
        <v>0</v>
      </c>
      <c r="H2941" s="6">
        <f t="shared" si="146"/>
        <v>0</v>
      </c>
      <c r="I2941" s="6">
        <f t="shared" si="147"/>
        <v>0</v>
      </c>
      <c r="J2941" s="6">
        <f t="shared" si="148"/>
        <v>0</v>
      </c>
      <c r="L2941" s="4" t="str">
        <f>IFERROR(VLOOKUP(ROWS($L$2:L2941),$B$2:$C$1996,2,0),"")</f>
        <v/>
      </c>
      <c r="N2941" s="2" t="str">
        <f>IFERROR(VLOOKUP(ROWS($N$2:N2941),$D$2:$E$1996,2,0),"")</f>
        <v/>
      </c>
    </row>
    <row r="2942" spans="2:14">
      <c r="B2942" s="32">
        <f>IF(ISNUMBER(SEARCH('Φόρμα Εισαγωγής'!$B$2,C2942)),MAX($B$1:B2941)+1,0)</f>
        <v>0</v>
      </c>
      <c r="D2942" s="33">
        <f>IF(ISNUMBER(SEARCH('Φόρμα Εισαγωγής'!$C$2,E2942)),MAX($D$1:D2941)+1,0)</f>
        <v>0</v>
      </c>
      <c r="H2942" s="6">
        <f t="shared" si="146"/>
        <v>0</v>
      </c>
      <c r="I2942" s="6">
        <f t="shared" si="147"/>
        <v>0</v>
      </c>
      <c r="J2942" s="6">
        <f t="shared" si="148"/>
        <v>0</v>
      </c>
      <c r="L2942" s="4" t="str">
        <f>IFERROR(VLOOKUP(ROWS($L$2:L2942),$B$2:$C$1996,2,0),"")</f>
        <v/>
      </c>
      <c r="N2942" s="2" t="str">
        <f>IFERROR(VLOOKUP(ROWS($N$2:N2942),$D$2:$E$1996,2,0),"")</f>
        <v/>
      </c>
    </row>
    <row r="2943" spans="2:14">
      <c r="B2943" s="32">
        <f>IF(ISNUMBER(SEARCH('Φόρμα Εισαγωγής'!$B$2,C2943)),MAX($B$1:B2942)+1,0)</f>
        <v>0</v>
      </c>
      <c r="D2943" s="33">
        <f>IF(ISNUMBER(SEARCH('Φόρμα Εισαγωγής'!$C$2,E2943)),MAX($D$1:D2942)+1,0)</f>
        <v>0</v>
      </c>
      <c r="H2943" s="6">
        <f t="shared" si="146"/>
        <v>0</v>
      </c>
      <c r="I2943" s="6">
        <f t="shared" si="147"/>
        <v>0</v>
      </c>
      <c r="J2943" s="6">
        <f t="shared" si="148"/>
        <v>0</v>
      </c>
      <c r="L2943" s="4" t="str">
        <f>IFERROR(VLOOKUP(ROWS($L$2:L2943),$B$2:$C$1996,2,0),"")</f>
        <v/>
      </c>
      <c r="N2943" s="2" t="str">
        <f>IFERROR(VLOOKUP(ROWS($N$2:N2943),$D$2:$E$1996,2,0),"")</f>
        <v/>
      </c>
    </row>
    <row r="2944" spans="2:14">
      <c r="B2944" s="32">
        <f>IF(ISNUMBER(SEARCH('Φόρμα Εισαγωγής'!$B$2,C2944)),MAX($B$1:B2943)+1,0)</f>
        <v>0</v>
      </c>
      <c r="D2944" s="33">
        <f>IF(ISNUMBER(SEARCH('Φόρμα Εισαγωγής'!$C$2,E2944)),MAX($D$1:D2943)+1,0)</f>
        <v>0</v>
      </c>
      <c r="H2944" s="6">
        <f t="shared" ref="H2944:H3007" si="149">G2944+(G2944*0.24)</f>
        <v>0</v>
      </c>
      <c r="I2944" s="6">
        <f t="shared" ref="I2944:I3007" si="150">F2944*A2944</f>
        <v>0</v>
      </c>
      <c r="J2944" s="6">
        <f t="shared" ref="J2944:J3007" si="151">H2944*A2944</f>
        <v>0</v>
      </c>
      <c r="L2944" s="4" t="str">
        <f>IFERROR(VLOOKUP(ROWS($L$2:L2944),$B$2:$C$1996,2,0),"")</f>
        <v/>
      </c>
      <c r="N2944" s="2" t="str">
        <f>IFERROR(VLOOKUP(ROWS($N$2:N2944),$D$2:$E$1996,2,0),"")</f>
        <v/>
      </c>
    </row>
    <row r="2945" spans="2:14">
      <c r="B2945" s="32">
        <f>IF(ISNUMBER(SEARCH('Φόρμα Εισαγωγής'!$B$2,C2945)),MAX($B$1:B2944)+1,0)</f>
        <v>0</v>
      </c>
      <c r="D2945" s="33">
        <f>IF(ISNUMBER(SEARCH('Φόρμα Εισαγωγής'!$C$2,E2945)),MAX($D$1:D2944)+1,0)</f>
        <v>0</v>
      </c>
      <c r="H2945" s="6">
        <f t="shared" si="149"/>
        <v>0</v>
      </c>
      <c r="I2945" s="6">
        <f t="shared" si="150"/>
        <v>0</v>
      </c>
      <c r="J2945" s="6">
        <f t="shared" si="151"/>
        <v>0</v>
      </c>
      <c r="L2945" s="4" t="str">
        <f>IFERROR(VLOOKUP(ROWS($L$2:L2945),$B$2:$C$1996,2,0),"")</f>
        <v/>
      </c>
      <c r="N2945" s="2" t="str">
        <f>IFERROR(VLOOKUP(ROWS($N$2:N2945),$D$2:$E$1996,2,0),"")</f>
        <v/>
      </c>
    </row>
    <row r="2946" spans="2:14">
      <c r="B2946" s="32">
        <f>IF(ISNUMBER(SEARCH('Φόρμα Εισαγωγής'!$B$2,C2946)),MAX($B$1:B2945)+1,0)</f>
        <v>0</v>
      </c>
      <c r="D2946" s="33">
        <f>IF(ISNUMBER(SEARCH('Φόρμα Εισαγωγής'!$C$2,E2946)),MAX($D$1:D2945)+1,0)</f>
        <v>0</v>
      </c>
      <c r="H2946" s="6">
        <f t="shared" si="149"/>
        <v>0</v>
      </c>
      <c r="I2946" s="6">
        <f t="shared" si="150"/>
        <v>0</v>
      </c>
      <c r="J2946" s="6">
        <f t="shared" si="151"/>
        <v>0</v>
      </c>
      <c r="L2946" s="4" t="str">
        <f>IFERROR(VLOOKUP(ROWS($L$2:L2946),$B$2:$C$1996,2,0),"")</f>
        <v/>
      </c>
      <c r="N2946" s="2" t="str">
        <f>IFERROR(VLOOKUP(ROWS($N$2:N2946),$D$2:$E$1996,2,0),"")</f>
        <v/>
      </c>
    </row>
    <row r="2947" spans="2:14">
      <c r="B2947" s="32">
        <f>IF(ISNUMBER(SEARCH('Φόρμα Εισαγωγής'!$B$2,C2947)),MAX($B$1:B2946)+1,0)</f>
        <v>0</v>
      </c>
      <c r="D2947" s="33">
        <f>IF(ISNUMBER(SEARCH('Φόρμα Εισαγωγής'!$C$2,E2947)),MAX($D$1:D2946)+1,0)</f>
        <v>0</v>
      </c>
      <c r="H2947" s="6">
        <f t="shared" si="149"/>
        <v>0</v>
      </c>
      <c r="I2947" s="6">
        <f t="shared" si="150"/>
        <v>0</v>
      </c>
      <c r="J2947" s="6">
        <f t="shared" si="151"/>
        <v>0</v>
      </c>
      <c r="L2947" s="4" t="str">
        <f>IFERROR(VLOOKUP(ROWS($L$2:L2947),$B$2:$C$1996,2,0),"")</f>
        <v/>
      </c>
      <c r="N2947" s="2" t="str">
        <f>IFERROR(VLOOKUP(ROWS($N$2:N2947),$D$2:$E$1996,2,0),"")</f>
        <v/>
      </c>
    </row>
    <row r="2948" spans="2:14">
      <c r="B2948" s="32">
        <f>IF(ISNUMBER(SEARCH('Φόρμα Εισαγωγής'!$B$2,C2948)),MAX($B$1:B2947)+1,0)</f>
        <v>0</v>
      </c>
      <c r="D2948" s="33">
        <f>IF(ISNUMBER(SEARCH('Φόρμα Εισαγωγής'!$C$2,E2948)),MAX($D$1:D2947)+1,0)</f>
        <v>0</v>
      </c>
      <c r="H2948" s="6">
        <f t="shared" si="149"/>
        <v>0</v>
      </c>
      <c r="I2948" s="6">
        <f t="shared" si="150"/>
        <v>0</v>
      </c>
      <c r="J2948" s="6">
        <f t="shared" si="151"/>
        <v>0</v>
      </c>
      <c r="L2948" s="4" t="str">
        <f>IFERROR(VLOOKUP(ROWS($L$2:L2948),$B$2:$C$1996,2,0),"")</f>
        <v/>
      </c>
      <c r="N2948" s="2" t="str">
        <f>IFERROR(VLOOKUP(ROWS($N$2:N2948),$D$2:$E$1996,2,0),"")</f>
        <v/>
      </c>
    </row>
    <row r="2949" spans="2:14">
      <c r="B2949" s="32">
        <f>IF(ISNUMBER(SEARCH('Φόρμα Εισαγωγής'!$B$2,C2949)),MAX($B$1:B2948)+1,0)</f>
        <v>0</v>
      </c>
      <c r="D2949" s="33">
        <f>IF(ISNUMBER(SEARCH('Φόρμα Εισαγωγής'!$C$2,E2949)),MAX($D$1:D2948)+1,0)</f>
        <v>0</v>
      </c>
      <c r="H2949" s="6">
        <f t="shared" si="149"/>
        <v>0</v>
      </c>
      <c r="I2949" s="6">
        <f t="shared" si="150"/>
        <v>0</v>
      </c>
      <c r="J2949" s="6">
        <f t="shared" si="151"/>
        <v>0</v>
      </c>
      <c r="L2949" s="4" t="str">
        <f>IFERROR(VLOOKUP(ROWS($L$2:L2949),$B$2:$C$1996,2,0),"")</f>
        <v/>
      </c>
      <c r="N2949" s="2" t="str">
        <f>IFERROR(VLOOKUP(ROWS($N$2:N2949),$D$2:$E$1996,2,0),"")</f>
        <v/>
      </c>
    </row>
    <row r="2950" spans="2:14">
      <c r="B2950" s="32">
        <f>IF(ISNUMBER(SEARCH('Φόρμα Εισαγωγής'!$B$2,C2950)),MAX($B$1:B2949)+1,0)</f>
        <v>0</v>
      </c>
      <c r="D2950" s="33">
        <f>IF(ISNUMBER(SEARCH('Φόρμα Εισαγωγής'!$C$2,E2950)),MAX($D$1:D2949)+1,0)</f>
        <v>0</v>
      </c>
      <c r="H2950" s="6">
        <f t="shared" si="149"/>
        <v>0</v>
      </c>
      <c r="I2950" s="6">
        <f t="shared" si="150"/>
        <v>0</v>
      </c>
      <c r="J2950" s="6">
        <f t="shared" si="151"/>
        <v>0</v>
      </c>
      <c r="L2950" s="4" t="str">
        <f>IFERROR(VLOOKUP(ROWS($L$2:L2950),$B$2:$C$1996,2,0),"")</f>
        <v/>
      </c>
      <c r="N2950" s="2" t="str">
        <f>IFERROR(VLOOKUP(ROWS($N$2:N2950),$D$2:$E$1996,2,0),"")</f>
        <v/>
      </c>
    </row>
    <row r="2951" spans="2:14">
      <c r="B2951" s="32">
        <f>IF(ISNUMBER(SEARCH('Φόρμα Εισαγωγής'!$B$2,C2951)),MAX($B$1:B2950)+1,0)</f>
        <v>0</v>
      </c>
      <c r="D2951" s="33">
        <f>IF(ISNUMBER(SEARCH('Φόρμα Εισαγωγής'!$C$2,E2951)),MAX($D$1:D2950)+1,0)</f>
        <v>0</v>
      </c>
      <c r="H2951" s="6">
        <f t="shared" si="149"/>
        <v>0</v>
      </c>
      <c r="I2951" s="6">
        <f t="shared" si="150"/>
        <v>0</v>
      </c>
      <c r="J2951" s="6">
        <f t="shared" si="151"/>
        <v>0</v>
      </c>
      <c r="L2951" s="4" t="str">
        <f>IFERROR(VLOOKUP(ROWS($L$2:L2951),$B$2:$C$1996,2,0),"")</f>
        <v/>
      </c>
      <c r="N2951" s="2" t="str">
        <f>IFERROR(VLOOKUP(ROWS($N$2:N2951),$D$2:$E$1996,2,0),"")</f>
        <v/>
      </c>
    </row>
    <row r="2952" spans="2:14">
      <c r="B2952" s="32">
        <f>IF(ISNUMBER(SEARCH('Φόρμα Εισαγωγής'!$B$2,C2952)),MAX($B$1:B2951)+1,0)</f>
        <v>0</v>
      </c>
      <c r="D2952" s="33">
        <f>IF(ISNUMBER(SEARCH('Φόρμα Εισαγωγής'!$C$2,E2952)),MAX($D$1:D2951)+1,0)</f>
        <v>0</v>
      </c>
      <c r="H2952" s="6">
        <f t="shared" si="149"/>
        <v>0</v>
      </c>
      <c r="I2952" s="6">
        <f t="shared" si="150"/>
        <v>0</v>
      </c>
      <c r="J2952" s="6">
        <f t="shared" si="151"/>
        <v>0</v>
      </c>
      <c r="L2952" s="4" t="str">
        <f>IFERROR(VLOOKUP(ROWS($L$2:L2952),$B$2:$C$1996,2,0),"")</f>
        <v/>
      </c>
      <c r="N2952" s="2" t="str">
        <f>IFERROR(VLOOKUP(ROWS($N$2:N2952),$D$2:$E$1996,2,0),"")</f>
        <v/>
      </c>
    </row>
    <row r="2953" spans="2:14">
      <c r="B2953" s="32">
        <f>IF(ISNUMBER(SEARCH('Φόρμα Εισαγωγής'!$B$2,C2953)),MAX($B$1:B2952)+1,0)</f>
        <v>0</v>
      </c>
      <c r="D2953" s="33">
        <f>IF(ISNUMBER(SEARCH('Φόρμα Εισαγωγής'!$C$2,E2953)),MAX($D$1:D2952)+1,0)</f>
        <v>0</v>
      </c>
      <c r="H2953" s="6">
        <f t="shared" si="149"/>
        <v>0</v>
      </c>
      <c r="I2953" s="6">
        <f t="shared" si="150"/>
        <v>0</v>
      </c>
      <c r="J2953" s="6">
        <f t="shared" si="151"/>
        <v>0</v>
      </c>
      <c r="L2953" s="4" t="str">
        <f>IFERROR(VLOOKUP(ROWS($L$2:L2953),$B$2:$C$1996,2,0),"")</f>
        <v/>
      </c>
      <c r="N2953" s="2" t="str">
        <f>IFERROR(VLOOKUP(ROWS($N$2:N2953),$D$2:$E$1996,2,0),"")</f>
        <v/>
      </c>
    </row>
    <row r="2954" spans="2:14">
      <c r="B2954" s="32">
        <f>IF(ISNUMBER(SEARCH('Φόρμα Εισαγωγής'!$B$2,C2954)),MAX($B$1:B2953)+1,0)</f>
        <v>0</v>
      </c>
      <c r="D2954" s="33">
        <f>IF(ISNUMBER(SEARCH('Φόρμα Εισαγωγής'!$C$2,E2954)),MAX($D$1:D2953)+1,0)</f>
        <v>0</v>
      </c>
      <c r="H2954" s="6">
        <f t="shared" si="149"/>
        <v>0</v>
      </c>
      <c r="I2954" s="6">
        <f t="shared" si="150"/>
        <v>0</v>
      </c>
      <c r="J2954" s="6">
        <f t="shared" si="151"/>
        <v>0</v>
      </c>
      <c r="L2954" s="4" t="str">
        <f>IFERROR(VLOOKUP(ROWS($L$2:L2954),$B$2:$C$1996,2,0),"")</f>
        <v/>
      </c>
      <c r="N2954" s="2" t="str">
        <f>IFERROR(VLOOKUP(ROWS($N$2:N2954),$D$2:$E$1996,2,0),"")</f>
        <v/>
      </c>
    </row>
    <row r="2955" spans="2:14">
      <c r="B2955" s="32">
        <f>IF(ISNUMBER(SEARCH('Φόρμα Εισαγωγής'!$B$2,C2955)),MAX($B$1:B2954)+1,0)</f>
        <v>0</v>
      </c>
      <c r="D2955" s="33">
        <f>IF(ISNUMBER(SEARCH('Φόρμα Εισαγωγής'!$C$2,E2955)),MAX($D$1:D2954)+1,0)</f>
        <v>0</v>
      </c>
      <c r="H2955" s="6">
        <f t="shared" si="149"/>
        <v>0</v>
      </c>
      <c r="I2955" s="6">
        <f t="shared" si="150"/>
        <v>0</v>
      </c>
      <c r="J2955" s="6">
        <f t="shared" si="151"/>
        <v>0</v>
      </c>
      <c r="L2955" s="4" t="str">
        <f>IFERROR(VLOOKUP(ROWS($L$2:L2955),$B$2:$C$1996,2,0),"")</f>
        <v/>
      </c>
      <c r="N2955" s="2" t="str">
        <f>IFERROR(VLOOKUP(ROWS($N$2:N2955),$D$2:$E$1996,2,0),"")</f>
        <v/>
      </c>
    </row>
    <row r="2956" spans="2:14">
      <c r="B2956" s="32">
        <f>IF(ISNUMBER(SEARCH('Φόρμα Εισαγωγής'!$B$2,C2956)),MAX($B$1:B2955)+1,0)</f>
        <v>0</v>
      </c>
      <c r="D2956" s="33">
        <f>IF(ISNUMBER(SEARCH('Φόρμα Εισαγωγής'!$C$2,E2956)),MAX($D$1:D2955)+1,0)</f>
        <v>0</v>
      </c>
      <c r="H2956" s="6">
        <f t="shared" si="149"/>
        <v>0</v>
      </c>
      <c r="I2956" s="6">
        <f t="shared" si="150"/>
        <v>0</v>
      </c>
      <c r="J2956" s="6">
        <f t="shared" si="151"/>
        <v>0</v>
      </c>
      <c r="L2956" s="4" t="str">
        <f>IFERROR(VLOOKUP(ROWS($L$2:L2956),$B$2:$C$1996,2,0),"")</f>
        <v/>
      </c>
      <c r="N2956" s="2" t="str">
        <f>IFERROR(VLOOKUP(ROWS($N$2:N2956),$D$2:$E$1996,2,0),"")</f>
        <v/>
      </c>
    </row>
    <row r="2957" spans="2:14">
      <c r="B2957" s="32">
        <f>IF(ISNUMBER(SEARCH('Φόρμα Εισαγωγής'!$B$2,C2957)),MAX($B$1:B2956)+1,0)</f>
        <v>0</v>
      </c>
      <c r="D2957" s="33">
        <f>IF(ISNUMBER(SEARCH('Φόρμα Εισαγωγής'!$C$2,E2957)),MAX($D$1:D2956)+1,0)</f>
        <v>0</v>
      </c>
      <c r="H2957" s="6">
        <f t="shared" si="149"/>
        <v>0</v>
      </c>
      <c r="I2957" s="6">
        <f t="shared" si="150"/>
        <v>0</v>
      </c>
      <c r="J2957" s="6">
        <f t="shared" si="151"/>
        <v>0</v>
      </c>
      <c r="L2957" s="4" t="str">
        <f>IFERROR(VLOOKUP(ROWS($L$2:L2957),$B$2:$C$1996,2,0),"")</f>
        <v/>
      </c>
      <c r="N2957" s="2" t="str">
        <f>IFERROR(VLOOKUP(ROWS($N$2:N2957),$D$2:$E$1996,2,0),"")</f>
        <v/>
      </c>
    </row>
    <row r="2958" spans="2:14">
      <c r="B2958" s="32">
        <f>IF(ISNUMBER(SEARCH('Φόρμα Εισαγωγής'!$B$2,C2958)),MAX($B$1:B2957)+1,0)</f>
        <v>0</v>
      </c>
      <c r="D2958" s="33">
        <f>IF(ISNUMBER(SEARCH('Φόρμα Εισαγωγής'!$C$2,E2958)),MAX($D$1:D2957)+1,0)</f>
        <v>0</v>
      </c>
      <c r="H2958" s="6">
        <f t="shared" si="149"/>
        <v>0</v>
      </c>
      <c r="I2958" s="6">
        <f t="shared" si="150"/>
        <v>0</v>
      </c>
      <c r="J2958" s="6">
        <f t="shared" si="151"/>
        <v>0</v>
      </c>
      <c r="L2958" s="4" t="str">
        <f>IFERROR(VLOOKUP(ROWS($L$2:L2958),$B$2:$C$1996,2,0),"")</f>
        <v/>
      </c>
      <c r="N2958" s="2" t="str">
        <f>IFERROR(VLOOKUP(ROWS($N$2:N2958),$D$2:$E$1996,2,0),"")</f>
        <v/>
      </c>
    </row>
    <row r="2959" spans="2:14">
      <c r="B2959" s="32">
        <f>IF(ISNUMBER(SEARCH('Φόρμα Εισαγωγής'!$B$2,C2959)),MAX($B$1:B2958)+1,0)</f>
        <v>0</v>
      </c>
      <c r="D2959" s="33">
        <f>IF(ISNUMBER(SEARCH('Φόρμα Εισαγωγής'!$C$2,E2959)),MAX($D$1:D2958)+1,0)</f>
        <v>0</v>
      </c>
      <c r="H2959" s="6">
        <f t="shared" si="149"/>
        <v>0</v>
      </c>
      <c r="I2959" s="6">
        <f t="shared" si="150"/>
        <v>0</v>
      </c>
      <c r="J2959" s="6">
        <f t="shared" si="151"/>
        <v>0</v>
      </c>
      <c r="L2959" s="4" t="str">
        <f>IFERROR(VLOOKUP(ROWS($L$2:L2959),$B$2:$C$1996,2,0),"")</f>
        <v/>
      </c>
      <c r="N2959" s="2" t="str">
        <f>IFERROR(VLOOKUP(ROWS($N$2:N2959),$D$2:$E$1996,2,0),"")</f>
        <v/>
      </c>
    </row>
    <row r="2960" spans="2:14">
      <c r="B2960" s="32">
        <f>IF(ISNUMBER(SEARCH('Φόρμα Εισαγωγής'!$B$2,C2960)),MAX($B$1:B2959)+1,0)</f>
        <v>0</v>
      </c>
      <c r="D2960" s="33">
        <f>IF(ISNUMBER(SEARCH('Φόρμα Εισαγωγής'!$C$2,E2960)),MAX($D$1:D2959)+1,0)</f>
        <v>0</v>
      </c>
      <c r="H2960" s="6">
        <f t="shared" si="149"/>
        <v>0</v>
      </c>
      <c r="I2960" s="6">
        <f t="shared" si="150"/>
        <v>0</v>
      </c>
      <c r="J2960" s="6">
        <f t="shared" si="151"/>
        <v>0</v>
      </c>
      <c r="L2960" s="4" t="str">
        <f>IFERROR(VLOOKUP(ROWS($L$2:L2960),$B$2:$C$1996,2,0),"")</f>
        <v/>
      </c>
      <c r="N2960" s="2" t="str">
        <f>IFERROR(VLOOKUP(ROWS($N$2:N2960),$D$2:$E$1996,2,0),"")</f>
        <v/>
      </c>
    </row>
    <row r="2961" spans="2:14">
      <c r="B2961" s="32">
        <f>IF(ISNUMBER(SEARCH('Φόρμα Εισαγωγής'!$B$2,C2961)),MAX($B$1:B2960)+1,0)</f>
        <v>0</v>
      </c>
      <c r="D2961" s="33">
        <f>IF(ISNUMBER(SEARCH('Φόρμα Εισαγωγής'!$C$2,E2961)),MAX($D$1:D2960)+1,0)</f>
        <v>0</v>
      </c>
      <c r="H2961" s="6">
        <f t="shared" si="149"/>
        <v>0</v>
      </c>
      <c r="I2961" s="6">
        <f t="shared" si="150"/>
        <v>0</v>
      </c>
      <c r="J2961" s="6">
        <f t="shared" si="151"/>
        <v>0</v>
      </c>
      <c r="L2961" s="4" t="str">
        <f>IFERROR(VLOOKUP(ROWS($L$2:L2961),$B$2:$C$1996,2,0),"")</f>
        <v/>
      </c>
      <c r="N2961" s="2" t="str">
        <f>IFERROR(VLOOKUP(ROWS($N$2:N2961),$D$2:$E$1996,2,0),"")</f>
        <v/>
      </c>
    </row>
    <row r="2962" spans="2:14">
      <c r="B2962" s="32">
        <f>IF(ISNUMBER(SEARCH('Φόρμα Εισαγωγής'!$B$2,C2962)),MAX($B$1:B2961)+1,0)</f>
        <v>0</v>
      </c>
      <c r="D2962" s="33">
        <f>IF(ISNUMBER(SEARCH('Φόρμα Εισαγωγής'!$C$2,E2962)),MAX($D$1:D2961)+1,0)</f>
        <v>0</v>
      </c>
      <c r="H2962" s="6">
        <f t="shared" si="149"/>
        <v>0</v>
      </c>
      <c r="I2962" s="6">
        <f t="shared" si="150"/>
        <v>0</v>
      </c>
      <c r="J2962" s="6">
        <f t="shared" si="151"/>
        <v>0</v>
      </c>
      <c r="L2962" s="4" t="str">
        <f>IFERROR(VLOOKUP(ROWS($L$2:L2962),$B$2:$C$1996,2,0),"")</f>
        <v/>
      </c>
      <c r="N2962" s="2" t="str">
        <f>IFERROR(VLOOKUP(ROWS($N$2:N2962),$D$2:$E$1996,2,0),"")</f>
        <v/>
      </c>
    </row>
    <row r="2963" spans="2:14">
      <c r="B2963" s="32">
        <f>IF(ISNUMBER(SEARCH('Φόρμα Εισαγωγής'!$B$2,C2963)),MAX($B$1:B2962)+1,0)</f>
        <v>0</v>
      </c>
      <c r="D2963" s="33">
        <f>IF(ISNUMBER(SEARCH('Φόρμα Εισαγωγής'!$C$2,E2963)),MAX($D$1:D2962)+1,0)</f>
        <v>0</v>
      </c>
      <c r="H2963" s="6">
        <f t="shared" si="149"/>
        <v>0</v>
      </c>
      <c r="I2963" s="6">
        <f t="shared" si="150"/>
        <v>0</v>
      </c>
      <c r="J2963" s="6">
        <f t="shared" si="151"/>
        <v>0</v>
      </c>
      <c r="L2963" s="4" t="str">
        <f>IFERROR(VLOOKUP(ROWS($L$2:L2963),$B$2:$C$1996,2,0),"")</f>
        <v/>
      </c>
      <c r="N2963" s="2" t="str">
        <f>IFERROR(VLOOKUP(ROWS($N$2:N2963),$D$2:$E$1996,2,0),"")</f>
        <v/>
      </c>
    </row>
    <row r="2964" spans="2:14">
      <c r="B2964" s="32">
        <f>IF(ISNUMBER(SEARCH('Φόρμα Εισαγωγής'!$B$2,C2964)),MAX($B$1:B2963)+1,0)</f>
        <v>0</v>
      </c>
      <c r="D2964" s="33">
        <f>IF(ISNUMBER(SEARCH('Φόρμα Εισαγωγής'!$C$2,E2964)),MAX($D$1:D2963)+1,0)</f>
        <v>0</v>
      </c>
      <c r="H2964" s="6">
        <f t="shared" si="149"/>
        <v>0</v>
      </c>
      <c r="I2964" s="6">
        <f t="shared" si="150"/>
        <v>0</v>
      </c>
      <c r="J2964" s="6">
        <f t="shared" si="151"/>
        <v>0</v>
      </c>
      <c r="L2964" s="4" t="str">
        <f>IFERROR(VLOOKUP(ROWS($L$2:L2964),$B$2:$C$1996,2,0),"")</f>
        <v/>
      </c>
      <c r="N2964" s="2" t="str">
        <f>IFERROR(VLOOKUP(ROWS($N$2:N2964),$D$2:$E$1996,2,0),"")</f>
        <v/>
      </c>
    </row>
    <row r="2965" spans="2:14">
      <c r="B2965" s="32">
        <f>IF(ISNUMBER(SEARCH('Φόρμα Εισαγωγής'!$B$2,C2965)),MAX($B$1:B2964)+1,0)</f>
        <v>0</v>
      </c>
      <c r="D2965" s="33">
        <f>IF(ISNUMBER(SEARCH('Φόρμα Εισαγωγής'!$C$2,E2965)),MAX($D$1:D2964)+1,0)</f>
        <v>0</v>
      </c>
      <c r="H2965" s="6">
        <f t="shared" si="149"/>
        <v>0</v>
      </c>
      <c r="I2965" s="6">
        <f t="shared" si="150"/>
        <v>0</v>
      </c>
      <c r="J2965" s="6">
        <f t="shared" si="151"/>
        <v>0</v>
      </c>
      <c r="L2965" s="4" t="str">
        <f>IFERROR(VLOOKUP(ROWS($L$2:L2965),$B$2:$C$1996,2,0),"")</f>
        <v/>
      </c>
      <c r="N2965" s="2" t="str">
        <f>IFERROR(VLOOKUP(ROWS($N$2:N2965),$D$2:$E$1996,2,0),"")</f>
        <v/>
      </c>
    </row>
    <row r="2966" spans="2:14">
      <c r="B2966" s="32">
        <f>IF(ISNUMBER(SEARCH('Φόρμα Εισαγωγής'!$B$2,C2966)),MAX($B$1:B2965)+1,0)</f>
        <v>0</v>
      </c>
      <c r="D2966" s="33">
        <f>IF(ISNUMBER(SEARCH('Φόρμα Εισαγωγής'!$C$2,E2966)),MAX($D$1:D2965)+1,0)</f>
        <v>0</v>
      </c>
      <c r="H2966" s="6">
        <f t="shared" si="149"/>
        <v>0</v>
      </c>
      <c r="I2966" s="6">
        <f t="shared" si="150"/>
        <v>0</v>
      </c>
      <c r="J2966" s="6">
        <f t="shared" si="151"/>
        <v>0</v>
      </c>
      <c r="L2966" s="4" t="str">
        <f>IFERROR(VLOOKUP(ROWS($L$2:L2966),$B$2:$C$1996,2,0),"")</f>
        <v/>
      </c>
      <c r="N2966" s="2" t="str">
        <f>IFERROR(VLOOKUP(ROWS($N$2:N2966),$D$2:$E$1996,2,0),"")</f>
        <v/>
      </c>
    </row>
    <row r="2967" spans="2:14">
      <c r="B2967" s="32">
        <f>IF(ISNUMBER(SEARCH('Φόρμα Εισαγωγής'!$B$2,C2967)),MAX($B$1:B2966)+1,0)</f>
        <v>0</v>
      </c>
      <c r="D2967" s="33">
        <f>IF(ISNUMBER(SEARCH('Φόρμα Εισαγωγής'!$C$2,E2967)),MAX($D$1:D2966)+1,0)</f>
        <v>0</v>
      </c>
      <c r="H2967" s="6">
        <f t="shared" si="149"/>
        <v>0</v>
      </c>
      <c r="I2967" s="6">
        <f t="shared" si="150"/>
        <v>0</v>
      </c>
      <c r="J2967" s="6">
        <f t="shared" si="151"/>
        <v>0</v>
      </c>
      <c r="L2967" s="4" t="str">
        <f>IFERROR(VLOOKUP(ROWS($L$2:L2967),$B$2:$C$1996,2,0),"")</f>
        <v/>
      </c>
      <c r="N2967" s="2" t="str">
        <f>IFERROR(VLOOKUP(ROWS($N$2:N2967),$D$2:$E$1996,2,0),"")</f>
        <v/>
      </c>
    </row>
    <row r="2968" spans="2:14">
      <c r="B2968" s="32">
        <f>IF(ISNUMBER(SEARCH('Φόρμα Εισαγωγής'!$B$2,C2968)),MAX($B$1:B2967)+1,0)</f>
        <v>0</v>
      </c>
      <c r="D2968" s="33">
        <f>IF(ISNUMBER(SEARCH('Φόρμα Εισαγωγής'!$C$2,E2968)),MAX($D$1:D2967)+1,0)</f>
        <v>0</v>
      </c>
      <c r="H2968" s="6">
        <f t="shared" si="149"/>
        <v>0</v>
      </c>
      <c r="I2968" s="6">
        <f t="shared" si="150"/>
        <v>0</v>
      </c>
      <c r="J2968" s="6">
        <f t="shared" si="151"/>
        <v>0</v>
      </c>
      <c r="L2968" s="4" t="str">
        <f>IFERROR(VLOOKUP(ROWS($L$2:L2968),$B$2:$C$1996,2,0),"")</f>
        <v/>
      </c>
      <c r="N2968" s="2" t="str">
        <f>IFERROR(VLOOKUP(ROWS($N$2:N2968),$D$2:$E$1996,2,0),"")</f>
        <v/>
      </c>
    </row>
    <row r="2969" spans="2:14">
      <c r="B2969" s="32">
        <f>IF(ISNUMBER(SEARCH('Φόρμα Εισαγωγής'!$B$2,C2969)),MAX($B$1:B2968)+1,0)</f>
        <v>0</v>
      </c>
      <c r="D2969" s="33">
        <f>IF(ISNUMBER(SEARCH('Φόρμα Εισαγωγής'!$C$2,E2969)),MAX($D$1:D2968)+1,0)</f>
        <v>0</v>
      </c>
      <c r="H2969" s="6">
        <f t="shared" si="149"/>
        <v>0</v>
      </c>
      <c r="I2969" s="6">
        <f t="shared" si="150"/>
        <v>0</v>
      </c>
      <c r="J2969" s="6">
        <f t="shared" si="151"/>
        <v>0</v>
      </c>
      <c r="L2969" s="4" t="str">
        <f>IFERROR(VLOOKUP(ROWS($L$2:L2969),$B$2:$C$1996,2,0),"")</f>
        <v/>
      </c>
      <c r="N2969" s="2" t="str">
        <f>IFERROR(VLOOKUP(ROWS($N$2:N2969),$D$2:$E$1996,2,0),"")</f>
        <v/>
      </c>
    </row>
    <row r="2970" spans="2:14">
      <c r="B2970" s="32">
        <f>IF(ISNUMBER(SEARCH('Φόρμα Εισαγωγής'!$B$2,C2970)),MAX($B$1:B2969)+1,0)</f>
        <v>0</v>
      </c>
      <c r="D2970" s="33">
        <f>IF(ISNUMBER(SEARCH('Φόρμα Εισαγωγής'!$C$2,E2970)),MAX($D$1:D2969)+1,0)</f>
        <v>0</v>
      </c>
      <c r="H2970" s="6">
        <f t="shared" si="149"/>
        <v>0</v>
      </c>
      <c r="I2970" s="6">
        <f t="shared" si="150"/>
        <v>0</v>
      </c>
      <c r="J2970" s="6">
        <f t="shared" si="151"/>
        <v>0</v>
      </c>
      <c r="L2970" s="4" t="str">
        <f>IFERROR(VLOOKUP(ROWS($L$2:L2970),$B$2:$C$1996,2,0),"")</f>
        <v/>
      </c>
      <c r="N2970" s="2" t="str">
        <f>IFERROR(VLOOKUP(ROWS($N$2:N2970),$D$2:$E$1996,2,0),"")</f>
        <v/>
      </c>
    </row>
    <row r="2971" spans="2:14">
      <c r="B2971" s="32">
        <f>IF(ISNUMBER(SEARCH('Φόρμα Εισαγωγής'!$B$2,C2971)),MAX($B$1:B2970)+1,0)</f>
        <v>0</v>
      </c>
      <c r="D2971" s="33">
        <f>IF(ISNUMBER(SEARCH('Φόρμα Εισαγωγής'!$C$2,E2971)),MAX($D$1:D2970)+1,0)</f>
        <v>0</v>
      </c>
      <c r="H2971" s="6">
        <f t="shared" si="149"/>
        <v>0</v>
      </c>
      <c r="I2971" s="6">
        <f t="shared" si="150"/>
        <v>0</v>
      </c>
      <c r="J2971" s="6">
        <f t="shared" si="151"/>
        <v>0</v>
      </c>
      <c r="L2971" s="4" t="str">
        <f>IFERROR(VLOOKUP(ROWS($L$2:L2971),$B$2:$C$1996,2,0),"")</f>
        <v/>
      </c>
      <c r="N2971" s="2" t="str">
        <f>IFERROR(VLOOKUP(ROWS($N$2:N2971),$D$2:$E$1996,2,0),"")</f>
        <v/>
      </c>
    </row>
    <row r="2972" spans="2:14">
      <c r="B2972" s="32">
        <f>IF(ISNUMBER(SEARCH('Φόρμα Εισαγωγής'!$B$2,C2972)),MAX($B$1:B2971)+1,0)</f>
        <v>0</v>
      </c>
      <c r="D2972" s="33">
        <f>IF(ISNUMBER(SEARCH('Φόρμα Εισαγωγής'!$C$2,E2972)),MAX($D$1:D2971)+1,0)</f>
        <v>0</v>
      </c>
      <c r="H2972" s="6">
        <f t="shared" si="149"/>
        <v>0</v>
      </c>
      <c r="I2972" s="6">
        <f t="shared" si="150"/>
        <v>0</v>
      </c>
      <c r="J2972" s="6">
        <f t="shared" si="151"/>
        <v>0</v>
      </c>
      <c r="L2972" s="4" t="str">
        <f>IFERROR(VLOOKUP(ROWS($L$2:L2972),$B$2:$C$1996,2,0),"")</f>
        <v/>
      </c>
      <c r="N2972" s="2" t="str">
        <f>IFERROR(VLOOKUP(ROWS($N$2:N2972),$D$2:$E$1996,2,0),"")</f>
        <v/>
      </c>
    </row>
    <row r="2973" spans="2:14">
      <c r="B2973" s="32">
        <f>IF(ISNUMBER(SEARCH('Φόρμα Εισαγωγής'!$B$2,C2973)),MAX($B$1:B2972)+1,0)</f>
        <v>0</v>
      </c>
      <c r="D2973" s="33">
        <f>IF(ISNUMBER(SEARCH('Φόρμα Εισαγωγής'!$C$2,E2973)),MAX($D$1:D2972)+1,0)</f>
        <v>0</v>
      </c>
      <c r="H2973" s="6">
        <f t="shared" si="149"/>
        <v>0</v>
      </c>
      <c r="I2973" s="6">
        <f t="shared" si="150"/>
        <v>0</v>
      </c>
      <c r="J2973" s="6">
        <f t="shared" si="151"/>
        <v>0</v>
      </c>
      <c r="L2973" s="4" t="str">
        <f>IFERROR(VLOOKUP(ROWS($L$2:L2973),$B$2:$C$1996,2,0),"")</f>
        <v/>
      </c>
      <c r="N2973" s="2" t="str">
        <f>IFERROR(VLOOKUP(ROWS($N$2:N2973),$D$2:$E$1996,2,0),"")</f>
        <v/>
      </c>
    </row>
    <row r="2974" spans="2:14">
      <c r="B2974" s="32">
        <f>IF(ISNUMBER(SEARCH('Φόρμα Εισαγωγής'!$B$2,C2974)),MAX($B$1:B2973)+1,0)</f>
        <v>0</v>
      </c>
      <c r="D2974" s="33">
        <f>IF(ISNUMBER(SEARCH('Φόρμα Εισαγωγής'!$C$2,E2974)),MAX($D$1:D2973)+1,0)</f>
        <v>0</v>
      </c>
      <c r="H2974" s="6">
        <f t="shared" si="149"/>
        <v>0</v>
      </c>
      <c r="I2974" s="6">
        <f t="shared" si="150"/>
        <v>0</v>
      </c>
      <c r="J2974" s="6">
        <f t="shared" si="151"/>
        <v>0</v>
      </c>
      <c r="L2974" s="4" t="str">
        <f>IFERROR(VLOOKUP(ROWS($L$2:L2974),$B$2:$C$1996,2,0),"")</f>
        <v/>
      </c>
      <c r="N2974" s="2" t="str">
        <f>IFERROR(VLOOKUP(ROWS($N$2:N2974),$D$2:$E$1996,2,0),"")</f>
        <v/>
      </c>
    </row>
    <row r="2975" spans="2:14">
      <c r="B2975" s="32">
        <f>IF(ISNUMBER(SEARCH('Φόρμα Εισαγωγής'!$B$2,C2975)),MAX($B$1:B2974)+1,0)</f>
        <v>0</v>
      </c>
      <c r="D2975" s="33">
        <f>IF(ISNUMBER(SEARCH('Φόρμα Εισαγωγής'!$C$2,E2975)),MAX($D$1:D2974)+1,0)</f>
        <v>0</v>
      </c>
      <c r="H2975" s="6">
        <f t="shared" si="149"/>
        <v>0</v>
      </c>
      <c r="I2975" s="6">
        <f t="shared" si="150"/>
        <v>0</v>
      </c>
      <c r="J2975" s="6">
        <f t="shared" si="151"/>
        <v>0</v>
      </c>
      <c r="L2975" s="4" t="str">
        <f>IFERROR(VLOOKUP(ROWS($L$2:L2975),$B$2:$C$1996,2,0),"")</f>
        <v/>
      </c>
      <c r="N2975" s="2" t="str">
        <f>IFERROR(VLOOKUP(ROWS($N$2:N2975),$D$2:$E$1996,2,0),"")</f>
        <v/>
      </c>
    </row>
    <row r="2976" spans="2:14">
      <c r="B2976" s="32">
        <f>IF(ISNUMBER(SEARCH('Φόρμα Εισαγωγής'!$B$2,C2976)),MAX($B$1:B2975)+1,0)</f>
        <v>0</v>
      </c>
      <c r="D2976" s="33">
        <f>IF(ISNUMBER(SEARCH('Φόρμα Εισαγωγής'!$C$2,E2976)),MAX($D$1:D2975)+1,0)</f>
        <v>0</v>
      </c>
      <c r="H2976" s="6">
        <f t="shared" si="149"/>
        <v>0</v>
      </c>
      <c r="I2976" s="6">
        <f t="shared" si="150"/>
        <v>0</v>
      </c>
      <c r="J2976" s="6">
        <f t="shared" si="151"/>
        <v>0</v>
      </c>
      <c r="L2976" s="4" t="str">
        <f>IFERROR(VLOOKUP(ROWS($L$2:L2976),$B$2:$C$1996,2,0),"")</f>
        <v/>
      </c>
      <c r="N2976" s="2" t="str">
        <f>IFERROR(VLOOKUP(ROWS($N$2:N2976),$D$2:$E$1996,2,0),"")</f>
        <v/>
      </c>
    </row>
    <row r="2977" spans="2:14">
      <c r="B2977" s="32">
        <f>IF(ISNUMBER(SEARCH('Φόρμα Εισαγωγής'!$B$2,C2977)),MAX($B$1:B2976)+1,0)</f>
        <v>0</v>
      </c>
      <c r="D2977" s="33">
        <f>IF(ISNUMBER(SEARCH('Φόρμα Εισαγωγής'!$C$2,E2977)),MAX($D$1:D2976)+1,0)</f>
        <v>0</v>
      </c>
      <c r="H2977" s="6">
        <f t="shared" si="149"/>
        <v>0</v>
      </c>
      <c r="I2977" s="6">
        <f t="shared" si="150"/>
        <v>0</v>
      </c>
      <c r="J2977" s="6">
        <f t="shared" si="151"/>
        <v>0</v>
      </c>
      <c r="L2977" s="4" t="str">
        <f>IFERROR(VLOOKUP(ROWS($L$2:L2977),$B$2:$C$1996,2,0),"")</f>
        <v/>
      </c>
      <c r="N2977" s="2" t="str">
        <f>IFERROR(VLOOKUP(ROWS($N$2:N2977),$D$2:$E$1996,2,0),"")</f>
        <v/>
      </c>
    </row>
    <row r="2978" spans="2:14">
      <c r="B2978" s="32">
        <f>IF(ISNUMBER(SEARCH('Φόρμα Εισαγωγής'!$B$2,C2978)),MAX($B$1:B2977)+1,0)</f>
        <v>0</v>
      </c>
      <c r="D2978" s="33">
        <f>IF(ISNUMBER(SEARCH('Φόρμα Εισαγωγής'!$C$2,E2978)),MAX($D$1:D2977)+1,0)</f>
        <v>0</v>
      </c>
      <c r="H2978" s="6">
        <f t="shared" si="149"/>
        <v>0</v>
      </c>
      <c r="I2978" s="6">
        <f t="shared" si="150"/>
        <v>0</v>
      </c>
      <c r="J2978" s="6">
        <f t="shared" si="151"/>
        <v>0</v>
      </c>
      <c r="L2978" s="4" t="str">
        <f>IFERROR(VLOOKUP(ROWS($L$2:L2978),$B$2:$C$1996,2,0),"")</f>
        <v/>
      </c>
      <c r="N2978" s="2" t="str">
        <f>IFERROR(VLOOKUP(ROWS($N$2:N2978),$D$2:$E$1996,2,0),"")</f>
        <v/>
      </c>
    </row>
    <row r="2979" spans="2:14">
      <c r="B2979" s="32">
        <f>IF(ISNUMBER(SEARCH('Φόρμα Εισαγωγής'!$B$2,C2979)),MAX($B$1:B2978)+1,0)</f>
        <v>0</v>
      </c>
      <c r="D2979" s="33">
        <f>IF(ISNUMBER(SEARCH('Φόρμα Εισαγωγής'!$C$2,E2979)),MAX($D$1:D2978)+1,0)</f>
        <v>0</v>
      </c>
      <c r="H2979" s="6">
        <f t="shared" si="149"/>
        <v>0</v>
      </c>
      <c r="I2979" s="6">
        <f t="shared" si="150"/>
        <v>0</v>
      </c>
      <c r="J2979" s="6">
        <f t="shared" si="151"/>
        <v>0</v>
      </c>
      <c r="L2979" s="4" t="str">
        <f>IFERROR(VLOOKUP(ROWS($L$2:L2979),$B$2:$C$1996,2,0),"")</f>
        <v/>
      </c>
      <c r="N2979" s="2" t="str">
        <f>IFERROR(VLOOKUP(ROWS($N$2:N2979),$D$2:$E$1996,2,0),"")</f>
        <v/>
      </c>
    </row>
    <row r="2980" spans="2:14">
      <c r="B2980" s="32">
        <f>IF(ISNUMBER(SEARCH('Φόρμα Εισαγωγής'!$B$2,C2980)),MAX($B$1:B2979)+1,0)</f>
        <v>0</v>
      </c>
      <c r="D2980" s="33">
        <f>IF(ISNUMBER(SEARCH('Φόρμα Εισαγωγής'!$C$2,E2980)),MAX($D$1:D2979)+1,0)</f>
        <v>0</v>
      </c>
      <c r="H2980" s="6">
        <f t="shared" si="149"/>
        <v>0</v>
      </c>
      <c r="I2980" s="6">
        <f t="shared" si="150"/>
        <v>0</v>
      </c>
      <c r="J2980" s="6">
        <f t="shared" si="151"/>
        <v>0</v>
      </c>
      <c r="L2980" s="4" t="str">
        <f>IFERROR(VLOOKUP(ROWS($L$2:L2980),$B$2:$C$1996,2,0),"")</f>
        <v/>
      </c>
      <c r="N2980" s="2" t="str">
        <f>IFERROR(VLOOKUP(ROWS($N$2:N2980),$D$2:$E$1996,2,0),"")</f>
        <v/>
      </c>
    </row>
    <row r="2981" spans="2:14">
      <c r="B2981" s="32">
        <f>IF(ISNUMBER(SEARCH('Φόρμα Εισαγωγής'!$B$2,C2981)),MAX($B$1:B2980)+1,0)</f>
        <v>0</v>
      </c>
      <c r="D2981" s="33">
        <f>IF(ISNUMBER(SEARCH('Φόρμα Εισαγωγής'!$C$2,E2981)),MAX($D$1:D2980)+1,0)</f>
        <v>0</v>
      </c>
      <c r="H2981" s="6">
        <f t="shared" si="149"/>
        <v>0</v>
      </c>
      <c r="I2981" s="6">
        <f t="shared" si="150"/>
        <v>0</v>
      </c>
      <c r="J2981" s="6">
        <f t="shared" si="151"/>
        <v>0</v>
      </c>
      <c r="L2981" s="4" t="str">
        <f>IFERROR(VLOOKUP(ROWS($L$2:L2981),$B$2:$C$1996,2,0),"")</f>
        <v/>
      </c>
      <c r="N2981" s="2" t="str">
        <f>IFERROR(VLOOKUP(ROWS($N$2:N2981),$D$2:$E$1996,2,0),"")</f>
        <v/>
      </c>
    </row>
    <row r="2982" spans="2:14">
      <c r="B2982" s="32">
        <f>IF(ISNUMBER(SEARCH('Φόρμα Εισαγωγής'!$B$2,C2982)),MAX($B$1:B2981)+1,0)</f>
        <v>0</v>
      </c>
      <c r="D2982" s="33">
        <f>IF(ISNUMBER(SEARCH('Φόρμα Εισαγωγής'!$C$2,E2982)),MAX($D$1:D2981)+1,0)</f>
        <v>0</v>
      </c>
      <c r="H2982" s="6">
        <f t="shared" si="149"/>
        <v>0</v>
      </c>
      <c r="I2982" s="6">
        <f t="shared" si="150"/>
        <v>0</v>
      </c>
      <c r="J2982" s="6">
        <f t="shared" si="151"/>
        <v>0</v>
      </c>
      <c r="L2982" s="4" t="str">
        <f>IFERROR(VLOOKUP(ROWS($L$2:L2982),$B$2:$C$1996,2,0),"")</f>
        <v/>
      </c>
      <c r="N2982" s="2" t="str">
        <f>IFERROR(VLOOKUP(ROWS($N$2:N2982),$D$2:$E$1996,2,0),"")</f>
        <v/>
      </c>
    </row>
    <row r="2983" spans="2:14">
      <c r="B2983" s="32">
        <f>IF(ISNUMBER(SEARCH('Φόρμα Εισαγωγής'!$B$2,C2983)),MAX($B$1:B2982)+1,0)</f>
        <v>0</v>
      </c>
      <c r="D2983" s="33">
        <f>IF(ISNUMBER(SEARCH('Φόρμα Εισαγωγής'!$C$2,E2983)),MAX($D$1:D2982)+1,0)</f>
        <v>0</v>
      </c>
      <c r="H2983" s="6">
        <f t="shared" si="149"/>
        <v>0</v>
      </c>
      <c r="I2983" s="6">
        <f t="shared" si="150"/>
        <v>0</v>
      </c>
      <c r="J2983" s="6">
        <f t="shared" si="151"/>
        <v>0</v>
      </c>
      <c r="L2983" s="4" t="str">
        <f>IFERROR(VLOOKUP(ROWS($L$2:L2983),$B$2:$C$1996,2,0),"")</f>
        <v/>
      </c>
      <c r="N2983" s="2" t="str">
        <f>IFERROR(VLOOKUP(ROWS($N$2:N2983),$D$2:$E$1996,2,0),"")</f>
        <v/>
      </c>
    </row>
    <row r="2984" spans="2:14">
      <c r="B2984" s="32">
        <f>IF(ISNUMBER(SEARCH('Φόρμα Εισαγωγής'!$B$2,C2984)),MAX($B$1:B2983)+1,0)</f>
        <v>0</v>
      </c>
      <c r="D2984" s="33">
        <f>IF(ISNUMBER(SEARCH('Φόρμα Εισαγωγής'!$C$2,E2984)),MAX($D$1:D2983)+1,0)</f>
        <v>0</v>
      </c>
      <c r="H2984" s="6">
        <f t="shared" si="149"/>
        <v>0</v>
      </c>
      <c r="I2984" s="6">
        <f t="shared" si="150"/>
        <v>0</v>
      </c>
      <c r="J2984" s="6">
        <f t="shared" si="151"/>
        <v>0</v>
      </c>
      <c r="L2984" s="4" t="str">
        <f>IFERROR(VLOOKUP(ROWS($L$2:L2984),$B$2:$C$1996,2,0),"")</f>
        <v/>
      </c>
      <c r="N2984" s="2" t="str">
        <f>IFERROR(VLOOKUP(ROWS($N$2:N2984),$D$2:$E$1996,2,0),"")</f>
        <v/>
      </c>
    </row>
    <row r="2985" spans="2:14">
      <c r="B2985" s="32">
        <f>IF(ISNUMBER(SEARCH('Φόρμα Εισαγωγής'!$B$2,C2985)),MAX($B$1:B2984)+1,0)</f>
        <v>0</v>
      </c>
      <c r="D2985" s="33">
        <f>IF(ISNUMBER(SEARCH('Φόρμα Εισαγωγής'!$C$2,E2985)),MAX($D$1:D2984)+1,0)</f>
        <v>0</v>
      </c>
      <c r="H2985" s="6">
        <f t="shared" si="149"/>
        <v>0</v>
      </c>
      <c r="I2985" s="6">
        <f t="shared" si="150"/>
        <v>0</v>
      </c>
      <c r="J2985" s="6">
        <f t="shared" si="151"/>
        <v>0</v>
      </c>
      <c r="L2985" s="4" t="str">
        <f>IFERROR(VLOOKUP(ROWS($L$2:L2985),$B$2:$C$1996,2,0),"")</f>
        <v/>
      </c>
      <c r="N2985" s="2" t="str">
        <f>IFERROR(VLOOKUP(ROWS($N$2:N2985),$D$2:$E$1996,2,0),"")</f>
        <v/>
      </c>
    </row>
    <row r="2986" spans="2:14">
      <c r="B2986" s="32">
        <f>IF(ISNUMBER(SEARCH('Φόρμα Εισαγωγής'!$B$2,C2986)),MAX($B$1:B2985)+1,0)</f>
        <v>0</v>
      </c>
      <c r="D2986" s="33">
        <f>IF(ISNUMBER(SEARCH('Φόρμα Εισαγωγής'!$C$2,E2986)),MAX($D$1:D2985)+1,0)</f>
        <v>0</v>
      </c>
      <c r="H2986" s="6">
        <f t="shared" si="149"/>
        <v>0</v>
      </c>
      <c r="I2986" s="6">
        <f t="shared" si="150"/>
        <v>0</v>
      </c>
      <c r="J2986" s="6">
        <f t="shared" si="151"/>
        <v>0</v>
      </c>
      <c r="L2986" s="4" t="str">
        <f>IFERROR(VLOOKUP(ROWS($L$2:L2986),$B$2:$C$1996,2,0),"")</f>
        <v/>
      </c>
      <c r="N2986" s="2" t="str">
        <f>IFERROR(VLOOKUP(ROWS($N$2:N2986),$D$2:$E$1996,2,0),"")</f>
        <v/>
      </c>
    </row>
    <row r="2987" spans="2:14">
      <c r="B2987" s="32">
        <f>IF(ISNUMBER(SEARCH('Φόρμα Εισαγωγής'!$B$2,C2987)),MAX($B$1:B2986)+1,0)</f>
        <v>0</v>
      </c>
      <c r="D2987" s="33">
        <f>IF(ISNUMBER(SEARCH('Φόρμα Εισαγωγής'!$C$2,E2987)),MAX($D$1:D2986)+1,0)</f>
        <v>0</v>
      </c>
      <c r="H2987" s="6">
        <f t="shared" si="149"/>
        <v>0</v>
      </c>
      <c r="I2987" s="6">
        <f t="shared" si="150"/>
        <v>0</v>
      </c>
      <c r="J2987" s="6">
        <f t="shared" si="151"/>
        <v>0</v>
      </c>
      <c r="L2987" s="4" t="str">
        <f>IFERROR(VLOOKUP(ROWS($L$2:L2987),$B$2:$C$1996,2,0),"")</f>
        <v/>
      </c>
      <c r="N2987" s="2" t="str">
        <f>IFERROR(VLOOKUP(ROWS($N$2:N2987),$D$2:$E$1996,2,0),"")</f>
        <v/>
      </c>
    </row>
    <row r="2988" spans="2:14">
      <c r="B2988" s="32">
        <f>IF(ISNUMBER(SEARCH('Φόρμα Εισαγωγής'!$B$2,C2988)),MAX($B$1:B2987)+1,0)</f>
        <v>0</v>
      </c>
      <c r="D2988" s="33">
        <f>IF(ISNUMBER(SEARCH('Φόρμα Εισαγωγής'!$C$2,E2988)),MAX($D$1:D2987)+1,0)</f>
        <v>0</v>
      </c>
      <c r="H2988" s="6">
        <f t="shared" si="149"/>
        <v>0</v>
      </c>
      <c r="I2988" s="6">
        <f t="shared" si="150"/>
        <v>0</v>
      </c>
      <c r="J2988" s="6">
        <f t="shared" si="151"/>
        <v>0</v>
      </c>
      <c r="L2988" s="4" t="str">
        <f>IFERROR(VLOOKUP(ROWS($L$2:L2988),$B$2:$C$1996,2,0),"")</f>
        <v/>
      </c>
      <c r="N2988" s="2" t="str">
        <f>IFERROR(VLOOKUP(ROWS($N$2:N2988),$D$2:$E$1996,2,0),"")</f>
        <v/>
      </c>
    </row>
    <row r="2989" spans="2:14">
      <c r="B2989" s="32">
        <f>IF(ISNUMBER(SEARCH('Φόρμα Εισαγωγής'!$B$2,C2989)),MAX($B$1:B2988)+1,0)</f>
        <v>0</v>
      </c>
      <c r="D2989" s="33">
        <f>IF(ISNUMBER(SEARCH('Φόρμα Εισαγωγής'!$C$2,E2989)),MAX($D$1:D2988)+1,0)</f>
        <v>0</v>
      </c>
      <c r="H2989" s="6">
        <f t="shared" si="149"/>
        <v>0</v>
      </c>
      <c r="I2989" s="6">
        <f t="shared" si="150"/>
        <v>0</v>
      </c>
      <c r="J2989" s="6">
        <f t="shared" si="151"/>
        <v>0</v>
      </c>
      <c r="L2989" s="4" t="str">
        <f>IFERROR(VLOOKUP(ROWS($L$2:L2989),$B$2:$C$1996,2,0),"")</f>
        <v/>
      </c>
      <c r="N2989" s="2" t="str">
        <f>IFERROR(VLOOKUP(ROWS($N$2:N2989),$D$2:$E$1996,2,0),"")</f>
        <v/>
      </c>
    </row>
    <row r="2990" spans="2:14">
      <c r="B2990" s="32">
        <f>IF(ISNUMBER(SEARCH('Φόρμα Εισαγωγής'!$B$2,C2990)),MAX($B$1:B2989)+1,0)</f>
        <v>0</v>
      </c>
      <c r="D2990" s="33">
        <f>IF(ISNUMBER(SEARCH('Φόρμα Εισαγωγής'!$C$2,E2990)),MAX($D$1:D2989)+1,0)</f>
        <v>0</v>
      </c>
      <c r="H2990" s="6">
        <f t="shared" si="149"/>
        <v>0</v>
      </c>
      <c r="I2990" s="6">
        <f t="shared" si="150"/>
        <v>0</v>
      </c>
      <c r="J2990" s="6">
        <f t="shared" si="151"/>
        <v>0</v>
      </c>
      <c r="L2990" s="4" t="str">
        <f>IFERROR(VLOOKUP(ROWS($L$2:L2990),$B$2:$C$1996,2,0),"")</f>
        <v/>
      </c>
      <c r="N2990" s="2" t="str">
        <f>IFERROR(VLOOKUP(ROWS($N$2:N2990),$D$2:$E$1996,2,0),"")</f>
        <v/>
      </c>
    </row>
    <row r="2991" spans="2:14">
      <c r="B2991" s="32">
        <f>IF(ISNUMBER(SEARCH('Φόρμα Εισαγωγής'!$B$2,C2991)),MAX($B$1:B2990)+1,0)</f>
        <v>0</v>
      </c>
      <c r="D2991" s="33">
        <f>IF(ISNUMBER(SEARCH('Φόρμα Εισαγωγής'!$C$2,E2991)),MAX($D$1:D2990)+1,0)</f>
        <v>0</v>
      </c>
      <c r="H2991" s="6">
        <f t="shared" si="149"/>
        <v>0</v>
      </c>
      <c r="I2991" s="6">
        <f t="shared" si="150"/>
        <v>0</v>
      </c>
      <c r="J2991" s="6">
        <f t="shared" si="151"/>
        <v>0</v>
      </c>
      <c r="L2991" s="4" t="str">
        <f>IFERROR(VLOOKUP(ROWS($L$2:L2991),$B$2:$C$1996,2,0),"")</f>
        <v/>
      </c>
      <c r="N2991" s="2" t="str">
        <f>IFERROR(VLOOKUP(ROWS($N$2:N2991),$D$2:$E$1996,2,0),"")</f>
        <v/>
      </c>
    </row>
    <row r="2992" spans="2:14">
      <c r="B2992" s="32">
        <f>IF(ISNUMBER(SEARCH('Φόρμα Εισαγωγής'!$B$2,C2992)),MAX($B$1:B2991)+1,0)</f>
        <v>0</v>
      </c>
      <c r="D2992" s="33">
        <f>IF(ISNUMBER(SEARCH('Φόρμα Εισαγωγής'!$C$2,E2992)),MAX($D$1:D2991)+1,0)</f>
        <v>0</v>
      </c>
      <c r="H2992" s="6">
        <f t="shared" si="149"/>
        <v>0</v>
      </c>
      <c r="I2992" s="6">
        <f t="shared" si="150"/>
        <v>0</v>
      </c>
      <c r="J2992" s="6">
        <f t="shared" si="151"/>
        <v>0</v>
      </c>
      <c r="L2992" s="4" t="str">
        <f>IFERROR(VLOOKUP(ROWS($L$2:L2992),$B$2:$C$1996,2,0),"")</f>
        <v/>
      </c>
      <c r="N2992" s="2" t="str">
        <f>IFERROR(VLOOKUP(ROWS($N$2:N2992),$D$2:$E$1996,2,0),"")</f>
        <v/>
      </c>
    </row>
    <row r="2993" spans="2:14">
      <c r="B2993" s="32">
        <f>IF(ISNUMBER(SEARCH('Φόρμα Εισαγωγής'!$B$2,C2993)),MAX($B$1:B2992)+1,0)</f>
        <v>0</v>
      </c>
      <c r="D2993" s="33">
        <f>IF(ISNUMBER(SEARCH('Φόρμα Εισαγωγής'!$C$2,E2993)),MAX($D$1:D2992)+1,0)</f>
        <v>0</v>
      </c>
      <c r="H2993" s="6">
        <f t="shared" si="149"/>
        <v>0</v>
      </c>
      <c r="I2993" s="6">
        <f t="shared" si="150"/>
        <v>0</v>
      </c>
      <c r="J2993" s="6">
        <f t="shared" si="151"/>
        <v>0</v>
      </c>
      <c r="L2993" s="4" t="str">
        <f>IFERROR(VLOOKUP(ROWS($L$2:L2993),$B$2:$C$1996,2,0),"")</f>
        <v/>
      </c>
      <c r="N2993" s="2" t="str">
        <f>IFERROR(VLOOKUP(ROWS($N$2:N2993),$D$2:$E$1996,2,0),"")</f>
        <v/>
      </c>
    </row>
    <row r="2994" spans="2:14">
      <c r="B2994" s="32">
        <f>IF(ISNUMBER(SEARCH('Φόρμα Εισαγωγής'!$B$2,C2994)),MAX($B$1:B2993)+1,0)</f>
        <v>0</v>
      </c>
      <c r="D2994" s="33">
        <f>IF(ISNUMBER(SEARCH('Φόρμα Εισαγωγής'!$C$2,E2994)),MAX($D$1:D2993)+1,0)</f>
        <v>0</v>
      </c>
      <c r="H2994" s="6">
        <f t="shared" si="149"/>
        <v>0</v>
      </c>
      <c r="I2994" s="6">
        <f t="shared" si="150"/>
        <v>0</v>
      </c>
      <c r="J2994" s="6">
        <f t="shared" si="151"/>
        <v>0</v>
      </c>
      <c r="L2994" s="4" t="str">
        <f>IFERROR(VLOOKUP(ROWS($L$2:L2994),$B$2:$C$1996,2,0),"")</f>
        <v/>
      </c>
      <c r="N2994" s="2" t="str">
        <f>IFERROR(VLOOKUP(ROWS($N$2:N2994),$D$2:$E$1996,2,0),"")</f>
        <v/>
      </c>
    </row>
    <row r="2995" spans="2:14">
      <c r="B2995" s="32">
        <f>IF(ISNUMBER(SEARCH('Φόρμα Εισαγωγής'!$B$2,C2995)),MAX($B$1:B2994)+1,0)</f>
        <v>0</v>
      </c>
      <c r="D2995" s="33">
        <f>IF(ISNUMBER(SEARCH('Φόρμα Εισαγωγής'!$C$2,E2995)),MAX($D$1:D2994)+1,0)</f>
        <v>0</v>
      </c>
      <c r="H2995" s="6">
        <f t="shared" si="149"/>
        <v>0</v>
      </c>
      <c r="I2995" s="6">
        <f t="shared" si="150"/>
        <v>0</v>
      </c>
      <c r="J2995" s="6">
        <f t="shared" si="151"/>
        <v>0</v>
      </c>
      <c r="L2995" s="4" t="str">
        <f>IFERROR(VLOOKUP(ROWS($L$2:L2995),$B$2:$C$1996,2,0),"")</f>
        <v/>
      </c>
      <c r="N2995" s="2" t="str">
        <f>IFERROR(VLOOKUP(ROWS($N$2:N2995),$D$2:$E$1996,2,0),"")</f>
        <v/>
      </c>
    </row>
    <row r="2996" spans="2:14">
      <c r="B2996" s="32">
        <f>IF(ISNUMBER(SEARCH('Φόρμα Εισαγωγής'!$B$2,C2996)),MAX($B$1:B2995)+1,0)</f>
        <v>0</v>
      </c>
      <c r="D2996" s="33">
        <f>IF(ISNUMBER(SEARCH('Φόρμα Εισαγωγής'!$C$2,E2996)),MAX($D$1:D2995)+1,0)</f>
        <v>0</v>
      </c>
      <c r="H2996" s="6">
        <f t="shared" si="149"/>
        <v>0</v>
      </c>
      <c r="I2996" s="6">
        <f t="shared" si="150"/>
        <v>0</v>
      </c>
      <c r="J2996" s="6">
        <f t="shared" si="151"/>
        <v>0</v>
      </c>
      <c r="L2996" s="4" t="str">
        <f>IFERROR(VLOOKUP(ROWS($L$2:L2996),$B$2:$C$1996,2,0),"")</f>
        <v/>
      </c>
      <c r="N2996" s="2" t="str">
        <f>IFERROR(VLOOKUP(ROWS($N$2:N2996),$D$2:$E$1996,2,0),"")</f>
        <v/>
      </c>
    </row>
    <row r="2997" spans="2:14">
      <c r="B2997" s="32">
        <f>IF(ISNUMBER(SEARCH('Φόρμα Εισαγωγής'!$B$2,C2997)),MAX($B$1:B2996)+1,0)</f>
        <v>0</v>
      </c>
      <c r="D2997" s="33">
        <f>IF(ISNUMBER(SEARCH('Φόρμα Εισαγωγής'!$C$2,E2997)),MAX($D$1:D2996)+1,0)</f>
        <v>0</v>
      </c>
      <c r="H2997" s="6">
        <f t="shared" si="149"/>
        <v>0</v>
      </c>
      <c r="I2997" s="6">
        <f t="shared" si="150"/>
        <v>0</v>
      </c>
      <c r="J2997" s="6">
        <f t="shared" si="151"/>
        <v>0</v>
      </c>
      <c r="L2997" s="4" t="str">
        <f>IFERROR(VLOOKUP(ROWS($L$2:L2997),$B$2:$C$1996,2,0),"")</f>
        <v/>
      </c>
      <c r="N2997" s="2" t="str">
        <f>IFERROR(VLOOKUP(ROWS($N$2:N2997),$D$2:$E$1996,2,0),"")</f>
        <v/>
      </c>
    </row>
    <row r="2998" spans="2:14">
      <c r="B2998" s="32">
        <f>IF(ISNUMBER(SEARCH('Φόρμα Εισαγωγής'!$B$2,C2998)),MAX($B$1:B2997)+1,0)</f>
        <v>0</v>
      </c>
      <c r="D2998" s="33">
        <f>IF(ISNUMBER(SEARCH('Φόρμα Εισαγωγής'!$C$2,E2998)),MAX($D$1:D2997)+1,0)</f>
        <v>0</v>
      </c>
      <c r="H2998" s="6">
        <f t="shared" si="149"/>
        <v>0</v>
      </c>
      <c r="I2998" s="6">
        <f t="shared" si="150"/>
        <v>0</v>
      </c>
      <c r="J2998" s="6">
        <f t="shared" si="151"/>
        <v>0</v>
      </c>
      <c r="L2998" s="4" t="str">
        <f>IFERROR(VLOOKUP(ROWS($L$2:L2998),$B$2:$C$1996,2,0),"")</f>
        <v/>
      </c>
      <c r="N2998" s="2" t="str">
        <f>IFERROR(VLOOKUP(ROWS($N$2:N2998),$D$2:$E$1996,2,0),"")</f>
        <v/>
      </c>
    </row>
    <row r="2999" spans="2:14">
      <c r="B2999" s="32">
        <f>IF(ISNUMBER(SEARCH('Φόρμα Εισαγωγής'!$B$2,C2999)),MAX($B$1:B2998)+1,0)</f>
        <v>0</v>
      </c>
      <c r="D2999" s="33">
        <f>IF(ISNUMBER(SEARCH('Φόρμα Εισαγωγής'!$C$2,E2999)),MAX($D$1:D2998)+1,0)</f>
        <v>0</v>
      </c>
      <c r="H2999" s="6">
        <f t="shared" si="149"/>
        <v>0</v>
      </c>
      <c r="I2999" s="6">
        <f t="shared" si="150"/>
        <v>0</v>
      </c>
      <c r="J2999" s="6">
        <f t="shared" si="151"/>
        <v>0</v>
      </c>
      <c r="L2999" s="4" t="str">
        <f>IFERROR(VLOOKUP(ROWS($L$2:L2999),$B$2:$C$1996,2,0),"")</f>
        <v/>
      </c>
      <c r="N2999" s="2" t="str">
        <f>IFERROR(VLOOKUP(ROWS($N$2:N2999),$D$2:$E$1996,2,0),"")</f>
        <v/>
      </c>
    </row>
    <row r="3000" spans="2:14">
      <c r="B3000" s="32">
        <f>IF(ISNUMBER(SEARCH('Φόρμα Εισαγωγής'!$B$2,C3000)),MAX($B$1:B2999)+1,0)</f>
        <v>0</v>
      </c>
      <c r="D3000" s="33">
        <f>IF(ISNUMBER(SEARCH('Φόρμα Εισαγωγής'!$C$2,E3000)),MAX($D$1:D2999)+1,0)</f>
        <v>0</v>
      </c>
      <c r="H3000" s="6">
        <f t="shared" si="149"/>
        <v>0</v>
      </c>
      <c r="I3000" s="6">
        <f t="shared" si="150"/>
        <v>0</v>
      </c>
      <c r="J3000" s="6">
        <f t="shared" si="151"/>
        <v>0</v>
      </c>
      <c r="L3000" s="4" t="str">
        <f>IFERROR(VLOOKUP(ROWS($L$2:L3000),$B$2:$C$1996,2,0),"")</f>
        <v/>
      </c>
      <c r="N3000" s="2" t="str">
        <f>IFERROR(VLOOKUP(ROWS($N$2:N3000),$D$2:$E$1996,2,0),"")</f>
        <v/>
      </c>
    </row>
    <row r="3001" spans="2:14">
      <c r="B3001" s="32">
        <f>IF(ISNUMBER(SEARCH('Φόρμα Εισαγωγής'!$B$2,C3001)),MAX($B$1:B3000)+1,0)</f>
        <v>0</v>
      </c>
      <c r="D3001" s="33">
        <f>IF(ISNUMBER(SEARCH('Φόρμα Εισαγωγής'!$C$2,E3001)),MAX($D$1:D3000)+1,0)</f>
        <v>0</v>
      </c>
      <c r="H3001" s="6">
        <f t="shared" si="149"/>
        <v>0</v>
      </c>
      <c r="I3001" s="6">
        <f t="shared" si="150"/>
        <v>0</v>
      </c>
      <c r="J3001" s="6">
        <f t="shared" si="151"/>
        <v>0</v>
      </c>
      <c r="L3001" s="4" t="str">
        <f>IFERROR(VLOOKUP(ROWS($L$2:L3001),$B$2:$C$1996,2,0),"")</f>
        <v/>
      </c>
      <c r="N3001" s="2" t="str">
        <f>IFERROR(VLOOKUP(ROWS($N$2:N3001),$D$2:$E$1996,2,0),"")</f>
        <v/>
      </c>
    </row>
    <row r="3002" spans="2:14">
      <c r="B3002" s="32">
        <f>IF(ISNUMBER(SEARCH('Φόρμα Εισαγωγής'!$B$2,C3002)),MAX($B$1:B3001)+1,0)</f>
        <v>0</v>
      </c>
      <c r="D3002" s="33">
        <f>IF(ISNUMBER(SEARCH('Φόρμα Εισαγωγής'!$C$2,E3002)),MAX($D$1:D3001)+1,0)</f>
        <v>0</v>
      </c>
      <c r="H3002" s="6">
        <f t="shared" si="149"/>
        <v>0</v>
      </c>
      <c r="I3002" s="6">
        <f t="shared" si="150"/>
        <v>0</v>
      </c>
      <c r="J3002" s="6">
        <f t="shared" si="151"/>
        <v>0</v>
      </c>
      <c r="L3002" s="4" t="str">
        <f>IFERROR(VLOOKUP(ROWS($L$2:L3002),$B$2:$C$1996,2,0),"")</f>
        <v/>
      </c>
      <c r="N3002" s="2" t="str">
        <f>IFERROR(VLOOKUP(ROWS($N$2:N3002),$D$2:$E$1996,2,0),"")</f>
        <v/>
      </c>
    </row>
    <row r="3003" spans="2:14">
      <c r="B3003" s="32">
        <f>IF(ISNUMBER(SEARCH('Φόρμα Εισαγωγής'!$B$2,C3003)),MAX($B$1:B3002)+1,0)</f>
        <v>0</v>
      </c>
      <c r="D3003" s="33">
        <f>IF(ISNUMBER(SEARCH('Φόρμα Εισαγωγής'!$C$2,E3003)),MAX($D$1:D3002)+1,0)</f>
        <v>0</v>
      </c>
      <c r="H3003" s="6">
        <f t="shared" si="149"/>
        <v>0</v>
      </c>
      <c r="I3003" s="6">
        <f t="shared" si="150"/>
        <v>0</v>
      </c>
      <c r="J3003" s="6">
        <f t="shared" si="151"/>
        <v>0</v>
      </c>
      <c r="L3003" s="4" t="str">
        <f>IFERROR(VLOOKUP(ROWS($L$2:L3003),$B$2:$C$1996,2,0),"")</f>
        <v/>
      </c>
      <c r="N3003" s="2" t="str">
        <f>IFERROR(VLOOKUP(ROWS($N$2:N3003),$D$2:$E$1996,2,0),"")</f>
        <v/>
      </c>
    </row>
    <row r="3004" spans="2:14">
      <c r="B3004" s="32">
        <f>IF(ISNUMBER(SEARCH('Φόρμα Εισαγωγής'!$B$2,C3004)),MAX($B$1:B3003)+1,0)</f>
        <v>0</v>
      </c>
      <c r="D3004" s="33">
        <f>IF(ISNUMBER(SEARCH('Φόρμα Εισαγωγής'!$C$2,E3004)),MAX($D$1:D3003)+1,0)</f>
        <v>0</v>
      </c>
      <c r="H3004" s="6">
        <f t="shared" si="149"/>
        <v>0</v>
      </c>
      <c r="I3004" s="6">
        <f t="shared" si="150"/>
        <v>0</v>
      </c>
      <c r="J3004" s="6">
        <f t="shared" si="151"/>
        <v>0</v>
      </c>
      <c r="L3004" s="4" t="str">
        <f>IFERROR(VLOOKUP(ROWS($L$2:L3004),$B$2:$C$1996,2,0),"")</f>
        <v/>
      </c>
      <c r="N3004" s="2" t="str">
        <f>IFERROR(VLOOKUP(ROWS($N$2:N3004),$D$2:$E$1996,2,0),"")</f>
        <v/>
      </c>
    </row>
    <row r="3005" spans="2:14">
      <c r="B3005" s="32">
        <f>IF(ISNUMBER(SEARCH('Φόρμα Εισαγωγής'!$B$2,C3005)),MAX($B$1:B3004)+1,0)</f>
        <v>0</v>
      </c>
      <c r="D3005" s="33">
        <f>IF(ISNUMBER(SEARCH('Φόρμα Εισαγωγής'!$C$2,E3005)),MAX($D$1:D3004)+1,0)</f>
        <v>0</v>
      </c>
      <c r="H3005" s="6">
        <f t="shared" si="149"/>
        <v>0</v>
      </c>
      <c r="I3005" s="6">
        <f t="shared" si="150"/>
        <v>0</v>
      </c>
      <c r="J3005" s="6">
        <f t="shared" si="151"/>
        <v>0</v>
      </c>
      <c r="L3005" s="4" t="str">
        <f>IFERROR(VLOOKUP(ROWS($L$2:L3005),$B$2:$C$1996,2,0),"")</f>
        <v/>
      </c>
      <c r="N3005" s="2" t="str">
        <f>IFERROR(VLOOKUP(ROWS($N$2:N3005),$D$2:$E$1996,2,0),"")</f>
        <v/>
      </c>
    </row>
    <row r="3006" spans="2:14">
      <c r="B3006" s="32">
        <f>IF(ISNUMBER(SEARCH('Φόρμα Εισαγωγής'!$B$2,C3006)),MAX($B$1:B3005)+1,0)</f>
        <v>0</v>
      </c>
      <c r="D3006" s="33">
        <f>IF(ISNUMBER(SEARCH('Φόρμα Εισαγωγής'!$C$2,E3006)),MAX($D$1:D3005)+1,0)</f>
        <v>0</v>
      </c>
      <c r="H3006" s="6">
        <f t="shared" si="149"/>
        <v>0</v>
      </c>
      <c r="I3006" s="6">
        <f t="shared" si="150"/>
        <v>0</v>
      </c>
      <c r="J3006" s="6">
        <f t="shared" si="151"/>
        <v>0</v>
      </c>
      <c r="L3006" s="4" t="str">
        <f>IFERROR(VLOOKUP(ROWS($L$2:L3006),$B$2:$C$1996,2,0),"")</f>
        <v/>
      </c>
      <c r="N3006" s="2" t="str">
        <f>IFERROR(VLOOKUP(ROWS($N$2:N3006),$D$2:$E$1996,2,0),"")</f>
        <v/>
      </c>
    </row>
    <row r="3007" spans="2:14">
      <c r="B3007" s="32">
        <f>IF(ISNUMBER(SEARCH('Φόρμα Εισαγωγής'!$B$2,C3007)),MAX($B$1:B3006)+1,0)</f>
        <v>0</v>
      </c>
      <c r="D3007" s="33">
        <f>IF(ISNUMBER(SEARCH('Φόρμα Εισαγωγής'!$C$2,E3007)),MAX($D$1:D3006)+1,0)</f>
        <v>0</v>
      </c>
      <c r="H3007" s="6">
        <f t="shared" si="149"/>
        <v>0</v>
      </c>
      <c r="I3007" s="6">
        <f t="shared" si="150"/>
        <v>0</v>
      </c>
      <c r="J3007" s="6">
        <f t="shared" si="151"/>
        <v>0</v>
      </c>
      <c r="L3007" s="4" t="str">
        <f>IFERROR(VLOOKUP(ROWS($L$2:L3007),$B$2:$C$1996,2,0),"")</f>
        <v/>
      </c>
      <c r="N3007" s="2" t="str">
        <f>IFERROR(VLOOKUP(ROWS($N$2:N3007),$D$2:$E$1996,2,0),"")</f>
        <v/>
      </c>
    </row>
    <row r="3008" spans="2:14">
      <c r="B3008" s="32">
        <f>IF(ISNUMBER(SEARCH('Φόρμα Εισαγωγής'!$B$2,C3008)),MAX($B$1:B3007)+1,0)</f>
        <v>0</v>
      </c>
      <c r="D3008" s="33">
        <f>IF(ISNUMBER(SEARCH('Φόρμα Εισαγωγής'!$C$2,E3008)),MAX($D$1:D3007)+1,0)</f>
        <v>0</v>
      </c>
      <c r="H3008" s="6">
        <f t="shared" ref="H3008:H3071" si="152">G3008+(G3008*0.24)</f>
        <v>0</v>
      </c>
      <c r="I3008" s="6">
        <f t="shared" ref="I3008:I3071" si="153">F3008*A3008</f>
        <v>0</v>
      </c>
      <c r="J3008" s="6">
        <f t="shared" ref="J3008:J3071" si="154">H3008*A3008</f>
        <v>0</v>
      </c>
      <c r="L3008" s="4" t="str">
        <f>IFERROR(VLOOKUP(ROWS($L$2:L3008),$B$2:$C$1996,2,0),"")</f>
        <v/>
      </c>
      <c r="N3008" s="2" t="str">
        <f>IFERROR(VLOOKUP(ROWS($N$2:N3008),$D$2:$E$1996,2,0),"")</f>
        <v/>
      </c>
    </row>
    <row r="3009" spans="2:14">
      <c r="B3009" s="32">
        <f>IF(ISNUMBER(SEARCH('Φόρμα Εισαγωγής'!$B$2,C3009)),MAX($B$1:B3008)+1,0)</f>
        <v>0</v>
      </c>
      <c r="D3009" s="33">
        <f>IF(ISNUMBER(SEARCH('Φόρμα Εισαγωγής'!$C$2,E3009)),MAX($D$1:D3008)+1,0)</f>
        <v>0</v>
      </c>
      <c r="H3009" s="6">
        <f t="shared" si="152"/>
        <v>0</v>
      </c>
      <c r="I3009" s="6">
        <f t="shared" si="153"/>
        <v>0</v>
      </c>
      <c r="J3009" s="6">
        <f t="shared" si="154"/>
        <v>0</v>
      </c>
      <c r="L3009" s="4" t="str">
        <f>IFERROR(VLOOKUP(ROWS($L$2:L3009),$B$2:$C$1996,2,0),"")</f>
        <v/>
      </c>
      <c r="N3009" s="2" t="str">
        <f>IFERROR(VLOOKUP(ROWS($N$2:N3009),$D$2:$E$1996,2,0),"")</f>
        <v/>
      </c>
    </row>
    <row r="3010" spans="2:14">
      <c r="B3010" s="32">
        <f>IF(ISNUMBER(SEARCH('Φόρμα Εισαγωγής'!$B$2,C3010)),MAX($B$1:B3009)+1,0)</f>
        <v>0</v>
      </c>
      <c r="D3010" s="33">
        <f>IF(ISNUMBER(SEARCH('Φόρμα Εισαγωγής'!$C$2,E3010)),MAX($D$1:D3009)+1,0)</f>
        <v>0</v>
      </c>
      <c r="H3010" s="6">
        <f t="shared" si="152"/>
        <v>0</v>
      </c>
      <c r="I3010" s="6">
        <f t="shared" si="153"/>
        <v>0</v>
      </c>
      <c r="J3010" s="6">
        <f t="shared" si="154"/>
        <v>0</v>
      </c>
      <c r="L3010" s="4" t="str">
        <f>IFERROR(VLOOKUP(ROWS($L$2:L3010),$B$2:$C$1996,2,0),"")</f>
        <v/>
      </c>
      <c r="N3010" s="2" t="str">
        <f>IFERROR(VLOOKUP(ROWS($N$2:N3010),$D$2:$E$1996,2,0),"")</f>
        <v/>
      </c>
    </row>
    <row r="3011" spans="2:14">
      <c r="B3011" s="32">
        <f>IF(ISNUMBER(SEARCH('Φόρμα Εισαγωγής'!$B$2,C3011)),MAX($B$1:B3010)+1,0)</f>
        <v>0</v>
      </c>
      <c r="D3011" s="33">
        <f>IF(ISNUMBER(SEARCH('Φόρμα Εισαγωγής'!$C$2,E3011)),MAX($D$1:D3010)+1,0)</f>
        <v>0</v>
      </c>
      <c r="H3011" s="6">
        <f t="shared" si="152"/>
        <v>0</v>
      </c>
      <c r="I3011" s="6">
        <f t="shared" si="153"/>
        <v>0</v>
      </c>
      <c r="J3011" s="6">
        <f t="shared" si="154"/>
        <v>0</v>
      </c>
      <c r="L3011" s="4" t="str">
        <f>IFERROR(VLOOKUP(ROWS($L$2:L3011),$B$2:$C$1996,2,0),"")</f>
        <v/>
      </c>
      <c r="N3011" s="2" t="str">
        <f>IFERROR(VLOOKUP(ROWS($N$2:N3011),$D$2:$E$1996,2,0),"")</f>
        <v/>
      </c>
    </row>
    <row r="3012" spans="2:14">
      <c r="B3012" s="32">
        <f>IF(ISNUMBER(SEARCH('Φόρμα Εισαγωγής'!$B$2,C3012)),MAX($B$1:B3011)+1,0)</f>
        <v>0</v>
      </c>
      <c r="D3012" s="33">
        <f>IF(ISNUMBER(SEARCH('Φόρμα Εισαγωγής'!$C$2,E3012)),MAX($D$1:D3011)+1,0)</f>
        <v>0</v>
      </c>
      <c r="H3012" s="6">
        <f t="shared" si="152"/>
        <v>0</v>
      </c>
      <c r="I3012" s="6">
        <f t="shared" si="153"/>
        <v>0</v>
      </c>
      <c r="J3012" s="6">
        <f t="shared" si="154"/>
        <v>0</v>
      </c>
      <c r="L3012" s="4" t="str">
        <f>IFERROR(VLOOKUP(ROWS($L$2:L3012),$B$2:$C$1996,2,0),"")</f>
        <v/>
      </c>
      <c r="N3012" s="2" t="str">
        <f>IFERROR(VLOOKUP(ROWS($N$2:N3012),$D$2:$E$1996,2,0),"")</f>
        <v/>
      </c>
    </row>
    <row r="3013" spans="2:14">
      <c r="B3013" s="32">
        <f>IF(ISNUMBER(SEARCH('Φόρμα Εισαγωγής'!$B$2,C3013)),MAX($B$1:B3012)+1,0)</f>
        <v>0</v>
      </c>
      <c r="D3013" s="33">
        <f>IF(ISNUMBER(SEARCH('Φόρμα Εισαγωγής'!$C$2,E3013)),MAX($D$1:D3012)+1,0)</f>
        <v>0</v>
      </c>
      <c r="H3013" s="6">
        <f t="shared" si="152"/>
        <v>0</v>
      </c>
      <c r="I3013" s="6">
        <f t="shared" si="153"/>
        <v>0</v>
      </c>
      <c r="J3013" s="6">
        <f t="shared" si="154"/>
        <v>0</v>
      </c>
      <c r="L3013" s="4" t="str">
        <f>IFERROR(VLOOKUP(ROWS($L$2:L3013),$B$2:$C$1996,2,0),"")</f>
        <v/>
      </c>
      <c r="N3013" s="2" t="str">
        <f>IFERROR(VLOOKUP(ROWS($N$2:N3013),$D$2:$E$1996,2,0),"")</f>
        <v/>
      </c>
    </row>
    <row r="3014" spans="2:14">
      <c r="B3014" s="32">
        <f>IF(ISNUMBER(SEARCH('Φόρμα Εισαγωγής'!$B$2,C3014)),MAX($B$1:B3013)+1,0)</f>
        <v>0</v>
      </c>
      <c r="D3014" s="33">
        <f>IF(ISNUMBER(SEARCH('Φόρμα Εισαγωγής'!$C$2,E3014)),MAX($D$1:D3013)+1,0)</f>
        <v>0</v>
      </c>
      <c r="H3014" s="6">
        <f t="shared" si="152"/>
        <v>0</v>
      </c>
      <c r="I3014" s="6">
        <f t="shared" si="153"/>
        <v>0</v>
      </c>
      <c r="J3014" s="6">
        <f t="shared" si="154"/>
        <v>0</v>
      </c>
      <c r="L3014" s="4" t="str">
        <f>IFERROR(VLOOKUP(ROWS($L$2:L3014),$B$2:$C$1996,2,0),"")</f>
        <v/>
      </c>
      <c r="N3014" s="2" t="str">
        <f>IFERROR(VLOOKUP(ROWS($N$2:N3014),$D$2:$E$1996,2,0),"")</f>
        <v/>
      </c>
    </row>
    <row r="3015" spans="2:14">
      <c r="B3015" s="32">
        <f>IF(ISNUMBER(SEARCH('Φόρμα Εισαγωγής'!$B$2,C3015)),MAX($B$1:B3014)+1,0)</f>
        <v>0</v>
      </c>
      <c r="D3015" s="33">
        <f>IF(ISNUMBER(SEARCH('Φόρμα Εισαγωγής'!$C$2,E3015)),MAX($D$1:D3014)+1,0)</f>
        <v>0</v>
      </c>
      <c r="H3015" s="6">
        <f t="shared" si="152"/>
        <v>0</v>
      </c>
      <c r="I3015" s="6">
        <f t="shared" si="153"/>
        <v>0</v>
      </c>
      <c r="J3015" s="6">
        <f t="shared" si="154"/>
        <v>0</v>
      </c>
      <c r="L3015" s="4" t="str">
        <f>IFERROR(VLOOKUP(ROWS($L$2:L3015),$B$2:$C$1996,2,0),"")</f>
        <v/>
      </c>
      <c r="N3015" s="2" t="str">
        <f>IFERROR(VLOOKUP(ROWS($N$2:N3015),$D$2:$E$1996,2,0),"")</f>
        <v/>
      </c>
    </row>
    <row r="3016" spans="2:14">
      <c r="B3016" s="32">
        <f>IF(ISNUMBER(SEARCH('Φόρμα Εισαγωγής'!$B$2,C3016)),MAX($B$1:B3015)+1,0)</f>
        <v>0</v>
      </c>
      <c r="D3016" s="33">
        <f>IF(ISNUMBER(SEARCH('Φόρμα Εισαγωγής'!$C$2,E3016)),MAX($D$1:D3015)+1,0)</f>
        <v>0</v>
      </c>
      <c r="H3016" s="6">
        <f t="shared" si="152"/>
        <v>0</v>
      </c>
      <c r="I3016" s="6">
        <f t="shared" si="153"/>
        <v>0</v>
      </c>
      <c r="J3016" s="6">
        <f t="shared" si="154"/>
        <v>0</v>
      </c>
      <c r="L3016" s="4" t="str">
        <f>IFERROR(VLOOKUP(ROWS($L$2:L3016),$B$2:$C$1996,2,0),"")</f>
        <v/>
      </c>
      <c r="N3016" s="2" t="str">
        <f>IFERROR(VLOOKUP(ROWS($N$2:N3016),$D$2:$E$1996,2,0),"")</f>
        <v/>
      </c>
    </row>
    <row r="3017" spans="2:14">
      <c r="B3017" s="32">
        <f>IF(ISNUMBER(SEARCH('Φόρμα Εισαγωγής'!$B$2,C3017)),MAX($B$1:B3016)+1,0)</f>
        <v>0</v>
      </c>
      <c r="D3017" s="33">
        <f>IF(ISNUMBER(SEARCH('Φόρμα Εισαγωγής'!$C$2,E3017)),MAX($D$1:D3016)+1,0)</f>
        <v>0</v>
      </c>
      <c r="H3017" s="6">
        <f t="shared" si="152"/>
        <v>0</v>
      </c>
      <c r="I3017" s="6">
        <f t="shared" si="153"/>
        <v>0</v>
      </c>
      <c r="J3017" s="6">
        <f t="shared" si="154"/>
        <v>0</v>
      </c>
      <c r="L3017" s="4" t="str">
        <f>IFERROR(VLOOKUP(ROWS($L$2:L3017),$B$2:$C$1996,2,0),"")</f>
        <v/>
      </c>
      <c r="N3017" s="2" t="str">
        <f>IFERROR(VLOOKUP(ROWS($N$2:N3017),$D$2:$E$1996,2,0),"")</f>
        <v/>
      </c>
    </row>
    <row r="3018" spans="2:14">
      <c r="B3018" s="32">
        <f>IF(ISNUMBER(SEARCH('Φόρμα Εισαγωγής'!$B$2,C3018)),MAX($B$1:B3017)+1,0)</f>
        <v>0</v>
      </c>
      <c r="D3018" s="33">
        <f>IF(ISNUMBER(SEARCH('Φόρμα Εισαγωγής'!$C$2,E3018)),MAX($D$1:D3017)+1,0)</f>
        <v>0</v>
      </c>
      <c r="H3018" s="6">
        <f t="shared" si="152"/>
        <v>0</v>
      </c>
      <c r="I3018" s="6">
        <f t="shared" si="153"/>
        <v>0</v>
      </c>
      <c r="J3018" s="6">
        <f t="shared" si="154"/>
        <v>0</v>
      </c>
      <c r="L3018" s="4" t="str">
        <f>IFERROR(VLOOKUP(ROWS($L$2:L3018),$B$2:$C$1996,2,0),"")</f>
        <v/>
      </c>
      <c r="N3018" s="2" t="str">
        <f>IFERROR(VLOOKUP(ROWS($N$2:N3018),$D$2:$E$1996,2,0),"")</f>
        <v/>
      </c>
    </row>
    <row r="3019" spans="2:14">
      <c r="B3019" s="32">
        <f>IF(ISNUMBER(SEARCH('Φόρμα Εισαγωγής'!$B$2,C3019)),MAX($B$1:B3018)+1,0)</f>
        <v>0</v>
      </c>
      <c r="D3019" s="33">
        <f>IF(ISNUMBER(SEARCH('Φόρμα Εισαγωγής'!$C$2,E3019)),MAX($D$1:D3018)+1,0)</f>
        <v>0</v>
      </c>
      <c r="H3019" s="6">
        <f t="shared" si="152"/>
        <v>0</v>
      </c>
      <c r="I3019" s="6">
        <f t="shared" si="153"/>
        <v>0</v>
      </c>
      <c r="J3019" s="6">
        <f t="shared" si="154"/>
        <v>0</v>
      </c>
      <c r="L3019" s="4" t="str">
        <f>IFERROR(VLOOKUP(ROWS($L$2:L3019),$B$2:$C$1996,2,0),"")</f>
        <v/>
      </c>
      <c r="N3019" s="2" t="str">
        <f>IFERROR(VLOOKUP(ROWS($N$2:N3019),$D$2:$E$1996,2,0),"")</f>
        <v/>
      </c>
    </row>
    <row r="3020" spans="2:14">
      <c r="B3020" s="32">
        <f>IF(ISNUMBER(SEARCH('Φόρμα Εισαγωγής'!$B$2,C3020)),MAX($B$1:B3019)+1,0)</f>
        <v>0</v>
      </c>
      <c r="D3020" s="33">
        <f>IF(ISNUMBER(SEARCH('Φόρμα Εισαγωγής'!$C$2,E3020)),MAX($D$1:D3019)+1,0)</f>
        <v>0</v>
      </c>
      <c r="H3020" s="6">
        <f t="shared" si="152"/>
        <v>0</v>
      </c>
      <c r="I3020" s="6">
        <f t="shared" si="153"/>
        <v>0</v>
      </c>
      <c r="J3020" s="6">
        <f t="shared" si="154"/>
        <v>0</v>
      </c>
      <c r="L3020" s="4" t="str">
        <f>IFERROR(VLOOKUP(ROWS($L$2:L3020),$B$2:$C$1996,2,0),"")</f>
        <v/>
      </c>
      <c r="N3020" s="2" t="str">
        <f>IFERROR(VLOOKUP(ROWS($N$2:N3020),$D$2:$E$1996,2,0),"")</f>
        <v/>
      </c>
    </row>
    <row r="3021" spans="2:14">
      <c r="B3021" s="32">
        <f>IF(ISNUMBER(SEARCH('Φόρμα Εισαγωγής'!$B$2,C3021)),MAX($B$1:B3020)+1,0)</f>
        <v>0</v>
      </c>
      <c r="D3021" s="33">
        <f>IF(ISNUMBER(SEARCH('Φόρμα Εισαγωγής'!$C$2,E3021)),MAX($D$1:D3020)+1,0)</f>
        <v>0</v>
      </c>
      <c r="H3021" s="6">
        <f t="shared" si="152"/>
        <v>0</v>
      </c>
      <c r="I3021" s="6">
        <f t="shared" si="153"/>
        <v>0</v>
      </c>
      <c r="J3021" s="6">
        <f t="shared" si="154"/>
        <v>0</v>
      </c>
      <c r="L3021" s="4" t="str">
        <f>IFERROR(VLOOKUP(ROWS($L$2:L3021),$B$2:$C$1996,2,0),"")</f>
        <v/>
      </c>
      <c r="N3021" s="2" t="str">
        <f>IFERROR(VLOOKUP(ROWS($N$2:N3021),$D$2:$E$1996,2,0),"")</f>
        <v/>
      </c>
    </row>
    <row r="3022" spans="2:14">
      <c r="B3022" s="32">
        <f>IF(ISNUMBER(SEARCH('Φόρμα Εισαγωγής'!$B$2,C3022)),MAX($B$1:B3021)+1,0)</f>
        <v>0</v>
      </c>
      <c r="D3022" s="33">
        <f>IF(ISNUMBER(SEARCH('Φόρμα Εισαγωγής'!$C$2,E3022)),MAX($D$1:D3021)+1,0)</f>
        <v>0</v>
      </c>
      <c r="H3022" s="6">
        <f t="shared" si="152"/>
        <v>0</v>
      </c>
      <c r="I3022" s="6">
        <f t="shared" si="153"/>
        <v>0</v>
      </c>
      <c r="J3022" s="6">
        <f t="shared" si="154"/>
        <v>0</v>
      </c>
      <c r="L3022" s="4" t="str">
        <f>IFERROR(VLOOKUP(ROWS($L$2:L3022),$B$2:$C$1996,2,0),"")</f>
        <v/>
      </c>
      <c r="N3022" s="2" t="str">
        <f>IFERROR(VLOOKUP(ROWS($N$2:N3022),$D$2:$E$1996,2,0),"")</f>
        <v/>
      </c>
    </row>
    <row r="3023" spans="2:14">
      <c r="B3023" s="32">
        <f>IF(ISNUMBER(SEARCH('Φόρμα Εισαγωγής'!$B$2,C3023)),MAX($B$1:B3022)+1,0)</f>
        <v>0</v>
      </c>
      <c r="D3023" s="33">
        <f>IF(ISNUMBER(SEARCH('Φόρμα Εισαγωγής'!$C$2,E3023)),MAX($D$1:D3022)+1,0)</f>
        <v>0</v>
      </c>
      <c r="H3023" s="6">
        <f t="shared" si="152"/>
        <v>0</v>
      </c>
      <c r="I3023" s="6">
        <f t="shared" si="153"/>
        <v>0</v>
      </c>
      <c r="J3023" s="6">
        <f t="shared" si="154"/>
        <v>0</v>
      </c>
      <c r="L3023" s="4" t="str">
        <f>IFERROR(VLOOKUP(ROWS($L$2:L3023),$B$2:$C$1996,2,0),"")</f>
        <v/>
      </c>
      <c r="N3023" s="2" t="str">
        <f>IFERROR(VLOOKUP(ROWS($N$2:N3023),$D$2:$E$1996,2,0),"")</f>
        <v/>
      </c>
    </row>
    <row r="3024" spans="2:14">
      <c r="B3024" s="32">
        <f>IF(ISNUMBER(SEARCH('Φόρμα Εισαγωγής'!$B$2,C3024)),MAX($B$1:B3023)+1,0)</f>
        <v>0</v>
      </c>
      <c r="D3024" s="33">
        <f>IF(ISNUMBER(SEARCH('Φόρμα Εισαγωγής'!$C$2,E3024)),MAX($D$1:D3023)+1,0)</f>
        <v>0</v>
      </c>
      <c r="H3024" s="6">
        <f t="shared" si="152"/>
        <v>0</v>
      </c>
      <c r="I3024" s="6">
        <f t="shared" si="153"/>
        <v>0</v>
      </c>
      <c r="J3024" s="6">
        <f t="shared" si="154"/>
        <v>0</v>
      </c>
      <c r="L3024" s="4" t="str">
        <f>IFERROR(VLOOKUP(ROWS($L$2:L3024),$B$2:$C$1996,2,0),"")</f>
        <v/>
      </c>
      <c r="N3024" s="2" t="str">
        <f>IFERROR(VLOOKUP(ROWS($N$2:N3024),$D$2:$E$1996,2,0),"")</f>
        <v/>
      </c>
    </row>
    <row r="3025" spans="2:14">
      <c r="B3025" s="32">
        <f>IF(ISNUMBER(SEARCH('Φόρμα Εισαγωγής'!$B$2,C3025)),MAX($B$1:B3024)+1,0)</f>
        <v>0</v>
      </c>
      <c r="D3025" s="33">
        <f>IF(ISNUMBER(SEARCH('Φόρμα Εισαγωγής'!$C$2,E3025)),MAX($D$1:D3024)+1,0)</f>
        <v>0</v>
      </c>
      <c r="H3025" s="6">
        <f t="shared" si="152"/>
        <v>0</v>
      </c>
      <c r="I3025" s="6">
        <f t="shared" si="153"/>
        <v>0</v>
      </c>
      <c r="J3025" s="6">
        <f t="shared" si="154"/>
        <v>0</v>
      </c>
      <c r="L3025" s="4" t="str">
        <f>IFERROR(VLOOKUP(ROWS($L$2:L3025),$B$2:$C$1996,2,0),"")</f>
        <v/>
      </c>
      <c r="N3025" s="2" t="str">
        <f>IFERROR(VLOOKUP(ROWS($N$2:N3025),$D$2:$E$1996,2,0),"")</f>
        <v/>
      </c>
    </row>
    <row r="3026" spans="2:14">
      <c r="B3026" s="32">
        <f>IF(ISNUMBER(SEARCH('Φόρμα Εισαγωγής'!$B$2,C3026)),MAX($B$1:B3025)+1,0)</f>
        <v>0</v>
      </c>
      <c r="D3026" s="33">
        <f>IF(ISNUMBER(SEARCH('Φόρμα Εισαγωγής'!$C$2,E3026)),MAX($D$1:D3025)+1,0)</f>
        <v>0</v>
      </c>
      <c r="H3026" s="6">
        <f t="shared" si="152"/>
        <v>0</v>
      </c>
      <c r="I3026" s="6">
        <f t="shared" si="153"/>
        <v>0</v>
      </c>
      <c r="J3026" s="6">
        <f t="shared" si="154"/>
        <v>0</v>
      </c>
      <c r="L3026" s="4" t="str">
        <f>IFERROR(VLOOKUP(ROWS($L$2:L3026),$B$2:$C$1996,2,0),"")</f>
        <v/>
      </c>
      <c r="N3026" s="2" t="str">
        <f>IFERROR(VLOOKUP(ROWS($N$2:N3026),$D$2:$E$1996,2,0),"")</f>
        <v/>
      </c>
    </row>
    <row r="3027" spans="2:14">
      <c r="B3027" s="32">
        <f>IF(ISNUMBER(SEARCH('Φόρμα Εισαγωγής'!$B$2,C3027)),MAX($B$1:B3026)+1,0)</f>
        <v>0</v>
      </c>
      <c r="D3027" s="33">
        <f>IF(ISNUMBER(SEARCH('Φόρμα Εισαγωγής'!$C$2,E3027)),MAX($D$1:D3026)+1,0)</f>
        <v>0</v>
      </c>
      <c r="H3027" s="6">
        <f t="shared" si="152"/>
        <v>0</v>
      </c>
      <c r="I3027" s="6">
        <f t="shared" si="153"/>
        <v>0</v>
      </c>
      <c r="J3027" s="6">
        <f t="shared" si="154"/>
        <v>0</v>
      </c>
      <c r="L3027" s="4" t="str">
        <f>IFERROR(VLOOKUP(ROWS($L$2:L3027),$B$2:$C$1996,2,0),"")</f>
        <v/>
      </c>
      <c r="N3027" s="2" t="str">
        <f>IFERROR(VLOOKUP(ROWS($N$2:N3027),$D$2:$E$1996,2,0),"")</f>
        <v/>
      </c>
    </row>
    <row r="3028" spans="2:14">
      <c r="B3028" s="32">
        <f>IF(ISNUMBER(SEARCH('Φόρμα Εισαγωγής'!$B$2,C3028)),MAX($B$1:B3027)+1,0)</f>
        <v>0</v>
      </c>
      <c r="D3028" s="33">
        <f>IF(ISNUMBER(SEARCH('Φόρμα Εισαγωγής'!$C$2,E3028)),MAX($D$1:D3027)+1,0)</f>
        <v>0</v>
      </c>
      <c r="H3028" s="6">
        <f t="shared" si="152"/>
        <v>0</v>
      </c>
      <c r="I3028" s="6">
        <f t="shared" si="153"/>
        <v>0</v>
      </c>
      <c r="J3028" s="6">
        <f t="shared" si="154"/>
        <v>0</v>
      </c>
      <c r="L3028" s="4" t="str">
        <f>IFERROR(VLOOKUP(ROWS($L$2:L3028),$B$2:$C$1996,2,0),"")</f>
        <v/>
      </c>
      <c r="N3028" s="2" t="str">
        <f>IFERROR(VLOOKUP(ROWS($N$2:N3028),$D$2:$E$1996,2,0),"")</f>
        <v/>
      </c>
    </row>
    <row r="3029" spans="2:14">
      <c r="B3029" s="32">
        <f>IF(ISNUMBER(SEARCH('Φόρμα Εισαγωγής'!$B$2,C3029)),MAX($B$1:B3028)+1,0)</f>
        <v>0</v>
      </c>
      <c r="D3029" s="33">
        <f>IF(ISNUMBER(SEARCH('Φόρμα Εισαγωγής'!$C$2,E3029)),MAX($D$1:D3028)+1,0)</f>
        <v>0</v>
      </c>
      <c r="H3029" s="6">
        <f t="shared" si="152"/>
        <v>0</v>
      </c>
      <c r="I3029" s="6">
        <f t="shared" si="153"/>
        <v>0</v>
      </c>
      <c r="J3029" s="6">
        <f t="shared" si="154"/>
        <v>0</v>
      </c>
      <c r="L3029" s="4" t="str">
        <f>IFERROR(VLOOKUP(ROWS($L$2:L3029),$B$2:$C$1996,2,0),"")</f>
        <v/>
      </c>
      <c r="N3029" s="2" t="str">
        <f>IFERROR(VLOOKUP(ROWS($N$2:N3029),$D$2:$E$1996,2,0),"")</f>
        <v/>
      </c>
    </row>
    <row r="3030" spans="2:14">
      <c r="B3030" s="32">
        <f>IF(ISNUMBER(SEARCH('Φόρμα Εισαγωγής'!$B$2,C3030)),MAX($B$1:B3029)+1,0)</f>
        <v>0</v>
      </c>
      <c r="D3030" s="33">
        <f>IF(ISNUMBER(SEARCH('Φόρμα Εισαγωγής'!$C$2,E3030)),MAX($D$1:D3029)+1,0)</f>
        <v>0</v>
      </c>
      <c r="H3030" s="6">
        <f t="shared" si="152"/>
        <v>0</v>
      </c>
      <c r="I3030" s="6">
        <f t="shared" si="153"/>
        <v>0</v>
      </c>
      <c r="J3030" s="6">
        <f t="shared" si="154"/>
        <v>0</v>
      </c>
      <c r="L3030" s="4" t="str">
        <f>IFERROR(VLOOKUP(ROWS($L$2:L3030),$B$2:$C$1996,2,0),"")</f>
        <v/>
      </c>
      <c r="N3030" s="2" t="str">
        <f>IFERROR(VLOOKUP(ROWS($N$2:N3030),$D$2:$E$1996,2,0),"")</f>
        <v/>
      </c>
    </row>
    <row r="3031" spans="2:14">
      <c r="B3031" s="32">
        <f>IF(ISNUMBER(SEARCH('Φόρμα Εισαγωγής'!$B$2,C3031)),MAX($B$1:B3030)+1,0)</f>
        <v>0</v>
      </c>
      <c r="D3031" s="33">
        <f>IF(ISNUMBER(SEARCH('Φόρμα Εισαγωγής'!$C$2,E3031)),MAX($D$1:D3030)+1,0)</f>
        <v>0</v>
      </c>
      <c r="H3031" s="6">
        <f t="shared" si="152"/>
        <v>0</v>
      </c>
      <c r="I3031" s="6">
        <f t="shared" si="153"/>
        <v>0</v>
      </c>
      <c r="J3031" s="6">
        <f t="shared" si="154"/>
        <v>0</v>
      </c>
      <c r="L3031" s="4" t="str">
        <f>IFERROR(VLOOKUP(ROWS($L$2:L3031),$B$2:$C$1996,2,0),"")</f>
        <v/>
      </c>
      <c r="N3031" s="2" t="str">
        <f>IFERROR(VLOOKUP(ROWS($N$2:N3031),$D$2:$E$1996,2,0),"")</f>
        <v/>
      </c>
    </row>
    <row r="3032" spans="2:14">
      <c r="B3032" s="32">
        <f>IF(ISNUMBER(SEARCH('Φόρμα Εισαγωγής'!$B$2,C3032)),MAX($B$1:B3031)+1,0)</f>
        <v>0</v>
      </c>
      <c r="D3032" s="33">
        <f>IF(ISNUMBER(SEARCH('Φόρμα Εισαγωγής'!$C$2,E3032)),MAX($D$1:D3031)+1,0)</f>
        <v>0</v>
      </c>
      <c r="H3032" s="6">
        <f t="shared" si="152"/>
        <v>0</v>
      </c>
      <c r="I3032" s="6">
        <f t="shared" si="153"/>
        <v>0</v>
      </c>
      <c r="J3032" s="6">
        <f t="shared" si="154"/>
        <v>0</v>
      </c>
      <c r="L3032" s="4" t="str">
        <f>IFERROR(VLOOKUP(ROWS($L$2:L3032),$B$2:$C$1996,2,0),"")</f>
        <v/>
      </c>
      <c r="N3032" s="2" t="str">
        <f>IFERROR(VLOOKUP(ROWS($N$2:N3032),$D$2:$E$1996,2,0),"")</f>
        <v/>
      </c>
    </row>
    <row r="3033" spans="2:14">
      <c r="B3033" s="32">
        <f>IF(ISNUMBER(SEARCH('Φόρμα Εισαγωγής'!$B$2,C3033)),MAX($B$1:B3032)+1,0)</f>
        <v>0</v>
      </c>
      <c r="D3033" s="33">
        <f>IF(ISNUMBER(SEARCH('Φόρμα Εισαγωγής'!$C$2,E3033)),MAX($D$1:D3032)+1,0)</f>
        <v>0</v>
      </c>
      <c r="H3033" s="6">
        <f t="shared" si="152"/>
        <v>0</v>
      </c>
      <c r="I3033" s="6">
        <f t="shared" si="153"/>
        <v>0</v>
      </c>
      <c r="J3033" s="6">
        <f t="shared" si="154"/>
        <v>0</v>
      </c>
      <c r="L3033" s="4" t="str">
        <f>IFERROR(VLOOKUP(ROWS($L$2:L3033),$B$2:$C$1996,2,0),"")</f>
        <v/>
      </c>
      <c r="N3033" s="2" t="str">
        <f>IFERROR(VLOOKUP(ROWS($N$2:N3033),$D$2:$E$1996,2,0),"")</f>
        <v/>
      </c>
    </row>
    <row r="3034" spans="2:14">
      <c r="B3034" s="32">
        <f>IF(ISNUMBER(SEARCH('Φόρμα Εισαγωγής'!$B$2,C3034)),MAX($B$1:B3033)+1,0)</f>
        <v>0</v>
      </c>
      <c r="D3034" s="33">
        <f>IF(ISNUMBER(SEARCH('Φόρμα Εισαγωγής'!$C$2,E3034)),MAX($D$1:D3033)+1,0)</f>
        <v>0</v>
      </c>
      <c r="H3034" s="6">
        <f t="shared" si="152"/>
        <v>0</v>
      </c>
      <c r="I3034" s="6">
        <f t="shared" si="153"/>
        <v>0</v>
      </c>
      <c r="J3034" s="6">
        <f t="shared" si="154"/>
        <v>0</v>
      </c>
      <c r="L3034" s="4" t="str">
        <f>IFERROR(VLOOKUP(ROWS($L$2:L3034),$B$2:$C$1996,2,0),"")</f>
        <v/>
      </c>
      <c r="N3034" s="2" t="str">
        <f>IFERROR(VLOOKUP(ROWS($N$2:N3034),$D$2:$E$1996,2,0),"")</f>
        <v/>
      </c>
    </row>
    <row r="3035" spans="2:14">
      <c r="B3035" s="32">
        <f>IF(ISNUMBER(SEARCH('Φόρμα Εισαγωγής'!$B$2,C3035)),MAX($B$1:B3034)+1,0)</f>
        <v>0</v>
      </c>
      <c r="D3035" s="33">
        <f>IF(ISNUMBER(SEARCH('Φόρμα Εισαγωγής'!$C$2,E3035)),MAX($D$1:D3034)+1,0)</f>
        <v>0</v>
      </c>
      <c r="H3035" s="6">
        <f t="shared" si="152"/>
        <v>0</v>
      </c>
      <c r="I3035" s="6">
        <f t="shared" si="153"/>
        <v>0</v>
      </c>
      <c r="J3035" s="6">
        <f t="shared" si="154"/>
        <v>0</v>
      </c>
      <c r="L3035" s="4" t="str">
        <f>IFERROR(VLOOKUP(ROWS($L$2:L3035),$B$2:$C$1996,2,0),"")</f>
        <v/>
      </c>
      <c r="N3035" s="2" t="str">
        <f>IFERROR(VLOOKUP(ROWS($N$2:N3035),$D$2:$E$1996,2,0),"")</f>
        <v/>
      </c>
    </row>
    <row r="3036" spans="2:14">
      <c r="B3036" s="32">
        <f>IF(ISNUMBER(SEARCH('Φόρμα Εισαγωγής'!$B$2,C3036)),MAX($B$1:B3035)+1,0)</f>
        <v>0</v>
      </c>
      <c r="D3036" s="33">
        <f>IF(ISNUMBER(SEARCH('Φόρμα Εισαγωγής'!$C$2,E3036)),MAX($D$1:D3035)+1,0)</f>
        <v>0</v>
      </c>
      <c r="H3036" s="6">
        <f t="shared" si="152"/>
        <v>0</v>
      </c>
      <c r="I3036" s="6">
        <f t="shared" si="153"/>
        <v>0</v>
      </c>
      <c r="J3036" s="6">
        <f t="shared" si="154"/>
        <v>0</v>
      </c>
      <c r="L3036" s="4" t="str">
        <f>IFERROR(VLOOKUP(ROWS($L$2:L3036),$B$2:$C$1996,2,0),"")</f>
        <v/>
      </c>
      <c r="N3036" s="2" t="str">
        <f>IFERROR(VLOOKUP(ROWS($N$2:N3036),$D$2:$E$1996,2,0),"")</f>
        <v/>
      </c>
    </row>
    <row r="3037" spans="2:14">
      <c r="B3037" s="32">
        <f>IF(ISNUMBER(SEARCH('Φόρμα Εισαγωγής'!$B$2,C3037)),MAX($B$1:B3036)+1,0)</f>
        <v>0</v>
      </c>
      <c r="D3037" s="33">
        <f>IF(ISNUMBER(SEARCH('Φόρμα Εισαγωγής'!$C$2,E3037)),MAX($D$1:D3036)+1,0)</f>
        <v>0</v>
      </c>
      <c r="H3037" s="6">
        <f t="shared" si="152"/>
        <v>0</v>
      </c>
      <c r="I3037" s="6">
        <f t="shared" si="153"/>
        <v>0</v>
      </c>
      <c r="J3037" s="6">
        <f t="shared" si="154"/>
        <v>0</v>
      </c>
      <c r="L3037" s="4" t="str">
        <f>IFERROR(VLOOKUP(ROWS($L$2:L3037),$B$2:$C$1996,2,0),"")</f>
        <v/>
      </c>
      <c r="N3037" s="2" t="str">
        <f>IFERROR(VLOOKUP(ROWS($N$2:N3037),$D$2:$E$1996,2,0),"")</f>
        <v/>
      </c>
    </row>
    <row r="3038" spans="2:14">
      <c r="B3038" s="32">
        <f>IF(ISNUMBER(SEARCH('Φόρμα Εισαγωγής'!$B$2,C3038)),MAX($B$1:B3037)+1,0)</f>
        <v>0</v>
      </c>
      <c r="D3038" s="33">
        <f>IF(ISNUMBER(SEARCH('Φόρμα Εισαγωγής'!$C$2,E3038)),MAX($D$1:D3037)+1,0)</f>
        <v>0</v>
      </c>
      <c r="H3038" s="6">
        <f t="shared" si="152"/>
        <v>0</v>
      </c>
      <c r="I3038" s="6">
        <f t="shared" si="153"/>
        <v>0</v>
      </c>
      <c r="J3038" s="6">
        <f t="shared" si="154"/>
        <v>0</v>
      </c>
      <c r="L3038" s="4" t="str">
        <f>IFERROR(VLOOKUP(ROWS($L$2:L3038),$B$2:$C$1996,2,0),"")</f>
        <v/>
      </c>
      <c r="N3038" s="2" t="str">
        <f>IFERROR(VLOOKUP(ROWS($N$2:N3038),$D$2:$E$1996,2,0),"")</f>
        <v/>
      </c>
    </row>
    <row r="3039" spans="2:14">
      <c r="B3039" s="32">
        <f>IF(ISNUMBER(SEARCH('Φόρμα Εισαγωγής'!$B$2,C3039)),MAX($B$1:B3038)+1,0)</f>
        <v>0</v>
      </c>
      <c r="D3039" s="33">
        <f>IF(ISNUMBER(SEARCH('Φόρμα Εισαγωγής'!$C$2,E3039)),MAX($D$1:D3038)+1,0)</f>
        <v>0</v>
      </c>
      <c r="H3039" s="6">
        <f t="shared" si="152"/>
        <v>0</v>
      </c>
      <c r="I3039" s="6">
        <f t="shared" si="153"/>
        <v>0</v>
      </c>
      <c r="J3039" s="6">
        <f t="shared" si="154"/>
        <v>0</v>
      </c>
      <c r="L3039" s="4" t="str">
        <f>IFERROR(VLOOKUP(ROWS($L$2:L3039),$B$2:$C$1996,2,0),"")</f>
        <v/>
      </c>
      <c r="N3039" s="2" t="str">
        <f>IFERROR(VLOOKUP(ROWS($N$2:N3039),$D$2:$E$1996,2,0),"")</f>
        <v/>
      </c>
    </row>
    <row r="3040" spans="2:14">
      <c r="B3040" s="32">
        <f>IF(ISNUMBER(SEARCH('Φόρμα Εισαγωγής'!$B$2,C3040)),MAX($B$1:B3039)+1,0)</f>
        <v>0</v>
      </c>
      <c r="D3040" s="33">
        <f>IF(ISNUMBER(SEARCH('Φόρμα Εισαγωγής'!$C$2,E3040)),MAX($D$1:D3039)+1,0)</f>
        <v>0</v>
      </c>
      <c r="H3040" s="6">
        <f t="shared" si="152"/>
        <v>0</v>
      </c>
      <c r="I3040" s="6">
        <f t="shared" si="153"/>
        <v>0</v>
      </c>
      <c r="J3040" s="6">
        <f t="shared" si="154"/>
        <v>0</v>
      </c>
      <c r="L3040" s="4" t="str">
        <f>IFERROR(VLOOKUP(ROWS($L$2:L3040),$B$2:$C$1996,2,0),"")</f>
        <v/>
      </c>
      <c r="N3040" s="2" t="str">
        <f>IFERROR(VLOOKUP(ROWS($N$2:N3040),$D$2:$E$1996,2,0),"")</f>
        <v/>
      </c>
    </row>
    <row r="3041" spans="2:14">
      <c r="B3041" s="32">
        <f>IF(ISNUMBER(SEARCH('Φόρμα Εισαγωγής'!$B$2,C3041)),MAX($B$1:B3040)+1,0)</f>
        <v>0</v>
      </c>
      <c r="D3041" s="33">
        <f>IF(ISNUMBER(SEARCH('Φόρμα Εισαγωγής'!$C$2,E3041)),MAX($D$1:D3040)+1,0)</f>
        <v>0</v>
      </c>
      <c r="H3041" s="6">
        <f t="shared" si="152"/>
        <v>0</v>
      </c>
      <c r="I3041" s="6">
        <f t="shared" si="153"/>
        <v>0</v>
      </c>
      <c r="J3041" s="6">
        <f t="shared" si="154"/>
        <v>0</v>
      </c>
      <c r="L3041" s="4" t="str">
        <f>IFERROR(VLOOKUP(ROWS($L$2:L3041),$B$2:$C$1996,2,0),"")</f>
        <v/>
      </c>
      <c r="N3041" s="2" t="str">
        <f>IFERROR(VLOOKUP(ROWS($N$2:N3041),$D$2:$E$1996,2,0),"")</f>
        <v/>
      </c>
    </row>
    <row r="3042" spans="2:14">
      <c r="B3042" s="32">
        <f>IF(ISNUMBER(SEARCH('Φόρμα Εισαγωγής'!$B$2,C3042)),MAX($B$1:B3041)+1,0)</f>
        <v>0</v>
      </c>
      <c r="D3042" s="33">
        <f>IF(ISNUMBER(SEARCH('Φόρμα Εισαγωγής'!$C$2,E3042)),MAX($D$1:D3041)+1,0)</f>
        <v>0</v>
      </c>
      <c r="H3042" s="6">
        <f t="shared" si="152"/>
        <v>0</v>
      </c>
      <c r="I3042" s="6">
        <f t="shared" si="153"/>
        <v>0</v>
      </c>
      <c r="J3042" s="6">
        <f t="shared" si="154"/>
        <v>0</v>
      </c>
      <c r="L3042" s="4" t="str">
        <f>IFERROR(VLOOKUP(ROWS($L$2:L3042),$B$2:$C$1996,2,0),"")</f>
        <v/>
      </c>
      <c r="N3042" s="2" t="str">
        <f>IFERROR(VLOOKUP(ROWS($N$2:N3042),$D$2:$E$1996,2,0),"")</f>
        <v/>
      </c>
    </row>
    <row r="3043" spans="2:14">
      <c r="B3043" s="32">
        <f>IF(ISNUMBER(SEARCH('Φόρμα Εισαγωγής'!$B$2,C3043)),MAX($B$1:B3042)+1,0)</f>
        <v>0</v>
      </c>
      <c r="D3043" s="33">
        <f>IF(ISNUMBER(SEARCH('Φόρμα Εισαγωγής'!$C$2,E3043)),MAX($D$1:D3042)+1,0)</f>
        <v>0</v>
      </c>
      <c r="H3043" s="6">
        <f t="shared" si="152"/>
        <v>0</v>
      </c>
      <c r="I3043" s="6">
        <f t="shared" si="153"/>
        <v>0</v>
      </c>
      <c r="J3043" s="6">
        <f t="shared" si="154"/>
        <v>0</v>
      </c>
      <c r="L3043" s="4" t="str">
        <f>IFERROR(VLOOKUP(ROWS($L$2:L3043),$B$2:$C$1996,2,0),"")</f>
        <v/>
      </c>
      <c r="N3043" s="2" t="str">
        <f>IFERROR(VLOOKUP(ROWS($N$2:N3043),$D$2:$E$1996,2,0),"")</f>
        <v/>
      </c>
    </row>
    <row r="3044" spans="2:14">
      <c r="B3044" s="32">
        <f>IF(ISNUMBER(SEARCH('Φόρμα Εισαγωγής'!$B$2,C3044)),MAX($B$1:B3043)+1,0)</f>
        <v>0</v>
      </c>
      <c r="D3044" s="33">
        <f>IF(ISNUMBER(SEARCH('Φόρμα Εισαγωγής'!$C$2,E3044)),MAX($D$1:D3043)+1,0)</f>
        <v>0</v>
      </c>
      <c r="H3044" s="6">
        <f t="shared" si="152"/>
        <v>0</v>
      </c>
      <c r="I3044" s="6">
        <f t="shared" si="153"/>
        <v>0</v>
      </c>
      <c r="J3044" s="6">
        <f t="shared" si="154"/>
        <v>0</v>
      </c>
      <c r="L3044" s="4" t="str">
        <f>IFERROR(VLOOKUP(ROWS($L$2:L3044),$B$2:$C$1996,2,0),"")</f>
        <v/>
      </c>
      <c r="N3044" s="2" t="str">
        <f>IFERROR(VLOOKUP(ROWS($N$2:N3044),$D$2:$E$1996,2,0),"")</f>
        <v/>
      </c>
    </row>
    <row r="3045" spans="2:14">
      <c r="B3045" s="32">
        <f>IF(ISNUMBER(SEARCH('Φόρμα Εισαγωγής'!$B$2,C3045)),MAX($B$1:B3044)+1,0)</f>
        <v>0</v>
      </c>
      <c r="D3045" s="33">
        <f>IF(ISNUMBER(SEARCH('Φόρμα Εισαγωγής'!$C$2,E3045)),MAX($D$1:D3044)+1,0)</f>
        <v>0</v>
      </c>
      <c r="H3045" s="6">
        <f t="shared" si="152"/>
        <v>0</v>
      </c>
      <c r="I3045" s="6">
        <f t="shared" si="153"/>
        <v>0</v>
      </c>
      <c r="J3045" s="6">
        <f t="shared" si="154"/>
        <v>0</v>
      </c>
      <c r="L3045" s="4" t="str">
        <f>IFERROR(VLOOKUP(ROWS($L$2:L3045),$B$2:$C$1996,2,0),"")</f>
        <v/>
      </c>
      <c r="N3045" s="2" t="str">
        <f>IFERROR(VLOOKUP(ROWS($N$2:N3045),$D$2:$E$1996,2,0),"")</f>
        <v/>
      </c>
    </row>
    <row r="3046" spans="2:14">
      <c r="B3046" s="32">
        <f>IF(ISNUMBER(SEARCH('Φόρμα Εισαγωγής'!$B$2,C3046)),MAX($B$1:B3045)+1,0)</f>
        <v>0</v>
      </c>
      <c r="D3046" s="33">
        <f>IF(ISNUMBER(SEARCH('Φόρμα Εισαγωγής'!$C$2,E3046)),MAX($D$1:D3045)+1,0)</f>
        <v>0</v>
      </c>
      <c r="H3046" s="6">
        <f t="shared" si="152"/>
        <v>0</v>
      </c>
      <c r="I3046" s="6">
        <f t="shared" si="153"/>
        <v>0</v>
      </c>
      <c r="J3046" s="6">
        <f t="shared" si="154"/>
        <v>0</v>
      </c>
      <c r="L3046" s="4" t="str">
        <f>IFERROR(VLOOKUP(ROWS($L$2:L3046),$B$2:$C$1996,2,0),"")</f>
        <v/>
      </c>
      <c r="N3046" s="2" t="str">
        <f>IFERROR(VLOOKUP(ROWS($N$2:N3046),$D$2:$E$1996,2,0),"")</f>
        <v/>
      </c>
    </row>
    <row r="3047" spans="2:14">
      <c r="B3047" s="32">
        <f>IF(ISNUMBER(SEARCH('Φόρμα Εισαγωγής'!$B$2,C3047)),MAX($B$1:B3046)+1,0)</f>
        <v>0</v>
      </c>
      <c r="D3047" s="33">
        <f>IF(ISNUMBER(SEARCH('Φόρμα Εισαγωγής'!$C$2,E3047)),MAX($D$1:D3046)+1,0)</f>
        <v>0</v>
      </c>
      <c r="H3047" s="6">
        <f t="shared" si="152"/>
        <v>0</v>
      </c>
      <c r="I3047" s="6">
        <f t="shared" si="153"/>
        <v>0</v>
      </c>
      <c r="J3047" s="6">
        <f t="shared" si="154"/>
        <v>0</v>
      </c>
      <c r="L3047" s="4" t="str">
        <f>IFERROR(VLOOKUP(ROWS($L$2:L3047),$B$2:$C$1996,2,0),"")</f>
        <v/>
      </c>
      <c r="N3047" s="2" t="str">
        <f>IFERROR(VLOOKUP(ROWS($N$2:N3047),$D$2:$E$1996,2,0),"")</f>
        <v/>
      </c>
    </row>
    <row r="3048" spans="2:14">
      <c r="B3048" s="32">
        <f>IF(ISNUMBER(SEARCH('Φόρμα Εισαγωγής'!$B$2,C3048)),MAX($B$1:B3047)+1,0)</f>
        <v>0</v>
      </c>
      <c r="D3048" s="33">
        <f>IF(ISNUMBER(SEARCH('Φόρμα Εισαγωγής'!$C$2,E3048)),MAX($D$1:D3047)+1,0)</f>
        <v>0</v>
      </c>
      <c r="H3048" s="6">
        <f t="shared" si="152"/>
        <v>0</v>
      </c>
      <c r="I3048" s="6">
        <f t="shared" si="153"/>
        <v>0</v>
      </c>
      <c r="J3048" s="6">
        <f t="shared" si="154"/>
        <v>0</v>
      </c>
      <c r="L3048" s="4" t="str">
        <f>IFERROR(VLOOKUP(ROWS($L$2:L3048),$B$2:$C$1996,2,0),"")</f>
        <v/>
      </c>
      <c r="N3048" s="2" t="str">
        <f>IFERROR(VLOOKUP(ROWS($N$2:N3048),$D$2:$E$1996,2,0),"")</f>
        <v/>
      </c>
    </row>
    <row r="3049" spans="2:14">
      <c r="B3049" s="32">
        <f>IF(ISNUMBER(SEARCH('Φόρμα Εισαγωγής'!$B$2,C3049)),MAX($B$1:B3048)+1,0)</f>
        <v>0</v>
      </c>
      <c r="D3049" s="33">
        <f>IF(ISNUMBER(SEARCH('Φόρμα Εισαγωγής'!$C$2,E3049)),MAX($D$1:D3048)+1,0)</f>
        <v>0</v>
      </c>
      <c r="H3049" s="6">
        <f t="shared" si="152"/>
        <v>0</v>
      </c>
      <c r="I3049" s="6">
        <f t="shared" si="153"/>
        <v>0</v>
      </c>
      <c r="J3049" s="6">
        <f t="shared" si="154"/>
        <v>0</v>
      </c>
      <c r="L3049" s="4" t="str">
        <f>IFERROR(VLOOKUP(ROWS($L$2:L3049),$B$2:$C$1996,2,0),"")</f>
        <v/>
      </c>
      <c r="N3049" s="2" t="str">
        <f>IFERROR(VLOOKUP(ROWS($N$2:N3049),$D$2:$E$1996,2,0),"")</f>
        <v/>
      </c>
    </row>
    <row r="3050" spans="2:14">
      <c r="B3050" s="32">
        <f>IF(ISNUMBER(SEARCH('Φόρμα Εισαγωγής'!$B$2,C3050)),MAX($B$1:B3049)+1,0)</f>
        <v>0</v>
      </c>
      <c r="D3050" s="33">
        <f>IF(ISNUMBER(SEARCH('Φόρμα Εισαγωγής'!$C$2,E3050)),MAX($D$1:D3049)+1,0)</f>
        <v>0</v>
      </c>
      <c r="H3050" s="6">
        <f t="shared" si="152"/>
        <v>0</v>
      </c>
      <c r="I3050" s="6">
        <f t="shared" si="153"/>
        <v>0</v>
      </c>
      <c r="J3050" s="6">
        <f t="shared" si="154"/>
        <v>0</v>
      </c>
      <c r="L3050" s="4" t="str">
        <f>IFERROR(VLOOKUP(ROWS($L$2:L3050),$B$2:$C$1996,2,0),"")</f>
        <v/>
      </c>
      <c r="N3050" s="2" t="str">
        <f>IFERROR(VLOOKUP(ROWS($N$2:N3050),$D$2:$E$1996,2,0),"")</f>
        <v/>
      </c>
    </row>
    <row r="3051" spans="2:14">
      <c r="B3051" s="32">
        <f>IF(ISNUMBER(SEARCH('Φόρμα Εισαγωγής'!$B$2,C3051)),MAX($B$1:B3050)+1,0)</f>
        <v>0</v>
      </c>
      <c r="D3051" s="33">
        <f>IF(ISNUMBER(SEARCH('Φόρμα Εισαγωγής'!$C$2,E3051)),MAX($D$1:D3050)+1,0)</f>
        <v>0</v>
      </c>
      <c r="H3051" s="6">
        <f t="shared" si="152"/>
        <v>0</v>
      </c>
      <c r="I3051" s="6">
        <f t="shared" si="153"/>
        <v>0</v>
      </c>
      <c r="J3051" s="6">
        <f t="shared" si="154"/>
        <v>0</v>
      </c>
      <c r="L3051" s="4" t="str">
        <f>IFERROR(VLOOKUP(ROWS($L$2:L3051),$B$2:$C$1996,2,0),"")</f>
        <v/>
      </c>
      <c r="N3051" s="2" t="str">
        <f>IFERROR(VLOOKUP(ROWS($N$2:N3051),$D$2:$E$1996,2,0),"")</f>
        <v/>
      </c>
    </row>
    <row r="3052" spans="2:14">
      <c r="B3052" s="32">
        <f>IF(ISNUMBER(SEARCH('Φόρμα Εισαγωγής'!$B$2,C3052)),MAX($B$1:B3051)+1,0)</f>
        <v>0</v>
      </c>
      <c r="D3052" s="33">
        <f>IF(ISNUMBER(SEARCH('Φόρμα Εισαγωγής'!$C$2,E3052)),MAX($D$1:D3051)+1,0)</f>
        <v>0</v>
      </c>
      <c r="H3052" s="6">
        <f t="shared" si="152"/>
        <v>0</v>
      </c>
      <c r="I3052" s="6">
        <f t="shared" si="153"/>
        <v>0</v>
      </c>
      <c r="J3052" s="6">
        <f t="shared" si="154"/>
        <v>0</v>
      </c>
      <c r="L3052" s="4" t="str">
        <f>IFERROR(VLOOKUP(ROWS($L$2:L3052),$B$2:$C$1996,2,0),"")</f>
        <v/>
      </c>
      <c r="N3052" s="2" t="str">
        <f>IFERROR(VLOOKUP(ROWS($N$2:N3052),$D$2:$E$1996,2,0),"")</f>
        <v/>
      </c>
    </row>
    <row r="3053" spans="2:14">
      <c r="B3053" s="32">
        <f>IF(ISNUMBER(SEARCH('Φόρμα Εισαγωγής'!$B$2,C3053)),MAX($B$1:B3052)+1,0)</f>
        <v>0</v>
      </c>
      <c r="D3053" s="33">
        <f>IF(ISNUMBER(SEARCH('Φόρμα Εισαγωγής'!$C$2,E3053)),MAX($D$1:D3052)+1,0)</f>
        <v>0</v>
      </c>
      <c r="H3053" s="6">
        <f t="shared" si="152"/>
        <v>0</v>
      </c>
      <c r="I3053" s="6">
        <f t="shared" si="153"/>
        <v>0</v>
      </c>
      <c r="J3053" s="6">
        <f t="shared" si="154"/>
        <v>0</v>
      </c>
      <c r="L3053" s="4" t="str">
        <f>IFERROR(VLOOKUP(ROWS($L$2:L3053),$B$2:$C$1996,2,0),"")</f>
        <v/>
      </c>
      <c r="N3053" s="2" t="str">
        <f>IFERROR(VLOOKUP(ROWS($N$2:N3053),$D$2:$E$1996,2,0),"")</f>
        <v/>
      </c>
    </row>
    <row r="3054" spans="2:14">
      <c r="B3054" s="32">
        <f>IF(ISNUMBER(SEARCH('Φόρμα Εισαγωγής'!$B$2,C3054)),MAX($B$1:B3053)+1,0)</f>
        <v>0</v>
      </c>
      <c r="D3054" s="33">
        <f>IF(ISNUMBER(SEARCH('Φόρμα Εισαγωγής'!$C$2,E3054)),MAX($D$1:D3053)+1,0)</f>
        <v>0</v>
      </c>
      <c r="H3054" s="6">
        <f t="shared" si="152"/>
        <v>0</v>
      </c>
      <c r="I3054" s="6">
        <f t="shared" si="153"/>
        <v>0</v>
      </c>
      <c r="J3054" s="6">
        <f t="shared" si="154"/>
        <v>0</v>
      </c>
      <c r="L3054" s="4" t="str">
        <f>IFERROR(VLOOKUP(ROWS($L$2:L3054),$B$2:$C$1996,2,0),"")</f>
        <v/>
      </c>
      <c r="N3054" s="2" t="str">
        <f>IFERROR(VLOOKUP(ROWS($N$2:N3054),$D$2:$E$1996,2,0),"")</f>
        <v/>
      </c>
    </row>
    <row r="3055" spans="2:14">
      <c r="B3055" s="32">
        <f>IF(ISNUMBER(SEARCH('Φόρμα Εισαγωγής'!$B$2,C3055)),MAX($B$1:B3054)+1,0)</f>
        <v>0</v>
      </c>
      <c r="D3055" s="33">
        <f>IF(ISNUMBER(SEARCH('Φόρμα Εισαγωγής'!$C$2,E3055)),MAX($D$1:D3054)+1,0)</f>
        <v>0</v>
      </c>
      <c r="H3055" s="6">
        <f t="shared" si="152"/>
        <v>0</v>
      </c>
      <c r="I3055" s="6">
        <f t="shared" si="153"/>
        <v>0</v>
      </c>
      <c r="J3055" s="6">
        <f t="shared" si="154"/>
        <v>0</v>
      </c>
      <c r="L3055" s="4" t="str">
        <f>IFERROR(VLOOKUP(ROWS($L$2:L3055),$B$2:$C$1996,2,0),"")</f>
        <v/>
      </c>
      <c r="N3055" s="2" t="str">
        <f>IFERROR(VLOOKUP(ROWS($N$2:N3055),$D$2:$E$1996,2,0),"")</f>
        <v/>
      </c>
    </row>
    <row r="3056" spans="2:14">
      <c r="B3056" s="32">
        <f>IF(ISNUMBER(SEARCH('Φόρμα Εισαγωγής'!$B$2,C3056)),MAX($B$1:B3055)+1,0)</f>
        <v>0</v>
      </c>
      <c r="D3056" s="33">
        <f>IF(ISNUMBER(SEARCH('Φόρμα Εισαγωγής'!$C$2,E3056)),MAX($D$1:D3055)+1,0)</f>
        <v>0</v>
      </c>
      <c r="H3056" s="6">
        <f t="shared" si="152"/>
        <v>0</v>
      </c>
      <c r="I3056" s="6">
        <f t="shared" si="153"/>
        <v>0</v>
      </c>
      <c r="J3056" s="6">
        <f t="shared" si="154"/>
        <v>0</v>
      </c>
      <c r="L3056" s="4" t="str">
        <f>IFERROR(VLOOKUP(ROWS($L$2:L3056),$B$2:$C$1996,2,0),"")</f>
        <v/>
      </c>
      <c r="N3056" s="2" t="str">
        <f>IFERROR(VLOOKUP(ROWS($N$2:N3056),$D$2:$E$1996,2,0),"")</f>
        <v/>
      </c>
    </row>
    <row r="3057" spans="2:14">
      <c r="B3057" s="32">
        <f>IF(ISNUMBER(SEARCH('Φόρμα Εισαγωγής'!$B$2,C3057)),MAX($B$1:B3056)+1,0)</f>
        <v>0</v>
      </c>
      <c r="D3057" s="33">
        <f>IF(ISNUMBER(SEARCH('Φόρμα Εισαγωγής'!$C$2,E3057)),MAX($D$1:D3056)+1,0)</f>
        <v>0</v>
      </c>
      <c r="H3057" s="6">
        <f t="shared" si="152"/>
        <v>0</v>
      </c>
      <c r="I3057" s="6">
        <f t="shared" si="153"/>
        <v>0</v>
      </c>
      <c r="J3057" s="6">
        <f t="shared" si="154"/>
        <v>0</v>
      </c>
      <c r="L3057" s="4" t="str">
        <f>IFERROR(VLOOKUP(ROWS($L$2:L3057),$B$2:$C$1996,2,0),"")</f>
        <v/>
      </c>
      <c r="N3057" s="2" t="str">
        <f>IFERROR(VLOOKUP(ROWS($N$2:N3057),$D$2:$E$1996,2,0),"")</f>
        <v/>
      </c>
    </row>
    <row r="3058" spans="2:14">
      <c r="B3058" s="32">
        <f>IF(ISNUMBER(SEARCH('Φόρμα Εισαγωγής'!$B$2,C3058)),MAX($B$1:B3057)+1,0)</f>
        <v>0</v>
      </c>
      <c r="D3058" s="33">
        <f>IF(ISNUMBER(SEARCH('Φόρμα Εισαγωγής'!$C$2,E3058)),MAX($D$1:D3057)+1,0)</f>
        <v>0</v>
      </c>
      <c r="H3058" s="6">
        <f t="shared" si="152"/>
        <v>0</v>
      </c>
      <c r="I3058" s="6">
        <f t="shared" si="153"/>
        <v>0</v>
      </c>
      <c r="J3058" s="6">
        <f t="shared" si="154"/>
        <v>0</v>
      </c>
      <c r="L3058" s="4" t="str">
        <f>IFERROR(VLOOKUP(ROWS($L$2:L3058),$B$2:$C$1996,2,0),"")</f>
        <v/>
      </c>
      <c r="N3058" s="2" t="str">
        <f>IFERROR(VLOOKUP(ROWS($N$2:N3058),$D$2:$E$1996,2,0),"")</f>
        <v/>
      </c>
    </row>
    <row r="3059" spans="2:14">
      <c r="B3059" s="32">
        <f>IF(ISNUMBER(SEARCH('Φόρμα Εισαγωγής'!$B$2,C3059)),MAX($B$1:B3058)+1,0)</f>
        <v>0</v>
      </c>
      <c r="D3059" s="33">
        <f>IF(ISNUMBER(SEARCH('Φόρμα Εισαγωγής'!$C$2,E3059)),MAX($D$1:D3058)+1,0)</f>
        <v>0</v>
      </c>
      <c r="H3059" s="6">
        <f t="shared" si="152"/>
        <v>0</v>
      </c>
      <c r="I3059" s="6">
        <f t="shared" si="153"/>
        <v>0</v>
      </c>
      <c r="J3059" s="6">
        <f t="shared" si="154"/>
        <v>0</v>
      </c>
      <c r="L3059" s="4" t="str">
        <f>IFERROR(VLOOKUP(ROWS($L$2:L3059),$B$2:$C$1996,2,0),"")</f>
        <v/>
      </c>
      <c r="N3059" s="2" t="str">
        <f>IFERROR(VLOOKUP(ROWS($N$2:N3059),$D$2:$E$1996,2,0),"")</f>
        <v/>
      </c>
    </row>
    <row r="3060" spans="2:14">
      <c r="B3060" s="32">
        <f>IF(ISNUMBER(SEARCH('Φόρμα Εισαγωγής'!$B$2,C3060)),MAX($B$1:B3059)+1,0)</f>
        <v>0</v>
      </c>
      <c r="D3060" s="33">
        <f>IF(ISNUMBER(SEARCH('Φόρμα Εισαγωγής'!$C$2,E3060)),MAX($D$1:D3059)+1,0)</f>
        <v>0</v>
      </c>
      <c r="H3060" s="6">
        <f t="shared" si="152"/>
        <v>0</v>
      </c>
      <c r="I3060" s="6">
        <f t="shared" si="153"/>
        <v>0</v>
      </c>
      <c r="J3060" s="6">
        <f t="shared" si="154"/>
        <v>0</v>
      </c>
      <c r="L3060" s="4" t="str">
        <f>IFERROR(VLOOKUP(ROWS($L$2:L3060),$B$2:$C$1996,2,0),"")</f>
        <v/>
      </c>
      <c r="N3060" s="2" t="str">
        <f>IFERROR(VLOOKUP(ROWS($N$2:N3060),$D$2:$E$1996,2,0),"")</f>
        <v/>
      </c>
    </row>
    <row r="3061" spans="2:14">
      <c r="B3061" s="32">
        <f>IF(ISNUMBER(SEARCH('Φόρμα Εισαγωγής'!$B$2,C3061)),MAX($B$1:B3060)+1,0)</f>
        <v>0</v>
      </c>
      <c r="D3061" s="33">
        <f>IF(ISNUMBER(SEARCH('Φόρμα Εισαγωγής'!$C$2,E3061)),MAX($D$1:D3060)+1,0)</f>
        <v>0</v>
      </c>
      <c r="H3061" s="6">
        <f t="shared" si="152"/>
        <v>0</v>
      </c>
      <c r="I3061" s="6">
        <f t="shared" si="153"/>
        <v>0</v>
      </c>
      <c r="J3061" s="6">
        <f t="shared" si="154"/>
        <v>0</v>
      </c>
      <c r="L3061" s="4" t="str">
        <f>IFERROR(VLOOKUP(ROWS($L$2:L3061),$B$2:$C$1996,2,0),"")</f>
        <v/>
      </c>
      <c r="N3061" s="2" t="str">
        <f>IFERROR(VLOOKUP(ROWS($N$2:N3061),$D$2:$E$1996,2,0),"")</f>
        <v/>
      </c>
    </row>
    <row r="3062" spans="2:14">
      <c r="B3062" s="32">
        <f>IF(ISNUMBER(SEARCH('Φόρμα Εισαγωγής'!$B$2,C3062)),MAX($B$1:B3061)+1,0)</f>
        <v>0</v>
      </c>
      <c r="D3062" s="33">
        <f>IF(ISNUMBER(SEARCH('Φόρμα Εισαγωγής'!$C$2,E3062)),MAX($D$1:D3061)+1,0)</f>
        <v>0</v>
      </c>
      <c r="H3062" s="6">
        <f t="shared" si="152"/>
        <v>0</v>
      </c>
      <c r="I3062" s="6">
        <f t="shared" si="153"/>
        <v>0</v>
      </c>
      <c r="J3062" s="6">
        <f t="shared" si="154"/>
        <v>0</v>
      </c>
      <c r="L3062" s="4" t="str">
        <f>IFERROR(VLOOKUP(ROWS($L$2:L3062),$B$2:$C$1996,2,0),"")</f>
        <v/>
      </c>
      <c r="N3062" s="2" t="str">
        <f>IFERROR(VLOOKUP(ROWS($N$2:N3062),$D$2:$E$1996,2,0),"")</f>
        <v/>
      </c>
    </row>
    <row r="3063" spans="2:14">
      <c r="B3063" s="32">
        <f>IF(ISNUMBER(SEARCH('Φόρμα Εισαγωγής'!$B$2,C3063)),MAX($B$1:B3062)+1,0)</f>
        <v>0</v>
      </c>
      <c r="D3063" s="33">
        <f>IF(ISNUMBER(SEARCH('Φόρμα Εισαγωγής'!$C$2,E3063)),MAX($D$1:D3062)+1,0)</f>
        <v>0</v>
      </c>
      <c r="H3063" s="6">
        <f t="shared" si="152"/>
        <v>0</v>
      </c>
      <c r="I3063" s="6">
        <f t="shared" si="153"/>
        <v>0</v>
      </c>
      <c r="J3063" s="6">
        <f t="shared" si="154"/>
        <v>0</v>
      </c>
      <c r="L3063" s="4" t="str">
        <f>IFERROR(VLOOKUP(ROWS($L$2:L3063),$B$2:$C$1996,2,0),"")</f>
        <v/>
      </c>
      <c r="N3063" s="2" t="str">
        <f>IFERROR(VLOOKUP(ROWS($N$2:N3063),$D$2:$E$1996,2,0),"")</f>
        <v/>
      </c>
    </row>
    <row r="3064" spans="2:14">
      <c r="B3064" s="32">
        <f>IF(ISNUMBER(SEARCH('Φόρμα Εισαγωγής'!$B$2,C3064)),MAX($B$1:B3063)+1,0)</f>
        <v>0</v>
      </c>
      <c r="D3064" s="33">
        <f>IF(ISNUMBER(SEARCH('Φόρμα Εισαγωγής'!$C$2,E3064)),MAX($D$1:D3063)+1,0)</f>
        <v>0</v>
      </c>
      <c r="H3064" s="6">
        <f t="shared" si="152"/>
        <v>0</v>
      </c>
      <c r="I3064" s="6">
        <f t="shared" si="153"/>
        <v>0</v>
      </c>
      <c r="J3064" s="6">
        <f t="shared" si="154"/>
        <v>0</v>
      </c>
      <c r="L3064" s="4" t="str">
        <f>IFERROR(VLOOKUP(ROWS($L$2:L3064),$B$2:$C$1996,2,0),"")</f>
        <v/>
      </c>
      <c r="N3064" s="2" t="str">
        <f>IFERROR(VLOOKUP(ROWS($N$2:N3064),$D$2:$E$1996,2,0),"")</f>
        <v/>
      </c>
    </row>
    <row r="3065" spans="2:14">
      <c r="B3065" s="32">
        <f>IF(ISNUMBER(SEARCH('Φόρμα Εισαγωγής'!$B$2,C3065)),MAX($B$1:B3064)+1,0)</f>
        <v>0</v>
      </c>
      <c r="D3065" s="33">
        <f>IF(ISNUMBER(SEARCH('Φόρμα Εισαγωγής'!$C$2,E3065)),MAX($D$1:D3064)+1,0)</f>
        <v>0</v>
      </c>
      <c r="H3065" s="6">
        <f t="shared" si="152"/>
        <v>0</v>
      </c>
      <c r="I3065" s="6">
        <f t="shared" si="153"/>
        <v>0</v>
      </c>
      <c r="J3065" s="6">
        <f t="shared" si="154"/>
        <v>0</v>
      </c>
      <c r="L3065" s="4" t="str">
        <f>IFERROR(VLOOKUP(ROWS($L$2:L3065),$B$2:$C$1996,2,0),"")</f>
        <v/>
      </c>
      <c r="N3065" s="2" t="str">
        <f>IFERROR(VLOOKUP(ROWS($N$2:N3065),$D$2:$E$1996,2,0),"")</f>
        <v/>
      </c>
    </row>
    <row r="3066" spans="2:14">
      <c r="B3066" s="32">
        <f>IF(ISNUMBER(SEARCH('Φόρμα Εισαγωγής'!$B$2,C3066)),MAX($B$1:B3065)+1,0)</f>
        <v>0</v>
      </c>
      <c r="D3066" s="33">
        <f>IF(ISNUMBER(SEARCH('Φόρμα Εισαγωγής'!$C$2,E3066)),MAX($D$1:D3065)+1,0)</f>
        <v>0</v>
      </c>
      <c r="H3066" s="6">
        <f t="shared" si="152"/>
        <v>0</v>
      </c>
      <c r="I3066" s="6">
        <f t="shared" si="153"/>
        <v>0</v>
      </c>
      <c r="J3066" s="6">
        <f t="shared" si="154"/>
        <v>0</v>
      </c>
      <c r="L3066" s="4" t="str">
        <f>IFERROR(VLOOKUP(ROWS($L$2:L3066),$B$2:$C$1996,2,0),"")</f>
        <v/>
      </c>
      <c r="N3066" s="2" t="str">
        <f>IFERROR(VLOOKUP(ROWS($N$2:N3066),$D$2:$E$1996,2,0),"")</f>
        <v/>
      </c>
    </row>
    <row r="3067" spans="2:14">
      <c r="B3067" s="32">
        <f>IF(ISNUMBER(SEARCH('Φόρμα Εισαγωγής'!$B$2,C3067)),MAX($B$1:B3066)+1,0)</f>
        <v>0</v>
      </c>
      <c r="D3067" s="33">
        <f>IF(ISNUMBER(SEARCH('Φόρμα Εισαγωγής'!$C$2,E3067)),MAX($D$1:D3066)+1,0)</f>
        <v>0</v>
      </c>
      <c r="H3067" s="6">
        <f t="shared" si="152"/>
        <v>0</v>
      </c>
      <c r="I3067" s="6">
        <f t="shared" si="153"/>
        <v>0</v>
      </c>
      <c r="J3067" s="6">
        <f t="shared" si="154"/>
        <v>0</v>
      </c>
      <c r="L3067" s="4" t="str">
        <f>IFERROR(VLOOKUP(ROWS($L$2:L3067),$B$2:$C$1996,2,0),"")</f>
        <v/>
      </c>
      <c r="N3067" s="2" t="str">
        <f>IFERROR(VLOOKUP(ROWS($N$2:N3067),$D$2:$E$1996,2,0),"")</f>
        <v/>
      </c>
    </row>
    <row r="3068" spans="2:14">
      <c r="B3068" s="32">
        <f>IF(ISNUMBER(SEARCH('Φόρμα Εισαγωγής'!$B$2,C3068)),MAX($B$1:B3067)+1,0)</f>
        <v>0</v>
      </c>
      <c r="D3068" s="33">
        <f>IF(ISNUMBER(SEARCH('Φόρμα Εισαγωγής'!$C$2,E3068)),MAX($D$1:D3067)+1,0)</f>
        <v>0</v>
      </c>
      <c r="H3068" s="6">
        <f t="shared" si="152"/>
        <v>0</v>
      </c>
      <c r="I3068" s="6">
        <f t="shared" si="153"/>
        <v>0</v>
      </c>
      <c r="J3068" s="6">
        <f t="shared" si="154"/>
        <v>0</v>
      </c>
      <c r="L3068" s="4" t="str">
        <f>IFERROR(VLOOKUP(ROWS($L$2:L3068),$B$2:$C$1996,2,0),"")</f>
        <v/>
      </c>
      <c r="N3068" s="2" t="str">
        <f>IFERROR(VLOOKUP(ROWS($N$2:N3068),$D$2:$E$1996,2,0),"")</f>
        <v/>
      </c>
    </row>
    <row r="3069" spans="2:14">
      <c r="B3069" s="32">
        <f>IF(ISNUMBER(SEARCH('Φόρμα Εισαγωγής'!$B$2,C3069)),MAX($B$1:B3068)+1,0)</f>
        <v>0</v>
      </c>
      <c r="D3069" s="33">
        <f>IF(ISNUMBER(SEARCH('Φόρμα Εισαγωγής'!$C$2,E3069)),MAX($D$1:D3068)+1,0)</f>
        <v>0</v>
      </c>
      <c r="H3069" s="6">
        <f t="shared" si="152"/>
        <v>0</v>
      </c>
      <c r="I3069" s="6">
        <f t="shared" si="153"/>
        <v>0</v>
      </c>
      <c r="J3069" s="6">
        <f t="shared" si="154"/>
        <v>0</v>
      </c>
      <c r="L3069" s="4" t="str">
        <f>IFERROR(VLOOKUP(ROWS($L$2:L3069),$B$2:$C$1996,2,0),"")</f>
        <v/>
      </c>
      <c r="N3069" s="2" t="str">
        <f>IFERROR(VLOOKUP(ROWS($N$2:N3069),$D$2:$E$1996,2,0),"")</f>
        <v/>
      </c>
    </row>
    <row r="3070" spans="2:14">
      <c r="B3070" s="32">
        <f>IF(ISNUMBER(SEARCH('Φόρμα Εισαγωγής'!$B$2,C3070)),MAX($B$1:B3069)+1,0)</f>
        <v>0</v>
      </c>
      <c r="D3070" s="33">
        <f>IF(ISNUMBER(SEARCH('Φόρμα Εισαγωγής'!$C$2,E3070)),MAX($D$1:D3069)+1,0)</f>
        <v>0</v>
      </c>
      <c r="H3070" s="6">
        <f t="shared" si="152"/>
        <v>0</v>
      </c>
      <c r="I3070" s="6">
        <f t="shared" si="153"/>
        <v>0</v>
      </c>
      <c r="J3070" s="6">
        <f t="shared" si="154"/>
        <v>0</v>
      </c>
      <c r="L3070" s="4" t="str">
        <f>IFERROR(VLOOKUP(ROWS($L$2:L3070),$B$2:$C$1996,2,0),"")</f>
        <v/>
      </c>
      <c r="N3070" s="2" t="str">
        <f>IFERROR(VLOOKUP(ROWS($N$2:N3070),$D$2:$E$1996,2,0),"")</f>
        <v/>
      </c>
    </row>
    <row r="3071" spans="2:14">
      <c r="B3071" s="32">
        <f>IF(ISNUMBER(SEARCH('Φόρμα Εισαγωγής'!$B$2,C3071)),MAX($B$1:B3070)+1,0)</f>
        <v>0</v>
      </c>
      <c r="D3071" s="33">
        <f>IF(ISNUMBER(SEARCH('Φόρμα Εισαγωγής'!$C$2,E3071)),MAX($D$1:D3070)+1,0)</f>
        <v>0</v>
      </c>
      <c r="H3071" s="6">
        <f t="shared" si="152"/>
        <v>0</v>
      </c>
      <c r="I3071" s="6">
        <f t="shared" si="153"/>
        <v>0</v>
      </c>
      <c r="J3071" s="6">
        <f t="shared" si="154"/>
        <v>0</v>
      </c>
      <c r="L3071" s="4" t="str">
        <f>IFERROR(VLOOKUP(ROWS($L$2:L3071),$B$2:$C$1996,2,0),"")</f>
        <v/>
      </c>
      <c r="N3071" s="2" t="str">
        <f>IFERROR(VLOOKUP(ROWS($N$2:N3071),$D$2:$E$1996,2,0),"")</f>
        <v/>
      </c>
    </row>
    <row r="3072" spans="2:14">
      <c r="B3072" s="32">
        <f>IF(ISNUMBER(SEARCH('Φόρμα Εισαγωγής'!$B$2,C3072)),MAX($B$1:B3071)+1,0)</f>
        <v>0</v>
      </c>
      <c r="D3072" s="33">
        <f>IF(ISNUMBER(SEARCH('Φόρμα Εισαγωγής'!$C$2,E3072)),MAX($D$1:D3071)+1,0)</f>
        <v>0</v>
      </c>
      <c r="H3072" s="6">
        <f t="shared" ref="H3072:H3135" si="155">G3072+(G3072*0.24)</f>
        <v>0</v>
      </c>
      <c r="I3072" s="6">
        <f t="shared" ref="I3072:I3135" si="156">F3072*A3072</f>
        <v>0</v>
      </c>
      <c r="J3072" s="6">
        <f t="shared" ref="J3072:J3135" si="157">H3072*A3072</f>
        <v>0</v>
      </c>
      <c r="L3072" s="4" t="str">
        <f>IFERROR(VLOOKUP(ROWS($L$2:L3072),$B$2:$C$1996,2,0),"")</f>
        <v/>
      </c>
      <c r="N3072" s="2" t="str">
        <f>IFERROR(VLOOKUP(ROWS($N$2:N3072),$D$2:$E$1996,2,0),"")</f>
        <v/>
      </c>
    </row>
    <row r="3073" spans="2:14">
      <c r="B3073" s="32">
        <f>IF(ISNUMBER(SEARCH('Φόρμα Εισαγωγής'!$B$2,C3073)),MAX($B$1:B3072)+1,0)</f>
        <v>0</v>
      </c>
      <c r="D3073" s="33">
        <f>IF(ISNUMBER(SEARCH('Φόρμα Εισαγωγής'!$C$2,E3073)),MAX($D$1:D3072)+1,0)</f>
        <v>0</v>
      </c>
      <c r="H3073" s="6">
        <f t="shared" si="155"/>
        <v>0</v>
      </c>
      <c r="I3073" s="6">
        <f t="shared" si="156"/>
        <v>0</v>
      </c>
      <c r="J3073" s="6">
        <f t="shared" si="157"/>
        <v>0</v>
      </c>
      <c r="L3073" s="4" t="str">
        <f>IFERROR(VLOOKUP(ROWS($L$2:L3073),$B$2:$C$1996,2,0),"")</f>
        <v/>
      </c>
      <c r="N3073" s="2" t="str">
        <f>IFERROR(VLOOKUP(ROWS($N$2:N3073),$D$2:$E$1996,2,0),"")</f>
        <v/>
      </c>
    </row>
    <row r="3074" spans="2:14">
      <c r="B3074" s="32">
        <f>IF(ISNUMBER(SEARCH('Φόρμα Εισαγωγής'!$B$2,C3074)),MAX($B$1:B3073)+1,0)</f>
        <v>0</v>
      </c>
      <c r="D3074" s="33">
        <f>IF(ISNUMBER(SEARCH('Φόρμα Εισαγωγής'!$C$2,E3074)),MAX($D$1:D3073)+1,0)</f>
        <v>0</v>
      </c>
      <c r="H3074" s="6">
        <f t="shared" si="155"/>
        <v>0</v>
      </c>
      <c r="I3074" s="6">
        <f t="shared" si="156"/>
        <v>0</v>
      </c>
      <c r="J3074" s="6">
        <f t="shared" si="157"/>
        <v>0</v>
      </c>
      <c r="L3074" s="4" t="str">
        <f>IFERROR(VLOOKUP(ROWS($L$2:L3074),$B$2:$C$1996,2,0),"")</f>
        <v/>
      </c>
      <c r="N3074" s="2" t="str">
        <f>IFERROR(VLOOKUP(ROWS($N$2:N3074),$D$2:$E$1996,2,0),"")</f>
        <v/>
      </c>
    </row>
    <row r="3075" spans="2:14">
      <c r="B3075" s="32">
        <f>IF(ISNUMBER(SEARCH('Φόρμα Εισαγωγής'!$B$2,C3075)),MAX($B$1:B3074)+1,0)</f>
        <v>0</v>
      </c>
      <c r="D3075" s="33">
        <f>IF(ISNUMBER(SEARCH('Φόρμα Εισαγωγής'!$C$2,E3075)),MAX($D$1:D3074)+1,0)</f>
        <v>0</v>
      </c>
      <c r="H3075" s="6">
        <f t="shared" si="155"/>
        <v>0</v>
      </c>
      <c r="I3075" s="6">
        <f t="shared" si="156"/>
        <v>0</v>
      </c>
      <c r="J3075" s="6">
        <f t="shared" si="157"/>
        <v>0</v>
      </c>
      <c r="L3075" s="4" t="str">
        <f>IFERROR(VLOOKUP(ROWS($L$2:L3075),$B$2:$C$1996,2,0),"")</f>
        <v/>
      </c>
      <c r="N3075" s="2" t="str">
        <f>IFERROR(VLOOKUP(ROWS($N$2:N3075),$D$2:$E$1996,2,0),"")</f>
        <v/>
      </c>
    </row>
    <row r="3076" spans="2:14">
      <c r="B3076" s="32">
        <f>IF(ISNUMBER(SEARCH('Φόρμα Εισαγωγής'!$B$2,C3076)),MAX($B$1:B3075)+1,0)</f>
        <v>0</v>
      </c>
      <c r="D3076" s="33">
        <f>IF(ISNUMBER(SEARCH('Φόρμα Εισαγωγής'!$C$2,E3076)),MAX($D$1:D3075)+1,0)</f>
        <v>0</v>
      </c>
      <c r="H3076" s="6">
        <f t="shared" si="155"/>
        <v>0</v>
      </c>
      <c r="I3076" s="6">
        <f t="shared" si="156"/>
        <v>0</v>
      </c>
      <c r="J3076" s="6">
        <f t="shared" si="157"/>
        <v>0</v>
      </c>
      <c r="L3076" s="4" t="str">
        <f>IFERROR(VLOOKUP(ROWS($L$2:L3076),$B$2:$C$1996,2,0),"")</f>
        <v/>
      </c>
      <c r="N3076" s="2" t="str">
        <f>IFERROR(VLOOKUP(ROWS($N$2:N3076),$D$2:$E$1996,2,0),"")</f>
        <v/>
      </c>
    </row>
    <row r="3077" spans="2:14">
      <c r="B3077" s="32">
        <f>IF(ISNUMBER(SEARCH('Φόρμα Εισαγωγής'!$B$2,C3077)),MAX($B$1:B3076)+1,0)</f>
        <v>0</v>
      </c>
      <c r="D3077" s="33">
        <f>IF(ISNUMBER(SEARCH('Φόρμα Εισαγωγής'!$C$2,E3077)),MAX($D$1:D3076)+1,0)</f>
        <v>0</v>
      </c>
      <c r="H3077" s="6">
        <f t="shared" si="155"/>
        <v>0</v>
      </c>
      <c r="I3077" s="6">
        <f t="shared" si="156"/>
        <v>0</v>
      </c>
      <c r="J3077" s="6">
        <f t="shared" si="157"/>
        <v>0</v>
      </c>
      <c r="L3077" s="4" t="str">
        <f>IFERROR(VLOOKUP(ROWS($L$2:L3077),$B$2:$C$1996,2,0),"")</f>
        <v/>
      </c>
      <c r="N3077" s="2" t="str">
        <f>IFERROR(VLOOKUP(ROWS($N$2:N3077),$D$2:$E$1996,2,0),"")</f>
        <v/>
      </c>
    </row>
    <row r="3078" spans="2:14">
      <c r="B3078" s="32">
        <f>IF(ISNUMBER(SEARCH('Φόρμα Εισαγωγής'!$B$2,C3078)),MAX($B$1:B3077)+1,0)</f>
        <v>0</v>
      </c>
      <c r="D3078" s="33">
        <f>IF(ISNUMBER(SEARCH('Φόρμα Εισαγωγής'!$C$2,E3078)),MAX($D$1:D3077)+1,0)</f>
        <v>0</v>
      </c>
      <c r="H3078" s="6">
        <f t="shared" si="155"/>
        <v>0</v>
      </c>
      <c r="I3078" s="6">
        <f t="shared" si="156"/>
        <v>0</v>
      </c>
      <c r="J3078" s="6">
        <f t="shared" si="157"/>
        <v>0</v>
      </c>
      <c r="L3078" s="4" t="str">
        <f>IFERROR(VLOOKUP(ROWS($L$2:L3078),$B$2:$C$1996,2,0),"")</f>
        <v/>
      </c>
      <c r="N3078" s="2" t="str">
        <f>IFERROR(VLOOKUP(ROWS($N$2:N3078),$D$2:$E$1996,2,0),"")</f>
        <v/>
      </c>
    </row>
    <row r="3079" spans="2:14">
      <c r="B3079" s="32">
        <f>IF(ISNUMBER(SEARCH('Φόρμα Εισαγωγής'!$B$2,C3079)),MAX($B$1:B3078)+1,0)</f>
        <v>0</v>
      </c>
      <c r="D3079" s="33">
        <f>IF(ISNUMBER(SEARCH('Φόρμα Εισαγωγής'!$C$2,E3079)),MAX($D$1:D3078)+1,0)</f>
        <v>0</v>
      </c>
      <c r="H3079" s="6">
        <f t="shared" si="155"/>
        <v>0</v>
      </c>
      <c r="I3079" s="6">
        <f t="shared" si="156"/>
        <v>0</v>
      </c>
      <c r="J3079" s="6">
        <f t="shared" si="157"/>
        <v>0</v>
      </c>
      <c r="L3079" s="4" t="str">
        <f>IFERROR(VLOOKUP(ROWS($L$2:L3079),$B$2:$C$1996,2,0),"")</f>
        <v/>
      </c>
      <c r="N3079" s="2" t="str">
        <f>IFERROR(VLOOKUP(ROWS($N$2:N3079),$D$2:$E$1996,2,0),"")</f>
        <v/>
      </c>
    </row>
    <row r="3080" spans="2:14">
      <c r="B3080" s="32">
        <f>IF(ISNUMBER(SEARCH('Φόρμα Εισαγωγής'!$B$2,C3080)),MAX($B$1:B3079)+1,0)</f>
        <v>0</v>
      </c>
      <c r="D3080" s="33">
        <f>IF(ISNUMBER(SEARCH('Φόρμα Εισαγωγής'!$C$2,E3080)),MAX($D$1:D3079)+1,0)</f>
        <v>0</v>
      </c>
      <c r="H3080" s="6">
        <f t="shared" si="155"/>
        <v>0</v>
      </c>
      <c r="I3080" s="6">
        <f t="shared" si="156"/>
        <v>0</v>
      </c>
      <c r="J3080" s="6">
        <f t="shared" si="157"/>
        <v>0</v>
      </c>
      <c r="L3080" s="4" t="str">
        <f>IFERROR(VLOOKUP(ROWS($L$2:L3080),$B$2:$C$1996,2,0),"")</f>
        <v/>
      </c>
      <c r="N3080" s="2" t="str">
        <f>IFERROR(VLOOKUP(ROWS($N$2:N3080),$D$2:$E$1996,2,0),"")</f>
        <v/>
      </c>
    </row>
    <row r="3081" spans="2:14">
      <c r="B3081" s="32">
        <f>IF(ISNUMBER(SEARCH('Φόρμα Εισαγωγής'!$B$2,C3081)),MAX($B$1:B3080)+1,0)</f>
        <v>0</v>
      </c>
      <c r="D3081" s="33">
        <f>IF(ISNUMBER(SEARCH('Φόρμα Εισαγωγής'!$C$2,E3081)),MAX($D$1:D3080)+1,0)</f>
        <v>0</v>
      </c>
      <c r="H3081" s="6">
        <f t="shared" si="155"/>
        <v>0</v>
      </c>
      <c r="I3081" s="6">
        <f t="shared" si="156"/>
        <v>0</v>
      </c>
      <c r="J3081" s="6">
        <f t="shared" si="157"/>
        <v>0</v>
      </c>
      <c r="L3081" s="4" t="str">
        <f>IFERROR(VLOOKUP(ROWS($L$2:L3081),$B$2:$C$1996,2,0),"")</f>
        <v/>
      </c>
      <c r="N3081" s="2" t="str">
        <f>IFERROR(VLOOKUP(ROWS($N$2:N3081),$D$2:$E$1996,2,0),"")</f>
        <v/>
      </c>
    </row>
    <row r="3082" spans="2:14">
      <c r="B3082" s="32">
        <f>IF(ISNUMBER(SEARCH('Φόρμα Εισαγωγής'!$B$2,C3082)),MAX($B$1:B3081)+1,0)</f>
        <v>0</v>
      </c>
      <c r="D3082" s="33">
        <f>IF(ISNUMBER(SEARCH('Φόρμα Εισαγωγής'!$C$2,E3082)),MAX($D$1:D3081)+1,0)</f>
        <v>0</v>
      </c>
      <c r="H3082" s="6">
        <f t="shared" si="155"/>
        <v>0</v>
      </c>
      <c r="I3082" s="6">
        <f t="shared" si="156"/>
        <v>0</v>
      </c>
      <c r="J3082" s="6">
        <f t="shared" si="157"/>
        <v>0</v>
      </c>
      <c r="L3082" s="4" t="str">
        <f>IFERROR(VLOOKUP(ROWS($L$2:L3082),$B$2:$C$1996,2,0),"")</f>
        <v/>
      </c>
      <c r="N3082" s="2" t="str">
        <f>IFERROR(VLOOKUP(ROWS($N$2:N3082),$D$2:$E$1996,2,0),"")</f>
        <v/>
      </c>
    </row>
    <row r="3083" spans="2:14">
      <c r="B3083" s="32">
        <f>IF(ISNUMBER(SEARCH('Φόρμα Εισαγωγής'!$B$2,C3083)),MAX($B$1:B3082)+1,0)</f>
        <v>0</v>
      </c>
      <c r="D3083" s="33">
        <f>IF(ISNUMBER(SEARCH('Φόρμα Εισαγωγής'!$C$2,E3083)),MAX($D$1:D3082)+1,0)</f>
        <v>0</v>
      </c>
      <c r="H3083" s="6">
        <f t="shared" si="155"/>
        <v>0</v>
      </c>
      <c r="I3083" s="6">
        <f t="shared" si="156"/>
        <v>0</v>
      </c>
      <c r="J3083" s="6">
        <f t="shared" si="157"/>
        <v>0</v>
      </c>
      <c r="L3083" s="4" t="str">
        <f>IFERROR(VLOOKUP(ROWS($L$2:L3083),$B$2:$C$1996,2,0),"")</f>
        <v/>
      </c>
      <c r="N3083" s="2" t="str">
        <f>IFERROR(VLOOKUP(ROWS($N$2:N3083),$D$2:$E$1996,2,0),"")</f>
        <v/>
      </c>
    </row>
    <row r="3084" spans="2:14">
      <c r="B3084" s="32">
        <f>IF(ISNUMBER(SEARCH('Φόρμα Εισαγωγής'!$B$2,C3084)),MAX($B$1:B3083)+1,0)</f>
        <v>0</v>
      </c>
      <c r="D3084" s="33">
        <f>IF(ISNUMBER(SEARCH('Φόρμα Εισαγωγής'!$C$2,E3084)),MAX($D$1:D3083)+1,0)</f>
        <v>0</v>
      </c>
      <c r="H3084" s="6">
        <f t="shared" si="155"/>
        <v>0</v>
      </c>
      <c r="I3084" s="6">
        <f t="shared" si="156"/>
        <v>0</v>
      </c>
      <c r="J3084" s="6">
        <f t="shared" si="157"/>
        <v>0</v>
      </c>
      <c r="L3084" s="4" t="str">
        <f>IFERROR(VLOOKUP(ROWS($L$2:L3084),$B$2:$C$1996,2,0),"")</f>
        <v/>
      </c>
      <c r="N3084" s="2" t="str">
        <f>IFERROR(VLOOKUP(ROWS($N$2:N3084),$D$2:$E$1996,2,0),"")</f>
        <v/>
      </c>
    </row>
    <row r="3085" spans="2:14">
      <c r="B3085" s="32">
        <f>IF(ISNUMBER(SEARCH('Φόρμα Εισαγωγής'!$B$2,C3085)),MAX($B$1:B3084)+1,0)</f>
        <v>0</v>
      </c>
      <c r="D3085" s="33">
        <f>IF(ISNUMBER(SEARCH('Φόρμα Εισαγωγής'!$C$2,E3085)),MAX($D$1:D3084)+1,0)</f>
        <v>0</v>
      </c>
      <c r="H3085" s="6">
        <f t="shared" si="155"/>
        <v>0</v>
      </c>
      <c r="I3085" s="6">
        <f t="shared" si="156"/>
        <v>0</v>
      </c>
      <c r="J3085" s="6">
        <f t="shared" si="157"/>
        <v>0</v>
      </c>
      <c r="L3085" s="4" t="str">
        <f>IFERROR(VLOOKUP(ROWS($L$2:L3085),$B$2:$C$1996,2,0),"")</f>
        <v/>
      </c>
      <c r="N3085" s="2" t="str">
        <f>IFERROR(VLOOKUP(ROWS($N$2:N3085),$D$2:$E$1996,2,0),"")</f>
        <v/>
      </c>
    </row>
    <row r="3086" spans="2:14">
      <c r="B3086" s="32">
        <f>IF(ISNUMBER(SEARCH('Φόρμα Εισαγωγής'!$B$2,C3086)),MAX($B$1:B3085)+1,0)</f>
        <v>0</v>
      </c>
      <c r="D3086" s="33">
        <f>IF(ISNUMBER(SEARCH('Φόρμα Εισαγωγής'!$C$2,E3086)),MAX($D$1:D3085)+1,0)</f>
        <v>0</v>
      </c>
      <c r="H3086" s="6">
        <f t="shared" si="155"/>
        <v>0</v>
      </c>
      <c r="I3086" s="6">
        <f t="shared" si="156"/>
        <v>0</v>
      </c>
      <c r="J3086" s="6">
        <f t="shared" si="157"/>
        <v>0</v>
      </c>
      <c r="L3086" s="4" t="str">
        <f>IFERROR(VLOOKUP(ROWS($L$2:L3086),$B$2:$C$1996,2,0),"")</f>
        <v/>
      </c>
      <c r="N3086" s="2" t="str">
        <f>IFERROR(VLOOKUP(ROWS($N$2:N3086),$D$2:$E$1996,2,0),"")</f>
        <v/>
      </c>
    </row>
    <row r="3087" spans="2:14">
      <c r="B3087" s="32">
        <f>IF(ISNUMBER(SEARCH('Φόρμα Εισαγωγής'!$B$2,C3087)),MAX($B$1:B3086)+1,0)</f>
        <v>0</v>
      </c>
      <c r="D3087" s="33">
        <f>IF(ISNUMBER(SEARCH('Φόρμα Εισαγωγής'!$C$2,E3087)),MAX($D$1:D3086)+1,0)</f>
        <v>0</v>
      </c>
      <c r="H3087" s="6">
        <f t="shared" si="155"/>
        <v>0</v>
      </c>
      <c r="I3087" s="6">
        <f t="shared" si="156"/>
        <v>0</v>
      </c>
      <c r="J3087" s="6">
        <f t="shared" si="157"/>
        <v>0</v>
      </c>
      <c r="L3087" s="4" t="str">
        <f>IFERROR(VLOOKUP(ROWS($L$2:L3087),$B$2:$C$1996,2,0),"")</f>
        <v/>
      </c>
      <c r="N3087" s="2" t="str">
        <f>IFERROR(VLOOKUP(ROWS($N$2:N3087),$D$2:$E$1996,2,0),"")</f>
        <v/>
      </c>
    </row>
    <row r="3088" spans="2:14">
      <c r="B3088" s="32">
        <f>IF(ISNUMBER(SEARCH('Φόρμα Εισαγωγής'!$B$2,C3088)),MAX($B$1:B3087)+1,0)</f>
        <v>0</v>
      </c>
      <c r="D3088" s="33">
        <f>IF(ISNUMBER(SEARCH('Φόρμα Εισαγωγής'!$C$2,E3088)),MAX($D$1:D3087)+1,0)</f>
        <v>0</v>
      </c>
      <c r="H3088" s="6">
        <f t="shared" si="155"/>
        <v>0</v>
      </c>
      <c r="I3088" s="6">
        <f t="shared" si="156"/>
        <v>0</v>
      </c>
      <c r="J3088" s="6">
        <f t="shared" si="157"/>
        <v>0</v>
      </c>
      <c r="L3088" s="4" t="str">
        <f>IFERROR(VLOOKUP(ROWS($L$2:L3088),$B$2:$C$1996,2,0),"")</f>
        <v/>
      </c>
      <c r="N3088" s="2" t="str">
        <f>IFERROR(VLOOKUP(ROWS($N$2:N3088),$D$2:$E$1996,2,0),"")</f>
        <v/>
      </c>
    </row>
    <row r="3089" spans="2:14">
      <c r="B3089" s="32">
        <f>IF(ISNUMBER(SEARCH('Φόρμα Εισαγωγής'!$B$2,C3089)),MAX($B$1:B3088)+1,0)</f>
        <v>0</v>
      </c>
      <c r="D3089" s="33">
        <f>IF(ISNUMBER(SEARCH('Φόρμα Εισαγωγής'!$C$2,E3089)),MAX($D$1:D3088)+1,0)</f>
        <v>0</v>
      </c>
      <c r="H3089" s="6">
        <f t="shared" si="155"/>
        <v>0</v>
      </c>
      <c r="I3089" s="6">
        <f t="shared" si="156"/>
        <v>0</v>
      </c>
      <c r="J3089" s="6">
        <f t="shared" si="157"/>
        <v>0</v>
      </c>
      <c r="L3089" s="4" t="str">
        <f>IFERROR(VLOOKUP(ROWS($L$2:L3089),$B$2:$C$1996,2,0),"")</f>
        <v/>
      </c>
      <c r="N3089" s="2" t="str">
        <f>IFERROR(VLOOKUP(ROWS($N$2:N3089),$D$2:$E$1996,2,0),"")</f>
        <v/>
      </c>
    </row>
    <row r="3090" spans="2:14">
      <c r="B3090" s="32">
        <f>IF(ISNUMBER(SEARCH('Φόρμα Εισαγωγής'!$B$2,C3090)),MAX($B$1:B3089)+1,0)</f>
        <v>0</v>
      </c>
      <c r="D3090" s="33">
        <f>IF(ISNUMBER(SEARCH('Φόρμα Εισαγωγής'!$C$2,E3090)),MAX($D$1:D3089)+1,0)</f>
        <v>0</v>
      </c>
      <c r="H3090" s="6">
        <f t="shared" si="155"/>
        <v>0</v>
      </c>
      <c r="I3090" s="6">
        <f t="shared" si="156"/>
        <v>0</v>
      </c>
      <c r="J3090" s="6">
        <f t="shared" si="157"/>
        <v>0</v>
      </c>
      <c r="L3090" s="4" t="str">
        <f>IFERROR(VLOOKUP(ROWS($L$2:L3090),$B$2:$C$1996,2,0),"")</f>
        <v/>
      </c>
      <c r="N3090" s="2" t="str">
        <f>IFERROR(VLOOKUP(ROWS($N$2:N3090),$D$2:$E$1996,2,0),"")</f>
        <v/>
      </c>
    </row>
    <row r="3091" spans="2:14">
      <c r="B3091" s="32">
        <f>IF(ISNUMBER(SEARCH('Φόρμα Εισαγωγής'!$B$2,C3091)),MAX($B$1:B3090)+1,0)</f>
        <v>0</v>
      </c>
      <c r="D3091" s="33">
        <f>IF(ISNUMBER(SEARCH('Φόρμα Εισαγωγής'!$C$2,E3091)),MAX($D$1:D3090)+1,0)</f>
        <v>0</v>
      </c>
      <c r="H3091" s="6">
        <f t="shared" si="155"/>
        <v>0</v>
      </c>
      <c r="I3091" s="6">
        <f t="shared" si="156"/>
        <v>0</v>
      </c>
      <c r="J3091" s="6">
        <f t="shared" si="157"/>
        <v>0</v>
      </c>
      <c r="L3091" s="4" t="str">
        <f>IFERROR(VLOOKUP(ROWS($L$2:L3091),$B$2:$C$1996,2,0),"")</f>
        <v/>
      </c>
      <c r="N3091" s="2" t="str">
        <f>IFERROR(VLOOKUP(ROWS($N$2:N3091),$D$2:$E$1996,2,0),"")</f>
        <v/>
      </c>
    </row>
    <row r="3092" spans="2:14">
      <c r="B3092" s="32">
        <f>IF(ISNUMBER(SEARCH('Φόρμα Εισαγωγής'!$B$2,C3092)),MAX($B$1:B3091)+1,0)</f>
        <v>0</v>
      </c>
      <c r="D3092" s="33">
        <f>IF(ISNUMBER(SEARCH('Φόρμα Εισαγωγής'!$C$2,E3092)),MAX($D$1:D3091)+1,0)</f>
        <v>0</v>
      </c>
      <c r="H3092" s="6">
        <f t="shared" si="155"/>
        <v>0</v>
      </c>
      <c r="I3092" s="6">
        <f t="shared" si="156"/>
        <v>0</v>
      </c>
      <c r="J3092" s="6">
        <f t="shared" si="157"/>
        <v>0</v>
      </c>
      <c r="L3092" s="4" t="str">
        <f>IFERROR(VLOOKUP(ROWS($L$2:L3092),$B$2:$C$1996,2,0),"")</f>
        <v/>
      </c>
      <c r="N3092" s="2" t="str">
        <f>IFERROR(VLOOKUP(ROWS($N$2:N3092),$D$2:$E$1996,2,0),"")</f>
        <v/>
      </c>
    </row>
    <row r="3093" spans="2:14">
      <c r="B3093" s="32">
        <f>IF(ISNUMBER(SEARCH('Φόρμα Εισαγωγής'!$B$2,C3093)),MAX($B$1:B3092)+1,0)</f>
        <v>0</v>
      </c>
      <c r="D3093" s="33">
        <f>IF(ISNUMBER(SEARCH('Φόρμα Εισαγωγής'!$C$2,E3093)),MAX($D$1:D3092)+1,0)</f>
        <v>0</v>
      </c>
      <c r="H3093" s="6">
        <f t="shared" si="155"/>
        <v>0</v>
      </c>
      <c r="I3093" s="6">
        <f t="shared" si="156"/>
        <v>0</v>
      </c>
      <c r="J3093" s="6">
        <f t="shared" si="157"/>
        <v>0</v>
      </c>
      <c r="L3093" s="4" t="str">
        <f>IFERROR(VLOOKUP(ROWS($L$2:L3093),$B$2:$C$1996,2,0),"")</f>
        <v/>
      </c>
      <c r="N3093" s="2" t="str">
        <f>IFERROR(VLOOKUP(ROWS($N$2:N3093),$D$2:$E$1996,2,0),"")</f>
        <v/>
      </c>
    </row>
    <row r="3094" spans="2:14">
      <c r="B3094" s="32">
        <f>IF(ISNUMBER(SEARCH('Φόρμα Εισαγωγής'!$B$2,C3094)),MAX($B$1:B3093)+1,0)</f>
        <v>0</v>
      </c>
      <c r="D3094" s="33">
        <f>IF(ISNUMBER(SEARCH('Φόρμα Εισαγωγής'!$C$2,E3094)),MAX($D$1:D3093)+1,0)</f>
        <v>0</v>
      </c>
      <c r="H3094" s="6">
        <f t="shared" si="155"/>
        <v>0</v>
      </c>
      <c r="I3094" s="6">
        <f t="shared" si="156"/>
        <v>0</v>
      </c>
      <c r="J3094" s="6">
        <f t="shared" si="157"/>
        <v>0</v>
      </c>
      <c r="L3094" s="4" t="str">
        <f>IFERROR(VLOOKUP(ROWS($L$2:L3094),$B$2:$C$1996,2,0),"")</f>
        <v/>
      </c>
      <c r="N3094" s="2" t="str">
        <f>IFERROR(VLOOKUP(ROWS($N$2:N3094),$D$2:$E$1996,2,0),"")</f>
        <v/>
      </c>
    </row>
    <row r="3095" spans="2:14">
      <c r="B3095" s="32">
        <f>IF(ISNUMBER(SEARCH('Φόρμα Εισαγωγής'!$B$2,C3095)),MAX($B$1:B3094)+1,0)</f>
        <v>0</v>
      </c>
      <c r="D3095" s="33">
        <f>IF(ISNUMBER(SEARCH('Φόρμα Εισαγωγής'!$C$2,E3095)),MAX($D$1:D3094)+1,0)</f>
        <v>0</v>
      </c>
      <c r="H3095" s="6">
        <f t="shared" si="155"/>
        <v>0</v>
      </c>
      <c r="I3095" s="6">
        <f t="shared" si="156"/>
        <v>0</v>
      </c>
      <c r="J3095" s="6">
        <f t="shared" si="157"/>
        <v>0</v>
      </c>
      <c r="L3095" s="4" t="str">
        <f>IFERROR(VLOOKUP(ROWS($L$2:L3095),$B$2:$C$1996,2,0),"")</f>
        <v/>
      </c>
      <c r="N3095" s="2" t="str">
        <f>IFERROR(VLOOKUP(ROWS($N$2:N3095),$D$2:$E$1996,2,0),"")</f>
        <v/>
      </c>
    </row>
    <row r="3096" spans="2:14">
      <c r="B3096" s="32">
        <f>IF(ISNUMBER(SEARCH('Φόρμα Εισαγωγής'!$B$2,C3096)),MAX($B$1:B3095)+1,0)</f>
        <v>0</v>
      </c>
      <c r="D3096" s="33">
        <f>IF(ISNUMBER(SEARCH('Φόρμα Εισαγωγής'!$C$2,E3096)),MAX($D$1:D3095)+1,0)</f>
        <v>0</v>
      </c>
      <c r="H3096" s="6">
        <f t="shared" si="155"/>
        <v>0</v>
      </c>
      <c r="I3096" s="6">
        <f t="shared" si="156"/>
        <v>0</v>
      </c>
      <c r="J3096" s="6">
        <f t="shared" si="157"/>
        <v>0</v>
      </c>
      <c r="L3096" s="4" t="str">
        <f>IFERROR(VLOOKUP(ROWS($L$2:L3096),$B$2:$C$1996,2,0),"")</f>
        <v/>
      </c>
      <c r="N3096" s="2" t="str">
        <f>IFERROR(VLOOKUP(ROWS($N$2:N3096),$D$2:$E$1996,2,0),"")</f>
        <v/>
      </c>
    </row>
    <row r="3097" spans="2:14">
      <c r="B3097" s="32">
        <f>IF(ISNUMBER(SEARCH('Φόρμα Εισαγωγής'!$B$2,C3097)),MAX($B$1:B3096)+1,0)</f>
        <v>0</v>
      </c>
      <c r="D3097" s="33">
        <f>IF(ISNUMBER(SEARCH('Φόρμα Εισαγωγής'!$C$2,E3097)),MAX($D$1:D3096)+1,0)</f>
        <v>0</v>
      </c>
      <c r="H3097" s="6">
        <f t="shared" si="155"/>
        <v>0</v>
      </c>
      <c r="I3097" s="6">
        <f t="shared" si="156"/>
        <v>0</v>
      </c>
      <c r="J3097" s="6">
        <f t="shared" si="157"/>
        <v>0</v>
      </c>
      <c r="L3097" s="4" t="str">
        <f>IFERROR(VLOOKUP(ROWS($L$2:L3097),$B$2:$C$1996,2,0),"")</f>
        <v/>
      </c>
      <c r="N3097" s="2" t="str">
        <f>IFERROR(VLOOKUP(ROWS($N$2:N3097),$D$2:$E$1996,2,0),"")</f>
        <v/>
      </c>
    </row>
    <row r="3098" spans="2:14">
      <c r="B3098" s="32">
        <f>IF(ISNUMBER(SEARCH('Φόρμα Εισαγωγής'!$B$2,C3098)),MAX($B$1:B3097)+1,0)</f>
        <v>0</v>
      </c>
      <c r="D3098" s="33">
        <f>IF(ISNUMBER(SEARCH('Φόρμα Εισαγωγής'!$C$2,E3098)),MAX($D$1:D3097)+1,0)</f>
        <v>0</v>
      </c>
      <c r="H3098" s="6">
        <f t="shared" si="155"/>
        <v>0</v>
      </c>
      <c r="I3098" s="6">
        <f t="shared" si="156"/>
        <v>0</v>
      </c>
      <c r="J3098" s="6">
        <f t="shared" si="157"/>
        <v>0</v>
      </c>
      <c r="L3098" s="4" t="str">
        <f>IFERROR(VLOOKUP(ROWS($L$2:L3098),$B$2:$C$1996,2,0),"")</f>
        <v/>
      </c>
      <c r="N3098" s="2" t="str">
        <f>IFERROR(VLOOKUP(ROWS($N$2:N3098),$D$2:$E$1996,2,0),"")</f>
        <v/>
      </c>
    </row>
    <row r="3099" spans="2:14">
      <c r="B3099" s="32">
        <f>IF(ISNUMBER(SEARCH('Φόρμα Εισαγωγής'!$B$2,C3099)),MAX($B$1:B3098)+1,0)</f>
        <v>0</v>
      </c>
      <c r="D3099" s="33">
        <f>IF(ISNUMBER(SEARCH('Φόρμα Εισαγωγής'!$C$2,E3099)),MAX($D$1:D3098)+1,0)</f>
        <v>0</v>
      </c>
      <c r="H3099" s="6">
        <f t="shared" si="155"/>
        <v>0</v>
      </c>
      <c r="I3099" s="6">
        <f t="shared" si="156"/>
        <v>0</v>
      </c>
      <c r="J3099" s="6">
        <f t="shared" si="157"/>
        <v>0</v>
      </c>
      <c r="L3099" s="4" t="str">
        <f>IFERROR(VLOOKUP(ROWS($L$2:L3099),$B$2:$C$1996,2,0),"")</f>
        <v/>
      </c>
      <c r="N3099" s="2" t="str">
        <f>IFERROR(VLOOKUP(ROWS($N$2:N3099),$D$2:$E$1996,2,0),"")</f>
        <v/>
      </c>
    </row>
    <row r="3100" spans="2:14">
      <c r="B3100" s="32">
        <f>IF(ISNUMBER(SEARCH('Φόρμα Εισαγωγής'!$B$2,C3100)),MAX($B$1:B3099)+1,0)</f>
        <v>0</v>
      </c>
      <c r="D3100" s="33">
        <f>IF(ISNUMBER(SEARCH('Φόρμα Εισαγωγής'!$C$2,E3100)),MAX($D$1:D3099)+1,0)</f>
        <v>0</v>
      </c>
      <c r="H3100" s="6">
        <f t="shared" si="155"/>
        <v>0</v>
      </c>
      <c r="I3100" s="6">
        <f t="shared" si="156"/>
        <v>0</v>
      </c>
      <c r="J3100" s="6">
        <f t="shared" si="157"/>
        <v>0</v>
      </c>
      <c r="L3100" s="4" t="str">
        <f>IFERROR(VLOOKUP(ROWS($L$2:L3100),$B$2:$C$1996,2,0),"")</f>
        <v/>
      </c>
      <c r="N3100" s="2" t="str">
        <f>IFERROR(VLOOKUP(ROWS($N$2:N3100),$D$2:$E$1996,2,0),"")</f>
        <v/>
      </c>
    </row>
    <row r="3101" spans="2:14">
      <c r="B3101" s="32">
        <f>IF(ISNUMBER(SEARCH('Φόρμα Εισαγωγής'!$B$2,C3101)),MAX($B$1:B3100)+1,0)</f>
        <v>0</v>
      </c>
      <c r="D3101" s="33">
        <f>IF(ISNUMBER(SEARCH('Φόρμα Εισαγωγής'!$C$2,E3101)),MAX($D$1:D3100)+1,0)</f>
        <v>0</v>
      </c>
      <c r="H3101" s="6">
        <f t="shared" si="155"/>
        <v>0</v>
      </c>
      <c r="I3101" s="6">
        <f t="shared" si="156"/>
        <v>0</v>
      </c>
      <c r="J3101" s="6">
        <f t="shared" si="157"/>
        <v>0</v>
      </c>
      <c r="L3101" s="4" t="str">
        <f>IFERROR(VLOOKUP(ROWS($L$2:L3101),$B$2:$C$1996,2,0),"")</f>
        <v/>
      </c>
      <c r="N3101" s="2" t="str">
        <f>IFERROR(VLOOKUP(ROWS($N$2:N3101),$D$2:$E$1996,2,0),"")</f>
        <v/>
      </c>
    </row>
    <row r="3102" spans="2:14">
      <c r="B3102" s="32">
        <f>IF(ISNUMBER(SEARCH('Φόρμα Εισαγωγής'!$B$2,C3102)),MAX($B$1:B3101)+1,0)</f>
        <v>0</v>
      </c>
      <c r="D3102" s="33">
        <f>IF(ISNUMBER(SEARCH('Φόρμα Εισαγωγής'!$C$2,E3102)),MAX($D$1:D3101)+1,0)</f>
        <v>0</v>
      </c>
      <c r="H3102" s="6">
        <f t="shared" si="155"/>
        <v>0</v>
      </c>
      <c r="I3102" s="6">
        <f t="shared" si="156"/>
        <v>0</v>
      </c>
      <c r="J3102" s="6">
        <f t="shared" si="157"/>
        <v>0</v>
      </c>
      <c r="L3102" s="4" t="str">
        <f>IFERROR(VLOOKUP(ROWS($L$2:L3102),$B$2:$C$1996,2,0),"")</f>
        <v/>
      </c>
      <c r="N3102" s="2" t="str">
        <f>IFERROR(VLOOKUP(ROWS($N$2:N3102),$D$2:$E$1996,2,0),"")</f>
        <v/>
      </c>
    </row>
    <row r="3103" spans="2:14">
      <c r="B3103" s="32">
        <f>IF(ISNUMBER(SEARCH('Φόρμα Εισαγωγής'!$B$2,C3103)),MAX($B$1:B3102)+1,0)</f>
        <v>0</v>
      </c>
      <c r="D3103" s="33">
        <f>IF(ISNUMBER(SEARCH('Φόρμα Εισαγωγής'!$C$2,E3103)),MAX($D$1:D3102)+1,0)</f>
        <v>0</v>
      </c>
      <c r="H3103" s="6">
        <f t="shared" si="155"/>
        <v>0</v>
      </c>
      <c r="I3103" s="6">
        <f t="shared" si="156"/>
        <v>0</v>
      </c>
      <c r="J3103" s="6">
        <f t="shared" si="157"/>
        <v>0</v>
      </c>
      <c r="L3103" s="4" t="str">
        <f>IFERROR(VLOOKUP(ROWS($L$2:L3103),$B$2:$C$1996,2,0),"")</f>
        <v/>
      </c>
      <c r="N3103" s="2" t="str">
        <f>IFERROR(VLOOKUP(ROWS($N$2:N3103),$D$2:$E$1996,2,0),"")</f>
        <v/>
      </c>
    </row>
    <row r="3104" spans="2:14">
      <c r="B3104" s="32">
        <f>IF(ISNUMBER(SEARCH('Φόρμα Εισαγωγής'!$B$2,C3104)),MAX($B$1:B3103)+1,0)</f>
        <v>0</v>
      </c>
      <c r="D3104" s="33">
        <f>IF(ISNUMBER(SEARCH('Φόρμα Εισαγωγής'!$C$2,E3104)),MAX($D$1:D3103)+1,0)</f>
        <v>0</v>
      </c>
      <c r="H3104" s="6">
        <f t="shared" si="155"/>
        <v>0</v>
      </c>
      <c r="I3104" s="6">
        <f t="shared" si="156"/>
        <v>0</v>
      </c>
      <c r="J3104" s="6">
        <f t="shared" si="157"/>
        <v>0</v>
      </c>
      <c r="L3104" s="4" t="str">
        <f>IFERROR(VLOOKUP(ROWS($L$2:L3104),$B$2:$C$1996,2,0),"")</f>
        <v/>
      </c>
      <c r="N3104" s="2" t="str">
        <f>IFERROR(VLOOKUP(ROWS($N$2:N3104),$D$2:$E$1996,2,0),"")</f>
        <v/>
      </c>
    </row>
    <row r="3105" spans="2:14">
      <c r="B3105" s="32">
        <f>IF(ISNUMBER(SEARCH('Φόρμα Εισαγωγής'!$B$2,C3105)),MAX($B$1:B3104)+1,0)</f>
        <v>0</v>
      </c>
      <c r="D3105" s="33">
        <f>IF(ISNUMBER(SEARCH('Φόρμα Εισαγωγής'!$C$2,E3105)),MAX($D$1:D3104)+1,0)</f>
        <v>0</v>
      </c>
      <c r="H3105" s="6">
        <f t="shared" si="155"/>
        <v>0</v>
      </c>
      <c r="I3105" s="6">
        <f t="shared" si="156"/>
        <v>0</v>
      </c>
      <c r="J3105" s="6">
        <f t="shared" si="157"/>
        <v>0</v>
      </c>
      <c r="L3105" s="4" t="str">
        <f>IFERROR(VLOOKUP(ROWS($L$2:L3105),$B$2:$C$1996,2,0),"")</f>
        <v/>
      </c>
      <c r="N3105" s="2" t="str">
        <f>IFERROR(VLOOKUP(ROWS($N$2:N3105),$D$2:$E$1996,2,0),"")</f>
        <v/>
      </c>
    </row>
    <row r="3106" spans="2:14">
      <c r="B3106" s="32">
        <f>IF(ISNUMBER(SEARCH('Φόρμα Εισαγωγής'!$B$2,C3106)),MAX($B$1:B3105)+1,0)</f>
        <v>0</v>
      </c>
      <c r="D3106" s="33">
        <f>IF(ISNUMBER(SEARCH('Φόρμα Εισαγωγής'!$C$2,E3106)),MAX($D$1:D3105)+1,0)</f>
        <v>0</v>
      </c>
      <c r="H3106" s="6">
        <f t="shared" si="155"/>
        <v>0</v>
      </c>
      <c r="I3106" s="6">
        <f t="shared" si="156"/>
        <v>0</v>
      </c>
      <c r="J3106" s="6">
        <f t="shared" si="157"/>
        <v>0</v>
      </c>
      <c r="L3106" s="4" t="str">
        <f>IFERROR(VLOOKUP(ROWS($L$2:L3106),$B$2:$C$1996,2,0),"")</f>
        <v/>
      </c>
      <c r="N3106" s="2" t="str">
        <f>IFERROR(VLOOKUP(ROWS($N$2:N3106),$D$2:$E$1996,2,0),"")</f>
        <v/>
      </c>
    </row>
    <row r="3107" spans="2:14">
      <c r="B3107" s="32">
        <f>IF(ISNUMBER(SEARCH('Φόρμα Εισαγωγής'!$B$2,C3107)),MAX($B$1:B3106)+1,0)</f>
        <v>0</v>
      </c>
      <c r="D3107" s="33">
        <f>IF(ISNUMBER(SEARCH('Φόρμα Εισαγωγής'!$C$2,E3107)),MAX($D$1:D3106)+1,0)</f>
        <v>0</v>
      </c>
      <c r="H3107" s="6">
        <f t="shared" si="155"/>
        <v>0</v>
      </c>
      <c r="I3107" s="6">
        <f t="shared" si="156"/>
        <v>0</v>
      </c>
      <c r="J3107" s="6">
        <f t="shared" si="157"/>
        <v>0</v>
      </c>
      <c r="L3107" s="4" t="str">
        <f>IFERROR(VLOOKUP(ROWS($L$2:L3107),$B$2:$C$1996,2,0),"")</f>
        <v/>
      </c>
      <c r="N3107" s="2" t="str">
        <f>IFERROR(VLOOKUP(ROWS($N$2:N3107),$D$2:$E$1996,2,0),"")</f>
        <v/>
      </c>
    </row>
    <row r="3108" spans="2:14">
      <c r="B3108" s="32">
        <f>IF(ISNUMBER(SEARCH('Φόρμα Εισαγωγής'!$B$2,C3108)),MAX($B$1:B3107)+1,0)</f>
        <v>0</v>
      </c>
      <c r="D3108" s="33">
        <f>IF(ISNUMBER(SEARCH('Φόρμα Εισαγωγής'!$C$2,E3108)),MAX($D$1:D3107)+1,0)</f>
        <v>0</v>
      </c>
      <c r="H3108" s="6">
        <f t="shared" si="155"/>
        <v>0</v>
      </c>
      <c r="I3108" s="6">
        <f t="shared" si="156"/>
        <v>0</v>
      </c>
      <c r="J3108" s="6">
        <f t="shared" si="157"/>
        <v>0</v>
      </c>
      <c r="L3108" s="4" t="str">
        <f>IFERROR(VLOOKUP(ROWS($L$2:L3108),$B$2:$C$1996,2,0),"")</f>
        <v/>
      </c>
      <c r="N3108" s="2" t="str">
        <f>IFERROR(VLOOKUP(ROWS($N$2:N3108),$D$2:$E$1996,2,0),"")</f>
        <v/>
      </c>
    </row>
    <row r="3109" spans="2:14">
      <c r="B3109" s="32">
        <f>IF(ISNUMBER(SEARCH('Φόρμα Εισαγωγής'!$B$2,C3109)),MAX($B$1:B3108)+1,0)</f>
        <v>0</v>
      </c>
      <c r="D3109" s="33">
        <f>IF(ISNUMBER(SEARCH('Φόρμα Εισαγωγής'!$C$2,E3109)),MAX($D$1:D3108)+1,0)</f>
        <v>0</v>
      </c>
      <c r="H3109" s="6">
        <f t="shared" si="155"/>
        <v>0</v>
      </c>
      <c r="I3109" s="6">
        <f t="shared" si="156"/>
        <v>0</v>
      </c>
      <c r="J3109" s="6">
        <f t="shared" si="157"/>
        <v>0</v>
      </c>
      <c r="L3109" s="4" t="str">
        <f>IFERROR(VLOOKUP(ROWS($L$2:L3109),$B$2:$C$1996,2,0),"")</f>
        <v/>
      </c>
      <c r="N3109" s="2" t="str">
        <f>IFERROR(VLOOKUP(ROWS($N$2:N3109),$D$2:$E$1996,2,0),"")</f>
        <v/>
      </c>
    </row>
    <row r="3110" spans="2:14">
      <c r="B3110" s="32">
        <f>IF(ISNUMBER(SEARCH('Φόρμα Εισαγωγής'!$B$2,C3110)),MAX($B$1:B3109)+1,0)</f>
        <v>0</v>
      </c>
      <c r="D3110" s="33">
        <f>IF(ISNUMBER(SEARCH('Φόρμα Εισαγωγής'!$C$2,E3110)),MAX($D$1:D3109)+1,0)</f>
        <v>0</v>
      </c>
      <c r="H3110" s="6">
        <f t="shared" si="155"/>
        <v>0</v>
      </c>
      <c r="I3110" s="6">
        <f t="shared" si="156"/>
        <v>0</v>
      </c>
      <c r="J3110" s="6">
        <f t="shared" si="157"/>
        <v>0</v>
      </c>
      <c r="L3110" s="4" t="str">
        <f>IFERROR(VLOOKUP(ROWS($L$2:L3110),$B$2:$C$1996,2,0),"")</f>
        <v/>
      </c>
      <c r="N3110" s="2" t="str">
        <f>IFERROR(VLOOKUP(ROWS($N$2:N3110),$D$2:$E$1996,2,0),"")</f>
        <v/>
      </c>
    </row>
    <row r="3111" spans="2:14">
      <c r="B3111" s="32">
        <f>IF(ISNUMBER(SEARCH('Φόρμα Εισαγωγής'!$B$2,C3111)),MAX($B$1:B3110)+1,0)</f>
        <v>0</v>
      </c>
      <c r="D3111" s="33">
        <f>IF(ISNUMBER(SEARCH('Φόρμα Εισαγωγής'!$C$2,E3111)),MAX($D$1:D3110)+1,0)</f>
        <v>0</v>
      </c>
      <c r="H3111" s="6">
        <f t="shared" si="155"/>
        <v>0</v>
      </c>
      <c r="I3111" s="6">
        <f t="shared" si="156"/>
        <v>0</v>
      </c>
      <c r="J3111" s="6">
        <f t="shared" si="157"/>
        <v>0</v>
      </c>
      <c r="L3111" s="4" t="str">
        <f>IFERROR(VLOOKUP(ROWS($L$2:L3111),$B$2:$C$1996,2,0),"")</f>
        <v/>
      </c>
      <c r="N3111" s="2" t="str">
        <f>IFERROR(VLOOKUP(ROWS($N$2:N3111),$D$2:$E$1996,2,0),"")</f>
        <v/>
      </c>
    </row>
    <row r="3112" spans="2:14">
      <c r="B3112" s="32">
        <f>IF(ISNUMBER(SEARCH('Φόρμα Εισαγωγής'!$B$2,C3112)),MAX($B$1:B3111)+1,0)</f>
        <v>0</v>
      </c>
      <c r="D3112" s="33">
        <f>IF(ISNUMBER(SEARCH('Φόρμα Εισαγωγής'!$C$2,E3112)),MAX($D$1:D3111)+1,0)</f>
        <v>0</v>
      </c>
      <c r="H3112" s="6">
        <f t="shared" si="155"/>
        <v>0</v>
      </c>
      <c r="I3112" s="6">
        <f t="shared" si="156"/>
        <v>0</v>
      </c>
      <c r="J3112" s="6">
        <f t="shared" si="157"/>
        <v>0</v>
      </c>
      <c r="L3112" s="4" t="str">
        <f>IFERROR(VLOOKUP(ROWS($L$2:L3112),$B$2:$C$1996,2,0),"")</f>
        <v/>
      </c>
      <c r="N3112" s="2" t="str">
        <f>IFERROR(VLOOKUP(ROWS($N$2:N3112),$D$2:$E$1996,2,0),"")</f>
        <v/>
      </c>
    </row>
    <row r="3113" spans="2:14">
      <c r="B3113" s="32">
        <f>IF(ISNUMBER(SEARCH('Φόρμα Εισαγωγής'!$B$2,C3113)),MAX($B$1:B3112)+1,0)</f>
        <v>0</v>
      </c>
      <c r="D3113" s="33">
        <f>IF(ISNUMBER(SEARCH('Φόρμα Εισαγωγής'!$C$2,E3113)),MAX($D$1:D3112)+1,0)</f>
        <v>0</v>
      </c>
      <c r="H3113" s="6">
        <f t="shared" si="155"/>
        <v>0</v>
      </c>
      <c r="I3113" s="6">
        <f t="shared" si="156"/>
        <v>0</v>
      </c>
      <c r="J3113" s="6">
        <f t="shared" si="157"/>
        <v>0</v>
      </c>
      <c r="L3113" s="4" t="str">
        <f>IFERROR(VLOOKUP(ROWS($L$2:L3113),$B$2:$C$1996,2,0),"")</f>
        <v/>
      </c>
      <c r="N3113" s="2" t="str">
        <f>IFERROR(VLOOKUP(ROWS($N$2:N3113),$D$2:$E$1996,2,0),"")</f>
        <v/>
      </c>
    </row>
    <row r="3114" spans="2:14">
      <c r="B3114" s="32">
        <f>IF(ISNUMBER(SEARCH('Φόρμα Εισαγωγής'!$B$2,C3114)),MAX($B$1:B3113)+1,0)</f>
        <v>0</v>
      </c>
      <c r="D3114" s="33">
        <f>IF(ISNUMBER(SEARCH('Φόρμα Εισαγωγής'!$C$2,E3114)),MAX($D$1:D3113)+1,0)</f>
        <v>0</v>
      </c>
      <c r="H3114" s="6">
        <f t="shared" si="155"/>
        <v>0</v>
      </c>
      <c r="I3114" s="6">
        <f t="shared" si="156"/>
        <v>0</v>
      </c>
      <c r="J3114" s="6">
        <f t="shared" si="157"/>
        <v>0</v>
      </c>
      <c r="L3114" s="4" t="str">
        <f>IFERROR(VLOOKUP(ROWS($L$2:L3114),$B$2:$C$1996,2,0),"")</f>
        <v/>
      </c>
      <c r="N3114" s="2" t="str">
        <f>IFERROR(VLOOKUP(ROWS($N$2:N3114),$D$2:$E$1996,2,0),"")</f>
        <v/>
      </c>
    </row>
    <row r="3115" spans="2:14">
      <c r="B3115" s="32">
        <f>IF(ISNUMBER(SEARCH('Φόρμα Εισαγωγής'!$B$2,C3115)),MAX($B$1:B3114)+1,0)</f>
        <v>0</v>
      </c>
      <c r="D3115" s="33">
        <f>IF(ISNUMBER(SEARCH('Φόρμα Εισαγωγής'!$C$2,E3115)),MAX($D$1:D3114)+1,0)</f>
        <v>0</v>
      </c>
      <c r="H3115" s="6">
        <f t="shared" si="155"/>
        <v>0</v>
      </c>
      <c r="I3115" s="6">
        <f t="shared" si="156"/>
        <v>0</v>
      </c>
      <c r="J3115" s="6">
        <f t="shared" si="157"/>
        <v>0</v>
      </c>
      <c r="L3115" s="4" t="str">
        <f>IFERROR(VLOOKUP(ROWS($L$2:L3115),$B$2:$C$1996,2,0),"")</f>
        <v/>
      </c>
      <c r="N3115" s="2" t="str">
        <f>IFERROR(VLOOKUP(ROWS($N$2:N3115),$D$2:$E$1996,2,0),"")</f>
        <v/>
      </c>
    </row>
    <row r="3116" spans="2:14">
      <c r="B3116" s="32">
        <f>IF(ISNUMBER(SEARCH('Φόρμα Εισαγωγής'!$B$2,C3116)),MAX($B$1:B3115)+1,0)</f>
        <v>0</v>
      </c>
      <c r="D3116" s="33">
        <f>IF(ISNUMBER(SEARCH('Φόρμα Εισαγωγής'!$C$2,E3116)),MAX($D$1:D3115)+1,0)</f>
        <v>0</v>
      </c>
      <c r="H3116" s="6">
        <f t="shared" si="155"/>
        <v>0</v>
      </c>
      <c r="I3116" s="6">
        <f t="shared" si="156"/>
        <v>0</v>
      </c>
      <c r="J3116" s="6">
        <f t="shared" si="157"/>
        <v>0</v>
      </c>
      <c r="L3116" s="4" t="str">
        <f>IFERROR(VLOOKUP(ROWS($L$2:L3116),$B$2:$C$1996,2,0),"")</f>
        <v/>
      </c>
      <c r="N3116" s="2" t="str">
        <f>IFERROR(VLOOKUP(ROWS($N$2:N3116),$D$2:$E$1996,2,0),"")</f>
        <v/>
      </c>
    </row>
    <row r="3117" spans="2:14">
      <c r="B3117" s="32">
        <f>IF(ISNUMBER(SEARCH('Φόρμα Εισαγωγής'!$B$2,C3117)),MAX($B$1:B3116)+1,0)</f>
        <v>0</v>
      </c>
      <c r="D3117" s="33">
        <f>IF(ISNUMBER(SEARCH('Φόρμα Εισαγωγής'!$C$2,E3117)),MAX($D$1:D3116)+1,0)</f>
        <v>0</v>
      </c>
      <c r="H3117" s="6">
        <f t="shared" si="155"/>
        <v>0</v>
      </c>
      <c r="I3117" s="6">
        <f t="shared" si="156"/>
        <v>0</v>
      </c>
      <c r="J3117" s="6">
        <f t="shared" si="157"/>
        <v>0</v>
      </c>
      <c r="L3117" s="4" t="str">
        <f>IFERROR(VLOOKUP(ROWS($L$2:L3117),$B$2:$C$1996,2,0),"")</f>
        <v/>
      </c>
      <c r="N3117" s="2" t="str">
        <f>IFERROR(VLOOKUP(ROWS($N$2:N3117),$D$2:$E$1996,2,0),"")</f>
        <v/>
      </c>
    </row>
    <row r="3118" spans="2:14">
      <c r="B3118" s="32">
        <f>IF(ISNUMBER(SEARCH('Φόρμα Εισαγωγής'!$B$2,C3118)),MAX($B$1:B3117)+1,0)</f>
        <v>0</v>
      </c>
      <c r="D3118" s="33">
        <f>IF(ISNUMBER(SEARCH('Φόρμα Εισαγωγής'!$C$2,E3118)),MAX($D$1:D3117)+1,0)</f>
        <v>0</v>
      </c>
      <c r="H3118" s="6">
        <f t="shared" si="155"/>
        <v>0</v>
      </c>
      <c r="I3118" s="6">
        <f t="shared" si="156"/>
        <v>0</v>
      </c>
      <c r="J3118" s="6">
        <f t="shared" si="157"/>
        <v>0</v>
      </c>
      <c r="L3118" s="4" t="str">
        <f>IFERROR(VLOOKUP(ROWS($L$2:L3118),$B$2:$C$1996,2,0),"")</f>
        <v/>
      </c>
      <c r="N3118" s="2" t="str">
        <f>IFERROR(VLOOKUP(ROWS($N$2:N3118),$D$2:$E$1996,2,0),"")</f>
        <v/>
      </c>
    </row>
    <row r="3119" spans="2:14">
      <c r="B3119" s="32">
        <f>IF(ISNUMBER(SEARCH('Φόρμα Εισαγωγής'!$B$2,C3119)),MAX($B$1:B3118)+1,0)</f>
        <v>0</v>
      </c>
      <c r="D3119" s="33">
        <f>IF(ISNUMBER(SEARCH('Φόρμα Εισαγωγής'!$C$2,E3119)),MAX($D$1:D3118)+1,0)</f>
        <v>0</v>
      </c>
      <c r="H3119" s="6">
        <f t="shared" si="155"/>
        <v>0</v>
      </c>
      <c r="I3119" s="6">
        <f t="shared" si="156"/>
        <v>0</v>
      </c>
      <c r="J3119" s="6">
        <f t="shared" si="157"/>
        <v>0</v>
      </c>
      <c r="L3119" s="4" t="str">
        <f>IFERROR(VLOOKUP(ROWS($L$2:L3119),$B$2:$C$1996,2,0),"")</f>
        <v/>
      </c>
      <c r="N3119" s="2" t="str">
        <f>IFERROR(VLOOKUP(ROWS($N$2:N3119),$D$2:$E$1996,2,0),"")</f>
        <v/>
      </c>
    </row>
    <row r="3120" spans="2:14">
      <c r="B3120" s="32">
        <f>IF(ISNUMBER(SEARCH('Φόρμα Εισαγωγής'!$B$2,C3120)),MAX($B$1:B3119)+1,0)</f>
        <v>0</v>
      </c>
      <c r="D3120" s="33">
        <f>IF(ISNUMBER(SEARCH('Φόρμα Εισαγωγής'!$C$2,E3120)),MAX($D$1:D3119)+1,0)</f>
        <v>0</v>
      </c>
      <c r="H3120" s="6">
        <f t="shared" si="155"/>
        <v>0</v>
      </c>
      <c r="I3120" s="6">
        <f t="shared" si="156"/>
        <v>0</v>
      </c>
      <c r="J3120" s="6">
        <f t="shared" si="157"/>
        <v>0</v>
      </c>
      <c r="L3120" s="4" t="str">
        <f>IFERROR(VLOOKUP(ROWS($L$2:L3120),$B$2:$C$1996,2,0),"")</f>
        <v/>
      </c>
      <c r="N3120" s="2" t="str">
        <f>IFERROR(VLOOKUP(ROWS($N$2:N3120),$D$2:$E$1996,2,0),"")</f>
        <v/>
      </c>
    </row>
    <row r="3121" spans="2:14">
      <c r="B3121" s="32">
        <f>IF(ISNUMBER(SEARCH('Φόρμα Εισαγωγής'!$B$2,C3121)),MAX($B$1:B3120)+1,0)</f>
        <v>0</v>
      </c>
      <c r="D3121" s="33">
        <f>IF(ISNUMBER(SEARCH('Φόρμα Εισαγωγής'!$C$2,E3121)),MAX($D$1:D3120)+1,0)</f>
        <v>0</v>
      </c>
      <c r="H3121" s="6">
        <f t="shared" si="155"/>
        <v>0</v>
      </c>
      <c r="I3121" s="6">
        <f t="shared" si="156"/>
        <v>0</v>
      </c>
      <c r="J3121" s="6">
        <f t="shared" si="157"/>
        <v>0</v>
      </c>
      <c r="L3121" s="4" t="str">
        <f>IFERROR(VLOOKUP(ROWS($L$2:L3121),$B$2:$C$1996,2,0),"")</f>
        <v/>
      </c>
      <c r="N3121" s="2" t="str">
        <f>IFERROR(VLOOKUP(ROWS($N$2:N3121),$D$2:$E$1996,2,0),"")</f>
        <v/>
      </c>
    </row>
    <row r="3122" spans="2:14">
      <c r="B3122" s="32">
        <f>IF(ISNUMBER(SEARCH('Φόρμα Εισαγωγής'!$B$2,C3122)),MAX($B$1:B3121)+1,0)</f>
        <v>0</v>
      </c>
      <c r="D3122" s="33">
        <f>IF(ISNUMBER(SEARCH('Φόρμα Εισαγωγής'!$C$2,E3122)),MAX($D$1:D3121)+1,0)</f>
        <v>0</v>
      </c>
      <c r="H3122" s="6">
        <f t="shared" si="155"/>
        <v>0</v>
      </c>
      <c r="I3122" s="6">
        <f t="shared" si="156"/>
        <v>0</v>
      </c>
      <c r="J3122" s="6">
        <f t="shared" si="157"/>
        <v>0</v>
      </c>
      <c r="L3122" s="4" t="str">
        <f>IFERROR(VLOOKUP(ROWS($L$2:L3122),$B$2:$C$1996,2,0),"")</f>
        <v/>
      </c>
      <c r="N3122" s="2" t="str">
        <f>IFERROR(VLOOKUP(ROWS($N$2:N3122),$D$2:$E$1996,2,0),"")</f>
        <v/>
      </c>
    </row>
    <row r="3123" spans="2:14">
      <c r="B3123" s="32">
        <f>IF(ISNUMBER(SEARCH('Φόρμα Εισαγωγής'!$B$2,C3123)),MAX($B$1:B3122)+1,0)</f>
        <v>0</v>
      </c>
      <c r="D3123" s="33">
        <f>IF(ISNUMBER(SEARCH('Φόρμα Εισαγωγής'!$C$2,E3123)),MAX($D$1:D3122)+1,0)</f>
        <v>0</v>
      </c>
      <c r="H3123" s="6">
        <f t="shared" si="155"/>
        <v>0</v>
      </c>
      <c r="I3123" s="6">
        <f t="shared" si="156"/>
        <v>0</v>
      </c>
      <c r="J3123" s="6">
        <f t="shared" si="157"/>
        <v>0</v>
      </c>
      <c r="L3123" s="4" t="str">
        <f>IFERROR(VLOOKUP(ROWS($L$2:L3123),$B$2:$C$1996,2,0),"")</f>
        <v/>
      </c>
      <c r="N3123" s="2" t="str">
        <f>IFERROR(VLOOKUP(ROWS($N$2:N3123),$D$2:$E$1996,2,0),"")</f>
        <v/>
      </c>
    </row>
    <row r="3124" spans="2:14">
      <c r="B3124" s="32">
        <f>IF(ISNUMBER(SEARCH('Φόρμα Εισαγωγής'!$B$2,C3124)),MAX($B$1:B3123)+1,0)</f>
        <v>0</v>
      </c>
      <c r="D3124" s="33">
        <f>IF(ISNUMBER(SEARCH('Φόρμα Εισαγωγής'!$C$2,E3124)),MAX($D$1:D3123)+1,0)</f>
        <v>0</v>
      </c>
      <c r="H3124" s="6">
        <f t="shared" si="155"/>
        <v>0</v>
      </c>
      <c r="I3124" s="6">
        <f t="shared" si="156"/>
        <v>0</v>
      </c>
      <c r="J3124" s="6">
        <f t="shared" si="157"/>
        <v>0</v>
      </c>
      <c r="L3124" s="4" t="str">
        <f>IFERROR(VLOOKUP(ROWS($L$2:L3124),$B$2:$C$1996,2,0),"")</f>
        <v/>
      </c>
      <c r="N3124" s="2" t="str">
        <f>IFERROR(VLOOKUP(ROWS($N$2:N3124),$D$2:$E$1996,2,0),"")</f>
        <v/>
      </c>
    </row>
    <row r="3125" spans="2:14">
      <c r="B3125" s="32">
        <f>IF(ISNUMBER(SEARCH('Φόρμα Εισαγωγής'!$B$2,C3125)),MAX($B$1:B3124)+1,0)</f>
        <v>0</v>
      </c>
      <c r="D3125" s="33">
        <f>IF(ISNUMBER(SEARCH('Φόρμα Εισαγωγής'!$C$2,E3125)),MAX($D$1:D3124)+1,0)</f>
        <v>0</v>
      </c>
      <c r="H3125" s="6">
        <f t="shared" si="155"/>
        <v>0</v>
      </c>
      <c r="I3125" s="6">
        <f t="shared" si="156"/>
        <v>0</v>
      </c>
      <c r="J3125" s="6">
        <f t="shared" si="157"/>
        <v>0</v>
      </c>
      <c r="L3125" s="4" t="str">
        <f>IFERROR(VLOOKUP(ROWS($L$2:L3125),$B$2:$C$1996,2,0),"")</f>
        <v/>
      </c>
      <c r="N3125" s="2" t="str">
        <f>IFERROR(VLOOKUP(ROWS($N$2:N3125),$D$2:$E$1996,2,0),"")</f>
        <v/>
      </c>
    </row>
    <row r="3126" spans="2:14">
      <c r="B3126" s="32">
        <f>IF(ISNUMBER(SEARCH('Φόρμα Εισαγωγής'!$B$2,C3126)),MAX($B$1:B3125)+1,0)</f>
        <v>0</v>
      </c>
      <c r="D3126" s="33">
        <f>IF(ISNUMBER(SEARCH('Φόρμα Εισαγωγής'!$C$2,E3126)),MAX($D$1:D3125)+1,0)</f>
        <v>0</v>
      </c>
      <c r="H3126" s="6">
        <f t="shared" si="155"/>
        <v>0</v>
      </c>
      <c r="I3126" s="6">
        <f t="shared" si="156"/>
        <v>0</v>
      </c>
      <c r="J3126" s="6">
        <f t="shared" si="157"/>
        <v>0</v>
      </c>
      <c r="L3126" s="4" t="str">
        <f>IFERROR(VLOOKUP(ROWS($L$2:L3126),$B$2:$C$1996,2,0),"")</f>
        <v/>
      </c>
      <c r="N3126" s="2" t="str">
        <f>IFERROR(VLOOKUP(ROWS($N$2:N3126),$D$2:$E$1996,2,0),"")</f>
        <v/>
      </c>
    </row>
    <row r="3127" spans="2:14">
      <c r="B3127" s="32">
        <f>IF(ISNUMBER(SEARCH('Φόρμα Εισαγωγής'!$B$2,C3127)),MAX($B$1:B3126)+1,0)</f>
        <v>0</v>
      </c>
      <c r="D3127" s="33">
        <f>IF(ISNUMBER(SEARCH('Φόρμα Εισαγωγής'!$C$2,E3127)),MAX($D$1:D3126)+1,0)</f>
        <v>0</v>
      </c>
      <c r="H3127" s="6">
        <f t="shared" si="155"/>
        <v>0</v>
      </c>
      <c r="I3127" s="6">
        <f t="shared" si="156"/>
        <v>0</v>
      </c>
      <c r="J3127" s="6">
        <f t="shared" si="157"/>
        <v>0</v>
      </c>
      <c r="L3127" s="4" t="str">
        <f>IFERROR(VLOOKUP(ROWS($L$2:L3127),$B$2:$C$1996,2,0),"")</f>
        <v/>
      </c>
      <c r="N3127" s="2" t="str">
        <f>IFERROR(VLOOKUP(ROWS($N$2:N3127),$D$2:$E$1996,2,0),"")</f>
        <v/>
      </c>
    </row>
    <row r="3128" spans="2:14">
      <c r="B3128" s="32">
        <f>IF(ISNUMBER(SEARCH('Φόρμα Εισαγωγής'!$B$2,C3128)),MAX($B$1:B3127)+1,0)</f>
        <v>0</v>
      </c>
      <c r="D3128" s="33">
        <f>IF(ISNUMBER(SEARCH('Φόρμα Εισαγωγής'!$C$2,E3128)),MAX($D$1:D3127)+1,0)</f>
        <v>0</v>
      </c>
      <c r="H3128" s="6">
        <f t="shared" si="155"/>
        <v>0</v>
      </c>
      <c r="I3128" s="6">
        <f t="shared" si="156"/>
        <v>0</v>
      </c>
      <c r="J3128" s="6">
        <f t="shared" si="157"/>
        <v>0</v>
      </c>
      <c r="L3128" s="4" t="str">
        <f>IFERROR(VLOOKUP(ROWS($L$2:L3128),$B$2:$C$1996,2,0),"")</f>
        <v/>
      </c>
      <c r="N3128" s="2" t="str">
        <f>IFERROR(VLOOKUP(ROWS($N$2:N3128),$D$2:$E$1996,2,0),"")</f>
        <v/>
      </c>
    </row>
    <row r="3129" spans="2:14">
      <c r="B3129" s="32">
        <f>IF(ISNUMBER(SEARCH('Φόρμα Εισαγωγής'!$B$2,C3129)),MAX($B$1:B3128)+1,0)</f>
        <v>0</v>
      </c>
      <c r="D3129" s="33">
        <f>IF(ISNUMBER(SEARCH('Φόρμα Εισαγωγής'!$C$2,E3129)),MAX($D$1:D3128)+1,0)</f>
        <v>0</v>
      </c>
      <c r="H3129" s="6">
        <f t="shared" si="155"/>
        <v>0</v>
      </c>
      <c r="I3129" s="6">
        <f t="shared" si="156"/>
        <v>0</v>
      </c>
      <c r="J3129" s="6">
        <f t="shared" si="157"/>
        <v>0</v>
      </c>
      <c r="L3129" s="4" t="str">
        <f>IFERROR(VLOOKUP(ROWS($L$2:L3129),$B$2:$C$1996,2,0),"")</f>
        <v/>
      </c>
      <c r="N3129" s="2" t="str">
        <f>IFERROR(VLOOKUP(ROWS($N$2:N3129),$D$2:$E$1996,2,0),"")</f>
        <v/>
      </c>
    </row>
    <row r="3130" spans="2:14">
      <c r="B3130" s="32">
        <f>IF(ISNUMBER(SEARCH('Φόρμα Εισαγωγής'!$B$2,C3130)),MAX($B$1:B3129)+1,0)</f>
        <v>0</v>
      </c>
      <c r="D3130" s="33">
        <f>IF(ISNUMBER(SEARCH('Φόρμα Εισαγωγής'!$C$2,E3130)),MAX($D$1:D3129)+1,0)</f>
        <v>0</v>
      </c>
      <c r="H3130" s="6">
        <f t="shared" si="155"/>
        <v>0</v>
      </c>
      <c r="I3130" s="6">
        <f t="shared" si="156"/>
        <v>0</v>
      </c>
      <c r="J3130" s="6">
        <f t="shared" si="157"/>
        <v>0</v>
      </c>
      <c r="L3130" s="4" t="str">
        <f>IFERROR(VLOOKUP(ROWS($L$2:L3130),$B$2:$C$1996,2,0),"")</f>
        <v/>
      </c>
      <c r="N3130" s="2" t="str">
        <f>IFERROR(VLOOKUP(ROWS($N$2:N3130),$D$2:$E$1996,2,0),"")</f>
        <v/>
      </c>
    </row>
    <row r="3131" spans="2:14">
      <c r="B3131" s="32">
        <f>IF(ISNUMBER(SEARCH('Φόρμα Εισαγωγής'!$B$2,C3131)),MAX($B$1:B3130)+1,0)</f>
        <v>0</v>
      </c>
      <c r="D3131" s="33">
        <f>IF(ISNUMBER(SEARCH('Φόρμα Εισαγωγής'!$C$2,E3131)),MAX($D$1:D3130)+1,0)</f>
        <v>0</v>
      </c>
      <c r="H3131" s="6">
        <f t="shared" si="155"/>
        <v>0</v>
      </c>
      <c r="I3131" s="6">
        <f t="shared" si="156"/>
        <v>0</v>
      </c>
      <c r="J3131" s="6">
        <f t="shared" si="157"/>
        <v>0</v>
      </c>
      <c r="L3131" s="4" t="str">
        <f>IFERROR(VLOOKUP(ROWS($L$2:L3131),$B$2:$C$1996,2,0),"")</f>
        <v/>
      </c>
      <c r="N3131" s="2" t="str">
        <f>IFERROR(VLOOKUP(ROWS($N$2:N3131),$D$2:$E$1996,2,0),"")</f>
        <v/>
      </c>
    </row>
    <row r="3132" spans="2:14">
      <c r="B3132" s="32">
        <f>IF(ISNUMBER(SEARCH('Φόρμα Εισαγωγής'!$B$2,C3132)),MAX($B$1:B3131)+1,0)</f>
        <v>0</v>
      </c>
      <c r="D3132" s="33">
        <f>IF(ISNUMBER(SEARCH('Φόρμα Εισαγωγής'!$C$2,E3132)),MAX($D$1:D3131)+1,0)</f>
        <v>0</v>
      </c>
      <c r="H3132" s="6">
        <f t="shared" si="155"/>
        <v>0</v>
      </c>
      <c r="I3132" s="6">
        <f t="shared" si="156"/>
        <v>0</v>
      </c>
      <c r="J3132" s="6">
        <f t="shared" si="157"/>
        <v>0</v>
      </c>
      <c r="L3132" s="4" t="str">
        <f>IFERROR(VLOOKUP(ROWS($L$2:L3132),$B$2:$C$1996,2,0),"")</f>
        <v/>
      </c>
      <c r="N3132" s="2" t="str">
        <f>IFERROR(VLOOKUP(ROWS($N$2:N3132),$D$2:$E$1996,2,0),"")</f>
        <v/>
      </c>
    </row>
    <row r="3133" spans="2:14">
      <c r="B3133" s="32">
        <f>IF(ISNUMBER(SEARCH('Φόρμα Εισαγωγής'!$B$2,C3133)),MAX($B$1:B3132)+1,0)</f>
        <v>0</v>
      </c>
      <c r="D3133" s="33">
        <f>IF(ISNUMBER(SEARCH('Φόρμα Εισαγωγής'!$C$2,E3133)),MAX($D$1:D3132)+1,0)</f>
        <v>0</v>
      </c>
      <c r="H3133" s="6">
        <f t="shared" si="155"/>
        <v>0</v>
      </c>
      <c r="I3133" s="6">
        <f t="shared" si="156"/>
        <v>0</v>
      </c>
      <c r="J3133" s="6">
        <f t="shared" si="157"/>
        <v>0</v>
      </c>
      <c r="L3133" s="4" t="str">
        <f>IFERROR(VLOOKUP(ROWS($L$2:L3133),$B$2:$C$1996,2,0),"")</f>
        <v/>
      </c>
      <c r="N3133" s="2" t="str">
        <f>IFERROR(VLOOKUP(ROWS($N$2:N3133),$D$2:$E$1996,2,0),"")</f>
        <v/>
      </c>
    </row>
    <row r="3134" spans="2:14">
      <c r="B3134" s="32">
        <f>IF(ISNUMBER(SEARCH('Φόρμα Εισαγωγής'!$B$2,C3134)),MAX($B$1:B3133)+1,0)</f>
        <v>0</v>
      </c>
      <c r="D3134" s="33">
        <f>IF(ISNUMBER(SEARCH('Φόρμα Εισαγωγής'!$C$2,E3134)),MAX($D$1:D3133)+1,0)</f>
        <v>0</v>
      </c>
      <c r="H3134" s="6">
        <f t="shared" si="155"/>
        <v>0</v>
      </c>
      <c r="I3134" s="6">
        <f t="shared" si="156"/>
        <v>0</v>
      </c>
      <c r="J3134" s="6">
        <f t="shared" si="157"/>
        <v>0</v>
      </c>
      <c r="L3134" s="4" t="str">
        <f>IFERROR(VLOOKUP(ROWS($L$2:L3134),$B$2:$C$1996,2,0),"")</f>
        <v/>
      </c>
      <c r="N3134" s="2" t="str">
        <f>IFERROR(VLOOKUP(ROWS($N$2:N3134),$D$2:$E$1996,2,0),"")</f>
        <v/>
      </c>
    </row>
    <row r="3135" spans="2:14">
      <c r="B3135" s="32">
        <f>IF(ISNUMBER(SEARCH('Φόρμα Εισαγωγής'!$B$2,C3135)),MAX($B$1:B3134)+1,0)</f>
        <v>0</v>
      </c>
      <c r="D3135" s="33">
        <f>IF(ISNUMBER(SEARCH('Φόρμα Εισαγωγής'!$C$2,E3135)),MAX($D$1:D3134)+1,0)</f>
        <v>0</v>
      </c>
      <c r="H3135" s="6">
        <f t="shared" si="155"/>
        <v>0</v>
      </c>
      <c r="I3135" s="6">
        <f t="shared" si="156"/>
        <v>0</v>
      </c>
      <c r="J3135" s="6">
        <f t="shared" si="157"/>
        <v>0</v>
      </c>
      <c r="L3135" s="4" t="str">
        <f>IFERROR(VLOOKUP(ROWS($L$2:L3135),$B$2:$C$1996,2,0),"")</f>
        <v/>
      </c>
      <c r="N3135" s="2" t="str">
        <f>IFERROR(VLOOKUP(ROWS($N$2:N3135),$D$2:$E$1996,2,0),"")</f>
        <v/>
      </c>
    </row>
    <row r="3136" spans="2:14">
      <c r="B3136" s="32">
        <f>IF(ISNUMBER(SEARCH('Φόρμα Εισαγωγής'!$B$2,C3136)),MAX($B$1:B3135)+1,0)</f>
        <v>0</v>
      </c>
      <c r="D3136" s="33">
        <f>IF(ISNUMBER(SEARCH('Φόρμα Εισαγωγής'!$C$2,E3136)),MAX($D$1:D3135)+1,0)</f>
        <v>0</v>
      </c>
      <c r="H3136" s="6">
        <f t="shared" ref="H3136:H3199" si="158">G3136+(G3136*0.24)</f>
        <v>0</v>
      </c>
      <c r="I3136" s="6">
        <f t="shared" ref="I3136:I3199" si="159">F3136*A3136</f>
        <v>0</v>
      </c>
      <c r="J3136" s="6">
        <f t="shared" ref="J3136:J3199" si="160">H3136*A3136</f>
        <v>0</v>
      </c>
      <c r="L3136" s="4" t="str">
        <f>IFERROR(VLOOKUP(ROWS($L$2:L3136),$B$2:$C$1996,2,0),"")</f>
        <v/>
      </c>
      <c r="N3136" s="2" t="str">
        <f>IFERROR(VLOOKUP(ROWS($N$2:N3136),$D$2:$E$1996,2,0),"")</f>
        <v/>
      </c>
    </row>
    <row r="3137" spans="2:14">
      <c r="B3137" s="32">
        <f>IF(ISNUMBER(SEARCH('Φόρμα Εισαγωγής'!$B$2,C3137)),MAX($B$1:B3136)+1,0)</f>
        <v>0</v>
      </c>
      <c r="D3137" s="33">
        <f>IF(ISNUMBER(SEARCH('Φόρμα Εισαγωγής'!$C$2,E3137)),MAX($D$1:D3136)+1,0)</f>
        <v>0</v>
      </c>
      <c r="H3137" s="6">
        <f t="shared" si="158"/>
        <v>0</v>
      </c>
      <c r="I3137" s="6">
        <f t="shared" si="159"/>
        <v>0</v>
      </c>
      <c r="J3137" s="6">
        <f t="shared" si="160"/>
        <v>0</v>
      </c>
      <c r="L3137" s="4" t="str">
        <f>IFERROR(VLOOKUP(ROWS($L$2:L3137),$B$2:$C$1996,2,0),"")</f>
        <v/>
      </c>
      <c r="N3137" s="2" t="str">
        <f>IFERROR(VLOOKUP(ROWS($N$2:N3137),$D$2:$E$1996,2,0),"")</f>
        <v/>
      </c>
    </row>
    <row r="3138" spans="2:14">
      <c r="B3138" s="32">
        <f>IF(ISNUMBER(SEARCH('Φόρμα Εισαγωγής'!$B$2,C3138)),MAX($B$1:B3137)+1,0)</f>
        <v>0</v>
      </c>
      <c r="D3138" s="33">
        <f>IF(ISNUMBER(SEARCH('Φόρμα Εισαγωγής'!$C$2,E3138)),MAX($D$1:D3137)+1,0)</f>
        <v>0</v>
      </c>
      <c r="H3138" s="6">
        <f t="shared" si="158"/>
        <v>0</v>
      </c>
      <c r="I3138" s="6">
        <f t="shared" si="159"/>
        <v>0</v>
      </c>
      <c r="J3138" s="6">
        <f t="shared" si="160"/>
        <v>0</v>
      </c>
      <c r="L3138" s="4" t="str">
        <f>IFERROR(VLOOKUP(ROWS($L$2:L3138),$B$2:$C$1996,2,0),"")</f>
        <v/>
      </c>
      <c r="N3138" s="2" t="str">
        <f>IFERROR(VLOOKUP(ROWS($N$2:N3138),$D$2:$E$1996,2,0),"")</f>
        <v/>
      </c>
    </row>
    <row r="3139" spans="2:14">
      <c r="B3139" s="32">
        <f>IF(ISNUMBER(SEARCH('Φόρμα Εισαγωγής'!$B$2,C3139)),MAX($B$1:B3138)+1,0)</f>
        <v>0</v>
      </c>
      <c r="D3139" s="33">
        <f>IF(ISNUMBER(SEARCH('Φόρμα Εισαγωγής'!$C$2,E3139)),MAX($D$1:D3138)+1,0)</f>
        <v>0</v>
      </c>
      <c r="H3139" s="6">
        <f t="shared" si="158"/>
        <v>0</v>
      </c>
      <c r="I3139" s="6">
        <f t="shared" si="159"/>
        <v>0</v>
      </c>
      <c r="J3139" s="6">
        <f t="shared" si="160"/>
        <v>0</v>
      </c>
      <c r="L3139" s="4" t="str">
        <f>IFERROR(VLOOKUP(ROWS($L$2:L3139),$B$2:$C$1996,2,0),"")</f>
        <v/>
      </c>
      <c r="N3139" s="2" t="str">
        <f>IFERROR(VLOOKUP(ROWS($N$2:N3139),$D$2:$E$1996,2,0),"")</f>
        <v/>
      </c>
    </row>
    <row r="3140" spans="2:14">
      <c r="B3140" s="32">
        <f>IF(ISNUMBER(SEARCH('Φόρμα Εισαγωγής'!$B$2,C3140)),MAX($B$1:B3139)+1,0)</f>
        <v>0</v>
      </c>
      <c r="D3140" s="33">
        <f>IF(ISNUMBER(SEARCH('Φόρμα Εισαγωγής'!$C$2,E3140)),MAX($D$1:D3139)+1,0)</f>
        <v>0</v>
      </c>
      <c r="H3140" s="6">
        <f t="shared" si="158"/>
        <v>0</v>
      </c>
      <c r="I3140" s="6">
        <f t="shared" si="159"/>
        <v>0</v>
      </c>
      <c r="J3140" s="6">
        <f t="shared" si="160"/>
        <v>0</v>
      </c>
      <c r="L3140" s="4" t="str">
        <f>IFERROR(VLOOKUP(ROWS($L$2:L3140),$B$2:$C$1996,2,0),"")</f>
        <v/>
      </c>
      <c r="N3140" s="2" t="str">
        <f>IFERROR(VLOOKUP(ROWS($N$2:N3140),$D$2:$E$1996,2,0),"")</f>
        <v/>
      </c>
    </row>
    <row r="3141" spans="2:14">
      <c r="B3141" s="32">
        <f>IF(ISNUMBER(SEARCH('Φόρμα Εισαγωγής'!$B$2,C3141)),MAX($B$1:B3140)+1,0)</f>
        <v>0</v>
      </c>
      <c r="D3141" s="33">
        <f>IF(ISNUMBER(SEARCH('Φόρμα Εισαγωγής'!$C$2,E3141)),MAX($D$1:D3140)+1,0)</f>
        <v>0</v>
      </c>
      <c r="H3141" s="6">
        <f t="shared" si="158"/>
        <v>0</v>
      </c>
      <c r="I3141" s="6">
        <f t="shared" si="159"/>
        <v>0</v>
      </c>
      <c r="J3141" s="6">
        <f t="shared" si="160"/>
        <v>0</v>
      </c>
      <c r="L3141" s="4" t="str">
        <f>IFERROR(VLOOKUP(ROWS($L$2:L3141),$B$2:$C$1996,2,0),"")</f>
        <v/>
      </c>
      <c r="N3141" s="2" t="str">
        <f>IFERROR(VLOOKUP(ROWS($N$2:N3141),$D$2:$E$1996,2,0),"")</f>
        <v/>
      </c>
    </row>
    <row r="3142" spans="2:14">
      <c r="B3142" s="32">
        <f>IF(ISNUMBER(SEARCH('Φόρμα Εισαγωγής'!$B$2,C3142)),MAX($B$1:B3141)+1,0)</f>
        <v>0</v>
      </c>
      <c r="D3142" s="33">
        <f>IF(ISNUMBER(SEARCH('Φόρμα Εισαγωγής'!$C$2,E3142)),MAX($D$1:D3141)+1,0)</f>
        <v>0</v>
      </c>
      <c r="H3142" s="6">
        <f t="shared" si="158"/>
        <v>0</v>
      </c>
      <c r="I3142" s="6">
        <f t="shared" si="159"/>
        <v>0</v>
      </c>
      <c r="J3142" s="6">
        <f t="shared" si="160"/>
        <v>0</v>
      </c>
      <c r="L3142" s="4" t="str">
        <f>IFERROR(VLOOKUP(ROWS($L$2:L3142),$B$2:$C$1996,2,0),"")</f>
        <v/>
      </c>
      <c r="N3142" s="2" t="str">
        <f>IFERROR(VLOOKUP(ROWS($N$2:N3142),$D$2:$E$1996,2,0),"")</f>
        <v/>
      </c>
    </row>
    <row r="3143" spans="2:14">
      <c r="B3143" s="32">
        <f>IF(ISNUMBER(SEARCH('Φόρμα Εισαγωγής'!$B$2,C3143)),MAX($B$1:B3142)+1,0)</f>
        <v>0</v>
      </c>
      <c r="D3143" s="33">
        <f>IF(ISNUMBER(SEARCH('Φόρμα Εισαγωγής'!$C$2,E3143)),MAX($D$1:D3142)+1,0)</f>
        <v>0</v>
      </c>
      <c r="H3143" s="6">
        <f t="shared" si="158"/>
        <v>0</v>
      </c>
      <c r="I3143" s="6">
        <f t="shared" si="159"/>
        <v>0</v>
      </c>
      <c r="J3143" s="6">
        <f t="shared" si="160"/>
        <v>0</v>
      </c>
      <c r="L3143" s="4" t="str">
        <f>IFERROR(VLOOKUP(ROWS($L$2:L3143),$B$2:$C$1996,2,0),"")</f>
        <v/>
      </c>
      <c r="N3143" s="2" t="str">
        <f>IFERROR(VLOOKUP(ROWS($N$2:N3143),$D$2:$E$1996,2,0),"")</f>
        <v/>
      </c>
    </row>
    <row r="3144" spans="2:14">
      <c r="B3144" s="32">
        <f>IF(ISNUMBER(SEARCH('Φόρμα Εισαγωγής'!$B$2,C3144)),MAX($B$1:B3143)+1,0)</f>
        <v>0</v>
      </c>
      <c r="D3144" s="33">
        <f>IF(ISNUMBER(SEARCH('Φόρμα Εισαγωγής'!$C$2,E3144)),MAX($D$1:D3143)+1,0)</f>
        <v>0</v>
      </c>
      <c r="H3144" s="6">
        <f t="shared" si="158"/>
        <v>0</v>
      </c>
      <c r="I3144" s="6">
        <f t="shared" si="159"/>
        <v>0</v>
      </c>
      <c r="J3144" s="6">
        <f t="shared" si="160"/>
        <v>0</v>
      </c>
      <c r="L3144" s="4" t="str">
        <f>IFERROR(VLOOKUP(ROWS($L$2:L3144),$B$2:$C$1996,2,0),"")</f>
        <v/>
      </c>
      <c r="N3144" s="2" t="str">
        <f>IFERROR(VLOOKUP(ROWS($N$2:N3144),$D$2:$E$1996,2,0),"")</f>
        <v/>
      </c>
    </row>
    <row r="3145" spans="2:14">
      <c r="B3145" s="32">
        <f>IF(ISNUMBER(SEARCH('Φόρμα Εισαγωγής'!$B$2,C3145)),MAX($B$1:B3144)+1,0)</f>
        <v>0</v>
      </c>
      <c r="D3145" s="33">
        <f>IF(ISNUMBER(SEARCH('Φόρμα Εισαγωγής'!$C$2,E3145)),MAX($D$1:D3144)+1,0)</f>
        <v>0</v>
      </c>
      <c r="H3145" s="6">
        <f t="shared" si="158"/>
        <v>0</v>
      </c>
      <c r="I3145" s="6">
        <f t="shared" si="159"/>
        <v>0</v>
      </c>
      <c r="J3145" s="6">
        <f t="shared" si="160"/>
        <v>0</v>
      </c>
      <c r="L3145" s="4" t="str">
        <f>IFERROR(VLOOKUP(ROWS($L$2:L3145),$B$2:$C$1996,2,0),"")</f>
        <v/>
      </c>
      <c r="N3145" s="2" t="str">
        <f>IFERROR(VLOOKUP(ROWS($N$2:N3145),$D$2:$E$1996,2,0),"")</f>
        <v/>
      </c>
    </row>
    <row r="3146" spans="2:14">
      <c r="B3146" s="32">
        <f>IF(ISNUMBER(SEARCH('Φόρμα Εισαγωγής'!$B$2,C3146)),MAX($B$1:B3145)+1,0)</f>
        <v>0</v>
      </c>
      <c r="D3146" s="33">
        <f>IF(ISNUMBER(SEARCH('Φόρμα Εισαγωγής'!$C$2,E3146)),MAX($D$1:D3145)+1,0)</f>
        <v>0</v>
      </c>
      <c r="H3146" s="6">
        <f t="shared" si="158"/>
        <v>0</v>
      </c>
      <c r="I3146" s="6">
        <f t="shared" si="159"/>
        <v>0</v>
      </c>
      <c r="J3146" s="6">
        <f t="shared" si="160"/>
        <v>0</v>
      </c>
      <c r="L3146" s="4" t="str">
        <f>IFERROR(VLOOKUP(ROWS($L$2:L3146),$B$2:$C$1996,2,0),"")</f>
        <v/>
      </c>
      <c r="N3146" s="2" t="str">
        <f>IFERROR(VLOOKUP(ROWS($N$2:N3146),$D$2:$E$1996,2,0),"")</f>
        <v/>
      </c>
    </row>
    <row r="3147" spans="2:14">
      <c r="B3147" s="32">
        <f>IF(ISNUMBER(SEARCH('Φόρμα Εισαγωγής'!$B$2,C3147)),MAX($B$1:B3146)+1,0)</f>
        <v>0</v>
      </c>
      <c r="D3147" s="33">
        <f>IF(ISNUMBER(SEARCH('Φόρμα Εισαγωγής'!$C$2,E3147)),MAX($D$1:D3146)+1,0)</f>
        <v>0</v>
      </c>
      <c r="H3147" s="6">
        <f t="shared" si="158"/>
        <v>0</v>
      </c>
      <c r="I3147" s="6">
        <f t="shared" si="159"/>
        <v>0</v>
      </c>
      <c r="J3147" s="6">
        <f t="shared" si="160"/>
        <v>0</v>
      </c>
      <c r="L3147" s="4" t="str">
        <f>IFERROR(VLOOKUP(ROWS($L$2:L3147),$B$2:$C$1996,2,0),"")</f>
        <v/>
      </c>
      <c r="N3147" s="2" t="str">
        <f>IFERROR(VLOOKUP(ROWS($N$2:N3147),$D$2:$E$1996,2,0),"")</f>
        <v/>
      </c>
    </row>
    <row r="3148" spans="2:14">
      <c r="B3148" s="32">
        <f>IF(ISNUMBER(SEARCH('Φόρμα Εισαγωγής'!$B$2,C3148)),MAX($B$1:B3147)+1,0)</f>
        <v>0</v>
      </c>
      <c r="D3148" s="33">
        <f>IF(ISNUMBER(SEARCH('Φόρμα Εισαγωγής'!$C$2,E3148)),MAX($D$1:D3147)+1,0)</f>
        <v>0</v>
      </c>
      <c r="H3148" s="6">
        <f t="shared" si="158"/>
        <v>0</v>
      </c>
      <c r="I3148" s="6">
        <f t="shared" si="159"/>
        <v>0</v>
      </c>
      <c r="J3148" s="6">
        <f t="shared" si="160"/>
        <v>0</v>
      </c>
      <c r="L3148" s="4" t="str">
        <f>IFERROR(VLOOKUP(ROWS($L$2:L3148),$B$2:$C$1996,2,0),"")</f>
        <v/>
      </c>
      <c r="N3148" s="2" t="str">
        <f>IFERROR(VLOOKUP(ROWS($N$2:N3148),$D$2:$E$1996,2,0),"")</f>
        <v/>
      </c>
    </row>
    <row r="3149" spans="2:14">
      <c r="B3149" s="32">
        <f>IF(ISNUMBER(SEARCH('Φόρμα Εισαγωγής'!$B$2,C3149)),MAX($B$1:B3148)+1,0)</f>
        <v>0</v>
      </c>
      <c r="D3149" s="33">
        <f>IF(ISNUMBER(SEARCH('Φόρμα Εισαγωγής'!$C$2,E3149)),MAX($D$1:D3148)+1,0)</f>
        <v>0</v>
      </c>
      <c r="H3149" s="6">
        <f t="shared" si="158"/>
        <v>0</v>
      </c>
      <c r="I3149" s="6">
        <f t="shared" si="159"/>
        <v>0</v>
      </c>
      <c r="J3149" s="6">
        <f t="shared" si="160"/>
        <v>0</v>
      </c>
      <c r="L3149" s="4" t="str">
        <f>IFERROR(VLOOKUP(ROWS($L$2:L3149),$B$2:$C$1996,2,0),"")</f>
        <v/>
      </c>
      <c r="N3149" s="2" t="str">
        <f>IFERROR(VLOOKUP(ROWS($N$2:N3149),$D$2:$E$1996,2,0),"")</f>
        <v/>
      </c>
    </row>
    <row r="3150" spans="2:14">
      <c r="B3150" s="32">
        <f>IF(ISNUMBER(SEARCH('Φόρμα Εισαγωγής'!$B$2,C3150)),MAX($B$1:B3149)+1,0)</f>
        <v>0</v>
      </c>
      <c r="D3150" s="33">
        <f>IF(ISNUMBER(SEARCH('Φόρμα Εισαγωγής'!$C$2,E3150)),MAX($D$1:D3149)+1,0)</f>
        <v>0</v>
      </c>
      <c r="H3150" s="6">
        <f t="shared" si="158"/>
        <v>0</v>
      </c>
      <c r="I3150" s="6">
        <f t="shared" si="159"/>
        <v>0</v>
      </c>
      <c r="J3150" s="6">
        <f t="shared" si="160"/>
        <v>0</v>
      </c>
      <c r="L3150" s="4" t="str">
        <f>IFERROR(VLOOKUP(ROWS($L$2:L3150),$B$2:$C$1996,2,0),"")</f>
        <v/>
      </c>
      <c r="N3150" s="2" t="str">
        <f>IFERROR(VLOOKUP(ROWS($N$2:N3150),$D$2:$E$1996,2,0),"")</f>
        <v/>
      </c>
    </row>
    <row r="3151" spans="2:14">
      <c r="B3151" s="32">
        <f>IF(ISNUMBER(SEARCH('Φόρμα Εισαγωγής'!$B$2,C3151)),MAX($B$1:B3150)+1,0)</f>
        <v>0</v>
      </c>
      <c r="D3151" s="33">
        <f>IF(ISNUMBER(SEARCH('Φόρμα Εισαγωγής'!$C$2,E3151)),MAX($D$1:D3150)+1,0)</f>
        <v>0</v>
      </c>
      <c r="H3151" s="6">
        <f t="shared" si="158"/>
        <v>0</v>
      </c>
      <c r="I3151" s="6">
        <f t="shared" si="159"/>
        <v>0</v>
      </c>
      <c r="J3151" s="6">
        <f t="shared" si="160"/>
        <v>0</v>
      </c>
      <c r="L3151" s="4" t="str">
        <f>IFERROR(VLOOKUP(ROWS($L$2:L3151),$B$2:$C$1996,2,0),"")</f>
        <v/>
      </c>
      <c r="N3151" s="2" t="str">
        <f>IFERROR(VLOOKUP(ROWS($N$2:N3151),$D$2:$E$1996,2,0),"")</f>
        <v/>
      </c>
    </row>
    <row r="3152" spans="2:14">
      <c r="B3152" s="32">
        <f>IF(ISNUMBER(SEARCH('Φόρμα Εισαγωγής'!$B$2,C3152)),MAX($B$1:B3151)+1,0)</f>
        <v>0</v>
      </c>
      <c r="D3152" s="33">
        <f>IF(ISNUMBER(SEARCH('Φόρμα Εισαγωγής'!$C$2,E3152)),MAX($D$1:D3151)+1,0)</f>
        <v>0</v>
      </c>
      <c r="H3152" s="6">
        <f t="shared" si="158"/>
        <v>0</v>
      </c>
      <c r="I3152" s="6">
        <f t="shared" si="159"/>
        <v>0</v>
      </c>
      <c r="J3152" s="6">
        <f t="shared" si="160"/>
        <v>0</v>
      </c>
      <c r="L3152" s="4" t="str">
        <f>IFERROR(VLOOKUP(ROWS($L$2:L3152),$B$2:$C$1996,2,0),"")</f>
        <v/>
      </c>
      <c r="N3152" s="2" t="str">
        <f>IFERROR(VLOOKUP(ROWS($N$2:N3152),$D$2:$E$1996,2,0),"")</f>
        <v/>
      </c>
    </row>
    <row r="3153" spans="2:14">
      <c r="B3153" s="32">
        <f>IF(ISNUMBER(SEARCH('Φόρμα Εισαγωγής'!$B$2,C3153)),MAX($B$1:B3152)+1,0)</f>
        <v>0</v>
      </c>
      <c r="D3153" s="33">
        <f>IF(ISNUMBER(SEARCH('Φόρμα Εισαγωγής'!$C$2,E3153)),MAX($D$1:D3152)+1,0)</f>
        <v>0</v>
      </c>
      <c r="H3153" s="6">
        <f t="shared" si="158"/>
        <v>0</v>
      </c>
      <c r="I3153" s="6">
        <f t="shared" si="159"/>
        <v>0</v>
      </c>
      <c r="J3153" s="6">
        <f t="shared" si="160"/>
        <v>0</v>
      </c>
      <c r="L3153" s="4" t="str">
        <f>IFERROR(VLOOKUP(ROWS($L$2:L3153),$B$2:$C$1996,2,0),"")</f>
        <v/>
      </c>
      <c r="N3153" s="2" t="str">
        <f>IFERROR(VLOOKUP(ROWS($N$2:N3153),$D$2:$E$1996,2,0),"")</f>
        <v/>
      </c>
    </row>
    <row r="3154" spans="2:14">
      <c r="B3154" s="32">
        <f>IF(ISNUMBER(SEARCH('Φόρμα Εισαγωγής'!$B$2,C3154)),MAX($B$1:B3153)+1,0)</f>
        <v>0</v>
      </c>
      <c r="D3154" s="33">
        <f>IF(ISNUMBER(SEARCH('Φόρμα Εισαγωγής'!$C$2,E3154)),MAX($D$1:D3153)+1,0)</f>
        <v>0</v>
      </c>
      <c r="H3154" s="6">
        <f t="shared" si="158"/>
        <v>0</v>
      </c>
      <c r="I3154" s="6">
        <f t="shared" si="159"/>
        <v>0</v>
      </c>
      <c r="J3154" s="6">
        <f t="shared" si="160"/>
        <v>0</v>
      </c>
      <c r="L3154" s="4" t="str">
        <f>IFERROR(VLOOKUP(ROWS($L$2:L3154),$B$2:$C$1996,2,0),"")</f>
        <v/>
      </c>
      <c r="N3154" s="2" t="str">
        <f>IFERROR(VLOOKUP(ROWS($N$2:N3154),$D$2:$E$1996,2,0),"")</f>
        <v/>
      </c>
    </row>
    <row r="3155" spans="2:14">
      <c r="B3155" s="32">
        <f>IF(ISNUMBER(SEARCH('Φόρμα Εισαγωγής'!$B$2,C3155)),MAX($B$1:B3154)+1,0)</f>
        <v>0</v>
      </c>
      <c r="D3155" s="33">
        <f>IF(ISNUMBER(SEARCH('Φόρμα Εισαγωγής'!$C$2,E3155)),MAX($D$1:D3154)+1,0)</f>
        <v>0</v>
      </c>
      <c r="H3155" s="6">
        <f t="shared" si="158"/>
        <v>0</v>
      </c>
      <c r="I3155" s="6">
        <f t="shared" si="159"/>
        <v>0</v>
      </c>
      <c r="J3155" s="6">
        <f t="shared" si="160"/>
        <v>0</v>
      </c>
      <c r="L3155" s="4" t="str">
        <f>IFERROR(VLOOKUP(ROWS($L$2:L3155),$B$2:$C$1996,2,0),"")</f>
        <v/>
      </c>
      <c r="N3155" s="2" t="str">
        <f>IFERROR(VLOOKUP(ROWS($N$2:N3155),$D$2:$E$1996,2,0),"")</f>
        <v/>
      </c>
    </row>
    <row r="3156" spans="2:14">
      <c r="B3156" s="32">
        <f>IF(ISNUMBER(SEARCH('Φόρμα Εισαγωγής'!$B$2,C3156)),MAX($B$1:B3155)+1,0)</f>
        <v>0</v>
      </c>
      <c r="D3156" s="33">
        <f>IF(ISNUMBER(SEARCH('Φόρμα Εισαγωγής'!$C$2,E3156)),MAX($D$1:D3155)+1,0)</f>
        <v>0</v>
      </c>
      <c r="H3156" s="6">
        <f t="shared" si="158"/>
        <v>0</v>
      </c>
      <c r="I3156" s="6">
        <f t="shared" si="159"/>
        <v>0</v>
      </c>
      <c r="J3156" s="6">
        <f t="shared" si="160"/>
        <v>0</v>
      </c>
      <c r="L3156" s="4" t="str">
        <f>IFERROR(VLOOKUP(ROWS($L$2:L3156),$B$2:$C$1996,2,0),"")</f>
        <v/>
      </c>
      <c r="N3156" s="2" t="str">
        <f>IFERROR(VLOOKUP(ROWS($N$2:N3156),$D$2:$E$1996,2,0),"")</f>
        <v/>
      </c>
    </row>
    <row r="3157" spans="2:14">
      <c r="B3157" s="32">
        <f>IF(ISNUMBER(SEARCH('Φόρμα Εισαγωγής'!$B$2,C3157)),MAX($B$1:B3156)+1,0)</f>
        <v>0</v>
      </c>
      <c r="D3157" s="33">
        <f>IF(ISNUMBER(SEARCH('Φόρμα Εισαγωγής'!$C$2,E3157)),MAX($D$1:D3156)+1,0)</f>
        <v>0</v>
      </c>
      <c r="H3157" s="6">
        <f t="shared" si="158"/>
        <v>0</v>
      </c>
      <c r="I3157" s="6">
        <f t="shared" si="159"/>
        <v>0</v>
      </c>
      <c r="J3157" s="6">
        <f t="shared" si="160"/>
        <v>0</v>
      </c>
      <c r="L3157" s="4" t="str">
        <f>IFERROR(VLOOKUP(ROWS($L$2:L3157),$B$2:$C$1996,2,0),"")</f>
        <v/>
      </c>
      <c r="N3157" s="2" t="str">
        <f>IFERROR(VLOOKUP(ROWS($N$2:N3157),$D$2:$E$1996,2,0),"")</f>
        <v/>
      </c>
    </row>
    <row r="3158" spans="2:14">
      <c r="B3158" s="32">
        <f>IF(ISNUMBER(SEARCH('Φόρμα Εισαγωγής'!$B$2,C3158)),MAX($B$1:B3157)+1,0)</f>
        <v>0</v>
      </c>
      <c r="D3158" s="33">
        <f>IF(ISNUMBER(SEARCH('Φόρμα Εισαγωγής'!$C$2,E3158)),MAX($D$1:D3157)+1,0)</f>
        <v>0</v>
      </c>
      <c r="H3158" s="6">
        <f t="shared" si="158"/>
        <v>0</v>
      </c>
      <c r="I3158" s="6">
        <f t="shared" si="159"/>
        <v>0</v>
      </c>
      <c r="J3158" s="6">
        <f t="shared" si="160"/>
        <v>0</v>
      </c>
      <c r="L3158" s="4" t="str">
        <f>IFERROR(VLOOKUP(ROWS($L$2:L3158),$B$2:$C$1996,2,0),"")</f>
        <v/>
      </c>
      <c r="N3158" s="2" t="str">
        <f>IFERROR(VLOOKUP(ROWS($N$2:N3158),$D$2:$E$1996,2,0),"")</f>
        <v/>
      </c>
    </row>
    <row r="3159" spans="2:14">
      <c r="B3159" s="32">
        <f>IF(ISNUMBER(SEARCH('Φόρμα Εισαγωγής'!$B$2,C3159)),MAX($B$1:B3158)+1,0)</f>
        <v>0</v>
      </c>
      <c r="D3159" s="33">
        <f>IF(ISNUMBER(SEARCH('Φόρμα Εισαγωγής'!$C$2,E3159)),MAX($D$1:D3158)+1,0)</f>
        <v>0</v>
      </c>
      <c r="H3159" s="6">
        <f t="shared" si="158"/>
        <v>0</v>
      </c>
      <c r="I3159" s="6">
        <f t="shared" si="159"/>
        <v>0</v>
      </c>
      <c r="J3159" s="6">
        <f t="shared" si="160"/>
        <v>0</v>
      </c>
      <c r="L3159" s="4" t="str">
        <f>IFERROR(VLOOKUP(ROWS($L$2:L3159),$B$2:$C$1996,2,0),"")</f>
        <v/>
      </c>
      <c r="N3159" s="2" t="str">
        <f>IFERROR(VLOOKUP(ROWS($N$2:N3159),$D$2:$E$1996,2,0),"")</f>
        <v/>
      </c>
    </row>
    <row r="3160" spans="2:14">
      <c r="B3160" s="32">
        <f>IF(ISNUMBER(SEARCH('Φόρμα Εισαγωγής'!$B$2,C3160)),MAX($B$1:B3159)+1,0)</f>
        <v>0</v>
      </c>
      <c r="D3160" s="33">
        <f>IF(ISNUMBER(SEARCH('Φόρμα Εισαγωγής'!$C$2,E3160)),MAX($D$1:D3159)+1,0)</f>
        <v>0</v>
      </c>
      <c r="H3160" s="6">
        <f t="shared" si="158"/>
        <v>0</v>
      </c>
      <c r="I3160" s="6">
        <f t="shared" si="159"/>
        <v>0</v>
      </c>
      <c r="J3160" s="6">
        <f t="shared" si="160"/>
        <v>0</v>
      </c>
      <c r="L3160" s="4" t="str">
        <f>IFERROR(VLOOKUP(ROWS($L$2:L3160),$B$2:$C$1996,2,0),"")</f>
        <v/>
      </c>
      <c r="N3160" s="2" t="str">
        <f>IFERROR(VLOOKUP(ROWS($N$2:N3160),$D$2:$E$1996,2,0),"")</f>
        <v/>
      </c>
    </row>
    <row r="3161" spans="2:14">
      <c r="B3161" s="32">
        <f>IF(ISNUMBER(SEARCH('Φόρμα Εισαγωγής'!$B$2,C3161)),MAX($B$1:B3160)+1,0)</f>
        <v>0</v>
      </c>
      <c r="D3161" s="33">
        <f>IF(ISNUMBER(SEARCH('Φόρμα Εισαγωγής'!$C$2,E3161)),MAX($D$1:D3160)+1,0)</f>
        <v>0</v>
      </c>
      <c r="H3161" s="6">
        <f t="shared" si="158"/>
        <v>0</v>
      </c>
      <c r="I3161" s="6">
        <f t="shared" si="159"/>
        <v>0</v>
      </c>
      <c r="J3161" s="6">
        <f t="shared" si="160"/>
        <v>0</v>
      </c>
      <c r="L3161" s="4" t="str">
        <f>IFERROR(VLOOKUP(ROWS($L$2:L3161),$B$2:$C$1996,2,0),"")</f>
        <v/>
      </c>
      <c r="N3161" s="2" t="str">
        <f>IFERROR(VLOOKUP(ROWS($N$2:N3161),$D$2:$E$1996,2,0),"")</f>
        <v/>
      </c>
    </row>
    <row r="3162" spans="2:14">
      <c r="B3162" s="32">
        <f>IF(ISNUMBER(SEARCH('Φόρμα Εισαγωγής'!$B$2,C3162)),MAX($B$1:B3161)+1,0)</f>
        <v>0</v>
      </c>
      <c r="D3162" s="33">
        <f>IF(ISNUMBER(SEARCH('Φόρμα Εισαγωγής'!$C$2,E3162)),MAX($D$1:D3161)+1,0)</f>
        <v>0</v>
      </c>
      <c r="H3162" s="6">
        <f t="shared" si="158"/>
        <v>0</v>
      </c>
      <c r="I3162" s="6">
        <f t="shared" si="159"/>
        <v>0</v>
      </c>
      <c r="J3162" s="6">
        <f t="shared" si="160"/>
        <v>0</v>
      </c>
      <c r="L3162" s="4" t="str">
        <f>IFERROR(VLOOKUP(ROWS($L$2:L3162),$B$2:$C$1996,2,0),"")</f>
        <v/>
      </c>
      <c r="N3162" s="2" t="str">
        <f>IFERROR(VLOOKUP(ROWS($N$2:N3162),$D$2:$E$1996,2,0),"")</f>
        <v/>
      </c>
    </row>
    <row r="3163" spans="2:14">
      <c r="B3163" s="32">
        <f>IF(ISNUMBER(SEARCH('Φόρμα Εισαγωγής'!$B$2,C3163)),MAX($B$1:B3162)+1,0)</f>
        <v>0</v>
      </c>
      <c r="D3163" s="33">
        <f>IF(ISNUMBER(SEARCH('Φόρμα Εισαγωγής'!$C$2,E3163)),MAX($D$1:D3162)+1,0)</f>
        <v>0</v>
      </c>
      <c r="H3163" s="6">
        <f t="shared" si="158"/>
        <v>0</v>
      </c>
      <c r="I3163" s="6">
        <f t="shared" si="159"/>
        <v>0</v>
      </c>
      <c r="J3163" s="6">
        <f t="shared" si="160"/>
        <v>0</v>
      </c>
      <c r="L3163" s="4" t="str">
        <f>IFERROR(VLOOKUP(ROWS($L$2:L3163),$B$2:$C$1996,2,0),"")</f>
        <v/>
      </c>
      <c r="N3163" s="2" t="str">
        <f>IFERROR(VLOOKUP(ROWS($N$2:N3163),$D$2:$E$1996,2,0),"")</f>
        <v/>
      </c>
    </row>
    <row r="3164" spans="2:14">
      <c r="B3164" s="32">
        <f>IF(ISNUMBER(SEARCH('Φόρμα Εισαγωγής'!$B$2,C3164)),MAX($B$1:B3163)+1,0)</f>
        <v>0</v>
      </c>
      <c r="D3164" s="33">
        <f>IF(ISNUMBER(SEARCH('Φόρμα Εισαγωγής'!$C$2,E3164)),MAX($D$1:D3163)+1,0)</f>
        <v>0</v>
      </c>
      <c r="H3164" s="6">
        <f t="shared" si="158"/>
        <v>0</v>
      </c>
      <c r="I3164" s="6">
        <f t="shared" si="159"/>
        <v>0</v>
      </c>
      <c r="J3164" s="6">
        <f t="shared" si="160"/>
        <v>0</v>
      </c>
      <c r="L3164" s="4" t="str">
        <f>IFERROR(VLOOKUP(ROWS($L$2:L3164),$B$2:$C$1996,2,0),"")</f>
        <v/>
      </c>
      <c r="N3164" s="2" t="str">
        <f>IFERROR(VLOOKUP(ROWS($N$2:N3164),$D$2:$E$1996,2,0),"")</f>
        <v/>
      </c>
    </row>
    <row r="3165" spans="2:14">
      <c r="B3165" s="32">
        <f>IF(ISNUMBER(SEARCH('Φόρμα Εισαγωγής'!$B$2,C3165)),MAX($B$1:B3164)+1,0)</f>
        <v>0</v>
      </c>
      <c r="D3165" s="33">
        <f>IF(ISNUMBER(SEARCH('Φόρμα Εισαγωγής'!$C$2,E3165)),MAX($D$1:D3164)+1,0)</f>
        <v>0</v>
      </c>
      <c r="H3165" s="6">
        <f t="shared" si="158"/>
        <v>0</v>
      </c>
      <c r="I3165" s="6">
        <f t="shared" si="159"/>
        <v>0</v>
      </c>
      <c r="J3165" s="6">
        <f t="shared" si="160"/>
        <v>0</v>
      </c>
      <c r="L3165" s="4" t="str">
        <f>IFERROR(VLOOKUP(ROWS($L$2:L3165),$B$2:$C$1996,2,0),"")</f>
        <v/>
      </c>
      <c r="N3165" s="2" t="str">
        <f>IFERROR(VLOOKUP(ROWS($N$2:N3165),$D$2:$E$1996,2,0),"")</f>
        <v/>
      </c>
    </row>
    <row r="3166" spans="2:14">
      <c r="B3166" s="32">
        <f>IF(ISNUMBER(SEARCH('Φόρμα Εισαγωγής'!$B$2,C3166)),MAX($B$1:B3165)+1,0)</f>
        <v>0</v>
      </c>
      <c r="D3166" s="33">
        <f>IF(ISNUMBER(SEARCH('Φόρμα Εισαγωγής'!$C$2,E3166)),MAX($D$1:D3165)+1,0)</f>
        <v>0</v>
      </c>
      <c r="H3166" s="6">
        <f t="shared" si="158"/>
        <v>0</v>
      </c>
      <c r="I3166" s="6">
        <f t="shared" si="159"/>
        <v>0</v>
      </c>
      <c r="J3166" s="6">
        <f t="shared" si="160"/>
        <v>0</v>
      </c>
      <c r="L3166" s="4" t="str">
        <f>IFERROR(VLOOKUP(ROWS($L$2:L3166),$B$2:$C$1996,2,0),"")</f>
        <v/>
      </c>
      <c r="N3166" s="2" t="str">
        <f>IFERROR(VLOOKUP(ROWS($N$2:N3166),$D$2:$E$1996,2,0),"")</f>
        <v/>
      </c>
    </row>
    <row r="3167" spans="2:14">
      <c r="B3167" s="32">
        <f>IF(ISNUMBER(SEARCH('Φόρμα Εισαγωγής'!$B$2,C3167)),MAX($B$1:B3166)+1,0)</f>
        <v>0</v>
      </c>
      <c r="D3167" s="33">
        <f>IF(ISNUMBER(SEARCH('Φόρμα Εισαγωγής'!$C$2,E3167)),MAX($D$1:D3166)+1,0)</f>
        <v>0</v>
      </c>
      <c r="H3167" s="6">
        <f t="shared" si="158"/>
        <v>0</v>
      </c>
      <c r="I3167" s="6">
        <f t="shared" si="159"/>
        <v>0</v>
      </c>
      <c r="J3167" s="6">
        <f t="shared" si="160"/>
        <v>0</v>
      </c>
      <c r="L3167" s="4" t="str">
        <f>IFERROR(VLOOKUP(ROWS($L$2:L3167),$B$2:$C$1996,2,0),"")</f>
        <v/>
      </c>
      <c r="N3167" s="2" t="str">
        <f>IFERROR(VLOOKUP(ROWS($N$2:N3167),$D$2:$E$1996,2,0),"")</f>
        <v/>
      </c>
    </row>
    <row r="3168" spans="2:14">
      <c r="B3168" s="32">
        <f>IF(ISNUMBER(SEARCH('Φόρμα Εισαγωγής'!$B$2,C3168)),MAX($B$1:B3167)+1,0)</f>
        <v>0</v>
      </c>
      <c r="D3168" s="33">
        <f>IF(ISNUMBER(SEARCH('Φόρμα Εισαγωγής'!$C$2,E3168)),MAX($D$1:D3167)+1,0)</f>
        <v>0</v>
      </c>
      <c r="H3168" s="6">
        <f t="shared" si="158"/>
        <v>0</v>
      </c>
      <c r="I3168" s="6">
        <f t="shared" si="159"/>
        <v>0</v>
      </c>
      <c r="J3168" s="6">
        <f t="shared" si="160"/>
        <v>0</v>
      </c>
      <c r="L3168" s="4" t="str">
        <f>IFERROR(VLOOKUP(ROWS($L$2:L3168),$B$2:$C$1996,2,0),"")</f>
        <v/>
      </c>
      <c r="N3168" s="2" t="str">
        <f>IFERROR(VLOOKUP(ROWS($N$2:N3168),$D$2:$E$1996,2,0),"")</f>
        <v/>
      </c>
    </row>
    <row r="3169" spans="2:14">
      <c r="B3169" s="32">
        <f>IF(ISNUMBER(SEARCH('Φόρμα Εισαγωγής'!$B$2,C3169)),MAX($B$1:B3168)+1,0)</f>
        <v>0</v>
      </c>
      <c r="D3169" s="33">
        <f>IF(ISNUMBER(SEARCH('Φόρμα Εισαγωγής'!$C$2,E3169)),MAX($D$1:D3168)+1,0)</f>
        <v>0</v>
      </c>
      <c r="H3169" s="6">
        <f t="shared" si="158"/>
        <v>0</v>
      </c>
      <c r="I3169" s="6">
        <f t="shared" si="159"/>
        <v>0</v>
      </c>
      <c r="J3169" s="6">
        <f t="shared" si="160"/>
        <v>0</v>
      </c>
      <c r="L3169" s="4" t="str">
        <f>IFERROR(VLOOKUP(ROWS($L$2:L3169),$B$2:$C$1996,2,0),"")</f>
        <v/>
      </c>
      <c r="N3169" s="2" t="str">
        <f>IFERROR(VLOOKUP(ROWS($N$2:N3169),$D$2:$E$1996,2,0),"")</f>
        <v/>
      </c>
    </row>
    <row r="3170" spans="2:14">
      <c r="B3170" s="32">
        <f>IF(ISNUMBER(SEARCH('Φόρμα Εισαγωγής'!$B$2,C3170)),MAX($B$1:B3169)+1,0)</f>
        <v>0</v>
      </c>
      <c r="D3170" s="33">
        <f>IF(ISNUMBER(SEARCH('Φόρμα Εισαγωγής'!$C$2,E3170)),MAX($D$1:D3169)+1,0)</f>
        <v>0</v>
      </c>
      <c r="H3170" s="6">
        <f t="shared" si="158"/>
        <v>0</v>
      </c>
      <c r="I3170" s="6">
        <f t="shared" si="159"/>
        <v>0</v>
      </c>
      <c r="J3170" s="6">
        <f t="shared" si="160"/>
        <v>0</v>
      </c>
      <c r="L3170" s="4" t="str">
        <f>IFERROR(VLOOKUP(ROWS($L$2:L3170),$B$2:$C$1996,2,0),"")</f>
        <v/>
      </c>
      <c r="N3170" s="2" t="str">
        <f>IFERROR(VLOOKUP(ROWS($N$2:N3170),$D$2:$E$1996,2,0),"")</f>
        <v/>
      </c>
    </row>
    <row r="3171" spans="2:14">
      <c r="B3171" s="32">
        <f>IF(ISNUMBER(SEARCH('Φόρμα Εισαγωγής'!$B$2,C3171)),MAX($B$1:B3170)+1,0)</f>
        <v>0</v>
      </c>
      <c r="D3171" s="33">
        <f>IF(ISNUMBER(SEARCH('Φόρμα Εισαγωγής'!$C$2,E3171)),MAX($D$1:D3170)+1,0)</f>
        <v>0</v>
      </c>
      <c r="H3171" s="6">
        <f t="shared" si="158"/>
        <v>0</v>
      </c>
      <c r="I3171" s="6">
        <f t="shared" si="159"/>
        <v>0</v>
      </c>
      <c r="J3171" s="6">
        <f t="shared" si="160"/>
        <v>0</v>
      </c>
      <c r="L3171" s="4" t="str">
        <f>IFERROR(VLOOKUP(ROWS($L$2:L3171),$B$2:$C$1996,2,0),"")</f>
        <v/>
      </c>
      <c r="N3171" s="2" t="str">
        <f>IFERROR(VLOOKUP(ROWS($N$2:N3171),$D$2:$E$1996,2,0),"")</f>
        <v/>
      </c>
    </row>
    <row r="3172" spans="2:14">
      <c r="B3172" s="32">
        <f>IF(ISNUMBER(SEARCH('Φόρμα Εισαγωγής'!$B$2,C3172)),MAX($B$1:B3171)+1,0)</f>
        <v>0</v>
      </c>
      <c r="D3172" s="33">
        <f>IF(ISNUMBER(SEARCH('Φόρμα Εισαγωγής'!$C$2,E3172)),MAX($D$1:D3171)+1,0)</f>
        <v>0</v>
      </c>
      <c r="H3172" s="6">
        <f t="shared" si="158"/>
        <v>0</v>
      </c>
      <c r="I3172" s="6">
        <f t="shared" si="159"/>
        <v>0</v>
      </c>
      <c r="J3172" s="6">
        <f t="shared" si="160"/>
        <v>0</v>
      </c>
      <c r="L3172" s="4" t="str">
        <f>IFERROR(VLOOKUP(ROWS($L$2:L3172),$B$2:$C$1996,2,0),"")</f>
        <v/>
      </c>
      <c r="N3172" s="2" t="str">
        <f>IFERROR(VLOOKUP(ROWS($N$2:N3172),$D$2:$E$1996,2,0),"")</f>
        <v/>
      </c>
    </row>
    <row r="3173" spans="2:14">
      <c r="B3173" s="32">
        <f>IF(ISNUMBER(SEARCH('Φόρμα Εισαγωγής'!$B$2,C3173)),MAX($B$1:B3172)+1,0)</f>
        <v>0</v>
      </c>
      <c r="D3173" s="33">
        <f>IF(ISNUMBER(SEARCH('Φόρμα Εισαγωγής'!$C$2,E3173)),MAX($D$1:D3172)+1,0)</f>
        <v>0</v>
      </c>
      <c r="H3173" s="6">
        <f t="shared" si="158"/>
        <v>0</v>
      </c>
      <c r="I3173" s="6">
        <f t="shared" si="159"/>
        <v>0</v>
      </c>
      <c r="J3173" s="6">
        <f t="shared" si="160"/>
        <v>0</v>
      </c>
      <c r="L3173" s="4" t="str">
        <f>IFERROR(VLOOKUP(ROWS($L$2:L3173),$B$2:$C$1996,2,0),"")</f>
        <v/>
      </c>
      <c r="N3173" s="2" t="str">
        <f>IFERROR(VLOOKUP(ROWS($N$2:N3173),$D$2:$E$1996,2,0),"")</f>
        <v/>
      </c>
    </row>
    <row r="3174" spans="2:14">
      <c r="B3174" s="32">
        <f>IF(ISNUMBER(SEARCH('Φόρμα Εισαγωγής'!$B$2,C3174)),MAX($B$1:B3173)+1,0)</f>
        <v>0</v>
      </c>
      <c r="D3174" s="33">
        <f>IF(ISNUMBER(SEARCH('Φόρμα Εισαγωγής'!$C$2,E3174)),MAX($D$1:D3173)+1,0)</f>
        <v>0</v>
      </c>
      <c r="H3174" s="6">
        <f t="shared" si="158"/>
        <v>0</v>
      </c>
      <c r="I3174" s="6">
        <f t="shared" si="159"/>
        <v>0</v>
      </c>
      <c r="J3174" s="6">
        <f t="shared" si="160"/>
        <v>0</v>
      </c>
      <c r="L3174" s="4" t="str">
        <f>IFERROR(VLOOKUP(ROWS($L$2:L3174),$B$2:$C$1996,2,0),"")</f>
        <v/>
      </c>
      <c r="N3174" s="2" t="str">
        <f>IFERROR(VLOOKUP(ROWS($N$2:N3174),$D$2:$E$1996,2,0),"")</f>
        <v/>
      </c>
    </row>
    <row r="3175" spans="2:14">
      <c r="B3175" s="32">
        <f>IF(ISNUMBER(SEARCH('Φόρμα Εισαγωγής'!$B$2,C3175)),MAX($B$1:B3174)+1,0)</f>
        <v>0</v>
      </c>
      <c r="D3175" s="33">
        <f>IF(ISNUMBER(SEARCH('Φόρμα Εισαγωγής'!$C$2,E3175)),MAX($D$1:D3174)+1,0)</f>
        <v>0</v>
      </c>
      <c r="H3175" s="6">
        <f t="shared" si="158"/>
        <v>0</v>
      </c>
      <c r="I3175" s="6">
        <f t="shared" si="159"/>
        <v>0</v>
      </c>
      <c r="J3175" s="6">
        <f t="shared" si="160"/>
        <v>0</v>
      </c>
      <c r="L3175" s="4" t="str">
        <f>IFERROR(VLOOKUP(ROWS($L$2:L3175),$B$2:$C$1996,2,0),"")</f>
        <v/>
      </c>
      <c r="N3175" s="2" t="str">
        <f>IFERROR(VLOOKUP(ROWS($N$2:N3175),$D$2:$E$1996,2,0),"")</f>
        <v/>
      </c>
    </row>
    <row r="3176" spans="2:14">
      <c r="B3176" s="32">
        <f>IF(ISNUMBER(SEARCH('Φόρμα Εισαγωγής'!$B$2,C3176)),MAX($B$1:B3175)+1,0)</f>
        <v>0</v>
      </c>
      <c r="D3176" s="33">
        <f>IF(ISNUMBER(SEARCH('Φόρμα Εισαγωγής'!$C$2,E3176)),MAX($D$1:D3175)+1,0)</f>
        <v>0</v>
      </c>
      <c r="H3176" s="6">
        <f t="shared" si="158"/>
        <v>0</v>
      </c>
      <c r="I3176" s="6">
        <f t="shared" si="159"/>
        <v>0</v>
      </c>
      <c r="J3176" s="6">
        <f t="shared" si="160"/>
        <v>0</v>
      </c>
      <c r="L3176" s="4" t="str">
        <f>IFERROR(VLOOKUP(ROWS($L$2:L3176),$B$2:$C$1996,2,0),"")</f>
        <v/>
      </c>
      <c r="N3176" s="2" t="str">
        <f>IFERROR(VLOOKUP(ROWS($N$2:N3176),$D$2:$E$1996,2,0),"")</f>
        <v/>
      </c>
    </row>
    <row r="3177" spans="2:14">
      <c r="B3177" s="32">
        <f>IF(ISNUMBER(SEARCH('Φόρμα Εισαγωγής'!$B$2,C3177)),MAX($B$1:B3176)+1,0)</f>
        <v>0</v>
      </c>
      <c r="D3177" s="33">
        <f>IF(ISNUMBER(SEARCH('Φόρμα Εισαγωγής'!$C$2,E3177)),MAX($D$1:D3176)+1,0)</f>
        <v>0</v>
      </c>
      <c r="H3177" s="6">
        <f t="shared" si="158"/>
        <v>0</v>
      </c>
      <c r="I3177" s="6">
        <f t="shared" si="159"/>
        <v>0</v>
      </c>
      <c r="J3177" s="6">
        <f t="shared" si="160"/>
        <v>0</v>
      </c>
      <c r="L3177" s="4" t="str">
        <f>IFERROR(VLOOKUP(ROWS($L$2:L3177),$B$2:$C$1996,2,0),"")</f>
        <v/>
      </c>
      <c r="N3177" s="2" t="str">
        <f>IFERROR(VLOOKUP(ROWS($N$2:N3177),$D$2:$E$1996,2,0),"")</f>
        <v/>
      </c>
    </row>
    <row r="3178" spans="2:14">
      <c r="B3178" s="32">
        <f>IF(ISNUMBER(SEARCH('Φόρμα Εισαγωγής'!$B$2,C3178)),MAX($B$1:B3177)+1,0)</f>
        <v>0</v>
      </c>
      <c r="D3178" s="33">
        <f>IF(ISNUMBER(SEARCH('Φόρμα Εισαγωγής'!$C$2,E3178)),MAX($D$1:D3177)+1,0)</f>
        <v>0</v>
      </c>
      <c r="H3178" s="6">
        <f t="shared" si="158"/>
        <v>0</v>
      </c>
      <c r="I3178" s="6">
        <f t="shared" si="159"/>
        <v>0</v>
      </c>
      <c r="J3178" s="6">
        <f t="shared" si="160"/>
        <v>0</v>
      </c>
      <c r="L3178" s="4" t="str">
        <f>IFERROR(VLOOKUP(ROWS($L$2:L3178),$B$2:$C$1996,2,0),"")</f>
        <v/>
      </c>
      <c r="N3178" s="2" t="str">
        <f>IFERROR(VLOOKUP(ROWS($N$2:N3178),$D$2:$E$1996,2,0),"")</f>
        <v/>
      </c>
    </row>
    <row r="3179" spans="2:14">
      <c r="B3179" s="32">
        <f>IF(ISNUMBER(SEARCH('Φόρμα Εισαγωγής'!$B$2,C3179)),MAX($B$1:B3178)+1,0)</f>
        <v>0</v>
      </c>
      <c r="D3179" s="33">
        <f>IF(ISNUMBER(SEARCH('Φόρμα Εισαγωγής'!$C$2,E3179)),MAX($D$1:D3178)+1,0)</f>
        <v>0</v>
      </c>
      <c r="H3179" s="6">
        <f t="shared" si="158"/>
        <v>0</v>
      </c>
      <c r="I3179" s="6">
        <f t="shared" si="159"/>
        <v>0</v>
      </c>
      <c r="J3179" s="6">
        <f t="shared" si="160"/>
        <v>0</v>
      </c>
      <c r="L3179" s="4" t="str">
        <f>IFERROR(VLOOKUP(ROWS($L$2:L3179),$B$2:$C$1996,2,0),"")</f>
        <v/>
      </c>
      <c r="N3179" s="2" t="str">
        <f>IFERROR(VLOOKUP(ROWS($N$2:N3179),$D$2:$E$1996,2,0),"")</f>
        <v/>
      </c>
    </row>
    <row r="3180" spans="2:14">
      <c r="B3180" s="32">
        <f>IF(ISNUMBER(SEARCH('Φόρμα Εισαγωγής'!$B$2,C3180)),MAX($B$1:B3179)+1,0)</f>
        <v>0</v>
      </c>
      <c r="D3180" s="33">
        <f>IF(ISNUMBER(SEARCH('Φόρμα Εισαγωγής'!$C$2,E3180)),MAX($D$1:D3179)+1,0)</f>
        <v>0</v>
      </c>
      <c r="H3180" s="6">
        <f t="shared" si="158"/>
        <v>0</v>
      </c>
      <c r="I3180" s="6">
        <f t="shared" si="159"/>
        <v>0</v>
      </c>
      <c r="J3180" s="6">
        <f t="shared" si="160"/>
        <v>0</v>
      </c>
      <c r="L3180" s="4" t="str">
        <f>IFERROR(VLOOKUP(ROWS($L$2:L3180),$B$2:$C$1996,2,0),"")</f>
        <v/>
      </c>
      <c r="N3180" s="2" t="str">
        <f>IFERROR(VLOOKUP(ROWS($N$2:N3180),$D$2:$E$1996,2,0),"")</f>
        <v/>
      </c>
    </row>
    <row r="3181" spans="2:14">
      <c r="B3181" s="32">
        <f>IF(ISNUMBER(SEARCH('Φόρμα Εισαγωγής'!$B$2,C3181)),MAX($B$1:B3180)+1,0)</f>
        <v>0</v>
      </c>
      <c r="D3181" s="33">
        <f>IF(ISNUMBER(SEARCH('Φόρμα Εισαγωγής'!$C$2,E3181)),MAX($D$1:D3180)+1,0)</f>
        <v>0</v>
      </c>
      <c r="H3181" s="6">
        <f t="shared" si="158"/>
        <v>0</v>
      </c>
      <c r="I3181" s="6">
        <f t="shared" si="159"/>
        <v>0</v>
      </c>
      <c r="J3181" s="6">
        <f t="shared" si="160"/>
        <v>0</v>
      </c>
      <c r="L3181" s="4" t="str">
        <f>IFERROR(VLOOKUP(ROWS($L$2:L3181),$B$2:$C$1996,2,0),"")</f>
        <v/>
      </c>
      <c r="N3181" s="2" t="str">
        <f>IFERROR(VLOOKUP(ROWS($N$2:N3181),$D$2:$E$1996,2,0),"")</f>
        <v/>
      </c>
    </row>
    <row r="3182" spans="2:14">
      <c r="B3182" s="32">
        <f>IF(ISNUMBER(SEARCH('Φόρμα Εισαγωγής'!$B$2,C3182)),MAX($B$1:B3181)+1,0)</f>
        <v>0</v>
      </c>
      <c r="D3182" s="33">
        <f>IF(ISNUMBER(SEARCH('Φόρμα Εισαγωγής'!$C$2,E3182)),MAX($D$1:D3181)+1,0)</f>
        <v>0</v>
      </c>
      <c r="H3182" s="6">
        <f t="shared" si="158"/>
        <v>0</v>
      </c>
      <c r="I3182" s="6">
        <f t="shared" si="159"/>
        <v>0</v>
      </c>
      <c r="J3182" s="6">
        <f t="shared" si="160"/>
        <v>0</v>
      </c>
      <c r="L3182" s="4" t="str">
        <f>IFERROR(VLOOKUP(ROWS($L$2:L3182),$B$2:$C$1996,2,0),"")</f>
        <v/>
      </c>
      <c r="N3182" s="2" t="str">
        <f>IFERROR(VLOOKUP(ROWS($N$2:N3182),$D$2:$E$1996,2,0),"")</f>
        <v/>
      </c>
    </row>
    <row r="3183" spans="2:14">
      <c r="B3183" s="32">
        <f>IF(ISNUMBER(SEARCH('Φόρμα Εισαγωγής'!$B$2,C3183)),MAX($B$1:B3182)+1,0)</f>
        <v>0</v>
      </c>
      <c r="D3183" s="33">
        <f>IF(ISNUMBER(SEARCH('Φόρμα Εισαγωγής'!$C$2,E3183)),MAX($D$1:D3182)+1,0)</f>
        <v>0</v>
      </c>
      <c r="H3183" s="6">
        <f t="shared" si="158"/>
        <v>0</v>
      </c>
      <c r="I3183" s="6">
        <f t="shared" si="159"/>
        <v>0</v>
      </c>
      <c r="J3183" s="6">
        <f t="shared" si="160"/>
        <v>0</v>
      </c>
      <c r="L3183" s="4" t="str">
        <f>IFERROR(VLOOKUP(ROWS($L$2:L3183),$B$2:$C$1996,2,0),"")</f>
        <v/>
      </c>
      <c r="N3183" s="2" t="str">
        <f>IFERROR(VLOOKUP(ROWS($N$2:N3183),$D$2:$E$1996,2,0),"")</f>
        <v/>
      </c>
    </row>
    <row r="3184" spans="2:14">
      <c r="B3184" s="32">
        <f>IF(ISNUMBER(SEARCH('Φόρμα Εισαγωγής'!$B$2,C3184)),MAX($B$1:B3183)+1,0)</f>
        <v>0</v>
      </c>
      <c r="D3184" s="33">
        <f>IF(ISNUMBER(SEARCH('Φόρμα Εισαγωγής'!$C$2,E3184)),MAX($D$1:D3183)+1,0)</f>
        <v>0</v>
      </c>
      <c r="H3184" s="6">
        <f t="shared" si="158"/>
        <v>0</v>
      </c>
      <c r="I3184" s="6">
        <f t="shared" si="159"/>
        <v>0</v>
      </c>
      <c r="J3184" s="6">
        <f t="shared" si="160"/>
        <v>0</v>
      </c>
      <c r="L3184" s="4" t="str">
        <f>IFERROR(VLOOKUP(ROWS($L$2:L3184),$B$2:$C$1996,2,0),"")</f>
        <v/>
      </c>
      <c r="N3184" s="2" t="str">
        <f>IFERROR(VLOOKUP(ROWS($N$2:N3184),$D$2:$E$1996,2,0),"")</f>
        <v/>
      </c>
    </row>
    <row r="3185" spans="2:14">
      <c r="B3185" s="32">
        <f>IF(ISNUMBER(SEARCH('Φόρμα Εισαγωγής'!$B$2,C3185)),MAX($B$1:B3184)+1,0)</f>
        <v>0</v>
      </c>
      <c r="D3185" s="33">
        <f>IF(ISNUMBER(SEARCH('Φόρμα Εισαγωγής'!$C$2,E3185)),MAX($D$1:D3184)+1,0)</f>
        <v>0</v>
      </c>
      <c r="H3185" s="6">
        <f t="shared" si="158"/>
        <v>0</v>
      </c>
      <c r="I3185" s="6">
        <f t="shared" si="159"/>
        <v>0</v>
      </c>
      <c r="J3185" s="6">
        <f t="shared" si="160"/>
        <v>0</v>
      </c>
      <c r="L3185" s="4" t="str">
        <f>IFERROR(VLOOKUP(ROWS($L$2:L3185),$B$2:$C$1996,2,0),"")</f>
        <v/>
      </c>
      <c r="N3185" s="2" t="str">
        <f>IFERROR(VLOOKUP(ROWS($N$2:N3185),$D$2:$E$1996,2,0),"")</f>
        <v/>
      </c>
    </row>
    <row r="3186" spans="2:14">
      <c r="B3186" s="32">
        <f>IF(ISNUMBER(SEARCH('Φόρμα Εισαγωγής'!$B$2,C3186)),MAX($B$1:B3185)+1,0)</f>
        <v>0</v>
      </c>
      <c r="D3186" s="33">
        <f>IF(ISNUMBER(SEARCH('Φόρμα Εισαγωγής'!$C$2,E3186)),MAX($D$1:D3185)+1,0)</f>
        <v>0</v>
      </c>
      <c r="H3186" s="6">
        <f t="shared" si="158"/>
        <v>0</v>
      </c>
      <c r="I3186" s="6">
        <f t="shared" si="159"/>
        <v>0</v>
      </c>
      <c r="J3186" s="6">
        <f t="shared" si="160"/>
        <v>0</v>
      </c>
      <c r="L3186" s="4" t="str">
        <f>IFERROR(VLOOKUP(ROWS($L$2:L3186),$B$2:$C$1996,2,0),"")</f>
        <v/>
      </c>
      <c r="N3186" s="2" t="str">
        <f>IFERROR(VLOOKUP(ROWS($N$2:N3186),$D$2:$E$1996,2,0),"")</f>
        <v/>
      </c>
    </row>
    <row r="3187" spans="2:14">
      <c r="B3187" s="32">
        <f>IF(ISNUMBER(SEARCH('Φόρμα Εισαγωγής'!$B$2,C3187)),MAX($B$1:B3186)+1,0)</f>
        <v>0</v>
      </c>
      <c r="D3187" s="33">
        <f>IF(ISNUMBER(SEARCH('Φόρμα Εισαγωγής'!$C$2,E3187)),MAX($D$1:D3186)+1,0)</f>
        <v>0</v>
      </c>
      <c r="H3187" s="6">
        <f t="shared" si="158"/>
        <v>0</v>
      </c>
      <c r="I3187" s="6">
        <f t="shared" si="159"/>
        <v>0</v>
      </c>
      <c r="J3187" s="6">
        <f t="shared" si="160"/>
        <v>0</v>
      </c>
      <c r="L3187" s="4" t="str">
        <f>IFERROR(VLOOKUP(ROWS($L$2:L3187),$B$2:$C$1996,2,0),"")</f>
        <v/>
      </c>
      <c r="N3187" s="2" t="str">
        <f>IFERROR(VLOOKUP(ROWS($N$2:N3187),$D$2:$E$1996,2,0),"")</f>
        <v/>
      </c>
    </row>
    <row r="3188" spans="2:14">
      <c r="B3188" s="32">
        <f>IF(ISNUMBER(SEARCH('Φόρμα Εισαγωγής'!$B$2,C3188)),MAX($B$1:B3187)+1,0)</f>
        <v>0</v>
      </c>
      <c r="D3188" s="33">
        <f>IF(ISNUMBER(SEARCH('Φόρμα Εισαγωγής'!$C$2,E3188)),MAX($D$1:D3187)+1,0)</f>
        <v>0</v>
      </c>
      <c r="H3188" s="6">
        <f t="shared" si="158"/>
        <v>0</v>
      </c>
      <c r="I3188" s="6">
        <f t="shared" si="159"/>
        <v>0</v>
      </c>
      <c r="J3188" s="6">
        <f t="shared" si="160"/>
        <v>0</v>
      </c>
      <c r="L3188" s="4" t="str">
        <f>IFERROR(VLOOKUP(ROWS($L$2:L3188),$B$2:$C$1996,2,0),"")</f>
        <v/>
      </c>
      <c r="N3188" s="2" t="str">
        <f>IFERROR(VLOOKUP(ROWS($N$2:N3188),$D$2:$E$1996,2,0),"")</f>
        <v/>
      </c>
    </row>
    <row r="3189" spans="2:14">
      <c r="B3189" s="32">
        <f>IF(ISNUMBER(SEARCH('Φόρμα Εισαγωγής'!$B$2,C3189)),MAX($B$1:B3188)+1,0)</f>
        <v>0</v>
      </c>
      <c r="D3189" s="33">
        <f>IF(ISNUMBER(SEARCH('Φόρμα Εισαγωγής'!$C$2,E3189)),MAX($D$1:D3188)+1,0)</f>
        <v>0</v>
      </c>
      <c r="H3189" s="6">
        <f t="shared" si="158"/>
        <v>0</v>
      </c>
      <c r="I3189" s="6">
        <f t="shared" si="159"/>
        <v>0</v>
      </c>
      <c r="J3189" s="6">
        <f t="shared" si="160"/>
        <v>0</v>
      </c>
      <c r="L3189" s="4" t="str">
        <f>IFERROR(VLOOKUP(ROWS($L$2:L3189),$B$2:$C$1996,2,0),"")</f>
        <v/>
      </c>
      <c r="N3189" s="2" t="str">
        <f>IFERROR(VLOOKUP(ROWS($N$2:N3189),$D$2:$E$1996,2,0),"")</f>
        <v/>
      </c>
    </row>
    <row r="3190" spans="2:14">
      <c r="B3190" s="32">
        <f>IF(ISNUMBER(SEARCH('Φόρμα Εισαγωγής'!$B$2,C3190)),MAX($B$1:B3189)+1,0)</f>
        <v>0</v>
      </c>
      <c r="D3190" s="33">
        <f>IF(ISNUMBER(SEARCH('Φόρμα Εισαγωγής'!$C$2,E3190)),MAX($D$1:D3189)+1,0)</f>
        <v>0</v>
      </c>
      <c r="H3190" s="6">
        <f t="shared" si="158"/>
        <v>0</v>
      </c>
      <c r="I3190" s="6">
        <f t="shared" si="159"/>
        <v>0</v>
      </c>
      <c r="J3190" s="6">
        <f t="shared" si="160"/>
        <v>0</v>
      </c>
      <c r="L3190" s="4" t="str">
        <f>IFERROR(VLOOKUP(ROWS($L$2:L3190),$B$2:$C$1996,2,0),"")</f>
        <v/>
      </c>
      <c r="N3190" s="2" t="str">
        <f>IFERROR(VLOOKUP(ROWS($N$2:N3190),$D$2:$E$1996,2,0),"")</f>
        <v/>
      </c>
    </row>
    <row r="3191" spans="2:14">
      <c r="B3191" s="32">
        <f>IF(ISNUMBER(SEARCH('Φόρμα Εισαγωγής'!$B$2,C3191)),MAX($B$1:B3190)+1,0)</f>
        <v>0</v>
      </c>
      <c r="D3191" s="33">
        <f>IF(ISNUMBER(SEARCH('Φόρμα Εισαγωγής'!$C$2,E3191)),MAX($D$1:D3190)+1,0)</f>
        <v>0</v>
      </c>
      <c r="H3191" s="6">
        <f t="shared" si="158"/>
        <v>0</v>
      </c>
      <c r="I3191" s="6">
        <f t="shared" si="159"/>
        <v>0</v>
      </c>
      <c r="J3191" s="6">
        <f t="shared" si="160"/>
        <v>0</v>
      </c>
      <c r="L3191" s="4" t="str">
        <f>IFERROR(VLOOKUP(ROWS($L$2:L3191),$B$2:$C$1996,2,0),"")</f>
        <v/>
      </c>
      <c r="N3191" s="2" t="str">
        <f>IFERROR(VLOOKUP(ROWS($N$2:N3191),$D$2:$E$1996,2,0),"")</f>
        <v/>
      </c>
    </row>
    <row r="3192" spans="2:14">
      <c r="B3192" s="32">
        <f>IF(ISNUMBER(SEARCH('Φόρμα Εισαγωγής'!$B$2,C3192)),MAX($B$1:B3191)+1,0)</f>
        <v>0</v>
      </c>
      <c r="D3192" s="33">
        <f>IF(ISNUMBER(SEARCH('Φόρμα Εισαγωγής'!$C$2,E3192)),MAX($D$1:D3191)+1,0)</f>
        <v>0</v>
      </c>
      <c r="H3192" s="6">
        <f t="shared" si="158"/>
        <v>0</v>
      </c>
      <c r="I3192" s="6">
        <f t="shared" si="159"/>
        <v>0</v>
      </c>
      <c r="J3192" s="6">
        <f t="shared" si="160"/>
        <v>0</v>
      </c>
      <c r="L3192" s="4" t="str">
        <f>IFERROR(VLOOKUP(ROWS($L$2:L3192),$B$2:$C$1996,2,0),"")</f>
        <v/>
      </c>
      <c r="N3192" s="2" t="str">
        <f>IFERROR(VLOOKUP(ROWS($N$2:N3192),$D$2:$E$1996,2,0),"")</f>
        <v/>
      </c>
    </row>
    <row r="3193" spans="2:14">
      <c r="B3193" s="32">
        <f>IF(ISNUMBER(SEARCH('Φόρμα Εισαγωγής'!$B$2,C3193)),MAX($B$1:B3192)+1,0)</f>
        <v>0</v>
      </c>
      <c r="D3193" s="33">
        <f>IF(ISNUMBER(SEARCH('Φόρμα Εισαγωγής'!$C$2,E3193)),MAX($D$1:D3192)+1,0)</f>
        <v>0</v>
      </c>
      <c r="H3193" s="6">
        <f t="shared" si="158"/>
        <v>0</v>
      </c>
      <c r="I3193" s="6">
        <f t="shared" si="159"/>
        <v>0</v>
      </c>
      <c r="J3193" s="6">
        <f t="shared" si="160"/>
        <v>0</v>
      </c>
      <c r="L3193" s="4" t="str">
        <f>IFERROR(VLOOKUP(ROWS($L$2:L3193),$B$2:$C$1996,2,0),"")</f>
        <v/>
      </c>
      <c r="N3193" s="2" t="str">
        <f>IFERROR(VLOOKUP(ROWS($N$2:N3193),$D$2:$E$1996,2,0),"")</f>
        <v/>
      </c>
    </row>
    <row r="3194" spans="2:14">
      <c r="B3194" s="32">
        <f>IF(ISNUMBER(SEARCH('Φόρμα Εισαγωγής'!$B$2,C3194)),MAX($B$1:B3193)+1,0)</f>
        <v>0</v>
      </c>
      <c r="D3194" s="33">
        <f>IF(ISNUMBER(SEARCH('Φόρμα Εισαγωγής'!$C$2,E3194)),MAX($D$1:D3193)+1,0)</f>
        <v>0</v>
      </c>
      <c r="H3194" s="6">
        <f t="shared" si="158"/>
        <v>0</v>
      </c>
      <c r="I3194" s="6">
        <f t="shared" si="159"/>
        <v>0</v>
      </c>
      <c r="J3194" s="6">
        <f t="shared" si="160"/>
        <v>0</v>
      </c>
      <c r="L3194" s="4" t="str">
        <f>IFERROR(VLOOKUP(ROWS($L$2:L3194),$B$2:$C$1996,2,0),"")</f>
        <v/>
      </c>
      <c r="N3194" s="2" t="str">
        <f>IFERROR(VLOOKUP(ROWS($N$2:N3194),$D$2:$E$1996,2,0),"")</f>
        <v/>
      </c>
    </row>
    <row r="3195" spans="2:14">
      <c r="B3195" s="32">
        <f>IF(ISNUMBER(SEARCH('Φόρμα Εισαγωγής'!$B$2,C3195)),MAX($B$1:B3194)+1,0)</f>
        <v>0</v>
      </c>
      <c r="D3195" s="33">
        <f>IF(ISNUMBER(SEARCH('Φόρμα Εισαγωγής'!$C$2,E3195)),MAX($D$1:D3194)+1,0)</f>
        <v>0</v>
      </c>
      <c r="H3195" s="6">
        <f t="shared" si="158"/>
        <v>0</v>
      </c>
      <c r="I3195" s="6">
        <f t="shared" si="159"/>
        <v>0</v>
      </c>
      <c r="J3195" s="6">
        <f t="shared" si="160"/>
        <v>0</v>
      </c>
      <c r="L3195" s="4" t="str">
        <f>IFERROR(VLOOKUP(ROWS($L$2:L3195),$B$2:$C$1996,2,0),"")</f>
        <v/>
      </c>
      <c r="N3195" s="2" t="str">
        <f>IFERROR(VLOOKUP(ROWS($N$2:N3195),$D$2:$E$1996,2,0),"")</f>
        <v/>
      </c>
    </row>
    <row r="3196" spans="2:14">
      <c r="B3196" s="32">
        <f>IF(ISNUMBER(SEARCH('Φόρμα Εισαγωγής'!$B$2,C3196)),MAX($B$1:B3195)+1,0)</f>
        <v>0</v>
      </c>
      <c r="D3196" s="33">
        <f>IF(ISNUMBER(SEARCH('Φόρμα Εισαγωγής'!$C$2,E3196)),MAX($D$1:D3195)+1,0)</f>
        <v>0</v>
      </c>
      <c r="H3196" s="6">
        <f t="shared" si="158"/>
        <v>0</v>
      </c>
      <c r="I3196" s="6">
        <f t="shared" si="159"/>
        <v>0</v>
      </c>
      <c r="J3196" s="6">
        <f t="shared" si="160"/>
        <v>0</v>
      </c>
      <c r="L3196" s="4" t="str">
        <f>IFERROR(VLOOKUP(ROWS($L$2:L3196),$B$2:$C$1996,2,0),"")</f>
        <v/>
      </c>
      <c r="N3196" s="2" t="str">
        <f>IFERROR(VLOOKUP(ROWS($N$2:N3196),$D$2:$E$1996,2,0),"")</f>
        <v/>
      </c>
    </row>
    <row r="3197" spans="2:14">
      <c r="B3197" s="32">
        <f>IF(ISNUMBER(SEARCH('Φόρμα Εισαγωγής'!$B$2,C3197)),MAX($B$1:B3196)+1,0)</f>
        <v>0</v>
      </c>
      <c r="D3197" s="33">
        <f>IF(ISNUMBER(SEARCH('Φόρμα Εισαγωγής'!$C$2,E3197)),MAX($D$1:D3196)+1,0)</f>
        <v>0</v>
      </c>
      <c r="H3197" s="6">
        <f t="shared" si="158"/>
        <v>0</v>
      </c>
      <c r="I3197" s="6">
        <f t="shared" si="159"/>
        <v>0</v>
      </c>
      <c r="J3197" s="6">
        <f t="shared" si="160"/>
        <v>0</v>
      </c>
      <c r="L3197" s="4" t="str">
        <f>IFERROR(VLOOKUP(ROWS($L$2:L3197),$B$2:$C$1996,2,0),"")</f>
        <v/>
      </c>
      <c r="N3197" s="2" t="str">
        <f>IFERROR(VLOOKUP(ROWS($N$2:N3197),$D$2:$E$1996,2,0),"")</f>
        <v/>
      </c>
    </row>
    <row r="3198" spans="2:14">
      <c r="B3198" s="32">
        <f>IF(ISNUMBER(SEARCH('Φόρμα Εισαγωγής'!$B$2,C3198)),MAX($B$1:B3197)+1,0)</f>
        <v>0</v>
      </c>
      <c r="D3198" s="33">
        <f>IF(ISNUMBER(SEARCH('Φόρμα Εισαγωγής'!$C$2,E3198)),MAX($D$1:D3197)+1,0)</f>
        <v>0</v>
      </c>
      <c r="H3198" s="6">
        <f t="shared" si="158"/>
        <v>0</v>
      </c>
      <c r="I3198" s="6">
        <f t="shared" si="159"/>
        <v>0</v>
      </c>
      <c r="J3198" s="6">
        <f t="shared" si="160"/>
        <v>0</v>
      </c>
      <c r="L3198" s="4" t="str">
        <f>IFERROR(VLOOKUP(ROWS($L$2:L3198),$B$2:$C$1996,2,0),"")</f>
        <v/>
      </c>
      <c r="N3198" s="2" t="str">
        <f>IFERROR(VLOOKUP(ROWS($N$2:N3198),$D$2:$E$1996,2,0),"")</f>
        <v/>
      </c>
    </row>
    <row r="3199" spans="2:14">
      <c r="B3199" s="32">
        <f>IF(ISNUMBER(SEARCH('Φόρμα Εισαγωγής'!$B$2,C3199)),MAX($B$1:B3198)+1,0)</f>
        <v>0</v>
      </c>
      <c r="D3199" s="33">
        <f>IF(ISNUMBER(SEARCH('Φόρμα Εισαγωγής'!$C$2,E3199)),MAX($D$1:D3198)+1,0)</f>
        <v>0</v>
      </c>
      <c r="H3199" s="6">
        <f t="shared" si="158"/>
        <v>0</v>
      </c>
      <c r="I3199" s="6">
        <f t="shared" si="159"/>
        <v>0</v>
      </c>
      <c r="J3199" s="6">
        <f t="shared" si="160"/>
        <v>0</v>
      </c>
      <c r="L3199" s="4" t="str">
        <f>IFERROR(VLOOKUP(ROWS($L$2:L3199),$B$2:$C$1996,2,0),"")</f>
        <v/>
      </c>
      <c r="N3199" s="2" t="str">
        <f>IFERROR(VLOOKUP(ROWS($N$2:N3199),$D$2:$E$1996,2,0),"")</f>
        <v/>
      </c>
    </row>
    <row r="3200" spans="2:14">
      <c r="B3200" s="32">
        <f>IF(ISNUMBER(SEARCH('Φόρμα Εισαγωγής'!$B$2,C3200)),MAX($B$1:B3199)+1,0)</f>
        <v>0</v>
      </c>
      <c r="D3200" s="33">
        <f>IF(ISNUMBER(SEARCH('Φόρμα Εισαγωγής'!$C$2,E3200)),MAX($D$1:D3199)+1,0)</f>
        <v>0</v>
      </c>
      <c r="H3200" s="6">
        <f t="shared" ref="H3200:H3263" si="161">G3200+(G3200*0.24)</f>
        <v>0</v>
      </c>
      <c r="I3200" s="6">
        <f t="shared" ref="I3200:I3263" si="162">F3200*A3200</f>
        <v>0</v>
      </c>
      <c r="J3200" s="6">
        <f t="shared" ref="J3200:J3263" si="163">H3200*A3200</f>
        <v>0</v>
      </c>
      <c r="L3200" s="4" t="str">
        <f>IFERROR(VLOOKUP(ROWS($L$2:L3200),$B$2:$C$1996,2,0),"")</f>
        <v/>
      </c>
      <c r="N3200" s="2" t="str">
        <f>IFERROR(VLOOKUP(ROWS($N$2:N3200),$D$2:$E$1996,2,0),"")</f>
        <v/>
      </c>
    </row>
    <row r="3201" spans="2:14">
      <c r="B3201" s="32">
        <f>IF(ISNUMBER(SEARCH('Φόρμα Εισαγωγής'!$B$2,C3201)),MAX($B$1:B3200)+1,0)</f>
        <v>0</v>
      </c>
      <c r="D3201" s="33">
        <f>IF(ISNUMBER(SEARCH('Φόρμα Εισαγωγής'!$C$2,E3201)),MAX($D$1:D3200)+1,0)</f>
        <v>0</v>
      </c>
      <c r="H3201" s="6">
        <f t="shared" si="161"/>
        <v>0</v>
      </c>
      <c r="I3201" s="6">
        <f t="shared" si="162"/>
        <v>0</v>
      </c>
      <c r="J3201" s="6">
        <f t="shared" si="163"/>
        <v>0</v>
      </c>
      <c r="L3201" s="4" t="str">
        <f>IFERROR(VLOOKUP(ROWS($L$2:L3201),$B$2:$C$1996,2,0),"")</f>
        <v/>
      </c>
      <c r="N3201" s="2" t="str">
        <f>IFERROR(VLOOKUP(ROWS($N$2:N3201),$D$2:$E$1996,2,0),"")</f>
        <v/>
      </c>
    </row>
    <row r="3202" spans="2:14">
      <c r="B3202" s="32">
        <f>IF(ISNUMBER(SEARCH('Φόρμα Εισαγωγής'!$B$2,C3202)),MAX($B$1:B3201)+1,0)</f>
        <v>0</v>
      </c>
      <c r="D3202" s="33">
        <f>IF(ISNUMBER(SEARCH('Φόρμα Εισαγωγής'!$C$2,E3202)),MAX($D$1:D3201)+1,0)</f>
        <v>0</v>
      </c>
      <c r="H3202" s="6">
        <f t="shared" si="161"/>
        <v>0</v>
      </c>
      <c r="I3202" s="6">
        <f t="shared" si="162"/>
        <v>0</v>
      </c>
      <c r="J3202" s="6">
        <f t="shared" si="163"/>
        <v>0</v>
      </c>
      <c r="L3202" s="4" t="str">
        <f>IFERROR(VLOOKUP(ROWS($L$2:L3202),$B$2:$C$1996,2,0),"")</f>
        <v/>
      </c>
      <c r="N3202" s="2" t="str">
        <f>IFERROR(VLOOKUP(ROWS($N$2:N3202),$D$2:$E$1996,2,0),"")</f>
        <v/>
      </c>
    </row>
    <row r="3203" spans="2:14">
      <c r="B3203" s="32">
        <f>IF(ISNUMBER(SEARCH('Φόρμα Εισαγωγής'!$B$2,C3203)),MAX($B$1:B3202)+1,0)</f>
        <v>0</v>
      </c>
      <c r="D3203" s="33">
        <f>IF(ISNUMBER(SEARCH('Φόρμα Εισαγωγής'!$C$2,E3203)),MAX($D$1:D3202)+1,0)</f>
        <v>0</v>
      </c>
      <c r="H3203" s="6">
        <f t="shared" si="161"/>
        <v>0</v>
      </c>
      <c r="I3203" s="6">
        <f t="shared" si="162"/>
        <v>0</v>
      </c>
      <c r="J3203" s="6">
        <f t="shared" si="163"/>
        <v>0</v>
      </c>
      <c r="L3203" s="4" t="str">
        <f>IFERROR(VLOOKUP(ROWS($L$2:L3203),$B$2:$C$1996,2,0),"")</f>
        <v/>
      </c>
      <c r="N3203" s="2" t="str">
        <f>IFERROR(VLOOKUP(ROWS($N$2:N3203),$D$2:$E$1996,2,0),"")</f>
        <v/>
      </c>
    </row>
    <row r="3204" spans="2:14">
      <c r="B3204" s="32">
        <f>IF(ISNUMBER(SEARCH('Φόρμα Εισαγωγής'!$B$2,C3204)),MAX($B$1:B3203)+1,0)</f>
        <v>0</v>
      </c>
      <c r="D3204" s="33">
        <f>IF(ISNUMBER(SEARCH('Φόρμα Εισαγωγής'!$C$2,E3204)),MAX($D$1:D3203)+1,0)</f>
        <v>0</v>
      </c>
      <c r="H3204" s="6">
        <f t="shared" si="161"/>
        <v>0</v>
      </c>
      <c r="I3204" s="6">
        <f t="shared" si="162"/>
        <v>0</v>
      </c>
      <c r="J3204" s="6">
        <f t="shared" si="163"/>
        <v>0</v>
      </c>
      <c r="L3204" s="4" t="str">
        <f>IFERROR(VLOOKUP(ROWS($L$2:L3204),$B$2:$C$1996,2,0),"")</f>
        <v/>
      </c>
      <c r="N3204" s="2" t="str">
        <f>IFERROR(VLOOKUP(ROWS($N$2:N3204),$D$2:$E$1996,2,0),"")</f>
        <v/>
      </c>
    </row>
    <row r="3205" spans="2:14">
      <c r="B3205" s="32">
        <f>IF(ISNUMBER(SEARCH('Φόρμα Εισαγωγής'!$B$2,C3205)),MAX($B$1:B3204)+1,0)</f>
        <v>0</v>
      </c>
      <c r="D3205" s="33">
        <f>IF(ISNUMBER(SEARCH('Φόρμα Εισαγωγής'!$C$2,E3205)),MAX($D$1:D3204)+1,0)</f>
        <v>0</v>
      </c>
      <c r="H3205" s="6">
        <f t="shared" si="161"/>
        <v>0</v>
      </c>
      <c r="I3205" s="6">
        <f t="shared" si="162"/>
        <v>0</v>
      </c>
      <c r="J3205" s="6">
        <f t="shared" si="163"/>
        <v>0</v>
      </c>
      <c r="L3205" s="4" t="str">
        <f>IFERROR(VLOOKUP(ROWS($L$2:L3205),$B$2:$C$1996,2,0),"")</f>
        <v/>
      </c>
      <c r="N3205" s="2" t="str">
        <f>IFERROR(VLOOKUP(ROWS($N$2:N3205),$D$2:$E$1996,2,0),"")</f>
        <v/>
      </c>
    </row>
    <row r="3206" spans="2:14">
      <c r="B3206" s="32">
        <f>IF(ISNUMBER(SEARCH('Φόρμα Εισαγωγής'!$B$2,C3206)),MAX($B$1:B3205)+1,0)</f>
        <v>0</v>
      </c>
      <c r="D3206" s="33">
        <f>IF(ISNUMBER(SEARCH('Φόρμα Εισαγωγής'!$C$2,E3206)),MAX($D$1:D3205)+1,0)</f>
        <v>0</v>
      </c>
      <c r="H3206" s="6">
        <f t="shared" si="161"/>
        <v>0</v>
      </c>
      <c r="I3206" s="6">
        <f t="shared" si="162"/>
        <v>0</v>
      </c>
      <c r="J3206" s="6">
        <f t="shared" si="163"/>
        <v>0</v>
      </c>
      <c r="L3206" s="4" t="str">
        <f>IFERROR(VLOOKUP(ROWS($L$2:L3206),$B$2:$C$1996,2,0),"")</f>
        <v/>
      </c>
      <c r="N3206" s="2" t="str">
        <f>IFERROR(VLOOKUP(ROWS($N$2:N3206),$D$2:$E$1996,2,0),"")</f>
        <v/>
      </c>
    </row>
    <row r="3207" spans="2:14">
      <c r="B3207" s="32">
        <f>IF(ISNUMBER(SEARCH('Φόρμα Εισαγωγής'!$B$2,C3207)),MAX($B$1:B3206)+1,0)</f>
        <v>0</v>
      </c>
      <c r="D3207" s="33">
        <f>IF(ISNUMBER(SEARCH('Φόρμα Εισαγωγής'!$C$2,E3207)),MAX($D$1:D3206)+1,0)</f>
        <v>0</v>
      </c>
      <c r="H3207" s="6">
        <f t="shared" si="161"/>
        <v>0</v>
      </c>
      <c r="I3207" s="6">
        <f t="shared" si="162"/>
        <v>0</v>
      </c>
      <c r="J3207" s="6">
        <f t="shared" si="163"/>
        <v>0</v>
      </c>
      <c r="L3207" s="4" t="str">
        <f>IFERROR(VLOOKUP(ROWS($L$2:L3207),$B$2:$C$1996,2,0),"")</f>
        <v/>
      </c>
      <c r="N3207" s="2" t="str">
        <f>IFERROR(VLOOKUP(ROWS($N$2:N3207),$D$2:$E$1996,2,0),"")</f>
        <v/>
      </c>
    </row>
    <row r="3208" spans="2:14">
      <c r="B3208" s="32">
        <f>IF(ISNUMBER(SEARCH('Φόρμα Εισαγωγής'!$B$2,C3208)),MAX($B$1:B3207)+1,0)</f>
        <v>0</v>
      </c>
      <c r="D3208" s="33">
        <f>IF(ISNUMBER(SEARCH('Φόρμα Εισαγωγής'!$C$2,E3208)),MAX($D$1:D3207)+1,0)</f>
        <v>0</v>
      </c>
      <c r="H3208" s="6">
        <f t="shared" si="161"/>
        <v>0</v>
      </c>
      <c r="I3208" s="6">
        <f t="shared" si="162"/>
        <v>0</v>
      </c>
      <c r="J3208" s="6">
        <f t="shared" si="163"/>
        <v>0</v>
      </c>
      <c r="L3208" s="4" t="str">
        <f>IFERROR(VLOOKUP(ROWS($L$2:L3208),$B$2:$C$1996,2,0),"")</f>
        <v/>
      </c>
      <c r="N3208" s="2" t="str">
        <f>IFERROR(VLOOKUP(ROWS($N$2:N3208),$D$2:$E$1996,2,0),"")</f>
        <v/>
      </c>
    </row>
    <row r="3209" spans="2:14">
      <c r="B3209" s="32">
        <f>IF(ISNUMBER(SEARCH('Φόρμα Εισαγωγής'!$B$2,C3209)),MAX($B$1:B3208)+1,0)</f>
        <v>0</v>
      </c>
      <c r="D3209" s="33">
        <f>IF(ISNUMBER(SEARCH('Φόρμα Εισαγωγής'!$C$2,E3209)),MAX($D$1:D3208)+1,0)</f>
        <v>0</v>
      </c>
      <c r="H3209" s="6">
        <f t="shared" si="161"/>
        <v>0</v>
      </c>
      <c r="I3209" s="6">
        <f t="shared" si="162"/>
        <v>0</v>
      </c>
      <c r="J3209" s="6">
        <f t="shared" si="163"/>
        <v>0</v>
      </c>
      <c r="L3209" s="4" t="str">
        <f>IFERROR(VLOOKUP(ROWS($L$2:L3209),$B$2:$C$1996,2,0),"")</f>
        <v/>
      </c>
      <c r="N3209" s="2" t="str">
        <f>IFERROR(VLOOKUP(ROWS($N$2:N3209),$D$2:$E$1996,2,0),"")</f>
        <v/>
      </c>
    </row>
    <row r="3210" spans="2:14">
      <c r="B3210" s="32">
        <f>IF(ISNUMBER(SEARCH('Φόρμα Εισαγωγής'!$B$2,C3210)),MAX($B$1:B3209)+1,0)</f>
        <v>0</v>
      </c>
      <c r="D3210" s="33">
        <f>IF(ISNUMBER(SEARCH('Φόρμα Εισαγωγής'!$C$2,E3210)),MAX($D$1:D3209)+1,0)</f>
        <v>0</v>
      </c>
      <c r="H3210" s="6">
        <f t="shared" si="161"/>
        <v>0</v>
      </c>
      <c r="I3210" s="6">
        <f t="shared" si="162"/>
        <v>0</v>
      </c>
      <c r="J3210" s="6">
        <f t="shared" si="163"/>
        <v>0</v>
      </c>
      <c r="L3210" s="4" t="str">
        <f>IFERROR(VLOOKUP(ROWS($L$2:L3210),$B$2:$C$1996,2,0),"")</f>
        <v/>
      </c>
      <c r="N3210" s="2" t="str">
        <f>IFERROR(VLOOKUP(ROWS($N$2:N3210),$D$2:$E$1996,2,0),"")</f>
        <v/>
      </c>
    </row>
    <row r="3211" spans="2:14">
      <c r="B3211" s="32">
        <f>IF(ISNUMBER(SEARCH('Φόρμα Εισαγωγής'!$B$2,C3211)),MAX($B$1:B3210)+1,0)</f>
        <v>0</v>
      </c>
      <c r="D3211" s="33">
        <f>IF(ISNUMBER(SEARCH('Φόρμα Εισαγωγής'!$C$2,E3211)),MAX($D$1:D3210)+1,0)</f>
        <v>0</v>
      </c>
      <c r="H3211" s="6">
        <f t="shared" si="161"/>
        <v>0</v>
      </c>
      <c r="I3211" s="6">
        <f t="shared" si="162"/>
        <v>0</v>
      </c>
      <c r="J3211" s="6">
        <f t="shared" si="163"/>
        <v>0</v>
      </c>
      <c r="L3211" s="4" t="str">
        <f>IFERROR(VLOOKUP(ROWS($L$2:L3211),$B$2:$C$1996,2,0),"")</f>
        <v/>
      </c>
      <c r="N3211" s="2" t="str">
        <f>IFERROR(VLOOKUP(ROWS($N$2:N3211),$D$2:$E$1996,2,0),"")</f>
        <v/>
      </c>
    </row>
    <row r="3212" spans="2:14">
      <c r="B3212" s="32">
        <f>IF(ISNUMBER(SEARCH('Φόρμα Εισαγωγής'!$B$2,C3212)),MAX($B$1:B3211)+1,0)</f>
        <v>0</v>
      </c>
      <c r="D3212" s="33">
        <f>IF(ISNUMBER(SEARCH('Φόρμα Εισαγωγής'!$C$2,E3212)),MAX($D$1:D3211)+1,0)</f>
        <v>0</v>
      </c>
      <c r="H3212" s="6">
        <f t="shared" si="161"/>
        <v>0</v>
      </c>
      <c r="I3212" s="6">
        <f t="shared" si="162"/>
        <v>0</v>
      </c>
      <c r="J3212" s="6">
        <f t="shared" si="163"/>
        <v>0</v>
      </c>
      <c r="L3212" s="4" t="str">
        <f>IFERROR(VLOOKUP(ROWS($L$2:L3212),$B$2:$C$1996,2,0),"")</f>
        <v/>
      </c>
      <c r="N3212" s="2" t="str">
        <f>IFERROR(VLOOKUP(ROWS($N$2:N3212),$D$2:$E$1996,2,0),"")</f>
        <v/>
      </c>
    </row>
    <row r="3213" spans="2:14">
      <c r="B3213" s="32">
        <f>IF(ISNUMBER(SEARCH('Φόρμα Εισαγωγής'!$B$2,C3213)),MAX($B$1:B3212)+1,0)</f>
        <v>0</v>
      </c>
      <c r="D3213" s="33">
        <f>IF(ISNUMBER(SEARCH('Φόρμα Εισαγωγής'!$C$2,E3213)),MAX($D$1:D3212)+1,0)</f>
        <v>0</v>
      </c>
      <c r="H3213" s="6">
        <f t="shared" si="161"/>
        <v>0</v>
      </c>
      <c r="I3213" s="6">
        <f t="shared" si="162"/>
        <v>0</v>
      </c>
      <c r="J3213" s="6">
        <f t="shared" si="163"/>
        <v>0</v>
      </c>
      <c r="L3213" s="4" t="str">
        <f>IFERROR(VLOOKUP(ROWS($L$2:L3213),$B$2:$C$1996,2,0),"")</f>
        <v/>
      </c>
      <c r="N3213" s="2" t="str">
        <f>IFERROR(VLOOKUP(ROWS($N$2:N3213),$D$2:$E$1996,2,0),"")</f>
        <v/>
      </c>
    </row>
    <row r="3214" spans="2:14">
      <c r="B3214" s="32">
        <f>IF(ISNUMBER(SEARCH('Φόρμα Εισαγωγής'!$B$2,C3214)),MAX($B$1:B3213)+1,0)</f>
        <v>0</v>
      </c>
      <c r="D3214" s="33">
        <f>IF(ISNUMBER(SEARCH('Φόρμα Εισαγωγής'!$C$2,E3214)),MAX($D$1:D3213)+1,0)</f>
        <v>0</v>
      </c>
      <c r="H3214" s="6">
        <f t="shared" si="161"/>
        <v>0</v>
      </c>
      <c r="I3214" s="6">
        <f t="shared" si="162"/>
        <v>0</v>
      </c>
      <c r="J3214" s="6">
        <f t="shared" si="163"/>
        <v>0</v>
      </c>
      <c r="L3214" s="4" t="str">
        <f>IFERROR(VLOOKUP(ROWS($L$2:L3214),$B$2:$C$1996,2,0),"")</f>
        <v/>
      </c>
      <c r="N3214" s="2" t="str">
        <f>IFERROR(VLOOKUP(ROWS($N$2:N3214),$D$2:$E$1996,2,0),"")</f>
        <v/>
      </c>
    </row>
    <row r="3215" spans="2:14">
      <c r="B3215" s="32">
        <f>IF(ISNUMBER(SEARCH('Φόρμα Εισαγωγής'!$B$2,C3215)),MAX($B$1:B3214)+1,0)</f>
        <v>0</v>
      </c>
      <c r="D3215" s="33">
        <f>IF(ISNUMBER(SEARCH('Φόρμα Εισαγωγής'!$C$2,E3215)),MAX($D$1:D3214)+1,0)</f>
        <v>0</v>
      </c>
      <c r="H3215" s="6">
        <f t="shared" si="161"/>
        <v>0</v>
      </c>
      <c r="I3215" s="6">
        <f t="shared" si="162"/>
        <v>0</v>
      </c>
      <c r="J3215" s="6">
        <f t="shared" si="163"/>
        <v>0</v>
      </c>
      <c r="L3215" s="4" t="str">
        <f>IFERROR(VLOOKUP(ROWS($L$2:L3215),$B$2:$C$1996,2,0),"")</f>
        <v/>
      </c>
      <c r="N3215" s="2" t="str">
        <f>IFERROR(VLOOKUP(ROWS($N$2:N3215),$D$2:$E$1996,2,0),"")</f>
        <v/>
      </c>
    </row>
    <row r="3216" spans="2:14">
      <c r="B3216" s="32">
        <f>IF(ISNUMBER(SEARCH('Φόρμα Εισαγωγής'!$B$2,C3216)),MAX($B$1:B3215)+1,0)</f>
        <v>0</v>
      </c>
      <c r="D3216" s="33">
        <f>IF(ISNUMBER(SEARCH('Φόρμα Εισαγωγής'!$C$2,E3216)),MAX($D$1:D3215)+1,0)</f>
        <v>0</v>
      </c>
      <c r="H3216" s="6">
        <f t="shared" si="161"/>
        <v>0</v>
      </c>
      <c r="I3216" s="6">
        <f t="shared" si="162"/>
        <v>0</v>
      </c>
      <c r="J3216" s="6">
        <f t="shared" si="163"/>
        <v>0</v>
      </c>
      <c r="L3216" s="4" t="str">
        <f>IFERROR(VLOOKUP(ROWS($L$2:L3216),$B$2:$C$1996,2,0),"")</f>
        <v/>
      </c>
      <c r="N3216" s="2" t="str">
        <f>IFERROR(VLOOKUP(ROWS($N$2:N3216),$D$2:$E$1996,2,0),"")</f>
        <v/>
      </c>
    </row>
    <row r="3217" spans="2:14">
      <c r="B3217" s="32">
        <f>IF(ISNUMBER(SEARCH('Φόρμα Εισαγωγής'!$B$2,C3217)),MAX($B$1:B3216)+1,0)</f>
        <v>0</v>
      </c>
      <c r="D3217" s="33">
        <f>IF(ISNUMBER(SEARCH('Φόρμα Εισαγωγής'!$C$2,E3217)),MAX($D$1:D3216)+1,0)</f>
        <v>0</v>
      </c>
      <c r="H3217" s="6">
        <f t="shared" si="161"/>
        <v>0</v>
      </c>
      <c r="I3217" s="6">
        <f t="shared" si="162"/>
        <v>0</v>
      </c>
      <c r="J3217" s="6">
        <f t="shared" si="163"/>
        <v>0</v>
      </c>
      <c r="L3217" s="4" t="str">
        <f>IFERROR(VLOOKUP(ROWS($L$2:L3217),$B$2:$C$1996,2,0),"")</f>
        <v/>
      </c>
      <c r="N3217" s="2" t="str">
        <f>IFERROR(VLOOKUP(ROWS($N$2:N3217),$D$2:$E$1996,2,0),"")</f>
        <v/>
      </c>
    </row>
    <row r="3218" spans="2:14">
      <c r="B3218" s="32">
        <f>IF(ISNUMBER(SEARCH('Φόρμα Εισαγωγής'!$B$2,C3218)),MAX($B$1:B3217)+1,0)</f>
        <v>0</v>
      </c>
      <c r="D3218" s="33">
        <f>IF(ISNUMBER(SEARCH('Φόρμα Εισαγωγής'!$C$2,E3218)),MAX($D$1:D3217)+1,0)</f>
        <v>0</v>
      </c>
      <c r="H3218" s="6">
        <f t="shared" si="161"/>
        <v>0</v>
      </c>
      <c r="I3218" s="6">
        <f t="shared" si="162"/>
        <v>0</v>
      </c>
      <c r="J3218" s="6">
        <f t="shared" si="163"/>
        <v>0</v>
      </c>
      <c r="L3218" s="4" t="str">
        <f>IFERROR(VLOOKUP(ROWS($L$2:L3218),$B$2:$C$1996,2,0),"")</f>
        <v/>
      </c>
      <c r="N3218" s="2" t="str">
        <f>IFERROR(VLOOKUP(ROWS($N$2:N3218),$D$2:$E$1996,2,0),"")</f>
        <v/>
      </c>
    </row>
    <row r="3219" spans="2:14">
      <c r="B3219" s="32">
        <f>IF(ISNUMBER(SEARCH('Φόρμα Εισαγωγής'!$B$2,C3219)),MAX($B$1:B3218)+1,0)</f>
        <v>0</v>
      </c>
      <c r="D3219" s="33">
        <f>IF(ISNUMBER(SEARCH('Φόρμα Εισαγωγής'!$C$2,E3219)),MAX($D$1:D3218)+1,0)</f>
        <v>0</v>
      </c>
      <c r="H3219" s="6">
        <f t="shared" si="161"/>
        <v>0</v>
      </c>
      <c r="I3219" s="6">
        <f t="shared" si="162"/>
        <v>0</v>
      </c>
      <c r="J3219" s="6">
        <f t="shared" si="163"/>
        <v>0</v>
      </c>
      <c r="L3219" s="4" t="str">
        <f>IFERROR(VLOOKUP(ROWS($L$2:L3219),$B$2:$C$1996,2,0),"")</f>
        <v/>
      </c>
      <c r="N3219" s="2" t="str">
        <f>IFERROR(VLOOKUP(ROWS($N$2:N3219),$D$2:$E$1996,2,0),"")</f>
        <v/>
      </c>
    </row>
    <row r="3220" spans="2:14">
      <c r="B3220" s="32">
        <f>IF(ISNUMBER(SEARCH('Φόρμα Εισαγωγής'!$B$2,C3220)),MAX($B$1:B3219)+1,0)</f>
        <v>0</v>
      </c>
      <c r="D3220" s="33">
        <f>IF(ISNUMBER(SEARCH('Φόρμα Εισαγωγής'!$C$2,E3220)),MAX($D$1:D3219)+1,0)</f>
        <v>0</v>
      </c>
      <c r="H3220" s="6">
        <f t="shared" si="161"/>
        <v>0</v>
      </c>
      <c r="I3220" s="6">
        <f t="shared" si="162"/>
        <v>0</v>
      </c>
      <c r="J3220" s="6">
        <f t="shared" si="163"/>
        <v>0</v>
      </c>
      <c r="L3220" s="4" t="str">
        <f>IFERROR(VLOOKUP(ROWS($L$2:L3220),$B$2:$C$1996,2,0),"")</f>
        <v/>
      </c>
      <c r="N3220" s="2" t="str">
        <f>IFERROR(VLOOKUP(ROWS($N$2:N3220),$D$2:$E$1996,2,0),"")</f>
        <v/>
      </c>
    </row>
    <row r="3221" spans="2:14">
      <c r="B3221" s="32">
        <f>IF(ISNUMBER(SEARCH('Φόρμα Εισαγωγής'!$B$2,C3221)),MAX($B$1:B3220)+1,0)</f>
        <v>0</v>
      </c>
      <c r="D3221" s="33">
        <f>IF(ISNUMBER(SEARCH('Φόρμα Εισαγωγής'!$C$2,E3221)),MAX($D$1:D3220)+1,0)</f>
        <v>0</v>
      </c>
      <c r="H3221" s="6">
        <f t="shared" si="161"/>
        <v>0</v>
      </c>
      <c r="I3221" s="6">
        <f t="shared" si="162"/>
        <v>0</v>
      </c>
      <c r="J3221" s="6">
        <f t="shared" si="163"/>
        <v>0</v>
      </c>
      <c r="L3221" s="4" t="str">
        <f>IFERROR(VLOOKUP(ROWS($L$2:L3221),$B$2:$C$1996,2,0),"")</f>
        <v/>
      </c>
      <c r="N3221" s="2" t="str">
        <f>IFERROR(VLOOKUP(ROWS($N$2:N3221),$D$2:$E$1996,2,0),"")</f>
        <v/>
      </c>
    </row>
    <row r="3222" spans="2:14">
      <c r="B3222" s="32">
        <f>IF(ISNUMBER(SEARCH('Φόρμα Εισαγωγής'!$B$2,C3222)),MAX($B$1:B3221)+1,0)</f>
        <v>0</v>
      </c>
      <c r="D3222" s="33">
        <f>IF(ISNUMBER(SEARCH('Φόρμα Εισαγωγής'!$C$2,E3222)),MAX($D$1:D3221)+1,0)</f>
        <v>0</v>
      </c>
      <c r="H3222" s="6">
        <f t="shared" si="161"/>
        <v>0</v>
      </c>
      <c r="I3222" s="6">
        <f t="shared" si="162"/>
        <v>0</v>
      </c>
      <c r="J3222" s="6">
        <f t="shared" si="163"/>
        <v>0</v>
      </c>
      <c r="L3222" s="4" t="str">
        <f>IFERROR(VLOOKUP(ROWS($L$2:L3222),$B$2:$C$1996,2,0),"")</f>
        <v/>
      </c>
      <c r="N3222" s="2" t="str">
        <f>IFERROR(VLOOKUP(ROWS($N$2:N3222),$D$2:$E$1996,2,0),"")</f>
        <v/>
      </c>
    </row>
    <row r="3223" spans="2:14">
      <c r="B3223" s="32">
        <f>IF(ISNUMBER(SEARCH('Φόρμα Εισαγωγής'!$B$2,C3223)),MAX($B$1:B3222)+1,0)</f>
        <v>0</v>
      </c>
      <c r="D3223" s="33">
        <f>IF(ISNUMBER(SEARCH('Φόρμα Εισαγωγής'!$C$2,E3223)),MAX($D$1:D3222)+1,0)</f>
        <v>0</v>
      </c>
      <c r="H3223" s="6">
        <f t="shared" si="161"/>
        <v>0</v>
      </c>
      <c r="I3223" s="6">
        <f t="shared" si="162"/>
        <v>0</v>
      </c>
      <c r="J3223" s="6">
        <f t="shared" si="163"/>
        <v>0</v>
      </c>
      <c r="L3223" s="4" t="str">
        <f>IFERROR(VLOOKUP(ROWS($L$2:L3223),$B$2:$C$1996,2,0),"")</f>
        <v/>
      </c>
      <c r="N3223" s="2" t="str">
        <f>IFERROR(VLOOKUP(ROWS($N$2:N3223),$D$2:$E$1996,2,0),"")</f>
        <v/>
      </c>
    </row>
    <row r="3224" spans="2:14">
      <c r="B3224" s="32">
        <f>IF(ISNUMBER(SEARCH('Φόρμα Εισαγωγής'!$B$2,C3224)),MAX($B$1:B3223)+1,0)</f>
        <v>0</v>
      </c>
      <c r="D3224" s="33">
        <f>IF(ISNUMBER(SEARCH('Φόρμα Εισαγωγής'!$C$2,E3224)),MAX($D$1:D3223)+1,0)</f>
        <v>0</v>
      </c>
      <c r="H3224" s="6">
        <f t="shared" si="161"/>
        <v>0</v>
      </c>
      <c r="I3224" s="6">
        <f t="shared" si="162"/>
        <v>0</v>
      </c>
      <c r="J3224" s="6">
        <f t="shared" si="163"/>
        <v>0</v>
      </c>
      <c r="L3224" s="4" t="str">
        <f>IFERROR(VLOOKUP(ROWS($L$2:L3224),$B$2:$C$1996,2,0),"")</f>
        <v/>
      </c>
      <c r="N3224" s="2" t="str">
        <f>IFERROR(VLOOKUP(ROWS($N$2:N3224),$D$2:$E$1996,2,0),"")</f>
        <v/>
      </c>
    </row>
    <row r="3225" spans="2:14">
      <c r="B3225" s="32">
        <f>IF(ISNUMBER(SEARCH('Φόρμα Εισαγωγής'!$B$2,C3225)),MAX($B$1:B3224)+1,0)</f>
        <v>0</v>
      </c>
      <c r="D3225" s="33">
        <f>IF(ISNUMBER(SEARCH('Φόρμα Εισαγωγής'!$C$2,E3225)),MAX($D$1:D3224)+1,0)</f>
        <v>0</v>
      </c>
      <c r="H3225" s="6">
        <f t="shared" si="161"/>
        <v>0</v>
      </c>
      <c r="I3225" s="6">
        <f t="shared" si="162"/>
        <v>0</v>
      </c>
      <c r="J3225" s="6">
        <f t="shared" si="163"/>
        <v>0</v>
      </c>
      <c r="L3225" s="4" t="str">
        <f>IFERROR(VLOOKUP(ROWS($L$2:L3225),$B$2:$C$1996,2,0),"")</f>
        <v/>
      </c>
      <c r="N3225" s="2" t="str">
        <f>IFERROR(VLOOKUP(ROWS($N$2:N3225),$D$2:$E$1996,2,0),"")</f>
        <v/>
      </c>
    </row>
    <row r="3226" spans="2:14">
      <c r="B3226" s="32">
        <f>IF(ISNUMBER(SEARCH('Φόρμα Εισαγωγής'!$B$2,C3226)),MAX($B$1:B3225)+1,0)</f>
        <v>0</v>
      </c>
      <c r="D3226" s="33">
        <f>IF(ISNUMBER(SEARCH('Φόρμα Εισαγωγής'!$C$2,E3226)),MAX($D$1:D3225)+1,0)</f>
        <v>0</v>
      </c>
      <c r="H3226" s="6">
        <f t="shared" si="161"/>
        <v>0</v>
      </c>
      <c r="I3226" s="6">
        <f t="shared" si="162"/>
        <v>0</v>
      </c>
      <c r="J3226" s="6">
        <f t="shared" si="163"/>
        <v>0</v>
      </c>
      <c r="L3226" s="4" t="str">
        <f>IFERROR(VLOOKUP(ROWS($L$2:L3226),$B$2:$C$1996,2,0),"")</f>
        <v/>
      </c>
      <c r="N3226" s="2" t="str">
        <f>IFERROR(VLOOKUP(ROWS($N$2:N3226),$D$2:$E$1996,2,0),"")</f>
        <v/>
      </c>
    </row>
    <row r="3227" spans="2:14">
      <c r="B3227" s="32">
        <f>IF(ISNUMBER(SEARCH('Φόρμα Εισαγωγής'!$B$2,C3227)),MAX($B$1:B3226)+1,0)</f>
        <v>0</v>
      </c>
      <c r="D3227" s="33">
        <f>IF(ISNUMBER(SEARCH('Φόρμα Εισαγωγής'!$C$2,E3227)),MAX($D$1:D3226)+1,0)</f>
        <v>0</v>
      </c>
      <c r="H3227" s="6">
        <f t="shared" si="161"/>
        <v>0</v>
      </c>
      <c r="I3227" s="6">
        <f t="shared" si="162"/>
        <v>0</v>
      </c>
      <c r="J3227" s="6">
        <f t="shared" si="163"/>
        <v>0</v>
      </c>
      <c r="L3227" s="4" t="str">
        <f>IFERROR(VLOOKUP(ROWS($L$2:L3227),$B$2:$C$1996,2,0),"")</f>
        <v/>
      </c>
      <c r="N3227" s="2" t="str">
        <f>IFERROR(VLOOKUP(ROWS($N$2:N3227),$D$2:$E$1996,2,0),"")</f>
        <v/>
      </c>
    </row>
    <row r="3228" spans="2:14">
      <c r="B3228" s="32">
        <f>IF(ISNUMBER(SEARCH('Φόρμα Εισαγωγής'!$B$2,C3228)),MAX($B$1:B3227)+1,0)</f>
        <v>0</v>
      </c>
      <c r="D3228" s="33">
        <f>IF(ISNUMBER(SEARCH('Φόρμα Εισαγωγής'!$C$2,E3228)),MAX($D$1:D3227)+1,0)</f>
        <v>0</v>
      </c>
      <c r="H3228" s="6">
        <f t="shared" si="161"/>
        <v>0</v>
      </c>
      <c r="I3228" s="6">
        <f t="shared" si="162"/>
        <v>0</v>
      </c>
      <c r="J3228" s="6">
        <f t="shared" si="163"/>
        <v>0</v>
      </c>
      <c r="L3228" s="4" t="str">
        <f>IFERROR(VLOOKUP(ROWS($L$2:L3228),$B$2:$C$1996,2,0),"")</f>
        <v/>
      </c>
      <c r="N3228" s="2" t="str">
        <f>IFERROR(VLOOKUP(ROWS($N$2:N3228),$D$2:$E$1996,2,0),"")</f>
        <v/>
      </c>
    </row>
    <row r="3229" spans="2:14">
      <c r="B3229" s="32">
        <f>IF(ISNUMBER(SEARCH('Φόρμα Εισαγωγής'!$B$2,C3229)),MAX($B$1:B3228)+1,0)</f>
        <v>0</v>
      </c>
      <c r="D3229" s="33">
        <f>IF(ISNUMBER(SEARCH('Φόρμα Εισαγωγής'!$C$2,E3229)),MAX($D$1:D3228)+1,0)</f>
        <v>0</v>
      </c>
      <c r="H3229" s="6">
        <f t="shared" si="161"/>
        <v>0</v>
      </c>
      <c r="I3229" s="6">
        <f t="shared" si="162"/>
        <v>0</v>
      </c>
      <c r="J3229" s="6">
        <f t="shared" si="163"/>
        <v>0</v>
      </c>
      <c r="L3229" s="4" t="str">
        <f>IFERROR(VLOOKUP(ROWS($L$2:L3229),$B$2:$C$1996,2,0),"")</f>
        <v/>
      </c>
      <c r="N3229" s="2" t="str">
        <f>IFERROR(VLOOKUP(ROWS($N$2:N3229),$D$2:$E$1996,2,0),"")</f>
        <v/>
      </c>
    </row>
    <row r="3230" spans="2:14">
      <c r="B3230" s="32">
        <f>IF(ISNUMBER(SEARCH('Φόρμα Εισαγωγής'!$B$2,C3230)),MAX($B$1:B3229)+1,0)</f>
        <v>0</v>
      </c>
      <c r="D3230" s="33">
        <f>IF(ISNUMBER(SEARCH('Φόρμα Εισαγωγής'!$C$2,E3230)),MAX($D$1:D3229)+1,0)</f>
        <v>0</v>
      </c>
      <c r="H3230" s="6">
        <f t="shared" si="161"/>
        <v>0</v>
      </c>
      <c r="I3230" s="6">
        <f t="shared" si="162"/>
        <v>0</v>
      </c>
      <c r="J3230" s="6">
        <f t="shared" si="163"/>
        <v>0</v>
      </c>
      <c r="L3230" s="4" t="str">
        <f>IFERROR(VLOOKUP(ROWS($L$2:L3230),$B$2:$C$1996,2,0),"")</f>
        <v/>
      </c>
      <c r="N3230" s="2" t="str">
        <f>IFERROR(VLOOKUP(ROWS($N$2:N3230),$D$2:$E$1996,2,0),"")</f>
        <v/>
      </c>
    </row>
    <row r="3231" spans="2:14">
      <c r="B3231" s="32">
        <f>IF(ISNUMBER(SEARCH('Φόρμα Εισαγωγής'!$B$2,C3231)),MAX($B$1:B3230)+1,0)</f>
        <v>0</v>
      </c>
      <c r="D3231" s="33">
        <f>IF(ISNUMBER(SEARCH('Φόρμα Εισαγωγής'!$C$2,E3231)),MAX($D$1:D3230)+1,0)</f>
        <v>0</v>
      </c>
      <c r="H3231" s="6">
        <f t="shared" si="161"/>
        <v>0</v>
      </c>
      <c r="I3231" s="6">
        <f t="shared" si="162"/>
        <v>0</v>
      </c>
      <c r="J3231" s="6">
        <f t="shared" si="163"/>
        <v>0</v>
      </c>
      <c r="L3231" s="4" t="str">
        <f>IFERROR(VLOOKUP(ROWS($L$2:L3231),$B$2:$C$1996,2,0),"")</f>
        <v/>
      </c>
      <c r="N3231" s="2" t="str">
        <f>IFERROR(VLOOKUP(ROWS($N$2:N3231),$D$2:$E$1996,2,0),"")</f>
        <v/>
      </c>
    </row>
    <row r="3232" spans="2:14">
      <c r="B3232" s="32">
        <f>IF(ISNUMBER(SEARCH('Φόρμα Εισαγωγής'!$B$2,C3232)),MAX($B$1:B3231)+1,0)</f>
        <v>0</v>
      </c>
      <c r="D3232" s="33">
        <f>IF(ISNUMBER(SEARCH('Φόρμα Εισαγωγής'!$C$2,E3232)),MAX($D$1:D3231)+1,0)</f>
        <v>0</v>
      </c>
      <c r="H3232" s="6">
        <f t="shared" si="161"/>
        <v>0</v>
      </c>
      <c r="I3232" s="6">
        <f t="shared" si="162"/>
        <v>0</v>
      </c>
      <c r="J3232" s="6">
        <f t="shared" si="163"/>
        <v>0</v>
      </c>
      <c r="L3232" s="4" t="str">
        <f>IFERROR(VLOOKUP(ROWS($L$2:L3232),$B$2:$C$1996,2,0),"")</f>
        <v/>
      </c>
      <c r="N3232" s="2" t="str">
        <f>IFERROR(VLOOKUP(ROWS($N$2:N3232),$D$2:$E$1996,2,0),"")</f>
        <v/>
      </c>
    </row>
    <row r="3233" spans="2:14">
      <c r="B3233" s="32">
        <f>IF(ISNUMBER(SEARCH('Φόρμα Εισαγωγής'!$B$2,C3233)),MAX($B$1:B3232)+1,0)</f>
        <v>0</v>
      </c>
      <c r="D3233" s="33">
        <f>IF(ISNUMBER(SEARCH('Φόρμα Εισαγωγής'!$C$2,E3233)),MAX($D$1:D3232)+1,0)</f>
        <v>0</v>
      </c>
      <c r="H3233" s="6">
        <f t="shared" si="161"/>
        <v>0</v>
      </c>
      <c r="I3233" s="6">
        <f t="shared" si="162"/>
        <v>0</v>
      </c>
      <c r="J3233" s="6">
        <f t="shared" si="163"/>
        <v>0</v>
      </c>
      <c r="L3233" s="4" t="str">
        <f>IFERROR(VLOOKUP(ROWS($L$2:L3233),$B$2:$C$1996,2,0),"")</f>
        <v/>
      </c>
      <c r="N3233" s="2" t="str">
        <f>IFERROR(VLOOKUP(ROWS($N$2:N3233),$D$2:$E$1996,2,0),"")</f>
        <v/>
      </c>
    </row>
    <row r="3234" spans="2:14">
      <c r="B3234" s="32">
        <f>IF(ISNUMBER(SEARCH('Φόρμα Εισαγωγής'!$B$2,C3234)),MAX($B$1:B3233)+1,0)</f>
        <v>0</v>
      </c>
      <c r="D3234" s="33">
        <f>IF(ISNUMBER(SEARCH('Φόρμα Εισαγωγής'!$C$2,E3234)),MAX($D$1:D3233)+1,0)</f>
        <v>0</v>
      </c>
      <c r="H3234" s="6">
        <f t="shared" si="161"/>
        <v>0</v>
      </c>
      <c r="I3234" s="6">
        <f t="shared" si="162"/>
        <v>0</v>
      </c>
      <c r="J3234" s="6">
        <f t="shared" si="163"/>
        <v>0</v>
      </c>
      <c r="L3234" s="4" t="str">
        <f>IFERROR(VLOOKUP(ROWS($L$2:L3234),$B$2:$C$1996,2,0),"")</f>
        <v/>
      </c>
      <c r="N3234" s="2" t="str">
        <f>IFERROR(VLOOKUP(ROWS($N$2:N3234),$D$2:$E$1996,2,0),"")</f>
        <v/>
      </c>
    </row>
    <row r="3235" spans="2:14">
      <c r="B3235" s="32">
        <f>IF(ISNUMBER(SEARCH('Φόρμα Εισαγωγής'!$B$2,C3235)),MAX($B$1:B3234)+1,0)</f>
        <v>0</v>
      </c>
      <c r="D3235" s="33">
        <f>IF(ISNUMBER(SEARCH('Φόρμα Εισαγωγής'!$C$2,E3235)),MAX($D$1:D3234)+1,0)</f>
        <v>0</v>
      </c>
      <c r="H3235" s="6">
        <f t="shared" si="161"/>
        <v>0</v>
      </c>
      <c r="I3235" s="6">
        <f t="shared" si="162"/>
        <v>0</v>
      </c>
      <c r="J3235" s="6">
        <f t="shared" si="163"/>
        <v>0</v>
      </c>
      <c r="L3235" s="4" t="str">
        <f>IFERROR(VLOOKUP(ROWS($L$2:L3235),$B$2:$C$1996,2,0),"")</f>
        <v/>
      </c>
      <c r="N3235" s="2" t="str">
        <f>IFERROR(VLOOKUP(ROWS($N$2:N3235),$D$2:$E$1996,2,0),"")</f>
        <v/>
      </c>
    </row>
    <row r="3236" spans="2:14">
      <c r="B3236" s="32">
        <f>IF(ISNUMBER(SEARCH('Φόρμα Εισαγωγής'!$B$2,C3236)),MAX($B$1:B3235)+1,0)</f>
        <v>0</v>
      </c>
      <c r="D3236" s="33">
        <f>IF(ISNUMBER(SEARCH('Φόρμα Εισαγωγής'!$C$2,E3236)),MAX($D$1:D3235)+1,0)</f>
        <v>0</v>
      </c>
      <c r="H3236" s="6">
        <f t="shared" si="161"/>
        <v>0</v>
      </c>
      <c r="I3236" s="6">
        <f t="shared" si="162"/>
        <v>0</v>
      </c>
      <c r="J3236" s="6">
        <f t="shared" si="163"/>
        <v>0</v>
      </c>
      <c r="L3236" s="4" t="str">
        <f>IFERROR(VLOOKUP(ROWS($L$2:L3236),$B$2:$C$1996,2,0),"")</f>
        <v/>
      </c>
      <c r="N3236" s="2" t="str">
        <f>IFERROR(VLOOKUP(ROWS($N$2:N3236),$D$2:$E$1996,2,0),"")</f>
        <v/>
      </c>
    </row>
    <row r="3237" spans="2:14">
      <c r="B3237" s="32">
        <f>IF(ISNUMBER(SEARCH('Φόρμα Εισαγωγής'!$B$2,C3237)),MAX($B$1:B3236)+1,0)</f>
        <v>0</v>
      </c>
      <c r="D3237" s="33">
        <f>IF(ISNUMBER(SEARCH('Φόρμα Εισαγωγής'!$C$2,E3237)),MAX($D$1:D3236)+1,0)</f>
        <v>0</v>
      </c>
      <c r="H3237" s="6">
        <f t="shared" si="161"/>
        <v>0</v>
      </c>
      <c r="I3237" s="6">
        <f t="shared" si="162"/>
        <v>0</v>
      </c>
      <c r="J3237" s="6">
        <f t="shared" si="163"/>
        <v>0</v>
      </c>
      <c r="L3237" s="4" t="str">
        <f>IFERROR(VLOOKUP(ROWS($L$2:L3237),$B$2:$C$1996,2,0),"")</f>
        <v/>
      </c>
      <c r="N3237" s="2" t="str">
        <f>IFERROR(VLOOKUP(ROWS($N$2:N3237),$D$2:$E$1996,2,0),"")</f>
        <v/>
      </c>
    </row>
    <row r="3238" spans="2:14">
      <c r="B3238" s="32">
        <f>IF(ISNUMBER(SEARCH('Φόρμα Εισαγωγής'!$B$2,C3238)),MAX($B$1:B3237)+1,0)</f>
        <v>0</v>
      </c>
      <c r="D3238" s="33">
        <f>IF(ISNUMBER(SEARCH('Φόρμα Εισαγωγής'!$C$2,E3238)),MAX($D$1:D3237)+1,0)</f>
        <v>0</v>
      </c>
      <c r="H3238" s="6">
        <f t="shared" si="161"/>
        <v>0</v>
      </c>
      <c r="I3238" s="6">
        <f t="shared" si="162"/>
        <v>0</v>
      </c>
      <c r="J3238" s="6">
        <f t="shared" si="163"/>
        <v>0</v>
      </c>
      <c r="L3238" s="4" t="str">
        <f>IFERROR(VLOOKUP(ROWS($L$2:L3238),$B$2:$C$1996,2,0),"")</f>
        <v/>
      </c>
      <c r="N3238" s="2" t="str">
        <f>IFERROR(VLOOKUP(ROWS($N$2:N3238),$D$2:$E$1996,2,0),"")</f>
        <v/>
      </c>
    </row>
    <row r="3239" spans="2:14">
      <c r="B3239" s="32">
        <f>IF(ISNUMBER(SEARCH('Φόρμα Εισαγωγής'!$B$2,C3239)),MAX($B$1:B3238)+1,0)</f>
        <v>0</v>
      </c>
      <c r="D3239" s="33">
        <f>IF(ISNUMBER(SEARCH('Φόρμα Εισαγωγής'!$C$2,E3239)),MAX($D$1:D3238)+1,0)</f>
        <v>0</v>
      </c>
      <c r="H3239" s="6">
        <f t="shared" si="161"/>
        <v>0</v>
      </c>
      <c r="I3239" s="6">
        <f t="shared" si="162"/>
        <v>0</v>
      </c>
      <c r="J3239" s="6">
        <f t="shared" si="163"/>
        <v>0</v>
      </c>
      <c r="L3239" s="4" t="str">
        <f>IFERROR(VLOOKUP(ROWS($L$2:L3239),$B$2:$C$1996,2,0),"")</f>
        <v/>
      </c>
      <c r="N3239" s="2" t="str">
        <f>IFERROR(VLOOKUP(ROWS($N$2:N3239),$D$2:$E$1996,2,0),"")</f>
        <v/>
      </c>
    </row>
    <row r="3240" spans="2:14">
      <c r="B3240" s="32">
        <f>IF(ISNUMBER(SEARCH('Φόρμα Εισαγωγής'!$B$2,C3240)),MAX($B$1:B3239)+1,0)</f>
        <v>0</v>
      </c>
      <c r="D3240" s="33">
        <f>IF(ISNUMBER(SEARCH('Φόρμα Εισαγωγής'!$C$2,E3240)),MAX($D$1:D3239)+1,0)</f>
        <v>0</v>
      </c>
      <c r="H3240" s="6">
        <f t="shared" si="161"/>
        <v>0</v>
      </c>
      <c r="I3240" s="6">
        <f t="shared" si="162"/>
        <v>0</v>
      </c>
      <c r="J3240" s="6">
        <f t="shared" si="163"/>
        <v>0</v>
      </c>
      <c r="L3240" s="4" t="str">
        <f>IFERROR(VLOOKUP(ROWS($L$2:L3240),$B$2:$C$1996,2,0),"")</f>
        <v/>
      </c>
      <c r="N3240" s="2" t="str">
        <f>IFERROR(VLOOKUP(ROWS($N$2:N3240),$D$2:$E$1996,2,0),"")</f>
        <v/>
      </c>
    </row>
    <row r="3241" spans="2:14">
      <c r="B3241" s="32">
        <f>IF(ISNUMBER(SEARCH('Φόρμα Εισαγωγής'!$B$2,C3241)),MAX($B$1:B3240)+1,0)</f>
        <v>0</v>
      </c>
      <c r="D3241" s="33">
        <f>IF(ISNUMBER(SEARCH('Φόρμα Εισαγωγής'!$C$2,E3241)),MAX($D$1:D3240)+1,0)</f>
        <v>0</v>
      </c>
      <c r="H3241" s="6">
        <f t="shared" si="161"/>
        <v>0</v>
      </c>
      <c r="I3241" s="6">
        <f t="shared" si="162"/>
        <v>0</v>
      </c>
      <c r="J3241" s="6">
        <f t="shared" si="163"/>
        <v>0</v>
      </c>
      <c r="L3241" s="4" t="str">
        <f>IFERROR(VLOOKUP(ROWS($L$2:L3241),$B$2:$C$1996,2,0),"")</f>
        <v/>
      </c>
      <c r="N3241" s="2" t="str">
        <f>IFERROR(VLOOKUP(ROWS($N$2:N3241),$D$2:$E$1996,2,0),"")</f>
        <v/>
      </c>
    </row>
    <row r="3242" spans="2:14">
      <c r="B3242" s="32">
        <f>IF(ISNUMBER(SEARCH('Φόρμα Εισαγωγής'!$B$2,C3242)),MAX($B$1:B3241)+1,0)</f>
        <v>0</v>
      </c>
      <c r="D3242" s="33">
        <f>IF(ISNUMBER(SEARCH('Φόρμα Εισαγωγής'!$C$2,E3242)),MAX($D$1:D3241)+1,0)</f>
        <v>0</v>
      </c>
      <c r="H3242" s="6">
        <f t="shared" si="161"/>
        <v>0</v>
      </c>
      <c r="I3242" s="6">
        <f t="shared" si="162"/>
        <v>0</v>
      </c>
      <c r="J3242" s="6">
        <f t="shared" si="163"/>
        <v>0</v>
      </c>
      <c r="L3242" s="4" t="str">
        <f>IFERROR(VLOOKUP(ROWS($L$2:L3242),$B$2:$C$1996,2,0),"")</f>
        <v/>
      </c>
      <c r="N3242" s="2" t="str">
        <f>IFERROR(VLOOKUP(ROWS($N$2:N3242),$D$2:$E$1996,2,0),"")</f>
        <v/>
      </c>
    </row>
    <row r="3243" spans="2:14">
      <c r="B3243" s="32">
        <f>IF(ISNUMBER(SEARCH('Φόρμα Εισαγωγής'!$B$2,C3243)),MAX($B$1:B3242)+1,0)</f>
        <v>0</v>
      </c>
      <c r="D3243" s="33">
        <f>IF(ISNUMBER(SEARCH('Φόρμα Εισαγωγής'!$C$2,E3243)),MAX($D$1:D3242)+1,0)</f>
        <v>0</v>
      </c>
      <c r="H3243" s="6">
        <f t="shared" si="161"/>
        <v>0</v>
      </c>
      <c r="I3243" s="6">
        <f t="shared" si="162"/>
        <v>0</v>
      </c>
      <c r="J3243" s="6">
        <f t="shared" si="163"/>
        <v>0</v>
      </c>
      <c r="L3243" s="4" t="str">
        <f>IFERROR(VLOOKUP(ROWS($L$2:L3243),$B$2:$C$1996,2,0),"")</f>
        <v/>
      </c>
      <c r="N3243" s="2" t="str">
        <f>IFERROR(VLOOKUP(ROWS($N$2:N3243),$D$2:$E$1996,2,0),"")</f>
        <v/>
      </c>
    </row>
    <row r="3244" spans="2:14">
      <c r="B3244" s="32">
        <f>IF(ISNUMBER(SEARCH('Φόρμα Εισαγωγής'!$B$2,C3244)),MAX($B$1:B3243)+1,0)</f>
        <v>0</v>
      </c>
      <c r="D3244" s="33">
        <f>IF(ISNUMBER(SEARCH('Φόρμα Εισαγωγής'!$C$2,E3244)),MAX($D$1:D3243)+1,0)</f>
        <v>0</v>
      </c>
      <c r="H3244" s="6">
        <f t="shared" si="161"/>
        <v>0</v>
      </c>
      <c r="I3244" s="6">
        <f t="shared" si="162"/>
        <v>0</v>
      </c>
      <c r="J3244" s="6">
        <f t="shared" si="163"/>
        <v>0</v>
      </c>
      <c r="L3244" s="4" t="str">
        <f>IFERROR(VLOOKUP(ROWS($L$2:L3244),$B$2:$C$1996,2,0),"")</f>
        <v/>
      </c>
      <c r="N3244" s="2" t="str">
        <f>IFERROR(VLOOKUP(ROWS($N$2:N3244),$D$2:$E$1996,2,0),"")</f>
        <v/>
      </c>
    </row>
    <row r="3245" spans="2:14">
      <c r="B3245" s="32">
        <f>IF(ISNUMBER(SEARCH('Φόρμα Εισαγωγής'!$B$2,C3245)),MAX($B$1:B3244)+1,0)</f>
        <v>0</v>
      </c>
      <c r="D3245" s="33">
        <f>IF(ISNUMBER(SEARCH('Φόρμα Εισαγωγής'!$C$2,E3245)),MAX($D$1:D3244)+1,0)</f>
        <v>0</v>
      </c>
      <c r="H3245" s="6">
        <f t="shared" si="161"/>
        <v>0</v>
      </c>
      <c r="I3245" s="6">
        <f t="shared" si="162"/>
        <v>0</v>
      </c>
      <c r="J3245" s="6">
        <f t="shared" si="163"/>
        <v>0</v>
      </c>
      <c r="L3245" s="4" t="str">
        <f>IFERROR(VLOOKUP(ROWS($L$2:L3245),$B$2:$C$1996,2,0),"")</f>
        <v/>
      </c>
      <c r="N3245" s="2" t="str">
        <f>IFERROR(VLOOKUP(ROWS($N$2:N3245),$D$2:$E$1996,2,0),"")</f>
        <v/>
      </c>
    </row>
    <row r="3246" spans="2:14">
      <c r="B3246" s="32">
        <f>IF(ISNUMBER(SEARCH('Φόρμα Εισαγωγής'!$B$2,C3246)),MAX($B$1:B3245)+1,0)</f>
        <v>0</v>
      </c>
      <c r="D3246" s="33">
        <f>IF(ISNUMBER(SEARCH('Φόρμα Εισαγωγής'!$C$2,E3246)),MAX($D$1:D3245)+1,0)</f>
        <v>0</v>
      </c>
      <c r="H3246" s="6">
        <f t="shared" si="161"/>
        <v>0</v>
      </c>
      <c r="I3246" s="6">
        <f t="shared" si="162"/>
        <v>0</v>
      </c>
      <c r="J3246" s="6">
        <f t="shared" si="163"/>
        <v>0</v>
      </c>
      <c r="L3246" s="4" t="str">
        <f>IFERROR(VLOOKUP(ROWS($L$2:L3246),$B$2:$C$1996,2,0),"")</f>
        <v/>
      </c>
      <c r="N3246" s="2" t="str">
        <f>IFERROR(VLOOKUP(ROWS($N$2:N3246),$D$2:$E$1996,2,0),"")</f>
        <v/>
      </c>
    </row>
    <row r="3247" spans="2:14">
      <c r="B3247" s="32">
        <f>IF(ISNUMBER(SEARCH('Φόρμα Εισαγωγής'!$B$2,C3247)),MAX($B$1:B3246)+1,0)</f>
        <v>0</v>
      </c>
      <c r="D3247" s="33">
        <f>IF(ISNUMBER(SEARCH('Φόρμα Εισαγωγής'!$C$2,E3247)),MAX($D$1:D3246)+1,0)</f>
        <v>0</v>
      </c>
      <c r="H3247" s="6">
        <f t="shared" si="161"/>
        <v>0</v>
      </c>
      <c r="I3247" s="6">
        <f t="shared" si="162"/>
        <v>0</v>
      </c>
      <c r="J3247" s="6">
        <f t="shared" si="163"/>
        <v>0</v>
      </c>
      <c r="L3247" s="4" t="str">
        <f>IFERROR(VLOOKUP(ROWS($L$2:L3247),$B$2:$C$1996,2,0),"")</f>
        <v/>
      </c>
      <c r="N3247" s="2" t="str">
        <f>IFERROR(VLOOKUP(ROWS($N$2:N3247),$D$2:$E$1996,2,0),"")</f>
        <v/>
      </c>
    </row>
    <row r="3248" spans="2:14">
      <c r="B3248" s="32">
        <f>IF(ISNUMBER(SEARCH('Φόρμα Εισαγωγής'!$B$2,C3248)),MAX($B$1:B3247)+1,0)</f>
        <v>0</v>
      </c>
      <c r="D3248" s="33">
        <f>IF(ISNUMBER(SEARCH('Φόρμα Εισαγωγής'!$C$2,E3248)),MAX($D$1:D3247)+1,0)</f>
        <v>0</v>
      </c>
      <c r="H3248" s="6">
        <f t="shared" si="161"/>
        <v>0</v>
      </c>
      <c r="I3248" s="6">
        <f t="shared" si="162"/>
        <v>0</v>
      </c>
      <c r="J3248" s="6">
        <f t="shared" si="163"/>
        <v>0</v>
      </c>
      <c r="L3248" s="4" t="str">
        <f>IFERROR(VLOOKUP(ROWS($L$2:L3248),$B$2:$C$1996,2,0),"")</f>
        <v/>
      </c>
      <c r="N3248" s="2" t="str">
        <f>IFERROR(VLOOKUP(ROWS($N$2:N3248),$D$2:$E$1996,2,0),"")</f>
        <v/>
      </c>
    </row>
    <row r="3249" spans="2:14">
      <c r="B3249" s="32">
        <f>IF(ISNUMBER(SEARCH('Φόρμα Εισαγωγής'!$B$2,C3249)),MAX($B$1:B3248)+1,0)</f>
        <v>0</v>
      </c>
      <c r="D3249" s="33">
        <f>IF(ISNUMBER(SEARCH('Φόρμα Εισαγωγής'!$C$2,E3249)),MAX($D$1:D3248)+1,0)</f>
        <v>0</v>
      </c>
      <c r="H3249" s="6">
        <f t="shared" si="161"/>
        <v>0</v>
      </c>
      <c r="I3249" s="6">
        <f t="shared" si="162"/>
        <v>0</v>
      </c>
      <c r="J3249" s="6">
        <f t="shared" si="163"/>
        <v>0</v>
      </c>
      <c r="L3249" s="4" t="str">
        <f>IFERROR(VLOOKUP(ROWS($L$2:L3249),$B$2:$C$1996,2,0),"")</f>
        <v/>
      </c>
      <c r="N3249" s="2" t="str">
        <f>IFERROR(VLOOKUP(ROWS($N$2:N3249),$D$2:$E$1996,2,0),"")</f>
        <v/>
      </c>
    </row>
    <row r="3250" spans="2:14">
      <c r="B3250" s="32">
        <f>IF(ISNUMBER(SEARCH('Φόρμα Εισαγωγής'!$B$2,C3250)),MAX($B$1:B3249)+1,0)</f>
        <v>0</v>
      </c>
      <c r="D3250" s="33">
        <f>IF(ISNUMBER(SEARCH('Φόρμα Εισαγωγής'!$C$2,E3250)),MAX($D$1:D3249)+1,0)</f>
        <v>0</v>
      </c>
      <c r="H3250" s="6">
        <f t="shared" si="161"/>
        <v>0</v>
      </c>
      <c r="I3250" s="6">
        <f t="shared" si="162"/>
        <v>0</v>
      </c>
      <c r="J3250" s="6">
        <f t="shared" si="163"/>
        <v>0</v>
      </c>
      <c r="L3250" s="4" t="str">
        <f>IFERROR(VLOOKUP(ROWS($L$2:L3250),$B$2:$C$1996,2,0),"")</f>
        <v/>
      </c>
      <c r="N3250" s="2" t="str">
        <f>IFERROR(VLOOKUP(ROWS($N$2:N3250),$D$2:$E$1996,2,0),"")</f>
        <v/>
      </c>
    </row>
    <row r="3251" spans="2:14">
      <c r="B3251" s="32">
        <f>IF(ISNUMBER(SEARCH('Φόρμα Εισαγωγής'!$B$2,C3251)),MAX($B$1:B3250)+1,0)</f>
        <v>0</v>
      </c>
      <c r="D3251" s="33">
        <f>IF(ISNUMBER(SEARCH('Φόρμα Εισαγωγής'!$C$2,E3251)),MAX($D$1:D3250)+1,0)</f>
        <v>0</v>
      </c>
      <c r="H3251" s="6">
        <f t="shared" si="161"/>
        <v>0</v>
      </c>
      <c r="I3251" s="6">
        <f t="shared" si="162"/>
        <v>0</v>
      </c>
      <c r="J3251" s="6">
        <f t="shared" si="163"/>
        <v>0</v>
      </c>
      <c r="L3251" s="4" t="str">
        <f>IFERROR(VLOOKUP(ROWS($L$2:L3251),$B$2:$C$1996,2,0),"")</f>
        <v/>
      </c>
      <c r="N3251" s="2" t="str">
        <f>IFERROR(VLOOKUP(ROWS($N$2:N3251),$D$2:$E$1996,2,0),"")</f>
        <v/>
      </c>
    </row>
    <row r="3252" spans="2:14">
      <c r="B3252" s="32">
        <f>IF(ISNUMBER(SEARCH('Φόρμα Εισαγωγής'!$B$2,C3252)),MAX($B$1:B3251)+1,0)</f>
        <v>0</v>
      </c>
      <c r="D3252" s="33">
        <f>IF(ISNUMBER(SEARCH('Φόρμα Εισαγωγής'!$C$2,E3252)),MAX($D$1:D3251)+1,0)</f>
        <v>0</v>
      </c>
      <c r="H3252" s="6">
        <f t="shared" si="161"/>
        <v>0</v>
      </c>
      <c r="I3252" s="6">
        <f t="shared" si="162"/>
        <v>0</v>
      </c>
      <c r="J3252" s="6">
        <f t="shared" si="163"/>
        <v>0</v>
      </c>
      <c r="L3252" s="4" t="str">
        <f>IFERROR(VLOOKUP(ROWS($L$2:L3252),$B$2:$C$1996,2,0),"")</f>
        <v/>
      </c>
      <c r="N3252" s="2" t="str">
        <f>IFERROR(VLOOKUP(ROWS($N$2:N3252),$D$2:$E$1996,2,0),"")</f>
        <v/>
      </c>
    </row>
    <row r="3253" spans="2:14">
      <c r="B3253" s="32">
        <f>IF(ISNUMBER(SEARCH('Φόρμα Εισαγωγής'!$B$2,C3253)),MAX($B$1:B3252)+1,0)</f>
        <v>0</v>
      </c>
      <c r="D3253" s="33">
        <f>IF(ISNUMBER(SEARCH('Φόρμα Εισαγωγής'!$C$2,E3253)),MAX($D$1:D3252)+1,0)</f>
        <v>0</v>
      </c>
      <c r="H3253" s="6">
        <f t="shared" si="161"/>
        <v>0</v>
      </c>
      <c r="I3253" s="6">
        <f t="shared" si="162"/>
        <v>0</v>
      </c>
      <c r="J3253" s="6">
        <f t="shared" si="163"/>
        <v>0</v>
      </c>
      <c r="L3253" s="4" t="str">
        <f>IFERROR(VLOOKUP(ROWS($L$2:L3253),$B$2:$C$1996,2,0),"")</f>
        <v/>
      </c>
      <c r="N3253" s="2" t="str">
        <f>IFERROR(VLOOKUP(ROWS($N$2:N3253),$D$2:$E$1996,2,0),"")</f>
        <v/>
      </c>
    </row>
    <row r="3254" spans="2:14">
      <c r="B3254" s="32">
        <f>IF(ISNUMBER(SEARCH('Φόρμα Εισαγωγής'!$B$2,C3254)),MAX($B$1:B3253)+1,0)</f>
        <v>0</v>
      </c>
      <c r="D3254" s="33">
        <f>IF(ISNUMBER(SEARCH('Φόρμα Εισαγωγής'!$C$2,E3254)),MAX($D$1:D3253)+1,0)</f>
        <v>0</v>
      </c>
      <c r="H3254" s="6">
        <f t="shared" si="161"/>
        <v>0</v>
      </c>
      <c r="I3254" s="6">
        <f t="shared" si="162"/>
        <v>0</v>
      </c>
      <c r="J3254" s="6">
        <f t="shared" si="163"/>
        <v>0</v>
      </c>
      <c r="L3254" s="4" t="str">
        <f>IFERROR(VLOOKUP(ROWS($L$2:L3254),$B$2:$C$1996,2,0),"")</f>
        <v/>
      </c>
      <c r="N3254" s="2" t="str">
        <f>IFERROR(VLOOKUP(ROWS($N$2:N3254),$D$2:$E$1996,2,0),"")</f>
        <v/>
      </c>
    </row>
    <row r="3255" spans="2:14">
      <c r="B3255" s="32">
        <f>IF(ISNUMBER(SEARCH('Φόρμα Εισαγωγής'!$B$2,C3255)),MAX($B$1:B3254)+1,0)</f>
        <v>0</v>
      </c>
      <c r="D3255" s="33">
        <f>IF(ISNUMBER(SEARCH('Φόρμα Εισαγωγής'!$C$2,E3255)),MAX($D$1:D3254)+1,0)</f>
        <v>0</v>
      </c>
      <c r="H3255" s="6">
        <f t="shared" si="161"/>
        <v>0</v>
      </c>
      <c r="I3255" s="6">
        <f t="shared" si="162"/>
        <v>0</v>
      </c>
      <c r="J3255" s="6">
        <f t="shared" si="163"/>
        <v>0</v>
      </c>
      <c r="L3255" s="4" t="str">
        <f>IFERROR(VLOOKUP(ROWS($L$2:L3255),$B$2:$C$1996,2,0),"")</f>
        <v/>
      </c>
      <c r="N3255" s="2" t="str">
        <f>IFERROR(VLOOKUP(ROWS($N$2:N3255),$D$2:$E$1996,2,0),"")</f>
        <v/>
      </c>
    </row>
    <row r="3256" spans="2:14">
      <c r="B3256" s="32">
        <f>IF(ISNUMBER(SEARCH('Φόρμα Εισαγωγής'!$B$2,C3256)),MAX($B$1:B3255)+1,0)</f>
        <v>0</v>
      </c>
      <c r="D3256" s="33">
        <f>IF(ISNUMBER(SEARCH('Φόρμα Εισαγωγής'!$C$2,E3256)),MAX($D$1:D3255)+1,0)</f>
        <v>0</v>
      </c>
      <c r="H3256" s="6">
        <f t="shared" si="161"/>
        <v>0</v>
      </c>
      <c r="I3256" s="6">
        <f t="shared" si="162"/>
        <v>0</v>
      </c>
      <c r="J3256" s="6">
        <f t="shared" si="163"/>
        <v>0</v>
      </c>
      <c r="L3256" s="4" t="str">
        <f>IFERROR(VLOOKUP(ROWS($L$2:L3256),$B$2:$C$1996,2,0),"")</f>
        <v/>
      </c>
      <c r="N3256" s="2" t="str">
        <f>IFERROR(VLOOKUP(ROWS($N$2:N3256),$D$2:$E$1996,2,0),"")</f>
        <v/>
      </c>
    </row>
    <row r="3257" spans="2:14">
      <c r="B3257" s="32">
        <f>IF(ISNUMBER(SEARCH('Φόρμα Εισαγωγής'!$B$2,C3257)),MAX($B$1:B3256)+1,0)</f>
        <v>0</v>
      </c>
      <c r="D3257" s="33">
        <f>IF(ISNUMBER(SEARCH('Φόρμα Εισαγωγής'!$C$2,E3257)),MAX($D$1:D3256)+1,0)</f>
        <v>0</v>
      </c>
      <c r="H3257" s="6">
        <f t="shared" si="161"/>
        <v>0</v>
      </c>
      <c r="I3257" s="6">
        <f t="shared" si="162"/>
        <v>0</v>
      </c>
      <c r="J3257" s="6">
        <f t="shared" si="163"/>
        <v>0</v>
      </c>
      <c r="L3257" s="4" t="str">
        <f>IFERROR(VLOOKUP(ROWS($L$2:L3257),$B$2:$C$1996,2,0),"")</f>
        <v/>
      </c>
      <c r="N3257" s="2" t="str">
        <f>IFERROR(VLOOKUP(ROWS($N$2:N3257),$D$2:$E$1996,2,0),"")</f>
        <v/>
      </c>
    </row>
    <row r="3258" spans="2:14">
      <c r="B3258" s="32">
        <f>IF(ISNUMBER(SEARCH('Φόρμα Εισαγωγής'!$B$2,C3258)),MAX($B$1:B3257)+1,0)</f>
        <v>0</v>
      </c>
      <c r="D3258" s="33">
        <f>IF(ISNUMBER(SEARCH('Φόρμα Εισαγωγής'!$C$2,E3258)),MAX($D$1:D3257)+1,0)</f>
        <v>0</v>
      </c>
      <c r="H3258" s="6">
        <f t="shared" si="161"/>
        <v>0</v>
      </c>
      <c r="I3258" s="6">
        <f t="shared" si="162"/>
        <v>0</v>
      </c>
      <c r="J3258" s="6">
        <f t="shared" si="163"/>
        <v>0</v>
      </c>
      <c r="L3258" s="4" t="str">
        <f>IFERROR(VLOOKUP(ROWS($L$2:L3258),$B$2:$C$1996,2,0),"")</f>
        <v/>
      </c>
      <c r="N3258" s="2" t="str">
        <f>IFERROR(VLOOKUP(ROWS($N$2:N3258),$D$2:$E$1996,2,0),"")</f>
        <v/>
      </c>
    </row>
    <row r="3259" spans="2:14">
      <c r="B3259" s="32">
        <f>IF(ISNUMBER(SEARCH('Φόρμα Εισαγωγής'!$B$2,C3259)),MAX($B$1:B3258)+1,0)</f>
        <v>0</v>
      </c>
      <c r="D3259" s="33">
        <f>IF(ISNUMBER(SEARCH('Φόρμα Εισαγωγής'!$C$2,E3259)),MAX($D$1:D3258)+1,0)</f>
        <v>0</v>
      </c>
      <c r="H3259" s="6">
        <f t="shared" si="161"/>
        <v>0</v>
      </c>
      <c r="I3259" s="6">
        <f t="shared" si="162"/>
        <v>0</v>
      </c>
      <c r="J3259" s="6">
        <f t="shared" si="163"/>
        <v>0</v>
      </c>
      <c r="L3259" s="4" t="str">
        <f>IFERROR(VLOOKUP(ROWS($L$2:L3259),$B$2:$C$1996,2,0),"")</f>
        <v/>
      </c>
      <c r="N3259" s="2" t="str">
        <f>IFERROR(VLOOKUP(ROWS($N$2:N3259),$D$2:$E$1996,2,0),"")</f>
        <v/>
      </c>
    </row>
    <row r="3260" spans="2:14">
      <c r="B3260" s="32">
        <f>IF(ISNUMBER(SEARCH('Φόρμα Εισαγωγής'!$B$2,C3260)),MAX($B$1:B3259)+1,0)</f>
        <v>0</v>
      </c>
      <c r="D3260" s="33">
        <f>IF(ISNUMBER(SEARCH('Φόρμα Εισαγωγής'!$C$2,E3260)),MAX($D$1:D3259)+1,0)</f>
        <v>0</v>
      </c>
      <c r="H3260" s="6">
        <f t="shared" si="161"/>
        <v>0</v>
      </c>
      <c r="I3260" s="6">
        <f t="shared" si="162"/>
        <v>0</v>
      </c>
      <c r="J3260" s="6">
        <f t="shared" si="163"/>
        <v>0</v>
      </c>
      <c r="L3260" s="4" t="str">
        <f>IFERROR(VLOOKUP(ROWS($L$2:L3260),$B$2:$C$1996,2,0),"")</f>
        <v/>
      </c>
      <c r="N3260" s="2" t="str">
        <f>IFERROR(VLOOKUP(ROWS($N$2:N3260),$D$2:$E$1996,2,0),"")</f>
        <v/>
      </c>
    </row>
    <row r="3261" spans="2:14">
      <c r="B3261" s="32">
        <f>IF(ISNUMBER(SEARCH('Φόρμα Εισαγωγής'!$B$2,C3261)),MAX($B$1:B3260)+1,0)</f>
        <v>0</v>
      </c>
      <c r="D3261" s="33">
        <f>IF(ISNUMBER(SEARCH('Φόρμα Εισαγωγής'!$C$2,E3261)),MAX($D$1:D3260)+1,0)</f>
        <v>0</v>
      </c>
      <c r="H3261" s="6">
        <f t="shared" si="161"/>
        <v>0</v>
      </c>
      <c r="I3261" s="6">
        <f t="shared" si="162"/>
        <v>0</v>
      </c>
      <c r="J3261" s="6">
        <f t="shared" si="163"/>
        <v>0</v>
      </c>
      <c r="L3261" s="4" t="str">
        <f>IFERROR(VLOOKUP(ROWS($L$2:L3261),$B$2:$C$1996,2,0),"")</f>
        <v/>
      </c>
      <c r="N3261" s="2" t="str">
        <f>IFERROR(VLOOKUP(ROWS($N$2:N3261),$D$2:$E$1996,2,0),"")</f>
        <v/>
      </c>
    </row>
    <row r="3262" spans="2:14">
      <c r="B3262" s="32">
        <f>IF(ISNUMBER(SEARCH('Φόρμα Εισαγωγής'!$B$2,C3262)),MAX($B$1:B3261)+1,0)</f>
        <v>0</v>
      </c>
      <c r="D3262" s="33">
        <f>IF(ISNUMBER(SEARCH('Φόρμα Εισαγωγής'!$C$2,E3262)),MAX($D$1:D3261)+1,0)</f>
        <v>0</v>
      </c>
      <c r="H3262" s="6">
        <f t="shared" si="161"/>
        <v>0</v>
      </c>
      <c r="I3262" s="6">
        <f t="shared" si="162"/>
        <v>0</v>
      </c>
      <c r="J3262" s="6">
        <f t="shared" si="163"/>
        <v>0</v>
      </c>
      <c r="L3262" s="4" t="str">
        <f>IFERROR(VLOOKUP(ROWS($L$2:L3262),$B$2:$C$1996,2,0),"")</f>
        <v/>
      </c>
      <c r="N3262" s="2" t="str">
        <f>IFERROR(VLOOKUP(ROWS($N$2:N3262),$D$2:$E$1996,2,0),"")</f>
        <v/>
      </c>
    </row>
    <row r="3263" spans="2:14">
      <c r="B3263" s="32">
        <f>IF(ISNUMBER(SEARCH('Φόρμα Εισαγωγής'!$B$2,C3263)),MAX($B$1:B3262)+1,0)</f>
        <v>0</v>
      </c>
      <c r="D3263" s="33">
        <f>IF(ISNUMBER(SEARCH('Φόρμα Εισαγωγής'!$C$2,E3263)),MAX($D$1:D3262)+1,0)</f>
        <v>0</v>
      </c>
      <c r="H3263" s="6">
        <f t="shared" si="161"/>
        <v>0</v>
      </c>
      <c r="I3263" s="6">
        <f t="shared" si="162"/>
        <v>0</v>
      </c>
      <c r="J3263" s="6">
        <f t="shared" si="163"/>
        <v>0</v>
      </c>
      <c r="L3263" s="4" t="str">
        <f>IFERROR(VLOOKUP(ROWS($L$2:L3263),$B$2:$C$1996,2,0),"")</f>
        <v/>
      </c>
      <c r="N3263" s="2" t="str">
        <f>IFERROR(VLOOKUP(ROWS($N$2:N3263),$D$2:$E$1996,2,0),"")</f>
        <v/>
      </c>
    </row>
    <row r="3264" spans="2:14">
      <c r="B3264" s="32">
        <f>IF(ISNUMBER(SEARCH('Φόρμα Εισαγωγής'!$B$2,C3264)),MAX($B$1:B3263)+1,0)</f>
        <v>0</v>
      </c>
      <c r="D3264" s="33">
        <f>IF(ISNUMBER(SEARCH('Φόρμα Εισαγωγής'!$C$2,E3264)),MAX($D$1:D3263)+1,0)</f>
        <v>0</v>
      </c>
      <c r="H3264" s="6">
        <f t="shared" ref="H3264:H3327" si="164">G3264+(G3264*0.24)</f>
        <v>0</v>
      </c>
      <c r="I3264" s="6">
        <f t="shared" ref="I3264:I3327" si="165">F3264*A3264</f>
        <v>0</v>
      </c>
      <c r="J3264" s="6">
        <f t="shared" ref="J3264:J3327" si="166">H3264*A3264</f>
        <v>0</v>
      </c>
      <c r="L3264" s="4" t="str">
        <f>IFERROR(VLOOKUP(ROWS($L$2:L3264),$B$2:$C$1996,2,0),"")</f>
        <v/>
      </c>
      <c r="N3264" s="2" t="str">
        <f>IFERROR(VLOOKUP(ROWS($N$2:N3264),$D$2:$E$1996,2,0),"")</f>
        <v/>
      </c>
    </row>
    <row r="3265" spans="2:14">
      <c r="B3265" s="32">
        <f>IF(ISNUMBER(SEARCH('Φόρμα Εισαγωγής'!$B$2,C3265)),MAX($B$1:B3264)+1,0)</f>
        <v>0</v>
      </c>
      <c r="D3265" s="33">
        <f>IF(ISNUMBER(SEARCH('Φόρμα Εισαγωγής'!$C$2,E3265)),MAX($D$1:D3264)+1,0)</f>
        <v>0</v>
      </c>
      <c r="H3265" s="6">
        <f t="shared" si="164"/>
        <v>0</v>
      </c>
      <c r="I3265" s="6">
        <f t="shared" si="165"/>
        <v>0</v>
      </c>
      <c r="J3265" s="6">
        <f t="shared" si="166"/>
        <v>0</v>
      </c>
      <c r="L3265" s="4" t="str">
        <f>IFERROR(VLOOKUP(ROWS($L$2:L3265),$B$2:$C$1996,2,0),"")</f>
        <v/>
      </c>
      <c r="N3265" s="2" t="str">
        <f>IFERROR(VLOOKUP(ROWS($N$2:N3265),$D$2:$E$1996,2,0),"")</f>
        <v/>
      </c>
    </row>
    <row r="3266" spans="2:14">
      <c r="B3266" s="32">
        <f>IF(ISNUMBER(SEARCH('Φόρμα Εισαγωγής'!$B$2,C3266)),MAX($B$1:B3265)+1,0)</f>
        <v>0</v>
      </c>
      <c r="D3266" s="33">
        <f>IF(ISNUMBER(SEARCH('Φόρμα Εισαγωγής'!$C$2,E3266)),MAX($D$1:D3265)+1,0)</f>
        <v>0</v>
      </c>
      <c r="H3266" s="6">
        <f t="shared" si="164"/>
        <v>0</v>
      </c>
      <c r="I3266" s="6">
        <f t="shared" si="165"/>
        <v>0</v>
      </c>
      <c r="J3266" s="6">
        <f t="shared" si="166"/>
        <v>0</v>
      </c>
      <c r="L3266" s="4" t="str">
        <f>IFERROR(VLOOKUP(ROWS($L$2:L3266),$B$2:$C$1996,2,0),"")</f>
        <v/>
      </c>
      <c r="N3266" s="2" t="str">
        <f>IFERROR(VLOOKUP(ROWS($N$2:N3266),$D$2:$E$1996,2,0),"")</f>
        <v/>
      </c>
    </row>
    <row r="3267" spans="2:14">
      <c r="B3267" s="32">
        <f>IF(ISNUMBER(SEARCH('Φόρμα Εισαγωγής'!$B$2,C3267)),MAX($B$1:B3266)+1,0)</f>
        <v>0</v>
      </c>
      <c r="D3267" s="33">
        <f>IF(ISNUMBER(SEARCH('Φόρμα Εισαγωγής'!$C$2,E3267)),MAX($D$1:D3266)+1,0)</f>
        <v>0</v>
      </c>
      <c r="H3267" s="6">
        <f t="shared" si="164"/>
        <v>0</v>
      </c>
      <c r="I3267" s="6">
        <f t="shared" si="165"/>
        <v>0</v>
      </c>
      <c r="J3267" s="6">
        <f t="shared" si="166"/>
        <v>0</v>
      </c>
      <c r="L3267" s="4" t="str">
        <f>IFERROR(VLOOKUP(ROWS($L$2:L3267),$B$2:$C$1996,2,0),"")</f>
        <v/>
      </c>
      <c r="N3267" s="2" t="str">
        <f>IFERROR(VLOOKUP(ROWS($N$2:N3267),$D$2:$E$1996,2,0),"")</f>
        <v/>
      </c>
    </row>
    <row r="3268" spans="2:14">
      <c r="B3268" s="32">
        <f>IF(ISNUMBER(SEARCH('Φόρμα Εισαγωγής'!$B$2,C3268)),MAX($B$1:B3267)+1,0)</f>
        <v>0</v>
      </c>
      <c r="D3268" s="33">
        <f>IF(ISNUMBER(SEARCH('Φόρμα Εισαγωγής'!$C$2,E3268)),MAX($D$1:D3267)+1,0)</f>
        <v>0</v>
      </c>
      <c r="H3268" s="6">
        <f t="shared" si="164"/>
        <v>0</v>
      </c>
      <c r="I3268" s="6">
        <f t="shared" si="165"/>
        <v>0</v>
      </c>
      <c r="J3268" s="6">
        <f t="shared" si="166"/>
        <v>0</v>
      </c>
      <c r="L3268" s="4" t="str">
        <f>IFERROR(VLOOKUP(ROWS($L$2:L3268),$B$2:$C$1996,2,0),"")</f>
        <v/>
      </c>
      <c r="N3268" s="2" t="str">
        <f>IFERROR(VLOOKUP(ROWS($N$2:N3268),$D$2:$E$1996,2,0),"")</f>
        <v/>
      </c>
    </row>
    <row r="3269" spans="2:14">
      <c r="B3269" s="32">
        <f>IF(ISNUMBER(SEARCH('Φόρμα Εισαγωγής'!$B$2,C3269)),MAX($B$1:B3268)+1,0)</f>
        <v>0</v>
      </c>
      <c r="D3269" s="33">
        <f>IF(ISNUMBER(SEARCH('Φόρμα Εισαγωγής'!$C$2,E3269)),MAX($D$1:D3268)+1,0)</f>
        <v>0</v>
      </c>
      <c r="H3269" s="6">
        <f t="shared" si="164"/>
        <v>0</v>
      </c>
      <c r="I3269" s="6">
        <f t="shared" si="165"/>
        <v>0</v>
      </c>
      <c r="J3269" s="6">
        <f t="shared" si="166"/>
        <v>0</v>
      </c>
      <c r="L3269" s="4" t="str">
        <f>IFERROR(VLOOKUP(ROWS($L$2:L3269),$B$2:$C$1996,2,0),"")</f>
        <v/>
      </c>
      <c r="N3269" s="2" t="str">
        <f>IFERROR(VLOOKUP(ROWS($N$2:N3269),$D$2:$E$1996,2,0),"")</f>
        <v/>
      </c>
    </row>
    <row r="3270" spans="2:14">
      <c r="B3270" s="32">
        <f>IF(ISNUMBER(SEARCH('Φόρμα Εισαγωγής'!$B$2,C3270)),MAX($B$1:B3269)+1,0)</f>
        <v>0</v>
      </c>
      <c r="D3270" s="33">
        <f>IF(ISNUMBER(SEARCH('Φόρμα Εισαγωγής'!$C$2,E3270)),MAX($D$1:D3269)+1,0)</f>
        <v>0</v>
      </c>
      <c r="H3270" s="6">
        <f t="shared" si="164"/>
        <v>0</v>
      </c>
      <c r="I3270" s="6">
        <f t="shared" si="165"/>
        <v>0</v>
      </c>
      <c r="J3270" s="6">
        <f t="shared" si="166"/>
        <v>0</v>
      </c>
      <c r="L3270" s="4" t="str">
        <f>IFERROR(VLOOKUP(ROWS($L$2:L3270),$B$2:$C$1996,2,0),"")</f>
        <v/>
      </c>
      <c r="N3270" s="2" t="str">
        <f>IFERROR(VLOOKUP(ROWS($N$2:N3270),$D$2:$E$1996,2,0),"")</f>
        <v/>
      </c>
    </row>
    <row r="3271" spans="2:14">
      <c r="B3271" s="32">
        <f>IF(ISNUMBER(SEARCH('Φόρμα Εισαγωγής'!$B$2,C3271)),MAX($B$1:B3270)+1,0)</f>
        <v>0</v>
      </c>
      <c r="D3271" s="33">
        <f>IF(ISNUMBER(SEARCH('Φόρμα Εισαγωγής'!$C$2,E3271)),MAX($D$1:D3270)+1,0)</f>
        <v>0</v>
      </c>
      <c r="H3271" s="6">
        <f t="shared" si="164"/>
        <v>0</v>
      </c>
      <c r="I3271" s="6">
        <f t="shared" si="165"/>
        <v>0</v>
      </c>
      <c r="J3271" s="6">
        <f t="shared" si="166"/>
        <v>0</v>
      </c>
      <c r="L3271" s="4" t="str">
        <f>IFERROR(VLOOKUP(ROWS($L$2:L3271),$B$2:$C$1996,2,0),"")</f>
        <v/>
      </c>
      <c r="N3271" s="2" t="str">
        <f>IFERROR(VLOOKUP(ROWS($N$2:N3271),$D$2:$E$1996,2,0),"")</f>
        <v/>
      </c>
    </row>
    <row r="3272" spans="2:14">
      <c r="B3272" s="32">
        <f>IF(ISNUMBER(SEARCH('Φόρμα Εισαγωγής'!$B$2,C3272)),MAX($B$1:B3271)+1,0)</f>
        <v>0</v>
      </c>
      <c r="D3272" s="33">
        <f>IF(ISNUMBER(SEARCH('Φόρμα Εισαγωγής'!$C$2,E3272)),MAX($D$1:D3271)+1,0)</f>
        <v>0</v>
      </c>
      <c r="H3272" s="6">
        <f t="shared" si="164"/>
        <v>0</v>
      </c>
      <c r="I3272" s="6">
        <f t="shared" si="165"/>
        <v>0</v>
      </c>
      <c r="J3272" s="6">
        <f t="shared" si="166"/>
        <v>0</v>
      </c>
      <c r="L3272" s="4" t="str">
        <f>IFERROR(VLOOKUP(ROWS($L$2:L3272),$B$2:$C$1996,2,0),"")</f>
        <v/>
      </c>
      <c r="N3272" s="2" t="str">
        <f>IFERROR(VLOOKUP(ROWS($N$2:N3272),$D$2:$E$1996,2,0),"")</f>
        <v/>
      </c>
    </row>
    <row r="3273" spans="2:14">
      <c r="B3273" s="32">
        <f>IF(ISNUMBER(SEARCH('Φόρμα Εισαγωγής'!$B$2,C3273)),MAX($B$1:B3272)+1,0)</f>
        <v>0</v>
      </c>
      <c r="D3273" s="33">
        <f>IF(ISNUMBER(SEARCH('Φόρμα Εισαγωγής'!$C$2,E3273)),MAX($D$1:D3272)+1,0)</f>
        <v>0</v>
      </c>
      <c r="H3273" s="6">
        <f t="shared" si="164"/>
        <v>0</v>
      </c>
      <c r="I3273" s="6">
        <f t="shared" si="165"/>
        <v>0</v>
      </c>
      <c r="J3273" s="6">
        <f t="shared" si="166"/>
        <v>0</v>
      </c>
      <c r="L3273" s="4" t="str">
        <f>IFERROR(VLOOKUP(ROWS($L$2:L3273),$B$2:$C$1996,2,0),"")</f>
        <v/>
      </c>
      <c r="N3273" s="2" t="str">
        <f>IFERROR(VLOOKUP(ROWS($N$2:N3273),$D$2:$E$1996,2,0),"")</f>
        <v/>
      </c>
    </row>
    <row r="3274" spans="2:14">
      <c r="B3274" s="32">
        <f>IF(ISNUMBER(SEARCH('Φόρμα Εισαγωγής'!$B$2,C3274)),MAX($B$1:B3273)+1,0)</f>
        <v>0</v>
      </c>
      <c r="D3274" s="33">
        <f>IF(ISNUMBER(SEARCH('Φόρμα Εισαγωγής'!$C$2,E3274)),MAX($D$1:D3273)+1,0)</f>
        <v>0</v>
      </c>
      <c r="H3274" s="6">
        <f t="shared" si="164"/>
        <v>0</v>
      </c>
      <c r="I3274" s="6">
        <f t="shared" si="165"/>
        <v>0</v>
      </c>
      <c r="J3274" s="6">
        <f t="shared" si="166"/>
        <v>0</v>
      </c>
      <c r="L3274" s="4" t="str">
        <f>IFERROR(VLOOKUP(ROWS($L$2:L3274),$B$2:$C$1996,2,0),"")</f>
        <v/>
      </c>
      <c r="N3274" s="2" t="str">
        <f>IFERROR(VLOOKUP(ROWS($N$2:N3274),$D$2:$E$1996,2,0),"")</f>
        <v/>
      </c>
    </row>
    <row r="3275" spans="2:14">
      <c r="B3275" s="32">
        <f>IF(ISNUMBER(SEARCH('Φόρμα Εισαγωγής'!$B$2,C3275)),MAX($B$1:B3274)+1,0)</f>
        <v>0</v>
      </c>
      <c r="D3275" s="33">
        <f>IF(ISNUMBER(SEARCH('Φόρμα Εισαγωγής'!$C$2,E3275)),MAX($D$1:D3274)+1,0)</f>
        <v>0</v>
      </c>
      <c r="H3275" s="6">
        <f t="shared" si="164"/>
        <v>0</v>
      </c>
      <c r="I3275" s="6">
        <f t="shared" si="165"/>
        <v>0</v>
      </c>
      <c r="J3275" s="6">
        <f t="shared" si="166"/>
        <v>0</v>
      </c>
      <c r="L3275" s="4" t="str">
        <f>IFERROR(VLOOKUP(ROWS($L$2:L3275),$B$2:$C$1996,2,0),"")</f>
        <v/>
      </c>
      <c r="N3275" s="2" t="str">
        <f>IFERROR(VLOOKUP(ROWS($N$2:N3275),$D$2:$E$1996,2,0),"")</f>
        <v/>
      </c>
    </row>
    <row r="3276" spans="2:14">
      <c r="B3276" s="32">
        <f>IF(ISNUMBER(SEARCH('Φόρμα Εισαγωγής'!$B$2,C3276)),MAX($B$1:B3275)+1,0)</f>
        <v>0</v>
      </c>
      <c r="D3276" s="33">
        <f>IF(ISNUMBER(SEARCH('Φόρμα Εισαγωγής'!$C$2,E3276)),MAX($D$1:D3275)+1,0)</f>
        <v>0</v>
      </c>
      <c r="H3276" s="6">
        <f t="shared" si="164"/>
        <v>0</v>
      </c>
      <c r="I3276" s="6">
        <f t="shared" si="165"/>
        <v>0</v>
      </c>
      <c r="J3276" s="6">
        <f t="shared" si="166"/>
        <v>0</v>
      </c>
      <c r="L3276" s="4" t="str">
        <f>IFERROR(VLOOKUP(ROWS($L$2:L3276),$B$2:$C$1996,2,0),"")</f>
        <v/>
      </c>
      <c r="N3276" s="2" t="str">
        <f>IFERROR(VLOOKUP(ROWS($N$2:N3276),$D$2:$E$1996,2,0),"")</f>
        <v/>
      </c>
    </row>
    <row r="3277" spans="2:14">
      <c r="B3277" s="32">
        <f>IF(ISNUMBER(SEARCH('Φόρμα Εισαγωγής'!$B$2,C3277)),MAX($B$1:B3276)+1,0)</f>
        <v>0</v>
      </c>
      <c r="D3277" s="33">
        <f>IF(ISNUMBER(SEARCH('Φόρμα Εισαγωγής'!$C$2,E3277)),MAX($D$1:D3276)+1,0)</f>
        <v>0</v>
      </c>
      <c r="H3277" s="6">
        <f t="shared" si="164"/>
        <v>0</v>
      </c>
      <c r="I3277" s="6">
        <f t="shared" si="165"/>
        <v>0</v>
      </c>
      <c r="J3277" s="6">
        <f t="shared" si="166"/>
        <v>0</v>
      </c>
      <c r="L3277" s="4" t="str">
        <f>IFERROR(VLOOKUP(ROWS($L$2:L3277),$B$2:$C$1996,2,0),"")</f>
        <v/>
      </c>
      <c r="N3277" s="2" t="str">
        <f>IFERROR(VLOOKUP(ROWS($N$2:N3277),$D$2:$E$1996,2,0),"")</f>
        <v/>
      </c>
    </row>
    <row r="3278" spans="2:14">
      <c r="B3278" s="32">
        <f>IF(ISNUMBER(SEARCH('Φόρμα Εισαγωγής'!$B$2,C3278)),MAX($B$1:B3277)+1,0)</f>
        <v>0</v>
      </c>
      <c r="D3278" s="33">
        <f>IF(ISNUMBER(SEARCH('Φόρμα Εισαγωγής'!$C$2,E3278)),MAX($D$1:D3277)+1,0)</f>
        <v>0</v>
      </c>
      <c r="H3278" s="6">
        <f t="shared" si="164"/>
        <v>0</v>
      </c>
      <c r="I3278" s="6">
        <f t="shared" si="165"/>
        <v>0</v>
      </c>
      <c r="J3278" s="6">
        <f t="shared" si="166"/>
        <v>0</v>
      </c>
      <c r="L3278" s="4" t="str">
        <f>IFERROR(VLOOKUP(ROWS($L$2:L3278),$B$2:$C$1996,2,0),"")</f>
        <v/>
      </c>
      <c r="N3278" s="2" t="str">
        <f>IFERROR(VLOOKUP(ROWS($N$2:N3278),$D$2:$E$1996,2,0),"")</f>
        <v/>
      </c>
    </row>
    <row r="3279" spans="2:14">
      <c r="B3279" s="32">
        <f>IF(ISNUMBER(SEARCH('Φόρμα Εισαγωγής'!$B$2,C3279)),MAX($B$1:B3278)+1,0)</f>
        <v>0</v>
      </c>
      <c r="D3279" s="33">
        <f>IF(ISNUMBER(SEARCH('Φόρμα Εισαγωγής'!$C$2,E3279)),MAX($D$1:D3278)+1,0)</f>
        <v>0</v>
      </c>
      <c r="H3279" s="6">
        <f t="shared" si="164"/>
        <v>0</v>
      </c>
      <c r="I3279" s="6">
        <f t="shared" si="165"/>
        <v>0</v>
      </c>
      <c r="J3279" s="6">
        <f t="shared" si="166"/>
        <v>0</v>
      </c>
      <c r="L3279" s="4" t="str">
        <f>IFERROR(VLOOKUP(ROWS($L$2:L3279),$B$2:$C$1996,2,0),"")</f>
        <v/>
      </c>
      <c r="N3279" s="2" t="str">
        <f>IFERROR(VLOOKUP(ROWS($N$2:N3279),$D$2:$E$1996,2,0),"")</f>
        <v/>
      </c>
    </row>
    <row r="3280" spans="2:14">
      <c r="B3280" s="32">
        <f>IF(ISNUMBER(SEARCH('Φόρμα Εισαγωγής'!$B$2,C3280)),MAX($B$1:B3279)+1,0)</f>
        <v>0</v>
      </c>
      <c r="D3280" s="33">
        <f>IF(ISNUMBER(SEARCH('Φόρμα Εισαγωγής'!$C$2,E3280)),MAX($D$1:D3279)+1,0)</f>
        <v>0</v>
      </c>
      <c r="H3280" s="6">
        <f t="shared" si="164"/>
        <v>0</v>
      </c>
      <c r="I3280" s="6">
        <f t="shared" si="165"/>
        <v>0</v>
      </c>
      <c r="J3280" s="6">
        <f t="shared" si="166"/>
        <v>0</v>
      </c>
      <c r="L3280" s="4" t="str">
        <f>IFERROR(VLOOKUP(ROWS($L$2:L3280),$B$2:$C$1996,2,0),"")</f>
        <v/>
      </c>
      <c r="N3280" s="2" t="str">
        <f>IFERROR(VLOOKUP(ROWS($N$2:N3280),$D$2:$E$1996,2,0),"")</f>
        <v/>
      </c>
    </row>
    <row r="3281" spans="2:14">
      <c r="B3281" s="32">
        <f>IF(ISNUMBER(SEARCH('Φόρμα Εισαγωγής'!$B$2,C3281)),MAX($B$1:B3280)+1,0)</f>
        <v>0</v>
      </c>
      <c r="D3281" s="33">
        <f>IF(ISNUMBER(SEARCH('Φόρμα Εισαγωγής'!$C$2,E3281)),MAX($D$1:D3280)+1,0)</f>
        <v>0</v>
      </c>
      <c r="H3281" s="6">
        <f t="shared" si="164"/>
        <v>0</v>
      </c>
      <c r="I3281" s="6">
        <f t="shared" si="165"/>
        <v>0</v>
      </c>
      <c r="J3281" s="6">
        <f t="shared" si="166"/>
        <v>0</v>
      </c>
      <c r="L3281" s="4" t="str">
        <f>IFERROR(VLOOKUP(ROWS($L$2:L3281),$B$2:$C$1996,2,0),"")</f>
        <v/>
      </c>
      <c r="N3281" s="2" t="str">
        <f>IFERROR(VLOOKUP(ROWS($N$2:N3281),$D$2:$E$1996,2,0),"")</f>
        <v/>
      </c>
    </row>
    <row r="3282" spans="2:14">
      <c r="B3282" s="32">
        <f>IF(ISNUMBER(SEARCH('Φόρμα Εισαγωγής'!$B$2,C3282)),MAX($B$1:B3281)+1,0)</f>
        <v>0</v>
      </c>
      <c r="D3282" s="33">
        <f>IF(ISNUMBER(SEARCH('Φόρμα Εισαγωγής'!$C$2,E3282)),MAX($D$1:D3281)+1,0)</f>
        <v>0</v>
      </c>
      <c r="H3282" s="6">
        <f t="shared" si="164"/>
        <v>0</v>
      </c>
      <c r="I3282" s="6">
        <f t="shared" si="165"/>
        <v>0</v>
      </c>
      <c r="J3282" s="6">
        <f t="shared" si="166"/>
        <v>0</v>
      </c>
      <c r="L3282" s="4" t="str">
        <f>IFERROR(VLOOKUP(ROWS($L$2:L3282),$B$2:$C$1996,2,0),"")</f>
        <v/>
      </c>
      <c r="N3282" s="2" t="str">
        <f>IFERROR(VLOOKUP(ROWS($N$2:N3282),$D$2:$E$1996,2,0),"")</f>
        <v/>
      </c>
    </row>
    <row r="3283" spans="2:14">
      <c r="B3283" s="32">
        <f>IF(ISNUMBER(SEARCH('Φόρμα Εισαγωγής'!$B$2,C3283)),MAX($B$1:B3282)+1,0)</f>
        <v>0</v>
      </c>
      <c r="D3283" s="33">
        <f>IF(ISNUMBER(SEARCH('Φόρμα Εισαγωγής'!$C$2,E3283)),MAX($D$1:D3282)+1,0)</f>
        <v>0</v>
      </c>
      <c r="H3283" s="6">
        <f t="shared" si="164"/>
        <v>0</v>
      </c>
      <c r="I3283" s="6">
        <f t="shared" si="165"/>
        <v>0</v>
      </c>
      <c r="J3283" s="6">
        <f t="shared" si="166"/>
        <v>0</v>
      </c>
      <c r="L3283" s="4" t="str">
        <f>IFERROR(VLOOKUP(ROWS($L$2:L3283),$B$2:$C$1996,2,0),"")</f>
        <v/>
      </c>
      <c r="N3283" s="2" t="str">
        <f>IFERROR(VLOOKUP(ROWS($N$2:N3283),$D$2:$E$1996,2,0),"")</f>
        <v/>
      </c>
    </row>
    <row r="3284" spans="2:14">
      <c r="B3284" s="32">
        <f>IF(ISNUMBER(SEARCH('Φόρμα Εισαγωγής'!$B$2,C3284)),MAX($B$1:B3283)+1,0)</f>
        <v>0</v>
      </c>
      <c r="D3284" s="33">
        <f>IF(ISNUMBER(SEARCH('Φόρμα Εισαγωγής'!$C$2,E3284)),MAX($D$1:D3283)+1,0)</f>
        <v>0</v>
      </c>
      <c r="H3284" s="6">
        <f t="shared" si="164"/>
        <v>0</v>
      </c>
      <c r="I3284" s="6">
        <f t="shared" si="165"/>
        <v>0</v>
      </c>
      <c r="J3284" s="6">
        <f t="shared" si="166"/>
        <v>0</v>
      </c>
      <c r="L3284" s="4" t="str">
        <f>IFERROR(VLOOKUP(ROWS($L$2:L3284),$B$2:$C$1996,2,0),"")</f>
        <v/>
      </c>
      <c r="N3284" s="2" t="str">
        <f>IFERROR(VLOOKUP(ROWS($N$2:N3284),$D$2:$E$1996,2,0),"")</f>
        <v/>
      </c>
    </row>
    <row r="3285" spans="2:14">
      <c r="B3285" s="32">
        <f>IF(ISNUMBER(SEARCH('Φόρμα Εισαγωγής'!$B$2,C3285)),MAX($B$1:B3284)+1,0)</f>
        <v>0</v>
      </c>
      <c r="D3285" s="33">
        <f>IF(ISNUMBER(SEARCH('Φόρμα Εισαγωγής'!$C$2,E3285)),MAX($D$1:D3284)+1,0)</f>
        <v>0</v>
      </c>
      <c r="H3285" s="6">
        <f t="shared" si="164"/>
        <v>0</v>
      </c>
      <c r="I3285" s="6">
        <f t="shared" si="165"/>
        <v>0</v>
      </c>
      <c r="J3285" s="6">
        <f t="shared" si="166"/>
        <v>0</v>
      </c>
      <c r="L3285" s="4" t="str">
        <f>IFERROR(VLOOKUP(ROWS($L$2:L3285),$B$2:$C$1996,2,0),"")</f>
        <v/>
      </c>
      <c r="N3285" s="2" t="str">
        <f>IFERROR(VLOOKUP(ROWS($N$2:N3285),$D$2:$E$1996,2,0),"")</f>
        <v/>
      </c>
    </row>
    <row r="3286" spans="2:14">
      <c r="B3286" s="32">
        <f>IF(ISNUMBER(SEARCH('Φόρμα Εισαγωγής'!$B$2,C3286)),MAX($B$1:B3285)+1,0)</f>
        <v>0</v>
      </c>
      <c r="D3286" s="33">
        <f>IF(ISNUMBER(SEARCH('Φόρμα Εισαγωγής'!$C$2,E3286)),MAX($D$1:D3285)+1,0)</f>
        <v>0</v>
      </c>
      <c r="H3286" s="6">
        <f t="shared" si="164"/>
        <v>0</v>
      </c>
      <c r="I3286" s="6">
        <f t="shared" si="165"/>
        <v>0</v>
      </c>
      <c r="J3286" s="6">
        <f t="shared" si="166"/>
        <v>0</v>
      </c>
      <c r="L3286" s="4" t="str">
        <f>IFERROR(VLOOKUP(ROWS($L$2:L3286),$B$2:$C$1996,2,0),"")</f>
        <v/>
      </c>
      <c r="N3286" s="2" t="str">
        <f>IFERROR(VLOOKUP(ROWS($N$2:N3286),$D$2:$E$1996,2,0),"")</f>
        <v/>
      </c>
    </row>
    <row r="3287" spans="2:14">
      <c r="B3287" s="32">
        <f>IF(ISNUMBER(SEARCH('Φόρμα Εισαγωγής'!$B$2,C3287)),MAX($B$1:B3286)+1,0)</f>
        <v>0</v>
      </c>
      <c r="D3287" s="33">
        <f>IF(ISNUMBER(SEARCH('Φόρμα Εισαγωγής'!$C$2,E3287)),MAX($D$1:D3286)+1,0)</f>
        <v>0</v>
      </c>
      <c r="H3287" s="6">
        <f t="shared" si="164"/>
        <v>0</v>
      </c>
      <c r="I3287" s="6">
        <f t="shared" si="165"/>
        <v>0</v>
      </c>
      <c r="J3287" s="6">
        <f t="shared" si="166"/>
        <v>0</v>
      </c>
      <c r="L3287" s="4" t="str">
        <f>IFERROR(VLOOKUP(ROWS($L$2:L3287),$B$2:$C$1996,2,0),"")</f>
        <v/>
      </c>
      <c r="N3287" s="2" t="str">
        <f>IFERROR(VLOOKUP(ROWS($N$2:N3287),$D$2:$E$1996,2,0),"")</f>
        <v/>
      </c>
    </row>
    <row r="3288" spans="2:14">
      <c r="B3288" s="32">
        <f>IF(ISNUMBER(SEARCH('Φόρμα Εισαγωγής'!$B$2,C3288)),MAX($B$1:B3287)+1,0)</f>
        <v>0</v>
      </c>
      <c r="D3288" s="33">
        <f>IF(ISNUMBER(SEARCH('Φόρμα Εισαγωγής'!$C$2,E3288)),MAX($D$1:D3287)+1,0)</f>
        <v>0</v>
      </c>
      <c r="H3288" s="6">
        <f t="shared" si="164"/>
        <v>0</v>
      </c>
      <c r="I3288" s="6">
        <f t="shared" si="165"/>
        <v>0</v>
      </c>
      <c r="J3288" s="6">
        <f t="shared" si="166"/>
        <v>0</v>
      </c>
      <c r="L3288" s="4" t="str">
        <f>IFERROR(VLOOKUP(ROWS($L$2:L3288),$B$2:$C$1996,2,0),"")</f>
        <v/>
      </c>
      <c r="N3288" s="2" t="str">
        <f>IFERROR(VLOOKUP(ROWS($N$2:N3288),$D$2:$E$1996,2,0),"")</f>
        <v/>
      </c>
    </row>
    <row r="3289" spans="2:14">
      <c r="B3289" s="32">
        <f>IF(ISNUMBER(SEARCH('Φόρμα Εισαγωγής'!$B$2,C3289)),MAX($B$1:B3288)+1,0)</f>
        <v>0</v>
      </c>
      <c r="D3289" s="33">
        <f>IF(ISNUMBER(SEARCH('Φόρμα Εισαγωγής'!$C$2,E3289)),MAX($D$1:D3288)+1,0)</f>
        <v>0</v>
      </c>
      <c r="H3289" s="6">
        <f t="shared" si="164"/>
        <v>0</v>
      </c>
      <c r="I3289" s="6">
        <f t="shared" si="165"/>
        <v>0</v>
      </c>
      <c r="J3289" s="6">
        <f t="shared" si="166"/>
        <v>0</v>
      </c>
      <c r="L3289" s="4" t="str">
        <f>IFERROR(VLOOKUP(ROWS($L$2:L3289),$B$2:$C$1996,2,0),"")</f>
        <v/>
      </c>
      <c r="N3289" s="2" t="str">
        <f>IFERROR(VLOOKUP(ROWS($N$2:N3289),$D$2:$E$1996,2,0),"")</f>
        <v/>
      </c>
    </row>
    <row r="3290" spans="2:14">
      <c r="B3290" s="32">
        <f>IF(ISNUMBER(SEARCH('Φόρμα Εισαγωγής'!$B$2,C3290)),MAX($B$1:B3289)+1,0)</f>
        <v>0</v>
      </c>
      <c r="D3290" s="33">
        <f>IF(ISNUMBER(SEARCH('Φόρμα Εισαγωγής'!$C$2,E3290)),MAX($D$1:D3289)+1,0)</f>
        <v>0</v>
      </c>
      <c r="H3290" s="6">
        <f t="shared" si="164"/>
        <v>0</v>
      </c>
      <c r="I3290" s="6">
        <f t="shared" si="165"/>
        <v>0</v>
      </c>
      <c r="J3290" s="6">
        <f t="shared" si="166"/>
        <v>0</v>
      </c>
      <c r="L3290" s="4" t="str">
        <f>IFERROR(VLOOKUP(ROWS($L$2:L3290),$B$2:$C$1996,2,0),"")</f>
        <v/>
      </c>
      <c r="N3290" s="2" t="str">
        <f>IFERROR(VLOOKUP(ROWS($N$2:N3290),$D$2:$E$1996,2,0),"")</f>
        <v/>
      </c>
    </row>
    <row r="3291" spans="2:14">
      <c r="B3291" s="32">
        <f>IF(ISNUMBER(SEARCH('Φόρμα Εισαγωγής'!$B$2,C3291)),MAX($B$1:B3290)+1,0)</f>
        <v>0</v>
      </c>
      <c r="D3291" s="33">
        <f>IF(ISNUMBER(SEARCH('Φόρμα Εισαγωγής'!$C$2,E3291)),MAX($D$1:D3290)+1,0)</f>
        <v>0</v>
      </c>
      <c r="H3291" s="6">
        <f t="shared" si="164"/>
        <v>0</v>
      </c>
      <c r="I3291" s="6">
        <f t="shared" si="165"/>
        <v>0</v>
      </c>
      <c r="J3291" s="6">
        <f t="shared" si="166"/>
        <v>0</v>
      </c>
      <c r="L3291" s="4" t="str">
        <f>IFERROR(VLOOKUP(ROWS($L$2:L3291),$B$2:$C$1996,2,0),"")</f>
        <v/>
      </c>
      <c r="N3291" s="2" t="str">
        <f>IFERROR(VLOOKUP(ROWS($N$2:N3291),$D$2:$E$1996,2,0),"")</f>
        <v/>
      </c>
    </row>
    <row r="3292" spans="2:14">
      <c r="B3292" s="32">
        <f>IF(ISNUMBER(SEARCH('Φόρμα Εισαγωγής'!$B$2,C3292)),MAX($B$1:B3291)+1,0)</f>
        <v>0</v>
      </c>
      <c r="D3292" s="33">
        <f>IF(ISNUMBER(SEARCH('Φόρμα Εισαγωγής'!$C$2,E3292)),MAX($D$1:D3291)+1,0)</f>
        <v>0</v>
      </c>
      <c r="H3292" s="6">
        <f t="shared" si="164"/>
        <v>0</v>
      </c>
      <c r="I3292" s="6">
        <f t="shared" si="165"/>
        <v>0</v>
      </c>
      <c r="J3292" s="6">
        <f t="shared" si="166"/>
        <v>0</v>
      </c>
      <c r="L3292" s="4" t="str">
        <f>IFERROR(VLOOKUP(ROWS($L$2:L3292),$B$2:$C$1996,2,0),"")</f>
        <v/>
      </c>
      <c r="N3292" s="2" t="str">
        <f>IFERROR(VLOOKUP(ROWS($N$2:N3292),$D$2:$E$1996,2,0),"")</f>
        <v/>
      </c>
    </row>
    <row r="3293" spans="2:14">
      <c r="B3293" s="32">
        <f>IF(ISNUMBER(SEARCH('Φόρμα Εισαγωγής'!$B$2,C3293)),MAX($B$1:B3292)+1,0)</f>
        <v>0</v>
      </c>
      <c r="D3293" s="33">
        <f>IF(ISNUMBER(SEARCH('Φόρμα Εισαγωγής'!$C$2,E3293)),MAX($D$1:D3292)+1,0)</f>
        <v>0</v>
      </c>
      <c r="H3293" s="6">
        <f t="shared" si="164"/>
        <v>0</v>
      </c>
      <c r="I3293" s="6">
        <f t="shared" si="165"/>
        <v>0</v>
      </c>
      <c r="J3293" s="6">
        <f t="shared" si="166"/>
        <v>0</v>
      </c>
      <c r="L3293" s="4" t="str">
        <f>IFERROR(VLOOKUP(ROWS($L$2:L3293),$B$2:$C$1996,2,0),"")</f>
        <v/>
      </c>
      <c r="N3293" s="2" t="str">
        <f>IFERROR(VLOOKUP(ROWS($N$2:N3293),$D$2:$E$1996,2,0),"")</f>
        <v/>
      </c>
    </row>
    <row r="3294" spans="2:14">
      <c r="B3294" s="32">
        <f>IF(ISNUMBER(SEARCH('Φόρμα Εισαγωγής'!$B$2,C3294)),MAX($B$1:B3293)+1,0)</f>
        <v>0</v>
      </c>
      <c r="D3294" s="33">
        <f>IF(ISNUMBER(SEARCH('Φόρμα Εισαγωγής'!$C$2,E3294)),MAX($D$1:D3293)+1,0)</f>
        <v>0</v>
      </c>
      <c r="H3294" s="6">
        <f t="shared" si="164"/>
        <v>0</v>
      </c>
      <c r="I3294" s="6">
        <f t="shared" si="165"/>
        <v>0</v>
      </c>
      <c r="J3294" s="6">
        <f t="shared" si="166"/>
        <v>0</v>
      </c>
      <c r="L3294" s="4" t="str">
        <f>IFERROR(VLOOKUP(ROWS($L$2:L3294),$B$2:$C$1996,2,0),"")</f>
        <v/>
      </c>
      <c r="N3294" s="2" t="str">
        <f>IFERROR(VLOOKUP(ROWS($N$2:N3294),$D$2:$E$1996,2,0),"")</f>
        <v/>
      </c>
    </row>
    <row r="3295" spans="2:14">
      <c r="B3295" s="32">
        <f>IF(ISNUMBER(SEARCH('Φόρμα Εισαγωγής'!$B$2,C3295)),MAX($B$1:B3294)+1,0)</f>
        <v>0</v>
      </c>
      <c r="D3295" s="33">
        <f>IF(ISNUMBER(SEARCH('Φόρμα Εισαγωγής'!$C$2,E3295)),MAX($D$1:D3294)+1,0)</f>
        <v>0</v>
      </c>
      <c r="H3295" s="6">
        <f t="shared" si="164"/>
        <v>0</v>
      </c>
      <c r="I3295" s="6">
        <f t="shared" si="165"/>
        <v>0</v>
      </c>
      <c r="J3295" s="6">
        <f t="shared" si="166"/>
        <v>0</v>
      </c>
      <c r="L3295" s="4" t="str">
        <f>IFERROR(VLOOKUP(ROWS($L$2:L3295),$B$2:$C$1996,2,0),"")</f>
        <v/>
      </c>
      <c r="N3295" s="2" t="str">
        <f>IFERROR(VLOOKUP(ROWS($N$2:N3295),$D$2:$E$1996,2,0),"")</f>
        <v/>
      </c>
    </row>
    <row r="3296" spans="2:14">
      <c r="B3296" s="32">
        <f>IF(ISNUMBER(SEARCH('Φόρμα Εισαγωγής'!$B$2,C3296)),MAX($B$1:B3295)+1,0)</f>
        <v>0</v>
      </c>
      <c r="D3296" s="33">
        <f>IF(ISNUMBER(SEARCH('Φόρμα Εισαγωγής'!$C$2,E3296)),MAX($D$1:D3295)+1,0)</f>
        <v>0</v>
      </c>
      <c r="H3296" s="6">
        <f t="shared" si="164"/>
        <v>0</v>
      </c>
      <c r="I3296" s="6">
        <f t="shared" si="165"/>
        <v>0</v>
      </c>
      <c r="J3296" s="6">
        <f t="shared" si="166"/>
        <v>0</v>
      </c>
      <c r="L3296" s="4" t="str">
        <f>IFERROR(VLOOKUP(ROWS($L$2:L3296),$B$2:$C$1996,2,0),"")</f>
        <v/>
      </c>
      <c r="N3296" s="2" t="str">
        <f>IFERROR(VLOOKUP(ROWS($N$2:N3296),$D$2:$E$1996,2,0),"")</f>
        <v/>
      </c>
    </row>
    <row r="3297" spans="2:14">
      <c r="B3297" s="32">
        <f>IF(ISNUMBER(SEARCH('Φόρμα Εισαγωγής'!$B$2,C3297)),MAX($B$1:B3296)+1,0)</f>
        <v>0</v>
      </c>
      <c r="D3297" s="33">
        <f>IF(ISNUMBER(SEARCH('Φόρμα Εισαγωγής'!$C$2,E3297)),MAX($D$1:D3296)+1,0)</f>
        <v>0</v>
      </c>
      <c r="H3297" s="6">
        <f t="shared" si="164"/>
        <v>0</v>
      </c>
      <c r="I3297" s="6">
        <f t="shared" si="165"/>
        <v>0</v>
      </c>
      <c r="J3297" s="6">
        <f t="shared" si="166"/>
        <v>0</v>
      </c>
      <c r="L3297" s="4" t="str">
        <f>IFERROR(VLOOKUP(ROWS($L$2:L3297),$B$2:$C$1996,2,0),"")</f>
        <v/>
      </c>
      <c r="N3297" s="2" t="str">
        <f>IFERROR(VLOOKUP(ROWS($N$2:N3297),$D$2:$E$1996,2,0),"")</f>
        <v/>
      </c>
    </row>
    <row r="3298" spans="2:14">
      <c r="B3298" s="32">
        <f>IF(ISNUMBER(SEARCH('Φόρμα Εισαγωγής'!$B$2,C3298)),MAX($B$1:B3297)+1,0)</f>
        <v>0</v>
      </c>
      <c r="D3298" s="33">
        <f>IF(ISNUMBER(SEARCH('Φόρμα Εισαγωγής'!$C$2,E3298)),MAX($D$1:D3297)+1,0)</f>
        <v>0</v>
      </c>
      <c r="H3298" s="6">
        <f t="shared" si="164"/>
        <v>0</v>
      </c>
      <c r="I3298" s="6">
        <f t="shared" si="165"/>
        <v>0</v>
      </c>
      <c r="J3298" s="6">
        <f t="shared" si="166"/>
        <v>0</v>
      </c>
      <c r="L3298" s="4" t="str">
        <f>IFERROR(VLOOKUP(ROWS($L$2:L3298),$B$2:$C$1996,2,0),"")</f>
        <v/>
      </c>
      <c r="N3298" s="2" t="str">
        <f>IFERROR(VLOOKUP(ROWS($N$2:N3298),$D$2:$E$1996,2,0),"")</f>
        <v/>
      </c>
    </row>
    <row r="3299" spans="2:14">
      <c r="B3299" s="32">
        <f>IF(ISNUMBER(SEARCH('Φόρμα Εισαγωγής'!$B$2,C3299)),MAX($B$1:B3298)+1,0)</f>
        <v>0</v>
      </c>
      <c r="D3299" s="33">
        <f>IF(ISNUMBER(SEARCH('Φόρμα Εισαγωγής'!$C$2,E3299)),MAX($D$1:D3298)+1,0)</f>
        <v>0</v>
      </c>
      <c r="H3299" s="6">
        <f t="shared" si="164"/>
        <v>0</v>
      </c>
      <c r="I3299" s="6">
        <f t="shared" si="165"/>
        <v>0</v>
      </c>
      <c r="J3299" s="6">
        <f t="shared" si="166"/>
        <v>0</v>
      </c>
      <c r="L3299" s="4" t="str">
        <f>IFERROR(VLOOKUP(ROWS($L$2:L3299),$B$2:$C$1996,2,0),"")</f>
        <v/>
      </c>
      <c r="N3299" s="2" t="str">
        <f>IFERROR(VLOOKUP(ROWS($N$2:N3299),$D$2:$E$1996,2,0),"")</f>
        <v/>
      </c>
    </row>
    <row r="3300" spans="2:14">
      <c r="B3300" s="32">
        <f>IF(ISNUMBER(SEARCH('Φόρμα Εισαγωγής'!$B$2,C3300)),MAX($B$1:B3299)+1,0)</f>
        <v>0</v>
      </c>
      <c r="D3300" s="33">
        <f>IF(ISNUMBER(SEARCH('Φόρμα Εισαγωγής'!$C$2,E3300)),MAX($D$1:D3299)+1,0)</f>
        <v>0</v>
      </c>
      <c r="H3300" s="6">
        <f t="shared" si="164"/>
        <v>0</v>
      </c>
      <c r="I3300" s="6">
        <f t="shared" si="165"/>
        <v>0</v>
      </c>
      <c r="J3300" s="6">
        <f t="shared" si="166"/>
        <v>0</v>
      </c>
      <c r="L3300" s="4" t="str">
        <f>IFERROR(VLOOKUP(ROWS($L$2:L3300),$B$2:$C$1996,2,0),"")</f>
        <v/>
      </c>
      <c r="N3300" s="2" t="str">
        <f>IFERROR(VLOOKUP(ROWS($N$2:N3300),$D$2:$E$1996,2,0),"")</f>
        <v/>
      </c>
    </row>
    <row r="3301" spans="2:14">
      <c r="B3301" s="32">
        <f>IF(ISNUMBER(SEARCH('Φόρμα Εισαγωγής'!$B$2,C3301)),MAX($B$1:B3300)+1,0)</f>
        <v>0</v>
      </c>
      <c r="D3301" s="33">
        <f>IF(ISNUMBER(SEARCH('Φόρμα Εισαγωγής'!$C$2,E3301)),MAX($D$1:D3300)+1,0)</f>
        <v>0</v>
      </c>
      <c r="H3301" s="6">
        <f t="shared" si="164"/>
        <v>0</v>
      </c>
      <c r="I3301" s="6">
        <f t="shared" si="165"/>
        <v>0</v>
      </c>
      <c r="J3301" s="6">
        <f t="shared" si="166"/>
        <v>0</v>
      </c>
      <c r="L3301" s="4" t="str">
        <f>IFERROR(VLOOKUP(ROWS($L$2:L3301),$B$2:$C$1996,2,0),"")</f>
        <v/>
      </c>
      <c r="N3301" s="2" t="str">
        <f>IFERROR(VLOOKUP(ROWS($N$2:N3301),$D$2:$E$1996,2,0),"")</f>
        <v/>
      </c>
    </row>
    <row r="3302" spans="2:14">
      <c r="B3302" s="32">
        <f>IF(ISNUMBER(SEARCH('Φόρμα Εισαγωγής'!$B$2,C3302)),MAX($B$1:B3301)+1,0)</f>
        <v>0</v>
      </c>
      <c r="D3302" s="33">
        <f>IF(ISNUMBER(SEARCH('Φόρμα Εισαγωγής'!$C$2,E3302)),MAX($D$1:D3301)+1,0)</f>
        <v>0</v>
      </c>
      <c r="H3302" s="6">
        <f t="shared" si="164"/>
        <v>0</v>
      </c>
      <c r="I3302" s="6">
        <f t="shared" si="165"/>
        <v>0</v>
      </c>
      <c r="J3302" s="6">
        <f t="shared" si="166"/>
        <v>0</v>
      </c>
      <c r="L3302" s="4" t="str">
        <f>IFERROR(VLOOKUP(ROWS($L$2:L3302),$B$2:$C$1996,2,0),"")</f>
        <v/>
      </c>
      <c r="N3302" s="2" t="str">
        <f>IFERROR(VLOOKUP(ROWS($N$2:N3302),$D$2:$E$1996,2,0),"")</f>
        <v/>
      </c>
    </row>
    <row r="3303" spans="2:14">
      <c r="B3303" s="32">
        <f>IF(ISNUMBER(SEARCH('Φόρμα Εισαγωγής'!$B$2,C3303)),MAX($B$1:B3302)+1,0)</f>
        <v>0</v>
      </c>
      <c r="D3303" s="33">
        <f>IF(ISNUMBER(SEARCH('Φόρμα Εισαγωγής'!$C$2,E3303)),MAX($D$1:D3302)+1,0)</f>
        <v>0</v>
      </c>
      <c r="H3303" s="6">
        <f t="shared" si="164"/>
        <v>0</v>
      </c>
      <c r="I3303" s="6">
        <f t="shared" si="165"/>
        <v>0</v>
      </c>
      <c r="J3303" s="6">
        <f t="shared" si="166"/>
        <v>0</v>
      </c>
      <c r="L3303" s="4" t="str">
        <f>IFERROR(VLOOKUP(ROWS($L$2:L3303),$B$2:$C$1996,2,0),"")</f>
        <v/>
      </c>
      <c r="N3303" s="2" t="str">
        <f>IFERROR(VLOOKUP(ROWS($N$2:N3303),$D$2:$E$1996,2,0),"")</f>
        <v/>
      </c>
    </row>
    <row r="3304" spans="2:14">
      <c r="B3304" s="32">
        <f>IF(ISNUMBER(SEARCH('Φόρμα Εισαγωγής'!$B$2,C3304)),MAX($B$1:B3303)+1,0)</f>
        <v>0</v>
      </c>
      <c r="D3304" s="33">
        <f>IF(ISNUMBER(SEARCH('Φόρμα Εισαγωγής'!$C$2,E3304)),MAX($D$1:D3303)+1,0)</f>
        <v>0</v>
      </c>
      <c r="H3304" s="6">
        <f t="shared" si="164"/>
        <v>0</v>
      </c>
      <c r="I3304" s="6">
        <f t="shared" si="165"/>
        <v>0</v>
      </c>
      <c r="J3304" s="6">
        <f t="shared" si="166"/>
        <v>0</v>
      </c>
      <c r="L3304" s="4" t="str">
        <f>IFERROR(VLOOKUP(ROWS($L$2:L3304),$B$2:$C$1996,2,0),"")</f>
        <v/>
      </c>
      <c r="N3304" s="2" t="str">
        <f>IFERROR(VLOOKUP(ROWS($N$2:N3304),$D$2:$E$1996,2,0),"")</f>
        <v/>
      </c>
    </row>
    <row r="3305" spans="2:14">
      <c r="B3305" s="32">
        <f>IF(ISNUMBER(SEARCH('Φόρμα Εισαγωγής'!$B$2,C3305)),MAX($B$1:B3304)+1,0)</f>
        <v>0</v>
      </c>
      <c r="D3305" s="33">
        <f>IF(ISNUMBER(SEARCH('Φόρμα Εισαγωγής'!$C$2,E3305)),MAX($D$1:D3304)+1,0)</f>
        <v>0</v>
      </c>
      <c r="H3305" s="6">
        <f t="shared" si="164"/>
        <v>0</v>
      </c>
      <c r="I3305" s="6">
        <f t="shared" si="165"/>
        <v>0</v>
      </c>
      <c r="J3305" s="6">
        <f t="shared" si="166"/>
        <v>0</v>
      </c>
      <c r="L3305" s="4" t="str">
        <f>IFERROR(VLOOKUP(ROWS($L$2:L3305),$B$2:$C$1996,2,0),"")</f>
        <v/>
      </c>
      <c r="N3305" s="2" t="str">
        <f>IFERROR(VLOOKUP(ROWS($N$2:N3305),$D$2:$E$1996,2,0),"")</f>
        <v/>
      </c>
    </row>
    <row r="3306" spans="2:14">
      <c r="B3306" s="32">
        <f>IF(ISNUMBER(SEARCH('Φόρμα Εισαγωγής'!$B$2,C3306)),MAX($B$1:B3305)+1,0)</f>
        <v>0</v>
      </c>
      <c r="D3306" s="33">
        <f>IF(ISNUMBER(SEARCH('Φόρμα Εισαγωγής'!$C$2,E3306)),MAX($D$1:D3305)+1,0)</f>
        <v>0</v>
      </c>
      <c r="H3306" s="6">
        <f t="shared" si="164"/>
        <v>0</v>
      </c>
      <c r="I3306" s="6">
        <f t="shared" si="165"/>
        <v>0</v>
      </c>
      <c r="J3306" s="6">
        <f t="shared" si="166"/>
        <v>0</v>
      </c>
      <c r="L3306" s="4" t="str">
        <f>IFERROR(VLOOKUP(ROWS($L$2:L3306),$B$2:$C$1996,2,0),"")</f>
        <v/>
      </c>
      <c r="N3306" s="2" t="str">
        <f>IFERROR(VLOOKUP(ROWS($N$2:N3306),$D$2:$E$1996,2,0),"")</f>
        <v/>
      </c>
    </row>
    <row r="3307" spans="2:14">
      <c r="B3307" s="32">
        <f>IF(ISNUMBER(SEARCH('Φόρμα Εισαγωγής'!$B$2,C3307)),MAX($B$1:B3306)+1,0)</f>
        <v>0</v>
      </c>
      <c r="D3307" s="33">
        <f>IF(ISNUMBER(SEARCH('Φόρμα Εισαγωγής'!$C$2,E3307)),MAX($D$1:D3306)+1,0)</f>
        <v>0</v>
      </c>
      <c r="H3307" s="6">
        <f t="shared" si="164"/>
        <v>0</v>
      </c>
      <c r="I3307" s="6">
        <f t="shared" si="165"/>
        <v>0</v>
      </c>
      <c r="J3307" s="6">
        <f t="shared" si="166"/>
        <v>0</v>
      </c>
      <c r="L3307" s="4" t="str">
        <f>IFERROR(VLOOKUP(ROWS($L$2:L3307),$B$2:$C$1996,2,0),"")</f>
        <v/>
      </c>
      <c r="N3307" s="2" t="str">
        <f>IFERROR(VLOOKUP(ROWS($N$2:N3307),$D$2:$E$1996,2,0),"")</f>
        <v/>
      </c>
    </row>
    <row r="3308" spans="2:14">
      <c r="B3308" s="32">
        <f>IF(ISNUMBER(SEARCH('Φόρμα Εισαγωγής'!$B$2,C3308)),MAX($B$1:B3307)+1,0)</f>
        <v>0</v>
      </c>
      <c r="D3308" s="33">
        <f>IF(ISNUMBER(SEARCH('Φόρμα Εισαγωγής'!$C$2,E3308)),MAX($D$1:D3307)+1,0)</f>
        <v>0</v>
      </c>
      <c r="H3308" s="6">
        <f t="shared" si="164"/>
        <v>0</v>
      </c>
      <c r="I3308" s="6">
        <f t="shared" si="165"/>
        <v>0</v>
      </c>
      <c r="J3308" s="6">
        <f t="shared" si="166"/>
        <v>0</v>
      </c>
      <c r="L3308" s="4" t="str">
        <f>IFERROR(VLOOKUP(ROWS($L$2:L3308),$B$2:$C$1996,2,0),"")</f>
        <v/>
      </c>
      <c r="N3308" s="2" t="str">
        <f>IFERROR(VLOOKUP(ROWS($N$2:N3308),$D$2:$E$1996,2,0),"")</f>
        <v/>
      </c>
    </row>
    <row r="3309" spans="2:14">
      <c r="B3309" s="32">
        <f>IF(ISNUMBER(SEARCH('Φόρμα Εισαγωγής'!$B$2,C3309)),MAX($B$1:B3308)+1,0)</f>
        <v>0</v>
      </c>
      <c r="D3309" s="33">
        <f>IF(ISNUMBER(SEARCH('Φόρμα Εισαγωγής'!$C$2,E3309)),MAX($D$1:D3308)+1,0)</f>
        <v>0</v>
      </c>
      <c r="H3309" s="6">
        <f t="shared" si="164"/>
        <v>0</v>
      </c>
      <c r="I3309" s="6">
        <f t="shared" si="165"/>
        <v>0</v>
      </c>
      <c r="J3309" s="6">
        <f t="shared" si="166"/>
        <v>0</v>
      </c>
      <c r="L3309" s="4" t="str">
        <f>IFERROR(VLOOKUP(ROWS($L$2:L3309),$B$2:$C$1996,2,0),"")</f>
        <v/>
      </c>
      <c r="N3309" s="2" t="str">
        <f>IFERROR(VLOOKUP(ROWS($N$2:N3309),$D$2:$E$1996,2,0),"")</f>
        <v/>
      </c>
    </row>
    <row r="3310" spans="2:14">
      <c r="B3310" s="32">
        <f>IF(ISNUMBER(SEARCH('Φόρμα Εισαγωγής'!$B$2,C3310)),MAX($B$1:B3309)+1,0)</f>
        <v>0</v>
      </c>
      <c r="D3310" s="33">
        <f>IF(ISNUMBER(SEARCH('Φόρμα Εισαγωγής'!$C$2,E3310)),MAX($D$1:D3309)+1,0)</f>
        <v>0</v>
      </c>
      <c r="H3310" s="6">
        <f t="shared" si="164"/>
        <v>0</v>
      </c>
      <c r="I3310" s="6">
        <f t="shared" si="165"/>
        <v>0</v>
      </c>
      <c r="J3310" s="6">
        <f t="shared" si="166"/>
        <v>0</v>
      </c>
      <c r="L3310" s="4" t="str">
        <f>IFERROR(VLOOKUP(ROWS($L$2:L3310),$B$2:$C$1996,2,0),"")</f>
        <v/>
      </c>
      <c r="N3310" s="2" t="str">
        <f>IFERROR(VLOOKUP(ROWS($N$2:N3310),$D$2:$E$1996,2,0),"")</f>
        <v/>
      </c>
    </row>
    <row r="3311" spans="2:14">
      <c r="B3311" s="32">
        <f>IF(ISNUMBER(SEARCH('Φόρμα Εισαγωγής'!$B$2,C3311)),MAX($B$1:B3310)+1,0)</f>
        <v>0</v>
      </c>
      <c r="D3311" s="33">
        <f>IF(ISNUMBER(SEARCH('Φόρμα Εισαγωγής'!$C$2,E3311)),MAX($D$1:D3310)+1,0)</f>
        <v>0</v>
      </c>
      <c r="H3311" s="6">
        <f t="shared" si="164"/>
        <v>0</v>
      </c>
      <c r="I3311" s="6">
        <f t="shared" si="165"/>
        <v>0</v>
      </c>
      <c r="J3311" s="6">
        <f t="shared" si="166"/>
        <v>0</v>
      </c>
      <c r="L3311" s="4" t="str">
        <f>IFERROR(VLOOKUP(ROWS($L$2:L3311),$B$2:$C$1996,2,0),"")</f>
        <v/>
      </c>
      <c r="N3311" s="2" t="str">
        <f>IFERROR(VLOOKUP(ROWS($N$2:N3311),$D$2:$E$1996,2,0),"")</f>
        <v/>
      </c>
    </row>
    <row r="3312" spans="2:14">
      <c r="B3312" s="32">
        <f>IF(ISNUMBER(SEARCH('Φόρμα Εισαγωγής'!$B$2,C3312)),MAX($B$1:B3311)+1,0)</f>
        <v>0</v>
      </c>
      <c r="D3312" s="33">
        <f>IF(ISNUMBER(SEARCH('Φόρμα Εισαγωγής'!$C$2,E3312)),MAX($D$1:D3311)+1,0)</f>
        <v>0</v>
      </c>
      <c r="H3312" s="6">
        <f t="shared" si="164"/>
        <v>0</v>
      </c>
      <c r="I3312" s="6">
        <f t="shared" si="165"/>
        <v>0</v>
      </c>
      <c r="J3312" s="6">
        <f t="shared" si="166"/>
        <v>0</v>
      </c>
      <c r="L3312" s="4" t="str">
        <f>IFERROR(VLOOKUP(ROWS($L$2:L3312),$B$2:$C$1996,2,0),"")</f>
        <v/>
      </c>
      <c r="N3312" s="2" t="str">
        <f>IFERROR(VLOOKUP(ROWS($N$2:N3312),$D$2:$E$1996,2,0),"")</f>
        <v/>
      </c>
    </row>
    <row r="3313" spans="2:14">
      <c r="B3313" s="32">
        <f>IF(ISNUMBER(SEARCH('Φόρμα Εισαγωγής'!$B$2,C3313)),MAX($B$1:B3312)+1,0)</f>
        <v>0</v>
      </c>
      <c r="D3313" s="33">
        <f>IF(ISNUMBER(SEARCH('Φόρμα Εισαγωγής'!$C$2,E3313)),MAX($D$1:D3312)+1,0)</f>
        <v>0</v>
      </c>
      <c r="H3313" s="6">
        <f t="shared" si="164"/>
        <v>0</v>
      </c>
      <c r="I3313" s="6">
        <f t="shared" si="165"/>
        <v>0</v>
      </c>
      <c r="J3313" s="6">
        <f t="shared" si="166"/>
        <v>0</v>
      </c>
      <c r="L3313" s="4" t="str">
        <f>IFERROR(VLOOKUP(ROWS($L$2:L3313),$B$2:$C$1996,2,0),"")</f>
        <v/>
      </c>
      <c r="N3313" s="2" t="str">
        <f>IFERROR(VLOOKUP(ROWS($N$2:N3313),$D$2:$E$1996,2,0),"")</f>
        <v/>
      </c>
    </row>
    <row r="3314" spans="2:14">
      <c r="B3314" s="32">
        <f>IF(ISNUMBER(SEARCH('Φόρμα Εισαγωγής'!$B$2,C3314)),MAX($B$1:B3313)+1,0)</f>
        <v>0</v>
      </c>
      <c r="D3314" s="33">
        <f>IF(ISNUMBER(SEARCH('Φόρμα Εισαγωγής'!$C$2,E3314)),MAX($D$1:D3313)+1,0)</f>
        <v>0</v>
      </c>
      <c r="H3314" s="6">
        <f t="shared" si="164"/>
        <v>0</v>
      </c>
      <c r="I3314" s="6">
        <f t="shared" si="165"/>
        <v>0</v>
      </c>
      <c r="J3314" s="6">
        <f t="shared" si="166"/>
        <v>0</v>
      </c>
      <c r="L3314" s="4" t="str">
        <f>IFERROR(VLOOKUP(ROWS($L$2:L3314),$B$2:$C$1996,2,0),"")</f>
        <v/>
      </c>
      <c r="N3314" s="2" t="str">
        <f>IFERROR(VLOOKUP(ROWS($N$2:N3314),$D$2:$E$1996,2,0),"")</f>
        <v/>
      </c>
    </row>
    <row r="3315" spans="2:14">
      <c r="B3315" s="32">
        <f>IF(ISNUMBER(SEARCH('Φόρμα Εισαγωγής'!$B$2,C3315)),MAX($B$1:B3314)+1,0)</f>
        <v>0</v>
      </c>
      <c r="D3315" s="33">
        <f>IF(ISNUMBER(SEARCH('Φόρμα Εισαγωγής'!$C$2,E3315)),MAX($D$1:D3314)+1,0)</f>
        <v>0</v>
      </c>
      <c r="H3315" s="6">
        <f t="shared" si="164"/>
        <v>0</v>
      </c>
      <c r="I3315" s="6">
        <f t="shared" si="165"/>
        <v>0</v>
      </c>
      <c r="J3315" s="6">
        <f t="shared" si="166"/>
        <v>0</v>
      </c>
      <c r="L3315" s="4" t="str">
        <f>IFERROR(VLOOKUP(ROWS($L$2:L3315),$B$2:$C$1996,2,0),"")</f>
        <v/>
      </c>
      <c r="N3315" s="2" t="str">
        <f>IFERROR(VLOOKUP(ROWS($N$2:N3315),$D$2:$E$1996,2,0),"")</f>
        <v/>
      </c>
    </row>
    <row r="3316" spans="2:14">
      <c r="B3316" s="32">
        <f>IF(ISNUMBER(SEARCH('Φόρμα Εισαγωγής'!$B$2,C3316)),MAX($B$1:B3315)+1,0)</f>
        <v>0</v>
      </c>
      <c r="D3316" s="33">
        <f>IF(ISNUMBER(SEARCH('Φόρμα Εισαγωγής'!$C$2,E3316)),MAX($D$1:D3315)+1,0)</f>
        <v>0</v>
      </c>
      <c r="H3316" s="6">
        <f t="shared" si="164"/>
        <v>0</v>
      </c>
      <c r="I3316" s="6">
        <f t="shared" si="165"/>
        <v>0</v>
      </c>
      <c r="J3316" s="6">
        <f t="shared" si="166"/>
        <v>0</v>
      </c>
      <c r="L3316" s="4" t="str">
        <f>IFERROR(VLOOKUP(ROWS($L$2:L3316),$B$2:$C$1996,2,0),"")</f>
        <v/>
      </c>
      <c r="N3316" s="2" t="str">
        <f>IFERROR(VLOOKUP(ROWS($N$2:N3316),$D$2:$E$1996,2,0),"")</f>
        <v/>
      </c>
    </row>
    <row r="3317" spans="2:14">
      <c r="B3317" s="32">
        <f>IF(ISNUMBER(SEARCH('Φόρμα Εισαγωγής'!$B$2,C3317)),MAX($B$1:B3316)+1,0)</f>
        <v>0</v>
      </c>
      <c r="D3317" s="33">
        <f>IF(ISNUMBER(SEARCH('Φόρμα Εισαγωγής'!$C$2,E3317)),MAX($D$1:D3316)+1,0)</f>
        <v>0</v>
      </c>
      <c r="H3317" s="6">
        <f t="shared" si="164"/>
        <v>0</v>
      </c>
      <c r="I3317" s="6">
        <f t="shared" si="165"/>
        <v>0</v>
      </c>
      <c r="J3317" s="6">
        <f t="shared" si="166"/>
        <v>0</v>
      </c>
      <c r="L3317" s="4" t="str">
        <f>IFERROR(VLOOKUP(ROWS($L$2:L3317),$B$2:$C$1996,2,0),"")</f>
        <v/>
      </c>
      <c r="N3317" s="2" t="str">
        <f>IFERROR(VLOOKUP(ROWS($N$2:N3317),$D$2:$E$1996,2,0),"")</f>
        <v/>
      </c>
    </row>
    <row r="3318" spans="2:14">
      <c r="B3318" s="32">
        <f>IF(ISNUMBER(SEARCH('Φόρμα Εισαγωγής'!$B$2,C3318)),MAX($B$1:B3317)+1,0)</f>
        <v>0</v>
      </c>
      <c r="D3318" s="33">
        <f>IF(ISNUMBER(SEARCH('Φόρμα Εισαγωγής'!$C$2,E3318)),MAX($D$1:D3317)+1,0)</f>
        <v>0</v>
      </c>
      <c r="H3318" s="6">
        <f t="shared" si="164"/>
        <v>0</v>
      </c>
      <c r="I3318" s="6">
        <f t="shared" si="165"/>
        <v>0</v>
      </c>
      <c r="J3318" s="6">
        <f t="shared" si="166"/>
        <v>0</v>
      </c>
      <c r="L3318" s="4" t="str">
        <f>IFERROR(VLOOKUP(ROWS($L$2:L3318),$B$2:$C$1996,2,0),"")</f>
        <v/>
      </c>
      <c r="N3318" s="2" t="str">
        <f>IFERROR(VLOOKUP(ROWS($N$2:N3318),$D$2:$E$1996,2,0),"")</f>
        <v/>
      </c>
    </row>
    <row r="3319" spans="2:14">
      <c r="B3319" s="32">
        <f>IF(ISNUMBER(SEARCH('Φόρμα Εισαγωγής'!$B$2,C3319)),MAX($B$1:B3318)+1,0)</f>
        <v>0</v>
      </c>
      <c r="D3319" s="33">
        <f>IF(ISNUMBER(SEARCH('Φόρμα Εισαγωγής'!$C$2,E3319)),MAX($D$1:D3318)+1,0)</f>
        <v>0</v>
      </c>
      <c r="H3319" s="6">
        <f t="shared" si="164"/>
        <v>0</v>
      </c>
      <c r="I3319" s="6">
        <f t="shared" si="165"/>
        <v>0</v>
      </c>
      <c r="J3319" s="6">
        <f t="shared" si="166"/>
        <v>0</v>
      </c>
      <c r="L3319" s="4" t="str">
        <f>IFERROR(VLOOKUP(ROWS($L$2:L3319),$B$2:$C$1996,2,0),"")</f>
        <v/>
      </c>
      <c r="N3319" s="2" t="str">
        <f>IFERROR(VLOOKUP(ROWS($N$2:N3319),$D$2:$E$1996,2,0),"")</f>
        <v/>
      </c>
    </row>
    <row r="3320" spans="2:14">
      <c r="B3320" s="32">
        <f>IF(ISNUMBER(SEARCH('Φόρμα Εισαγωγής'!$B$2,C3320)),MAX($B$1:B3319)+1,0)</f>
        <v>0</v>
      </c>
      <c r="D3320" s="33">
        <f>IF(ISNUMBER(SEARCH('Φόρμα Εισαγωγής'!$C$2,E3320)),MAX($D$1:D3319)+1,0)</f>
        <v>0</v>
      </c>
      <c r="H3320" s="6">
        <f t="shared" si="164"/>
        <v>0</v>
      </c>
      <c r="I3320" s="6">
        <f t="shared" si="165"/>
        <v>0</v>
      </c>
      <c r="J3320" s="6">
        <f t="shared" si="166"/>
        <v>0</v>
      </c>
      <c r="L3320" s="4" t="str">
        <f>IFERROR(VLOOKUP(ROWS($L$2:L3320),$B$2:$C$1996,2,0),"")</f>
        <v/>
      </c>
      <c r="N3320" s="2" t="str">
        <f>IFERROR(VLOOKUP(ROWS($N$2:N3320),$D$2:$E$1996,2,0),"")</f>
        <v/>
      </c>
    </row>
    <row r="3321" spans="2:14">
      <c r="B3321" s="32">
        <f>IF(ISNUMBER(SEARCH('Φόρμα Εισαγωγής'!$B$2,C3321)),MAX($B$1:B3320)+1,0)</f>
        <v>0</v>
      </c>
      <c r="D3321" s="33">
        <f>IF(ISNUMBER(SEARCH('Φόρμα Εισαγωγής'!$C$2,E3321)),MAX($D$1:D3320)+1,0)</f>
        <v>0</v>
      </c>
      <c r="H3321" s="6">
        <f t="shared" si="164"/>
        <v>0</v>
      </c>
      <c r="I3321" s="6">
        <f t="shared" si="165"/>
        <v>0</v>
      </c>
      <c r="J3321" s="6">
        <f t="shared" si="166"/>
        <v>0</v>
      </c>
      <c r="L3321" s="4" t="str">
        <f>IFERROR(VLOOKUP(ROWS($L$2:L3321),$B$2:$C$1996,2,0),"")</f>
        <v/>
      </c>
      <c r="N3321" s="2" t="str">
        <f>IFERROR(VLOOKUP(ROWS($N$2:N3321),$D$2:$E$1996,2,0),"")</f>
        <v/>
      </c>
    </row>
    <row r="3322" spans="2:14">
      <c r="B3322" s="32">
        <f>IF(ISNUMBER(SEARCH('Φόρμα Εισαγωγής'!$B$2,C3322)),MAX($B$1:B3321)+1,0)</f>
        <v>0</v>
      </c>
      <c r="D3322" s="33">
        <f>IF(ISNUMBER(SEARCH('Φόρμα Εισαγωγής'!$C$2,E3322)),MAX($D$1:D3321)+1,0)</f>
        <v>0</v>
      </c>
      <c r="H3322" s="6">
        <f t="shared" si="164"/>
        <v>0</v>
      </c>
      <c r="I3322" s="6">
        <f t="shared" si="165"/>
        <v>0</v>
      </c>
      <c r="J3322" s="6">
        <f t="shared" si="166"/>
        <v>0</v>
      </c>
      <c r="L3322" s="4" t="str">
        <f>IFERROR(VLOOKUP(ROWS($L$2:L3322),$B$2:$C$1996,2,0),"")</f>
        <v/>
      </c>
      <c r="N3322" s="2" t="str">
        <f>IFERROR(VLOOKUP(ROWS($N$2:N3322),$D$2:$E$1996,2,0),"")</f>
        <v/>
      </c>
    </row>
    <row r="3323" spans="2:14">
      <c r="B3323" s="32">
        <f>IF(ISNUMBER(SEARCH('Φόρμα Εισαγωγής'!$B$2,C3323)),MAX($B$1:B3322)+1,0)</f>
        <v>0</v>
      </c>
      <c r="D3323" s="33">
        <f>IF(ISNUMBER(SEARCH('Φόρμα Εισαγωγής'!$C$2,E3323)),MAX($D$1:D3322)+1,0)</f>
        <v>0</v>
      </c>
      <c r="H3323" s="6">
        <f t="shared" si="164"/>
        <v>0</v>
      </c>
      <c r="I3323" s="6">
        <f t="shared" si="165"/>
        <v>0</v>
      </c>
      <c r="J3323" s="6">
        <f t="shared" si="166"/>
        <v>0</v>
      </c>
      <c r="L3323" s="4" t="str">
        <f>IFERROR(VLOOKUP(ROWS($L$2:L3323),$B$2:$C$1996,2,0),"")</f>
        <v/>
      </c>
      <c r="N3323" s="2" t="str">
        <f>IFERROR(VLOOKUP(ROWS($N$2:N3323),$D$2:$E$1996,2,0),"")</f>
        <v/>
      </c>
    </row>
    <row r="3324" spans="2:14">
      <c r="B3324" s="32">
        <f>IF(ISNUMBER(SEARCH('Φόρμα Εισαγωγής'!$B$2,C3324)),MAX($B$1:B3323)+1,0)</f>
        <v>0</v>
      </c>
      <c r="D3324" s="33">
        <f>IF(ISNUMBER(SEARCH('Φόρμα Εισαγωγής'!$C$2,E3324)),MAX($D$1:D3323)+1,0)</f>
        <v>0</v>
      </c>
      <c r="H3324" s="6">
        <f t="shared" si="164"/>
        <v>0</v>
      </c>
      <c r="I3324" s="6">
        <f t="shared" si="165"/>
        <v>0</v>
      </c>
      <c r="J3324" s="6">
        <f t="shared" si="166"/>
        <v>0</v>
      </c>
      <c r="L3324" s="4" t="str">
        <f>IFERROR(VLOOKUP(ROWS($L$2:L3324),$B$2:$C$1996,2,0),"")</f>
        <v/>
      </c>
      <c r="N3324" s="2" t="str">
        <f>IFERROR(VLOOKUP(ROWS($N$2:N3324),$D$2:$E$1996,2,0),"")</f>
        <v/>
      </c>
    </row>
    <row r="3325" spans="2:14">
      <c r="B3325" s="32">
        <f>IF(ISNUMBER(SEARCH('Φόρμα Εισαγωγής'!$B$2,C3325)),MAX($B$1:B3324)+1,0)</f>
        <v>0</v>
      </c>
      <c r="D3325" s="33">
        <f>IF(ISNUMBER(SEARCH('Φόρμα Εισαγωγής'!$C$2,E3325)),MAX($D$1:D3324)+1,0)</f>
        <v>0</v>
      </c>
      <c r="H3325" s="6">
        <f t="shared" si="164"/>
        <v>0</v>
      </c>
      <c r="I3325" s="6">
        <f t="shared" si="165"/>
        <v>0</v>
      </c>
      <c r="J3325" s="6">
        <f t="shared" si="166"/>
        <v>0</v>
      </c>
      <c r="L3325" s="4" t="str">
        <f>IFERROR(VLOOKUP(ROWS($L$2:L3325),$B$2:$C$1996,2,0),"")</f>
        <v/>
      </c>
      <c r="N3325" s="2" t="str">
        <f>IFERROR(VLOOKUP(ROWS($N$2:N3325),$D$2:$E$1996,2,0),"")</f>
        <v/>
      </c>
    </row>
    <row r="3326" spans="2:14">
      <c r="B3326" s="32">
        <f>IF(ISNUMBER(SEARCH('Φόρμα Εισαγωγής'!$B$2,C3326)),MAX($B$1:B3325)+1,0)</f>
        <v>0</v>
      </c>
      <c r="D3326" s="33">
        <f>IF(ISNUMBER(SEARCH('Φόρμα Εισαγωγής'!$C$2,E3326)),MAX($D$1:D3325)+1,0)</f>
        <v>0</v>
      </c>
      <c r="H3326" s="6">
        <f t="shared" si="164"/>
        <v>0</v>
      </c>
      <c r="I3326" s="6">
        <f t="shared" si="165"/>
        <v>0</v>
      </c>
      <c r="J3326" s="6">
        <f t="shared" si="166"/>
        <v>0</v>
      </c>
      <c r="L3326" s="4" t="str">
        <f>IFERROR(VLOOKUP(ROWS($L$2:L3326),$B$2:$C$1996,2,0),"")</f>
        <v/>
      </c>
      <c r="N3326" s="2" t="str">
        <f>IFERROR(VLOOKUP(ROWS($N$2:N3326),$D$2:$E$1996,2,0),"")</f>
        <v/>
      </c>
    </row>
    <row r="3327" spans="2:14">
      <c r="B3327" s="32">
        <f>IF(ISNUMBER(SEARCH('Φόρμα Εισαγωγής'!$B$2,C3327)),MAX($B$1:B3326)+1,0)</f>
        <v>0</v>
      </c>
      <c r="D3327" s="33">
        <f>IF(ISNUMBER(SEARCH('Φόρμα Εισαγωγής'!$C$2,E3327)),MAX($D$1:D3326)+1,0)</f>
        <v>0</v>
      </c>
      <c r="H3327" s="6">
        <f t="shared" si="164"/>
        <v>0</v>
      </c>
      <c r="I3327" s="6">
        <f t="shared" si="165"/>
        <v>0</v>
      </c>
      <c r="J3327" s="6">
        <f t="shared" si="166"/>
        <v>0</v>
      </c>
      <c r="L3327" s="4" t="str">
        <f>IFERROR(VLOOKUP(ROWS($L$2:L3327),$B$2:$C$1996,2,0),"")</f>
        <v/>
      </c>
      <c r="N3327" s="2" t="str">
        <f>IFERROR(VLOOKUP(ROWS($N$2:N3327),$D$2:$E$1996,2,0),"")</f>
        <v/>
      </c>
    </row>
    <row r="3328" spans="2:14">
      <c r="B3328" s="32">
        <f>IF(ISNUMBER(SEARCH('Φόρμα Εισαγωγής'!$B$2,C3328)),MAX($B$1:B3327)+1,0)</f>
        <v>0</v>
      </c>
      <c r="D3328" s="33">
        <f>IF(ISNUMBER(SEARCH('Φόρμα Εισαγωγής'!$C$2,E3328)),MAX($D$1:D3327)+1,0)</f>
        <v>0</v>
      </c>
      <c r="H3328" s="6">
        <f t="shared" ref="H3328:H3391" si="167">G3328+(G3328*0.24)</f>
        <v>0</v>
      </c>
      <c r="I3328" s="6">
        <f t="shared" ref="I3328:I3391" si="168">F3328*A3328</f>
        <v>0</v>
      </c>
      <c r="J3328" s="6">
        <f t="shared" ref="J3328:J3391" si="169">H3328*A3328</f>
        <v>0</v>
      </c>
      <c r="L3328" s="4" t="str">
        <f>IFERROR(VLOOKUP(ROWS($L$2:L3328),$B$2:$C$1996,2,0),"")</f>
        <v/>
      </c>
      <c r="N3328" s="2" t="str">
        <f>IFERROR(VLOOKUP(ROWS($N$2:N3328),$D$2:$E$1996,2,0),"")</f>
        <v/>
      </c>
    </row>
    <row r="3329" spans="2:14">
      <c r="B3329" s="32">
        <f>IF(ISNUMBER(SEARCH('Φόρμα Εισαγωγής'!$B$2,C3329)),MAX($B$1:B3328)+1,0)</f>
        <v>0</v>
      </c>
      <c r="D3329" s="33">
        <f>IF(ISNUMBER(SEARCH('Φόρμα Εισαγωγής'!$C$2,E3329)),MAX($D$1:D3328)+1,0)</f>
        <v>0</v>
      </c>
      <c r="H3329" s="6">
        <f t="shared" si="167"/>
        <v>0</v>
      </c>
      <c r="I3329" s="6">
        <f t="shared" si="168"/>
        <v>0</v>
      </c>
      <c r="J3329" s="6">
        <f t="shared" si="169"/>
        <v>0</v>
      </c>
      <c r="L3329" s="4" t="str">
        <f>IFERROR(VLOOKUP(ROWS($L$2:L3329),$B$2:$C$1996,2,0),"")</f>
        <v/>
      </c>
      <c r="N3329" s="2" t="str">
        <f>IFERROR(VLOOKUP(ROWS($N$2:N3329),$D$2:$E$1996,2,0),"")</f>
        <v/>
      </c>
    </row>
    <row r="3330" spans="2:14">
      <c r="B3330" s="32">
        <f>IF(ISNUMBER(SEARCH('Φόρμα Εισαγωγής'!$B$2,C3330)),MAX($B$1:B3329)+1,0)</f>
        <v>0</v>
      </c>
      <c r="D3330" s="33">
        <f>IF(ISNUMBER(SEARCH('Φόρμα Εισαγωγής'!$C$2,E3330)),MAX($D$1:D3329)+1,0)</f>
        <v>0</v>
      </c>
      <c r="H3330" s="6">
        <f t="shared" si="167"/>
        <v>0</v>
      </c>
      <c r="I3330" s="6">
        <f t="shared" si="168"/>
        <v>0</v>
      </c>
      <c r="J3330" s="6">
        <f t="shared" si="169"/>
        <v>0</v>
      </c>
      <c r="L3330" s="4" t="str">
        <f>IFERROR(VLOOKUP(ROWS($L$2:L3330),$B$2:$C$1996,2,0),"")</f>
        <v/>
      </c>
      <c r="N3330" s="2" t="str">
        <f>IFERROR(VLOOKUP(ROWS($N$2:N3330),$D$2:$E$1996,2,0),"")</f>
        <v/>
      </c>
    </row>
    <row r="3331" spans="2:14">
      <c r="B3331" s="32">
        <f>IF(ISNUMBER(SEARCH('Φόρμα Εισαγωγής'!$B$2,C3331)),MAX($B$1:B3330)+1,0)</f>
        <v>0</v>
      </c>
      <c r="D3331" s="33">
        <f>IF(ISNUMBER(SEARCH('Φόρμα Εισαγωγής'!$C$2,E3331)),MAX($D$1:D3330)+1,0)</f>
        <v>0</v>
      </c>
      <c r="H3331" s="6">
        <f t="shared" si="167"/>
        <v>0</v>
      </c>
      <c r="I3331" s="6">
        <f t="shared" si="168"/>
        <v>0</v>
      </c>
      <c r="J3331" s="6">
        <f t="shared" si="169"/>
        <v>0</v>
      </c>
      <c r="L3331" s="4" t="str">
        <f>IFERROR(VLOOKUP(ROWS($L$2:L3331),$B$2:$C$1996,2,0),"")</f>
        <v/>
      </c>
      <c r="N3331" s="2" t="str">
        <f>IFERROR(VLOOKUP(ROWS($N$2:N3331),$D$2:$E$1996,2,0),"")</f>
        <v/>
      </c>
    </row>
    <row r="3332" spans="2:14">
      <c r="B3332" s="32">
        <f>IF(ISNUMBER(SEARCH('Φόρμα Εισαγωγής'!$B$2,C3332)),MAX($B$1:B3331)+1,0)</f>
        <v>0</v>
      </c>
      <c r="D3332" s="33">
        <f>IF(ISNUMBER(SEARCH('Φόρμα Εισαγωγής'!$C$2,E3332)),MAX($D$1:D3331)+1,0)</f>
        <v>0</v>
      </c>
      <c r="H3332" s="6">
        <f t="shared" si="167"/>
        <v>0</v>
      </c>
      <c r="I3332" s="6">
        <f t="shared" si="168"/>
        <v>0</v>
      </c>
      <c r="J3332" s="6">
        <f t="shared" si="169"/>
        <v>0</v>
      </c>
      <c r="L3332" s="4" t="str">
        <f>IFERROR(VLOOKUP(ROWS($L$2:L3332),$B$2:$C$1996,2,0),"")</f>
        <v/>
      </c>
      <c r="N3332" s="2" t="str">
        <f>IFERROR(VLOOKUP(ROWS($N$2:N3332),$D$2:$E$1996,2,0),"")</f>
        <v/>
      </c>
    </row>
    <row r="3333" spans="2:14">
      <c r="B3333" s="32">
        <f>IF(ISNUMBER(SEARCH('Φόρμα Εισαγωγής'!$B$2,C3333)),MAX($B$1:B3332)+1,0)</f>
        <v>0</v>
      </c>
      <c r="D3333" s="33">
        <f>IF(ISNUMBER(SEARCH('Φόρμα Εισαγωγής'!$C$2,E3333)),MAX($D$1:D3332)+1,0)</f>
        <v>0</v>
      </c>
      <c r="H3333" s="6">
        <f t="shared" si="167"/>
        <v>0</v>
      </c>
      <c r="I3333" s="6">
        <f t="shared" si="168"/>
        <v>0</v>
      </c>
      <c r="J3333" s="6">
        <f t="shared" si="169"/>
        <v>0</v>
      </c>
      <c r="L3333" s="4" t="str">
        <f>IFERROR(VLOOKUP(ROWS($L$2:L3333),$B$2:$C$1996,2,0),"")</f>
        <v/>
      </c>
      <c r="N3333" s="2" t="str">
        <f>IFERROR(VLOOKUP(ROWS($N$2:N3333),$D$2:$E$1996,2,0),"")</f>
        <v/>
      </c>
    </row>
    <row r="3334" spans="2:14">
      <c r="B3334" s="32">
        <f>IF(ISNUMBER(SEARCH('Φόρμα Εισαγωγής'!$B$2,C3334)),MAX($B$1:B3333)+1,0)</f>
        <v>0</v>
      </c>
      <c r="D3334" s="33">
        <f>IF(ISNUMBER(SEARCH('Φόρμα Εισαγωγής'!$C$2,E3334)),MAX($D$1:D3333)+1,0)</f>
        <v>0</v>
      </c>
      <c r="H3334" s="6">
        <f t="shared" si="167"/>
        <v>0</v>
      </c>
      <c r="I3334" s="6">
        <f t="shared" si="168"/>
        <v>0</v>
      </c>
      <c r="J3334" s="6">
        <f t="shared" si="169"/>
        <v>0</v>
      </c>
      <c r="L3334" s="4" t="str">
        <f>IFERROR(VLOOKUP(ROWS($L$2:L3334),$B$2:$C$1996,2,0),"")</f>
        <v/>
      </c>
      <c r="N3334" s="2" t="str">
        <f>IFERROR(VLOOKUP(ROWS($N$2:N3334),$D$2:$E$1996,2,0),"")</f>
        <v/>
      </c>
    </row>
    <row r="3335" spans="2:14">
      <c r="B3335" s="32">
        <f>IF(ISNUMBER(SEARCH('Φόρμα Εισαγωγής'!$B$2,C3335)),MAX($B$1:B3334)+1,0)</f>
        <v>0</v>
      </c>
      <c r="D3335" s="33">
        <f>IF(ISNUMBER(SEARCH('Φόρμα Εισαγωγής'!$C$2,E3335)),MAX($D$1:D3334)+1,0)</f>
        <v>0</v>
      </c>
      <c r="H3335" s="6">
        <f t="shared" si="167"/>
        <v>0</v>
      </c>
      <c r="I3335" s="6">
        <f t="shared" si="168"/>
        <v>0</v>
      </c>
      <c r="J3335" s="6">
        <f t="shared" si="169"/>
        <v>0</v>
      </c>
      <c r="L3335" s="4" t="str">
        <f>IFERROR(VLOOKUP(ROWS($L$2:L3335),$B$2:$C$1996,2,0),"")</f>
        <v/>
      </c>
      <c r="N3335" s="2" t="str">
        <f>IFERROR(VLOOKUP(ROWS($N$2:N3335),$D$2:$E$1996,2,0),"")</f>
        <v/>
      </c>
    </row>
    <row r="3336" spans="2:14">
      <c r="B3336" s="32">
        <f>IF(ISNUMBER(SEARCH('Φόρμα Εισαγωγής'!$B$2,C3336)),MAX($B$1:B3335)+1,0)</f>
        <v>0</v>
      </c>
      <c r="D3336" s="33">
        <f>IF(ISNUMBER(SEARCH('Φόρμα Εισαγωγής'!$C$2,E3336)),MAX($D$1:D3335)+1,0)</f>
        <v>0</v>
      </c>
      <c r="H3336" s="6">
        <f t="shared" si="167"/>
        <v>0</v>
      </c>
      <c r="I3336" s="6">
        <f t="shared" si="168"/>
        <v>0</v>
      </c>
      <c r="J3336" s="6">
        <f t="shared" si="169"/>
        <v>0</v>
      </c>
      <c r="L3336" s="4" t="str">
        <f>IFERROR(VLOOKUP(ROWS($L$2:L3336),$B$2:$C$1996,2,0),"")</f>
        <v/>
      </c>
      <c r="N3336" s="2" t="str">
        <f>IFERROR(VLOOKUP(ROWS($N$2:N3336),$D$2:$E$1996,2,0),"")</f>
        <v/>
      </c>
    </row>
    <row r="3337" spans="2:14">
      <c r="B3337" s="32">
        <f>IF(ISNUMBER(SEARCH('Φόρμα Εισαγωγής'!$B$2,C3337)),MAX($B$1:B3336)+1,0)</f>
        <v>0</v>
      </c>
      <c r="D3337" s="33">
        <f>IF(ISNUMBER(SEARCH('Φόρμα Εισαγωγής'!$C$2,E3337)),MAX($D$1:D3336)+1,0)</f>
        <v>0</v>
      </c>
      <c r="H3337" s="6">
        <f t="shared" si="167"/>
        <v>0</v>
      </c>
      <c r="I3337" s="6">
        <f t="shared" si="168"/>
        <v>0</v>
      </c>
      <c r="J3337" s="6">
        <f t="shared" si="169"/>
        <v>0</v>
      </c>
      <c r="L3337" s="4" t="str">
        <f>IFERROR(VLOOKUP(ROWS($L$2:L3337),$B$2:$C$1996,2,0),"")</f>
        <v/>
      </c>
      <c r="N3337" s="2" t="str">
        <f>IFERROR(VLOOKUP(ROWS($N$2:N3337),$D$2:$E$1996,2,0),"")</f>
        <v/>
      </c>
    </row>
    <row r="3338" spans="2:14">
      <c r="B3338" s="32">
        <f>IF(ISNUMBER(SEARCH('Φόρμα Εισαγωγής'!$B$2,C3338)),MAX($B$1:B3337)+1,0)</f>
        <v>0</v>
      </c>
      <c r="D3338" s="33">
        <f>IF(ISNUMBER(SEARCH('Φόρμα Εισαγωγής'!$C$2,E3338)),MAX($D$1:D3337)+1,0)</f>
        <v>0</v>
      </c>
      <c r="H3338" s="6">
        <f t="shared" si="167"/>
        <v>0</v>
      </c>
      <c r="I3338" s="6">
        <f t="shared" si="168"/>
        <v>0</v>
      </c>
      <c r="J3338" s="6">
        <f t="shared" si="169"/>
        <v>0</v>
      </c>
      <c r="L3338" s="4" t="str">
        <f>IFERROR(VLOOKUP(ROWS($L$2:L3338),$B$2:$C$1996,2,0),"")</f>
        <v/>
      </c>
      <c r="N3338" s="2" t="str">
        <f>IFERROR(VLOOKUP(ROWS($N$2:N3338),$D$2:$E$1996,2,0),"")</f>
        <v/>
      </c>
    </row>
    <row r="3339" spans="2:14">
      <c r="B3339" s="32">
        <f>IF(ISNUMBER(SEARCH('Φόρμα Εισαγωγής'!$B$2,C3339)),MAX($B$1:B3338)+1,0)</f>
        <v>0</v>
      </c>
      <c r="D3339" s="33">
        <f>IF(ISNUMBER(SEARCH('Φόρμα Εισαγωγής'!$C$2,E3339)),MAX($D$1:D3338)+1,0)</f>
        <v>0</v>
      </c>
      <c r="H3339" s="6">
        <f t="shared" si="167"/>
        <v>0</v>
      </c>
      <c r="I3339" s="6">
        <f t="shared" si="168"/>
        <v>0</v>
      </c>
      <c r="J3339" s="6">
        <f t="shared" si="169"/>
        <v>0</v>
      </c>
      <c r="L3339" s="4" t="str">
        <f>IFERROR(VLOOKUP(ROWS($L$2:L3339),$B$2:$C$1996,2,0),"")</f>
        <v/>
      </c>
      <c r="N3339" s="2" t="str">
        <f>IFERROR(VLOOKUP(ROWS($N$2:N3339),$D$2:$E$1996,2,0),"")</f>
        <v/>
      </c>
    </row>
    <row r="3340" spans="2:14">
      <c r="B3340" s="32">
        <f>IF(ISNUMBER(SEARCH('Φόρμα Εισαγωγής'!$B$2,C3340)),MAX($B$1:B3339)+1,0)</f>
        <v>0</v>
      </c>
      <c r="D3340" s="33">
        <f>IF(ISNUMBER(SEARCH('Φόρμα Εισαγωγής'!$C$2,E3340)),MAX($D$1:D3339)+1,0)</f>
        <v>0</v>
      </c>
      <c r="H3340" s="6">
        <f t="shared" si="167"/>
        <v>0</v>
      </c>
      <c r="I3340" s="6">
        <f t="shared" si="168"/>
        <v>0</v>
      </c>
      <c r="J3340" s="6">
        <f t="shared" si="169"/>
        <v>0</v>
      </c>
      <c r="L3340" s="4" t="str">
        <f>IFERROR(VLOOKUP(ROWS($L$2:L3340),$B$2:$C$1996,2,0),"")</f>
        <v/>
      </c>
      <c r="N3340" s="2" t="str">
        <f>IFERROR(VLOOKUP(ROWS($N$2:N3340),$D$2:$E$1996,2,0),"")</f>
        <v/>
      </c>
    </row>
    <row r="3341" spans="2:14">
      <c r="B3341" s="32">
        <f>IF(ISNUMBER(SEARCH('Φόρμα Εισαγωγής'!$B$2,C3341)),MAX($B$1:B3340)+1,0)</f>
        <v>0</v>
      </c>
      <c r="D3341" s="33">
        <f>IF(ISNUMBER(SEARCH('Φόρμα Εισαγωγής'!$C$2,E3341)),MAX($D$1:D3340)+1,0)</f>
        <v>0</v>
      </c>
      <c r="H3341" s="6">
        <f t="shared" si="167"/>
        <v>0</v>
      </c>
      <c r="I3341" s="6">
        <f t="shared" si="168"/>
        <v>0</v>
      </c>
      <c r="J3341" s="6">
        <f t="shared" si="169"/>
        <v>0</v>
      </c>
      <c r="L3341" s="4" t="str">
        <f>IFERROR(VLOOKUP(ROWS($L$2:L3341),$B$2:$C$1996,2,0),"")</f>
        <v/>
      </c>
      <c r="N3341" s="2" t="str">
        <f>IFERROR(VLOOKUP(ROWS($N$2:N3341),$D$2:$E$1996,2,0),"")</f>
        <v/>
      </c>
    </row>
    <row r="3342" spans="2:14">
      <c r="B3342" s="32">
        <f>IF(ISNUMBER(SEARCH('Φόρμα Εισαγωγής'!$B$2,C3342)),MAX($B$1:B3341)+1,0)</f>
        <v>0</v>
      </c>
      <c r="D3342" s="33">
        <f>IF(ISNUMBER(SEARCH('Φόρμα Εισαγωγής'!$C$2,E3342)),MAX($D$1:D3341)+1,0)</f>
        <v>0</v>
      </c>
      <c r="H3342" s="6">
        <f t="shared" si="167"/>
        <v>0</v>
      </c>
      <c r="I3342" s="6">
        <f t="shared" si="168"/>
        <v>0</v>
      </c>
      <c r="J3342" s="6">
        <f t="shared" si="169"/>
        <v>0</v>
      </c>
      <c r="L3342" s="4" t="str">
        <f>IFERROR(VLOOKUP(ROWS($L$2:L3342),$B$2:$C$1996,2,0),"")</f>
        <v/>
      </c>
      <c r="N3342" s="2" t="str">
        <f>IFERROR(VLOOKUP(ROWS($N$2:N3342),$D$2:$E$1996,2,0),"")</f>
        <v/>
      </c>
    </row>
    <row r="3343" spans="2:14">
      <c r="B3343" s="32">
        <f>IF(ISNUMBER(SEARCH('Φόρμα Εισαγωγής'!$B$2,C3343)),MAX($B$1:B3342)+1,0)</f>
        <v>0</v>
      </c>
      <c r="D3343" s="33">
        <f>IF(ISNUMBER(SEARCH('Φόρμα Εισαγωγής'!$C$2,E3343)),MAX($D$1:D3342)+1,0)</f>
        <v>0</v>
      </c>
      <c r="H3343" s="6">
        <f t="shared" si="167"/>
        <v>0</v>
      </c>
      <c r="I3343" s="6">
        <f t="shared" si="168"/>
        <v>0</v>
      </c>
      <c r="J3343" s="6">
        <f t="shared" si="169"/>
        <v>0</v>
      </c>
      <c r="L3343" s="4" t="str">
        <f>IFERROR(VLOOKUP(ROWS($L$2:L3343),$B$2:$C$1996,2,0),"")</f>
        <v/>
      </c>
      <c r="N3343" s="2" t="str">
        <f>IFERROR(VLOOKUP(ROWS($N$2:N3343),$D$2:$E$1996,2,0),"")</f>
        <v/>
      </c>
    </row>
    <row r="3344" spans="2:14">
      <c r="B3344" s="32">
        <f>IF(ISNUMBER(SEARCH('Φόρμα Εισαγωγής'!$B$2,C3344)),MAX($B$1:B3343)+1,0)</f>
        <v>0</v>
      </c>
      <c r="D3344" s="33">
        <f>IF(ISNUMBER(SEARCH('Φόρμα Εισαγωγής'!$C$2,E3344)),MAX($D$1:D3343)+1,0)</f>
        <v>0</v>
      </c>
      <c r="H3344" s="6">
        <f t="shared" si="167"/>
        <v>0</v>
      </c>
      <c r="I3344" s="6">
        <f t="shared" si="168"/>
        <v>0</v>
      </c>
      <c r="J3344" s="6">
        <f t="shared" si="169"/>
        <v>0</v>
      </c>
      <c r="L3344" s="4" t="str">
        <f>IFERROR(VLOOKUP(ROWS($L$2:L3344),$B$2:$C$1996,2,0),"")</f>
        <v/>
      </c>
      <c r="N3344" s="2" t="str">
        <f>IFERROR(VLOOKUP(ROWS($N$2:N3344),$D$2:$E$1996,2,0),"")</f>
        <v/>
      </c>
    </row>
    <row r="3345" spans="2:14">
      <c r="B3345" s="32">
        <f>IF(ISNUMBER(SEARCH('Φόρμα Εισαγωγής'!$B$2,C3345)),MAX($B$1:B3344)+1,0)</f>
        <v>0</v>
      </c>
      <c r="D3345" s="33">
        <f>IF(ISNUMBER(SEARCH('Φόρμα Εισαγωγής'!$C$2,E3345)),MAX($D$1:D3344)+1,0)</f>
        <v>0</v>
      </c>
      <c r="H3345" s="6">
        <f t="shared" si="167"/>
        <v>0</v>
      </c>
      <c r="I3345" s="6">
        <f t="shared" si="168"/>
        <v>0</v>
      </c>
      <c r="J3345" s="6">
        <f t="shared" si="169"/>
        <v>0</v>
      </c>
      <c r="L3345" s="4" t="str">
        <f>IFERROR(VLOOKUP(ROWS($L$2:L3345),$B$2:$C$1996,2,0),"")</f>
        <v/>
      </c>
      <c r="N3345" s="2" t="str">
        <f>IFERROR(VLOOKUP(ROWS($N$2:N3345),$D$2:$E$1996,2,0),"")</f>
        <v/>
      </c>
    </row>
    <row r="3346" spans="2:14">
      <c r="B3346" s="32">
        <f>IF(ISNUMBER(SEARCH('Φόρμα Εισαγωγής'!$B$2,C3346)),MAX($B$1:B3345)+1,0)</f>
        <v>0</v>
      </c>
      <c r="D3346" s="33">
        <f>IF(ISNUMBER(SEARCH('Φόρμα Εισαγωγής'!$C$2,E3346)),MAX($D$1:D3345)+1,0)</f>
        <v>0</v>
      </c>
      <c r="H3346" s="6">
        <f t="shared" si="167"/>
        <v>0</v>
      </c>
      <c r="I3346" s="6">
        <f t="shared" si="168"/>
        <v>0</v>
      </c>
      <c r="J3346" s="6">
        <f t="shared" si="169"/>
        <v>0</v>
      </c>
      <c r="L3346" s="4" t="str">
        <f>IFERROR(VLOOKUP(ROWS($L$2:L3346),$B$2:$C$1996,2,0),"")</f>
        <v/>
      </c>
      <c r="N3346" s="2" t="str">
        <f>IFERROR(VLOOKUP(ROWS($N$2:N3346),$D$2:$E$1996,2,0),"")</f>
        <v/>
      </c>
    </row>
    <row r="3347" spans="2:14">
      <c r="B3347" s="32">
        <f>IF(ISNUMBER(SEARCH('Φόρμα Εισαγωγής'!$B$2,C3347)),MAX($B$1:B3346)+1,0)</f>
        <v>0</v>
      </c>
      <c r="D3347" s="33">
        <f>IF(ISNUMBER(SEARCH('Φόρμα Εισαγωγής'!$C$2,E3347)),MAX($D$1:D3346)+1,0)</f>
        <v>0</v>
      </c>
      <c r="H3347" s="6">
        <f t="shared" si="167"/>
        <v>0</v>
      </c>
      <c r="I3347" s="6">
        <f t="shared" si="168"/>
        <v>0</v>
      </c>
      <c r="J3347" s="6">
        <f t="shared" si="169"/>
        <v>0</v>
      </c>
      <c r="L3347" s="4" t="str">
        <f>IFERROR(VLOOKUP(ROWS($L$2:L3347),$B$2:$C$1996,2,0),"")</f>
        <v/>
      </c>
      <c r="N3347" s="2" t="str">
        <f>IFERROR(VLOOKUP(ROWS($N$2:N3347),$D$2:$E$1996,2,0),"")</f>
        <v/>
      </c>
    </row>
    <row r="3348" spans="2:14">
      <c r="B3348" s="32">
        <f>IF(ISNUMBER(SEARCH('Φόρμα Εισαγωγής'!$B$2,C3348)),MAX($B$1:B3347)+1,0)</f>
        <v>0</v>
      </c>
      <c r="D3348" s="33">
        <f>IF(ISNUMBER(SEARCH('Φόρμα Εισαγωγής'!$C$2,E3348)),MAX($D$1:D3347)+1,0)</f>
        <v>0</v>
      </c>
      <c r="H3348" s="6">
        <f t="shared" si="167"/>
        <v>0</v>
      </c>
      <c r="I3348" s="6">
        <f t="shared" si="168"/>
        <v>0</v>
      </c>
      <c r="J3348" s="6">
        <f t="shared" si="169"/>
        <v>0</v>
      </c>
      <c r="L3348" s="4" t="str">
        <f>IFERROR(VLOOKUP(ROWS($L$2:L3348),$B$2:$C$1996,2,0),"")</f>
        <v/>
      </c>
      <c r="N3348" s="2" t="str">
        <f>IFERROR(VLOOKUP(ROWS($N$2:N3348),$D$2:$E$1996,2,0),"")</f>
        <v/>
      </c>
    </row>
    <row r="3349" spans="2:14">
      <c r="B3349" s="32">
        <f>IF(ISNUMBER(SEARCH('Φόρμα Εισαγωγής'!$B$2,C3349)),MAX($B$1:B3348)+1,0)</f>
        <v>0</v>
      </c>
      <c r="D3349" s="33">
        <f>IF(ISNUMBER(SEARCH('Φόρμα Εισαγωγής'!$C$2,E3349)),MAX($D$1:D3348)+1,0)</f>
        <v>0</v>
      </c>
      <c r="H3349" s="6">
        <f t="shared" si="167"/>
        <v>0</v>
      </c>
      <c r="I3349" s="6">
        <f t="shared" si="168"/>
        <v>0</v>
      </c>
      <c r="J3349" s="6">
        <f t="shared" si="169"/>
        <v>0</v>
      </c>
      <c r="L3349" s="4" t="str">
        <f>IFERROR(VLOOKUP(ROWS($L$2:L3349),$B$2:$C$1996,2,0),"")</f>
        <v/>
      </c>
      <c r="N3349" s="2" t="str">
        <f>IFERROR(VLOOKUP(ROWS($N$2:N3349),$D$2:$E$1996,2,0),"")</f>
        <v/>
      </c>
    </row>
    <row r="3350" spans="2:14">
      <c r="B3350" s="32">
        <f>IF(ISNUMBER(SEARCH('Φόρμα Εισαγωγής'!$B$2,C3350)),MAX($B$1:B3349)+1,0)</f>
        <v>0</v>
      </c>
      <c r="D3350" s="33">
        <f>IF(ISNUMBER(SEARCH('Φόρμα Εισαγωγής'!$C$2,E3350)),MAX($D$1:D3349)+1,0)</f>
        <v>0</v>
      </c>
      <c r="H3350" s="6">
        <f t="shared" si="167"/>
        <v>0</v>
      </c>
      <c r="I3350" s="6">
        <f t="shared" si="168"/>
        <v>0</v>
      </c>
      <c r="J3350" s="6">
        <f t="shared" si="169"/>
        <v>0</v>
      </c>
      <c r="L3350" s="4" t="str">
        <f>IFERROR(VLOOKUP(ROWS($L$2:L3350),$B$2:$C$1996,2,0),"")</f>
        <v/>
      </c>
      <c r="N3350" s="2" t="str">
        <f>IFERROR(VLOOKUP(ROWS($N$2:N3350),$D$2:$E$1996,2,0),"")</f>
        <v/>
      </c>
    </row>
    <row r="3351" spans="2:14">
      <c r="B3351" s="32">
        <f>IF(ISNUMBER(SEARCH('Φόρμα Εισαγωγής'!$B$2,C3351)),MAX($B$1:B3350)+1,0)</f>
        <v>0</v>
      </c>
      <c r="D3351" s="33">
        <f>IF(ISNUMBER(SEARCH('Φόρμα Εισαγωγής'!$C$2,E3351)),MAX($D$1:D3350)+1,0)</f>
        <v>0</v>
      </c>
      <c r="H3351" s="6">
        <f t="shared" si="167"/>
        <v>0</v>
      </c>
      <c r="I3351" s="6">
        <f t="shared" si="168"/>
        <v>0</v>
      </c>
      <c r="J3351" s="6">
        <f t="shared" si="169"/>
        <v>0</v>
      </c>
      <c r="L3351" s="4" t="str">
        <f>IFERROR(VLOOKUP(ROWS($L$2:L3351),$B$2:$C$1996,2,0),"")</f>
        <v/>
      </c>
      <c r="N3351" s="2" t="str">
        <f>IFERROR(VLOOKUP(ROWS($N$2:N3351),$D$2:$E$1996,2,0),"")</f>
        <v/>
      </c>
    </row>
    <row r="3352" spans="2:14">
      <c r="B3352" s="32">
        <f>IF(ISNUMBER(SEARCH('Φόρμα Εισαγωγής'!$B$2,C3352)),MAX($B$1:B3351)+1,0)</f>
        <v>0</v>
      </c>
      <c r="D3352" s="33">
        <f>IF(ISNUMBER(SEARCH('Φόρμα Εισαγωγής'!$C$2,E3352)),MAX($D$1:D3351)+1,0)</f>
        <v>0</v>
      </c>
      <c r="H3352" s="6">
        <f t="shared" si="167"/>
        <v>0</v>
      </c>
      <c r="I3352" s="6">
        <f t="shared" si="168"/>
        <v>0</v>
      </c>
      <c r="J3352" s="6">
        <f t="shared" si="169"/>
        <v>0</v>
      </c>
      <c r="L3352" s="4" t="str">
        <f>IFERROR(VLOOKUP(ROWS($L$2:L3352),$B$2:$C$1996,2,0),"")</f>
        <v/>
      </c>
      <c r="N3352" s="2" t="str">
        <f>IFERROR(VLOOKUP(ROWS($N$2:N3352),$D$2:$E$1996,2,0),"")</f>
        <v/>
      </c>
    </row>
    <row r="3353" spans="2:14">
      <c r="B3353" s="32">
        <f>IF(ISNUMBER(SEARCH('Φόρμα Εισαγωγής'!$B$2,C3353)),MAX($B$1:B3352)+1,0)</f>
        <v>0</v>
      </c>
      <c r="D3353" s="33">
        <f>IF(ISNUMBER(SEARCH('Φόρμα Εισαγωγής'!$C$2,E3353)),MAX($D$1:D3352)+1,0)</f>
        <v>0</v>
      </c>
      <c r="H3353" s="6">
        <f t="shared" si="167"/>
        <v>0</v>
      </c>
      <c r="I3353" s="6">
        <f t="shared" si="168"/>
        <v>0</v>
      </c>
      <c r="J3353" s="6">
        <f t="shared" si="169"/>
        <v>0</v>
      </c>
      <c r="L3353" s="4" t="str">
        <f>IFERROR(VLOOKUP(ROWS($L$2:L3353),$B$2:$C$1996,2,0),"")</f>
        <v/>
      </c>
      <c r="N3353" s="2" t="str">
        <f>IFERROR(VLOOKUP(ROWS($N$2:N3353),$D$2:$E$1996,2,0),"")</f>
        <v/>
      </c>
    </row>
    <row r="3354" spans="2:14">
      <c r="B3354" s="32">
        <f>IF(ISNUMBER(SEARCH('Φόρμα Εισαγωγής'!$B$2,C3354)),MAX($B$1:B3353)+1,0)</f>
        <v>0</v>
      </c>
      <c r="D3354" s="33">
        <f>IF(ISNUMBER(SEARCH('Φόρμα Εισαγωγής'!$C$2,E3354)),MAX($D$1:D3353)+1,0)</f>
        <v>0</v>
      </c>
      <c r="H3354" s="6">
        <f t="shared" si="167"/>
        <v>0</v>
      </c>
      <c r="I3354" s="6">
        <f t="shared" si="168"/>
        <v>0</v>
      </c>
      <c r="J3354" s="6">
        <f t="shared" si="169"/>
        <v>0</v>
      </c>
      <c r="L3354" s="4" t="str">
        <f>IFERROR(VLOOKUP(ROWS($L$2:L3354),$B$2:$C$1996,2,0),"")</f>
        <v/>
      </c>
      <c r="N3354" s="2" t="str">
        <f>IFERROR(VLOOKUP(ROWS($N$2:N3354),$D$2:$E$1996,2,0),"")</f>
        <v/>
      </c>
    </row>
    <row r="3355" spans="2:14">
      <c r="B3355" s="32">
        <f>IF(ISNUMBER(SEARCH('Φόρμα Εισαγωγής'!$B$2,C3355)),MAX($B$1:B3354)+1,0)</f>
        <v>0</v>
      </c>
      <c r="D3355" s="33">
        <f>IF(ISNUMBER(SEARCH('Φόρμα Εισαγωγής'!$C$2,E3355)),MAX($D$1:D3354)+1,0)</f>
        <v>0</v>
      </c>
      <c r="H3355" s="6">
        <f t="shared" si="167"/>
        <v>0</v>
      </c>
      <c r="I3355" s="6">
        <f t="shared" si="168"/>
        <v>0</v>
      </c>
      <c r="J3355" s="6">
        <f t="shared" si="169"/>
        <v>0</v>
      </c>
      <c r="L3355" s="4" t="str">
        <f>IFERROR(VLOOKUP(ROWS($L$2:L3355),$B$2:$C$1996,2,0),"")</f>
        <v/>
      </c>
      <c r="N3355" s="2" t="str">
        <f>IFERROR(VLOOKUP(ROWS($N$2:N3355),$D$2:$E$1996,2,0),"")</f>
        <v/>
      </c>
    </row>
    <row r="3356" spans="2:14">
      <c r="B3356" s="32">
        <f>IF(ISNUMBER(SEARCH('Φόρμα Εισαγωγής'!$B$2,C3356)),MAX($B$1:B3355)+1,0)</f>
        <v>0</v>
      </c>
      <c r="D3356" s="33">
        <f>IF(ISNUMBER(SEARCH('Φόρμα Εισαγωγής'!$C$2,E3356)),MAX($D$1:D3355)+1,0)</f>
        <v>0</v>
      </c>
      <c r="H3356" s="6">
        <f t="shared" si="167"/>
        <v>0</v>
      </c>
      <c r="I3356" s="6">
        <f t="shared" si="168"/>
        <v>0</v>
      </c>
      <c r="J3356" s="6">
        <f t="shared" si="169"/>
        <v>0</v>
      </c>
      <c r="L3356" s="4" t="str">
        <f>IFERROR(VLOOKUP(ROWS($L$2:L3356),$B$2:$C$1996,2,0),"")</f>
        <v/>
      </c>
      <c r="N3356" s="2" t="str">
        <f>IFERROR(VLOOKUP(ROWS($N$2:N3356),$D$2:$E$1996,2,0),"")</f>
        <v/>
      </c>
    </row>
    <row r="3357" spans="2:14">
      <c r="B3357" s="32">
        <f>IF(ISNUMBER(SEARCH('Φόρμα Εισαγωγής'!$B$2,C3357)),MAX($B$1:B3356)+1,0)</f>
        <v>0</v>
      </c>
      <c r="D3357" s="33">
        <f>IF(ISNUMBER(SEARCH('Φόρμα Εισαγωγής'!$C$2,E3357)),MAX($D$1:D3356)+1,0)</f>
        <v>0</v>
      </c>
      <c r="H3357" s="6">
        <f t="shared" si="167"/>
        <v>0</v>
      </c>
      <c r="I3357" s="6">
        <f t="shared" si="168"/>
        <v>0</v>
      </c>
      <c r="J3357" s="6">
        <f t="shared" si="169"/>
        <v>0</v>
      </c>
      <c r="L3357" s="4" t="str">
        <f>IFERROR(VLOOKUP(ROWS($L$2:L3357),$B$2:$C$1996,2,0),"")</f>
        <v/>
      </c>
      <c r="N3357" s="2" t="str">
        <f>IFERROR(VLOOKUP(ROWS($N$2:N3357),$D$2:$E$1996,2,0),"")</f>
        <v/>
      </c>
    </row>
    <row r="3358" spans="2:14">
      <c r="B3358" s="32">
        <f>IF(ISNUMBER(SEARCH('Φόρμα Εισαγωγής'!$B$2,C3358)),MAX($B$1:B3357)+1,0)</f>
        <v>0</v>
      </c>
      <c r="D3358" s="33">
        <f>IF(ISNUMBER(SEARCH('Φόρμα Εισαγωγής'!$C$2,E3358)),MAX($D$1:D3357)+1,0)</f>
        <v>0</v>
      </c>
      <c r="H3358" s="6">
        <f t="shared" si="167"/>
        <v>0</v>
      </c>
      <c r="I3358" s="6">
        <f t="shared" si="168"/>
        <v>0</v>
      </c>
      <c r="J3358" s="6">
        <f t="shared" si="169"/>
        <v>0</v>
      </c>
      <c r="L3358" s="4" t="str">
        <f>IFERROR(VLOOKUP(ROWS($L$2:L3358),$B$2:$C$1996,2,0),"")</f>
        <v/>
      </c>
      <c r="N3358" s="2" t="str">
        <f>IFERROR(VLOOKUP(ROWS($N$2:N3358),$D$2:$E$1996,2,0),"")</f>
        <v/>
      </c>
    </row>
    <row r="3359" spans="2:14">
      <c r="B3359" s="32">
        <f>IF(ISNUMBER(SEARCH('Φόρμα Εισαγωγής'!$B$2,C3359)),MAX($B$1:B3358)+1,0)</f>
        <v>0</v>
      </c>
      <c r="D3359" s="33">
        <f>IF(ISNUMBER(SEARCH('Φόρμα Εισαγωγής'!$C$2,E3359)),MAX($D$1:D3358)+1,0)</f>
        <v>0</v>
      </c>
      <c r="H3359" s="6">
        <f t="shared" si="167"/>
        <v>0</v>
      </c>
      <c r="I3359" s="6">
        <f t="shared" si="168"/>
        <v>0</v>
      </c>
      <c r="J3359" s="6">
        <f t="shared" si="169"/>
        <v>0</v>
      </c>
      <c r="L3359" s="4" t="str">
        <f>IFERROR(VLOOKUP(ROWS($L$2:L3359),$B$2:$C$1996,2,0),"")</f>
        <v/>
      </c>
      <c r="N3359" s="2" t="str">
        <f>IFERROR(VLOOKUP(ROWS($N$2:N3359),$D$2:$E$1996,2,0),"")</f>
        <v/>
      </c>
    </row>
    <row r="3360" spans="2:14">
      <c r="B3360" s="32">
        <f>IF(ISNUMBER(SEARCH('Φόρμα Εισαγωγής'!$B$2,C3360)),MAX($B$1:B3359)+1,0)</f>
        <v>0</v>
      </c>
      <c r="D3360" s="33">
        <f>IF(ISNUMBER(SEARCH('Φόρμα Εισαγωγής'!$C$2,E3360)),MAX($D$1:D3359)+1,0)</f>
        <v>0</v>
      </c>
      <c r="H3360" s="6">
        <f t="shared" si="167"/>
        <v>0</v>
      </c>
      <c r="I3360" s="6">
        <f t="shared" si="168"/>
        <v>0</v>
      </c>
      <c r="J3360" s="6">
        <f t="shared" si="169"/>
        <v>0</v>
      </c>
      <c r="L3360" s="4" t="str">
        <f>IFERROR(VLOOKUP(ROWS($L$2:L3360),$B$2:$C$1996,2,0),"")</f>
        <v/>
      </c>
      <c r="N3360" s="2" t="str">
        <f>IFERROR(VLOOKUP(ROWS($N$2:N3360),$D$2:$E$1996,2,0),"")</f>
        <v/>
      </c>
    </row>
    <row r="3361" spans="2:14">
      <c r="B3361" s="32">
        <f>IF(ISNUMBER(SEARCH('Φόρμα Εισαγωγής'!$B$2,C3361)),MAX($B$1:B3360)+1,0)</f>
        <v>0</v>
      </c>
      <c r="D3361" s="33">
        <f>IF(ISNUMBER(SEARCH('Φόρμα Εισαγωγής'!$C$2,E3361)),MAX($D$1:D3360)+1,0)</f>
        <v>0</v>
      </c>
      <c r="H3361" s="6">
        <f t="shared" si="167"/>
        <v>0</v>
      </c>
      <c r="I3361" s="6">
        <f t="shared" si="168"/>
        <v>0</v>
      </c>
      <c r="J3361" s="6">
        <f t="shared" si="169"/>
        <v>0</v>
      </c>
      <c r="L3361" s="4" t="str">
        <f>IFERROR(VLOOKUP(ROWS($L$2:L3361),$B$2:$C$1996,2,0),"")</f>
        <v/>
      </c>
      <c r="N3361" s="2" t="str">
        <f>IFERROR(VLOOKUP(ROWS($N$2:N3361),$D$2:$E$1996,2,0),"")</f>
        <v/>
      </c>
    </row>
    <row r="3362" spans="2:14">
      <c r="B3362" s="32">
        <f>IF(ISNUMBER(SEARCH('Φόρμα Εισαγωγής'!$B$2,C3362)),MAX($B$1:B3361)+1,0)</f>
        <v>0</v>
      </c>
      <c r="D3362" s="33">
        <f>IF(ISNUMBER(SEARCH('Φόρμα Εισαγωγής'!$C$2,E3362)),MAX($D$1:D3361)+1,0)</f>
        <v>0</v>
      </c>
      <c r="H3362" s="6">
        <f t="shared" si="167"/>
        <v>0</v>
      </c>
      <c r="I3362" s="6">
        <f t="shared" si="168"/>
        <v>0</v>
      </c>
      <c r="J3362" s="6">
        <f t="shared" si="169"/>
        <v>0</v>
      </c>
      <c r="L3362" s="4" t="str">
        <f>IFERROR(VLOOKUP(ROWS($L$2:L3362),$B$2:$C$1996,2,0),"")</f>
        <v/>
      </c>
      <c r="N3362" s="2" t="str">
        <f>IFERROR(VLOOKUP(ROWS($N$2:N3362),$D$2:$E$1996,2,0),"")</f>
        <v/>
      </c>
    </row>
    <row r="3363" spans="2:14">
      <c r="B3363" s="32">
        <f>IF(ISNUMBER(SEARCH('Φόρμα Εισαγωγής'!$B$2,C3363)),MAX($B$1:B3362)+1,0)</f>
        <v>0</v>
      </c>
      <c r="D3363" s="33">
        <f>IF(ISNUMBER(SEARCH('Φόρμα Εισαγωγής'!$C$2,E3363)),MAX($D$1:D3362)+1,0)</f>
        <v>0</v>
      </c>
      <c r="H3363" s="6">
        <f t="shared" si="167"/>
        <v>0</v>
      </c>
      <c r="I3363" s="6">
        <f t="shared" si="168"/>
        <v>0</v>
      </c>
      <c r="J3363" s="6">
        <f t="shared" si="169"/>
        <v>0</v>
      </c>
      <c r="L3363" s="4" t="str">
        <f>IFERROR(VLOOKUP(ROWS($L$2:L3363),$B$2:$C$1996,2,0),"")</f>
        <v/>
      </c>
      <c r="N3363" s="2" t="str">
        <f>IFERROR(VLOOKUP(ROWS($N$2:N3363),$D$2:$E$1996,2,0),"")</f>
        <v/>
      </c>
    </row>
    <row r="3364" spans="2:14">
      <c r="B3364" s="32">
        <f>IF(ISNUMBER(SEARCH('Φόρμα Εισαγωγής'!$B$2,C3364)),MAX($B$1:B3363)+1,0)</f>
        <v>0</v>
      </c>
      <c r="D3364" s="33">
        <f>IF(ISNUMBER(SEARCH('Φόρμα Εισαγωγής'!$C$2,E3364)),MAX($D$1:D3363)+1,0)</f>
        <v>0</v>
      </c>
      <c r="H3364" s="6">
        <f t="shared" si="167"/>
        <v>0</v>
      </c>
      <c r="I3364" s="6">
        <f t="shared" si="168"/>
        <v>0</v>
      </c>
      <c r="J3364" s="6">
        <f t="shared" si="169"/>
        <v>0</v>
      </c>
      <c r="L3364" s="4" t="str">
        <f>IFERROR(VLOOKUP(ROWS($L$2:L3364),$B$2:$C$1996,2,0),"")</f>
        <v/>
      </c>
      <c r="N3364" s="2" t="str">
        <f>IFERROR(VLOOKUP(ROWS($N$2:N3364),$D$2:$E$1996,2,0),"")</f>
        <v/>
      </c>
    </row>
    <row r="3365" spans="2:14">
      <c r="B3365" s="32">
        <f>IF(ISNUMBER(SEARCH('Φόρμα Εισαγωγής'!$B$2,C3365)),MAX($B$1:B3364)+1,0)</f>
        <v>0</v>
      </c>
      <c r="D3365" s="33">
        <f>IF(ISNUMBER(SEARCH('Φόρμα Εισαγωγής'!$C$2,E3365)),MAX($D$1:D3364)+1,0)</f>
        <v>0</v>
      </c>
      <c r="H3365" s="6">
        <f t="shared" si="167"/>
        <v>0</v>
      </c>
      <c r="I3365" s="6">
        <f t="shared" si="168"/>
        <v>0</v>
      </c>
      <c r="J3365" s="6">
        <f t="shared" si="169"/>
        <v>0</v>
      </c>
      <c r="L3365" s="4" t="str">
        <f>IFERROR(VLOOKUP(ROWS($L$2:L3365),$B$2:$C$1996,2,0),"")</f>
        <v/>
      </c>
      <c r="N3365" s="2" t="str">
        <f>IFERROR(VLOOKUP(ROWS($N$2:N3365),$D$2:$E$1996,2,0),"")</f>
        <v/>
      </c>
    </row>
    <row r="3366" spans="2:14">
      <c r="B3366" s="32">
        <f>IF(ISNUMBER(SEARCH('Φόρμα Εισαγωγής'!$B$2,C3366)),MAX($B$1:B3365)+1,0)</f>
        <v>0</v>
      </c>
      <c r="D3366" s="33">
        <f>IF(ISNUMBER(SEARCH('Φόρμα Εισαγωγής'!$C$2,E3366)),MAX($D$1:D3365)+1,0)</f>
        <v>0</v>
      </c>
      <c r="H3366" s="6">
        <f t="shared" si="167"/>
        <v>0</v>
      </c>
      <c r="I3366" s="6">
        <f t="shared" si="168"/>
        <v>0</v>
      </c>
      <c r="J3366" s="6">
        <f t="shared" si="169"/>
        <v>0</v>
      </c>
      <c r="L3366" s="4" t="str">
        <f>IFERROR(VLOOKUP(ROWS($L$2:L3366),$B$2:$C$1996,2,0),"")</f>
        <v/>
      </c>
      <c r="N3366" s="2" t="str">
        <f>IFERROR(VLOOKUP(ROWS($N$2:N3366),$D$2:$E$1996,2,0),"")</f>
        <v/>
      </c>
    </row>
    <row r="3367" spans="2:14">
      <c r="B3367" s="32">
        <f>IF(ISNUMBER(SEARCH('Φόρμα Εισαγωγής'!$B$2,C3367)),MAX($B$1:B3366)+1,0)</f>
        <v>0</v>
      </c>
      <c r="D3367" s="33">
        <f>IF(ISNUMBER(SEARCH('Φόρμα Εισαγωγής'!$C$2,E3367)),MAX($D$1:D3366)+1,0)</f>
        <v>0</v>
      </c>
      <c r="H3367" s="6">
        <f t="shared" si="167"/>
        <v>0</v>
      </c>
      <c r="I3367" s="6">
        <f t="shared" si="168"/>
        <v>0</v>
      </c>
      <c r="J3367" s="6">
        <f t="shared" si="169"/>
        <v>0</v>
      </c>
      <c r="L3367" s="4" t="str">
        <f>IFERROR(VLOOKUP(ROWS($L$2:L3367),$B$2:$C$1996,2,0),"")</f>
        <v/>
      </c>
      <c r="N3367" s="2" t="str">
        <f>IFERROR(VLOOKUP(ROWS($N$2:N3367),$D$2:$E$1996,2,0),"")</f>
        <v/>
      </c>
    </row>
    <row r="3368" spans="2:14">
      <c r="B3368" s="32">
        <f>IF(ISNUMBER(SEARCH('Φόρμα Εισαγωγής'!$B$2,C3368)),MAX($B$1:B3367)+1,0)</f>
        <v>0</v>
      </c>
      <c r="D3368" s="33">
        <f>IF(ISNUMBER(SEARCH('Φόρμα Εισαγωγής'!$C$2,E3368)),MAX($D$1:D3367)+1,0)</f>
        <v>0</v>
      </c>
      <c r="H3368" s="6">
        <f t="shared" si="167"/>
        <v>0</v>
      </c>
      <c r="I3368" s="6">
        <f t="shared" si="168"/>
        <v>0</v>
      </c>
      <c r="J3368" s="6">
        <f t="shared" si="169"/>
        <v>0</v>
      </c>
      <c r="L3368" s="4" t="str">
        <f>IFERROR(VLOOKUP(ROWS($L$2:L3368),$B$2:$C$1996,2,0),"")</f>
        <v/>
      </c>
      <c r="N3368" s="2" t="str">
        <f>IFERROR(VLOOKUP(ROWS($N$2:N3368),$D$2:$E$1996,2,0),"")</f>
        <v/>
      </c>
    </row>
    <row r="3369" spans="2:14">
      <c r="B3369" s="32">
        <f>IF(ISNUMBER(SEARCH('Φόρμα Εισαγωγής'!$B$2,C3369)),MAX($B$1:B3368)+1,0)</f>
        <v>0</v>
      </c>
      <c r="D3369" s="33">
        <f>IF(ISNUMBER(SEARCH('Φόρμα Εισαγωγής'!$C$2,E3369)),MAX($D$1:D3368)+1,0)</f>
        <v>0</v>
      </c>
      <c r="H3369" s="6">
        <f t="shared" si="167"/>
        <v>0</v>
      </c>
      <c r="I3369" s="6">
        <f t="shared" si="168"/>
        <v>0</v>
      </c>
      <c r="J3369" s="6">
        <f t="shared" si="169"/>
        <v>0</v>
      </c>
      <c r="L3369" s="4" t="str">
        <f>IFERROR(VLOOKUP(ROWS($L$2:L3369),$B$2:$C$1996,2,0),"")</f>
        <v/>
      </c>
      <c r="N3369" s="2" t="str">
        <f>IFERROR(VLOOKUP(ROWS($N$2:N3369),$D$2:$E$1996,2,0),"")</f>
        <v/>
      </c>
    </row>
    <row r="3370" spans="2:14">
      <c r="B3370" s="32">
        <f>IF(ISNUMBER(SEARCH('Φόρμα Εισαγωγής'!$B$2,C3370)),MAX($B$1:B3369)+1,0)</f>
        <v>0</v>
      </c>
      <c r="D3370" s="33">
        <f>IF(ISNUMBER(SEARCH('Φόρμα Εισαγωγής'!$C$2,E3370)),MAX($D$1:D3369)+1,0)</f>
        <v>0</v>
      </c>
      <c r="H3370" s="6">
        <f t="shared" si="167"/>
        <v>0</v>
      </c>
      <c r="I3370" s="6">
        <f t="shared" si="168"/>
        <v>0</v>
      </c>
      <c r="J3370" s="6">
        <f t="shared" si="169"/>
        <v>0</v>
      </c>
      <c r="L3370" s="4" t="str">
        <f>IFERROR(VLOOKUP(ROWS($L$2:L3370),$B$2:$C$1996,2,0),"")</f>
        <v/>
      </c>
      <c r="N3370" s="2" t="str">
        <f>IFERROR(VLOOKUP(ROWS($N$2:N3370),$D$2:$E$1996,2,0),"")</f>
        <v/>
      </c>
    </row>
    <row r="3371" spans="2:14">
      <c r="B3371" s="32">
        <f>IF(ISNUMBER(SEARCH('Φόρμα Εισαγωγής'!$B$2,C3371)),MAX($B$1:B3370)+1,0)</f>
        <v>0</v>
      </c>
      <c r="D3371" s="33">
        <f>IF(ISNUMBER(SEARCH('Φόρμα Εισαγωγής'!$C$2,E3371)),MAX($D$1:D3370)+1,0)</f>
        <v>0</v>
      </c>
      <c r="H3371" s="6">
        <f t="shared" si="167"/>
        <v>0</v>
      </c>
      <c r="I3371" s="6">
        <f t="shared" si="168"/>
        <v>0</v>
      </c>
      <c r="J3371" s="6">
        <f t="shared" si="169"/>
        <v>0</v>
      </c>
      <c r="L3371" s="4" t="str">
        <f>IFERROR(VLOOKUP(ROWS($L$2:L3371),$B$2:$C$1996,2,0),"")</f>
        <v/>
      </c>
      <c r="N3371" s="2" t="str">
        <f>IFERROR(VLOOKUP(ROWS($N$2:N3371),$D$2:$E$1996,2,0),"")</f>
        <v/>
      </c>
    </row>
    <row r="3372" spans="2:14">
      <c r="B3372" s="32">
        <f>IF(ISNUMBER(SEARCH('Φόρμα Εισαγωγής'!$B$2,C3372)),MAX($B$1:B3371)+1,0)</f>
        <v>0</v>
      </c>
      <c r="D3372" s="33">
        <f>IF(ISNUMBER(SEARCH('Φόρμα Εισαγωγής'!$C$2,E3372)),MAX($D$1:D3371)+1,0)</f>
        <v>0</v>
      </c>
      <c r="H3372" s="6">
        <f t="shared" si="167"/>
        <v>0</v>
      </c>
      <c r="I3372" s="6">
        <f t="shared" si="168"/>
        <v>0</v>
      </c>
      <c r="J3372" s="6">
        <f t="shared" si="169"/>
        <v>0</v>
      </c>
      <c r="L3372" s="4" t="str">
        <f>IFERROR(VLOOKUP(ROWS($L$2:L3372),$B$2:$C$1996,2,0),"")</f>
        <v/>
      </c>
      <c r="N3372" s="2" t="str">
        <f>IFERROR(VLOOKUP(ROWS($N$2:N3372),$D$2:$E$1996,2,0),"")</f>
        <v/>
      </c>
    </row>
    <row r="3373" spans="2:14">
      <c r="B3373" s="32">
        <f>IF(ISNUMBER(SEARCH('Φόρμα Εισαγωγής'!$B$2,C3373)),MAX($B$1:B3372)+1,0)</f>
        <v>0</v>
      </c>
      <c r="D3373" s="33">
        <f>IF(ISNUMBER(SEARCH('Φόρμα Εισαγωγής'!$C$2,E3373)),MAX($D$1:D3372)+1,0)</f>
        <v>0</v>
      </c>
      <c r="H3373" s="6">
        <f t="shared" si="167"/>
        <v>0</v>
      </c>
      <c r="I3373" s="6">
        <f t="shared" si="168"/>
        <v>0</v>
      </c>
      <c r="J3373" s="6">
        <f t="shared" si="169"/>
        <v>0</v>
      </c>
      <c r="L3373" s="4" t="str">
        <f>IFERROR(VLOOKUP(ROWS($L$2:L3373),$B$2:$C$1996,2,0),"")</f>
        <v/>
      </c>
      <c r="N3373" s="2" t="str">
        <f>IFERROR(VLOOKUP(ROWS($N$2:N3373),$D$2:$E$1996,2,0),"")</f>
        <v/>
      </c>
    </row>
    <row r="3374" spans="2:14">
      <c r="B3374" s="32">
        <f>IF(ISNUMBER(SEARCH('Φόρμα Εισαγωγής'!$B$2,C3374)),MAX($B$1:B3373)+1,0)</f>
        <v>0</v>
      </c>
      <c r="D3374" s="33">
        <f>IF(ISNUMBER(SEARCH('Φόρμα Εισαγωγής'!$C$2,E3374)),MAX($D$1:D3373)+1,0)</f>
        <v>0</v>
      </c>
      <c r="H3374" s="6">
        <f t="shared" si="167"/>
        <v>0</v>
      </c>
      <c r="I3374" s="6">
        <f t="shared" si="168"/>
        <v>0</v>
      </c>
      <c r="J3374" s="6">
        <f t="shared" si="169"/>
        <v>0</v>
      </c>
      <c r="L3374" s="4" t="str">
        <f>IFERROR(VLOOKUP(ROWS($L$2:L3374),$B$2:$C$1996,2,0),"")</f>
        <v/>
      </c>
      <c r="N3374" s="2" t="str">
        <f>IFERROR(VLOOKUP(ROWS($N$2:N3374),$D$2:$E$1996,2,0),"")</f>
        <v/>
      </c>
    </row>
    <row r="3375" spans="2:14">
      <c r="B3375" s="32">
        <f>IF(ISNUMBER(SEARCH('Φόρμα Εισαγωγής'!$B$2,C3375)),MAX($B$1:B3374)+1,0)</f>
        <v>0</v>
      </c>
      <c r="D3375" s="33">
        <f>IF(ISNUMBER(SEARCH('Φόρμα Εισαγωγής'!$C$2,E3375)),MAX($D$1:D3374)+1,0)</f>
        <v>0</v>
      </c>
      <c r="H3375" s="6">
        <f t="shared" si="167"/>
        <v>0</v>
      </c>
      <c r="I3375" s="6">
        <f t="shared" si="168"/>
        <v>0</v>
      </c>
      <c r="J3375" s="6">
        <f t="shared" si="169"/>
        <v>0</v>
      </c>
      <c r="L3375" s="4" t="str">
        <f>IFERROR(VLOOKUP(ROWS($L$2:L3375),$B$2:$C$1996,2,0),"")</f>
        <v/>
      </c>
      <c r="N3375" s="2" t="str">
        <f>IFERROR(VLOOKUP(ROWS($N$2:N3375),$D$2:$E$1996,2,0),"")</f>
        <v/>
      </c>
    </row>
    <row r="3376" spans="2:14">
      <c r="B3376" s="32">
        <f>IF(ISNUMBER(SEARCH('Φόρμα Εισαγωγής'!$B$2,C3376)),MAX($B$1:B3375)+1,0)</f>
        <v>0</v>
      </c>
      <c r="D3376" s="33">
        <f>IF(ISNUMBER(SEARCH('Φόρμα Εισαγωγής'!$C$2,E3376)),MAX($D$1:D3375)+1,0)</f>
        <v>0</v>
      </c>
      <c r="H3376" s="6">
        <f t="shared" si="167"/>
        <v>0</v>
      </c>
      <c r="I3376" s="6">
        <f t="shared" si="168"/>
        <v>0</v>
      </c>
      <c r="J3376" s="6">
        <f t="shared" si="169"/>
        <v>0</v>
      </c>
      <c r="L3376" s="4" t="str">
        <f>IFERROR(VLOOKUP(ROWS($L$2:L3376),$B$2:$C$1996,2,0),"")</f>
        <v/>
      </c>
      <c r="N3376" s="2" t="str">
        <f>IFERROR(VLOOKUP(ROWS($N$2:N3376),$D$2:$E$1996,2,0),"")</f>
        <v/>
      </c>
    </row>
    <row r="3377" spans="2:14">
      <c r="B3377" s="32">
        <f>IF(ISNUMBER(SEARCH('Φόρμα Εισαγωγής'!$B$2,C3377)),MAX($B$1:B3376)+1,0)</f>
        <v>0</v>
      </c>
      <c r="D3377" s="33">
        <f>IF(ISNUMBER(SEARCH('Φόρμα Εισαγωγής'!$C$2,E3377)),MAX($D$1:D3376)+1,0)</f>
        <v>0</v>
      </c>
      <c r="H3377" s="6">
        <f t="shared" si="167"/>
        <v>0</v>
      </c>
      <c r="I3377" s="6">
        <f t="shared" si="168"/>
        <v>0</v>
      </c>
      <c r="J3377" s="6">
        <f t="shared" si="169"/>
        <v>0</v>
      </c>
      <c r="L3377" s="4" t="str">
        <f>IFERROR(VLOOKUP(ROWS($L$2:L3377),$B$2:$C$1996,2,0),"")</f>
        <v/>
      </c>
      <c r="N3377" s="2" t="str">
        <f>IFERROR(VLOOKUP(ROWS($N$2:N3377),$D$2:$E$1996,2,0),"")</f>
        <v/>
      </c>
    </row>
    <row r="3378" spans="2:14">
      <c r="B3378" s="32">
        <f>IF(ISNUMBER(SEARCH('Φόρμα Εισαγωγής'!$B$2,C3378)),MAX($B$1:B3377)+1,0)</f>
        <v>0</v>
      </c>
      <c r="D3378" s="33">
        <f>IF(ISNUMBER(SEARCH('Φόρμα Εισαγωγής'!$C$2,E3378)),MAX($D$1:D3377)+1,0)</f>
        <v>0</v>
      </c>
      <c r="H3378" s="6">
        <f t="shared" si="167"/>
        <v>0</v>
      </c>
      <c r="I3378" s="6">
        <f t="shared" si="168"/>
        <v>0</v>
      </c>
      <c r="J3378" s="6">
        <f t="shared" si="169"/>
        <v>0</v>
      </c>
      <c r="L3378" s="4" t="str">
        <f>IFERROR(VLOOKUP(ROWS($L$2:L3378),$B$2:$C$1996,2,0),"")</f>
        <v/>
      </c>
      <c r="N3378" s="2" t="str">
        <f>IFERROR(VLOOKUP(ROWS($N$2:N3378),$D$2:$E$1996,2,0),"")</f>
        <v/>
      </c>
    </row>
    <row r="3379" spans="2:14">
      <c r="B3379" s="32">
        <f>IF(ISNUMBER(SEARCH('Φόρμα Εισαγωγής'!$B$2,C3379)),MAX($B$1:B3378)+1,0)</f>
        <v>0</v>
      </c>
      <c r="D3379" s="33">
        <f>IF(ISNUMBER(SEARCH('Φόρμα Εισαγωγής'!$C$2,E3379)),MAX($D$1:D3378)+1,0)</f>
        <v>0</v>
      </c>
      <c r="H3379" s="6">
        <f t="shared" si="167"/>
        <v>0</v>
      </c>
      <c r="I3379" s="6">
        <f t="shared" si="168"/>
        <v>0</v>
      </c>
      <c r="J3379" s="6">
        <f t="shared" si="169"/>
        <v>0</v>
      </c>
      <c r="L3379" s="4" t="str">
        <f>IFERROR(VLOOKUP(ROWS($L$2:L3379),$B$2:$C$1996,2,0),"")</f>
        <v/>
      </c>
      <c r="N3379" s="2" t="str">
        <f>IFERROR(VLOOKUP(ROWS($N$2:N3379),$D$2:$E$1996,2,0),"")</f>
        <v/>
      </c>
    </row>
    <row r="3380" spans="2:14">
      <c r="B3380" s="32">
        <f>IF(ISNUMBER(SEARCH('Φόρμα Εισαγωγής'!$B$2,C3380)),MAX($B$1:B3379)+1,0)</f>
        <v>0</v>
      </c>
      <c r="D3380" s="33">
        <f>IF(ISNUMBER(SEARCH('Φόρμα Εισαγωγής'!$C$2,E3380)),MAX($D$1:D3379)+1,0)</f>
        <v>0</v>
      </c>
      <c r="H3380" s="6">
        <f t="shared" si="167"/>
        <v>0</v>
      </c>
      <c r="I3380" s="6">
        <f t="shared" si="168"/>
        <v>0</v>
      </c>
      <c r="J3380" s="6">
        <f t="shared" si="169"/>
        <v>0</v>
      </c>
      <c r="L3380" s="4" t="str">
        <f>IFERROR(VLOOKUP(ROWS($L$2:L3380),$B$2:$C$1996,2,0),"")</f>
        <v/>
      </c>
      <c r="N3380" s="2" t="str">
        <f>IFERROR(VLOOKUP(ROWS($N$2:N3380),$D$2:$E$1996,2,0),"")</f>
        <v/>
      </c>
    </row>
    <row r="3381" spans="2:14">
      <c r="B3381" s="32">
        <f>IF(ISNUMBER(SEARCH('Φόρμα Εισαγωγής'!$B$2,C3381)),MAX($B$1:B3380)+1,0)</f>
        <v>0</v>
      </c>
      <c r="D3381" s="33">
        <f>IF(ISNUMBER(SEARCH('Φόρμα Εισαγωγής'!$C$2,E3381)),MAX($D$1:D3380)+1,0)</f>
        <v>0</v>
      </c>
      <c r="H3381" s="6">
        <f t="shared" si="167"/>
        <v>0</v>
      </c>
      <c r="I3381" s="6">
        <f t="shared" si="168"/>
        <v>0</v>
      </c>
      <c r="J3381" s="6">
        <f t="shared" si="169"/>
        <v>0</v>
      </c>
      <c r="L3381" s="4" t="str">
        <f>IFERROR(VLOOKUP(ROWS($L$2:L3381),$B$2:$C$1996,2,0),"")</f>
        <v/>
      </c>
      <c r="N3381" s="2" t="str">
        <f>IFERROR(VLOOKUP(ROWS($N$2:N3381),$D$2:$E$1996,2,0),"")</f>
        <v/>
      </c>
    </row>
    <row r="3382" spans="2:14">
      <c r="B3382" s="32">
        <f>IF(ISNUMBER(SEARCH('Φόρμα Εισαγωγής'!$B$2,C3382)),MAX($B$1:B3381)+1,0)</f>
        <v>0</v>
      </c>
      <c r="D3382" s="33">
        <f>IF(ISNUMBER(SEARCH('Φόρμα Εισαγωγής'!$C$2,E3382)),MAX($D$1:D3381)+1,0)</f>
        <v>0</v>
      </c>
      <c r="H3382" s="6">
        <f t="shared" si="167"/>
        <v>0</v>
      </c>
      <c r="I3382" s="6">
        <f t="shared" si="168"/>
        <v>0</v>
      </c>
      <c r="J3382" s="6">
        <f t="shared" si="169"/>
        <v>0</v>
      </c>
      <c r="L3382" s="4" t="str">
        <f>IFERROR(VLOOKUP(ROWS($L$2:L3382),$B$2:$C$1996,2,0),"")</f>
        <v/>
      </c>
      <c r="N3382" s="2" t="str">
        <f>IFERROR(VLOOKUP(ROWS($N$2:N3382),$D$2:$E$1996,2,0),"")</f>
        <v/>
      </c>
    </row>
    <row r="3383" spans="2:14">
      <c r="B3383" s="32">
        <f>IF(ISNUMBER(SEARCH('Φόρμα Εισαγωγής'!$B$2,C3383)),MAX($B$1:B3382)+1,0)</f>
        <v>0</v>
      </c>
      <c r="D3383" s="33">
        <f>IF(ISNUMBER(SEARCH('Φόρμα Εισαγωγής'!$C$2,E3383)),MAX($D$1:D3382)+1,0)</f>
        <v>0</v>
      </c>
      <c r="H3383" s="6">
        <f t="shared" si="167"/>
        <v>0</v>
      </c>
      <c r="I3383" s="6">
        <f t="shared" si="168"/>
        <v>0</v>
      </c>
      <c r="J3383" s="6">
        <f t="shared" si="169"/>
        <v>0</v>
      </c>
      <c r="L3383" s="4" t="str">
        <f>IFERROR(VLOOKUP(ROWS($L$2:L3383),$B$2:$C$1996,2,0),"")</f>
        <v/>
      </c>
      <c r="N3383" s="2" t="str">
        <f>IFERROR(VLOOKUP(ROWS($N$2:N3383),$D$2:$E$1996,2,0),"")</f>
        <v/>
      </c>
    </row>
    <row r="3384" spans="2:14">
      <c r="B3384" s="32">
        <f>IF(ISNUMBER(SEARCH('Φόρμα Εισαγωγής'!$B$2,C3384)),MAX($B$1:B3383)+1,0)</f>
        <v>0</v>
      </c>
      <c r="D3384" s="33">
        <f>IF(ISNUMBER(SEARCH('Φόρμα Εισαγωγής'!$C$2,E3384)),MAX($D$1:D3383)+1,0)</f>
        <v>0</v>
      </c>
      <c r="H3384" s="6">
        <f t="shared" si="167"/>
        <v>0</v>
      </c>
      <c r="I3384" s="6">
        <f t="shared" si="168"/>
        <v>0</v>
      </c>
      <c r="J3384" s="6">
        <f t="shared" si="169"/>
        <v>0</v>
      </c>
      <c r="L3384" s="4" t="str">
        <f>IFERROR(VLOOKUP(ROWS($L$2:L3384),$B$2:$C$1996,2,0),"")</f>
        <v/>
      </c>
      <c r="N3384" s="2" t="str">
        <f>IFERROR(VLOOKUP(ROWS($N$2:N3384),$D$2:$E$1996,2,0),"")</f>
        <v/>
      </c>
    </row>
    <row r="3385" spans="2:14">
      <c r="B3385" s="32">
        <f>IF(ISNUMBER(SEARCH('Φόρμα Εισαγωγής'!$B$2,C3385)),MAX($B$1:B3384)+1,0)</f>
        <v>0</v>
      </c>
      <c r="D3385" s="33">
        <f>IF(ISNUMBER(SEARCH('Φόρμα Εισαγωγής'!$C$2,E3385)),MAX($D$1:D3384)+1,0)</f>
        <v>0</v>
      </c>
      <c r="H3385" s="6">
        <f t="shared" si="167"/>
        <v>0</v>
      </c>
      <c r="I3385" s="6">
        <f t="shared" si="168"/>
        <v>0</v>
      </c>
      <c r="J3385" s="6">
        <f t="shared" si="169"/>
        <v>0</v>
      </c>
      <c r="L3385" s="4" t="str">
        <f>IFERROR(VLOOKUP(ROWS($L$2:L3385),$B$2:$C$1996,2,0),"")</f>
        <v/>
      </c>
      <c r="N3385" s="2" t="str">
        <f>IFERROR(VLOOKUP(ROWS($N$2:N3385),$D$2:$E$1996,2,0),"")</f>
        <v/>
      </c>
    </row>
    <row r="3386" spans="2:14">
      <c r="B3386" s="32">
        <f>IF(ISNUMBER(SEARCH('Φόρμα Εισαγωγής'!$B$2,C3386)),MAX($B$1:B3385)+1,0)</f>
        <v>0</v>
      </c>
      <c r="D3386" s="33">
        <f>IF(ISNUMBER(SEARCH('Φόρμα Εισαγωγής'!$C$2,E3386)),MAX($D$1:D3385)+1,0)</f>
        <v>0</v>
      </c>
      <c r="H3386" s="6">
        <f t="shared" si="167"/>
        <v>0</v>
      </c>
      <c r="I3386" s="6">
        <f t="shared" si="168"/>
        <v>0</v>
      </c>
      <c r="J3386" s="6">
        <f t="shared" si="169"/>
        <v>0</v>
      </c>
      <c r="L3386" s="4" t="str">
        <f>IFERROR(VLOOKUP(ROWS($L$2:L3386),$B$2:$C$1996,2,0),"")</f>
        <v/>
      </c>
      <c r="N3386" s="2" t="str">
        <f>IFERROR(VLOOKUP(ROWS($N$2:N3386),$D$2:$E$1996,2,0),"")</f>
        <v/>
      </c>
    </row>
    <row r="3387" spans="2:14">
      <c r="B3387" s="32">
        <f>IF(ISNUMBER(SEARCH('Φόρμα Εισαγωγής'!$B$2,C3387)),MAX($B$1:B3386)+1,0)</f>
        <v>0</v>
      </c>
      <c r="D3387" s="33">
        <f>IF(ISNUMBER(SEARCH('Φόρμα Εισαγωγής'!$C$2,E3387)),MAX($D$1:D3386)+1,0)</f>
        <v>0</v>
      </c>
      <c r="H3387" s="6">
        <f t="shared" si="167"/>
        <v>0</v>
      </c>
      <c r="I3387" s="6">
        <f t="shared" si="168"/>
        <v>0</v>
      </c>
      <c r="J3387" s="6">
        <f t="shared" si="169"/>
        <v>0</v>
      </c>
      <c r="L3387" s="4" t="str">
        <f>IFERROR(VLOOKUP(ROWS($L$2:L3387),$B$2:$C$1996,2,0),"")</f>
        <v/>
      </c>
      <c r="N3387" s="2" t="str">
        <f>IFERROR(VLOOKUP(ROWS($N$2:N3387),$D$2:$E$1996,2,0),"")</f>
        <v/>
      </c>
    </row>
    <row r="3388" spans="2:14">
      <c r="B3388" s="32">
        <f>IF(ISNUMBER(SEARCH('Φόρμα Εισαγωγής'!$B$2,C3388)),MAX($B$1:B3387)+1,0)</f>
        <v>0</v>
      </c>
      <c r="D3388" s="33">
        <f>IF(ISNUMBER(SEARCH('Φόρμα Εισαγωγής'!$C$2,E3388)),MAX($D$1:D3387)+1,0)</f>
        <v>0</v>
      </c>
      <c r="H3388" s="6">
        <f t="shared" si="167"/>
        <v>0</v>
      </c>
      <c r="I3388" s="6">
        <f t="shared" si="168"/>
        <v>0</v>
      </c>
      <c r="J3388" s="6">
        <f t="shared" si="169"/>
        <v>0</v>
      </c>
      <c r="L3388" s="4" t="str">
        <f>IFERROR(VLOOKUP(ROWS($L$2:L3388),$B$2:$C$1996,2,0),"")</f>
        <v/>
      </c>
      <c r="N3388" s="2" t="str">
        <f>IFERROR(VLOOKUP(ROWS($N$2:N3388),$D$2:$E$1996,2,0),"")</f>
        <v/>
      </c>
    </row>
    <row r="3389" spans="2:14">
      <c r="B3389" s="32">
        <f>IF(ISNUMBER(SEARCH('Φόρμα Εισαγωγής'!$B$2,C3389)),MAX($B$1:B3388)+1,0)</f>
        <v>0</v>
      </c>
      <c r="D3389" s="33">
        <f>IF(ISNUMBER(SEARCH('Φόρμα Εισαγωγής'!$C$2,E3389)),MAX($D$1:D3388)+1,0)</f>
        <v>0</v>
      </c>
      <c r="H3389" s="6">
        <f t="shared" si="167"/>
        <v>0</v>
      </c>
      <c r="I3389" s="6">
        <f t="shared" si="168"/>
        <v>0</v>
      </c>
      <c r="J3389" s="6">
        <f t="shared" si="169"/>
        <v>0</v>
      </c>
      <c r="L3389" s="4" t="str">
        <f>IFERROR(VLOOKUP(ROWS($L$2:L3389),$B$2:$C$1996,2,0),"")</f>
        <v/>
      </c>
      <c r="N3389" s="2" t="str">
        <f>IFERROR(VLOOKUP(ROWS($N$2:N3389),$D$2:$E$1996,2,0),"")</f>
        <v/>
      </c>
    </row>
    <row r="3390" spans="2:14">
      <c r="B3390" s="32">
        <f>IF(ISNUMBER(SEARCH('Φόρμα Εισαγωγής'!$B$2,C3390)),MAX($B$1:B3389)+1,0)</f>
        <v>0</v>
      </c>
      <c r="D3390" s="33">
        <f>IF(ISNUMBER(SEARCH('Φόρμα Εισαγωγής'!$C$2,E3390)),MAX($D$1:D3389)+1,0)</f>
        <v>0</v>
      </c>
      <c r="H3390" s="6">
        <f t="shared" si="167"/>
        <v>0</v>
      </c>
      <c r="I3390" s="6">
        <f t="shared" si="168"/>
        <v>0</v>
      </c>
      <c r="J3390" s="6">
        <f t="shared" si="169"/>
        <v>0</v>
      </c>
      <c r="L3390" s="4" t="str">
        <f>IFERROR(VLOOKUP(ROWS($L$2:L3390),$B$2:$C$1996,2,0),"")</f>
        <v/>
      </c>
      <c r="N3390" s="2" t="str">
        <f>IFERROR(VLOOKUP(ROWS($N$2:N3390),$D$2:$E$1996,2,0),"")</f>
        <v/>
      </c>
    </row>
    <row r="3391" spans="2:14">
      <c r="B3391" s="32">
        <f>IF(ISNUMBER(SEARCH('Φόρμα Εισαγωγής'!$B$2,C3391)),MAX($B$1:B3390)+1,0)</f>
        <v>0</v>
      </c>
      <c r="D3391" s="33">
        <f>IF(ISNUMBER(SEARCH('Φόρμα Εισαγωγής'!$C$2,E3391)),MAX($D$1:D3390)+1,0)</f>
        <v>0</v>
      </c>
      <c r="H3391" s="6">
        <f t="shared" si="167"/>
        <v>0</v>
      </c>
      <c r="I3391" s="6">
        <f t="shared" si="168"/>
        <v>0</v>
      </c>
      <c r="J3391" s="6">
        <f t="shared" si="169"/>
        <v>0</v>
      </c>
      <c r="L3391" s="4" t="str">
        <f>IFERROR(VLOOKUP(ROWS($L$2:L3391),$B$2:$C$1996,2,0),"")</f>
        <v/>
      </c>
      <c r="N3391" s="2" t="str">
        <f>IFERROR(VLOOKUP(ROWS($N$2:N3391),$D$2:$E$1996,2,0),"")</f>
        <v/>
      </c>
    </row>
    <row r="3392" spans="2:14">
      <c r="B3392" s="32">
        <f>IF(ISNUMBER(SEARCH('Φόρμα Εισαγωγής'!$B$2,C3392)),MAX($B$1:B3391)+1,0)</f>
        <v>0</v>
      </c>
      <c r="D3392" s="33">
        <f>IF(ISNUMBER(SEARCH('Φόρμα Εισαγωγής'!$C$2,E3392)),MAX($D$1:D3391)+1,0)</f>
        <v>0</v>
      </c>
      <c r="H3392" s="6">
        <f t="shared" ref="H3392:H3455" si="170">G3392+(G3392*0.24)</f>
        <v>0</v>
      </c>
      <c r="I3392" s="6">
        <f t="shared" ref="I3392:I3455" si="171">F3392*A3392</f>
        <v>0</v>
      </c>
      <c r="J3392" s="6">
        <f t="shared" ref="J3392:J3455" si="172">H3392*A3392</f>
        <v>0</v>
      </c>
      <c r="L3392" s="4" t="str">
        <f>IFERROR(VLOOKUP(ROWS($L$2:L3392),$B$2:$C$1996,2,0),"")</f>
        <v/>
      </c>
      <c r="N3392" s="2" t="str">
        <f>IFERROR(VLOOKUP(ROWS($N$2:N3392),$D$2:$E$1996,2,0),"")</f>
        <v/>
      </c>
    </row>
    <row r="3393" spans="2:14">
      <c r="B3393" s="32">
        <f>IF(ISNUMBER(SEARCH('Φόρμα Εισαγωγής'!$B$2,C3393)),MAX($B$1:B3392)+1,0)</f>
        <v>0</v>
      </c>
      <c r="D3393" s="33">
        <f>IF(ISNUMBER(SEARCH('Φόρμα Εισαγωγής'!$C$2,E3393)),MAX($D$1:D3392)+1,0)</f>
        <v>0</v>
      </c>
      <c r="H3393" s="6">
        <f t="shared" si="170"/>
        <v>0</v>
      </c>
      <c r="I3393" s="6">
        <f t="shared" si="171"/>
        <v>0</v>
      </c>
      <c r="J3393" s="6">
        <f t="shared" si="172"/>
        <v>0</v>
      </c>
      <c r="L3393" s="4" t="str">
        <f>IFERROR(VLOOKUP(ROWS($L$2:L3393),$B$2:$C$1996,2,0),"")</f>
        <v/>
      </c>
      <c r="N3393" s="2" t="str">
        <f>IFERROR(VLOOKUP(ROWS($N$2:N3393),$D$2:$E$1996,2,0),"")</f>
        <v/>
      </c>
    </row>
    <row r="3394" spans="2:14">
      <c r="B3394" s="32">
        <f>IF(ISNUMBER(SEARCH('Φόρμα Εισαγωγής'!$B$2,C3394)),MAX($B$1:B3393)+1,0)</f>
        <v>0</v>
      </c>
      <c r="D3394" s="33">
        <f>IF(ISNUMBER(SEARCH('Φόρμα Εισαγωγής'!$C$2,E3394)),MAX($D$1:D3393)+1,0)</f>
        <v>0</v>
      </c>
      <c r="H3394" s="6">
        <f t="shared" si="170"/>
        <v>0</v>
      </c>
      <c r="I3394" s="6">
        <f t="shared" si="171"/>
        <v>0</v>
      </c>
      <c r="J3394" s="6">
        <f t="shared" si="172"/>
        <v>0</v>
      </c>
      <c r="L3394" s="4" t="str">
        <f>IFERROR(VLOOKUP(ROWS($L$2:L3394),$B$2:$C$1996,2,0),"")</f>
        <v/>
      </c>
      <c r="N3394" s="2" t="str">
        <f>IFERROR(VLOOKUP(ROWS($N$2:N3394),$D$2:$E$1996,2,0),"")</f>
        <v/>
      </c>
    </row>
    <row r="3395" spans="2:14">
      <c r="B3395" s="32">
        <f>IF(ISNUMBER(SEARCH('Φόρμα Εισαγωγής'!$B$2,C3395)),MAX($B$1:B3394)+1,0)</f>
        <v>0</v>
      </c>
      <c r="D3395" s="33">
        <f>IF(ISNUMBER(SEARCH('Φόρμα Εισαγωγής'!$C$2,E3395)),MAX($D$1:D3394)+1,0)</f>
        <v>0</v>
      </c>
      <c r="H3395" s="6">
        <f t="shared" si="170"/>
        <v>0</v>
      </c>
      <c r="I3395" s="6">
        <f t="shared" si="171"/>
        <v>0</v>
      </c>
      <c r="J3395" s="6">
        <f t="shared" si="172"/>
        <v>0</v>
      </c>
      <c r="L3395" s="4" t="str">
        <f>IFERROR(VLOOKUP(ROWS($L$2:L3395),$B$2:$C$1996,2,0),"")</f>
        <v/>
      </c>
      <c r="N3395" s="2" t="str">
        <f>IFERROR(VLOOKUP(ROWS($N$2:N3395),$D$2:$E$1996,2,0),"")</f>
        <v/>
      </c>
    </row>
    <row r="3396" spans="2:14">
      <c r="B3396" s="32">
        <f>IF(ISNUMBER(SEARCH('Φόρμα Εισαγωγής'!$B$2,C3396)),MAX($B$1:B3395)+1,0)</f>
        <v>0</v>
      </c>
      <c r="D3396" s="33">
        <f>IF(ISNUMBER(SEARCH('Φόρμα Εισαγωγής'!$C$2,E3396)),MAX($D$1:D3395)+1,0)</f>
        <v>0</v>
      </c>
      <c r="H3396" s="6">
        <f t="shared" si="170"/>
        <v>0</v>
      </c>
      <c r="I3396" s="6">
        <f t="shared" si="171"/>
        <v>0</v>
      </c>
      <c r="J3396" s="6">
        <f t="shared" si="172"/>
        <v>0</v>
      </c>
      <c r="L3396" s="4" t="str">
        <f>IFERROR(VLOOKUP(ROWS($L$2:L3396),$B$2:$C$1996,2,0),"")</f>
        <v/>
      </c>
      <c r="N3396" s="2" t="str">
        <f>IFERROR(VLOOKUP(ROWS($N$2:N3396),$D$2:$E$1996,2,0),"")</f>
        <v/>
      </c>
    </row>
    <row r="3397" spans="2:14">
      <c r="B3397" s="32">
        <f>IF(ISNUMBER(SEARCH('Φόρμα Εισαγωγής'!$B$2,C3397)),MAX($B$1:B3396)+1,0)</f>
        <v>0</v>
      </c>
      <c r="D3397" s="33">
        <f>IF(ISNUMBER(SEARCH('Φόρμα Εισαγωγής'!$C$2,E3397)),MAX($D$1:D3396)+1,0)</f>
        <v>0</v>
      </c>
      <c r="H3397" s="6">
        <f t="shared" si="170"/>
        <v>0</v>
      </c>
      <c r="I3397" s="6">
        <f t="shared" si="171"/>
        <v>0</v>
      </c>
      <c r="J3397" s="6">
        <f t="shared" si="172"/>
        <v>0</v>
      </c>
      <c r="L3397" s="4" t="str">
        <f>IFERROR(VLOOKUP(ROWS($L$2:L3397),$B$2:$C$1996,2,0),"")</f>
        <v/>
      </c>
      <c r="N3397" s="2" t="str">
        <f>IFERROR(VLOOKUP(ROWS($N$2:N3397),$D$2:$E$1996,2,0),"")</f>
        <v/>
      </c>
    </row>
    <row r="3398" spans="2:14">
      <c r="B3398" s="32">
        <f>IF(ISNUMBER(SEARCH('Φόρμα Εισαγωγής'!$B$2,C3398)),MAX($B$1:B3397)+1,0)</f>
        <v>0</v>
      </c>
      <c r="D3398" s="33">
        <f>IF(ISNUMBER(SEARCH('Φόρμα Εισαγωγής'!$C$2,E3398)),MAX($D$1:D3397)+1,0)</f>
        <v>0</v>
      </c>
      <c r="H3398" s="6">
        <f t="shared" si="170"/>
        <v>0</v>
      </c>
      <c r="I3398" s="6">
        <f t="shared" si="171"/>
        <v>0</v>
      </c>
      <c r="J3398" s="6">
        <f t="shared" si="172"/>
        <v>0</v>
      </c>
      <c r="L3398" s="4" t="str">
        <f>IFERROR(VLOOKUP(ROWS($L$2:L3398),$B$2:$C$1996,2,0),"")</f>
        <v/>
      </c>
      <c r="N3398" s="2" t="str">
        <f>IFERROR(VLOOKUP(ROWS($N$2:N3398),$D$2:$E$1996,2,0),"")</f>
        <v/>
      </c>
    </row>
    <row r="3399" spans="2:14">
      <c r="B3399" s="32">
        <f>IF(ISNUMBER(SEARCH('Φόρμα Εισαγωγής'!$B$2,C3399)),MAX($B$1:B3398)+1,0)</f>
        <v>0</v>
      </c>
      <c r="D3399" s="33">
        <f>IF(ISNUMBER(SEARCH('Φόρμα Εισαγωγής'!$C$2,E3399)),MAX($D$1:D3398)+1,0)</f>
        <v>0</v>
      </c>
      <c r="H3399" s="6">
        <f t="shared" si="170"/>
        <v>0</v>
      </c>
      <c r="I3399" s="6">
        <f t="shared" si="171"/>
        <v>0</v>
      </c>
      <c r="J3399" s="6">
        <f t="shared" si="172"/>
        <v>0</v>
      </c>
      <c r="L3399" s="4" t="str">
        <f>IFERROR(VLOOKUP(ROWS($L$2:L3399),$B$2:$C$1996,2,0),"")</f>
        <v/>
      </c>
      <c r="N3399" s="2" t="str">
        <f>IFERROR(VLOOKUP(ROWS($N$2:N3399),$D$2:$E$1996,2,0),"")</f>
        <v/>
      </c>
    </row>
    <row r="3400" spans="2:14">
      <c r="B3400" s="32">
        <f>IF(ISNUMBER(SEARCH('Φόρμα Εισαγωγής'!$B$2,C3400)),MAX($B$1:B3399)+1,0)</f>
        <v>0</v>
      </c>
      <c r="D3400" s="33">
        <f>IF(ISNUMBER(SEARCH('Φόρμα Εισαγωγής'!$C$2,E3400)),MAX($D$1:D3399)+1,0)</f>
        <v>0</v>
      </c>
      <c r="H3400" s="6">
        <f t="shared" si="170"/>
        <v>0</v>
      </c>
      <c r="I3400" s="6">
        <f t="shared" si="171"/>
        <v>0</v>
      </c>
      <c r="J3400" s="6">
        <f t="shared" si="172"/>
        <v>0</v>
      </c>
      <c r="L3400" s="4" t="str">
        <f>IFERROR(VLOOKUP(ROWS($L$2:L3400),$B$2:$C$1996,2,0),"")</f>
        <v/>
      </c>
      <c r="N3400" s="2" t="str">
        <f>IFERROR(VLOOKUP(ROWS($N$2:N3400),$D$2:$E$1996,2,0),"")</f>
        <v/>
      </c>
    </row>
    <row r="3401" spans="2:14">
      <c r="B3401" s="32">
        <f>IF(ISNUMBER(SEARCH('Φόρμα Εισαγωγής'!$B$2,C3401)),MAX($B$1:B3400)+1,0)</f>
        <v>0</v>
      </c>
      <c r="D3401" s="33">
        <f>IF(ISNUMBER(SEARCH('Φόρμα Εισαγωγής'!$C$2,E3401)),MAX($D$1:D3400)+1,0)</f>
        <v>0</v>
      </c>
      <c r="H3401" s="6">
        <f t="shared" si="170"/>
        <v>0</v>
      </c>
      <c r="I3401" s="6">
        <f t="shared" si="171"/>
        <v>0</v>
      </c>
      <c r="J3401" s="6">
        <f t="shared" si="172"/>
        <v>0</v>
      </c>
      <c r="L3401" s="4" t="str">
        <f>IFERROR(VLOOKUP(ROWS($L$2:L3401),$B$2:$C$1996,2,0),"")</f>
        <v/>
      </c>
      <c r="N3401" s="2" t="str">
        <f>IFERROR(VLOOKUP(ROWS($N$2:N3401),$D$2:$E$1996,2,0),"")</f>
        <v/>
      </c>
    </row>
    <row r="3402" spans="2:14">
      <c r="B3402" s="32">
        <f>IF(ISNUMBER(SEARCH('Φόρμα Εισαγωγής'!$B$2,C3402)),MAX($B$1:B3401)+1,0)</f>
        <v>0</v>
      </c>
      <c r="D3402" s="33">
        <f>IF(ISNUMBER(SEARCH('Φόρμα Εισαγωγής'!$C$2,E3402)),MAX($D$1:D3401)+1,0)</f>
        <v>0</v>
      </c>
      <c r="H3402" s="6">
        <f t="shared" si="170"/>
        <v>0</v>
      </c>
      <c r="I3402" s="6">
        <f t="shared" si="171"/>
        <v>0</v>
      </c>
      <c r="J3402" s="6">
        <f t="shared" si="172"/>
        <v>0</v>
      </c>
      <c r="L3402" s="4" t="str">
        <f>IFERROR(VLOOKUP(ROWS($L$2:L3402),$B$2:$C$1996,2,0),"")</f>
        <v/>
      </c>
      <c r="N3402" s="2" t="str">
        <f>IFERROR(VLOOKUP(ROWS($N$2:N3402),$D$2:$E$1996,2,0),"")</f>
        <v/>
      </c>
    </row>
    <row r="3403" spans="2:14">
      <c r="B3403" s="32">
        <f>IF(ISNUMBER(SEARCH('Φόρμα Εισαγωγής'!$B$2,C3403)),MAX($B$1:B3402)+1,0)</f>
        <v>0</v>
      </c>
      <c r="D3403" s="33">
        <f>IF(ISNUMBER(SEARCH('Φόρμα Εισαγωγής'!$C$2,E3403)),MAX($D$1:D3402)+1,0)</f>
        <v>0</v>
      </c>
      <c r="H3403" s="6">
        <f t="shared" si="170"/>
        <v>0</v>
      </c>
      <c r="I3403" s="6">
        <f t="shared" si="171"/>
        <v>0</v>
      </c>
      <c r="J3403" s="6">
        <f t="shared" si="172"/>
        <v>0</v>
      </c>
      <c r="L3403" s="4" t="str">
        <f>IFERROR(VLOOKUP(ROWS($L$2:L3403),$B$2:$C$1996,2,0),"")</f>
        <v/>
      </c>
      <c r="N3403" s="2" t="str">
        <f>IFERROR(VLOOKUP(ROWS($N$2:N3403),$D$2:$E$1996,2,0),"")</f>
        <v/>
      </c>
    </row>
    <row r="3404" spans="2:14">
      <c r="B3404" s="32">
        <f>IF(ISNUMBER(SEARCH('Φόρμα Εισαγωγής'!$B$2,C3404)),MAX($B$1:B3403)+1,0)</f>
        <v>0</v>
      </c>
      <c r="D3404" s="33">
        <f>IF(ISNUMBER(SEARCH('Φόρμα Εισαγωγής'!$C$2,E3404)),MAX($D$1:D3403)+1,0)</f>
        <v>0</v>
      </c>
      <c r="H3404" s="6">
        <f t="shared" si="170"/>
        <v>0</v>
      </c>
      <c r="I3404" s="6">
        <f t="shared" si="171"/>
        <v>0</v>
      </c>
      <c r="J3404" s="6">
        <f t="shared" si="172"/>
        <v>0</v>
      </c>
      <c r="L3404" s="4" t="str">
        <f>IFERROR(VLOOKUP(ROWS($L$2:L3404),$B$2:$C$1996,2,0),"")</f>
        <v/>
      </c>
      <c r="N3404" s="2" t="str">
        <f>IFERROR(VLOOKUP(ROWS($N$2:N3404),$D$2:$E$1996,2,0),"")</f>
        <v/>
      </c>
    </row>
    <row r="3405" spans="2:14">
      <c r="B3405" s="32">
        <f>IF(ISNUMBER(SEARCH('Φόρμα Εισαγωγής'!$B$2,C3405)),MAX($B$1:B3404)+1,0)</f>
        <v>0</v>
      </c>
      <c r="D3405" s="33">
        <f>IF(ISNUMBER(SEARCH('Φόρμα Εισαγωγής'!$C$2,E3405)),MAX($D$1:D3404)+1,0)</f>
        <v>0</v>
      </c>
      <c r="H3405" s="6">
        <f t="shared" si="170"/>
        <v>0</v>
      </c>
      <c r="I3405" s="6">
        <f t="shared" si="171"/>
        <v>0</v>
      </c>
      <c r="J3405" s="6">
        <f t="shared" si="172"/>
        <v>0</v>
      </c>
      <c r="L3405" s="4" t="str">
        <f>IFERROR(VLOOKUP(ROWS($L$2:L3405),$B$2:$C$1996,2,0),"")</f>
        <v/>
      </c>
      <c r="N3405" s="2" t="str">
        <f>IFERROR(VLOOKUP(ROWS($N$2:N3405),$D$2:$E$1996,2,0),"")</f>
        <v/>
      </c>
    </row>
    <row r="3406" spans="2:14">
      <c r="B3406" s="32">
        <f>IF(ISNUMBER(SEARCH('Φόρμα Εισαγωγής'!$B$2,C3406)),MAX($B$1:B3405)+1,0)</f>
        <v>0</v>
      </c>
      <c r="D3406" s="33">
        <f>IF(ISNUMBER(SEARCH('Φόρμα Εισαγωγής'!$C$2,E3406)),MAX($D$1:D3405)+1,0)</f>
        <v>0</v>
      </c>
      <c r="H3406" s="6">
        <f t="shared" si="170"/>
        <v>0</v>
      </c>
      <c r="I3406" s="6">
        <f t="shared" si="171"/>
        <v>0</v>
      </c>
      <c r="J3406" s="6">
        <f t="shared" si="172"/>
        <v>0</v>
      </c>
      <c r="L3406" s="4" t="str">
        <f>IFERROR(VLOOKUP(ROWS($L$2:L3406),$B$2:$C$1996,2,0),"")</f>
        <v/>
      </c>
      <c r="N3406" s="2" t="str">
        <f>IFERROR(VLOOKUP(ROWS($N$2:N3406),$D$2:$E$1996,2,0),"")</f>
        <v/>
      </c>
    </row>
    <row r="3407" spans="2:14">
      <c r="B3407" s="32">
        <f>IF(ISNUMBER(SEARCH('Φόρμα Εισαγωγής'!$B$2,C3407)),MAX($B$1:B3406)+1,0)</f>
        <v>0</v>
      </c>
      <c r="D3407" s="33">
        <f>IF(ISNUMBER(SEARCH('Φόρμα Εισαγωγής'!$C$2,E3407)),MAX($D$1:D3406)+1,0)</f>
        <v>0</v>
      </c>
      <c r="H3407" s="6">
        <f t="shared" si="170"/>
        <v>0</v>
      </c>
      <c r="I3407" s="6">
        <f t="shared" si="171"/>
        <v>0</v>
      </c>
      <c r="J3407" s="6">
        <f t="shared" si="172"/>
        <v>0</v>
      </c>
      <c r="L3407" s="4" t="str">
        <f>IFERROR(VLOOKUP(ROWS($L$2:L3407),$B$2:$C$1996,2,0),"")</f>
        <v/>
      </c>
      <c r="N3407" s="2" t="str">
        <f>IFERROR(VLOOKUP(ROWS($N$2:N3407),$D$2:$E$1996,2,0),"")</f>
        <v/>
      </c>
    </row>
    <row r="3408" spans="2:14">
      <c r="B3408" s="32">
        <f>IF(ISNUMBER(SEARCH('Φόρμα Εισαγωγής'!$B$2,C3408)),MAX($B$1:B3407)+1,0)</f>
        <v>0</v>
      </c>
      <c r="D3408" s="33">
        <f>IF(ISNUMBER(SEARCH('Φόρμα Εισαγωγής'!$C$2,E3408)),MAX($D$1:D3407)+1,0)</f>
        <v>0</v>
      </c>
      <c r="H3408" s="6">
        <f t="shared" si="170"/>
        <v>0</v>
      </c>
      <c r="I3408" s="6">
        <f t="shared" si="171"/>
        <v>0</v>
      </c>
      <c r="J3408" s="6">
        <f t="shared" si="172"/>
        <v>0</v>
      </c>
      <c r="L3408" s="4" t="str">
        <f>IFERROR(VLOOKUP(ROWS($L$2:L3408),$B$2:$C$1996,2,0),"")</f>
        <v/>
      </c>
      <c r="N3408" s="2" t="str">
        <f>IFERROR(VLOOKUP(ROWS($N$2:N3408),$D$2:$E$1996,2,0),"")</f>
        <v/>
      </c>
    </row>
    <row r="3409" spans="2:14">
      <c r="B3409" s="32">
        <f>IF(ISNUMBER(SEARCH('Φόρμα Εισαγωγής'!$B$2,C3409)),MAX($B$1:B3408)+1,0)</f>
        <v>0</v>
      </c>
      <c r="D3409" s="33">
        <f>IF(ISNUMBER(SEARCH('Φόρμα Εισαγωγής'!$C$2,E3409)),MAX($D$1:D3408)+1,0)</f>
        <v>0</v>
      </c>
      <c r="H3409" s="6">
        <f t="shared" si="170"/>
        <v>0</v>
      </c>
      <c r="I3409" s="6">
        <f t="shared" si="171"/>
        <v>0</v>
      </c>
      <c r="J3409" s="6">
        <f t="shared" si="172"/>
        <v>0</v>
      </c>
      <c r="L3409" s="4" t="str">
        <f>IFERROR(VLOOKUP(ROWS($L$2:L3409),$B$2:$C$1996,2,0),"")</f>
        <v/>
      </c>
      <c r="N3409" s="2" t="str">
        <f>IFERROR(VLOOKUP(ROWS($N$2:N3409),$D$2:$E$1996,2,0),"")</f>
        <v/>
      </c>
    </row>
    <row r="3410" spans="2:14">
      <c r="B3410" s="32">
        <f>IF(ISNUMBER(SEARCH('Φόρμα Εισαγωγής'!$B$2,C3410)),MAX($B$1:B3409)+1,0)</f>
        <v>0</v>
      </c>
      <c r="D3410" s="33">
        <f>IF(ISNUMBER(SEARCH('Φόρμα Εισαγωγής'!$C$2,E3410)),MAX($D$1:D3409)+1,0)</f>
        <v>0</v>
      </c>
      <c r="H3410" s="6">
        <f t="shared" si="170"/>
        <v>0</v>
      </c>
      <c r="I3410" s="6">
        <f t="shared" si="171"/>
        <v>0</v>
      </c>
      <c r="J3410" s="6">
        <f t="shared" si="172"/>
        <v>0</v>
      </c>
      <c r="L3410" s="4" t="str">
        <f>IFERROR(VLOOKUP(ROWS($L$2:L3410),$B$2:$C$1996,2,0),"")</f>
        <v/>
      </c>
      <c r="N3410" s="2" t="str">
        <f>IFERROR(VLOOKUP(ROWS($N$2:N3410),$D$2:$E$1996,2,0),"")</f>
        <v/>
      </c>
    </row>
    <row r="3411" spans="2:14">
      <c r="B3411" s="32">
        <f>IF(ISNUMBER(SEARCH('Φόρμα Εισαγωγής'!$B$2,C3411)),MAX($B$1:B3410)+1,0)</f>
        <v>0</v>
      </c>
      <c r="D3411" s="33">
        <f>IF(ISNUMBER(SEARCH('Φόρμα Εισαγωγής'!$C$2,E3411)),MAX($D$1:D3410)+1,0)</f>
        <v>0</v>
      </c>
      <c r="H3411" s="6">
        <f t="shared" si="170"/>
        <v>0</v>
      </c>
      <c r="I3411" s="6">
        <f t="shared" si="171"/>
        <v>0</v>
      </c>
      <c r="J3411" s="6">
        <f t="shared" si="172"/>
        <v>0</v>
      </c>
      <c r="L3411" s="4" t="str">
        <f>IFERROR(VLOOKUP(ROWS($L$2:L3411),$B$2:$C$1996,2,0),"")</f>
        <v/>
      </c>
      <c r="N3411" s="2" t="str">
        <f>IFERROR(VLOOKUP(ROWS($N$2:N3411),$D$2:$E$1996,2,0),"")</f>
        <v/>
      </c>
    </row>
    <row r="3412" spans="2:14">
      <c r="B3412" s="32">
        <f>IF(ISNUMBER(SEARCH('Φόρμα Εισαγωγής'!$B$2,C3412)),MAX($B$1:B3411)+1,0)</f>
        <v>0</v>
      </c>
      <c r="D3412" s="33">
        <f>IF(ISNUMBER(SEARCH('Φόρμα Εισαγωγής'!$C$2,E3412)),MAX($D$1:D3411)+1,0)</f>
        <v>0</v>
      </c>
      <c r="H3412" s="6">
        <f t="shared" si="170"/>
        <v>0</v>
      </c>
      <c r="I3412" s="6">
        <f t="shared" si="171"/>
        <v>0</v>
      </c>
      <c r="J3412" s="6">
        <f t="shared" si="172"/>
        <v>0</v>
      </c>
      <c r="L3412" s="4" t="str">
        <f>IFERROR(VLOOKUP(ROWS($L$2:L3412),$B$2:$C$1996,2,0),"")</f>
        <v/>
      </c>
      <c r="N3412" s="2" t="str">
        <f>IFERROR(VLOOKUP(ROWS($N$2:N3412),$D$2:$E$1996,2,0),"")</f>
        <v/>
      </c>
    </row>
    <row r="3413" spans="2:14">
      <c r="B3413" s="32">
        <f>IF(ISNUMBER(SEARCH('Φόρμα Εισαγωγής'!$B$2,C3413)),MAX($B$1:B3412)+1,0)</f>
        <v>0</v>
      </c>
      <c r="D3413" s="33">
        <f>IF(ISNUMBER(SEARCH('Φόρμα Εισαγωγής'!$C$2,E3413)),MAX($D$1:D3412)+1,0)</f>
        <v>0</v>
      </c>
      <c r="H3413" s="6">
        <f t="shared" si="170"/>
        <v>0</v>
      </c>
      <c r="I3413" s="6">
        <f t="shared" si="171"/>
        <v>0</v>
      </c>
      <c r="J3413" s="6">
        <f t="shared" si="172"/>
        <v>0</v>
      </c>
      <c r="L3413" s="4" t="str">
        <f>IFERROR(VLOOKUP(ROWS($L$2:L3413),$B$2:$C$1996,2,0),"")</f>
        <v/>
      </c>
      <c r="N3413" s="2" t="str">
        <f>IFERROR(VLOOKUP(ROWS($N$2:N3413),$D$2:$E$1996,2,0),"")</f>
        <v/>
      </c>
    </row>
    <row r="3414" spans="2:14">
      <c r="B3414" s="32">
        <f>IF(ISNUMBER(SEARCH('Φόρμα Εισαγωγής'!$B$2,C3414)),MAX($B$1:B3413)+1,0)</f>
        <v>0</v>
      </c>
      <c r="D3414" s="33">
        <f>IF(ISNUMBER(SEARCH('Φόρμα Εισαγωγής'!$C$2,E3414)),MAX($D$1:D3413)+1,0)</f>
        <v>0</v>
      </c>
      <c r="H3414" s="6">
        <f t="shared" si="170"/>
        <v>0</v>
      </c>
      <c r="I3414" s="6">
        <f t="shared" si="171"/>
        <v>0</v>
      </c>
      <c r="J3414" s="6">
        <f t="shared" si="172"/>
        <v>0</v>
      </c>
      <c r="L3414" s="4" t="str">
        <f>IFERROR(VLOOKUP(ROWS($L$2:L3414),$B$2:$C$1996,2,0),"")</f>
        <v/>
      </c>
      <c r="N3414" s="2" t="str">
        <f>IFERROR(VLOOKUP(ROWS($N$2:N3414),$D$2:$E$1996,2,0),"")</f>
        <v/>
      </c>
    </row>
    <row r="3415" spans="2:14">
      <c r="B3415" s="32">
        <f>IF(ISNUMBER(SEARCH('Φόρμα Εισαγωγής'!$B$2,C3415)),MAX($B$1:B3414)+1,0)</f>
        <v>0</v>
      </c>
      <c r="D3415" s="33">
        <f>IF(ISNUMBER(SEARCH('Φόρμα Εισαγωγής'!$C$2,E3415)),MAX($D$1:D3414)+1,0)</f>
        <v>0</v>
      </c>
      <c r="H3415" s="6">
        <f t="shared" si="170"/>
        <v>0</v>
      </c>
      <c r="I3415" s="6">
        <f t="shared" si="171"/>
        <v>0</v>
      </c>
      <c r="J3415" s="6">
        <f t="shared" si="172"/>
        <v>0</v>
      </c>
      <c r="L3415" s="4" t="str">
        <f>IFERROR(VLOOKUP(ROWS($L$2:L3415),$B$2:$C$1996,2,0),"")</f>
        <v/>
      </c>
      <c r="N3415" s="2" t="str">
        <f>IFERROR(VLOOKUP(ROWS($N$2:N3415),$D$2:$E$1996,2,0),"")</f>
        <v/>
      </c>
    </row>
    <row r="3416" spans="2:14">
      <c r="B3416" s="32">
        <f>IF(ISNUMBER(SEARCH('Φόρμα Εισαγωγής'!$B$2,C3416)),MAX($B$1:B3415)+1,0)</f>
        <v>0</v>
      </c>
      <c r="D3416" s="33">
        <f>IF(ISNUMBER(SEARCH('Φόρμα Εισαγωγής'!$C$2,E3416)),MAX($D$1:D3415)+1,0)</f>
        <v>0</v>
      </c>
      <c r="H3416" s="6">
        <f t="shared" si="170"/>
        <v>0</v>
      </c>
      <c r="I3416" s="6">
        <f t="shared" si="171"/>
        <v>0</v>
      </c>
      <c r="J3416" s="6">
        <f t="shared" si="172"/>
        <v>0</v>
      </c>
      <c r="L3416" s="4" t="str">
        <f>IFERROR(VLOOKUP(ROWS($L$2:L3416),$B$2:$C$1996,2,0),"")</f>
        <v/>
      </c>
      <c r="N3416" s="2" t="str">
        <f>IFERROR(VLOOKUP(ROWS($N$2:N3416),$D$2:$E$1996,2,0),"")</f>
        <v/>
      </c>
    </row>
    <row r="3417" spans="2:14">
      <c r="B3417" s="32">
        <f>IF(ISNUMBER(SEARCH('Φόρμα Εισαγωγής'!$B$2,C3417)),MAX($B$1:B3416)+1,0)</f>
        <v>0</v>
      </c>
      <c r="D3417" s="33">
        <f>IF(ISNUMBER(SEARCH('Φόρμα Εισαγωγής'!$C$2,E3417)),MAX($D$1:D3416)+1,0)</f>
        <v>0</v>
      </c>
      <c r="H3417" s="6">
        <f t="shared" si="170"/>
        <v>0</v>
      </c>
      <c r="I3417" s="6">
        <f t="shared" si="171"/>
        <v>0</v>
      </c>
      <c r="J3417" s="6">
        <f t="shared" si="172"/>
        <v>0</v>
      </c>
      <c r="L3417" s="4" t="str">
        <f>IFERROR(VLOOKUP(ROWS($L$2:L3417),$B$2:$C$1996,2,0),"")</f>
        <v/>
      </c>
      <c r="N3417" s="2" t="str">
        <f>IFERROR(VLOOKUP(ROWS($N$2:N3417),$D$2:$E$1996,2,0),"")</f>
        <v/>
      </c>
    </row>
    <row r="3418" spans="2:14">
      <c r="B3418" s="32">
        <f>IF(ISNUMBER(SEARCH('Φόρμα Εισαγωγής'!$B$2,C3418)),MAX($B$1:B3417)+1,0)</f>
        <v>0</v>
      </c>
      <c r="D3418" s="33">
        <f>IF(ISNUMBER(SEARCH('Φόρμα Εισαγωγής'!$C$2,E3418)),MAX($D$1:D3417)+1,0)</f>
        <v>0</v>
      </c>
      <c r="H3418" s="6">
        <f t="shared" si="170"/>
        <v>0</v>
      </c>
      <c r="I3418" s="6">
        <f t="shared" si="171"/>
        <v>0</v>
      </c>
      <c r="J3418" s="6">
        <f t="shared" si="172"/>
        <v>0</v>
      </c>
      <c r="L3418" s="4" t="str">
        <f>IFERROR(VLOOKUP(ROWS($L$2:L3418),$B$2:$C$1996,2,0),"")</f>
        <v/>
      </c>
      <c r="N3418" s="2" t="str">
        <f>IFERROR(VLOOKUP(ROWS($N$2:N3418),$D$2:$E$1996,2,0),"")</f>
        <v/>
      </c>
    </row>
    <row r="3419" spans="2:14">
      <c r="B3419" s="32">
        <f>IF(ISNUMBER(SEARCH('Φόρμα Εισαγωγής'!$B$2,C3419)),MAX($B$1:B3418)+1,0)</f>
        <v>0</v>
      </c>
      <c r="D3419" s="33">
        <f>IF(ISNUMBER(SEARCH('Φόρμα Εισαγωγής'!$C$2,E3419)),MAX($D$1:D3418)+1,0)</f>
        <v>0</v>
      </c>
      <c r="H3419" s="6">
        <f t="shared" si="170"/>
        <v>0</v>
      </c>
      <c r="I3419" s="6">
        <f t="shared" si="171"/>
        <v>0</v>
      </c>
      <c r="J3419" s="6">
        <f t="shared" si="172"/>
        <v>0</v>
      </c>
      <c r="L3419" s="4" t="str">
        <f>IFERROR(VLOOKUP(ROWS($L$2:L3419),$B$2:$C$1996,2,0),"")</f>
        <v/>
      </c>
      <c r="N3419" s="2" t="str">
        <f>IFERROR(VLOOKUP(ROWS($N$2:N3419),$D$2:$E$1996,2,0),"")</f>
        <v/>
      </c>
    </row>
    <row r="3420" spans="2:14">
      <c r="B3420" s="32">
        <f>IF(ISNUMBER(SEARCH('Φόρμα Εισαγωγής'!$B$2,C3420)),MAX($B$1:B3419)+1,0)</f>
        <v>0</v>
      </c>
      <c r="D3420" s="33">
        <f>IF(ISNUMBER(SEARCH('Φόρμα Εισαγωγής'!$C$2,E3420)),MAX($D$1:D3419)+1,0)</f>
        <v>0</v>
      </c>
      <c r="H3420" s="6">
        <f t="shared" si="170"/>
        <v>0</v>
      </c>
      <c r="I3420" s="6">
        <f t="shared" si="171"/>
        <v>0</v>
      </c>
      <c r="J3420" s="6">
        <f t="shared" si="172"/>
        <v>0</v>
      </c>
      <c r="L3420" s="4" t="str">
        <f>IFERROR(VLOOKUP(ROWS($L$2:L3420),$B$2:$C$1996,2,0),"")</f>
        <v/>
      </c>
      <c r="N3420" s="2" t="str">
        <f>IFERROR(VLOOKUP(ROWS($N$2:N3420),$D$2:$E$1996,2,0),"")</f>
        <v/>
      </c>
    </row>
    <row r="3421" spans="2:14">
      <c r="B3421" s="32">
        <f>IF(ISNUMBER(SEARCH('Φόρμα Εισαγωγής'!$B$2,C3421)),MAX($B$1:B3420)+1,0)</f>
        <v>0</v>
      </c>
      <c r="D3421" s="33">
        <f>IF(ISNUMBER(SEARCH('Φόρμα Εισαγωγής'!$C$2,E3421)),MAX($D$1:D3420)+1,0)</f>
        <v>0</v>
      </c>
      <c r="H3421" s="6">
        <f t="shared" si="170"/>
        <v>0</v>
      </c>
      <c r="I3421" s="6">
        <f t="shared" si="171"/>
        <v>0</v>
      </c>
      <c r="J3421" s="6">
        <f t="shared" si="172"/>
        <v>0</v>
      </c>
      <c r="L3421" s="4" t="str">
        <f>IFERROR(VLOOKUP(ROWS($L$2:L3421),$B$2:$C$1996,2,0),"")</f>
        <v/>
      </c>
      <c r="N3421" s="2" t="str">
        <f>IFERROR(VLOOKUP(ROWS($N$2:N3421),$D$2:$E$1996,2,0),"")</f>
        <v/>
      </c>
    </row>
    <row r="3422" spans="2:14">
      <c r="B3422" s="32">
        <f>IF(ISNUMBER(SEARCH('Φόρμα Εισαγωγής'!$B$2,C3422)),MAX($B$1:B3421)+1,0)</f>
        <v>0</v>
      </c>
      <c r="D3422" s="33">
        <f>IF(ISNUMBER(SEARCH('Φόρμα Εισαγωγής'!$C$2,E3422)),MAX($D$1:D3421)+1,0)</f>
        <v>0</v>
      </c>
      <c r="H3422" s="6">
        <f t="shared" si="170"/>
        <v>0</v>
      </c>
      <c r="I3422" s="6">
        <f t="shared" si="171"/>
        <v>0</v>
      </c>
      <c r="J3422" s="6">
        <f t="shared" si="172"/>
        <v>0</v>
      </c>
      <c r="L3422" s="4" t="str">
        <f>IFERROR(VLOOKUP(ROWS($L$2:L3422),$B$2:$C$1996,2,0),"")</f>
        <v/>
      </c>
      <c r="N3422" s="2" t="str">
        <f>IFERROR(VLOOKUP(ROWS($N$2:N3422),$D$2:$E$1996,2,0),"")</f>
        <v/>
      </c>
    </row>
    <row r="3423" spans="2:14">
      <c r="B3423" s="32">
        <f>IF(ISNUMBER(SEARCH('Φόρμα Εισαγωγής'!$B$2,C3423)),MAX($B$1:B3422)+1,0)</f>
        <v>0</v>
      </c>
      <c r="D3423" s="33">
        <f>IF(ISNUMBER(SEARCH('Φόρμα Εισαγωγής'!$C$2,E3423)),MAX($D$1:D3422)+1,0)</f>
        <v>0</v>
      </c>
      <c r="H3423" s="6">
        <f t="shared" si="170"/>
        <v>0</v>
      </c>
      <c r="I3423" s="6">
        <f t="shared" si="171"/>
        <v>0</v>
      </c>
      <c r="J3423" s="6">
        <f t="shared" si="172"/>
        <v>0</v>
      </c>
      <c r="L3423" s="4" t="str">
        <f>IFERROR(VLOOKUP(ROWS($L$2:L3423),$B$2:$C$1996,2,0),"")</f>
        <v/>
      </c>
      <c r="N3423" s="2" t="str">
        <f>IFERROR(VLOOKUP(ROWS($N$2:N3423),$D$2:$E$1996,2,0),"")</f>
        <v/>
      </c>
    </row>
    <row r="3424" spans="2:14">
      <c r="B3424" s="32">
        <f>IF(ISNUMBER(SEARCH('Φόρμα Εισαγωγής'!$B$2,C3424)),MAX($B$1:B3423)+1,0)</f>
        <v>0</v>
      </c>
      <c r="D3424" s="33">
        <f>IF(ISNUMBER(SEARCH('Φόρμα Εισαγωγής'!$C$2,E3424)),MAX($D$1:D3423)+1,0)</f>
        <v>0</v>
      </c>
      <c r="H3424" s="6">
        <f t="shared" si="170"/>
        <v>0</v>
      </c>
      <c r="I3424" s="6">
        <f t="shared" si="171"/>
        <v>0</v>
      </c>
      <c r="J3424" s="6">
        <f t="shared" si="172"/>
        <v>0</v>
      </c>
      <c r="L3424" s="4" t="str">
        <f>IFERROR(VLOOKUP(ROWS($L$2:L3424),$B$2:$C$1996,2,0),"")</f>
        <v/>
      </c>
      <c r="N3424" s="2" t="str">
        <f>IFERROR(VLOOKUP(ROWS($N$2:N3424),$D$2:$E$1996,2,0),"")</f>
        <v/>
      </c>
    </row>
    <row r="3425" spans="2:14">
      <c r="B3425" s="32">
        <f>IF(ISNUMBER(SEARCH('Φόρμα Εισαγωγής'!$B$2,C3425)),MAX($B$1:B3424)+1,0)</f>
        <v>0</v>
      </c>
      <c r="D3425" s="33">
        <f>IF(ISNUMBER(SEARCH('Φόρμα Εισαγωγής'!$C$2,E3425)),MAX($D$1:D3424)+1,0)</f>
        <v>0</v>
      </c>
      <c r="H3425" s="6">
        <f t="shared" si="170"/>
        <v>0</v>
      </c>
      <c r="I3425" s="6">
        <f t="shared" si="171"/>
        <v>0</v>
      </c>
      <c r="J3425" s="6">
        <f t="shared" si="172"/>
        <v>0</v>
      </c>
      <c r="L3425" s="4" t="str">
        <f>IFERROR(VLOOKUP(ROWS($L$2:L3425),$B$2:$C$1996,2,0),"")</f>
        <v/>
      </c>
      <c r="N3425" s="2" t="str">
        <f>IFERROR(VLOOKUP(ROWS($N$2:N3425),$D$2:$E$1996,2,0),"")</f>
        <v/>
      </c>
    </row>
    <row r="3426" spans="2:14">
      <c r="B3426" s="32">
        <f>IF(ISNUMBER(SEARCH('Φόρμα Εισαγωγής'!$B$2,C3426)),MAX($B$1:B3425)+1,0)</f>
        <v>0</v>
      </c>
      <c r="D3426" s="33">
        <f>IF(ISNUMBER(SEARCH('Φόρμα Εισαγωγής'!$C$2,E3426)),MAX($D$1:D3425)+1,0)</f>
        <v>0</v>
      </c>
      <c r="H3426" s="6">
        <f t="shared" si="170"/>
        <v>0</v>
      </c>
      <c r="I3426" s="6">
        <f t="shared" si="171"/>
        <v>0</v>
      </c>
      <c r="J3426" s="6">
        <f t="shared" si="172"/>
        <v>0</v>
      </c>
      <c r="L3426" s="4" t="str">
        <f>IFERROR(VLOOKUP(ROWS($L$2:L3426),$B$2:$C$1996,2,0),"")</f>
        <v/>
      </c>
      <c r="N3426" s="2" t="str">
        <f>IFERROR(VLOOKUP(ROWS($N$2:N3426),$D$2:$E$1996,2,0),"")</f>
        <v/>
      </c>
    </row>
    <row r="3427" spans="2:14">
      <c r="B3427" s="32">
        <f>IF(ISNUMBER(SEARCH('Φόρμα Εισαγωγής'!$B$2,C3427)),MAX($B$1:B3426)+1,0)</f>
        <v>0</v>
      </c>
      <c r="D3427" s="33">
        <f>IF(ISNUMBER(SEARCH('Φόρμα Εισαγωγής'!$C$2,E3427)),MAX($D$1:D3426)+1,0)</f>
        <v>0</v>
      </c>
      <c r="H3427" s="6">
        <f t="shared" si="170"/>
        <v>0</v>
      </c>
      <c r="I3427" s="6">
        <f t="shared" si="171"/>
        <v>0</v>
      </c>
      <c r="J3427" s="6">
        <f t="shared" si="172"/>
        <v>0</v>
      </c>
      <c r="L3427" s="4" t="str">
        <f>IFERROR(VLOOKUP(ROWS($L$2:L3427),$B$2:$C$1996,2,0),"")</f>
        <v/>
      </c>
      <c r="N3427" s="2" t="str">
        <f>IFERROR(VLOOKUP(ROWS($N$2:N3427),$D$2:$E$1996,2,0),"")</f>
        <v/>
      </c>
    </row>
    <row r="3428" spans="2:14">
      <c r="B3428" s="32">
        <f>IF(ISNUMBER(SEARCH('Φόρμα Εισαγωγής'!$B$2,C3428)),MAX($B$1:B3427)+1,0)</f>
        <v>0</v>
      </c>
      <c r="D3428" s="33">
        <f>IF(ISNUMBER(SEARCH('Φόρμα Εισαγωγής'!$C$2,E3428)),MAX($D$1:D3427)+1,0)</f>
        <v>0</v>
      </c>
      <c r="H3428" s="6">
        <f t="shared" si="170"/>
        <v>0</v>
      </c>
      <c r="I3428" s="6">
        <f t="shared" si="171"/>
        <v>0</v>
      </c>
      <c r="J3428" s="6">
        <f t="shared" si="172"/>
        <v>0</v>
      </c>
      <c r="L3428" s="4" t="str">
        <f>IFERROR(VLOOKUP(ROWS($L$2:L3428),$B$2:$C$1996,2,0),"")</f>
        <v/>
      </c>
      <c r="N3428" s="2" t="str">
        <f>IFERROR(VLOOKUP(ROWS($N$2:N3428),$D$2:$E$1996,2,0),"")</f>
        <v/>
      </c>
    </row>
    <row r="3429" spans="2:14">
      <c r="B3429" s="32">
        <f>IF(ISNUMBER(SEARCH('Φόρμα Εισαγωγής'!$B$2,C3429)),MAX($B$1:B3428)+1,0)</f>
        <v>0</v>
      </c>
      <c r="D3429" s="33">
        <f>IF(ISNUMBER(SEARCH('Φόρμα Εισαγωγής'!$C$2,E3429)),MAX($D$1:D3428)+1,0)</f>
        <v>0</v>
      </c>
      <c r="H3429" s="6">
        <f t="shared" si="170"/>
        <v>0</v>
      </c>
      <c r="I3429" s="6">
        <f t="shared" si="171"/>
        <v>0</v>
      </c>
      <c r="J3429" s="6">
        <f t="shared" si="172"/>
        <v>0</v>
      </c>
      <c r="L3429" s="4" t="str">
        <f>IFERROR(VLOOKUP(ROWS($L$2:L3429),$B$2:$C$1996,2,0),"")</f>
        <v/>
      </c>
      <c r="N3429" s="2" t="str">
        <f>IFERROR(VLOOKUP(ROWS($N$2:N3429),$D$2:$E$1996,2,0),"")</f>
        <v/>
      </c>
    </row>
    <row r="3430" spans="2:14">
      <c r="B3430" s="32">
        <f>IF(ISNUMBER(SEARCH('Φόρμα Εισαγωγής'!$B$2,C3430)),MAX($B$1:B3429)+1,0)</f>
        <v>0</v>
      </c>
      <c r="D3430" s="33">
        <f>IF(ISNUMBER(SEARCH('Φόρμα Εισαγωγής'!$C$2,E3430)),MAX($D$1:D3429)+1,0)</f>
        <v>0</v>
      </c>
      <c r="H3430" s="6">
        <f t="shared" si="170"/>
        <v>0</v>
      </c>
      <c r="I3430" s="6">
        <f t="shared" si="171"/>
        <v>0</v>
      </c>
      <c r="J3430" s="6">
        <f t="shared" si="172"/>
        <v>0</v>
      </c>
      <c r="L3430" s="4" t="str">
        <f>IFERROR(VLOOKUP(ROWS($L$2:L3430),$B$2:$C$1996,2,0),"")</f>
        <v/>
      </c>
      <c r="N3430" s="2" t="str">
        <f>IFERROR(VLOOKUP(ROWS($N$2:N3430),$D$2:$E$1996,2,0),"")</f>
        <v/>
      </c>
    </row>
    <row r="3431" spans="2:14">
      <c r="B3431" s="32">
        <f>IF(ISNUMBER(SEARCH('Φόρμα Εισαγωγής'!$B$2,C3431)),MAX($B$1:B3430)+1,0)</f>
        <v>0</v>
      </c>
      <c r="D3431" s="33">
        <f>IF(ISNUMBER(SEARCH('Φόρμα Εισαγωγής'!$C$2,E3431)),MAX($D$1:D3430)+1,0)</f>
        <v>0</v>
      </c>
      <c r="H3431" s="6">
        <f t="shared" si="170"/>
        <v>0</v>
      </c>
      <c r="I3431" s="6">
        <f t="shared" si="171"/>
        <v>0</v>
      </c>
      <c r="J3431" s="6">
        <f t="shared" si="172"/>
        <v>0</v>
      </c>
      <c r="L3431" s="4" t="str">
        <f>IFERROR(VLOOKUP(ROWS($L$2:L3431),$B$2:$C$1996,2,0),"")</f>
        <v/>
      </c>
      <c r="N3431" s="2" t="str">
        <f>IFERROR(VLOOKUP(ROWS($N$2:N3431),$D$2:$E$1996,2,0),"")</f>
        <v/>
      </c>
    </row>
    <row r="3432" spans="2:14">
      <c r="B3432" s="32">
        <f>IF(ISNUMBER(SEARCH('Φόρμα Εισαγωγής'!$B$2,C3432)),MAX($B$1:B3431)+1,0)</f>
        <v>0</v>
      </c>
      <c r="D3432" s="33">
        <f>IF(ISNUMBER(SEARCH('Φόρμα Εισαγωγής'!$C$2,E3432)),MAX($D$1:D3431)+1,0)</f>
        <v>0</v>
      </c>
      <c r="H3432" s="6">
        <f t="shared" si="170"/>
        <v>0</v>
      </c>
      <c r="I3432" s="6">
        <f t="shared" si="171"/>
        <v>0</v>
      </c>
      <c r="J3432" s="6">
        <f t="shared" si="172"/>
        <v>0</v>
      </c>
      <c r="L3432" s="4" t="str">
        <f>IFERROR(VLOOKUP(ROWS($L$2:L3432),$B$2:$C$1996,2,0),"")</f>
        <v/>
      </c>
      <c r="N3432" s="2" t="str">
        <f>IFERROR(VLOOKUP(ROWS($N$2:N3432),$D$2:$E$1996,2,0),"")</f>
        <v/>
      </c>
    </row>
    <row r="3433" spans="2:14">
      <c r="B3433" s="32">
        <f>IF(ISNUMBER(SEARCH('Φόρμα Εισαγωγής'!$B$2,C3433)),MAX($B$1:B3432)+1,0)</f>
        <v>0</v>
      </c>
      <c r="D3433" s="33">
        <f>IF(ISNUMBER(SEARCH('Φόρμα Εισαγωγής'!$C$2,E3433)),MAX($D$1:D3432)+1,0)</f>
        <v>0</v>
      </c>
      <c r="H3433" s="6">
        <f t="shared" si="170"/>
        <v>0</v>
      </c>
      <c r="I3433" s="6">
        <f t="shared" si="171"/>
        <v>0</v>
      </c>
      <c r="J3433" s="6">
        <f t="shared" si="172"/>
        <v>0</v>
      </c>
      <c r="L3433" s="4" t="str">
        <f>IFERROR(VLOOKUP(ROWS($L$2:L3433),$B$2:$C$1996,2,0),"")</f>
        <v/>
      </c>
      <c r="N3433" s="2" t="str">
        <f>IFERROR(VLOOKUP(ROWS($N$2:N3433),$D$2:$E$1996,2,0),"")</f>
        <v/>
      </c>
    </row>
    <row r="3434" spans="2:14">
      <c r="B3434" s="32">
        <f>IF(ISNUMBER(SEARCH('Φόρμα Εισαγωγής'!$B$2,C3434)),MAX($B$1:B3433)+1,0)</f>
        <v>0</v>
      </c>
      <c r="D3434" s="33">
        <f>IF(ISNUMBER(SEARCH('Φόρμα Εισαγωγής'!$C$2,E3434)),MAX($D$1:D3433)+1,0)</f>
        <v>0</v>
      </c>
      <c r="H3434" s="6">
        <f t="shared" si="170"/>
        <v>0</v>
      </c>
      <c r="I3434" s="6">
        <f t="shared" si="171"/>
        <v>0</v>
      </c>
      <c r="J3434" s="6">
        <f t="shared" si="172"/>
        <v>0</v>
      </c>
      <c r="L3434" s="4" t="str">
        <f>IFERROR(VLOOKUP(ROWS($L$2:L3434),$B$2:$C$1996,2,0),"")</f>
        <v/>
      </c>
      <c r="N3434" s="2" t="str">
        <f>IFERROR(VLOOKUP(ROWS($N$2:N3434),$D$2:$E$1996,2,0),"")</f>
        <v/>
      </c>
    </row>
    <row r="3435" spans="2:14">
      <c r="B3435" s="32">
        <f>IF(ISNUMBER(SEARCH('Φόρμα Εισαγωγής'!$B$2,C3435)),MAX($B$1:B3434)+1,0)</f>
        <v>0</v>
      </c>
      <c r="D3435" s="33">
        <f>IF(ISNUMBER(SEARCH('Φόρμα Εισαγωγής'!$C$2,E3435)),MAX($D$1:D3434)+1,0)</f>
        <v>0</v>
      </c>
      <c r="H3435" s="6">
        <f t="shared" si="170"/>
        <v>0</v>
      </c>
      <c r="I3435" s="6">
        <f t="shared" si="171"/>
        <v>0</v>
      </c>
      <c r="J3435" s="6">
        <f t="shared" si="172"/>
        <v>0</v>
      </c>
      <c r="L3435" s="4" t="str">
        <f>IFERROR(VLOOKUP(ROWS($L$2:L3435),$B$2:$C$1996,2,0),"")</f>
        <v/>
      </c>
      <c r="N3435" s="2" t="str">
        <f>IFERROR(VLOOKUP(ROWS($N$2:N3435),$D$2:$E$1996,2,0),"")</f>
        <v/>
      </c>
    </row>
    <row r="3436" spans="2:14">
      <c r="B3436" s="32">
        <f>IF(ISNUMBER(SEARCH('Φόρμα Εισαγωγής'!$B$2,C3436)),MAX($B$1:B3435)+1,0)</f>
        <v>0</v>
      </c>
      <c r="D3436" s="33">
        <f>IF(ISNUMBER(SEARCH('Φόρμα Εισαγωγής'!$C$2,E3436)),MAX($D$1:D3435)+1,0)</f>
        <v>0</v>
      </c>
      <c r="H3436" s="6">
        <f t="shared" si="170"/>
        <v>0</v>
      </c>
      <c r="I3436" s="6">
        <f t="shared" si="171"/>
        <v>0</v>
      </c>
      <c r="J3436" s="6">
        <f t="shared" si="172"/>
        <v>0</v>
      </c>
      <c r="L3436" s="4" t="str">
        <f>IFERROR(VLOOKUP(ROWS($L$2:L3436),$B$2:$C$1996,2,0),"")</f>
        <v/>
      </c>
      <c r="N3436" s="2" t="str">
        <f>IFERROR(VLOOKUP(ROWS($N$2:N3436),$D$2:$E$1996,2,0),"")</f>
        <v/>
      </c>
    </row>
    <row r="3437" spans="2:14">
      <c r="B3437" s="32">
        <f>IF(ISNUMBER(SEARCH('Φόρμα Εισαγωγής'!$B$2,C3437)),MAX($B$1:B3436)+1,0)</f>
        <v>0</v>
      </c>
      <c r="D3437" s="33">
        <f>IF(ISNUMBER(SEARCH('Φόρμα Εισαγωγής'!$C$2,E3437)),MAX($D$1:D3436)+1,0)</f>
        <v>0</v>
      </c>
      <c r="H3437" s="6">
        <f t="shared" si="170"/>
        <v>0</v>
      </c>
      <c r="I3437" s="6">
        <f t="shared" si="171"/>
        <v>0</v>
      </c>
      <c r="J3437" s="6">
        <f t="shared" si="172"/>
        <v>0</v>
      </c>
      <c r="L3437" s="4" t="str">
        <f>IFERROR(VLOOKUP(ROWS($L$2:L3437),$B$2:$C$1996,2,0),"")</f>
        <v/>
      </c>
      <c r="N3437" s="2" t="str">
        <f>IFERROR(VLOOKUP(ROWS($N$2:N3437),$D$2:$E$1996,2,0),"")</f>
        <v/>
      </c>
    </row>
    <row r="3438" spans="2:14">
      <c r="B3438" s="32">
        <f>IF(ISNUMBER(SEARCH('Φόρμα Εισαγωγής'!$B$2,C3438)),MAX($B$1:B3437)+1,0)</f>
        <v>0</v>
      </c>
      <c r="D3438" s="33">
        <f>IF(ISNUMBER(SEARCH('Φόρμα Εισαγωγής'!$C$2,E3438)),MAX($D$1:D3437)+1,0)</f>
        <v>0</v>
      </c>
      <c r="H3438" s="6">
        <f t="shared" si="170"/>
        <v>0</v>
      </c>
      <c r="I3438" s="6">
        <f t="shared" si="171"/>
        <v>0</v>
      </c>
      <c r="J3438" s="6">
        <f t="shared" si="172"/>
        <v>0</v>
      </c>
      <c r="L3438" s="4" t="str">
        <f>IFERROR(VLOOKUP(ROWS($L$2:L3438),$B$2:$C$1996,2,0),"")</f>
        <v/>
      </c>
      <c r="N3438" s="2" t="str">
        <f>IFERROR(VLOOKUP(ROWS($N$2:N3438),$D$2:$E$1996,2,0),"")</f>
        <v/>
      </c>
    </row>
    <row r="3439" spans="2:14">
      <c r="B3439" s="32">
        <f>IF(ISNUMBER(SEARCH('Φόρμα Εισαγωγής'!$B$2,C3439)),MAX($B$1:B3438)+1,0)</f>
        <v>0</v>
      </c>
      <c r="D3439" s="33">
        <f>IF(ISNUMBER(SEARCH('Φόρμα Εισαγωγής'!$C$2,E3439)),MAX($D$1:D3438)+1,0)</f>
        <v>0</v>
      </c>
      <c r="H3439" s="6">
        <f t="shared" si="170"/>
        <v>0</v>
      </c>
      <c r="I3439" s="6">
        <f t="shared" si="171"/>
        <v>0</v>
      </c>
      <c r="J3439" s="6">
        <f t="shared" si="172"/>
        <v>0</v>
      </c>
      <c r="L3439" s="4" t="str">
        <f>IFERROR(VLOOKUP(ROWS($L$2:L3439),$B$2:$C$1996,2,0),"")</f>
        <v/>
      </c>
      <c r="N3439" s="2" t="str">
        <f>IFERROR(VLOOKUP(ROWS($N$2:N3439),$D$2:$E$1996,2,0),"")</f>
        <v/>
      </c>
    </row>
    <row r="3440" spans="2:14">
      <c r="B3440" s="32">
        <f>IF(ISNUMBER(SEARCH('Φόρμα Εισαγωγής'!$B$2,C3440)),MAX($B$1:B3439)+1,0)</f>
        <v>0</v>
      </c>
      <c r="D3440" s="33">
        <f>IF(ISNUMBER(SEARCH('Φόρμα Εισαγωγής'!$C$2,E3440)),MAX($D$1:D3439)+1,0)</f>
        <v>0</v>
      </c>
      <c r="H3440" s="6">
        <f t="shared" si="170"/>
        <v>0</v>
      </c>
      <c r="I3440" s="6">
        <f t="shared" si="171"/>
        <v>0</v>
      </c>
      <c r="J3440" s="6">
        <f t="shared" si="172"/>
        <v>0</v>
      </c>
      <c r="L3440" s="4" t="str">
        <f>IFERROR(VLOOKUP(ROWS($L$2:L3440),$B$2:$C$1996,2,0),"")</f>
        <v/>
      </c>
      <c r="N3440" s="2" t="str">
        <f>IFERROR(VLOOKUP(ROWS($N$2:N3440),$D$2:$E$1996,2,0),"")</f>
        <v/>
      </c>
    </row>
    <row r="3441" spans="2:14">
      <c r="B3441" s="32">
        <f>IF(ISNUMBER(SEARCH('Φόρμα Εισαγωγής'!$B$2,C3441)),MAX($B$1:B3440)+1,0)</f>
        <v>0</v>
      </c>
      <c r="D3441" s="33">
        <f>IF(ISNUMBER(SEARCH('Φόρμα Εισαγωγής'!$C$2,E3441)),MAX($D$1:D3440)+1,0)</f>
        <v>0</v>
      </c>
      <c r="H3441" s="6">
        <f t="shared" si="170"/>
        <v>0</v>
      </c>
      <c r="I3441" s="6">
        <f t="shared" si="171"/>
        <v>0</v>
      </c>
      <c r="J3441" s="6">
        <f t="shared" si="172"/>
        <v>0</v>
      </c>
      <c r="L3441" s="4" t="str">
        <f>IFERROR(VLOOKUP(ROWS($L$2:L3441),$B$2:$C$1996,2,0),"")</f>
        <v/>
      </c>
      <c r="N3441" s="2" t="str">
        <f>IFERROR(VLOOKUP(ROWS($N$2:N3441),$D$2:$E$1996,2,0),"")</f>
        <v/>
      </c>
    </row>
    <row r="3442" spans="2:14">
      <c r="B3442" s="32">
        <f>IF(ISNUMBER(SEARCH('Φόρμα Εισαγωγής'!$B$2,C3442)),MAX($B$1:B3441)+1,0)</f>
        <v>0</v>
      </c>
      <c r="D3442" s="33">
        <f>IF(ISNUMBER(SEARCH('Φόρμα Εισαγωγής'!$C$2,E3442)),MAX($D$1:D3441)+1,0)</f>
        <v>0</v>
      </c>
      <c r="H3442" s="6">
        <f t="shared" si="170"/>
        <v>0</v>
      </c>
      <c r="I3442" s="6">
        <f t="shared" si="171"/>
        <v>0</v>
      </c>
      <c r="J3442" s="6">
        <f t="shared" si="172"/>
        <v>0</v>
      </c>
      <c r="L3442" s="4" t="str">
        <f>IFERROR(VLOOKUP(ROWS($L$2:L3442),$B$2:$C$1996,2,0),"")</f>
        <v/>
      </c>
      <c r="N3442" s="2" t="str">
        <f>IFERROR(VLOOKUP(ROWS($N$2:N3442),$D$2:$E$1996,2,0),"")</f>
        <v/>
      </c>
    </row>
    <row r="3443" spans="2:14">
      <c r="B3443" s="32">
        <f>IF(ISNUMBER(SEARCH('Φόρμα Εισαγωγής'!$B$2,C3443)),MAX($B$1:B3442)+1,0)</f>
        <v>0</v>
      </c>
      <c r="D3443" s="33">
        <f>IF(ISNUMBER(SEARCH('Φόρμα Εισαγωγής'!$C$2,E3443)),MAX($D$1:D3442)+1,0)</f>
        <v>0</v>
      </c>
      <c r="H3443" s="6">
        <f t="shared" si="170"/>
        <v>0</v>
      </c>
      <c r="I3443" s="6">
        <f t="shared" si="171"/>
        <v>0</v>
      </c>
      <c r="J3443" s="6">
        <f t="shared" si="172"/>
        <v>0</v>
      </c>
      <c r="L3443" s="4" t="str">
        <f>IFERROR(VLOOKUP(ROWS($L$2:L3443),$B$2:$C$1996,2,0),"")</f>
        <v/>
      </c>
      <c r="N3443" s="2" t="str">
        <f>IFERROR(VLOOKUP(ROWS($N$2:N3443),$D$2:$E$1996,2,0),"")</f>
        <v/>
      </c>
    </row>
    <row r="3444" spans="2:14">
      <c r="B3444" s="32">
        <f>IF(ISNUMBER(SEARCH('Φόρμα Εισαγωγής'!$B$2,C3444)),MAX($B$1:B3443)+1,0)</f>
        <v>0</v>
      </c>
      <c r="D3444" s="33">
        <f>IF(ISNUMBER(SEARCH('Φόρμα Εισαγωγής'!$C$2,E3444)),MAX($D$1:D3443)+1,0)</f>
        <v>0</v>
      </c>
      <c r="H3444" s="6">
        <f t="shared" si="170"/>
        <v>0</v>
      </c>
      <c r="I3444" s="6">
        <f t="shared" si="171"/>
        <v>0</v>
      </c>
      <c r="J3444" s="6">
        <f t="shared" si="172"/>
        <v>0</v>
      </c>
      <c r="L3444" s="4" t="str">
        <f>IFERROR(VLOOKUP(ROWS($L$2:L3444),$B$2:$C$1996,2,0),"")</f>
        <v/>
      </c>
      <c r="N3444" s="2" t="str">
        <f>IFERROR(VLOOKUP(ROWS($N$2:N3444),$D$2:$E$1996,2,0),"")</f>
        <v/>
      </c>
    </row>
    <row r="3445" spans="2:14">
      <c r="B3445" s="32">
        <f>IF(ISNUMBER(SEARCH('Φόρμα Εισαγωγής'!$B$2,C3445)),MAX($B$1:B3444)+1,0)</f>
        <v>0</v>
      </c>
      <c r="D3445" s="33">
        <f>IF(ISNUMBER(SEARCH('Φόρμα Εισαγωγής'!$C$2,E3445)),MAX($D$1:D3444)+1,0)</f>
        <v>0</v>
      </c>
      <c r="H3445" s="6">
        <f t="shared" si="170"/>
        <v>0</v>
      </c>
      <c r="I3445" s="6">
        <f t="shared" si="171"/>
        <v>0</v>
      </c>
      <c r="J3445" s="6">
        <f t="shared" si="172"/>
        <v>0</v>
      </c>
      <c r="L3445" s="4" t="str">
        <f>IFERROR(VLOOKUP(ROWS($L$2:L3445),$B$2:$C$1996,2,0),"")</f>
        <v/>
      </c>
      <c r="N3445" s="2" t="str">
        <f>IFERROR(VLOOKUP(ROWS($N$2:N3445),$D$2:$E$1996,2,0),"")</f>
        <v/>
      </c>
    </row>
    <row r="3446" spans="2:14">
      <c r="B3446" s="32">
        <f>IF(ISNUMBER(SEARCH('Φόρμα Εισαγωγής'!$B$2,C3446)),MAX($B$1:B3445)+1,0)</f>
        <v>0</v>
      </c>
      <c r="D3446" s="33">
        <f>IF(ISNUMBER(SEARCH('Φόρμα Εισαγωγής'!$C$2,E3446)),MAX($D$1:D3445)+1,0)</f>
        <v>0</v>
      </c>
      <c r="H3446" s="6">
        <f t="shared" si="170"/>
        <v>0</v>
      </c>
      <c r="I3446" s="6">
        <f t="shared" si="171"/>
        <v>0</v>
      </c>
      <c r="J3446" s="6">
        <f t="shared" si="172"/>
        <v>0</v>
      </c>
      <c r="L3446" s="4" t="str">
        <f>IFERROR(VLOOKUP(ROWS($L$2:L3446),$B$2:$C$1996,2,0),"")</f>
        <v/>
      </c>
      <c r="N3446" s="2" t="str">
        <f>IFERROR(VLOOKUP(ROWS($N$2:N3446),$D$2:$E$1996,2,0),"")</f>
        <v/>
      </c>
    </row>
    <row r="3447" spans="2:14">
      <c r="B3447" s="32">
        <f>IF(ISNUMBER(SEARCH('Φόρμα Εισαγωγής'!$B$2,C3447)),MAX($B$1:B3446)+1,0)</f>
        <v>0</v>
      </c>
      <c r="D3447" s="33">
        <f>IF(ISNUMBER(SEARCH('Φόρμα Εισαγωγής'!$C$2,E3447)),MAX($D$1:D3446)+1,0)</f>
        <v>0</v>
      </c>
      <c r="H3447" s="6">
        <f t="shared" si="170"/>
        <v>0</v>
      </c>
      <c r="I3447" s="6">
        <f t="shared" si="171"/>
        <v>0</v>
      </c>
      <c r="J3447" s="6">
        <f t="shared" si="172"/>
        <v>0</v>
      </c>
      <c r="L3447" s="4" t="str">
        <f>IFERROR(VLOOKUP(ROWS($L$2:L3447),$B$2:$C$1996,2,0),"")</f>
        <v/>
      </c>
      <c r="N3447" s="2" t="str">
        <f>IFERROR(VLOOKUP(ROWS($N$2:N3447),$D$2:$E$1996,2,0),"")</f>
        <v/>
      </c>
    </row>
    <row r="3448" spans="2:14">
      <c r="B3448" s="32">
        <f>IF(ISNUMBER(SEARCH('Φόρμα Εισαγωγής'!$B$2,C3448)),MAX($B$1:B3447)+1,0)</f>
        <v>0</v>
      </c>
      <c r="D3448" s="33">
        <f>IF(ISNUMBER(SEARCH('Φόρμα Εισαγωγής'!$C$2,E3448)),MAX($D$1:D3447)+1,0)</f>
        <v>0</v>
      </c>
      <c r="H3448" s="6">
        <f t="shared" si="170"/>
        <v>0</v>
      </c>
      <c r="I3448" s="6">
        <f t="shared" si="171"/>
        <v>0</v>
      </c>
      <c r="J3448" s="6">
        <f t="shared" si="172"/>
        <v>0</v>
      </c>
      <c r="L3448" s="4" t="str">
        <f>IFERROR(VLOOKUP(ROWS($L$2:L3448),$B$2:$C$1996,2,0),"")</f>
        <v/>
      </c>
      <c r="N3448" s="2" t="str">
        <f>IFERROR(VLOOKUP(ROWS($N$2:N3448),$D$2:$E$1996,2,0),"")</f>
        <v/>
      </c>
    </row>
    <row r="3449" spans="2:14">
      <c r="B3449" s="32">
        <f>IF(ISNUMBER(SEARCH('Φόρμα Εισαγωγής'!$B$2,C3449)),MAX($B$1:B3448)+1,0)</f>
        <v>0</v>
      </c>
      <c r="D3449" s="33">
        <f>IF(ISNUMBER(SEARCH('Φόρμα Εισαγωγής'!$C$2,E3449)),MAX($D$1:D3448)+1,0)</f>
        <v>0</v>
      </c>
      <c r="H3449" s="6">
        <f t="shared" si="170"/>
        <v>0</v>
      </c>
      <c r="I3449" s="6">
        <f t="shared" si="171"/>
        <v>0</v>
      </c>
      <c r="J3449" s="6">
        <f t="shared" si="172"/>
        <v>0</v>
      </c>
      <c r="L3449" s="4" t="str">
        <f>IFERROR(VLOOKUP(ROWS($L$2:L3449),$B$2:$C$1996,2,0),"")</f>
        <v/>
      </c>
      <c r="N3449" s="2" t="str">
        <f>IFERROR(VLOOKUP(ROWS($N$2:N3449),$D$2:$E$1996,2,0),"")</f>
        <v/>
      </c>
    </row>
    <row r="3450" spans="2:14">
      <c r="B3450" s="32">
        <f>IF(ISNUMBER(SEARCH('Φόρμα Εισαγωγής'!$B$2,C3450)),MAX($B$1:B3449)+1,0)</f>
        <v>0</v>
      </c>
      <c r="D3450" s="33">
        <f>IF(ISNUMBER(SEARCH('Φόρμα Εισαγωγής'!$C$2,E3450)),MAX($D$1:D3449)+1,0)</f>
        <v>0</v>
      </c>
      <c r="H3450" s="6">
        <f t="shared" si="170"/>
        <v>0</v>
      </c>
      <c r="I3450" s="6">
        <f t="shared" si="171"/>
        <v>0</v>
      </c>
      <c r="J3450" s="6">
        <f t="shared" si="172"/>
        <v>0</v>
      </c>
      <c r="L3450" s="4" t="str">
        <f>IFERROR(VLOOKUP(ROWS($L$2:L3450),$B$2:$C$1996,2,0),"")</f>
        <v/>
      </c>
      <c r="N3450" s="2" t="str">
        <f>IFERROR(VLOOKUP(ROWS($N$2:N3450),$D$2:$E$1996,2,0),"")</f>
        <v/>
      </c>
    </row>
    <row r="3451" spans="2:14">
      <c r="B3451" s="32">
        <f>IF(ISNUMBER(SEARCH('Φόρμα Εισαγωγής'!$B$2,C3451)),MAX($B$1:B3450)+1,0)</f>
        <v>0</v>
      </c>
      <c r="D3451" s="33">
        <f>IF(ISNUMBER(SEARCH('Φόρμα Εισαγωγής'!$C$2,E3451)),MAX($D$1:D3450)+1,0)</f>
        <v>0</v>
      </c>
      <c r="H3451" s="6">
        <f t="shared" si="170"/>
        <v>0</v>
      </c>
      <c r="I3451" s="6">
        <f t="shared" si="171"/>
        <v>0</v>
      </c>
      <c r="J3451" s="6">
        <f t="shared" si="172"/>
        <v>0</v>
      </c>
      <c r="L3451" s="4" t="str">
        <f>IFERROR(VLOOKUP(ROWS($L$2:L3451),$B$2:$C$1996,2,0),"")</f>
        <v/>
      </c>
      <c r="N3451" s="2" t="str">
        <f>IFERROR(VLOOKUP(ROWS($N$2:N3451),$D$2:$E$1996,2,0),"")</f>
        <v/>
      </c>
    </row>
    <row r="3452" spans="2:14">
      <c r="B3452" s="32">
        <f>IF(ISNUMBER(SEARCH('Φόρμα Εισαγωγής'!$B$2,C3452)),MAX($B$1:B3451)+1,0)</f>
        <v>0</v>
      </c>
      <c r="D3452" s="33">
        <f>IF(ISNUMBER(SEARCH('Φόρμα Εισαγωγής'!$C$2,E3452)),MAX($D$1:D3451)+1,0)</f>
        <v>0</v>
      </c>
      <c r="H3452" s="6">
        <f t="shared" si="170"/>
        <v>0</v>
      </c>
      <c r="I3452" s="6">
        <f t="shared" si="171"/>
        <v>0</v>
      </c>
      <c r="J3452" s="6">
        <f t="shared" si="172"/>
        <v>0</v>
      </c>
      <c r="L3452" s="4" t="str">
        <f>IFERROR(VLOOKUP(ROWS($L$2:L3452),$B$2:$C$1996,2,0),"")</f>
        <v/>
      </c>
      <c r="N3452" s="2" t="str">
        <f>IFERROR(VLOOKUP(ROWS($N$2:N3452),$D$2:$E$1996,2,0),"")</f>
        <v/>
      </c>
    </row>
    <row r="3453" spans="2:14">
      <c r="B3453" s="32">
        <f>IF(ISNUMBER(SEARCH('Φόρμα Εισαγωγής'!$B$2,C3453)),MAX($B$1:B3452)+1,0)</f>
        <v>0</v>
      </c>
      <c r="D3453" s="33">
        <f>IF(ISNUMBER(SEARCH('Φόρμα Εισαγωγής'!$C$2,E3453)),MAX($D$1:D3452)+1,0)</f>
        <v>0</v>
      </c>
      <c r="H3453" s="6">
        <f t="shared" si="170"/>
        <v>0</v>
      </c>
      <c r="I3453" s="6">
        <f t="shared" si="171"/>
        <v>0</v>
      </c>
      <c r="J3453" s="6">
        <f t="shared" si="172"/>
        <v>0</v>
      </c>
      <c r="L3453" s="4" t="str">
        <f>IFERROR(VLOOKUP(ROWS($L$2:L3453),$B$2:$C$1996,2,0),"")</f>
        <v/>
      </c>
      <c r="N3453" s="2" t="str">
        <f>IFERROR(VLOOKUP(ROWS($N$2:N3453),$D$2:$E$1996,2,0),"")</f>
        <v/>
      </c>
    </row>
    <row r="3454" spans="2:14">
      <c r="B3454" s="32">
        <f>IF(ISNUMBER(SEARCH('Φόρμα Εισαγωγής'!$B$2,C3454)),MAX($B$1:B3453)+1,0)</f>
        <v>0</v>
      </c>
      <c r="D3454" s="33">
        <f>IF(ISNUMBER(SEARCH('Φόρμα Εισαγωγής'!$C$2,E3454)),MAX($D$1:D3453)+1,0)</f>
        <v>0</v>
      </c>
      <c r="H3454" s="6">
        <f t="shared" si="170"/>
        <v>0</v>
      </c>
      <c r="I3454" s="6">
        <f t="shared" si="171"/>
        <v>0</v>
      </c>
      <c r="J3454" s="6">
        <f t="shared" si="172"/>
        <v>0</v>
      </c>
      <c r="L3454" s="4" t="str">
        <f>IFERROR(VLOOKUP(ROWS($L$2:L3454),$B$2:$C$1996,2,0),"")</f>
        <v/>
      </c>
      <c r="N3454" s="2" t="str">
        <f>IFERROR(VLOOKUP(ROWS($N$2:N3454),$D$2:$E$1996,2,0),"")</f>
        <v/>
      </c>
    </row>
    <row r="3455" spans="2:14">
      <c r="B3455" s="32">
        <f>IF(ISNUMBER(SEARCH('Φόρμα Εισαγωγής'!$B$2,C3455)),MAX($B$1:B3454)+1,0)</f>
        <v>0</v>
      </c>
      <c r="D3455" s="33">
        <f>IF(ISNUMBER(SEARCH('Φόρμα Εισαγωγής'!$C$2,E3455)),MAX($D$1:D3454)+1,0)</f>
        <v>0</v>
      </c>
      <c r="H3455" s="6">
        <f t="shared" si="170"/>
        <v>0</v>
      </c>
      <c r="I3455" s="6">
        <f t="shared" si="171"/>
        <v>0</v>
      </c>
      <c r="J3455" s="6">
        <f t="shared" si="172"/>
        <v>0</v>
      </c>
      <c r="L3455" s="4" t="str">
        <f>IFERROR(VLOOKUP(ROWS($L$2:L3455),$B$2:$C$1996,2,0),"")</f>
        <v/>
      </c>
      <c r="N3455" s="2" t="str">
        <f>IFERROR(VLOOKUP(ROWS($N$2:N3455),$D$2:$E$1996,2,0),"")</f>
        <v/>
      </c>
    </row>
    <row r="3456" spans="2:14">
      <c r="B3456" s="32">
        <f>IF(ISNUMBER(SEARCH('Φόρμα Εισαγωγής'!$B$2,C3456)),MAX($B$1:B3455)+1,0)</f>
        <v>0</v>
      </c>
      <c r="D3456" s="33">
        <f>IF(ISNUMBER(SEARCH('Φόρμα Εισαγωγής'!$C$2,E3456)),MAX($D$1:D3455)+1,0)</f>
        <v>0</v>
      </c>
      <c r="H3456" s="6">
        <f t="shared" ref="H3456:H3519" si="173">G3456+(G3456*0.24)</f>
        <v>0</v>
      </c>
      <c r="I3456" s="6">
        <f t="shared" ref="I3456:I3519" si="174">F3456*A3456</f>
        <v>0</v>
      </c>
      <c r="J3456" s="6">
        <f t="shared" ref="J3456:J3519" si="175">H3456*A3456</f>
        <v>0</v>
      </c>
      <c r="L3456" s="4" t="str">
        <f>IFERROR(VLOOKUP(ROWS($L$2:L3456),$B$2:$C$1996,2,0),"")</f>
        <v/>
      </c>
      <c r="N3456" s="2" t="str">
        <f>IFERROR(VLOOKUP(ROWS($N$2:N3456),$D$2:$E$1996,2,0),"")</f>
        <v/>
      </c>
    </row>
    <row r="3457" spans="2:14">
      <c r="B3457" s="32">
        <f>IF(ISNUMBER(SEARCH('Φόρμα Εισαγωγής'!$B$2,C3457)),MAX($B$1:B3456)+1,0)</f>
        <v>0</v>
      </c>
      <c r="D3457" s="33">
        <f>IF(ISNUMBER(SEARCH('Φόρμα Εισαγωγής'!$C$2,E3457)),MAX($D$1:D3456)+1,0)</f>
        <v>0</v>
      </c>
      <c r="H3457" s="6">
        <f t="shared" si="173"/>
        <v>0</v>
      </c>
      <c r="I3457" s="6">
        <f t="shared" si="174"/>
        <v>0</v>
      </c>
      <c r="J3457" s="6">
        <f t="shared" si="175"/>
        <v>0</v>
      </c>
      <c r="L3457" s="4" t="str">
        <f>IFERROR(VLOOKUP(ROWS($L$2:L3457),$B$2:$C$1996,2,0),"")</f>
        <v/>
      </c>
      <c r="N3457" s="2" t="str">
        <f>IFERROR(VLOOKUP(ROWS($N$2:N3457),$D$2:$E$1996,2,0),"")</f>
        <v/>
      </c>
    </row>
    <row r="3458" spans="2:14">
      <c r="B3458" s="32">
        <f>IF(ISNUMBER(SEARCH('Φόρμα Εισαγωγής'!$B$2,C3458)),MAX($B$1:B3457)+1,0)</f>
        <v>0</v>
      </c>
      <c r="D3458" s="33">
        <f>IF(ISNUMBER(SEARCH('Φόρμα Εισαγωγής'!$C$2,E3458)),MAX($D$1:D3457)+1,0)</f>
        <v>0</v>
      </c>
      <c r="H3458" s="6">
        <f t="shared" si="173"/>
        <v>0</v>
      </c>
      <c r="I3458" s="6">
        <f t="shared" si="174"/>
        <v>0</v>
      </c>
      <c r="J3458" s="6">
        <f t="shared" si="175"/>
        <v>0</v>
      </c>
      <c r="L3458" s="4" t="str">
        <f>IFERROR(VLOOKUP(ROWS($L$2:L3458),$B$2:$C$1996,2,0),"")</f>
        <v/>
      </c>
      <c r="N3458" s="2" t="str">
        <f>IFERROR(VLOOKUP(ROWS($N$2:N3458),$D$2:$E$1996,2,0),"")</f>
        <v/>
      </c>
    </row>
    <row r="3459" spans="2:14">
      <c r="B3459" s="32">
        <f>IF(ISNUMBER(SEARCH('Φόρμα Εισαγωγής'!$B$2,C3459)),MAX($B$1:B3458)+1,0)</f>
        <v>0</v>
      </c>
      <c r="D3459" s="33">
        <f>IF(ISNUMBER(SEARCH('Φόρμα Εισαγωγής'!$C$2,E3459)),MAX($D$1:D3458)+1,0)</f>
        <v>0</v>
      </c>
      <c r="H3459" s="6">
        <f t="shared" si="173"/>
        <v>0</v>
      </c>
      <c r="I3459" s="6">
        <f t="shared" si="174"/>
        <v>0</v>
      </c>
      <c r="J3459" s="6">
        <f t="shared" si="175"/>
        <v>0</v>
      </c>
      <c r="L3459" s="4" t="str">
        <f>IFERROR(VLOOKUP(ROWS($L$2:L3459),$B$2:$C$1996,2,0),"")</f>
        <v/>
      </c>
      <c r="N3459" s="2" t="str">
        <f>IFERROR(VLOOKUP(ROWS($N$2:N3459),$D$2:$E$1996,2,0),"")</f>
        <v/>
      </c>
    </row>
    <row r="3460" spans="2:14">
      <c r="B3460" s="32">
        <f>IF(ISNUMBER(SEARCH('Φόρμα Εισαγωγής'!$B$2,C3460)),MAX($B$1:B3459)+1,0)</f>
        <v>0</v>
      </c>
      <c r="D3460" s="33">
        <f>IF(ISNUMBER(SEARCH('Φόρμα Εισαγωγής'!$C$2,E3460)),MAX($D$1:D3459)+1,0)</f>
        <v>0</v>
      </c>
      <c r="H3460" s="6">
        <f t="shared" si="173"/>
        <v>0</v>
      </c>
      <c r="I3460" s="6">
        <f t="shared" si="174"/>
        <v>0</v>
      </c>
      <c r="J3460" s="6">
        <f t="shared" si="175"/>
        <v>0</v>
      </c>
      <c r="L3460" s="4" t="str">
        <f>IFERROR(VLOOKUP(ROWS($L$2:L3460),$B$2:$C$1996,2,0),"")</f>
        <v/>
      </c>
      <c r="N3460" s="2" t="str">
        <f>IFERROR(VLOOKUP(ROWS($N$2:N3460),$D$2:$E$1996,2,0),"")</f>
        <v/>
      </c>
    </row>
    <row r="3461" spans="2:14">
      <c r="B3461" s="32">
        <f>IF(ISNUMBER(SEARCH('Φόρμα Εισαγωγής'!$B$2,C3461)),MAX($B$1:B3460)+1,0)</f>
        <v>0</v>
      </c>
      <c r="D3461" s="33">
        <f>IF(ISNUMBER(SEARCH('Φόρμα Εισαγωγής'!$C$2,E3461)),MAX($D$1:D3460)+1,0)</f>
        <v>0</v>
      </c>
      <c r="H3461" s="6">
        <f t="shared" si="173"/>
        <v>0</v>
      </c>
      <c r="I3461" s="6">
        <f t="shared" si="174"/>
        <v>0</v>
      </c>
      <c r="J3461" s="6">
        <f t="shared" si="175"/>
        <v>0</v>
      </c>
      <c r="L3461" s="4" t="str">
        <f>IFERROR(VLOOKUP(ROWS($L$2:L3461),$B$2:$C$1996,2,0),"")</f>
        <v/>
      </c>
      <c r="N3461" s="2" t="str">
        <f>IFERROR(VLOOKUP(ROWS($N$2:N3461),$D$2:$E$1996,2,0),"")</f>
        <v/>
      </c>
    </row>
    <row r="3462" spans="2:14">
      <c r="B3462" s="32">
        <f>IF(ISNUMBER(SEARCH('Φόρμα Εισαγωγής'!$B$2,C3462)),MAX($B$1:B3461)+1,0)</f>
        <v>0</v>
      </c>
      <c r="D3462" s="33">
        <f>IF(ISNUMBER(SEARCH('Φόρμα Εισαγωγής'!$C$2,E3462)),MAX($D$1:D3461)+1,0)</f>
        <v>0</v>
      </c>
      <c r="H3462" s="6">
        <f t="shared" si="173"/>
        <v>0</v>
      </c>
      <c r="I3462" s="6">
        <f t="shared" si="174"/>
        <v>0</v>
      </c>
      <c r="J3462" s="6">
        <f t="shared" si="175"/>
        <v>0</v>
      </c>
      <c r="L3462" s="4" t="str">
        <f>IFERROR(VLOOKUP(ROWS($L$2:L3462),$B$2:$C$1996,2,0),"")</f>
        <v/>
      </c>
      <c r="N3462" s="2" t="str">
        <f>IFERROR(VLOOKUP(ROWS($N$2:N3462),$D$2:$E$1996,2,0),"")</f>
        <v/>
      </c>
    </row>
    <row r="3463" spans="2:14">
      <c r="B3463" s="32">
        <f>IF(ISNUMBER(SEARCH('Φόρμα Εισαγωγής'!$B$2,C3463)),MAX($B$1:B3462)+1,0)</f>
        <v>0</v>
      </c>
      <c r="D3463" s="33">
        <f>IF(ISNUMBER(SEARCH('Φόρμα Εισαγωγής'!$C$2,E3463)),MAX($D$1:D3462)+1,0)</f>
        <v>0</v>
      </c>
      <c r="H3463" s="6">
        <f t="shared" si="173"/>
        <v>0</v>
      </c>
      <c r="I3463" s="6">
        <f t="shared" si="174"/>
        <v>0</v>
      </c>
      <c r="J3463" s="6">
        <f t="shared" si="175"/>
        <v>0</v>
      </c>
      <c r="L3463" s="4" t="str">
        <f>IFERROR(VLOOKUP(ROWS($L$2:L3463),$B$2:$C$1996,2,0),"")</f>
        <v/>
      </c>
      <c r="N3463" s="2" t="str">
        <f>IFERROR(VLOOKUP(ROWS($N$2:N3463),$D$2:$E$1996,2,0),"")</f>
        <v/>
      </c>
    </row>
    <row r="3464" spans="2:14">
      <c r="B3464" s="32">
        <f>IF(ISNUMBER(SEARCH('Φόρμα Εισαγωγής'!$B$2,C3464)),MAX($B$1:B3463)+1,0)</f>
        <v>0</v>
      </c>
      <c r="D3464" s="33">
        <f>IF(ISNUMBER(SEARCH('Φόρμα Εισαγωγής'!$C$2,E3464)),MAX($D$1:D3463)+1,0)</f>
        <v>0</v>
      </c>
      <c r="H3464" s="6">
        <f t="shared" si="173"/>
        <v>0</v>
      </c>
      <c r="I3464" s="6">
        <f t="shared" si="174"/>
        <v>0</v>
      </c>
      <c r="J3464" s="6">
        <f t="shared" si="175"/>
        <v>0</v>
      </c>
      <c r="L3464" s="4" t="str">
        <f>IFERROR(VLOOKUP(ROWS($L$2:L3464),$B$2:$C$1996,2,0),"")</f>
        <v/>
      </c>
      <c r="N3464" s="2" t="str">
        <f>IFERROR(VLOOKUP(ROWS($N$2:N3464),$D$2:$E$1996,2,0),"")</f>
        <v/>
      </c>
    </row>
    <row r="3465" spans="2:14">
      <c r="B3465" s="32">
        <f>IF(ISNUMBER(SEARCH('Φόρμα Εισαγωγής'!$B$2,C3465)),MAX($B$1:B3464)+1,0)</f>
        <v>0</v>
      </c>
      <c r="D3465" s="33">
        <f>IF(ISNUMBER(SEARCH('Φόρμα Εισαγωγής'!$C$2,E3465)),MAX($D$1:D3464)+1,0)</f>
        <v>0</v>
      </c>
      <c r="H3465" s="6">
        <f t="shared" si="173"/>
        <v>0</v>
      </c>
      <c r="I3465" s="6">
        <f t="shared" si="174"/>
        <v>0</v>
      </c>
      <c r="J3465" s="6">
        <f t="shared" si="175"/>
        <v>0</v>
      </c>
      <c r="L3465" s="4" t="str">
        <f>IFERROR(VLOOKUP(ROWS($L$2:L3465),$B$2:$C$1996,2,0),"")</f>
        <v/>
      </c>
      <c r="N3465" s="2" t="str">
        <f>IFERROR(VLOOKUP(ROWS($N$2:N3465),$D$2:$E$1996,2,0),"")</f>
        <v/>
      </c>
    </row>
    <row r="3466" spans="2:14">
      <c r="B3466" s="32">
        <f>IF(ISNUMBER(SEARCH('Φόρμα Εισαγωγής'!$B$2,C3466)),MAX($B$1:B3465)+1,0)</f>
        <v>0</v>
      </c>
      <c r="D3466" s="33">
        <f>IF(ISNUMBER(SEARCH('Φόρμα Εισαγωγής'!$C$2,E3466)),MAX($D$1:D3465)+1,0)</f>
        <v>0</v>
      </c>
      <c r="H3466" s="6">
        <f t="shared" si="173"/>
        <v>0</v>
      </c>
      <c r="I3466" s="6">
        <f t="shared" si="174"/>
        <v>0</v>
      </c>
      <c r="J3466" s="6">
        <f t="shared" si="175"/>
        <v>0</v>
      </c>
      <c r="L3466" s="4" t="str">
        <f>IFERROR(VLOOKUP(ROWS($L$2:L3466),$B$2:$C$1996,2,0),"")</f>
        <v/>
      </c>
      <c r="N3466" s="2" t="str">
        <f>IFERROR(VLOOKUP(ROWS($N$2:N3466),$D$2:$E$1996,2,0),"")</f>
        <v/>
      </c>
    </row>
    <row r="3467" spans="2:14">
      <c r="B3467" s="32">
        <f>IF(ISNUMBER(SEARCH('Φόρμα Εισαγωγής'!$B$2,C3467)),MAX($B$1:B3466)+1,0)</f>
        <v>0</v>
      </c>
      <c r="D3467" s="33">
        <f>IF(ISNUMBER(SEARCH('Φόρμα Εισαγωγής'!$C$2,E3467)),MAX($D$1:D3466)+1,0)</f>
        <v>0</v>
      </c>
      <c r="H3467" s="6">
        <f t="shared" si="173"/>
        <v>0</v>
      </c>
      <c r="I3467" s="6">
        <f t="shared" si="174"/>
        <v>0</v>
      </c>
      <c r="J3467" s="6">
        <f t="shared" si="175"/>
        <v>0</v>
      </c>
      <c r="L3467" s="4" t="str">
        <f>IFERROR(VLOOKUP(ROWS($L$2:L3467),$B$2:$C$1996,2,0),"")</f>
        <v/>
      </c>
      <c r="N3467" s="2" t="str">
        <f>IFERROR(VLOOKUP(ROWS($N$2:N3467),$D$2:$E$1996,2,0),"")</f>
        <v/>
      </c>
    </row>
    <row r="3468" spans="2:14">
      <c r="B3468" s="32">
        <f>IF(ISNUMBER(SEARCH('Φόρμα Εισαγωγής'!$B$2,C3468)),MAX($B$1:B3467)+1,0)</f>
        <v>0</v>
      </c>
      <c r="D3468" s="33">
        <f>IF(ISNUMBER(SEARCH('Φόρμα Εισαγωγής'!$C$2,E3468)),MAX($D$1:D3467)+1,0)</f>
        <v>0</v>
      </c>
      <c r="H3468" s="6">
        <f t="shared" si="173"/>
        <v>0</v>
      </c>
      <c r="I3468" s="6">
        <f t="shared" si="174"/>
        <v>0</v>
      </c>
      <c r="J3468" s="6">
        <f t="shared" si="175"/>
        <v>0</v>
      </c>
      <c r="L3468" s="4" t="str">
        <f>IFERROR(VLOOKUP(ROWS($L$2:L3468),$B$2:$C$1996,2,0),"")</f>
        <v/>
      </c>
      <c r="N3468" s="2" t="str">
        <f>IFERROR(VLOOKUP(ROWS($N$2:N3468),$D$2:$E$1996,2,0),"")</f>
        <v/>
      </c>
    </row>
    <row r="3469" spans="2:14">
      <c r="B3469" s="32">
        <f>IF(ISNUMBER(SEARCH('Φόρμα Εισαγωγής'!$B$2,C3469)),MAX($B$1:B3468)+1,0)</f>
        <v>0</v>
      </c>
      <c r="D3469" s="33">
        <f>IF(ISNUMBER(SEARCH('Φόρμα Εισαγωγής'!$C$2,E3469)),MAX($D$1:D3468)+1,0)</f>
        <v>0</v>
      </c>
      <c r="H3469" s="6">
        <f t="shared" si="173"/>
        <v>0</v>
      </c>
      <c r="I3469" s="6">
        <f t="shared" si="174"/>
        <v>0</v>
      </c>
      <c r="J3469" s="6">
        <f t="shared" si="175"/>
        <v>0</v>
      </c>
      <c r="L3469" s="4" t="str">
        <f>IFERROR(VLOOKUP(ROWS($L$2:L3469),$B$2:$C$1996,2,0),"")</f>
        <v/>
      </c>
      <c r="N3469" s="2" t="str">
        <f>IFERROR(VLOOKUP(ROWS($N$2:N3469),$D$2:$E$1996,2,0),"")</f>
        <v/>
      </c>
    </row>
    <row r="3470" spans="2:14">
      <c r="B3470" s="32">
        <f>IF(ISNUMBER(SEARCH('Φόρμα Εισαγωγής'!$B$2,C3470)),MAX($B$1:B3469)+1,0)</f>
        <v>0</v>
      </c>
      <c r="D3470" s="33">
        <f>IF(ISNUMBER(SEARCH('Φόρμα Εισαγωγής'!$C$2,E3470)),MAX($D$1:D3469)+1,0)</f>
        <v>0</v>
      </c>
      <c r="H3470" s="6">
        <f t="shared" si="173"/>
        <v>0</v>
      </c>
      <c r="I3470" s="6">
        <f t="shared" si="174"/>
        <v>0</v>
      </c>
      <c r="J3470" s="6">
        <f t="shared" si="175"/>
        <v>0</v>
      </c>
      <c r="L3470" s="4" t="str">
        <f>IFERROR(VLOOKUP(ROWS($L$2:L3470),$B$2:$C$1996,2,0),"")</f>
        <v/>
      </c>
      <c r="N3470" s="2" t="str">
        <f>IFERROR(VLOOKUP(ROWS($N$2:N3470),$D$2:$E$1996,2,0),"")</f>
        <v/>
      </c>
    </row>
    <row r="3471" spans="2:14">
      <c r="B3471" s="32">
        <f>IF(ISNUMBER(SEARCH('Φόρμα Εισαγωγής'!$B$2,C3471)),MAX($B$1:B3470)+1,0)</f>
        <v>0</v>
      </c>
      <c r="D3471" s="33">
        <f>IF(ISNUMBER(SEARCH('Φόρμα Εισαγωγής'!$C$2,E3471)),MAX($D$1:D3470)+1,0)</f>
        <v>0</v>
      </c>
      <c r="H3471" s="6">
        <f t="shared" si="173"/>
        <v>0</v>
      </c>
      <c r="I3471" s="6">
        <f t="shared" si="174"/>
        <v>0</v>
      </c>
      <c r="J3471" s="6">
        <f t="shared" si="175"/>
        <v>0</v>
      </c>
      <c r="L3471" s="4" t="str">
        <f>IFERROR(VLOOKUP(ROWS($L$2:L3471),$B$2:$C$1996,2,0),"")</f>
        <v/>
      </c>
      <c r="N3471" s="2" t="str">
        <f>IFERROR(VLOOKUP(ROWS($N$2:N3471),$D$2:$E$1996,2,0),"")</f>
        <v/>
      </c>
    </row>
    <row r="3472" spans="2:14">
      <c r="B3472" s="32">
        <f>IF(ISNUMBER(SEARCH('Φόρμα Εισαγωγής'!$B$2,C3472)),MAX($B$1:B3471)+1,0)</f>
        <v>0</v>
      </c>
      <c r="D3472" s="33">
        <f>IF(ISNUMBER(SEARCH('Φόρμα Εισαγωγής'!$C$2,E3472)),MAX($D$1:D3471)+1,0)</f>
        <v>0</v>
      </c>
      <c r="H3472" s="6">
        <f t="shared" si="173"/>
        <v>0</v>
      </c>
      <c r="I3472" s="6">
        <f t="shared" si="174"/>
        <v>0</v>
      </c>
      <c r="J3472" s="6">
        <f t="shared" si="175"/>
        <v>0</v>
      </c>
      <c r="L3472" s="4" t="str">
        <f>IFERROR(VLOOKUP(ROWS($L$2:L3472),$B$2:$C$1996,2,0),"")</f>
        <v/>
      </c>
      <c r="N3472" s="2" t="str">
        <f>IFERROR(VLOOKUP(ROWS($N$2:N3472),$D$2:$E$1996,2,0),"")</f>
        <v/>
      </c>
    </row>
    <row r="3473" spans="2:14">
      <c r="B3473" s="32">
        <f>IF(ISNUMBER(SEARCH('Φόρμα Εισαγωγής'!$B$2,C3473)),MAX($B$1:B3472)+1,0)</f>
        <v>0</v>
      </c>
      <c r="D3473" s="33">
        <f>IF(ISNUMBER(SEARCH('Φόρμα Εισαγωγής'!$C$2,E3473)),MAX($D$1:D3472)+1,0)</f>
        <v>0</v>
      </c>
      <c r="H3473" s="6">
        <f t="shared" si="173"/>
        <v>0</v>
      </c>
      <c r="I3473" s="6">
        <f t="shared" si="174"/>
        <v>0</v>
      </c>
      <c r="J3473" s="6">
        <f t="shared" si="175"/>
        <v>0</v>
      </c>
      <c r="L3473" s="4" t="str">
        <f>IFERROR(VLOOKUP(ROWS($L$2:L3473),$B$2:$C$1996,2,0),"")</f>
        <v/>
      </c>
      <c r="N3473" s="2" t="str">
        <f>IFERROR(VLOOKUP(ROWS($N$2:N3473),$D$2:$E$1996,2,0),"")</f>
        <v/>
      </c>
    </row>
    <row r="3474" spans="2:14">
      <c r="B3474" s="32">
        <f>IF(ISNUMBER(SEARCH('Φόρμα Εισαγωγής'!$B$2,C3474)),MAX($B$1:B3473)+1,0)</f>
        <v>0</v>
      </c>
      <c r="D3474" s="33">
        <f>IF(ISNUMBER(SEARCH('Φόρμα Εισαγωγής'!$C$2,E3474)),MAX($D$1:D3473)+1,0)</f>
        <v>0</v>
      </c>
      <c r="H3474" s="6">
        <f t="shared" si="173"/>
        <v>0</v>
      </c>
      <c r="I3474" s="6">
        <f t="shared" si="174"/>
        <v>0</v>
      </c>
      <c r="J3474" s="6">
        <f t="shared" si="175"/>
        <v>0</v>
      </c>
      <c r="L3474" s="4" t="str">
        <f>IFERROR(VLOOKUP(ROWS($L$2:L3474),$B$2:$C$1996,2,0),"")</f>
        <v/>
      </c>
      <c r="N3474" s="2" t="str">
        <f>IFERROR(VLOOKUP(ROWS($N$2:N3474),$D$2:$E$1996,2,0),"")</f>
        <v/>
      </c>
    </row>
    <row r="3475" spans="2:14">
      <c r="B3475" s="32">
        <f>IF(ISNUMBER(SEARCH('Φόρμα Εισαγωγής'!$B$2,C3475)),MAX($B$1:B3474)+1,0)</f>
        <v>0</v>
      </c>
      <c r="D3475" s="33">
        <f>IF(ISNUMBER(SEARCH('Φόρμα Εισαγωγής'!$C$2,E3475)),MAX($D$1:D3474)+1,0)</f>
        <v>0</v>
      </c>
      <c r="H3475" s="6">
        <f t="shared" si="173"/>
        <v>0</v>
      </c>
      <c r="I3475" s="6">
        <f t="shared" si="174"/>
        <v>0</v>
      </c>
      <c r="J3475" s="6">
        <f t="shared" si="175"/>
        <v>0</v>
      </c>
      <c r="L3475" s="4" t="str">
        <f>IFERROR(VLOOKUP(ROWS($L$2:L3475),$B$2:$C$1996,2,0),"")</f>
        <v/>
      </c>
      <c r="N3475" s="2" t="str">
        <f>IFERROR(VLOOKUP(ROWS($N$2:N3475),$D$2:$E$1996,2,0),"")</f>
        <v/>
      </c>
    </row>
    <row r="3476" spans="2:14">
      <c r="B3476" s="32">
        <f>IF(ISNUMBER(SEARCH('Φόρμα Εισαγωγής'!$B$2,C3476)),MAX($B$1:B3475)+1,0)</f>
        <v>0</v>
      </c>
      <c r="D3476" s="33">
        <f>IF(ISNUMBER(SEARCH('Φόρμα Εισαγωγής'!$C$2,E3476)),MAX($D$1:D3475)+1,0)</f>
        <v>0</v>
      </c>
      <c r="H3476" s="6">
        <f t="shared" si="173"/>
        <v>0</v>
      </c>
      <c r="I3476" s="6">
        <f t="shared" si="174"/>
        <v>0</v>
      </c>
      <c r="J3476" s="6">
        <f t="shared" si="175"/>
        <v>0</v>
      </c>
      <c r="L3476" s="4" t="str">
        <f>IFERROR(VLOOKUP(ROWS($L$2:L3476),$B$2:$C$1996,2,0),"")</f>
        <v/>
      </c>
      <c r="N3476" s="2" t="str">
        <f>IFERROR(VLOOKUP(ROWS($N$2:N3476),$D$2:$E$1996,2,0),"")</f>
        <v/>
      </c>
    </row>
    <row r="3477" spans="2:14">
      <c r="B3477" s="32">
        <f>IF(ISNUMBER(SEARCH('Φόρμα Εισαγωγής'!$B$2,C3477)),MAX($B$1:B3476)+1,0)</f>
        <v>0</v>
      </c>
      <c r="D3477" s="33">
        <f>IF(ISNUMBER(SEARCH('Φόρμα Εισαγωγής'!$C$2,E3477)),MAX($D$1:D3476)+1,0)</f>
        <v>0</v>
      </c>
      <c r="H3477" s="6">
        <f t="shared" si="173"/>
        <v>0</v>
      </c>
      <c r="I3477" s="6">
        <f t="shared" si="174"/>
        <v>0</v>
      </c>
      <c r="J3477" s="6">
        <f t="shared" si="175"/>
        <v>0</v>
      </c>
      <c r="L3477" s="4" t="str">
        <f>IFERROR(VLOOKUP(ROWS($L$2:L3477),$B$2:$C$1996,2,0),"")</f>
        <v/>
      </c>
      <c r="N3477" s="2" t="str">
        <f>IFERROR(VLOOKUP(ROWS($N$2:N3477),$D$2:$E$1996,2,0),"")</f>
        <v/>
      </c>
    </row>
    <row r="3478" spans="2:14">
      <c r="B3478" s="32">
        <f>IF(ISNUMBER(SEARCH('Φόρμα Εισαγωγής'!$B$2,C3478)),MAX($B$1:B3477)+1,0)</f>
        <v>0</v>
      </c>
      <c r="D3478" s="33">
        <f>IF(ISNUMBER(SEARCH('Φόρμα Εισαγωγής'!$C$2,E3478)),MAX($D$1:D3477)+1,0)</f>
        <v>0</v>
      </c>
      <c r="H3478" s="6">
        <f t="shared" si="173"/>
        <v>0</v>
      </c>
      <c r="I3478" s="6">
        <f t="shared" si="174"/>
        <v>0</v>
      </c>
      <c r="J3478" s="6">
        <f t="shared" si="175"/>
        <v>0</v>
      </c>
      <c r="L3478" s="4" t="str">
        <f>IFERROR(VLOOKUP(ROWS($L$2:L3478),$B$2:$C$1996,2,0),"")</f>
        <v/>
      </c>
      <c r="N3478" s="2" t="str">
        <f>IFERROR(VLOOKUP(ROWS($N$2:N3478),$D$2:$E$1996,2,0),"")</f>
        <v/>
      </c>
    </row>
    <row r="3479" spans="2:14">
      <c r="B3479" s="32">
        <f>IF(ISNUMBER(SEARCH('Φόρμα Εισαγωγής'!$B$2,C3479)),MAX($B$1:B3478)+1,0)</f>
        <v>0</v>
      </c>
      <c r="D3479" s="33">
        <f>IF(ISNUMBER(SEARCH('Φόρμα Εισαγωγής'!$C$2,E3479)),MAX($D$1:D3478)+1,0)</f>
        <v>0</v>
      </c>
      <c r="H3479" s="6">
        <f t="shared" si="173"/>
        <v>0</v>
      </c>
      <c r="I3479" s="6">
        <f t="shared" si="174"/>
        <v>0</v>
      </c>
      <c r="J3479" s="6">
        <f t="shared" si="175"/>
        <v>0</v>
      </c>
      <c r="L3479" s="4" t="str">
        <f>IFERROR(VLOOKUP(ROWS($L$2:L3479),$B$2:$C$1996,2,0),"")</f>
        <v/>
      </c>
      <c r="N3479" s="2" t="str">
        <f>IFERROR(VLOOKUP(ROWS($N$2:N3479),$D$2:$E$1996,2,0),"")</f>
        <v/>
      </c>
    </row>
    <row r="3480" spans="2:14">
      <c r="B3480" s="32">
        <f>IF(ISNUMBER(SEARCH('Φόρμα Εισαγωγής'!$B$2,C3480)),MAX($B$1:B3479)+1,0)</f>
        <v>0</v>
      </c>
      <c r="D3480" s="33">
        <f>IF(ISNUMBER(SEARCH('Φόρμα Εισαγωγής'!$C$2,E3480)),MAX($D$1:D3479)+1,0)</f>
        <v>0</v>
      </c>
      <c r="H3480" s="6">
        <f t="shared" si="173"/>
        <v>0</v>
      </c>
      <c r="I3480" s="6">
        <f t="shared" si="174"/>
        <v>0</v>
      </c>
      <c r="J3480" s="6">
        <f t="shared" si="175"/>
        <v>0</v>
      </c>
      <c r="L3480" s="4" t="str">
        <f>IFERROR(VLOOKUP(ROWS($L$2:L3480),$B$2:$C$1996,2,0),"")</f>
        <v/>
      </c>
      <c r="N3480" s="2" t="str">
        <f>IFERROR(VLOOKUP(ROWS($N$2:N3480),$D$2:$E$1996,2,0),"")</f>
        <v/>
      </c>
    </row>
    <row r="3481" spans="2:14">
      <c r="B3481" s="32">
        <f>IF(ISNUMBER(SEARCH('Φόρμα Εισαγωγής'!$B$2,C3481)),MAX($B$1:B3480)+1,0)</f>
        <v>0</v>
      </c>
      <c r="D3481" s="33">
        <f>IF(ISNUMBER(SEARCH('Φόρμα Εισαγωγής'!$C$2,E3481)),MAX($D$1:D3480)+1,0)</f>
        <v>0</v>
      </c>
      <c r="H3481" s="6">
        <f t="shared" si="173"/>
        <v>0</v>
      </c>
      <c r="I3481" s="6">
        <f t="shared" si="174"/>
        <v>0</v>
      </c>
      <c r="J3481" s="6">
        <f t="shared" si="175"/>
        <v>0</v>
      </c>
      <c r="L3481" s="4" t="str">
        <f>IFERROR(VLOOKUP(ROWS($L$2:L3481),$B$2:$C$1996,2,0),"")</f>
        <v/>
      </c>
      <c r="N3481" s="2" t="str">
        <f>IFERROR(VLOOKUP(ROWS($N$2:N3481),$D$2:$E$1996,2,0),"")</f>
        <v/>
      </c>
    </row>
    <row r="3482" spans="2:14">
      <c r="B3482" s="32">
        <f>IF(ISNUMBER(SEARCH('Φόρμα Εισαγωγής'!$B$2,C3482)),MAX($B$1:B3481)+1,0)</f>
        <v>0</v>
      </c>
      <c r="D3482" s="33">
        <f>IF(ISNUMBER(SEARCH('Φόρμα Εισαγωγής'!$C$2,E3482)),MAX($D$1:D3481)+1,0)</f>
        <v>0</v>
      </c>
      <c r="H3482" s="6">
        <f t="shared" si="173"/>
        <v>0</v>
      </c>
      <c r="I3482" s="6">
        <f t="shared" si="174"/>
        <v>0</v>
      </c>
      <c r="J3482" s="6">
        <f t="shared" si="175"/>
        <v>0</v>
      </c>
      <c r="L3482" s="4" t="str">
        <f>IFERROR(VLOOKUP(ROWS($L$2:L3482),$B$2:$C$1996,2,0),"")</f>
        <v/>
      </c>
      <c r="N3482" s="2" t="str">
        <f>IFERROR(VLOOKUP(ROWS($N$2:N3482),$D$2:$E$1996,2,0),"")</f>
        <v/>
      </c>
    </row>
    <row r="3483" spans="2:14">
      <c r="B3483" s="32">
        <f>IF(ISNUMBER(SEARCH('Φόρμα Εισαγωγής'!$B$2,C3483)),MAX($B$1:B3482)+1,0)</f>
        <v>0</v>
      </c>
      <c r="D3483" s="33">
        <f>IF(ISNUMBER(SEARCH('Φόρμα Εισαγωγής'!$C$2,E3483)),MAX($D$1:D3482)+1,0)</f>
        <v>0</v>
      </c>
      <c r="H3483" s="6">
        <f t="shared" si="173"/>
        <v>0</v>
      </c>
      <c r="I3483" s="6">
        <f t="shared" si="174"/>
        <v>0</v>
      </c>
      <c r="J3483" s="6">
        <f t="shared" si="175"/>
        <v>0</v>
      </c>
      <c r="L3483" s="4" t="str">
        <f>IFERROR(VLOOKUP(ROWS($L$2:L3483),$B$2:$C$1996,2,0),"")</f>
        <v/>
      </c>
      <c r="N3483" s="2" t="str">
        <f>IFERROR(VLOOKUP(ROWS($N$2:N3483),$D$2:$E$1996,2,0),"")</f>
        <v/>
      </c>
    </row>
    <row r="3484" spans="2:14">
      <c r="B3484" s="32">
        <f>IF(ISNUMBER(SEARCH('Φόρμα Εισαγωγής'!$B$2,C3484)),MAX($B$1:B3483)+1,0)</f>
        <v>0</v>
      </c>
      <c r="D3484" s="33">
        <f>IF(ISNUMBER(SEARCH('Φόρμα Εισαγωγής'!$C$2,E3484)),MAX($D$1:D3483)+1,0)</f>
        <v>0</v>
      </c>
      <c r="H3484" s="6">
        <f t="shared" si="173"/>
        <v>0</v>
      </c>
      <c r="I3484" s="6">
        <f t="shared" si="174"/>
        <v>0</v>
      </c>
      <c r="J3484" s="6">
        <f t="shared" si="175"/>
        <v>0</v>
      </c>
      <c r="L3484" s="4" t="str">
        <f>IFERROR(VLOOKUP(ROWS($L$2:L3484),$B$2:$C$1996,2,0),"")</f>
        <v/>
      </c>
      <c r="N3484" s="2" t="str">
        <f>IFERROR(VLOOKUP(ROWS($N$2:N3484),$D$2:$E$1996,2,0),"")</f>
        <v/>
      </c>
    </row>
    <row r="3485" spans="2:14">
      <c r="B3485" s="32">
        <f>IF(ISNUMBER(SEARCH('Φόρμα Εισαγωγής'!$B$2,C3485)),MAX($B$1:B3484)+1,0)</f>
        <v>0</v>
      </c>
      <c r="D3485" s="33">
        <f>IF(ISNUMBER(SEARCH('Φόρμα Εισαγωγής'!$C$2,E3485)),MAX($D$1:D3484)+1,0)</f>
        <v>0</v>
      </c>
      <c r="H3485" s="6">
        <f t="shared" si="173"/>
        <v>0</v>
      </c>
      <c r="I3485" s="6">
        <f t="shared" si="174"/>
        <v>0</v>
      </c>
      <c r="J3485" s="6">
        <f t="shared" si="175"/>
        <v>0</v>
      </c>
      <c r="L3485" s="4" t="str">
        <f>IFERROR(VLOOKUP(ROWS($L$2:L3485),$B$2:$C$1996,2,0),"")</f>
        <v/>
      </c>
      <c r="N3485" s="2" t="str">
        <f>IFERROR(VLOOKUP(ROWS($N$2:N3485),$D$2:$E$1996,2,0),"")</f>
        <v/>
      </c>
    </row>
    <row r="3486" spans="2:14">
      <c r="B3486" s="32">
        <f>IF(ISNUMBER(SEARCH('Φόρμα Εισαγωγής'!$B$2,C3486)),MAX($B$1:B3485)+1,0)</f>
        <v>0</v>
      </c>
      <c r="D3486" s="33">
        <f>IF(ISNUMBER(SEARCH('Φόρμα Εισαγωγής'!$C$2,E3486)),MAX($D$1:D3485)+1,0)</f>
        <v>0</v>
      </c>
      <c r="H3486" s="6">
        <f t="shared" si="173"/>
        <v>0</v>
      </c>
      <c r="I3486" s="6">
        <f t="shared" si="174"/>
        <v>0</v>
      </c>
      <c r="J3486" s="6">
        <f t="shared" si="175"/>
        <v>0</v>
      </c>
      <c r="L3486" s="4" t="str">
        <f>IFERROR(VLOOKUP(ROWS($L$2:L3486),$B$2:$C$1996,2,0),"")</f>
        <v/>
      </c>
      <c r="N3486" s="2" t="str">
        <f>IFERROR(VLOOKUP(ROWS($N$2:N3486),$D$2:$E$1996,2,0),"")</f>
        <v/>
      </c>
    </row>
    <row r="3487" spans="2:14">
      <c r="B3487" s="32">
        <f>IF(ISNUMBER(SEARCH('Φόρμα Εισαγωγής'!$B$2,C3487)),MAX($B$1:B3486)+1,0)</f>
        <v>0</v>
      </c>
      <c r="D3487" s="33">
        <f>IF(ISNUMBER(SEARCH('Φόρμα Εισαγωγής'!$C$2,E3487)),MAX($D$1:D3486)+1,0)</f>
        <v>0</v>
      </c>
      <c r="H3487" s="6">
        <f t="shared" si="173"/>
        <v>0</v>
      </c>
      <c r="I3487" s="6">
        <f t="shared" si="174"/>
        <v>0</v>
      </c>
      <c r="J3487" s="6">
        <f t="shared" si="175"/>
        <v>0</v>
      </c>
      <c r="L3487" s="4" t="str">
        <f>IFERROR(VLOOKUP(ROWS($L$2:L3487),$B$2:$C$1996,2,0),"")</f>
        <v/>
      </c>
      <c r="N3487" s="2" t="str">
        <f>IFERROR(VLOOKUP(ROWS($N$2:N3487),$D$2:$E$1996,2,0),"")</f>
        <v/>
      </c>
    </row>
    <row r="3488" spans="2:14">
      <c r="B3488" s="32">
        <f>IF(ISNUMBER(SEARCH('Φόρμα Εισαγωγής'!$B$2,C3488)),MAX($B$1:B3487)+1,0)</f>
        <v>0</v>
      </c>
      <c r="D3488" s="33">
        <f>IF(ISNUMBER(SEARCH('Φόρμα Εισαγωγής'!$C$2,E3488)),MAX($D$1:D3487)+1,0)</f>
        <v>0</v>
      </c>
      <c r="H3488" s="6">
        <f t="shared" si="173"/>
        <v>0</v>
      </c>
      <c r="I3488" s="6">
        <f t="shared" si="174"/>
        <v>0</v>
      </c>
      <c r="J3488" s="6">
        <f t="shared" si="175"/>
        <v>0</v>
      </c>
      <c r="L3488" s="4" t="str">
        <f>IFERROR(VLOOKUP(ROWS($L$2:L3488),$B$2:$C$1996,2,0),"")</f>
        <v/>
      </c>
      <c r="N3488" s="2" t="str">
        <f>IFERROR(VLOOKUP(ROWS($N$2:N3488),$D$2:$E$1996,2,0),"")</f>
        <v/>
      </c>
    </row>
    <row r="3489" spans="2:14">
      <c r="B3489" s="32">
        <f>IF(ISNUMBER(SEARCH('Φόρμα Εισαγωγής'!$B$2,C3489)),MAX($B$1:B3488)+1,0)</f>
        <v>0</v>
      </c>
      <c r="D3489" s="33">
        <f>IF(ISNUMBER(SEARCH('Φόρμα Εισαγωγής'!$C$2,E3489)),MAX($D$1:D3488)+1,0)</f>
        <v>0</v>
      </c>
      <c r="H3489" s="6">
        <f t="shared" si="173"/>
        <v>0</v>
      </c>
      <c r="I3489" s="6">
        <f t="shared" si="174"/>
        <v>0</v>
      </c>
      <c r="J3489" s="6">
        <f t="shared" si="175"/>
        <v>0</v>
      </c>
      <c r="L3489" s="4" t="str">
        <f>IFERROR(VLOOKUP(ROWS($L$2:L3489),$B$2:$C$1996,2,0),"")</f>
        <v/>
      </c>
      <c r="N3489" s="2" t="str">
        <f>IFERROR(VLOOKUP(ROWS($N$2:N3489),$D$2:$E$1996,2,0),"")</f>
        <v/>
      </c>
    </row>
    <row r="3490" spans="2:14">
      <c r="B3490" s="32">
        <f>IF(ISNUMBER(SEARCH('Φόρμα Εισαγωγής'!$B$2,C3490)),MAX($B$1:B3489)+1,0)</f>
        <v>0</v>
      </c>
      <c r="D3490" s="33">
        <f>IF(ISNUMBER(SEARCH('Φόρμα Εισαγωγής'!$C$2,E3490)),MAX($D$1:D3489)+1,0)</f>
        <v>0</v>
      </c>
      <c r="H3490" s="6">
        <f t="shared" si="173"/>
        <v>0</v>
      </c>
      <c r="I3490" s="6">
        <f t="shared" si="174"/>
        <v>0</v>
      </c>
      <c r="J3490" s="6">
        <f t="shared" si="175"/>
        <v>0</v>
      </c>
      <c r="L3490" s="4" t="str">
        <f>IFERROR(VLOOKUP(ROWS($L$2:L3490),$B$2:$C$1996,2,0),"")</f>
        <v/>
      </c>
      <c r="N3490" s="2" t="str">
        <f>IFERROR(VLOOKUP(ROWS($N$2:N3490),$D$2:$E$1996,2,0),"")</f>
        <v/>
      </c>
    </row>
    <row r="3491" spans="2:14">
      <c r="B3491" s="32">
        <f>IF(ISNUMBER(SEARCH('Φόρμα Εισαγωγής'!$B$2,C3491)),MAX($B$1:B3490)+1,0)</f>
        <v>0</v>
      </c>
      <c r="D3491" s="33">
        <f>IF(ISNUMBER(SEARCH('Φόρμα Εισαγωγής'!$C$2,E3491)),MAX($D$1:D3490)+1,0)</f>
        <v>0</v>
      </c>
      <c r="H3491" s="6">
        <f t="shared" si="173"/>
        <v>0</v>
      </c>
      <c r="I3491" s="6">
        <f t="shared" si="174"/>
        <v>0</v>
      </c>
      <c r="J3491" s="6">
        <f t="shared" si="175"/>
        <v>0</v>
      </c>
      <c r="L3491" s="4" t="str">
        <f>IFERROR(VLOOKUP(ROWS($L$2:L3491),$B$2:$C$1996,2,0),"")</f>
        <v/>
      </c>
      <c r="N3491" s="2" t="str">
        <f>IFERROR(VLOOKUP(ROWS($N$2:N3491),$D$2:$E$1996,2,0),"")</f>
        <v/>
      </c>
    </row>
    <row r="3492" spans="2:14">
      <c r="B3492" s="32">
        <f>IF(ISNUMBER(SEARCH('Φόρμα Εισαγωγής'!$B$2,C3492)),MAX($B$1:B3491)+1,0)</f>
        <v>0</v>
      </c>
      <c r="D3492" s="33">
        <f>IF(ISNUMBER(SEARCH('Φόρμα Εισαγωγής'!$C$2,E3492)),MAX($D$1:D3491)+1,0)</f>
        <v>0</v>
      </c>
      <c r="H3492" s="6">
        <f t="shared" si="173"/>
        <v>0</v>
      </c>
      <c r="I3492" s="6">
        <f t="shared" si="174"/>
        <v>0</v>
      </c>
      <c r="J3492" s="6">
        <f t="shared" si="175"/>
        <v>0</v>
      </c>
      <c r="L3492" s="4" t="str">
        <f>IFERROR(VLOOKUP(ROWS($L$2:L3492),$B$2:$C$1996,2,0),"")</f>
        <v/>
      </c>
      <c r="N3492" s="2" t="str">
        <f>IFERROR(VLOOKUP(ROWS($N$2:N3492),$D$2:$E$1996,2,0),"")</f>
        <v/>
      </c>
    </row>
    <row r="3493" spans="2:14">
      <c r="B3493" s="32">
        <f>IF(ISNUMBER(SEARCH('Φόρμα Εισαγωγής'!$B$2,C3493)),MAX($B$1:B3492)+1,0)</f>
        <v>0</v>
      </c>
      <c r="D3493" s="33">
        <f>IF(ISNUMBER(SEARCH('Φόρμα Εισαγωγής'!$C$2,E3493)),MAX($D$1:D3492)+1,0)</f>
        <v>0</v>
      </c>
      <c r="H3493" s="6">
        <f t="shared" si="173"/>
        <v>0</v>
      </c>
      <c r="I3493" s="6">
        <f t="shared" si="174"/>
        <v>0</v>
      </c>
      <c r="J3493" s="6">
        <f t="shared" si="175"/>
        <v>0</v>
      </c>
      <c r="L3493" s="4" t="str">
        <f>IFERROR(VLOOKUP(ROWS($L$2:L3493),$B$2:$C$1996,2,0),"")</f>
        <v/>
      </c>
      <c r="N3493" s="2" t="str">
        <f>IFERROR(VLOOKUP(ROWS($N$2:N3493),$D$2:$E$1996,2,0),"")</f>
        <v/>
      </c>
    </row>
    <row r="3494" spans="2:14">
      <c r="B3494" s="32">
        <f>IF(ISNUMBER(SEARCH('Φόρμα Εισαγωγής'!$B$2,C3494)),MAX($B$1:B3493)+1,0)</f>
        <v>0</v>
      </c>
      <c r="D3494" s="33">
        <f>IF(ISNUMBER(SEARCH('Φόρμα Εισαγωγής'!$C$2,E3494)),MAX($D$1:D3493)+1,0)</f>
        <v>0</v>
      </c>
      <c r="H3494" s="6">
        <f t="shared" si="173"/>
        <v>0</v>
      </c>
      <c r="I3494" s="6">
        <f t="shared" si="174"/>
        <v>0</v>
      </c>
      <c r="J3494" s="6">
        <f t="shared" si="175"/>
        <v>0</v>
      </c>
      <c r="L3494" s="4" t="str">
        <f>IFERROR(VLOOKUP(ROWS($L$2:L3494),$B$2:$C$1996,2,0),"")</f>
        <v/>
      </c>
      <c r="N3494" s="2" t="str">
        <f>IFERROR(VLOOKUP(ROWS($N$2:N3494),$D$2:$E$1996,2,0),"")</f>
        <v/>
      </c>
    </row>
    <row r="3495" spans="2:14">
      <c r="B3495" s="32">
        <f>IF(ISNUMBER(SEARCH('Φόρμα Εισαγωγής'!$B$2,C3495)),MAX($B$1:B3494)+1,0)</f>
        <v>0</v>
      </c>
      <c r="D3495" s="33">
        <f>IF(ISNUMBER(SEARCH('Φόρμα Εισαγωγής'!$C$2,E3495)),MAX($D$1:D3494)+1,0)</f>
        <v>0</v>
      </c>
      <c r="H3495" s="6">
        <f t="shared" si="173"/>
        <v>0</v>
      </c>
      <c r="I3495" s="6">
        <f t="shared" si="174"/>
        <v>0</v>
      </c>
      <c r="J3495" s="6">
        <f t="shared" si="175"/>
        <v>0</v>
      </c>
      <c r="L3495" s="4" t="str">
        <f>IFERROR(VLOOKUP(ROWS($L$2:L3495),$B$2:$C$1996,2,0),"")</f>
        <v/>
      </c>
      <c r="N3495" s="2" t="str">
        <f>IFERROR(VLOOKUP(ROWS($N$2:N3495),$D$2:$E$1996,2,0),"")</f>
        <v/>
      </c>
    </row>
    <row r="3496" spans="2:14">
      <c r="B3496" s="32">
        <f>IF(ISNUMBER(SEARCH('Φόρμα Εισαγωγής'!$B$2,C3496)),MAX($B$1:B3495)+1,0)</f>
        <v>0</v>
      </c>
      <c r="D3496" s="33">
        <f>IF(ISNUMBER(SEARCH('Φόρμα Εισαγωγής'!$C$2,E3496)),MAX($D$1:D3495)+1,0)</f>
        <v>0</v>
      </c>
      <c r="H3496" s="6">
        <f t="shared" si="173"/>
        <v>0</v>
      </c>
      <c r="I3496" s="6">
        <f t="shared" si="174"/>
        <v>0</v>
      </c>
      <c r="J3496" s="6">
        <f t="shared" si="175"/>
        <v>0</v>
      </c>
      <c r="L3496" s="4" t="str">
        <f>IFERROR(VLOOKUP(ROWS($L$2:L3496),$B$2:$C$1996,2,0),"")</f>
        <v/>
      </c>
      <c r="N3496" s="2" t="str">
        <f>IFERROR(VLOOKUP(ROWS($N$2:N3496),$D$2:$E$1996,2,0),"")</f>
        <v/>
      </c>
    </row>
    <row r="3497" spans="2:14">
      <c r="B3497" s="32">
        <f>IF(ISNUMBER(SEARCH('Φόρμα Εισαγωγής'!$B$2,C3497)),MAX($B$1:B3496)+1,0)</f>
        <v>0</v>
      </c>
      <c r="D3497" s="33">
        <f>IF(ISNUMBER(SEARCH('Φόρμα Εισαγωγής'!$C$2,E3497)),MAX($D$1:D3496)+1,0)</f>
        <v>0</v>
      </c>
      <c r="H3497" s="6">
        <f t="shared" si="173"/>
        <v>0</v>
      </c>
      <c r="I3497" s="6">
        <f t="shared" si="174"/>
        <v>0</v>
      </c>
      <c r="J3497" s="6">
        <f t="shared" si="175"/>
        <v>0</v>
      </c>
      <c r="L3497" s="4" t="str">
        <f>IFERROR(VLOOKUP(ROWS($L$2:L3497),$B$2:$C$1996,2,0),"")</f>
        <v/>
      </c>
      <c r="N3497" s="2" t="str">
        <f>IFERROR(VLOOKUP(ROWS($N$2:N3497),$D$2:$E$1996,2,0),"")</f>
        <v/>
      </c>
    </row>
    <row r="3498" spans="2:14">
      <c r="B3498" s="32">
        <f>IF(ISNUMBER(SEARCH('Φόρμα Εισαγωγής'!$B$2,C3498)),MAX($B$1:B3497)+1,0)</f>
        <v>0</v>
      </c>
      <c r="D3498" s="33">
        <f>IF(ISNUMBER(SEARCH('Φόρμα Εισαγωγής'!$C$2,E3498)),MAX($D$1:D3497)+1,0)</f>
        <v>0</v>
      </c>
      <c r="H3498" s="6">
        <f t="shared" si="173"/>
        <v>0</v>
      </c>
      <c r="I3498" s="6">
        <f t="shared" si="174"/>
        <v>0</v>
      </c>
      <c r="J3498" s="6">
        <f t="shared" si="175"/>
        <v>0</v>
      </c>
      <c r="L3498" s="4" t="str">
        <f>IFERROR(VLOOKUP(ROWS($L$2:L3498),$B$2:$C$1996,2,0),"")</f>
        <v/>
      </c>
      <c r="N3498" s="2" t="str">
        <f>IFERROR(VLOOKUP(ROWS($N$2:N3498),$D$2:$E$1996,2,0),"")</f>
        <v/>
      </c>
    </row>
    <row r="3499" spans="2:14">
      <c r="B3499" s="32">
        <f>IF(ISNUMBER(SEARCH('Φόρμα Εισαγωγής'!$B$2,C3499)),MAX($B$1:B3498)+1,0)</f>
        <v>0</v>
      </c>
      <c r="D3499" s="33">
        <f>IF(ISNUMBER(SEARCH('Φόρμα Εισαγωγής'!$C$2,E3499)),MAX($D$1:D3498)+1,0)</f>
        <v>0</v>
      </c>
      <c r="H3499" s="6">
        <f t="shared" si="173"/>
        <v>0</v>
      </c>
      <c r="I3499" s="6">
        <f t="shared" si="174"/>
        <v>0</v>
      </c>
      <c r="J3499" s="6">
        <f t="shared" si="175"/>
        <v>0</v>
      </c>
      <c r="L3499" s="4" t="str">
        <f>IFERROR(VLOOKUP(ROWS($L$2:L3499),$B$2:$C$1996,2,0),"")</f>
        <v/>
      </c>
      <c r="N3499" s="2" t="str">
        <f>IFERROR(VLOOKUP(ROWS($N$2:N3499),$D$2:$E$1996,2,0),"")</f>
        <v/>
      </c>
    </row>
    <row r="3500" spans="2:14">
      <c r="B3500" s="32">
        <f>IF(ISNUMBER(SEARCH('Φόρμα Εισαγωγής'!$B$2,C3500)),MAX($B$1:B3499)+1,0)</f>
        <v>0</v>
      </c>
      <c r="D3500" s="33">
        <f>IF(ISNUMBER(SEARCH('Φόρμα Εισαγωγής'!$C$2,E3500)),MAX($D$1:D3499)+1,0)</f>
        <v>0</v>
      </c>
      <c r="H3500" s="6">
        <f t="shared" si="173"/>
        <v>0</v>
      </c>
      <c r="I3500" s="6">
        <f t="shared" si="174"/>
        <v>0</v>
      </c>
      <c r="J3500" s="6">
        <f t="shared" si="175"/>
        <v>0</v>
      </c>
      <c r="L3500" s="4" t="str">
        <f>IFERROR(VLOOKUP(ROWS($L$2:L3500),$B$2:$C$1996,2,0),"")</f>
        <v/>
      </c>
      <c r="N3500" s="2" t="str">
        <f>IFERROR(VLOOKUP(ROWS($N$2:N3500),$D$2:$E$1996,2,0),"")</f>
        <v/>
      </c>
    </row>
    <row r="3501" spans="2:14">
      <c r="B3501" s="32">
        <f>IF(ISNUMBER(SEARCH('Φόρμα Εισαγωγής'!$B$2,C3501)),MAX($B$1:B3500)+1,0)</f>
        <v>0</v>
      </c>
      <c r="D3501" s="33">
        <f>IF(ISNUMBER(SEARCH('Φόρμα Εισαγωγής'!$C$2,E3501)),MAX($D$1:D3500)+1,0)</f>
        <v>0</v>
      </c>
      <c r="H3501" s="6">
        <f t="shared" si="173"/>
        <v>0</v>
      </c>
      <c r="I3501" s="6">
        <f t="shared" si="174"/>
        <v>0</v>
      </c>
      <c r="J3501" s="6">
        <f t="shared" si="175"/>
        <v>0</v>
      </c>
      <c r="L3501" s="4" t="str">
        <f>IFERROR(VLOOKUP(ROWS($L$2:L3501),$B$2:$C$1996,2,0),"")</f>
        <v/>
      </c>
      <c r="N3501" s="2" t="str">
        <f>IFERROR(VLOOKUP(ROWS($N$2:N3501),$D$2:$E$1996,2,0),"")</f>
        <v/>
      </c>
    </row>
    <row r="3502" spans="2:14">
      <c r="B3502" s="32">
        <f>IF(ISNUMBER(SEARCH('Φόρμα Εισαγωγής'!$B$2,C3502)),MAX($B$1:B3501)+1,0)</f>
        <v>0</v>
      </c>
      <c r="D3502" s="33">
        <f>IF(ISNUMBER(SEARCH('Φόρμα Εισαγωγής'!$C$2,E3502)),MAX($D$1:D3501)+1,0)</f>
        <v>0</v>
      </c>
      <c r="H3502" s="6">
        <f t="shared" si="173"/>
        <v>0</v>
      </c>
      <c r="I3502" s="6">
        <f t="shared" si="174"/>
        <v>0</v>
      </c>
      <c r="J3502" s="6">
        <f t="shared" si="175"/>
        <v>0</v>
      </c>
      <c r="L3502" s="4" t="str">
        <f>IFERROR(VLOOKUP(ROWS($L$2:L3502),$B$2:$C$1996,2,0),"")</f>
        <v/>
      </c>
      <c r="N3502" s="2" t="str">
        <f>IFERROR(VLOOKUP(ROWS($N$2:N3502),$D$2:$E$1996,2,0),"")</f>
        <v/>
      </c>
    </row>
    <row r="3503" spans="2:14">
      <c r="B3503" s="32">
        <f>IF(ISNUMBER(SEARCH('Φόρμα Εισαγωγής'!$B$2,C3503)),MAX($B$1:B3502)+1,0)</f>
        <v>0</v>
      </c>
      <c r="D3503" s="33">
        <f>IF(ISNUMBER(SEARCH('Φόρμα Εισαγωγής'!$C$2,E3503)),MAX($D$1:D3502)+1,0)</f>
        <v>0</v>
      </c>
      <c r="H3503" s="6">
        <f t="shared" si="173"/>
        <v>0</v>
      </c>
      <c r="I3503" s="6">
        <f t="shared" si="174"/>
        <v>0</v>
      </c>
      <c r="J3503" s="6">
        <f t="shared" si="175"/>
        <v>0</v>
      </c>
      <c r="L3503" s="4" t="str">
        <f>IFERROR(VLOOKUP(ROWS($L$2:L3503),$B$2:$C$1996,2,0),"")</f>
        <v/>
      </c>
      <c r="N3503" s="2" t="str">
        <f>IFERROR(VLOOKUP(ROWS($N$2:N3503),$D$2:$E$1996,2,0),"")</f>
        <v/>
      </c>
    </row>
    <row r="3504" spans="2:14">
      <c r="B3504" s="32">
        <f>IF(ISNUMBER(SEARCH('Φόρμα Εισαγωγής'!$B$2,C3504)),MAX($B$1:B3503)+1,0)</f>
        <v>0</v>
      </c>
      <c r="D3504" s="33">
        <f>IF(ISNUMBER(SEARCH('Φόρμα Εισαγωγής'!$C$2,E3504)),MAX($D$1:D3503)+1,0)</f>
        <v>0</v>
      </c>
      <c r="H3504" s="6">
        <f t="shared" si="173"/>
        <v>0</v>
      </c>
      <c r="I3504" s="6">
        <f t="shared" si="174"/>
        <v>0</v>
      </c>
      <c r="J3504" s="6">
        <f t="shared" si="175"/>
        <v>0</v>
      </c>
      <c r="L3504" s="4" t="str">
        <f>IFERROR(VLOOKUP(ROWS($L$2:L3504),$B$2:$C$1996,2,0),"")</f>
        <v/>
      </c>
      <c r="N3504" s="2" t="str">
        <f>IFERROR(VLOOKUP(ROWS($N$2:N3504),$D$2:$E$1996,2,0),"")</f>
        <v/>
      </c>
    </row>
    <row r="3505" spans="2:14">
      <c r="B3505" s="32">
        <f>IF(ISNUMBER(SEARCH('Φόρμα Εισαγωγής'!$B$2,C3505)),MAX($B$1:B3504)+1,0)</f>
        <v>0</v>
      </c>
      <c r="D3505" s="33">
        <f>IF(ISNUMBER(SEARCH('Φόρμα Εισαγωγής'!$C$2,E3505)),MAX($D$1:D3504)+1,0)</f>
        <v>0</v>
      </c>
      <c r="H3505" s="6">
        <f t="shared" si="173"/>
        <v>0</v>
      </c>
      <c r="I3505" s="6">
        <f t="shared" si="174"/>
        <v>0</v>
      </c>
      <c r="J3505" s="6">
        <f t="shared" si="175"/>
        <v>0</v>
      </c>
      <c r="L3505" s="4" t="str">
        <f>IFERROR(VLOOKUP(ROWS($L$2:L3505),$B$2:$C$1996,2,0),"")</f>
        <v/>
      </c>
      <c r="N3505" s="2" t="str">
        <f>IFERROR(VLOOKUP(ROWS($N$2:N3505),$D$2:$E$1996,2,0),"")</f>
        <v/>
      </c>
    </row>
    <row r="3506" spans="2:14">
      <c r="B3506" s="32">
        <f>IF(ISNUMBER(SEARCH('Φόρμα Εισαγωγής'!$B$2,C3506)),MAX($B$1:B3505)+1,0)</f>
        <v>0</v>
      </c>
      <c r="D3506" s="33">
        <f>IF(ISNUMBER(SEARCH('Φόρμα Εισαγωγής'!$C$2,E3506)),MAX($D$1:D3505)+1,0)</f>
        <v>0</v>
      </c>
      <c r="H3506" s="6">
        <f t="shared" si="173"/>
        <v>0</v>
      </c>
      <c r="I3506" s="6">
        <f t="shared" si="174"/>
        <v>0</v>
      </c>
      <c r="J3506" s="6">
        <f t="shared" si="175"/>
        <v>0</v>
      </c>
      <c r="L3506" s="4" t="str">
        <f>IFERROR(VLOOKUP(ROWS($L$2:L3506),$B$2:$C$1996,2,0),"")</f>
        <v/>
      </c>
      <c r="N3506" s="2" t="str">
        <f>IFERROR(VLOOKUP(ROWS($N$2:N3506),$D$2:$E$1996,2,0),"")</f>
        <v/>
      </c>
    </row>
    <row r="3507" spans="2:14">
      <c r="B3507" s="32">
        <f>IF(ISNUMBER(SEARCH('Φόρμα Εισαγωγής'!$B$2,C3507)),MAX($B$1:B3506)+1,0)</f>
        <v>0</v>
      </c>
      <c r="D3507" s="33">
        <f>IF(ISNUMBER(SEARCH('Φόρμα Εισαγωγής'!$C$2,E3507)),MAX($D$1:D3506)+1,0)</f>
        <v>0</v>
      </c>
      <c r="H3507" s="6">
        <f t="shared" si="173"/>
        <v>0</v>
      </c>
      <c r="I3507" s="6">
        <f t="shared" si="174"/>
        <v>0</v>
      </c>
      <c r="J3507" s="6">
        <f t="shared" si="175"/>
        <v>0</v>
      </c>
      <c r="L3507" s="4" t="str">
        <f>IFERROR(VLOOKUP(ROWS($L$2:L3507),$B$2:$C$1996,2,0),"")</f>
        <v/>
      </c>
      <c r="N3507" s="2" t="str">
        <f>IFERROR(VLOOKUP(ROWS($N$2:N3507),$D$2:$E$1996,2,0),"")</f>
        <v/>
      </c>
    </row>
    <row r="3508" spans="2:14">
      <c r="B3508" s="32">
        <f>IF(ISNUMBER(SEARCH('Φόρμα Εισαγωγής'!$B$2,C3508)),MAX($B$1:B3507)+1,0)</f>
        <v>0</v>
      </c>
      <c r="D3508" s="33">
        <f>IF(ISNUMBER(SEARCH('Φόρμα Εισαγωγής'!$C$2,E3508)),MAX($D$1:D3507)+1,0)</f>
        <v>0</v>
      </c>
      <c r="H3508" s="6">
        <f t="shared" si="173"/>
        <v>0</v>
      </c>
      <c r="I3508" s="6">
        <f t="shared" si="174"/>
        <v>0</v>
      </c>
      <c r="J3508" s="6">
        <f t="shared" si="175"/>
        <v>0</v>
      </c>
      <c r="L3508" s="4" t="str">
        <f>IFERROR(VLOOKUP(ROWS($L$2:L3508),$B$2:$C$1996,2,0),"")</f>
        <v/>
      </c>
      <c r="N3508" s="2" t="str">
        <f>IFERROR(VLOOKUP(ROWS($N$2:N3508),$D$2:$E$1996,2,0),"")</f>
        <v/>
      </c>
    </row>
    <row r="3509" spans="2:14">
      <c r="B3509" s="32">
        <f>IF(ISNUMBER(SEARCH('Φόρμα Εισαγωγής'!$B$2,C3509)),MAX($B$1:B3508)+1,0)</f>
        <v>0</v>
      </c>
      <c r="D3509" s="33">
        <f>IF(ISNUMBER(SEARCH('Φόρμα Εισαγωγής'!$C$2,E3509)),MAX($D$1:D3508)+1,0)</f>
        <v>0</v>
      </c>
      <c r="H3509" s="6">
        <f t="shared" si="173"/>
        <v>0</v>
      </c>
      <c r="I3509" s="6">
        <f t="shared" si="174"/>
        <v>0</v>
      </c>
      <c r="J3509" s="6">
        <f t="shared" si="175"/>
        <v>0</v>
      </c>
      <c r="L3509" s="4" t="str">
        <f>IFERROR(VLOOKUP(ROWS($L$2:L3509),$B$2:$C$1996,2,0),"")</f>
        <v/>
      </c>
      <c r="N3509" s="2" t="str">
        <f>IFERROR(VLOOKUP(ROWS($N$2:N3509),$D$2:$E$1996,2,0),"")</f>
        <v/>
      </c>
    </row>
    <row r="3510" spans="2:14">
      <c r="B3510" s="32">
        <f>IF(ISNUMBER(SEARCH('Φόρμα Εισαγωγής'!$B$2,C3510)),MAX($B$1:B3509)+1,0)</f>
        <v>0</v>
      </c>
      <c r="D3510" s="33">
        <f>IF(ISNUMBER(SEARCH('Φόρμα Εισαγωγής'!$C$2,E3510)),MAX($D$1:D3509)+1,0)</f>
        <v>0</v>
      </c>
      <c r="H3510" s="6">
        <f t="shared" si="173"/>
        <v>0</v>
      </c>
      <c r="I3510" s="6">
        <f t="shared" si="174"/>
        <v>0</v>
      </c>
      <c r="J3510" s="6">
        <f t="shared" si="175"/>
        <v>0</v>
      </c>
      <c r="L3510" s="4" t="str">
        <f>IFERROR(VLOOKUP(ROWS($L$2:L3510),$B$2:$C$1996,2,0),"")</f>
        <v/>
      </c>
      <c r="N3510" s="2" t="str">
        <f>IFERROR(VLOOKUP(ROWS($N$2:N3510),$D$2:$E$1996,2,0),"")</f>
        <v/>
      </c>
    </row>
    <row r="3511" spans="2:14">
      <c r="B3511" s="32">
        <f>IF(ISNUMBER(SEARCH('Φόρμα Εισαγωγής'!$B$2,C3511)),MAX($B$1:B3510)+1,0)</f>
        <v>0</v>
      </c>
      <c r="D3511" s="33">
        <f>IF(ISNUMBER(SEARCH('Φόρμα Εισαγωγής'!$C$2,E3511)),MAX($D$1:D3510)+1,0)</f>
        <v>0</v>
      </c>
      <c r="H3511" s="6">
        <f t="shared" si="173"/>
        <v>0</v>
      </c>
      <c r="I3511" s="6">
        <f t="shared" si="174"/>
        <v>0</v>
      </c>
      <c r="J3511" s="6">
        <f t="shared" si="175"/>
        <v>0</v>
      </c>
      <c r="L3511" s="4" t="str">
        <f>IFERROR(VLOOKUP(ROWS($L$2:L3511),$B$2:$C$1996,2,0),"")</f>
        <v/>
      </c>
      <c r="N3511" s="2" t="str">
        <f>IFERROR(VLOOKUP(ROWS($N$2:N3511),$D$2:$E$1996,2,0),"")</f>
        <v/>
      </c>
    </row>
    <row r="3512" spans="2:14">
      <c r="B3512" s="32">
        <f>IF(ISNUMBER(SEARCH('Φόρμα Εισαγωγής'!$B$2,C3512)),MAX($B$1:B3511)+1,0)</f>
        <v>0</v>
      </c>
      <c r="D3512" s="33">
        <f>IF(ISNUMBER(SEARCH('Φόρμα Εισαγωγής'!$C$2,E3512)),MAX($D$1:D3511)+1,0)</f>
        <v>0</v>
      </c>
      <c r="H3512" s="6">
        <f t="shared" si="173"/>
        <v>0</v>
      </c>
      <c r="I3512" s="6">
        <f t="shared" si="174"/>
        <v>0</v>
      </c>
      <c r="J3512" s="6">
        <f t="shared" si="175"/>
        <v>0</v>
      </c>
      <c r="L3512" s="4" t="str">
        <f>IFERROR(VLOOKUP(ROWS($L$2:L3512),$B$2:$C$1996,2,0),"")</f>
        <v/>
      </c>
      <c r="N3512" s="2" t="str">
        <f>IFERROR(VLOOKUP(ROWS($N$2:N3512),$D$2:$E$1996,2,0),"")</f>
        <v/>
      </c>
    </row>
    <row r="3513" spans="2:14">
      <c r="B3513" s="32">
        <f>IF(ISNUMBER(SEARCH('Φόρμα Εισαγωγής'!$B$2,C3513)),MAX($B$1:B3512)+1,0)</f>
        <v>0</v>
      </c>
      <c r="D3513" s="33">
        <f>IF(ISNUMBER(SEARCH('Φόρμα Εισαγωγής'!$C$2,E3513)),MAX($D$1:D3512)+1,0)</f>
        <v>0</v>
      </c>
      <c r="H3513" s="6">
        <f t="shared" si="173"/>
        <v>0</v>
      </c>
      <c r="I3513" s="6">
        <f t="shared" si="174"/>
        <v>0</v>
      </c>
      <c r="J3513" s="6">
        <f t="shared" si="175"/>
        <v>0</v>
      </c>
      <c r="L3513" s="4" t="str">
        <f>IFERROR(VLOOKUP(ROWS($L$2:L3513),$B$2:$C$1996,2,0),"")</f>
        <v/>
      </c>
      <c r="N3513" s="2" t="str">
        <f>IFERROR(VLOOKUP(ROWS($N$2:N3513),$D$2:$E$1996,2,0),"")</f>
        <v/>
      </c>
    </row>
    <row r="3514" spans="2:14">
      <c r="B3514" s="32">
        <f>IF(ISNUMBER(SEARCH('Φόρμα Εισαγωγής'!$B$2,C3514)),MAX($B$1:B3513)+1,0)</f>
        <v>0</v>
      </c>
      <c r="D3514" s="33">
        <f>IF(ISNUMBER(SEARCH('Φόρμα Εισαγωγής'!$C$2,E3514)),MAX($D$1:D3513)+1,0)</f>
        <v>0</v>
      </c>
      <c r="H3514" s="6">
        <f t="shared" si="173"/>
        <v>0</v>
      </c>
      <c r="I3514" s="6">
        <f t="shared" si="174"/>
        <v>0</v>
      </c>
      <c r="J3514" s="6">
        <f t="shared" si="175"/>
        <v>0</v>
      </c>
      <c r="L3514" s="4" t="str">
        <f>IFERROR(VLOOKUP(ROWS($L$2:L3514),$B$2:$C$1996,2,0),"")</f>
        <v/>
      </c>
      <c r="N3514" s="2" t="str">
        <f>IFERROR(VLOOKUP(ROWS($N$2:N3514),$D$2:$E$1996,2,0),"")</f>
        <v/>
      </c>
    </row>
    <row r="3515" spans="2:14">
      <c r="B3515" s="32">
        <f>IF(ISNUMBER(SEARCH('Φόρμα Εισαγωγής'!$B$2,C3515)),MAX($B$1:B3514)+1,0)</f>
        <v>0</v>
      </c>
      <c r="D3515" s="33">
        <f>IF(ISNUMBER(SEARCH('Φόρμα Εισαγωγής'!$C$2,E3515)),MAX($D$1:D3514)+1,0)</f>
        <v>0</v>
      </c>
      <c r="H3515" s="6">
        <f t="shared" si="173"/>
        <v>0</v>
      </c>
      <c r="I3515" s="6">
        <f t="shared" si="174"/>
        <v>0</v>
      </c>
      <c r="J3515" s="6">
        <f t="shared" si="175"/>
        <v>0</v>
      </c>
      <c r="L3515" s="4" t="str">
        <f>IFERROR(VLOOKUP(ROWS($L$2:L3515),$B$2:$C$1996,2,0),"")</f>
        <v/>
      </c>
      <c r="N3515" s="2" t="str">
        <f>IFERROR(VLOOKUP(ROWS($N$2:N3515),$D$2:$E$1996,2,0),"")</f>
        <v/>
      </c>
    </row>
    <row r="3516" spans="2:14">
      <c r="B3516" s="32">
        <f>IF(ISNUMBER(SEARCH('Φόρμα Εισαγωγής'!$B$2,C3516)),MAX($B$1:B3515)+1,0)</f>
        <v>0</v>
      </c>
      <c r="D3516" s="33">
        <f>IF(ISNUMBER(SEARCH('Φόρμα Εισαγωγής'!$C$2,E3516)),MAX($D$1:D3515)+1,0)</f>
        <v>0</v>
      </c>
      <c r="H3516" s="6">
        <f t="shared" si="173"/>
        <v>0</v>
      </c>
      <c r="I3516" s="6">
        <f t="shared" si="174"/>
        <v>0</v>
      </c>
      <c r="J3516" s="6">
        <f t="shared" si="175"/>
        <v>0</v>
      </c>
      <c r="L3516" s="4" t="str">
        <f>IFERROR(VLOOKUP(ROWS($L$2:L3516),$B$2:$C$1996,2,0),"")</f>
        <v/>
      </c>
      <c r="N3516" s="2" t="str">
        <f>IFERROR(VLOOKUP(ROWS($N$2:N3516),$D$2:$E$1996,2,0),"")</f>
        <v/>
      </c>
    </row>
    <row r="3517" spans="2:14">
      <c r="B3517" s="32">
        <f>IF(ISNUMBER(SEARCH('Φόρμα Εισαγωγής'!$B$2,C3517)),MAX($B$1:B3516)+1,0)</f>
        <v>0</v>
      </c>
      <c r="D3517" s="33">
        <f>IF(ISNUMBER(SEARCH('Φόρμα Εισαγωγής'!$C$2,E3517)),MAX($D$1:D3516)+1,0)</f>
        <v>0</v>
      </c>
      <c r="H3517" s="6">
        <f t="shared" si="173"/>
        <v>0</v>
      </c>
      <c r="I3517" s="6">
        <f t="shared" si="174"/>
        <v>0</v>
      </c>
      <c r="J3517" s="6">
        <f t="shared" si="175"/>
        <v>0</v>
      </c>
      <c r="L3517" s="4" t="str">
        <f>IFERROR(VLOOKUP(ROWS($L$2:L3517),$B$2:$C$1996,2,0),"")</f>
        <v/>
      </c>
      <c r="N3517" s="2" t="str">
        <f>IFERROR(VLOOKUP(ROWS($N$2:N3517),$D$2:$E$1996,2,0),"")</f>
        <v/>
      </c>
    </row>
    <row r="3518" spans="2:14">
      <c r="B3518" s="32">
        <f>IF(ISNUMBER(SEARCH('Φόρμα Εισαγωγής'!$B$2,C3518)),MAX($B$1:B3517)+1,0)</f>
        <v>0</v>
      </c>
      <c r="D3518" s="33">
        <f>IF(ISNUMBER(SEARCH('Φόρμα Εισαγωγής'!$C$2,E3518)),MAX($D$1:D3517)+1,0)</f>
        <v>0</v>
      </c>
      <c r="H3518" s="6">
        <f t="shared" si="173"/>
        <v>0</v>
      </c>
      <c r="I3518" s="6">
        <f t="shared" si="174"/>
        <v>0</v>
      </c>
      <c r="J3518" s="6">
        <f t="shared" si="175"/>
        <v>0</v>
      </c>
      <c r="L3518" s="4" t="str">
        <f>IFERROR(VLOOKUP(ROWS($L$2:L3518),$B$2:$C$1996,2,0),"")</f>
        <v/>
      </c>
      <c r="N3518" s="2" t="str">
        <f>IFERROR(VLOOKUP(ROWS($N$2:N3518),$D$2:$E$1996,2,0),"")</f>
        <v/>
      </c>
    </row>
    <row r="3519" spans="2:14">
      <c r="B3519" s="32">
        <f>IF(ISNUMBER(SEARCH('Φόρμα Εισαγωγής'!$B$2,C3519)),MAX($B$1:B3518)+1,0)</f>
        <v>0</v>
      </c>
      <c r="D3519" s="33">
        <f>IF(ISNUMBER(SEARCH('Φόρμα Εισαγωγής'!$C$2,E3519)),MAX($D$1:D3518)+1,0)</f>
        <v>0</v>
      </c>
      <c r="H3519" s="6">
        <f t="shared" si="173"/>
        <v>0</v>
      </c>
      <c r="I3519" s="6">
        <f t="shared" si="174"/>
        <v>0</v>
      </c>
      <c r="J3519" s="6">
        <f t="shared" si="175"/>
        <v>0</v>
      </c>
      <c r="L3519" s="4" t="str">
        <f>IFERROR(VLOOKUP(ROWS($L$2:L3519),$B$2:$C$1996,2,0),"")</f>
        <v/>
      </c>
      <c r="N3519" s="2" t="str">
        <f>IFERROR(VLOOKUP(ROWS($N$2:N3519),$D$2:$E$1996,2,0),"")</f>
        <v/>
      </c>
    </row>
    <row r="3520" spans="2:14">
      <c r="B3520" s="32">
        <f>IF(ISNUMBER(SEARCH('Φόρμα Εισαγωγής'!$B$2,C3520)),MAX($B$1:B3519)+1,0)</f>
        <v>0</v>
      </c>
      <c r="D3520" s="33">
        <f>IF(ISNUMBER(SEARCH('Φόρμα Εισαγωγής'!$C$2,E3520)),MAX($D$1:D3519)+1,0)</f>
        <v>0</v>
      </c>
      <c r="H3520" s="6">
        <f t="shared" ref="H3520:H3583" si="176">G3520+(G3520*0.24)</f>
        <v>0</v>
      </c>
      <c r="I3520" s="6">
        <f t="shared" ref="I3520:I3583" si="177">F3520*A3520</f>
        <v>0</v>
      </c>
      <c r="J3520" s="6">
        <f t="shared" ref="J3520:J3583" si="178">H3520*A3520</f>
        <v>0</v>
      </c>
      <c r="L3520" s="4" t="str">
        <f>IFERROR(VLOOKUP(ROWS($L$2:L3520),$B$2:$C$1996,2,0),"")</f>
        <v/>
      </c>
      <c r="N3520" s="2" t="str">
        <f>IFERROR(VLOOKUP(ROWS($N$2:N3520),$D$2:$E$1996,2,0),"")</f>
        <v/>
      </c>
    </row>
    <row r="3521" spans="2:14">
      <c r="B3521" s="32">
        <f>IF(ISNUMBER(SEARCH('Φόρμα Εισαγωγής'!$B$2,C3521)),MAX($B$1:B3520)+1,0)</f>
        <v>0</v>
      </c>
      <c r="D3521" s="33">
        <f>IF(ISNUMBER(SEARCH('Φόρμα Εισαγωγής'!$C$2,E3521)),MAX($D$1:D3520)+1,0)</f>
        <v>0</v>
      </c>
      <c r="H3521" s="6">
        <f t="shared" si="176"/>
        <v>0</v>
      </c>
      <c r="I3521" s="6">
        <f t="shared" si="177"/>
        <v>0</v>
      </c>
      <c r="J3521" s="6">
        <f t="shared" si="178"/>
        <v>0</v>
      </c>
      <c r="L3521" s="4" t="str">
        <f>IFERROR(VLOOKUP(ROWS($L$2:L3521),$B$2:$C$1996,2,0),"")</f>
        <v/>
      </c>
      <c r="N3521" s="2" t="str">
        <f>IFERROR(VLOOKUP(ROWS($N$2:N3521),$D$2:$E$1996,2,0),"")</f>
        <v/>
      </c>
    </row>
    <row r="3522" spans="2:14">
      <c r="B3522" s="32">
        <f>IF(ISNUMBER(SEARCH('Φόρμα Εισαγωγής'!$B$2,C3522)),MAX($B$1:B3521)+1,0)</f>
        <v>0</v>
      </c>
      <c r="D3522" s="33">
        <f>IF(ISNUMBER(SEARCH('Φόρμα Εισαγωγής'!$C$2,E3522)),MAX($D$1:D3521)+1,0)</f>
        <v>0</v>
      </c>
      <c r="H3522" s="6">
        <f t="shared" si="176"/>
        <v>0</v>
      </c>
      <c r="I3522" s="6">
        <f t="shared" si="177"/>
        <v>0</v>
      </c>
      <c r="J3522" s="6">
        <f t="shared" si="178"/>
        <v>0</v>
      </c>
      <c r="L3522" s="4" t="str">
        <f>IFERROR(VLOOKUP(ROWS($L$2:L3522),$B$2:$C$1996,2,0),"")</f>
        <v/>
      </c>
      <c r="N3522" s="2" t="str">
        <f>IFERROR(VLOOKUP(ROWS($N$2:N3522),$D$2:$E$1996,2,0),"")</f>
        <v/>
      </c>
    </row>
    <row r="3523" spans="2:14">
      <c r="B3523" s="32">
        <f>IF(ISNUMBER(SEARCH('Φόρμα Εισαγωγής'!$B$2,C3523)),MAX($B$1:B3522)+1,0)</f>
        <v>0</v>
      </c>
      <c r="D3523" s="33">
        <f>IF(ISNUMBER(SEARCH('Φόρμα Εισαγωγής'!$C$2,E3523)),MAX($D$1:D3522)+1,0)</f>
        <v>0</v>
      </c>
      <c r="H3523" s="6">
        <f t="shared" si="176"/>
        <v>0</v>
      </c>
      <c r="I3523" s="6">
        <f t="shared" si="177"/>
        <v>0</v>
      </c>
      <c r="J3523" s="6">
        <f t="shared" si="178"/>
        <v>0</v>
      </c>
      <c r="L3523" s="4" t="str">
        <f>IFERROR(VLOOKUP(ROWS($L$2:L3523),$B$2:$C$1996,2,0),"")</f>
        <v/>
      </c>
      <c r="N3523" s="2" t="str">
        <f>IFERROR(VLOOKUP(ROWS($N$2:N3523),$D$2:$E$1996,2,0),"")</f>
        <v/>
      </c>
    </row>
    <row r="3524" spans="2:14">
      <c r="B3524" s="32">
        <f>IF(ISNUMBER(SEARCH('Φόρμα Εισαγωγής'!$B$2,C3524)),MAX($B$1:B3523)+1,0)</f>
        <v>0</v>
      </c>
      <c r="D3524" s="33">
        <f>IF(ISNUMBER(SEARCH('Φόρμα Εισαγωγής'!$C$2,E3524)),MAX($D$1:D3523)+1,0)</f>
        <v>0</v>
      </c>
      <c r="H3524" s="6">
        <f t="shared" si="176"/>
        <v>0</v>
      </c>
      <c r="I3524" s="6">
        <f t="shared" si="177"/>
        <v>0</v>
      </c>
      <c r="J3524" s="6">
        <f t="shared" si="178"/>
        <v>0</v>
      </c>
      <c r="L3524" s="4" t="str">
        <f>IFERROR(VLOOKUP(ROWS($L$2:L3524),$B$2:$C$1996,2,0),"")</f>
        <v/>
      </c>
      <c r="N3524" s="2" t="str">
        <f>IFERROR(VLOOKUP(ROWS($N$2:N3524),$D$2:$E$1996,2,0),"")</f>
        <v/>
      </c>
    </row>
    <row r="3525" spans="2:14">
      <c r="B3525" s="32">
        <f>IF(ISNUMBER(SEARCH('Φόρμα Εισαγωγής'!$B$2,C3525)),MAX($B$1:B3524)+1,0)</f>
        <v>0</v>
      </c>
      <c r="D3525" s="33">
        <f>IF(ISNUMBER(SEARCH('Φόρμα Εισαγωγής'!$C$2,E3525)),MAX($D$1:D3524)+1,0)</f>
        <v>0</v>
      </c>
      <c r="H3525" s="6">
        <f t="shared" si="176"/>
        <v>0</v>
      </c>
      <c r="I3525" s="6">
        <f t="shared" si="177"/>
        <v>0</v>
      </c>
      <c r="J3525" s="6">
        <f t="shared" si="178"/>
        <v>0</v>
      </c>
      <c r="L3525" s="4" t="str">
        <f>IFERROR(VLOOKUP(ROWS($L$2:L3525),$B$2:$C$1996,2,0),"")</f>
        <v/>
      </c>
      <c r="N3525" s="2" t="str">
        <f>IFERROR(VLOOKUP(ROWS($N$2:N3525),$D$2:$E$1996,2,0),"")</f>
        <v/>
      </c>
    </row>
    <row r="3526" spans="2:14">
      <c r="B3526" s="32">
        <f>IF(ISNUMBER(SEARCH('Φόρμα Εισαγωγής'!$B$2,C3526)),MAX($B$1:B3525)+1,0)</f>
        <v>0</v>
      </c>
      <c r="D3526" s="33">
        <f>IF(ISNUMBER(SEARCH('Φόρμα Εισαγωγής'!$C$2,E3526)),MAX($D$1:D3525)+1,0)</f>
        <v>0</v>
      </c>
      <c r="H3526" s="6">
        <f t="shared" si="176"/>
        <v>0</v>
      </c>
      <c r="I3526" s="6">
        <f t="shared" si="177"/>
        <v>0</v>
      </c>
      <c r="J3526" s="6">
        <f t="shared" si="178"/>
        <v>0</v>
      </c>
      <c r="L3526" s="4" t="str">
        <f>IFERROR(VLOOKUP(ROWS($L$2:L3526),$B$2:$C$1996,2,0),"")</f>
        <v/>
      </c>
      <c r="N3526" s="2" t="str">
        <f>IFERROR(VLOOKUP(ROWS($N$2:N3526),$D$2:$E$1996,2,0),"")</f>
        <v/>
      </c>
    </row>
    <row r="3527" spans="2:14">
      <c r="B3527" s="32">
        <f>IF(ISNUMBER(SEARCH('Φόρμα Εισαγωγής'!$B$2,C3527)),MAX($B$1:B3526)+1,0)</f>
        <v>0</v>
      </c>
      <c r="D3527" s="33">
        <f>IF(ISNUMBER(SEARCH('Φόρμα Εισαγωγής'!$C$2,E3527)),MAX($D$1:D3526)+1,0)</f>
        <v>0</v>
      </c>
      <c r="H3527" s="6">
        <f t="shared" si="176"/>
        <v>0</v>
      </c>
      <c r="I3527" s="6">
        <f t="shared" si="177"/>
        <v>0</v>
      </c>
      <c r="J3527" s="6">
        <f t="shared" si="178"/>
        <v>0</v>
      </c>
      <c r="L3527" s="4" t="str">
        <f>IFERROR(VLOOKUP(ROWS($L$2:L3527),$B$2:$C$1996,2,0),"")</f>
        <v/>
      </c>
      <c r="N3527" s="2" t="str">
        <f>IFERROR(VLOOKUP(ROWS($N$2:N3527),$D$2:$E$1996,2,0),"")</f>
        <v/>
      </c>
    </row>
    <row r="3528" spans="2:14">
      <c r="B3528" s="32">
        <f>IF(ISNUMBER(SEARCH('Φόρμα Εισαγωγής'!$B$2,C3528)),MAX($B$1:B3527)+1,0)</f>
        <v>0</v>
      </c>
      <c r="D3528" s="33">
        <f>IF(ISNUMBER(SEARCH('Φόρμα Εισαγωγής'!$C$2,E3528)),MAX($D$1:D3527)+1,0)</f>
        <v>0</v>
      </c>
      <c r="H3528" s="6">
        <f t="shared" si="176"/>
        <v>0</v>
      </c>
      <c r="I3528" s="6">
        <f t="shared" si="177"/>
        <v>0</v>
      </c>
      <c r="J3528" s="6">
        <f t="shared" si="178"/>
        <v>0</v>
      </c>
      <c r="L3528" s="4" t="str">
        <f>IFERROR(VLOOKUP(ROWS($L$2:L3528),$B$2:$C$1996,2,0),"")</f>
        <v/>
      </c>
      <c r="N3528" s="2" t="str">
        <f>IFERROR(VLOOKUP(ROWS($N$2:N3528),$D$2:$E$1996,2,0),"")</f>
        <v/>
      </c>
    </row>
    <row r="3529" spans="2:14">
      <c r="B3529" s="32">
        <f>IF(ISNUMBER(SEARCH('Φόρμα Εισαγωγής'!$B$2,C3529)),MAX($B$1:B3528)+1,0)</f>
        <v>0</v>
      </c>
      <c r="D3529" s="33">
        <f>IF(ISNUMBER(SEARCH('Φόρμα Εισαγωγής'!$C$2,E3529)),MAX($D$1:D3528)+1,0)</f>
        <v>0</v>
      </c>
      <c r="H3529" s="6">
        <f t="shared" si="176"/>
        <v>0</v>
      </c>
      <c r="I3529" s="6">
        <f t="shared" si="177"/>
        <v>0</v>
      </c>
      <c r="J3529" s="6">
        <f t="shared" si="178"/>
        <v>0</v>
      </c>
      <c r="L3529" s="4" t="str">
        <f>IFERROR(VLOOKUP(ROWS($L$2:L3529),$B$2:$C$1996,2,0),"")</f>
        <v/>
      </c>
      <c r="N3529" s="2" t="str">
        <f>IFERROR(VLOOKUP(ROWS($N$2:N3529),$D$2:$E$1996,2,0),"")</f>
        <v/>
      </c>
    </row>
    <row r="3530" spans="2:14">
      <c r="B3530" s="32">
        <f>IF(ISNUMBER(SEARCH('Φόρμα Εισαγωγής'!$B$2,C3530)),MAX($B$1:B3529)+1,0)</f>
        <v>0</v>
      </c>
      <c r="D3530" s="33">
        <f>IF(ISNUMBER(SEARCH('Φόρμα Εισαγωγής'!$C$2,E3530)),MAX($D$1:D3529)+1,0)</f>
        <v>0</v>
      </c>
      <c r="H3530" s="6">
        <f t="shared" si="176"/>
        <v>0</v>
      </c>
      <c r="I3530" s="6">
        <f t="shared" si="177"/>
        <v>0</v>
      </c>
      <c r="J3530" s="6">
        <f t="shared" si="178"/>
        <v>0</v>
      </c>
      <c r="L3530" s="4" t="str">
        <f>IFERROR(VLOOKUP(ROWS($L$2:L3530),$B$2:$C$1996,2,0),"")</f>
        <v/>
      </c>
      <c r="N3530" s="2" t="str">
        <f>IFERROR(VLOOKUP(ROWS($N$2:N3530),$D$2:$E$1996,2,0),"")</f>
        <v/>
      </c>
    </row>
    <row r="3531" spans="2:14">
      <c r="B3531" s="32">
        <f>IF(ISNUMBER(SEARCH('Φόρμα Εισαγωγής'!$B$2,C3531)),MAX($B$1:B3530)+1,0)</f>
        <v>0</v>
      </c>
      <c r="D3531" s="33">
        <f>IF(ISNUMBER(SEARCH('Φόρμα Εισαγωγής'!$C$2,E3531)),MAX($D$1:D3530)+1,0)</f>
        <v>0</v>
      </c>
      <c r="H3531" s="6">
        <f t="shared" si="176"/>
        <v>0</v>
      </c>
      <c r="I3531" s="6">
        <f t="shared" si="177"/>
        <v>0</v>
      </c>
      <c r="J3531" s="6">
        <f t="shared" si="178"/>
        <v>0</v>
      </c>
      <c r="L3531" s="4" t="str">
        <f>IFERROR(VLOOKUP(ROWS($L$2:L3531),$B$2:$C$1996,2,0),"")</f>
        <v/>
      </c>
      <c r="N3531" s="2" t="str">
        <f>IFERROR(VLOOKUP(ROWS($N$2:N3531),$D$2:$E$1996,2,0),"")</f>
        <v/>
      </c>
    </row>
    <row r="3532" spans="2:14">
      <c r="B3532" s="32">
        <f>IF(ISNUMBER(SEARCH('Φόρμα Εισαγωγής'!$B$2,C3532)),MAX($B$1:B3531)+1,0)</f>
        <v>0</v>
      </c>
      <c r="D3532" s="33">
        <f>IF(ISNUMBER(SEARCH('Φόρμα Εισαγωγής'!$C$2,E3532)),MAX($D$1:D3531)+1,0)</f>
        <v>0</v>
      </c>
      <c r="H3532" s="6">
        <f t="shared" si="176"/>
        <v>0</v>
      </c>
      <c r="I3532" s="6">
        <f t="shared" si="177"/>
        <v>0</v>
      </c>
      <c r="J3532" s="6">
        <f t="shared" si="178"/>
        <v>0</v>
      </c>
      <c r="L3532" s="4" t="str">
        <f>IFERROR(VLOOKUP(ROWS($L$2:L3532),$B$2:$C$1996,2,0),"")</f>
        <v/>
      </c>
      <c r="N3532" s="2" t="str">
        <f>IFERROR(VLOOKUP(ROWS($N$2:N3532),$D$2:$E$1996,2,0),"")</f>
        <v/>
      </c>
    </row>
    <row r="3533" spans="2:14">
      <c r="B3533" s="32">
        <f>IF(ISNUMBER(SEARCH('Φόρμα Εισαγωγής'!$B$2,C3533)),MAX($B$1:B3532)+1,0)</f>
        <v>0</v>
      </c>
      <c r="D3533" s="33">
        <f>IF(ISNUMBER(SEARCH('Φόρμα Εισαγωγής'!$C$2,E3533)),MAX($D$1:D3532)+1,0)</f>
        <v>0</v>
      </c>
      <c r="H3533" s="6">
        <f t="shared" si="176"/>
        <v>0</v>
      </c>
      <c r="I3533" s="6">
        <f t="shared" si="177"/>
        <v>0</v>
      </c>
      <c r="J3533" s="6">
        <f t="shared" si="178"/>
        <v>0</v>
      </c>
      <c r="L3533" s="4" t="str">
        <f>IFERROR(VLOOKUP(ROWS($L$2:L3533),$B$2:$C$1996,2,0),"")</f>
        <v/>
      </c>
      <c r="N3533" s="2" t="str">
        <f>IFERROR(VLOOKUP(ROWS($N$2:N3533),$D$2:$E$1996,2,0),"")</f>
        <v/>
      </c>
    </row>
    <row r="3534" spans="2:14">
      <c r="B3534" s="32">
        <f>IF(ISNUMBER(SEARCH('Φόρμα Εισαγωγής'!$B$2,C3534)),MAX($B$1:B3533)+1,0)</f>
        <v>0</v>
      </c>
      <c r="D3534" s="33">
        <f>IF(ISNUMBER(SEARCH('Φόρμα Εισαγωγής'!$C$2,E3534)),MAX($D$1:D3533)+1,0)</f>
        <v>0</v>
      </c>
      <c r="H3534" s="6">
        <f t="shared" si="176"/>
        <v>0</v>
      </c>
      <c r="I3534" s="6">
        <f t="shared" si="177"/>
        <v>0</v>
      </c>
      <c r="J3534" s="6">
        <f t="shared" si="178"/>
        <v>0</v>
      </c>
      <c r="L3534" s="4" t="str">
        <f>IFERROR(VLOOKUP(ROWS($L$2:L3534),$B$2:$C$1996,2,0),"")</f>
        <v/>
      </c>
      <c r="N3534" s="2" t="str">
        <f>IFERROR(VLOOKUP(ROWS($N$2:N3534),$D$2:$E$1996,2,0),"")</f>
        <v/>
      </c>
    </row>
    <row r="3535" spans="2:14">
      <c r="B3535" s="32">
        <f>IF(ISNUMBER(SEARCH('Φόρμα Εισαγωγής'!$B$2,C3535)),MAX($B$1:B3534)+1,0)</f>
        <v>0</v>
      </c>
      <c r="D3535" s="33">
        <f>IF(ISNUMBER(SEARCH('Φόρμα Εισαγωγής'!$C$2,E3535)),MAX($D$1:D3534)+1,0)</f>
        <v>0</v>
      </c>
      <c r="H3535" s="6">
        <f t="shared" si="176"/>
        <v>0</v>
      </c>
      <c r="I3535" s="6">
        <f t="shared" si="177"/>
        <v>0</v>
      </c>
      <c r="J3535" s="6">
        <f t="shared" si="178"/>
        <v>0</v>
      </c>
      <c r="L3535" s="4" t="str">
        <f>IFERROR(VLOOKUP(ROWS($L$2:L3535),$B$2:$C$1996,2,0),"")</f>
        <v/>
      </c>
      <c r="N3535" s="2" t="str">
        <f>IFERROR(VLOOKUP(ROWS($N$2:N3535),$D$2:$E$1996,2,0),"")</f>
        <v/>
      </c>
    </row>
    <row r="3536" spans="2:14">
      <c r="B3536" s="32">
        <f>IF(ISNUMBER(SEARCH('Φόρμα Εισαγωγής'!$B$2,C3536)),MAX($B$1:B3535)+1,0)</f>
        <v>0</v>
      </c>
      <c r="D3536" s="33">
        <f>IF(ISNUMBER(SEARCH('Φόρμα Εισαγωγής'!$C$2,E3536)),MAX($D$1:D3535)+1,0)</f>
        <v>0</v>
      </c>
      <c r="H3536" s="6">
        <f t="shared" si="176"/>
        <v>0</v>
      </c>
      <c r="I3536" s="6">
        <f t="shared" si="177"/>
        <v>0</v>
      </c>
      <c r="J3536" s="6">
        <f t="shared" si="178"/>
        <v>0</v>
      </c>
      <c r="L3536" s="4" t="str">
        <f>IFERROR(VLOOKUP(ROWS($L$2:L3536),$B$2:$C$1996,2,0),"")</f>
        <v/>
      </c>
      <c r="N3536" s="2" t="str">
        <f>IFERROR(VLOOKUP(ROWS($N$2:N3536),$D$2:$E$1996,2,0),"")</f>
        <v/>
      </c>
    </row>
    <row r="3537" spans="2:14">
      <c r="B3537" s="32">
        <f>IF(ISNUMBER(SEARCH('Φόρμα Εισαγωγής'!$B$2,C3537)),MAX($B$1:B3536)+1,0)</f>
        <v>0</v>
      </c>
      <c r="D3537" s="33">
        <f>IF(ISNUMBER(SEARCH('Φόρμα Εισαγωγής'!$C$2,E3537)),MAX($D$1:D3536)+1,0)</f>
        <v>0</v>
      </c>
      <c r="H3537" s="6">
        <f t="shared" si="176"/>
        <v>0</v>
      </c>
      <c r="I3537" s="6">
        <f t="shared" si="177"/>
        <v>0</v>
      </c>
      <c r="J3537" s="6">
        <f t="shared" si="178"/>
        <v>0</v>
      </c>
      <c r="L3537" s="4" t="str">
        <f>IFERROR(VLOOKUP(ROWS($L$2:L3537),$B$2:$C$1996,2,0),"")</f>
        <v/>
      </c>
      <c r="N3537" s="2" t="str">
        <f>IFERROR(VLOOKUP(ROWS($N$2:N3537),$D$2:$E$1996,2,0),"")</f>
        <v/>
      </c>
    </row>
    <row r="3538" spans="2:14">
      <c r="B3538" s="32">
        <f>IF(ISNUMBER(SEARCH('Φόρμα Εισαγωγής'!$B$2,C3538)),MAX($B$1:B3537)+1,0)</f>
        <v>0</v>
      </c>
      <c r="D3538" s="33">
        <f>IF(ISNUMBER(SEARCH('Φόρμα Εισαγωγής'!$C$2,E3538)),MAX($D$1:D3537)+1,0)</f>
        <v>0</v>
      </c>
      <c r="H3538" s="6">
        <f t="shared" si="176"/>
        <v>0</v>
      </c>
      <c r="I3538" s="6">
        <f t="shared" si="177"/>
        <v>0</v>
      </c>
      <c r="J3538" s="6">
        <f t="shared" si="178"/>
        <v>0</v>
      </c>
      <c r="L3538" s="4" t="str">
        <f>IFERROR(VLOOKUP(ROWS($L$2:L3538),$B$2:$C$1996,2,0),"")</f>
        <v/>
      </c>
      <c r="N3538" s="2" t="str">
        <f>IFERROR(VLOOKUP(ROWS($N$2:N3538),$D$2:$E$1996,2,0),"")</f>
        <v/>
      </c>
    </row>
    <row r="3539" spans="2:14">
      <c r="B3539" s="32">
        <f>IF(ISNUMBER(SEARCH('Φόρμα Εισαγωγής'!$B$2,C3539)),MAX($B$1:B3538)+1,0)</f>
        <v>0</v>
      </c>
      <c r="D3539" s="33">
        <f>IF(ISNUMBER(SEARCH('Φόρμα Εισαγωγής'!$C$2,E3539)),MAX($D$1:D3538)+1,0)</f>
        <v>0</v>
      </c>
      <c r="H3539" s="6">
        <f t="shared" si="176"/>
        <v>0</v>
      </c>
      <c r="I3539" s="6">
        <f t="shared" si="177"/>
        <v>0</v>
      </c>
      <c r="J3539" s="6">
        <f t="shared" si="178"/>
        <v>0</v>
      </c>
      <c r="L3539" s="4" t="str">
        <f>IFERROR(VLOOKUP(ROWS($L$2:L3539),$B$2:$C$1996,2,0),"")</f>
        <v/>
      </c>
      <c r="N3539" s="2" t="str">
        <f>IFERROR(VLOOKUP(ROWS($N$2:N3539),$D$2:$E$1996,2,0),"")</f>
        <v/>
      </c>
    </row>
    <row r="3540" spans="2:14">
      <c r="B3540" s="32">
        <f>IF(ISNUMBER(SEARCH('Φόρμα Εισαγωγής'!$B$2,C3540)),MAX($B$1:B3539)+1,0)</f>
        <v>0</v>
      </c>
      <c r="D3540" s="33">
        <f>IF(ISNUMBER(SEARCH('Φόρμα Εισαγωγής'!$C$2,E3540)),MAX($D$1:D3539)+1,0)</f>
        <v>0</v>
      </c>
      <c r="H3540" s="6">
        <f t="shared" si="176"/>
        <v>0</v>
      </c>
      <c r="I3540" s="6">
        <f t="shared" si="177"/>
        <v>0</v>
      </c>
      <c r="J3540" s="6">
        <f t="shared" si="178"/>
        <v>0</v>
      </c>
      <c r="L3540" s="4" t="str">
        <f>IFERROR(VLOOKUP(ROWS($L$2:L3540),$B$2:$C$1996,2,0),"")</f>
        <v/>
      </c>
      <c r="N3540" s="2" t="str">
        <f>IFERROR(VLOOKUP(ROWS($N$2:N3540),$D$2:$E$1996,2,0),"")</f>
        <v/>
      </c>
    </row>
    <row r="3541" spans="2:14">
      <c r="B3541" s="32">
        <f>IF(ISNUMBER(SEARCH('Φόρμα Εισαγωγής'!$B$2,C3541)),MAX($B$1:B3540)+1,0)</f>
        <v>0</v>
      </c>
      <c r="D3541" s="33">
        <f>IF(ISNUMBER(SEARCH('Φόρμα Εισαγωγής'!$C$2,E3541)),MAX($D$1:D3540)+1,0)</f>
        <v>0</v>
      </c>
      <c r="H3541" s="6">
        <f t="shared" si="176"/>
        <v>0</v>
      </c>
      <c r="I3541" s="6">
        <f t="shared" si="177"/>
        <v>0</v>
      </c>
      <c r="J3541" s="6">
        <f t="shared" si="178"/>
        <v>0</v>
      </c>
      <c r="L3541" s="4" t="str">
        <f>IFERROR(VLOOKUP(ROWS($L$2:L3541),$B$2:$C$1996,2,0),"")</f>
        <v/>
      </c>
      <c r="N3541" s="2" t="str">
        <f>IFERROR(VLOOKUP(ROWS($N$2:N3541),$D$2:$E$1996,2,0),"")</f>
        <v/>
      </c>
    </row>
    <row r="3542" spans="2:14">
      <c r="B3542" s="32">
        <f>IF(ISNUMBER(SEARCH('Φόρμα Εισαγωγής'!$B$2,C3542)),MAX($B$1:B3541)+1,0)</f>
        <v>0</v>
      </c>
      <c r="D3542" s="33">
        <f>IF(ISNUMBER(SEARCH('Φόρμα Εισαγωγής'!$C$2,E3542)),MAX($D$1:D3541)+1,0)</f>
        <v>0</v>
      </c>
      <c r="H3542" s="6">
        <f t="shared" si="176"/>
        <v>0</v>
      </c>
      <c r="I3542" s="6">
        <f t="shared" si="177"/>
        <v>0</v>
      </c>
      <c r="J3542" s="6">
        <f t="shared" si="178"/>
        <v>0</v>
      </c>
      <c r="L3542" s="4" t="str">
        <f>IFERROR(VLOOKUP(ROWS($L$2:L3542),$B$2:$C$1996,2,0),"")</f>
        <v/>
      </c>
      <c r="N3542" s="2" t="str">
        <f>IFERROR(VLOOKUP(ROWS($N$2:N3542),$D$2:$E$1996,2,0),"")</f>
        <v/>
      </c>
    </row>
    <row r="3543" spans="2:14">
      <c r="B3543" s="32">
        <f>IF(ISNUMBER(SEARCH('Φόρμα Εισαγωγής'!$B$2,C3543)),MAX($B$1:B3542)+1,0)</f>
        <v>0</v>
      </c>
      <c r="D3543" s="33">
        <f>IF(ISNUMBER(SEARCH('Φόρμα Εισαγωγής'!$C$2,E3543)),MAX($D$1:D3542)+1,0)</f>
        <v>0</v>
      </c>
      <c r="H3543" s="6">
        <f t="shared" si="176"/>
        <v>0</v>
      </c>
      <c r="I3543" s="6">
        <f t="shared" si="177"/>
        <v>0</v>
      </c>
      <c r="J3543" s="6">
        <f t="shared" si="178"/>
        <v>0</v>
      </c>
      <c r="L3543" s="4" t="str">
        <f>IFERROR(VLOOKUP(ROWS($L$2:L3543),$B$2:$C$1996,2,0),"")</f>
        <v/>
      </c>
      <c r="N3543" s="2" t="str">
        <f>IFERROR(VLOOKUP(ROWS($N$2:N3543),$D$2:$E$1996,2,0),"")</f>
        <v/>
      </c>
    </row>
    <row r="3544" spans="2:14">
      <c r="B3544" s="32">
        <f>IF(ISNUMBER(SEARCH('Φόρμα Εισαγωγής'!$B$2,C3544)),MAX($B$1:B3543)+1,0)</f>
        <v>0</v>
      </c>
      <c r="D3544" s="33">
        <f>IF(ISNUMBER(SEARCH('Φόρμα Εισαγωγής'!$C$2,E3544)),MAX($D$1:D3543)+1,0)</f>
        <v>0</v>
      </c>
      <c r="H3544" s="6">
        <f t="shared" si="176"/>
        <v>0</v>
      </c>
      <c r="I3544" s="6">
        <f t="shared" si="177"/>
        <v>0</v>
      </c>
      <c r="J3544" s="6">
        <f t="shared" si="178"/>
        <v>0</v>
      </c>
      <c r="L3544" s="4" t="str">
        <f>IFERROR(VLOOKUP(ROWS($L$2:L3544),$B$2:$C$1996,2,0),"")</f>
        <v/>
      </c>
      <c r="N3544" s="2" t="str">
        <f>IFERROR(VLOOKUP(ROWS($N$2:N3544),$D$2:$E$1996,2,0),"")</f>
        <v/>
      </c>
    </row>
    <row r="3545" spans="2:14">
      <c r="B3545" s="32">
        <f>IF(ISNUMBER(SEARCH('Φόρμα Εισαγωγής'!$B$2,C3545)),MAX($B$1:B3544)+1,0)</f>
        <v>0</v>
      </c>
      <c r="D3545" s="33">
        <f>IF(ISNUMBER(SEARCH('Φόρμα Εισαγωγής'!$C$2,E3545)),MAX($D$1:D3544)+1,0)</f>
        <v>0</v>
      </c>
      <c r="H3545" s="6">
        <f t="shared" si="176"/>
        <v>0</v>
      </c>
      <c r="I3545" s="6">
        <f t="shared" si="177"/>
        <v>0</v>
      </c>
      <c r="J3545" s="6">
        <f t="shared" si="178"/>
        <v>0</v>
      </c>
      <c r="L3545" s="4" t="str">
        <f>IFERROR(VLOOKUP(ROWS($L$2:L3545),$B$2:$C$1996,2,0),"")</f>
        <v/>
      </c>
      <c r="N3545" s="2" t="str">
        <f>IFERROR(VLOOKUP(ROWS($N$2:N3545),$D$2:$E$1996,2,0),"")</f>
        <v/>
      </c>
    </row>
    <row r="3546" spans="2:14">
      <c r="B3546" s="32">
        <f>IF(ISNUMBER(SEARCH('Φόρμα Εισαγωγής'!$B$2,C3546)),MAX($B$1:B3545)+1,0)</f>
        <v>0</v>
      </c>
      <c r="D3546" s="33">
        <f>IF(ISNUMBER(SEARCH('Φόρμα Εισαγωγής'!$C$2,E3546)),MAX($D$1:D3545)+1,0)</f>
        <v>0</v>
      </c>
      <c r="H3546" s="6">
        <f t="shared" si="176"/>
        <v>0</v>
      </c>
      <c r="I3546" s="6">
        <f t="shared" si="177"/>
        <v>0</v>
      </c>
      <c r="J3546" s="6">
        <f t="shared" si="178"/>
        <v>0</v>
      </c>
      <c r="L3546" s="4" t="str">
        <f>IFERROR(VLOOKUP(ROWS($L$2:L3546),$B$2:$C$1996,2,0),"")</f>
        <v/>
      </c>
      <c r="N3546" s="2" t="str">
        <f>IFERROR(VLOOKUP(ROWS($N$2:N3546),$D$2:$E$1996,2,0),"")</f>
        <v/>
      </c>
    </row>
    <row r="3547" spans="2:14">
      <c r="B3547" s="32">
        <f>IF(ISNUMBER(SEARCH('Φόρμα Εισαγωγής'!$B$2,C3547)),MAX($B$1:B3546)+1,0)</f>
        <v>0</v>
      </c>
      <c r="D3547" s="33">
        <f>IF(ISNUMBER(SEARCH('Φόρμα Εισαγωγής'!$C$2,E3547)),MAX($D$1:D3546)+1,0)</f>
        <v>0</v>
      </c>
      <c r="H3547" s="6">
        <f t="shared" si="176"/>
        <v>0</v>
      </c>
      <c r="I3547" s="6">
        <f t="shared" si="177"/>
        <v>0</v>
      </c>
      <c r="J3547" s="6">
        <f t="shared" si="178"/>
        <v>0</v>
      </c>
      <c r="L3547" s="4" t="str">
        <f>IFERROR(VLOOKUP(ROWS($L$2:L3547),$B$2:$C$1996,2,0),"")</f>
        <v/>
      </c>
      <c r="N3547" s="2" t="str">
        <f>IFERROR(VLOOKUP(ROWS($N$2:N3547),$D$2:$E$1996,2,0),"")</f>
        <v/>
      </c>
    </row>
    <row r="3548" spans="2:14">
      <c r="B3548" s="32">
        <f>IF(ISNUMBER(SEARCH('Φόρμα Εισαγωγής'!$B$2,C3548)),MAX($B$1:B3547)+1,0)</f>
        <v>0</v>
      </c>
      <c r="D3548" s="33">
        <f>IF(ISNUMBER(SEARCH('Φόρμα Εισαγωγής'!$C$2,E3548)),MAX($D$1:D3547)+1,0)</f>
        <v>0</v>
      </c>
      <c r="H3548" s="6">
        <f t="shared" si="176"/>
        <v>0</v>
      </c>
      <c r="I3548" s="6">
        <f t="shared" si="177"/>
        <v>0</v>
      </c>
      <c r="J3548" s="6">
        <f t="shared" si="178"/>
        <v>0</v>
      </c>
      <c r="L3548" s="4" t="str">
        <f>IFERROR(VLOOKUP(ROWS($L$2:L3548),$B$2:$C$1996,2,0),"")</f>
        <v/>
      </c>
      <c r="N3548" s="2" t="str">
        <f>IFERROR(VLOOKUP(ROWS($N$2:N3548),$D$2:$E$1996,2,0),"")</f>
        <v/>
      </c>
    </row>
    <row r="3549" spans="2:14">
      <c r="B3549" s="32">
        <f>IF(ISNUMBER(SEARCH('Φόρμα Εισαγωγής'!$B$2,C3549)),MAX($B$1:B3548)+1,0)</f>
        <v>0</v>
      </c>
      <c r="D3549" s="33">
        <f>IF(ISNUMBER(SEARCH('Φόρμα Εισαγωγής'!$C$2,E3549)),MAX($D$1:D3548)+1,0)</f>
        <v>0</v>
      </c>
      <c r="H3549" s="6">
        <f t="shared" si="176"/>
        <v>0</v>
      </c>
      <c r="I3549" s="6">
        <f t="shared" si="177"/>
        <v>0</v>
      </c>
      <c r="J3549" s="6">
        <f t="shared" si="178"/>
        <v>0</v>
      </c>
      <c r="L3549" s="4" t="str">
        <f>IFERROR(VLOOKUP(ROWS($L$2:L3549),$B$2:$C$1996,2,0),"")</f>
        <v/>
      </c>
      <c r="N3549" s="2" t="str">
        <f>IFERROR(VLOOKUP(ROWS($N$2:N3549),$D$2:$E$1996,2,0),"")</f>
        <v/>
      </c>
    </row>
    <row r="3550" spans="2:14">
      <c r="B3550" s="32">
        <f>IF(ISNUMBER(SEARCH('Φόρμα Εισαγωγής'!$B$2,C3550)),MAX($B$1:B3549)+1,0)</f>
        <v>0</v>
      </c>
      <c r="D3550" s="33">
        <f>IF(ISNUMBER(SEARCH('Φόρμα Εισαγωγής'!$C$2,E3550)),MAX($D$1:D3549)+1,0)</f>
        <v>0</v>
      </c>
      <c r="H3550" s="6">
        <f t="shared" si="176"/>
        <v>0</v>
      </c>
      <c r="I3550" s="6">
        <f t="shared" si="177"/>
        <v>0</v>
      </c>
      <c r="J3550" s="6">
        <f t="shared" si="178"/>
        <v>0</v>
      </c>
      <c r="L3550" s="4" t="str">
        <f>IFERROR(VLOOKUP(ROWS($L$2:L3550),$B$2:$C$1996,2,0),"")</f>
        <v/>
      </c>
      <c r="N3550" s="2" t="str">
        <f>IFERROR(VLOOKUP(ROWS($N$2:N3550),$D$2:$E$1996,2,0),"")</f>
        <v/>
      </c>
    </row>
    <row r="3551" spans="2:14">
      <c r="B3551" s="32">
        <f>IF(ISNUMBER(SEARCH('Φόρμα Εισαγωγής'!$B$2,C3551)),MAX($B$1:B3550)+1,0)</f>
        <v>0</v>
      </c>
      <c r="D3551" s="33">
        <f>IF(ISNUMBER(SEARCH('Φόρμα Εισαγωγής'!$C$2,E3551)),MAX($D$1:D3550)+1,0)</f>
        <v>0</v>
      </c>
      <c r="H3551" s="6">
        <f t="shared" si="176"/>
        <v>0</v>
      </c>
      <c r="I3551" s="6">
        <f t="shared" si="177"/>
        <v>0</v>
      </c>
      <c r="J3551" s="6">
        <f t="shared" si="178"/>
        <v>0</v>
      </c>
      <c r="L3551" s="4" t="str">
        <f>IFERROR(VLOOKUP(ROWS($L$2:L3551),$B$2:$C$1996,2,0),"")</f>
        <v/>
      </c>
      <c r="N3551" s="2" t="str">
        <f>IFERROR(VLOOKUP(ROWS($N$2:N3551),$D$2:$E$1996,2,0),"")</f>
        <v/>
      </c>
    </row>
    <row r="3552" spans="2:14">
      <c r="B3552" s="32">
        <f>IF(ISNUMBER(SEARCH('Φόρμα Εισαγωγής'!$B$2,C3552)),MAX($B$1:B3551)+1,0)</f>
        <v>0</v>
      </c>
      <c r="D3552" s="33">
        <f>IF(ISNUMBER(SEARCH('Φόρμα Εισαγωγής'!$C$2,E3552)),MAX($D$1:D3551)+1,0)</f>
        <v>0</v>
      </c>
      <c r="H3552" s="6">
        <f t="shared" si="176"/>
        <v>0</v>
      </c>
      <c r="I3552" s="6">
        <f t="shared" si="177"/>
        <v>0</v>
      </c>
      <c r="J3552" s="6">
        <f t="shared" si="178"/>
        <v>0</v>
      </c>
      <c r="L3552" s="4" t="str">
        <f>IFERROR(VLOOKUP(ROWS($L$2:L3552),$B$2:$C$1996,2,0),"")</f>
        <v/>
      </c>
      <c r="N3552" s="2" t="str">
        <f>IFERROR(VLOOKUP(ROWS($N$2:N3552),$D$2:$E$1996,2,0),"")</f>
        <v/>
      </c>
    </row>
    <row r="3553" spans="2:14">
      <c r="B3553" s="32">
        <f>IF(ISNUMBER(SEARCH('Φόρμα Εισαγωγής'!$B$2,C3553)),MAX($B$1:B3552)+1,0)</f>
        <v>0</v>
      </c>
      <c r="D3553" s="33">
        <f>IF(ISNUMBER(SEARCH('Φόρμα Εισαγωγής'!$C$2,E3553)),MAX($D$1:D3552)+1,0)</f>
        <v>0</v>
      </c>
      <c r="H3553" s="6">
        <f t="shared" si="176"/>
        <v>0</v>
      </c>
      <c r="I3553" s="6">
        <f t="shared" si="177"/>
        <v>0</v>
      </c>
      <c r="J3553" s="6">
        <f t="shared" si="178"/>
        <v>0</v>
      </c>
      <c r="L3553" s="4" t="str">
        <f>IFERROR(VLOOKUP(ROWS($L$2:L3553),$B$2:$C$1996,2,0),"")</f>
        <v/>
      </c>
      <c r="N3553" s="2" t="str">
        <f>IFERROR(VLOOKUP(ROWS($N$2:N3553),$D$2:$E$1996,2,0),"")</f>
        <v/>
      </c>
    </row>
    <row r="3554" spans="2:14">
      <c r="B3554" s="32">
        <f>IF(ISNUMBER(SEARCH('Φόρμα Εισαγωγής'!$B$2,C3554)),MAX($B$1:B3553)+1,0)</f>
        <v>0</v>
      </c>
      <c r="D3554" s="33">
        <f>IF(ISNUMBER(SEARCH('Φόρμα Εισαγωγής'!$C$2,E3554)),MAX($D$1:D3553)+1,0)</f>
        <v>0</v>
      </c>
      <c r="H3554" s="6">
        <f t="shared" si="176"/>
        <v>0</v>
      </c>
      <c r="I3554" s="6">
        <f t="shared" si="177"/>
        <v>0</v>
      </c>
      <c r="J3554" s="6">
        <f t="shared" si="178"/>
        <v>0</v>
      </c>
      <c r="L3554" s="4" t="str">
        <f>IFERROR(VLOOKUP(ROWS($L$2:L3554),$B$2:$C$1996,2,0),"")</f>
        <v/>
      </c>
      <c r="N3554" s="2" t="str">
        <f>IFERROR(VLOOKUP(ROWS($N$2:N3554),$D$2:$E$1996,2,0),"")</f>
        <v/>
      </c>
    </row>
    <row r="3555" spans="2:14">
      <c r="B3555" s="32">
        <f>IF(ISNUMBER(SEARCH('Φόρμα Εισαγωγής'!$B$2,C3555)),MAX($B$1:B3554)+1,0)</f>
        <v>0</v>
      </c>
      <c r="D3555" s="33">
        <f>IF(ISNUMBER(SEARCH('Φόρμα Εισαγωγής'!$C$2,E3555)),MAX($D$1:D3554)+1,0)</f>
        <v>0</v>
      </c>
      <c r="H3555" s="6">
        <f t="shared" si="176"/>
        <v>0</v>
      </c>
      <c r="I3555" s="6">
        <f t="shared" si="177"/>
        <v>0</v>
      </c>
      <c r="J3555" s="6">
        <f t="shared" si="178"/>
        <v>0</v>
      </c>
      <c r="L3555" s="4" t="str">
        <f>IFERROR(VLOOKUP(ROWS($L$2:L3555),$B$2:$C$1996,2,0),"")</f>
        <v/>
      </c>
      <c r="N3555" s="2" t="str">
        <f>IFERROR(VLOOKUP(ROWS($N$2:N3555),$D$2:$E$1996,2,0),"")</f>
        <v/>
      </c>
    </row>
    <row r="3556" spans="2:14">
      <c r="B3556" s="32">
        <f>IF(ISNUMBER(SEARCH('Φόρμα Εισαγωγής'!$B$2,C3556)),MAX($B$1:B3555)+1,0)</f>
        <v>0</v>
      </c>
      <c r="D3556" s="33">
        <f>IF(ISNUMBER(SEARCH('Φόρμα Εισαγωγής'!$C$2,E3556)),MAX($D$1:D3555)+1,0)</f>
        <v>0</v>
      </c>
      <c r="H3556" s="6">
        <f t="shared" si="176"/>
        <v>0</v>
      </c>
      <c r="I3556" s="6">
        <f t="shared" si="177"/>
        <v>0</v>
      </c>
      <c r="J3556" s="6">
        <f t="shared" si="178"/>
        <v>0</v>
      </c>
      <c r="L3556" s="4" t="str">
        <f>IFERROR(VLOOKUP(ROWS($L$2:L3556),$B$2:$C$1996,2,0),"")</f>
        <v/>
      </c>
      <c r="N3556" s="2" t="str">
        <f>IFERROR(VLOOKUP(ROWS($N$2:N3556),$D$2:$E$1996,2,0),"")</f>
        <v/>
      </c>
    </row>
    <row r="3557" spans="2:14">
      <c r="B3557" s="32">
        <f>IF(ISNUMBER(SEARCH('Φόρμα Εισαγωγής'!$B$2,C3557)),MAX($B$1:B3556)+1,0)</f>
        <v>0</v>
      </c>
      <c r="D3557" s="33">
        <f>IF(ISNUMBER(SEARCH('Φόρμα Εισαγωγής'!$C$2,E3557)),MAX($D$1:D3556)+1,0)</f>
        <v>0</v>
      </c>
      <c r="H3557" s="6">
        <f t="shared" si="176"/>
        <v>0</v>
      </c>
      <c r="I3557" s="6">
        <f t="shared" si="177"/>
        <v>0</v>
      </c>
      <c r="J3557" s="6">
        <f t="shared" si="178"/>
        <v>0</v>
      </c>
      <c r="L3557" s="4" t="str">
        <f>IFERROR(VLOOKUP(ROWS($L$2:L3557),$B$2:$C$1996,2,0),"")</f>
        <v/>
      </c>
      <c r="N3557" s="2" t="str">
        <f>IFERROR(VLOOKUP(ROWS($N$2:N3557),$D$2:$E$1996,2,0),"")</f>
        <v/>
      </c>
    </row>
    <row r="3558" spans="2:14">
      <c r="B3558" s="32">
        <f>IF(ISNUMBER(SEARCH('Φόρμα Εισαγωγής'!$B$2,C3558)),MAX($B$1:B3557)+1,0)</f>
        <v>0</v>
      </c>
      <c r="D3558" s="33">
        <f>IF(ISNUMBER(SEARCH('Φόρμα Εισαγωγής'!$C$2,E3558)),MAX($D$1:D3557)+1,0)</f>
        <v>0</v>
      </c>
      <c r="H3558" s="6">
        <f t="shared" si="176"/>
        <v>0</v>
      </c>
      <c r="I3558" s="6">
        <f t="shared" si="177"/>
        <v>0</v>
      </c>
      <c r="J3558" s="6">
        <f t="shared" si="178"/>
        <v>0</v>
      </c>
      <c r="L3558" s="4" t="str">
        <f>IFERROR(VLOOKUP(ROWS($L$2:L3558),$B$2:$C$1996,2,0),"")</f>
        <v/>
      </c>
      <c r="N3558" s="2" t="str">
        <f>IFERROR(VLOOKUP(ROWS($N$2:N3558),$D$2:$E$1996,2,0),"")</f>
        <v/>
      </c>
    </row>
    <row r="3559" spans="2:14">
      <c r="B3559" s="32">
        <f>IF(ISNUMBER(SEARCH('Φόρμα Εισαγωγής'!$B$2,C3559)),MAX($B$1:B3558)+1,0)</f>
        <v>0</v>
      </c>
      <c r="D3559" s="33">
        <f>IF(ISNUMBER(SEARCH('Φόρμα Εισαγωγής'!$C$2,E3559)),MAX($D$1:D3558)+1,0)</f>
        <v>0</v>
      </c>
      <c r="H3559" s="6">
        <f t="shared" si="176"/>
        <v>0</v>
      </c>
      <c r="I3559" s="6">
        <f t="shared" si="177"/>
        <v>0</v>
      </c>
      <c r="J3559" s="6">
        <f t="shared" si="178"/>
        <v>0</v>
      </c>
      <c r="L3559" s="4" t="str">
        <f>IFERROR(VLOOKUP(ROWS($L$2:L3559),$B$2:$C$1996,2,0),"")</f>
        <v/>
      </c>
      <c r="N3559" s="2" t="str">
        <f>IFERROR(VLOOKUP(ROWS($N$2:N3559),$D$2:$E$1996,2,0),"")</f>
        <v/>
      </c>
    </row>
    <row r="3560" spans="2:14">
      <c r="B3560" s="32">
        <f>IF(ISNUMBER(SEARCH('Φόρμα Εισαγωγής'!$B$2,C3560)),MAX($B$1:B3559)+1,0)</f>
        <v>0</v>
      </c>
      <c r="D3560" s="33">
        <f>IF(ISNUMBER(SEARCH('Φόρμα Εισαγωγής'!$C$2,E3560)),MAX($D$1:D3559)+1,0)</f>
        <v>0</v>
      </c>
      <c r="H3560" s="6">
        <f t="shared" si="176"/>
        <v>0</v>
      </c>
      <c r="I3560" s="6">
        <f t="shared" si="177"/>
        <v>0</v>
      </c>
      <c r="J3560" s="6">
        <f t="shared" si="178"/>
        <v>0</v>
      </c>
      <c r="L3560" s="4" t="str">
        <f>IFERROR(VLOOKUP(ROWS($L$2:L3560),$B$2:$C$1996,2,0),"")</f>
        <v/>
      </c>
      <c r="N3560" s="2" t="str">
        <f>IFERROR(VLOOKUP(ROWS($N$2:N3560),$D$2:$E$1996,2,0),"")</f>
        <v/>
      </c>
    </row>
    <row r="3561" spans="2:14">
      <c r="B3561" s="32">
        <f>IF(ISNUMBER(SEARCH('Φόρμα Εισαγωγής'!$B$2,C3561)),MAX($B$1:B3560)+1,0)</f>
        <v>0</v>
      </c>
      <c r="D3561" s="33">
        <f>IF(ISNUMBER(SEARCH('Φόρμα Εισαγωγής'!$C$2,E3561)),MAX($D$1:D3560)+1,0)</f>
        <v>0</v>
      </c>
      <c r="H3561" s="6">
        <f t="shared" si="176"/>
        <v>0</v>
      </c>
      <c r="I3561" s="6">
        <f t="shared" si="177"/>
        <v>0</v>
      </c>
      <c r="J3561" s="6">
        <f t="shared" si="178"/>
        <v>0</v>
      </c>
      <c r="L3561" s="4" t="str">
        <f>IFERROR(VLOOKUP(ROWS($L$2:L3561),$B$2:$C$1996,2,0),"")</f>
        <v/>
      </c>
      <c r="N3561" s="2" t="str">
        <f>IFERROR(VLOOKUP(ROWS($N$2:N3561),$D$2:$E$1996,2,0),"")</f>
        <v/>
      </c>
    </row>
    <row r="3562" spans="2:14">
      <c r="B3562" s="32">
        <f>IF(ISNUMBER(SEARCH('Φόρμα Εισαγωγής'!$B$2,C3562)),MAX($B$1:B3561)+1,0)</f>
        <v>0</v>
      </c>
      <c r="D3562" s="33">
        <f>IF(ISNUMBER(SEARCH('Φόρμα Εισαγωγής'!$C$2,E3562)),MAX($D$1:D3561)+1,0)</f>
        <v>0</v>
      </c>
      <c r="H3562" s="6">
        <f t="shared" si="176"/>
        <v>0</v>
      </c>
      <c r="I3562" s="6">
        <f t="shared" si="177"/>
        <v>0</v>
      </c>
      <c r="J3562" s="6">
        <f t="shared" si="178"/>
        <v>0</v>
      </c>
      <c r="L3562" s="4" t="str">
        <f>IFERROR(VLOOKUP(ROWS($L$2:L3562),$B$2:$C$1996,2,0),"")</f>
        <v/>
      </c>
      <c r="N3562" s="2" t="str">
        <f>IFERROR(VLOOKUP(ROWS($N$2:N3562),$D$2:$E$1996,2,0),"")</f>
        <v/>
      </c>
    </row>
    <row r="3563" spans="2:14">
      <c r="B3563" s="32">
        <f>IF(ISNUMBER(SEARCH('Φόρμα Εισαγωγής'!$B$2,C3563)),MAX($B$1:B3562)+1,0)</f>
        <v>0</v>
      </c>
      <c r="D3563" s="33">
        <f>IF(ISNUMBER(SEARCH('Φόρμα Εισαγωγής'!$C$2,E3563)),MAX($D$1:D3562)+1,0)</f>
        <v>0</v>
      </c>
      <c r="H3563" s="6">
        <f t="shared" si="176"/>
        <v>0</v>
      </c>
      <c r="I3563" s="6">
        <f t="shared" si="177"/>
        <v>0</v>
      </c>
      <c r="J3563" s="6">
        <f t="shared" si="178"/>
        <v>0</v>
      </c>
      <c r="L3563" s="4" t="str">
        <f>IFERROR(VLOOKUP(ROWS($L$2:L3563),$B$2:$C$1996,2,0),"")</f>
        <v/>
      </c>
      <c r="N3563" s="2" t="str">
        <f>IFERROR(VLOOKUP(ROWS($N$2:N3563),$D$2:$E$1996,2,0),"")</f>
        <v/>
      </c>
    </row>
    <row r="3564" spans="2:14">
      <c r="B3564" s="32">
        <f>IF(ISNUMBER(SEARCH('Φόρμα Εισαγωγής'!$B$2,C3564)),MAX($B$1:B3563)+1,0)</f>
        <v>0</v>
      </c>
      <c r="D3564" s="33">
        <f>IF(ISNUMBER(SEARCH('Φόρμα Εισαγωγής'!$C$2,E3564)),MAX($D$1:D3563)+1,0)</f>
        <v>0</v>
      </c>
      <c r="H3564" s="6">
        <f t="shared" si="176"/>
        <v>0</v>
      </c>
      <c r="I3564" s="6">
        <f t="shared" si="177"/>
        <v>0</v>
      </c>
      <c r="J3564" s="6">
        <f t="shared" si="178"/>
        <v>0</v>
      </c>
      <c r="L3564" s="4" t="str">
        <f>IFERROR(VLOOKUP(ROWS($L$2:L3564),$B$2:$C$1996,2,0),"")</f>
        <v/>
      </c>
      <c r="N3564" s="2" t="str">
        <f>IFERROR(VLOOKUP(ROWS($N$2:N3564),$D$2:$E$1996,2,0),"")</f>
        <v/>
      </c>
    </row>
    <row r="3565" spans="2:14">
      <c r="B3565" s="32">
        <f>IF(ISNUMBER(SEARCH('Φόρμα Εισαγωγής'!$B$2,C3565)),MAX($B$1:B3564)+1,0)</f>
        <v>0</v>
      </c>
      <c r="D3565" s="33">
        <f>IF(ISNUMBER(SEARCH('Φόρμα Εισαγωγής'!$C$2,E3565)),MAX($D$1:D3564)+1,0)</f>
        <v>0</v>
      </c>
      <c r="H3565" s="6">
        <f t="shared" si="176"/>
        <v>0</v>
      </c>
      <c r="I3565" s="6">
        <f t="shared" si="177"/>
        <v>0</v>
      </c>
      <c r="J3565" s="6">
        <f t="shared" si="178"/>
        <v>0</v>
      </c>
      <c r="L3565" s="4" t="str">
        <f>IFERROR(VLOOKUP(ROWS($L$2:L3565),$B$2:$C$1996,2,0),"")</f>
        <v/>
      </c>
      <c r="N3565" s="2" t="str">
        <f>IFERROR(VLOOKUP(ROWS($N$2:N3565),$D$2:$E$1996,2,0),"")</f>
        <v/>
      </c>
    </row>
    <row r="3566" spans="2:14">
      <c r="B3566" s="32">
        <f>IF(ISNUMBER(SEARCH('Φόρμα Εισαγωγής'!$B$2,C3566)),MAX($B$1:B3565)+1,0)</f>
        <v>0</v>
      </c>
      <c r="D3566" s="33">
        <f>IF(ISNUMBER(SEARCH('Φόρμα Εισαγωγής'!$C$2,E3566)),MAX($D$1:D3565)+1,0)</f>
        <v>0</v>
      </c>
      <c r="H3566" s="6">
        <f t="shared" si="176"/>
        <v>0</v>
      </c>
      <c r="I3566" s="6">
        <f t="shared" si="177"/>
        <v>0</v>
      </c>
      <c r="J3566" s="6">
        <f t="shared" si="178"/>
        <v>0</v>
      </c>
      <c r="L3566" s="4" t="str">
        <f>IFERROR(VLOOKUP(ROWS($L$2:L3566),$B$2:$C$1996,2,0),"")</f>
        <v/>
      </c>
      <c r="N3566" s="2" t="str">
        <f>IFERROR(VLOOKUP(ROWS($N$2:N3566),$D$2:$E$1996,2,0),"")</f>
        <v/>
      </c>
    </row>
    <row r="3567" spans="2:14">
      <c r="B3567" s="32">
        <f>IF(ISNUMBER(SEARCH('Φόρμα Εισαγωγής'!$B$2,C3567)),MAX($B$1:B3566)+1,0)</f>
        <v>0</v>
      </c>
      <c r="D3567" s="33">
        <f>IF(ISNUMBER(SEARCH('Φόρμα Εισαγωγής'!$C$2,E3567)),MAX($D$1:D3566)+1,0)</f>
        <v>0</v>
      </c>
      <c r="H3567" s="6">
        <f t="shared" si="176"/>
        <v>0</v>
      </c>
      <c r="I3567" s="6">
        <f t="shared" si="177"/>
        <v>0</v>
      </c>
      <c r="J3567" s="6">
        <f t="shared" si="178"/>
        <v>0</v>
      </c>
      <c r="L3567" s="4" t="str">
        <f>IFERROR(VLOOKUP(ROWS($L$2:L3567),$B$2:$C$1996,2,0),"")</f>
        <v/>
      </c>
      <c r="N3567" s="2" t="str">
        <f>IFERROR(VLOOKUP(ROWS($N$2:N3567),$D$2:$E$1996,2,0),"")</f>
        <v/>
      </c>
    </row>
    <row r="3568" spans="2:14">
      <c r="B3568" s="32">
        <f>IF(ISNUMBER(SEARCH('Φόρμα Εισαγωγής'!$B$2,C3568)),MAX($B$1:B3567)+1,0)</f>
        <v>0</v>
      </c>
      <c r="D3568" s="33">
        <f>IF(ISNUMBER(SEARCH('Φόρμα Εισαγωγής'!$C$2,E3568)),MAX($D$1:D3567)+1,0)</f>
        <v>0</v>
      </c>
      <c r="H3568" s="6">
        <f t="shared" si="176"/>
        <v>0</v>
      </c>
      <c r="I3568" s="6">
        <f t="shared" si="177"/>
        <v>0</v>
      </c>
      <c r="J3568" s="6">
        <f t="shared" si="178"/>
        <v>0</v>
      </c>
      <c r="L3568" s="4" t="str">
        <f>IFERROR(VLOOKUP(ROWS($L$2:L3568),$B$2:$C$1996,2,0),"")</f>
        <v/>
      </c>
      <c r="N3568" s="2" t="str">
        <f>IFERROR(VLOOKUP(ROWS($N$2:N3568),$D$2:$E$1996,2,0),"")</f>
        <v/>
      </c>
    </row>
    <row r="3569" spans="2:14">
      <c r="B3569" s="32">
        <f>IF(ISNUMBER(SEARCH('Φόρμα Εισαγωγής'!$B$2,C3569)),MAX($B$1:B3568)+1,0)</f>
        <v>0</v>
      </c>
      <c r="D3569" s="33">
        <f>IF(ISNUMBER(SEARCH('Φόρμα Εισαγωγής'!$C$2,E3569)),MAX($D$1:D3568)+1,0)</f>
        <v>0</v>
      </c>
      <c r="H3569" s="6">
        <f t="shared" si="176"/>
        <v>0</v>
      </c>
      <c r="I3569" s="6">
        <f t="shared" si="177"/>
        <v>0</v>
      </c>
      <c r="J3569" s="6">
        <f t="shared" si="178"/>
        <v>0</v>
      </c>
      <c r="L3569" s="4" t="str">
        <f>IFERROR(VLOOKUP(ROWS($L$2:L3569),$B$2:$C$1996,2,0),"")</f>
        <v/>
      </c>
      <c r="N3569" s="2" t="str">
        <f>IFERROR(VLOOKUP(ROWS($N$2:N3569),$D$2:$E$1996,2,0),"")</f>
        <v/>
      </c>
    </row>
    <row r="3570" spans="2:14">
      <c r="B3570" s="32">
        <f>IF(ISNUMBER(SEARCH('Φόρμα Εισαγωγής'!$B$2,C3570)),MAX($B$1:B3569)+1,0)</f>
        <v>0</v>
      </c>
      <c r="D3570" s="33">
        <f>IF(ISNUMBER(SEARCH('Φόρμα Εισαγωγής'!$C$2,E3570)),MAX($D$1:D3569)+1,0)</f>
        <v>0</v>
      </c>
      <c r="H3570" s="6">
        <f t="shared" si="176"/>
        <v>0</v>
      </c>
      <c r="I3570" s="6">
        <f t="shared" si="177"/>
        <v>0</v>
      </c>
      <c r="J3570" s="6">
        <f t="shared" si="178"/>
        <v>0</v>
      </c>
      <c r="L3570" s="4" t="str">
        <f>IFERROR(VLOOKUP(ROWS($L$2:L3570),$B$2:$C$1996,2,0),"")</f>
        <v/>
      </c>
      <c r="N3570" s="2" t="str">
        <f>IFERROR(VLOOKUP(ROWS($N$2:N3570),$D$2:$E$1996,2,0),"")</f>
        <v/>
      </c>
    </row>
    <row r="3571" spans="2:14">
      <c r="B3571" s="32">
        <f>IF(ISNUMBER(SEARCH('Φόρμα Εισαγωγής'!$B$2,C3571)),MAX($B$1:B3570)+1,0)</f>
        <v>0</v>
      </c>
      <c r="D3571" s="33">
        <f>IF(ISNUMBER(SEARCH('Φόρμα Εισαγωγής'!$C$2,E3571)),MAX($D$1:D3570)+1,0)</f>
        <v>0</v>
      </c>
      <c r="H3571" s="6">
        <f t="shared" si="176"/>
        <v>0</v>
      </c>
      <c r="I3571" s="6">
        <f t="shared" si="177"/>
        <v>0</v>
      </c>
      <c r="J3571" s="6">
        <f t="shared" si="178"/>
        <v>0</v>
      </c>
      <c r="L3571" s="4" t="str">
        <f>IFERROR(VLOOKUP(ROWS($L$2:L3571),$B$2:$C$1996,2,0),"")</f>
        <v/>
      </c>
      <c r="N3571" s="2" t="str">
        <f>IFERROR(VLOOKUP(ROWS($N$2:N3571),$D$2:$E$1996,2,0),"")</f>
        <v/>
      </c>
    </row>
    <row r="3572" spans="2:14">
      <c r="B3572" s="32">
        <f>IF(ISNUMBER(SEARCH('Φόρμα Εισαγωγής'!$B$2,C3572)),MAX($B$1:B3571)+1,0)</f>
        <v>0</v>
      </c>
      <c r="D3572" s="33">
        <f>IF(ISNUMBER(SEARCH('Φόρμα Εισαγωγής'!$C$2,E3572)),MAX($D$1:D3571)+1,0)</f>
        <v>0</v>
      </c>
      <c r="H3572" s="6">
        <f t="shared" si="176"/>
        <v>0</v>
      </c>
      <c r="I3572" s="6">
        <f t="shared" si="177"/>
        <v>0</v>
      </c>
      <c r="J3572" s="6">
        <f t="shared" si="178"/>
        <v>0</v>
      </c>
      <c r="L3572" s="4" t="str">
        <f>IFERROR(VLOOKUP(ROWS($L$2:L3572),$B$2:$C$1996,2,0),"")</f>
        <v/>
      </c>
      <c r="N3572" s="2" t="str">
        <f>IFERROR(VLOOKUP(ROWS($N$2:N3572),$D$2:$E$1996,2,0),"")</f>
        <v/>
      </c>
    </row>
    <row r="3573" spans="2:14">
      <c r="B3573" s="32">
        <f>IF(ISNUMBER(SEARCH('Φόρμα Εισαγωγής'!$B$2,C3573)),MAX($B$1:B3572)+1,0)</f>
        <v>0</v>
      </c>
      <c r="D3573" s="33">
        <f>IF(ISNUMBER(SEARCH('Φόρμα Εισαγωγής'!$C$2,E3573)),MAX($D$1:D3572)+1,0)</f>
        <v>0</v>
      </c>
      <c r="H3573" s="6">
        <f t="shared" si="176"/>
        <v>0</v>
      </c>
      <c r="I3573" s="6">
        <f t="shared" si="177"/>
        <v>0</v>
      </c>
      <c r="J3573" s="6">
        <f t="shared" si="178"/>
        <v>0</v>
      </c>
      <c r="L3573" s="4" t="str">
        <f>IFERROR(VLOOKUP(ROWS($L$2:L3573),$B$2:$C$1996,2,0),"")</f>
        <v/>
      </c>
      <c r="N3573" s="2" t="str">
        <f>IFERROR(VLOOKUP(ROWS($N$2:N3573),$D$2:$E$1996,2,0),"")</f>
        <v/>
      </c>
    </row>
    <row r="3574" spans="2:14">
      <c r="B3574" s="32">
        <f>IF(ISNUMBER(SEARCH('Φόρμα Εισαγωγής'!$B$2,C3574)),MAX($B$1:B3573)+1,0)</f>
        <v>0</v>
      </c>
      <c r="D3574" s="33">
        <f>IF(ISNUMBER(SEARCH('Φόρμα Εισαγωγής'!$C$2,E3574)),MAX($D$1:D3573)+1,0)</f>
        <v>0</v>
      </c>
      <c r="H3574" s="6">
        <f t="shared" si="176"/>
        <v>0</v>
      </c>
      <c r="I3574" s="6">
        <f t="shared" si="177"/>
        <v>0</v>
      </c>
      <c r="J3574" s="6">
        <f t="shared" si="178"/>
        <v>0</v>
      </c>
      <c r="L3574" s="4" t="str">
        <f>IFERROR(VLOOKUP(ROWS($L$2:L3574),$B$2:$C$1996,2,0),"")</f>
        <v/>
      </c>
      <c r="N3574" s="2" t="str">
        <f>IFERROR(VLOOKUP(ROWS($N$2:N3574),$D$2:$E$1996,2,0),"")</f>
        <v/>
      </c>
    </row>
    <row r="3575" spans="2:14">
      <c r="B3575" s="32">
        <f>IF(ISNUMBER(SEARCH('Φόρμα Εισαγωγής'!$B$2,C3575)),MAX($B$1:B3574)+1,0)</f>
        <v>0</v>
      </c>
      <c r="D3575" s="33">
        <f>IF(ISNUMBER(SEARCH('Φόρμα Εισαγωγής'!$C$2,E3575)),MAX($D$1:D3574)+1,0)</f>
        <v>0</v>
      </c>
      <c r="H3575" s="6">
        <f t="shared" si="176"/>
        <v>0</v>
      </c>
      <c r="I3575" s="6">
        <f t="shared" si="177"/>
        <v>0</v>
      </c>
      <c r="J3575" s="6">
        <f t="shared" si="178"/>
        <v>0</v>
      </c>
      <c r="L3575" s="4" t="str">
        <f>IFERROR(VLOOKUP(ROWS($L$2:L3575),$B$2:$C$1996,2,0),"")</f>
        <v/>
      </c>
      <c r="N3575" s="2" t="str">
        <f>IFERROR(VLOOKUP(ROWS($N$2:N3575),$D$2:$E$1996,2,0),"")</f>
        <v/>
      </c>
    </row>
    <row r="3576" spans="2:14">
      <c r="B3576" s="32">
        <f>IF(ISNUMBER(SEARCH('Φόρμα Εισαγωγής'!$B$2,C3576)),MAX($B$1:B3575)+1,0)</f>
        <v>0</v>
      </c>
      <c r="D3576" s="33">
        <f>IF(ISNUMBER(SEARCH('Φόρμα Εισαγωγής'!$C$2,E3576)),MAX($D$1:D3575)+1,0)</f>
        <v>0</v>
      </c>
      <c r="H3576" s="6">
        <f t="shared" si="176"/>
        <v>0</v>
      </c>
      <c r="I3576" s="6">
        <f t="shared" si="177"/>
        <v>0</v>
      </c>
      <c r="J3576" s="6">
        <f t="shared" si="178"/>
        <v>0</v>
      </c>
      <c r="L3576" s="4" t="str">
        <f>IFERROR(VLOOKUP(ROWS($L$2:L3576),$B$2:$C$1996,2,0),"")</f>
        <v/>
      </c>
      <c r="N3576" s="2" t="str">
        <f>IFERROR(VLOOKUP(ROWS($N$2:N3576),$D$2:$E$1996,2,0),"")</f>
        <v/>
      </c>
    </row>
    <row r="3577" spans="2:14">
      <c r="B3577" s="32">
        <f>IF(ISNUMBER(SEARCH('Φόρμα Εισαγωγής'!$B$2,C3577)),MAX($B$1:B3576)+1,0)</f>
        <v>0</v>
      </c>
      <c r="D3577" s="33">
        <f>IF(ISNUMBER(SEARCH('Φόρμα Εισαγωγής'!$C$2,E3577)),MAX($D$1:D3576)+1,0)</f>
        <v>0</v>
      </c>
      <c r="H3577" s="6">
        <f t="shared" si="176"/>
        <v>0</v>
      </c>
      <c r="I3577" s="6">
        <f t="shared" si="177"/>
        <v>0</v>
      </c>
      <c r="J3577" s="6">
        <f t="shared" si="178"/>
        <v>0</v>
      </c>
      <c r="L3577" s="4" t="str">
        <f>IFERROR(VLOOKUP(ROWS($L$2:L3577),$B$2:$C$1996,2,0),"")</f>
        <v/>
      </c>
      <c r="N3577" s="2" t="str">
        <f>IFERROR(VLOOKUP(ROWS($N$2:N3577),$D$2:$E$1996,2,0),"")</f>
        <v/>
      </c>
    </row>
    <row r="3578" spans="2:14">
      <c r="B3578" s="32">
        <f>IF(ISNUMBER(SEARCH('Φόρμα Εισαγωγής'!$B$2,C3578)),MAX($B$1:B3577)+1,0)</f>
        <v>0</v>
      </c>
      <c r="D3578" s="33">
        <f>IF(ISNUMBER(SEARCH('Φόρμα Εισαγωγής'!$C$2,E3578)),MAX($D$1:D3577)+1,0)</f>
        <v>0</v>
      </c>
      <c r="H3578" s="6">
        <f t="shared" si="176"/>
        <v>0</v>
      </c>
      <c r="I3578" s="6">
        <f t="shared" si="177"/>
        <v>0</v>
      </c>
      <c r="J3578" s="6">
        <f t="shared" si="178"/>
        <v>0</v>
      </c>
      <c r="L3578" s="4" t="str">
        <f>IFERROR(VLOOKUP(ROWS($L$2:L3578),$B$2:$C$1996,2,0),"")</f>
        <v/>
      </c>
      <c r="N3578" s="2" t="str">
        <f>IFERROR(VLOOKUP(ROWS($N$2:N3578),$D$2:$E$1996,2,0),"")</f>
        <v/>
      </c>
    </row>
    <row r="3579" spans="2:14">
      <c r="B3579" s="32">
        <f>IF(ISNUMBER(SEARCH('Φόρμα Εισαγωγής'!$B$2,C3579)),MAX($B$1:B3578)+1,0)</f>
        <v>0</v>
      </c>
      <c r="D3579" s="33">
        <f>IF(ISNUMBER(SEARCH('Φόρμα Εισαγωγής'!$C$2,E3579)),MAX($D$1:D3578)+1,0)</f>
        <v>0</v>
      </c>
      <c r="H3579" s="6">
        <f t="shared" si="176"/>
        <v>0</v>
      </c>
      <c r="I3579" s="6">
        <f t="shared" si="177"/>
        <v>0</v>
      </c>
      <c r="J3579" s="6">
        <f t="shared" si="178"/>
        <v>0</v>
      </c>
      <c r="L3579" s="4" t="str">
        <f>IFERROR(VLOOKUP(ROWS($L$2:L3579),$B$2:$C$1996,2,0),"")</f>
        <v/>
      </c>
      <c r="N3579" s="2" t="str">
        <f>IFERROR(VLOOKUP(ROWS($N$2:N3579),$D$2:$E$1996,2,0),"")</f>
        <v/>
      </c>
    </row>
    <row r="3580" spans="2:14">
      <c r="B3580" s="32">
        <f>IF(ISNUMBER(SEARCH('Φόρμα Εισαγωγής'!$B$2,C3580)),MAX($B$1:B3579)+1,0)</f>
        <v>0</v>
      </c>
      <c r="D3580" s="33">
        <f>IF(ISNUMBER(SEARCH('Φόρμα Εισαγωγής'!$C$2,E3580)),MAX($D$1:D3579)+1,0)</f>
        <v>0</v>
      </c>
      <c r="H3580" s="6">
        <f t="shared" si="176"/>
        <v>0</v>
      </c>
      <c r="I3580" s="6">
        <f t="shared" si="177"/>
        <v>0</v>
      </c>
      <c r="J3580" s="6">
        <f t="shared" si="178"/>
        <v>0</v>
      </c>
      <c r="L3580" s="4" t="str">
        <f>IFERROR(VLOOKUP(ROWS($L$2:L3580),$B$2:$C$1996,2,0),"")</f>
        <v/>
      </c>
      <c r="N3580" s="2" t="str">
        <f>IFERROR(VLOOKUP(ROWS($N$2:N3580),$D$2:$E$1996,2,0),"")</f>
        <v/>
      </c>
    </row>
    <row r="3581" spans="2:14">
      <c r="B3581" s="32">
        <f>IF(ISNUMBER(SEARCH('Φόρμα Εισαγωγής'!$B$2,C3581)),MAX($B$1:B3580)+1,0)</f>
        <v>0</v>
      </c>
      <c r="D3581" s="33">
        <f>IF(ISNUMBER(SEARCH('Φόρμα Εισαγωγής'!$C$2,E3581)),MAX($D$1:D3580)+1,0)</f>
        <v>0</v>
      </c>
      <c r="H3581" s="6">
        <f t="shared" si="176"/>
        <v>0</v>
      </c>
      <c r="I3581" s="6">
        <f t="shared" si="177"/>
        <v>0</v>
      </c>
      <c r="J3581" s="6">
        <f t="shared" si="178"/>
        <v>0</v>
      </c>
      <c r="L3581" s="4" t="str">
        <f>IFERROR(VLOOKUP(ROWS($L$2:L3581),$B$2:$C$1996,2,0),"")</f>
        <v/>
      </c>
      <c r="N3581" s="2" t="str">
        <f>IFERROR(VLOOKUP(ROWS($N$2:N3581),$D$2:$E$1996,2,0),"")</f>
        <v/>
      </c>
    </row>
    <row r="3582" spans="2:14">
      <c r="B3582" s="32">
        <f>IF(ISNUMBER(SEARCH('Φόρμα Εισαγωγής'!$B$2,C3582)),MAX($B$1:B3581)+1,0)</f>
        <v>0</v>
      </c>
      <c r="D3582" s="33">
        <f>IF(ISNUMBER(SEARCH('Φόρμα Εισαγωγής'!$C$2,E3582)),MAX($D$1:D3581)+1,0)</f>
        <v>0</v>
      </c>
      <c r="H3582" s="6">
        <f t="shared" si="176"/>
        <v>0</v>
      </c>
      <c r="I3582" s="6">
        <f t="shared" si="177"/>
        <v>0</v>
      </c>
      <c r="J3582" s="6">
        <f t="shared" si="178"/>
        <v>0</v>
      </c>
      <c r="L3582" s="4" t="str">
        <f>IFERROR(VLOOKUP(ROWS($L$2:L3582),$B$2:$C$1996,2,0),"")</f>
        <v/>
      </c>
      <c r="N3582" s="2" t="str">
        <f>IFERROR(VLOOKUP(ROWS($N$2:N3582),$D$2:$E$1996,2,0),"")</f>
        <v/>
      </c>
    </row>
    <row r="3583" spans="2:14">
      <c r="B3583" s="32">
        <f>IF(ISNUMBER(SEARCH('Φόρμα Εισαγωγής'!$B$2,C3583)),MAX($B$1:B3582)+1,0)</f>
        <v>0</v>
      </c>
      <c r="D3583" s="33">
        <f>IF(ISNUMBER(SEARCH('Φόρμα Εισαγωγής'!$C$2,E3583)),MAX($D$1:D3582)+1,0)</f>
        <v>0</v>
      </c>
      <c r="H3583" s="6">
        <f t="shared" si="176"/>
        <v>0</v>
      </c>
      <c r="I3583" s="6">
        <f t="shared" si="177"/>
        <v>0</v>
      </c>
      <c r="J3583" s="6">
        <f t="shared" si="178"/>
        <v>0</v>
      </c>
      <c r="L3583" s="4" t="str">
        <f>IFERROR(VLOOKUP(ROWS($L$2:L3583),$B$2:$C$1996,2,0),"")</f>
        <v/>
      </c>
      <c r="N3583" s="2" t="str">
        <f>IFERROR(VLOOKUP(ROWS($N$2:N3583),$D$2:$E$1996,2,0),"")</f>
        <v/>
      </c>
    </row>
    <row r="3584" spans="2:14">
      <c r="B3584" s="32">
        <f>IF(ISNUMBER(SEARCH('Φόρμα Εισαγωγής'!$B$2,C3584)),MAX($B$1:B3583)+1,0)</f>
        <v>0</v>
      </c>
      <c r="D3584" s="33">
        <f>IF(ISNUMBER(SEARCH('Φόρμα Εισαγωγής'!$C$2,E3584)),MAX($D$1:D3583)+1,0)</f>
        <v>0</v>
      </c>
      <c r="H3584" s="6">
        <f t="shared" ref="H3584:H3647" si="179">G3584+(G3584*0.24)</f>
        <v>0</v>
      </c>
      <c r="I3584" s="6">
        <f t="shared" ref="I3584:I3647" si="180">F3584*A3584</f>
        <v>0</v>
      </c>
      <c r="J3584" s="6">
        <f t="shared" ref="J3584:J3647" si="181">H3584*A3584</f>
        <v>0</v>
      </c>
      <c r="L3584" s="4" t="str">
        <f>IFERROR(VLOOKUP(ROWS($L$2:L3584),$B$2:$C$1996,2,0),"")</f>
        <v/>
      </c>
      <c r="N3584" s="2" t="str">
        <f>IFERROR(VLOOKUP(ROWS($N$2:N3584),$D$2:$E$1996,2,0),"")</f>
        <v/>
      </c>
    </row>
    <row r="3585" spans="2:14">
      <c r="B3585" s="32">
        <f>IF(ISNUMBER(SEARCH('Φόρμα Εισαγωγής'!$B$2,C3585)),MAX($B$1:B3584)+1,0)</f>
        <v>0</v>
      </c>
      <c r="D3585" s="33">
        <f>IF(ISNUMBER(SEARCH('Φόρμα Εισαγωγής'!$C$2,E3585)),MAX($D$1:D3584)+1,0)</f>
        <v>0</v>
      </c>
      <c r="H3585" s="6">
        <f t="shared" si="179"/>
        <v>0</v>
      </c>
      <c r="I3585" s="6">
        <f t="shared" si="180"/>
        <v>0</v>
      </c>
      <c r="J3585" s="6">
        <f t="shared" si="181"/>
        <v>0</v>
      </c>
      <c r="L3585" s="4" t="str">
        <f>IFERROR(VLOOKUP(ROWS($L$2:L3585),$B$2:$C$1996,2,0),"")</f>
        <v/>
      </c>
      <c r="N3585" s="2" t="str">
        <f>IFERROR(VLOOKUP(ROWS($N$2:N3585),$D$2:$E$1996,2,0),"")</f>
        <v/>
      </c>
    </row>
    <row r="3586" spans="2:14">
      <c r="B3586" s="32">
        <f>IF(ISNUMBER(SEARCH('Φόρμα Εισαγωγής'!$B$2,C3586)),MAX($B$1:B3585)+1,0)</f>
        <v>0</v>
      </c>
      <c r="D3586" s="33">
        <f>IF(ISNUMBER(SEARCH('Φόρμα Εισαγωγής'!$C$2,E3586)),MAX($D$1:D3585)+1,0)</f>
        <v>0</v>
      </c>
      <c r="H3586" s="6">
        <f t="shared" si="179"/>
        <v>0</v>
      </c>
      <c r="I3586" s="6">
        <f t="shared" si="180"/>
        <v>0</v>
      </c>
      <c r="J3586" s="6">
        <f t="shared" si="181"/>
        <v>0</v>
      </c>
      <c r="L3586" s="4" t="str">
        <f>IFERROR(VLOOKUP(ROWS($L$2:L3586),$B$2:$C$1996,2,0),"")</f>
        <v/>
      </c>
      <c r="N3586" s="2" t="str">
        <f>IFERROR(VLOOKUP(ROWS($N$2:N3586),$D$2:$E$1996,2,0),"")</f>
        <v/>
      </c>
    </row>
    <row r="3587" spans="2:14">
      <c r="B3587" s="32">
        <f>IF(ISNUMBER(SEARCH('Φόρμα Εισαγωγής'!$B$2,C3587)),MAX($B$1:B3586)+1,0)</f>
        <v>0</v>
      </c>
      <c r="D3587" s="33">
        <f>IF(ISNUMBER(SEARCH('Φόρμα Εισαγωγής'!$C$2,E3587)),MAX($D$1:D3586)+1,0)</f>
        <v>0</v>
      </c>
      <c r="H3587" s="6">
        <f t="shared" si="179"/>
        <v>0</v>
      </c>
      <c r="I3587" s="6">
        <f t="shared" si="180"/>
        <v>0</v>
      </c>
      <c r="J3587" s="6">
        <f t="shared" si="181"/>
        <v>0</v>
      </c>
      <c r="L3587" s="4" t="str">
        <f>IFERROR(VLOOKUP(ROWS($L$2:L3587),$B$2:$C$1996,2,0),"")</f>
        <v/>
      </c>
      <c r="N3587" s="2" t="str">
        <f>IFERROR(VLOOKUP(ROWS($N$2:N3587),$D$2:$E$1996,2,0),"")</f>
        <v/>
      </c>
    </row>
    <row r="3588" spans="2:14">
      <c r="B3588" s="32">
        <f>IF(ISNUMBER(SEARCH('Φόρμα Εισαγωγής'!$B$2,C3588)),MAX($B$1:B3587)+1,0)</f>
        <v>0</v>
      </c>
      <c r="D3588" s="33">
        <f>IF(ISNUMBER(SEARCH('Φόρμα Εισαγωγής'!$C$2,E3588)),MAX($D$1:D3587)+1,0)</f>
        <v>0</v>
      </c>
      <c r="H3588" s="6">
        <f t="shared" si="179"/>
        <v>0</v>
      </c>
      <c r="I3588" s="6">
        <f t="shared" si="180"/>
        <v>0</v>
      </c>
      <c r="J3588" s="6">
        <f t="shared" si="181"/>
        <v>0</v>
      </c>
      <c r="L3588" s="4" t="str">
        <f>IFERROR(VLOOKUP(ROWS($L$2:L3588),$B$2:$C$1996,2,0),"")</f>
        <v/>
      </c>
      <c r="N3588" s="2" t="str">
        <f>IFERROR(VLOOKUP(ROWS($N$2:N3588),$D$2:$E$1996,2,0),"")</f>
        <v/>
      </c>
    </row>
    <row r="3589" spans="2:14">
      <c r="B3589" s="32">
        <f>IF(ISNUMBER(SEARCH('Φόρμα Εισαγωγής'!$B$2,C3589)),MAX($B$1:B3588)+1,0)</f>
        <v>0</v>
      </c>
      <c r="D3589" s="33">
        <f>IF(ISNUMBER(SEARCH('Φόρμα Εισαγωγής'!$C$2,E3589)),MAX($D$1:D3588)+1,0)</f>
        <v>0</v>
      </c>
      <c r="H3589" s="6">
        <f t="shared" si="179"/>
        <v>0</v>
      </c>
      <c r="I3589" s="6">
        <f t="shared" si="180"/>
        <v>0</v>
      </c>
      <c r="J3589" s="6">
        <f t="shared" si="181"/>
        <v>0</v>
      </c>
      <c r="L3589" s="4" t="str">
        <f>IFERROR(VLOOKUP(ROWS($L$2:L3589),$B$2:$C$1996,2,0),"")</f>
        <v/>
      </c>
      <c r="N3589" s="2" t="str">
        <f>IFERROR(VLOOKUP(ROWS($N$2:N3589),$D$2:$E$1996,2,0),"")</f>
        <v/>
      </c>
    </row>
    <row r="3590" spans="2:14">
      <c r="B3590" s="32">
        <f>IF(ISNUMBER(SEARCH('Φόρμα Εισαγωγής'!$B$2,C3590)),MAX($B$1:B3589)+1,0)</f>
        <v>0</v>
      </c>
      <c r="D3590" s="33">
        <f>IF(ISNUMBER(SEARCH('Φόρμα Εισαγωγής'!$C$2,E3590)),MAX($D$1:D3589)+1,0)</f>
        <v>0</v>
      </c>
      <c r="H3590" s="6">
        <f t="shared" si="179"/>
        <v>0</v>
      </c>
      <c r="I3590" s="6">
        <f t="shared" si="180"/>
        <v>0</v>
      </c>
      <c r="J3590" s="6">
        <f t="shared" si="181"/>
        <v>0</v>
      </c>
      <c r="L3590" s="4" t="str">
        <f>IFERROR(VLOOKUP(ROWS($L$2:L3590),$B$2:$C$1996,2,0),"")</f>
        <v/>
      </c>
      <c r="N3590" s="2" t="str">
        <f>IFERROR(VLOOKUP(ROWS($N$2:N3590),$D$2:$E$1996,2,0),"")</f>
        <v/>
      </c>
    </row>
    <row r="3591" spans="2:14">
      <c r="B3591" s="32">
        <f>IF(ISNUMBER(SEARCH('Φόρμα Εισαγωγής'!$B$2,C3591)),MAX($B$1:B3590)+1,0)</f>
        <v>0</v>
      </c>
      <c r="D3591" s="33">
        <f>IF(ISNUMBER(SEARCH('Φόρμα Εισαγωγής'!$C$2,E3591)),MAX($D$1:D3590)+1,0)</f>
        <v>0</v>
      </c>
      <c r="H3591" s="6">
        <f t="shared" si="179"/>
        <v>0</v>
      </c>
      <c r="I3591" s="6">
        <f t="shared" si="180"/>
        <v>0</v>
      </c>
      <c r="J3591" s="6">
        <f t="shared" si="181"/>
        <v>0</v>
      </c>
      <c r="L3591" s="4" t="str">
        <f>IFERROR(VLOOKUP(ROWS($L$2:L3591),$B$2:$C$1996,2,0),"")</f>
        <v/>
      </c>
      <c r="N3591" s="2" t="str">
        <f>IFERROR(VLOOKUP(ROWS($N$2:N3591),$D$2:$E$1996,2,0),"")</f>
        <v/>
      </c>
    </row>
    <row r="3592" spans="2:14">
      <c r="B3592" s="32">
        <f>IF(ISNUMBER(SEARCH('Φόρμα Εισαγωγής'!$B$2,C3592)),MAX($B$1:B3591)+1,0)</f>
        <v>0</v>
      </c>
      <c r="D3592" s="33">
        <f>IF(ISNUMBER(SEARCH('Φόρμα Εισαγωγής'!$C$2,E3592)),MAX($D$1:D3591)+1,0)</f>
        <v>0</v>
      </c>
      <c r="H3592" s="6">
        <f t="shared" si="179"/>
        <v>0</v>
      </c>
      <c r="I3592" s="6">
        <f t="shared" si="180"/>
        <v>0</v>
      </c>
      <c r="J3592" s="6">
        <f t="shared" si="181"/>
        <v>0</v>
      </c>
      <c r="L3592" s="4" t="str">
        <f>IFERROR(VLOOKUP(ROWS($L$2:L3592),$B$2:$C$1996,2,0),"")</f>
        <v/>
      </c>
      <c r="N3592" s="2" t="str">
        <f>IFERROR(VLOOKUP(ROWS($N$2:N3592),$D$2:$E$1996,2,0),"")</f>
        <v/>
      </c>
    </row>
    <row r="3593" spans="2:14">
      <c r="B3593" s="32">
        <f>IF(ISNUMBER(SEARCH('Φόρμα Εισαγωγής'!$B$2,C3593)),MAX($B$1:B3592)+1,0)</f>
        <v>0</v>
      </c>
      <c r="D3593" s="33">
        <f>IF(ISNUMBER(SEARCH('Φόρμα Εισαγωγής'!$C$2,E3593)),MAX($D$1:D3592)+1,0)</f>
        <v>0</v>
      </c>
      <c r="H3593" s="6">
        <f t="shared" si="179"/>
        <v>0</v>
      </c>
      <c r="I3593" s="6">
        <f t="shared" si="180"/>
        <v>0</v>
      </c>
      <c r="J3593" s="6">
        <f t="shared" si="181"/>
        <v>0</v>
      </c>
      <c r="L3593" s="4" t="str">
        <f>IFERROR(VLOOKUP(ROWS($L$2:L3593),$B$2:$C$1996,2,0),"")</f>
        <v/>
      </c>
      <c r="N3593" s="2" t="str">
        <f>IFERROR(VLOOKUP(ROWS($N$2:N3593),$D$2:$E$1996,2,0),"")</f>
        <v/>
      </c>
    </row>
    <row r="3594" spans="2:14">
      <c r="B3594" s="32">
        <f>IF(ISNUMBER(SEARCH('Φόρμα Εισαγωγής'!$B$2,C3594)),MAX($B$1:B3593)+1,0)</f>
        <v>0</v>
      </c>
      <c r="D3594" s="33">
        <f>IF(ISNUMBER(SEARCH('Φόρμα Εισαγωγής'!$C$2,E3594)),MAX($D$1:D3593)+1,0)</f>
        <v>0</v>
      </c>
      <c r="H3594" s="6">
        <f t="shared" si="179"/>
        <v>0</v>
      </c>
      <c r="I3594" s="6">
        <f t="shared" si="180"/>
        <v>0</v>
      </c>
      <c r="J3594" s="6">
        <f t="shared" si="181"/>
        <v>0</v>
      </c>
      <c r="L3594" s="4" t="str">
        <f>IFERROR(VLOOKUP(ROWS($L$2:L3594),$B$2:$C$1996,2,0),"")</f>
        <v/>
      </c>
      <c r="N3594" s="2" t="str">
        <f>IFERROR(VLOOKUP(ROWS($N$2:N3594),$D$2:$E$1996,2,0),"")</f>
        <v/>
      </c>
    </row>
    <row r="3595" spans="2:14">
      <c r="B3595" s="32">
        <f>IF(ISNUMBER(SEARCH('Φόρμα Εισαγωγής'!$B$2,C3595)),MAX($B$1:B3594)+1,0)</f>
        <v>0</v>
      </c>
      <c r="D3595" s="33">
        <f>IF(ISNUMBER(SEARCH('Φόρμα Εισαγωγής'!$C$2,E3595)),MAX($D$1:D3594)+1,0)</f>
        <v>0</v>
      </c>
      <c r="H3595" s="6">
        <f t="shared" si="179"/>
        <v>0</v>
      </c>
      <c r="I3595" s="6">
        <f t="shared" si="180"/>
        <v>0</v>
      </c>
      <c r="J3595" s="6">
        <f t="shared" si="181"/>
        <v>0</v>
      </c>
      <c r="L3595" s="4" t="str">
        <f>IFERROR(VLOOKUP(ROWS($L$2:L3595),$B$2:$C$1996,2,0),"")</f>
        <v/>
      </c>
      <c r="N3595" s="2" t="str">
        <f>IFERROR(VLOOKUP(ROWS($N$2:N3595),$D$2:$E$1996,2,0),"")</f>
        <v/>
      </c>
    </row>
    <row r="3596" spans="2:14">
      <c r="B3596" s="32">
        <f>IF(ISNUMBER(SEARCH('Φόρμα Εισαγωγής'!$B$2,C3596)),MAX($B$1:B3595)+1,0)</f>
        <v>0</v>
      </c>
      <c r="D3596" s="33">
        <f>IF(ISNUMBER(SEARCH('Φόρμα Εισαγωγής'!$C$2,E3596)),MAX($D$1:D3595)+1,0)</f>
        <v>0</v>
      </c>
      <c r="H3596" s="6">
        <f t="shared" si="179"/>
        <v>0</v>
      </c>
      <c r="I3596" s="6">
        <f t="shared" si="180"/>
        <v>0</v>
      </c>
      <c r="J3596" s="6">
        <f t="shared" si="181"/>
        <v>0</v>
      </c>
      <c r="L3596" s="4" t="str">
        <f>IFERROR(VLOOKUP(ROWS($L$2:L3596),$B$2:$C$1996,2,0),"")</f>
        <v/>
      </c>
      <c r="N3596" s="2" t="str">
        <f>IFERROR(VLOOKUP(ROWS($N$2:N3596),$D$2:$E$1996,2,0),"")</f>
        <v/>
      </c>
    </row>
    <row r="3597" spans="2:14">
      <c r="B3597" s="32">
        <f>IF(ISNUMBER(SEARCH('Φόρμα Εισαγωγής'!$B$2,C3597)),MAX($B$1:B3596)+1,0)</f>
        <v>0</v>
      </c>
      <c r="D3597" s="33">
        <f>IF(ISNUMBER(SEARCH('Φόρμα Εισαγωγής'!$C$2,E3597)),MAX($D$1:D3596)+1,0)</f>
        <v>0</v>
      </c>
      <c r="H3597" s="6">
        <f t="shared" si="179"/>
        <v>0</v>
      </c>
      <c r="I3597" s="6">
        <f t="shared" si="180"/>
        <v>0</v>
      </c>
      <c r="J3597" s="6">
        <f t="shared" si="181"/>
        <v>0</v>
      </c>
      <c r="L3597" s="4" t="str">
        <f>IFERROR(VLOOKUP(ROWS($L$2:L3597),$B$2:$C$1996,2,0),"")</f>
        <v/>
      </c>
      <c r="N3597" s="2" t="str">
        <f>IFERROR(VLOOKUP(ROWS($N$2:N3597),$D$2:$E$1996,2,0),"")</f>
        <v/>
      </c>
    </row>
    <row r="3598" spans="2:14">
      <c r="B3598" s="32">
        <f>IF(ISNUMBER(SEARCH('Φόρμα Εισαγωγής'!$B$2,C3598)),MAX($B$1:B3597)+1,0)</f>
        <v>0</v>
      </c>
      <c r="D3598" s="33">
        <f>IF(ISNUMBER(SEARCH('Φόρμα Εισαγωγής'!$C$2,E3598)),MAX($D$1:D3597)+1,0)</f>
        <v>0</v>
      </c>
      <c r="H3598" s="6">
        <f t="shared" si="179"/>
        <v>0</v>
      </c>
      <c r="I3598" s="6">
        <f t="shared" si="180"/>
        <v>0</v>
      </c>
      <c r="J3598" s="6">
        <f t="shared" si="181"/>
        <v>0</v>
      </c>
      <c r="L3598" s="4" t="str">
        <f>IFERROR(VLOOKUP(ROWS($L$2:L3598),$B$2:$C$1996,2,0),"")</f>
        <v/>
      </c>
      <c r="N3598" s="2" t="str">
        <f>IFERROR(VLOOKUP(ROWS($N$2:N3598),$D$2:$E$1996,2,0),"")</f>
        <v/>
      </c>
    </row>
    <row r="3599" spans="2:14">
      <c r="B3599" s="32">
        <f>IF(ISNUMBER(SEARCH('Φόρμα Εισαγωγής'!$B$2,C3599)),MAX($B$1:B3598)+1,0)</f>
        <v>0</v>
      </c>
      <c r="D3599" s="33">
        <f>IF(ISNUMBER(SEARCH('Φόρμα Εισαγωγής'!$C$2,E3599)),MAX($D$1:D3598)+1,0)</f>
        <v>0</v>
      </c>
      <c r="H3599" s="6">
        <f t="shared" si="179"/>
        <v>0</v>
      </c>
      <c r="I3599" s="6">
        <f t="shared" si="180"/>
        <v>0</v>
      </c>
      <c r="J3599" s="6">
        <f t="shared" si="181"/>
        <v>0</v>
      </c>
      <c r="L3599" s="4" t="str">
        <f>IFERROR(VLOOKUP(ROWS($L$2:L3599),$B$2:$C$1996,2,0),"")</f>
        <v/>
      </c>
      <c r="N3599" s="2" t="str">
        <f>IFERROR(VLOOKUP(ROWS($N$2:N3599),$D$2:$E$1996,2,0),"")</f>
        <v/>
      </c>
    </row>
    <row r="3600" spans="2:14">
      <c r="B3600" s="32">
        <f>IF(ISNUMBER(SEARCH('Φόρμα Εισαγωγής'!$B$2,C3600)),MAX($B$1:B3599)+1,0)</f>
        <v>0</v>
      </c>
      <c r="D3600" s="33">
        <f>IF(ISNUMBER(SEARCH('Φόρμα Εισαγωγής'!$C$2,E3600)),MAX($D$1:D3599)+1,0)</f>
        <v>0</v>
      </c>
      <c r="H3600" s="6">
        <f t="shared" si="179"/>
        <v>0</v>
      </c>
      <c r="I3600" s="6">
        <f t="shared" si="180"/>
        <v>0</v>
      </c>
      <c r="J3600" s="6">
        <f t="shared" si="181"/>
        <v>0</v>
      </c>
      <c r="L3600" s="4" t="str">
        <f>IFERROR(VLOOKUP(ROWS($L$2:L3600),$B$2:$C$1996,2,0),"")</f>
        <v/>
      </c>
      <c r="N3600" s="2" t="str">
        <f>IFERROR(VLOOKUP(ROWS($N$2:N3600),$D$2:$E$1996,2,0),"")</f>
        <v/>
      </c>
    </row>
    <row r="3601" spans="2:14">
      <c r="B3601" s="32">
        <f>IF(ISNUMBER(SEARCH('Φόρμα Εισαγωγής'!$B$2,C3601)),MAX($B$1:B3600)+1,0)</f>
        <v>0</v>
      </c>
      <c r="D3601" s="33">
        <f>IF(ISNUMBER(SEARCH('Φόρμα Εισαγωγής'!$C$2,E3601)),MAX($D$1:D3600)+1,0)</f>
        <v>0</v>
      </c>
      <c r="H3601" s="6">
        <f t="shared" si="179"/>
        <v>0</v>
      </c>
      <c r="I3601" s="6">
        <f t="shared" si="180"/>
        <v>0</v>
      </c>
      <c r="J3601" s="6">
        <f t="shared" si="181"/>
        <v>0</v>
      </c>
      <c r="L3601" s="4" t="str">
        <f>IFERROR(VLOOKUP(ROWS($L$2:L3601),$B$2:$C$1996,2,0),"")</f>
        <v/>
      </c>
      <c r="N3601" s="2" t="str">
        <f>IFERROR(VLOOKUP(ROWS($N$2:N3601),$D$2:$E$1996,2,0),"")</f>
        <v/>
      </c>
    </row>
    <row r="3602" spans="2:14">
      <c r="B3602" s="32">
        <f>IF(ISNUMBER(SEARCH('Φόρμα Εισαγωγής'!$B$2,C3602)),MAX($B$1:B3601)+1,0)</f>
        <v>0</v>
      </c>
      <c r="D3602" s="33">
        <f>IF(ISNUMBER(SEARCH('Φόρμα Εισαγωγής'!$C$2,E3602)),MAX($D$1:D3601)+1,0)</f>
        <v>0</v>
      </c>
      <c r="H3602" s="6">
        <f t="shared" si="179"/>
        <v>0</v>
      </c>
      <c r="I3602" s="6">
        <f t="shared" si="180"/>
        <v>0</v>
      </c>
      <c r="J3602" s="6">
        <f t="shared" si="181"/>
        <v>0</v>
      </c>
      <c r="L3602" s="4" t="str">
        <f>IFERROR(VLOOKUP(ROWS($L$2:L3602),$B$2:$C$1996,2,0),"")</f>
        <v/>
      </c>
      <c r="N3602" s="2" t="str">
        <f>IFERROR(VLOOKUP(ROWS($N$2:N3602),$D$2:$E$1996,2,0),"")</f>
        <v/>
      </c>
    </row>
    <row r="3603" spans="2:14">
      <c r="B3603" s="32">
        <f>IF(ISNUMBER(SEARCH('Φόρμα Εισαγωγής'!$B$2,C3603)),MAX($B$1:B3602)+1,0)</f>
        <v>0</v>
      </c>
      <c r="D3603" s="33">
        <f>IF(ISNUMBER(SEARCH('Φόρμα Εισαγωγής'!$C$2,E3603)),MAX($D$1:D3602)+1,0)</f>
        <v>0</v>
      </c>
      <c r="H3603" s="6">
        <f t="shared" si="179"/>
        <v>0</v>
      </c>
      <c r="I3603" s="6">
        <f t="shared" si="180"/>
        <v>0</v>
      </c>
      <c r="J3603" s="6">
        <f t="shared" si="181"/>
        <v>0</v>
      </c>
      <c r="L3603" s="4" t="str">
        <f>IFERROR(VLOOKUP(ROWS($L$2:L3603),$B$2:$C$1996,2,0),"")</f>
        <v/>
      </c>
      <c r="N3603" s="2" t="str">
        <f>IFERROR(VLOOKUP(ROWS($N$2:N3603),$D$2:$E$1996,2,0),"")</f>
        <v/>
      </c>
    </row>
    <row r="3604" spans="2:14">
      <c r="B3604" s="32">
        <f>IF(ISNUMBER(SEARCH('Φόρμα Εισαγωγής'!$B$2,C3604)),MAX($B$1:B3603)+1,0)</f>
        <v>0</v>
      </c>
      <c r="D3604" s="33">
        <f>IF(ISNUMBER(SEARCH('Φόρμα Εισαγωγής'!$C$2,E3604)),MAX($D$1:D3603)+1,0)</f>
        <v>0</v>
      </c>
      <c r="H3604" s="6">
        <f t="shared" si="179"/>
        <v>0</v>
      </c>
      <c r="I3604" s="6">
        <f t="shared" si="180"/>
        <v>0</v>
      </c>
      <c r="J3604" s="6">
        <f t="shared" si="181"/>
        <v>0</v>
      </c>
      <c r="L3604" s="4" t="str">
        <f>IFERROR(VLOOKUP(ROWS($L$2:L3604),$B$2:$C$1996,2,0),"")</f>
        <v/>
      </c>
      <c r="N3604" s="2" t="str">
        <f>IFERROR(VLOOKUP(ROWS($N$2:N3604),$D$2:$E$1996,2,0),"")</f>
        <v/>
      </c>
    </row>
    <row r="3605" spans="2:14">
      <c r="B3605" s="32">
        <f>IF(ISNUMBER(SEARCH('Φόρμα Εισαγωγής'!$B$2,C3605)),MAX($B$1:B3604)+1,0)</f>
        <v>0</v>
      </c>
      <c r="D3605" s="33">
        <f>IF(ISNUMBER(SEARCH('Φόρμα Εισαγωγής'!$C$2,E3605)),MAX($D$1:D3604)+1,0)</f>
        <v>0</v>
      </c>
      <c r="H3605" s="6">
        <f t="shared" si="179"/>
        <v>0</v>
      </c>
      <c r="I3605" s="6">
        <f t="shared" si="180"/>
        <v>0</v>
      </c>
      <c r="J3605" s="6">
        <f t="shared" si="181"/>
        <v>0</v>
      </c>
      <c r="L3605" s="4" t="str">
        <f>IFERROR(VLOOKUP(ROWS($L$2:L3605),$B$2:$C$1996,2,0),"")</f>
        <v/>
      </c>
      <c r="N3605" s="2" t="str">
        <f>IFERROR(VLOOKUP(ROWS($N$2:N3605),$D$2:$E$1996,2,0),"")</f>
        <v/>
      </c>
    </row>
    <row r="3606" spans="2:14">
      <c r="B3606" s="32">
        <f>IF(ISNUMBER(SEARCH('Φόρμα Εισαγωγής'!$B$2,C3606)),MAX($B$1:B3605)+1,0)</f>
        <v>0</v>
      </c>
      <c r="D3606" s="33">
        <f>IF(ISNUMBER(SEARCH('Φόρμα Εισαγωγής'!$C$2,E3606)),MAX($D$1:D3605)+1,0)</f>
        <v>0</v>
      </c>
      <c r="H3606" s="6">
        <f t="shared" si="179"/>
        <v>0</v>
      </c>
      <c r="I3606" s="6">
        <f t="shared" si="180"/>
        <v>0</v>
      </c>
      <c r="J3606" s="6">
        <f t="shared" si="181"/>
        <v>0</v>
      </c>
      <c r="L3606" s="4" t="str">
        <f>IFERROR(VLOOKUP(ROWS($L$2:L3606),$B$2:$C$1996,2,0),"")</f>
        <v/>
      </c>
      <c r="N3606" s="2" t="str">
        <f>IFERROR(VLOOKUP(ROWS($N$2:N3606),$D$2:$E$1996,2,0),"")</f>
        <v/>
      </c>
    </row>
    <row r="3607" spans="2:14">
      <c r="B3607" s="32">
        <f>IF(ISNUMBER(SEARCH('Φόρμα Εισαγωγής'!$B$2,C3607)),MAX($B$1:B3606)+1,0)</f>
        <v>0</v>
      </c>
      <c r="D3607" s="33">
        <f>IF(ISNUMBER(SEARCH('Φόρμα Εισαγωγής'!$C$2,E3607)),MAX($D$1:D3606)+1,0)</f>
        <v>0</v>
      </c>
      <c r="H3607" s="6">
        <f t="shared" si="179"/>
        <v>0</v>
      </c>
      <c r="I3607" s="6">
        <f t="shared" si="180"/>
        <v>0</v>
      </c>
      <c r="J3607" s="6">
        <f t="shared" si="181"/>
        <v>0</v>
      </c>
      <c r="L3607" s="4" t="str">
        <f>IFERROR(VLOOKUP(ROWS($L$2:L3607),$B$2:$C$1996,2,0),"")</f>
        <v/>
      </c>
      <c r="N3607" s="2" t="str">
        <f>IFERROR(VLOOKUP(ROWS($N$2:N3607),$D$2:$E$1996,2,0),"")</f>
        <v/>
      </c>
    </row>
    <row r="3608" spans="2:14">
      <c r="B3608" s="32">
        <f>IF(ISNUMBER(SEARCH('Φόρμα Εισαγωγής'!$B$2,C3608)),MAX($B$1:B3607)+1,0)</f>
        <v>0</v>
      </c>
      <c r="D3608" s="33">
        <f>IF(ISNUMBER(SEARCH('Φόρμα Εισαγωγής'!$C$2,E3608)),MAX($D$1:D3607)+1,0)</f>
        <v>0</v>
      </c>
      <c r="H3608" s="6">
        <f t="shared" si="179"/>
        <v>0</v>
      </c>
      <c r="I3608" s="6">
        <f t="shared" si="180"/>
        <v>0</v>
      </c>
      <c r="J3608" s="6">
        <f t="shared" si="181"/>
        <v>0</v>
      </c>
      <c r="L3608" s="4" t="str">
        <f>IFERROR(VLOOKUP(ROWS($L$2:L3608),$B$2:$C$1996,2,0),"")</f>
        <v/>
      </c>
      <c r="N3608" s="2" t="str">
        <f>IFERROR(VLOOKUP(ROWS($N$2:N3608),$D$2:$E$1996,2,0),"")</f>
        <v/>
      </c>
    </row>
    <row r="3609" spans="2:14">
      <c r="B3609" s="32">
        <f>IF(ISNUMBER(SEARCH('Φόρμα Εισαγωγής'!$B$2,C3609)),MAX($B$1:B3608)+1,0)</f>
        <v>0</v>
      </c>
      <c r="D3609" s="33">
        <f>IF(ISNUMBER(SEARCH('Φόρμα Εισαγωγής'!$C$2,E3609)),MAX($D$1:D3608)+1,0)</f>
        <v>0</v>
      </c>
      <c r="H3609" s="6">
        <f t="shared" si="179"/>
        <v>0</v>
      </c>
      <c r="I3609" s="6">
        <f t="shared" si="180"/>
        <v>0</v>
      </c>
      <c r="J3609" s="6">
        <f t="shared" si="181"/>
        <v>0</v>
      </c>
      <c r="L3609" s="4" t="str">
        <f>IFERROR(VLOOKUP(ROWS($L$2:L3609),$B$2:$C$1996,2,0),"")</f>
        <v/>
      </c>
      <c r="N3609" s="2" t="str">
        <f>IFERROR(VLOOKUP(ROWS($N$2:N3609),$D$2:$E$1996,2,0),"")</f>
        <v/>
      </c>
    </row>
    <row r="3610" spans="2:14">
      <c r="B3610" s="32">
        <f>IF(ISNUMBER(SEARCH('Φόρμα Εισαγωγής'!$B$2,C3610)),MAX($B$1:B3609)+1,0)</f>
        <v>0</v>
      </c>
      <c r="D3610" s="33">
        <f>IF(ISNUMBER(SEARCH('Φόρμα Εισαγωγής'!$C$2,E3610)),MAX($D$1:D3609)+1,0)</f>
        <v>0</v>
      </c>
      <c r="H3610" s="6">
        <f t="shared" si="179"/>
        <v>0</v>
      </c>
      <c r="I3610" s="6">
        <f t="shared" si="180"/>
        <v>0</v>
      </c>
      <c r="J3610" s="6">
        <f t="shared" si="181"/>
        <v>0</v>
      </c>
      <c r="L3610" s="4" t="str">
        <f>IFERROR(VLOOKUP(ROWS($L$2:L3610),$B$2:$C$1996,2,0),"")</f>
        <v/>
      </c>
      <c r="N3610" s="2" t="str">
        <f>IFERROR(VLOOKUP(ROWS($N$2:N3610),$D$2:$E$1996,2,0),"")</f>
        <v/>
      </c>
    </row>
    <row r="3611" spans="2:14">
      <c r="B3611" s="32">
        <f>IF(ISNUMBER(SEARCH('Φόρμα Εισαγωγής'!$B$2,C3611)),MAX($B$1:B3610)+1,0)</f>
        <v>0</v>
      </c>
      <c r="D3611" s="33">
        <f>IF(ISNUMBER(SEARCH('Φόρμα Εισαγωγής'!$C$2,E3611)),MAX($D$1:D3610)+1,0)</f>
        <v>0</v>
      </c>
      <c r="H3611" s="6">
        <f t="shared" si="179"/>
        <v>0</v>
      </c>
      <c r="I3611" s="6">
        <f t="shared" si="180"/>
        <v>0</v>
      </c>
      <c r="J3611" s="6">
        <f t="shared" si="181"/>
        <v>0</v>
      </c>
      <c r="L3611" s="4" t="str">
        <f>IFERROR(VLOOKUP(ROWS($L$2:L3611),$B$2:$C$1996,2,0),"")</f>
        <v/>
      </c>
      <c r="N3611" s="2" t="str">
        <f>IFERROR(VLOOKUP(ROWS($N$2:N3611),$D$2:$E$1996,2,0),"")</f>
        <v/>
      </c>
    </row>
    <row r="3612" spans="2:14">
      <c r="B3612" s="32">
        <f>IF(ISNUMBER(SEARCH('Φόρμα Εισαγωγής'!$B$2,C3612)),MAX($B$1:B3611)+1,0)</f>
        <v>0</v>
      </c>
      <c r="D3612" s="33">
        <f>IF(ISNUMBER(SEARCH('Φόρμα Εισαγωγής'!$C$2,E3612)),MAX($D$1:D3611)+1,0)</f>
        <v>0</v>
      </c>
      <c r="H3612" s="6">
        <f t="shared" si="179"/>
        <v>0</v>
      </c>
      <c r="I3612" s="6">
        <f t="shared" si="180"/>
        <v>0</v>
      </c>
      <c r="J3612" s="6">
        <f t="shared" si="181"/>
        <v>0</v>
      </c>
      <c r="L3612" s="4" t="str">
        <f>IFERROR(VLOOKUP(ROWS($L$2:L3612),$B$2:$C$1996,2,0),"")</f>
        <v/>
      </c>
      <c r="N3612" s="2" t="str">
        <f>IFERROR(VLOOKUP(ROWS($N$2:N3612),$D$2:$E$1996,2,0),"")</f>
        <v/>
      </c>
    </row>
    <row r="3613" spans="2:14">
      <c r="B3613" s="32">
        <f>IF(ISNUMBER(SEARCH('Φόρμα Εισαγωγής'!$B$2,C3613)),MAX($B$1:B3612)+1,0)</f>
        <v>0</v>
      </c>
      <c r="D3613" s="33">
        <f>IF(ISNUMBER(SEARCH('Φόρμα Εισαγωγής'!$C$2,E3613)),MAX($D$1:D3612)+1,0)</f>
        <v>0</v>
      </c>
      <c r="H3613" s="6">
        <f t="shared" si="179"/>
        <v>0</v>
      </c>
      <c r="I3613" s="6">
        <f t="shared" si="180"/>
        <v>0</v>
      </c>
      <c r="J3613" s="6">
        <f t="shared" si="181"/>
        <v>0</v>
      </c>
      <c r="L3613" s="4" t="str">
        <f>IFERROR(VLOOKUP(ROWS($L$2:L3613),$B$2:$C$1996,2,0),"")</f>
        <v/>
      </c>
      <c r="N3613" s="2" t="str">
        <f>IFERROR(VLOOKUP(ROWS($N$2:N3613),$D$2:$E$1996,2,0),"")</f>
        <v/>
      </c>
    </row>
    <row r="3614" spans="2:14">
      <c r="B3614" s="32">
        <f>IF(ISNUMBER(SEARCH('Φόρμα Εισαγωγής'!$B$2,C3614)),MAX($B$1:B3613)+1,0)</f>
        <v>0</v>
      </c>
      <c r="D3614" s="33">
        <f>IF(ISNUMBER(SEARCH('Φόρμα Εισαγωγής'!$C$2,E3614)),MAX($D$1:D3613)+1,0)</f>
        <v>0</v>
      </c>
      <c r="H3614" s="6">
        <f t="shared" si="179"/>
        <v>0</v>
      </c>
      <c r="I3614" s="6">
        <f t="shared" si="180"/>
        <v>0</v>
      </c>
      <c r="J3614" s="6">
        <f t="shared" si="181"/>
        <v>0</v>
      </c>
      <c r="L3614" s="4" t="str">
        <f>IFERROR(VLOOKUP(ROWS($L$2:L3614),$B$2:$C$1996,2,0),"")</f>
        <v/>
      </c>
      <c r="N3614" s="2" t="str">
        <f>IFERROR(VLOOKUP(ROWS($N$2:N3614),$D$2:$E$1996,2,0),"")</f>
        <v/>
      </c>
    </row>
    <row r="3615" spans="2:14">
      <c r="B3615" s="32">
        <f>IF(ISNUMBER(SEARCH('Φόρμα Εισαγωγής'!$B$2,C3615)),MAX($B$1:B3614)+1,0)</f>
        <v>0</v>
      </c>
      <c r="D3615" s="33">
        <f>IF(ISNUMBER(SEARCH('Φόρμα Εισαγωγής'!$C$2,E3615)),MAX($D$1:D3614)+1,0)</f>
        <v>0</v>
      </c>
      <c r="H3615" s="6">
        <f t="shared" si="179"/>
        <v>0</v>
      </c>
      <c r="I3615" s="6">
        <f t="shared" si="180"/>
        <v>0</v>
      </c>
      <c r="J3615" s="6">
        <f t="shared" si="181"/>
        <v>0</v>
      </c>
      <c r="L3615" s="4" t="str">
        <f>IFERROR(VLOOKUP(ROWS($L$2:L3615),$B$2:$C$1996,2,0),"")</f>
        <v/>
      </c>
      <c r="N3615" s="2" t="str">
        <f>IFERROR(VLOOKUP(ROWS($N$2:N3615),$D$2:$E$1996,2,0),"")</f>
        <v/>
      </c>
    </row>
    <row r="3616" spans="2:14">
      <c r="B3616" s="32">
        <f>IF(ISNUMBER(SEARCH('Φόρμα Εισαγωγής'!$B$2,C3616)),MAX($B$1:B3615)+1,0)</f>
        <v>0</v>
      </c>
      <c r="D3616" s="33">
        <f>IF(ISNUMBER(SEARCH('Φόρμα Εισαγωγής'!$C$2,E3616)),MAX($D$1:D3615)+1,0)</f>
        <v>0</v>
      </c>
      <c r="H3616" s="6">
        <f t="shared" si="179"/>
        <v>0</v>
      </c>
      <c r="I3616" s="6">
        <f t="shared" si="180"/>
        <v>0</v>
      </c>
      <c r="J3616" s="6">
        <f t="shared" si="181"/>
        <v>0</v>
      </c>
      <c r="L3616" s="4" t="str">
        <f>IFERROR(VLOOKUP(ROWS($L$2:L3616),$B$2:$C$1996,2,0),"")</f>
        <v/>
      </c>
      <c r="N3616" s="2" t="str">
        <f>IFERROR(VLOOKUP(ROWS($N$2:N3616),$D$2:$E$1996,2,0),"")</f>
        <v/>
      </c>
    </row>
    <row r="3617" spans="2:14">
      <c r="B3617" s="32">
        <f>IF(ISNUMBER(SEARCH('Φόρμα Εισαγωγής'!$B$2,C3617)),MAX($B$1:B3616)+1,0)</f>
        <v>0</v>
      </c>
      <c r="D3617" s="33">
        <f>IF(ISNUMBER(SEARCH('Φόρμα Εισαγωγής'!$C$2,E3617)),MAX($D$1:D3616)+1,0)</f>
        <v>0</v>
      </c>
      <c r="H3617" s="6">
        <f t="shared" si="179"/>
        <v>0</v>
      </c>
      <c r="I3617" s="6">
        <f t="shared" si="180"/>
        <v>0</v>
      </c>
      <c r="J3617" s="6">
        <f t="shared" si="181"/>
        <v>0</v>
      </c>
      <c r="L3617" s="4" t="str">
        <f>IFERROR(VLOOKUP(ROWS($L$2:L3617),$B$2:$C$1996,2,0),"")</f>
        <v/>
      </c>
      <c r="N3617" s="2" t="str">
        <f>IFERROR(VLOOKUP(ROWS($N$2:N3617),$D$2:$E$1996,2,0),"")</f>
        <v/>
      </c>
    </row>
    <row r="3618" spans="2:14">
      <c r="B3618" s="32">
        <f>IF(ISNUMBER(SEARCH('Φόρμα Εισαγωγής'!$B$2,C3618)),MAX($B$1:B3617)+1,0)</f>
        <v>0</v>
      </c>
      <c r="D3618" s="33">
        <f>IF(ISNUMBER(SEARCH('Φόρμα Εισαγωγής'!$C$2,E3618)),MAX($D$1:D3617)+1,0)</f>
        <v>0</v>
      </c>
      <c r="H3618" s="6">
        <f t="shared" si="179"/>
        <v>0</v>
      </c>
      <c r="I3618" s="6">
        <f t="shared" si="180"/>
        <v>0</v>
      </c>
      <c r="J3618" s="6">
        <f t="shared" si="181"/>
        <v>0</v>
      </c>
      <c r="L3618" s="4" t="str">
        <f>IFERROR(VLOOKUP(ROWS($L$2:L3618),$B$2:$C$1996,2,0),"")</f>
        <v/>
      </c>
      <c r="N3618" s="2" t="str">
        <f>IFERROR(VLOOKUP(ROWS($N$2:N3618),$D$2:$E$1996,2,0),"")</f>
        <v/>
      </c>
    </row>
    <row r="3619" spans="2:14">
      <c r="B3619" s="32">
        <f>IF(ISNUMBER(SEARCH('Φόρμα Εισαγωγής'!$B$2,C3619)),MAX($B$1:B3618)+1,0)</f>
        <v>0</v>
      </c>
      <c r="D3619" s="33">
        <f>IF(ISNUMBER(SEARCH('Φόρμα Εισαγωγής'!$C$2,E3619)),MAX($D$1:D3618)+1,0)</f>
        <v>0</v>
      </c>
      <c r="H3619" s="6">
        <f t="shared" si="179"/>
        <v>0</v>
      </c>
      <c r="I3619" s="6">
        <f t="shared" si="180"/>
        <v>0</v>
      </c>
      <c r="J3619" s="6">
        <f t="shared" si="181"/>
        <v>0</v>
      </c>
      <c r="L3619" s="4" t="str">
        <f>IFERROR(VLOOKUP(ROWS($L$2:L3619),$B$2:$C$1996,2,0),"")</f>
        <v/>
      </c>
      <c r="N3619" s="2" t="str">
        <f>IFERROR(VLOOKUP(ROWS($N$2:N3619),$D$2:$E$1996,2,0),"")</f>
        <v/>
      </c>
    </row>
    <row r="3620" spans="2:14">
      <c r="B3620" s="32">
        <f>IF(ISNUMBER(SEARCH('Φόρμα Εισαγωγής'!$B$2,C3620)),MAX($B$1:B3619)+1,0)</f>
        <v>0</v>
      </c>
      <c r="D3620" s="33">
        <f>IF(ISNUMBER(SEARCH('Φόρμα Εισαγωγής'!$C$2,E3620)),MAX($D$1:D3619)+1,0)</f>
        <v>0</v>
      </c>
      <c r="H3620" s="6">
        <f t="shared" si="179"/>
        <v>0</v>
      </c>
      <c r="I3620" s="6">
        <f t="shared" si="180"/>
        <v>0</v>
      </c>
      <c r="J3620" s="6">
        <f t="shared" si="181"/>
        <v>0</v>
      </c>
      <c r="L3620" s="4" t="str">
        <f>IFERROR(VLOOKUP(ROWS($L$2:L3620),$B$2:$C$1996,2,0),"")</f>
        <v/>
      </c>
      <c r="N3620" s="2" t="str">
        <f>IFERROR(VLOOKUP(ROWS($N$2:N3620),$D$2:$E$1996,2,0),"")</f>
        <v/>
      </c>
    </row>
    <row r="3621" spans="2:14">
      <c r="B3621" s="32">
        <f>IF(ISNUMBER(SEARCH('Φόρμα Εισαγωγής'!$B$2,C3621)),MAX($B$1:B3620)+1,0)</f>
        <v>0</v>
      </c>
      <c r="D3621" s="33">
        <f>IF(ISNUMBER(SEARCH('Φόρμα Εισαγωγής'!$C$2,E3621)),MAX($D$1:D3620)+1,0)</f>
        <v>0</v>
      </c>
      <c r="H3621" s="6">
        <f t="shared" si="179"/>
        <v>0</v>
      </c>
      <c r="I3621" s="6">
        <f t="shared" si="180"/>
        <v>0</v>
      </c>
      <c r="J3621" s="6">
        <f t="shared" si="181"/>
        <v>0</v>
      </c>
      <c r="L3621" s="4" t="str">
        <f>IFERROR(VLOOKUP(ROWS($L$2:L3621),$B$2:$C$1996,2,0),"")</f>
        <v/>
      </c>
      <c r="N3621" s="2" t="str">
        <f>IFERROR(VLOOKUP(ROWS($N$2:N3621),$D$2:$E$1996,2,0),"")</f>
        <v/>
      </c>
    </row>
    <row r="3622" spans="2:14">
      <c r="B3622" s="32">
        <f>IF(ISNUMBER(SEARCH('Φόρμα Εισαγωγής'!$B$2,C3622)),MAX($B$1:B3621)+1,0)</f>
        <v>0</v>
      </c>
      <c r="D3622" s="33">
        <f>IF(ISNUMBER(SEARCH('Φόρμα Εισαγωγής'!$C$2,E3622)),MAX($D$1:D3621)+1,0)</f>
        <v>0</v>
      </c>
      <c r="H3622" s="6">
        <f t="shared" si="179"/>
        <v>0</v>
      </c>
      <c r="I3622" s="6">
        <f t="shared" si="180"/>
        <v>0</v>
      </c>
      <c r="J3622" s="6">
        <f t="shared" si="181"/>
        <v>0</v>
      </c>
      <c r="L3622" s="4" t="str">
        <f>IFERROR(VLOOKUP(ROWS($L$2:L3622),$B$2:$C$1996,2,0),"")</f>
        <v/>
      </c>
      <c r="N3622" s="2" t="str">
        <f>IFERROR(VLOOKUP(ROWS($N$2:N3622),$D$2:$E$1996,2,0),"")</f>
        <v/>
      </c>
    </row>
    <row r="3623" spans="2:14">
      <c r="B3623" s="32">
        <f>IF(ISNUMBER(SEARCH('Φόρμα Εισαγωγής'!$B$2,C3623)),MAX($B$1:B3622)+1,0)</f>
        <v>0</v>
      </c>
      <c r="D3623" s="33">
        <f>IF(ISNUMBER(SEARCH('Φόρμα Εισαγωγής'!$C$2,E3623)),MAX($D$1:D3622)+1,0)</f>
        <v>0</v>
      </c>
      <c r="H3623" s="6">
        <f t="shared" si="179"/>
        <v>0</v>
      </c>
      <c r="I3623" s="6">
        <f t="shared" si="180"/>
        <v>0</v>
      </c>
      <c r="J3623" s="6">
        <f t="shared" si="181"/>
        <v>0</v>
      </c>
      <c r="L3623" s="4" t="str">
        <f>IFERROR(VLOOKUP(ROWS($L$2:L3623),$B$2:$C$1996,2,0),"")</f>
        <v/>
      </c>
      <c r="N3623" s="2" t="str">
        <f>IFERROR(VLOOKUP(ROWS($N$2:N3623),$D$2:$E$1996,2,0),"")</f>
        <v/>
      </c>
    </row>
    <row r="3624" spans="2:14">
      <c r="B3624" s="32">
        <f>IF(ISNUMBER(SEARCH('Φόρμα Εισαγωγής'!$B$2,C3624)),MAX($B$1:B3623)+1,0)</f>
        <v>0</v>
      </c>
      <c r="D3624" s="33">
        <f>IF(ISNUMBER(SEARCH('Φόρμα Εισαγωγής'!$C$2,E3624)),MAX($D$1:D3623)+1,0)</f>
        <v>0</v>
      </c>
      <c r="H3624" s="6">
        <f t="shared" si="179"/>
        <v>0</v>
      </c>
      <c r="I3624" s="6">
        <f t="shared" si="180"/>
        <v>0</v>
      </c>
      <c r="J3624" s="6">
        <f t="shared" si="181"/>
        <v>0</v>
      </c>
      <c r="L3624" s="4" t="str">
        <f>IFERROR(VLOOKUP(ROWS($L$2:L3624),$B$2:$C$1996,2,0),"")</f>
        <v/>
      </c>
      <c r="N3624" s="2" t="str">
        <f>IFERROR(VLOOKUP(ROWS($N$2:N3624),$D$2:$E$1996,2,0),"")</f>
        <v/>
      </c>
    </row>
    <row r="3625" spans="2:14">
      <c r="B3625" s="32">
        <f>IF(ISNUMBER(SEARCH('Φόρμα Εισαγωγής'!$B$2,C3625)),MAX($B$1:B3624)+1,0)</f>
        <v>0</v>
      </c>
      <c r="D3625" s="33">
        <f>IF(ISNUMBER(SEARCH('Φόρμα Εισαγωγής'!$C$2,E3625)),MAX($D$1:D3624)+1,0)</f>
        <v>0</v>
      </c>
      <c r="H3625" s="6">
        <f t="shared" si="179"/>
        <v>0</v>
      </c>
      <c r="I3625" s="6">
        <f t="shared" si="180"/>
        <v>0</v>
      </c>
      <c r="J3625" s="6">
        <f t="shared" si="181"/>
        <v>0</v>
      </c>
      <c r="L3625" s="4" t="str">
        <f>IFERROR(VLOOKUP(ROWS($L$2:L3625),$B$2:$C$1996,2,0),"")</f>
        <v/>
      </c>
      <c r="N3625" s="2" t="str">
        <f>IFERROR(VLOOKUP(ROWS($N$2:N3625),$D$2:$E$1996,2,0),"")</f>
        <v/>
      </c>
    </row>
    <row r="3626" spans="2:14">
      <c r="B3626" s="32">
        <f>IF(ISNUMBER(SEARCH('Φόρμα Εισαγωγής'!$B$2,C3626)),MAX($B$1:B3625)+1,0)</f>
        <v>0</v>
      </c>
      <c r="D3626" s="33">
        <f>IF(ISNUMBER(SEARCH('Φόρμα Εισαγωγής'!$C$2,E3626)),MAX($D$1:D3625)+1,0)</f>
        <v>0</v>
      </c>
      <c r="H3626" s="6">
        <f t="shared" si="179"/>
        <v>0</v>
      </c>
      <c r="I3626" s="6">
        <f t="shared" si="180"/>
        <v>0</v>
      </c>
      <c r="J3626" s="6">
        <f t="shared" si="181"/>
        <v>0</v>
      </c>
      <c r="L3626" s="4" t="str">
        <f>IFERROR(VLOOKUP(ROWS($L$2:L3626),$B$2:$C$1996,2,0),"")</f>
        <v/>
      </c>
      <c r="N3626" s="2" t="str">
        <f>IFERROR(VLOOKUP(ROWS($N$2:N3626),$D$2:$E$1996,2,0),"")</f>
        <v/>
      </c>
    </row>
    <row r="3627" spans="2:14">
      <c r="B3627" s="32">
        <f>IF(ISNUMBER(SEARCH('Φόρμα Εισαγωγής'!$B$2,C3627)),MAX($B$1:B3626)+1,0)</f>
        <v>0</v>
      </c>
      <c r="D3627" s="33">
        <f>IF(ISNUMBER(SEARCH('Φόρμα Εισαγωγής'!$C$2,E3627)),MAX($D$1:D3626)+1,0)</f>
        <v>0</v>
      </c>
      <c r="H3627" s="6">
        <f t="shared" si="179"/>
        <v>0</v>
      </c>
      <c r="I3627" s="6">
        <f t="shared" si="180"/>
        <v>0</v>
      </c>
      <c r="J3627" s="6">
        <f t="shared" si="181"/>
        <v>0</v>
      </c>
      <c r="L3627" s="4" t="str">
        <f>IFERROR(VLOOKUP(ROWS($L$2:L3627),$B$2:$C$1996,2,0),"")</f>
        <v/>
      </c>
      <c r="N3627" s="2" t="str">
        <f>IFERROR(VLOOKUP(ROWS($N$2:N3627),$D$2:$E$1996,2,0),"")</f>
        <v/>
      </c>
    </row>
    <row r="3628" spans="2:14">
      <c r="B3628" s="32">
        <f>IF(ISNUMBER(SEARCH('Φόρμα Εισαγωγής'!$B$2,C3628)),MAX($B$1:B3627)+1,0)</f>
        <v>0</v>
      </c>
      <c r="D3628" s="33">
        <f>IF(ISNUMBER(SEARCH('Φόρμα Εισαγωγής'!$C$2,E3628)),MAX($D$1:D3627)+1,0)</f>
        <v>0</v>
      </c>
      <c r="H3628" s="6">
        <f t="shared" si="179"/>
        <v>0</v>
      </c>
      <c r="I3628" s="6">
        <f t="shared" si="180"/>
        <v>0</v>
      </c>
      <c r="J3628" s="6">
        <f t="shared" si="181"/>
        <v>0</v>
      </c>
      <c r="L3628" s="4" t="str">
        <f>IFERROR(VLOOKUP(ROWS($L$2:L3628),$B$2:$C$1996,2,0),"")</f>
        <v/>
      </c>
      <c r="N3628" s="2" t="str">
        <f>IFERROR(VLOOKUP(ROWS($N$2:N3628),$D$2:$E$1996,2,0),"")</f>
        <v/>
      </c>
    </row>
    <row r="3629" spans="2:14">
      <c r="B3629" s="32">
        <f>IF(ISNUMBER(SEARCH('Φόρμα Εισαγωγής'!$B$2,C3629)),MAX($B$1:B3628)+1,0)</f>
        <v>0</v>
      </c>
      <c r="D3629" s="33">
        <f>IF(ISNUMBER(SEARCH('Φόρμα Εισαγωγής'!$C$2,E3629)),MAX($D$1:D3628)+1,0)</f>
        <v>0</v>
      </c>
      <c r="H3629" s="6">
        <f t="shared" si="179"/>
        <v>0</v>
      </c>
      <c r="I3629" s="6">
        <f t="shared" si="180"/>
        <v>0</v>
      </c>
      <c r="J3629" s="6">
        <f t="shared" si="181"/>
        <v>0</v>
      </c>
      <c r="L3629" s="4" t="str">
        <f>IFERROR(VLOOKUP(ROWS($L$2:L3629),$B$2:$C$1996,2,0),"")</f>
        <v/>
      </c>
      <c r="N3629" s="2" t="str">
        <f>IFERROR(VLOOKUP(ROWS($N$2:N3629),$D$2:$E$1996,2,0),"")</f>
        <v/>
      </c>
    </row>
    <row r="3630" spans="2:14">
      <c r="B3630" s="32">
        <f>IF(ISNUMBER(SEARCH('Φόρμα Εισαγωγής'!$B$2,C3630)),MAX($B$1:B3629)+1,0)</f>
        <v>0</v>
      </c>
      <c r="D3630" s="33">
        <f>IF(ISNUMBER(SEARCH('Φόρμα Εισαγωγής'!$C$2,E3630)),MAX($D$1:D3629)+1,0)</f>
        <v>0</v>
      </c>
      <c r="H3630" s="6">
        <f t="shared" si="179"/>
        <v>0</v>
      </c>
      <c r="I3630" s="6">
        <f t="shared" si="180"/>
        <v>0</v>
      </c>
      <c r="J3630" s="6">
        <f t="shared" si="181"/>
        <v>0</v>
      </c>
      <c r="L3630" s="4" t="str">
        <f>IFERROR(VLOOKUP(ROWS($L$2:L3630),$B$2:$C$1996,2,0),"")</f>
        <v/>
      </c>
      <c r="N3630" s="2" t="str">
        <f>IFERROR(VLOOKUP(ROWS($N$2:N3630),$D$2:$E$1996,2,0),"")</f>
        <v/>
      </c>
    </row>
    <row r="3631" spans="2:14">
      <c r="B3631" s="32">
        <f>IF(ISNUMBER(SEARCH('Φόρμα Εισαγωγής'!$B$2,C3631)),MAX($B$1:B3630)+1,0)</f>
        <v>0</v>
      </c>
      <c r="D3631" s="33">
        <f>IF(ISNUMBER(SEARCH('Φόρμα Εισαγωγής'!$C$2,E3631)),MAX($D$1:D3630)+1,0)</f>
        <v>0</v>
      </c>
      <c r="H3631" s="6">
        <f t="shared" si="179"/>
        <v>0</v>
      </c>
      <c r="I3631" s="6">
        <f t="shared" si="180"/>
        <v>0</v>
      </c>
      <c r="J3631" s="6">
        <f t="shared" si="181"/>
        <v>0</v>
      </c>
      <c r="L3631" s="4" t="str">
        <f>IFERROR(VLOOKUP(ROWS($L$2:L3631),$B$2:$C$1996,2,0),"")</f>
        <v/>
      </c>
      <c r="N3631" s="2" t="str">
        <f>IFERROR(VLOOKUP(ROWS($N$2:N3631),$D$2:$E$1996,2,0),"")</f>
        <v/>
      </c>
    </row>
    <row r="3632" spans="2:14">
      <c r="B3632" s="32">
        <f>IF(ISNUMBER(SEARCH('Φόρμα Εισαγωγής'!$B$2,C3632)),MAX($B$1:B3631)+1,0)</f>
        <v>0</v>
      </c>
      <c r="D3632" s="33">
        <f>IF(ISNUMBER(SEARCH('Φόρμα Εισαγωγής'!$C$2,E3632)),MAX($D$1:D3631)+1,0)</f>
        <v>0</v>
      </c>
      <c r="H3632" s="6">
        <f t="shared" si="179"/>
        <v>0</v>
      </c>
      <c r="I3632" s="6">
        <f t="shared" si="180"/>
        <v>0</v>
      </c>
      <c r="J3632" s="6">
        <f t="shared" si="181"/>
        <v>0</v>
      </c>
      <c r="L3632" s="4" t="str">
        <f>IFERROR(VLOOKUP(ROWS($L$2:L3632),$B$2:$C$1996,2,0),"")</f>
        <v/>
      </c>
      <c r="N3632" s="2" t="str">
        <f>IFERROR(VLOOKUP(ROWS($N$2:N3632),$D$2:$E$1996,2,0),"")</f>
        <v/>
      </c>
    </row>
    <row r="3633" spans="2:14">
      <c r="B3633" s="32">
        <f>IF(ISNUMBER(SEARCH('Φόρμα Εισαγωγής'!$B$2,C3633)),MAX($B$1:B3632)+1,0)</f>
        <v>0</v>
      </c>
      <c r="D3633" s="33">
        <f>IF(ISNUMBER(SEARCH('Φόρμα Εισαγωγής'!$C$2,E3633)),MAX($D$1:D3632)+1,0)</f>
        <v>0</v>
      </c>
      <c r="H3633" s="6">
        <f t="shared" si="179"/>
        <v>0</v>
      </c>
      <c r="I3633" s="6">
        <f t="shared" si="180"/>
        <v>0</v>
      </c>
      <c r="J3633" s="6">
        <f t="shared" si="181"/>
        <v>0</v>
      </c>
      <c r="L3633" s="4" t="str">
        <f>IFERROR(VLOOKUP(ROWS($L$2:L3633),$B$2:$C$1996,2,0),"")</f>
        <v/>
      </c>
      <c r="N3633" s="2" t="str">
        <f>IFERROR(VLOOKUP(ROWS($N$2:N3633),$D$2:$E$1996,2,0),"")</f>
        <v/>
      </c>
    </row>
    <row r="3634" spans="2:14">
      <c r="B3634" s="32">
        <f>IF(ISNUMBER(SEARCH('Φόρμα Εισαγωγής'!$B$2,C3634)),MAX($B$1:B3633)+1,0)</f>
        <v>0</v>
      </c>
      <c r="D3634" s="33">
        <f>IF(ISNUMBER(SEARCH('Φόρμα Εισαγωγής'!$C$2,E3634)),MAX($D$1:D3633)+1,0)</f>
        <v>0</v>
      </c>
      <c r="H3634" s="6">
        <f t="shared" si="179"/>
        <v>0</v>
      </c>
      <c r="I3634" s="6">
        <f t="shared" si="180"/>
        <v>0</v>
      </c>
      <c r="J3634" s="6">
        <f t="shared" si="181"/>
        <v>0</v>
      </c>
      <c r="L3634" s="4" t="str">
        <f>IFERROR(VLOOKUP(ROWS($L$2:L3634),$B$2:$C$1996,2,0),"")</f>
        <v/>
      </c>
      <c r="N3634" s="2" t="str">
        <f>IFERROR(VLOOKUP(ROWS($N$2:N3634),$D$2:$E$1996,2,0),"")</f>
        <v/>
      </c>
    </row>
    <row r="3635" spans="2:14">
      <c r="B3635" s="32">
        <f>IF(ISNUMBER(SEARCH('Φόρμα Εισαγωγής'!$B$2,C3635)),MAX($B$1:B3634)+1,0)</f>
        <v>0</v>
      </c>
      <c r="D3635" s="33">
        <f>IF(ISNUMBER(SEARCH('Φόρμα Εισαγωγής'!$C$2,E3635)),MAX($D$1:D3634)+1,0)</f>
        <v>0</v>
      </c>
      <c r="H3635" s="6">
        <f t="shared" si="179"/>
        <v>0</v>
      </c>
      <c r="I3635" s="6">
        <f t="shared" si="180"/>
        <v>0</v>
      </c>
      <c r="J3635" s="6">
        <f t="shared" si="181"/>
        <v>0</v>
      </c>
      <c r="L3635" s="4" t="str">
        <f>IFERROR(VLOOKUP(ROWS($L$2:L3635),$B$2:$C$1996,2,0),"")</f>
        <v/>
      </c>
      <c r="N3635" s="2" t="str">
        <f>IFERROR(VLOOKUP(ROWS($N$2:N3635),$D$2:$E$1996,2,0),"")</f>
        <v/>
      </c>
    </row>
    <row r="3636" spans="2:14">
      <c r="B3636" s="32">
        <f>IF(ISNUMBER(SEARCH('Φόρμα Εισαγωγής'!$B$2,C3636)),MAX($B$1:B3635)+1,0)</f>
        <v>0</v>
      </c>
      <c r="D3636" s="33">
        <f>IF(ISNUMBER(SEARCH('Φόρμα Εισαγωγής'!$C$2,E3636)),MAX($D$1:D3635)+1,0)</f>
        <v>0</v>
      </c>
      <c r="H3636" s="6">
        <f t="shared" si="179"/>
        <v>0</v>
      </c>
      <c r="I3636" s="6">
        <f t="shared" si="180"/>
        <v>0</v>
      </c>
      <c r="J3636" s="6">
        <f t="shared" si="181"/>
        <v>0</v>
      </c>
      <c r="L3636" s="4" t="str">
        <f>IFERROR(VLOOKUP(ROWS($L$2:L3636),$B$2:$C$1996,2,0),"")</f>
        <v/>
      </c>
      <c r="N3636" s="2" t="str">
        <f>IFERROR(VLOOKUP(ROWS($N$2:N3636),$D$2:$E$1996,2,0),"")</f>
        <v/>
      </c>
    </row>
    <row r="3637" spans="2:14">
      <c r="B3637" s="32">
        <f>IF(ISNUMBER(SEARCH('Φόρμα Εισαγωγής'!$B$2,C3637)),MAX($B$1:B3636)+1,0)</f>
        <v>0</v>
      </c>
      <c r="D3637" s="33">
        <f>IF(ISNUMBER(SEARCH('Φόρμα Εισαγωγής'!$C$2,E3637)),MAX($D$1:D3636)+1,0)</f>
        <v>0</v>
      </c>
      <c r="H3637" s="6">
        <f t="shared" si="179"/>
        <v>0</v>
      </c>
      <c r="I3637" s="6">
        <f t="shared" si="180"/>
        <v>0</v>
      </c>
      <c r="J3637" s="6">
        <f t="shared" si="181"/>
        <v>0</v>
      </c>
      <c r="L3637" s="4" t="str">
        <f>IFERROR(VLOOKUP(ROWS($L$2:L3637),$B$2:$C$1996,2,0),"")</f>
        <v/>
      </c>
      <c r="N3637" s="2" t="str">
        <f>IFERROR(VLOOKUP(ROWS($N$2:N3637),$D$2:$E$1996,2,0),"")</f>
        <v/>
      </c>
    </row>
    <row r="3638" spans="2:14">
      <c r="B3638" s="32">
        <f>IF(ISNUMBER(SEARCH('Φόρμα Εισαγωγής'!$B$2,C3638)),MAX($B$1:B3637)+1,0)</f>
        <v>0</v>
      </c>
      <c r="D3638" s="33">
        <f>IF(ISNUMBER(SEARCH('Φόρμα Εισαγωγής'!$C$2,E3638)),MAX($D$1:D3637)+1,0)</f>
        <v>0</v>
      </c>
      <c r="H3638" s="6">
        <f t="shared" si="179"/>
        <v>0</v>
      </c>
      <c r="I3638" s="6">
        <f t="shared" si="180"/>
        <v>0</v>
      </c>
      <c r="J3638" s="6">
        <f t="shared" si="181"/>
        <v>0</v>
      </c>
      <c r="L3638" s="4" t="str">
        <f>IFERROR(VLOOKUP(ROWS($L$2:L3638),$B$2:$C$1996,2,0),"")</f>
        <v/>
      </c>
      <c r="N3638" s="2" t="str">
        <f>IFERROR(VLOOKUP(ROWS($N$2:N3638),$D$2:$E$1996,2,0),"")</f>
        <v/>
      </c>
    </row>
    <row r="3639" spans="2:14">
      <c r="B3639" s="32">
        <f>IF(ISNUMBER(SEARCH('Φόρμα Εισαγωγής'!$B$2,C3639)),MAX($B$1:B3638)+1,0)</f>
        <v>0</v>
      </c>
      <c r="D3639" s="33">
        <f>IF(ISNUMBER(SEARCH('Φόρμα Εισαγωγής'!$C$2,E3639)),MAX($D$1:D3638)+1,0)</f>
        <v>0</v>
      </c>
      <c r="H3639" s="6">
        <f t="shared" si="179"/>
        <v>0</v>
      </c>
      <c r="I3639" s="6">
        <f t="shared" si="180"/>
        <v>0</v>
      </c>
      <c r="J3639" s="6">
        <f t="shared" si="181"/>
        <v>0</v>
      </c>
      <c r="L3639" s="4" t="str">
        <f>IFERROR(VLOOKUP(ROWS($L$2:L3639),$B$2:$C$1996,2,0),"")</f>
        <v/>
      </c>
      <c r="N3639" s="2" t="str">
        <f>IFERROR(VLOOKUP(ROWS($N$2:N3639),$D$2:$E$1996,2,0),"")</f>
        <v/>
      </c>
    </row>
    <row r="3640" spans="2:14">
      <c r="B3640" s="32">
        <f>IF(ISNUMBER(SEARCH('Φόρμα Εισαγωγής'!$B$2,C3640)),MAX($B$1:B3639)+1,0)</f>
        <v>0</v>
      </c>
      <c r="D3640" s="33">
        <f>IF(ISNUMBER(SEARCH('Φόρμα Εισαγωγής'!$C$2,E3640)),MAX($D$1:D3639)+1,0)</f>
        <v>0</v>
      </c>
      <c r="H3640" s="6">
        <f t="shared" si="179"/>
        <v>0</v>
      </c>
      <c r="I3640" s="6">
        <f t="shared" si="180"/>
        <v>0</v>
      </c>
      <c r="J3640" s="6">
        <f t="shared" si="181"/>
        <v>0</v>
      </c>
      <c r="L3640" s="4" t="str">
        <f>IFERROR(VLOOKUP(ROWS($L$2:L3640),$B$2:$C$1996,2,0),"")</f>
        <v/>
      </c>
      <c r="N3640" s="2" t="str">
        <f>IFERROR(VLOOKUP(ROWS($N$2:N3640),$D$2:$E$1996,2,0),"")</f>
        <v/>
      </c>
    </row>
    <row r="3641" spans="2:14">
      <c r="B3641" s="32">
        <f>IF(ISNUMBER(SEARCH('Φόρμα Εισαγωγής'!$B$2,C3641)),MAX($B$1:B3640)+1,0)</f>
        <v>0</v>
      </c>
      <c r="D3641" s="33">
        <f>IF(ISNUMBER(SEARCH('Φόρμα Εισαγωγής'!$C$2,E3641)),MAX($D$1:D3640)+1,0)</f>
        <v>0</v>
      </c>
      <c r="H3641" s="6">
        <f t="shared" si="179"/>
        <v>0</v>
      </c>
      <c r="I3641" s="6">
        <f t="shared" si="180"/>
        <v>0</v>
      </c>
      <c r="J3641" s="6">
        <f t="shared" si="181"/>
        <v>0</v>
      </c>
      <c r="L3641" s="4" t="str">
        <f>IFERROR(VLOOKUP(ROWS($L$2:L3641),$B$2:$C$1996,2,0),"")</f>
        <v/>
      </c>
      <c r="N3641" s="2" t="str">
        <f>IFERROR(VLOOKUP(ROWS($N$2:N3641),$D$2:$E$1996,2,0),"")</f>
        <v/>
      </c>
    </row>
    <row r="3642" spans="2:14">
      <c r="B3642" s="32">
        <f>IF(ISNUMBER(SEARCH('Φόρμα Εισαγωγής'!$B$2,C3642)),MAX($B$1:B3641)+1,0)</f>
        <v>0</v>
      </c>
      <c r="D3642" s="33">
        <f>IF(ISNUMBER(SEARCH('Φόρμα Εισαγωγής'!$C$2,E3642)),MAX($D$1:D3641)+1,0)</f>
        <v>0</v>
      </c>
      <c r="H3642" s="6">
        <f t="shared" si="179"/>
        <v>0</v>
      </c>
      <c r="I3642" s="6">
        <f t="shared" si="180"/>
        <v>0</v>
      </c>
      <c r="J3642" s="6">
        <f t="shared" si="181"/>
        <v>0</v>
      </c>
      <c r="L3642" s="4" t="str">
        <f>IFERROR(VLOOKUP(ROWS($L$2:L3642),$B$2:$C$1996,2,0),"")</f>
        <v/>
      </c>
      <c r="N3642" s="2" t="str">
        <f>IFERROR(VLOOKUP(ROWS($N$2:N3642),$D$2:$E$1996,2,0),"")</f>
        <v/>
      </c>
    </row>
    <row r="3643" spans="2:14">
      <c r="B3643" s="32">
        <f>IF(ISNUMBER(SEARCH('Φόρμα Εισαγωγής'!$B$2,C3643)),MAX($B$1:B3642)+1,0)</f>
        <v>0</v>
      </c>
      <c r="D3643" s="33">
        <f>IF(ISNUMBER(SEARCH('Φόρμα Εισαγωγής'!$C$2,E3643)),MAX($D$1:D3642)+1,0)</f>
        <v>0</v>
      </c>
      <c r="H3643" s="6">
        <f t="shared" si="179"/>
        <v>0</v>
      </c>
      <c r="I3643" s="6">
        <f t="shared" si="180"/>
        <v>0</v>
      </c>
      <c r="J3643" s="6">
        <f t="shared" si="181"/>
        <v>0</v>
      </c>
      <c r="L3643" s="4" t="str">
        <f>IFERROR(VLOOKUP(ROWS($L$2:L3643),$B$2:$C$1996,2,0),"")</f>
        <v/>
      </c>
      <c r="N3643" s="2" t="str">
        <f>IFERROR(VLOOKUP(ROWS($N$2:N3643),$D$2:$E$1996,2,0),"")</f>
        <v/>
      </c>
    </row>
    <row r="3644" spans="2:14">
      <c r="B3644" s="32">
        <f>IF(ISNUMBER(SEARCH('Φόρμα Εισαγωγής'!$B$2,C3644)),MAX($B$1:B3643)+1,0)</f>
        <v>0</v>
      </c>
      <c r="D3644" s="33">
        <f>IF(ISNUMBER(SEARCH('Φόρμα Εισαγωγής'!$C$2,E3644)),MAX($D$1:D3643)+1,0)</f>
        <v>0</v>
      </c>
      <c r="H3644" s="6">
        <f t="shared" si="179"/>
        <v>0</v>
      </c>
      <c r="I3644" s="6">
        <f t="shared" si="180"/>
        <v>0</v>
      </c>
      <c r="J3644" s="6">
        <f t="shared" si="181"/>
        <v>0</v>
      </c>
      <c r="L3644" s="4" t="str">
        <f>IFERROR(VLOOKUP(ROWS($L$2:L3644),$B$2:$C$1996,2,0),"")</f>
        <v/>
      </c>
      <c r="N3644" s="2" t="str">
        <f>IFERROR(VLOOKUP(ROWS($N$2:N3644),$D$2:$E$1996,2,0),"")</f>
        <v/>
      </c>
    </row>
    <row r="3645" spans="2:14">
      <c r="B3645" s="32">
        <f>IF(ISNUMBER(SEARCH('Φόρμα Εισαγωγής'!$B$2,C3645)),MAX($B$1:B3644)+1,0)</f>
        <v>0</v>
      </c>
      <c r="D3645" s="33">
        <f>IF(ISNUMBER(SEARCH('Φόρμα Εισαγωγής'!$C$2,E3645)),MAX($D$1:D3644)+1,0)</f>
        <v>0</v>
      </c>
      <c r="H3645" s="6">
        <f t="shared" si="179"/>
        <v>0</v>
      </c>
      <c r="I3645" s="6">
        <f t="shared" si="180"/>
        <v>0</v>
      </c>
      <c r="J3645" s="6">
        <f t="shared" si="181"/>
        <v>0</v>
      </c>
      <c r="L3645" s="4" t="str">
        <f>IFERROR(VLOOKUP(ROWS($L$2:L3645),$B$2:$C$1996,2,0),"")</f>
        <v/>
      </c>
      <c r="N3645" s="2" t="str">
        <f>IFERROR(VLOOKUP(ROWS($N$2:N3645),$D$2:$E$1996,2,0),"")</f>
        <v/>
      </c>
    </row>
    <row r="3646" spans="2:14">
      <c r="B3646" s="32">
        <f>IF(ISNUMBER(SEARCH('Φόρμα Εισαγωγής'!$B$2,C3646)),MAX($B$1:B3645)+1,0)</f>
        <v>0</v>
      </c>
      <c r="D3646" s="33">
        <f>IF(ISNUMBER(SEARCH('Φόρμα Εισαγωγής'!$C$2,E3646)),MAX($D$1:D3645)+1,0)</f>
        <v>0</v>
      </c>
      <c r="H3646" s="6">
        <f t="shared" si="179"/>
        <v>0</v>
      </c>
      <c r="I3646" s="6">
        <f t="shared" si="180"/>
        <v>0</v>
      </c>
      <c r="J3646" s="6">
        <f t="shared" si="181"/>
        <v>0</v>
      </c>
      <c r="L3646" s="4" t="str">
        <f>IFERROR(VLOOKUP(ROWS($L$2:L3646),$B$2:$C$1996,2,0),"")</f>
        <v/>
      </c>
      <c r="N3646" s="2" t="str">
        <f>IFERROR(VLOOKUP(ROWS($N$2:N3646),$D$2:$E$1996,2,0),"")</f>
        <v/>
      </c>
    </row>
    <row r="3647" spans="2:14">
      <c r="B3647" s="32">
        <f>IF(ISNUMBER(SEARCH('Φόρμα Εισαγωγής'!$B$2,C3647)),MAX($B$1:B3646)+1,0)</f>
        <v>0</v>
      </c>
      <c r="D3647" s="33">
        <f>IF(ISNUMBER(SEARCH('Φόρμα Εισαγωγής'!$C$2,E3647)),MAX($D$1:D3646)+1,0)</f>
        <v>0</v>
      </c>
      <c r="H3647" s="6">
        <f t="shared" si="179"/>
        <v>0</v>
      </c>
      <c r="I3647" s="6">
        <f t="shared" si="180"/>
        <v>0</v>
      </c>
      <c r="J3647" s="6">
        <f t="shared" si="181"/>
        <v>0</v>
      </c>
      <c r="L3647" s="4" t="str">
        <f>IFERROR(VLOOKUP(ROWS($L$2:L3647),$B$2:$C$1996,2,0),"")</f>
        <v/>
      </c>
      <c r="N3647" s="2" t="str">
        <f>IFERROR(VLOOKUP(ROWS($N$2:N3647),$D$2:$E$1996,2,0),"")</f>
        <v/>
      </c>
    </row>
    <row r="3648" spans="2:14">
      <c r="B3648" s="32">
        <f>IF(ISNUMBER(SEARCH('Φόρμα Εισαγωγής'!$B$2,C3648)),MAX($B$1:B3647)+1,0)</f>
        <v>0</v>
      </c>
      <c r="D3648" s="33">
        <f>IF(ISNUMBER(SEARCH('Φόρμα Εισαγωγής'!$C$2,E3648)),MAX($D$1:D3647)+1,0)</f>
        <v>0</v>
      </c>
      <c r="H3648" s="6">
        <f t="shared" ref="H3648:H3711" si="182">G3648+(G3648*0.24)</f>
        <v>0</v>
      </c>
      <c r="I3648" s="6">
        <f t="shared" ref="I3648:I3711" si="183">F3648*A3648</f>
        <v>0</v>
      </c>
      <c r="J3648" s="6">
        <f t="shared" ref="J3648:J3711" si="184">H3648*A3648</f>
        <v>0</v>
      </c>
      <c r="L3648" s="4" t="str">
        <f>IFERROR(VLOOKUP(ROWS($L$2:L3648),$B$2:$C$1996,2,0),"")</f>
        <v/>
      </c>
      <c r="N3648" s="2" t="str">
        <f>IFERROR(VLOOKUP(ROWS($N$2:N3648),$D$2:$E$1996,2,0),"")</f>
        <v/>
      </c>
    </row>
    <row r="3649" spans="2:14">
      <c r="B3649" s="32">
        <f>IF(ISNUMBER(SEARCH('Φόρμα Εισαγωγής'!$B$2,C3649)),MAX($B$1:B3648)+1,0)</f>
        <v>0</v>
      </c>
      <c r="D3649" s="33">
        <f>IF(ISNUMBER(SEARCH('Φόρμα Εισαγωγής'!$C$2,E3649)),MAX($D$1:D3648)+1,0)</f>
        <v>0</v>
      </c>
      <c r="H3649" s="6">
        <f t="shared" si="182"/>
        <v>0</v>
      </c>
      <c r="I3649" s="6">
        <f t="shared" si="183"/>
        <v>0</v>
      </c>
      <c r="J3649" s="6">
        <f t="shared" si="184"/>
        <v>0</v>
      </c>
      <c r="L3649" s="4" t="str">
        <f>IFERROR(VLOOKUP(ROWS($L$2:L3649),$B$2:$C$1996,2,0),"")</f>
        <v/>
      </c>
      <c r="N3649" s="2" t="str">
        <f>IFERROR(VLOOKUP(ROWS($N$2:N3649),$D$2:$E$1996,2,0),"")</f>
        <v/>
      </c>
    </row>
    <row r="3650" spans="2:14">
      <c r="B3650" s="32">
        <f>IF(ISNUMBER(SEARCH('Φόρμα Εισαγωγής'!$B$2,C3650)),MAX($B$1:B3649)+1,0)</f>
        <v>0</v>
      </c>
      <c r="D3650" s="33">
        <f>IF(ISNUMBER(SEARCH('Φόρμα Εισαγωγής'!$C$2,E3650)),MAX($D$1:D3649)+1,0)</f>
        <v>0</v>
      </c>
      <c r="H3650" s="6">
        <f t="shared" si="182"/>
        <v>0</v>
      </c>
      <c r="I3650" s="6">
        <f t="shared" si="183"/>
        <v>0</v>
      </c>
      <c r="J3650" s="6">
        <f t="shared" si="184"/>
        <v>0</v>
      </c>
      <c r="L3650" s="4" t="str">
        <f>IFERROR(VLOOKUP(ROWS($L$2:L3650),$B$2:$C$1996,2,0),"")</f>
        <v/>
      </c>
      <c r="N3650" s="2" t="str">
        <f>IFERROR(VLOOKUP(ROWS($N$2:N3650),$D$2:$E$1996,2,0),"")</f>
        <v/>
      </c>
    </row>
    <row r="3651" spans="2:14">
      <c r="B3651" s="32">
        <f>IF(ISNUMBER(SEARCH('Φόρμα Εισαγωγής'!$B$2,C3651)),MAX($B$1:B3650)+1,0)</f>
        <v>0</v>
      </c>
      <c r="D3651" s="33">
        <f>IF(ISNUMBER(SEARCH('Φόρμα Εισαγωγής'!$C$2,E3651)),MAX($D$1:D3650)+1,0)</f>
        <v>0</v>
      </c>
      <c r="H3651" s="6">
        <f t="shared" si="182"/>
        <v>0</v>
      </c>
      <c r="I3651" s="6">
        <f t="shared" si="183"/>
        <v>0</v>
      </c>
      <c r="J3651" s="6">
        <f t="shared" si="184"/>
        <v>0</v>
      </c>
      <c r="L3651" s="4" t="str">
        <f>IFERROR(VLOOKUP(ROWS($L$2:L3651),$B$2:$C$1996,2,0),"")</f>
        <v/>
      </c>
      <c r="N3651" s="2" t="str">
        <f>IFERROR(VLOOKUP(ROWS($N$2:N3651),$D$2:$E$1996,2,0),"")</f>
        <v/>
      </c>
    </row>
    <row r="3652" spans="2:14">
      <c r="B3652" s="32">
        <f>IF(ISNUMBER(SEARCH('Φόρμα Εισαγωγής'!$B$2,C3652)),MAX($B$1:B3651)+1,0)</f>
        <v>0</v>
      </c>
      <c r="D3652" s="33">
        <f>IF(ISNUMBER(SEARCH('Φόρμα Εισαγωγής'!$C$2,E3652)),MAX($D$1:D3651)+1,0)</f>
        <v>0</v>
      </c>
      <c r="H3652" s="6">
        <f t="shared" si="182"/>
        <v>0</v>
      </c>
      <c r="I3652" s="6">
        <f t="shared" si="183"/>
        <v>0</v>
      </c>
      <c r="J3652" s="6">
        <f t="shared" si="184"/>
        <v>0</v>
      </c>
      <c r="L3652" s="4" t="str">
        <f>IFERROR(VLOOKUP(ROWS($L$2:L3652),$B$2:$C$1996,2,0),"")</f>
        <v/>
      </c>
      <c r="N3652" s="2" t="str">
        <f>IFERROR(VLOOKUP(ROWS($N$2:N3652),$D$2:$E$1996,2,0),"")</f>
        <v/>
      </c>
    </row>
    <row r="3653" spans="2:14">
      <c r="B3653" s="32">
        <f>IF(ISNUMBER(SEARCH('Φόρμα Εισαγωγής'!$B$2,C3653)),MAX($B$1:B3652)+1,0)</f>
        <v>0</v>
      </c>
      <c r="D3653" s="33">
        <f>IF(ISNUMBER(SEARCH('Φόρμα Εισαγωγής'!$C$2,E3653)),MAX($D$1:D3652)+1,0)</f>
        <v>0</v>
      </c>
      <c r="H3653" s="6">
        <f t="shared" si="182"/>
        <v>0</v>
      </c>
      <c r="I3653" s="6">
        <f t="shared" si="183"/>
        <v>0</v>
      </c>
      <c r="J3653" s="6">
        <f t="shared" si="184"/>
        <v>0</v>
      </c>
      <c r="L3653" s="4" t="str">
        <f>IFERROR(VLOOKUP(ROWS($L$2:L3653),$B$2:$C$1996,2,0),"")</f>
        <v/>
      </c>
      <c r="N3653" s="2" t="str">
        <f>IFERROR(VLOOKUP(ROWS($N$2:N3653),$D$2:$E$1996,2,0),"")</f>
        <v/>
      </c>
    </row>
    <row r="3654" spans="2:14">
      <c r="B3654" s="32">
        <f>IF(ISNUMBER(SEARCH('Φόρμα Εισαγωγής'!$B$2,C3654)),MAX($B$1:B3653)+1,0)</f>
        <v>0</v>
      </c>
      <c r="D3654" s="33">
        <f>IF(ISNUMBER(SEARCH('Φόρμα Εισαγωγής'!$C$2,E3654)),MAX($D$1:D3653)+1,0)</f>
        <v>0</v>
      </c>
      <c r="H3654" s="6">
        <f t="shared" si="182"/>
        <v>0</v>
      </c>
      <c r="I3654" s="6">
        <f t="shared" si="183"/>
        <v>0</v>
      </c>
      <c r="J3654" s="6">
        <f t="shared" si="184"/>
        <v>0</v>
      </c>
      <c r="L3654" s="4" t="str">
        <f>IFERROR(VLOOKUP(ROWS($L$2:L3654),$B$2:$C$1996,2,0),"")</f>
        <v/>
      </c>
      <c r="N3654" s="2" t="str">
        <f>IFERROR(VLOOKUP(ROWS($N$2:N3654),$D$2:$E$1996,2,0),"")</f>
        <v/>
      </c>
    </row>
    <row r="3655" spans="2:14">
      <c r="B3655" s="32">
        <f>IF(ISNUMBER(SEARCH('Φόρμα Εισαγωγής'!$B$2,C3655)),MAX($B$1:B3654)+1,0)</f>
        <v>0</v>
      </c>
      <c r="D3655" s="33">
        <f>IF(ISNUMBER(SEARCH('Φόρμα Εισαγωγής'!$C$2,E3655)),MAX($D$1:D3654)+1,0)</f>
        <v>0</v>
      </c>
      <c r="H3655" s="6">
        <f t="shared" si="182"/>
        <v>0</v>
      </c>
      <c r="I3655" s="6">
        <f t="shared" si="183"/>
        <v>0</v>
      </c>
      <c r="J3655" s="6">
        <f t="shared" si="184"/>
        <v>0</v>
      </c>
      <c r="L3655" s="4" t="str">
        <f>IFERROR(VLOOKUP(ROWS($L$2:L3655),$B$2:$C$1996,2,0),"")</f>
        <v/>
      </c>
      <c r="N3655" s="2" t="str">
        <f>IFERROR(VLOOKUP(ROWS($N$2:N3655),$D$2:$E$1996,2,0),"")</f>
        <v/>
      </c>
    </row>
    <row r="3656" spans="2:14">
      <c r="B3656" s="32">
        <f>IF(ISNUMBER(SEARCH('Φόρμα Εισαγωγής'!$B$2,C3656)),MAX($B$1:B3655)+1,0)</f>
        <v>0</v>
      </c>
      <c r="D3656" s="33">
        <f>IF(ISNUMBER(SEARCH('Φόρμα Εισαγωγής'!$C$2,E3656)),MAX($D$1:D3655)+1,0)</f>
        <v>0</v>
      </c>
      <c r="H3656" s="6">
        <f t="shared" si="182"/>
        <v>0</v>
      </c>
      <c r="I3656" s="6">
        <f t="shared" si="183"/>
        <v>0</v>
      </c>
      <c r="J3656" s="6">
        <f t="shared" si="184"/>
        <v>0</v>
      </c>
      <c r="L3656" s="4" t="str">
        <f>IFERROR(VLOOKUP(ROWS($L$2:L3656),$B$2:$C$1996,2,0),"")</f>
        <v/>
      </c>
      <c r="N3656" s="2" t="str">
        <f>IFERROR(VLOOKUP(ROWS($N$2:N3656),$D$2:$E$1996,2,0),"")</f>
        <v/>
      </c>
    </row>
    <row r="3657" spans="2:14">
      <c r="B3657" s="32">
        <f>IF(ISNUMBER(SEARCH('Φόρμα Εισαγωγής'!$B$2,C3657)),MAX($B$1:B3656)+1,0)</f>
        <v>0</v>
      </c>
      <c r="D3657" s="33">
        <f>IF(ISNUMBER(SEARCH('Φόρμα Εισαγωγής'!$C$2,E3657)),MAX($D$1:D3656)+1,0)</f>
        <v>0</v>
      </c>
      <c r="H3657" s="6">
        <f t="shared" si="182"/>
        <v>0</v>
      </c>
      <c r="I3657" s="6">
        <f t="shared" si="183"/>
        <v>0</v>
      </c>
      <c r="J3657" s="6">
        <f t="shared" si="184"/>
        <v>0</v>
      </c>
      <c r="L3657" s="4" t="str">
        <f>IFERROR(VLOOKUP(ROWS($L$2:L3657),$B$2:$C$1996,2,0),"")</f>
        <v/>
      </c>
      <c r="N3657" s="2" t="str">
        <f>IFERROR(VLOOKUP(ROWS($N$2:N3657),$D$2:$E$1996,2,0),"")</f>
        <v/>
      </c>
    </row>
    <row r="3658" spans="2:14">
      <c r="B3658" s="32">
        <f>IF(ISNUMBER(SEARCH('Φόρμα Εισαγωγής'!$B$2,C3658)),MAX($B$1:B3657)+1,0)</f>
        <v>0</v>
      </c>
      <c r="D3658" s="33">
        <f>IF(ISNUMBER(SEARCH('Φόρμα Εισαγωγής'!$C$2,E3658)),MAX($D$1:D3657)+1,0)</f>
        <v>0</v>
      </c>
      <c r="H3658" s="6">
        <f t="shared" si="182"/>
        <v>0</v>
      </c>
      <c r="I3658" s="6">
        <f t="shared" si="183"/>
        <v>0</v>
      </c>
      <c r="J3658" s="6">
        <f t="shared" si="184"/>
        <v>0</v>
      </c>
      <c r="L3658" s="4" t="str">
        <f>IFERROR(VLOOKUP(ROWS($L$2:L3658),$B$2:$C$1996,2,0),"")</f>
        <v/>
      </c>
      <c r="N3658" s="2" t="str">
        <f>IFERROR(VLOOKUP(ROWS($N$2:N3658),$D$2:$E$1996,2,0),"")</f>
        <v/>
      </c>
    </row>
    <row r="3659" spans="2:14">
      <c r="B3659" s="32">
        <f>IF(ISNUMBER(SEARCH('Φόρμα Εισαγωγής'!$B$2,C3659)),MAX($B$1:B3658)+1,0)</f>
        <v>0</v>
      </c>
      <c r="D3659" s="33">
        <f>IF(ISNUMBER(SEARCH('Φόρμα Εισαγωγής'!$C$2,E3659)),MAX($D$1:D3658)+1,0)</f>
        <v>0</v>
      </c>
      <c r="H3659" s="6">
        <f t="shared" si="182"/>
        <v>0</v>
      </c>
      <c r="I3659" s="6">
        <f t="shared" si="183"/>
        <v>0</v>
      </c>
      <c r="J3659" s="6">
        <f t="shared" si="184"/>
        <v>0</v>
      </c>
      <c r="L3659" s="4" t="str">
        <f>IFERROR(VLOOKUP(ROWS($L$2:L3659),$B$2:$C$1996,2,0),"")</f>
        <v/>
      </c>
      <c r="N3659" s="2" t="str">
        <f>IFERROR(VLOOKUP(ROWS($N$2:N3659),$D$2:$E$1996,2,0),"")</f>
        <v/>
      </c>
    </row>
    <row r="3660" spans="2:14">
      <c r="B3660" s="32">
        <f>IF(ISNUMBER(SEARCH('Φόρμα Εισαγωγής'!$B$2,C3660)),MAX($B$1:B3659)+1,0)</f>
        <v>0</v>
      </c>
      <c r="D3660" s="33">
        <f>IF(ISNUMBER(SEARCH('Φόρμα Εισαγωγής'!$C$2,E3660)),MAX($D$1:D3659)+1,0)</f>
        <v>0</v>
      </c>
      <c r="H3660" s="6">
        <f t="shared" si="182"/>
        <v>0</v>
      </c>
      <c r="I3660" s="6">
        <f t="shared" si="183"/>
        <v>0</v>
      </c>
      <c r="J3660" s="6">
        <f t="shared" si="184"/>
        <v>0</v>
      </c>
      <c r="L3660" s="4" t="str">
        <f>IFERROR(VLOOKUP(ROWS($L$2:L3660),$B$2:$C$1996,2,0),"")</f>
        <v/>
      </c>
      <c r="N3660" s="2" t="str">
        <f>IFERROR(VLOOKUP(ROWS($N$2:N3660),$D$2:$E$1996,2,0),"")</f>
        <v/>
      </c>
    </row>
    <row r="3661" spans="2:14">
      <c r="B3661" s="32">
        <f>IF(ISNUMBER(SEARCH('Φόρμα Εισαγωγής'!$B$2,C3661)),MAX($B$1:B3660)+1,0)</f>
        <v>0</v>
      </c>
      <c r="D3661" s="33">
        <f>IF(ISNUMBER(SEARCH('Φόρμα Εισαγωγής'!$C$2,E3661)),MAX($D$1:D3660)+1,0)</f>
        <v>0</v>
      </c>
      <c r="H3661" s="6">
        <f t="shared" si="182"/>
        <v>0</v>
      </c>
      <c r="I3661" s="6">
        <f t="shared" si="183"/>
        <v>0</v>
      </c>
      <c r="J3661" s="6">
        <f t="shared" si="184"/>
        <v>0</v>
      </c>
      <c r="L3661" s="4" t="str">
        <f>IFERROR(VLOOKUP(ROWS($L$2:L3661),$B$2:$C$1996,2,0),"")</f>
        <v/>
      </c>
      <c r="N3661" s="2" t="str">
        <f>IFERROR(VLOOKUP(ROWS($N$2:N3661),$D$2:$E$1996,2,0),"")</f>
        <v/>
      </c>
    </row>
    <row r="3662" spans="2:14">
      <c r="B3662" s="32">
        <f>IF(ISNUMBER(SEARCH('Φόρμα Εισαγωγής'!$B$2,C3662)),MAX($B$1:B3661)+1,0)</f>
        <v>0</v>
      </c>
      <c r="D3662" s="33">
        <f>IF(ISNUMBER(SEARCH('Φόρμα Εισαγωγής'!$C$2,E3662)),MAX($D$1:D3661)+1,0)</f>
        <v>0</v>
      </c>
      <c r="H3662" s="6">
        <f t="shared" si="182"/>
        <v>0</v>
      </c>
      <c r="I3662" s="6">
        <f t="shared" si="183"/>
        <v>0</v>
      </c>
      <c r="J3662" s="6">
        <f t="shared" si="184"/>
        <v>0</v>
      </c>
      <c r="L3662" s="4" t="str">
        <f>IFERROR(VLOOKUP(ROWS($L$2:L3662),$B$2:$C$1996,2,0),"")</f>
        <v/>
      </c>
      <c r="N3662" s="2" t="str">
        <f>IFERROR(VLOOKUP(ROWS($N$2:N3662),$D$2:$E$1996,2,0),"")</f>
        <v/>
      </c>
    </row>
    <row r="3663" spans="2:14">
      <c r="B3663" s="32">
        <f>IF(ISNUMBER(SEARCH('Φόρμα Εισαγωγής'!$B$2,C3663)),MAX($B$1:B3662)+1,0)</f>
        <v>0</v>
      </c>
      <c r="D3663" s="33">
        <f>IF(ISNUMBER(SEARCH('Φόρμα Εισαγωγής'!$C$2,E3663)),MAX($D$1:D3662)+1,0)</f>
        <v>0</v>
      </c>
      <c r="H3663" s="6">
        <f t="shared" si="182"/>
        <v>0</v>
      </c>
      <c r="I3663" s="6">
        <f t="shared" si="183"/>
        <v>0</v>
      </c>
      <c r="J3663" s="6">
        <f t="shared" si="184"/>
        <v>0</v>
      </c>
      <c r="L3663" s="4" t="str">
        <f>IFERROR(VLOOKUP(ROWS($L$2:L3663),$B$2:$C$1996,2,0),"")</f>
        <v/>
      </c>
      <c r="N3663" s="2" t="str">
        <f>IFERROR(VLOOKUP(ROWS($N$2:N3663),$D$2:$E$1996,2,0),"")</f>
        <v/>
      </c>
    </row>
    <row r="3664" spans="2:14">
      <c r="B3664" s="32">
        <f>IF(ISNUMBER(SEARCH('Φόρμα Εισαγωγής'!$B$2,C3664)),MAX($B$1:B3663)+1,0)</f>
        <v>0</v>
      </c>
      <c r="D3664" s="33">
        <f>IF(ISNUMBER(SEARCH('Φόρμα Εισαγωγής'!$C$2,E3664)),MAX($D$1:D3663)+1,0)</f>
        <v>0</v>
      </c>
      <c r="H3664" s="6">
        <f t="shared" si="182"/>
        <v>0</v>
      </c>
      <c r="I3664" s="6">
        <f t="shared" si="183"/>
        <v>0</v>
      </c>
      <c r="J3664" s="6">
        <f t="shared" si="184"/>
        <v>0</v>
      </c>
      <c r="L3664" s="4" t="str">
        <f>IFERROR(VLOOKUP(ROWS($L$2:L3664),$B$2:$C$1996,2,0),"")</f>
        <v/>
      </c>
      <c r="N3664" s="2" t="str">
        <f>IFERROR(VLOOKUP(ROWS($N$2:N3664),$D$2:$E$1996,2,0),"")</f>
        <v/>
      </c>
    </row>
    <row r="3665" spans="2:14">
      <c r="B3665" s="32">
        <f>IF(ISNUMBER(SEARCH('Φόρμα Εισαγωγής'!$B$2,C3665)),MAX($B$1:B3664)+1,0)</f>
        <v>0</v>
      </c>
      <c r="D3665" s="33">
        <f>IF(ISNUMBER(SEARCH('Φόρμα Εισαγωγής'!$C$2,E3665)),MAX($D$1:D3664)+1,0)</f>
        <v>0</v>
      </c>
      <c r="H3665" s="6">
        <f t="shared" si="182"/>
        <v>0</v>
      </c>
      <c r="I3665" s="6">
        <f t="shared" si="183"/>
        <v>0</v>
      </c>
      <c r="J3665" s="6">
        <f t="shared" si="184"/>
        <v>0</v>
      </c>
      <c r="L3665" s="4" t="str">
        <f>IFERROR(VLOOKUP(ROWS($L$2:L3665),$B$2:$C$1996,2,0),"")</f>
        <v/>
      </c>
      <c r="N3665" s="2" t="str">
        <f>IFERROR(VLOOKUP(ROWS($N$2:N3665),$D$2:$E$1996,2,0),"")</f>
        <v/>
      </c>
    </row>
    <row r="3666" spans="2:14">
      <c r="B3666" s="32">
        <f>IF(ISNUMBER(SEARCH('Φόρμα Εισαγωγής'!$B$2,C3666)),MAX($B$1:B3665)+1,0)</f>
        <v>0</v>
      </c>
      <c r="D3666" s="33">
        <f>IF(ISNUMBER(SEARCH('Φόρμα Εισαγωγής'!$C$2,E3666)),MAX($D$1:D3665)+1,0)</f>
        <v>0</v>
      </c>
      <c r="H3666" s="6">
        <f t="shared" si="182"/>
        <v>0</v>
      </c>
      <c r="I3666" s="6">
        <f t="shared" si="183"/>
        <v>0</v>
      </c>
      <c r="J3666" s="6">
        <f t="shared" si="184"/>
        <v>0</v>
      </c>
      <c r="L3666" s="4" t="str">
        <f>IFERROR(VLOOKUP(ROWS($L$2:L3666),$B$2:$C$1996,2,0),"")</f>
        <v/>
      </c>
      <c r="N3666" s="2" t="str">
        <f>IFERROR(VLOOKUP(ROWS($N$2:N3666),$D$2:$E$1996,2,0),"")</f>
        <v/>
      </c>
    </row>
    <row r="3667" spans="2:14">
      <c r="B3667" s="32">
        <f>IF(ISNUMBER(SEARCH('Φόρμα Εισαγωγής'!$B$2,C3667)),MAX($B$1:B3666)+1,0)</f>
        <v>0</v>
      </c>
      <c r="D3667" s="33">
        <f>IF(ISNUMBER(SEARCH('Φόρμα Εισαγωγής'!$C$2,E3667)),MAX($D$1:D3666)+1,0)</f>
        <v>0</v>
      </c>
      <c r="H3667" s="6">
        <f t="shared" si="182"/>
        <v>0</v>
      </c>
      <c r="I3667" s="6">
        <f t="shared" si="183"/>
        <v>0</v>
      </c>
      <c r="J3667" s="6">
        <f t="shared" si="184"/>
        <v>0</v>
      </c>
      <c r="L3667" s="4" t="str">
        <f>IFERROR(VLOOKUP(ROWS($L$2:L3667),$B$2:$C$1996,2,0),"")</f>
        <v/>
      </c>
      <c r="N3667" s="2" t="str">
        <f>IFERROR(VLOOKUP(ROWS($N$2:N3667),$D$2:$E$1996,2,0),"")</f>
        <v/>
      </c>
    </row>
    <row r="3668" spans="2:14">
      <c r="B3668" s="32">
        <f>IF(ISNUMBER(SEARCH('Φόρμα Εισαγωγής'!$B$2,C3668)),MAX($B$1:B3667)+1,0)</f>
        <v>0</v>
      </c>
      <c r="D3668" s="33">
        <f>IF(ISNUMBER(SEARCH('Φόρμα Εισαγωγής'!$C$2,E3668)),MAX($D$1:D3667)+1,0)</f>
        <v>0</v>
      </c>
      <c r="H3668" s="6">
        <f t="shared" si="182"/>
        <v>0</v>
      </c>
      <c r="I3668" s="6">
        <f t="shared" si="183"/>
        <v>0</v>
      </c>
      <c r="J3668" s="6">
        <f t="shared" si="184"/>
        <v>0</v>
      </c>
      <c r="L3668" s="4" t="str">
        <f>IFERROR(VLOOKUP(ROWS($L$2:L3668),$B$2:$C$1996,2,0),"")</f>
        <v/>
      </c>
      <c r="N3668" s="2" t="str">
        <f>IFERROR(VLOOKUP(ROWS($N$2:N3668),$D$2:$E$1996,2,0),"")</f>
        <v/>
      </c>
    </row>
    <row r="3669" spans="2:14">
      <c r="B3669" s="32">
        <f>IF(ISNUMBER(SEARCH('Φόρμα Εισαγωγής'!$B$2,C3669)),MAX($B$1:B3668)+1,0)</f>
        <v>0</v>
      </c>
      <c r="D3669" s="33">
        <f>IF(ISNUMBER(SEARCH('Φόρμα Εισαγωγής'!$C$2,E3669)),MAX($D$1:D3668)+1,0)</f>
        <v>0</v>
      </c>
      <c r="H3669" s="6">
        <f t="shared" si="182"/>
        <v>0</v>
      </c>
      <c r="I3669" s="6">
        <f t="shared" si="183"/>
        <v>0</v>
      </c>
      <c r="J3669" s="6">
        <f t="shared" si="184"/>
        <v>0</v>
      </c>
      <c r="L3669" s="4" t="str">
        <f>IFERROR(VLOOKUP(ROWS($L$2:L3669),$B$2:$C$1996,2,0),"")</f>
        <v/>
      </c>
      <c r="N3669" s="2" t="str">
        <f>IFERROR(VLOOKUP(ROWS($N$2:N3669),$D$2:$E$1996,2,0),"")</f>
        <v/>
      </c>
    </row>
    <row r="3670" spans="2:14">
      <c r="B3670" s="32">
        <f>IF(ISNUMBER(SEARCH('Φόρμα Εισαγωγής'!$B$2,C3670)),MAX($B$1:B3669)+1,0)</f>
        <v>0</v>
      </c>
      <c r="D3670" s="33">
        <f>IF(ISNUMBER(SEARCH('Φόρμα Εισαγωγής'!$C$2,E3670)),MAX($D$1:D3669)+1,0)</f>
        <v>0</v>
      </c>
      <c r="H3670" s="6">
        <f t="shared" si="182"/>
        <v>0</v>
      </c>
      <c r="I3670" s="6">
        <f t="shared" si="183"/>
        <v>0</v>
      </c>
      <c r="J3670" s="6">
        <f t="shared" si="184"/>
        <v>0</v>
      </c>
      <c r="L3670" s="4" t="str">
        <f>IFERROR(VLOOKUP(ROWS($L$2:L3670),$B$2:$C$1996,2,0),"")</f>
        <v/>
      </c>
      <c r="N3670" s="2" t="str">
        <f>IFERROR(VLOOKUP(ROWS($N$2:N3670),$D$2:$E$1996,2,0),"")</f>
        <v/>
      </c>
    </row>
    <row r="3671" spans="2:14">
      <c r="B3671" s="32">
        <f>IF(ISNUMBER(SEARCH('Φόρμα Εισαγωγής'!$B$2,C3671)),MAX($B$1:B3670)+1,0)</f>
        <v>0</v>
      </c>
      <c r="D3671" s="33">
        <f>IF(ISNUMBER(SEARCH('Φόρμα Εισαγωγής'!$C$2,E3671)),MAX($D$1:D3670)+1,0)</f>
        <v>0</v>
      </c>
      <c r="H3671" s="6">
        <f t="shared" si="182"/>
        <v>0</v>
      </c>
      <c r="I3671" s="6">
        <f t="shared" si="183"/>
        <v>0</v>
      </c>
      <c r="J3671" s="6">
        <f t="shared" si="184"/>
        <v>0</v>
      </c>
      <c r="L3671" s="4" t="str">
        <f>IFERROR(VLOOKUP(ROWS($L$2:L3671),$B$2:$C$1996,2,0),"")</f>
        <v/>
      </c>
      <c r="N3671" s="2" t="str">
        <f>IFERROR(VLOOKUP(ROWS($N$2:N3671),$D$2:$E$1996,2,0),"")</f>
        <v/>
      </c>
    </row>
    <row r="3672" spans="2:14">
      <c r="B3672" s="32">
        <f>IF(ISNUMBER(SEARCH('Φόρμα Εισαγωγής'!$B$2,C3672)),MAX($B$1:B3671)+1,0)</f>
        <v>0</v>
      </c>
      <c r="D3672" s="33">
        <f>IF(ISNUMBER(SEARCH('Φόρμα Εισαγωγής'!$C$2,E3672)),MAX($D$1:D3671)+1,0)</f>
        <v>0</v>
      </c>
      <c r="H3672" s="6">
        <f t="shared" si="182"/>
        <v>0</v>
      </c>
      <c r="I3672" s="6">
        <f t="shared" si="183"/>
        <v>0</v>
      </c>
      <c r="J3672" s="6">
        <f t="shared" si="184"/>
        <v>0</v>
      </c>
      <c r="L3672" s="4" t="str">
        <f>IFERROR(VLOOKUP(ROWS($L$2:L3672),$B$2:$C$1996,2,0),"")</f>
        <v/>
      </c>
      <c r="N3672" s="2" t="str">
        <f>IFERROR(VLOOKUP(ROWS($N$2:N3672),$D$2:$E$1996,2,0),"")</f>
        <v/>
      </c>
    </row>
    <row r="3673" spans="2:14">
      <c r="B3673" s="32">
        <f>IF(ISNUMBER(SEARCH('Φόρμα Εισαγωγής'!$B$2,C3673)),MAX($B$1:B3672)+1,0)</f>
        <v>0</v>
      </c>
      <c r="D3673" s="33">
        <f>IF(ISNUMBER(SEARCH('Φόρμα Εισαγωγής'!$C$2,E3673)),MAX($D$1:D3672)+1,0)</f>
        <v>0</v>
      </c>
      <c r="H3673" s="6">
        <f t="shared" si="182"/>
        <v>0</v>
      </c>
      <c r="I3673" s="6">
        <f t="shared" si="183"/>
        <v>0</v>
      </c>
      <c r="J3673" s="6">
        <f t="shared" si="184"/>
        <v>0</v>
      </c>
      <c r="L3673" s="4" t="str">
        <f>IFERROR(VLOOKUP(ROWS($L$2:L3673),$B$2:$C$1996,2,0),"")</f>
        <v/>
      </c>
      <c r="N3673" s="2" t="str">
        <f>IFERROR(VLOOKUP(ROWS($N$2:N3673),$D$2:$E$1996,2,0),"")</f>
        <v/>
      </c>
    </row>
    <row r="3674" spans="2:14">
      <c r="B3674" s="32">
        <f>IF(ISNUMBER(SEARCH('Φόρμα Εισαγωγής'!$B$2,C3674)),MAX($B$1:B3673)+1,0)</f>
        <v>0</v>
      </c>
      <c r="D3674" s="33">
        <f>IF(ISNUMBER(SEARCH('Φόρμα Εισαγωγής'!$C$2,E3674)),MAX($D$1:D3673)+1,0)</f>
        <v>0</v>
      </c>
      <c r="H3674" s="6">
        <f t="shared" si="182"/>
        <v>0</v>
      </c>
      <c r="I3674" s="6">
        <f t="shared" si="183"/>
        <v>0</v>
      </c>
      <c r="J3674" s="6">
        <f t="shared" si="184"/>
        <v>0</v>
      </c>
      <c r="L3674" s="4" t="str">
        <f>IFERROR(VLOOKUP(ROWS($L$2:L3674),$B$2:$C$1996,2,0),"")</f>
        <v/>
      </c>
      <c r="N3674" s="2" t="str">
        <f>IFERROR(VLOOKUP(ROWS($N$2:N3674),$D$2:$E$1996,2,0),"")</f>
        <v/>
      </c>
    </row>
    <row r="3675" spans="2:14">
      <c r="B3675" s="32">
        <f>IF(ISNUMBER(SEARCH('Φόρμα Εισαγωγής'!$B$2,C3675)),MAX($B$1:B3674)+1,0)</f>
        <v>0</v>
      </c>
      <c r="D3675" s="33">
        <f>IF(ISNUMBER(SEARCH('Φόρμα Εισαγωγής'!$C$2,E3675)),MAX($D$1:D3674)+1,0)</f>
        <v>0</v>
      </c>
      <c r="H3675" s="6">
        <f t="shared" si="182"/>
        <v>0</v>
      </c>
      <c r="I3675" s="6">
        <f t="shared" si="183"/>
        <v>0</v>
      </c>
      <c r="J3675" s="6">
        <f t="shared" si="184"/>
        <v>0</v>
      </c>
      <c r="L3675" s="4" t="str">
        <f>IFERROR(VLOOKUP(ROWS($L$2:L3675),$B$2:$C$1996,2,0),"")</f>
        <v/>
      </c>
      <c r="N3675" s="2" t="str">
        <f>IFERROR(VLOOKUP(ROWS($N$2:N3675),$D$2:$E$1996,2,0),"")</f>
        <v/>
      </c>
    </row>
    <row r="3676" spans="2:14">
      <c r="B3676" s="32">
        <f>IF(ISNUMBER(SEARCH('Φόρμα Εισαγωγής'!$B$2,C3676)),MAX($B$1:B3675)+1,0)</f>
        <v>0</v>
      </c>
      <c r="D3676" s="33">
        <f>IF(ISNUMBER(SEARCH('Φόρμα Εισαγωγής'!$C$2,E3676)),MAX($D$1:D3675)+1,0)</f>
        <v>0</v>
      </c>
      <c r="H3676" s="6">
        <f t="shared" si="182"/>
        <v>0</v>
      </c>
      <c r="I3676" s="6">
        <f t="shared" si="183"/>
        <v>0</v>
      </c>
      <c r="J3676" s="6">
        <f t="shared" si="184"/>
        <v>0</v>
      </c>
      <c r="L3676" s="4" t="str">
        <f>IFERROR(VLOOKUP(ROWS($L$2:L3676),$B$2:$C$1996,2,0),"")</f>
        <v/>
      </c>
      <c r="N3676" s="2" t="str">
        <f>IFERROR(VLOOKUP(ROWS($N$2:N3676),$D$2:$E$1996,2,0),"")</f>
        <v/>
      </c>
    </row>
    <row r="3677" spans="2:14">
      <c r="B3677" s="32">
        <f>IF(ISNUMBER(SEARCH('Φόρμα Εισαγωγής'!$B$2,C3677)),MAX($B$1:B3676)+1,0)</f>
        <v>0</v>
      </c>
      <c r="D3677" s="33">
        <f>IF(ISNUMBER(SEARCH('Φόρμα Εισαγωγής'!$C$2,E3677)),MAX($D$1:D3676)+1,0)</f>
        <v>0</v>
      </c>
      <c r="H3677" s="6">
        <f t="shared" si="182"/>
        <v>0</v>
      </c>
      <c r="I3677" s="6">
        <f t="shared" si="183"/>
        <v>0</v>
      </c>
      <c r="J3677" s="6">
        <f t="shared" si="184"/>
        <v>0</v>
      </c>
      <c r="L3677" s="4" t="str">
        <f>IFERROR(VLOOKUP(ROWS($L$2:L3677),$B$2:$C$1996,2,0),"")</f>
        <v/>
      </c>
      <c r="N3677" s="2" t="str">
        <f>IFERROR(VLOOKUP(ROWS($N$2:N3677),$D$2:$E$1996,2,0),"")</f>
        <v/>
      </c>
    </row>
    <row r="3678" spans="2:14">
      <c r="B3678" s="32">
        <f>IF(ISNUMBER(SEARCH('Φόρμα Εισαγωγής'!$B$2,C3678)),MAX($B$1:B3677)+1,0)</f>
        <v>0</v>
      </c>
      <c r="D3678" s="33">
        <f>IF(ISNUMBER(SEARCH('Φόρμα Εισαγωγής'!$C$2,E3678)),MAX($D$1:D3677)+1,0)</f>
        <v>0</v>
      </c>
      <c r="H3678" s="6">
        <f t="shared" si="182"/>
        <v>0</v>
      </c>
      <c r="I3678" s="6">
        <f t="shared" si="183"/>
        <v>0</v>
      </c>
      <c r="J3678" s="6">
        <f t="shared" si="184"/>
        <v>0</v>
      </c>
      <c r="L3678" s="4" t="str">
        <f>IFERROR(VLOOKUP(ROWS($L$2:L3678),$B$2:$C$1996,2,0),"")</f>
        <v/>
      </c>
      <c r="N3678" s="2" t="str">
        <f>IFERROR(VLOOKUP(ROWS($N$2:N3678),$D$2:$E$1996,2,0),"")</f>
        <v/>
      </c>
    </row>
    <row r="3679" spans="2:14">
      <c r="B3679" s="32">
        <f>IF(ISNUMBER(SEARCH('Φόρμα Εισαγωγής'!$B$2,C3679)),MAX($B$1:B3678)+1,0)</f>
        <v>0</v>
      </c>
      <c r="D3679" s="33">
        <f>IF(ISNUMBER(SEARCH('Φόρμα Εισαγωγής'!$C$2,E3679)),MAX($D$1:D3678)+1,0)</f>
        <v>0</v>
      </c>
      <c r="H3679" s="6">
        <f t="shared" si="182"/>
        <v>0</v>
      </c>
      <c r="I3679" s="6">
        <f t="shared" si="183"/>
        <v>0</v>
      </c>
      <c r="J3679" s="6">
        <f t="shared" si="184"/>
        <v>0</v>
      </c>
      <c r="L3679" s="4" t="str">
        <f>IFERROR(VLOOKUP(ROWS($L$2:L3679),$B$2:$C$1996,2,0),"")</f>
        <v/>
      </c>
      <c r="N3679" s="2" t="str">
        <f>IFERROR(VLOOKUP(ROWS($N$2:N3679),$D$2:$E$1996,2,0),"")</f>
        <v/>
      </c>
    </row>
    <row r="3680" spans="2:14">
      <c r="B3680" s="32">
        <f>IF(ISNUMBER(SEARCH('Φόρμα Εισαγωγής'!$B$2,C3680)),MAX($B$1:B3679)+1,0)</f>
        <v>0</v>
      </c>
      <c r="D3680" s="33">
        <f>IF(ISNUMBER(SEARCH('Φόρμα Εισαγωγής'!$C$2,E3680)),MAX($D$1:D3679)+1,0)</f>
        <v>0</v>
      </c>
      <c r="H3680" s="6">
        <f t="shared" si="182"/>
        <v>0</v>
      </c>
      <c r="I3680" s="6">
        <f t="shared" si="183"/>
        <v>0</v>
      </c>
      <c r="J3680" s="6">
        <f t="shared" si="184"/>
        <v>0</v>
      </c>
      <c r="L3680" s="4" t="str">
        <f>IFERROR(VLOOKUP(ROWS($L$2:L3680),$B$2:$C$1996,2,0),"")</f>
        <v/>
      </c>
      <c r="N3680" s="2" t="str">
        <f>IFERROR(VLOOKUP(ROWS($N$2:N3680),$D$2:$E$1996,2,0),"")</f>
        <v/>
      </c>
    </row>
    <row r="3681" spans="2:14">
      <c r="B3681" s="32">
        <f>IF(ISNUMBER(SEARCH('Φόρμα Εισαγωγής'!$B$2,C3681)),MAX($B$1:B3680)+1,0)</f>
        <v>0</v>
      </c>
      <c r="D3681" s="33">
        <f>IF(ISNUMBER(SEARCH('Φόρμα Εισαγωγής'!$C$2,E3681)),MAX($D$1:D3680)+1,0)</f>
        <v>0</v>
      </c>
      <c r="H3681" s="6">
        <f t="shared" si="182"/>
        <v>0</v>
      </c>
      <c r="I3681" s="6">
        <f t="shared" si="183"/>
        <v>0</v>
      </c>
      <c r="J3681" s="6">
        <f t="shared" si="184"/>
        <v>0</v>
      </c>
      <c r="L3681" s="4" t="str">
        <f>IFERROR(VLOOKUP(ROWS($L$2:L3681),$B$2:$C$1996,2,0),"")</f>
        <v/>
      </c>
      <c r="N3681" s="2" t="str">
        <f>IFERROR(VLOOKUP(ROWS($N$2:N3681),$D$2:$E$1996,2,0),"")</f>
        <v/>
      </c>
    </row>
    <row r="3682" spans="2:14">
      <c r="B3682" s="32">
        <f>IF(ISNUMBER(SEARCH('Φόρμα Εισαγωγής'!$B$2,C3682)),MAX($B$1:B3681)+1,0)</f>
        <v>0</v>
      </c>
      <c r="D3682" s="33">
        <f>IF(ISNUMBER(SEARCH('Φόρμα Εισαγωγής'!$C$2,E3682)),MAX($D$1:D3681)+1,0)</f>
        <v>0</v>
      </c>
      <c r="H3682" s="6">
        <f t="shared" si="182"/>
        <v>0</v>
      </c>
      <c r="I3682" s="6">
        <f t="shared" si="183"/>
        <v>0</v>
      </c>
      <c r="J3682" s="6">
        <f t="shared" si="184"/>
        <v>0</v>
      </c>
      <c r="L3682" s="4" t="str">
        <f>IFERROR(VLOOKUP(ROWS($L$2:L3682),$B$2:$C$1996,2,0),"")</f>
        <v/>
      </c>
      <c r="N3682" s="2" t="str">
        <f>IFERROR(VLOOKUP(ROWS($N$2:N3682),$D$2:$E$1996,2,0),"")</f>
        <v/>
      </c>
    </row>
    <row r="3683" spans="2:14">
      <c r="B3683" s="32">
        <f>IF(ISNUMBER(SEARCH('Φόρμα Εισαγωγής'!$B$2,C3683)),MAX($B$1:B3682)+1,0)</f>
        <v>0</v>
      </c>
      <c r="D3683" s="33">
        <f>IF(ISNUMBER(SEARCH('Φόρμα Εισαγωγής'!$C$2,E3683)),MAX($D$1:D3682)+1,0)</f>
        <v>0</v>
      </c>
      <c r="H3683" s="6">
        <f t="shared" si="182"/>
        <v>0</v>
      </c>
      <c r="I3683" s="6">
        <f t="shared" si="183"/>
        <v>0</v>
      </c>
      <c r="J3683" s="6">
        <f t="shared" si="184"/>
        <v>0</v>
      </c>
      <c r="L3683" s="4" t="str">
        <f>IFERROR(VLOOKUP(ROWS($L$2:L3683),$B$2:$C$1996,2,0),"")</f>
        <v/>
      </c>
      <c r="N3683" s="2" t="str">
        <f>IFERROR(VLOOKUP(ROWS($N$2:N3683),$D$2:$E$1996,2,0),"")</f>
        <v/>
      </c>
    </row>
    <row r="3684" spans="2:14">
      <c r="B3684" s="32">
        <f>IF(ISNUMBER(SEARCH('Φόρμα Εισαγωγής'!$B$2,C3684)),MAX($B$1:B3683)+1,0)</f>
        <v>0</v>
      </c>
      <c r="D3684" s="33">
        <f>IF(ISNUMBER(SEARCH('Φόρμα Εισαγωγής'!$C$2,E3684)),MAX($D$1:D3683)+1,0)</f>
        <v>0</v>
      </c>
      <c r="H3684" s="6">
        <f t="shared" si="182"/>
        <v>0</v>
      </c>
      <c r="I3684" s="6">
        <f t="shared" si="183"/>
        <v>0</v>
      </c>
      <c r="J3684" s="6">
        <f t="shared" si="184"/>
        <v>0</v>
      </c>
      <c r="L3684" s="4" t="str">
        <f>IFERROR(VLOOKUP(ROWS($L$2:L3684),$B$2:$C$1996,2,0),"")</f>
        <v/>
      </c>
      <c r="N3684" s="2" t="str">
        <f>IFERROR(VLOOKUP(ROWS($N$2:N3684),$D$2:$E$1996,2,0),"")</f>
        <v/>
      </c>
    </row>
    <row r="3685" spans="2:14">
      <c r="B3685" s="32">
        <f>IF(ISNUMBER(SEARCH('Φόρμα Εισαγωγής'!$B$2,C3685)),MAX($B$1:B3684)+1,0)</f>
        <v>0</v>
      </c>
      <c r="D3685" s="33">
        <f>IF(ISNUMBER(SEARCH('Φόρμα Εισαγωγής'!$C$2,E3685)),MAX($D$1:D3684)+1,0)</f>
        <v>0</v>
      </c>
      <c r="H3685" s="6">
        <f t="shared" si="182"/>
        <v>0</v>
      </c>
      <c r="I3685" s="6">
        <f t="shared" si="183"/>
        <v>0</v>
      </c>
      <c r="J3685" s="6">
        <f t="shared" si="184"/>
        <v>0</v>
      </c>
      <c r="L3685" s="4" t="str">
        <f>IFERROR(VLOOKUP(ROWS($L$2:L3685),$B$2:$C$1996,2,0),"")</f>
        <v/>
      </c>
      <c r="N3685" s="2" t="str">
        <f>IFERROR(VLOOKUP(ROWS($N$2:N3685),$D$2:$E$1996,2,0),"")</f>
        <v/>
      </c>
    </row>
    <row r="3686" spans="2:14">
      <c r="B3686" s="32">
        <f>IF(ISNUMBER(SEARCH('Φόρμα Εισαγωγής'!$B$2,C3686)),MAX($B$1:B3685)+1,0)</f>
        <v>0</v>
      </c>
      <c r="D3686" s="33">
        <f>IF(ISNUMBER(SEARCH('Φόρμα Εισαγωγής'!$C$2,E3686)),MAX($D$1:D3685)+1,0)</f>
        <v>0</v>
      </c>
      <c r="H3686" s="6">
        <f t="shared" si="182"/>
        <v>0</v>
      </c>
      <c r="I3686" s="6">
        <f t="shared" si="183"/>
        <v>0</v>
      </c>
      <c r="J3686" s="6">
        <f t="shared" si="184"/>
        <v>0</v>
      </c>
      <c r="L3686" s="4" t="str">
        <f>IFERROR(VLOOKUP(ROWS($L$2:L3686),$B$2:$C$1996,2,0),"")</f>
        <v/>
      </c>
      <c r="N3686" s="2" t="str">
        <f>IFERROR(VLOOKUP(ROWS($N$2:N3686),$D$2:$E$1996,2,0),"")</f>
        <v/>
      </c>
    </row>
    <row r="3687" spans="2:14">
      <c r="B3687" s="32">
        <f>IF(ISNUMBER(SEARCH('Φόρμα Εισαγωγής'!$B$2,C3687)),MAX($B$1:B3686)+1,0)</f>
        <v>0</v>
      </c>
      <c r="D3687" s="33">
        <f>IF(ISNUMBER(SEARCH('Φόρμα Εισαγωγής'!$C$2,E3687)),MAX($D$1:D3686)+1,0)</f>
        <v>0</v>
      </c>
      <c r="H3687" s="6">
        <f t="shared" si="182"/>
        <v>0</v>
      </c>
      <c r="I3687" s="6">
        <f t="shared" si="183"/>
        <v>0</v>
      </c>
      <c r="J3687" s="6">
        <f t="shared" si="184"/>
        <v>0</v>
      </c>
      <c r="L3687" s="4" t="str">
        <f>IFERROR(VLOOKUP(ROWS($L$2:L3687),$B$2:$C$1996,2,0),"")</f>
        <v/>
      </c>
      <c r="N3687" s="2" t="str">
        <f>IFERROR(VLOOKUP(ROWS($N$2:N3687),$D$2:$E$1996,2,0),"")</f>
        <v/>
      </c>
    </row>
    <row r="3688" spans="2:14">
      <c r="B3688" s="32">
        <f>IF(ISNUMBER(SEARCH('Φόρμα Εισαγωγής'!$B$2,C3688)),MAX($B$1:B3687)+1,0)</f>
        <v>0</v>
      </c>
      <c r="D3688" s="33">
        <f>IF(ISNUMBER(SEARCH('Φόρμα Εισαγωγής'!$C$2,E3688)),MAX($D$1:D3687)+1,0)</f>
        <v>0</v>
      </c>
      <c r="H3688" s="6">
        <f t="shared" si="182"/>
        <v>0</v>
      </c>
      <c r="I3688" s="6">
        <f t="shared" si="183"/>
        <v>0</v>
      </c>
      <c r="J3688" s="6">
        <f t="shared" si="184"/>
        <v>0</v>
      </c>
      <c r="L3688" s="4" t="str">
        <f>IFERROR(VLOOKUP(ROWS($L$2:L3688),$B$2:$C$1996,2,0),"")</f>
        <v/>
      </c>
      <c r="N3688" s="2" t="str">
        <f>IFERROR(VLOOKUP(ROWS($N$2:N3688),$D$2:$E$1996,2,0),"")</f>
        <v/>
      </c>
    </row>
    <row r="3689" spans="2:14">
      <c r="B3689" s="32">
        <f>IF(ISNUMBER(SEARCH('Φόρμα Εισαγωγής'!$B$2,C3689)),MAX($B$1:B3688)+1,0)</f>
        <v>0</v>
      </c>
      <c r="D3689" s="33">
        <f>IF(ISNUMBER(SEARCH('Φόρμα Εισαγωγής'!$C$2,E3689)),MAX($D$1:D3688)+1,0)</f>
        <v>0</v>
      </c>
      <c r="H3689" s="6">
        <f t="shared" si="182"/>
        <v>0</v>
      </c>
      <c r="I3689" s="6">
        <f t="shared" si="183"/>
        <v>0</v>
      </c>
      <c r="J3689" s="6">
        <f t="shared" si="184"/>
        <v>0</v>
      </c>
      <c r="L3689" s="4" t="str">
        <f>IFERROR(VLOOKUP(ROWS($L$2:L3689),$B$2:$C$1996,2,0),"")</f>
        <v/>
      </c>
      <c r="N3689" s="2" t="str">
        <f>IFERROR(VLOOKUP(ROWS($N$2:N3689),$D$2:$E$1996,2,0),"")</f>
        <v/>
      </c>
    </row>
    <row r="3690" spans="2:14">
      <c r="B3690" s="32">
        <f>IF(ISNUMBER(SEARCH('Φόρμα Εισαγωγής'!$B$2,C3690)),MAX($B$1:B3689)+1,0)</f>
        <v>0</v>
      </c>
      <c r="D3690" s="33">
        <f>IF(ISNUMBER(SEARCH('Φόρμα Εισαγωγής'!$C$2,E3690)),MAX($D$1:D3689)+1,0)</f>
        <v>0</v>
      </c>
      <c r="H3690" s="6">
        <f t="shared" si="182"/>
        <v>0</v>
      </c>
      <c r="I3690" s="6">
        <f t="shared" si="183"/>
        <v>0</v>
      </c>
      <c r="J3690" s="6">
        <f t="shared" si="184"/>
        <v>0</v>
      </c>
      <c r="L3690" s="4" t="str">
        <f>IFERROR(VLOOKUP(ROWS($L$2:L3690),$B$2:$C$1996,2,0),"")</f>
        <v/>
      </c>
      <c r="N3690" s="2" t="str">
        <f>IFERROR(VLOOKUP(ROWS($N$2:N3690),$D$2:$E$1996,2,0),"")</f>
        <v/>
      </c>
    </row>
    <row r="3691" spans="2:14">
      <c r="B3691" s="32">
        <f>IF(ISNUMBER(SEARCH('Φόρμα Εισαγωγής'!$B$2,C3691)),MAX($B$1:B3690)+1,0)</f>
        <v>0</v>
      </c>
      <c r="D3691" s="33">
        <f>IF(ISNUMBER(SEARCH('Φόρμα Εισαγωγής'!$C$2,E3691)),MAX($D$1:D3690)+1,0)</f>
        <v>0</v>
      </c>
      <c r="H3691" s="6">
        <f t="shared" si="182"/>
        <v>0</v>
      </c>
      <c r="I3691" s="6">
        <f t="shared" si="183"/>
        <v>0</v>
      </c>
      <c r="J3691" s="6">
        <f t="shared" si="184"/>
        <v>0</v>
      </c>
      <c r="L3691" s="4" t="str">
        <f>IFERROR(VLOOKUP(ROWS($L$2:L3691),$B$2:$C$1996,2,0),"")</f>
        <v/>
      </c>
      <c r="N3691" s="2" t="str">
        <f>IFERROR(VLOOKUP(ROWS($N$2:N3691),$D$2:$E$1996,2,0),"")</f>
        <v/>
      </c>
    </row>
    <row r="3692" spans="2:14">
      <c r="B3692" s="32">
        <f>IF(ISNUMBER(SEARCH('Φόρμα Εισαγωγής'!$B$2,C3692)),MAX($B$1:B3691)+1,0)</f>
        <v>0</v>
      </c>
      <c r="D3692" s="33">
        <f>IF(ISNUMBER(SEARCH('Φόρμα Εισαγωγής'!$C$2,E3692)),MAX($D$1:D3691)+1,0)</f>
        <v>0</v>
      </c>
      <c r="H3692" s="6">
        <f t="shared" si="182"/>
        <v>0</v>
      </c>
      <c r="I3692" s="6">
        <f t="shared" si="183"/>
        <v>0</v>
      </c>
      <c r="J3692" s="6">
        <f t="shared" si="184"/>
        <v>0</v>
      </c>
      <c r="L3692" s="4" t="str">
        <f>IFERROR(VLOOKUP(ROWS($L$2:L3692),$B$2:$C$1996,2,0),"")</f>
        <v/>
      </c>
      <c r="N3692" s="2" t="str">
        <f>IFERROR(VLOOKUP(ROWS($N$2:N3692),$D$2:$E$1996,2,0),"")</f>
        <v/>
      </c>
    </row>
    <row r="3693" spans="2:14">
      <c r="B3693" s="32">
        <f>IF(ISNUMBER(SEARCH('Φόρμα Εισαγωγής'!$B$2,C3693)),MAX($B$1:B3692)+1,0)</f>
        <v>0</v>
      </c>
      <c r="D3693" s="33">
        <f>IF(ISNUMBER(SEARCH('Φόρμα Εισαγωγής'!$C$2,E3693)),MAX($D$1:D3692)+1,0)</f>
        <v>0</v>
      </c>
      <c r="H3693" s="6">
        <f t="shared" si="182"/>
        <v>0</v>
      </c>
      <c r="I3693" s="6">
        <f t="shared" si="183"/>
        <v>0</v>
      </c>
      <c r="J3693" s="6">
        <f t="shared" si="184"/>
        <v>0</v>
      </c>
      <c r="L3693" s="4" t="str">
        <f>IFERROR(VLOOKUP(ROWS($L$2:L3693),$B$2:$C$1996,2,0),"")</f>
        <v/>
      </c>
      <c r="N3693" s="2" t="str">
        <f>IFERROR(VLOOKUP(ROWS($N$2:N3693),$D$2:$E$1996,2,0),"")</f>
        <v/>
      </c>
    </row>
    <row r="3694" spans="2:14">
      <c r="B3694" s="32">
        <f>IF(ISNUMBER(SEARCH('Φόρμα Εισαγωγής'!$B$2,C3694)),MAX($B$1:B3693)+1,0)</f>
        <v>0</v>
      </c>
      <c r="D3694" s="33">
        <f>IF(ISNUMBER(SEARCH('Φόρμα Εισαγωγής'!$C$2,E3694)),MAX($D$1:D3693)+1,0)</f>
        <v>0</v>
      </c>
      <c r="H3694" s="6">
        <f t="shared" si="182"/>
        <v>0</v>
      </c>
      <c r="I3694" s="6">
        <f t="shared" si="183"/>
        <v>0</v>
      </c>
      <c r="J3694" s="6">
        <f t="shared" si="184"/>
        <v>0</v>
      </c>
      <c r="L3694" s="4" t="str">
        <f>IFERROR(VLOOKUP(ROWS($L$2:L3694),$B$2:$C$1996,2,0),"")</f>
        <v/>
      </c>
      <c r="N3694" s="2" t="str">
        <f>IFERROR(VLOOKUP(ROWS($N$2:N3694),$D$2:$E$1996,2,0),"")</f>
        <v/>
      </c>
    </row>
    <row r="3695" spans="2:14">
      <c r="B3695" s="32">
        <f>IF(ISNUMBER(SEARCH('Φόρμα Εισαγωγής'!$B$2,C3695)),MAX($B$1:B3694)+1,0)</f>
        <v>0</v>
      </c>
      <c r="D3695" s="33">
        <f>IF(ISNUMBER(SEARCH('Φόρμα Εισαγωγής'!$C$2,E3695)),MAX($D$1:D3694)+1,0)</f>
        <v>0</v>
      </c>
      <c r="H3695" s="6">
        <f t="shared" si="182"/>
        <v>0</v>
      </c>
      <c r="I3695" s="6">
        <f t="shared" si="183"/>
        <v>0</v>
      </c>
      <c r="J3695" s="6">
        <f t="shared" si="184"/>
        <v>0</v>
      </c>
      <c r="L3695" s="4" t="str">
        <f>IFERROR(VLOOKUP(ROWS($L$2:L3695),$B$2:$C$1996,2,0),"")</f>
        <v/>
      </c>
      <c r="N3695" s="2" t="str">
        <f>IFERROR(VLOOKUP(ROWS($N$2:N3695),$D$2:$E$1996,2,0),"")</f>
        <v/>
      </c>
    </row>
    <row r="3696" spans="2:14">
      <c r="B3696" s="32">
        <f>IF(ISNUMBER(SEARCH('Φόρμα Εισαγωγής'!$B$2,C3696)),MAX($B$1:B3695)+1,0)</f>
        <v>0</v>
      </c>
      <c r="D3696" s="33">
        <f>IF(ISNUMBER(SEARCH('Φόρμα Εισαγωγής'!$C$2,E3696)),MAX($D$1:D3695)+1,0)</f>
        <v>0</v>
      </c>
      <c r="H3696" s="6">
        <f t="shared" si="182"/>
        <v>0</v>
      </c>
      <c r="I3696" s="6">
        <f t="shared" si="183"/>
        <v>0</v>
      </c>
      <c r="J3696" s="6">
        <f t="shared" si="184"/>
        <v>0</v>
      </c>
      <c r="L3696" s="4" t="str">
        <f>IFERROR(VLOOKUP(ROWS($L$2:L3696),$B$2:$C$1996,2,0),"")</f>
        <v/>
      </c>
      <c r="N3696" s="2" t="str">
        <f>IFERROR(VLOOKUP(ROWS($N$2:N3696),$D$2:$E$1996,2,0),"")</f>
        <v/>
      </c>
    </row>
    <row r="3697" spans="2:14">
      <c r="B3697" s="32">
        <f>IF(ISNUMBER(SEARCH('Φόρμα Εισαγωγής'!$B$2,C3697)),MAX($B$1:B3696)+1,0)</f>
        <v>0</v>
      </c>
      <c r="D3697" s="33">
        <f>IF(ISNUMBER(SEARCH('Φόρμα Εισαγωγής'!$C$2,E3697)),MAX($D$1:D3696)+1,0)</f>
        <v>0</v>
      </c>
      <c r="H3697" s="6">
        <f t="shared" si="182"/>
        <v>0</v>
      </c>
      <c r="I3697" s="6">
        <f t="shared" si="183"/>
        <v>0</v>
      </c>
      <c r="J3697" s="6">
        <f t="shared" si="184"/>
        <v>0</v>
      </c>
      <c r="L3697" s="4" t="str">
        <f>IFERROR(VLOOKUP(ROWS($L$2:L3697),$B$2:$C$1996,2,0),"")</f>
        <v/>
      </c>
      <c r="N3697" s="2" t="str">
        <f>IFERROR(VLOOKUP(ROWS($N$2:N3697),$D$2:$E$1996,2,0),"")</f>
        <v/>
      </c>
    </row>
    <row r="3698" spans="2:14">
      <c r="B3698" s="32">
        <f>IF(ISNUMBER(SEARCH('Φόρμα Εισαγωγής'!$B$2,C3698)),MAX($B$1:B3697)+1,0)</f>
        <v>0</v>
      </c>
      <c r="D3698" s="33">
        <f>IF(ISNUMBER(SEARCH('Φόρμα Εισαγωγής'!$C$2,E3698)),MAX($D$1:D3697)+1,0)</f>
        <v>0</v>
      </c>
      <c r="H3698" s="6">
        <f t="shared" si="182"/>
        <v>0</v>
      </c>
      <c r="I3698" s="6">
        <f t="shared" si="183"/>
        <v>0</v>
      </c>
      <c r="J3698" s="6">
        <f t="shared" si="184"/>
        <v>0</v>
      </c>
      <c r="L3698" s="4" t="str">
        <f>IFERROR(VLOOKUP(ROWS($L$2:L3698),$B$2:$C$1996,2,0),"")</f>
        <v/>
      </c>
      <c r="N3698" s="2" t="str">
        <f>IFERROR(VLOOKUP(ROWS($N$2:N3698),$D$2:$E$1996,2,0),"")</f>
        <v/>
      </c>
    </row>
    <row r="3699" spans="2:14">
      <c r="B3699" s="32">
        <f>IF(ISNUMBER(SEARCH('Φόρμα Εισαγωγής'!$B$2,C3699)),MAX($B$1:B3698)+1,0)</f>
        <v>0</v>
      </c>
      <c r="D3699" s="33">
        <f>IF(ISNUMBER(SEARCH('Φόρμα Εισαγωγής'!$C$2,E3699)),MAX($D$1:D3698)+1,0)</f>
        <v>0</v>
      </c>
      <c r="H3699" s="6">
        <f t="shared" si="182"/>
        <v>0</v>
      </c>
      <c r="I3699" s="6">
        <f t="shared" si="183"/>
        <v>0</v>
      </c>
      <c r="J3699" s="6">
        <f t="shared" si="184"/>
        <v>0</v>
      </c>
      <c r="L3699" s="4" t="str">
        <f>IFERROR(VLOOKUP(ROWS($L$2:L3699),$B$2:$C$1996,2,0),"")</f>
        <v/>
      </c>
      <c r="N3699" s="2" t="str">
        <f>IFERROR(VLOOKUP(ROWS($N$2:N3699),$D$2:$E$1996,2,0),"")</f>
        <v/>
      </c>
    </row>
    <row r="3700" spans="2:14">
      <c r="B3700" s="32">
        <f>IF(ISNUMBER(SEARCH('Φόρμα Εισαγωγής'!$B$2,C3700)),MAX($B$1:B3699)+1,0)</f>
        <v>0</v>
      </c>
      <c r="D3700" s="33">
        <f>IF(ISNUMBER(SEARCH('Φόρμα Εισαγωγής'!$C$2,E3700)),MAX($D$1:D3699)+1,0)</f>
        <v>0</v>
      </c>
      <c r="H3700" s="6">
        <f t="shared" si="182"/>
        <v>0</v>
      </c>
      <c r="I3700" s="6">
        <f t="shared" si="183"/>
        <v>0</v>
      </c>
      <c r="J3700" s="6">
        <f t="shared" si="184"/>
        <v>0</v>
      </c>
      <c r="L3700" s="4" t="str">
        <f>IFERROR(VLOOKUP(ROWS($L$2:L3700),$B$2:$C$1996,2,0),"")</f>
        <v/>
      </c>
      <c r="N3700" s="2" t="str">
        <f>IFERROR(VLOOKUP(ROWS($N$2:N3700),$D$2:$E$1996,2,0),"")</f>
        <v/>
      </c>
    </row>
    <row r="3701" spans="2:14">
      <c r="B3701" s="32">
        <f>IF(ISNUMBER(SEARCH('Φόρμα Εισαγωγής'!$B$2,C3701)),MAX($B$1:B3700)+1,0)</f>
        <v>0</v>
      </c>
      <c r="D3701" s="33">
        <f>IF(ISNUMBER(SEARCH('Φόρμα Εισαγωγής'!$C$2,E3701)),MAX($D$1:D3700)+1,0)</f>
        <v>0</v>
      </c>
      <c r="H3701" s="6">
        <f t="shared" si="182"/>
        <v>0</v>
      </c>
      <c r="I3701" s="6">
        <f t="shared" si="183"/>
        <v>0</v>
      </c>
      <c r="J3701" s="6">
        <f t="shared" si="184"/>
        <v>0</v>
      </c>
      <c r="L3701" s="4" t="str">
        <f>IFERROR(VLOOKUP(ROWS($L$2:L3701),$B$2:$C$1996,2,0),"")</f>
        <v/>
      </c>
      <c r="N3701" s="2" t="str">
        <f>IFERROR(VLOOKUP(ROWS($N$2:N3701),$D$2:$E$1996,2,0),"")</f>
        <v/>
      </c>
    </row>
    <row r="3702" spans="2:14">
      <c r="B3702" s="32">
        <f>IF(ISNUMBER(SEARCH('Φόρμα Εισαγωγής'!$B$2,C3702)),MAX($B$1:B3701)+1,0)</f>
        <v>0</v>
      </c>
      <c r="D3702" s="33">
        <f>IF(ISNUMBER(SEARCH('Φόρμα Εισαγωγής'!$C$2,E3702)),MAX($D$1:D3701)+1,0)</f>
        <v>0</v>
      </c>
      <c r="H3702" s="6">
        <f t="shared" si="182"/>
        <v>0</v>
      </c>
      <c r="I3702" s="6">
        <f t="shared" si="183"/>
        <v>0</v>
      </c>
      <c r="J3702" s="6">
        <f t="shared" si="184"/>
        <v>0</v>
      </c>
      <c r="L3702" s="4" t="str">
        <f>IFERROR(VLOOKUP(ROWS($L$2:L3702),$B$2:$C$1996,2,0),"")</f>
        <v/>
      </c>
      <c r="N3702" s="2" t="str">
        <f>IFERROR(VLOOKUP(ROWS($N$2:N3702),$D$2:$E$1996,2,0),"")</f>
        <v/>
      </c>
    </row>
    <row r="3703" spans="2:14">
      <c r="B3703" s="32">
        <f>IF(ISNUMBER(SEARCH('Φόρμα Εισαγωγής'!$B$2,C3703)),MAX($B$1:B3702)+1,0)</f>
        <v>0</v>
      </c>
      <c r="D3703" s="33">
        <f>IF(ISNUMBER(SEARCH('Φόρμα Εισαγωγής'!$C$2,E3703)),MAX($D$1:D3702)+1,0)</f>
        <v>0</v>
      </c>
      <c r="H3703" s="6">
        <f t="shared" si="182"/>
        <v>0</v>
      </c>
      <c r="I3703" s="6">
        <f t="shared" si="183"/>
        <v>0</v>
      </c>
      <c r="J3703" s="6">
        <f t="shared" si="184"/>
        <v>0</v>
      </c>
      <c r="L3703" s="4" t="str">
        <f>IFERROR(VLOOKUP(ROWS($L$2:L3703),$B$2:$C$1996,2,0),"")</f>
        <v/>
      </c>
      <c r="N3703" s="2" t="str">
        <f>IFERROR(VLOOKUP(ROWS($N$2:N3703),$D$2:$E$1996,2,0),"")</f>
        <v/>
      </c>
    </row>
    <row r="3704" spans="2:14">
      <c r="B3704" s="32">
        <f>IF(ISNUMBER(SEARCH('Φόρμα Εισαγωγής'!$B$2,C3704)),MAX($B$1:B3703)+1,0)</f>
        <v>0</v>
      </c>
      <c r="D3704" s="33">
        <f>IF(ISNUMBER(SEARCH('Φόρμα Εισαγωγής'!$C$2,E3704)),MAX($D$1:D3703)+1,0)</f>
        <v>0</v>
      </c>
      <c r="H3704" s="6">
        <f t="shared" si="182"/>
        <v>0</v>
      </c>
      <c r="I3704" s="6">
        <f t="shared" si="183"/>
        <v>0</v>
      </c>
      <c r="J3704" s="6">
        <f t="shared" si="184"/>
        <v>0</v>
      </c>
      <c r="L3704" s="4" t="str">
        <f>IFERROR(VLOOKUP(ROWS($L$2:L3704),$B$2:$C$1996,2,0),"")</f>
        <v/>
      </c>
      <c r="N3704" s="2" t="str">
        <f>IFERROR(VLOOKUP(ROWS($N$2:N3704),$D$2:$E$1996,2,0),"")</f>
        <v/>
      </c>
    </row>
    <row r="3705" spans="2:14">
      <c r="B3705" s="32">
        <f>IF(ISNUMBER(SEARCH('Φόρμα Εισαγωγής'!$B$2,C3705)),MAX($B$1:B3704)+1,0)</f>
        <v>0</v>
      </c>
      <c r="D3705" s="33">
        <f>IF(ISNUMBER(SEARCH('Φόρμα Εισαγωγής'!$C$2,E3705)),MAX($D$1:D3704)+1,0)</f>
        <v>0</v>
      </c>
      <c r="H3705" s="6">
        <f t="shared" si="182"/>
        <v>0</v>
      </c>
      <c r="I3705" s="6">
        <f t="shared" si="183"/>
        <v>0</v>
      </c>
      <c r="J3705" s="6">
        <f t="shared" si="184"/>
        <v>0</v>
      </c>
      <c r="L3705" s="4" t="str">
        <f>IFERROR(VLOOKUP(ROWS($L$2:L3705),$B$2:$C$1996,2,0),"")</f>
        <v/>
      </c>
      <c r="N3705" s="2" t="str">
        <f>IFERROR(VLOOKUP(ROWS($N$2:N3705),$D$2:$E$1996,2,0),"")</f>
        <v/>
      </c>
    </row>
    <row r="3706" spans="2:14">
      <c r="B3706" s="32">
        <f>IF(ISNUMBER(SEARCH('Φόρμα Εισαγωγής'!$B$2,C3706)),MAX($B$1:B3705)+1,0)</f>
        <v>0</v>
      </c>
      <c r="D3706" s="33">
        <f>IF(ISNUMBER(SEARCH('Φόρμα Εισαγωγής'!$C$2,E3706)),MAX($D$1:D3705)+1,0)</f>
        <v>0</v>
      </c>
      <c r="H3706" s="6">
        <f t="shared" si="182"/>
        <v>0</v>
      </c>
      <c r="I3706" s="6">
        <f t="shared" si="183"/>
        <v>0</v>
      </c>
      <c r="J3706" s="6">
        <f t="shared" si="184"/>
        <v>0</v>
      </c>
      <c r="L3706" s="4" t="str">
        <f>IFERROR(VLOOKUP(ROWS($L$2:L3706),$B$2:$C$1996,2,0),"")</f>
        <v/>
      </c>
      <c r="N3706" s="2" t="str">
        <f>IFERROR(VLOOKUP(ROWS($N$2:N3706),$D$2:$E$1996,2,0),"")</f>
        <v/>
      </c>
    </row>
    <row r="3707" spans="2:14">
      <c r="B3707" s="32">
        <f>IF(ISNUMBER(SEARCH('Φόρμα Εισαγωγής'!$B$2,C3707)),MAX($B$1:B3706)+1,0)</f>
        <v>0</v>
      </c>
      <c r="D3707" s="33">
        <f>IF(ISNUMBER(SEARCH('Φόρμα Εισαγωγής'!$C$2,E3707)),MAX($D$1:D3706)+1,0)</f>
        <v>0</v>
      </c>
      <c r="H3707" s="6">
        <f t="shared" si="182"/>
        <v>0</v>
      </c>
      <c r="I3707" s="6">
        <f t="shared" si="183"/>
        <v>0</v>
      </c>
      <c r="J3707" s="6">
        <f t="shared" si="184"/>
        <v>0</v>
      </c>
      <c r="L3707" s="4" t="str">
        <f>IFERROR(VLOOKUP(ROWS($L$2:L3707),$B$2:$C$1996,2,0),"")</f>
        <v/>
      </c>
      <c r="N3707" s="2" t="str">
        <f>IFERROR(VLOOKUP(ROWS($N$2:N3707),$D$2:$E$1996,2,0),"")</f>
        <v/>
      </c>
    </row>
    <row r="3708" spans="2:14">
      <c r="B3708" s="32">
        <f>IF(ISNUMBER(SEARCH('Φόρμα Εισαγωγής'!$B$2,C3708)),MAX($B$1:B3707)+1,0)</f>
        <v>0</v>
      </c>
      <c r="D3708" s="33">
        <f>IF(ISNUMBER(SEARCH('Φόρμα Εισαγωγής'!$C$2,E3708)),MAX($D$1:D3707)+1,0)</f>
        <v>0</v>
      </c>
      <c r="H3708" s="6">
        <f t="shared" si="182"/>
        <v>0</v>
      </c>
      <c r="I3708" s="6">
        <f t="shared" si="183"/>
        <v>0</v>
      </c>
      <c r="J3708" s="6">
        <f t="shared" si="184"/>
        <v>0</v>
      </c>
      <c r="L3708" s="4" t="str">
        <f>IFERROR(VLOOKUP(ROWS($L$2:L3708),$B$2:$C$1996,2,0),"")</f>
        <v/>
      </c>
      <c r="N3708" s="2" t="str">
        <f>IFERROR(VLOOKUP(ROWS($N$2:N3708),$D$2:$E$1996,2,0),"")</f>
        <v/>
      </c>
    </row>
    <row r="3709" spans="2:14">
      <c r="B3709" s="32">
        <f>IF(ISNUMBER(SEARCH('Φόρμα Εισαγωγής'!$B$2,C3709)),MAX($B$1:B3708)+1,0)</f>
        <v>0</v>
      </c>
      <c r="D3709" s="33">
        <f>IF(ISNUMBER(SEARCH('Φόρμα Εισαγωγής'!$C$2,E3709)),MAX($D$1:D3708)+1,0)</f>
        <v>0</v>
      </c>
      <c r="H3709" s="6">
        <f t="shared" si="182"/>
        <v>0</v>
      </c>
      <c r="I3709" s="6">
        <f t="shared" si="183"/>
        <v>0</v>
      </c>
      <c r="J3709" s="6">
        <f t="shared" si="184"/>
        <v>0</v>
      </c>
      <c r="L3709" s="4" t="str">
        <f>IFERROR(VLOOKUP(ROWS($L$2:L3709),$B$2:$C$1996,2,0),"")</f>
        <v/>
      </c>
      <c r="N3709" s="2" t="str">
        <f>IFERROR(VLOOKUP(ROWS($N$2:N3709),$D$2:$E$1996,2,0),"")</f>
        <v/>
      </c>
    </row>
    <row r="3710" spans="2:14">
      <c r="B3710" s="32">
        <f>IF(ISNUMBER(SEARCH('Φόρμα Εισαγωγής'!$B$2,C3710)),MAX($B$1:B3709)+1,0)</f>
        <v>0</v>
      </c>
      <c r="D3710" s="33">
        <f>IF(ISNUMBER(SEARCH('Φόρμα Εισαγωγής'!$C$2,E3710)),MAX($D$1:D3709)+1,0)</f>
        <v>0</v>
      </c>
      <c r="H3710" s="6">
        <f t="shared" si="182"/>
        <v>0</v>
      </c>
      <c r="I3710" s="6">
        <f t="shared" si="183"/>
        <v>0</v>
      </c>
      <c r="J3710" s="6">
        <f t="shared" si="184"/>
        <v>0</v>
      </c>
      <c r="L3710" s="4" t="str">
        <f>IFERROR(VLOOKUP(ROWS($L$2:L3710),$B$2:$C$1996,2,0),"")</f>
        <v/>
      </c>
      <c r="N3710" s="2" t="str">
        <f>IFERROR(VLOOKUP(ROWS($N$2:N3710),$D$2:$E$1996,2,0),"")</f>
        <v/>
      </c>
    </row>
    <row r="3711" spans="2:14">
      <c r="B3711" s="32">
        <f>IF(ISNUMBER(SEARCH('Φόρμα Εισαγωγής'!$B$2,C3711)),MAX($B$1:B3710)+1,0)</f>
        <v>0</v>
      </c>
      <c r="D3711" s="33">
        <f>IF(ISNUMBER(SEARCH('Φόρμα Εισαγωγής'!$C$2,E3711)),MAX($D$1:D3710)+1,0)</f>
        <v>0</v>
      </c>
      <c r="H3711" s="6">
        <f t="shared" si="182"/>
        <v>0</v>
      </c>
      <c r="I3711" s="6">
        <f t="shared" si="183"/>
        <v>0</v>
      </c>
      <c r="J3711" s="6">
        <f t="shared" si="184"/>
        <v>0</v>
      </c>
      <c r="L3711" s="4" t="str">
        <f>IFERROR(VLOOKUP(ROWS($L$2:L3711),$B$2:$C$1996,2,0),"")</f>
        <v/>
      </c>
      <c r="N3711" s="2" t="str">
        <f>IFERROR(VLOOKUP(ROWS($N$2:N3711),$D$2:$E$1996,2,0),"")</f>
        <v/>
      </c>
    </row>
    <row r="3712" spans="2:14">
      <c r="B3712" s="32">
        <f>IF(ISNUMBER(SEARCH('Φόρμα Εισαγωγής'!$B$2,C3712)),MAX($B$1:B3711)+1,0)</f>
        <v>0</v>
      </c>
      <c r="D3712" s="33">
        <f>IF(ISNUMBER(SEARCH('Φόρμα Εισαγωγής'!$C$2,E3712)),MAX($D$1:D3711)+1,0)</f>
        <v>0</v>
      </c>
      <c r="H3712" s="6">
        <f t="shared" ref="H3712:H3775" si="185">G3712+(G3712*0.24)</f>
        <v>0</v>
      </c>
      <c r="I3712" s="6">
        <f t="shared" ref="I3712:I3775" si="186">F3712*A3712</f>
        <v>0</v>
      </c>
      <c r="J3712" s="6">
        <f t="shared" ref="J3712:J3775" si="187">H3712*A3712</f>
        <v>0</v>
      </c>
      <c r="L3712" s="4" t="str">
        <f>IFERROR(VLOOKUP(ROWS($L$2:L3712),$B$2:$C$1996,2,0),"")</f>
        <v/>
      </c>
      <c r="N3712" s="2" t="str">
        <f>IFERROR(VLOOKUP(ROWS($N$2:N3712),$D$2:$E$1996,2,0),"")</f>
        <v/>
      </c>
    </row>
    <row r="3713" spans="2:14">
      <c r="B3713" s="32">
        <f>IF(ISNUMBER(SEARCH('Φόρμα Εισαγωγής'!$B$2,C3713)),MAX($B$1:B3712)+1,0)</f>
        <v>0</v>
      </c>
      <c r="D3713" s="33">
        <f>IF(ISNUMBER(SEARCH('Φόρμα Εισαγωγής'!$C$2,E3713)),MAX($D$1:D3712)+1,0)</f>
        <v>0</v>
      </c>
      <c r="H3713" s="6">
        <f t="shared" si="185"/>
        <v>0</v>
      </c>
      <c r="I3713" s="6">
        <f t="shared" si="186"/>
        <v>0</v>
      </c>
      <c r="J3713" s="6">
        <f t="shared" si="187"/>
        <v>0</v>
      </c>
      <c r="L3713" s="4" t="str">
        <f>IFERROR(VLOOKUP(ROWS($L$2:L3713),$B$2:$C$1996,2,0),"")</f>
        <v/>
      </c>
      <c r="N3713" s="2" t="str">
        <f>IFERROR(VLOOKUP(ROWS($N$2:N3713),$D$2:$E$1996,2,0),"")</f>
        <v/>
      </c>
    </row>
    <row r="3714" spans="2:14">
      <c r="B3714" s="32">
        <f>IF(ISNUMBER(SEARCH('Φόρμα Εισαγωγής'!$B$2,C3714)),MAX($B$1:B3713)+1,0)</f>
        <v>0</v>
      </c>
      <c r="D3714" s="33">
        <f>IF(ISNUMBER(SEARCH('Φόρμα Εισαγωγής'!$C$2,E3714)),MAX($D$1:D3713)+1,0)</f>
        <v>0</v>
      </c>
      <c r="H3714" s="6">
        <f t="shared" si="185"/>
        <v>0</v>
      </c>
      <c r="I3714" s="6">
        <f t="shared" si="186"/>
        <v>0</v>
      </c>
      <c r="J3714" s="6">
        <f t="shared" si="187"/>
        <v>0</v>
      </c>
      <c r="L3714" s="4" t="str">
        <f>IFERROR(VLOOKUP(ROWS($L$2:L3714),$B$2:$C$1996,2,0),"")</f>
        <v/>
      </c>
      <c r="N3714" s="2" t="str">
        <f>IFERROR(VLOOKUP(ROWS($N$2:N3714),$D$2:$E$1996,2,0),"")</f>
        <v/>
      </c>
    </row>
    <row r="3715" spans="2:14">
      <c r="B3715" s="32">
        <f>IF(ISNUMBER(SEARCH('Φόρμα Εισαγωγής'!$B$2,C3715)),MAX($B$1:B3714)+1,0)</f>
        <v>0</v>
      </c>
      <c r="D3715" s="33">
        <f>IF(ISNUMBER(SEARCH('Φόρμα Εισαγωγής'!$C$2,E3715)),MAX($D$1:D3714)+1,0)</f>
        <v>0</v>
      </c>
      <c r="H3715" s="6">
        <f t="shared" si="185"/>
        <v>0</v>
      </c>
      <c r="I3715" s="6">
        <f t="shared" si="186"/>
        <v>0</v>
      </c>
      <c r="J3715" s="6">
        <f t="shared" si="187"/>
        <v>0</v>
      </c>
      <c r="L3715" s="4" t="str">
        <f>IFERROR(VLOOKUP(ROWS($L$2:L3715),$B$2:$C$1996,2,0),"")</f>
        <v/>
      </c>
      <c r="N3715" s="2" t="str">
        <f>IFERROR(VLOOKUP(ROWS($N$2:N3715),$D$2:$E$1996,2,0),"")</f>
        <v/>
      </c>
    </row>
    <row r="3716" spans="2:14">
      <c r="B3716" s="32">
        <f>IF(ISNUMBER(SEARCH('Φόρμα Εισαγωγής'!$B$2,C3716)),MAX($B$1:B3715)+1,0)</f>
        <v>0</v>
      </c>
      <c r="D3716" s="33">
        <f>IF(ISNUMBER(SEARCH('Φόρμα Εισαγωγής'!$C$2,E3716)),MAX($D$1:D3715)+1,0)</f>
        <v>0</v>
      </c>
      <c r="H3716" s="6">
        <f t="shared" si="185"/>
        <v>0</v>
      </c>
      <c r="I3716" s="6">
        <f t="shared" si="186"/>
        <v>0</v>
      </c>
      <c r="J3716" s="6">
        <f t="shared" si="187"/>
        <v>0</v>
      </c>
      <c r="L3716" s="4" t="str">
        <f>IFERROR(VLOOKUP(ROWS($L$2:L3716),$B$2:$C$1996,2,0),"")</f>
        <v/>
      </c>
      <c r="N3716" s="2" t="str">
        <f>IFERROR(VLOOKUP(ROWS($N$2:N3716),$D$2:$E$1996,2,0),"")</f>
        <v/>
      </c>
    </row>
    <row r="3717" spans="2:14">
      <c r="B3717" s="32">
        <f>IF(ISNUMBER(SEARCH('Φόρμα Εισαγωγής'!$B$2,C3717)),MAX($B$1:B3716)+1,0)</f>
        <v>0</v>
      </c>
      <c r="D3717" s="33">
        <f>IF(ISNUMBER(SEARCH('Φόρμα Εισαγωγής'!$C$2,E3717)),MAX($D$1:D3716)+1,0)</f>
        <v>0</v>
      </c>
      <c r="H3717" s="6">
        <f t="shared" si="185"/>
        <v>0</v>
      </c>
      <c r="I3717" s="6">
        <f t="shared" si="186"/>
        <v>0</v>
      </c>
      <c r="J3717" s="6">
        <f t="shared" si="187"/>
        <v>0</v>
      </c>
      <c r="L3717" s="4" t="str">
        <f>IFERROR(VLOOKUP(ROWS($L$2:L3717),$B$2:$C$1996,2,0),"")</f>
        <v/>
      </c>
      <c r="N3717" s="2" t="str">
        <f>IFERROR(VLOOKUP(ROWS($N$2:N3717),$D$2:$E$1996,2,0),"")</f>
        <v/>
      </c>
    </row>
    <row r="3718" spans="2:14">
      <c r="B3718" s="32">
        <f>IF(ISNUMBER(SEARCH('Φόρμα Εισαγωγής'!$B$2,C3718)),MAX($B$1:B3717)+1,0)</f>
        <v>0</v>
      </c>
      <c r="D3718" s="33">
        <f>IF(ISNUMBER(SEARCH('Φόρμα Εισαγωγής'!$C$2,E3718)),MAX($D$1:D3717)+1,0)</f>
        <v>0</v>
      </c>
      <c r="H3718" s="6">
        <f t="shared" si="185"/>
        <v>0</v>
      </c>
      <c r="I3718" s="6">
        <f t="shared" si="186"/>
        <v>0</v>
      </c>
      <c r="J3718" s="6">
        <f t="shared" si="187"/>
        <v>0</v>
      </c>
      <c r="L3718" s="4" t="str">
        <f>IFERROR(VLOOKUP(ROWS($L$2:L3718),$B$2:$C$1996,2,0),"")</f>
        <v/>
      </c>
      <c r="N3718" s="2" t="str">
        <f>IFERROR(VLOOKUP(ROWS($N$2:N3718),$D$2:$E$1996,2,0),"")</f>
        <v/>
      </c>
    </row>
    <row r="3719" spans="2:14">
      <c r="B3719" s="32">
        <f>IF(ISNUMBER(SEARCH('Φόρμα Εισαγωγής'!$B$2,C3719)),MAX($B$1:B3718)+1,0)</f>
        <v>0</v>
      </c>
      <c r="D3719" s="33">
        <f>IF(ISNUMBER(SEARCH('Φόρμα Εισαγωγής'!$C$2,E3719)),MAX($D$1:D3718)+1,0)</f>
        <v>0</v>
      </c>
      <c r="H3719" s="6">
        <f t="shared" si="185"/>
        <v>0</v>
      </c>
      <c r="I3719" s="6">
        <f t="shared" si="186"/>
        <v>0</v>
      </c>
      <c r="J3719" s="6">
        <f t="shared" si="187"/>
        <v>0</v>
      </c>
      <c r="L3719" s="4" t="str">
        <f>IFERROR(VLOOKUP(ROWS($L$2:L3719),$B$2:$C$1996,2,0),"")</f>
        <v/>
      </c>
      <c r="N3719" s="2" t="str">
        <f>IFERROR(VLOOKUP(ROWS($N$2:N3719),$D$2:$E$1996,2,0),"")</f>
        <v/>
      </c>
    </row>
    <row r="3720" spans="2:14">
      <c r="B3720" s="32">
        <f>IF(ISNUMBER(SEARCH('Φόρμα Εισαγωγής'!$B$2,C3720)),MAX($B$1:B3719)+1,0)</f>
        <v>0</v>
      </c>
      <c r="D3720" s="33">
        <f>IF(ISNUMBER(SEARCH('Φόρμα Εισαγωγής'!$C$2,E3720)),MAX($D$1:D3719)+1,0)</f>
        <v>0</v>
      </c>
      <c r="H3720" s="6">
        <f t="shared" si="185"/>
        <v>0</v>
      </c>
      <c r="I3720" s="6">
        <f t="shared" si="186"/>
        <v>0</v>
      </c>
      <c r="J3720" s="6">
        <f t="shared" si="187"/>
        <v>0</v>
      </c>
      <c r="L3720" s="4" t="str">
        <f>IFERROR(VLOOKUP(ROWS($L$2:L3720),$B$2:$C$1996,2,0),"")</f>
        <v/>
      </c>
      <c r="N3720" s="2" t="str">
        <f>IFERROR(VLOOKUP(ROWS($N$2:N3720),$D$2:$E$1996,2,0),"")</f>
        <v/>
      </c>
    </row>
    <row r="3721" spans="2:14">
      <c r="B3721" s="32">
        <f>IF(ISNUMBER(SEARCH('Φόρμα Εισαγωγής'!$B$2,C3721)),MAX($B$1:B3720)+1,0)</f>
        <v>0</v>
      </c>
      <c r="D3721" s="33">
        <f>IF(ISNUMBER(SEARCH('Φόρμα Εισαγωγής'!$C$2,E3721)),MAX($D$1:D3720)+1,0)</f>
        <v>0</v>
      </c>
      <c r="H3721" s="6">
        <f t="shared" si="185"/>
        <v>0</v>
      </c>
      <c r="I3721" s="6">
        <f t="shared" si="186"/>
        <v>0</v>
      </c>
      <c r="J3721" s="6">
        <f t="shared" si="187"/>
        <v>0</v>
      </c>
      <c r="L3721" s="4" t="str">
        <f>IFERROR(VLOOKUP(ROWS($L$2:L3721),$B$2:$C$1996,2,0),"")</f>
        <v/>
      </c>
      <c r="N3721" s="2" t="str">
        <f>IFERROR(VLOOKUP(ROWS($N$2:N3721),$D$2:$E$1996,2,0),"")</f>
        <v/>
      </c>
    </row>
    <row r="3722" spans="2:14">
      <c r="B3722" s="32">
        <f>IF(ISNUMBER(SEARCH('Φόρμα Εισαγωγής'!$B$2,C3722)),MAX($B$1:B3721)+1,0)</f>
        <v>0</v>
      </c>
      <c r="D3722" s="33">
        <f>IF(ISNUMBER(SEARCH('Φόρμα Εισαγωγής'!$C$2,E3722)),MAX($D$1:D3721)+1,0)</f>
        <v>0</v>
      </c>
      <c r="H3722" s="6">
        <f t="shared" si="185"/>
        <v>0</v>
      </c>
      <c r="I3722" s="6">
        <f t="shared" si="186"/>
        <v>0</v>
      </c>
      <c r="J3722" s="6">
        <f t="shared" si="187"/>
        <v>0</v>
      </c>
      <c r="L3722" s="4" t="str">
        <f>IFERROR(VLOOKUP(ROWS($L$2:L3722),$B$2:$C$1996,2,0),"")</f>
        <v/>
      </c>
      <c r="N3722" s="2" t="str">
        <f>IFERROR(VLOOKUP(ROWS($N$2:N3722),$D$2:$E$1996,2,0),"")</f>
        <v/>
      </c>
    </row>
    <row r="3723" spans="2:14">
      <c r="B3723" s="32">
        <f>IF(ISNUMBER(SEARCH('Φόρμα Εισαγωγής'!$B$2,C3723)),MAX($B$1:B3722)+1,0)</f>
        <v>0</v>
      </c>
      <c r="D3723" s="33">
        <f>IF(ISNUMBER(SEARCH('Φόρμα Εισαγωγής'!$C$2,E3723)),MAX($D$1:D3722)+1,0)</f>
        <v>0</v>
      </c>
      <c r="H3723" s="6">
        <f t="shared" si="185"/>
        <v>0</v>
      </c>
      <c r="I3723" s="6">
        <f t="shared" si="186"/>
        <v>0</v>
      </c>
      <c r="J3723" s="6">
        <f t="shared" si="187"/>
        <v>0</v>
      </c>
      <c r="L3723" s="4" t="str">
        <f>IFERROR(VLOOKUP(ROWS($L$2:L3723),$B$2:$C$1996,2,0),"")</f>
        <v/>
      </c>
      <c r="N3723" s="2" t="str">
        <f>IFERROR(VLOOKUP(ROWS($N$2:N3723),$D$2:$E$1996,2,0),"")</f>
        <v/>
      </c>
    </row>
    <row r="3724" spans="2:14">
      <c r="B3724" s="32">
        <f>IF(ISNUMBER(SEARCH('Φόρμα Εισαγωγής'!$B$2,C3724)),MAX($B$1:B3723)+1,0)</f>
        <v>0</v>
      </c>
      <c r="D3724" s="33">
        <f>IF(ISNUMBER(SEARCH('Φόρμα Εισαγωγής'!$C$2,E3724)),MAX($D$1:D3723)+1,0)</f>
        <v>0</v>
      </c>
      <c r="H3724" s="6">
        <f t="shared" si="185"/>
        <v>0</v>
      </c>
      <c r="I3724" s="6">
        <f t="shared" si="186"/>
        <v>0</v>
      </c>
      <c r="J3724" s="6">
        <f t="shared" si="187"/>
        <v>0</v>
      </c>
      <c r="L3724" s="4" t="str">
        <f>IFERROR(VLOOKUP(ROWS($L$2:L3724),$B$2:$C$1996,2,0),"")</f>
        <v/>
      </c>
      <c r="N3724" s="2" t="str">
        <f>IFERROR(VLOOKUP(ROWS($N$2:N3724),$D$2:$E$1996,2,0),"")</f>
        <v/>
      </c>
    </row>
    <row r="3725" spans="2:14">
      <c r="B3725" s="32">
        <f>IF(ISNUMBER(SEARCH('Φόρμα Εισαγωγής'!$B$2,C3725)),MAX($B$1:B3724)+1,0)</f>
        <v>0</v>
      </c>
      <c r="D3725" s="33">
        <f>IF(ISNUMBER(SEARCH('Φόρμα Εισαγωγής'!$C$2,E3725)),MAX($D$1:D3724)+1,0)</f>
        <v>0</v>
      </c>
      <c r="H3725" s="6">
        <f t="shared" si="185"/>
        <v>0</v>
      </c>
      <c r="I3725" s="6">
        <f t="shared" si="186"/>
        <v>0</v>
      </c>
      <c r="J3725" s="6">
        <f t="shared" si="187"/>
        <v>0</v>
      </c>
      <c r="L3725" s="4" t="str">
        <f>IFERROR(VLOOKUP(ROWS($L$2:L3725),$B$2:$C$1996,2,0),"")</f>
        <v/>
      </c>
      <c r="N3725" s="2" t="str">
        <f>IFERROR(VLOOKUP(ROWS($N$2:N3725),$D$2:$E$1996,2,0),"")</f>
        <v/>
      </c>
    </row>
    <row r="3726" spans="2:14">
      <c r="B3726" s="32">
        <f>IF(ISNUMBER(SEARCH('Φόρμα Εισαγωγής'!$B$2,C3726)),MAX($B$1:B3725)+1,0)</f>
        <v>0</v>
      </c>
      <c r="D3726" s="33">
        <f>IF(ISNUMBER(SEARCH('Φόρμα Εισαγωγής'!$C$2,E3726)),MAX($D$1:D3725)+1,0)</f>
        <v>0</v>
      </c>
      <c r="H3726" s="6">
        <f t="shared" si="185"/>
        <v>0</v>
      </c>
      <c r="I3726" s="6">
        <f t="shared" si="186"/>
        <v>0</v>
      </c>
      <c r="J3726" s="6">
        <f t="shared" si="187"/>
        <v>0</v>
      </c>
      <c r="L3726" s="4" t="str">
        <f>IFERROR(VLOOKUP(ROWS($L$2:L3726),$B$2:$C$1996,2,0),"")</f>
        <v/>
      </c>
      <c r="N3726" s="2" t="str">
        <f>IFERROR(VLOOKUP(ROWS($N$2:N3726),$D$2:$E$1996,2,0),"")</f>
        <v/>
      </c>
    </row>
    <row r="3727" spans="2:14">
      <c r="B3727" s="32">
        <f>IF(ISNUMBER(SEARCH('Φόρμα Εισαγωγής'!$B$2,C3727)),MAX($B$1:B3726)+1,0)</f>
        <v>0</v>
      </c>
      <c r="D3727" s="33">
        <f>IF(ISNUMBER(SEARCH('Φόρμα Εισαγωγής'!$C$2,E3727)),MAX($D$1:D3726)+1,0)</f>
        <v>0</v>
      </c>
      <c r="H3727" s="6">
        <f t="shared" si="185"/>
        <v>0</v>
      </c>
      <c r="I3727" s="6">
        <f t="shared" si="186"/>
        <v>0</v>
      </c>
      <c r="J3727" s="6">
        <f t="shared" si="187"/>
        <v>0</v>
      </c>
      <c r="L3727" s="4" t="str">
        <f>IFERROR(VLOOKUP(ROWS($L$2:L3727),$B$2:$C$1996,2,0),"")</f>
        <v/>
      </c>
      <c r="N3727" s="2" t="str">
        <f>IFERROR(VLOOKUP(ROWS($N$2:N3727),$D$2:$E$1996,2,0),"")</f>
        <v/>
      </c>
    </row>
    <row r="3728" spans="2:14">
      <c r="B3728" s="32">
        <f>IF(ISNUMBER(SEARCH('Φόρμα Εισαγωγής'!$B$2,C3728)),MAX($B$1:B3727)+1,0)</f>
        <v>0</v>
      </c>
      <c r="D3728" s="33">
        <f>IF(ISNUMBER(SEARCH('Φόρμα Εισαγωγής'!$C$2,E3728)),MAX($D$1:D3727)+1,0)</f>
        <v>0</v>
      </c>
      <c r="H3728" s="6">
        <f t="shared" si="185"/>
        <v>0</v>
      </c>
      <c r="I3728" s="6">
        <f t="shared" si="186"/>
        <v>0</v>
      </c>
      <c r="J3728" s="6">
        <f t="shared" si="187"/>
        <v>0</v>
      </c>
      <c r="L3728" s="4" t="str">
        <f>IFERROR(VLOOKUP(ROWS($L$2:L3728),$B$2:$C$1996,2,0),"")</f>
        <v/>
      </c>
      <c r="N3728" s="2" t="str">
        <f>IFERROR(VLOOKUP(ROWS($N$2:N3728),$D$2:$E$1996,2,0),"")</f>
        <v/>
      </c>
    </row>
    <row r="3729" spans="2:14">
      <c r="B3729" s="32">
        <f>IF(ISNUMBER(SEARCH('Φόρμα Εισαγωγής'!$B$2,C3729)),MAX($B$1:B3728)+1,0)</f>
        <v>0</v>
      </c>
      <c r="D3729" s="33">
        <f>IF(ISNUMBER(SEARCH('Φόρμα Εισαγωγής'!$C$2,E3729)),MAX($D$1:D3728)+1,0)</f>
        <v>0</v>
      </c>
      <c r="H3729" s="6">
        <f t="shared" si="185"/>
        <v>0</v>
      </c>
      <c r="I3729" s="6">
        <f t="shared" si="186"/>
        <v>0</v>
      </c>
      <c r="J3729" s="6">
        <f t="shared" si="187"/>
        <v>0</v>
      </c>
      <c r="L3729" s="4" t="str">
        <f>IFERROR(VLOOKUP(ROWS($L$2:L3729),$B$2:$C$1996,2,0),"")</f>
        <v/>
      </c>
      <c r="N3729" s="2" t="str">
        <f>IFERROR(VLOOKUP(ROWS($N$2:N3729),$D$2:$E$1996,2,0),"")</f>
        <v/>
      </c>
    </row>
    <row r="3730" spans="2:14">
      <c r="B3730" s="32">
        <f>IF(ISNUMBER(SEARCH('Φόρμα Εισαγωγής'!$B$2,C3730)),MAX($B$1:B3729)+1,0)</f>
        <v>0</v>
      </c>
      <c r="D3730" s="33">
        <f>IF(ISNUMBER(SEARCH('Φόρμα Εισαγωγής'!$C$2,E3730)),MAX($D$1:D3729)+1,0)</f>
        <v>0</v>
      </c>
      <c r="H3730" s="6">
        <f t="shared" si="185"/>
        <v>0</v>
      </c>
      <c r="I3730" s="6">
        <f t="shared" si="186"/>
        <v>0</v>
      </c>
      <c r="J3730" s="6">
        <f t="shared" si="187"/>
        <v>0</v>
      </c>
      <c r="L3730" s="4" t="str">
        <f>IFERROR(VLOOKUP(ROWS($L$2:L3730),$B$2:$C$1996,2,0),"")</f>
        <v/>
      </c>
      <c r="N3730" s="2" t="str">
        <f>IFERROR(VLOOKUP(ROWS($N$2:N3730),$D$2:$E$1996,2,0),"")</f>
        <v/>
      </c>
    </row>
    <row r="3731" spans="2:14">
      <c r="B3731" s="32">
        <f>IF(ISNUMBER(SEARCH('Φόρμα Εισαγωγής'!$B$2,C3731)),MAX($B$1:B3730)+1,0)</f>
        <v>0</v>
      </c>
      <c r="D3731" s="33">
        <f>IF(ISNUMBER(SEARCH('Φόρμα Εισαγωγής'!$C$2,E3731)),MAX($D$1:D3730)+1,0)</f>
        <v>0</v>
      </c>
      <c r="H3731" s="6">
        <f t="shared" si="185"/>
        <v>0</v>
      </c>
      <c r="I3731" s="6">
        <f t="shared" si="186"/>
        <v>0</v>
      </c>
      <c r="J3731" s="6">
        <f t="shared" si="187"/>
        <v>0</v>
      </c>
      <c r="L3731" s="4" t="str">
        <f>IFERROR(VLOOKUP(ROWS($L$2:L3731),$B$2:$C$1996,2,0),"")</f>
        <v/>
      </c>
      <c r="N3731" s="2" t="str">
        <f>IFERROR(VLOOKUP(ROWS($N$2:N3731),$D$2:$E$1996,2,0),"")</f>
        <v/>
      </c>
    </row>
    <row r="3732" spans="2:14">
      <c r="B3732" s="32">
        <f>IF(ISNUMBER(SEARCH('Φόρμα Εισαγωγής'!$B$2,C3732)),MAX($B$1:B3731)+1,0)</f>
        <v>0</v>
      </c>
      <c r="D3732" s="33">
        <f>IF(ISNUMBER(SEARCH('Φόρμα Εισαγωγής'!$C$2,E3732)),MAX($D$1:D3731)+1,0)</f>
        <v>0</v>
      </c>
      <c r="H3732" s="6">
        <f t="shared" si="185"/>
        <v>0</v>
      </c>
      <c r="I3732" s="6">
        <f t="shared" si="186"/>
        <v>0</v>
      </c>
      <c r="J3732" s="6">
        <f t="shared" si="187"/>
        <v>0</v>
      </c>
      <c r="L3732" s="4" t="str">
        <f>IFERROR(VLOOKUP(ROWS($L$2:L3732),$B$2:$C$1996,2,0),"")</f>
        <v/>
      </c>
      <c r="N3732" s="2" t="str">
        <f>IFERROR(VLOOKUP(ROWS($N$2:N3732),$D$2:$E$1996,2,0),"")</f>
        <v/>
      </c>
    </row>
    <row r="3733" spans="2:14">
      <c r="B3733" s="32">
        <f>IF(ISNUMBER(SEARCH('Φόρμα Εισαγωγής'!$B$2,C3733)),MAX($B$1:B3732)+1,0)</f>
        <v>0</v>
      </c>
      <c r="D3733" s="33">
        <f>IF(ISNUMBER(SEARCH('Φόρμα Εισαγωγής'!$C$2,E3733)),MAX($D$1:D3732)+1,0)</f>
        <v>0</v>
      </c>
      <c r="H3733" s="6">
        <f t="shared" si="185"/>
        <v>0</v>
      </c>
      <c r="I3733" s="6">
        <f t="shared" si="186"/>
        <v>0</v>
      </c>
      <c r="J3733" s="6">
        <f t="shared" si="187"/>
        <v>0</v>
      </c>
      <c r="L3733" s="4" t="str">
        <f>IFERROR(VLOOKUP(ROWS($L$2:L3733),$B$2:$C$1996,2,0),"")</f>
        <v/>
      </c>
      <c r="N3733" s="2" t="str">
        <f>IFERROR(VLOOKUP(ROWS($N$2:N3733),$D$2:$E$1996,2,0),"")</f>
        <v/>
      </c>
    </row>
    <row r="3734" spans="2:14">
      <c r="B3734" s="32">
        <f>IF(ISNUMBER(SEARCH('Φόρμα Εισαγωγής'!$B$2,C3734)),MAX($B$1:B3733)+1,0)</f>
        <v>0</v>
      </c>
      <c r="D3734" s="33">
        <f>IF(ISNUMBER(SEARCH('Φόρμα Εισαγωγής'!$C$2,E3734)),MAX($D$1:D3733)+1,0)</f>
        <v>0</v>
      </c>
      <c r="H3734" s="6">
        <f t="shared" si="185"/>
        <v>0</v>
      </c>
      <c r="I3734" s="6">
        <f t="shared" si="186"/>
        <v>0</v>
      </c>
      <c r="J3734" s="6">
        <f t="shared" si="187"/>
        <v>0</v>
      </c>
      <c r="L3734" s="4" t="str">
        <f>IFERROR(VLOOKUP(ROWS($L$2:L3734),$B$2:$C$1996,2,0),"")</f>
        <v/>
      </c>
      <c r="N3734" s="2" t="str">
        <f>IFERROR(VLOOKUP(ROWS($N$2:N3734),$D$2:$E$1996,2,0),"")</f>
        <v/>
      </c>
    </row>
    <row r="3735" spans="2:14">
      <c r="B3735" s="32">
        <f>IF(ISNUMBER(SEARCH('Φόρμα Εισαγωγής'!$B$2,C3735)),MAX($B$1:B3734)+1,0)</f>
        <v>0</v>
      </c>
      <c r="D3735" s="33">
        <f>IF(ISNUMBER(SEARCH('Φόρμα Εισαγωγής'!$C$2,E3735)),MAX($D$1:D3734)+1,0)</f>
        <v>0</v>
      </c>
      <c r="H3735" s="6">
        <f t="shared" si="185"/>
        <v>0</v>
      </c>
      <c r="I3735" s="6">
        <f t="shared" si="186"/>
        <v>0</v>
      </c>
      <c r="J3735" s="6">
        <f t="shared" si="187"/>
        <v>0</v>
      </c>
      <c r="L3735" s="4" t="str">
        <f>IFERROR(VLOOKUP(ROWS($L$2:L3735),$B$2:$C$1996,2,0),"")</f>
        <v/>
      </c>
      <c r="N3735" s="2" t="str">
        <f>IFERROR(VLOOKUP(ROWS($N$2:N3735),$D$2:$E$1996,2,0),"")</f>
        <v/>
      </c>
    </row>
    <row r="3736" spans="2:14">
      <c r="B3736" s="32">
        <f>IF(ISNUMBER(SEARCH('Φόρμα Εισαγωγής'!$B$2,C3736)),MAX($B$1:B3735)+1,0)</f>
        <v>0</v>
      </c>
      <c r="D3736" s="33">
        <f>IF(ISNUMBER(SEARCH('Φόρμα Εισαγωγής'!$C$2,E3736)),MAX($D$1:D3735)+1,0)</f>
        <v>0</v>
      </c>
      <c r="H3736" s="6">
        <f t="shared" si="185"/>
        <v>0</v>
      </c>
      <c r="I3736" s="6">
        <f t="shared" si="186"/>
        <v>0</v>
      </c>
      <c r="J3736" s="6">
        <f t="shared" si="187"/>
        <v>0</v>
      </c>
      <c r="L3736" s="4" t="str">
        <f>IFERROR(VLOOKUP(ROWS($L$2:L3736),$B$2:$C$1996,2,0),"")</f>
        <v/>
      </c>
      <c r="N3736" s="2" t="str">
        <f>IFERROR(VLOOKUP(ROWS($N$2:N3736),$D$2:$E$1996,2,0),"")</f>
        <v/>
      </c>
    </row>
    <row r="3737" spans="2:14">
      <c r="B3737" s="32">
        <f>IF(ISNUMBER(SEARCH('Φόρμα Εισαγωγής'!$B$2,C3737)),MAX($B$1:B3736)+1,0)</f>
        <v>0</v>
      </c>
      <c r="D3737" s="33">
        <f>IF(ISNUMBER(SEARCH('Φόρμα Εισαγωγής'!$C$2,E3737)),MAX($D$1:D3736)+1,0)</f>
        <v>0</v>
      </c>
      <c r="H3737" s="6">
        <f t="shared" si="185"/>
        <v>0</v>
      </c>
      <c r="I3737" s="6">
        <f t="shared" si="186"/>
        <v>0</v>
      </c>
      <c r="J3737" s="6">
        <f t="shared" si="187"/>
        <v>0</v>
      </c>
      <c r="L3737" s="4" t="str">
        <f>IFERROR(VLOOKUP(ROWS($L$2:L3737),$B$2:$C$1996,2,0),"")</f>
        <v/>
      </c>
      <c r="N3737" s="2" t="str">
        <f>IFERROR(VLOOKUP(ROWS($N$2:N3737),$D$2:$E$1996,2,0),"")</f>
        <v/>
      </c>
    </row>
    <row r="3738" spans="2:14">
      <c r="B3738" s="32">
        <f>IF(ISNUMBER(SEARCH('Φόρμα Εισαγωγής'!$B$2,C3738)),MAX($B$1:B3737)+1,0)</f>
        <v>0</v>
      </c>
      <c r="D3738" s="33">
        <f>IF(ISNUMBER(SEARCH('Φόρμα Εισαγωγής'!$C$2,E3738)),MAX($D$1:D3737)+1,0)</f>
        <v>0</v>
      </c>
      <c r="H3738" s="6">
        <f t="shared" si="185"/>
        <v>0</v>
      </c>
      <c r="I3738" s="6">
        <f t="shared" si="186"/>
        <v>0</v>
      </c>
      <c r="J3738" s="6">
        <f t="shared" si="187"/>
        <v>0</v>
      </c>
      <c r="L3738" s="4" t="str">
        <f>IFERROR(VLOOKUP(ROWS($L$2:L3738),$B$2:$C$1996,2,0),"")</f>
        <v/>
      </c>
      <c r="N3738" s="2" t="str">
        <f>IFERROR(VLOOKUP(ROWS($N$2:N3738),$D$2:$E$1996,2,0),"")</f>
        <v/>
      </c>
    </row>
    <row r="3739" spans="2:14">
      <c r="B3739" s="32">
        <f>IF(ISNUMBER(SEARCH('Φόρμα Εισαγωγής'!$B$2,C3739)),MAX($B$1:B3738)+1,0)</f>
        <v>0</v>
      </c>
      <c r="D3739" s="33">
        <f>IF(ISNUMBER(SEARCH('Φόρμα Εισαγωγής'!$C$2,E3739)),MAX($D$1:D3738)+1,0)</f>
        <v>0</v>
      </c>
      <c r="H3739" s="6">
        <f t="shared" si="185"/>
        <v>0</v>
      </c>
      <c r="I3739" s="6">
        <f t="shared" si="186"/>
        <v>0</v>
      </c>
      <c r="J3739" s="6">
        <f t="shared" si="187"/>
        <v>0</v>
      </c>
      <c r="L3739" s="4" t="str">
        <f>IFERROR(VLOOKUP(ROWS($L$2:L3739),$B$2:$C$1996,2,0),"")</f>
        <v/>
      </c>
      <c r="N3739" s="2" t="str">
        <f>IFERROR(VLOOKUP(ROWS($N$2:N3739),$D$2:$E$1996,2,0),"")</f>
        <v/>
      </c>
    </row>
    <row r="3740" spans="2:14">
      <c r="B3740" s="32">
        <f>IF(ISNUMBER(SEARCH('Φόρμα Εισαγωγής'!$B$2,C3740)),MAX($B$1:B3739)+1,0)</f>
        <v>0</v>
      </c>
      <c r="D3740" s="33">
        <f>IF(ISNUMBER(SEARCH('Φόρμα Εισαγωγής'!$C$2,E3740)),MAX($D$1:D3739)+1,0)</f>
        <v>0</v>
      </c>
      <c r="H3740" s="6">
        <f t="shared" si="185"/>
        <v>0</v>
      </c>
      <c r="I3740" s="6">
        <f t="shared" si="186"/>
        <v>0</v>
      </c>
      <c r="J3740" s="6">
        <f t="shared" si="187"/>
        <v>0</v>
      </c>
      <c r="L3740" s="4" t="str">
        <f>IFERROR(VLOOKUP(ROWS($L$2:L3740),$B$2:$C$1996,2,0),"")</f>
        <v/>
      </c>
      <c r="N3740" s="2" t="str">
        <f>IFERROR(VLOOKUP(ROWS($N$2:N3740),$D$2:$E$1996,2,0),"")</f>
        <v/>
      </c>
    </row>
    <row r="3741" spans="2:14">
      <c r="B3741" s="32">
        <f>IF(ISNUMBER(SEARCH('Φόρμα Εισαγωγής'!$B$2,C3741)),MAX($B$1:B3740)+1,0)</f>
        <v>0</v>
      </c>
      <c r="D3741" s="33">
        <f>IF(ISNUMBER(SEARCH('Φόρμα Εισαγωγής'!$C$2,E3741)),MAX($D$1:D3740)+1,0)</f>
        <v>0</v>
      </c>
      <c r="H3741" s="6">
        <f t="shared" si="185"/>
        <v>0</v>
      </c>
      <c r="I3741" s="6">
        <f t="shared" si="186"/>
        <v>0</v>
      </c>
      <c r="J3741" s="6">
        <f t="shared" si="187"/>
        <v>0</v>
      </c>
      <c r="L3741" s="4" t="str">
        <f>IFERROR(VLOOKUP(ROWS($L$2:L3741),$B$2:$C$1996,2,0),"")</f>
        <v/>
      </c>
      <c r="N3741" s="2" t="str">
        <f>IFERROR(VLOOKUP(ROWS($N$2:N3741),$D$2:$E$1996,2,0),"")</f>
        <v/>
      </c>
    </row>
    <row r="3742" spans="2:14">
      <c r="B3742" s="32">
        <f>IF(ISNUMBER(SEARCH('Φόρμα Εισαγωγής'!$B$2,C3742)),MAX($B$1:B3741)+1,0)</f>
        <v>0</v>
      </c>
      <c r="D3742" s="33">
        <f>IF(ISNUMBER(SEARCH('Φόρμα Εισαγωγής'!$C$2,E3742)),MAX($D$1:D3741)+1,0)</f>
        <v>0</v>
      </c>
      <c r="H3742" s="6">
        <f t="shared" si="185"/>
        <v>0</v>
      </c>
      <c r="I3742" s="6">
        <f t="shared" si="186"/>
        <v>0</v>
      </c>
      <c r="J3742" s="6">
        <f t="shared" si="187"/>
        <v>0</v>
      </c>
      <c r="L3742" s="4" t="str">
        <f>IFERROR(VLOOKUP(ROWS($L$2:L3742),$B$2:$C$1996,2,0),"")</f>
        <v/>
      </c>
      <c r="N3742" s="2" t="str">
        <f>IFERROR(VLOOKUP(ROWS($N$2:N3742),$D$2:$E$1996,2,0),"")</f>
        <v/>
      </c>
    </row>
    <row r="3743" spans="2:14">
      <c r="B3743" s="32">
        <f>IF(ISNUMBER(SEARCH('Φόρμα Εισαγωγής'!$B$2,C3743)),MAX($B$1:B3742)+1,0)</f>
        <v>0</v>
      </c>
      <c r="D3743" s="33">
        <f>IF(ISNUMBER(SEARCH('Φόρμα Εισαγωγής'!$C$2,E3743)),MAX($D$1:D3742)+1,0)</f>
        <v>0</v>
      </c>
      <c r="H3743" s="6">
        <f t="shared" si="185"/>
        <v>0</v>
      </c>
      <c r="I3743" s="6">
        <f t="shared" si="186"/>
        <v>0</v>
      </c>
      <c r="J3743" s="6">
        <f t="shared" si="187"/>
        <v>0</v>
      </c>
      <c r="L3743" s="4" t="str">
        <f>IFERROR(VLOOKUP(ROWS($L$2:L3743),$B$2:$C$1996,2,0),"")</f>
        <v/>
      </c>
      <c r="N3743" s="2" t="str">
        <f>IFERROR(VLOOKUP(ROWS($N$2:N3743),$D$2:$E$1996,2,0),"")</f>
        <v/>
      </c>
    </row>
    <row r="3744" spans="2:14">
      <c r="B3744" s="32">
        <f>IF(ISNUMBER(SEARCH('Φόρμα Εισαγωγής'!$B$2,C3744)),MAX($B$1:B3743)+1,0)</f>
        <v>0</v>
      </c>
      <c r="D3744" s="33">
        <f>IF(ISNUMBER(SEARCH('Φόρμα Εισαγωγής'!$C$2,E3744)),MAX($D$1:D3743)+1,0)</f>
        <v>0</v>
      </c>
      <c r="H3744" s="6">
        <f t="shared" si="185"/>
        <v>0</v>
      </c>
      <c r="I3744" s="6">
        <f t="shared" si="186"/>
        <v>0</v>
      </c>
      <c r="J3744" s="6">
        <f t="shared" si="187"/>
        <v>0</v>
      </c>
      <c r="L3744" s="4" t="str">
        <f>IFERROR(VLOOKUP(ROWS($L$2:L3744),$B$2:$C$1996,2,0),"")</f>
        <v/>
      </c>
      <c r="N3744" s="2" t="str">
        <f>IFERROR(VLOOKUP(ROWS($N$2:N3744),$D$2:$E$1996,2,0),"")</f>
        <v/>
      </c>
    </row>
    <row r="3745" spans="2:14">
      <c r="B3745" s="32">
        <f>IF(ISNUMBER(SEARCH('Φόρμα Εισαγωγής'!$B$2,C3745)),MAX($B$1:B3744)+1,0)</f>
        <v>0</v>
      </c>
      <c r="D3745" s="33">
        <f>IF(ISNUMBER(SEARCH('Φόρμα Εισαγωγής'!$C$2,E3745)),MAX($D$1:D3744)+1,0)</f>
        <v>0</v>
      </c>
      <c r="H3745" s="6">
        <f t="shared" si="185"/>
        <v>0</v>
      </c>
      <c r="I3745" s="6">
        <f t="shared" si="186"/>
        <v>0</v>
      </c>
      <c r="J3745" s="6">
        <f t="shared" si="187"/>
        <v>0</v>
      </c>
      <c r="L3745" s="4" t="str">
        <f>IFERROR(VLOOKUP(ROWS($L$2:L3745),$B$2:$C$1996,2,0),"")</f>
        <v/>
      </c>
      <c r="N3745" s="2" t="str">
        <f>IFERROR(VLOOKUP(ROWS($N$2:N3745),$D$2:$E$1996,2,0),"")</f>
        <v/>
      </c>
    </row>
    <row r="3746" spans="2:14">
      <c r="B3746" s="32">
        <f>IF(ISNUMBER(SEARCH('Φόρμα Εισαγωγής'!$B$2,C3746)),MAX($B$1:B3745)+1,0)</f>
        <v>0</v>
      </c>
      <c r="D3746" s="33">
        <f>IF(ISNUMBER(SEARCH('Φόρμα Εισαγωγής'!$C$2,E3746)),MAX($D$1:D3745)+1,0)</f>
        <v>0</v>
      </c>
      <c r="H3746" s="6">
        <f t="shared" si="185"/>
        <v>0</v>
      </c>
      <c r="I3746" s="6">
        <f t="shared" si="186"/>
        <v>0</v>
      </c>
      <c r="J3746" s="6">
        <f t="shared" si="187"/>
        <v>0</v>
      </c>
      <c r="L3746" s="4" t="str">
        <f>IFERROR(VLOOKUP(ROWS($L$2:L3746),$B$2:$C$1996,2,0),"")</f>
        <v/>
      </c>
      <c r="N3746" s="2" t="str">
        <f>IFERROR(VLOOKUP(ROWS($N$2:N3746),$D$2:$E$1996,2,0),"")</f>
        <v/>
      </c>
    </row>
    <row r="3747" spans="2:14">
      <c r="B3747" s="32">
        <f>IF(ISNUMBER(SEARCH('Φόρμα Εισαγωγής'!$B$2,C3747)),MAX($B$1:B3746)+1,0)</f>
        <v>0</v>
      </c>
      <c r="D3747" s="33">
        <f>IF(ISNUMBER(SEARCH('Φόρμα Εισαγωγής'!$C$2,E3747)),MAX($D$1:D3746)+1,0)</f>
        <v>0</v>
      </c>
      <c r="H3747" s="6">
        <f t="shared" si="185"/>
        <v>0</v>
      </c>
      <c r="I3747" s="6">
        <f t="shared" si="186"/>
        <v>0</v>
      </c>
      <c r="J3747" s="6">
        <f t="shared" si="187"/>
        <v>0</v>
      </c>
      <c r="L3747" s="4" t="str">
        <f>IFERROR(VLOOKUP(ROWS($L$2:L3747),$B$2:$C$1996,2,0),"")</f>
        <v/>
      </c>
      <c r="N3747" s="2" t="str">
        <f>IFERROR(VLOOKUP(ROWS($N$2:N3747),$D$2:$E$1996,2,0),"")</f>
        <v/>
      </c>
    </row>
    <row r="3748" spans="2:14">
      <c r="B3748" s="32">
        <f>IF(ISNUMBER(SEARCH('Φόρμα Εισαγωγής'!$B$2,C3748)),MAX($B$1:B3747)+1,0)</f>
        <v>0</v>
      </c>
      <c r="D3748" s="33">
        <f>IF(ISNUMBER(SEARCH('Φόρμα Εισαγωγής'!$C$2,E3748)),MAX($D$1:D3747)+1,0)</f>
        <v>0</v>
      </c>
      <c r="H3748" s="6">
        <f t="shared" si="185"/>
        <v>0</v>
      </c>
      <c r="I3748" s="6">
        <f t="shared" si="186"/>
        <v>0</v>
      </c>
      <c r="J3748" s="6">
        <f t="shared" si="187"/>
        <v>0</v>
      </c>
      <c r="L3748" s="4" t="str">
        <f>IFERROR(VLOOKUP(ROWS($L$2:L3748),$B$2:$C$1996,2,0),"")</f>
        <v/>
      </c>
      <c r="N3748" s="2" t="str">
        <f>IFERROR(VLOOKUP(ROWS($N$2:N3748),$D$2:$E$1996,2,0),"")</f>
        <v/>
      </c>
    </row>
    <row r="3749" spans="2:14">
      <c r="B3749" s="32">
        <f>IF(ISNUMBER(SEARCH('Φόρμα Εισαγωγής'!$B$2,C3749)),MAX($B$1:B3748)+1,0)</f>
        <v>0</v>
      </c>
      <c r="D3749" s="33">
        <f>IF(ISNUMBER(SEARCH('Φόρμα Εισαγωγής'!$C$2,E3749)),MAX($D$1:D3748)+1,0)</f>
        <v>0</v>
      </c>
      <c r="H3749" s="6">
        <f t="shared" si="185"/>
        <v>0</v>
      </c>
      <c r="I3749" s="6">
        <f t="shared" si="186"/>
        <v>0</v>
      </c>
      <c r="J3749" s="6">
        <f t="shared" si="187"/>
        <v>0</v>
      </c>
      <c r="L3749" s="4" t="str">
        <f>IFERROR(VLOOKUP(ROWS($L$2:L3749),$B$2:$C$1996,2,0),"")</f>
        <v/>
      </c>
      <c r="N3749" s="2" t="str">
        <f>IFERROR(VLOOKUP(ROWS($N$2:N3749),$D$2:$E$1996,2,0),"")</f>
        <v/>
      </c>
    </row>
    <row r="3750" spans="2:14">
      <c r="B3750" s="32">
        <f>IF(ISNUMBER(SEARCH('Φόρμα Εισαγωγής'!$B$2,C3750)),MAX($B$1:B3749)+1,0)</f>
        <v>0</v>
      </c>
      <c r="D3750" s="33">
        <f>IF(ISNUMBER(SEARCH('Φόρμα Εισαγωγής'!$C$2,E3750)),MAX($D$1:D3749)+1,0)</f>
        <v>0</v>
      </c>
      <c r="H3750" s="6">
        <f t="shared" si="185"/>
        <v>0</v>
      </c>
      <c r="I3750" s="6">
        <f t="shared" si="186"/>
        <v>0</v>
      </c>
      <c r="J3750" s="6">
        <f t="shared" si="187"/>
        <v>0</v>
      </c>
      <c r="L3750" s="4" t="str">
        <f>IFERROR(VLOOKUP(ROWS($L$2:L3750),$B$2:$C$1996,2,0),"")</f>
        <v/>
      </c>
      <c r="N3750" s="2" t="str">
        <f>IFERROR(VLOOKUP(ROWS($N$2:N3750),$D$2:$E$1996,2,0),"")</f>
        <v/>
      </c>
    </row>
    <row r="3751" spans="2:14">
      <c r="B3751" s="32">
        <f>IF(ISNUMBER(SEARCH('Φόρμα Εισαγωγής'!$B$2,C3751)),MAX($B$1:B3750)+1,0)</f>
        <v>0</v>
      </c>
      <c r="D3751" s="33">
        <f>IF(ISNUMBER(SEARCH('Φόρμα Εισαγωγής'!$C$2,E3751)),MAX($D$1:D3750)+1,0)</f>
        <v>0</v>
      </c>
      <c r="H3751" s="6">
        <f t="shared" si="185"/>
        <v>0</v>
      </c>
      <c r="I3751" s="6">
        <f t="shared" si="186"/>
        <v>0</v>
      </c>
      <c r="J3751" s="6">
        <f t="shared" si="187"/>
        <v>0</v>
      </c>
      <c r="L3751" s="4" t="str">
        <f>IFERROR(VLOOKUP(ROWS($L$2:L3751),$B$2:$C$1996,2,0),"")</f>
        <v/>
      </c>
      <c r="N3751" s="2" t="str">
        <f>IFERROR(VLOOKUP(ROWS($N$2:N3751),$D$2:$E$1996,2,0),"")</f>
        <v/>
      </c>
    </row>
    <row r="3752" spans="2:14">
      <c r="B3752" s="32">
        <f>IF(ISNUMBER(SEARCH('Φόρμα Εισαγωγής'!$B$2,C3752)),MAX($B$1:B3751)+1,0)</f>
        <v>0</v>
      </c>
      <c r="D3752" s="33">
        <f>IF(ISNUMBER(SEARCH('Φόρμα Εισαγωγής'!$C$2,E3752)),MAX($D$1:D3751)+1,0)</f>
        <v>0</v>
      </c>
      <c r="H3752" s="6">
        <f t="shared" si="185"/>
        <v>0</v>
      </c>
      <c r="I3752" s="6">
        <f t="shared" si="186"/>
        <v>0</v>
      </c>
      <c r="J3752" s="6">
        <f t="shared" si="187"/>
        <v>0</v>
      </c>
      <c r="L3752" s="4" t="str">
        <f>IFERROR(VLOOKUP(ROWS($L$2:L3752),$B$2:$C$1996,2,0),"")</f>
        <v/>
      </c>
      <c r="N3752" s="2" t="str">
        <f>IFERROR(VLOOKUP(ROWS($N$2:N3752),$D$2:$E$1996,2,0),"")</f>
        <v/>
      </c>
    </row>
    <row r="3753" spans="2:14">
      <c r="B3753" s="32">
        <f>IF(ISNUMBER(SEARCH('Φόρμα Εισαγωγής'!$B$2,C3753)),MAX($B$1:B3752)+1,0)</f>
        <v>0</v>
      </c>
      <c r="D3753" s="33">
        <f>IF(ISNUMBER(SEARCH('Φόρμα Εισαγωγής'!$C$2,E3753)),MAX($D$1:D3752)+1,0)</f>
        <v>0</v>
      </c>
      <c r="H3753" s="6">
        <f t="shared" si="185"/>
        <v>0</v>
      </c>
      <c r="I3753" s="6">
        <f t="shared" si="186"/>
        <v>0</v>
      </c>
      <c r="J3753" s="6">
        <f t="shared" si="187"/>
        <v>0</v>
      </c>
      <c r="L3753" s="4" t="str">
        <f>IFERROR(VLOOKUP(ROWS($L$2:L3753),$B$2:$C$1996,2,0),"")</f>
        <v/>
      </c>
      <c r="N3753" s="2" t="str">
        <f>IFERROR(VLOOKUP(ROWS($N$2:N3753),$D$2:$E$1996,2,0),"")</f>
        <v/>
      </c>
    </row>
    <row r="3754" spans="2:14">
      <c r="B3754" s="32">
        <f>IF(ISNUMBER(SEARCH('Φόρμα Εισαγωγής'!$B$2,C3754)),MAX($B$1:B3753)+1,0)</f>
        <v>0</v>
      </c>
      <c r="D3754" s="33">
        <f>IF(ISNUMBER(SEARCH('Φόρμα Εισαγωγής'!$C$2,E3754)),MAX($D$1:D3753)+1,0)</f>
        <v>0</v>
      </c>
      <c r="H3754" s="6">
        <f t="shared" si="185"/>
        <v>0</v>
      </c>
      <c r="I3754" s="6">
        <f t="shared" si="186"/>
        <v>0</v>
      </c>
      <c r="J3754" s="6">
        <f t="shared" si="187"/>
        <v>0</v>
      </c>
      <c r="L3754" s="4" t="str">
        <f>IFERROR(VLOOKUP(ROWS($L$2:L3754),$B$2:$C$1996,2,0),"")</f>
        <v/>
      </c>
      <c r="N3754" s="2" t="str">
        <f>IFERROR(VLOOKUP(ROWS($N$2:N3754),$D$2:$E$1996,2,0),"")</f>
        <v/>
      </c>
    </row>
    <row r="3755" spans="2:14">
      <c r="B3755" s="32">
        <f>IF(ISNUMBER(SEARCH('Φόρμα Εισαγωγής'!$B$2,C3755)),MAX($B$1:B3754)+1,0)</f>
        <v>0</v>
      </c>
      <c r="D3755" s="33">
        <f>IF(ISNUMBER(SEARCH('Φόρμα Εισαγωγής'!$C$2,E3755)),MAX($D$1:D3754)+1,0)</f>
        <v>0</v>
      </c>
      <c r="H3755" s="6">
        <f t="shared" si="185"/>
        <v>0</v>
      </c>
      <c r="I3755" s="6">
        <f t="shared" si="186"/>
        <v>0</v>
      </c>
      <c r="J3755" s="6">
        <f t="shared" si="187"/>
        <v>0</v>
      </c>
      <c r="L3755" s="4" t="str">
        <f>IFERROR(VLOOKUP(ROWS($L$2:L3755),$B$2:$C$1996,2,0),"")</f>
        <v/>
      </c>
      <c r="N3755" s="2" t="str">
        <f>IFERROR(VLOOKUP(ROWS($N$2:N3755),$D$2:$E$1996,2,0),"")</f>
        <v/>
      </c>
    </row>
    <row r="3756" spans="2:14">
      <c r="B3756" s="32">
        <f>IF(ISNUMBER(SEARCH('Φόρμα Εισαγωγής'!$B$2,C3756)),MAX($B$1:B3755)+1,0)</f>
        <v>0</v>
      </c>
      <c r="D3756" s="33">
        <f>IF(ISNUMBER(SEARCH('Φόρμα Εισαγωγής'!$C$2,E3756)),MAX($D$1:D3755)+1,0)</f>
        <v>0</v>
      </c>
      <c r="H3756" s="6">
        <f t="shared" si="185"/>
        <v>0</v>
      </c>
      <c r="I3756" s="6">
        <f t="shared" si="186"/>
        <v>0</v>
      </c>
      <c r="J3756" s="6">
        <f t="shared" si="187"/>
        <v>0</v>
      </c>
      <c r="L3756" s="4" t="str">
        <f>IFERROR(VLOOKUP(ROWS($L$2:L3756),$B$2:$C$1996,2,0),"")</f>
        <v/>
      </c>
      <c r="N3756" s="2" t="str">
        <f>IFERROR(VLOOKUP(ROWS($N$2:N3756),$D$2:$E$1996,2,0),"")</f>
        <v/>
      </c>
    </row>
    <row r="3757" spans="2:14">
      <c r="B3757" s="32">
        <f>IF(ISNUMBER(SEARCH('Φόρμα Εισαγωγής'!$B$2,C3757)),MAX($B$1:B3756)+1,0)</f>
        <v>0</v>
      </c>
      <c r="D3757" s="33">
        <f>IF(ISNUMBER(SEARCH('Φόρμα Εισαγωγής'!$C$2,E3757)),MAX($D$1:D3756)+1,0)</f>
        <v>0</v>
      </c>
      <c r="H3757" s="6">
        <f t="shared" si="185"/>
        <v>0</v>
      </c>
      <c r="I3757" s="6">
        <f t="shared" si="186"/>
        <v>0</v>
      </c>
      <c r="J3757" s="6">
        <f t="shared" si="187"/>
        <v>0</v>
      </c>
      <c r="L3757" s="4" t="str">
        <f>IFERROR(VLOOKUP(ROWS($L$2:L3757),$B$2:$C$1996,2,0),"")</f>
        <v/>
      </c>
      <c r="N3757" s="2" t="str">
        <f>IFERROR(VLOOKUP(ROWS($N$2:N3757),$D$2:$E$1996,2,0),"")</f>
        <v/>
      </c>
    </row>
    <row r="3758" spans="2:14">
      <c r="B3758" s="32">
        <f>IF(ISNUMBER(SEARCH('Φόρμα Εισαγωγής'!$B$2,C3758)),MAX($B$1:B3757)+1,0)</f>
        <v>0</v>
      </c>
      <c r="D3758" s="33">
        <f>IF(ISNUMBER(SEARCH('Φόρμα Εισαγωγής'!$C$2,E3758)),MAX($D$1:D3757)+1,0)</f>
        <v>0</v>
      </c>
      <c r="H3758" s="6">
        <f t="shared" si="185"/>
        <v>0</v>
      </c>
      <c r="I3758" s="6">
        <f t="shared" si="186"/>
        <v>0</v>
      </c>
      <c r="J3758" s="6">
        <f t="shared" si="187"/>
        <v>0</v>
      </c>
      <c r="L3758" s="4" t="str">
        <f>IFERROR(VLOOKUP(ROWS($L$2:L3758),$B$2:$C$1996,2,0),"")</f>
        <v/>
      </c>
      <c r="N3758" s="2" t="str">
        <f>IFERROR(VLOOKUP(ROWS($N$2:N3758),$D$2:$E$1996,2,0),"")</f>
        <v/>
      </c>
    </row>
    <row r="3759" spans="2:14">
      <c r="B3759" s="32">
        <f>IF(ISNUMBER(SEARCH('Φόρμα Εισαγωγής'!$B$2,C3759)),MAX($B$1:B3758)+1,0)</f>
        <v>0</v>
      </c>
      <c r="D3759" s="33">
        <f>IF(ISNUMBER(SEARCH('Φόρμα Εισαγωγής'!$C$2,E3759)),MAX($D$1:D3758)+1,0)</f>
        <v>0</v>
      </c>
      <c r="H3759" s="6">
        <f t="shared" si="185"/>
        <v>0</v>
      </c>
      <c r="I3759" s="6">
        <f t="shared" si="186"/>
        <v>0</v>
      </c>
      <c r="J3759" s="6">
        <f t="shared" si="187"/>
        <v>0</v>
      </c>
      <c r="L3759" s="4" t="str">
        <f>IFERROR(VLOOKUP(ROWS($L$2:L3759),$B$2:$C$1996,2,0),"")</f>
        <v/>
      </c>
      <c r="N3759" s="2" t="str">
        <f>IFERROR(VLOOKUP(ROWS($N$2:N3759),$D$2:$E$1996,2,0),"")</f>
        <v/>
      </c>
    </row>
    <row r="3760" spans="2:14">
      <c r="B3760" s="32">
        <f>IF(ISNUMBER(SEARCH('Φόρμα Εισαγωγής'!$B$2,C3760)),MAX($B$1:B3759)+1,0)</f>
        <v>0</v>
      </c>
      <c r="D3760" s="33">
        <f>IF(ISNUMBER(SEARCH('Φόρμα Εισαγωγής'!$C$2,E3760)),MAX($D$1:D3759)+1,0)</f>
        <v>0</v>
      </c>
      <c r="H3760" s="6">
        <f t="shared" si="185"/>
        <v>0</v>
      </c>
      <c r="I3760" s="6">
        <f t="shared" si="186"/>
        <v>0</v>
      </c>
      <c r="J3760" s="6">
        <f t="shared" si="187"/>
        <v>0</v>
      </c>
      <c r="L3760" s="4" t="str">
        <f>IFERROR(VLOOKUP(ROWS($L$2:L3760),$B$2:$C$1996,2,0),"")</f>
        <v/>
      </c>
      <c r="N3760" s="2" t="str">
        <f>IFERROR(VLOOKUP(ROWS($N$2:N3760),$D$2:$E$1996,2,0),"")</f>
        <v/>
      </c>
    </row>
    <row r="3761" spans="2:14">
      <c r="B3761" s="32">
        <f>IF(ISNUMBER(SEARCH('Φόρμα Εισαγωγής'!$B$2,C3761)),MAX($B$1:B3760)+1,0)</f>
        <v>0</v>
      </c>
      <c r="D3761" s="33">
        <f>IF(ISNUMBER(SEARCH('Φόρμα Εισαγωγής'!$C$2,E3761)),MAX($D$1:D3760)+1,0)</f>
        <v>0</v>
      </c>
      <c r="H3761" s="6">
        <f t="shared" si="185"/>
        <v>0</v>
      </c>
      <c r="I3761" s="6">
        <f t="shared" si="186"/>
        <v>0</v>
      </c>
      <c r="J3761" s="6">
        <f t="shared" si="187"/>
        <v>0</v>
      </c>
      <c r="L3761" s="4" t="str">
        <f>IFERROR(VLOOKUP(ROWS($L$2:L3761),$B$2:$C$1996,2,0),"")</f>
        <v/>
      </c>
      <c r="N3761" s="2" t="str">
        <f>IFERROR(VLOOKUP(ROWS($N$2:N3761),$D$2:$E$1996,2,0),"")</f>
        <v/>
      </c>
    </row>
    <row r="3762" spans="2:14">
      <c r="B3762" s="32">
        <f>IF(ISNUMBER(SEARCH('Φόρμα Εισαγωγής'!$B$2,C3762)),MAX($B$1:B3761)+1,0)</f>
        <v>0</v>
      </c>
      <c r="D3762" s="33">
        <f>IF(ISNUMBER(SEARCH('Φόρμα Εισαγωγής'!$C$2,E3762)),MAX($D$1:D3761)+1,0)</f>
        <v>0</v>
      </c>
      <c r="H3762" s="6">
        <f t="shared" si="185"/>
        <v>0</v>
      </c>
      <c r="I3762" s="6">
        <f t="shared" si="186"/>
        <v>0</v>
      </c>
      <c r="J3762" s="6">
        <f t="shared" si="187"/>
        <v>0</v>
      </c>
      <c r="L3762" s="4" t="str">
        <f>IFERROR(VLOOKUP(ROWS($L$2:L3762),$B$2:$C$1996,2,0),"")</f>
        <v/>
      </c>
      <c r="N3762" s="2" t="str">
        <f>IFERROR(VLOOKUP(ROWS($N$2:N3762),$D$2:$E$1996,2,0),"")</f>
        <v/>
      </c>
    </row>
    <row r="3763" spans="2:14">
      <c r="B3763" s="32">
        <f>IF(ISNUMBER(SEARCH('Φόρμα Εισαγωγής'!$B$2,C3763)),MAX($B$1:B3762)+1,0)</f>
        <v>0</v>
      </c>
      <c r="D3763" s="33">
        <f>IF(ISNUMBER(SEARCH('Φόρμα Εισαγωγής'!$C$2,E3763)),MAX($D$1:D3762)+1,0)</f>
        <v>0</v>
      </c>
      <c r="H3763" s="6">
        <f t="shared" si="185"/>
        <v>0</v>
      </c>
      <c r="I3763" s="6">
        <f t="shared" si="186"/>
        <v>0</v>
      </c>
      <c r="J3763" s="6">
        <f t="shared" si="187"/>
        <v>0</v>
      </c>
      <c r="L3763" s="4" t="str">
        <f>IFERROR(VLOOKUP(ROWS($L$2:L3763),$B$2:$C$1996,2,0),"")</f>
        <v/>
      </c>
      <c r="N3763" s="2" t="str">
        <f>IFERROR(VLOOKUP(ROWS($N$2:N3763),$D$2:$E$1996,2,0),"")</f>
        <v/>
      </c>
    </row>
    <row r="3764" spans="2:14">
      <c r="B3764" s="32">
        <f>IF(ISNUMBER(SEARCH('Φόρμα Εισαγωγής'!$B$2,C3764)),MAX($B$1:B3763)+1,0)</f>
        <v>0</v>
      </c>
      <c r="D3764" s="33">
        <f>IF(ISNUMBER(SEARCH('Φόρμα Εισαγωγής'!$C$2,E3764)),MAX($D$1:D3763)+1,0)</f>
        <v>0</v>
      </c>
      <c r="H3764" s="6">
        <f t="shared" si="185"/>
        <v>0</v>
      </c>
      <c r="I3764" s="6">
        <f t="shared" si="186"/>
        <v>0</v>
      </c>
      <c r="J3764" s="6">
        <f t="shared" si="187"/>
        <v>0</v>
      </c>
      <c r="L3764" s="4" t="str">
        <f>IFERROR(VLOOKUP(ROWS($L$2:L3764),$B$2:$C$1996,2,0),"")</f>
        <v/>
      </c>
      <c r="N3764" s="2" t="str">
        <f>IFERROR(VLOOKUP(ROWS($N$2:N3764),$D$2:$E$1996,2,0),"")</f>
        <v/>
      </c>
    </row>
    <row r="3765" spans="2:14">
      <c r="B3765" s="32">
        <f>IF(ISNUMBER(SEARCH('Φόρμα Εισαγωγής'!$B$2,C3765)),MAX($B$1:B3764)+1,0)</f>
        <v>0</v>
      </c>
      <c r="D3765" s="33">
        <f>IF(ISNUMBER(SEARCH('Φόρμα Εισαγωγής'!$C$2,E3765)),MAX($D$1:D3764)+1,0)</f>
        <v>0</v>
      </c>
      <c r="H3765" s="6">
        <f t="shared" si="185"/>
        <v>0</v>
      </c>
      <c r="I3765" s="6">
        <f t="shared" si="186"/>
        <v>0</v>
      </c>
      <c r="J3765" s="6">
        <f t="shared" si="187"/>
        <v>0</v>
      </c>
      <c r="L3765" s="4" t="str">
        <f>IFERROR(VLOOKUP(ROWS($L$2:L3765),$B$2:$C$1996,2,0),"")</f>
        <v/>
      </c>
      <c r="N3765" s="2" t="str">
        <f>IFERROR(VLOOKUP(ROWS($N$2:N3765),$D$2:$E$1996,2,0),"")</f>
        <v/>
      </c>
    </row>
    <row r="3766" spans="2:14">
      <c r="B3766" s="32">
        <f>IF(ISNUMBER(SEARCH('Φόρμα Εισαγωγής'!$B$2,C3766)),MAX($B$1:B3765)+1,0)</f>
        <v>0</v>
      </c>
      <c r="D3766" s="33">
        <f>IF(ISNUMBER(SEARCH('Φόρμα Εισαγωγής'!$C$2,E3766)),MAX($D$1:D3765)+1,0)</f>
        <v>0</v>
      </c>
      <c r="H3766" s="6">
        <f t="shared" si="185"/>
        <v>0</v>
      </c>
      <c r="I3766" s="6">
        <f t="shared" si="186"/>
        <v>0</v>
      </c>
      <c r="J3766" s="6">
        <f t="shared" si="187"/>
        <v>0</v>
      </c>
      <c r="L3766" s="4" t="str">
        <f>IFERROR(VLOOKUP(ROWS($L$2:L3766),$B$2:$C$1996,2,0),"")</f>
        <v/>
      </c>
      <c r="N3766" s="2" t="str">
        <f>IFERROR(VLOOKUP(ROWS($N$2:N3766),$D$2:$E$1996,2,0),"")</f>
        <v/>
      </c>
    </row>
    <row r="3767" spans="2:14">
      <c r="B3767" s="32">
        <f>IF(ISNUMBER(SEARCH('Φόρμα Εισαγωγής'!$B$2,C3767)),MAX($B$1:B3766)+1,0)</f>
        <v>0</v>
      </c>
      <c r="D3767" s="33">
        <f>IF(ISNUMBER(SEARCH('Φόρμα Εισαγωγής'!$C$2,E3767)),MAX($D$1:D3766)+1,0)</f>
        <v>0</v>
      </c>
      <c r="H3767" s="6">
        <f t="shared" si="185"/>
        <v>0</v>
      </c>
      <c r="I3767" s="6">
        <f t="shared" si="186"/>
        <v>0</v>
      </c>
      <c r="J3767" s="6">
        <f t="shared" si="187"/>
        <v>0</v>
      </c>
      <c r="L3767" s="4" t="str">
        <f>IFERROR(VLOOKUP(ROWS($L$2:L3767),$B$2:$C$1996,2,0),"")</f>
        <v/>
      </c>
      <c r="N3767" s="2" t="str">
        <f>IFERROR(VLOOKUP(ROWS($N$2:N3767),$D$2:$E$1996,2,0),"")</f>
        <v/>
      </c>
    </row>
    <row r="3768" spans="2:14">
      <c r="B3768" s="32">
        <f>IF(ISNUMBER(SEARCH('Φόρμα Εισαγωγής'!$B$2,C3768)),MAX($B$1:B3767)+1,0)</f>
        <v>0</v>
      </c>
      <c r="D3768" s="33">
        <f>IF(ISNUMBER(SEARCH('Φόρμα Εισαγωγής'!$C$2,E3768)),MAX($D$1:D3767)+1,0)</f>
        <v>0</v>
      </c>
      <c r="H3768" s="6">
        <f t="shared" si="185"/>
        <v>0</v>
      </c>
      <c r="I3768" s="6">
        <f t="shared" si="186"/>
        <v>0</v>
      </c>
      <c r="J3768" s="6">
        <f t="shared" si="187"/>
        <v>0</v>
      </c>
      <c r="L3768" s="4" t="str">
        <f>IFERROR(VLOOKUP(ROWS($L$2:L3768),$B$2:$C$1996,2,0),"")</f>
        <v/>
      </c>
      <c r="N3768" s="2" t="str">
        <f>IFERROR(VLOOKUP(ROWS($N$2:N3768),$D$2:$E$1996,2,0),"")</f>
        <v/>
      </c>
    </row>
    <row r="3769" spans="2:14">
      <c r="B3769" s="32">
        <f>IF(ISNUMBER(SEARCH('Φόρμα Εισαγωγής'!$B$2,C3769)),MAX($B$1:B3768)+1,0)</f>
        <v>0</v>
      </c>
      <c r="D3769" s="33">
        <f>IF(ISNUMBER(SEARCH('Φόρμα Εισαγωγής'!$C$2,E3769)),MAX($D$1:D3768)+1,0)</f>
        <v>0</v>
      </c>
      <c r="H3769" s="6">
        <f t="shared" si="185"/>
        <v>0</v>
      </c>
      <c r="I3769" s="6">
        <f t="shared" si="186"/>
        <v>0</v>
      </c>
      <c r="J3769" s="6">
        <f t="shared" si="187"/>
        <v>0</v>
      </c>
      <c r="L3769" s="4" t="str">
        <f>IFERROR(VLOOKUP(ROWS($L$2:L3769),$B$2:$C$1996,2,0),"")</f>
        <v/>
      </c>
      <c r="N3769" s="2" t="str">
        <f>IFERROR(VLOOKUP(ROWS($N$2:N3769),$D$2:$E$1996,2,0),"")</f>
        <v/>
      </c>
    </row>
    <row r="3770" spans="2:14">
      <c r="B3770" s="32">
        <f>IF(ISNUMBER(SEARCH('Φόρμα Εισαγωγής'!$B$2,C3770)),MAX($B$1:B3769)+1,0)</f>
        <v>0</v>
      </c>
      <c r="D3770" s="33">
        <f>IF(ISNUMBER(SEARCH('Φόρμα Εισαγωγής'!$C$2,E3770)),MAX($D$1:D3769)+1,0)</f>
        <v>0</v>
      </c>
      <c r="H3770" s="6">
        <f t="shared" si="185"/>
        <v>0</v>
      </c>
      <c r="I3770" s="6">
        <f t="shared" si="186"/>
        <v>0</v>
      </c>
      <c r="J3770" s="6">
        <f t="shared" si="187"/>
        <v>0</v>
      </c>
      <c r="L3770" s="4" t="str">
        <f>IFERROR(VLOOKUP(ROWS($L$2:L3770),$B$2:$C$1996,2,0),"")</f>
        <v/>
      </c>
      <c r="N3770" s="2" t="str">
        <f>IFERROR(VLOOKUP(ROWS($N$2:N3770),$D$2:$E$1996,2,0),"")</f>
        <v/>
      </c>
    </row>
    <row r="3771" spans="2:14">
      <c r="B3771" s="32">
        <f>IF(ISNUMBER(SEARCH('Φόρμα Εισαγωγής'!$B$2,C3771)),MAX($B$1:B3770)+1,0)</f>
        <v>0</v>
      </c>
      <c r="D3771" s="33">
        <f>IF(ISNUMBER(SEARCH('Φόρμα Εισαγωγής'!$C$2,E3771)),MAX($D$1:D3770)+1,0)</f>
        <v>0</v>
      </c>
      <c r="H3771" s="6">
        <f t="shared" si="185"/>
        <v>0</v>
      </c>
      <c r="I3771" s="6">
        <f t="shared" si="186"/>
        <v>0</v>
      </c>
      <c r="J3771" s="6">
        <f t="shared" si="187"/>
        <v>0</v>
      </c>
      <c r="L3771" s="4" t="str">
        <f>IFERROR(VLOOKUP(ROWS($L$2:L3771),$B$2:$C$1996,2,0),"")</f>
        <v/>
      </c>
      <c r="N3771" s="2" t="str">
        <f>IFERROR(VLOOKUP(ROWS($N$2:N3771),$D$2:$E$1996,2,0),"")</f>
        <v/>
      </c>
    </row>
    <row r="3772" spans="2:14">
      <c r="B3772" s="32">
        <f>IF(ISNUMBER(SEARCH('Φόρμα Εισαγωγής'!$B$2,C3772)),MAX($B$1:B3771)+1,0)</f>
        <v>0</v>
      </c>
      <c r="D3772" s="33">
        <f>IF(ISNUMBER(SEARCH('Φόρμα Εισαγωγής'!$C$2,E3772)),MAX($D$1:D3771)+1,0)</f>
        <v>0</v>
      </c>
      <c r="H3772" s="6">
        <f t="shared" si="185"/>
        <v>0</v>
      </c>
      <c r="I3772" s="6">
        <f t="shared" si="186"/>
        <v>0</v>
      </c>
      <c r="J3772" s="6">
        <f t="shared" si="187"/>
        <v>0</v>
      </c>
      <c r="L3772" s="4" t="str">
        <f>IFERROR(VLOOKUP(ROWS($L$2:L3772),$B$2:$C$1996,2,0),"")</f>
        <v/>
      </c>
      <c r="N3772" s="2" t="str">
        <f>IFERROR(VLOOKUP(ROWS($N$2:N3772),$D$2:$E$1996,2,0),"")</f>
        <v/>
      </c>
    </row>
    <row r="3773" spans="2:14">
      <c r="B3773" s="32">
        <f>IF(ISNUMBER(SEARCH('Φόρμα Εισαγωγής'!$B$2,C3773)),MAX($B$1:B3772)+1,0)</f>
        <v>0</v>
      </c>
      <c r="D3773" s="33">
        <f>IF(ISNUMBER(SEARCH('Φόρμα Εισαγωγής'!$C$2,E3773)),MAX($D$1:D3772)+1,0)</f>
        <v>0</v>
      </c>
      <c r="H3773" s="6">
        <f t="shared" si="185"/>
        <v>0</v>
      </c>
      <c r="I3773" s="6">
        <f t="shared" si="186"/>
        <v>0</v>
      </c>
      <c r="J3773" s="6">
        <f t="shared" si="187"/>
        <v>0</v>
      </c>
      <c r="L3773" s="4" t="str">
        <f>IFERROR(VLOOKUP(ROWS($L$2:L3773),$B$2:$C$1996,2,0),"")</f>
        <v/>
      </c>
      <c r="N3773" s="2" t="str">
        <f>IFERROR(VLOOKUP(ROWS($N$2:N3773),$D$2:$E$1996,2,0),"")</f>
        <v/>
      </c>
    </row>
    <row r="3774" spans="2:14">
      <c r="B3774" s="32">
        <f>IF(ISNUMBER(SEARCH('Φόρμα Εισαγωγής'!$B$2,C3774)),MAX($B$1:B3773)+1,0)</f>
        <v>0</v>
      </c>
      <c r="D3774" s="33">
        <f>IF(ISNUMBER(SEARCH('Φόρμα Εισαγωγής'!$C$2,E3774)),MAX($D$1:D3773)+1,0)</f>
        <v>0</v>
      </c>
      <c r="H3774" s="6">
        <f t="shared" si="185"/>
        <v>0</v>
      </c>
      <c r="I3774" s="6">
        <f t="shared" si="186"/>
        <v>0</v>
      </c>
      <c r="J3774" s="6">
        <f t="shared" si="187"/>
        <v>0</v>
      </c>
      <c r="L3774" s="4" t="str">
        <f>IFERROR(VLOOKUP(ROWS($L$2:L3774),$B$2:$C$1996,2,0),"")</f>
        <v/>
      </c>
      <c r="N3774" s="2" t="str">
        <f>IFERROR(VLOOKUP(ROWS($N$2:N3774),$D$2:$E$1996,2,0),"")</f>
        <v/>
      </c>
    </row>
    <row r="3775" spans="2:14">
      <c r="B3775" s="32">
        <f>IF(ISNUMBER(SEARCH('Φόρμα Εισαγωγής'!$B$2,C3775)),MAX($B$1:B3774)+1,0)</f>
        <v>0</v>
      </c>
      <c r="D3775" s="33">
        <f>IF(ISNUMBER(SEARCH('Φόρμα Εισαγωγής'!$C$2,E3775)),MAX($D$1:D3774)+1,0)</f>
        <v>0</v>
      </c>
      <c r="H3775" s="6">
        <f t="shared" si="185"/>
        <v>0</v>
      </c>
      <c r="I3775" s="6">
        <f t="shared" si="186"/>
        <v>0</v>
      </c>
      <c r="J3775" s="6">
        <f t="shared" si="187"/>
        <v>0</v>
      </c>
      <c r="L3775" s="4" t="str">
        <f>IFERROR(VLOOKUP(ROWS($L$2:L3775),$B$2:$C$1996,2,0),"")</f>
        <v/>
      </c>
      <c r="N3775" s="2" t="str">
        <f>IFERROR(VLOOKUP(ROWS($N$2:N3775),$D$2:$E$1996,2,0),"")</f>
        <v/>
      </c>
    </row>
    <row r="3776" spans="2:14">
      <c r="B3776" s="32">
        <f>IF(ISNUMBER(SEARCH('Φόρμα Εισαγωγής'!$B$2,C3776)),MAX($B$1:B3775)+1,0)</f>
        <v>0</v>
      </c>
      <c r="D3776" s="33">
        <f>IF(ISNUMBER(SEARCH('Φόρμα Εισαγωγής'!$C$2,E3776)),MAX($D$1:D3775)+1,0)</f>
        <v>0</v>
      </c>
      <c r="H3776" s="6">
        <f t="shared" ref="H3776:H3839" si="188">G3776+(G3776*0.24)</f>
        <v>0</v>
      </c>
      <c r="I3776" s="6">
        <f t="shared" ref="I3776:I3839" si="189">F3776*A3776</f>
        <v>0</v>
      </c>
      <c r="J3776" s="6">
        <f t="shared" ref="J3776:J3839" si="190">H3776*A3776</f>
        <v>0</v>
      </c>
      <c r="L3776" s="4" t="str">
        <f>IFERROR(VLOOKUP(ROWS($L$2:L3776),$B$2:$C$1996,2,0),"")</f>
        <v/>
      </c>
      <c r="N3776" s="2" t="str">
        <f>IFERROR(VLOOKUP(ROWS($N$2:N3776),$D$2:$E$1996,2,0),"")</f>
        <v/>
      </c>
    </row>
    <row r="3777" spans="2:14">
      <c r="B3777" s="32">
        <f>IF(ISNUMBER(SEARCH('Φόρμα Εισαγωγής'!$B$2,C3777)),MAX($B$1:B3776)+1,0)</f>
        <v>0</v>
      </c>
      <c r="D3777" s="33">
        <f>IF(ISNUMBER(SEARCH('Φόρμα Εισαγωγής'!$C$2,E3777)),MAX($D$1:D3776)+1,0)</f>
        <v>0</v>
      </c>
      <c r="H3777" s="6">
        <f t="shared" si="188"/>
        <v>0</v>
      </c>
      <c r="I3777" s="6">
        <f t="shared" si="189"/>
        <v>0</v>
      </c>
      <c r="J3777" s="6">
        <f t="shared" si="190"/>
        <v>0</v>
      </c>
      <c r="L3777" s="4" t="str">
        <f>IFERROR(VLOOKUP(ROWS($L$2:L3777),$B$2:$C$1996,2,0),"")</f>
        <v/>
      </c>
      <c r="N3777" s="2" t="str">
        <f>IFERROR(VLOOKUP(ROWS($N$2:N3777),$D$2:$E$1996,2,0),"")</f>
        <v/>
      </c>
    </row>
    <row r="3778" spans="2:14">
      <c r="B3778" s="32">
        <f>IF(ISNUMBER(SEARCH('Φόρμα Εισαγωγής'!$B$2,C3778)),MAX($B$1:B3777)+1,0)</f>
        <v>0</v>
      </c>
      <c r="D3778" s="33">
        <f>IF(ISNUMBER(SEARCH('Φόρμα Εισαγωγής'!$C$2,E3778)),MAX($D$1:D3777)+1,0)</f>
        <v>0</v>
      </c>
      <c r="H3778" s="6">
        <f t="shared" si="188"/>
        <v>0</v>
      </c>
      <c r="I3778" s="6">
        <f t="shared" si="189"/>
        <v>0</v>
      </c>
      <c r="J3778" s="6">
        <f t="shared" si="190"/>
        <v>0</v>
      </c>
      <c r="L3778" s="4" t="str">
        <f>IFERROR(VLOOKUP(ROWS($L$2:L3778),$B$2:$C$1996,2,0),"")</f>
        <v/>
      </c>
      <c r="N3778" s="2" t="str">
        <f>IFERROR(VLOOKUP(ROWS($N$2:N3778),$D$2:$E$1996,2,0),"")</f>
        <v/>
      </c>
    </row>
    <row r="3779" spans="2:14">
      <c r="B3779" s="32">
        <f>IF(ISNUMBER(SEARCH('Φόρμα Εισαγωγής'!$B$2,C3779)),MAX($B$1:B3778)+1,0)</f>
        <v>0</v>
      </c>
      <c r="D3779" s="33">
        <f>IF(ISNUMBER(SEARCH('Φόρμα Εισαγωγής'!$C$2,E3779)),MAX($D$1:D3778)+1,0)</f>
        <v>0</v>
      </c>
      <c r="H3779" s="6">
        <f t="shared" si="188"/>
        <v>0</v>
      </c>
      <c r="I3779" s="6">
        <f t="shared" si="189"/>
        <v>0</v>
      </c>
      <c r="J3779" s="6">
        <f t="shared" si="190"/>
        <v>0</v>
      </c>
      <c r="L3779" s="4" t="str">
        <f>IFERROR(VLOOKUP(ROWS($L$2:L3779),$B$2:$C$1996,2,0),"")</f>
        <v/>
      </c>
      <c r="N3779" s="2" t="str">
        <f>IFERROR(VLOOKUP(ROWS($N$2:N3779),$D$2:$E$1996,2,0),"")</f>
        <v/>
      </c>
    </row>
    <row r="3780" spans="2:14">
      <c r="B3780" s="32">
        <f>IF(ISNUMBER(SEARCH('Φόρμα Εισαγωγής'!$B$2,C3780)),MAX($B$1:B3779)+1,0)</f>
        <v>0</v>
      </c>
      <c r="D3780" s="33">
        <f>IF(ISNUMBER(SEARCH('Φόρμα Εισαγωγής'!$C$2,E3780)),MAX($D$1:D3779)+1,0)</f>
        <v>0</v>
      </c>
      <c r="H3780" s="6">
        <f t="shared" si="188"/>
        <v>0</v>
      </c>
      <c r="I3780" s="6">
        <f t="shared" si="189"/>
        <v>0</v>
      </c>
      <c r="J3780" s="6">
        <f t="shared" si="190"/>
        <v>0</v>
      </c>
      <c r="L3780" s="4" t="str">
        <f>IFERROR(VLOOKUP(ROWS($L$2:L3780),$B$2:$C$1996,2,0),"")</f>
        <v/>
      </c>
      <c r="N3780" s="2" t="str">
        <f>IFERROR(VLOOKUP(ROWS($N$2:N3780),$D$2:$E$1996,2,0),"")</f>
        <v/>
      </c>
    </row>
    <row r="3781" spans="2:14">
      <c r="B3781" s="32">
        <f>IF(ISNUMBER(SEARCH('Φόρμα Εισαγωγής'!$B$2,C3781)),MAX($B$1:B3780)+1,0)</f>
        <v>0</v>
      </c>
      <c r="D3781" s="33">
        <f>IF(ISNUMBER(SEARCH('Φόρμα Εισαγωγής'!$C$2,E3781)),MAX($D$1:D3780)+1,0)</f>
        <v>0</v>
      </c>
      <c r="H3781" s="6">
        <f t="shared" si="188"/>
        <v>0</v>
      </c>
      <c r="I3781" s="6">
        <f t="shared" si="189"/>
        <v>0</v>
      </c>
      <c r="J3781" s="6">
        <f t="shared" si="190"/>
        <v>0</v>
      </c>
      <c r="L3781" s="4" t="str">
        <f>IFERROR(VLOOKUP(ROWS($L$2:L3781),$B$2:$C$1996,2,0),"")</f>
        <v/>
      </c>
      <c r="N3781" s="2" t="str">
        <f>IFERROR(VLOOKUP(ROWS($N$2:N3781),$D$2:$E$1996,2,0),"")</f>
        <v/>
      </c>
    </row>
    <row r="3782" spans="2:14">
      <c r="B3782" s="32">
        <f>IF(ISNUMBER(SEARCH('Φόρμα Εισαγωγής'!$B$2,C3782)),MAX($B$1:B3781)+1,0)</f>
        <v>0</v>
      </c>
      <c r="D3782" s="33">
        <f>IF(ISNUMBER(SEARCH('Φόρμα Εισαγωγής'!$C$2,E3782)),MAX($D$1:D3781)+1,0)</f>
        <v>0</v>
      </c>
      <c r="H3782" s="6">
        <f t="shared" si="188"/>
        <v>0</v>
      </c>
      <c r="I3782" s="6">
        <f t="shared" si="189"/>
        <v>0</v>
      </c>
      <c r="J3782" s="6">
        <f t="shared" si="190"/>
        <v>0</v>
      </c>
      <c r="L3782" s="4" t="str">
        <f>IFERROR(VLOOKUP(ROWS($L$2:L3782),$B$2:$C$1996,2,0),"")</f>
        <v/>
      </c>
      <c r="N3782" s="2" t="str">
        <f>IFERROR(VLOOKUP(ROWS($N$2:N3782),$D$2:$E$1996,2,0),"")</f>
        <v/>
      </c>
    </row>
    <row r="3783" spans="2:14">
      <c r="B3783" s="32">
        <f>IF(ISNUMBER(SEARCH('Φόρμα Εισαγωγής'!$B$2,C3783)),MAX($B$1:B3782)+1,0)</f>
        <v>0</v>
      </c>
      <c r="D3783" s="33">
        <f>IF(ISNUMBER(SEARCH('Φόρμα Εισαγωγής'!$C$2,E3783)),MAX($D$1:D3782)+1,0)</f>
        <v>0</v>
      </c>
      <c r="H3783" s="6">
        <f t="shared" si="188"/>
        <v>0</v>
      </c>
      <c r="I3783" s="6">
        <f t="shared" si="189"/>
        <v>0</v>
      </c>
      <c r="J3783" s="6">
        <f t="shared" si="190"/>
        <v>0</v>
      </c>
      <c r="L3783" s="4" t="str">
        <f>IFERROR(VLOOKUP(ROWS($L$2:L3783),$B$2:$C$1996,2,0),"")</f>
        <v/>
      </c>
      <c r="N3783" s="2" t="str">
        <f>IFERROR(VLOOKUP(ROWS($N$2:N3783),$D$2:$E$1996,2,0),"")</f>
        <v/>
      </c>
    </row>
    <row r="3784" spans="2:14">
      <c r="B3784" s="32">
        <f>IF(ISNUMBER(SEARCH('Φόρμα Εισαγωγής'!$B$2,C3784)),MAX($B$1:B3783)+1,0)</f>
        <v>0</v>
      </c>
      <c r="D3784" s="33">
        <f>IF(ISNUMBER(SEARCH('Φόρμα Εισαγωγής'!$C$2,E3784)),MAX($D$1:D3783)+1,0)</f>
        <v>0</v>
      </c>
      <c r="H3784" s="6">
        <f t="shared" si="188"/>
        <v>0</v>
      </c>
      <c r="I3784" s="6">
        <f t="shared" si="189"/>
        <v>0</v>
      </c>
      <c r="J3784" s="6">
        <f t="shared" si="190"/>
        <v>0</v>
      </c>
      <c r="L3784" s="4" t="str">
        <f>IFERROR(VLOOKUP(ROWS($L$2:L3784),$B$2:$C$1996,2,0),"")</f>
        <v/>
      </c>
      <c r="N3784" s="2" t="str">
        <f>IFERROR(VLOOKUP(ROWS($N$2:N3784),$D$2:$E$1996,2,0),"")</f>
        <v/>
      </c>
    </row>
    <row r="3785" spans="2:14">
      <c r="B3785" s="32">
        <f>IF(ISNUMBER(SEARCH('Φόρμα Εισαγωγής'!$B$2,C3785)),MAX($B$1:B3784)+1,0)</f>
        <v>0</v>
      </c>
      <c r="D3785" s="33">
        <f>IF(ISNUMBER(SEARCH('Φόρμα Εισαγωγής'!$C$2,E3785)),MAX($D$1:D3784)+1,0)</f>
        <v>0</v>
      </c>
      <c r="H3785" s="6">
        <f t="shared" si="188"/>
        <v>0</v>
      </c>
      <c r="I3785" s="6">
        <f t="shared" si="189"/>
        <v>0</v>
      </c>
      <c r="J3785" s="6">
        <f t="shared" si="190"/>
        <v>0</v>
      </c>
      <c r="L3785" s="4" t="str">
        <f>IFERROR(VLOOKUP(ROWS($L$2:L3785),$B$2:$C$1996,2,0),"")</f>
        <v/>
      </c>
      <c r="N3785" s="2" t="str">
        <f>IFERROR(VLOOKUP(ROWS($N$2:N3785),$D$2:$E$1996,2,0),"")</f>
        <v/>
      </c>
    </row>
    <row r="3786" spans="2:14">
      <c r="B3786" s="32">
        <f>IF(ISNUMBER(SEARCH('Φόρμα Εισαγωγής'!$B$2,C3786)),MAX($B$1:B3785)+1,0)</f>
        <v>0</v>
      </c>
      <c r="D3786" s="33">
        <f>IF(ISNUMBER(SEARCH('Φόρμα Εισαγωγής'!$C$2,E3786)),MAX($D$1:D3785)+1,0)</f>
        <v>0</v>
      </c>
      <c r="H3786" s="6">
        <f t="shared" si="188"/>
        <v>0</v>
      </c>
      <c r="I3786" s="6">
        <f t="shared" si="189"/>
        <v>0</v>
      </c>
      <c r="J3786" s="6">
        <f t="shared" si="190"/>
        <v>0</v>
      </c>
      <c r="L3786" s="4" t="str">
        <f>IFERROR(VLOOKUP(ROWS($L$2:L3786),$B$2:$C$1996,2,0),"")</f>
        <v/>
      </c>
      <c r="N3786" s="2" t="str">
        <f>IFERROR(VLOOKUP(ROWS($N$2:N3786),$D$2:$E$1996,2,0),"")</f>
        <v/>
      </c>
    </row>
    <row r="3787" spans="2:14">
      <c r="B3787" s="32">
        <f>IF(ISNUMBER(SEARCH('Φόρμα Εισαγωγής'!$B$2,C3787)),MAX($B$1:B3786)+1,0)</f>
        <v>0</v>
      </c>
      <c r="D3787" s="33">
        <f>IF(ISNUMBER(SEARCH('Φόρμα Εισαγωγής'!$C$2,E3787)),MAX($D$1:D3786)+1,0)</f>
        <v>0</v>
      </c>
      <c r="H3787" s="6">
        <f t="shared" si="188"/>
        <v>0</v>
      </c>
      <c r="I3787" s="6">
        <f t="shared" si="189"/>
        <v>0</v>
      </c>
      <c r="J3787" s="6">
        <f t="shared" si="190"/>
        <v>0</v>
      </c>
      <c r="L3787" s="4" t="str">
        <f>IFERROR(VLOOKUP(ROWS($L$2:L3787),$B$2:$C$1996,2,0),"")</f>
        <v/>
      </c>
      <c r="N3787" s="2" t="str">
        <f>IFERROR(VLOOKUP(ROWS($N$2:N3787),$D$2:$E$1996,2,0),"")</f>
        <v/>
      </c>
    </row>
    <row r="3788" spans="2:14">
      <c r="B3788" s="32">
        <f>IF(ISNUMBER(SEARCH('Φόρμα Εισαγωγής'!$B$2,C3788)),MAX($B$1:B3787)+1,0)</f>
        <v>0</v>
      </c>
      <c r="D3788" s="33">
        <f>IF(ISNUMBER(SEARCH('Φόρμα Εισαγωγής'!$C$2,E3788)),MAX($D$1:D3787)+1,0)</f>
        <v>0</v>
      </c>
      <c r="H3788" s="6">
        <f t="shared" si="188"/>
        <v>0</v>
      </c>
      <c r="I3788" s="6">
        <f t="shared" si="189"/>
        <v>0</v>
      </c>
      <c r="J3788" s="6">
        <f t="shared" si="190"/>
        <v>0</v>
      </c>
      <c r="L3788" s="4" t="str">
        <f>IFERROR(VLOOKUP(ROWS($L$2:L3788),$B$2:$C$1996,2,0),"")</f>
        <v/>
      </c>
      <c r="N3788" s="2" t="str">
        <f>IFERROR(VLOOKUP(ROWS($N$2:N3788),$D$2:$E$1996,2,0),"")</f>
        <v/>
      </c>
    </row>
    <row r="3789" spans="2:14">
      <c r="B3789" s="32">
        <f>IF(ISNUMBER(SEARCH('Φόρμα Εισαγωγής'!$B$2,C3789)),MAX($B$1:B3788)+1,0)</f>
        <v>0</v>
      </c>
      <c r="D3789" s="33">
        <f>IF(ISNUMBER(SEARCH('Φόρμα Εισαγωγής'!$C$2,E3789)),MAX($D$1:D3788)+1,0)</f>
        <v>0</v>
      </c>
      <c r="H3789" s="6">
        <f t="shared" si="188"/>
        <v>0</v>
      </c>
      <c r="I3789" s="6">
        <f t="shared" si="189"/>
        <v>0</v>
      </c>
      <c r="J3789" s="6">
        <f t="shared" si="190"/>
        <v>0</v>
      </c>
      <c r="L3789" s="4" t="str">
        <f>IFERROR(VLOOKUP(ROWS($L$2:L3789),$B$2:$C$1996,2,0),"")</f>
        <v/>
      </c>
      <c r="N3789" s="2" t="str">
        <f>IFERROR(VLOOKUP(ROWS($N$2:N3789),$D$2:$E$1996,2,0),"")</f>
        <v/>
      </c>
    </row>
    <row r="3790" spans="2:14">
      <c r="B3790" s="32">
        <f>IF(ISNUMBER(SEARCH('Φόρμα Εισαγωγής'!$B$2,C3790)),MAX($B$1:B3789)+1,0)</f>
        <v>0</v>
      </c>
      <c r="D3790" s="33">
        <f>IF(ISNUMBER(SEARCH('Φόρμα Εισαγωγής'!$C$2,E3790)),MAX($D$1:D3789)+1,0)</f>
        <v>0</v>
      </c>
      <c r="H3790" s="6">
        <f t="shared" si="188"/>
        <v>0</v>
      </c>
      <c r="I3790" s="6">
        <f t="shared" si="189"/>
        <v>0</v>
      </c>
      <c r="J3790" s="6">
        <f t="shared" si="190"/>
        <v>0</v>
      </c>
      <c r="L3790" s="4" t="str">
        <f>IFERROR(VLOOKUP(ROWS($L$2:L3790),$B$2:$C$1996,2,0),"")</f>
        <v/>
      </c>
      <c r="N3790" s="2" t="str">
        <f>IFERROR(VLOOKUP(ROWS($N$2:N3790),$D$2:$E$1996,2,0),"")</f>
        <v/>
      </c>
    </row>
    <row r="3791" spans="2:14">
      <c r="B3791" s="32">
        <f>IF(ISNUMBER(SEARCH('Φόρμα Εισαγωγής'!$B$2,C3791)),MAX($B$1:B3790)+1,0)</f>
        <v>0</v>
      </c>
      <c r="D3791" s="33">
        <f>IF(ISNUMBER(SEARCH('Φόρμα Εισαγωγής'!$C$2,E3791)),MAX($D$1:D3790)+1,0)</f>
        <v>0</v>
      </c>
      <c r="H3791" s="6">
        <f t="shared" si="188"/>
        <v>0</v>
      </c>
      <c r="I3791" s="6">
        <f t="shared" si="189"/>
        <v>0</v>
      </c>
      <c r="J3791" s="6">
        <f t="shared" si="190"/>
        <v>0</v>
      </c>
      <c r="L3791" s="4" t="str">
        <f>IFERROR(VLOOKUP(ROWS($L$2:L3791),$B$2:$C$1996,2,0),"")</f>
        <v/>
      </c>
      <c r="N3791" s="2" t="str">
        <f>IFERROR(VLOOKUP(ROWS($N$2:N3791),$D$2:$E$1996,2,0),"")</f>
        <v/>
      </c>
    </row>
    <row r="3792" spans="2:14">
      <c r="B3792" s="32">
        <f>IF(ISNUMBER(SEARCH('Φόρμα Εισαγωγής'!$B$2,C3792)),MAX($B$1:B3791)+1,0)</f>
        <v>0</v>
      </c>
      <c r="D3792" s="33">
        <f>IF(ISNUMBER(SEARCH('Φόρμα Εισαγωγής'!$C$2,E3792)),MAX($D$1:D3791)+1,0)</f>
        <v>0</v>
      </c>
      <c r="H3792" s="6">
        <f t="shared" si="188"/>
        <v>0</v>
      </c>
      <c r="I3792" s="6">
        <f t="shared" si="189"/>
        <v>0</v>
      </c>
      <c r="J3792" s="6">
        <f t="shared" si="190"/>
        <v>0</v>
      </c>
      <c r="L3792" s="4" t="str">
        <f>IFERROR(VLOOKUP(ROWS($L$2:L3792),$B$2:$C$1996,2,0),"")</f>
        <v/>
      </c>
      <c r="N3792" s="2" t="str">
        <f>IFERROR(VLOOKUP(ROWS($N$2:N3792),$D$2:$E$1996,2,0),"")</f>
        <v/>
      </c>
    </row>
    <row r="3793" spans="2:14">
      <c r="B3793" s="32">
        <f>IF(ISNUMBER(SEARCH('Φόρμα Εισαγωγής'!$B$2,C3793)),MAX($B$1:B3792)+1,0)</f>
        <v>0</v>
      </c>
      <c r="D3793" s="33">
        <f>IF(ISNUMBER(SEARCH('Φόρμα Εισαγωγής'!$C$2,E3793)),MAX($D$1:D3792)+1,0)</f>
        <v>0</v>
      </c>
      <c r="H3793" s="6">
        <f t="shared" si="188"/>
        <v>0</v>
      </c>
      <c r="I3793" s="6">
        <f t="shared" si="189"/>
        <v>0</v>
      </c>
      <c r="J3793" s="6">
        <f t="shared" si="190"/>
        <v>0</v>
      </c>
      <c r="L3793" s="4" t="str">
        <f>IFERROR(VLOOKUP(ROWS($L$2:L3793),$B$2:$C$1996,2,0),"")</f>
        <v/>
      </c>
      <c r="N3793" s="2" t="str">
        <f>IFERROR(VLOOKUP(ROWS($N$2:N3793),$D$2:$E$1996,2,0),"")</f>
        <v/>
      </c>
    </row>
    <row r="3794" spans="2:14">
      <c r="B3794" s="32">
        <f>IF(ISNUMBER(SEARCH('Φόρμα Εισαγωγής'!$B$2,C3794)),MAX($B$1:B3793)+1,0)</f>
        <v>0</v>
      </c>
      <c r="D3794" s="33">
        <f>IF(ISNUMBER(SEARCH('Φόρμα Εισαγωγής'!$C$2,E3794)),MAX($D$1:D3793)+1,0)</f>
        <v>0</v>
      </c>
      <c r="H3794" s="6">
        <f t="shared" si="188"/>
        <v>0</v>
      </c>
      <c r="I3794" s="6">
        <f t="shared" si="189"/>
        <v>0</v>
      </c>
      <c r="J3794" s="6">
        <f t="shared" si="190"/>
        <v>0</v>
      </c>
      <c r="L3794" s="4" t="str">
        <f>IFERROR(VLOOKUP(ROWS($L$2:L3794),$B$2:$C$1996,2,0),"")</f>
        <v/>
      </c>
      <c r="N3794" s="2" t="str">
        <f>IFERROR(VLOOKUP(ROWS($N$2:N3794),$D$2:$E$1996,2,0),"")</f>
        <v/>
      </c>
    </row>
    <row r="3795" spans="2:14">
      <c r="B3795" s="32">
        <f>IF(ISNUMBER(SEARCH('Φόρμα Εισαγωγής'!$B$2,C3795)),MAX($B$1:B3794)+1,0)</f>
        <v>0</v>
      </c>
      <c r="D3795" s="33">
        <f>IF(ISNUMBER(SEARCH('Φόρμα Εισαγωγής'!$C$2,E3795)),MAX($D$1:D3794)+1,0)</f>
        <v>0</v>
      </c>
      <c r="H3795" s="6">
        <f t="shared" si="188"/>
        <v>0</v>
      </c>
      <c r="I3795" s="6">
        <f t="shared" si="189"/>
        <v>0</v>
      </c>
      <c r="J3795" s="6">
        <f t="shared" si="190"/>
        <v>0</v>
      </c>
      <c r="L3795" s="4" t="str">
        <f>IFERROR(VLOOKUP(ROWS($L$2:L3795),$B$2:$C$1996,2,0),"")</f>
        <v/>
      </c>
      <c r="N3795" s="2" t="str">
        <f>IFERROR(VLOOKUP(ROWS($N$2:N3795),$D$2:$E$1996,2,0),"")</f>
        <v/>
      </c>
    </row>
    <row r="3796" spans="2:14">
      <c r="B3796" s="32">
        <f>IF(ISNUMBER(SEARCH('Φόρμα Εισαγωγής'!$B$2,C3796)),MAX($B$1:B3795)+1,0)</f>
        <v>0</v>
      </c>
      <c r="D3796" s="33">
        <f>IF(ISNUMBER(SEARCH('Φόρμα Εισαγωγής'!$C$2,E3796)),MAX($D$1:D3795)+1,0)</f>
        <v>0</v>
      </c>
      <c r="H3796" s="6">
        <f t="shared" si="188"/>
        <v>0</v>
      </c>
      <c r="I3796" s="6">
        <f t="shared" si="189"/>
        <v>0</v>
      </c>
      <c r="J3796" s="6">
        <f t="shared" si="190"/>
        <v>0</v>
      </c>
      <c r="L3796" s="4" t="str">
        <f>IFERROR(VLOOKUP(ROWS($L$2:L3796),$B$2:$C$1996,2,0),"")</f>
        <v/>
      </c>
      <c r="N3796" s="2" t="str">
        <f>IFERROR(VLOOKUP(ROWS($N$2:N3796),$D$2:$E$1996,2,0),"")</f>
        <v/>
      </c>
    </row>
    <row r="3797" spans="2:14">
      <c r="B3797" s="32">
        <f>IF(ISNUMBER(SEARCH('Φόρμα Εισαγωγής'!$B$2,C3797)),MAX($B$1:B3796)+1,0)</f>
        <v>0</v>
      </c>
      <c r="D3797" s="33">
        <f>IF(ISNUMBER(SEARCH('Φόρμα Εισαγωγής'!$C$2,E3797)),MAX($D$1:D3796)+1,0)</f>
        <v>0</v>
      </c>
      <c r="H3797" s="6">
        <f t="shared" si="188"/>
        <v>0</v>
      </c>
      <c r="I3797" s="6">
        <f t="shared" si="189"/>
        <v>0</v>
      </c>
      <c r="J3797" s="6">
        <f t="shared" si="190"/>
        <v>0</v>
      </c>
      <c r="L3797" s="4" t="str">
        <f>IFERROR(VLOOKUP(ROWS($L$2:L3797),$B$2:$C$1996,2,0),"")</f>
        <v/>
      </c>
      <c r="N3797" s="2" t="str">
        <f>IFERROR(VLOOKUP(ROWS($N$2:N3797),$D$2:$E$1996,2,0),"")</f>
        <v/>
      </c>
    </row>
    <row r="3798" spans="2:14">
      <c r="B3798" s="32">
        <f>IF(ISNUMBER(SEARCH('Φόρμα Εισαγωγής'!$B$2,C3798)),MAX($B$1:B3797)+1,0)</f>
        <v>0</v>
      </c>
      <c r="D3798" s="33">
        <f>IF(ISNUMBER(SEARCH('Φόρμα Εισαγωγής'!$C$2,E3798)),MAX($D$1:D3797)+1,0)</f>
        <v>0</v>
      </c>
      <c r="H3798" s="6">
        <f t="shared" si="188"/>
        <v>0</v>
      </c>
      <c r="I3798" s="6">
        <f t="shared" si="189"/>
        <v>0</v>
      </c>
      <c r="J3798" s="6">
        <f t="shared" si="190"/>
        <v>0</v>
      </c>
      <c r="L3798" s="4" t="str">
        <f>IFERROR(VLOOKUP(ROWS($L$2:L3798),$B$2:$C$1996,2,0),"")</f>
        <v/>
      </c>
      <c r="N3798" s="2" t="str">
        <f>IFERROR(VLOOKUP(ROWS($N$2:N3798),$D$2:$E$1996,2,0),"")</f>
        <v/>
      </c>
    </row>
    <row r="3799" spans="2:14">
      <c r="B3799" s="32">
        <f>IF(ISNUMBER(SEARCH('Φόρμα Εισαγωγής'!$B$2,C3799)),MAX($B$1:B3798)+1,0)</f>
        <v>0</v>
      </c>
      <c r="D3799" s="33">
        <f>IF(ISNUMBER(SEARCH('Φόρμα Εισαγωγής'!$C$2,E3799)),MAX($D$1:D3798)+1,0)</f>
        <v>0</v>
      </c>
      <c r="H3799" s="6">
        <f t="shared" si="188"/>
        <v>0</v>
      </c>
      <c r="I3799" s="6">
        <f t="shared" si="189"/>
        <v>0</v>
      </c>
      <c r="J3799" s="6">
        <f t="shared" si="190"/>
        <v>0</v>
      </c>
      <c r="L3799" s="4" t="str">
        <f>IFERROR(VLOOKUP(ROWS($L$2:L3799),$B$2:$C$1996,2,0),"")</f>
        <v/>
      </c>
      <c r="N3799" s="2" t="str">
        <f>IFERROR(VLOOKUP(ROWS($N$2:N3799),$D$2:$E$1996,2,0),"")</f>
        <v/>
      </c>
    </row>
    <row r="3800" spans="2:14">
      <c r="B3800" s="32">
        <f>IF(ISNUMBER(SEARCH('Φόρμα Εισαγωγής'!$B$2,C3800)),MAX($B$1:B3799)+1,0)</f>
        <v>0</v>
      </c>
      <c r="D3800" s="33">
        <f>IF(ISNUMBER(SEARCH('Φόρμα Εισαγωγής'!$C$2,E3800)),MAX($D$1:D3799)+1,0)</f>
        <v>0</v>
      </c>
      <c r="H3800" s="6">
        <f t="shared" si="188"/>
        <v>0</v>
      </c>
      <c r="I3800" s="6">
        <f t="shared" si="189"/>
        <v>0</v>
      </c>
      <c r="J3800" s="6">
        <f t="shared" si="190"/>
        <v>0</v>
      </c>
      <c r="L3800" s="4" t="str">
        <f>IFERROR(VLOOKUP(ROWS($L$2:L3800),$B$2:$C$1996,2,0),"")</f>
        <v/>
      </c>
      <c r="N3800" s="2" t="str">
        <f>IFERROR(VLOOKUP(ROWS($N$2:N3800),$D$2:$E$1996,2,0),"")</f>
        <v/>
      </c>
    </row>
    <row r="3801" spans="2:14">
      <c r="B3801" s="32">
        <f>IF(ISNUMBER(SEARCH('Φόρμα Εισαγωγής'!$B$2,C3801)),MAX($B$1:B3800)+1,0)</f>
        <v>0</v>
      </c>
      <c r="D3801" s="33">
        <f>IF(ISNUMBER(SEARCH('Φόρμα Εισαγωγής'!$C$2,E3801)),MAX($D$1:D3800)+1,0)</f>
        <v>0</v>
      </c>
      <c r="H3801" s="6">
        <f t="shared" si="188"/>
        <v>0</v>
      </c>
      <c r="I3801" s="6">
        <f t="shared" si="189"/>
        <v>0</v>
      </c>
      <c r="J3801" s="6">
        <f t="shared" si="190"/>
        <v>0</v>
      </c>
      <c r="L3801" s="4" t="str">
        <f>IFERROR(VLOOKUP(ROWS($L$2:L3801),$B$2:$C$1996,2,0),"")</f>
        <v/>
      </c>
      <c r="N3801" s="2" t="str">
        <f>IFERROR(VLOOKUP(ROWS($N$2:N3801),$D$2:$E$1996,2,0),"")</f>
        <v/>
      </c>
    </row>
    <row r="3802" spans="2:14">
      <c r="B3802" s="32">
        <f>IF(ISNUMBER(SEARCH('Φόρμα Εισαγωγής'!$B$2,C3802)),MAX($B$1:B3801)+1,0)</f>
        <v>0</v>
      </c>
      <c r="D3802" s="33">
        <f>IF(ISNUMBER(SEARCH('Φόρμα Εισαγωγής'!$C$2,E3802)),MAX($D$1:D3801)+1,0)</f>
        <v>0</v>
      </c>
      <c r="H3802" s="6">
        <f t="shared" si="188"/>
        <v>0</v>
      </c>
      <c r="I3802" s="6">
        <f t="shared" si="189"/>
        <v>0</v>
      </c>
      <c r="J3802" s="6">
        <f t="shared" si="190"/>
        <v>0</v>
      </c>
      <c r="L3802" s="4" t="str">
        <f>IFERROR(VLOOKUP(ROWS($L$2:L3802),$B$2:$C$1996,2,0),"")</f>
        <v/>
      </c>
      <c r="N3802" s="2" t="str">
        <f>IFERROR(VLOOKUP(ROWS($N$2:N3802),$D$2:$E$1996,2,0),"")</f>
        <v/>
      </c>
    </row>
    <row r="3803" spans="2:14">
      <c r="B3803" s="32">
        <f>IF(ISNUMBER(SEARCH('Φόρμα Εισαγωγής'!$B$2,C3803)),MAX($B$1:B3802)+1,0)</f>
        <v>0</v>
      </c>
      <c r="D3803" s="33">
        <f>IF(ISNUMBER(SEARCH('Φόρμα Εισαγωγής'!$C$2,E3803)),MAX($D$1:D3802)+1,0)</f>
        <v>0</v>
      </c>
      <c r="H3803" s="6">
        <f t="shared" si="188"/>
        <v>0</v>
      </c>
      <c r="I3803" s="6">
        <f t="shared" si="189"/>
        <v>0</v>
      </c>
      <c r="J3803" s="6">
        <f t="shared" si="190"/>
        <v>0</v>
      </c>
      <c r="L3803" s="4" t="str">
        <f>IFERROR(VLOOKUP(ROWS($L$2:L3803),$B$2:$C$1996,2,0),"")</f>
        <v/>
      </c>
      <c r="N3803" s="2" t="str">
        <f>IFERROR(VLOOKUP(ROWS($N$2:N3803),$D$2:$E$1996,2,0),"")</f>
        <v/>
      </c>
    </row>
    <row r="3804" spans="2:14">
      <c r="B3804" s="32">
        <f>IF(ISNUMBER(SEARCH('Φόρμα Εισαγωγής'!$B$2,C3804)),MAX($B$1:B3803)+1,0)</f>
        <v>0</v>
      </c>
      <c r="D3804" s="33">
        <f>IF(ISNUMBER(SEARCH('Φόρμα Εισαγωγής'!$C$2,E3804)),MAX($D$1:D3803)+1,0)</f>
        <v>0</v>
      </c>
      <c r="H3804" s="6">
        <f t="shared" si="188"/>
        <v>0</v>
      </c>
      <c r="I3804" s="6">
        <f t="shared" si="189"/>
        <v>0</v>
      </c>
      <c r="J3804" s="6">
        <f t="shared" si="190"/>
        <v>0</v>
      </c>
      <c r="L3804" s="4" t="str">
        <f>IFERROR(VLOOKUP(ROWS($L$2:L3804),$B$2:$C$1996,2,0),"")</f>
        <v/>
      </c>
      <c r="N3804" s="2" t="str">
        <f>IFERROR(VLOOKUP(ROWS($N$2:N3804),$D$2:$E$1996,2,0),"")</f>
        <v/>
      </c>
    </row>
    <row r="3805" spans="2:14">
      <c r="B3805" s="32">
        <f>IF(ISNUMBER(SEARCH('Φόρμα Εισαγωγής'!$B$2,C3805)),MAX($B$1:B3804)+1,0)</f>
        <v>0</v>
      </c>
      <c r="D3805" s="33">
        <f>IF(ISNUMBER(SEARCH('Φόρμα Εισαγωγής'!$C$2,E3805)),MAX($D$1:D3804)+1,0)</f>
        <v>0</v>
      </c>
      <c r="H3805" s="6">
        <f t="shared" si="188"/>
        <v>0</v>
      </c>
      <c r="I3805" s="6">
        <f t="shared" si="189"/>
        <v>0</v>
      </c>
      <c r="J3805" s="6">
        <f t="shared" si="190"/>
        <v>0</v>
      </c>
      <c r="L3805" s="4" t="str">
        <f>IFERROR(VLOOKUP(ROWS($L$2:L3805),$B$2:$C$1996,2,0),"")</f>
        <v/>
      </c>
      <c r="N3805" s="2" t="str">
        <f>IFERROR(VLOOKUP(ROWS($N$2:N3805),$D$2:$E$1996,2,0),"")</f>
        <v/>
      </c>
    </row>
    <row r="3806" spans="2:14">
      <c r="B3806" s="32">
        <f>IF(ISNUMBER(SEARCH('Φόρμα Εισαγωγής'!$B$2,C3806)),MAX($B$1:B3805)+1,0)</f>
        <v>0</v>
      </c>
      <c r="D3806" s="33">
        <f>IF(ISNUMBER(SEARCH('Φόρμα Εισαγωγής'!$C$2,E3806)),MAX($D$1:D3805)+1,0)</f>
        <v>0</v>
      </c>
      <c r="H3806" s="6">
        <f t="shared" si="188"/>
        <v>0</v>
      </c>
      <c r="I3806" s="6">
        <f t="shared" si="189"/>
        <v>0</v>
      </c>
      <c r="J3806" s="6">
        <f t="shared" si="190"/>
        <v>0</v>
      </c>
      <c r="L3806" s="4" t="str">
        <f>IFERROR(VLOOKUP(ROWS($L$2:L3806),$B$2:$C$1996,2,0),"")</f>
        <v/>
      </c>
      <c r="N3806" s="2" t="str">
        <f>IFERROR(VLOOKUP(ROWS($N$2:N3806),$D$2:$E$1996,2,0),"")</f>
        <v/>
      </c>
    </row>
    <row r="3807" spans="2:14">
      <c r="B3807" s="32">
        <f>IF(ISNUMBER(SEARCH('Φόρμα Εισαγωγής'!$B$2,C3807)),MAX($B$1:B3806)+1,0)</f>
        <v>0</v>
      </c>
      <c r="D3807" s="33">
        <f>IF(ISNUMBER(SEARCH('Φόρμα Εισαγωγής'!$C$2,E3807)),MAX($D$1:D3806)+1,0)</f>
        <v>0</v>
      </c>
      <c r="H3807" s="6">
        <f t="shared" si="188"/>
        <v>0</v>
      </c>
      <c r="I3807" s="6">
        <f t="shared" si="189"/>
        <v>0</v>
      </c>
      <c r="J3807" s="6">
        <f t="shared" si="190"/>
        <v>0</v>
      </c>
      <c r="L3807" s="4" t="str">
        <f>IFERROR(VLOOKUP(ROWS($L$2:L3807),$B$2:$C$1996,2,0),"")</f>
        <v/>
      </c>
      <c r="N3807" s="2" t="str">
        <f>IFERROR(VLOOKUP(ROWS($N$2:N3807),$D$2:$E$1996,2,0),"")</f>
        <v/>
      </c>
    </row>
    <row r="3808" spans="2:14">
      <c r="B3808" s="32">
        <f>IF(ISNUMBER(SEARCH('Φόρμα Εισαγωγής'!$B$2,C3808)),MAX($B$1:B3807)+1,0)</f>
        <v>0</v>
      </c>
      <c r="D3808" s="33">
        <f>IF(ISNUMBER(SEARCH('Φόρμα Εισαγωγής'!$C$2,E3808)),MAX($D$1:D3807)+1,0)</f>
        <v>0</v>
      </c>
      <c r="H3808" s="6">
        <f t="shared" si="188"/>
        <v>0</v>
      </c>
      <c r="I3808" s="6">
        <f t="shared" si="189"/>
        <v>0</v>
      </c>
      <c r="J3808" s="6">
        <f t="shared" si="190"/>
        <v>0</v>
      </c>
      <c r="L3808" s="4" t="str">
        <f>IFERROR(VLOOKUP(ROWS($L$2:L3808),$B$2:$C$1996,2,0),"")</f>
        <v/>
      </c>
      <c r="N3808" s="2" t="str">
        <f>IFERROR(VLOOKUP(ROWS($N$2:N3808),$D$2:$E$1996,2,0),"")</f>
        <v/>
      </c>
    </row>
    <row r="3809" spans="2:14">
      <c r="B3809" s="32">
        <f>IF(ISNUMBER(SEARCH('Φόρμα Εισαγωγής'!$B$2,C3809)),MAX($B$1:B3808)+1,0)</f>
        <v>0</v>
      </c>
      <c r="D3809" s="33">
        <f>IF(ISNUMBER(SEARCH('Φόρμα Εισαγωγής'!$C$2,E3809)),MAX($D$1:D3808)+1,0)</f>
        <v>0</v>
      </c>
      <c r="H3809" s="6">
        <f t="shared" si="188"/>
        <v>0</v>
      </c>
      <c r="I3809" s="6">
        <f t="shared" si="189"/>
        <v>0</v>
      </c>
      <c r="J3809" s="6">
        <f t="shared" si="190"/>
        <v>0</v>
      </c>
      <c r="L3809" s="4" t="str">
        <f>IFERROR(VLOOKUP(ROWS($L$2:L3809),$B$2:$C$1996,2,0),"")</f>
        <v/>
      </c>
      <c r="N3809" s="2" t="str">
        <f>IFERROR(VLOOKUP(ROWS($N$2:N3809),$D$2:$E$1996,2,0),"")</f>
        <v/>
      </c>
    </row>
    <row r="3810" spans="2:14">
      <c r="B3810" s="32">
        <f>IF(ISNUMBER(SEARCH('Φόρμα Εισαγωγής'!$B$2,C3810)),MAX($B$1:B3809)+1,0)</f>
        <v>0</v>
      </c>
      <c r="D3810" s="33">
        <f>IF(ISNUMBER(SEARCH('Φόρμα Εισαγωγής'!$C$2,E3810)),MAX($D$1:D3809)+1,0)</f>
        <v>0</v>
      </c>
      <c r="H3810" s="6">
        <f t="shared" si="188"/>
        <v>0</v>
      </c>
      <c r="I3810" s="6">
        <f t="shared" si="189"/>
        <v>0</v>
      </c>
      <c r="J3810" s="6">
        <f t="shared" si="190"/>
        <v>0</v>
      </c>
      <c r="L3810" s="4" t="str">
        <f>IFERROR(VLOOKUP(ROWS($L$2:L3810),$B$2:$C$1996,2,0),"")</f>
        <v/>
      </c>
      <c r="N3810" s="2" t="str">
        <f>IFERROR(VLOOKUP(ROWS($N$2:N3810),$D$2:$E$1996,2,0),"")</f>
        <v/>
      </c>
    </row>
    <row r="3811" spans="2:14">
      <c r="B3811" s="32">
        <f>IF(ISNUMBER(SEARCH('Φόρμα Εισαγωγής'!$B$2,C3811)),MAX($B$1:B3810)+1,0)</f>
        <v>0</v>
      </c>
      <c r="D3811" s="33">
        <f>IF(ISNUMBER(SEARCH('Φόρμα Εισαγωγής'!$C$2,E3811)),MAX($D$1:D3810)+1,0)</f>
        <v>0</v>
      </c>
      <c r="H3811" s="6">
        <f t="shared" si="188"/>
        <v>0</v>
      </c>
      <c r="I3811" s="6">
        <f t="shared" si="189"/>
        <v>0</v>
      </c>
      <c r="J3811" s="6">
        <f t="shared" si="190"/>
        <v>0</v>
      </c>
      <c r="L3811" s="4" t="str">
        <f>IFERROR(VLOOKUP(ROWS($L$2:L3811),$B$2:$C$1996,2,0),"")</f>
        <v/>
      </c>
      <c r="N3811" s="2" t="str">
        <f>IFERROR(VLOOKUP(ROWS($N$2:N3811),$D$2:$E$1996,2,0),"")</f>
        <v/>
      </c>
    </row>
    <row r="3812" spans="2:14">
      <c r="B3812" s="32">
        <f>IF(ISNUMBER(SEARCH('Φόρμα Εισαγωγής'!$B$2,C3812)),MAX($B$1:B3811)+1,0)</f>
        <v>0</v>
      </c>
      <c r="D3812" s="33">
        <f>IF(ISNUMBER(SEARCH('Φόρμα Εισαγωγής'!$C$2,E3812)),MAX($D$1:D3811)+1,0)</f>
        <v>0</v>
      </c>
      <c r="H3812" s="6">
        <f t="shared" si="188"/>
        <v>0</v>
      </c>
      <c r="I3812" s="6">
        <f t="shared" si="189"/>
        <v>0</v>
      </c>
      <c r="J3812" s="6">
        <f t="shared" si="190"/>
        <v>0</v>
      </c>
      <c r="L3812" s="4" t="str">
        <f>IFERROR(VLOOKUP(ROWS($L$2:L3812),$B$2:$C$1996,2,0),"")</f>
        <v/>
      </c>
      <c r="N3812" s="2" t="str">
        <f>IFERROR(VLOOKUP(ROWS($N$2:N3812),$D$2:$E$1996,2,0),"")</f>
        <v/>
      </c>
    </row>
    <row r="3813" spans="2:14">
      <c r="B3813" s="32">
        <f>IF(ISNUMBER(SEARCH('Φόρμα Εισαγωγής'!$B$2,C3813)),MAX($B$1:B3812)+1,0)</f>
        <v>0</v>
      </c>
      <c r="D3813" s="33">
        <f>IF(ISNUMBER(SEARCH('Φόρμα Εισαγωγής'!$C$2,E3813)),MAX($D$1:D3812)+1,0)</f>
        <v>0</v>
      </c>
      <c r="H3813" s="6">
        <f t="shared" si="188"/>
        <v>0</v>
      </c>
      <c r="I3813" s="6">
        <f t="shared" si="189"/>
        <v>0</v>
      </c>
      <c r="J3813" s="6">
        <f t="shared" si="190"/>
        <v>0</v>
      </c>
      <c r="L3813" s="4" t="str">
        <f>IFERROR(VLOOKUP(ROWS($L$2:L3813),$B$2:$C$1996,2,0),"")</f>
        <v/>
      </c>
      <c r="N3813" s="2" t="str">
        <f>IFERROR(VLOOKUP(ROWS($N$2:N3813),$D$2:$E$1996,2,0),"")</f>
        <v/>
      </c>
    </row>
    <row r="3814" spans="2:14">
      <c r="B3814" s="32">
        <f>IF(ISNUMBER(SEARCH('Φόρμα Εισαγωγής'!$B$2,C3814)),MAX($B$1:B3813)+1,0)</f>
        <v>0</v>
      </c>
      <c r="D3814" s="33">
        <f>IF(ISNUMBER(SEARCH('Φόρμα Εισαγωγής'!$C$2,E3814)),MAX($D$1:D3813)+1,0)</f>
        <v>0</v>
      </c>
      <c r="H3814" s="6">
        <f t="shared" si="188"/>
        <v>0</v>
      </c>
      <c r="I3814" s="6">
        <f t="shared" si="189"/>
        <v>0</v>
      </c>
      <c r="J3814" s="6">
        <f t="shared" si="190"/>
        <v>0</v>
      </c>
      <c r="L3814" s="4" t="str">
        <f>IFERROR(VLOOKUP(ROWS($L$2:L3814),$B$2:$C$1996,2,0),"")</f>
        <v/>
      </c>
      <c r="N3814" s="2" t="str">
        <f>IFERROR(VLOOKUP(ROWS($N$2:N3814),$D$2:$E$1996,2,0),"")</f>
        <v/>
      </c>
    </row>
    <row r="3815" spans="2:14">
      <c r="B3815" s="32">
        <f>IF(ISNUMBER(SEARCH('Φόρμα Εισαγωγής'!$B$2,C3815)),MAX($B$1:B3814)+1,0)</f>
        <v>0</v>
      </c>
      <c r="D3815" s="33">
        <f>IF(ISNUMBER(SEARCH('Φόρμα Εισαγωγής'!$C$2,E3815)),MAX($D$1:D3814)+1,0)</f>
        <v>0</v>
      </c>
      <c r="H3815" s="6">
        <f t="shared" si="188"/>
        <v>0</v>
      </c>
      <c r="I3815" s="6">
        <f t="shared" si="189"/>
        <v>0</v>
      </c>
      <c r="J3815" s="6">
        <f t="shared" si="190"/>
        <v>0</v>
      </c>
      <c r="L3815" s="4" t="str">
        <f>IFERROR(VLOOKUP(ROWS($L$2:L3815),$B$2:$C$1996,2,0),"")</f>
        <v/>
      </c>
      <c r="N3815" s="2" t="str">
        <f>IFERROR(VLOOKUP(ROWS($N$2:N3815),$D$2:$E$1996,2,0),"")</f>
        <v/>
      </c>
    </row>
    <row r="3816" spans="2:14">
      <c r="B3816" s="32">
        <f>IF(ISNUMBER(SEARCH('Φόρμα Εισαγωγής'!$B$2,C3816)),MAX($B$1:B3815)+1,0)</f>
        <v>0</v>
      </c>
      <c r="D3816" s="33">
        <f>IF(ISNUMBER(SEARCH('Φόρμα Εισαγωγής'!$C$2,E3816)),MAX($D$1:D3815)+1,0)</f>
        <v>0</v>
      </c>
      <c r="H3816" s="6">
        <f t="shared" si="188"/>
        <v>0</v>
      </c>
      <c r="I3816" s="6">
        <f t="shared" si="189"/>
        <v>0</v>
      </c>
      <c r="J3816" s="6">
        <f t="shared" si="190"/>
        <v>0</v>
      </c>
      <c r="L3816" s="4" t="str">
        <f>IFERROR(VLOOKUP(ROWS($L$2:L3816),$B$2:$C$1996,2,0),"")</f>
        <v/>
      </c>
      <c r="N3816" s="2" t="str">
        <f>IFERROR(VLOOKUP(ROWS($N$2:N3816),$D$2:$E$1996,2,0),"")</f>
        <v/>
      </c>
    </row>
    <row r="3817" spans="2:14">
      <c r="B3817" s="32">
        <f>IF(ISNUMBER(SEARCH('Φόρμα Εισαγωγής'!$B$2,C3817)),MAX($B$1:B3816)+1,0)</f>
        <v>0</v>
      </c>
      <c r="D3817" s="33">
        <f>IF(ISNUMBER(SEARCH('Φόρμα Εισαγωγής'!$C$2,E3817)),MAX($D$1:D3816)+1,0)</f>
        <v>0</v>
      </c>
      <c r="H3817" s="6">
        <f t="shared" si="188"/>
        <v>0</v>
      </c>
      <c r="I3817" s="6">
        <f t="shared" si="189"/>
        <v>0</v>
      </c>
      <c r="J3817" s="6">
        <f t="shared" si="190"/>
        <v>0</v>
      </c>
      <c r="L3817" s="4" t="str">
        <f>IFERROR(VLOOKUP(ROWS($L$2:L3817),$B$2:$C$1996,2,0),"")</f>
        <v/>
      </c>
      <c r="N3817" s="2" t="str">
        <f>IFERROR(VLOOKUP(ROWS($N$2:N3817),$D$2:$E$1996,2,0),"")</f>
        <v/>
      </c>
    </row>
    <row r="3818" spans="2:14">
      <c r="B3818" s="32">
        <f>IF(ISNUMBER(SEARCH('Φόρμα Εισαγωγής'!$B$2,C3818)),MAX($B$1:B3817)+1,0)</f>
        <v>0</v>
      </c>
      <c r="D3818" s="33">
        <f>IF(ISNUMBER(SEARCH('Φόρμα Εισαγωγής'!$C$2,E3818)),MAX($D$1:D3817)+1,0)</f>
        <v>0</v>
      </c>
      <c r="H3818" s="6">
        <f t="shared" si="188"/>
        <v>0</v>
      </c>
      <c r="I3818" s="6">
        <f t="shared" si="189"/>
        <v>0</v>
      </c>
      <c r="J3818" s="6">
        <f t="shared" si="190"/>
        <v>0</v>
      </c>
      <c r="L3818" s="4" t="str">
        <f>IFERROR(VLOOKUP(ROWS($L$2:L3818),$B$2:$C$1996,2,0),"")</f>
        <v/>
      </c>
      <c r="N3818" s="2" t="str">
        <f>IFERROR(VLOOKUP(ROWS($N$2:N3818),$D$2:$E$1996,2,0),"")</f>
        <v/>
      </c>
    </row>
    <row r="3819" spans="2:14">
      <c r="B3819" s="32">
        <f>IF(ISNUMBER(SEARCH('Φόρμα Εισαγωγής'!$B$2,C3819)),MAX($B$1:B3818)+1,0)</f>
        <v>0</v>
      </c>
      <c r="D3819" s="33">
        <f>IF(ISNUMBER(SEARCH('Φόρμα Εισαγωγής'!$C$2,E3819)),MAX($D$1:D3818)+1,0)</f>
        <v>0</v>
      </c>
      <c r="H3819" s="6">
        <f t="shared" si="188"/>
        <v>0</v>
      </c>
      <c r="I3819" s="6">
        <f t="shared" si="189"/>
        <v>0</v>
      </c>
      <c r="J3819" s="6">
        <f t="shared" si="190"/>
        <v>0</v>
      </c>
      <c r="L3819" s="4" t="str">
        <f>IFERROR(VLOOKUP(ROWS($L$2:L3819),$B$2:$C$1996,2,0),"")</f>
        <v/>
      </c>
      <c r="N3819" s="2" t="str">
        <f>IFERROR(VLOOKUP(ROWS($N$2:N3819),$D$2:$E$1996,2,0),"")</f>
        <v/>
      </c>
    </row>
    <row r="3820" spans="2:14">
      <c r="B3820" s="32">
        <f>IF(ISNUMBER(SEARCH('Φόρμα Εισαγωγής'!$B$2,C3820)),MAX($B$1:B3819)+1,0)</f>
        <v>0</v>
      </c>
      <c r="D3820" s="33">
        <f>IF(ISNUMBER(SEARCH('Φόρμα Εισαγωγής'!$C$2,E3820)),MAX($D$1:D3819)+1,0)</f>
        <v>0</v>
      </c>
      <c r="H3820" s="6">
        <f t="shared" si="188"/>
        <v>0</v>
      </c>
      <c r="I3820" s="6">
        <f t="shared" si="189"/>
        <v>0</v>
      </c>
      <c r="J3820" s="6">
        <f t="shared" si="190"/>
        <v>0</v>
      </c>
      <c r="L3820" s="4" t="str">
        <f>IFERROR(VLOOKUP(ROWS($L$2:L3820),$B$2:$C$1996,2,0),"")</f>
        <v/>
      </c>
      <c r="N3820" s="2" t="str">
        <f>IFERROR(VLOOKUP(ROWS($N$2:N3820),$D$2:$E$1996,2,0),"")</f>
        <v/>
      </c>
    </row>
    <row r="3821" spans="2:14">
      <c r="B3821" s="32">
        <f>IF(ISNUMBER(SEARCH('Φόρμα Εισαγωγής'!$B$2,C3821)),MAX($B$1:B3820)+1,0)</f>
        <v>0</v>
      </c>
      <c r="D3821" s="33">
        <f>IF(ISNUMBER(SEARCH('Φόρμα Εισαγωγής'!$C$2,E3821)),MAX($D$1:D3820)+1,0)</f>
        <v>0</v>
      </c>
      <c r="H3821" s="6">
        <f t="shared" si="188"/>
        <v>0</v>
      </c>
      <c r="I3821" s="6">
        <f t="shared" si="189"/>
        <v>0</v>
      </c>
      <c r="J3821" s="6">
        <f t="shared" si="190"/>
        <v>0</v>
      </c>
      <c r="L3821" s="4" t="str">
        <f>IFERROR(VLOOKUP(ROWS($L$2:L3821),$B$2:$C$1996,2,0),"")</f>
        <v/>
      </c>
      <c r="N3821" s="2" t="str">
        <f>IFERROR(VLOOKUP(ROWS($N$2:N3821),$D$2:$E$1996,2,0),"")</f>
        <v/>
      </c>
    </row>
    <row r="3822" spans="2:14">
      <c r="B3822" s="32">
        <f>IF(ISNUMBER(SEARCH('Φόρμα Εισαγωγής'!$B$2,C3822)),MAX($B$1:B3821)+1,0)</f>
        <v>0</v>
      </c>
      <c r="D3822" s="33">
        <f>IF(ISNUMBER(SEARCH('Φόρμα Εισαγωγής'!$C$2,E3822)),MAX($D$1:D3821)+1,0)</f>
        <v>0</v>
      </c>
      <c r="H3822" s="6">
        <f t="shared" si="188"/>
        <v>0</v>
      </c>
      <c r="I3822" s="6">
        <f t="shared" si="189"/>
        <v>0</v>
      </c>
      <c r="J3822" s="6">
        <f t="shared" si="190"/>
        <v>0</v>
      </c>
      <c r="L3822" s="4" t="str">
        <f>IFERROR(VLOOKUP(ROWS($L$2:L3822),$B$2:$C$1996,2,0),"")</f>
        <v/>
      </c>
      <c r="N3822" s="2" t="str">
        <f>IFERROR(VLOOKUP(ROWS($N$2:N3822),$D$2:$E$1996,2,0),"")</f>
        <v/>
      </c>
    </row>
    <row r="3823" spans="2:14">
      <c r="B3823" s="32">
        <f>IF(ISNUMBER(SEARCH('Φόρμα Εισαγωγής'!$B$2,C3823)),MAX($B$1:B3822)+1,0)</f>
        <v>0</v>
      </c>
      <c r="D3823" s="33">
        <f>IF(ISNUMBER(SEARCH('Φόρμα Εισαγωγής'!$C$2,E3823)),MAX($D$1:D3822)+1,0)</f>
        <v>0</v>
      </c>
      <c r="H3823" s="6">
        <f t="shared" si="188"/>
        <v>0</v>
      </c>
      <c r="I3823" s="6">
        <f t="shared" si="189"/>
        <v>0</v>
      </c>
      <c r="J3823" s="6">
        <f t="shared" si="190"/>
        <v>0</v>
      </c>
      <c r="L3823" s="4" t="str">
        <f>IFERROR(VLOOKUP(ROWS($L$2:L3823),$B$2:$C$1996,2,0),"")</f>
        <v/>
      </c>
      <c r="N3823" s="2" t="str">
        <f>IFERROR(VLOOKUP(ROWS($N$2:N3823),$D$2:$E$1996,2,0),"")</f>
        <v/>
      </c>
    </row>
    <row r="3824" spans="2:14">
      <c r="B3824" s="32">
        <f>IF(ISNUMBER(SEARCH('Φόρμα Εισαγωγής'!$B$2,C3824)),MAX($B$1:B3823)+1,0)</f>
        <v>0</v>
      </c>
      <c r="D3824" s="33">
        <f>IF(ISNUMBER(SEARCH('Φόρμα Εισαγωγής'!$C$2,E3824)),MAX($D$1:D3823)+1,0)</f>
        <v>0</v>
      </c>
      <c r="H3824" s="6">
        <f t="shared" si="188"/>
        <v>0</v>
      </c>
      <c r="I3824" s="6">
        <f t="shared" si="189"/>
        <v>0</v>
      </c>
      <c r="J3824" s="6">
        <f t="shared" si="190"/>
        <v>0</v>
      </c>
      <c r="L3824" s="4" t="str">
        <f>IFERROR(VLOOKUP(ROWS($L$2:L3824),$B$2:$C$1996,2,0),"")</f>
        <v/>
      </c>
      <c r="N3824" s="2" t="str">
        <f>IFERROR(VLOOKUP(ROWS($N$2:N3824),$D$2:$E$1996,2,0),"")</f>
        <v/>
      </c>
    </row>
    <row r="3825" spans="2:14">
      <c r="B3825" s="32">
        <f>IF(ISNUMBER(SEARCH('Φόρμα Εισαγωγής'!$B$2,C3825)),MAX($B$1:B3824)+1,0)</f>
        <v>0</v>
      </c>
      <c r="D3825" s="33">
        <f>IF(ISNUMBER(SEARCH('Φόρμα Εισαγωγής'!$C$2,E3825)),MAX($D$1:D3824)+1,0)</f>
        <v>0</v>
      </c>
      <c r="H3825" s="6">
        <f t="shared" si="188"/>
        <v>0</v>
      </c>
      <c r="I3825" s="6">
        <f t="shared" si="189"/>
        <v>0</v>
      </c>
      <c r="J3825" s="6">
        <f t="shared" si="190"/>
        <v>0</v>
      </c>
      <c r="L3825" s="4" t="str">
        <f>IFERROR(VLOOKUP(ROWS($L$2:L3825),$B$2:$C$1996,2,0),"")</f>
        <v/>
      </c>
      <c r="N3825" s="2" t="str">
        <f>IFERROR(VLOOKUP(ROWS($N$2:N3825),$D$2:$E$1996,2,0),"")</f>
        <v/>
      </c>
    </row>
    <row r="3826" spans="2:14">
      <c r="B3826" s="32">
        <f>IF(ISNUMBER(SEARCH('Φόρμα Εισαγωγής'!$B$2,C3826)),MAX($B$1:B3825)+1,0)</f>
        <v>0</v>
      </c>
      <c r="D3826" s="33">
        <f>IF(ISNUMBER(SEARCH('Φόρμα Εισαγωγής'!$C$2,E3826)),MAX($D$1:D3825)+1,0)</f>
        <v>0</v>
      </c>
      <c r="H3826" s="6">
        <f t="shared" si="188"/>
        <v>0</v>
      </c>
      <c r="I3826" s="6">
        <f t="shared" si="189"/>
        <v>0</v>
      </c>
      <c r="J3826" s="6">
        <f t="shared" si="190"/>
        <v>0</v>
      </c>
      <c r="L3826" s="4" t="str">
        <f>IFERROR(VLOOKUP(ROWS($L$2:L3826),$B$2:$C$1996,2,0),"")</f>
        <v/>
      </c>
      <c r="N3826" s="2" t="str">
        <f>IFERROR(VLOOKUP(ROWS($N$2:N3826),$D$2:$E$1996,2,0),"")</f>
        <v/>
      </c>
    </row>
    <row r="3827" spans="2:14">
      <c r="B3827" s="32">
        <f>IF(ISNUMBER(SEARCH('Φόρμα Εισαγωγής'!$B$2,C3827)),MAX($B$1:B3826)+1,0)</f>
        <v>0</v>
      </c>
      <c r="D3827" s="33">
        <f>IF(ISNUMBER(SEARCH('Φόρμα Εισαγωγής'!$C$2,E3827)),MAX($D$1:D3826)+1,0)</f>
        <v>0</v>
      </c>
      <c r="H3827" s="6">
        <f t="shared" si="188"/>
        <v>0</v>
      </c>
      <c r="I3827" s="6">
        <f t="shared" si="189"/>
        <v>0</v>
      </c>
      <c r="J3827" s="6">
        <f t="shared" si="190"/>
        <v>0</v>
      </c>
      <c r="L3827" s="4" t="str">
        <f>IFERROR(VLOOKUP(ROWS($L$2:L3827),$B$2:$C$1996,2,0),"")</f>
        <v/>
      </c>
      <c r="N3827" s="2" t="str">
        <f>IFERROR(VLOOKUP(ROWS($N$2:N3827),$D$2:$E$1996,2,0),"")</f>
        <v/>
      </c>
    </row>
    <row r="3828" spans="2:14">
      <c r="B3828" s="32">
        <f>IF(ISNUMBER(SEARCH('Φόρμα Εισαγωγής'!$B$2,C3828)),MAX($B$1:B3827)+1,0)</f>
        <v>0</v>
      </c>
      <c r="D3828" s="33">
        <f>IF(ISNUMBER(SEARCH('Φόρμα Εισαγωγής'!$C$2,E3828)),MAX($D$1:D3827)+1,0)</f>
        <v>0</v>
      </c>
      <c r="H3828" s="6">
        <f t="shared" si="188"/>
        <v>0</v>
      </c>
      <c r="I3828" s="6">
        <f t="shared" si="189"/>
        <v>0</v>
      </c>
      <c r="J3828" s="6">
        <f t="shared" si="190"/>
        <v>0</v>
      </c>
      <c r="L3828" s="4" t="str">
        <f>IFERROR(VLOOKUP(ROWS($L$2:L3828),$B$2:$C$1996,2,0),"")</f>
        <v/>
      </c>
      <c r="N3828" s="2" t="str">
        <f>IFERROR(VLOOKUP(ROWS($N$2:N3828),$D$2:$E$1996,2,0),"")</f>
        <v/>
      </c>
    </row>
    <row r="3829" spans="2:14">
      <c r="B3829" s="32">
        <f>IF(ISNUMBER(SEARCH('Φόρμα Εισαγωγής'!$B$2,C3829)),MAX($B$1:B3828)+1,0)</f>
        <v>0</v>
      </c>
      <c r="D3829" s="33">
        <f>IF(ISNUMBER(SEARCH('Φόρμα Εισαγωγής'!$C$2,E3829)),MAX($D$1:D3828)+1,0)</f>
        <v>0</v>
      </c>
      <c r="H3829" s="6">
        <f t="shared" si="188"/>
        <v>0</v>
      </c>
      <c r="I3829" s="6">
        <f t="shared" si="189"/>
        <v>0</v>
      </c>
      <c r="J3829" s="6">
        <f t="shared" si="190"/>
        <v>0</v>
      </c>
      <c r="L3829" s="4" t="str">
        <f>IFERROR(VLOOKUP(ROWS($L$2:L3829),$B$2:$C$1996,2,0),"")</f>
        <v/>
      </c>
      <c r="N3829" s="2" t="str">
        <f>IFERROR(VLOOKUP(ROWS($N$2:N3829),$D$2:$E$1996,2,0),"")</f>
        <v/>
      </c>
    </row>
    <row r="3830" spans="2:14">
      <c r="B3830" s="32">
        <f>IF(ISNUMBER(SEARCH('Φόρμα Εισαγωγής'!$B$2,C3830)),MAX($B$1:B3829)+1,0)</f>
        <v>0</v>
      </c>
      <c r="D3830" s="33">
        <f>IF(ISNUMBER(SEARCH('Φόρμα Εισαγωγής'!$C$2,E3830)),MAX($D$1:D3829)+1,0)</f>
        <v>0</v>
      </c>
      <c r="H3830" s="6">
        <f t="shared" si="188"/>
        <v>0</v>
      </c>
      <c r="I3830" s="6">
        <f t="shared" si="189"/>
        <v>0</v>
      </c>
      <c r="J3830" s="6">
        <f t="shared" si="190"/>
        <v>0</v>
      </c>
      <c r="L3830" s="4" t="str">
        <f>IFERROR(VLOOKUP(ROWS($L$2:L3830),$B$2:$C$1996,2,0),"")</f>
        <v/>
      </c>
      <c r="N3830" s="2" t="str">
        <f>IFERROR(VLOOKUP(ROWS($N$2:N3830),$D$2:$E$1996,2,0),"")</f>
        <v/>
      </c>
    </row>
    <row r="3831" spans="2:14">
      <c r="B3831" s="32">
        <f>IF(ISNUMBER(SEARCH('Φόρμα Εισαγωγής'!$B$2,C3831)),MAX($B$1:B3830)+1,0)</f>
        <v>0</v>
      </c>
      <c r="D3831" s="33">
        <f>IF(ISNUMBER(SEARCH('Φόρμα Εισαγωγής'!$C$2,E3831)),MAX($D$1:D3830)+1,0)</f>
        <v>0</v>
      </c>
      <c r="H3831" s="6">
        <f t="shared" si="188"/>
        <v>0</v>
      </c>
      <c r="I3831" s="6">
        <f t="shared" si="189"/>
        <v>0</v>
      </c>
      <c r="J3831" s="6">
        <f t="shared" si="190"/>
        <v>0</v>
      </c>
      <c r="L3831" s="4" t="str">
        <f>IFERROR(VLOOKUP(ROWS($L$2:L3831),$B$2:$C$1996,2,0),"")</f>
        <v/>
      </c>
      <c r="N3831" s="2" t="str">
        <f>IFERROR(VLOOKUP(ROWS($N$2:N3831),$D$2:$E$1996,2,0),"")</f>
        <v/>
      </c>
    </row>
    <row r="3832" spans="2:14">
      <c r="B3832" s="32">
        <f>IF(ISNUMBER(SEARCH('Φόρμα Εισαγωγής'!$B$2,C3832)),MAX($B$1:B3831)+1,0)</f>
        <v>0</v>
      </c>
      <c r="D3832" s="33">
        <f>IF(ISNUMBER(SEARCH('Φόρμα Εισαγωγής'!$C$2,E3832)),MAX($D$1:D3831)+1,0)</f>
        <v>0</v>
      </c>
      <c r="H3832" s="6">
        <f t="shared" si="188"/>
        <v>0</v>
      </c>
      <c r="I3832" s="6">
        <f t="shared" si="189"/>
        <v>0</v>
      </c>
      <c r="J3832" s="6">
        <f t="shared" si="190"/>
        <v>0</v>
      </c>
      <c r="L3832" s="4" t="str">
        <f>IFERROR(VLOOKUP(ROWS($L$2:L3832),$B$2:$C$1996,2,0),"")</f>
        <v/>
      </c>
      <c r="N3832" s="2" t="str">
        <f>IFERROR(VLOOKUP(ROWS($N$2:N3832),$D$2:$E$1996,2,0),"")</f>
        <v/>
      </c>
    </row>
    <row r="3833" spans="2:14">
      <c r="B3833" s="32">
        <f>IF(ISNUMBER(SEARCH('Φόρμα Εισαγωγής'!$B$2,C3833)),MAX($B$1:B3832)+1,0)</f>
        <v>0</v>
      </c>
      <c r="D3833" s="33">
        <f>IF(ISNUMBER(SEARCH('Φόρμα Εισαγωγής'!$C$2,E3833)),MAX($D$1:D3832)+1,0)</f>
        <v>0</v>
      </c>
      <c r="H3833" s="6">
        <f t="shared" si="188"/>
        <v>0</v>
      </c>
      <c r="I3833" s="6">
        <f t="shared" si="189"/>
        <v>0</v>
      </c>
      <c r="J3833" s="6">
        <f t="shared" si="190"/>
        <v>0</v>
      </c>
      <c r="L3833" s="4" t="str">
        <f>IFERROR(VLOOKUP(ROWS($L$2:L3833),$B$2:$C$1996,2,0),"")</f>
        <v/>
      </c>
      <c r="N3833" s="2" t="str">
        <f>IFERROR(VLOOKUP(ROWS($N$2:N3833),$D$2:$E$1996,2,0),"")</f>
        <v/>
      </c>
    </row>
    <row r="3834" spans="2:14">
      <c r="B3834" s="32">
        <f>IF(ISNUMBER(SEARCH('Φόρμα Εισαγωγής'!$B$2,C3834)),MAX($B$1:B3833)+1,0)</f>
        <v>0</v>
      </c>
      <c r="D3834" s="33">
        <f>IF(ISNUMBER(SEARCH('Φόρμα Εισαγωγής'!$C$2,E3834)),MAX($D$1:D3833)+1,0)</f>
        <v>0</v>
      </c>
      <c r="H3834" s="6">
        <f t="shared" si="188"/>
        <v>0</v>
      </c>
      <c r="I3834" s="6">
        <f t="shared" si="189"/>
        <v>0</v>
      </c>
      <c r="J3834" s="6">
        <f t="shared" si="190"/>
        <v>0</v>
      </c>
      <c r="L3834" s="4" t="str">
        <f>IFERROR(VLOOKUP(ROWS($L$2:L3834),$B$2:$C$1996,2,0),"")</f>
        <v/>
      </c>
      <c r="N3834" s="2" t="str">
        <f>IFERROR(VLOOKUP(ROWS($N$2:N3834),$D$2:$E$1996,2,0),"")</f>
        <v/>
      </c>
    </row>
    <row r="3835" spans="2:14">
      <c r="B3835" s="32">
        <f>IF(ISNUMBER(SEARCH('Φόρμα Εισαγωγής'!$B$2,C3835)),MAX($B$1:B3834)+1,0)</f>
        <v>0</v>
      </c>
      <c r="D3835" s="33">
        <f>IF(ISNUMBER(SEARCH('Φόρμα Εισαγωγής'!$C$2,E3835)),MAX($D$1:D3834)+1,0)</f>
        <v>0</v>
      </c>
      <c r="H3835" s="6">
        <f t="shared" si="188"/>
        <v>0</v>
      </c>
      <c r="I3835" s="6">
        <f t="shared" si="189"/>
        <v>0</v>
      </c>
      <c r="J3835" s="6">
        <f t="shared" si="190"/>
        <v>0</v>
      </c>
      <c r="L3835" s="4" t="str">
        <f>IFERROR(VLOOKUP(ROWS($L$2:L3835),$B$2:$C$1996,2,0),"")</f>
        <v/>
      </c>
      <c r="N3835" s="2" t="str">
        <f>IFERROR(VLOOKUP(ROWS($N$2:N3835),$D$2:$E$1996,2,0),"")</f>
        <v/>
      </c>
    </row>
    <row r="3836" spans="2:14">
      <c r="B3836" s="32">
        <f>IF(ISNUMBER(SEARCH('Φόρμα Εισαγωγής'!$B$2,C3836)),MAX($B$1:B3835)+1,0)</f>
        <v>0</v>
      </c>
      <c r="D3836" s="33">
        <f>IF(ISNUMBER(SEARCH('Φόρμα Εισαγωγής'!$C$2,E3836)),MAX($D$1:D3835)+1,0)</f>
        <v>0</v>
      </c>
      <c r="H3836" s="6">
        <f t="shared" si="188"/>
        <v>0</v>
      </c>
      <c r="I3836" s="6">
        <f t="shared" si="189"/>
        <v>0</v>
      </c>
      <c r="J3836" s="6">
        <f t="shared" si="190"/>
        <v>0</v>
      </c>
      <c r="L3836" s="4" t="str">
        <f>IFERROR(VLOOKUP(ROWS($L$2:L3836),$B$2:$C$1996,2,0),"")</f>
        <v/>
      </c>
      <c r="N3836" s="2" t="str">
        <f>IFERROR(VLOOKUP(ROWS($N$2:N3836),$D$2:$E$1996,2,0),"")</f>
        <v/>
      </c>
    </row>
    <row r="3837" spans="2:14">
      <c r="B3837" s="32">
        <f>IF(ISNUMBER(SEARCH('Φόρμα Εισαγωγής'!$B$2,C3837)),MAX($B$1:B3836)+1,0)</f>
        <v>0</v>
      </c>
      <c r="D3837" s="33">
        <f>IF(ISNUMBER(SEARCH('Φόρμα Εισαγωγής'!$C$2,E3837)),MAX($D$1:D3836)+1,0)</f>
        <v>0</v>
      </c>
      <c r="H3837" s="6">
        <f t="shared" si="188"/>
        <v>0</v>
      </c>
      <c r="I3837" s="6">
        <f t="shared" si="189"/>
        <v>0</v>
      </c>
      <c r="J3837" s="6">
        <f t="shared" si="190"/>
        <v>0</v>
      </c>
      <c r="L3837" s="4" t="str">
        <f>IFERROR(VLOOKUP(ROWS($L$2:L3837),$B$2:$C$1996,2,0),"")</f>
        <v/>
      </c>
      <c r="N3837" s="2" t="str">
        <f>IFERROR(VLOOKUP(ROWS($N$2:N3837),$D$2:$E$1996,2,0),"")</f>
        <v/>
      </c>
    </row>
    <row r="3838" spans="2:14">
      <c r="B3838" s="32">
        <f>IF(ISNUMBER(SEARCH('Φόρμα Εισαγωγής'!$B$2,C3838)),MAX($B$1:B3837)+1,0)</f>
        <v>0</v>
      </c>
      <c r="D3838" s="33">
        <f>IF(ISNUMBER(SEARCH('Φόρμα Εισαγωγής'!$C$2,E3838)),MAX($D$1:D3837)+1,0)</f>
        <v>0</v>
      </c>
      <c r="H3838" s="6">
        <f t="shared" si="188"/>
        <v>0</v>
      </c>
      <c r="I3838" s="6">
        <f t="shared" si="189"/>
        <v>0</v>
      </c>
      <c r="J3838" s="6">
        <f t="shared" si="190"/>
        <v>0</v>
      </c>
      <c r="L3838" s="4" t="str">
        <f>IFERROR(VLOOKUP(ROWS($L$2:L3838),$B$2:$C$1996,2,0),"")</f>
        <v/>
      </c>
      <c r="N3838" s="2" t="str">
        <f>IFERROR(VLOOKUP(ROWS($N$2:N3838),$D$2:$E$1996,2,0),"")</f>
        <v/>
      </c>
    </row>
    <row r="3839" spans="2:14">
      <c r="B3839" s="32">
        <f>IF(ISNUMBER(SEARCH('Φόρμα Εισαγωγής'!$B$2,C3839)),MAX($B$1:B3838)+1,0)</f>
        <v>0</v>
      </c>
      <c r="D3839" s="33">
        <f>IF(ISNUMBER(SEARCH('Φόρμα Εισαγωγής'!$C$2,E3839)),MAX($D$1:D3838)+1,0)</f>
        <v>0</v>
      </c>
      <c r="H3839" s="6">
        <f t="shared" si="188"/>
        <v>0</v>
      </c>
      <c r="I3839" s="6">
        <f t="shared" si="189"/>
        <v>0</v>
      </c>
      <c r="J3839" s="6">
        <f t="shared" si="190"/>
        <v>0</v>
      </c>
      <c r="L3839" s="4" t="str">
        <f>IFERROR(VLOOKUP(ROWS($L$2:L3839),$B$2:$C$1996,2,0),"")</f>
        <v/>
      </c>
      <c r="N3839" s="2" t="str">
        <f>IFERROR(VLOOKUP(ROWS($N$2:N3839),$D$2:$E$1996,2,0),"")</f>
        <v/>
      </c>
    </row>
    <row r="3840" spans="2:14">
      <c r="B3840" s="32">
        <f>IF(ISNUMBER(SEARCH('Φόρμα Εισαγωγής'!$B$2,C3840)),MAX($B$1:B3839)+1,0)</f>
        <v>0</v>
      </c>
      <c r="D3840" s="33">
        <f>IF(ISNUMBER(SEARCH('Φόρμα Εισαγωγής'!$C$2,E3840)),MAX($D$1:D3839)+1,0)</f>
        <v>0</v>
      </c>
      <c r="H3840" s="6">
        <f t="shared" ref="H3840:H3903" si="191">G3840+(G3840*0.24)</f>
        <v>0</v>
      </c>
      <c r="I3840" s="6">
        <f t="shared" ref="I3840:I3903" si="192">F3840*A3840</f>
        <v>0</v>
      </c>
      <c r="J3840" s="6">
        <f t="shared" ref="J3840:J3903" si="193">H3840*A3840</f>
        <v>0</v>
      </c>
      <c r="L3840" s="4" t="str">
        <f>IFERROR(VLOOKUP(ROWS($L$2:L3840),$B$2:$C$1996,2,0),"")</f>
        <v/>
      </c>
      <c r="N3840" s="2" t="str">
        <f>IFERROR(VLOOKUP(ROWS($N$2:N3840),$D$2:$E$1996,2,0),"")</f>
        <v/>
      </c>
    </row>
    <row r="3841" spans="2:14">
      <c r="B3841" s="32">
        <f>IF(ISNUMBER(SEARCH('Φόρμα Εισαγωγής'!$B$2,C3841)),MAX($B$1:B3840)+1,0)</f>
        <v>0</v>
      </c>
      <c r="D3841" s="33">
        <f>IF(ISNUMBER(SEARCH('Φόρμα Εισαγωγής'!$C$2,E3841)),MAX($D$1:D3840)+1,0)</f>
        <v>0</v>
      </c>
      <c r="H3841" s="6">
        <f t="shared" si="191"/>
        <v>0</v>
      </c>
      <c r="I3841" s="6">
        <f t="shared" si="192"/>
        <v>0</v>
      </c>
      <c r="J3841" s="6">
        <f t="shared" si="193"/>
        <v>0</v>
      </c>
      <c r="L3841" s="4" t="str">
        <f>IFERROR(VLOOKUP(ROWS($L$2:L3841),$B$2:$C$1996,2,0),"")</f>
        <v/>
      </c>
      <c r="N3841" s="2" t="str">
        <f>IFERROR(VLOOKUP(ROWS($N$2:N3841),$D$2:$E$1996,2,0),"")</f>
        <v/>
      </c>
    </row>
    <row r="3842" spans="2:14">
      <c r="B3842" s="32">
        <f>IF(ISNUMBER(SEARCH('Φόρμα Εισαγωγής'!$B$2,C3842)),MAX($B$1:B3841)+1,0)</f>
        <v>0</v>
      </c>
      <c r="D3842" s="33">
        <f>IF(ISNUMBER(SEARCH('Φόρμα Εισαγωγής'!$C$2,E3842)),MAX($D$1:D3841)+1,0)</f>
        <v>0</v>
      </c>
      <c r="H3842" s="6">
        <f t="shared" si="191"/>
        <v>0</v>
      </c>
      <c r="I3842" s="6">
        <f t="shared" si="192"/>
        <v>0</v>
      </c>
      <c r="J3842" s="6">
        <f t="shared" si="193"/>
        <v>0</v>
      </c>
      <c r="L3842" s="4" t="str">
        <f>IFERROR(VLOOKUP(ROWS($L$2:L3842),$B$2:$C$1996,2,0),"")</f>
        <v/>
      </c>
      <c r="N3842" s="2" t="str">
        <f>IFERROR(VLOOKUP(ROWS($N$2:N3842),$D$2:$E$1996,2,0),"")</f>
        <v/>
      </c>
    </row>
    <row r="3843" spans="2:14">
      <c r="B3843" s="32">
        <f>IF(ISNUMBER(SEARCH('Φόρμα Εισαγωγής'!$B$2,C3843)),MAX($B$1:B3842)+1,0)</f>
        <v>0</v>
      </c>
      <c r="D3843" s="33">
        <f>IF(ISNUMBER(SEARCH('Φόρμα Εισαγωγής'!$C$2,E3843)),MAX($D$1:D3842)+1,0)</f>
        <v>0</v>
      </c>
      <c r="H3843" s="6">
        <f t="shared" si="191"/>
        <v>0</v>
      </c>
      <c r="I3843" s="6">
        <f t="shared" si="192"/>
        <v>0</v>
      </c>
      <c r="J3843" s="6">
        <f t="shared" si="193"/>
        <v>0</v>
      </c>
      <c r="L3843" s="4" t="str">
        <f>IFERROR(VLOOKUP(ROWS($L$2:L3843),$B$2:$C$1996,2,0),"")</f>
        <v/>
      </c>
      <c r="N3843" s="2" t="str">
        <f>IFERROR(VLOOKUP(ROWS($N$2:N3843),$D$2:$E$1996,2,0),"")</f>
        <v/>
      </c>
    </row>
    <row r="3844" spans="2:14">
      <c r="B3844" s="32">
        <f>IF(ISNUMBER(SEARCH('Φόρμα Εισαγωγής'!$B$2,C3844)),MAX($B$1:B3843)+1,0)</f>
        <v>0</v>
      </c>
      <c r="D3844" s="33">
        <f>IF(ISNUMBER(SEARCH('Φόρμα Εισαγωγής'!$C$2,E3844)),MAX($D$1:D3843)+1,0)</f>
        <v>0</v>
      </c>
      <c r="H3844" s="6">
        <f t="shared" si="191"/>
        <v>0</v>
      </c>
      <c r="I3844" s="6">
        <f t="shared" si="192"/>
        <v>0</v>
      </c>
      <c r="J3844" s="6">
        <f t="shared" si="193"/>
        <v>0</v>
      </c>
      <c r="L3844" s="4" t="str">
        <f>IFERROR(VLOOKUP(ROWS($L$2:L3844),$B$2:$C$1996,2,0),"")</f>
        <v/>
      </c>
      <c r="N3844" s="2" t="str">
        <f>IFERROR(VLOOKUP(ROWS($N$2:N3844),$D$2:$E$1996,2,0),"")</f>
        <v/>
      </c>
    </row>
    <row r="3845" spans="2:14">
      <c r="B3845" s="32">
        <f>IF(ISNUMBER(SEARCH('Φόρμα Εισαγωγής'!$B$2,C3845)),MAX($B$1:B3844)+1,0)</f>
        <v>0</v>
      </c>
      <c r="D3845" s="33">
        <f>IF(ISNUMBER(SEARCH('Φόρμα Εισαγωγής'!$C$2,E3845)),MAX($D$1:D3844)+1,0)</f>
        <v>0</v>
      </c>
      <c r="H3845" s="6">
        <f t="shared" si="191"/>
        <v>0</v>
      </c>
      <c r="I3845" s="6">
        <f t="shared" si="192"/>
        <v>0</v>
      </c>
      <c r="J3845" s="6">
        <f t="shared" si="193"/>
        <v>0</v>
      </c>
      <c r="L3845" s="4" t="str">
        <f>IFERROR(VLOOKUP(ROWS($L$2:L3845),$B$2:$C$1996,2,0),"")</f>
        <v/>
      </c>
      <c r="N3845" s="2" t="str">
        <f>IFERROR(VLOOKUP(ROWS($N$2:N3845),$D$2:$E$1996,2,0),"")</f>
        <v/>
      </c>
    </row>
    <row r="3846" spans="2:14">
      <c r="B3846" s="32">
        <f>IF(ISNUMBER(SEARCH('Φόρμα Εισαγωγής'!$B$2,C3846)),MAX($B$1:B3845)+1,0)</f>
        <v>0</v>
      </c>
      <c r="D3846" s="33">
        <f>IF(ISNUMBER(SEARCH('Φόρμα Εισαγωγής'!$C$2,E3846)),MAX($D$1:D3845)+1,0)</f>
        <v>0</v>
      </c>
      <c r="H3846" s="6">
        <f t="shared" si="191"/>
        <v>0</v>
      </c>
      <c r="I3846" s="6">
        <f t="shared" si="192"/>
        <v>0</v>
      </c>
      <c r="J3846" s="6">
        <f t="shared" si="193"/>
        <v>0</v>
      </c>
      <c r="L3846" s="4" t="str">
        <f>IFERROR(VLOOKUP(ROWS($L$2:L3846),$B$2:$C$1996,2,0),"")</f>
        <v/>
      </c>
      <c r="N3846" s="2" t="str">
        <f>IFERROR(VLOOKUP(ROWS($N$2:N3846),$D$2:$E$1996,2,0),"")</f>
        <v/>
      </c>
    </row>
    <row r="3847" spans="2:14">
      <c r="B3847" s="32">
        <f>IF(ISNUMBER(SEARCH('Φόρμα Εισαγωγής'!$B$2,C3847)),MAX($B$1:B3846)+1,0)</f>
        <v>0</v>
      </c>
      <c r="D3847" s="33">
        <f>IF(ISNUMBER(SEARCH('Φόρμα Εισαγωγής'!$C$2,E3847)),MAX($D$1:D3846)+1,0)</f>
        <v>0</v>
      </c>
      <c r="H3847" s="6">
        <f t="shared" si="191"/>
        <v>0</v>
      </c>
      <c r="I3847" s="6">
        <f t="shared" si="192"/>
        <v>0</v>
      </c>
      <c r="J3847" s="6">
        <f t="shared" si="193"/>
        <v>0</v>
      </c>
      <c r="L3847" s="4" t="str">
        <f>IFERROR(VLOOKUP(ROWS($L$2:L3847),$B$2:$C$1996,2,0),"")</f>
        <v/>
      </c>
      <c r="N3847" s="2" t="str">
        <f>IFERROR(VLOOKUP(ROWS($N$2:N3847),$D$2:$E$1996,2,0),"")</f>
        <v/>
      </c>
    </row>
    <row r="3848" spans="2:14">
      <c r="B3848" s="32">
        <f>IF(ISNUMBER(SEARCH('Φόρμα Εισαγωγής'!$B$2,C3848)),MAX($B$1:B3847)+1,0)</f>
        <v>0</v>
      </c>
      <c r="D3848" s="33">
        <f>IF(ISNUMBER(SEARCH('Φόρμα Εισαγωγής'!$C$2,E3848)),MAX($D$1:D3847)+1,0)</f>
        <v>0</v>
      </c>
      <c r="H3848" s="6">
        <f t="shared" si="191"/>
        <v>0</v>
      </c>
      <c r="I3848" s="6">
        <f t="shared" si="192"/>
        <v>0</v>
      </c>
      <c r="J3848" s="6">
        <f t="shared" si="193"/>
        <v>0</v>
      </c>
      <c r="L3848" s="4" t="str">
        <f>IFERROR(VLOOKUP(ROWS($L$2:L3848),$B$2:$C$1996,2,0),"")</f>
        <v/>
      </c>
      <c r="N3848" s="2" t="str">
        <f>IFERROR(VLOOKUP(ROWS($N$2:N3848),$D$2:$E$1996,2,0),"")</f>
        <v/>
      </c>
    </row>
    <row r="3849" spans="2:14">
      <c r="B3849" s="32">
        <f>IF(ISNUMBER(SEARCH('Φόρμα Εισαγωγής'!$B$2,C3849)),MAX($B$1:B3848)+1,0)</f>
        <v>0</v>
      </c>
      <c r="D3849" s="33">
        <f>IF(ISNUMBER(SEARCH('Φόρμα Εισαγωγής'!$C$2,E3849)),MAX($D$1:D3848)+1,0)</f>
        <v>0</v>
      </c>
      <c r="H3849" s="6">
        <f t="shared" si="191"/>
        <v>0</v>
      </c>
      <c r="I3849" s="6">
        <f t="shared" si="192"/>
        <v>0</v>
      </c>
      <c r="J3849" s="6">
        <f t="shared" si="193"/>
        <v>0</v>
      </c>
      <c r="L3849" s="4" t="str">
        <f>IFERROR(VLOOKUP(ROWS($L$2:L3849),$B$2:$C$1996,2,0),"")</f>
        <v/>
      </c>
      <c r="N3849" s="2" t="str">
        <f>IFERROR(VLOOKUP(ROWS($N$2:N3849),$D$2:$E$1996,2,0),"")</f>
        <v/>
      </c>
    </row>
    <row r="3850" spans="2:14">
      <c r="B3850" s="32">
        <f>IF(ISNUMBER(SEARCH('Φόρμα Εισαγωγής'!$B$2,C3850)),MAX($B$1:B3849)+1,0)</f>
        <v>0</v>
      </c>
      <c r="D3850" s="33">
        <f>IF(ISNUMBER(SEARCH('Φόρμα Εισαγωγής'!$C$2,E3850)),MAX($D$1:D3849)+1,0)</f>
        <v>0</v>
      </c>
      <c r="H3850" s="6">
        <f t="shared" si="191"/>
        <v>0</v>
      </c>
      <c r="I3850" s="6">
        <f t="shared" si="192"/>
        <v>0</v>
      </c>
      <c r="J3850" s="6">
        <f t="shared" si="193"/>
        <v>0</v>
      </c>
      <c r="L3850" s="4" t="str">
        <f>IFERROR(VLOOKUP(ROWS($L$2:L3850),$B$2:$C$1996,2,0),"")</f>
        <v/>
      </c>
      <c r="N3850" s="2" t="str">
        <f>IFERROR(VLOOKUP(ROWS($N$2:N3850),$D$2:$E$1996,2,0),"")</f>
        <v/>
      </c>
    </row>
    <row r="3851" spans="2:14">
      <c r="B3851" s="32">
        <f>IF(ISNUMBER(SEARCH('Φόρμα Εισαγωγής'!$B$2,C3851)),MAX($B$1:B3850)+1,0)</f>
        <v>0</v>
      </c>
      <c r="D3851" s="33">
        <f>IF(ISNUMBER(SEARCH('Φόρμα Εισαγωγής'!$C$2,E3851)),MAX($D$1:D3850)+1,0)</f>
        <v>0</v>
      </c>
      <c r="H3851" s="6">
        <f t="shared" si="191"/>
        <v>0</v>
      </c>
      <c r="I3851" s="6">
        <f t="shared" si="192"/>
        <v>0</v>
      </c>
      <c r="J3851" s="6">
        <f t="shared" si="193"/>
        <v>0</v>
      </c>
      <c r="L3851" s="4" t="str">
        <f>IFERROR(VLOOKUP(ROWS($L$2:L3851),$B$2:$C$1996,2,0),"")</f>
        <v/>
      </c>
      <c r="N3851" s="2" t="str">
        <f>IFERROR(VLOOKUP(ROWS($N$2:N3851),$D$2:$E$1996,2,0),"")</f>
        <v/>
      </c>
    </row>
    <row r="3852" spans="2:14">
      <c r="B3852" s="32">
        <f>IF(ISNUMBER(SEARCH('Φόρμα Εισαγωγής'!$B$2,C3852)),MAX($B$1:B3851)+1,0)</f>
        <v>0</v>
      </c>
      <c r="D3852" s="33">
        <f>IF(ISNUMBER(SEARCH('Φόρμα Εισαγωγής'!$C$2,E3852)),MAX($D$1:D3851)+1,0)</f>
        <v>0</v>
      </c>
      <c r="H3852" s="6">
        <f t="shared" si="191"/>
        <v>0</v>
      </c>
      <c r="I3852" s="6">
        <f t="shared" si="192"/>
        <v>0</v>
      </c>
      <c r="J3852" s="6">
        <f t="shared" si="193"/>
        <v>0</v>
      </c>
      <c r="L3852" s="4" t="str">
        <f>IFERROR(VLOOKUP(ROWS($L$2:L3852),$B$2:$C$1996,2,0),"")</f>
        <v/>
      </c>
      <c r="N3852" s="2" t="str">
        <f>IFERROR(VLOOKUP(ROWS($N$2:N3852),$D$2:$E$1996,2,0),"")</f>
        <v/>
      </c>
    </row>
    <row r="3853" spans="2:14">
      <c r="B3853" s="32">
        <f>IF(ISNUMBER(SEARCH('Φόρμα Εισαγωγής'!$B$2,C3853)),MAX($B$1:B3852)+1,0)</f>
        <v>0</v>
      </c>
      <c r="D3853" s="33">
        <f>IF(ISNUMBER(SEARCH('Φόρμα Εισαγωγής'!$C$2,E3853)),MAX($D$1:D3852)+1,0)</f>
        <v>0</v>
      </c>
      <c r="H3853" s="6">
        <f t="shared" si="191"/>
        <v>0</v>
      </c>
      <c r="I3853" s="6">
        <f t="shared" si="192"/>
        <v>0</v>
      </c>
      <c r="J3853" s="6">
        <f t="shared" si="193"/>
        <v>0</v>
      </c>
      <c r="L3853" s="4" t="str">
        <f>IFERROR(VLOOKUP(ROWS($L$2:L3853),$B$2:$C$1996,2,0),"")</f>
        <v/>
      </c>
      <c r="N3853" s="2" t="str">
        <f>IFERROR(VLOOKUP(ROWS($N$2:N3853),$D$2:$E$1996,2,0),"")</f>
        <v/>
      </c>
    </row>
    <row r="3854" spans="2:14">
      <c r="B3854" s="32">
        <f>IF(ISNUMBER(SEARCH('Φόρμα Εισαγωγής'!$B$2,C3854)),MAX($B$1:B3853)+1,0)</f>
        <v>0</v>
      </c>
      <c r="D3854" s="33">
        <f>IF(ISNUMBER(SEARCH('Φόρμα Εισαγωγής'!$C$2,E3854)),MAX($D$1:D3853)+1,0)</f>
        <v>0</v>
      </c>
      <c r="H3854" s="6">
        <f t="shared" si="191"/>
        <v>0</v>
      </c>
      <c r="I3854" s="6">
        <f t="shared" si="192"/>
        <v>0</v>
      </c>
      <c r="J3854" s="6">
        <f t="shared" si="193"/>
        <v>0</v>
      </c>
      <c r="L3854" s="4" t="str">
        <f>IFERROR(VLOOKUP(ROWS($L$2:L3854),$B$2:$C$1996,2,0),"")</f>
        <v/>
      </c>
      <c r="N3854" s="2" t="str">
        <f>IFERROR(VLOOKUP(ROWS($N$2:N3854),$D$2:$E$1996,2,0),"")</f>
        <v/>
      </c>
    </row>
    <row r="3855" spans="2:14">
      <c r="B3855" s="32">
        <f>IF(ISNUMBER(SEARCH('Φόρμα Εισαγωγής'!$B$2,C3855)),MAX($B$1:B3854)+1,0)</f>
        <v>0</v>
      </c>
      <c r="D3855" s="33">
        <f>IF(ISNUMBER(SEARCH('Φόρμα Εισαγωγής'!$C$2,E3855)),MAX($D$1:D3854)+1,0)</f>
        <v>0</v>
      </c>
      <c r="H3855" s="6">
        <f t="shared" si="191"/>
        <v>0</v>
      </c>
      <c r="I3855" s="6">
        <f t="shared" si="192"/>
        <v>0</v>
      </c>
      <c r="J3855" s="6">
        <f t="shared" si="193"/>
        <v>0</v>
      </c>
      <c r="L3855" s="4" t="str">
        <f>IFERROR(VLOOKUP(ROWS($L$2:L3855),$B$2:$C$1996,2,0),"")</f>
        <v/>
      </c>
      <c r="N3855" s="2" t="str">
        <f>IFERROR(VLOOKUP(ROWS($N$2:N3855),$D$2:$E$1996,2,0),"")</f>
        <v/>
      </c>
    </row>
    <row r="3856" spans="2:14">
      <c r="B3856" s="32">
        <f>IF(ISNUMBER(SEARCH('Φόρμα Εισαγωγής'!$B$2,C3856)),MAX($B$1:B3855)+1,0)</f>
        <v>0</v>
      </c>
      <c r="D3856" s="33">
        <f>IF(ISNUMBER(SEARCH('Φόρμα Εισαγωγής'!$C$2,E3856)),MAX($D$1:D3855)+1,0)</f>
        <v>0</v>
      </c>
      <c r="H3856" s="6">
        <f t="shared" si="191"/>
        <v>0</v>
      </c>
      <c r="I3856" s="6">
        <f t="shared" si="192"/>
        <v>0</v>
      </c>
      <c r="J3856" s="6">
        <f t="shared" si="193"/>
        <v>0</v>
      </c>
      <c r="L3856" s="4" t="str">
        <f>IFERROR(VLOOKUP(ROWS($L$2:L3856),$B$2:$C$1996,2,0),"")</f>
        <v/>
      </c>
      <c r="N3856" s="2" t="str">
        <f>IFERROR(VLOOKUP(ROWS($N$2:N3856),$D$2:$E$1996,2,0),"")</f>
        <v/>
      </c>
    </row>
    <row r="3857" spans="2:14">
      <c r="B3857" s="32">
        <f>IF(ISNUMBER(SEARCH('Φόρμα Εισαγωγής'!$B$2,C3857)),MAX($B$1:B3856)+1,0)</f>
        <v>0</v>
      </c>
      <c r="D3857" s="33">
        <f>IF(ISNUMBER(SEARCH('Φόρμα Εισαγωγής'!$C$2,E3857)),MAX($D$1:D3856)+1,0)</f>
        <v>0</v>
      </c>
      <c r="H3857" s="6">
        <f t="shared" si="191"/>
        <v>0</v>
      </c>
      <c r="I3857" s="6">
        <f t="shared" si="192"/>
        <v>0</v>
      </c>
      <c r="J3857" s="6">
        <f t="shared" si="193"/>
        <v>0</v>
      </c>
      <c r="L3857" s="4" t="str">
        <f>IFERROR(VLOOKUP(ROWS($L$2:L3857),$B$2:$C$1996,2,0),"")</f>
        <v/>
      </c>
      <c r="N3857" s="2" t="str">
        <f>IFERROR(VLOOKUP(ROWS($N$2:N3857),$D$2:$E$1996,2,0),"")</f>
        <v/>
      </c>
    </row>
    <row r="3858" spans="2:14">
      <c r="B3858" s="32">
        <f>IF(ISNUMBER(SEARCH('Φόρμα Εισαγωγής'!$B$2,C3858)),MAX($B$1:B3857)+1,0)</f>
        <v>0</v>
      </c>
      <c r="D3858" s="33">
        <f>IF(ISNUMBER(SEARCH('Φόρμα Εισαγωγής'!$C$2,E3858)),MAX($D$1:D3857)+1,0)</f>
        <v>0</v>
      </c>
      <c r="H3858" s="6">
        <f t="shared" si="191"/>
        <v>0</v>
      </c>
      <c r="I3858" s="6">
        <f t="shared" si="192"/>
        <v>0</v>
      </c>
      <c r="J3858" s="6">
        <f t="shared" si="193"/>
        <v>0</v>
      </c>
      <c r="L3858" s="4" t="str">
        <f>IFERROR(VLOOKUP(ROWS($L$2:L3858),$B$2:$C$1996,2,0),"")</f>
        <v/>
      </c>
      <c r="N3858" s="2" t="str">
        <f>IFERROR(VLOOKUP(ROWS($N$2:N3858),$D$2:$E$1996,2,0),"")</f>
        <v/>
      </c>
    </row>
    <row r="3859" spans="2:14">
      <c r="B3859" s="32">
        <f>IF(ISNUMBER(SEARCH('Φόρμα Εισαγωγής'!$B$2,C3859)),MAX($B$1:B3858)+1,0)</f>
        <v>0</v>
      </c>
      <c r="D3859" s="33">
        <f>IF(ISNUMBER(SEARCH('Φόρμα Εισαγωγής'!$C$2,E3859)),MAX($D$1:D3858)+1,0)</f>
        <v>0</v>
      </c>
      <c r="H3859" s="6">
        <f t="shared" si="191"/>
        <v>0</v>
      </c>
      <c r="I3859" s="6">
        <f t="shared" si="192"/>
        <v>0</v>
      </c>
      <c r="J3859" s="6">
        <f t="shared" si="193"/>
        <v>0</v>
      </c>
      <c r="L3859" s="4" t="str">
        <f>IFERROR(VLOOKUP(ROWS($L$2:L3859),$B$2:$C$1996,2,0),"")</f>
        <v/>
      </c>
      <c r="N3859" s="2" t="str">
        <f>IFERROR(VLOOKUP(ROWS($N$2:N3859),$D$2:$E$1996,2,0),"")</f>
        <v/>
      </c>
    </row>
    <row r="3860" spans="2:14">
      <c r="B3860" s="32">
        <f>IF(ISNUMBER(SEARCH('Φόρμα Εισαγωγής'!$B$2,C3860)),MAX($B$1:B3859)+1,0)</f>
        <v>0</v>
      </c>
      <c r="D3860" s="33">
        <f>IF(ISNUMBER(SEARCH('Φόρμα Εισαγωγής'!$C$2,E3860)),MAX($D$1:D3859)+1,0)</f>
        <v>0</v>
      </c>
      <c r="H3860" s="6">
        <f t="shared" si="191"/>
        <v>0</v>
      </c>
      <c r="I3860" s="6">
        <f t="shared" si="192"/>
        <v>0</v>
      </c>
      <c r="J3860" s="6">
        <f t="shared" si="193"/>
        <v>0</v>
      </c>
      <c r="L3860" s="4" t="str">
        <f>IFERROR(VLOOKUP(ROWS($L$2:L3860),$B$2:$C$1996,2,0),"")</f>
        <v/>
      </c>
      <c r="N3860" s="2" t="str">
        <f>IFERROR(VLOOKUP(ROWS($N$2:N3860),$D$2:$E$1996,2,0),"")</f>
        <v/>
      </c>
    </row>
    <row r="3861" spans="2:14">
      <c r="B3861" s="32">
        <f>IF(ISNUMBER(SEARCH('Φόρμα Εισαγωγής'!$B$2,C3861)),MAX($B$1:B3860)+1,0)</f>
        <v>0</v>
      </c>
      <c r="D3861" s="33">
        <f>IF(ISNUMBER(SEARCH('Φόρμα Εισαγωγής'!$C$2,E3861)),MAX($D$1:D3860)+1,0)</f>
        <v>0</v>
      </c>
      <c r="H3861" s="6">
        <f t="shared" si="191"/>
        <v>0</v>
      </c>
      <c r="I3861" s="6">
        <f t="shared" si="192"/>
        <v>0</v>
      </c>
      <c r="J3861" s="6">
        <f t="shared" si="193"/>
        <v>0</v>
      </c>
      <c r="L3861" s="4" t="str">
        <f>IFERROR(VLOOKUP(ROWS($L$2:L3861),$B$2:$C$1996,2,0),"")</f>
        <v/>
      </c>
      <c r="N3861" s="2" t="str">
        <f>IFERROR(VLOOKUP(ROWS($N$2:N3861),$D$2:$E$1996,2,0),"")</f>
        <v/>
      </c>
    </row>
    <row r="3862" spans="2:14">
      <c r="B3862" s="32">
        <f>IF(ISNUMBER(SEARCH('Φόρμα Εισαγωγής'!$B$2,C3862)),MAX($B$1:B3861)+1,0)</f>
        <v>0</v>
      </c>
      <c r="D3862" s="33">
        <f>IF(ISNUMBER(SEARCH('Φόρμα Εισαγωγής'!$C$2,E3862)),MAX($D$1:D3861)+1,0)</f>
        <v>0</v>
      </c>
      <c r="H3862" s="6">
        <f t="shared" si="191"/>
        <v>0</v>
      </c>
      <c r="I3862" s="6">
        <f t="shared" si="192"/>
        <v>0</v>
      </c>
      <c r="J3862" s="6">
        <f t="shared" si="193"/>
        <v>0</v>
      </c>
      <c r="L3862" s="4" t="str">
        <f>IFERROR(VLOOKUP(ROWS($L$2:L3862),$B$2:$C$1996,2,0),"")</f>
        <v/>
      </c>
      <c r="N3862" s="2" t="str">
        <f>IFERROR(VLOOKUP(ROWS($N$2:N3862),$D$2:$E$1996,2,0),"")</f>
        <v/>
      </c>
    </row>
    <row r="3863" spans="2:14">
      <c r="B3863" s="32">
        <f>IF(ISNUMBER(SEARCH('Φόρμα Εισαγωγής'!$B$2,C3863)),MAX($B$1:B3862)+1,0)</f>
        <v>0</v>
      </c>
      <c r="D3863" s="33">
        <f>IF(ISNUMBER(SEARCH('Φόρμα Εισαγωγής'!$C$2,E3863)),MAX($D$1:D3862)+1,0)</f>
        <v>0</v>
      </c>
      <c r="H3863" s="6">
        <f t="shared" si="191"/>
        <v>0</v>
      </c>
      <c r="I3863" s="6">
        <f t="shared" si="192"/>
        <v>0</v>
      </c>
      <c r="J3863" s="6">
        <f t="shared" si="193"/>
        <v>0</v>
      </c>
      <c r="L3863" s="4" t="str">
        <f>IFERROR(VLOOKUP(ROWS($L$2:L3863),$B$2:$C$1996,2,0),"")</f>
        <v/>
      </c>
      <c r="N3863" s="2" t="str">
        <f>IFERROR(VLOOKUP(ROWS($N$2:N3863),$D$2:$E$1996,2,0),"")</f>
        <v/>
      </c>
    </row>
    <row r="3864" spans="2:14">
      <c r="B3864" s="32">
        <f>IF(ISNUMBER(SEARCH('Φόρμα Εισαγωγής'!$B$2,C3864)),MAX($B$1:B3863)+1,0)</f>
        <v>0</v>
      </c>
      <c r="D3864" s="33">
        <f>IF(ISNUMBER(SEARCH('Φόρμα Εισαγωγής'!$C$2,E3864)),MAX($D$1:D3863)+1,0)</f>
        <v>0</v>
      </c>
      <c r="H3864" s="6">
        <f t="shared" si="191"/>
        <v>0</v>
      </c>
      <c r="I3864" s="6">
        <f t="shared" si="192"/>
        <v>0</v>
      </c>
      <c r="J3864" s="6">
        <f t="shared" si="193"/>
        <v>0</v>
      </c>
      <c r="L3864" s="4" t="str">
        <f>IFERROR(VLOOKUP(ROWS($L$2:L3864),$B$2:$C$1996,2,0),"")</f>
        <v/>
      </c>
      <c r="N3864" s="2" t="str">
        <f>IFERROR(VLOOKUP(ROWS($N$2:N3864),$D$2:$E$1996,2,0),"")</f>
        <v/>
      </c>
    </row>
    <row r="3865" spans="2:14">
      <c r="B3865" s="32">
        <f>IF(ISNUMBER(SEARCH('Φόρμα Εισαγωγής'!$B$2,C3865)),MAX($B$1:B3864)+1,0)</f>
        <v>0</v>
      </c>
      <c r="D3865" s="33">
        <f>IF(ISNUMBER(SEARCH('Φόρμα Εισαγωγής'!$C$2,E3865)),MAX($D$1:D3864)+1,0)</f>
        <v>0</v>
      </c>
      <c r="H3865" s="6">
        <f t="shared" si="191"/>
        <v>0</v>
      </c>
      <c r="I3865" s="6">
        <f t="shared" si="192"/>
        <v>0</v>
      </c>
      <c r="J3865" s="6">
        <f t="shared" si="193"/>
        <v>0</v>
      </c>
      <c r="L3865" s="4" t="str">
        <f>IFERROR(VLOOKUP(ROWS($L$2:L3865),$B$2:$C$1996,2,0),"")</f>
        <v/>
      </c>
      <c r="N3865" s="2" t="str">
        <f>IFERROR(VLOOKUP(ROWS($N$2:N3865),$D$2:$E$1996,2,0),"")</f>
        <v/>
      </c>
    </row>
    <row r="3866" spans="2:14">
      <c r="B3866" s="32">
        <f>IF(ISNUMBER(SEARCH('Φόρμα Εισαγωγής'!$B$2,C3866)),MAX($B$1:B3865)+1,0)</f>
        <v>0</v>
      </c>
      <c r="D3866" s="33">
        <f>IF(ISNUMBER(SEARCH('Φόρμα Εισαγωγής'!$C$2,E3866)),MAX($D$1:D3865)+1,0)</f>
        <v>0</v>
      </c>
      <c r="H3866" s="6">
        <f t="shared" si="191"/>
        <v>0</v>
      </c>
      <c r="I3866" s="6">
        <f t="shared" si="192"/>
        <v>0</v>
      </c>
      <c r="J3866" s="6">
        <f t="shared" si="193"/>
        <v>0</v>
      </c>
      <c r="L3866" s="4" t="str">
        <f>IFERROR(VLOOKUP(ROWS($L$2:L3866),$B$2:$C$1996,2,0),"")</f>
        <v/>
      </c>
      <c r="N3866" s="2" t="str">
        <f>IFERROR(VLOOKUP(ROWS($N$2:N3866),$D$2:$E$1996,2,0),"")</f>
        <v/>
      </c>
    </row>
    <row r="3867" spans="2:14">
      <c r="B3867" s="32">
        <f>IF(ISNUMBER(SEARCH('Φόρμα Εισαγωγής'!$B$2,C3867)),MAX($B$1:B3866)+1,0)</f>
        <v>0</v>
      </c>
      <c r="D3867" s="33">
        <f>IF(ISNUMBER(SEARCH('Φόρμα Εισαγωγής'!$C$2,E3867)),MAX($D$1:D3866)+1,0)</f>
        <v>0</v>
      </c>
      <c r="H3867" s="6">
        <f t="shared" si="191"/>
        <v>0</v>
      </c>
      <c r="I3867" s="6">
        <f t="shared" si="192"/>
        <v>0</v>
      </c>
      <c r="J3867" s="6">
        <f t="shared" si="193"/>
        <v>0</v>
      </c>
      <c r="L3867" s="4" t="str">
        <f>IFERROR(VLOOKUP(ROWS($L$2:L3867),$B$2:$C$1996,2,0),"")</f>
        <v/>
      </c>
      <c r="N3867" s="2" t="str">
        <f>IFERROR(VLOOKUP(ROWS($N$2:N3867),$D$2:$E$1996,2,0),"")</f>
        <v/>
      </c>
    </row>
    <row r="3868" spans="2:14">
      <c r="B3868" s="32">
        <f>IF(ISNUMBER(SEARCH('Φόρμα Εισαγωγής'!$B$2,C3868)),MAX($B$1:B3867)+1,0)</f>
        <v>0</v>
      </c>
      <c r="D3868" s="33">
        <f>IF(ISNUMBER(SEARCH('Φόρμα Εισαγωγής'!$C$2,E3868)),MAX($D$1:D3867)+1,0)</f>
        <v>0</v>
      </c>
      <c r="H3868" s="6">
        <f t="shared" si="191"/>
        <v>0</v>
      </c>
      <c r="I3868" s="6">
        <f t="shared" si="192"/>
        <v>0</v>
      </c>
      <c r="J3868" s="6">
        <f t="shared" si="193"/>
        <v>0</v>
      </c>
      <c r="L3868" s="4" t="str">
        <f>IFERROR(VLOOKUP(ROWS($L$2:L3868),$B$2:$C$1996,2,0),"")</f>
        <v/>
      </c>
      <c r="N3868" s="2" t="str">
        <f>IFERROR(VLOOKUP(ROWS($N$2:N3868),$D$2:$E$1996,2,0),"")</f>
        <v/>
      </c>
    </row>
    <row r="3869" spans="2:14">
      <c r="B3869" s="32">
        <f>IF(ISNUMBER(SEARCH('Φόρμα Εισαγωγής'!$B$2,C3869)),MAX($B$1:B3868)+1,0)</f>
        <v>0</v>
      </c>
      <c r="D3869" s="33">
        <f>IF(ISNUMBER(SEARCH('Φόρμα Εισαγωγής'!$C$2,E3869)),MAX($D$1:D3868)+1,0)</f>
        <v>0</v>
      </c>
      <c r="H3869" s="6">
        <f t="shared" si="191"/>
        <v>0</v>
      </c>
      <c r="I3869" s="6">
        <f t="shared" si="192"/>
        <v>0</v>
      </c>
      <c r="J3869" s="6">
        <f t="shared" si="193"/>
        <v>0</v>
      </c>
      <c r="L3869" s="4" t="str">
        <f>IFERROR(VLOOKUP(ROWS($L$2:L3869),$B$2:$C$1996,2,0),"")</f>
        <v/>
      </c>
      <c r="N3869" s="2" t="str">
        <f>IFERROR(VLOOKUP(ROWS($N$2:N3869),$D$2:$E$1996,2,0),"")</f>
        <v/>
      </c>
    </row>
    <row r="3870" spans="2:14">
      <c r="B3870" s="32">
        <f>IF(ISNUMBER(SEARCH('Φόρμα Εισαγωγής'!$B$2,C3870)),MAX($B$1:B3869)+1,0)</f>
        <v>0</v>
      </c>
      <c r="D3870" s="33">
        <f>IF(ISNUMBER(SEARCH('Φόρμα Εισαγωγής'!$C$2,E3870)),MAX($D$1:D3869)+1,0)</f>
        <v>0</v>
      </c>
      <c r="H3870" s="6">
        <f t="shared" si="191"/>
        <v>0</v>
      </c>
      <c r="I3870" s="6">
        <f t="shared" si="192"/>
        <v>0</v>
      </c>
      <c r="J3870" s="6">
        <f t="shared" si="193"/>
        <v>0</v>
      </c>
      <c r="L3870" s="4" t="str">
        <f>IFERROR(VLOOKUP(ROWS($L$2:L3870),$B$2:$C$1996,2,0),"")</f>
        <v/>
      </c>
      <c r="N3870" s="2" t="str">
        <f>IFERROR(VLOOKUP(ROWS($N$2:N3870),$D$2:$E$1996,2,0),"")</f>
        <v/>
      </c>
    </row>
    <row r="3871" spans="2:14">
      <c r="B3871" s="32">
        <f>IF(ISNUMBER(SEARCH('Φόρμα Εισαγωγής'!$B$2,C3871)),MAX($B$1:B3870)+1,0)</f>
        <v>0</v>
      </c>
      <c r="D3871" s="33">
        <f>IF(ISNUMBER(SEARCH('Φόρμα Εισαγωγής'!$C$2,E3871)),MAX($D$1:D3870)+1,0)</f>
        <v>0</v>
      </c>
      <c r="H3871" s="6">
        <f t="shared" si="191"/>
        <v>0</v>
      </c>
      <c r="I3871" s="6">
        <f t="shared" si="192"/>
        <v>0</v>
      </c>
      <c r="J3871" s="6">
        <f t="shared" si="193"/>
        <v>0</v>
      </c>
      <c r="L3871" s="4" t="str">
        <f>IFERROR(VLOOKUP(ROWS($L$2:L3871),$B$2:$C$1996,2,0),"")</f>
        <v/>
      </c>
      <c r="N3871" s="2" t="str">
        <f>IFERROR(VLOOKUP(ROWS($N$2:N3871),$D$2:$E$1996,2,0),"")</f>
        <v/>
      </c>
    </row>
    <row r="3872" spans="2:14">
      <c r="B3872" s="32">
        <f>IF(ISNUMBER(SEARCH('Φόρμα Εισαγωγής'!$B$2,C3872)),MAX($B$1:B3871)+1,0)</f>
        <v>0</v>
      </c>
      <c r="D3872" s="33">
        <f>IF(ISNUMBER(SEARCH('Φόρμα Εισαγωγής'!$C$2,E3872)),MAX($D$1:D3871)+1,0)</f>
        <v>0</v>
      </c>
      <c r="H3872" s="6">
        <f t="shared" si="191"/>
        <v>0</v>
      </c>
      <c r="I3872" s="6">
        <f t="shared" si="192"/>
        <v>0</v>
      </c>
      <c r="J3872" s="6">
        <f t="shared" si="193"/>
        <v>0</v>
      </c>
      <c r="L3872" s="4" t="str">
        <f>IFERROR(VLOOKUP(ROWS($L$2:L3872),$B$2:$C$1996,2,0),"")</f>
        <v/>
      </c>
      <c r="N3872" s="2" t="str">
        <f>IFERROR(VLOOKUP(ROWS($N$2:N3872),$D$2:$E$1996,2,0),"")</f>
        <v/>
      </c>
    </row>
    <row r="3873" spans="2:14">
      <c r="B3873" s="32">
        <f>IF(ISNUMBER(SEARCH('Φόρμα Εισαγωγής'!$B$2,C3873)),MAX($B$1:B3872)+1,0)</f>
        <v>0</v>
      </c>
      <c r="D3873" s="33">
        <f>IF(ISNUMBER(SEARCH('Φόρμα Εισαγωγής'!$C$2,E3873)),MAX($D$1:D3872)+1,0)</f>
        <v>0</v>
      </c>
      <c r="H3873" s="6">
        <f t="shared" si="191"/>
        <v>0</v>
      </c>
      <c r="I3873" s="6">
        <f t="shared" si="192"/>
        <v>0</v>
      </c>
      <c r="J3873" s="6">
        <f t="shared" si="193"/>
        <v>0</v>
      </c>
      <c r="L3873" s="4" t="str">
        <f>IFERROR(VLOOKUP(ROWS($L$2:L3873),$B$2:$C$1996,2,0),"")</f>
        <v/>
      </c>
      <c r="N3873" s="2" t="str">
        <f>IFERROR(VLOOKUP(ROWS($N$2:N3873),$D$2:$E$1996,2,0),"")</f>
        <v/>
      </c>
    </row>
    <row r="3874" spans="2:14">
      <c r="B3874" s="32">
        <f>IF(ISNUMBER(SEARCH('Φόρμα Εισαγωγής'!$B$2,C3874)),MAX($B$1:B3873)+1,0)</f>
        <v>0</v>
      </c>
      <c r="D3874" s="33">
        <f>IF(ISNUMBER(SEARCH('Φόρμα Εισαγωγής'!$C$2,E3874)),MAX($D$1:D3873)+1,0)</f>
        <v>0</v>
      </c>
      <c r="H3874" s="6">
        <f t="shared" si="191"/>
        <v>0</v>
      </c>
      <c r="I3874" s="6">
        <f t="shared" si="192"/>
        <v>0</v>
      </c>
      <c r="J3874" s="6">
        <f t="shared" si="193"/>
        <v>0</v>
      </c>
      <c r="L3874" s="4" t="str">
        <f>IFERROR(VLOOKUP(ROWS($L$2:L3874),$B$2:$C$1996,2,0),"")</f>
        <v/>
      </c>
      <c r="N3874" s="2" t="str">
        <f>IFERROR(VLOOKUP(ROWS($N$2:N3874),$D$2:$E$1996,2,0),"")</f>
        <v/>
      </c>
    </row>
    <row r="3875" spans="2:14">
      <c r="B3875" s="32">
        <f>IF(ISNUMBER(SEARCH('Φόρμα Εισαγωγής'!$B$2,C3875)),MAX($B$1:B3874)+1,0)</f>
        <v>0</v>
      </c>
      <c r="D3875" s="33">
        <f>IF(ISNUMBER(SEARCH('Φόρμα Εισαγωγής'!$C$2,E3875)),MAX($D$1:D3874)+1,0)</f>
        <v>0</v>
      </c>
      <c r="H3875" s="6">
        <f t="shared" si="191"/>
        <v>0</v>
      </c>
      <c r="I3875" s="6">
        <f t="shared" si="192"/>
        <v>0</v>
      </c>
      <c r="J3875" s="6">
        <f t="shared" si="193"/>
        <v>0</v>
      </c>
      <c r="L3875" s="4" t="str">
        <f>IFERROR(VLOOKUP(ROWS($L$2:L3875),$B$2:$C$1996,2,0),"")</f>
        <v/>
      </c>
      <c r="N3875" s="2" t="str">
        <f>IFERROR(VLOOKUP(ROWS($N$2:N3875),$D$2:$E$1996,2,0),"")</f>
        <v/>
      </c>
    </row>
    <row r="3876" spans="2:14">
      <c r="B3876" s="32">
        <f>IF(ISNUMBER(SEARCH('Φόρμα Εισαγωγής'!$B$2,C3876)),MAX($B$1:B3875)+1,0)</f>
        <v>0</v>
      </c>
      <c r="D3876" s="33">
        <f>IF(ISNUMBER(SEARCH('Φόρμα Εισαγωγής'!$C$2,E3876)),MAX($D$1:D3875)+1,0)</f>
        <v>0</v>
      </c>
      <c r="H3876" s="6">
        <f t="shared" si="191"/>
        <v>0</v>
      </c>
      <c r="I3876" s="6">
        <f t="shared" si="192"/>
        <v>0</v>
      </c>
      <c r="J3876" s="6">
        <f t="shared" si="193"/>
        <v>0</v>
      </c>
      <c r="L3876" s="4" t="str">
        <f>IFERROR(VLOOKUP(ROWS($L$2:L3876),$B$2:$C$1996,2,0),"")</f>
        <v/>
      </c>
      <c r="N3876" s="2" t="str">
        <f>IFERROR(VLOOKUP(ROWS($N$2:N3876),$D$2:$E$1996,2,0),"")</f>
        <v/>
      </c>
    </row>
    <row r="3877" spans="2:14">
      <c r="B3877" s="32">
        <f>IF(ISNUMBER(SEARCH('Φόρμα Εισαγωγής'!$B$2,C3877)),MAX($B$1:B3876)+1,0)</f>
        <v>0</v>
      </c>
      <c r="D3877" s="33">
        <f>IF(ISNUMBER(SEARCH('Φόρμα Εισαγωγής'!$C$2,E3877)),MAX($D$1:D3876)+1,0)</f>
        <v>0</v>
      </c>
      <c r="H3877" s="6">
        <f t="shared" si="191"/>
        <v>0</v>
      </c>
      <c r="I3877" s="6">
        <f t="shared" si="192"/>
        <v>0</v>
      </c>
      <c r="J3877" s="6">
        <f t="shared" si="193"/>
        <v>0</v>
      </c>
      <c r="L3877" s="4" t="str">
        <f>IFERROR(VLOOKUP(ROWS($L$2:L3877),$B$2:$C$1996,2,0),"")</f>
        <v/>
      </c>
      <c r="N3877" s="2" t="str">
        <f>IFERROR(VLOOKUP(ROWS($N$2:N3877),$D$2:$E$1996,2,0),"")</f>
        <v/>
      </c>
    </row>
    <row r="3878" spans="2:14">
      <c r="B3878" s="32">
        <f>IF(ISNUMBER(SEARCH('Φόρμα Εισαγωγής'!$B$2,C3878)),MAX($B$1:B3877)+1,0)</f>
        <v>0</v>
      </c>
      <c r="D3878" s="33">
        <f>IF(ISNUMBER(SEARCH('Φόρμα Εισαγωγής'!$C$2,E3878)),MAX($D$1:D3877)+1,0)</f>
        <v>0</v>
      </c>
      <c r="H3878" s="6">
        <f t="shared" si="191"/>
        <v>0</v>
      </c>
      <c r="I3878" s="6">
        <f t="shared" si="192"/>
        <v>0</v>
      </c>
      <c r="J3878" s="6">
        <f t="shared" si="193"/>
        <v>0</v>
      </c>
      <c r="L3878" s="4" t="str">
        <f>IFERROR(VLOOKUP(ROWS($L$2:L3878),$B$2:$C$1996,2,0),"")</f>
        <v/>
      </c>
      <c r="N3878" s="2" t="str">
        <f>IFERROR(VLOOKUP(ROWS($N$2:N3878),$D$2:$E$1996,2,0),"")</f>
        <v/>
      </c>
    </row>
    <row r="3879" spans="2:14">
      <c r="B3879" s="32">
        <f>IF(ISNUMBER(SEARCH('Φόρμα Εισαγωγής'!$B$2,C3879)),MAX($B$1:B3878)+1,0)</f>
        <v>0</v>
      </c>
      <c r="D3879" s="33">
        <f>IF(ISNUMBER(SEARCH('Φόρμα Εισαγωγής'!$C$2,E3879)),MAX($D$1:D3878)+1,0)</f>
        <v>0</v>
      </c>
      <c r="H3879" s="6">
        <f t="shared" si="191"/>
        <v>0</v>
      </c>
      <c r="I3879" s="6">
        <f t="shared" si="192"/>
        <v>0</v>
      </c>
      <c r="J3879" s="6">
        <f t="shared" si="193"/>
        <v>0</v>
      </c>
      <c r="L3879" s="4" t="str">
        <f>IFERROR(VLOOKUP(ROWS($L$2:L3879),$B$2:$C$1996,2,0),"")</f>
        <v/>
      </c>
      <c r="N3879" s="2" t="str">
        <f>IFERROR(VLOOKUP(ROWS($N$2:N3879),$D$2:$E$1996,2,0),"")</f>
        <v/>
      </c>
    </row>
    <row r="3880" spans="2:14">
      <c r="B3880" s="32">
        <f>IF(ISNUMBER(SEARCH('Φόρμα Εισαγωγής'!$B$2,C3880)),MAX($B$1:B3879)+1,0)</f>
        <v>0</v>
      </c>
      <c r="D3880" s="33">
        <f>IF(ISNUMBER(SEARCH('Φόρμα Εισαγωγής'!$C$2,E3880)),MAX($D$1:D3879)+1,0)</f>
        <v>0</v>
      </c>
      <c r="H3880" s="6">
        <f t="shared" si="191"/>
        <v>0</v>
      </c>
      <c r="I3880" s="6">
        <f t="shared" si="192"/>
        <v>0</v>
      </c>
      <c r="J3880" s="6">
        <f t="shared" si="193"/>
        <v>0</v>
      </c>
      <c r="L3880" s="4" t="str">
        <f>IFERROR(VLOOKUP(ROWS($L$2:L3880),$B$2:$C$1996,2,0),"")</f>
        <v/>
      </c>
      <c r="N3880" s="2" t="str">
        <f>IFERROR(VLOOKUP(ROWS($N$2:N3880),$D$2:$E$1996,2,0),"")</f>
        <v/>
      </c>
    </row>
    <row r="3881" spans="2:14">
      <c r="B3881" s="32">
        <f>IF(ISNUMBER(SEARCH('Φόρμα Εισαγωγής'!$B$2,C3881)),MAX($B$1:B3880)+1,0)</f>
        <v>0</v>
      </c>
      <c r="D3881" s="33">
        <f>IF(ISNUMBER(SEARCH('Φόρμα Εισαγωγής'!$C$2,E3881)),MAX($D$1:D3880)+1,0)</f>
        <v>0</v>
      </c>
      <c r="H3881" s="6">
        <f t="shared" si="191"/>
        <v>0</v>
      </c>
      <c r="I3881" s="6">
        <f t="shared" si="192"/>
        <v>0</v>
      </c>
      <c r="J3881" s="6">
        <f t="shared" si="193"/>
        <v>0</v>
      </c>
      <c r="L3881" s="4" t="str">
        <f>IFERROR(VLOOKUP(ROWS($L$2:L3881),$B$2:$C$1996,2,0),"")</f>
        <v/>
      </c>
      <c r="N3881" s="2" t="str">
        <f>IFERROR(VLOOKUP(ROWS($N$2:N3881),$D$2:$E$1996,2,0),"")</f>
        <v/>
      </c>
    </row>
    <row r="3882" spans="2:14">
      <c r="B3882" s="32">
        <f>IF(ISNUMBER(SEARCH('Φόρμα Εισαγωγής'!$B$2,C3882)),MAX($B$1:B3881)+1,0)</f>
        <v>0</v>
      </c>
      <c r="D3882" s="33">
        <f>IF(ISNUMBER(SEARCH('Φόρμα Εισαγωγής'!$C$2,E3882)),MAX($D$1:D3881)+1,0)</f>
        <v>0</v>
      </c>
      <c r="H3882" s="6">
        <f t="shared" si="191"/>
        <v>0</v>
      </c>
      <c r="I3882" s="6">
        <f t="shared" si="192"/>
        <v>0</v>
      </c>
      <c r="J3882" s="6">
        <f t="shared" si="193"/>
        <v>0</v>
      </c>
      <c r="L3882" s="4" t="str">
        <f>IFERROR(VLOOKUP(ROWS($L$2:L3882),$B$2:$C$1996,2,0),"")</f>
        <v/>
      </c>
      <c r="N3882" s="2" t="str">
        <f>IFERROR(VLOOKUP(ROWS($N$2:N3882),$D$2:$E$1996,2,0),"")</f>
        <v/>
      </c>
    </row>
    <row r="3883" spans="2:14">
      <c r="B3883" s="32">
        <f>IF(ISNUMBER(SEARCH('Φόρμα Εισαγωγής'!$B$2,C3883)),MAX($B$1:B3882)+1,0)</f>
        <v>0</v>
      </c>
      <c r="D3883" s="33">
        <f>IF(ISNUMBER(SEARCH('Φόρμα Εισαγωγής'!$C$2,E3883)),MAX($D$1:D3882)+1,0)</f>
        <v>0</v>
      </c>
      <c r="H3883" s="6">
        <f t="shared" si="191"/>
        <v>0</v>
      </c>
      <c r="I3883" s="6">
        <f t="shared" si="192"/>
        <v>0</v>
      </c>
      <c r="J3883" s="6">
        <f t="shared" si="193"/>
        <v>0</v>
      </c>
      <c r="L3883" s="4" t="str">
        <f>IFERROR(VLOOKUP(ROWS($L$2:L3883),$B$2:$C$1996,2,0),"")</f>
        <v/>
      </c>
      <c r="N3883" s="2" t="str">
        <f>IFERROR(VLOOKUP(ROWS($N$2:N3883),$D$2:$E$1996,2,0),"")</f>
        <v/>
      </c>
    </row>
    <row r="3884" spans="2:14">
      <c r="B3884" s="32">
        <f>IF(ISNUMBER(SEARCH('Φόρμα Εισαγωγής'!$B$2,C3884)),MAX($B$1:B3883)+1,0)</f>
        <v>0</v>
      </c>
      <c r="D3884" s="33">
        <f>IF(ISNUMBER(SEARCH('Φόρμα Εισαγωγής'!$C$2,E3884)),MAX($D$1:D3883)+1,0)</f>
        <v>0</v>
      </c>
      <c r="H3884" s="6">
        <f t="shared" si="191"/>
        <v>0</v>
      </c>
      <c r="I3884" s="6">
        <f t="shared" si="192"/>
        <v>0</v>
      </c>
      <c r="J3884" s="6">
        <f t="shared" si="193"/>
        <v>0</v>
      </c>
      <c r="L3884" s="4" t="str">
        <f>IFERROR(VLOOKUP(ROWS($L$2:L3884),$B$2:$C$1996,2,0),"")</f>
        <v/>
      </c>
      <c r="N3884" s="2" t="str">
        <f>IFERROR(VLOOKUP(ROWS($N$2:N3884),$D$2:$E$1996,2,0),"")</f>
        <v/>
      </c>
    </row>
    <row r="3885" spans="2:14">
      <c r="B3885" s="32">
        <f>IF(ISNUMBER(SEARCH('Φόρμα Εισαγωγής'!$B$2,C3885)),MAX($B$1:B3884)+1,0)</f>
        <v>0</v>
      </c>
      <c r="D3885" s="33">
        <f>IF(ISNUMBER(SEARCH('Φόρμα Εισαγωγής'!$C$2,E3885)),MAX($D$1:D3884)+1,0)</f>
        <v>0</v>
      </c>
      <c r="H3885" s="6">
        <f t="shared" si="191"/>
        <v>0</v>
      </c>
      <c r="I3885" s="6">
        <f t="shared" si="192"/>
        <v>0</v>
      </c>
      <c r="J3885" s="6">
        <f t="shared" si="193"/>
        <v>0</v>
      </c>
      <c r="L3885" s="4" t="str">
        <f>IFERROR(VLOOKUP(ROWS($L$2:L3885),$B$2:$C$1996,2,0),"")</f>
        <v/>
      </c>
      <c r="N3885" s="2" t="str">
        <f>IFERROR(VLOOKUP(ROWS($N$2:N3885),$D$2:$E$1996,2,0),"")</f>
        <v/>
      </c>
    </row>
    <row r="3886" spans="2:14">
      <c r="B3886" s="32">
        <f>IF(ISNUMBER(SEARCH('Φόρμα Εισαγωγής'!$B$2,C3886)),MAX($B$1:B3885)+1,0)</f>
        <v>0</v>
      </c>
      <c r="D3886" s="33">
        <f>IF(ISNUMBER(SEARCH('Φόρμα Εισαγωγής'!$C$2,E3886)),MAX($D$1:D3885)+1,0)</f>
        <v>0</v>
      </c>
      <c r="H3886" s="6">
        <f t="shared" si="191"/>
        <v>0</v>
      </c>
      <c r="I3886" s="6">
        <f t="shared" si="192"/>
        <v>0</v>
      </c>
      <c r="J3886" s="6">
        <f t="shared" si="193"/>
        <v>0</v>
      </c>
      <c r="L3886" s="4" t="str">
        <f>IFERROR(VLOOKUP(ROWS($L$2:L3886),$B$2:$C$1996,2,0),"")</f>
        <v/>
      </c>
      <c r="N3886" s="2" t="str">
        <f>IFERROR(VLOOKUP(ROWS($N$2:N3886),$D$2:$E$1996,2,0),"")</f>
        <v/>
      </c>
    </row>
    <row r="3887" spans="2:14">
      <c r="B3887" s="32">
        <f>IF(ISNUMBER(SEARCH('Φόρμα Εισαγωγής'!$B$2,C3887)),MAX($B$1:B3886)+1,0)</f>
        <v>0</v>
      </c>
      <c r="D3887" s="33">
        <f>IF(ISNUMBER(SEARCH('Φόρμα Εισαγωγής'!$C$2,E3887)),MAX($D$1:D3886)+1,0)</f>
        <v>0</v>
      </c>
      <c r="H3887" s="6">
        <f t="shared" si="191"/>
        <v>0</v>
      </c>
      <c r="I3887" s="6">
        <f t="shared" si="192"/>
        <v>0</v>
      </c>
      <c r="J3887" s="6">
        <f t="shared" si="193"/>
        <v>0</v>
      </c>
      <c r="L3887" s="4" t="str">
        <f>IFERROR(VLOOKUP(ROWS($L$2:L3887),$B$2:$C$1996,2,0),"")</f>
        <v/>
      </c>
      <c r="N3887" s="2" t="str">
        <f>IFERROR(VLOOKUP(ROWS($N$2:N3887),$D$2:$E$1996,2,0),"")</f>
        <v/>
      </c>
    </row>
    <row r="3888" spans="2:14">
      <c r="B3888" s="32">
        <f>IF(ISNUMBER(SEARCH('Φόρμα Εισαγωγής'!$B$2,C3888)),MAX($B$1:B3887)+1,0)</f>
        <v>0</v>
      </c>
      <c r="D3888" s="33">
        <f>IF(ISNUMBER(SEARCH('Φόρμα Εισαγωγής'!$C$2,E3888)),MAX($D$1:D3887)+1,0)</f>
        <v>0</v>
      </c>
      <c r="H3888" s="6">
        <f t="shared" si="191"/>
        <v>0</v>
      </c>
      <c r="I3888" s="6">
        <f t="shared" si="192"/>
        <v>0</v>
      </c>
      <c r="J3888" s="6">
        <f t="shared" si="193"/>
        <v>0</v>
      </c>
      <c r="L3888" s="4" t="str">
        <f>IFERROR(VLOOKUP(ROWS($L$2:L3888),$B$2:$C$1996,2,0),"")</f>
        <v/>
      </c>
      <c r="N3888" s="2" t="str">
        <f>IFERROR(VLOOKUP(ROWS($N$2:N3888),$D$2:$E$1996,2,0),"")</f>
        <v/>
      </c>
    </row>
    <row r="3889" spans="2:14">
      <c r="B3889" s="32">
        <f>IF(ISNUMBER(SEARCH('Φόρμα Εισαγωγής'!$B$2,C3889)),MAX($B$1:B3888)+1,0)</f>
        <v>0</v>
      </c>
      <c r="D3889" s="33">
        <f>IF(ISNUMBER(SEARCH('Φόρμα Εισαγωγής'!$C$2,E3889)),MAX($D$1:D3888)+1,0)</f>
        <v>0</v>
      </c>
      <c r="H3889" s="6">
        <f t="shared" si="191"/>
        <v>0</v>
      </c>
      <c r="I3889" s="6">
        <f t="shared" si="192"/>
        <v>0</v>
      </c>
      <c r="J3889" s="6">
        <f t="shared" si="193"/>
        <v>0</v>
      </c>
      <c r="L3889" s="4" t="str">
        <f>IFERROR(VLOOKUP(ROWS($L$2:L3889),$B$2:$C$1996,2,0),"")</f>
        <v/>
      </c>
      <c r="N3889" s="2" t="str">
        <f>IFERROR(VLOOKUP(ROWS($N$2:N3889),$D$2:$E$1996,2,0),"")</f>
        <v/>
      </c>
    </row>
    <row r="3890" spans="2:14">
      <c r="B3890" s="32">
        <f>IF(ISNUMBER(SEARCH('Φόρμα Εισαγωγής'!$B$2,C3890)),MAX($B$1:B3889)+1,0)</f>
        <v>0</v>
      </c>
      <c r="D3890" s="33">
        <f>IF(ISNUMBER(SEARCH('Φόρμα Εισαγωγής'!$C$2,E3890)),MAX($D$1:D3889)+1,0)</f>
        <v>0</v>
      </c>
      <c r="H3890" s="6">
        <f t="shared" si="191"/>
        <v>0</v>
      </c>
      <c r="I3890" s="6">
        <f t="shared" si="192"/>
        <v>0</v>
      </c>
      <c r="J3890" s="6">
        <f t="shared" si="193"/>
        <v>0</v>
      </c>
      <c r="L3890" s="4" t="str">
        <f>IFERROR(VLOOKUP(ROWS($L$2:L3890),$B$2:$C$1996,2,0),"")</f>
        <v/>
      </c>
      <c r="N3890" s="2" t="str">
        <f>IFERROR(VLOOKUP(ROWS($N$2:N3890),$D$2:$E$1996,2,0),"")</f>
        <v/>
      </c>
    </row>
    <row r="3891" spans="2:14">
      <c r="B3891" s="32">
        <f>IF(ISNUMBER(SEARCH('Φόρμα Εισαγωγής'!$B$2,C3891)),MAX($B$1:B3890)+1,0)</f>
        <v>0</v>
      </c>
      <c r="D3891" s="33">
        <f>IF(ISNUMBER(SEARCH('Φόρμα Εισαγωγής'!$C$2,E3891)),MAX($D$1:D3890)+1,0)</f>
        <v>0</v>
      </c>
      <c r="H3891" s="6">
        <f t="shared" si="191"/>
        <v>0</v>
      </c>
      <c r="I3891" s="6">
        <f t="shared" si="192"/>
        <v>0</v>
      </c>
      <c r="J3891" s="6">
        <f t="shared" si="193"/>
        <v>0</v>
      </c>
      <c r="L3891" s="4" t="str">
        <f>IFERROR(VLOOKUP(ROWS($L$2:L3891),$B$2:$C$1996,2,0),"")</f>
        <v/>
      </c>
      <c r="N3891" s="2" t="str">
        <f>IFERROR(VLOOKUP(ROWS($N$2:N3891),$D$2:$E$1996,2,0),"")</f>
        <v/>
      </c>
    </row>
    <row r="3892" spans="2:14">
      <c r="B3892" s="32">
        <f>IF(ISNUMBER(SEARCH('Φόρμα Εισαγωγής'!$B$2,C3892)),MAX($B$1:B3891)+1,0)</f>
        <v>0</v>
      </c>
      <c r="D3892" s="33">
        <f>IF(ISNUMBER(SEARCH('Φόρμα Εισαγωγής'!$C$2,E3892)),MAX($D$1:D3891)+1,0)</f>
        <v>0</v>
      </c>
      <c r="H3892" s="6">
        <f t="shared" si="191"/>
        <v>0</v>
      </c>
      <c r="I3892" s="6">
        <f t="shared" si="192"/>
        <v>0</v>
      </c>
      <c r="J3892" s="6">
        <f t="shared" si="193"/>
        <v>0</v>
      </c>
      <c r="L3892" s="4" t="str">
        <f>IFERROR(VLOOKUP(ROWS($L$2:L3892),$B$2:$C$1996,2,0),"")</f>
        <v/>
      </c>
      <c r="N3892" s="2" t="str">
        <f>IFERROR(VLOOKUP(ROWS($N$2:N3892),$D$2:$E$1996,2,0),"")</f>
        <v/>
      </c>
    </row>
    <row r="3893" spans="2:14">
      <c r="B3893" s="32">
        <f>IF(ISNUMBER(SEARCH('Φόρμα Εισαγωγής'!$B$2,C3893)),MAX($B$1:B3892)+1,0)</f>
        <v>0</v>
      </c>
      <c r="D3893" s="33">
        <f>IF(ISNUMBER(SEARCH('Φόρμα Εισαγωγής'!$C$2,E3893)),MAX($D$1:D3892)+1,0)</f>
        <v>0</v>
      </c>
      <c r="H3893" s="6">
        <f t="shared" si="191"/>
        <v>0</v>
      </c>
      <c r="I3893" s="6">
        <f t="shared" si="192"/>
        <v>0</v>
      </c>
      <c r="J3893" s="6">
        <f t="shared" si="193"/>
        <v>0</v>
      </c>
      <c r="L3893" s="4" t="str">
        <f>IFERROR(VLOOKUP(ROWS($L$2:L3893),$B$2:$C$1996,2,0),"")</f>
        <v/>
      </c>
      <c r="N3893" s="2" t="str">
        <f>IFERROR(VLOOKUP(ROWS($N$2:N3893),$D$2:$E$1996,2,0),"")</f>
        <v/>
      </c>
    </row>
    <row r="3894" spans="2:14">
      <c r="B3894" s="32">
        <f>IF(ISNUMBER(SEARCH('Φόρμα Εισαγωγής'!$B$2,C3894)),MAX($B$1:B3893)+1,0)</f>
        <v>0</v>
      </c>
      <c r="D3894" s="33">
        <f>IF(ISNUMBER(SEARCH('Φόρμα Εισαγωγής'!$C$2,E3894)),MAX($D$1:D3893)+1,0)</f>
        <v>0</v>
      </c>
      <c r="H3894" s="6">
        <f t="shared" si="191"/>
        <v>0</v>
      </c>
      <c r="I3894" s="6">
        <f t="shared" si="192"/>
        <v>0</v>
      </c>
      <c r="J3894" s="6">
        <f t="shared" si="193"/>
        <v>0</v>
      </c>
      <c r="L3894" s="4" t="str">
        <f>IFERROR(VLOOKUP(ROWS($L$2:L3894),$B$2:$C$1996,2,0),"")</f>
        <v/>
      </c>
      <c r="N3894" s="2" t="str">
        <f>IFERROR(VLOOKUP(ROWS($N$2:N3894),$D$2:$E$1996,2,0),"")</f>
        <v/>
      </c>
    </row>
    <row r="3895" spans="2:14">
      <c r="B3895" s="32">
        <f>IF(ISNUMBER(SEARCH('Φόρμα Εισαγωγής'!$B$2,C3895)),MAX($B$1:B3894)+1,0)</f>
        <v>0</v>
      </c>
      <c r="D3895" s="33">
        <f>IF(ISNUMBER(SEARCH('Φόρμα Εισαγωγής'!$C$2,E3895)),MAX($D$1:D3894)+1,0)</f>
        <v>0</v>
      </c>
      <c r="H3895" s="6">
        <f t="shared" si="191"/>
        <v>0</v>
      </c>
      <c r="I3895" s="6">
        <f t="shared" si="192"/>
        <v>0</v>
      </c>
      <c r="J3895" s="6">
        <f t="shared" si="193"/>
        <v>0</v>
      </c>
      <c r="L3895" s="4" t="str">
        <f>IFERROR(VLOOKUP(ROWS($L$2:L3895),$B$2:$C$1996,2,0),"")</f>
        <v/>
      </c>
      <c r="N3895" s="2" t="str">
        <f>IFERROR(VLOOKUP(ROWS($N$2:N3895),$D$2:$E$1996,2,0),"")</f>
        <v/>
      </c>
    </row>
    <row r="3896" spans="2:14">
      <c r="B3896" s="32">
        <f>IF(ISNUMBER(SEARCH('Φόρμα Εισαγωγής'!$B$2,C3896)),MAX($B$1:B3895)+1,0)</f>
        <v>0</v>
      </c>
      <c r="D3896" s="33">
        <f>IF(ISNUMBER(SEARCH('Φόρμα Εισαγωγής'!$C$2,E3896)),MAX($D$1:D3895)+1,0)</f>
        <v>0</v>
      </c>
      <c r="H3896" s="6">
        <f t="shared" si="191"/>
        <v>0</v>
      </c>
      <c r="I3896" s="6">
        <f t="shared" si="192"/>
        <v>0</v>
      </c>
      <c r="J3896" s="6">
        <f t="shared" si="193"/>
        <v>0</v>
      </c>
      <c r="L3896" s="4" t="str">
        <f>IFERROR(VLOOKUP(ROWS($L$2:L3896),$B$2:$C$1996,2,0),"")</f>
        <v/>
      </c>
      <c r="N3896" s="2" t="str">
        <f>IFERROR(VLOOKUP(ROWS($N$2:N3896),$D$2:$E$1996,2,0),"")</f>
        <v/>
      </c>
    </row>
    <row r="3897" spans="2:14">
      <c r="B3897" s="32">
        <f>IF(ISNUMBER(SEARCH('Φόρμα Εισαγωγής'!$B$2,C3897)),MAX($B$1:B3896)+1,0)</f>
        <v>0</v>
      </c>
      <c r="D3897" s="33">
        <f>IF(ISNUMBER(SEARCH('Φόρμα Εισαγωγής'!$C$2,E3897)),MAX($D$1:D3896)+1,0)</f>
        <v>0</v>
      </c>
      <c r="H3897" s="6">
        <f t="shared" si="191"/>
        <v>0</v>
      </c>
      <c r="I3897" s="6">
        <f t="shared" si="192"/>
        <v>0</v>
      </c>
      <c r="J3897" s="6">
        <f t="shared" si="193"/>
        <v>0</v>
      </c>
      <c r="L3897" s="4" t="str">
        <f>IFERROR(VLOOKUP(ROWS($L$2:L3897),$B$2:$C$1996,2,0),"")</f>
        <v/>
      </c>
      <c r="N3897" s="2" t="str">
        <f>IFERROR(VLOOKUP(ROWS($N$2:N3897),$D$2:$E$1996,2,0),"")</f>
        <v/>
      </c>
    </row>
    <row r="3898" spans="2:14">
      <c r="B3898" s="32">
        <f>IF(ISNUMBER(SEARCH('Φόρμα Εισαγωγής'!$B$2,C3898)),MAX($B$1:B3897)+1,0)</f>
        <v>0</v>
      </c>
      <c r="D3898" s="33">
        <f>IF(ISNUMBER(SEARCH('Φόρμα Εισαγωγής'!$C$2,E3898)),MAX($D$1:D3897)+1,0)</f>
        <v>0</v>
      </c>
      <c r="H3898" s="6">
        <f t="shared" si="191"/>
        <v>0</v>
      </c>
      <c r="I3898" s="6">
        <f t="shared" si="192"/>
        <v>0</v>
      </c>
      <c r="J3898" s="6">
        <f t="shared" si="193"/>
        <v>0</v>
      </c>
      <c r="L3898" s="4" t="str">
        <f>IFERROR(VLOOKUP(ROWS($L$2:L3898),$B$2:$C$1996,2,0),"")</f>
        <v/>
      </c>
      <c r="N3898" s="2" t="str">
        <f>IFERROR(VLOOKUP(ROWS($N$2:N3898),$D$2:$E$1996,2,0),"")</f>
        <v/>
      </c>
    </row>
    <row r="3899" spans="2:14">
      <c r="B3899" s="32">
        <f>IF(ISNUMBER(SEARCH('Φόρμα Εισαγωγής'!$B$2,C3899)),MAX($B$1:B3898)+1,0)</f>
        <v>0</v>
      </c>
      <c r="D3899" s="33">
        <f>IF(ISNUMBER(SEARCH('Φόρμα Εισαγωγής'!$C$2,E3899)),MAX($D$1:D3898)+1,0)</f>
        <v>0</v>
      </c>
      <c r="H3899" s="6">
        <f t="shared" si="191"/>
        <v>0</v>
      </c>
      <c r="I3899" s="6">
        <f t="shared" si="192"/>
        <v>0</v>
      </c>
      <c r="J3899" s="6">
        <f t="shared" si="193"/>
        <v>0</v>
      </c>
      <c r="L3899" s="4" t="str">
        <f>IFERROR(VLOOKUP(ROWS($L$2:L3899),$B$2:$C$1996,2,0),"")</f>
        <v/>
      </c>
      <c r="N3899" s="2" t="str">
        <f>IFERROR(VLOOKUP(ROWS($N$2:N3899),$D$2:$E$1996,2,0),"")</f>
        <v/>
      </c>
    </row>
    <row r="3900" spans="2:14">
      <c r="B3900" s="32">
        <f>IF(ISNUMBER(SEARCH('Φόρμα Εισαγωγής'!$B$2,C3900)),MAX($B$1:B3899)+1,0)</f>
        <v>0</v>
      </c>
      <c r="D3900" s="33">
        <f>IF(ISNUMBER(SEARCH('Φόρμα Εισαγωγής'!$C$2,E3900)),MAX($D$1:D3899)+1,0)</f>
        <v>0</v>
      </c>
      <c r="H3900" s="6">
        <f t="shared" si="191"/>
        <v>0</v>
      </c>
      <c r="I3900" s="6">
        <f t="shared" si="192"/>
        <v>0</v>
      </c>
      <c r="J3900" s="6">
        <f t="shared" si="193"/>
        <v>0</v>
      </c>
      <c r="L3900" s="4" t="str">
        <f>IFERROR(VLOOKUP(ROWS($L$2:L3900),$B$2:$C$1996,2,0),"")</f>
        <v/>
      </c>
      <c r="N3900" s="2" t="str">
        <f>IFERROR(VLOOKUP(ROWS($N$2:N3900),$D$2:$E$1996,2,0),"")</f>
        <v/>
      </c>
    </row>
    <row r="3901" spans="2:14">
      <c r="B3901" s="32">
        <f>IF(ISNUMBER(SEARCH('Φόρμα Εισαγωγής'!$B$2,C3901)),MAX($B$1:B3900)+1,0)</f>
        <v>0</v>
      </c>
      <c r="D3901" s="33">
        <f>IF(ISNUMBER(SEARCH('Φόρμα Εισαγωγής'!$C$2,E3901)),MAX($D$1:D3900)+1,0)</f>
        <v>0</v>
      </c>
      <c r="H3901" s="6">
        <f t="shared" si="191"/>
        <v>0</v>
      </c>
      <c r="I3901" s="6">
        <f t="shared" si="192"/>
        <v>0</v>
      </c>
      <c r="J3901" s="6">
        <f t="shared" si="193"/>
        <v>0</v>
      </c>
      <c r="L3901" s="4" t="str">
        <f>IFERROR(VLOOKUP(ROWS($L$2:L3901),$B$2:$C$1996,2,0),"")</f>
        <v/>
      </c>
      <c r="N3901" s="2" t="str">
        <f>IFERROR(VLOOKUP(ROWS($N$2:N3901),$D$2:$E$1996,2,0),"")</f>
        <v/>
      </c>
    </row>
    <row r="3902" spans="2:14">
      <c r="B3902" s="32">
        <f>IF(ISNUMBER(SEARCH('Φόρμα Εισαγωγής'!$B$2,C3902)),MAX($B$1:B3901)+1,0)</f>
        <v>0</v>
      </c>
      <c r="D3902" s="33">
        <f>IF(ISNUMBER(SEARCH('Φόρμα Εισαγωγής'!$C$2,E3902)),MAX($D$1:D3901)+1,0)</f>
        <v>0</v>
      </c>
      <c r="H3902" s="6">
        <f t="shared" si="191"/>
        <v>0</v>
      </c>
      <c r="I3902" s="6">
        <f t="shared" si="192"/>
        <v>0</v>
      </c>
      <c r="J3902" s="6">
        <f t="shared" si="193"/>
        <v>0</v>
      </c>
      <c r="L3902" s="4" t="str">
        <f>IFERROR(VLOOKUP(ROWS($L$2:L3902),$B$2:$C$1996,2,0),"")</f>
        <v/>
      </c>
      <c r="N3902" s="2" t="str">
        <f>IFERROR(VLOOKUP(ROWS($N$2:N3902),$D$2:$E$1996,2,0),"")</f>
        <v/>
      </c>
    </row>
    <row r="3903" spans="2:14">
      <c r="B3903" s="32">
        <f>IF(ISNUMBER(SEARCH('Φόρμα Εισαγωγής'!$B$2,C3903)),MAX($B$1:B3902)+1,0)</f>
        <v>0</v>
      </c>
      <c r="D3903" s="33">
        <f>IF(ISNUMBER(SEARCH('Φόρμα Εισαγωγής'!$C$2,E3903)),MAX($D$1:D3902)+1,0)</f>
        <v>0</v>
      </c>
      <c r="H3903" s="6">
        <f t="shared" si="191"/>
        <v>0</v>
      </c>
      <c r="I3903" s="6">
        <f t="shared" si="192"/>
        <v>0</v>
      </c>
      <c r="J3903" s="6">
        <f t="shared" si="193"/>
        <v>0</v>
      </c>
      <c r="L3903" s="4" t="str">
        <f>IFERROR(VLOOKUP(ROWS($L$2:L3903),$B$2:$C$1996,2,0),"")</f>
        <v/>
      </c>
      <c r="N3903" s="2" t="str">
        <f>IFERROR(VLOOKUP(ROWS($N$2:N3903),$D$2:$E$1996,2,0),"")</f>
        <v/>
      </c>
    </row>
    <row r="3904" spans="2:14">
      <c r="B3904" s="32">
        <f>IF(ISNUMBER(SEARCH('Φόρμα Εισαγωγής'!$B$2,C3904)),MAX($B$1:B3903)+1,0)</f>
        <v>0</v>
      </c>
      <c r="D3904" s="33">
        <f>IF(ISNUMBER(SEARCH('Φόρμα Εισαγωγής'!$C$2,E3904)),MAX($D$1:D3903)+1,0)</f>
        <v>0</v>
      </c>
      <c r="H3904" s="6">
        <f t="shared" ref="H3904:H3967" si="194">G3904+(G3904*0.24)</f>
        <v>0</v>
      </c>
      <c r="I3904" s="6">
        <f t="shared" ref="I3904:I3967" si="195">F3904*A3904</f>
        <v>0</v>
      </c>
      <c r="J3904" s="6">
        <f t="shared" ref="J3904:J3967" si="196">H3904*A3904</f>
        <v>0</v>
      </c>
      <c r="L3904" s="4" t="str">
        <f>IFERROR(VLOOKUP(ROWS($L$2:L3904),$B$2:$C$1996,2,0),"")</f>
        <v/>
      </c>
      <c r="N3904" s="2" t="str">
        <f>IFERROR(VLOOKUP(ROWS($N$2:N3904),$D$2:$E$1996,2,0),"")</f>
        <v/>
      </c>
    </row>
    <row r="3905" spans="2:14">
      <c r="B3905" s="32">
        <f>IF(ISNUMBER(SEARCH('Φόρμα Εισαγωγής'!$B$2,C3905)),MAX($B$1:B3904)+1,0)</f>
        <v>0</v>
      </c>
      <c r="D3905" s="33">
        <f>IF(ISNUMBER(SEARCH('Φόρμα Εισαγωγής'!$C$2,E3905)),MAX($D$1:D3904)+1,0)</f>
        <v>0</v>
      </c>
      <c r="H3905" s="6">
        <f t="shared" si="194"/>
        <v>0</v>
      </c>
      <c r="I3905" s="6">
        <f t="shared" si="195"/>
        <v>0</v>
      </c>
      <c r="J3905" s="6">
        <f t="shared" si="196"/>
        <v>0</v>
      </c>
      <c r="L3905" s="4" t="str">
        <f>IFERROR(VLOOKUP(ROWS($L$2:L3905),$B$2:$C$1996,2,0),"")</f>
        <v/>
      </c>
      <c r="N3905" s="2" t="str">
        <f>IFERROR(VLOOKUP(ROWS($N$2:N3905),$D$2:$E$1996,2,0),"")</f>
        <v/>
      </c>
    </row>
    <row r="3906" spans="2:14">
      <c r="B3906" s="32">
        <f>IF(ISNUMBER(SEARCH('Φόρμα Εισαγωγής'!$B$2,C3906)),MAX($B$1:B3905)+1,0)</f>
        <v>0</v>
      </c>
      <c r="D3906" s="33">
        <f>IF(ISNUMBER(SEARCH('Φόρμα Εισαγωγής'!$C$2,E3906)),MAX($D$1:D3905)+1,0)</f>
        <v>0</v>
      </c>
      <c r="H3906" s="6">
        <f t="shared" si="194"/>
        <v>0</v>
      </c>
      <c r="I3906" s="6">
        <f t="shared" si="195"/>
        <v>0</v>
      </c>
      <c r="J3906" s="6">
        <f t="shared" si="196"/>
        <v>0</v>
      </c>
      <c r="L3906" s="4" t="str">
        <f>IFERROR(VLOOKUP(ROWS($L$2:L3906),$B$2:$C$1996,2,0),"")</f>
        <v/>
      </c>
      <c r="N3906" s="2" t="str">
        <f>IFERROR(VLOOKUP(ROWS($N$2:N3906),$D$2:$E$1996,2,0),"")</f>
        <v/>
      </c>
    </row>
    <row r="3907" spans="2:14">
      <c r="B3907" s="32">
        <f>IF(ISNUMBER(SEARCH('Φόρμα Εισαγωγής'!$B$2,C3907)),MAX($B$1:B3906)+1,0)</f>
        <v>0</v>
      </c>
      <c r="D3907" s="33">
        <f>IF(ISNUMBER(SEARCH('Φόρμα Εισαγωγής'!$C$2,E3907)),MAX($D$1:D3906)+1,0)</f>
        <v>0</v>
      </c>
      <c r="H3907" s="6">
        <f t="shared" si="194"/>
        <v>0</v>
      </c>
      <c r="I3907" s="6">
        <f t="shared" si="195"/>
        <v>0</v>
      </c>
      <c r="J3907" s="6">
        <f t="shared" si="196"/>
        <v>0</v>
      </c>
      <c r="L3907" s="4" t="str">
        <f>IFERROR(VLOOKUP(ROWS($L$2:L3907),$B$2:$C$1996,2,0),"")</f>
        <v/>
      </c>
      <c r="N3907" s="2" t="str">
        <f>IFERROR(VLOOKUP(ROWS($N$2:N3907),$D$2:$E$1996,2,0),"")</f>
        <v/>
      </c>
    </row>
    <row r="3908" spans="2:14">
      <c r="B3908" s="32">
        <f>IF(ISNUMBER(SEARCH('Φόρμα Εισαγωγής'!$B$2,C3908)),MAX($B$1:B3907)+1,0)</f>
        <v>0</v>
      </c>
      <c r="D3908" s="33">
        <f>IF(ISNUMBER(SEARCH('Φόρμα Εισαγωγής'!$C$2,E3908)),MAX($D$1:D3907)+1,0)</f>
        <v>0</v>
      </c>
      <c r="H3908" s="6">
        <f t="shared" si="194"/>
        <v>0</v>
      </c>
      <c r="I3908" s="6">
        <f t="shared" si="195"/>
        <v>0</v>
      </c>
      <c r="J3908" s="6">
        <f t="shared" si="196"/>
        <v>0</v>
      </c>
      <c r="L3908" s="4" t="str">
        <f>IFERROR(VLOOKUP(ROWS($L$2:L3908),$B$2:$C$1996,2,0),"")</f>
        <v/>
      </c>
      <c r="N3908" s="2" t="str">
        <f>IFERROR(VLOOKUP(ROWS($N$2:N3908),$D$2:$E$1996,2,0),"")</f>
        <v/>
      </c>
    </row>
    <row r="3909" spans="2:14">
      <c r="B3909" s="32">
        <f>IF(ISNUMBER(SEARCH('Φόρμα Εισαγωγής'!$B$2,C3909)),MAX($B$1:B3908)+1,0)</f>
        <v>0</v>
      </c>
      <c r="D3909" s="33">
        <f>IF(ISNUMBER(SEARCH('Φόρμα Εισαγωγής'!$C$2,E3909)),MAX($D$1:D3908)+1,0)</f>
        <v>0</v>
      </c>
      <c r="H3909" s="6">
        <f t="shared" si="194"/>
        <v>0</v>
      </c>
      <c r="I3909" s="6">
        <f t="shared" si="195"/>
        <v>0</v>
      </c>
      <c r="J3909" s="6">
        <f t="shared" si="196"/>
        <v>0</v>
      </c>
      <c r="L3909" s="4" t="str">
        <f>IFERROR(VLOOKUP(ROWS($L$2:L3909),$B$2:$C$1996,2,0),"")</f>
        <v/>
      </c>
      <c r="N3909" s="2" t="str">
        <f>IFERROR(VLOOKUP(ROWS($N$2:N3909),$D$2:$E$1996,2,0),"")</f>
        <v/>
      </c>
    </row>
    <row r="3910" spans="2:14">
      <c r="B3910" s="32">
        <f>IF(ISNUMBER(SEARCH('Φόρμα Εισαγωγής'!$B$2,C3910)),MAX($B$1:B3909)+1,0)</f>
        <v>0</v>
      </c>
      <c r="D3910" s="33">
        <f>IF(ISNUMBER(SEARCH('Φόρμα Εισαγωγής'!$C$2,E3910)),MAX($D$1:D3909)+1,0)</f>
        <v>0</v>
      </c>
      <c r="H3910" s="6">
        <f t="shared" si="194"/>
        <v>0</v>
      </c>
      <c r="I3910" s="6">
        <f t="shared" si="195"/>
        <v>0</v>
      </c>
      <c r="J3910" s="6">
        <f t="shared" si="196"/>
        <v>0</v>
      </c>
      <c r="L3910" s="4" t="str">
        <f>IFERROR(VLOOKUP(ROWS($L$2:L3910),$B$2:$C$1996,2,0),"")</f>
        <v/>
      </c>
      <c r="N3910" s="2" t="str">
        <f>IFERROR(VLOOKUP(ROWS($N$2:N3910),$D$2:$E$1996,2,0),"")</f>
        <v/>
      </c>
    </row>
    <row r="3911" spans="2:14">
      <c r="B3911" s="32">
        <f>IF(ISNUMBER(SEARCH('Φόρμα Εισαγωγής'!$B$2,C3911)),MAX($B$1:B3910)+1,0)</f>
        <v>0</v>
      </c>
      <c r="D3911" s="33">
        <f>IF(ISNUMBER(SEARCH('Φόρμα Εισαγωγής'!$C$2,E3911)),MAX($D$1:D3910)+1,0)</f>
        <v>0</v>
      </c>
      <c r="H3911" s="6">
        <f t="shared" si="194"/>
        <v>0</v>
      </c>
      <c r="I3911" s="6">
        <f t="shared" si="195"/>
        <v>0</v>
      </c>
      <c r="J3911" s="6">
        <f t="shared" si="196"/>
        <v>0</v>
      </c>
      <c r="L3911" s="4" t="str">
        <f>IFERROR(VLOOKUP(ROWS($L$2:L3911),$B$2:$C$1996,2,0),"")</f>
        <v/>
      </c>
      <c r="N3911" s="2" t="str">
        <f>IFERROR(VLOOKUP(ROWS($N$2:N3911),$D$2:$E$1996,2,0),"")</f>
        <v/>
      </c>
    </row>
    <row r="3912" spans="2:14">
      <c r="B3912" s="32">
        <f>IF(ISNUMBER(SEARCH('Φόρμα Εισαγωγής'!$B$2,C3912)),MAX($B$1:B3911)+1,0)</f>
        <v>0</v>
      </c>
      <c r="D3912" s="33">
        <f>IF(ISNUMBER(SEARCH('Φόρμα Εισαγωγής'!$C$2,E3912)),MAX($D$1:D3911)+1,0)</f>
        <v>0</v>
      </c>
      <c r="H3912" s="6">
        <f t="shared" si="194"/>
        <v>0</v>
      </c>
      <c r="I3912" s="6">
        <f t="shared" si="195"/>
        <v>0</v>
      </c>
      <c r="J3912" s="6">
        <f t="shared" si="196"/>
        <v>0</v>
      </c>
      <c r="L3912" s="4" t="str">
        <f>IFERROR(VLOOKUP(ROWS($L$2:L3912),$B$2:$C$1996,2,0),"")</f>
        <v/>
      </c>
      <c r="N3912" s="2" t="str">
        <f>IFERROR(VLOOKUP(ROWS($N$2:N3912),$D$2:$E$1996,2,0),"")</f>
        <v/>
      </c>
    </row>
    <row r="3913" spans="2:14">
      <c r="B3913" s="32">
        <f>IF(ISNUMBER(SEARCH('Φόρμα Εισαγωγής'!$B$2,C3913)),MAX($B$1:B3912)+1,0)</f>
        <v>0</v>
      </c>
      <c r="D3913" s="33">
        <f>IF(ISNUMBER(SEARCH('Φόρμα Εισαγωγής'!$C$2,E3913)),MAX($D$1:D3912)+1,0)</f>
        <v>0</v>
      </c>
      <c r="H3913" s="6">
        <f t="shared" si="194"/>
        <v>0</v>
      </c>
      <c r="I3913" s="6">
        <f t="shared" si="195"/>
        <v>0</v>
      </c>
      <c r="J3913" s="6">
        <f t="shared" si="196"/>
        <v>0</v>
      </c>
      <c r="L3913" s="4" t="str">
        <f>IFERROR(VLOOKUP(ROWS($L$2:L3913),$B$2:$C$1996,2,0),"")</f>
        <v/>
      </c>
      <c r="N3913" s="2" t="str">
        <f>IFERROR(VLOOKUP(ROWS($N$2:N3913),$D$2:$E$1996,2,0),"")</f>
        <v/>
      </c>
    </row>
    <row r="3914" spans="2:14">
      <c r="B3914" s="32">
        <f>IF(ISNUMBER(SEARCH('Φόρμα Εισαγωγής'!$B$2,C3914)),MAX($B$1:B3913)+1,0)</f>
        <v>0</v>
      </c>
      <c r="D3914" s="33">
        <f>IF(ISNUMBER(SEARCH('Φόρμα Εισαγωγής'!$C$2,E3914)),MAX($D$1:D3913)+1,0)</f>
        <v>0</v>
      </c>
      <c r="H3914" s="6">
        <f t="shared" si="194"/>
        <v>0</v>
      </c>
      <c r="I3914" s="6">
        <f t="shared" si="195"/>
        <v>0</v>
      </c>
      <c r="J3914" s="6">
        <f t="shared" si="196"/>
        <v>0</v>
      </c>
      <c r="L3914" s="4" t="str">
        <f>IFERROR(VLOOKUP(ROWS($L$2:L3914),$B$2:$C$1996,2,0),"")</f>
        <v/>
      </c>
      <c r="N3914" s="2" t="str">
        <f>IFERROR(VLOOKUP(ROWS($N$2:N3914),$D$2:$E$1996,2,0),"")</f>
        <v/>
      </c>
    </row>
    <row r="3915" spans="2:14">
      <c r="B3915" s="32">
        <f>IF(ISNUMBER(SEARCH('Φόρμα Εισαγωγής'!$B$2,C3915)),MAX($B$1:B3914)+1,0)</f>
        <v>0</v>
      </c>
      <c r="D3915" s="33">
        <f>IF(ISNUMBER(SEARCH('Φόρμα Εισαγωγής'!$C$2,E3915)),MAX($D$1:D3914)+1,0)</f>
        <v>0</v>
      </c>
      <c r="H3915" s="6">
        <f t="shared" si="194"/>
        <v>0</v>
      </c>
      <c r="I3915" s="6">
        <f t="shared" si="195"/>
        <v>0</v>
      </c>
      <c r="J3915" s="6">
        <f t="shared" si="196"/>
        <v>0</v>
      </c>
      <c r="L3915" s="4" t="str">
        <f>IFERROR(VLOOKUP(ROWS($L$2:L3915),$B$2:$C$1996,2,0),"")</f>
        <v/>
      </c>
      <c r="N3915" s="2" t="str">
        <f>IFERROR(VLOOKUP(ROWS($N$2:N3915),$D$2:$E$1996,2,0),"")</f>
        <v/>
      </c>
    </row>
    <row r="3916" spans="2:14">
      <c r="B3916" s="32">
        <f>IF(ISNUMBER(SEARCH('Φόρμα Εισαγωγής'!$B$2,C3916)),MAX($B$1:B3915)+1,0)</f>
        <v>0</v>
      </c>
      <c r="D3916" s="33">
        <f>IF(ISNUMBER(SEARCH('Φόρμα Εισαγωγής'!$C$2,E3916)),MAX($D$1:D3915)+1,0)</f>
        <v>0</v>
      </c>
      <c r="H3916" s="6">
        <f t="shared" si="194"/>
        <v>0</v>
      </c>
      <c r="I3916" s="6">
        <f t="shared" si="195"/>
        <v>0</v>
      </c>
      <c r="J3916" s="6">
        <f t="shared" si="196"/>
        <v>0</v>
      </c>
      <c r="L3916" s="4" t="str">
        <f>IFERROR(VLOOKUP(ROWS($L$2:L3916),$B$2:$C$1996,2,0),"")</f>
        <v/>
      </c>
      <c r="N3916" s="2" t="str">
        <f>IFERROR(VLOOKUP(ROWS($N$2:N3916),$D$2:$E$1996,2,0),"")</f>
        <v/>
      </c>
    </row>
    <row r="3917" spans="2:14">
      <c r="B3917" s="32">
        <f>IF(ISNUMBER(SEARCH('Φόρμα Εισαγωγής'!$B$2,C3917)),MAX($B$1:B3916)+1,0)</f>
        <v>0</v>
      </c>
      <c r="D3917" s="33">
        <f>IF(ISNUMBER(SEARCH('Φόρμα Εισαγωγής'!$C$2,E3917)),MAX($D$1:D3916)+1,0)</f>
        <v>0</v>
      </c>
      <c r="H3917" s="6">
        <f t="shared" si="194"/>
        <v>0</v>
      </c>
      <c r="I3917" s="6">
        <f t="shared" si="195"/>
        <v>0</v>
      </c>
      <c r="J3917" s="6">
        <f t="shared" si="196"/>
        <v>0</v>
      </c>
      <c r="L3917" s="4" t="str">
        <f>IFERROR(VLOOKUP(ROWS($L$2:L3917),$B$2:$C$1996,2,0),"")</f>
        <v/>
      </c>
      <c r="N3917" s="2" t="str">
        <f>IFERROR(VLOOKUP(ROWS($N$2:N3917),$D$2:$E$1996,2,0),"")</f>
        <v/>
      </c>
    </row>
    <row r="3918" spans="2:14">
      <c r="B3918" s="32">
        <f>IF(ISNUMBER(SEARCH('Φόρμα Εισαγωγής'!$B$2,C3918)),MAX($B$1:B3917)+1,0)</f>
        <v>0</v>
      </c>
      <c r="D3918" s="33">
        <f>IF(ISNUMBER(SEARCH('Φόρμα Εισαγωγής'!$C$2,E3918)),MAX($D$1:D3917)+1,0)</f>
        <v>0</v>
      </c>
      <c r="H3918" s="6">
        <f t="shared" si="194"/>
        <v>0</v>
      </c>
      <c r="I3918" s="6">
        <f t="shared" si="195"/>
        <v>0</v>
      </c>
      <c r="J3918" s="6">
        <f t="shared" si="196"/>
        <v>0</v>
      </c>
      <c r="L3918" s="4" t="str">
        <f>IFERROR(VLOOKUP(ROWS($L$2:L3918),$B$2:$C$1996,2,0),"")</f>
        <v/>
      </c>
      <c r="N3918" s="2" t="str">
        <f>IFERROR(VLOOKUP(ROWS($N$2:N3918),$D$2:$E$1996,2,0),"")</f>
        <v/>
      </c>
    </row>
    <row r="3919" spans="2:14">
      <c r="B3919" s="32">
        <f>IF(ISNUMBER(SEARCH('Φόρμα Εισαγωγής'!$B$2,C3919)),MAX($B$1:B3918)+1,0)</f>
        <v>0</v>
      </c>
      <c r="D3919" s="33">
        <f>IF(ISNUMBER(SEARCH('Φόρμα Εισαγωγής'!$C$2,E3919)),MAX($D$1:D3918)+1,0)</f>
        <v>0</v>
      </c>
      <c r="H3919" s="6">
        <f t="shared" si="194"/>
        <v>0</v>
      </c>
      <c r="I3919" s="6">
        <f t="shared" si="195"/>
        <v>0</v>
      </c>
      <c r="J3919" s="6">
        <f t="shared" si="196"/>
        <v>0</v>
      </c>
      <c r="L3919" s="4" t="str">
        <f>IFERROR(VLOOKUP(ROWS($L$2:L3919),$B$2:$C$1996,2,0),"")</f>
        <v/>
      </c>
      <c r="N3919" s="2" t="str">
        <f>IFERROR(VLOOKUP(ROWS($N$2:N3919),$D$2:$E$1996,2,0),"")</f>
        <v/>
      </c>
    </row>
    <row r="3920" spans="2:14">
      <c r="B3920" s="32">
        <f>IF(ISNUMBER(SEARCH('Φόρμα Εισαγωγής'!$B$2,C3920)),MAX($B$1:B3919)+1,0)</f>
        <v>0</v>
      </c>
      <c r="D3920" s="33">
        <f>IF(ISNUMBER(SEARCH('Φόρμα Εισαγωγής'!$C$2,E3920)),MAX($D$1:D3919)+1,0)</f>
        <v>0</v>
      </c>
      <c r="H3920" s="6">
        <f t="shared" si="194"/>
        <v>0</v>
      </c>
      <c r="I3920" s="6">
        <f t="shared" si="195"/>
        <v>0</v>
      </c>
      <c r="J3920" s="6">
        <f t="shared" si="196"/>
        <v>0</v>
      </c>
      <c r="L3920" s="4" t="str">
        <f>IFERROR(VLOOKUP(ROWS($L$2:L3920),$B$2:$C$1996,2,0),"")</f>
        <v/>
      </c>
      <c r="N3920" s="2" t="str">
        <f>IFERROR(VLOOKUP(ROWS($N$2:N3920),$D$2:$E$1996,2,0),"")</f>
        <v/>
      </c>
    </row>
    <row r="3921" spans="2:14">
      <c r="B3921" s="32">
        <f>IF(ISNUMBER(SEARCH('Φόρμα Εισαγωγής'!$B$2,C3921)),MAX($B$1:B3920)+1,0)</f>
        <v>0</v>
      </c>
      <c r="D3921" s="33">
        <f>IF(ISNUMBER(SEARCH('Φόρμα Εισαγωγής'!$C$2,E3921)),MAX($D$1:D3920)+1,0)</f>
        <v>0</v>
      </c>
      <c r="H3921" s="6">
        <f t="shared" si="194"/>
        <v>0</v>
      </c>
      <c r="I3921" s="6">
        <f t="shared" si="195"/>
        <v>0</v>
      </c>
      <c r="J3921" s="6">
        <f t="shared" si="196"/>
        <v>0</v>
      </c>
      <c r="L3921" s="4" t="str">
        <f>IFERROR(VLOOKUP(ROWS($L$2:L3921),$B$2:$C$1996,2,0),"")</f>
        <v/>
      </c>
      <c r="N3921" s="2" t="str">
        <f>IFERROR(VLOOKUP(ROWS($N$2:N3921),$D$2:$E$1996,2,0),"")</f>
        <v/>
      </c>
    </row>
    <row r="3922" spans="2:14">
      <c r="B3922" s="32">
        <f>IF(ISNUMBER(SEARCH('Φόρμα Εισαγωγής'!$B$2,C3922)),MAX($B$1:B3921)+1,0)</f>
        <v>0</v>
      </c>
      <c r="D3922" s="33">
        <f>IF(ISNUMBER(SEARCH('Φόρμα Εισαγωγής'!$C$2,E3922)),MAX($D$1:D3921)+1,0)</f>
        <v>0</v>
      </c>
      <c r="H3922" s="6">
        <f t="shared" si="194"/>
        <v>0</v>
      </c>
      <c r="I3922" s="6">
        <f t="shared" si="195"/>
        <v>0</v>
      </c>
      <c r="J3922" s="6">
        <f t="shared" si="196"/>
        <v>0</v>
      </c>
      <c r="L3922" s="4" t="str">
        <f>IFERROR(VLOOKUP(ROWS($L$2:L3922),$B$2:$C$1996,2,0),"")</f>
        <v/>
      </c>
      <c r="N3922" s="2" t="str">
        <f>IFERROR(VLOOKUP(ROWS($N$2:N3922),$D$2:$E$1996,2,0),"")</f>
        <v/>
      </c>
    </row>
    <row r="3923" spans="2:14">
      <c r="B3923" s="32">
        <f>IF(ISNUMBER(SEARCH('Φόρμα Εισαγωγής'!$B$2,C3923)),MAX($B$1:B3922)+1,0)</f>
        <v>0</v>
      </c>
      <c r="D3923" s="33">
        <f>IF(ISNUMBER(SEARCH('Φόρμα Εισαγωγής'!$C$2,E3923)),MAX($D$1:D3922)+1,0)</f>
        <v>0</v>
      </c>
      <c r="H3923" s="6">
        <f t="shared" si="194"/>
        <v>0</v>
      </c>
      <c r="I3923" s="6">
        <f t="shared" si="195"/>
        <v>0</v>
      </c>
      <c r="J3923" s="6">
        <f t="shared" si="196"/>
        <v>0</v>
      </c>
      <c r="L3923" s="4" t="str">
        <f>IFERROR(VLOOKUP(ROWS($L$2:L3923),$B$2:$C$1996,2,0),"")</f>
        <v/>
      </c>
      <c r="N3923" s="2" t="str">
        <f>IFERROR(VLOOKUP(ROWS($N$2:N3923),$D$2:$E$1996,2,0),"")</f>
        <v/>
      </c>
    </row>
    <row r="3924" spans="2:14">
      <c r="B3924" s="32">
        <f>IF(ISNUMBER(SEARCH('Φόρμα Εισαγωγής'!$B$2,C3924)),MAX($B$1:B3923)+1,0)</f>
        <v>0</v>
      </c>
      <c r="D3924" s="33">
        <f>IF(ISNUMBER(SEARCH('Φόρμα Εισαγωγής'!$C$2,E3924)),MAX($D$1:D3923)+1,0)</f>
        <v>0</v>
      </c>
      <c r="H3924" s="6">
        <f t="shared" si="194"/>
        <v>0</v>
      </c>
      <c r="I3924" s="6">
        <f t="shared" si="195"/>
        <v>0</v>
      </c>
      <c r="J3924" s="6">
        <f t="shared" si="196"/>
        <v>0</v>
      </c>
      <c r="L3924" s="4" t="str">
        <f>IFERROR(VLOOKUP(ROWS($L$2:L3924),$B$2:$C$1996,2,0),"")</f>
        <v/>
      </c>
      <c r="N3924" s="2" t="str">
        <f>IFERROR(VLOOKUP(ROWS($N$2:N3924),$D$2:$E$1996,2,0),"")</f>
        <v/>
      </c>
    </row>
    <row r="3925" spans="2:14">
      <c r="B3925" s="32">
        <f>IF(ISNUMBER(SEARCH('Φόρμα Εισαγωγής'!$B$2,C3925)),MAX($B$1:B3924)+1,0)</f>
        <v>0</v>
      </c>
      <c r="D3925" s="33">
        <f>IF(ISNUMBER(SEARCH('Φόρμα Εισαγωγής'!$C$2,E3925)),MAX($D$1:D3924)+1,0)</f>
        <v>0</v>
      </c>
      <c r="H3925" s="6">
        <f t="shared" si="194"/>
        <v>0</v>
      </c>
      <c r="I3925" s="6">
        <f t="shared" si="195"/>
        <v>0</v>
      </c>
      <c r="J3925" s="6">
        <f t="shared" si="196"/>
        <v>0</v>
      </c>
      <c r="L3925" s="4" t="str">
        <f>IFERROR(VLOOKUP(ROWS($L$2:L3925),$B$2:$C$1996,2,0),"")</f>
        <v/>
      </c>
      <c r="N3925" s="2" t="str">
        <f>IFERROR(VLOOKUP(ROWS($N$2:N3925),$D$2:$E$1996,2,0),"")</f>
        <v/>
      </c>
    </row>
    <row r="3926" spans="2:14">
      <c r="B3926" s="32">
        <f>IF(ISNUMBER(SEARCH('Φόρμα Εισαγωγής'!$B$2,C3926)),MAX($B$1:B3925)+1,0)</f>
        <v>0</v>
      </c>
      <c r="D3926" s="33">
        <f>IF(ISNUMBER(SEARCH('Φόρμα Εισαγωγής'!$C$2,E3926)),MAX($D$1:D3925)+1,0)</f>
        <v>0</v>
      </c>
      <c r="H3926" s="6">
        <f t="shared" si="194"/>
        <v>0</v>
      </c>
      <c r="I3926" s="6">
        <f t="shared" si="195"/>
        <v>0</v>
      </c>
      <c r="J3926" s="6">
        <f t="shared" si="196"/>
        <v>0</v>
      </c>
      <c r="L3926" s="4" t="str">
        <f>IFERROR(VLOOKUP(ROWS($L$2:L3926),$B$2:$C$1996,2,0),"")</f>
        <v/>
      </c>
      <c r="N3926" s="2" t="str">
        <f>IFERROR(VLOOKUP(ROWS($N$2:N3926),$D$2:$E$1996,2,0),"")</f>
        <v/>
      </c>
    </row>
    <row r="3927" spans="2:14">
      <c r="B3927" s="32">
        <f>IF(ISNUMBER(SEARCH('Φόρμα Εισαγωγής'!$B$2,C3927)),MAX($B$1:B3926)+1,0)</f>
        <v>0</v>
      </c>
      <c r="D3927" s="33">
        <f>IF(ISNUMBER(SEARCH('Φόρμα Εισαγωγής'!$C$2,E3927)),MAX($D$1:D3926)+1,0)</f>
        <v>0</v>
      </c>
      <c r="H3927" s="6">
        <f t="shared" si="194"/>
        <v>0</v>
      </c>
      <c r="I3927" s="6">
        <f t="shared" si="195"/>
        <v>0</v>
      </c>
      <c r="J3927" s="6">
        <f t="shared" si="196"/>
        <v>0</v>
      </c>
      <c r="L3927" s="4" t="str">
        <f>IFERROR(VLOOKUP(ROWS($L$2:L3927),$B$2:$C$1996,2,0),"")</f>
        <v/>
      </c>
      <c r="N3927" s="2" t="str">
        <f>IFERROR(VLOOKUP(ROWS($N$2:N3927),$D$2:$E$1996,2,0),"")</f>
        <v/>
      </c>
    </row>
    <row r="3928" spans="2:14">
      <c r="B3928" s="32">
        <f>IF(ISNUMBER(SEARCH('Φόρμα Εισαγωγής'!$B$2,C3928)),MAX($B$1:B3927)+1,0)</f>
        <v>0</v>
      </c>
      <c r="D3928" s="33">
        <f>IF(ISNUMBER(SEARCH('Φόρμα Εισαγωγής'!$C$2,E3928)),MAX($D$1:D3927)+1,0)</f>
        <v>0</v>
      </c>
      <c r="H3928" s="6">
        <f t="shared" si="194"/>
        <v>0</v>
      </c>
      <c r="I3928" s="6">
        <f t="shared" si="195"/>
        <v>0</v>
      </c>
      <c r="J3928" s="6">
        <f t="shared" si="196"/>
        <v>0</v>
      </c>
      <c r="L3928" s="4" t="str">
        <f>IFERROR(VLOOKUP(ROWS($L$2:L3928),$B$2:$C$1996,2,0),"")</f>
        <v/>
      </c>
      <c r="N3928" s="2" t="str">
        <f>IFERROR(VLOOKUP(ROWS($N$2:N3928),$D$2:$E$1996,2,0),"")</f>
        <v/>
      </c>
    </row>
    <row r="3929" spans="2:14">
      <c r="B3929" s="32">
        <f>IF(ISNUMBER(SEARCH('Φόρμα Εισαγωγής'!$B$2,C3929)),MAX($B$1:B3928)+1,0)</f>
        <v>0</v>
      </c>
      <c r="D3929" s="33">
        <f>IF(ISNUMBER(SEARCH('Φόρμα Εισαγωγής'!$C$2,E3929)),MAX($D$1:D3928)+1,0)</f>
        <v>0</v>
      </c>
      <c r="H3929" s="6">
        <f t="shared" si="194"/>
        <v>0</v>
      </c>
      <c r="I3929" s="6">
        <f t="shared" si="195"/>
        <v>0</v>
      </c>
      <c r="J3929" s="6">
        <f t="shared" si="196"/>
        <v>0</v>
      </c>
      <c r="L3929" s="4" t="str">
        <f>IFERROR(VLOOKUP(ROWS($L$2:L3929),$B$2:$C$1996,2,0),"")</f>
        <v/>
      </c>
      <c r="N3929" s="2" t="str">
        <f>IFERROR(VLOOKUP(ROWS($N$2:N3929),$D$2:$E$1996,2,0),"")</f>
        <v/>
      </c>
    </row>
    <row r="3930" spans="2:14">
      <c r="B3930" s="32">
        <f>IF(ISNUMBER(SEARCH('Φόρμα Εισαγωγής'!$B$2,C3930)),MAX($B$1:B3929)+1,0)</f>
        <v>0</v>
      </c>
      <c r="D3930" s="33">
        <f>IF(ISNUMBER(SEARCH('Φόρμα Εισαγωγής'!$C$2,E3930)),MAX($D$1:D3929)+1,0)</f>
        <v>0</v>
      </c>
      <c r="H3930" s="6">
        <f t="shared" si="194"/>
        <v>0</v>
      </c>
      <c r="I3930" s="6">
        <f t="shared" si="195"/>
        <v>0</v>
      </c>
      <c r="J3930" s="6">
        <f t="shared" si="196"/>
        <v>0</v>
      </c>
      <c r="L3930" s="4" t="str">
        <f>IFERROR(VLOOKUP(ROWS($L$2:L3930),$B$2:$C$1996,2,0),"")</f>
        <v/>
      </c>
      <c r="N3930" s="2" t="str">
        <f>IFERROR(VLOOKUP(ROWS($N$2:N3930),$D$2:$E$1996,2,0),"")</f>
        <v/>
      </c>
    </row>
    <row r="3931" spans="2:14">
      <c r="B3931" s="32">
        <f>IF(ISNUMBER(SEARCH('Φόρμα Εισαγωγής'!$B$2,C3931)),MAX($B$1:B3930)+1,0)</f>
        <v>0</v>
      </c>
      <c r="D3931" s="33">
        <f>IF(ISNUMBER(SEARCH('Φόρμα Εισαγωγής'!$C$2,E3931)),MAX($D$1:D3930)+1,0)</f>
        <v>0</v>
      </c>
      <c r="H3931" s="6">
        <f t="shared" si="194"/>
        <v>0</v>
      </c>
      <c r="I3931" s="6">
        <f t="shared" si="195"/>
        <v>0</v>
      </c>
      <c r="J3931" s="6">
        <f t="shared" si="196"/>
        <v>0</v>
      </c>
      <c r="L3931" s="4" t="str">
        <f>IFERROR(VLOOKUP(ROWS($L$2:L3931),$B$2:$C$1996,2,0),"")</f>
        <v/>
      </c>
      <c r="N3931" s="2" t="str">
        <f>IFERROR(VLOOKUP(ROWS($N$2:N3931),$D$2:$E$1996,2,0),"")</f>
        <v/>
      </c>
    </row>
    <row r="3932" spans="2:14">
      <c r="B3932" s="32">
        <f>IF(ISNUMBER(SEARCH('Φόρμα Εισαγωγής'!$B$2,C3932)),MAX($B$1:B3931)+1,0)</f>
        <v>0</v>
      </c>
      <c r="D3932" s="33">
        <f>IF(ISNUMBER(SEARCH('Φόρμα Εισαγωγής'!$C$2,E3932)),MAX($D$1:D3931)+1,0)</f>
        <v>0</v>
      </c>
      <c r="H3932" s="6">
        <f t="shared" si="194"/>
        <v>0</v>
      </c>
      <c r="I3932" s="6">
        <f t="shared" si="195"/>
        <v>0</v>
      </c>
      <c r="J3932" s="6">
        <f t="shared" si="196"/>
        <v>0</v>
      </c>
      <c r="L3932" s="4" t="str">
        <f>IFERROR(VLOOKUP(ROWS($L$2:L3932),$B$2:$C$1996,2,0),"")</f>
        <v/>
      </c>
      <c r="N3932" s="2" t="str">
        <f>IFERROR(VLOOKUP(ROWS($N$2:N3932),$D$2:$E$1996,2,0),"")</f>
        <v/>
      </c>
    </row>
    <row r="3933" spans="2:14">
      <c r="B3933" s="32">
        <f>IF(ISNUMBER(SEARCH('Φόρμα Εισαγωγής'!$B$2,C3933)),MAX($B$1:B3932)+1,0)</f>
        <v>0</v>
      </c>
      <c r="D3933" s="33">
        <f>IF(ISNUMBER(SEARCH('Φόρμα Εισαγωγής'!$C$2,E3933)),MAX($D$1:D3932)+1,0)</f>
        <v>0</v>
      </c>
      <c r="H3933" s="6">
        <f t="shared" si="194"/>
        <v>0</v>
      </c>
      <c r="I3933" s="6">
        <f t="shared" si="195"/>
        <v>0</v>
      </c>
      <c r="J3933" s="6">
        <f t="shared" si="196"/>
        <v>0</v>
      </c>
      <c r="L3933" s="4" t="str">
        <f>IFERROR(VLOOKUP(ROWS($L$2:L3933),$B$2:$C$1996,2,0),"")</f>
        <v/>
      </c>
      <c r="N3933" s="2" t="str">
        <f>IFERROR(VLOOKUP(ROWS($N$2:N3933),$D$2:$E$1996,2,0),"")</f>
        <v/>
      </c>
    </row>
    <row r="3934" spans="2:14">
      <c r="B3934" s="32">
        <f>IF(ISNUMBER(SEARCH('Φόρμα Εισαγωγής'!$B$2,C3934)),MAX($B$1:B3933)+1,0)</f>
        <v>0</v>
      </c>
      <c r="D3934" s="33">
        <f>IF(ISNUMBER(SEARCH('Φόρμα Εισαγωγής'!$C$2,E3934)),MAX($D$1:D3933)+1,0)</f>
        <v>0</v>
      </c>
      <c r="H3934" s="6">
        <f t="shared" si="194"/>
        <v>0</v>
      </c>
      <c r="I3934" s="6">
        <f t="shared" si="195"/>
        <v>0</v>
      </c>
      <c r="J3934" s="6">
        <f t="shared" si="196"/>
        <v>0</v>
      </c>
      <c r="L3934" s="4" t="str">
        <f>IFERROR(VLOOKUP(ROWS($L$2:L3934),$B$2:$C$1996,2,0),"")</f>
        <v/>
      </c>
      <c r="N3934" s="2" t="str">
        <f>IFERROR(VLOOKUP(ROWS($N$2:N3934),$D$2:$E$1996,2,0),"")</f>
        <v/>
      </c>
    </row>
    <row r="3935" spans="2:14">
      <c r="B3935" s="32">
        <f>IF(ISNUMBER(SEARCH('Φόρμα Εισαγωγής'!$B$2,C3935)),MAX($B$1:B3934)+1,0)</f>
        <v>0</v>
      </c>
      <c r="D3935" s="33">
        <f>IF(ISNUMBER(SEARCH('Φόρμα Εισαγωγής'!$C$2,E3935)),MAX($D$1:D3934)+1,0)</f>
        <v>0</v>
      </c>
      <c r="H3935" s="6">
        <f t="shared" si="194"/>
        <v>0</v>
      </c>
      <c r="I3935" s="6">
        <f t="shared" si="195"/>
        <v>0</v>
      </c>
      <c r="J3935" s="6">
        <f t="shared" si="196"/>
        <v>0</v>
      </c>
      <c r="L3935" s="4" t="str">
        <f>IFERROR(VLOOKUP(ROWS($L$2:L3935),$B$2:$C$1996,2,0),"")</f>
        <v/>
      </c>
      <c r="N3935" s="2" t="str">
        <f>IFERROR(VLOOKUP(ROWS($N$2:N3935),$D$2:$E$1996,2,0),"")</f>
        <v/>
      </c>
    </row>
    <row r="3936" spans="2:14">
      <c r="B3936" s="32">
        <f>IF(ISNUMBER(SEARCH('Φόρμα Εισαγωγής'!$B$2,C3936)),MAX($B$1:B3935)+1,0)</f>
        <v>0</v>
      </c>
      <c r="D3936" s="33">
        <f>IF(ISNUMBER(SEARCH('Φόρμα Εισαγωγής'!$C$2,E3936)),MAX($D$1:D3935)+1,0)</f>
        <v>0</v>
      </c>
      <c r="H3936" s="6">
        <f t="shared" si="194"/>
        <v>0</v>
      </c>
      <c r="I3936" s="6">
        <f t="shared" si="195"/>
        <v>0</v>
      </c>
      <c r="J3936" s="6">
        <f t="shared" si="196"/>
        <v>0</v>
      </c>
      <c r="L3936" s="4" t="str">
        <f>IFERROR(VLOOKUP(ROWS($L$2:L3936),$B$2:$C$1996,2,0),"")</f>
        <v/>
      </c>
      <c r="N3936" s="2" t="str">
        <f>IFERROR(VLOOKUP(ROWS($N$2:N3936),$D$2:$E$1996,2,0),"")</f>
        <v/>
      </c>
    </row>
    <row r="3937" spans="2:14">
      <c r="B3937" s="32">
        <f>IF(ISNUMBER(SEARCH('Φόρμα Εισαγωγής'!$B$2,C3937)),MAX($B$1:B3936)+1,0)</f>
        <v>0</v>
      </c>
      <c r="D3937" s="33">
        <f>IF(ISNUMBER(SEARCH('Φόρμα Εισαγωγής'!$C$2,E3937)),MAX($D$1:D3936)+1,0)</f>
        <v>0</v>
      </c>
      <c r="H3937" s="6">
        <f t="shared" si="194"/>
        <v>0</v>
      </c>
      <c r="I3937" s="6">
        <f t="shared" si="195"/>
        <v>0</v>
      </c>
      <c r="J3937" s="6">
        <f t="shared" si="196"/>
        <v>0</v>
      </c>
      <c r="L3937" s="4" t="str">
        <f>IFERROR(VLOOKUP(ROWS($L$2:L3937),$B$2:$C$1996,2,0),"")</f>
        <v/>
      </c>
      <c r="N3937" s="2" t="str">
        <f>IFERROR(VLOOKUP(ROWS($N$2:N3937),$D$2:$E$1996,2,0),"")</f>
        <v/>
      </c>
    </row>
    <row r="3938" spans="2:14">
      <c r="B3938" s="32">
        <f>IF(ISNUMBER(SEARCH('Φόρμα Εισαγωγής'!$B$2,C3938)),MAX($B$1:B3937)+1,0)</f>
        <v>0</v>
      </c>
      <c r="D3938" s="33">
        <f>IF(ISNUMBER(SEARCH('Φόρμα Εισαγωγής'!$C$2,E3938)),MAX($D$1:D3937)+1,0)</f>
        <v>0</v>
      </c>
      <c r="H3938" s="6">
        <f t="shared" si="194"/>
        <v>0</v>
      </c>
      <c r="I3938" s="6">
        <f t="shared" si="195"/>
        <v>0</v>
      </c>
      <c r="J3938" s="6">
        <f t="shared" si="196"/>
        <v>0</v>
      </c>
      <c r="L3938" s="4" t="str">
        <f>IFERROR(VLOOKUP(ROWS($L$2:L3938),$B$2:$C$1996,2,0),"")</f>
        <v/>
      </c>
      <c r="N3938" s="2" t="str">
        <f>IFERROR(VLOOKUP(ROWS($N$2:N3938),$D$2:$E$1996,2,0),"")</f>
        <v/>
      </c>
    </row>
    <row r="3939" spans="2:14">
      <c r="B3939" s="32">
        <f>IF(ISNUMBER(SEARCH('Φόρμα Εισαγωγής'!$B$2,C3939)),MAX($B$1:B3938)+1,0)</f>
        <v>0</v>
      </c>
      <c r="D3939" s="33">
        <f>IF(ISNUMBER(SEARCH('Φόρμα Εισαγωγής'!$C$2,E3939)),MAX($D$1:D3938)+1,0)</f>
        <v>0</v>
      </c>
      <c r="H3939" s="6">
        <f t="shared" si="194"/>
        <v>0</v>
      </c>
      <c r="I3939" s="6">
        <f t="shared" si="195"/>
        <v>0</v>
      </c>
      <c r="J3939" s="6">
        <f t="shared" si="196"/>
        <v>0</v>
      </c>
      <c r="L3939" s="4" t="str">
        <f>IFERROR(VLOOKUP(ROWS($L$2:L3939),$B$2:$C$1996,2,0),"")</f>
        <v/>
      </c>
      <c r="N3939" s="2" t="str">
        <f>IFERROR(VLOOKUP(ROWS($N$2:N3939),$D$2:$E$1996,2,0),"")</f>
        <v/>
      </c>
    </row>
    <row r="3940" spans="2:14">
      <c r="B3940" s="32">
        <f>IF(ISNUMBER(SEARCH('Φόρμα Εισαγωγής'!$B$2,C3940)),MAX($B$1:B3939)+1,0)</f>
        <v>0</v>
      </c>
      <c r="D3940" s="33">
        <f>IF(ISNUMBER(SEARCH('Φόρμα Εισαγωγής'!$C$2,E3940)),MAX($D$1:D3939)+1,0)</f>
        <v>0</v>
      </c>
      <c r="H3940" s="6">
        <f t="shared" si="194"/>
        <v>0</v>
      </c>
      <c r="I3940" s="6">
        <f t="shared" si="195"/>
        <v>0</v>
      </c>
      <c r="J3940" s="6">
        <f t="shared" si="196"/>
        <v>0</v>
      </c>
      <c r="L3940" s="4" t="str">
        <f>IFERROR(VLOOKUP(ROWS($L$2:L3940),$B$2:$C$1996,2,0),"")</f>
        <v/>
      </c>
      <c r="N3940" s="2" t="str">
        <f>IFERROR(VLOOKUP(ROWS($N$2:N3940),$D$2:$E$1996,2,0),"")</f>
        <v/>
      </c>
    </row>
    <row r="3941" spans="2:14">
      <c r="B3941" s="32">
        <f>IF(ISNUMBER(SEARCH('Φόρμα Εισαγωγής'!$B$2,C3941)),MAX($B$1:B3940)+1,0)</f>
        <v>0</v>
      </c>
      <c r="D3941" s="33">
        <f>IF(ISNUMBER(SEARCH('Φόρμα Εισαγωγής'!$C$2,E3941)),MAX($D$1:D3940)+1,0)</f>
        <v>0</v>
      </c>
      <c r="H3941" s="6">
        <f t="shared" si="194"/>
        <v>0</v>
      </c>
      <c r="I3941" s="6">
        <f t="shared" si="195"/>
        <v>0</v>
      </c>
      <c r="J3941" s="6">
        <f t="shared" si="196"/>
        <v>0</v>
      </c>
      <c r="L3941" s="4" t="str">
        <f>IFERROR(VLOOKUP(ROWS($L$2:L3941),$B$2:$C$1996,2,0),"")</f>
        <v/>
      </c>
      <c r="N3941" s="2" t="str">
        <f>IFERROR(VLOOKUP(ROWS($N$2:N3941),$D$2:$E$1996,2,0),"")</f>
        <v/>
      </c>
    </row>
    <row r="3942" spans="2:14">
      <c r="B3942" s="32">
        <f>IF(ISNUMBER(SEARCH('Φόρμα Εισαγωγής'!$B$2,C3942)),MAX($B$1:B3941)+1,0)</f>
        <v>0</v>
      </c>
      <c r="D3942" s="33">
        <f>IF(ISNUMBER(SEARCH('Φόρμα Εισαγωγής'!$C$2,E3942)),MAX($D$1:D3941)+1,0)</f>
        <v>0</v>
      </c>
      <c r="H3942" s="6">
        <f t="shared" si="194"/>
        <v>0</v>
      </c>
      <c r="I3942" s="6">
        <f t="shared" si="195"/>
        <v>0</v>
      </c>
      <c r="J3942" s="6">
        <f t="shared" si="196"/>
        <v>0</v>
      </c>
      <c r="L3942" s="4" t="str">
        <f>IFERROR(VLOOKUP(ROWS($L$2:L3942),$B$2:$C$1996,2,0),"")</f>
        <v/>
      </c>
      <c r="N3942" s="2" t="str">
        <f>IFERROR(VLOOKUP(ROWS($N$2:N3942),$D$2:$E$1996,2,0),"")</f>
        <v/>
      </c>
    </row>
    <row r="3943" spans="2:14">
      <c r="B3943" s="32">
        <f>IF(ISNUMBER(SEARCH('Φόρμα Εισαγωγής'!$B$2,C3943)),MAX($B$1:B3942)+1,0)</f>
        <v>0</v>
      </c>
      <c r="D3943" s="33">
        <f>IF(ISNUMBER(SEARCH('Φόρμα Εισαγωγής'!$C$2,E3943)),MAX($D$1:D3942)+1,0)</f>
        <v>0</v>
      </c>
      <c r="H3943" s="6">
        <f t="shared" si="194"/>
        <v>0</v>
      </c>
      <c r="I3943" s="6">
        <f t="shared" si="195"/>
        <v>0</v>
      </c>
      <c r="J3943" s="6">
        <f t="shared" si="196"/>
        <v>0</v>
      </c>
      <c r="L3943" s="4" t="str">
        <f>IFERROR(VLOOKUP(ROWS($L$2:L3943),$B$2:$C$1996,2,0),"")</f>
        <v/>
      </c>
      <c r="N3943" s="2" t="str">
        <f>IFERROR(VLOOKUP(ROWS($N$2:N3943),$D$2:$E$1996,2,0),"")</f>
        <v/>
      </c>
    </row>
    <row r="3944" spans="2:14">
      <c r="B3944" s="32">
        <f>IF(ISNUMBER(SEARCH('Φόρμα Εισαγωγής'!$B$2,C3944)),MAX($B$1:B3943)+1,0)</f>
        <v>0</v>
      </c>
      <c r="D3944" s="33">
        <f>IF(ISNUMBER(SEARCH('Φόρμα Εισαγωγής'!$C$2,E3944)),MAX($D$1:D3943)+1,0)</f>
        <v>0</v>
      </c>
      <c r="H3944" s="6">
        <f t="shared" si="194"/>
        <v>0</v>
      </c>
      <c r="I3944" s="6">
        <f t="shared" si="195"/>
        <v>0</v>
      </c>
      <c r="J3944" s="6">
        <f t="shared" si="196"/>
        <v>0</v>
      </c>
      <c r="L3944" s="4" t="str">
        <f>IFERROR(VLOOKUP(ROWS($L$2:L3944),$B$2:$C$1996,2,0),"")</f>
        <v/>
      </c>
      <c r="N3944" s="2" t="str">
        <f>IFERROR(VLOOKUP(ROWS($N$2:N3944),$D$2:$E$1996,2,0),"")</f>
        <v/>
      </c>
    </row>
    <row r="3945" spans="2:14">
      <c r="B3945" s="32">
        <f>IF(ISNUMBER(SEARCH('Φόρμα Εισαγωγής'!$B$2,C3945)),MAX($B$1:B3944)+1,0)</f>
        <v>0</v>
      </c>
      <c r="D3945" s="33">
        <f>IF(ISNUMBER(SEARCH('Φόρμα Εισαγωγής'!$C$2,E3945)),MAX($D$1:D3944)+1,0)</f>
        <v>0</v>
      </c>
      <c r="H3945" s="6">
        <f t="shared" si="194"/>
        <v>0</v>
      </c>
      <c r="I3945" s="6">
        <f t="shared" si="195"/>
        <v>0</v>
      </c>
      <c r="J3945" s="6">
        <f t="shared" si="196"/>
        <v>0</v>
      </c>
      <c r="L3945" s="4" t="str">
        <f>IFERROR(VLOOKUP(ROWS($L$2:L3945),$B$2:$C$1996,2,0),"")</f>
        <v/>
      </c>
      <c r="N3945" s="2" t="str">
        <f>IFERROR(VLOOKUP(ROWS($N$2:N3945),$D$2:$E$1996,2,0),"")</f>
        <v/>
      </c>
    </row>
    <row r="3946" spans="2:14">
      <c r="B3946" s="32">
        <f>IF(ISNUMBER(SEARCH('Φόρμα Εισαγωγής'!$B$2,C3946)),MAX($B$1:B3945)+1,0)</f>
        <v>0</v>
      </c>
      <c r="D3946" s="33">
        <f>IF(ISNUMBER(SEARCH('Φόρμα Εισαγωγής'!$C$2,E3946)),MAX($D$1:D3945)+1,0)</f>
        <v>0</v>
      </c>
      <c r="H3946" s="6">
        <f t="shared" si="194"/>
        <v>0</v>
      </c>
      <c r="I3946" s="6">
        <f t="shared" si="195"/>
        <v>0</v>
      </c>
      <c r="J3946" s="6">
        <f t="shared" si="196"/>
        <v>0</v>
      </c>
      <c r="L3946" s="4" t="str">
        <f>IFERROR(VLOOKUP(ROWS($L$2:L3946),$B$2:$C$1996,2,0),"")</f>
        <v/>
      </c>
      <c r="N3946" s="2" t="str">
        <f>IFERROR(VLOOKUP(ROWS($N$2:N3946),$D$2:$E$1996,2,0),"")</f>
        <v/>
      </c>
    </row>
    <row r="3947" spans="2:14">
      <c r="B3947" s="32">
        <f>IF(ISNUMBER(SEARCH('Φόρμα Εισαγωγής'!$B$2,C3947)),MAX($B$1:B3946)+1,0)</f>
        <v>0</v>
      </c>
      <c r="D3947" s="33">
        <f>IF(ISNUMBER(SEARCH('Φόρμα Εισαγωγής'!$C$2,E3947)),MAX($D$1:D3946)+1,0)</f>
        <v>0</v>
      </c>
      <c r="H3947" s="6">
        <f t="shared" si="194"/>
        <v>0</v>
      </c>
      <c r="I3947" s="6">
        <f t="shared" si="195"/>
        <v>0</v>
      </c>
      <c r="J3947" s="6">
        <f t="shared" si="196"/>
        <v>0</v>
      </c>
      <c r="L3947" s="4" t="str">
        <f>IFERROR(VLOOKUP(ROWS($L$2:L3947),$B$2:$C$1996,2,0),"")</f>
        <v/>
      </c>
      <c r="N3947" s="2" t="str">
        <f>IFERROR(VLOOKUP(ROWS($N$2:N3947),$D$2:$E$1996,2,0),"")</f>
        <v/>
      </c>
    </row>
    <row r="3948" spans="2:14">
      <c r="B3948" s="32">
        <f>IF(ISNUMBER(SEARCH('Φόρμα Εισαγωγής'!$B$2,C3948)),MAX($B$1:B3947)+1,0)</f>
        <v>0</v>
      </c>
      <c r="D3948" s="33">
        <f>IF(ISNUMBER(SEARCH('Φόρμα Εισαγωγής'!$C$2,E3948)),MAX($D$1:D3947)+1,0)</f>
        <v>0</v>
      </c>
      <c r="H3948" s="6">
        <f t="shared" si="194"/>
        <v>0</v>
      </c>
      <c r="I3948" s="6">
        <f t="shared" si="195"/>
        <v>0</v>
      </c>
      <c r="J3948" s="6">
        <f t="shared" si="196"/>
        <v>0</v>
      </c>
      <c r="L3948" s="4" t="str">
        <f>IFERROR(VLOOKUP(ROWS($L$2:L3948),$B$2:$C$1996,2,0),"")</f>
        <v/>
      </c>
      <c r="N3948" s="2" t="str">
        <f>IFERROR(VLOOKUP(ROWS($N$2:N3948),$D$2:$E$1996,2,0),"")</f>
        <v/>
      </c>
    </row>
    <row r="3949" spans="2:14">
      <c r="B3949" s="32">
        <f>IF(ISNUMBER(SEARCH('Φόρμα Εισαγωγής'!$B$2,C3949)),MAX($B$1:B3948)+1,0)</f>
        <v>0</v>
      </c>
      <c r="D3949" s="33">
        <f>IF(ISNUMBER(SEARCH('Φόρμα Εισαγωγής'!$C$2,E3949)),MAX($D$1:D3948)+1,0)</f>
        <v>0</v>
      </c>
      <c r="H3949" s="6">
        <f t="shared" si="194"/>
        <v>0</v>
      </c>
      <c r="I3949" s="6">
        <f t="shared" si="195"/>
        <v>0</v>
      </c>
      <c r="J3949" s="6">
        <f t="shared" si="196"/>
        <v>0</v>
      </c>
      <c r="L3949" s="4" t="str">
        <f>IFERROR(VLOOKUP(ROWS($L$2:L3949),$B$2:$C$1996,2,0),"")</f>
        <v/>
      </c>
      <c r="N3949" s="2" t="str">
        <f>IFERROR(VLOOKUP(ROWS($N$2:N3949),$D$2:$E$1996,2,0),"")</f>
        <v/>
      </c>
    </row>
    <row r="3950" spans="2:14">
      <c r="B3950" s="32">
        <f>IF(ISNUMBER(SEARCH('Φόρμα Εισαγωγής'!$B$2,C3950)),MAX($B$1:B3949)+1,0)</f>
        <v>0</v>
      </c>
      <c r="D3950" s="33">
        <f>IF(ISNUMBER(SEARCH('Φόρμα Εισαγωγής'!$C$2,E3950)),MAX($D$1:D3949)+1,0)</f>
        <v>0</v>
      </c>
      <c r="H3950" s="6">
        <f t="shared" si="194"/>
        <v>0</v>
      </c>
      <c r="I3950" s="6">
        <f t="shared" si="195"/>
        <v>0</v>
      </c>
      <c r="J3950" s="6">
        <f t="shared" si="196"/>
        <v>0</v>
      </c>
      <c r="L3950" s="4" t="str">
        <f>IFERROR(VLOOKUP(ROWS($L$2:L3950),$B$2:$C$1996,2,0),"")</f>
        <v/>
      </c>
      <c r="N3950" s="2" t="str">
        <f>IFERROR(VLOOKUP(ROWS($N$2:N3950),$D$2:$E$1996,2,0),"")</f>
        <v/>
      </c>
    </row>
    <row r="3951" spans="2:14">
      <c r="B3951" s="32">
        <f>IF(ISNUMBER(SEARCH('Φόρμα Εισαγωγής'!$B$2,C3951)),MAX($B$1:B3950)+1,0)</f>
        <v>0</v>
      </c>
      <c r="D3951" s="33">
        <f>IF(ISNUMBER(SEARCH('Φόρμα Εισαγωγής'!$C$2,E3951)),MAX($D$1:D3950)+1,0)</f>
        <v>0</v>
      </c>
      <c r="H3951" s="6">
        <f t="shared" si="194"/>
        <v>0</v>
      </c>
      <c r="I3951" s="6">
        <f t="shared" si="195"/>
        <v>0</v>
      </c>
      <c r="J3951" s="6">
        <f t="shared" si="196"/>
        <v>0</v>
      </c>
      <c r="L3951" s="4" t="str">
        <f>IFERROR(VLOOKUP(ROWS($L$2:L3951),$B$2:$C$1996,2,0),"")</f>
        <v/>
      </c>
      <c r="N3951" s="2" t="str">
        <f>IFERROR(VLOOKUP(ROWS($N$2:N3951),$D$2:$E$1996,2,0),"")</f>
        <v/>
      </c>
    </row>
    <row r="3952" spans="2:14">
      <c r="B3952" s="32">
        <f>IF(ISNUMBER(SEARCH('Φόρμα Εισαγωγής'!$B$2,C3952)),MAX($B$1:B3951)+1,0)</f>
        <v>0</v>
      </c>
      <c r="D3952" s="33">
        <f>IF(ISNUMBER(SEARCH('Φόρμα Εισαγωγής'!$C$2,E3952)),MAX($D$1:D3951)+1,0)</f>
        <v>0</v>
      </c>
      <c r="H3952" s="6">
        <f t="shared" si="194"/>
        <v>0</v>
      </c>
      <c r="I3952" s="6">
        <f t="shared" si="195"/>
        <v>0</v>
      </c>
      <c r="J3952" s="6">
        <f t="shared" si="196"/>
        <v>0</v>
      </c>
      <c r="L3952" s="4" t="str">
        <f>IFERROR(VLOOKUP(ROWS($L$2:L3952),$B$2:$C$1996,2,0),"")</f>
        <v/>
      </c>
      <c r="N3952" s="2" t="str">
        <f>IFERROR(VLOOKUP(ROWS($N$2:N3952),$D$2:$E$1996,2,0),"")</f>
        <v/>
      </c>
    </row>
    <row r="3953" spans="2:14">
      <c r="B3953" s="32">
        <f>IF(ISNUMBER(SEARCH('Φόρμα Εισαγωγής'!$B$2,C3953)),MAX($B$1:B3952)+1,0)</f>
        <v>0</v>
      </c>
      <c r="D3953" s="33">
        <f>IF(ISNUMBER(SEARCH('Φόρμα Εισαγωγής'!$C$2,E3953)),MAX($D$1:D3952)+1,0)</f>
        <v>0</v>
      </c>
      <c r="H3953" s="6">
        <f t="shared" si="194"/>
        <v>0</v>
      </c>
      <c r="I3953" s="6">
        <f t="shared" si="195"/>
        <v>0</v>
      </c>
      <c r="J3953" s="6">
        <f t="shared" si="196"/>
        <v>0</v>
      </c>
      <c r="L3953" s="4" t="str">
        <f>IFERROR(VLOOKUP(ROWS($L$2:L3953),$B$2:$C$1996,2,0),"")</f>
        <v/>
      </c>
      <c r="N3953" s="2" t="str">
        <f>IFERROR(VLOOKUP(ROWS($N$2:N3953),$D$2:$E$1996,2,0),"")</f>
        <v/>
      </c>
    </row>
    <row r="3954" spans="2:14">
      <c r="B3954" s="32">
        <f>IF(ISNUMBER(SEARCH('Φόρμα Εισαγωγής'!$B$2,C3954)),MAX($B$1:B3953)+1,0)</f>
        <v>0</v>
      </c>
      <c r="D3954" s="33">
        <f>IF(ISNUMBER(SEARCH('Φόρμα Εισαγωγής'!$C$2,E3954)),MAX($D$1:D3953)+1,0)</f>
        <v>0</v>
      </c>
      <c r="H3954" s="6">
        <f t="shared" si="194"/>
        <v>0</v>
      </c>
      <c r="I3954" s="6">
        <f t="shared" si="195"/>
        <v>0</v>
      </c>
      <c r="J3954" s="6">
        <f t="shared" si="196"/>
        <v>0</v>
      </c>
      <c r="L3954" s="4" t="str">
        <f>IFERROR(VLOOKUP(ROWS($L$2:L3954),$B$2:$C$1996,2,0),"")</f>
        <v/>
      </c>
      <c r="N3954" s="2" t="str">
        <f>IFERROR(VLOOKUP(ROWS($N$2:N3954),$D$2:$E$1996,2,0),"")</f>
        <v/>
      </c>
    </row>
    <row r="3955" spans="2:14">
      <c r="B3955" s="32">
        <f>IF(ISNUMBER(SEARCH('Φόρμα Εισαγωγής'!$B$2,C3955)),MAX($B$1:B3954)+1,0)</f>
        <v>0</v>
      </c>
      <c r="D3955" s="33">
        <f>IF(ISNUMBER(SEARCH('Φόρμα Εισαγωγής'!$C$2,E3955)),MAX($D$1:D3954)+1,0)</f>
        <v>0</v>
      </c>
      <c r="H3955" s="6">
        <f t="shared" si="194"/>
        <v>0</v>
      </c>
      <c r="I3955" s="6">
        <f t="shared" si="195"/>
        <v>0</v>
      </c>
      <c r="J3955" s="6">
        <f t="shared" si="196"/>
        <v>0</v>
      </c>
      <c r="L3955" s="4" t="str">
        <f>IFERROR(VLOOKUP(ROWS($L$2:L3955),$B$2:$C$1996,2,0),"")</f>
        <v/>
      </c>
      <c r="N3955" s="2" t="str">
        <f>IFERROR(VLOOKUP(ROWS($N$2:N3955),$D$2:$E$1996,2,0),"")</f>
        <v/>
      </c>
    </row>
    <row r="3956" spans="2:14">
      <c r="B3956" s="32">
        <f>IF(ISNUMBER(SEARCH('Φόρμα Εισαγωγής'!$B$2,C3956)),MAX($B$1:B3955)+1,0)</f>
        <v>0</v>
      </c>
      <c r="D3956" s="33">
        <f>IF(ISNUMBER(SEARCH('Φόρμα Εισαγωγής'!$C$2,E3956)),MAX($D$1:D3955)+1,0)</f>
        <v>0</v>
      </c>
      <c r="H3956" s="6">
        <f t="shared" si="194"/>
        <v>0</v>
      </c>
      <c r="I3956" s="6">
        <f t="shared" si="195"/>
        <v>0</v>
      </c>
      <c r="J3956" s="6">
        <f t="shared" si="196"/>
        <v>0</v>
      </c>
      <c r="L3956" s="4" t="str">
        <f>IFERROR(VLOOKUP(ROWS($L$2:L3956),$B$2:$C$1996,2,0),"")</f>
        <v/>
      </c>
      <c r="N3956" s="2" t="str">
        <f>IFERROR(VLOOKUP(ROWS($N$2:N3956),$D$2:$E$1996,2,0),"")</f>
        <v/>
      </c>
    </row>
    <row r="3957" spans="2:14">
      <c r="B3957" s="32">
        <f>IF(ISNUMBER(SEARCH('Φόρμα Εισαγωγής'!$B$2,C3957)),MAX($B$1:B3956)+1,0)</f>
        <v>0</v>
      </c>
      <c r="D3957" s="33">
        <f>IF(ISNUMBER(SEARCH('Φόρμα Εισαγωγής'!$C$2,E3957)),MAX($D$1:D3956)+1,0)</f>
        <v>0</v>
      </c>
      <c r="H3957" s="6">
        <f t="shared" si="194"/>
        <v>0</v>
      </c>
      <c r="I3957" s="6">
        <f t="shared" si="195"/>
        <v>0</v>
      </c>
      <c r="J3957" s="6">
        <f t="shared" si="196"/>
        <v>0</v>
      </c>
      <c r="L3957" s="4" t="str">
        <f>IFERROR(VLOOKUP(ROWS($L$2:L3957),$B$2:$C$1996,2,0),"")</f>
        <v/>
      </c>
      <c r="N3957" s="2" t="str">
        <f>IFERROR(VLOOKUP(ROWS($N$2:N3957),$D$2:$E$1996,2,0),"")</f>
        <v/>
      </c>
    </row>
    <row r="3958" spans="2:14">
      <c r="B3958" s="32">
        <f>IF(ISNUMBER(SEARCH('Φόρμα Εισαγωγής'!$B$2,C3958)),MAX($B$1:B3957)+1,0)</f>
        <v>0</v>
      </c>
      <c r="D3958" s="33">
        <f>IF(ISNUMBER(SEARCH('Φόρμα Εισαγωγής'!$C$2,E3958)),MAX($D$1:D3957)+1,0)</f>
        <v>0</v>
      </c>
      <c r="H3958" s="6">
        <f t="shared" si="194"/>
        <v>0</v>
      </c>
      <c r="I3958" s="6">
        <f t="shared" si="195"/>
        <v>0</v>
      </c>
      <c r="J3958" s="6">
        <f t="shared" si="196"/>
        <v>0</v>
      </c>
      <c r="L3958" s="4" t="str">
        <f>IFERROR(VLOOKUP(ROWS($L$2:L3958),$B$2:$C$1996,2,0),"")</f>
        <v/>
      </c>
      <c r="N3958" s="2" t="str">
        <f>IFERROR(VLOOKUP(ROWS($N$2:N3958),$D$2:$E$1996,2,0),"")</f>
        <v/>
      </c>
    </row>
    <row r="3959" spans="2:14">
      <c r="B3959" s="32">
        <f>IF(ISNUMBER(SEARCH('Φόρμα Εισαγωγής'!$B$2,C3959)),MAX($B$1:B3958)+1,0)</f>
        <v>0</v>
      </c>
      <c r="D3959" s="33">
        <f>IF(ISNUMBER(SEARCH('Φόρμα Εισαγωγής'!$C$2,E3959)),MAX($D$1:D3958)+1,0)</f>
        <v>0</v>
      </c>
      <c r="H3959" s="6">
        <f t="shared" si="194"/>
        <v>0</v>
      </c>
      <c r="I3959" s="6">
        <f t="shared" si="195"/>
        <v>0</v>
      </c>
      <c r="J3959" s="6">
        <f t="shared" si="196"/>
        <v>0</v>
      </c>
      <c r="L3959" s="4" t="str">
        <f>IFERROR(VLOOKUP(ROWS($L$2:L3959),$B$2:$C$1996,2,0),"")</f>
        <v/>
      </c>
      <c r="N3959" s="2" t="str">
        <f>IFERROR(VLOOKUP(ROWS($N$2:N3959),$D$2:$E$1996,2,0),"")</f>
        <v/>
      </c>
    </row>
    <row r="3960" spans="2:14">
      <c r="B3960" s="32">
        <f>IF(ISNUMBER(SEARCH('Φόρμα Εισαγωγής'!$B$2,C3960)),MAX($B$1:B3959)+1,0)</f>
        <v>0</v>
      </c>
      <c r="D3960" s="33">
        <f>IF(ISNUMBER(SEARCH('Φόρμα Εισαγωγής'!$C$2,E3960)),MAX($D$1:D3959)+1,0)</f>
        <v>0</v>
      </c>
      <c r="H3960" s="6">
        <f t="shared" si="194"/>
        <v>0</v>
      </c>
      <c r="I3960" s="6">
        <f t="shared" si="195"/>
        <v>0</v>
      </c>
      <c r="J3960" s="6">
        <f t="shared" si="196"/>
        <v>0</v>
      </c>
      <c r="L3960" s="4" t="str">
        <f>IFERROR(VLOOKUP(ROWS($L$2:L3960),$B$2:$C$1996,2,0),"")</f>
        <v/>
      </c>
      <c r="N3960" s="2" t="str">
        <f>IFERROR(VLOOKUP(ROWS($N$2:N3960),$D$2:$E$1996,2,0),"")</f>
        <v/>
      </c>
    </row>
    <row r="3961" spans="2:14">
      <c r="B3961" s="32">
        <f>IF(ISNUMBER(SEARCH('Φόρμα Εισαγωγής'!$B$2,C3961)),MAX($B$1:B3960)+1,0)</f>
        <v>0</v>
      </c>
      <c r="D3961" s="33">
        <f>IF(ISNUMBER(SEARCH('Φόρμα Εισαγωγής'!$C$2,E3961)),MAX($D$1:D3960)+1,0)</f>
        <v>0</v>
      </c>
      <c r="H3961" s="6">
        <f t="shared" si="194"/>
        <v>0</v>
      </c>
      <c r="I3961" s="6">
        <f t="shared" si="195"/>
        <v>0</v>
      </c>
      <c r="J3961" s="6">
        <f t="shared" si="196"/>
        <v>0</v>
      </c>
      <c r="L3961" s="4" t="str">
        <f>IFERROR(VLOOKUP(ROWS($L$2:L3961),$B$2:$C$1996,2,0),"")</f>
        <v/>
      </c>
      <c r="N3961" s="2" t="str">
        <f>IFERROR(VLOOKUP(ROWS($N$2:N3961),$D$2:$E$1996,2,0),"")</f>
        <v/>
      </c>
    </row>
    <row r="3962" spans="2:14">
      <c r="B3962" s="32">
        <f>IF(ISNUMBER(SEARCH('Φόρμα Εισαγωγής'!$B$2,C3962)),MAX($B$1:B3961)+1,0)</f>
        <v>0</v>
      </c>
      <c r="D3962" s="33">
        <f>IF(ISNUMBER(SEARCH('Φόρμα Εισαγωγής'!$C$2,E3962)),MAX($D$1:D3961)+1,0)</f>
        <v>0</v>
      </c>
      <c r="H3962" s="6">
        <f t="shared" si="194"/>
        <v>0</v>
      </c>
      <c r="I3962" s="6">
        <f t="shared" si="195"/>
        <v>0</v>
      </c>
      <c r="J3962" s="6">
        <f t="shared" si="196"/>
        <v>0</v>
      </c>
      <c r="L3962" s="4" t="str">
        <f>IFERROR(VLOOKUP(ROWS($L$2:L3962),$B$2:$C$1996,2,0),"")</f>
        <v/>
      </c>
      <c r="N3962" s="2" t="str">
        <f>IFERROR(VLOOKUP(ROWS($N$2:N3962),$D$2:$E$1996,2,0),"")</f>
        <v/>
      </c>
    </row>
    <row r="3963" spans="2:14">
      <c r="B3963" s="32">
        <f>IF(ISNUMBER(SEARCH('Φόρμα Εισαγωγής'!$B$2,C3963)),MAX($B$1:B3962)+1,0)</f>
        <v>0</v>
      </c>
      <c r="D3963" s="33">
        <f>IF(ISNUMBER(SEARCH('Φόρμα Εισαγωγής'!$C$2,E3963)),MAX($D$1:D3962)+1,0)</f>
        <v>0</v>
      </c>
      <c r="H3963" s="6">
        <f t="shared" si="194"/>
        <v>0</v>
      </c>
      <c r="I3963" s="6">
        <f t="shared" si="195"/>
        <v>0</v>
      </c>
      <c r="J3963" s="6">
        <f t="shared" si="196"/>
        <v>0</v>
      </c>
      <c r="L3963" s="4" t="str">
        <f>IFERROR(VLOOKUP(ROWS($L$2:L3963),$B$2:$C$1996,2,0),"")</f>
        <v/>
      </c>
      <c r="N3963" s="2" t="str">
        <f>IFERROR(VLOOKUP(ROWS($N$2:N3963),$D$2:$E$1996,2,0),"")</f>
        <v/>
      </c>
    </row>
    <row r="3964" spans="2:14">
      <c r="B3964" s="32">
        <f>IF(ISNUMBER(SEARCH('Φόρμα Εισαγωγής'!$B$2,C3964)),MAX($B$1:B3963)+1,0)</f>
        <v>0</v>
      </c>
      <c r="D3964" s="33">
        <f>IF(ISNUMBER(SEARCH('Φόρμα Εισαγωγής'!$C$2,E3964)),MAX($D$1:D3963)+1,0)</f>
        <v>0</v>
      </c>
      <c r="H3964" s="6">
        <f t="shared" si="194"/>
        <v>0</v>
      </c>
      <c r="I3964" s="6">
        <f t="shared" si="195"/>
        <v>0</v>
      </c>
      <c r="J3964" s="6">
        <f t="shared" si="196"/>
        <v>0</v>
      </c>
      <c r="L3964" s="4" t="str">
        <f>IFERROR(VLOOKUP(ROWS($L$2:L3964),$B$2:$C$1996,2,0),"")</f>
        <v/>
      </c>
      <c r="N3964" s="2" t="str">
        <f>IFERROR(VLOOKUP(ROWS($N$2:N3964),$D$2:$E$1996,2,0),"")</f>
        <v/>
      </c>
    </row>
    <row r="3965" spans="2:14">
      <c r="B3965" s="32">
        <f>IF(ISNUMBER(SEARCH('Φόρμα Εισαγωγής'!$B$2,C3965)),MAX($B$1:B3964)+1,0)</f>
        <v>0</v>
      </c>
      <c r="D3965" s="33">
        <f>IF(ISNUMBER(SEARCH('Φόρμα Εισαγωγής'!$C$2,E3965)),MAX($D$1:D3964)+1,0)</f>
        <v>0</v>
      </c>
      <c r="H3965" s="6">
        <f t="shared" si="194"/>
        <v>0</v>
      </c>
      <c r="I3965" s="6">
        <f t="shared" si="195"/>
        <v>0</v>
      </c>
      <c r="J3965" s="6">
        <f t="shared" si="196"/>
        <v>0</v>
      </c>
      <c r="L3965" s="4" t="str">
        <f>IFERROR(VLOOKUP(ROWS($L$2:L3965),$B$2:$C$1996,2,0),"")</f>
        <v/>
      </c>
      <c r="N3965" s="2" t="str">
        <f>IFERROR(VLOOKUP(ROWS($N$2:N3965),$D$2:$E$1996,2,0),"")</f>
        <v/>
      </c>
    </row>
    <row r="3966" spans="2:14">
      <c r="B3966" s="32">
        <f>IF(ISNUMBER(SEARCH('Φόρμα Εισαγωγής'!$B$2,C3966)),MAX($B$1:B3965)+1,0)</f>
        <v>0</v>
      </c>
      <c r="D3966" s="33">
        <f>IF(ISNUMBER(SEARCH('Φόρμα Εισαγωγής'!$C$2,E3966)),MAX($D$1:D3965)+1,0)</f>
        <v>0</v>
      </c>
      <c r="H3966" s="6">
        <f t="shared" si="194"/>
        <v>0</v>
      </c>
      <c r="I3966" s="6">
        <f t="shared" si="195"/>
        <v>0</v>
      </c>
      <c r="J3966" s="6">
        <f t="shared" si="196"/>
        <v>0</v>
      </c>
      <c r="L3966" s="4" t="str">
        <f>IFERROR(VLOOKUP(ROWS($L$2:L3966),$B$2:$C$1996,2,0),"")</f>
        <v/>
      </c>
      <c r="N3966" s="2" t="str">
        <f>IFERROR(VLOOKUP(ROWS($N$2:N3966),$D$2:$E$1996,2,0),"")</f>
        <v/>
      </c>
    </row>
    <row r="3967" spans="2:14">
      <c r="B3967" s="32">
        <f>IF(ISNUMBER(SEARCH('Φόρμα Εισαγωγής'!$B$2,C3967)),MAX($B$1:B3966)+1,0)</f>
        <v>0</v>
      </c>
      <c r="D3967" s="33">
        <f>IF(ISNUMBER(SEARCH('Φόρμα Εισαγωγής'!$C$2,E3967)),MAX($D$1:D3966)+1,0)</f>
        <v>0</v>
      </c>
      <c r="H3967" s="6">
        <f t="shared" si="194"/>
        <v>0</v>
      </c>
      <c r="I3967" s="6">
        <f t="shared" si="195"/>
        <v>0</v>
      </c>
      <c r="J3967" s="6">
        <f t="shared" si="196"/>
        <v>0</v>
      </c>
      <c r="L3967" s="4" t="str">
        <f>IFERROR(VLOOKUP(ROWS($L$2:L3967),$B$2:$C$1996,2,0),"")</f>
        <v/>
      </c>
      <c r="N3967" s="2" t="str">
        <f>IFERROR(VLOOKUP(ROWS($N$2:N3967),$D$2:$E$1996,2,0),"")</f>
        <v/>
      </c>
    </row>
    <row r="3968" spans="2:14">
      <c r="B3968" s="32">
        <f>IF(ISNUMBER(SEARCH('Φόρμα Εισαγωγής'!$B$2,C3968)),MAX($B$1:B3967)+1,0)</f>
        <v>0</v>
      </c>
      <c r="D3968" s="33">
        <f>IF(ISNUMBER(SEARCH('Φόρμα Εισαγωγής'!$C$2,E3968)),MAX($D$1:D3967)+1,0)</f>
        <v>0</v>
      </c>
      <c r="H3968" s="6">
        <f t="shared" ref="H3968:H4031" si="197">G3968+(G3968*0.24)</f>
        <v>0</v>
      </c>
      <c r="I3968" s="6">
        <f t="shared" ref="I3968:I4031" si="198">F3968*A3968</f>
        <v>0</v>
      </c>
      <c r="J3968" s="6">
        <f t="shared" ref="J3968:J4031" si="199">H3968*A3968</f>
        <v>0</v>
      </c>
      <c r="L3968" s="4" t="str">
        <f>IFERROR(VLOOKUP(ROWS($L$2:L3968),$B$2:$C$1996,2,0),"")</f>
        <v/>
      </c>
      <c r="N3968" s="2" t="str">
        <f>IFERROR(VLOOKUP(ROWS($N$2:N3968),$D$2:$E$1996,2,0),"")</f>
        <v/>
      </c>
    </row>
    <row r="3969" spans="2:14">
      <c r="B3969" s="32">
        <f>IF(ISNUMBER(SEARCH('Φόρμα Εισαγωγής'!$B$2,C3969)),MAX($B$1:B3968)+1,0)</f>
        <v>0</v>
      </c>
      <c r="D3969" s="33">
        <f>IF(ISNUMBER(SEARCH('Φόρμα Εισαγωγής'!$C$2,E3969)),MAX($D$1:D3968)+1,0)</f>
        <v>0</v>
      </c>
      <c r="H3969" s="6">
        <f t="shared" si="197"/>
        <v>0</v>
      </c>
      <c r="I3969" s="6">
        <f t="shared" si="198"/>
        <v>0</v>
      </c>
      <c r="J3969" s="6">
        <f t="shared" si="199"/>
        <v>0</v>
      </c>
      <c r="L3969" s="4" t="str">
        <f>IFERROR(VLOOKUP(ROWS($L$2:L3969),$B$2:$C$1996,2,0),"")</f>
        <v/>
      </c>
      <c r="N3969" s="2" t="str">
        <f>IFERROR(VLOOKUP(ROWS($N$2:N3969),$D$2:$E$1996,2,0),"")</f>
        <v/>
      </c>
    </row>
    <row r="3970" spans="2:14">
      <c r="B3970" s="32">
        <f>IF(ISNUMBER(SEARCH('Φόρμα Εισαγωγής'!$B$2,C3970)),MAX($B$1:B3969)+1,0)</f>
        <v>0</v>
      </c>
      <c r="D3970" s="33">
        <f>IF(ISNUMBER(SEARCH('Φόρμα Εισαγωγής'!$C$2,E3970)),MAX($D$1:D3969)+1,0)</f>
        <v>0</v>
      </c>
      <c r="H3970" s="6">
        <f t="shared" si="197"/>
        <v>0</v>
      </c>
      <c r="I3970" s="6">
        <f t="shared" si="198"/>
        <v>0</v>
      </c>
      <c r="J3970" s="6">
        <f t="shared" si="199"/>
        <v>0</v>
      </c>
      <c r="L3970" s="4" t="str">
        <f>IFERROR(VLOOKUP(ROWS($L$2:L3970),$B$2:$C$1996,2,0),"")</f>
        <v/>
      </c>
      <c r="N3970" s="2" t="str">
        <f>IFERROR(VLOOKUP(ROWS($N$2:N3970),$D$2:$E$1996,2,0),"")</f>
        <v/>
      </c>
    </row>
    <row r="3971" spans="2:14">
      <c r="B3971" s="32">
        <f>IF(ISNUMBER(SEARCH('Φόρμα Εισαγωγής'!$B$2,C3971)),MAX($B$1:B3970)+1,0)</f>
        <v>0</v>
      </c>
      <c r="D3971" s="33">
        <f>IF(ISNUMBER(SEARCH('Φόρμα Εισαγωγής'!$C$2,E3971)),MAX($D$1:D3970)+1,0)</f>
        <v>0</v>
      </c>
      <c r="H3971" s="6">
        <f t="shared" si="197"/>
        <v>0</v>
      </c>
      <c r="I3971" s="6">
        <f t="shared" si="198"/>
        <v>0</v>
      </c>
      <c r="J3971" s="6">
        <f t="shared" si="199"/>
        <v>0</v>
      </c>
      <c r="L3971" s="4" t="str">
        <f>IFERROR(VLOOKUP(ROWS($L$2:L3971),$B$2:$C$1996,2,0),"")</f>
        <v/>
      </c>
      <c r="N3971" s="2" t="str">
        <f>IFERROR(VLOOKUP(ROWS($N$2:N3971),$D$2:$E$1996,2,0),"")</f>
        <v/>
      </c>
    </row>
    <row r="3972" spans="2:14">
      <c r="B3972" s="32">
        <f>IF(ISNUMBER(SEARCH('Φόρμα Εισαγωγής'!$B$2,C3972)),MAX($B$1:B3971)+1,0)</f>
        <v>0</v>
      </c>
      <c r="D3972" s="33">
        <f>IF(ISNUMBER(SEARCH('Φόρμα Εισαγωγής'!$C$2,E3972)),MAX($D$1:D3971)+1,0)</f>
        <v>0</v>
      </c>
      <c r="H3972" s="6">
        <f t="shared" si="197"/>
        <v>0</v>
      </c>
      <c r="I3972" s="6">
        <f t="shared" si="198"/>
        <v>0</v>
      </c>
      <c r="J3972" s="6">
        <f t="shared" si="199"/>
        <v>0</v>
      </c>
      <c r="L3972" s="4" t="str">
        <f>IFERROR(VLOOKUP(ROWS($L$2:L3972),$B$2:$C$1996,2,0),"")</f>
        <v/>
      </c>
      <c r="N3972" s="2" t="str">
        <f>IFERROR(VLOOKUP(ROWS($N$2:N3972),$D$2:$E$1996,2,0),"")</f>
        <v/>
      </c>
    </row>
    <row r="3973" spans="2:14">
      <c r="B3973" s="32">
        <f>IF(ISNUMBER(SEARCH('Φόρμα Εισαγωγής'!$B$2,C3973)),MAX($B$1:B3972)+1,0)</f>
        <v>0</v>
      </c>
      <c r="D3973" s="33">
        <f>IF(ISNUMBER(SEARCH('Φόρμα Εισαγωγής'!$C$2,E3973)),MAX($D$1:D3972)+1,0)</f>
        <v>0</v>
      </c>
      <c r="H3973" s="6">
        <f t="shared" si="197"/>
        <v>0</v>
      </c>
      <c r="I3973" s="6">
        <f t="shared" si="198"/>
        <v>0</v>
      </c>
      <c r="J3973" s="6">
        <f t="shared" si="199"/>
        <v>0</v>
      </c>
      <c r="L3973" s="4" t="str">
        <f>IFERROR(VLOOKUP(ROWS($L$2:L3973),$B$2:$C$1996,2,0),"")</f>
        <v/>
      </c>
      <c r="N3973" s="2" t="str">
        <f>IFERROR(VLOOKUP(ROWS($N$2:N3973),$D$2:$E$1996,2,0),"")</f>
        <v/>
      </c>
    </row>
    <row r="3974" spans="2:14">
      <c r="B3974" s="32">
        <f>IF(ISNUMBER(SEARCH('Φόρμα Εισαγωγής'!$B$2,C3974)),MAX($B$1:B3973)+1,0)</f>
        <v>0</v>
      </c>
      <c r="D3974" s="33">
        <f>IF(ISNUMBER(SEARCH('Φόρμα Εισαγωγής'!$C$2,E3974)),MAX($D$1:D3973)+1,0)</f>
        <v>0</v>
      </c>
      <c r="H3974" s="6">
        <f t="shared" si="197"/>
        <v>0</v>
      </c>
      <c r="I3974" s="6">
        <f t="shared" si="198"/>
        <v>0</v>
      </c>
      <c r="J3974" s="6">
        <f t="shared" si="199"/>
        <v>0</v>
      </c>
      <c r="L3974" s="4" t="str">
        <f>IFERROR(VLOOKUP(ROWS($L$2:L3974),$B$2:$C$1996,2,0),"")</f>
        <v/>
      </c>
      <c r="N3974" s="2" t="str">
        <f>IFERROR(VLOOKUP(ROWS($N$2:N3974),$D$2:$E$1996,2,0),"")</f>
        <v/>
      </c>
    </row>
    <row r="3975" spans="2:14">
      <c r="B3975" s="32">
        <f>IF(ISNUMBER(SEARCH('Φόρμα Εισαγωγής'!$B$2,C3975)),MAX($B$1:B3974)+1,0)</f>
        <v>0</v>
      </c>
      <c r="D3975" s="33">
        <f>IF(ISNUMBER(SEARCH('Φόρμα Εισαγωγής'!$C$2,E3975)),MAX($D$1:D3974)+1,0)</f>
        <v>0</v>
      </c>
      <c r="H3975" s="6">
        <f t="shared" si="197"/>
        <v>0</v>
      </c>
      <c r="I3975" s="6">
        <f t="shared" si="198"/>
        <v>0</v>
      </c>
      <c r="J3975" s="6">
        <f t="shared" si="199"/>
        <v>0</v>
      </c>
      <c r="L3975" s="4" t="str">
        <f>IFERROR(VLOOKUP(ROWS($L$2:L3975),$B$2:$C$1996,2,0),"")</f>
        <v/>
      </c>
      <c r="N3975" s="2" t="str">
        <f>IFERROR(VLOOKUP(ROWS($N$2:N3975),$D$2:$E$1996,2,0),"")</f>
        <v/>
      </c>
    </row>
    <row r="3976" spans="2:14">
      <c r="B3976" s="32">
        <f>IF(ISNUMBER(SEARCH('Φόρμα Εισαγωγής'!$B$2,C3976)),MAX($B$1:B3975)+1,0)</f>
        <v>0</v>
      </c>
      <c r="D3976" s="33">
        <f>IF(ISNUMBER(SEARCH('Φόρμα Εισαγωγής'!$C$2,E3976)),MAX($D$1:D3975)+1,0)</f>
        <v>0</v>
      </c>
      <c r="H3976" s="6">
        <f t="shared" si="197"/>
        <v>0</v>
      </c>
      <c r="I3976" s="6">
        <f t="shared" si="198"/>
        <v>0</v>
      </c>
      <c r="J3976" s="6">
        <f t="shared" si="199"/>
        <v>0</v>
      </c>
      <c r="L3976" s="4" t="str">
        <f>IFERROR(VLOOKUP(ROWS($L$2:L3976),$B$2:$C$1996,2,0),"")</f>
        <v/>
      </c>
      <c r="N3976" s="2" t="str">
        <f>IFERROR(VLOOKUP(ROWS($N$2:N3976),$D$2:$E$1996,2,0),"")</f>
        <v/>
      </c>
    </row>
    <row r="3977" spans="2:14">
      <c r="B3977" s="32">
        <f>IF(ISNUMBER(SEARCH('Φόρμα Εισαγωγής'!$B$2,C3977)),MAX($B$1:B3976)+1,0)</f>
        <v>0</v>
      </c>
      <c r="D3977" s="33">
        <f>IF(ISNUMBER(SEARCH('Φόρμα Εισαγωγής'!$C$2,E3977)),MAX($D$1:D3976)+1,0)</f>
        <v>0</v>
      </c>
      <c r="H3977" s="6">
        <f t="shared" si="197"/>
        <v>0</v>
      </c>
      <c r="I3977" s="6">
        <f t="shared" si="198"/>
        <v>0</v>
      </c>
      <c r="J3977" s="6">
        <f t="shared" si="199"/>
        <v>0</v>
      </c>
      <c r="L3977" s="4" t="str">
        <f>IFERROR(VLOOKUP(ROWS($L$2:L3977),$B$2:$C$1996,2,0),"")</f>
        <v/>
      </c>
      <c r="N3977" s="2" t="str">
        <f>IFERROR(VLOOKUP(ROWS($N$2:N3977),$D$2:$E$1996,2,0),"")</f>
        <v/>
      </c>
    </row>
    <row r="3978" spans="2:14">
      <c r="B3978" s="32">
        <f>IF(ISNUMBER(SEARCH('Φόρμα Εισαγωγής'!$B$2,C3978)),MAX($B$1:B3977)+1,0)</f>
        <v>0</v>
      </c>
      <c r="D3978" s="33">
        <f>IF(ISNUMBER(SEARCH('Φόρμα Εισαγωγής'!$C$2,E3978)),MAX($D$1:D3977)+1,0)</f>
        <v>0</v>
      </c>
      <c r="H3978" s="6">
        <f t="shared" si="197"/>
        <v>0</v>
      </c>
      <c r="I3978" s="6">
        <f t="shared" si="198"/>
        <v>0</v>
      </c>
      <c r="J3978" s="6">
        <f t="shared" si="199"/>
        <v>0</v>
      </c>
      <c r="L3978" s="4" t="str">
        <f>IFERROR(VLOOKUP(ROWS($L$2:L3978),$B$2:$C$1996,2,0),"")</f>
        <v/>
      </c>
      <c r="N3978" s="2" t="str">
        <f>IFERROR(VLOOKUP(ROWS($N$2:N3978),$D$2:$E$1996,2,0),"")</f>
        <v/>
      </c>
    </row>
    <row r="3979" spans="2:14">
      <c r="B3979" s="32">
        <f>IF(ISNUMBER(SEARCH('Φόρμα Εισαγωγής'!$B$2,C3979)),MAX($B$1:B3978)+1,0)</f>
        <v>0</v>
      </c>
      <c r="D3979" s="33">
        <f>IF(ISNUMBER(SEARCH('Φόρμα Εισαγωγής'!$C$2,E3979)),MAX($D$1:D3978)+1,0)</f>
        <v>0</v>
      </c>
      <c r="H3979" s="6">
        <f t="shared" si="197"/>
        <v>0</v>
      </c>
      <c r="I3979" s="6">
        <f t="shared" si="198"/>
        <v>0</v>
      </c>
      <c r="J3979" s="6">
        <f t="shared" si="199"/>
        <v>0</v>
      </c>
      <c r="L3979" s="4" t="str">
        <f>IFERROR(VLOOKUP(ROWS($L$2:L3979),$B$2:$C$1996,2,0),"")</f>
        <v/>
      </c>
      <c r="N3979" s="2" t="str">
        <f>IFERROR(VLOOKUP(ROWS($N$2:N3979),$D$2:$E$1996,2,0),"")</f>
        <v/>
      </c>
    </row>
    <row r="3980" spans="2:14">
      <c r="B3980" s="32">
        <f>IF(ISNUMBER(SEARCH('Φόρμα Εισαγωγής'!$B$2,C3980)),MAX($B$1:B3979)+1,0)</f>
        <v>0</v>
      </c>
      <c r="D3980" s="33">
        <f>IF(ISNUMBER(SEARCH('Φόρμα Εισαγωγής'!$C$2,E3980)),MAX($D$1:D3979)+1,0)</f>
        <v>0</v>
      </c>
      <c r="H3980" s="6">
        <f t="shared" si="197"/>
        <v>0</v>
      </c>
      <c r="I3980" s="6">
        <f t="shared" si="198"/>
        <v>0</v>
      </c>
      <c r="J3980" s="6">
        <f t="shared" si="199"/>
        <v>0</v>
      </c>
      <c r="L3980" s="4" t="str">
        <f>IFERROR(VLOOKUP(ROWS($L$2:L3980),$B$2:$C$1996,2,0),"")</f>
        <v/>
      </c>
      <c r="N3980" s="2" t="str">
        <f>IFERROR(VLOOKUP(ROWS($N$2:N3980),$D$2:$E$1996,2,0),"")</f>
        <v/>
      </c>
    </row>
    <row r="3981" spans="2:14">
      <c r="B3981" s="32">
        <f>IF(ISNUMBER(SEARCH('Φόρμα Εισαγωγής'!$B$2,C3981)),MAX($B$1:B3980)+1,0)</f>
        <v>0</v>
      </c>
      <c r="D3981" s="33">
        <f>IF(ISNUMBER(SEARCH('Φόρμα Εισαγωγής'!$C$2,E3981)),MAX($D$1:D3980)+1,0)</f>
        <v>0</v>
      </c>
      <c r="H3981" s="6">
        <f t="shared" si="197"/>
        <v>0</v>
      </c>
      <c r="I3981" s="6">
        <f t="shared" si="198"/>
        <v>0</v>
      </c>
      <c r="J3981" s="6">
        <f t="shared" si="199"/>
        <v>0</v>
      </c>
      <c r="L3981" s="4" t="str">
        <f>IFERROR(VLOOKUP(ROWS($L$2:L3981),$B$2:$C$1996,2,0),"")</f>
        <v/>
      </c>
      <c r="N3981" s="2" t="str">
        <f>IFERROR(VLOOKUP(ROWS($N$2:N3981),$D$2:$E$1996,2,0),"")</f>
        <v/>
      </c>
    </row>
    <row r="3982" spans="2:14">
      <c r="B3982" s="32">
        <f>IF(ISNUMBER(SEARCH('Φόρμα Εισαγωγής'!$B$2,C3982)),MAX($B$1:B3981)+1,0)</f>
        <v>0</v>
      </c>
      <c r="D3982" s="33">
        <f>IF(ISNUMBER(SEARCH('Φόρμα Εισαγωγής'!$C$2,E3982)),MAX($D$1:D3981)+1,0)</f>
        <v>0</v>
      </c>
      <c r="H3982" s="6">
        <f t="shared" si="197"/>
        <v>0</v>
      </c>
      <c r="I3982" s="6">
        <f t="shared" si="198"/>
        <v>0</v>
      </c>
      <c r="J3982" s="6">
        <f t="shared" si="199"/>
        <v>0</v>
      </c>
      <c r="L3982" s="4" t="str">
        <f>IFERROR(VLOOKUP(ROWS($L$2:L3982),$B$2:$C$1996,2,0),"")</f>
        <v/>
      </c>
      <c r="N3982" s="2" t="str">
        <f>IFERROR(VLOOKUP(ROWS($N$2:N3982),$D$2:$E$1996,2,0),"")</f>
        <v/>
      </c>
    </row>
    <row r="3983" spans="2:14">
      <c r="B3983" s="32">
        <f>IF(ISNUMBER(SEARCH('Φόρμα Εισαγωγής'!$B$2,C3983)),MAX($B$1:B3982)+1,0)</f>
        <v>0</v>
      </c>
      <c r="D3983" s="33">
        <f>IF(ISNUMBER(SEARCH('Φόρμα Εισαγωγής'!$C$2,E3983)),MAX($D$1:D3982)+1,0)</f>
        <v>0</v>
      </c>
      <c r="H3983" s="6">
        <f t="shared" si="197"/>
        <v>0</v>
      </c>
      <c r="I3983" s="6">
        <f t="shared" si="198"/>
        <v>0</v>
      </c>
      <c r="J3983" s="6">
        <f t="shared" si="199"/>
        <v>0</v>
      </c>
      <c r="L3983" s="4" t="str">
        <f>IFERROR(VLOOKUP(ROWS($L$2:L3983),$B$2:$C$1996,2,0),"")</f>
        <v/>
      </c>
      <c r="N3983" s="2" t="str">
        <f>IFERROR(VLOOKUP(ROWS($N$2:N3983),$D$2:$E$1996,2,0),"")</f>
        <v/>
      </c>
    </row>
    <row r="3984" spans="2:14">
      <c r="B3984" s="32">
        <f>IF(ISNUMBER(SEARCH('Φόρμα Εισαγωγής'!$B$2,C3984)),MAX($B$1:B3983)+1,0)</f>
        <v>0</v>
      </c>
      <c r="D3984" s="33">
        <f>IF(ISNUMBER(SEARCH('Φόρμα Εισαγωγής'!$C$2,E3984)),MAX($D$1:D3983)+1,0)</f>
        <v>0</v>
      </c>
      <c r="H3984" s="6">
        <f t="shared" si="197"/>
        <v>0</v>
      </c>
      <c r="I3984" s="6">
        <f t="shared" si="198"/>
        <v>0</v>
      </c>
      <c r="J3984" s="6">
        <f t="shared" si="199"/>
        <v>0</v>
      </c>
      <c r="L3984" s="4" t="str">
        <f>IFERROR(VLOOKUP(ROWS($L$2:L3984),$B$2:$C$1996,2,0),"")</f>
        <v/>
      </c>
      <c r="N3984" s="2" t="str">
        <f>IFERROR(VLOOKUP(ROWS($N$2:N3984),$D$2:$E$1996,2,0),"")</f>
        <v/>
      </c>
    </row>
    <row r="3985" spans="2:14">
      <c r="B3985" s="32">
        <f>IF(ISNUMBER(SEARCH('Φόρμα Εισαγωγής'!$B$2,C3985)),MAX($B$1:B3984)+1,0)</f>
        <v>0</v>
      </c>
      <c r="D3985" s="33">
        <f>IF(ISNUMBER(SEARCH('Φόρμα Εισαγωγής'!$C$2,E3985)),MAX($D$1:D3984)+1,0)</f>
        <v>0</v>
      </c>
      <c r="H3985" s="6">
        <f t="shared" si="197"/>
        <v>0</v>
      </c>
      <c r="I3985" s="6">
        <f t="shared" si="198"/>
        <v>0</v>
      </c>
      <c r="J3985" s="6">
        <f t="shared" si="199"/>
        <v>0</v>
      </c>
      <c r="L3985" s="4" t="str">
        <f>IFERROR(VLOOKUP(ROWS($L$2:L3985),$B$2:$C$1996,2,0),"")</f>
        <v/>
      </c>
      <c r="N3985" s="2" t="str">
        <f>IFERROR(VLOOKUP(ROWS($N$2:N3985),$D$2:$E$1996,2,0),"")</f>
        <v/>
      </c>
    </row>
    <row r="3986" spans="2:14">
      <c r="B3986" s="32">
        <f>IF(ISNUMBER(SEARCH('Φόρμα Εισαγωγής'!$B$2,C3986)),MAX($B$1:B3985)+1,0)</f>
        <v>0</v>
      </c>
      <c r="D3986" s="33">
        <f>IF(ISNUMBER(SEARCH('Φόρμα Εισαγωγής'!$C$2,E3986)),MAX($D$1:D3985)+1,0)</f>
        <v>0</v>
      </c>
      <c r="H3986" s="6">
        <f t="shared" si="197"/>
        <v>0</v>
      </c>
      <c r="I3986" s="6">
        <f t="shared" si="198"/>
        <v>0</v>
      </c>
      <c r="J3986" s="6">
        <f t="shared" si="199"/>
        <v>0</v>
      </c>
      <c r="L3986" s="4" t="str">
        <f>IFERROR(VLOOKUP(ROWS($L$2:L3986),$B$2:$C$1996,2,0),"")</f>
        <v/>
      </c>
      <c r="N3986" s="2" t="str">
        <f>IFERROR(VLOOKUP(ROWS($N$2:N3986),$D$2:$E$1996,2,0),"")</f>
        <v/>
      </c>
    </row>
    <row r="3987" spans="2:14">
      <c r="B3987" s="32">
        <f>IF(ISNUMBER(SEARCH('Φόρμα Εισαγωγής'!$B$2,C3987)),MAX($B$1:B3986)+1,0)</f>
        <v>0</v>
      </c>
      <c r="D3987" s="33">
        <f>IF(ISNUMBER(SEARCH('Φόρμα Εισαγωγής'!$C$2,E3987)),MAX($D$1:D3986)+1,0)</f>
        <v>0</v>
      </c>
      <c r="H3987" s="6">
        <f t="shared" si="197"/>
        <v>0</v>
      </c>
      <c r="I3987" s="6">
        <f t="shared" si="198"/>
        <v>0</v>
      </c>
      <c r="J3987" s="6">
        <f t="shared" si="199"/>
        <v>0</v>
      </c>
      <c r="L3987" s="4" t="str">
        <f>IFERROR(VLOOKUP(ROWS($L$2:L3987),$B$2:$C$1996,2,0),"")</f>
        <v/>
      </c>
      <c r="N3987" s="2" t="str">
        <f>IFERROR(VLOOKUP(ROWS($N$2:N3987),$D$2:$E$1996,2,0),"")</f>
        <v/>
      </c>
    </row>
    <row r="3988" spans="2:14">
      <c r="B3988" s="32">
        <f>IF(ISNUMBER(SEARCH('Φόρμα Εισαγωγής'!$B$2,C3988)),MAX($B$1:B3987)+1,0)</f>
        <v>0</v>
      </c>
      <c r="D3988" s="33">
        <f>IF(ISNUMBER(SEARCH('Φόρμα Εισαγωγής'!$C$2,E3988)),MAX($D$1:D3987)+1,0)</f>
        <v>0</v>
      </c>
      <c r="H3988" s="6">
        <f t="shared" si="197"/>
        <v>0</v>
      </c>
      <c r="I3988" s="6">
        <f t="shared" si="198"/>
        <v>0</v>
      </c>
      <c r="J3988" s="6">
        <f t="shared" si="199"/>
        <v>0</v>
      </c>
      <c r="L3988" s="4" t="str">
        <f>IFERROR(VLOOKUP(ROWS($L$2:L3988),$B$2:$C$1996,2,0),"")</f>
        <v/>
      </c>
      <c r="N3988" s="2" t="str">
        <f>IFERROR(VLOOKUP(ROWS($N$2:N3988),$D$2:$E$1996,2,0),"")</f>
        <v/>
      </c>
    </row>
    <row r="3989" spans="2:14">
      <c r="B3989" s="32">
        <f>IF(ISNUMBER(SEARCH('Φόρμα Εισαγωγής'!$B$2,C3989)),MAX($B$1:B3988)+1,0)</f>
        <v>0</v>
      </c>
      <c r="D3989" s="33">
        <f>IF(ISNUMBER(SEARCH('Φόρμα Εισαγωγής'!$C$2,E3989)),MAX($D$1:D3988)+1,0)</f>
        <v>0</v>
      </c>
      <c r="H3989" s="6">
        <f t="shared" si="197"/>
        <v>0</v>
      </c>
      <c r="I3989" s="6">
        <f t="shared" si="198"/>
        <v>0</v>
      </c>
      <c r="J3989" s="6">
        <f t="shared" si="199"/>
        <v>0</v>
      </c>
      <c r="L3989" s="4" t="str">
        <f>IFERROR(VLOOKUP(ROWS($L$2:L3989),$B$2:$C$1996,2,0),"")</f>
        <v/>
      </c>
      <c r="N3989" s="2" t="str">
        <f>IFERROR(VLOOKUP(ROWS($N$2:N3989),$D$2:$E$1996,2,0),"")</f>
        <v/>
      </c>
    </row>
    <row r="3990" spans="2:14">
      <c r="B3990" s="32">
        <f>IF(ISNUMBER(SEARCH('Φόρμα Εισαγωγής'!$B$2,C3990)),MAX($B$1:B3989)+1,0)</f>
        <v>0</v>
      </c>
      <c r="D3990" s="33">
        <f>IF(ISNUMBER(SEARCH('Φόρμα Εισαγωγής'!$C$2,E3990)),MAX($D$1:D3989)+1,0)</f>
        <v>0</v>
      </c>
      <c r="H3990" s="6">
        <f t="shared" si="197"/>
        <v>0</v>
      </c>
      <c r="I3990" s="6">
        <f t="shared" si="198"/>
        <v>0</v>
      </c>
      <c r="J3990" s="6">
        <f t="shared" si="199"/>
        <v>0</v>
      </c>
      <c r="L3990" s="4" t="str">
        <f>IFERROR(VLOOKUP(ROWS($L$2:L3990),$B$2:$C$1996,2,0),"")</f>
        <v/>
      </c>
      <c r="N3990" s="2" t="str">
        <f>IFERROR(VLOOKUP(ROWS($N$2:N3990),$D$2:$E$1996,2,0),"")</f>
        <v/>
      </c>
    </row>
    <row r="3991" spans="2:14">
      <c r="B3991" s="32">
        <f>IF(ISNUMBER(SEARCH('Φόρμα Εισαγωγής'!$B$2,C3991)),MAX($B$1:B3990)+1,0)</f>
        <v>0</v>
      </c>
      <c r="D3991" s="33">
        <f>IF(ISNUMBER(SEARCH('Φόρμα Εισαγωγής'!$C$2,E3991)),MAX($D$1:D3990)+1,0)</f>
        <v>0</v>
      </c>
      <c r="H3991" s="6">
        <f t="shared" si="197"/>
        <v>0</v>
      </c>
      <c r="I3991" s="6">
        <f t="shared" si="198"/>
        <v>0</v>
      </c>
      <c r="J3991" s="6">
        <f t="shared" si="199"/>
        <v>0</v>
      </c>
      <c r="L3991" s="4" t="str">
        <f>IFERROR(VLOOKUP(ROWS($L$2:L3991),$B$2:$C$1996,2,0),"")</f>
        <v/>
      </c>
      <c r="N3991" s="2" t="str">
        <f>IFERROR(VLOOKUP(ROWS($N$2:N3991),$D$2:$E$1996,2,0),"")</f>
        <v/>
      </c>
    </row>
    <row r="3992" spans="2:14">
      <c r="B3992" s="32">
        <f>IF(ISNUMBER(SEARCH('Φόρμα Εισαγωγής'!$B$2,C3992)),MAX($B$1:B3991)+1,0)</f>
        <v>0</v>
      </c>
      <c r="D3992" s="33">
        <f>IF(ISNUMBER(SEARCH('Φόρμα Εισαγωγής'!$C$2,E3992)),MAX($D$1:D3991)+1,0)</f>
        <v>0</v>
      </c>
      <c r="H3992" s="6">
        <f t="shared" si="197"/>
        <v>0</v>
      </c>
      <c r="I3992" s="6">
        <f t="shared" si="198"/>
        <v>0</v>
      </c>
      <c r="J3992" s="6">
        <f t="shared" si="199"/>
        <v>0</v>
      </c>
      <c r="L3992" s="4" t="str">
        <f>IFERROR(VLOOKUP(ROWS($L$2:L3992),$B$2:$C$1996,2,0),"")</f>
        <v/>
      </c>
      <c r="N3992" s="2" t="str">
        <f>IFERROR(VLOOKUP(ROWS($N$2:N3992),$D$2:$E$1996,2,0),"")</f>
        <v/>
      </c>
    </row>
    <row r="3993" spans="2:14">
      <c r="B3993" s="32">
        <f>IF(ISNUMBER(SEARCH('Φόρμα Εισαγωγής'!$B$2,C3993)),MAX($B$1:B3992)+1,0)</f>
        <v>0</v>
      </c>
      <c r="D3993" s="33">
        <f>IF(ISNUMBER(SEARCH('Φόρμα Εισαγωγής'!$C$2,E3993)),MAX($D$1:D3992)+1,0)</f>
        <v>0</v>
      </c>
      <c r="H3993" s="6">
        <f t="shared" si="197"/>
        <v>0</v>
      </c>
      <c r="I3993" s="6">
        <f t="shared" si="198"/>
        <v>0</v>
      </c>
      <c r="J3993" s="6">
        <f t="shared" si="199"/>
        <v>0</v>
      </c>
      <c r="L3993" s="4" t="str">
        <f>IFERROR(VLOOKUP(ROWS($L$2:L3993),$B$2:$C$1996,2,0),"")</f>
        <v/>
      </c>
      <c r="N3993" s="2" t="str">
        <f>IFERROR(VLOOKUP(ROWS($N$2:N3993),$D$2:$E$1996,2,0),"")</f>
        <v/>
      </c>
    </row>
    <row r="3994" spans="2:14">
      <c r="B3994" s="32">
        <f>IF(ISNUMBER(SEARCH('Φόρμα Εισαγωγής'!$B$2,C3994)),MAX($B$1:B3993)+1,0)</f>
        <v>0</v>
      </c>
      <c r="D3994" s="33">
        <f>IF(ISNUMBER(SEARCH('Φόρμα Εισαγωγής'!$C$2,E3994)),MAX($D$1:D3993)+1,0)</f>
        <v>0</v>
      </c>
      <c r="H3994" s="6">
        <f t="shared" si="197"/>
        <v>0</v>
      </c>
      <c r="I3994" s="6">
        <f t="shared" si="198"/>
        <v>0</v>
      </c>
      <c r="J3994" s="6">
        <f t="shared" si="199"/>
        <v>0</v>
      </c>
      <c r="L3994" s="4" t="str">
        <f>IFERROR(VLOOKUP(ROWS($L$2:L3994),$B$2:$C$1996,2,0),"")</f>
        <v/>
      </c>
      <c r="N3994" s="2" t="str">
        <f>IFERROR(VLOOKUP(ROWS($N$2:N3994),$D$2:$E$1996,2,0),"")</f>
        <v/>
      </c>
    </row>
    <row r="3995" spans="2:14">
      <c r="B3995" s="32">
        <f>IF(ISNUMBER(SEARCH('Φόρμα Εισαγωγής'!$B$2,C3995)),MAX($B$1:B3994)+1,0)</f>
        <v>0</v>
      </c>
      <c r="D3995" s="33">
        <f>IF(ISNUMBER(SEARCH('Φόρμα Εισαγωγής'!$C$2,E3995)),MAX($D$1:D3994)+1,0)</f>
        <v>0</v>
      </c>
      <c r="H3995" s="6">
        <f t="shared" si="197"/>
        <v>0</v>
      </c>
      <c r="I3995" s="6">
        <f t="shared" si="198"/>
        <v>0</v>
      </c>
      <c r="J3995" s="6">
        <f t="shared" si="199"/>
        <v>0</v>
      </c>
      <c r="L3995" s="4" t="str">
        <f>IFERROR(VLOOKUP(ROWS($L$2:L3995),$B$2:$C$1996,2,0),"")</f>
        <v/>
      </c>
      <c r="N3995" s="2" t="str">
        <f>IFERROR(VLOOKUP(ROWS($N$2:N3995),$D$2:$E$1996,2,0),"")</f>
        <v/>
      </c>
    </row>
    <row r="3996" spans="2:14">
      <c r="B3996" s="32">
        <f>IF(ISNUMBER(SEARCH('Φόρμα Εισαγωγής'!$B$2,C3996)),MAX($B$1:B3995)+1,0)</f>
        <v>0</v>
      </c>
      <c r="D3996" s="33">
        <f>IF(ISNUMBER(SEARCH('Φόρμα Εισαγωγής'!$C$2,E3996)),MAX($D$1:D3995)+1,0)</f>
        <v>0</v>
      </c>
      <c r="H3996" s="6">
        <f t="shared" si="197"/>
        <v>0</v>
      </c>
      <c r="I3996" s="6">
        <f t="shared" si="198"/>
        <v>0</v>
      </c>
      <c r="J3996" s="6">
        <f t="shared" si="199"/>
        <v>0</v>
      </c>
      <c r="L3996" s="4" t="str">
        <f>IFERROR(VLOOKUP(ROWS($L$2:L3996),$B$2:$C$1996,2,0),"")</f>
        <v/>
      </c>
      <c r="N3996" s="2" t="str">
        <f>IFERROR(VLOOKUP(ROWS($N$2:N3996),$D$2:$E$1996,2,0),"")</f>
        <v/>
      </c>
    </row>
    <row r="3997" spans="2:14">
      <c r="B3997" s="32">
        <f>IF(ISNUMBER(SEARCH('Φόρμα Εισαγωγής'!$B$2,C3997)),MAX($B$1:B3996)+1,0)</f>
        <v>0</v>
      </c>
      <c r="D3997" s="33">
        <f>IF(ISNUMBER(SEARCH('Φόρμα Εισαγωγής'!$C$2,E3997)),MAX($D$1:D3996)+1,0)</f>
        <v>0</v>
      </c>
      <c r="H3997" s="6">
        <f t="shared" si="197"/>
        <v>0</v>
      </c>
      <c r="I3997" s="6">
        <f t="shared" si="198"/>
        <v>0</v>
      </c>
      <c r="J3997" s="6">
        <f t="shared" si="199"/>
        <v>0</v>
      </c>
      <c r="L3997" s="4" t="str">
        <f>IFERROR(VLOOKUP(ROWS($L$2:L3997),$B$2:$C$1996,2,0),"")</f>
        <v/>
      </c>
      <c r="N3997" s="2" t="str">
        <f>IFERROR(VLOOKUP(ROWS($N$2:N3997),$D$2:$E$1996,2,0),"")</f>
        <v/>
      </c>
    </row>
    <row r="3998" spans="2:14">
      <c r="B3998" s="32">
        <f>IF(ISNUMBER(SEARCH('Φόρμα Εισαγωγής'!$B$2,C3998)),MAX($B$1:B3997)+1,0)</f>
        <v>0</v>
      </c>
      <c r="D3998" s="33">
        <f>IF(ISNUMBER(SEARCH('Φόρμα Εισαγωγής'!$C$2,E3998)),MAX($D$1:D3997)+1,0)</f>
        <v>0</v>
      </c>
      <c r="H3998" s="6">
        <f t="shared" si="197"/>
        <v>0</v>
      </c>
      <c r="I3998" s="6">
        <f t="shared" si="198"/>
        <v>0</v>
      </c>
      <c r="J3998" s="6">
        <f t="shared" si="199"/>
        <v>0</v>
      </c>
      <c r="L3998" s="4" t="str">
        <f>IFERROR(VLOOKUP(ROWS($L$2:L3998),$B$2:$C$1996,2,0),"")</f>
        <v/>
      </c>
      <c r="N3998" s="2" t="str">
        <f>IFERROR(VLOOKUP(ROWS($N$2:N3998),$D$2:$E$1996,2,0),"")</f>
        <v/>
      </c>
    </row>
    <row r="3999" spans="2:14">
      <c r="B3999" s="32">
        <f>IF(ISNUMBER(SEARCH('Φόρμα Εισαγωγής'!$B$2,C3999)),MAX($B$1:B3998)+1,0)</f>
        <v>0</v>
      </c>
      <c r="D3999" s="33">
        <f>IF(ISNUMBER(SEARCH('Φόρμα Εισαγωγής'!$C$2,E3999)),MAX($D$1:D3998)+1,0)</f>
        <v>0</v>
      </c>
      <c r="H3999" s="6">
        <f t="shared" si="197"/>
        <v>0</v>
      </c>
      <c r="I3999" s="6">
        <f t="shared" si="198"/>
        <v>0</v>
      </c>
      <c r="J3999" s="6">
        <f t="shared" si="199"/>
        <v>0</v>
      </c>
      <c r="L3999" s="4" t="str">
        <f>IFERROR(VLOOKUP(ROWS($L$2:L3999),$B$2:$C$1996,2,0),"")</f>
        <v/>
      </c>
      <c r="N3999" s="2" t="str">
        <f>IFERROR(VLOOKUP(ROWS($N$2:N3999),$D$2:$E$1996,2,0),"")</f>
        <v/>
      </c>
    </row>
    <row r="4000" spans="2:14">
      <c r="B4000" s="32">
        <f>IF(ISNUMBER(SEARCH('Φόρμα Εισαγωγής'!$B$2,C4000)),MAX($B$1:B3999)+1,0)</f>
        <v>0</v>
      </c>
      <c r="D4000" s="33">
        <f>IF(ISNUMBER(SEARCH('Φόρμα Εισαγωγής'!$C$2,E4000)),MAX($D$1:D3999)+1,0)</f>
        <v>0</v>
      </c>
      <c r="H4000" s="6">
        <f t="shared" si="197"/>
        <v>0</v>
      </c>
      <c r="I4000" s="6">
        <f t="shared" si="198"/>
        <v>0</v>
      </c>
      <c r="J4000" s="6">
        <f t="shared" si="199"/>
        <v>0</v>
      </c>
      <c r="L4000" s="4" t="str">
        <f>IFERROR(VLOOKUP(ROWS($L$2:L4000),$B$2:$C$1996,2,0),"")</f>
        <v/>
      </c>
      <c r="N4000" s="2" t="str">
        <f>IFERROR(VLOOKUP(ROWS($N$2:N4000),$D$2:$E$1996,2,0),"")</f>
        <v/>
      </c>
    </row>
    <row r="4001" spans="2:14">
      <c r="B4001" s="32">
        <f>IF(ISNUMBER(SEARCH('Φόρμα Εισαγωγής'!$B$2,C4001)),MAX($B$1:B4000)+1,0)</f>
        <v>0</v>
      </c>
      <c r="D4001" s="33">
        <f>IF(ISNUMBER(SEARCH('Φόρμα Εισαγωγής'!$C$2,E4001)),MAX($D$1:D4000)+1,0)</f>
        <v>0</v>
      </c>
      <c r="H4001" s="6">
        <f t="shared" si="197"/>
        <v>0</v>
      </c>
      <c r="I4001" s="6">
        <f t="shared" si="198"/>
        <v>0</v>
      </c>
      <c r="J4001" s="6">
        <f t="shared" si="199"/>
        <v>0</v>
      </c>
      <c r="L4001" s="4" t="str">
        <f>IFERROR(VLOOKUP(ROWS($L$2:L4001),$B$2:$C$1996,2,0),"")</f>
        <v/>
      </c>
      <c r="N4001" s="2" t="str">
        <f>IFERROR(VLOOKUP(ROWS($N$2:N4001),$D$2:$E$1996,2,0),"")</f>
        <v/>
      </c>
    </row>
    <row r="4002" spans="2:14">
      <c r="B4002" s="32">
        <f>IF(ISNUMBER(SEARCH('Φόρμα Εισαγωγής'!$B$2,C4002)),MAX($B$1:B4001)+1,0)</f>
        <v>0</v>
      </c>
      <c r="D4002" s="33">
        <f>IF(ISNUMBER(SEARCH('Φόρμα Εισαγωγής'!$C$2,E4002)),MAX($D$1:D4001)+1,0)</f>
        <v>0</v>
      </c>
      <c r="H4002" s="6">
        <f t="shared" si="197"/>
        <v>0</v>
      </c>
      <c r="I4002" s="6">
        <f t="shared" si="198"/>
        <v>0</v>
      </c>
      <c r="J4002" s="6">
        <f t="shared" si="199"/>
        <v>0</v>
      </c>
      <c r="L4002" s="4" t="str">
        <f>IFERROR(VLOOKUP(ROWS($L$2:L4002),$B$2:$C$1996,2,0),"")</f>
        <v/>
      </c>
      <c r="N4002" s="2" t="str">
        <f>IFERROR(VLOOKUP(ROWS($N$2:N4002),$D$2:$E$1996,2,0),"")</f>
        <v/>
      </c>
    </row>
    <row r="4003" spans="2:14">
      <c r="B4003" s="32">
        <f>IF(ISNUMBER(SEARCH('Φόρμα Εισαγωγής'!$B$2,C4003)),MAX($B$1:B4002)+1,0)</f>
        <v>0</v>
      </c>
      <c r="D4003" s="33">
        <f>IF(ISNUMBER(SEARCH('Φόρμα Εισαγωγής'!$C$2,E4003)),MAX($D$1:D4002)+1,0)</f>
        <v>0</v>
      </c>
      <c r="H4003" s="6">
        <f t="shared" si="197"/>
        <v>0</v>
      </c>
      <c r="I4003" s="6">
        <f t="shared" si="198"/>
        <v>0</v>
      </c>
      <c r="J4003" s="6">
        <f t="shared" si="199"/>
        <v>0</v>
      </c>
      <c r="L4003" s="4" t="str">
        <f>IFERROR(VLOOKUP(ROWS($L$2:L4003),$B$2:$C$1996,2,0),"")</f>
        <v/>
      </c>
      <c r="N4003" s="2" t="str">
        <f>IFERROR(VLOOKUP(ROWS($N$2:N4003),$D$2:$E$1996,2,0),"")</f>
        <v/>
      </c>
    </row>
    <row r="4004" spans="2:14">
      <c r="B4004" s="32">
        <f>IF(ISNUMBER(SEARCH('Φόρμα Εισαγωγής'!$B$2,C4004)),MAX($B$1:B4003)+1,0)</f>
        <v>0</v>
      </c>
      <c r="D4004" s="33">
        <f>IF(ISNUMBER(SEARCH('Φόρμα Εισαγωγής'!$C$2,E4004)),MAX($D$1:D4003)+1,0)</f>
        <v>0</v>
      </c>
      <c r="H4004" s="6">
        <f t="shared" si="197"/>
        <v>0</v>
      </c>
      <c r="I4004" s="6">
        <f t="shared" si="198"/>
        <v>0</v>
      </c>
      <c r="J4004" s="6">
        <f t="shared" si="199"/>
        <v>0</v>
      </c>
      <c r="L4004" s="4" t="str">
        <f>IFERROR(VLOOKUP(ROWS($L$2:L4004),$B$2:$C$1996,2,0),"")</f>
        <v/>
      </c>
      <c r="N4004" s="2" t="str">
        <f>IFERROR(VLOOKUP(ROWS($N$2:N4004),$D$2:$E$1996,2,0),"")</f>
        <v/>
      </c>
    </row>
    <row r="4005" spans="2:14">
      <c r="B4005" s="32">
        <f>IF(ISNUMBER(SEARCH('Φόρμα Εισαγωγής'!$B$2,C4005)),MAX($B$1:B4004)+1,0)</f>
        <v>0</v>
      </c>
      <c r="D4005" s="33">
        <f>IF(ISNUMBER(SEARCH('Φόρμα Εισαγωγής'!$C$2,E4005)),MAX($D$1:D4004)+1,0)</f>
        <v>0</v>
      </c>
      <c r="H4005" s="6">
        <f t="shared" si="197"/>
        <v>0</v>
      </c>
      <c r="I4005" s="6">
        <f t="shared" si="198"/>
        <v>0</v>
      </c>
      <c r="J4005" s="6">
        <f t="shared" si="199"/>
        <v>0</v>
      </c>
      <c r="L4005" s="4" t="str">
        <f>IFERROR(VLOOKUP(ROWS($L$2:L4005),$B$2:$C$1996,2,0),"")</f>
        <v/>
      </c>
      <c r="N4005" s="2" t="str">
        <f>IFERROR(VLOOKUP(ROWS($N$2:N4005),$D$2:$E$1996,2,0),"")</f>
        <v/>
      </c>
    </row>
    <row r="4006" spans="2:14">
      <c r="B4006" s="32">
        <f>IF(ISNUMBER(SEARCH('Φόρμα Εισαγωγής'!$B$2,C4006)),MAX($B$1:B4005)+1,0)</f>
        <v>0</v>
      </c>
      <c r="D4006" s="33">
        <f>IF(ISNUMBER(SEARCH('Φόρμα Εισαγωγής'!$C$2,E4006)),MAX($D$1:D4005)+1,0)</f>
        <v>0</v>
      </c>
      <c r="H4006" s="6">
        <f t="shared" si="197"/>
        <v>0</v>
      </c>
      <c r="I4006" s="6">
        <f t="shared" si="198"/>
        <v>0</v>
      </c>
      <c r="J4006" s="6">
        <f t="shared" si="199"/>
        <v>0</v>
      </c>
      <c r="L4006" s="4" t="str">
        <f>IFERROR(VLOOKUP(ROWS($L$2:L4006),$B$2:$C$1996,2,0),"")</f>
        <v/>
      </c>
      <c r="N4006" s="2" t="str">
        <f>IFERROR(VLOOKUP(ROWS($N$2:N4006),$D$2:$E$1996,2,0),"")</f>
        <v/>
      </c>
    </row>
    <row r="4007" spans="2:14">
      <c r="B4007" s="32">
        <f>IF(ISNUMBER(SEARCH('Φόρμα Εισαγωγής'!$B$2,C4007)),MAX($B$1:B4006)+1,0)</f>
        <v>0</v>
      </c>
      <c r="D4007" s="33">
        <f>IF(ISNUMBER(SEARCH('Φόρμα Εισαγωγής'!$C$2,E4007)),MAX($D$1:D4006)+1,0)</f>
        <v>0</v>
      </c>
      <c r="H4007" s="6">
        <f t="shared" si="197"/>
        <v>0</v>
      </c>
      <c r="I4007" s="6">
        <f t="shared" si="198"/>
        <v>0</v>
      </c>
      <c r="J4007" s="6">
        <f t="shared" si="199"/>
        <v>0</v>
      </c>
      <c r="L4007" s="4" t="str">
        <f>IFERROR(VLOOKUP(ROWS($L$2:L4007),$B$2:$C$1996,2,0),"")</f>
        <v/>
      </c>
      <c r="N4007" s="2" t="str">
        <f>IFERROR(VLOOKUP(ROWS($N$2:N4007),$D$2:$E$1996,2,0),"")</f>
        <v/>
      </c>
    </row>
    <row r="4008" spans="2:14">
      <c r="B4008" s="32">
        <f>IF(ISNUMBER(SEARCH('Φόρμα Εισαγωγής'!$B$2,C4008)),MAX($B$1:B4007)+1,0)</f>
        <v>0</v>
      </c>
      <c r="D4008" s="33">
        <f>IF(ISNUMBER(SEARCH('Φόρμα Εισαγωγής'!$C$2,E4008)),MAX($D$1:D4007)+1,0)</f>
        <v>0</v>
      </c>
      <c r="H4008" s="6">
        <f t="shared" si="197"/>
        <v>0</v>
      </c>
      <c r="I4008" s="6">
        <f t="shared" si="198"/>
        <v>0</v>
      </c>
      <c r="J4008" s="6">
        <f t="shared" si="199"/>
        <v>0</v>
      </c>
      <c r="L4008" s="4" t="str">
        <f>IFERROR(VLOOKUP(ROWS($L$2:L4008),$B$2:$C$1996,2,0),"")</f>
        <v/>
      </c>
      <c r="N4008" s="2" t="str">
        <f>IFERROR(VLOOKUP(ROWS($N$2:N4008),$D$2:$E$1996,2,0),"")</f>
        <v/>
      </c>
    </row>
    <row r="4009" spans="2:14">
      <c r="B4009" s="32">
        <f>IF(ISNUMBER(SEARCH('Φόρμα Εισαγωγής'!$B$2,C4009)),MAX($B$1:B4008)+1,0)</f>
        <v>0</v>
      </c>
      <c r="D4009" s="33">
        <f>IF(ISNUMBER(SEARCH('Φόρμα Εισαγωγής'!$C$2,E4009)),MAX($D$1:D4008)+1,0)</f>
        <v>0</v>
      </c>
      <c r="H4009" s="6">
        <f t="shared" si="197"/>
        <v>0</v>
      </c>
      <c r="I4009" s="6">
        <f t="shared" si="198"/>
        <v>0</v>
      </c>
      <c r="J4009" s="6">
        <f t="shared" si="199"/>
        <v>0</v>
      </c>
      <c r="L4009" s="4" t="str">
        <f>IFERROR(VLOOKUP(ROWS($L$2:L4009),$B$2:$C$1996,2,0),"")</f>
        <v/>
      </c>
      <c r="N4009" s="2" t="str">
        <f>IFERROR(VLOOKUP(ROWS($N$2:N4009),$D$2:$E$1996,2,0),"")</f>
        <v/>
      </c>
    </row>
    <row r="4010" spans="2:14">
      <c r="B4010" s="32">
        <f>IF(ISNUMBER(SEARCH('Φόρμα Εισαγωγής'!$B$2,C4010)),MAX($B$1:B4009)+1,0)</f>
        <v>0</v>
      </c>
      <c r="D4010" s="33">
        <f>IF(ISNUMBER(SEARCH('Φόρμα Εισαγωγής'!$C$2,E4010)),MAX($D$1:D4009)+1,0)</f>
        <v>0</v>
      </c>
      <c r="H4010" s="6">
        <f t="shared" si="197"/>
        <v>0</v>
      </c>
      <c r="I4010" s="6">
        <f t="shared" si="198"/>
        <v>0</v>
      </c>
      <c r="J4010" s="6">
        <f t="shared" si="199"/>
        <v>0</v>
      </c>
      <c r="L4010" s="4" t="str">
        <f>IFERROR(VLOOKUP(ROWS($L$2:L4010),$B$2:$C$1996,2,0),"")</f>
        <v/>
      </c>
      <c r="N4010" s="2" t="str">
        <f>IFERROR(VLOOKUP(ROWS($N$2:N4010),$D$2:$E$1996,2,0),"")</f>
        <v/>
      </c>
    </row>
    <row r="4011" spans="2:14">
      <c r="B4011" s="32">
        <f>IF(ISNUMBER(SEARCH('Φόρμα Εισαγωγής'!$B$2,C4011)),MAX($B$1:B4010)+1,0)</f>
        <v>0</v>
      </c>
      <c r="D4011" s="33">
        <f>IF(ISNUMBER(SEARCH('Φόρμα Εισαγωγής'!$C$2,E4011)),MAX($D$1:D4010)+1,0)</f>
        <v>0</v>
      </c>
      <c r="H4011" s="6">
        <f t="shared" si="197"/>
        <v>0</v>
      </c>
      <c r="I4011" s="6">
        <f t="shared" si="198"/>
        <v>0</v>
      </c>
      <c r="J4011" s="6">
        <f t="shared" si="199"/>
        <v>0</v>
      </c>
      <c r="L4011" s="4" t="str">
        <f>IFERROR(VLOOKUP(ROWS($L$2:L4011),$B$2:$C$1996,2,0),"")</f>
        <v/>
      </c>
      <c r="N4011" s="2" t="str">
        <f>IFERROR(VLOOKUP(ROWS($N$2:N4011),$D$2:$E$1996,2,0),"")</f>
        <v/>
      </c>
    </row>
    <row r="4012" spans="2:14">
      <c r="B4012" s="32">
        <f>IF(ISNUMBER(SEARCH('Φόρμα Εισαγωγής'!$B$2,C4012)),MAX($B$1:B4011)+1,0)</f>
        <v>0</v>
      </c>
      <c r="D4012" s="33">
        <f>IF(ISNUMBER(SEARCH('Φόρμα Εισαγωγής'!$C$2,E4012)),MAX($D$1:D4011)+1,0)</f>
        <v>0</v>
      </c>
      <c r="H4012" s="6">
        <f t="shared" si="197"/>
        <v>0</v>
      </c>
      <c r="I4012" s="6">
        <f t="shared" si="198"/>
        <v>0</v>
      </c>
      <c r="J4012" s="6">
        <f t="shared" si="199"/>
        <v>0</v>
      </c>
      <c r="L4012" s="4" t="str">
        <f>IFERROR(VLOOKUP(ROWS($L$2:L4012),$B$2:$C$1996,2,0),"")</f>
        <v/>
      </c>
      <c r="N4012" s="2" t="str">
        <f>IFERROR(VLOOKUP(ROWS($N$2:N4012),$D$2:$E$1996,2,0),"")</f>
        <v/>
      </c>
    </row>
    <row r="4013" spans="2:14">
      <c r="B4013" s="32">
        <f>IF(ISNUMBER(SEARCH('Φόρμα Εισαγωγής'!$B$2,C4013)),MAX($B$1:B4012)+1,0)</f>
        <v>0</v>
      </c>
      <c r="D4013" s="33">
        <f>IF(ISNUMBER(SEARCH('Φόρμα Εισαγωγής'!$C$2,E4013)),MAX($D$1:D4012)+1,0)</f>
        <v>0</v>
      </c>
      <c r="H4013" s="6">
        <f t="shared" si="197"/>
        <v>0</v>
      </c>
      <c r="I4013" s="6">
        <f t="shared" si="198"/>
        <v>0</v>
      </c>
      <c r="J4013" s="6">
        <f t="shared" si="199"/>
        <v>0</v>
      </c>
      <c r="L4013" s="4" t="str">
        <f>IFERROR(VLOOKUP(ROWS($L$2:L4013),$B$2:$C$1996,2,0),"")</f>
        <v/>
      </c>
      <c r="N4013" s="2" t="str">
        <f>IFERROR(VLOOKUP(ROWS($N$2:N4013),$D$2:$E$1996,2,0),"")</f>
        <v/>
      </c>
    </row>
    <row r="4014" spans="2:14">
      <c r="B4014" s="32">
        <f>IF(ISNUMBER(SEARCH('Φόρμα Εισαγωγής'!$B$2,C4014)),MAX($B$1:B4013)+1,0)</f>
        <v>0</v>
      </c>
      <c r="D4014" s="33">
        <f>IF(ISNUMBER(SEARCH('Φόρμα Εισαγωγής'!$C$2,E4014)),MAX($D$1:D4013)+1,0)</f>
        <v>0</v>
      </c>
      <c r="H4014" s="6">
        <f t="shared" si="197"/>
        <v>0</v>
      </c>
      <c r="I4014" s="6">
        <f t="shared" si="198"/>
        <v>0</v>
      </c>
      <c r="J4014" s="6">
        <f t="shared" si="199"/>
        <v>0</v>
      </c>
      <c r="L4014" s="4" t="str">
        <f>IFERROR(VLOOKUP(ROWS($L$2:L4014),$B$2:$C$1996,2,0),"")</f>
        <v/>
      </c>
      <c r="N4014" s="2" t="str">
        <f>IFERROR(VLOOKUP(ROWS($N$2:N4014),$D$2:$E$1996,2,0),"")</f>
        <v/>
      </c>
    </row>
    <row r="4015" spans="2:14">
      <c r="B4015" s="32">
        <f>IF(ISNUMBER(SEARCH('Φόρμα Εισαγωγής'!$B$2,C4015)),MAX($B$1:B4014)+1,0)</f>
        <v>0</v>
      </c>
      <c r="D4015" s="33">
        <f>IF(ISNUMBER(SEARCH('Φόρμα Εισαγωγής'!$C$2,E4015)),MAX($D$1:D4014)+1,0)</f>
        <v>0</v>
      </c>
      <c r="H4015" s="6">
        <f t="shared" si="197"/>
        <v>0</v>
      </c>
      <c r="I4015" s="6">
        <f t="shared" si="198"/>
        <v>0</v>
      </c>
      <c r="J4015" s="6">
        <f t="shared" si="199"/>
        <v>0</v>
      </c>
      <c r="L4015" s="4" t="str">
        <f>IFERROR(VLOOKUP(ROWS($L$2:L4015),$B$2:$C$1996,2,0),"")</f>
        <v/>
      </c>
      <c r="N4015" s="2" t="str">
        <f>IFERROR(VLOOKUP(ROWS($N$2:N4015),$D$2:$E$1996,2,0),"")</f>
        <v/>
      </c>
    </row>
    <row r="4016" spans="2:14">
      <c r="B4016" s="32">
        <f>IF(ISNUMBER(SEARCH('Φόρμα Εισαγωγής'!$B$2,C4016)),MAX($B$1:B4015)+1,0)</f>
        <v>0</v>
      </c>
      <c r="D4016" s="33">
        <f>IF(ISNUMBER(SEARCH('Φόρμα Εισαγωγής'!$C$2,E4016)),MAX($D$1:D4015)+1,0)</f>
        <v>0</v>
      </c>
      <c r="H4016" s="6">
        <f t="shared" si="197"/>
        <v>0</v>
      </c>
      <c r="I4016" s="6">
        <f t="shared" si="198"/>
        <v>0</v>
      </c>
      <c r="J4016" s="6">
        <f t="shared" si="199"/>
        <v>0</v>
      </c>
      <c r="L4016" s="4" t="str">
        <f>IFERROR(VLOOKUP(ROWS($L$2:L4016),$B$2:$C$1996,2,0),"")</f>
        <v/>
      </c>
      <c r="N4016" s="2" t="str">
        <f>IFERROR(VLOOKUP(ROWS($N$2:N4016),$D$2:$E$1996,2,0),"")</f>
        <v/>
      </c>
    </row>
    <row r="4017" spans="2:14">
      <c r="B4017" s="32">
        <f>IF(ISNUMBER(SEARCH('Φόρμα Εισαγωγής'!$B$2,C4017)),MAX($B$1:B4016)+1,0)</f>
        <v>0</v>
      </c>
      <c r="D4017" s="33">
        <f>IF(ISNUMBER(SEARCH('Φόρμα Εισαγωγής'!$C$2,E4017)),MAX($D$1:D4016)+1,0)</f>
        <v>0</v>
      </c>
      <c r="H4017" s="6">
        <f t="shared" si="197"/>
        <v>0</v>
      </c>
      <c r="I4017" s="6">
        <f t="shared" si="198"/>
        <v>0</v>
      </c>
      <c r="J4017" s="6">
        <f t="shared" si="199"/>
        <v>0</v>
      </c>
      <c r="L4017" s="4" t="str">
        <f>IFERROR(VLOOKUP(ROWS($L$2:L4017),$B$2:$C$1996,2,0),"")</f>
        <v/>
      </c>
      <c r="N4017" s="2" t="str">
        <f>IFERROR(VLOOKUP(ROWS($N$2:N4017),$D$2:$E$1996,2,0),"")</f>
        <v/>
      </c>
    </row>
    <row r="4018" spans="2:14">
      <c r="B4018" s="32">
        <f>IF(ISNUMBER(SEARCH('Φόρμα Εισαγωγής'!$B$2,C4018)),MAX($B$1:B4017)+1,0)</f>
        <v>0</v>
      </c>
      <c r="D4018" s="33">
        <f>IF(ISNUMBER(SEARCH('Φόρμα Εισαγωγής'!$C$2,E4018)),MAX($D$1:D4017)+1,0)</f>
        <v>0</v>
      </c>
      <c r="H4018" s="6">
        <f t="shared" si="197"/>
        <v>0</v>
      </c>
      <c r="I4018" s="6">
        <f t="shared" si="198"/>
        <v>0</v>
      </c>
      <c r="J4018" s="6">
        <f t="shared" si="199"/>
        <v>0</v>
      </c>
      <c r="L4018" s="4" t="str">
        <f>IFERROR(VLOOKUP(ROWS($L$2:L4018),$B$2:$C$1996,2,0),"")</f>
        <v/>
      </c>
      <c r="N4018" s="2" t="str">
        <f>IFERROR(VLOOKUP(ROWS($N$2:N4018),$D$2:$E$1996,2,0),"")</f>
        <v/>
      </c>
    </row>
    <row r="4019" spans="2:14">
      <c r="B4019" s="32">
        <f>IF(ISNUMBER(SEARCH('Φόρμα Εισαγωγής'!$B$2,C4019)),MAX($B$1:B4018)+1,0)</f>
        <v>0</v>
      </c>
      <c r="D4019" s="33">
        <f>IF(ISNUMBER(SEARCH('Φόρμα Εισαγωγής'!$C$2,E4019)),MAX($D$1:D4018)+1,0)</f>
        <v>0</v>
      </c>
      <c r="H4019" s="6">
        <f t="shared" si="197"/>
        <v>0</v>
      </c>
      <c r="I4019" s="6">
        <f t="shared" si="198"/>
        <v>0</v>
      </c>
      <c r="J4019" s="6">
        <f t="shared" si="199"/>
        <v>0</v>
      </c>
      <c r="L4019" s="4" t="str">
        <f>IFERROR(VLOOKUP(ROWS($L$2:L4019),$B$2:$C$1996,2,0),"")</f>
        <v/>
      </c>
      <c r="N4019" s="2" t="str">
        <f>IFERROR(VLOOKUP(ROWS($N$2:N4019),$D$2:$E$1996,2,0),"")</f>
        <v/>
      </c>
    </row>
    <row r="4020" spans="2:14">
      <c r="B4020" s="32">
        <f>IF(ISNUMBER(SEARCH('Φόρμα Εισαγωγής'!$B$2,C4020)),MAX($B$1:B4019)+1,0)</f>
        <v>0</v>
      </c>
      <c r="D4020" s="33">
        <f>IF(ISNUMBER(SEARCH('Φόρμα Εισαγωγής'!$C$2,E4020)),MAX($D$1:D4019)+1,0)</f>
        <v>0</v>
      </c>
      <c r="H4020" s="6">
        <f t="shared" si="197"/>
        <v>0</v>
      </c>
      <c r="I4020" s="6">
        <f t="shared" si="198"/>
        <v>0</v>
      </c>
      <c r="J4020" s="6">
        <f t="shared" si="199"/>
        <v>0</v>
      </c>
      <c r="L4020" s="4" t="str">
        <f>IFERROR(VLOOKUP(ROWS($L$2:L4020),$B$2:$C$1996,2,0),"")</f>
        <v/>
      </c>
      <c r="N4020" s="2" t="str">
        <f>IFERROR(VLOOKUP(ROWS($N$2:N4020),$D$2:$E$1996,2,0),"")</f>
        <v/>
      </c>
    </row>
    <row r="4021" spans="2:14">
      <c r="B4021" s="32">
        <f>IF(ISNUMBER(SEARCH('Φόρμα Εισαγωγής'!$B$2,C4021)),MAX($B$1:B4020)+1,0)</f>
        <v>0</v>
      </c>
      <c r="D4021" s="33">
        <f>IF(ISNUMBER(SEARCH('Φόρμα Εισαγωγής'!$C$2,E4021)),MAX($D$1:D4020)+1,0)</f>
        <v>0</v>
      </c>
      <c r="H4021" s="6">
        <f t="shared" si="197"/>
        <v>0</v>
      </c>
      <c r="I4021" s="6">
        <f t="shared" si="198"/>
        <v>0</v>
      </c>
      <c r="J4021" s="6">
        <f t="shared" si="199"/>
        <v>0</v>
      </c>
      <c r="L4021" s="4" t="str">
        <f>IFERROR(VLOOKUP(ROWS($L$2:L4021),$B$2:$C$1996,2,0),"")</f>
        <v/>
      </c>
      <c r="N4021" s="2" t="str">
        <f>IFERROR(VLOOKUP(ROWS($N$2:N4021),$D$2:$E$1996,2,0),"")</f>
        <v/>
      </c>
    </row>
    <row r="4022" spans="2:14">
      <c r="B4022" s="32">
        <f>IF(ISNUMBER(SEARCH('Φόρμα Εισαγωγής'!$B$2,C4022)),MAX($B$1:B4021)+1,0)</f>
        <v>0</v>
      </c>
      <c r="D4022" s="33">
        <f>IF(ISNUMBER(SEARCH('Φόρμα Εισαγωγής'!$C$2,E4022)),MAX($D$1:D4021)+1,0)</f>
        <v>0</v>
      </c>
      <c r="H4022" s="6">
        <f t="shared" si="197"/>
        <v>0</v>
      </c>
      <c r="I4022" s="6">
        <f t="shared" si="198"/>
        <v>0</v>
      </c>
      <c r="J4022" s="6">
        <f t="shared" si="199"/>
        <v>0</v>
      </c>
      <c r="L4022" s="4" t="str">
        <f>IFERROR(VLOOKUP(ROWS($L$2:L4022),$B$2:$C$1996,2,0),"")</f>
        <v/>
      </c>
      <c r="N4022" s="2" t="str">
        <f>IFERROR(VLOOKUP(ROWS($N$2:N4022),$D$2:$E$1996,2,0),"")</f>
        <v/>
      </c>
    </row>
    <row r="4023" spans="2:14">
      <c r="B4023" s="32">
        <f>IF(ISNUMBER(SEARCH('Φόρμα Εισαγωγής'!$B$2,C4023)),MAX($B$1:B4022)+1,0)</f>
        <v>0</v>
      </c>
      <c r="D4023" s="33">
        <f>IF(ISNUMBER(SEARCH('Φόρμα Εισαγωγής'!$C$2,E4023)),MAX($D$1:D4022)+1,0)</f>
        <v>0</v>
      </c>
      <c r="H4023" s="6">
        <f t="shared" si="197"/>
        <v>0</v>
      </c>
      <c r="I4023" s="6">
        <f t="shared" si="198"/>
        <v>0</v>
      </c>
      <c r="J4023" s="6">
        <f t="shared" si="199"/>
        <v>0</v>
      </c>
      <c r="L4023" s="4" t="str">
        <f>IFERROR(VLOOKUP(ROWS($L$2:L4023),$B$2:$C$1996,2,0),"")</f>
        <v/>
      </c>
      <c r="N4023" s="2" t="str">
        <f>IFERROR(VLOOKUP(ROWS($N$2:N4023),$D$2:$E$1996,2,0),"")</f>
        <v/>
      </c>
    </row>
    <row r="4024" spans="2:14">
      <c r="B4024" s="32">
        <f>IF(ISNUMBER(SEARCH('Φόρμα Εισαγωγής'!$B$2,C4024)),MAX($B$1:B4023)+1,0)</f>
        <v>0</v>
      </c>
      <c r="D4024" s="33">
        <f>IF(ISNUMBER(SEARCH('Φόρμα Εισαγωγής'!$C$2,E4024)),MAX($D$1:D4023)+1,0)</f>
        <v>0</v>
      </c>
      <c r="H4024" s="6">
        <f t="shared" si="197"/>
        <v>0</v>
      </c>
      <c r="I4024" s="6">
        <f t="shared" si="198"/>
        <v>0</v>
      </c>
      <c r="J4024" s="6">
        <f t="shared" si="199"/>
        <v>0</v>
      </c>
      <c r="L4024" s="4" t="str">
        <f>IFERROR(VLOOKUP(ROWS($L$2:L4024),$B$2:$C$1996,2,0),"")</f>
        <v/>
      </c>
      <c r="N4024" s="2" t="str">
        <f>IFERROR(VLOOKUP(ROWS($N$2:N4024),$D$2:$E$1996,2,0),"")</f>
        <v/>
      </c>
    </row>
    <row r="4025" spans="2:14">
      <c r="B4025" s="32">
        <f>IF(ISNUMBER(SEARCH('Φόρμα Εισαγωγής'!$B$2,C4025)),MAX($B$1:B4024)+1,0)</f>
        <v>0</v>
      </c>
      <c r="D4025" s="33">
        <f>IF(ISNUMBER(SEARCH('Φόρμα Εισαγωγής'!$C$2,E4025)),MAX($D$1:D4024)+1,0)</f>
        <v>0</v>
      </c>
      <c r="H4025" s="6">
        <f t="shared" si="197"/>
        <v>0</v>
      </c>
      <c r="I4025" s="6">
        <f t="shared" si="198"/>
        <v>0</v>
      </c>
      <c r="J4025" s="6">
        <f t="shared" si="199"/>
        <v>0</v>
      </c>
      <c r="L4025" s="4" t="str">
        <f>IFERROR(VLOOKUP(ROWS($L$2:L4025),$B$2:$C$1996,2,0),"")</f>
        <v/>
      </c>
      <c r="N4025" s="2" t="str">
        <f>IFERROR(VLOOKUP(ROWS($N$2:N4025),$D$2:$E$1996,2,0),"")</f>
        <v/>
      </c>
    </row>
    <row r="4026" spans="2:14">
      <c r="B4026" s="32">
        <f>IF(ISNUMBER(SEARCH('Φόρμα Εισαγωγής'!$B$2,C4026)),MAX($B$1:B4025)+1,0)</f>
        <v>0</v>
      </c>
      <c r="D4026" s="33">
        <f>IF(ISNUMBER(SEARCH('Φόρμα Εισαγωγής'!$C$2,E4026)),MAX($D$1:D4025)+1,0)</f>
        <v>0</v>
      </c>
      <c r="H4026" s="6">
        <f t="shared" si="197"/>
        <v>0</v>
      </c>
      <c r="I4026" s="6">
        <f t="shared" si="198"/>
        <v>0</v>
      </c>
      <c r="J4026" s="6">
        <f t="shared" si="199"/>
        <v>0</v>
      </c>
      <c r="L4026" s="4" t="str">
        <f>IFERROR(VLOOKUP(ROWS($L$2:L4026),$B$2:$C$1996,2,0),"")</f>
        <v/>
      </c>
      <c r="N4026" s="2" t="str">
        <f>IFERROR(VLOOKUP(ROWS($N$2:N4026),$D$2:$E$1996,2,0),"")</f>
        <v/>
      </c>
    </row>
    <row r="4027" spans="2:14">
      <c r="B4027" s="32">
        <f>IF(ISNUMBER(SEARCH('Φόρμα Εισαγωγής'!$B$2,C4027)),MAX($B$1:B4026)+1,0)</f>
        <v>0</v>
      </c>
      <c r="D4027" s="33">
        <f>IF(ISNUMBER(SEARCH('Φόρμα Εισαγωγής'!$C$2,E4027)),MAX($D$1:D4026)+1,0)</f>
        <v>0</v>
      </c>
      <c r="H4027" s="6">
        <f t="shared" si="197"/>
        <v>0</v>
      </c>
      <c r="I4027" s="6">
        <f t="shared" si="198"/>
        <v>0</v>
      </c>
      <c r="J4027" s="6">
        <f t="shared" si="199"/>
        <v>0</v>
      </c>
      <c r="L4027" s="4" t="str">
        <f>IFERROR(VLOOKUP(ROWS($L$2:L4027),$B$2:$C$1996,2,0),"")</f>
        <v/>
      </c>
      <c r="N4027" s="2" t="str">
        <f>IFERROR(VLOOKUP(ROWS($N$2:N4027),$D$2:$E$1996,2,0),"")</f>
        <v/>
      </c>
    </row>
    <row r="4028" spans="2:14">
      <c r="B4028" s="32">
        <f>IF(ISNUMBER(SEARCH('Φόρμα Εισαγωγής'!$B$2,C4028)),MAX($B$1:B4027)+1,0)</f>
        <v>0</v>
      </c>
      <c r="D4028" s="33">
        <f>IF(ISNUMBER(SEARCH('Φόρμα Εισαγωγής'!$C$2,E4028)),MAX($D$1:D4027)+1,0)</f>
        <v>0</v>
      </c>
      <c r="H4028" s="6">
        <f t="shared" si="197"/>
        <v>0</v>
      </c>
      <c r="I4028" s="6">
        <f t="shared" si="198"/>
        <v>0</v>
      </c>
      <c r="J4028" s="6">
        <f t="shared" si="199"/>
        <v>0</v>
      </c>
      <c r="L4028" s="4" t="str">
        <f>IFERROR(VLOOKUP(ROWS($L$2:L4028),$B$2:$C$1996,2,0),"")</f>
        <v/>
      </c>
      <c r="N4028" s="2" t="str">
        <f>IFERROR(VLOOKUP(ROWS($N$2:N4028),$D$2:$E$1996,2,0),"")</f>
        <v/>
      </c>
    </row>
    <row r="4029" spans="2:14">
      <c r="B4029" s="32">
        <f>IF(ISNUMBER(SEARCH('Φόρμα Εισαγωγής'!$B$2,C4029)),MAX($B$1:B4028)+1,0)</f>
        <v>0</v>
      </c>
      <c r="D4029" s="33">
        <f>IF(ISNUMBER(SEARCH('Φόρμα Εισαγωγής'!$C$2,E4029)),MAX($D$1:D4028)+1,0)</f>
        <v>0</v>
      </c>
      <c r="H4029" s="6">
        <f t="shared" si="197"/>
        <v>0</v>
      </c>
      <c r="I4029" s="6">
        <f t="shared" si="198"/>
        <v>0</v>
      </c>
      <c r="J4029" s="6">
        <f t="shared" si="199"/>
        <v>0</v>
      </c>
      <c r="L4029" s="4" t="str">
        <f>IFERROR(VLOOKUP(ROWS($L$2:L4029),$B$2:$C$1996,2,0),"")</f>
        <v/>
      </c>
      <c r="N4029" s="2" t="str">
        <f>IFERROR(VLOOKUP(ROWS($N$2:N4029),$D$2:$E$1996,2,0),"")</f>
        <v/>
      </c>
    </row>
    <row r="4030" spans="2:14">
      <c r="B4030" s="32">
        <f>IF(ISNUMBER(SEARCH('Φόρμα Εισαγωγής'!$B$2,C4030)),MAX($B$1:B4029)+1,0)</f>
        <v>0</v>
      </c>
      <c r="D4030" s="33">
        <f>IF(ISNUMBER(SEARCH('Φόρμα Εισαγωγής'!$C$2,E4030)),MAX($D$1:D4029)+1,0)</f>
        <v>0</v>
      </c>
      <c r="H4030" s="6">
        <f t="shared" si="197"/>
        <v>0</v>
      </c>
      <c r="I4030" s="6">
        <f t="shared" si="198"/>
        <v>0</v>
      </c>
      <c r="J4030" s="6">
        <f t="shared" si="199"/>
        <v>0</v>
      </c>
      <c r="L4030" s="4" t="str">
        <f>IFERROR(VLOOKUP(ROWS($L$2:L4030),$B$2:$C$1996,2,0),"")</f>
        <v/>
      </c>
      <c r="N4030" s="2" t="str">
        <f>IFERROR(VLOOKUP(ROWS($N$2:N4030),$D$2:$E$1996,2,0),"")</f>
        <v/>
      </c>
    </row>
    <row r="4031" spans="2:14">
      <c r="B4031" s="32">
        <f>IF(ISNUMBER(SEARCH('Φόρμα Εισαγωγής'!$B$2,C4031)),MAX($B$1:B4030)+1,0)</f>
        <v>0</v>
      </c>
      <c r="D4031" s="33">
        <f>IF(ISNUMBER(SEARCH('Φόρμα Εισαγωγής'!$C$2,E4031)),MAX($D$1:D4030)+1,0)</f>
        <v>0</v>
      </c>
      <c r="H4031" s="6">
        <f t="shared" si="197"/>
        <v>0</v>
      </c>
      <c r="I4031" s="6">
        <f t="shared" si="198"/>
        <v>0</v>
      </c>
      <c r="J4031" s="6">
        <f t="shared" si="199"/>
        <v>0</v>
      </c>
      <c r="L4031" s="4" t="str">
        <f>IFERROR(VLOOKUP(ROWS($L$2:L4031),$B$2:$C$1996,2,0),"")</f>
        <v/>
      </c>
      <c r="N4031" s="2" t="str">
        <f>IFERROR(VLOOKUP(ROWS($N$2:N4031),$D$2:$E$1996,2,0),"")</f>
        <v/>
      </c>
    </row>
    <row r="4032" spans="2:14">
      <c r="B4032" s="32">
        <f>IF(ISNUMBER(SEARCH('Φόρμα Εισαγωγής'!$B$2,C4032)),MAX($B$1:B4031)+1,0)</f>
        <v>0</v>
      </c>
      <c r="D4032" s="33">
        <f>IF(ISNUMBER(SEARCH('Φόρμα Εισαγωγής'!$C$2,E4032)),MAX($D$1:D4031)+1,0)</f>
        <v>0</v>
      </c>
      <c r="H4032" s="6">
        <f t="shared" ref="H4032:H4095" si="200">G4032+(G4032*0.24)</f>
        <v>0</v>
      </c>
      <c r="I4032" s="6">
        <f t="shared" ref="I4032:I4095" si="201">F4032*A4032</f>
        <v>0</v>
      </c>
      <c r="J4032" s="6">
        <f t="shared" ref="J4032:J4095" si="202">H4032*A4032</f>
        <v>0</v>
      </c>
      <c r="L4032" s="4" t="str">
        <f>IFERROR(VLOOKUP(ROWS($L$2:L4032),$B$2:$C$1996,2,0),"")</f>
        <v/>
      </c>
      <c r="N4032" s="2" t="str">
        <f>IFERROR(VLOOKUP(ROWS($N$2:N4032),$D$2:$E$1996,2,0),"")</f>
        <v/>
      </c>
    </row>
    <row r="4033" spans="2:14">
      <c r="B4033" s="32">
        <f>IF(ISNUMBER(SEARCH('Φόρμα Εισαγωγής'!$B$2,C4033)),MAX($B$1:B4032)+1,0)</f>
        <v>0</v>
      </c>
      <c r="D4033" s="33">
        <f>IF(ISNUMBER(SEARCH('Φόρμα Εισαγωγής'!$C$2,E4033)),MAX($D$1:D4032)+1,0)</f>
        <v>0</v>
      </c>
      <c r="H4033" s="6">
        <f t="shared" si="200"/>
        <v>0</v>
      </c>
      <c r="I4033" s="6">
        <f t="shared" si="201"/>
        <v>0</v>
      </c>
      <c r="J4033" s="6">
        <f t="shared" si="202"/>
        <v>0</v>
      </c>
      <c r="L4033" s="4" t="str">
        <f>IFERROR(VLOOKUP(ROWS($L$2:L4033),$B$2:$C$1996,2,0),"")</f>
        <v/>
      </c>
      <c r="N4033" s="2" t="str">
        <f>IFERROR(VLOOKUP(ROWS($N$2:N4033),$D$2:$E$1996,2,0),"")</f>
        <v/>
      </c>
    </row>
    <row r="4034" spans="2:14">
      <c r="B4034" s="32">
        <f>IF(ISNUMBER(SEARCH('Φόρμα Εισαγωγής'!$B$2,C4034)),MAX($B$1:B4033)+1,0)</f>
        <v>0</v>
      </c>
      <c r="D4034" s="33">
        <f>IF(ISNUMBER(SEARCH('Φόρμα Εισαγωγής'!$C$2,E4034)),MAX($D$1:D4033)+1,0)</f>
        <v>0</v>
      </c>
      <c r="H4034" s="6">
        <f t="shared" si="200"/>
        <v>0</v>
      </c>
      <c r="I4034" s="6">
        <f t="shared" si="201"/>
        <v>0</v>
      </c>
      <c r="J4034" s="6">
        <f t="shared" si="202"/>
        <v>0</v>
      </c>
      <c r="L4034" s="4" t="str">
        <f>IFERROR(VLOOKUP(ROWS($L$2:L4034),$B$2:$C$1996,2,0),"")</f>
        <v/>
      </c>
      <c r="N4034" s="2" t="str">
        <f>IFERROR(VLOOKUP(ROWS($N$2:N4034),$D$2:$E$1996,2,0),"")</f>
        <v/>
      </c>
    </row>
    <row r="4035" spans="2:14">
      <c r="B4035" s="32">
        <f>IF(ISNUMBER(SEARCH('Φόρμα Εισαγωγής'!$B$2,C4035)),MAX($B$1:B4034)+1,0)</f>
        <v>0</v>
      </c>
      <c r="D4035" s="33">
        <f>IF(ISNUMBER(SEARCH('Φόρμα Εισαγωγής'!$C$2,E4035)),MAX($D$1:D4034)+1,0)</f>
        <v>0</v>
      </c>
      <c r="H4035" s="6">
        <f t="shared" si="200"/>
        <v>0</v>
      </c>
      <c r="I4035" s="6">
        <f t="shared" si="201"/>
        <v>0</v>
      </c>
      <c r="J4035" s="6">
        <f t="shared" si="202"/>
        <v>0</v>
      </c>
      <c r="L4035" s="4" t="str">
        <f>IFERROR(VLOOKUP(ROWS($L$2:L4035),$B$2:$C$1996,2,0),"")</f>
        <v/>
      </c>
      <c r="N4035" s="2" t="str">
        <f>IFERROR(VLOOKUP(ROWS($N$2:N4035),$D$2:$E$1996,2,0),"")</f>
        <v/>
      </c>
    </row>
    <row r="4036" spans="2:14">
      <c r="B4036" s="32">
        <f>IF(ISNUMBER(SEARCH('Φόρμα Εισαγωγής'!$B$2,C4036)),MAX($B$1:B4035)+1,0)</f>
        <v>0</v>
      </c>
      <c r="D4036" s="33">
        <f>IF(ISNUMBER(SEARCH('Φόρμα Εισαγωγής'!$C$2,E4036)),MAX($D$1:D4035)+1,0)</f>
        <v>0</v>
      </c>
      <c r="H4036" s="6">
        <f t="shared" si="200"/>
        <v>0</v>
      </c>
      <c r="I4036" s="6">
        <f t="shared" si="201"/>
        <v>0</v>
      </c>
      <c r="J4036" s="6">
        <f t="shared" si="202"/>
        <v>0</v>
      </c>
      <c r="L4036" s="4" t="str">
        <f>IFERROR(VLOOKUP(ROWS($L$2:L4036),$B$2:$C$1996,2,0),"")</f>
        <v/>
      </c>
      <c r="N4036" s="2" t="str">
        <f>IFERROR(VLOOKUP(ROWS($N$2:N4036),$D$2:$E$1996,2,0),"")</f>
        <v/>
      </c>
    </row>
    <row r="4037" spans="2:14">
      <c r="B4037" s="32">
        <f>IF(ISNUMBER(SEARCH('Φόρμα Εισαγωγής'!$B$2,C4037)),MAX($B$1:B4036)+1,0)</f>
        <v>0</v>
      </c>
      <c r="D4037" s="33">
        <f>IF(ISNUMBER(SEARCH('Φόρμα Εισαγωγής'!$C$2,E4037)),MAX($D$1:D4036)+1,0)</f>
        <v>0</v>
      </c>
      <c r="H4037" s="6">
        <f t="shared" si="200"/>
        <v>0</v>
      </c>
      <c r="I4037" s="6">
        <f t="shared" si="201"/>
        <v>0</v>
      </c>
      <c r="J4037" s="6">
        <f t="shared" si="202"/>
        <v>0</v>
      </c>
      <c r="L4037" s="4" t="str">
        <f>IFERROR(VLOOKUP(ROWS($L$2:L4037),$B$2:$C$1996,2,0),"")</f>
        <v/>
      </c>
      <c r="N4037" s="2" t="str">
        <f>IFERROR(VLOOKUP(ROWS($N$2:N4037),$D$2:$E$1996,2,0),"")</f>
        <v/>
      </c>
    </row>
    <row r="4038" spans="2:14">
      <c r="B4038" s="32">
        <f>IF(ISNUMBER(SEARCH('Φόρμα Εισαγωγής'!$B$2,C4038)),MAX($B$1:B4037)+1,0)</f>
        <v>0</v>
      </c>
      <c r="D4038" s="33">
        <f>IF(ISNUMBER(SEARCH('Φόρμα Εισαγωγής'!$C$2,E4038)),MAX($D$1:D4037)+1,0)</f>
        <v>0</v>
      </c>
      <c r="H4038" s="6">
        <f t="shared" si="200"/>
        <v>0</v>
      </c>
      <c r="I4038" s="6">
        <f t="shared" si="201"/>
        <v>0</v>
      </c>
      <c r="J4038" s="6">
        <f t="shared" si="202"/>
        <v>0</v>
      </c>
      <c r="L4038" s="4" t="str">
        <f>IFERROR(VLOOKUP(ROWS($L$2:L4038),$B$2:$C$1996,2,0),"")</f>
        <v/>
      </c>
      <c r="N4038" s="2" t="str">
        <f>IFERROR(VLOOKUP(ROWS($N$2:N4038),$D$2:$E$1996,2,0),"")</f>
        <v/>
      </c>
    </row>
    <row r="4039" spans="2:14">
      <c r="B4039" s="32">
        <f>IF(ISNUMBER(SEARCH('Φόρμα Εισαγωγής'!$B$2,C4039)),MAX($B$1:B4038)+1,0)</f>
        <v>0</v>
      </c>
      <c r="D4039" s="33">
        <f>IF(ISNUMBER(SEARCH('Φόρμα Εισαγωγής'!$C$2,E4039)),MAX($D$1:D4038)+1,0)</f>
        <v>0</v>
      </c>
      <c r="H4039" s="6">
        <f t="shared" si="200"/>
        <v>0</v>
      </c>
      <c r="I4039" s="6">
        <f t="shared" si="201"/>
        <v>0</v>
      </c>
      <c r="J4039" s="6">
        <f t="shared" si="202"/>
        <v>0</v>
      </c>
      <c r="L4039" s="4" t="str">
        <f>IFERROR(VLOOKUP(ROWS($L$2:L4039),$B$2:$C$1996,2,0),"")</f>
        <v/>
      </c>
      <c r="N4039" s="2" t="str">
        <f>IFERROR(VLOOKUP(ROWS($N$2:N4039),$D$2:$E$1996,2,0),"")</f>
        <v/>
      </c>
    </row>
    <row r="4040" spans="2:14">
      <c r="B4040" s="32">
        <f>IF(ISNUMBER(SEARCH('Φόρμα Εισαγωγής'!$B$2,C4040)),MAX($B$1:B4039)+1,0)</f>
        <v>0</v>
      </c>
      <c r="D4040" s="33">
        <f>IF(ISNUMBER(SEARCH('Φόρμα Εισαγωγής'!$C$2,E4040)),MAX($D$1:D4039)+1,0)</f>
        <v>0</v>
      </c>
      <c r="H4040" s="6">
        <f t="shared" si="200"/>
        <v>0</v>
      </c>
      <c r="I4040" s="6">
        <f t="shared" si="201"/>
        <v>0</v>
      </c>
      <c r="J4040" s="6">
        <f t="shared" si="202"/>
        <v>0</v>
      </c>
      <c r="L4040" s="4" t="str">
        <f>IFERROR(VLOOKUP(ROWS($L$2:L4040),$B$2:$C$1996,2,0),"")</f>
        <v/>
      </c>
      <c r="N4040" s="2" t="str">
        <f>IFERROR(VLOOKUP(ROWS($N$2:N4040),$D$2:$E$1996,2,0),"")</f>
        <v/>
      </c>
    </row>
    <row r="4041" spans="2:14">
      <c r="B4041" s="32">
        <f>IF(ISNUMBER(SEARCH('Φόρμα Εισαγωγής'!$B$2,C4041)),MAX($B$1:B4040)+1,0)</f>
        <v>0</v>
      </c>
      <c r="D4041" s="33">
        <f>IF(ISNUMBER(SEARCH('Φόρμα Εισαγωγής'!$C$2,E4041)),MAX($D$1:D4040)+1,0)</f>
        <v>0</v>
      </c>
      <c r="H4041" s="6">
        <f t="shared" si="200"/>
        <v>0</v>
      </c>
      <c r="I4041" s="6">
        <f t="shared" si="201"/>
        <v>0</v>
      </c>
      <c r="J4041" s="6">
        <f t="shared" si="202"/>
        <v>0</v>
      </c>
      <c r="L4041" s="4" t="str">
        <f>IFERROR(VLOOKUP(ROWS($L$2:L4041),$B$2:$C$1996,2,0),"")</f>
        <v/>
      </c>
      <c r="N4041" s="2" t="str">
        <f>IFERROR(VLOOKUP(ROWS($N$2:N4041),$D$2:$E$1996,2,0),"")</f>
        <v/>
      </c>
    </row>
    <row r="4042" spans="2:14">
      <c r="B4042" s="32">
        <f>IF(ISNUMBER(SEARCH('Φόρμα Εισαγωγής'!$B$2,C4042)),MAX($B$1:B4041)+1,0)</f>
        <v>0</v>
      </c>
      <c r="D4042" s="33">
        <f>IF(ISNUMBER(SEARCH('Φόρμα Εισαγωγής'!$C$2,E4042)),MAX($D$1:D4041)+1,0)</f>
        <v>0</v>
      </c>
      <c r="H4042" s="6">
        <f t="shared" si="200"/>
        <v>0</v>
      </c>
      <c r="I4042" s="6">
        <f t="shared" si="201"/>
        <v>0</v>
      </c>
      <c r="J4042" s="6">
        <f t="shared" si="202"/>
        <v>0</v>
      </c>
      <c r="L4042" s="4" t="str">
        <f>IFERROR(VLOOKUP(ROWS($L$2:L4042),$B$2:$C$1996,2,0),"")</f>
        <v/>
      </c>
      <c r="N4042" s="2" t="str">
        <f>IFERROR(VLOOKUP(ROWS($N$2:N4042),$D$2:$E$1996,2,0),"")</f>
        <v/>
      </c>
    </row>
    <row r="4043" spans="2:14">
      <c r="B4043" s="32">
        <f>IF(ISNUMBER(SEARCH('Φόρμα Εισαγωγής'!$B$2,C4043)),MAX($B$1:B4042)+1,0)</f>
        <v>0</v>
      </c>
      <c r="D4043" s="33">
        <f>IF(ISNUMBER(SEARCH('Φόρμα Εισαγωγής'!$C$2,E4043)),MAX($D$1:D4042)+1,0)</f>
        <v>0</v>
      </c>
      <c r="H4043" s="6">
        <f t="shared" si="200"/>
        <v>0</v>
      </c>
      <c r="I4043" s="6">
        <f t="shared" si="201"/>
        <v>0</v>
      </c>
      <c r="J4043" s="6">
        <f t="shared" si="202"/>
        <v>0</v>
      </c>
      <c r="L4043" s="4" t="str">
        <f>IFERROR(VLOOKUP(ROWS($L$2:L4043),$B$2:$C$1996,2,0),"")</f>
        <v/>
      </c>
      <c r="N4043" s="2" t="str">
        <f>IFERROR(VLOOKUP(ROWS($N$2:N4043),$D$2:$E$1996,2,0),"")</f>
        <v/>
      </c>
    </row>
    <row r="4044" spans="2:14">
      <c r="B4044" s="32">
        <f>IF(ISNUMBER(SEARCH('Φόρμα Εισαγωγής'!$B$2,C4044)),MAX($B$1:B4043)+1,0)</f>
        <v>0</v>
      </c>
      <c r="D4044" s="33">
        <f>IF(ISNUMBER(SEARCH('Φόρμα Εισαγωγής'!$C$2,E4044)),MAX($D$1:D4043)+1,0)</f>
        <v>0</v>
      </c>
      <c r="H4044" s="6">
        <f t="shared" si="200"/>
        <v>0</v>
      </c>
      <c r="I4044" s="6">
        <f t="shared" si="201"/>
        <v>0</v>
      </c>
      <c r="J4044" s="6">
        <f t="shared" si="202"/>
        <v>0</v>
      </c>
      <c r="L4044" s="4" t="str">
        <f>IFERROR(VLOOKUP(ROWS($L$2:L4044),$B$2:$C$1996,2,0),"")</f>
        <v/>
      </c>
      <c r="N4044" s="2" t="str">
        <f>IFERROR(VLOOKUP(ROWS($N$2:N4044),$D$2:$E$1996,2,0),"")</f>
        <v/>
      </c>
    </row>
    <row r="4045" spans="2:14">
      <c r="B4045" s="32">
        <f>IF(ISNUMBER(SEARCH('Φόρμα Εισαγωγής'!$B$2,C4045)),MAX($B$1:B4044)+1,0)</f>
        <v>0</v>
      </c>
      <c r="D4045" s="33">
        <f>IF(ISNUMBER(SEARCH('Φόρμα Εισαγωγής'!$C$2,E4045)),MAX($D$1:D4044)+1,0)</f>
        <v>0</v>
      </c>
      <c r="H4045" s="6">
        <f t="shared" si="200"/>
        <v>0</v>
      </c>
      <c r="I4045" s="6">
        <f t="shared" si="201"/>
        <v>0</v>
      </c>
      <c r="J4045" s="6">
        <f t="shared" si="202"/>
        <v>0</v>
      </c>
      <c r="L4045" s="4" t="str">
        <f>IFERROR(VLOOKUP(ROWS($L$2:L4045),$B$2:$C$1996,2,0),"")</f>
        <v/>
      </c>
      <c r="N4045" s="2" t="str">
        <f>IFERROR(VLOOKUP(ROWS($N$2:N4045),$D$2:$E$1996,2,0),"")</f>
        <v/>
      </c>
    </row>
    <row r="4046" spans="2:14">
      <c r="B4046" s="32">
        <f>IF(ISNUMBER(SEARCH('Φόρμα Εισαγωγής'!$B$2,C4046)),MAX($B$1:B4045)+1,0)</f>
        <v>0</v>
      </c>
      <c r="D4046" s="33">
        <f>IF(ISNUMBER(SEARCH('Φόρμα Εισαγωγής'!$C$2,E4046)),MAX($D$1:D4045)+1,0)</f>
        <v>0</v>
      </c>
      <c r="H4046" s="6">
        <f t="shared" si="200"/>
        <v>0</v>
      </c>
      <c r="I4046" s="6">
        <f t="shared" si="201"/>
        <v>0</v>
      </c>
      <c r="J4046" s="6">
        <f t="shared" si="202"/>
        <v>0</v>
      </c>
      <c r="L4046" s="4" t="str">
        <f>IFERROR(VLOOKUP(ROWS($L$2:L4046),$B$2:$C$1996,2,0),"")</f>
        <v/>
      </c>
      <c r="N4046" s="2" t="str">
        <f>IFERROR(VLOOKUP(ROWS($N$2:N4046),$D$2:$E$1996,2,0),"")</f>
        <v/>
      </c>
    </row>
    <row r="4047" spans="2:14">
      <c r="B4047" s="32">
        <f>IF(ISNUMBER(SEARCH('Φόρμα Εισαγωγής'!$B$2,C4047)),MAX($B$1:B4046)+1,0)</f>
        <v>0</v>
      </c>
      <c r="D4047" s="33">
        <f>IF(ISNUMBER(SEARCH('Φόρμα Εισαγωγής'!$C$2,E4047)),MAX($D$1:D4046)+1,0)</f>
        <v>0</v>
      </c>
      <c r="H4047" s="6">
        <f t="shared" si="200"/>
        <v>0</v>
      </c>
      <c r="I4047" s="6">
        <f t="shared" si="201"/>
        <v>0</v>
      </c>
      <c r="J4047" s="6">
        <f t="shared" si="202"/>
        <v>0</v>
      </c>
      <c r="L4047" s="4" t="str">
        <f>IFERROR(VLOOKUP(ROWS($L$2:L4047),$B$2:$C$1996,2,0),"")</f>
        <v/>
      </c>
      <c r="N4047" s="2" t="str">
        <f>IFERROR(VLOOKUP(ROWS($N$2:N4047),$D$2:$E$1996,2,0),"")</f>
        <v/>
      </c>
    </row>
    <row r="4048" spans="2:14">
      <c r="B4048" s="32">
        <f>IF(ISNUMBER(SEARCH('Φόρμα Εισαγωγής'!$B$2,C4048)),MAX($B$1:B4047)+1,0)</f>
        <v>0</v>
      </c>
      <c r="D4048" s="33">
        <f>IF(ISNUMBER(SEARCH('Φόρμα Εισαγωγής'!$C$2,E4048)),MAX($D$1:D4047)+1,0)</f>
        <v>0</v>
      </c>
      <c r="H4048" s="6">
        <f t="shared" si="200"/>
        <v>0</v>
      </c>
      <c r="I4048" s="6">
        <f t="shared" si="201"/>
        <v>0</v>
      </c>
      <c r="J4048" s="6">
        <f t="shared" si="202"/>
        <v>0</v>
      </c>
      <c r="L4048" s="4" t="str">
        <f>IFERROR(VLOOKUP(ROWS($L$2:L4048),$B$2:$C$1996,2,0),"")</f>
        <v/>
      </c>
      <c r="N4048" s="2" t="str">
        <f>IFERROR(VLOOKUP(ROWS($N$2:N4048),$D$2:$E$1996,2,0),"")</f>
        <v/>
      </c>
    </row>
    <row r="4049" spans="2:14">
      <c r="B4049" s="32">
        <f>IF(ISNUMBER(SEARCH('Φόρμα Εισαγωγής'!$B$2,C4049)),MAX($B$1:B4048)+1,0)</f>
        <v>0</v>
      </c>
      <c r="D4049" s="33">
        <f>IF(ISNUMBER(SEARCH('Φόρμα Εισαγωγής'!$C$2,E4049)),MAX($D$1:D4048)+1,0)</f>
        <v>0</v>
      </c>
      <c r="H4049" s="6">
        <f t="shared" si="200"/>
        <v>0</v>
      </c>
      <c r="I4049" s="6">
        <f t="shared" si="201"/>
        <v>0</v>
      </c>
      <c r="J4049" s="6">
        <f t="shared" si="202"/>
        <v>0</v>
      </c>
      <c r="L4049" s="4" t="str">
        <f>IFERROR(VLOOKUP(ROWS($L$2:L4049),$B$2:$C$1996,2,0),"")</f>
        <v/>
      </c>
      <c r="N4049" s="2" t="str">
        <f>IFERROR(VLOOKUP(ROWS($N$2:N4049),$D$2:$E$1996,2,0),"")</f>
        <v/>
      </c>
    </row>
    <row r="4050" spans="2:14">
      <c r="B4050" s="32">
        <f>IF(ISNUMBER(SEARCH('Φόρμα Εισαγωγής'!$B$2,C4050)),MAX($B$1:B4049)+1,0)</f>
        <v>0</v>
      </c>
      <c r="D4050" s="33">
        <f>IF(ISNUMBER(SEARCH('Φόρμα Εισαγωγής'!$C$2,E4050)),MAX($D$1:D4049)+1,0)</f>
        <v>0</v>
      </c>
      <c r="H4050" s="6">
        <f t="shared" si="200"/>
        <v>0</v>
      </c>
      <c r="I4050" s="6">
        <f t="shared" si="201"/>
        <v>0</v>
      </c>
      <c r="J4050" s="6">
        <f t="shared" si="202"/>
        <v>0</v>
      </c>
      <c r="L4050" s="4" t="str">
        <f>IFERROR(VLOOKUP(ROWS($L$2:L4050),$B$2:$C$1996,2,0),"")</f>
        <v/>
      </c>
      <c r="N4050" s="2" t="str">
        <f>IFERROR(VLOOKUP(ROWS($N$2:N4050),$D$2:$E$1996,2,0),"")</f>
        <v/>
      </c>
    </row>
    <row r="4051" spans="2:14">
      <c r="B4051" s="32">
        <f>IF(ISNUMBER(SEARCH('Φόρμα Εισαγωγής'!$B$2,C4051)),MAX($B$1:B4050)+1,0)</f>
        <v>0</v>
      </c>
      <c r="D4051" s="33">
        <f>IF(ISNUMBER(SEARCH('Φόρμα Εισαγωγής'!$C$2,E4051)),MAX($D$1:D4050)+1,0)</f>
        <v>0</v>
      </c>
      <c r="H4051" s="6">
        <f t="shared" si="200"/>
        <v>0</v>
      </c>
      <c r="I4051" s="6">
        <f t="shared" si="201"/>
        <v>0</v>
      </c>
      <c r="J4051" s="6">
        <f t="shared" si="202"/>
        <v>0</v>
      </c>
      <c r="L4051" s="4" t="str">
        <f>IFERROR(VLOOKUP(ROWS($L$2:L4051),$B$2:$C$1996,2,0),"")</f>
        <v/>
      </c>
      <c r="N4051" s="2" t="str">
        <f>IFERROR(VLOOKUP(ROWS($N$2:N4051),$D$2:$E$1996,2,0),"")</f>
        <v/>
      </c>
    </row>
    <row r="4052" spans="2:14">
      <c r="B4052" s="32">
        <f>IF(ISNUMBER(SEARCH('Φόρμα Εισαγωγής'!$B$2,C4052)),MAX($B$1:B4051)+1,0)</f>
        <v>0</v>
      </c>
      <c r="D4052" s="33">
        <f>IF(ISNUMBER(SEARCH('Φόρμα Εισαγωγής'!$C$2,E4052)),MAX($D$1:D4051)+1,0)</f>
        <v>0</v>
      </c>
      <c r="H4052" s="6">
        <f t="shared" si="200"/>
        <v>0</v>
      </c>
      <c r="I4052" s="6">
        <f t="shared" si="201"/>
        <v>0</v>
      </c>
      <c r="J4052" s="6">
        <f t="shared" si="202"/>
        <v>0</v>
      </c>
      <c r="L4052" s="4" t="str">
        <f>IFERROR(VLOOKUP(ROWS($L$2:L4052),$B$2:$C$1996,2,0),"")</f>
        <v/>
      </c>
      <c r="N4052" s="2" t="str">
        <f>IFERROR(VLOOKUP(ROWS($N$2:N4052),$D$2:$E$1996,2,0),"")</f>
        <v/>
      </c>
    </row>
    <row r="4053" spans="2:14">
      <c r="B4053" s="32">
        <f>IF(ISNUMBER(SEARCH('Φόρμα Εισαγωγής'!$B$2,C4053)),MAX($B$1:B4052)+1,0)</f>
        <v>0</v>
      </c>
      <c r="D4053" s="33">
        <f>IF(ISNUMBER(SEARCH('Φόρμα Εισαγωγής'!$C$2,E4053)),MAX($D$1:D4052)+1,0)</f>
        <v>0</v>
      </c>
      <c r="H4053" s="6">
        <f t="shared" si="200"/>
        <v>0</v>
      </c>
      <c r="I4053" s="6">
        <f t="shared" si="201"/>
        <v>0</v>
      </c>
      <c r="J4053" s="6">
        <f t="shared" si="202"/>
        <v>0</v>
      </c>
      <c r="L4053" s="4" t="str">
        <f>IFERROR(VLOOKUP(ROWS($L$2:L4053),$B$2:$C$1996,2,0),"")</f>
        <v/>
      </c>
      <c r="N4053" s="2" t="str">
        <f>IFERROR(VLOOKUP(ROWS($N$2:N4053),$D$2:$E$1996,2,0),"")</f>
        <v/>
      </c>
    </row>
    <row r="4054" spans="2:14">
      <c r="B4054" s="32">
        <f>IF(ISNUMBER(SEARCH('Φόρμα Εισαγωγής'!$B$2,C4054)),MAX($B$1:B4053)+1,0)</f>
        <v>0</v>
      </c>
      <c r="D4054" s="33">
        <f>IF(ISNUMBER(SEARCH('Φόρμα Εισαγωγής'!$C$2,E4054)),MAX($D$1:D4053)+1,0)</f>
        <v>0</v>
      </c>
      <c r="H4054" s="6">
        <f t="shared" si="200"/>
        <v>0</v>
      </c>
      <c r="I4054" s="6">
        <f t="shared" si="201"/>
        <v>0</v>
      </c>
      <c r="J4054" s="6">
        <f t="shared" si="202"/>
        <v>0</v>
      </c>
      <c r="L4054" s="4" t="str">
        <f>IFERROR(VLOOKUP(ROWS($L$2:L4054),$B$2:$C$1996,2,0),"")</f>
        <v/>
      </c>
      <c r="N4054" s="2" t="str">
        <f>IFERROR(VLOOKUP(ROWS($N$2:N4054),$D$2:$E$1996,2,0),"")</f>
        <v/>
      </c>
    </row>
    <row r="4055" spans="2:14">
      <c r="B4055" s="32">
        <f>IF(ISNUMBER(SEARCH('Φόρμα Εισαγωγής'!$B$2,C4055)),MAX($B$1:B4054)+1,0)</f>
        <v>0</v>
      </c>
      <c r="D4055" s="33">
        <f>IF(ISNUMBER(SEARCH('Φόρμα Εισαγωγής'!$C$2,E4055)),MAX($D$1:D4054)+1,0)</f>
        <v>0</v>
      </c>
      <c r="H4055" s="6">
        <f t="shared" si="200"/>
        <v>0</v>
      </c>
      <c r="I4055" s="6">
        <f t="shared" si="201"/>
        <v>0</v>
      </c>
      <c r="J4055" s="6">
        <f t="shared" si="202"/>
        <v>0</v>
      </c>
      <c r="L4055" s="4" t="str">
        <f>IFERROR(VLOOKUP(ROWS($L$2:L4055),$B$2:$C$1996,2,0),"")</f>
        <v/>
      </c>
      <c r="N4055" s="2" t="str">
        <f>IFERROR(VLOOKUP(ROWS($N$2:N4055),$D$2:$E$1996,2,0),"")</f>
        <v/>
      </c>
    </row>
    <row r="4056" spans="2:14">
      <c r="B4056" s="32">
        <f>IF(ISNUMBER(SEARCH('Φόρμα Εισαγωγής'!$B$2,C4056)),MAX($B$1:B4055)+1,0)</f>
        <v>0</v>
      </c>
      <c r="D4056" s="33">
        <f>IF(ISNUMBER(SEARCH('Φόρμα Εισαγωγής'!$C$2,E4056)),MAX($D$1:D4055)+1,0)</f>
        <v>0</v>
      </c>
      <c r="H4056" s="6">
        <f t="shared" si="200"/>
        <v>0</v>
      </c>
      <c r="I4056" s="6">
        <f t="shared" si="201"/>
        <v>0</v>
      </c>
      <c r="J4056" s="6">
        <f t="shared" si="202"/>
        <v>0</v>
      </c>
      <c r="L4056" s="4" t="str">
        <f>IFERROR(VLOOKUP(ROWS($L$2:L4056),$B$2:$C$1996,2,0),"")</f>
        <v/>
      </c>
      <c r="N4056" s="2" t="str">
        <f>IFERROR(VLOOKUP(ROWS($N$2:N4056),$D$2:$E$1996,2,0),"")</f>
        <v/>
      </c>
    </row>
    <row r="4057" spans="2:14">
      <c r="B4057" s="32">
        <f>IF(ISNUMBER(SEARCH('Φόρμα Εισαγωγής'!$B$2,C4057)),MAX($B$1:B4056)+1,0)</f>
        <v>0</v>
      </c>
      <c r="D4057" s="33">
        <f>IF(ISNUMBER(SEARCH('Φόρμα Εισαγωγής'!$C$2,E4057)),MAX($D$1:D4056)+1,0)</f>
        <v>0</v>
      </c>
      <c r="H4057" s="6">
        <f t="shared" si="200"/>
        <v>0</v>
      </c>
      <c r="I4057" s="6">
        <f t="shared" si="201"/>
        <v>0</v>
      </c>
      <c r="J4057" s="6">
        <f t="shared" si="202"/>
        <v>0</v>
      </c>
      <c r="L4057" s="4" t="str">
        <f>IFERROR(VLOOKUP(ROWS($L$2:L4057),$B$2:$C$1996,2,0),"")</f>
        <v/>
      </c>
      <c r="N4057" s="2" t="str">
        <f>IFERROR(VLOOKUP(ROWS($N$2:N4057),$D$2:$E$1996,2,0),"")</f>
        <v/>
      </c>
    </row>
    <row r="4058" spans="2:14">
      <c r="B4058" s="32">
        <f>IF(ISNUMBER(SEARCH('Φόρμα Εισαγωγής'!$B$2,C4058)),MAX($B$1:B4057)+1,0)</f>
        <v>0</v>
      </c>
      <c r="D4058" s="33">
        <f>IF(ISNUMBER(SEARCH('Φόρμα Εισαγωγής'!$C$2,E4058)),MAX($D$1:D4057)+1,0)</f>
        <v>0</v>
      </c>
      <c r="H4058" s="6">
        <f t="shared" si="200"/>
        <v>0</v>
      </c>
      <c r="I4058" s="6">
        <f t="shared" si="201"/>
        <v>0</v>
      </c>
      <c r="J4058" s="6">
        <f t="shared" si="202"/>
        <v>0</v>
      </c>
      <c r="L4058" s="4" t="str">
        <f>IFERROR(VLOOKUP(ROWS($L$2:L4058),$B$2:$C$1996,2,0),"")</f>
        <v/>
      </c>
      <c r="N4058" s="2" t="str">
        <f>IFERROR(VLOOKUP(ROWS($N$2:N4058),$D$2:$E$1996,2,0),"")</f>
        <v/>
      </c>
    </row>
    <row r="4059" spans="2:14">
      <c r="B4059" s="32">
        <f>IF(ISNUMBER(SEARCH('Φόρμα Εισαγωγής'!$B$2,C4059)),MAX($B$1:B4058)+1,0)</f>
        <v>0</v>
      </c>
      <c r="D4059" s="33">
        <f>IF(ISNUMBER(SEARCH('Φόρμα Εισαγωγής'!$C$2,E4059)),MAX($D$1:D4058)+1,0)</f>
        <v>0</v>
      </c>
      <c r="H4059" s="6">
        <f t="shared" si="200"/>
        <v>0</v>
      </c>
      <c r="I4059" s="6">
        <f t="shared" si="201"/>
        <v>0</v>
      </c>
      <c r="J4059" s="6">
        <f t="shared" si="202"/>
        <v>0</v>
      </c>
      <c r="L4059" s="4" t="str">
        <f>IFERROR(VLOOKUP(ROWS($L$2:L4059),$B$2:$C$1996,2,0),"")</f>
        <v/>
      </c>
      <c r="N4059" s="2" t="str">
        <f>IFERROR(VLOOKUP(ROWS($N$2:N4059),$D$2:$E$1996,2,0),"")</f>
        <v/>
      </c>
    </row>
    <row r="4060" spans="2:14">
      <c r="B4060" s="32">
        <f>IF(ISNUMBER(SEARCH('Φόρμα Εισαγωγής'!$B$2,C4060)),MAX($B$1:B4059)+1,0)</f>
        <v>0</v>
      </c>
      <c r="D4060" s="33">
        <f>IF(ISNUMBER(SEARCH('Φόρμα Εισαγωγής'!$C$2,E4060)),MAX($D$1:D4059)+1,0)</f>
        <v>0</v>
      </c>
      <c r="H4060" s="6">
        <f t="shared" si="200"/>
        <v>0</v>
      </c>
      <c r="I4060" s="6">
        <f t="shared" si="201"/>
        <v>0</v>
      </c>
      <c r="J4060" s="6">
        <f t="shared" si="202"/>
        <v>0</v>
      </c>
      <c r="L4060" s="4" t="str">
        <f>IFERROR(VLOOKUP(ROWS($L$2:L4060),$B$2:$C$1996,2,0),"")</f>
        <v/>
      </c>
      <c r="N4060" s="2" t="str">
        <f>IFERROR(VLOOKUP(ROWS($N$2:N4060),$D$2:$E$1996,2,0),"")</f>
        <v/>
      </c>
    </row>
    <row r="4061" spans="2:14">
      <c r="B4061" s="32">
        <f>IF(ISNUMBER(SEARCH('Φόρμα Εισαγωγής'!$B$2,C4061)),MAX($B$1:B4060)+1,0)</f>
        <v>0</v>
      </c>
      <c r="D4061" s="33">
        <f>IF(ISNUMBER(SEARCH('Φόρμα Εισαγωγής'!$C$2,E4061)),MAX($D$1:D4060)+1,0)</f>
        <v>0</v>
      </c>
      <c r="H4061" s="6">
        <f t="shared" si="200"/>
        <v>0</v>
      </c>
      <c r="I4061" s="6">
        <f t="shared" si="201"/>
        <v>0</v>
      </c>
      <c r="J4061" s="6">
        <f t="shared" si="202"/>
        <v>0</v>
      </c>
      <c r="L4061" s="4" t="str">
        <f>IFERROR(VLOOKUP(ROWS($L$2:L4061),$B$2:$C$1996,2,0),"")</f>
        <v/>
      </c>
      <c r="N4061" s="2" t="str">
        <f>IFERROR(VLOOKUP(ROWS($N$2:N4061),$D$2:$E$1996,2,0),"")</f>
        <v/>
      </c>
    </row>
    <row r="4062" spans="2:14">
      <c r="B4062" s="32">
        <f>IF(ISNUMBER(SEARCH('Φόρμα Εισαγωγής'!$B$2,C4062)),MAX($B$1:B4061)+1,0)</f>
        <v>0</v>
      </c>
      <c r="D4062" s="33">
        <f>IF(ISNUMBER(SEARCH('Φόρμα Εισαγωγής'!$C$2,E4062)),MAX($D$1:D4061)+1,0)</f>
        <v>0</v>
      </c>
      <c r="H4062" s="6">
        <f t="shared" si="200"/>
        <v>0</v>
      </c>
      <c r="I4062" s="6">
        <f t="shared" si="201"/>
        <v>0</v>
      </c>
      <c r="J4062" s="6">
        <f t="shared" si="202"/>
        <v>0</v>
      </c>
      <c r="L4062" s="4" t="str">
        <f>IFERROR(VLOOKUP(ROWS($L$2:L4062),$B$2:$C$1996,2,0),"")</f>
        <v/>
      </c>
      <c r="N4062" s="2" t="str">
        <f>IFERROR(VLOOKUP(ROWS($N$2:N4062),$D$2:$E$1996,2,0),"")</f>
        <v/>
      </c>
    </row>
    <row r="4063" spans="2:14">
      <c r="B4063" s="32">
        <f>IF(ISNUMBER(SEARCH('Φόρμα Εισαγωγής'!$B$2,C4063)),MAX($B$1:B4062)+1,0)</f>
        <v>0</v>
      </c>
      <c r="D4063" s="33">
        <f>IF(ISNUMBER(SEARCH('Φόρμα Εισαγωγής'!$C$2,E4063)),MAX($D$1:D4062)+1,0)</f>
        <v>0</v>
      </c>
      <c r="H4063" s="6">
        <f t="shared" si="200"/>
        <v>0</v>
      </c>
      <c r="I4063" s="6">
        <f t="shared" si="201"/>
        <v>0</v>
      </c>
      <c r="J4063" s="6">
        <f t="shared" si="202"/>
        <v>0</v>
      </c>
      <c r="L4063" s="4" t="str">
        <f>IFERROR(VLOOKUP(ROWS($L$2:L4063),$B$2:$C$1996,2,0),"")</f>
        <v/>
      </c>
      <c r="N4063" s="2" t="str">
        <f>IFERROR(VLOOKUP(ROWS($N$2:N4063),$D$2:$E$1996,2,0),"")</f>
        <v/>
      </c>
    </row>
    <row r="4064" spans="2:14">
      <c r="B4064" s="32">
        <f>IF(ISNUMBER(SEARCH('Φόρμα Εισαγωγής'!$B$2,C4064)),MAX($B$1:B4063)+1,0)</f>
        <v>0</v>
      </c>
      <c r="D4064" s="33">
        <f>IF(ISNUMBER(SEARCH('Φόρμα Εισαγωγής'!$C$2,E4064)),MAX($D$1:D4063)+1,0)</f>
        <v>0</v>
      </c>
      <c r="H4064" s="6">
        <f t="shared" si="200"/>
        <v>0</v>
      </c>
      <c r="I4064" s="6">
        <f t="shared" si="201"/>
        <v>0</v>
      </c>
      <c r="J4064" s="6">
        <f t="shared" si="202"/>
        <v>0</v>
      </c>
      <c r="L4064" s="4" t="str">
        <f>IFERROR(VLOOKUP(ROWS($L$2:L4064),$B$2:$C$1996,2,0),"")</f>
        <v/>
      </c>
      <c r="N4064" s="2" t="str">
        <f>IFERROR(VLOOKUP(ROWS($N$2:N4064),$D$2:$E$1996,2,0),"")</f>
        <v/>
      </c>
    </row>
    <row r="4065" spans="2:14">
      <c r="B4065" s="32">
        <f>IF(ISNUMBER(SEARCH('Φόρμα Εισαγωγής'!$B$2,C4065)),MAX($B$1:B4064)+1,0)</f>
        <v>0</v>
      </c>
      <c r="D4065" s="33">
        <f>IF(ISNUMBER(SEARCH('Φόρμα Εισαγωγής'!$C$2,E4065)),MAX($D$1:D4064)+1,0)</f>
        <v>0</v>
      </c>
      <c r="H4065" s="6">
        <f t="shared" si="200"/>
        <v>0</v>
      </c>
      <c r="I4065" s="6">
        <f t="shared" si="201"/>
        <v>0</v>
      </c>
      <c r="J4065" s="6">
        <f t="shared" si="202"/>
        <v>0</v>
      </c>
      <c r="L4065" s="4" t="str">
        <f>IFERROR(VLOOKUP(ROWS($L$2:L4065),$B$2:$C$1996,2,0),"")</f>
        <v/>
      </c>
      <c r="N4065" s="2" t="str">
        <f>IFERROR(VLOOKUP(ROWS($N$2:N4065),$D$2:$E$1996,2,0),"")</f>
        <v/>
      </c>
    </row>
    <row r="4066" spans="2:14">
      <c r="B4066" s="32">
        <f>IF(ISNUMBER(SEARCH('Φόρμα Εισαγωγής'!$B$2,C4066)),MAX($B$1:B4065)+1,0)</f>
        <v>0</v>
      </c>
      <c r="D4066" s="33">
        <f>IF(ISNUMBER(SEARCH('Φόρμα Εισαγωγής'!$C$2,E4066)),MAX($D$1:D4065)+1,0)</f>
        <v>0</v>
      </c>
      <c r="H4066" s="6">
        <f t="shared" si="200"/>
        <v>0</v>
      </c>
      <c r="I4066" s="6">
        <f t="shared" si="201"/>
        <v>0</v>
      </c>
      <c r="J4066" s="6">
        <f t="shared" si="202"/>
        <v>0</v>
      </c>
      <c r="L4066" s="4" t="str">
        <f>IFERROR(VLOOKUP(ROWS($L$2:L4066),$B$2:$C$1996,2,0),"")</f>
        <v/>
      </c>
      <c r="N4066" s="2" t="str">
        <f>IFERROR(VLOOKUP(ROWS($N$2:N4066),$D$2:$E$1996,2,0),"")</f>
        <v/>
      </c>
    </row>
    <row r="4067" spans="2:14">
      <c r="B4067" s="32">
        <f>IF(ISNUMBER(SEARCH('Φόρμα Εισαγωγής'!$B$2,C4067)),MAX($B$1:B4066)+1,0)</f>
        <v>0</v>
      </c>
      <c r="D4067" s="33">
        <f>IF(ISNUMBER(SEARCH('Φόρμα Εισαγωγής'!$C$2,E4067)),MAX($D$1:D4066)+1,0)</f>
        <v>0</v>
      </c>
      <c r="H4067" s="6">
        <f t="shared" si="200"/>
        <v>0</v>
      </c>
      <c r="I4067" s="6">
        <f t="shared" si="201"/>
        <v>0</v>
      </c>
      <c r="J4067" s="6">
        <f t="shared" si="202"/>
        <v>0</v>
      </c>
      <c r="L4067" s="4" t="str">
        <f>IFERROR(VLOOKUP(ROWS($L$2:L4067),$B$2:$C$1996,2,0),"")</f>
        <v/>
      </c>
      <c r="N4067" s="2" t="str">
        <f>IFERROR(VLOOKUP(ROWS($N$2:N4067),$D$2:$E$1996,2,0),"")</f>
        <v/>
      </c>
    </row>
    <row r="4068" spans="2:14">
      <c r="B4068" s="32">
        <f>IF(ISNUMBER(SEARCH('Φόρμα Εισαγωγής'!$B$2,C4068)),MAX($B$1:B4067)+1,0)</f>
        <v>0</v>
      </c>
      <c r="D4068" s="33">
        <f>IF(ISNUMBER(SEARCH('Φόρμα Εισαγωγής'!$C$2,E4068)),MAX($D$1:D4067)+1,0)</f>
        <v>0</v>
      </c>
      <c r="H4068" s="6">
        <f t="shared" si="200"/>
        <v>0</v>
      </c>
      <c r="I4068" s="6">
        <f t="shared" si="201"/>
        <v>0</v>
      </c>
      <c r="J4068" s="6">
        <f t="shared" si="202"/>
        <v>0</v>
      </c>
      <c r="L4068" s="4" t="str">
        <f>IFERROR(VLOOKUP(ROWS($L$2:L4068),$B$2:$C$1996,2,0),"")</f>
        <v/>
      </c>
      <c r="N4068" s="2" t="str">
        <f>IFERROR(VLOOKUP(ROWS($N$2:N4068),$D$2:$E$1996,2,0),"")</f>
        <v/>
      </c>
    </row>
    <row r="4069" spans="2:14">
      <c r="B4069" s="32">
        <f>IF(ISNUMBER(SEARCH('Φόρμα Εισαγωγής'!$B$2,C4069)),MAX($B$1:B4068)+1,0)</f>
        <v>0</v>
      </c>
      <c r="D4069" s="33">
        <f>IF(ISNUMBER(SEARCH('Φόρμα Εισαγωγής'!$C$2,E4069)),MAX($D$1:D4068)+1,0)</f>
        <v>0</v>
      </c>
      <c r="H4069" s="6">
        <f t="shared" si="200"/>
        <v>0</v>
      </c>
      <c r="I4069" s="6">
        <f t="shared" si="201"/>
        <v>0</v>
      </c>
      <c r="J4069" s="6">
        <f t="shared" si="202"/>
        <v>0</v>
      </c>
      <c r="L4069" s="4" t="str">
        <f>IFERROR(VLOOKUP(ROWS($L$2:L4069),$B$2:$C$1996,2,0),"")</f>
        <v/>
      </c>
      <c r="N4069" s="2" t="str">
        <f>IFERROR(VLOOKUP(ROWS($N$2:N4069),$D$2:$E$1996,2,0),"")</f>
        <v/>
      </c>
    </row>
    <row r="4070" spans="2:14">
      <c r="B4070" s="32">
        <f>IF(ISNUMBER(SEARCH('Φόρμα Εισαγωγής'!$B$2,C4070)),MAX($B$1:B4069)+1,0)</f>
        <v>0</v>
      </c>
      <c r="D4070" s="33">
        <f>IF(ISNUMBER(SEARCH('Φόρμα Εισαγωγής'!$C$2,E4070)),MAX($D$1:D4069)+1,0)</f>
        <v>0</v>
      </c>
      <c r="H4070" s="6">
        <f t="shared" si="200"/>
        <v>0</v>
      </c>
      <c r="I4070" s="6">
        <f t="shared" si="201"/>
        <v>0</v>
      </c>
      <c r="J4070" s="6">
        <f t="shared" si="202"/>
        <v>0</v>
      </c>
      <c r="L4070" s="4" t="str">
        <f>IFERROR(VLOOKUP(ROWS($L$2:L4070),$B$2:$C$1996,2,0),"")</f>
        <v/>
      </c>
      <c r="N4070" s="2" t="str">
        <f>IFERROR(VLOOKUP(ROWS($N$2:N4070),$D$2:$E$1996,2,0),"")</f>
        <v/>
      </c>
    </row>
    <row r="4071" spans="2:14">
      <c r="B4071" s="32">
        <f>IF(ISNUMBER(SEARCH('Φόρμα Εισαγωγής'!$B$2,C4071)),MAX($B$1:B4070)+1,0)</f>
        <v>0</v>
      </c>
      <c r="D4071" s="33">
        <f>IF(ISNUMBER(SEARCH('Φόρμα Εισαγωγής'!$C$2,E4071)),MAX($D$1:D4070)+1,0)</f>
        <v>0</v>
      </c>
      <c r="H4071" s="6">
        <f t="shared" si="200"/>
        <v>0</v>
      </c>
      <c r="I4071" s="6">
        <f t="shared" si="201"/>
        <v>0</v>
      </c>
      <c r="J4071" s="6">
        <f t="shared" si="202"/>
        <v>0</v>
      </c>
      <c r="L4071" s="4" t="str">
        <f>IFERROR(VLOOKUP(ROWS($L$2:L4071),$B$2:$C$1996,2,0),"")</f>
        <v/>
      </c>
      <c r="N4071" s="2" t="str">
        <f>IFERROR(VLOOKUP(ROWS($N$2:N4071),$D$2:$E$1996,2,0),"")</f>
        <v/>
      </c>
    </row>
    <row r="4072" spans="2:14">
      <c r="B4072" s="32">
        <f>IF(ISNUMBER(SEARCH('Φόρμα Εισαγωγής'!$B$2,C4072)),MAX($B$1:B4071)+1,0)</f>
        <v>0</v>
      </c>
      <c r="D4072" s="33">
        <f>IF(ISNUMBER(SEARCH('Φόρμα Εισαγωγής'!$C$2,E4072)),MAX($D$1:D4071)+1,0)</f>
        <v>0</v>
      </c>
      <c r="H4072" s="6">
        <f t="shared" si="200"/>
        <v>0</v>
      </c>
      <c r="I4072" s="6">
        <f t="shared" si="201"/>
        <v>0</v>
      </c>
      <c r="J4072" s="6">
        <f t="shared" si="202"/>
        <v>0</v>
      </c>
      <c r="L4072" s="4" t="str">
        <f>IFERROR(VLOOKUP(ROWS($L$2:L4072),$B$2:$C$1996,2,0),"")</f>
        <v/>
      </c>
      <c r="N4072" s="2" t="str">
        <f>IFERROR(VLOOKUP(ROWS($N$2:N4072),$D$2:$E$1996,2,0),"")</f>
        <v/>
      </c>
    </row>
    <row r="4073" spans="2:14">
      <c r="B4073" s="32">
        <f>IF(ISNUMBER(SEARCH('Φόρμα Εισαγωγής'!$B$2,C4073)),MAX($B$1:B4072)+1,0)</f>
        <v>0</v>
      </c>
      <c r="D4073" s="33">
        <f>IF(ISNUMBER(SEARCH('Φόρμα Εισαγωγής'!$C$2,E4073)),MAX($D$1:D4072)+1,0)</f>
        <v>0</v>
      </c>
      <c r="H4073" s="6">
        <f t="shared" si="200"/>
        <v>0</v>
      </c>
      <c r="I4073" s="6">
        <f t="shared" si="201"/>
        <v>0</v>
      </c>
      <c r="J4073" s="6">
        <f t="shared" si="202"/>
        <v>0</v>
      </c>
      <c r="L4073" s="4" t="str">
        <f>IFERROR(VLOOKUP(ROWS($L$2:L4073),$B$2:$C$1996,2,0),"")</f>
        <v/>
      </c>
      <c r="N4073" s="2" t="str">
        <f>IFERROR(VLOOKUP(ROWS($N$2:N4073),$D$2:$E$1996,2,0),"")</f>
        <v/>
      </c>
    </row>
    <row r="4074" spans="2:14">
      <c r="B4074" s="32">
        <f>IF(ISNUMBER(SEARCH('Φόρμα Εισαγωγής'!$B$2,C4074)),MAX($B$1:B4073)+1,0)</f>
        <v>0</v>
      </c>
      <c r="D4074" s="33">
        <f>IF(ISNUMBER(SEARCH('Φόρμα Εισαγωγής'!$C$2,E4074)),MAX($D$1:D4073)+1,0)</f>
        <v>0</v>
      </c>
      <c r="H4074" s="6">
        <f t="shared" si="200"/>
        <v>0</v>
      </c>
      <c r="I4074" s="6">
        <f t="shared" si="201"/>
        <v>0</v>
      </c>
      <c r="J4074" s="6">
        <f t="shared" si="202"/>
        <v>0</v>
      </c>
      <c r="L4074" s="4" t="str">
        <f>IFERROR(VLOOKUP(ROWS($L$2:L4074),$B$2:$C$1996,2,0),"")</f>
        <v/>
      </c>
      <c r="N4074" s="2" t="str">
        <f>IFERROR(VLOOKUP(ROWS($N$2:N4074),$D$2:$E$1996,2,0),"")</f>
        <v/>
      </c>
    </row>
    <row r="4075" spans="2:14">
      <c r="B4075" s="32">
        <f>IF(ISNUMBER(SEARCH('Φόρμα Εισαγωγής'!$B$2,C4075)),MAX($B$1:B4074)+1,0)</f>
        <v>0</v>
      </c>
      <c r="D4075" s="33">
        <f>IF(ISNUMBER(SEARCH('Φόρμα Εισαγωγής'!$C$2,E4075)),MAX($D$1:D4074)+1,0)</f>
        <v>0</v>
      </c>
      <c r="H4075" s="6">
        <f t="shared" si="200"/>
        <v>0</v>
      </c>
      <c r="I4075" s="6">
        <f t="shared" si="201"/>
        <v>0</v>
      </c>
      <c r="J4075" s="6">
        <f t="shared" si="202"/>
        <v>0</v>
      </c>
      <c r="L4075" s="4" t="str">
        <f>IFERROR(VLOOKUP(ROWS($L$2:L4075),$B$2:$C$1996,2,0),"")</f>
        <v/>
      </c>
      <c r="N4075" s="2" t="str">
        <f>IFERROR(VLOOKUP(ROWS($N$2:N4075),$D$2:$E$1996,2,0),"")</f>
        <v/>
      </c>
    </row>
    <row r="4076" spans="2:14">
      <c r="B4076" s="32">
        <f>IF(ISNUMBER(SEARCH('Φόρμα Εισαγωγής'!$B$2,C4076)),MAX($B$1:B4075)+1,0)</f>
        <v>0</v>
      </c>
      <c r="D4076" s="33">
        <f>IF(ISNUMBER(SEARCH('Φόρμα Εισαγωγής'!$C$2,E4076)),MAX($D$1:D4075)+1,0)</f>
        <v>0</v>
      </c>
      <c r="H4076" s="6">
        <f t="shared" si="200"/>
        <v>0</v>
      </c>
      <c r="I4076" s="6">
        <f t="shared" si="201"/>
        <v>0</v>
      </c>
      <c r="J4076" s="6">
        <f t="shared" si="202"/>
        <v>0</v>
      </c>
      <c r="L4076" s="4" t="str">
        <f>IFERROR(VLOOKUP(ROWS($L$2:L4076),$B$2:$C$1996,2,0),"")</f>
        <v/>
      </c>
      <c r="N4076" s="2" t="str">
        <f>IFERROR(VLOOKUP(ROWS($N$2:N4076),$D$2:$E$1996,2,0),"")</f>
        <v/>
      </c>
    </row>
    <row r="4077" spans="2:14">
      <c r="B4077" s="32">
        <f>IF(ISNUMBER(SEARCH('Φόρμα Εισαγωγής'!$B$2,C4077)),MAX($B$1:B4076)+1,0)</f>
        <v>0</v>
      </c>
      <c r="D4077" s="33">
        <f>IF(ISNUMBER(SEARCH('Φόρμα Εισαγωγής'!$C$2,E4077)),MAX($D$1:D4076)+1,0)</f>
        <v>0</v>
      </c>
      <c r="H4077" s="6">
        <f t="shared" si="200"/>
        <v>0</v>
      </c>
      <c r="I4077" s="6">
        <f t="shared" si="201"/>
        <v>0</v>
      </c>
      <c r="J4077" s="6">
        <f t="shared" si="202"/>
        <v>0</v>
      </c>
      <c r="L4077" s="4" t="str">
        <f>IFERROR(VLOOKUP(ROWS($L$2:L4077),$B$2:$C$1996,2,0),"")</f>
        <v/>
      </c>
      <c r="N4077" s="2" t="str">
        <f>IFERROR(VLOOKUP(ROWS($N$2:N4077),$D$2:$E$1996,2,0),"")</f>
        <v/>
      </c>
    </row>
    <row r="4078" spans="2:14">
      <c r="B4078" s="32">
        <f>IF(ISNUMBER(SEARCH('Φόρμα Εισαγωγής'!$B$2,C4078)),MAX($B$1:B4077)+1,0)</f>
        <v>0</v>
      </c>
      <c r="D4078" s="33">
        <f>IF(ISNUMBER(SEARCH('Φόρμα Εισαγωγής'!$C$2,E4078)),MAX($D$1:D4077)+1,0)</f>
        <v>0</v>
      </c>
      <c r="H4078" s="6">
        <f t="shared" si="200"/>
        <v>0</v>
      </c>
      <c r="I4078" s="6">
        <f t="shared" si="201"/>
        <v>0</v>
      </c>
      <c r="J4078" s="6">
        <f t="shared" si="202"/>
        <v>0</v>
      </c>
      <c r="L4078" s="4" t="str">
        <f>IFERROR(VLOOKUP(ROWS($L$2:L4078),$B$2:$C$1996,2,0),"")</f>
        <v/>
      </c>
      <c r="N4078" s="2" t="str">
        <f>IFERROR(VLOOKUP(ROWS($N$2:N4078),$D$2:$E$1996,2,0),"")</f>
        <v/>
      </c>
    </row>
    <row r="4079" spans="2:14">
      <c r="B4079" s="32">
        <f>IF(ISNUMBER(SEARCH('Φόρμα Εισαγωγής'!$B$2,C4079)),MAX($B$1:B4078)+1,0)</f>
        <v>0</v>
      </c>
      <c r="D4079" s="33">
        <f>IF(ISNUMBER(SEARCH('Φόρμα Εισαγωγής'!$C$2,E4079)),MAX($D$1:D4078)+1,0)</f>
        <v>0</v>
      </c>
      <c r="H4079" s="6">
        <f t="shared" si="200"/>
        <v>0</v>
      </c>
      <c r="I4079" s="6">
        <f t="shared" si="201"/>
        <v>0</v>
      </c>
      <c r="J4079" s="6">
        <f t="shared" si="202"/>
        <v>0</v>
      </c>
      <c r="L4079" s="4" t="str">
        <f>IFERROR(VLOOKUP(ROWS($L$2:L4079),$B$2:$C$1996,2,0),"")</f>
        <v/>
      </c>
      <c r="N4079" s="2" t="str">
        <f>IFERROR(VLOOKUP(ROWS($N$2:N4079),$D$2:$E$1996,2,0),"")</f>
        <v/>
      </c>
    </row>
    <row r="4080" spans="2:14">
      <c r="B4080" s="32">
        <f>IF(ISNUMBER(SEARCH('Φόρμα Εισαγωγής'!$B$2,C4080)),MAX($B$1:B4079)+1,0)</f>
        <v>0</v>
      </c>
      <c r="D4080" s="33">
        <f>IF(ISNUMBER(SEARCH('Φόρμα Εισαγωγής'!$C$2,E4080)),MAX($D$1:D4079)+1,0)</f>
        <v>0</v>
      </c>
      <c r="H4080" s="6">
        <f t="shared" si="200"/>
        <v>0</v>
      </c>
      <c r="I4080" s="6">
        <f t="shared" si="201"/>
        <v>0</v>
      </c>
      <c r="J4080" s="6">
        <f t="shared" si="202"/>
        <v>0</v>
      </c>
      <c r="L4080" s="4" t="str">
        <f>IFERROR(VLOOKUP(ROWS($L$2:L4080),$B$2:$C$1996,2,0),"")</f>
        <v/>
      </c>
      <c r="N4080" s="2" t="str">
        <f>IFERROR(VLOOKUP(ROWS($N$2:N4080),$D$2:$E$1996,2,0),"")</f>
        <v/>
      </c>
    </row>
    <row r="4081" spans="2:14">
      <c r="B4081" s="32">
        <f>IF(ISNUMBER(SEARCH('Φόρμα Εισαγωγής'!$B$2,C4081)),MAX($B$1:B4080)+1,0)</f>
        <v>0</v>
      </c>
      <c r="D4081" s="33">
        <f>IF(ISNUMBER(SEARCH('Φόρμα Εισαγωγής'!$C$2,E4081)),MAX($D$1:D4080)+1,0)</f>
        <v>0</v>
      </c>
      <c r="H4081" s="6">
        <f t="shared" si="200"/>
        <v>0</v>
      </c>
      <c r="I4081" s="6">
        <f t="shared" si="201"/>
        <v>0</v>
      </c>
      <c r="J4081" s="6">
        <f t="shared" si="202"/>
        <v>0</v>
      </c>
      <c r="L4081" s="4" t="str">
        <f>IFERROR(VLOOKUP(ROWS($L$2:L4081),$B$2:$C$1996,2,0),"")</f>
        <v/>
      </c>
      <c r="N4081" s="2" t="str">
        <f>IFERROR(VLOOKUP(ROWS($N$2:N4081),$D$2:$E$1996,2,0),"")</f>
        <v/>
      </c>
    </row>
    <row r="4082" spans="2:14">
      <c r="B4082" s="32">
        <f>IF(ISNUMBER(SEARCH('Φόρμα Εισαγωγής'!$B$2,C4082)),MAX($B$1:B4081)+1,0)</f>
        <v>0</v>
      </c>
      <c r="D4082" s="33">
        <f>IF(ISNUMBER(SEARCH('Φόρμα Εισαγωγής'!$C$2,E4082)),MAX($D$1:D4081)+1,0)</f>
        <v>0</v>
      </c>
      <c r="H4082" s="6">
        <f t="shared" si="200"/>
        <v>0</v>
      </c>
      <c r="I4082" s="6">
        <f t="shared" si="201"/>
        <v>0</v>
      </c>
      <c r="J4082" s="6">
        <f t="shared" si="202"/>
        <v>0</v>
      </c>
      <c r="L4082" s="4" t="str">
        <f>IFERROR(VLOOKUP(ROWS($L$2:L4082),$B$2:$C$1996,2,0),"")</f>
        <v/>
      </c>
      <c r="N4082" s="2" t="str">
        <f>IFERROR(VLOOKUP(ROWS($N$2:N4082),$D$2:$E$1996,2,0),"")</f>
        <v/>
      </c>
    </row>
    <row r="4083" spans="2:14">
      <c r="B4083" s="32">
        <f>IF(ISNUMBER(SEARCH('Φόρμα Εισαγωγής'!$B$2,C4083)),MAX($B$1:B4082)+1,0)</f>
        <v>0</v>
      </c>
      <c r="D4083" s="33">
        <f>IF(ISNUMBER(SEARCH('Φόρμα Εισαγωγής'!$C$2,E4083)),MAX($D$1:D4082)+1,0)</f>
        <v>0</v>
      </c>
      <c r="H4083" s="6">
        <f t="shared" si="200"/>
        <v>0</v>
      </c>
      <c r="I4083" s="6">
        <f t="shared" si="201"/>
        <v>0</v>
      </c>
      <c r="J4083" s="6">
        <f t="shared" si="202"/>
        <v>0</v>
      </c>
      <c r="L4083" s="4" t="str">
        <f>IFERROR(VLOOKUP(ROWS($L$2:L4083),$B$2:$C$1996,2,0),"")</f>
        <v/>
      </c>
      <c r="N4083" s="2" t="str">
        <f>IFERROR(VLOOKUP(ROWS($N$2:N4083),$D$2:$E$1996,2,0),"")</f>
        <v/>
      </c>
    </row>
    <row r="4084" spans="2:14">
      <c r="B4084" s="32">
        <f>IF(ISNUMBER(SEARCH('Φόρμα Εισαγωγής'!$B$2,C4084)),MAX($B$1:B4083)+1,0)</f>
        <v>0</v>
      </c>
      <c r="D4084" s="33">
        <f>IF(ISNUMBER(SEARCH('Φόρμα Εισαγωγής'!$C$2,E4084)),MAX($D$1:D4083)+1,0)</f>
        <v>0</v>
      </c>
      <c r="H4084" s="6">
        <f t="shared" si="200"/>
        <v>0</v>
      </c>
      <c r="I4084" s="6">
        <f t="shared" si="201"/>
        <v>0</v>
      </c>
      <c r="J4084" s="6">
        <f t="shared" si="202"/>
        <v>0</v>
      </c>
      <c r="L4084" s="4" t="str">
        <f>IFERROR(VLOOKUP(ROWS($L$2:L4084),$B$2:$C$1996,2,0),"")</f>
        <v/>
      </c>
      <c r="N4084" s="2" t="str">
        <f>IFERROR(VLOOKUP(ROWS($N$2:N4084),$D$2:$E$1996,2,0),"")</f>
        <v/>
      </c>
    </row>
    <row r="4085" spans="2:14">
      <c r="B4085" s="32">
        <f>IF(ISNUMBER(SEARCH('Φόρμα Εισαγωγής'!$B$2,C4085)),MAX($B$1:B4084)+1,0)</f>
        <v>0</v>
      </c>
      <c r="D4085" s="33">
        <f>IF(ISNUMBER(SEARCH('Φόρμα Εισαγωγής'!$C$2,E4085)),MAX($D$1:D4084)+1,0)</f>
        <v>0</v>
      </c>
      <c r="H4085" s="6">
        <f t="shared" si="200"/>
        <v>0</v>
      </c>
      <c r="I4085" s="6">
        <f t="shared" si="201"/>
        <v>0</v>
      </c>
      <c r="J4085" s="6">
        <f t="shared" si="202"/>
        <v>0</v>
      </c>
      <c r="L4085" s="4" t="str">
        <f>IFERROR(VLOOKUP(ROWS($L$2:L4085),$B$2:$C$1996,2,0),"")</f>
        <v/>
      </c>
      <c r="N4085" s="2" t="str">
        <f>IFERROR(VLOOKUP(ROWS($N$2:N4085),$D$2:$E$1996,2,0),"")</f>
        <v/>
      </c>
    </row>
    <row r="4086" spans="2:14">
      <c r="B4086" s="32">
        <f>IF(ISNUMBER(SEARCH('Φόρμα Εισαγωγής'!$B$2,C4086)),MAX($B$1:B4085)+1,0)</f>
        <v>0</v>
      </c>
      <c r="D4086" s="33">
        <f>IF(ISNUMBER(SEARCH('Φόρμα Εισαγωγής'!$C$2,E4086)),MAX($D$1:D4085)+1,0)</f>
        <v>0</v>
      </c>
      <c r="H4086" s="6">
        <f t="shared" si="200"/>
        <v>0</v>
      </c>
      <c r="I4086" s="6">
        <f t="shared" si="201"/>
        <v>0</v>
      </c>
      <c r="J4086" s="6">
        <f t="shared" si="202"/>
        <v>0</v>
      </c>
      <c r="L4086" s="4" t="str">
        <f>IFERROR(VLOOKUP(ROWS($L$2:L4086),$B$2:$C$1996,2,0),"")</f>
        <v/>
      </c>
      <c r="N4086" s="2" t="str">
        <f>IFERROR(VLOOKUP(ROWS($N$2:N4086),$D$2:$E$1996,2,0),"")</f>
        <v/>
      </c>
    </row>
    <row r="4087" spans="2:14">
      <c r="B4087" s="32">
        <f>IF(ISNUMBER(SEARCH('Φόρμα Εισαγωγής'!$B$2,C4087)),MAX($B$1:B4086)+1,0)</f>
        <v>0</v>
      </c>
      <c r="D4087" s="33">
        <f>IF(ISNUMBER(SEARCH('Φόρμα Εισαγωγής'!$C$2,E4087)),MAX($D$1:D4086)+1,0)</f>
        <v>0</v>
      </c>
      <c r="H4087" s="6">
        <f t="shared" si="200"/>
        <v>0</v>
      </c>
      <c r="I4087" s="6">
        <f t="shared" si="201"/>
        <v>0</v>
      </c>
      <c r="J4087" s="6">
        <f t="shared" si="202"/>
        <v>0</v>
      </c>
      <c r="L4087" s="4" t="str">
        <f>IFERROR(VLOOKUP(ROWS($L$2:L4087),$B$2:$C$1996,2,0),"")</f>
        <v/>
      </c>
      <c r="N4087" s="2" t="str">
        <f>IFERROR(VLOOKUP(ROWS($N$2:N4087),$D$2:$E$1996,2,0),"")</f>
        <v/>
      </c>
    </row>
    <row r="4088" spans="2:14">
      <c r="B4088" s="32">
        <f>IF(ISNUMBER(SEARCH('Φόρμα Εισαγωγής'!$B$2,C4088)),MAX($B$1:B4087)+1,0)</f>
        <v>0</v>
      </c>
      <c r="D4088" s="33">
        <f>IF(ISNUMBER(SEARCH('Φόρμα Εισαγωγής'!$C$2,E4088)),MAX($D$1:D4087)+1,0)</f>
        <v>0</v>
      </c>
      <c r="H4088" s="6">
        <f t="shared" si="200"/>
        <v>0</v>
      </c>
      <c r="I4088" s="6">
        <f t="shared" si="201"/>
        <v>0</v>
      </c>
      <c r="J4088" s="6">
        <f t="shared" si="202"/>
        <v>0</v>
      </c>
      <c r="L4088" s="4" t="str">
        <f>IFERROR(VLOOKUP(ROWS($L$2:L4088),$B$2:$C$1996,2,0),"")</f>
        <v/>
      </c>
      <c r="N4088" s="2" t="str">
        <f>IFERROR(VLOOKUP(ROWS($N$2:N4088),$D$2:$E$1996,2,0),"")</f>
        <v/>
      </c>
    </row>
    <row r="4089" spans="2:14">
      <c r="B4089" s="32">
        <f>IF(ISNUMBER(SEARCH('Φόρμα Εισαγωγής'!$B$2,C4089)),MAX($B$1:B4088)+1,0)</f>
        <v>0</v>
      </c>
      <c r="D4089" s="33">
        <f>IF(ISNUMBER(SEARCH('Φόρμα Εισαγωγής'!$C$2,E4089)),MAX($D$1:D4088)+1,0)</f>
        <v>0</v>
      </c>
      <c r="H4089" s="6">
        <f t="shared" si="200"/>
        <v>0</v>
      </c>
      <c r="I4089" s="6">
        <f t="shared" si="201"/>
        <v>0</v>
      </c>
      <c r="J4089" s="6">
        <f t="shared" si="202"/>
        <v>0</v>
      </c>
      <c r="L4089" s="4" t="str">
        <f>IFERROR(VLOOKUP(ROWS($L$2:L4089),$B$2:$C$1996,2,0),"")</f>
        <v/>
      </c>
      <c r="N4089" s="2" t="str">
        <f>IFERROR(VLOOKUP(ROWS($N$2:N4089),$D$2:$E$1996,2,0),"")</f>
        <v/>
      </c>
    </row>
    <row r="4090" spans="2:14">
      <c r="B4090" s="32">
        <f>IF(ISNUMBER(SEARCH('Φόρμα Εισαγωγής'!$B$2,C4090)),MAX($B$1:B4089)+1,0)</f>
        <v>0</v>
      </c>
      <c r="D4090" s="33">
        <f>IF(ISNUMBER(SEARCH('Φόρμα Εισαγωγής'!$C$2,E4090)),MAX($D$1:D4089)+1,0)</f>
        <v>0</v>
      </c>
      <c r="H4090" s="6">
        <f t="shared" si="200"/>
        <v>0</v>
      </c>
      <c r="I4090" s="6">
        <f t="shared" si="201"/>
        <v>0</v>
      </c>
      <c r="J4090" s="6">
        <f t="shared" si="202"/>
        <v>0</v>
      </c>
      <c r="L4090" s="4" t="str">
        <f>IFERROR(VLOOKUP(ROWS($L$2:L4090),$B$2:$C$1996,2,0),"")</f>
        <v/>
      </c>
      <c r="N4090" s="2" t="str">
        <f>IFERROR(VLOOKUP(ROWS($N$2:N4090),$D$2:$E$1996,2,0),"")</f>
        <v/>
      </c>
    </row>
    <row r="4091" spans="2:14">
      <c r="B4091" s="32">
        <f>IF(ISNUMBER(SEARCH('Φόρμα Εισαγωγής'!$B$2,C4091)),MAX($B$1:B4090)+1,0)</f>
        <v>0</v>
      </c>
      <c r="D4091" s="33">
        <f>IF(ISNUMBER(SEARCH('Φόρμα Εισαγωγής'!$C$2,E4091)),MAX($D$1:D4090)+1,0)</f>
        <v>0</v>
      </c>
      <c r="H4091" s="6">
        <f t="shared" si="200"/>
        <v>0</v>
      </c>
      <c r="I4091" s="6">
        <f t="shared" si="201"/>
        <v>0</v>
      </c>
      <c r="J4091" s="6">
        <f t="shared" si="202"/>
        <v>0</v>
      </c>
      <c r="L4091" s="4" t="str">
        <f>IFERROR(VLOOKUP(ROWS($L$2:L4091),$B$2:$C$1996,2,0),"")</f>
        <v/>
      </c>
      <c r="N4091" s="2" t="str">
        <f>IFERROR(VLOOKUP(ROWS($N$2:N4091),$D$2:$E$1996,2,0),"")</f>
        <v/>
      </c>
    </row>
    <row r="4092" spans="2:14">
      <c r="B4092" s="32">
        <f>IF(ISNUMBER(SEARCH('Φόρμα Εισαγωγής'!$B$2,C4092)),MAX($B$1:B4091)+1,0)</f>
        <v>0</v>
      </c>
      <c r="D4092" s="33">
        <f>IF(ISNUMBER(SEARCH('Φόρμα Εισαγωγής'!$C$2,E4092)),MAX($D$1:D4091)+1,0)</f>
        <v>0</v>
      </c>
      <c r="H4092" s="6">
        <f t="shared" si="200"/>
        <v>0</v>
      </c>
      <c r="I4092" s="6">
        <f t="shared" si="201"/>
        <v>0</v>
      </c>
      <c r="J4092" s="6">
        <f t="shared" si="202"/>
        <v>0</v>
      </c>
      <c r="L4092" s="4" t="str">
        <f>IFERROR(VLOOKUP(ROWS($L$2:L4092),$B$2:$C$1996,2,0),"")</f>
        <v/>
      </c>
      <c r="N4092" s="2" t="str">
        <f>IFERROR(VLOOKUP(ROWS($N$2:N4092),$D$2:$E$1996,2,0),"")</f>
        <v/>
      </c>
    </row>
    <row r="4093" spans="2:14">
      <c r="B4093" s="32">
        <f>IF(ISNUMBER(SEARCH('Φόρμα Εισαγωγής'!$B$2,C4093)),MAX($B$1:B4092)+1,0)</f>
        <v>0</v>
      </c>
      <c r="D4093" s="33">
        <f>IF(ISNUMBER(SEARCH('Φόρμα Εισαγωγής'!$C$2,E4093)),MAX($D$1:D4092)+1,0)</f>
        <v>0</v>
      </c>
      <c r="H4093" s="6">
        <f t="shared" si="200"/>
        <v>0</v>
      </c>
      <c r="I4093" s="6">
        <f t="shared" si="201"/>
        <v>0</v>
      </c>
      <c r="J4093" s="6">
        <f t="shared" si="202"/>
        <v>0</v>
      </c>
      <c r="L4093" s="4" t="str">
        <f>IFERROR(VLOOKUP(ROWS($L$2:L4093),$B$2:$C$1996,2,0),"")</f>
        <v/>
      </c>
      <c r="N4093" s="2" t="str">
        <f>IFERROR(VLOOKUP(ROWS($N$2:N4093),$D$2:$E$1996,2,0),"")</f>
        <v/>
      </c>
    </row>
    <row r="4094" spans="2:14">
      <c r="B4094" s="32">
        <f>IF(ISNUMBER(SEARCH('Φόρμα Εισαγωγής'!$B$2,C4094)),MAX($B$1:B4093)+1,0)</f>
        <v>0</v>
      </c>
      <c r="D4094" s="33">
        <f>IF(ISNUMBER(SEARCH('Φόρμα Εισαγωγής'!$C$2,E4094)),MAX($D$1:D4093)+1,0)</f>
        <v>0</v>
      </c>
      <c r="H4094" s="6">
        <f t="shared" si="200"/>
        <v>0</v>
      </c>
      <c r="I4094" s="6">
        <f t="shared" si="201"/>
        <v>0</v>
      </c>
      <c r="J4094" s="6">
        <f t="shared" si="202"/>
        <v>0</v>
      </c>
      <c r="L4094" s="4" t="str">
        <f>IFERROR(VLOOKUP(ROWS($L$2:L4094),$B$2:$C$1996,2,0),"")</f>
        <v/>
      </c>
      <c r="N4094" s="2" t="str">
        <f>IFERROR(VLOOKUP(ROWS($N$2:N4094),$D$2:$E$1996,2,0),"")</f>
        <v/>
      </c>
    </row>
    <row r="4095" spans="2:14">
      <c r="B4095" s="32">
        <f>IF(ISNUMBER(SEARCH('Φόρμα Εισαγωγής'!$B$2,C4095)),MAX($B$1:B4094)+1,0)</f>
        <v>0</v>
      </c>
      <c r="D4095" s="33">
        <f>IF(ISNUMBER(SEARCH('Φόρμα Εισαγωγής'!$C$2,E4095)),MAX($D$1:D4094)+1,0)</f>
        <v>0</v>
      </c>
      <c r="H4095" s="6">
        <f t="shared" si="200"/>
        <v>0</v>
      </c>
      <c r="I4095" s="6">
        <f t="shared" si="201"/>
        <v>0</v>
      </c>
      <c r="J4095" s="6">
        <f t="shared" si="202"/>
        <v>0</v>
      </c>
      <c r="L4095" s="4" t="str">
        <f>IFERROR(VLOOKUP(ROWS($L$2:L4095),$B$2:$C$1996,2,0),"")</f>
        <v/>
      </c>
      <c r="N4095" s="2" t="str">
        <f>IFERROR(VLOOKUP(ROWS($N$2:N4095),$D$2:$E$1996,2,0),"")</f>
        <v/>
      </c>
    </row>
    <row r="4096" spans="2:14">
      <c r="B4096" s="32">
        <f>IF(ISNUMBER(SEARCH('Φόρμα Εισαγωγής'!$B$2,C4096)),MAX($B$1:B4095)+1,0)</f>
        <v>0</v>
      </c>
      <c r="D4096" s="33">
        <f>IF(ISNUMBER(SEARCH('Φόρμα Εισαγωγής'!$C$2,E4096)),MAX($D$1:D4095)+1,0)</f>
        <v>0</v>
      </c>
      <c r="H4096" s="6">
        <f t="shared" ref="H4096:H4159" si="203">G4096+(G4096*0.24)</f>
        <v>0</v>
      </c>
      <c r="I4096" s="6">
        <f t="shared" ref="I4096:I4159" si="204">F4096*A4096</f>
        <v>0</v>
      </c>
      <c r="J4096" s="6">
        <f t="shared" ref="J4096:J4159" si="205">H4096*A4096</f>
        <v>0</v>
      </c>
      <c r="L4096" s="4" t="str">
        <f>IFERROR(VLOOKUP(ROWS($L$2:L4096),$B$2:$C$1996,2,0),"")</f>
        <v/>
      </c>
      <c r="N4096" s="2" t="str">
        <f>IFERROR(VLOOKUP(ROWS($N$2:N4096),$D$2:$E$1996,2,0),"")</f>
        <v/>
      </c>
    </row>
    <row r="4097" spans="2:14">
      <c r="B4097" s="32">
        <f>IF(ISNUMBER(SEARCH('Φόρμα Εισαγωγής'!$B$2,C4097)),MAX($B$1:B4096)+1,0)</f>
        <v>0</v>
      </c>
      <c r="D4097" s="33">
        <f>IF(ISNUMBER(SEARCH('Φόρμα Εισαγωγής'!$C$2,E4097)),MAX($D$1:D4096)+1,0)</f>
        <v>0</v>
      </c>
      <c r="H4097" s="6">
        <f t="shared" si="203"/>
        <v>0</v>
      </c>
      <c r="I4097" s="6">
        <f t="shared" si="204"/>
        <v>0</v>
      </c>
      <c r="J4097" s="6">
        <f t="shared" si="205"/>
        <v>0</v>
      </c>
      <c r="L4097" s="4" t="str">
        <f>IFERROR(VLOOKUP(ROWS($L$2:L4097),$B$2:$C$1996,2,0),"")</f>
        <v/>
      </c>
      <c r="N4097" s="2" t="str">
        <f>IFERROR(VLOOKUP(ROWS($N$2:N4097),$D$2:$E$1996,2,0),"")</f>
        <v/>
      </c>
    </row>
    <row r="4098" spans="2:14">
      <c r="B4098" s="32">
        <f>IF(ISNUMBER(SEARCH('Φόρμα Εισαγωγής'!$B$2,C4098)),MAX($B$1:B4097)+1,0)</f>
        <v>0</v>
      </c>
      <c r="D4098" s="33">
        <f>IF(ISNUMBER(SEARCH('Φόρμα Εισαγωγής'!$C$2,E4098)),MAX($D$1:D4097)+1,0)</f>
        <v>0</v>
      </c>
      <c r="H4098" s="6">
        <f t="shared" si="203"/>
        <v>0</v>
      </c>
      <c r="I4098" s="6">
        <f t="shared" si="204"/>
        <v>0</v>
      </c>
      <c r="J4098" s="6">
        <f t="shared" si="205"/>
        <v>0</v>
      </c>
      <c r="L4098" s="4" t="str">
        <f>IFERROR(VLOOKUP(ROWS($L$2:L4098),$B$2:$C$1996,2,0),"")</f>
        <v/>
      </c>
      <c r="N4098" s="2" t="str">
        <f>IFERROR(VLOOKUP(ROWS($N$2:N4098),$D$2:$E$1996,2,0),"")</f>
        <v/>
      </c>
    </row>
    <row r="4099" spans="2:14">
      <c r="B4099" s="32">
        <f>IF(ISNUMBER(SEARCH('Φόρμα Εισαγωγής'!$B$2,C4099)),MAX($B$1:B4098)+1,0)</f>
        <v>0</v>
      </c>
      <c r="D4099" s="33">
        <f>IF(ISNUMBER(SEARCH('Φόρμα Εισαγωγής'!$C$2,E4099)),MAX($D$1:D4098)+1,0)</f>
        <v>0</v>
      </c>
      <c r="H4099" s="6">
        <f t="shared" si="203"/>
        <v>0</v>
      </c>
      <c r="I4099" s="6">
        <f t="shared" si="204"/>
        <v>0</v>
      </c>
      <c r="J4099" s="6">
        <f t="shared" si="205"/>
        <v>0</v>
      </c>
      <c r="L4099" s="4" t="str">
        <f>IFERROR(VLOOKUP(ROWS($L$2:L4099),$B$2:$C$1996,2,0),"")</f>
        <v/>
      </c>
      <c r="N4099" s="2" t="str">
        <f>IFERROR(VLOOKUP(ROWS($N$2:N4099),$D$2:$E$1996,2,0),"")</f>
        <v/>
      </c>
    </row>
    <row r="4100" spans="2:14">
      <c r="B4100" s="32">
        <f>IF(ISNUMBER(SEARCH('Φόρμα Εισαγωγής'!$B$2,C4100)),MAX($B$1:B4099)+1,0)</f>
        <v>0</v>
      </c>
      <c r="D4100" s="33">
        <f>IF(ISNUMBER(SEARCH('Φόρμα Εισαγωγής'!$C$2,E4100)),MAX($D$1:D4099)+1,0)</f>
        <v>0</v>
      </c>
      <c r="H4100" s="6">
        <f t="shared" si="203"/>
        <v>0</v>
      </c>
      <c r="I4100" s="6">
        <f t="shared" si="204"/>
        <v>0</v>
      </c>
      <c r="J4100" s="6">
        <f t="shared" si="205"/>
        <v>0</v>
      </c>
      <c r="L4100" s="4" t="str">
        <f>IFERROR(VLOOKUP(ROWS($L$2:L4100),$B$2:$C$1996,2,0),"")</f>
        <v/>
      </c>
      <c r="N4100" s="2" t="str">
        <f>IFERROR(VLOOKUP(ROWS($N$2:N4100),$D$2:$E$1996,2,0),"")</f>
        <v/>
      </c>
    </row>
    <row r="4101" spans="2:14">
      <c r="B4101" s="32">
        <f>IF(ISNUMBER(SEARCH('Φόρμα Εισαγωγής'!$B$2,C4101)),MAX($B$1:B4100)+1,0)</f>
        <v>0</v>
      </c>
      <c r="D4101" s="33">
        <f>IF(ISNUMBER(SEARCH('Φόρμα Εισαγωγής'!$C$2,E4101)),MAX($D$1:D4100)+1,0)</f>
        <v>0</v>
      </c>
      <c r="H4101" s="6">
        <f t="shared" si="203"/>
        <v>0</v>
      </c>
      <c r="I4101" s="6">
        <f t="shared" si="204"/>
        <v>0</v>
      </c>
      <c r="J4101" s="6">
        <f t="shared" si="205"/>
        <v>0</v>
      </c>
      <c r="L4101" s="4" t="str">
        <f>IFERROR(VLOOKUP(ROWS($L$2:L4101),$B$2:$C$1996,2,0),"")</f>
        <v/>
      </c>
      <c r="N4101" s="2" t="str">
        <f>IFERROR(VLOOKUP(ROWS($N$2:N4101),$D$2:$E$1996,2,0),"")</f>
        <v/>
      </c>
    </row>
    <row r="4102" spans="2:14">
      <c r="B4102" s="32">
        <f>IF(ISNUMBER(SEARCH('Φόρμα Εισαγωγής'!$B$2,C4102)),MAX($B$1:B4101)+1,0)</f>
        <v>0</v>
      </c>
      <c r="D4102" s="33">
        <f>IF(ISNUMBER(SEARCH('Φόρμα Εισαγωγής'!$C$2,E4102)),MAX($D$1:D4101)+1,0)</f>
        <v>0</v>
      </c>
      <c r="H4102" s="6">
        <f t="shared" si="203"/>
        <v>0</v>
      </c>
      <c r="I4102" s="6">
        <f t="shared" si="204"/>
        <v>0</v>
      </c>
      <c r="J4102" s="6">
        <f t="shared" si="205"/>
        <v>0</v>
      </c>
      <c r="L4102" s="4" t="str">
        <f>IFERROR(VLOOKUP(ROWS($L$2:L4102),$B$2:$C$1996,2,0),"")</f>
        <v/>
      </c>
      <c r="N4102" s="2" t="str">
        <f>IFERROR(VLOOKUP(ROWS($N$2:N4102),$D$2:$E$1996,2,0),"")</f>
        <v/>
      </c>
    </row>
    <row r="4103" spans="2:14">
      <c r="B4103" s="32">
        <f>IF(ISNUMBER(SEARCH('Φόρμα Εισαγωγής'!$B$2,C4103)),MAX($B$1:B4102)+1,0)</f>
        <v>0</v>
      </c>
      <c r="D4103" s="33">
        <f>IF(ISNUMBER(SEARCH('Φόρμα Εισαγωγής'!$C$2,E4103)),MAX($D$1:D4102)+1,0)</f>
        <v>0</v>
      </c>
      <c r="H4103" s="6">
        <f t="shared" si="203"/>
        <v>0</v>
      </c>
      <c r="I4103" s="6">
        <f t="shared" si="204"/>
        <v>0</v>
      </c>
      <c r="J4103" s="6">
        <f t="shared" si="205"/>
        <v>0</v>
      </c>
      <c r="L4103" s="4" t="str">
        <f>IFERROR(VLOOKUP(ROWS($L$2:L4103),$B$2:$C$1996,2,0),"")</f>
        <v/>
      </c>
      <c r="N4103" s="2" t="str">
        <f>IFERROR(VLOOKUP(ROWS($N$2:N4103),$D$2:$E$1996,2,0),"")</f>
        <v/>
      </c>
    </row>
    <row r="4104" spans="2:14">
      <c r="B4104" s="32">
        <f>IF(ISNUMBER(SEARCH('Φόρμα Εισαγωγής'!$B$2,C4104)),MAX($B$1:B4103)+1,0)</f>
        <v>0</v>
      </c>
      <c r="D4104" s="33">
        <f>IF(ISNUMBER(SEARCH('Φόρμα Εισαγωγής'!$C$2,E4104)),MAX($D$1:D4103)+1,0)</f>
        <v>0</v>
      </c>
      <c r="H4104" s="6">
        <f t="shared" si="203"/>
        <v>0</v>
      </c>
      <c r="I4104" s="6">
        <f t="shared" si="204"/>
        <v>0</v>
      </c>
      <c r="J4104" s="6">
        <f t="shared" si="205"/>
        <v>0</v>
      </c>
      <c r="L4104" s="4" t="str">
        <f>IFERROR(VLOOKUP(ROWS($L$2:L4104),$B$2:$C$1996,2,0),"")</f>
        <v/>
      </c>
      <c r="N4104" s="2" t="str">
        <f>IFERROR(VLOOKUP(ROWS($N$2:N4104),$D$2:$E$1996,2,0),"")</f>
        <v/>
      </c>
    </row>
    <row r="4105" spans="2:14">
      <c r="B4105" s="32">
        <f>IF(ISNUMBER(SEARCH('Φόρμα Εισαγωγής'!$B$2,C4105)),MAX($B$1:B4104)+1,0)</f>
        <v>0</v>
      </c>
      <c r="D4105" s="33">
        <f>IF(ISNUMBER(SEARCH('Φόρμα Εισαγωγής'!$C$2,E4105)),MAX($D$1:D4104)+1,0)</f>
        <v>0</v>
      </c>
      <c r="H4105" s="6">
        <f t="shared" si="203"/>
        <v>0</v>
      </c>
      <c r="I4105" s="6">
        <f t="shared" si="204"/>
        <v>0</v>
      </c>
      <c r="J4105" s="6">
        <f t="shared" si="205"/>
        <v>0</v>
      </c>
      <c r="L4105" s="4" t="str">
        <f>IFERROR(VLOOKUP(ROWS($L$2:L4105),$B$2:$C$1996,2,0),"")</f>
        <v/>
      </c>
      <c r="N4105" s="2" t="str">
        <f>IFERROR(VLOOKUP(ROWS($N$2:N4105),$D$2:$E$1996,2,0),"")</f>
        <v/>
      </c>
    </row>
    <row r="4106" spans="2:14">
      <c r="B4106" s="32">
        <f>IF(ISNUMBER(SEARCH('Φόρμα Εισαγωγής'!$B$2,C4106)),MAX($B$1:B4105)+1,0)</f>
        <v>0</v>
      </c>
      <c r="D4106" s="33">
        <f>IF(ISNUMBER(SEARCH('Φόρμα Εισαγωγής'!$C$2,E4106)),MAX($D$1:D4105)+1,0)</f>
        <v>0</v>
      </c>
      <c r="H4106" s="6">
        <f t="shared" si="203"/>
        <v>0</v>
      </c>
      <c r="I4106" s="6">
        <f t="shared" si="204"/>
        <v>0</v>
      </c>
      <c r="J4106" s="6">
        <f t="shared" si="205"/>
        <v>0</v>
      </c>
      <c r="L4106" s="4" t="str">
        <f>IFERROR(VLOOKUP(ROWS($L$2:L4106),$B$2:$C$1996,2,0),"")</f>
        <v/>
      </c>
      <c r="N4106" s="2" t="str">
        <f>IFERROR(VLOOKUP(ROWS($N$2:N4106),$D$2:$E$1996,2,0),"")</f>
        <v/>
      </c>
    </row>
    <row r="4107" spans="2:14">
      <c r="B4107" s="32">
        <f>IF(ISNUMBER(SEARCH('Φόρμα Εισαγωγής'!$B$2,C4107)),MAX($B$1:B4106)+1,0)</f>
        <v>0</v>
      </c>
      <c r="D4107" s="33">
        <f>IF(ISNUMBER(SEARCH('Φόρμα Εισαγωγής'!$C$2,E4107)),MAX($D$1:D4106)+1,0)</f>
        <v>0</v>
      </c>
      <c r="H4107" s="6">
        <f t="shared" si="203"/>
        <v>0</v>
      </c>
      <c r="I4107" s="6">
        <f t="shared" si="204"/>
        <v>0</v>
      </c>
      <c r="J4107" s="6">
        <f t="shared" si="205"/>
        <v>0</v>
      </c>
      <c r="L4107" s="4" t="str">
        <f>IFERROR(VLOOKUP(ROWS($L$2:L4107),$B$2:$C$1996,2,0),"")</f>
        <v/>
      </c>
      <c r="N4107" s="2" t="str">
        <f>IFERROR(VLOOKUP(ROWS($N$2:N4107),$D$2:$E$1996,2,0),"")</f>
        <v/>
      </c>
    </row>
    <row r="4108" spans="2:14">
      <c r="B4108" s="32">
        <f>IF(ISNUMBER(SEARCH('Φόρμα Εισαγωγής'!$B$2,C4108)),MAX($B$1:B4107)+1,0)</f>
        <v>0</v>
      </c>
      <c r="D4108" s="33">
        <f>IF(ISNUMBER(SEARCH('Φόρμα Εισαγωγής'!$C$2,E4108)),MAX($D$1:D4107)+1,0)</f>
        <v>0</v>
      </c>
      <c r="H4108" s="6">
        <f t="shared" si="203"/>
        <v>0</v>
      </c>
      <c r="I4108" s="6">
        <f t="shared" si="204"/>
        <v>0</v>
      </c>
      <c r="J4108" s="6">
        <f t="shared" si="205"/>
        <v>0</v>
      </c>
      <c r="L4108" s="4" t="str">
        <f>IFERROR(VLOOKUP(ROWS($L$2:L4108),$B$2:$C$1996,2,0),"")</f>
        <v/>
      </c>
      <c r="N4108" s="2" t="str">
        <f>IFERROR(VLOOKUP(ROWS($N$2:N4108),$D$2:$E$1996,2,0),"")</f>
        <v/>
      </c>
    </row>
    <row r="4109" spans="2:14">
      <c r="B4109" s="32">
        <f>IF(ISNUMBER(SEARCH('Φόρμα Εισαγωγής'!$B$2,C4109)),MAX($B$1:B4108)+1,0)</f>
        <v>0</v>
      </c>
      <c r="D4109" s="33">
        <f>IF(ISNUMBER(SEARCH('Φόρμα Εισαγωγής'!$C$2,E4109)),MAX($D$1:D4108)+1,0)</f>
        <v>0</v>
      </c>
      <c r="H4109" s="6">
        <f t="shared" si="203"/>
        <v>0</v>
      </c>
      <c r="I4109" s="6">
        <f t="shared" si="204"/>
        <v>0</v>
      </c>
      <c r="J4109" s="6">
        <f t="shared" si="205"/>
        <v>0</v>
      </c>
      <c r="L4109" s="4" t="str">
        <f>IFERROR(VLOOKUP(ROWS($L$2:L4109),$B$2:$C$1996,2,0),"")</f>
        <v/>
      </c>
      <c r="N4109" s="2" t="str">
        <f>IFERROR(VLOOKUP(ROWS($N$2:N4109),$D$2:$E$1996,2,0),"")</f>
        <v/>
      </c>
    </row>
    <row r="4110" spans="2:14">
      <c r="B4110" s="32">
        <f>IF(ISNUMBER(SEARCH('Φόρμα Εισαγωγής'!$B$2,C4110)),MAX($B$1:B4109)+1,0)</f>
        <v>0</v>
      </c>
      <c r="D4110" s="33">
        <f>IF(ISNUMBER(SEARCH('Φόρμα Εισαγωγής'!$C$2,E4110)),MAX($D$1:D4109)+1,0)</f>
        <v>0</v>
      </c>
      <c r="H4110" s="6">
        <f t="shared" si="203"/>
        <v>0</v>
      </c>
      <c r="I4110" s="6">
        <f t="shared" si="204"/>
        <v>0</v>
      </c>
      <c r="J4110" s="6">
        <f t="shared" si="205"/>
        <v>0</v>
      </c>
      <c r="L4110" s="4" t="str">
        <f>IFERROR(VLOOKUP(ROWS($L$2:L4110),$B$2:$C$1996,2,0),"")</f>
        <v/>
      </c>
      <c r="N4110" s="2" t="str">
        <f>IFERROR(VLOOKUP(ROWS($N$2:N4110),$D$2:$E$1996,2,0),"")</f>
        <v/>
      </c>
    </row>
    <row r="4111" spans="2:14">
      <c r="B4111" s="32">
        <f>IF(ISNUMBER(SEARCH('Φόρμα Εισαγωγής'!$B$2,C4111)),MAX($B$1:B4110)+1,0)</f>
        <v>0</v>
      </c>
      <c r="D4111" s="33">
        <f>IF(ISNUMBER(SEARCH('Φόρμα Εισαγωγής'!$C$2,E4111)),MAX($D$1:D4110)+1,0)</f>
        <v>0</v>
      </c>
      <c r="H4111" s="6">
        <f t="shared" si="203"/>
        <v>0</v>
      </c>
      <c r="I4111" s="6">
        <f t="shared" si="204"/>
        <v>0</v>
      </c>
      <c r="J4111" s="6">
        <f t="shared" si="205"/>
        <v>0</v>
      </c>
      <c r="L4111" s="4" t="str">
        <f>IFERROR(VLOOKUP(ROWS($L$2:L4111),$B$2:$C$1996,2,0),"")</f>
        <v/>
      </c>
      <c r="N4111" s="2" t="str">
        <f>IFERROR(VLOOKUP(ROWS($N$2:N4111),$D$2:$E$1996,2,0),"")</f>
        <v/>
      </c>
    </row>
    <row r="4112" spans="2:14">
      <c r="B4112" s="32">
        <f>IF(ISNUMBER(SEARCH('Φόρμα Εισαγωγής'!$B$2,C4112)),MAX($B$1:B4111)+1,0)</f>
        <v>0</v>
      </c>
      <c r="D4112" s="33">
        <f>IF(ISNUMBER(SEARCH('Φόρμα Εισαγωγής'!$C$2,E4112)),MAX($D$1:D4111)+1,0)</f>
        <v>0</v>
      </c>
      <c r="H4112" s="6">
        <f t="shared" si="203"/>
        <v>0</v>
      </c>
      <c r="I4112" s="6">
        <f t="shared" si="204"/>
        <v>0</v>
      </c>
      <c r="J4112" s="6">
        <f t="shared" si="205"/>
        <v>0</v>
      </c>
      <c r="L4112" s="4" t="str">
        <f>IFERROR(VLOOKUP(ROWS($L$2:L4112),$B$2:$C$1996,2,0),"")</f>
        <v/>
      </c>
      <c r="N4112" s="2" t="str">
        <f>IFERROR(VLOOKUP(ROWS($N$2:N4112),$D$2:$E$1996,2,0),"")</f>
        <v/>
      </c>
    </row>
    <row r="4113" spans="2:14">
      <c r="B4113" s="32">
        <f>IF(ISNUMBER(SEARCH('Φόρμα Εισαγωγής'!$B$2,C4113)),MAX($B$1:B4112)+1,0)</f>
        <v>0</v>
      </c>
      <c r="D4113" s="33">
        <f>IF(ISNUMBER(SEARCH('Φόρμα Εισαγωγής'!$C$2,E4113)),MAX($D$1:D4112)+1,0)</f>
        <v>0</v>
      </c>
      <c r="H4113" s="6">
        <f t="shared" si="203"/>
        <v>0</v>
      </c>
      <c r="I4113" s="6">
        <f t="shared" si="204"/>
        <v>0</v>
      </c>
      <c r="J4113" s="6">
        <f t="shared" si="205"/>
        <v>0</v>
      </c>
      <c r="L4113" s="4" t="str">
        <f>IFERROR(VLOOKUP(ROWS($L$2:L4113),$B$2:$C$1996,2,0),"")</f>
        <v/>
      </c>
      <c r="N4113" s="2" t="str">
        <f>IFERROR(VLOOKUP(ROWS($N$2:N4113),$D$2:$E$1996,2,0),"")</f>
        <v/>
      </c>
    </row>
    <row r="4114" spans="2:14">
      <c r="B4114" s="32">
        <f>IF(ISNUMBER(SEARCH('Φόρμα Εισαγωγής'!$B$2,C4114)),MAX($B$1:B4113)+1,0)</f>
        <v>0</v>
      </c>
      <c r="D4114" s="33">
        <f>IF(ISNUMBER(SEARCH('Φόρμα Εισαγωγής'!$C$2,E4114)),MAX($D$1:D4113)+1,0)</f>
        <v>0</v>
      </c>
      <c r="H4114" s="6">
        <f t="shared" si="203"/>
        <v>0</v>
      </c>
      <c r="I4114" s="6">
        <f t="shared" si="204"/>
        <v>0</v>
      </c>
      <c r="J4114" s="6">
        <f t="shared" si="205"/>
        <v>0</v>
      </c>
      <c r="L4114" s="4" t="str">
        <f>IFERROR(VLOOKUP(ROWS($L$2:L4114),$B$2:$C$1996,2,0),"")</f>
        <v/>
      </c>
      <c r="N4114" s="2" t="str">
        <f>IFERROR(VLOOKUP(ROWS($N$2:N4114),$D$2:$E$1996,2,0),"")</f>
        <v/>
      </c>
    </row>
    <row r="4115" spans="2:14">
      <c r="B4115" s="32">
        <f>IF(ISNUMBER(SEARCH('Φόρμα Εισαγωγής'!$B$2,C4115)),MAX($B$1:B4114)+1,0)</f>
        <v>0</v>
      </c>
      <c r="D4115" s="33">
        <f>IF(ISNUMBER(SEARCH('Φόρμα Εισαγωγής'!$C$2,E4115)),MAX($D$1:D4114)+1,0)</f>
        <v>0</v>
      </c>
      <c r="H4115" s="6">
        <f t="shared" si="203"/>
        <v>0</v>
      </c>
      <c r="I4115" s="6">
        <f t="shared" si="204"/>
        <v>0</v>
      </c>
      <c r="J4115" s="6">
        <f t="shared" si="205"/>
        <v>0</v>
      </c>
      <c r="L4115" s="4" t="str">
        <f>IFERROR(VLOOKUP(ROWS($L$2:L4115),$B$2:$C$1996,2,0),"")</f>
        <v/>
      </c>
      <c r="N4115" s="2" t="str">
        <f>IFERROR(VLOOKUP(ROWS($N$2:N4115),$D$2:$E$1996,2,0),"")</f>
        <v/>
      </c>
    </row>
    <row r="4116" spans="2:14">
      <c r="B4116" s="32">
        <f>IF(ISNUMBER(SEARCH('Φόρμα Εισαγωγής'!$B$2,C4116)),MAX($B$1:B4115)+1,0)</f>
        <v>0</v>
      </c>
      <c r="D4116" s="33">
        <f>IF(ISNUMBER(SEARCH('Φόρμα Εισαγωγής'!$C$2,E4116)),MAX($D$1:D4115)+1,0)</f>
        <v>0</v>
      </c>
      <c r="H4116" s="6">
        <f t="shared" si="203"/>
        <v>0</v>
      </c>
      <c r="I4116" s="6">
        <f t="shared" si="204"/>
        <v>0</v>
      </c>
      <c r="J4116" s="6">
        <f t="shared" si="205"/>
        <v>0</v>
      </c>
      <c r="L4116" s="4" t="str">
        <f>IFERROR(VLOOKUP(ROWS($L$2:L4116),$B$2:$C$1996,2,0),"")</f>
        <v/>
      </c>
      <c r="N4116" s="2" t="str">
        <f>IFERROR(VLOOKUP(ROWS($N$2:N4116),$D$2:$E$1996,2,0),"")</f>
        <v/>
      </c>
    </row>
    <row r="4117" spans="2:14">
      <c r="B4117" s="32">
        <f>IF(ISNUMBER(SEARCH('Φόρμα Εισαγωγής'!$B$2,C4117)),MAX($B$1:B4116)+1,0)</f>
        <v>0</v>
      </c>
      <c r="D4117" s="33">
        <f>IF(ISNUMBER(SEARCH('Φόρμα Εισαγωγής'!$C$2,E4117)),MAX($D$1:D4116)+1,0)</f>
        <v>0</v>
      </c>
      <c r="H4117" s="6">
        <f t="shared" si="203"/>
        <v>0</v>
      </c>
      <c r="I4117" s="6">
        <f t="shared" si="204"/>
        <v>0</v>
      </c>
      <c r="J4117" s="6">
        <f t="shared" si="205"/>
        <v>0</v>
      </c>
      <c r="L4117" s="4" t="str">
        <f>IFERROR(VLOOKUP(ROWS($L$2:L4117),$B$2:$C$1996,2,0),"")</f>
        <v/>
      </c>
      <c r="N4117" s="2" t="str">
        <f>IFERROR(VLOOKUP(ROWS($N$2:N4117),$D$2:$E$1996,2,0),"")</f>
        <v/>
      </c>
    </row>
    <row r="4118" spans="2:14">
      <c r="B4118" s="32">
        <f>IF(ISNUMBER(SEARCH('Φόρμα Εισαγωγής'!$B$2,C4118)),MAX($B$1:B4117)+1,0)</f>
        <v>0</v>
      </c>
      <c r="D4118" s="33">
        <f>IF(ISNUMBER(SEARCH('Φόρμα Εισαγωγής'!$C$2,E4118)),MAX($D$1:D4117)+1,0)</f>
        <v>0</v>
      </c>
      <c r="H4118" s="6">
        <f t="shared" si="203"/>
        <v>0</v>
      </c>
      <c r="I4118" s="6">
        <f t="shared" si="204"/>
        <v>0</v>
      </c>
      <c r="J4118" s="6">
        <f t="shared" si="205"/>
        <v>0</v>
      </c>
      <c r="L4118" s="4" t="str">
        <f>IFERROR(VLOOKUP(ROWS($L$2:L4118),$B$2:$C$1996,2,0),"")</f>
        <v/>
      </c>
      <c r="N4118" s="2" t="str">
        <f>IFERROR(VLOOKUP(ROWS($N$2:N4118),$D$2:$E$1996,2,0),"")</f>
        <v/>
      </c>
    </row>
    <row r="4119" spans="2:14">
      <c r="B4119" s="32">
        <f>IF(ISNUMBER(SEARCH('Φόρμα Εισαγωγής'!$B$2,C4119)),MAX($B$1:B4118)+1,0)</f>
        <v>0</v>
      </c>
      <c r="D4119" s="33">
        <f>IF(ISNUMBER(SEARCH('Φόρμα Εισαγωγής'!$C$2,E4119)),MAX($D$1:D4118)+1,0)</f>
        <v>0</v>
      </c>
      <c r="H4119" s="6">
        <f t="shared" si="203"/>
        <v>0</v>
      </c>
      <c r="I4119" s="6">
        <f t="shared" si="204"/>
        <v>0</v>
      </c>
      <c r="J4119" s="6">
        <f t="shared" si="205"/>
        <v>0</v>
      </c>
      <c r="L4119" s="4" t="str">
        <f>IFERROR(VLOOKUP(ROWS($L$2:L4119),$B$2:$C$1996,2,0),"")</f>
        <v/>
      </c>
      <c r="N4119" s="2" t="str">
        <f>IFERROR(VLOOKUP(ROWS($N$2:N4119),$D$2:$E$1996,2,0),"")</f>
        <v/>
      </c>
    </row>
    <row r="4120" spans="2:14">
      <c r="B4120" s="32">
        <f>IF(ISNUMBER(SEARCH('Φόρμα Εισαγωγής'!$B$2,C4120)),MAX($B$1:B4119)+1,0)</f>
        <v>0</v>
      </c>
      <c r="D4120" s="33">
        <f>IF(ISNUMBER(SEARCH('Φόρμα Εισαγωγής'!$C$2,E4120)),MAX($D$1:D4119)+1,0)</f>
        <v>0</v>
      </c>
      <c r="H4120" s="6">
        <f t="shared" si="203"/>
        <v>0</v>
      </c>
      <c r="I4120" s="6">
        <f t="shared" si="204"/>
        <v>0</v>
      </c>
      <c r="J4120" s="6">
        <f t="shared" si="205"/>
        <v>0</v>
      </c>
      <c r="L4120" s="4" t="str">
        <f>IFERROR(VLOOKUP(ROWS($L$2:L4120),$B$2:$C$1996,2,0),"")</f>
        <v/>
      </c>
      <c r="N4120" s="2" t="str">
        <f>IFERROR(VLOOKUP(ROWS($N$2:N4120),$D$2:$E$1996,2,0),"")</f>
        <v/>
      </c>
    </row>
    <row r="4121" spans="2:14">
      <c r="B4121" s="32">
        <f>IF(ISNUMBER(SEARCH('Φόρμα Εισαγωγής'!$B$2,C4121)),MAX($B$1:B4120)+1,0)</f>
        <v>0</v>
      </c>
      <c r="D4121" s="33">
        <f>IF(ISNUMBER(SEARCH('Φόρμα Εισαγωγής'!$C$2,E4121)),MAX($D$1:D4120)+1,0)</f>
        <v>0</v>
      </c>
      <c r="H4121" s="6">
        <f t="shared" si="203"/>
        <v>0</v>
      </c>
      <c r="I4121" s="6">
        <f t="shared" si="204"/>
        <v>0</v>
      </c>
      <c r="J4121" s="6">
        <f t="shared" si="205"/>
        <v>0</v>
      </c>
      <c r="L4121" s="4" t="str">
        <f>IFERROR(VLOOKUP(ROWS($L$2:L4121),$B$2:$C$1996,2,0),"")</f>
        <v/>
      </c>
      <c r="N4121" s="2" t="str">
        <f>IFERROR(VLOOKUP(ROWS($N$2:N4121),$D$2:$E$1996,2,0),"")</f>
        <v/>
      </c>
    </row>
    <row r="4122" spans="2:14">
      <c r="B4122" s="32">
        <f>IF(ISNUMBER(SEARCH('Φόρμα Εισαγωγής'!$B$2,C4122)),MAX($B$1:B4121)+1,0)</f>
        <v>0</v>
      </c>
      <c r="D4122" s="33">
        <f>IF(ISNUMBER(SEARCH('Φόρμα Εισαγωγής'!$C$2,E4122)),MAX($D$1:D4121)+1,0)</f>
        <v>0</v>
      </c>
      <c r="H4122" s="6">
        <f t="shared" si="203"/>
        <v>0</v>
      </c>
      <c r="I4122" s="6">
        <f t="shared" si="204"/>
        <v>0</v>
      </c>
      <c r="J4122" s="6">
        <f t="shared" si="205"/>
        <v>0</v>
      </c>
      <c r="L4122" s="4" t="str">
        <f>IFERROR(VLOOKUP(ROWS($L$2:L4122),$B$2:$C$1996,2,0),"")</f>
        <v/>
      </c>
      <c r="N4122" s="2" t="str">
        <f>IFERROR(VLOOKUP(ROWS($N$2:N4122),$D$2:$E$1996,2,0),"")</f>
        <v/>
      </c>
    </row>
    <row r="4123" spans="2:14">
      <c r="B4123" s="32">
        <f>IF(ISNUMBER(SEARCH('Φόρμα Εισαγωγής'!$B$2,C4123)),MAX($B$1:B4122)+1,0)</f>
        <v>0</v>
      </c>
      <c r="D4123" s="33">
        <f>IF(ISNUMBER(SEARCH('Φόρμα Εισαγωγής'!$C$2,E4123)),MAX($D$1:D4122)+1,0)</f>
        <v>0</v>
      </c>
      <c r="H4123" s="6">
        <f t="shared" si="203"/>
        <v>0</v>
      </c>
      <c r="I4123" s="6">
        <f t="shared" si="204"/>
        <v>0</v>
      </c>
      <c r="J4123" s="6">
        <f t="shared" si="205"/>
        <v>0</v>
      </c>
      <c r="L4123" s="4" t="str">
        <f>IFERROR(VLOOKUP(ROWS($L$2:L4123),$B$2:$C$1996,2,0),"")</f>
        <v/>
      </c>
      <c r="N4123" s="2" t="str">
        <f>IFERROR(VLOOKUP(ROWS($N$2:N4123),$D$2:$E$1996,2,0),"")</f>
        <v/>
      </c>
    </row>
    <row r="4124" spans="2:14">
      <c r="B4124" s="32">
        <f>IF(ISNUMBER(SEARCH('Φόρμα Εισαγωγής'!$B$2,C4124)),MAX($B$1:B4123)+1,0)</f>
        <v>0</v>
      </c>
      <c r="D4124" s="33">
        <f>IF(ISNUMBER(SEARCH('Φόρμα Εισαγωγής'!$C$2,E4124)),MAX($D$1:D4123)+1,0)</f>
        <v>0</v>
      </c>
      <c r="H4124" s="6">
        <f t="shared" si="203"/>
        <v>0</v>
      </c>
      <c r="I4124" s="6">
        <f t="shared" si="204"/>
        <v>0</v>
      </c>
      <c r="J4124" s="6">
        <f t="shared" si="205"/>
        <v>0</v>
      </c>
      <c r="L4124" s="4" t="str">
        <f>IFERROR(VLOOKUP(ROWS($L$2:L4124),$B$2:$C$1996,2,0),"")</f>
        <v/>
      </c>
      <c r="N4124" s="2" t="str">
        <f>IFERROR(VLOOKUP(ROWS($N$2:N4124),$D$2:$E$1996,2,0),"")</f>
        <v/>
      </c>
    </row>
    <row r="4125" spans="2:14">
      <c r="B4125" s="32">
        <f>IF(ISNUMBER(SEARCH('Φόρμα Εισαγωγής'!$B$2,C4125)),MAX($B$1:B4124)+1,0)</f>
        <v>0</v>
      </c>
      <c r="D4125" s="33">
        <f>IF(ISNUMBER(SEARCH('Φόρμα Εισαγωγής'!$C$2,E4125)),MAX($D$1:D4124)+1,0)</f>
        <v>0</v>
      </c>
      <c r="H4125" s="6">
        <f t="shared" si="203"/>
        <v>0</v>
      </c>
      <c r="I4125" s="6">
        <f t="shared" si="204"/>
        <v>0</v>
      </c>
      <c r="J4125" s="6">
        <f t="shared" si="205"/>
        <v>0</v>
      </c>
      <c r="L4125" s="4" t="str">
        <f>IFERROR(VLOOKUP(ROWS($L$2:L4125),$B$2:$C$1996,2,0),"")</f>
        <v/>
      </c>
      <c r="N4125" s="2" t="str">
        <f>IFERROR(VLOOKUP(ROWS($N$2:N4125),$D$2:$E$1996,2,0),"")</f>
        <v/>
      </c>
    </row>
    <row r="4126" spans="2:14">
      <c r="B4126" s="32">
        <f>IF(ISNUMBER(SEARCH('Φόρμα Εισαγωγής'!$B$2,C4126)),MAX($B$1:B4125)+1,0)</f>
        <v>0</v>
      </c>
      <c r="D4126" s="33">
        <f>IF(ISNUMBER(SEARCH('Φόρμα Εισαγωγής'!$C$2,E4126)),MAX($D$1:D4125)+1,0)</f>
        <v>0</v>
      </c>
      <c r="H4126" s="6">
        <f t="shared" si="203"/>
        <v>0</v>
      </c>
      <c r="I4126" s="6">
        <f t="shared" si="204"/>
        <v>0</v>
      </c>
      <c r="J4126" s="6">
        <f t="shared" si="205"/>
        <v>0</v>
      </c>
      <c r="L4126" s="4" t="str">
        <f>IFERROR(VLOOKUP(ROWS($L$2:L4126),$B$2:$C$1996,2,0),"")</f>
        <v/>
      </c>
      <c r="N4126" s="2" t="str">
        <f>IFERROR(VLOOKUP(ROWS($N$2:N4126),$D$2:$E$1996,2,0),"")</f>
        <v/>
      </c>
    </row>
    <row r="4127" spans="2:14">
      <c r="B4127" s="32">
        <f>IF(ISNUMBER(SEARCH('Φόρμα Εισαγωγής'!$B$2,C4127)),MAX($B$1:B4126)+1,0)</f>
        <v>0</v>
      </c>
      <c r="D4127" s="33">
        <f>IF(ISNUMBER(SEARCH('Φόρμα Εισαγωγής'!$C$2,E4127)),MAX($D$1:D4126)+1,0)</f>
        <v>0</v>
      </c>
      <c r="H4127" s="6">
        <f t="shared" si="203"/>
        <v>0</v>
      </c>
      <c r="I4127" s="6">
        <f t="shared" si="204"/>
        <v>0</v>
      </c>
      <c r="J4127" s="6">
        <f t="shared" si="205"/>
        <v>0</v>
      </c>
      <c r="L4127" s="4" t="str">
        <f>IFERROR(VLOOKUP(ROWS($L$2:L4127),$B$2:$C$1996,2,0),"")</f>
        <v/>
      </c>
      <c r="N4127" s="2" t="str">
        <f>IFERROR(VLOOKUP(ROWS($N$2:N4127),$D$2:$E$1996,2,0),"")</f>
        <v/>
      </c>
    </row>
    <row r="4128" spans="2:14">
      <c r="B4128" s="32">
        <f>IF(ISNUMBER(SEARCH('Φόρμα Εισαγωγής'!$B$2,C4128)),MAX($B$1:B4127)+1,0)</f>
        <v>0</v>
      </c>
      <c r="D4128" s="33">
        <f>IF(ISNUMBER(SEARCH('Φόρμα Εισαγωγής'!$C$2,E4128)),MAX($D$1:D4127)+1,0)</f>
        <v>0</v>
      </c>
      <c r="H4128" s="6">
        <f t="shared" si="203"/>
        <v>0</v>
      </c>
      <c r="I4128" s="6">
        <f t="shared" si="204"/>
        <v>0</v>
      </c>
      <c r="J4128" s="6">
        <f t="shared" si="205"/>
        <v>0</v>
      </c>
      <c r="L4128" s="4" t="str">
        <f>IFERROR(VLOOKUP(ROWS($L$2:L4128),$B$2:$C$1996,2,0),"")</f>
        <v/>
      </c>
      <c r="N4128" s="2" t="str">
        <f>IFERROR(VLOOKUP(ROWS($N$2:N4128),$D$2:$E$1996,2,0),"")</f>
        <v/>
      </c>
    </row>
    <row r="4129" spans="2:14">
      <c r="B4129" s="32">
        <f>IF(ISNUMBER(SEARCH('Φόρμα Εισαγωγής'!$B$2,C4129)),MAX($B$1:B4128)+1,0)</f>
        <v>0</v>
      </c>
      <c r="D4129" s="33">
        <f>IF(ISNUMBER(SEARCH('Φόρμα Εισαγωγής'!$C$2,E4129)),MAX($D$1:D4128)+1,0)</f>
        <v>0</v>
      </c>
      <c r="H4129" s="6">
        <f t="shared" si="203"/>
        <v>0</v>
      </c>
      <c r="I4129" s="6">
        <f t="shared" si="204"/>
        <v>0</v>
      </c>
      <c r="J4129" s="6">
        <f t="shared" si="205"/>
        <v>0</v>
      </c>
      <c r="L4129" s="4" t="str">
        <f>IFERROR(VLOOKUP(ROWS($L$2:L4129),$B$2:$C$1996,2,0),"")</f>
        <v/>
      </c>
      <c r="N4129" s="2" t="str">
        <f>IFERROR(VLOOKUP(ROWS($N$2:N4129),$D$2:$E$1996,2,0),"")</f>
        <v/>
      </c>
    </row>
    <row r="4130" spans="2:14">
      <c r="B4130" s="32">
        <f>IF(ISNUMBER(SEARCH('Φόρμα Εισαγωγής'!$B$2,C4130)),MAX($B$1:B4129)+1,0)</f>
        <v>0</v>
      </c>
      <c r="D4130" s="33">
        <f>IF(ISNUMBER(SEARCH('Φόρμα Εισαγωγής'!$C$2,E4130)),MAX($D$1:D4129)+1,0)</f>
        <v>0</v>
      </c>
      <c r="H4130" s="6">
        <f t="shared" si="203"/>
        <v>0</v>
      </c>
      <c r="I4130" s="6">
        <f t="shared" si="204"/>
        <v>0</v>
      </c>
      <c r="J4130" s="6">
        <f t="shared" si="205"/>
        <v>0</v>
      </c>
      <c r="L4130" s="4" t="str">
        <f>IFERROR(VLOOKUP(ROWS($L$2:L4130),$B$2:$C$1996,2,0),"")</f>
        <v/>
      </c>
      <c r="N4130" s="2" t="str">
        <f>IFERROR(VLOOKUP(ROWS($N$2:N4130),$D$2:$E$1996,2,0),"")</f>
        <v/>
      </c>
    </row>
    <row r="4131" spans="2:14">
      <c r="B4131" s="32">
        <f>IF(ISNUMBER(SEARCH('Φόρμα Εισαγωγής'!$B$2,C4131)),MAX($B$1:B4130)+1,0)</f>
        <v>0</v>
      </c>
      <c r="D4131" s="33">
        <f>IF(ISNUMBER(SEARCH('Φόρμα Εισαγωγής'!$C$2,E4131)),MAX($D$1:D4130)+1,0)</f>
        <v>0</v>
      </c>
      <c r="H4131" s="6">
        <f t="shared" si="203"/>
        <v>0</v>
      </c>
      <c r="I4131" s="6">
        <f t="shared" si="204"/>
        <v>0</v>
      </c>
      <c r="J4131" s="6">
        <f t="shared" si="205"/>
        <v>0</v>
      </c>
      <c r="L4131" s="4" t="str">
        <f>IFERROR(VLOOKUP(ROWS($L$2:L4131),$B$2:$C$1996,2,0),"")</f>
        <v/>
      </c>
      <c r="N4131" s="2" t="str">
        <f>IFERROR(VLOOKUP(ROWS($N$2:N4131),$D$2:$E$1996,2,0),"")</f>
        <v/>
      </c>
    </row>
    <row r="4132" spans="2:14">
      <c r="B4132" s="32">
        <f>IF(ISNUMBER(SEARCH('Φόρμα Εισαγωγής'!$B$2,C4132)),MAX($B$1:B4131)+1,0)</f>
        <v>0</v>
      </c>
      <c r="D4132" s="33">
        <f>IF(ISNUMBER(SEARCH('Φόρμα Εισαγωγής'!$C$2,E4132)),MAX($D$1:D4131)+1,0)</f>
        <v>0</v>
      </c>
      <c r="H4132" s="6">
        <f t="shared" si="203"/>
        <v>0</v>
      </c>
      <c r="I4132" s="6">
        <f t="shared" si="204"/>
        <v>0</v>
      </c>
      <c r="J4132" s="6">
        <f t="shared" si="205"/>
        <v>0</v>
      </c>
      <c r="L4132" s="4" t="str">
        <f>IFERROR(VLOOKUP(ROWS($L$2:L4132),$B$2:$C$1996,2,0),"")</f>
        <v/>
      </c>
      <c r="N4132" s="2" t="str">
        <f>IFERROR(VLOOKUP(ROWS($N$2:N4132),$D$2:$E$1996,2,0),"")</f>
        <v/>
      </c>
    </row>
    <row r="4133" spans="2:14">
      <c r="B4133" s="32">
        <f>IF(ISNUMBER(SEARCH('Φόρμα Εισαγωγής'!$B$2,C4133)),MAX($B$1:B4132)+1,0)</f>
        <v>0</v>
      </c>
      <c r="D4133" s="33">
        <f>IF(ISNUMBER(SEARCH('Φόρμα Εισαγωγής'!$C$2,E4133)),MAX($D$1:D4132)+1,0)</f>
        <v>0</v>
      </c>
      <c r="H4133" s="6">
        <f t="shared" si="203"/>
        <v>0</v>
      </c>
      <c r="I4133" s="6">
        <f t="shared" si="204"/>
        <v>0</v>
      </c>
      <c r="J4133" s="6">
        <f t="shared" si="205"/>
        <v>0</v>
      </c>
      <c r="L4133" s="4" t="str">
        <f>IFERROR(VLOOKUP(ROWS($L$2:L4133),$B$2:$C$1996,2,0),"")</f>
        <v/>
      </c>
      <c r="N4133" s="2" t="str">
        <f>IFERROR(VLOOKUP(ROWS($N$2:N4133),$D$2:$E$1996,2,0),"")</f>
        <v/>
      </c>
    </row>
    <row r="4134" spans="2:14">
      <c r="B4134" s="32">
        <f>IF(ISNUMBER(SEARCH('Φόρμα Εισαγωγής'!$B$2,C4134)),MAX($B$1:B4133)+1,0)</f>
        <v>0</v>
      </c>
      <c r="D4134" s="33">
        <f>IF(ISNUMBER(SEARCH('Φόρμα Εισαγωγής'!$C$2,E4134)),MAX($D$1:D4133)+1,0)</f>
        <v>0</v>
      </c>
      <c r="H4134" s="6">
        <f t="shared" si="203"/>
        <v>0</v>
      </c>
      <c r="I4134" s="6">
        <f t="shared" si="204"/>
        <v>0</v>
      </c>
      <c r="J4134" s="6">
        <f t="shared" si="205"/>
        <v>0</v>
      </c>
      <c r="L4134" s="4" t="str">
        <f>IFERROR(VLOOKUP(ROWS($L$2:L4134),$B$2:$C$1996,2,0),"")</f>
        <v/>
      </c>
      <c r="N4134" s="2" t="str">
        <f>IFERROR(VLOOKUP(ROWS($N$2:N4134),$D$2:$E$1996,2,0),"")</f>
        <v/>
      </c>
    </row>
    <row r="4135" spans="2:14">
      <c r="B4135" s="32">
        <f>IF(ISNUMBER(SEARCH('Φόρμα Εισαγωγής'!$B$2,C4135)),MAX($B$1:B4134)+1,0)</f>
        <v>0</v>
      </c>
      <c r="D4135" s="33">
        <f>IF(ISNUMBER(SEARCH('Φόρμα Εισαγωγής'!$C$2,E4135)),MAX($D$1:D4134)+1,0)</f>
        <v>0</v>
      </c>
      <c r="H4135" s="6">
        <f t="shared" si="203"/>
        <v>0</v>
      </c>
      <c r="I4135" s="6">
        <f t="shared" si="204"/>
        <v>0</v>
      </c>
      <c r="J4135" s="6">
        <f t="shared" si="205"/>
        <v>0</v>
      </c>
      <c r="L4135" s="4" t="str">
        <f>IFERROR(VLOOKUP(ROWS($L$2:L4135),$B$2:$C$1996,2,0),"")</f>
        <v/>
      </c>
      <c r="N4135" s="2" t="str">
        <f>IFERROR(VLOOKUP(ROWS($N$2:N4135),$D$2:$E$1996,2,0),"")</f>
        <v/>
      </c>
    </row>
    <row r="4136" spans="2:14">
      <c r="B4136" s="32">
        <f>IF(ISNUMBER(SEARCH('Φόρμα Εισαγωγής'!$B$2,C4136)),MAX($B$1:B4135)+1,0)</f>
        <v>0</v>
      </c>
      <c r="D4136" s="33">
        <f>IF(ISNUMBER(SEARCH('Φόρμα Εισαγωγής'!$C$2,E4136)),MAX($D$1:D4135)+1,0)</f>
        <v>0</v>
      </c>
      <c r="H4136" s="6">
        <f t="shared" si="203"/>
        <v>0</v>
      </c>
      <c r="I4136" s="6">
        <f t="shared" si="204"/>
        <v>0</v>
      </c>
      <c r="J4136" s="6">
        <f t="shared" si="205"/>
        <v>0</v>
      </c>
      <c r="L4136" s="4" t="str">
        <f>IFERROR(VLOOKUP(ROWS($L$2:L4136),$B$2:$C$1996,2,0),"")</f>
        <v/>
      </c>
      <c r="N4136" s="2" t="str">
        <f>IFERROR(VLOOKUP(ROWS($N$2:N4136),$D$2:$E$1996,2,0),"")</f>
        <v/>
      </c>
    </row>
    <row r="4137" spans="2:14">
      <c r="B4137" s="32">
        <f>IF(ISNUMBER(SEARCH('Φόρμα Εισαγωγής'!$B$2,C4137)),MAX($B$1:B4136)+1,0)</f>
        <v>0</v>
      </c>
      <c r="D4137" s="33">
        <f>IF(ISNUMBER(SEARCH('Φόρμα Εισαγωγής'!$C$2,E4137)),MAX($D$1:D4136)+1,0)</f>
        <v>0</v>
      </c>
      <c r="H4137" s="6">
        <f t="shared" si="203"/>
        <v>0</v>
      </c>
      <c r="I4137" s="6">
        <f t="shared" si="204"/>
        <v>0</v>
      </c>
      <c r="J4137" s="6">
        <f t="shared" si="205"/>
        <v>0</v>
      </c>
      <c r="L4137" s="4" t="str">
        <f>IFERROR(VLOOKUP(ROWS($L$2:L4137),$B$2:$C$1996,2,0),"")</f>
        <v/>
      </c>
      <c r="N4137" s="2" t="str">
        <f>IFERROR(VLOOKUP(ROWS($N$2:N4137),$D$2:$E$1996,2,0),"")</f>
        <v/>
      </c>
    </row>
    <row r="4138" spans="2:14">
      <c r="B4138" s="32">
        <f>IF(ISNUMBER(SEARCH('Φόρμα Εισαγωγής'!$B$2,C4138)),MAX($B$1:B4137)+1,0)</f>
        <v>0</v>
      </c>
      <c r="D4138" s="33">
        <f>IF(ISNUMBER(SEARCH('Φόρμα Εισαγωγής'!$C$2,E4138)),MAX($D$1:D4137)+1,0)</f>
        <v>0</v>
      </c>
      <c r="H4138" s="6">
        <f t="shared" si="203"/>
        <v>0</v>
      </c>
      <c r="I4138" s="6">
        <f t="shared" si="204"/>
        <v>0</v>
      </c>
      <c r="J4138" s="6">
        <f t="shared" si="205"/>
        <v>0</v>
      </c>
      <c r="L4138" s="4" t="str">
        <f>IFERROR(VLOOKUP(ROWS($L$2:L4138),$B$2:$C$1996,2,0),"")</f>
        <v/>
      </c>
      <c r="N4138" s="2" t="str">
        <f>IFERROR(VLOOKUP(ROWS($N$2:N4138),$D$2:$E$1996,2,0),"")</f>
        <v/>
      </c>
    </row>
    <row r="4139" spans="2:14">
      <c r="B4139" s="32">
        <f>IF(ISNUMBER(SEARCH('Φόρμα Εισαγωγής'!$B$2,C4139)),MAX($B$1:B4138)+1,0)</f>
        <v>0</v>
      </c>
      <c r="D4139" s="33">
        <f>IF(ISNUMBER(SEARCH('Φόρμα Εισαγωγής'!$C$2,E4139)),MAX($D$1:D4138)+1,0)</f>
        <v>0</v>
      </c>
      <c r="H4139" s="6">
        <f t="shared" si="203"/>
        <v>0</v>
      </c>
      <c r="I4139" s="6">
        <f t="shared" si="204"/>
        <v>0</v>
      </c>
      <c r="J4139" s="6">
        <f t="shared" si="205"/>
        <v>0</v>
      </c>
      <c r="L4139" s="4" t="str">
        <f>IFERROR(VLOOKUP(ROWS($L$2:L4139),$B$2:$C$1996,2,0),"")</f>
        <v/>
      </c>
      <c r="N4139" s="2" t="str">
        <f>IFERROR(VLOOKUP(ROWS($N$2:N4139),$D$2:$E$1996,2,0),"")</f>
        <v/>
      </c>
    </row>
    <row r="4140" spans="2:14">
      <c r="B4140" s="32">
        <f>IF(ISNUMBER(SEARCH('Φόρμα Εισαγωγής'!$B$2,C4140)),MAX($B$1:B4139)+1,0)</f>
        <v>0</v>
      </c>
      <c r="D4140" s="33">
        <f>IF(ISNUMBER(SEARCH('Φόρμα Εισαγωγής'!$C$2,E4140)),MAX($D$1:D4139)+1,0)</f>
        <v>0</v>
      </c>
      <c r="H4140" s="6">
        <f t="shared" si="203"/>
        <v>0</v>
      </c>
      <c r="I4140" s="6">
        <f t="shared" si="204"/>
        <v>0</v>
      </c>
      <c r="J4140" s="6">
        <f t="shared" si="205"/>
        <v>0</v>
      </c>
      <c r="L4140" s="4" t="str">
        <f>IFERROR(VLOOKUP(ROWS($L$2:L4140),$B$2:$C$1996,2,0),"")</f>
        <v/>
      </c>
      <c r="N4140" s="2" t="str">
        <f>IFERROR(VLOOKUP(ROWS($N$2:N4140),$D$2:$E$1996,2,0),"")</f>
        <v/>
      </c>
    </row>
    <row r="4141" spans="2:14">
      <c r="B4141" s="32">
        <f>IF(ISNUMBER(SEARCH('Φόρμα Εισαγωγής'!$B$2,C4141)),MAX($B$1:B4140)+1,0)</f>
        <v>0</v>
      </c>
      <c r="D4141" s="33">
        <f>IF(ISNUMBER(SEARCH('Φόρμα Εισαγωγής'!$C$2,E4141)),MAX($D$1:D4140)+1,0)</f>
        <v>0</v>
      </c>
      <c r="H4141" s="6">
        <f t="shared" si="203"/>
        <v>0</v>
      </c>
      <c r="I4141" s="6">
        <f t="shared" si="204"/>
        <v>0</v>
      </c>
      <c r="J4141" s="6">
        <f t="shared" si="205"/>
        <v>0</v>
      </c>
      <c r="L4141" s="4" t="str">
        <f>IFERROR(VLOOKUP(ROWS($L$2:L4141),$B$2:$C$1996,2,0),"")</f>
        <v/>
      </c>
      <c r="N4141" s="2" t="str">
        <f>IFERROR(VLOOKUP(ROWS($N$2:N4141),$D$2:$E$1996,2,0),"")</f>
        <v/>
      </c>
    </row>
    <row r="4142" spans="2:14">
      <c r="B4142" s="32">
        <f>IF(ISNUMBER(SEARCH('Φόρμα Εισαγωγής'!$B$2,C4142)),MAX($B$1:B4141)+1,0)</f>
        <v>0</v>
      </c>
      <c r="D4142" s="33">
        <f>IF(ISNUMBER(SEARCH('Φόρμα Εισαγωγής'!$C$2,E4142)),MAX($D$1:D4141)+1,0)</f>
        <v>0</v>
      </c>
      <c r="H4142" s="6">
        <f t="shared" si="203"/>
        <v>0</v>
      </c>
      <c r="I4142" s="6">
        <f t="shared" si="204"/>
        <v>0</v>
      </c>
      <c r="J4142" s="6">
        <f t="shared" si="205"/>
        <v>0</v>
      </c>
      <c r="L4142" s="4" t="str">
        <f>IFERROR(VLOOKUP(ROWS($L$2:L4142),$B$2:$C$1996,2,0),"")</f>
        <v/>
      </c>
      <c r="N4142" s="2" t="str">
        <f>IFERROR(VLOOKUP(ROWS($N$2:N4142),$D$2:$E$1996,2,0),"")</f>
        <v/>
      </c>
    </row>
    <row r="4143" spans="2:14">
      <c r="B4143" s="32">
        <f>IF(ISNUMBER(SEARCH('Φόρμα Εισαγωγής'!$B$2,C4143)),MAX($B$1:B4142)+1,0)</f>
        <v>0</v>
      </c>
      <c r="D4143" s="33">
        <f>IF(ISNUMBER(SEARCH('Φόρμα Εισαγωγής'!$C$2,E4143)),MAX($D$1:D4142)+1,0)</f>
        <v>0</v>
      </c>
      <c r="H4143" s="6">
        <f t="shared" si="203"/>
        <v>0</v>
      </c>
      <c r="I4143" s="6">
        <f t="shared" si="204"/>
        <v>0</v>
      </c>
      <c r="J4143" s="6">
        <f t="shared" si="205"/>
        <v>0</v>
      </c>
      <c r="L4143" s="4" t="str">
        <f>IFERROR(VLOOKUP(ROWS($L$2:L4143),$B$2:$C$1996,2,0),"")</f>
        <v/>
      </c>
      <c r="N4143" s="2" t="str">
        <f>IFERROR(VLOOKUP(ROWS($N$2:N4143),$D$2:$E$1996,2,0),"")</f>
        <v/>
      </c>
    </row>
    <row r="4144" spans="2:14">
      <c r="B4144" s="32">
        <f>IF(ISNUMBER(SEARCH('Φόρμα Εισαγωγής'!$B$2,C4144)),MAX($B$1:B4143)+1,0)</f>
        <v>0</v>
      </c>
      <c r="D4144" s="33">
        <f>IF(ISNUMBER(SEARCH('Φόρμα Εισαγωγής'!$C$2,E4144)),MAX($D$1:D4143)+1,0)</f>
        <v>0</v>
      </c>
      <c r="H4144" s="6">
        <f t="shared" si="203"/>
        <v>0</v>
      </c>
      <c r="I4144" s="6">
        <f t="shared" si="204"/>
        <v>0</v>
      </c>
      <c r="J4144" s="6">
        <f t="shared" si="205"/>
        <v>0</v>
      </c>
      <c r="L4144" s="4" t="str">
        <f>IFERROR(VLOOKUP(ROWS($L$2:L4144),$B$2:$C$1996,2,0),"")</f>
        <v/>
      </c>
      <c r="N4144" s="2" t="str">
        <f>IFERROR(VLOOKUP(ROWS($N$2:N4144),$D$2:$E$1996,2,0),"")</f>
        <v/>
      </c>
    </row>
    <row r="4145" spans="2:14">
      <c r="B4145" s="32">
        <f>IF(ISNUMBER(SEARCH('Φόρμα Εισαγωγής'!$B$2,C4145)),MAX($B$1:B4144)+1,0)</f>
        <v>0</v>
      </c>
      <c r="D4145" s="33">
        <f>IF(ISNUMBER(SEARCH('Φόρμα Εισαγωγής'!$C$2,E4145)),MAX($D$1:D4144)+1,0)</f>
        <v>0</v>
      </c>
      <c r="H4145" s="6">
        <f t="shared" si="203"/>
        <v>0</v>
      </c>
      <c r="I4145" s="6">
        <f t="shared" si="204"/>
        <v>0</v>
      </c>
      <c r="J4145" s="6">
        <f t="shared" si="205"/>
        <v>0</v>
      </c>
      <c r="L4145" s="4" t="str">
        <f>IFERROR(VLOOKUP(ROWS($L$2:L4145),$B$2:$C$1996,2,0),"")</f>
        <v/>
      </c>
      <c r="N4145" s="2" t="str">
        <f>IFERROR(VLOOKUP(ROWS($N$2:N4145),$D$2:$E$1996,2,0),"")</f>
        <v/>
      </c>
    </row>
    <row r="4146" spans="2:14">
      <c r="B4146" s="32">
        <f>IF(ISNUMBER(SEARCH('Φόρμα Εισαγωγής'!$B$2,C4146)),MAX($B$1:B4145)+1,0)</f>
        <v>0</v>
      </c>
      <c r="D4146" s="33">
        <f>IF(ISNUMBER(SEARCH('Φόρμα Εισαγωγής'!$C$2,E4146)),MAX($D$1:D4145)+1,0)</f>
        <v>0</v>
      </c>
      <c r="H4146" s="6">
        <f t="shared" si="203"/>
        <v>0</v>
      </c>
      <c r="I4146" s="6">
        <f t="shared" si="204"/>
        <v>0</v>
      </c>
      <c r="J4146" s="6">
        <f t="shared" si="205"/>
        <v>0</v>
      </c>
      <c r="L4146" s="4" t="str">
        <f>IFERROR(VLOOKUP(ROWS($L$2:L4146),$B$2:$C$1996,2,0),"")</f>
        <v/>
      </c>
      <c r="N4146" s="2" t="str">
        <f>IFERROR(VLOOKUP(ROWS($N$2:N4146),$D$2:$E$1996,2,0),"")</f>
        <v/>
      </c>
    </row>
    <row r="4147" spans="2:14">
      <c r="B4147" s="32">
        <f>IF(ISNUMBER(SEARCH('Φόρμα Εισαγωγής'!$B$2,C4147)),MAX($B$1:B4146)+1,0)</f>
        <v>0</v>
      </c>
      <c r="D4147" s="33">
        <f>IF(ISNUMBER(SEARCH('Φόρμα Εισαγωγής'!$C$2,E4147)),MAX($D$1:D4146)+1,0)</f>
        <v>0</v>
      </c>
      <c r="H4147" s="6">
        <f t="shared" si="203"/>
        <v>0</v>
      </c>
      <c r="I4147" s="6">
        <f t="shared" si="204"/>
        <v>0</v>
      </c>
      <c r="J4147" s="6">
        <f t="shared" si="205"/>
        <v>0</v>
      </c>
      <c r="L4147" s="4" t="str">
        <f>IFERROR(VLOOKUP(ROWS($L$2:L4147),$B$2:$C$1996,2,0),"")</f>
        <v/>
      </c>
      <c r="N4147" s="2" t="str">
        <f>IFERROR(VLOOKUP(ROWS($N$2:N4147),$D$2:$E$1996,2,0),"")</f>
        <v/>
      </c>
    </row>
    <row r="4148" spans="2:14">
      <c r="B4148" s="32">
        <f>IF(ISNUMBER(SEARCH('Φόρμα Εισαγωγής'!$B$2,C4148)),MAX($B$1:B4147)+1,0)</f>
        <v>0</v>
      </c>
      <c r="D4148" s="33">
        <f>IF(ISNUMBER(SEARCH('Φόρμα Εισαγωγής'!$C$2,E4148)),MAX($D$1:D4147)+1,0)</f>
        <v>0</v>
      </c>
      <c r="H4148" s="6">
        <f t="shared" si="203"/>
        <v>0</v>
      </c>
      <c r="I4148" s="6">
        <f t="shared" si="204"/>
        <v>0</v>
      </c>
      <c r="J4148" s="6">
        <f t="shared" si="205"/>
        <v>0</v>
      </c>
      <c r="L4148" s="4" t="str">
        <f>IFERROR(VLOOKUP(ROWS($L$2:L4148),$B$2:$C$1996,2,0),"")</f>
        <v/>
      </c>
      <c r="N4148" s="2" t="str">
        <f>IFERROR(VLOOKUP(ROWS($N$2:N4148),$D$2:$E$1996,2,0),"")</f>
        <v/>
      </c>
    </row>
    <row r="4149" spans="2:14">
      <c r="B4149" s="32">
        <f>IF(ISNUMBER(SEARCH('Φόρμα Εισαγωγής'!$B$2,C4149)),MAX($B$1:B4148)+1,0)</f>
        <v>0</v>
      </c>
      <c r="D4149" s="33">
        <f>IF(ISNUMBER(SEARCH('Φόρμα Εισαγωγής'!$C$2,E4149)),MAX($D$1:D4148)+1,0)</f>
        <v>0</v>
      </c>
      <c r="H4149" s="6">
        <f t="shared" si="203"/>
        <v>0</v>
      </c>
      <c r="I4149" s="6">
        <f t="shared" si="204"/>
        <v>0</v>
      </c>
      <c r="J4149" s="6">
        <f t="shared" si="205"/>
        <v>0</v>
      </c>
      <c r="L4149" s="4" t="str">
        <f>IFERROR(VLOOKUP(ROWS($L$2:L4149),$B$2:$C$1996,2,0),"")</f>
        <v/>
      </c>
      <c r="N4149" s="2" t="str">
        <f>IFERROR(VLOOKUP(ROWS($N$2:N4149),$D$2:$E$1996,2,0),"")</f>
        <v/>
      </c>
    </row>
    <row r="4150" spans="2:14">
      <c r="B4150" s="32">
        <f>IF(ISNUMBER(SEARCH('Φόρμα Εισαγωγής'!$B$2,C4150)),MAX($B$1:B4149)+1,0)</f>
        <v>0</v>
      </c>
      <c r="D4150" s="33">
        <f>IF(ISNUMBER(SEARCH('Φόρμα Εισαγωγής'!$C$2,E4150)),MAX($D$1:D4149)+1,0)</f>
        <v>0</v>
      </c>
      <c r="H4150" s="6">
        <f t="shared" si="203"/>
        <v>0</v>
      </c>
      <c r="I4150" s="6">
        <f t="shared" si="204"/>
        <v>0</v>
      </c>
      <c r="J4150" s="6">
        <f t="shared" si="205"/>
        <v>0</v>
      </c>
      <c r="L4150" s="4" t="str">
        <f>IFERROR(VLOOKUP(ROWS($L$2:L4150),$B$2:$C$1996,2,0),"")</f>
        <v/>
      </c>
      <c r="N4150" s="2" t="str">
        <f>IFERROR(VLOOKUP(ROWS($N$2:N4150),$D$2:$E$1996,2,0),"")</f>
        <v/>
      </c>
    </row>
    <row r="4151" spans="2:14">
      <c r="B4151" s="32">
        <f>IF(ISNUMBER(SEARCH('Φόρμα Εισαγωγής'!$B$2,C4151)),MAX($B$1:B4150)+1,0)</f>
        <v>0</v>
      </c>
      <c r="D4151" s="33">
        <f>IF(ISNUMBER(SEARCH('Φόρμα Εισαγωγής'!$C$2,E4151)),MAX($D$1:D4150)+1,0)</f>
        <v>0</v>
      </c>
      <c r="H4151" s="6">
        <f t="shared" si="203"/>
        <v>0</v>
      </c>
      <c r="I4151" s="6">
        <f t="shared" si="204"/>
        <v>0</v>
      </c>
      <c r="J4151" s="6">
        <f t="shared" si="205"/>
        <v>0</v>
      </c>
      <c r="L4151" s="4" t="str">
        <f>IFERROR(VLOOKUP(ROWS($L$2:L4151),$B$2:$C$1996,2,0),"")</f>
        <v/>
      </c>
      <c r="N4151" s="2" t="str">
        <f>IFERROR(VLOOKUP(ROWS($N$2:N4151),$D$2:$E$1996,2,0),"")</f>
        <v/>
      </c>
    </row>
    <row r="4152" spans="2:14">
      <c r="B4152" s="32">
        <f>IF(ISNUMBER(SEARCH('Φόρμα Εισαγωγής'!$B$2,C4152)),MAX($B$1:B4151)+1,0)</f>
        <v>0</v>
      </c>
      <c r="D4152" s="33">
        <f>IF(ISNUMBER(SEARCH('Φόρμα Εισαγωγής'!$C$2,E4152)),MAX($D$1:D4151)+1,0)</f>
        <v>0</v>
      </c>
      <c r="H4152" s="6">
        <f t="shared" si="203"/>
        <v>0</v>
      </c>
      <c r="I4152" s="6">
        <f t="shared" si="204"/>
        <v>0</v>
      </c>
      <c r="J4152" s="6">
        <f t="shared" si="205"/>
        <v>0</v>
      </c>
      <c r="L4152" s="4" t="str">
        <f>IFERROR(VLOOKUP(ROWS($L$2:L4152),$B$2:$C$1996,2,0),"")</f>
        <v/>
      </c>
      <c r="N4152" s="2" t="str">
        <f>IFERROR(VLOOKUP(ROWS($N$2:N4152),$D$2:$E$1996,2,0),"")</f>
        <v/>
      </c>
    </row>
    <row r="4153" spans="2:14">
      <c r="B4153" s="32">
        <f>IF(ISNUMBER(SEARCH('Φόρμα Εισαγωγής'!$B$2,C4153)),MAX($B$1:B4152)+1,0)</f>
        <v>0</v>
      </c>
      <c r="D4153" s="33">
        <f>IF(ISNUMBER(SEARCH('Φόρμα Εισαγωγής'!$C$2,E4153)),MAX($D$1:D4152)+1,0)</f>
        <v>0</v>
      </c>
      <c r="H4153" s="6">
        <f t="shared" si="203"/>
        <v>0</v>
      </c>
      <c r="I4153" s="6">
        <f t="shared" si="204"/>
        <v>0</v>
      </c>
      <c r="J4153" s="6">
        <f t="shared" si="205"/>
        <v>0</v>
      </c>
      <c r="L4153" s="4" t="str">
        <f>IFERROR(VLOOKUP(ROWS($L$2:L4153),$B$2:$C$1996,2,0),"")</f>
        <v/>
      </c>
      <c r="N4153" s="2" t="str">
        <f>IFERROR(VLOOKUP(ROWS($N$2:N4153),$D$2:$E$1996,2,0),"")</f>
        <v/>
      </c>
    </row>
    <row r="4154" spans="2:14">
      <c r="B4154" s="32">
        <f>IF(ISNUMBER(SEARCH('Φόρμα Εισαγωγής'!$B$2,C4154)),MAX($B$1:B4153)+1,0)</f>
        <v>0</v>
      </c>
      <c r="D4154" s="33">
        <f>IF(ISNUMBER(SEARCH('Φόρμα Εισαγωγής'!$C$2,E4154)),MAX($D$1:D4153)+1,0)</f>
        <v>0</v>
      </c>
      <c r="H4154" s="6">
        <f t="shared" si="203"/>
        <v>0</v>
      </c>
      <c r="I4154" s="6">
        <f t="shared" si="204"/>
        <v>0</v>
      </c>
      <c r="J4154" s="6">
        <f t="shared" si="205"/>
        <v>0</v>
      </c>
      <c r="L4154" s="4" t="str">
        <f>IFERROR(VLOOKUP(ROWS($L$2:L4154),$B$2:$C$1996,2,0),"")</f>
        <v/>
      </c>
      <c r="N4154" s="2" t="str">
        <f>IFERROR(VLOOKUP(ROWS($N$2:N4154),$D$2:$E$1996,2,0),"")</f>
        <v/>
      </c>
    </row>
    <row r="4155" spans="2:14">
      <c r="B4155" s="32">
        <f>IF(ISNUMBER(SEARCH('Φόρμα Εισαγωγής'!$B$2,C4155)),MAX($B$1:B4154)+1,0)</f>
        <v>0</v>
      </c>
      <c r="D4155" s="33">
        <f>IF(ISNUMBER(SEARCH('Φόρμα Εισαγωγής'!$C$2,E4155)),MAX($D$1:D4154)+1,0)</f>
        <v>0</v>
      </c>
      <c r="H4155" s="6">
        <f t="shared" si="203"/>
        <v>0</v>
      </c>
      <c r="I4155" s="6">
        <f t="shared" si="204"/>
        <v>0</v>
      </c>
      <c r="J4155" s="6">
        <f t="shared" si="205"/>
        <v>0</v>
      </c>
      <c r="L4155" s="4" t="str">
        <f>IFERROR(VLOOKUP(ROWS($L$2:L4155),$B$2:$C$1996,2,0),"")</f>
        <v/>
      </c>
      <c r="N4155" s="2" t="str">
        <f>IFERROR(VLOOKUP(ROWS($N$2:N4155),$D$2:$E$1996,2,0),"")</f>
        <v/>
      </c>
    </row>
    <row r="4156" spans="2:14">
      <c r="B4156" s="32">
        <f>IF(ISNUMBER(SEARCH('Φόρμα Εισαγωγής'!$B$2,C4156)),MAX($B$1:B4155)+1,0)</f>
        <v>0</v>
      </c>
      <c r="D4156" s="33">
        <f>IF(ISNUMBER(SEARCH('Φόρμα Εισαγωγής'!$C$2,E4156)),MAX($D$1:D4155)+1,0)</f>
        <v>0</v>
      </c>
      <c r="H4156" s="6">
        <f t="shared" si="203"/>
        <v>0</v>
      </c>
      <c r="I4156" s="6">
        <f t="shared" si="204"/>
        <v>0</v>
      </c>
      <c r="J4156" s="6">
        <f t="shared" si="205"/>
        <v>0</v>
      </c>
      <c r="L4156" s="4" t="str">
        <f>IFERROR(VLOOKUP(ROWS($L$2:L4156),$B$2:$C$1996,2,0),"")</f>
        <v/>
      </c>
      <c r="N4156" s="2" t="str">
        <f>IFERROR(VLOOKUP(ROWS($N$2:N4156),$D$2:$E$1996,2,0),"")</f>
        <v/>
      </c>
    </row>
    <row r="4157" spans="2:14">
      <c r="B4157" s="32">
        <f>IF(ISNUMBER(SEARCH('Φόρμα Εισαγωγής'!$B$2,C4157)),MAX($B$1:B4156)+1,0)</f>
        <v>0</v>
      </c>
      <c r="D4157" s="33">
        <f>IF(ISNUMBER(SEARCH('Φόρμα Εισαγωγής'!$C$2,E4157)),MAX($D$1:D4156)+1,0)</f>
        <v>0</v>
      </c>
      <c r="H4157" s="6">
        <f t="shared" si="203"/>
        <v>0</v>
      </c>
      <c r="I4157" s="6">
        <f t="shared" si="204"/>
        <v>0</v>
      </c>
      <c r="J4157" s="6">
        <f t="shared" si="205"/>
        <v>0</v>
      </c>
      <c r="L4157" s="4" t="str">
        <f>IFERROR(VLOOKUP(ROWS($L$2:L4157),$B$2:$C$1996,2,0),"")</f>
        <v/>
      </c>
      <c r="N4157" s="2" t="str">
        <f>IFERROR(VLOOKUP(ROWS($N$2:N4157),$D$2:$E$1996,2,0),"")</f>
        <v/>
      </c>
    </row>
    <row r="4158" spans="2:14">
      <c r="B4158" s="32">
        <f>IF(ISNUMBER(SEARCH('Φόρμα Εισαγωγής'!$B$2,C4158)),MAX($B$1:B4157)+1,0)</f>
        <v>0</v>
      </c>
      <c r="D4158" s="33">
        <f>IF(ISNUMBER(SEARCH('Φόρμα Εισαγωγής'!$C$2,E4158)),MAX($D$1:D4157)+1,0)</f>
        <v>0</v>
      </c>
      <c r="H4158" s="6">
        <f t="shared" si="203"/>
        <v>0</v>
      </c>
      <c r="I4158" s="6">
        <f t="shared" si="204"/>
        <v>0</v>
      </c>
      <c r="J4158" s="6">
        <f t="shared" si="205"/>
        <v>0</v>
      </c>
      <c r="L4158" s="4" t="str">
        <f>IFERROR(VLOOKUP(ROWS($L$2:L4158),$B$2:$C$1996,2,0),"")</f>
        <v/>
      </c>
      <c r="N4158" s="2" t="str">
        <f>IFERROR(VLOOKUP(ROWS($N$2:N4158),$D$2:$E$1996,2,0),"")</f>
        <v/>
      </c>
    </row>
    <row r="4159" spans="2:14">
      <c r="B4159" s="32">
        <f>IF(ISNUMBER(SEARCH('Φόρμα Εισαγωγής'!$B$2,C4159)),MAX($B$1:B4158)+1,0)</f>
        <v>0</v>
      </c>
      <c r="D4159" s="33">
        <f>IF(ISNUMBER(SEARCH('Φόρμα Εισαγωγής'!$C$2,E4159)),MAX($D$1:D4158)+1,0)</f>
        <v>0</v>
      </c>
      <c r="H4159" s="6">
        <f t="shared" si="203"/>
        <v>0</v>
      </c>
      <c r="I4159" s="6">
        <f t="shared" si="204"/>
        <v>0</v>
      </c>
      <c r="J4159" s="6">
        <f t="shared" si="205"/>
        <v>0</v>
      </c>
      <c r="L4159" s="4" t="str">
        <f>IFERROR(VLOOKUP(ROWS($L$2:L4159),$B$2:$C$1996,2,0),"")</f>
        <v/>
      </c>
      <c r="N4159" s="2" t="str">
        <f>IFERROR(VLOOKUP(ROWS($N$2:N4159),$D$2:$E$1996,2,0),"")</f>
        <v/>
      </c>
    </row>
    <row r="4160" spans="2:14">
      <c r="B4160" s="32">
        <f>IF(ISNUMBER(SEARCH('Φόρμα Εισαγωγής'!$B$2,C4160)),MAX($B$1:B4159)+1,0)</f>
        <v>0</v>
      </c>
      <c r="D4160" s="33">
        <f>IF(ISNUMBER(SEARCH('Φόρμα Εισαγωγής'!$C$2,E4160)),MAX($D$1:D4159)+1,0)</f>
        <v>0</v>
      </c>
      <c r="H4160" s="6">
        <f t="shared" ref="H4160:H4223" si="206">G4160+(G4160*0.24)</f>
        <v>0</v>
      </c>
      <c r="I4160" s="6">
        <f t="shared" ref="I4160:I4223" si="207">F4160*A4160</f>
        <v>0</v>
      </c>
      <c r="J4160" s="6">
        <f t="shared" ref="J4160:J4223" si="208">H4160*A4160</f>
        <v>0</v>
      </c>
      <c r="L4160" s="4" t="str">
        <f>IFERROR(VLOOKUP(ROWS($L$2:L4160),$B$2:$C$1996,2,0),"")</f>
        <v/>
      </c>
      <c r="N4160" s="2" t="str">
        <f>IFERROR(VLOOKUP(ROWS($N$2:N4160),$D$2:$E$1996,2,0),"")</f>
        <v/>
      </c>
    </row>
    <row r="4161" spans="2:14">
      <c r="B4161" s="32">
        <f>IF(ISNUMBER(SEARCH('Φόρμα Εισαγωγής'!$B$2,C4161)),MAX($B$1:B4160)+1,0)</f>
        <v>0</v>
      </c>
      <c r="D4161" s="33">
        <f>IF(ISNUMBER(SEARCH('Φόρμα Εισαγωγής'!$C$2,E4161)),MAX($D$1:D4160)+1,0)</f>
        <v>0</v>
      </c>
      <c r="H4161" s="6">
        <f t="shared" si="206"/>
        <v>0</v>
      </c>
      <c r="I4161" s="6">
        <f t="shared" si="207"/>
        <v>0</v>
      </c>
      <c r="J4161" s="6">
        <f t="shared" si="208"/>
        <v>0</v>
      </c>
      <c r="L4161" s="4" t="str">
        <f>IFERROR(VLOOKUP(ROWS($L$2:L4161),$B$2:$C$1996,2,0),"")</f>
        <v/>
      </c>
      <c r="N4161" s="2" t="str">
        <f>IFERROR(VLOOKUP(ROWS($N$2:N4161),$D$2:$E$1996,2,0),"")</f>
        <v/>
      </c>
    </row>
    <row r="4162" spans="2:14">
      <c r="B4162" s="32">
        <f>IF(ISNUMBER(SEARCH('Φόρμα Εισαγωγής'!$B$2,C4162)),MAX($B$1:B4161)+1,0)</f>
        <v>0</v>
      </c>
      <c r="D4162" s="33">
        <f>IF(ISNUMBER(SEARCH('Φόρμα Εισαγωγής'!$C$2,E4162)),MAX($D$1:D4161)+1,0)</f>
        <v>0</v>
      </c>
      <c r="H4162" s="6">
        <f t="shared" si="206"/>
        <v>0</v>
      </c>
      <c r="I4162" s="6">
        <f t="shared" si="207"/>
        <v>0</v>
      </c>
      <c r="J4162" s="6">
        <f t="shared" si="208"/>
        <v>0</v>
      </c>
      <c r="L4162" s="4" t="str">
        <f>IFERROR(VLOOKUP(ROWS($L$2:L4162),$B$2:$C$1996,2,0),"")</f>
        <v/>
      </c>
      <c r="N4162" s="2" t="str">
        <f>IFERROR(VLOOKUP(ROWS($N$2:N4162),$D$2:$E$1996,2,0),"")</f>
        <v/>
      </c>
    </row>
    <row r="4163" spans="2:14">
      <c r="B4163" s="32">
        <f>IF(ISNUMBER(SEARCH('Φόρμα Εισαγωγής'!$B$2,C4163)),MAX($B$1:B4162)+1,0)</f>
        <v>0</v>
      </c>
      <c r="D4163" s="33">
        <f>IF(ISNUMBER(SEARCH('Φόρμα Εισαγωγής'!$C$2,E4163)),MAX($D$1:D4162)+1,0)</f>
        <v>0</v>
      </c>
      <c r="H4163" s="6">
        <f t="shared" si="206"/>
        <v>0</v>
      </c>
      <c r="I4163" s="6">
        <f t="shared" si="207"/>
        <v>0</v>
      </c>
      <c r="J4163" s="6">
        <f t="shared" si="208"/>
        <v>0</v>
      </c>
      <c r="L4163" s="4" t="str">
        <f>IFERROR(VLOOKUP(ROWS($L$2:L4163),$B$2:$C$1996,2,0),"")</f>
        <v/>
      </c>
      <c r="N4163" s="2" t="str">
        <f>IFERROR(VLOOKUP(ROWS($N$2:N4163),$D$2:$E$1996,2,0),"")</f>
        <v/>
      </c>
    </row>
    <row r="4164" spans="2:14">
      <c r="B4164" s="32">
        <f>IF(ISNUMBER(SEARCH('Φόρμα Εισαγωγής'!$B$2,C4164)),MAX($B$1:B4163)+1,0)</f>
        <v>0</v>
      </c>
      <c r="D4164" s="33">
        <f>IF(ISNUMBER(SEARCH('Φόρμα Εισαγωγής'!$C$2,E4164)),MAX($D$1:D4163)+1,0)</f>
        <v>0</v>
      </c>
      <c r="H4164" s="6">
        <f t="shared" si="206"/>
        <v>0</v>
      </c>
      <c r="I4164" s="6">
        <f t="shared" si="207"/>
        <v>0</v>
      </c>
      <c r="J4164" s="6">
        <f t="shared" si="208"/>
        <v>0</v>
      </c>
      <c r="L4164" s="4" t="str">
        <f>IFERROR(VLOOKUP(ROWS($L$2:L4164),$B$2:$C$1996,2,0),"")</f>
        <v/>
      </c>
      <c r="N4164" s="2" t="str">
        <f>IFERROR(VLOOKUP(ROWS($N$2:N4164),$D$2:$E$1996,2,0),"")</f>
        <v/>
      </c>
    </row>
    <row r="4165" spans="2:14">
      <c r="B4165" s="32">
        <f>IF(ISNUMBER(SEARCH('Φόρμα Εισαγωγής'!$B$2,C4165)),MAX($B$1:B4164)+1,0)</f>
        <v>0</v>
      </c>
      <c r="D4165" s="33">
        <f>IF(ISNUMBER(SEARCH('Φόρμα Εισαγωγής'!$C$2,E4165)),MAX($D$1:D4164)+1,0)</f>
        <v>0</v>
      </c>
      <c r="H4165" s="6">
        <f t="shared" si="206"/>
        <v>0</v>
      </c>
      <c r="I4165" s="6">
        <f t="shared" si="207"/>
        <v>0</v>
      </c>
      <c r="J4165" s="6">
        <f t="shared" si="208"/>
        <v>0</v>
      </c>
      <c r="L4165" s="4" t="str">
        <f>IFERROR(VLOOKUP(ROWS($L$2:L4165),$B$2:$C$1996,2,0),"")</f>
        <v/>
      </c>
      <c r="N4165" s="2" t="str">
        <f>IFERROR(VLOOKUP(ROWS($N$2:N4165),$D$2:$E$1996,2,0),"")</f>
        <v/>
      </c>
    </row>
    <row r="4166" spans="2:14">
      <c r="B4166" s="32">
        <f>IF(ISNUMBER(SEARCH('Φόρμα Εισαγωγής'!$B$2,C4166)),MAX($B$1:B4165)+1,0)</f>
        <v>0</v>
      </c>
      <c r="D4166" s="33">
        <f>IF(ISNUMBER(SEARCH('Φόρμα Εισαγωγής'!$C$2,E4166)),MAX($D$1:D4165)+1,0)</f>
        <v>0</v>
      </c>
      <c r="H4166" s="6">
        <f t="shared" si="206"/>
        <v>0</v>
      </c>
      <c r="I4166" s="6">
        <f t="shared" si="207"/>
        <v>0</v>
      </c>
      <c r="J4166" s="6">
        <f t="shared" si="208"/>
        <v>0</v>
      </c>
      <c r="L4166" s="4" t="str">
        <f>IFERROR(VLOOKUP(ROWS($L$2:L4166),$B$2:$C$1996,2,0),"")</f>
        <v/>
      </c>
      <c r="N4166" s="2" t="str">
        <f>IFERROR(VLOOKUP(ROWS($N$2:N4166),$D$2:$E$1996,2,0),"")</f>
        <v/>
      </c>
    </row>
    <row r="4167" spans="2:14">
      <c r="B4167" s="32">
        <f>IF(ISNUMBER(SEARCH('Φόρμα Εισαγωγής'!$B$2,C4167)),MAX($B$1:B4166)+1,0)</f>
        <v>0</v>
      </c>
      <c r="D4167" s="33">
        <f>IF(ISNUMBER(SEARCH('Φόρμα Εισαγωγής'!$C$2,E4167)),MAX($D$1:D4166)+1,0)</f>
        <v>0</v>
      </c>
      <c r="H4167" s="6">
        <f t="shared" si="206"/>
        <v>0</v>
      </c>
      <c r="I4167" s="6">
        <f t="shared" si="207"/>
        <v>0</v>
      </c>
      <c r="J4167" s="6">
        <f t="shared" si="208"/>
        <v>0</v>
      </c>
      <c r="L4167" s="4" t="str">
        <f>IFERROR(VLOOKUP(ROWS($L$2:L4167),$B$2:$C$1996,2,0),"")</f>
        <v/>
      </c>
      <c r="N4167" s="2" t="str">
        <f>IFERROR(VLOOKUP(ROWS($N$2:N4167),$D$2:$E$1996,2,0),"")</f>
        <v/>
      </c>
    </row>
    <row r="4168" spans="2:14">
      <c r="B4168" s="32">
        <f>IF(ISNUMBER(SEARCH('Φόρμα Εισαγωγής'!$B$2,C4168)),MAX($B$1:B4167)+1,0)</f>
        <v>0</v>
      </c>
      <c r="D4168" s="33">
        <f>IF(ISNUMBER(SEARCH('Φόρμα Εισαγωγής'!$C$2,E4168)),MAX($D$1:D4167)+1,0)</f>
        <v>0</v>
      </c>
      <c r="H4168" s="6">
        <f t="shared" si="206"/>
        <v>0</v>
      </c>
      <c r="I4168" s="6">
        <f t="shared" si="207"/>
        <v>0</v>
      </c>
      <c r="J4168" s="6">
        <f t="shared" si="208"/>
        <v>0</v>
      </c>
      <c r="L4168" s="4" t="str">
        <f>IFERROR(VLOOKUP(ROWS($L$2:L4168),$B$2:$C$1996,2,0),"")</f>
        <v/>
      </c>
      <c r="N4168" s="2" t="str">
        <f>IFERROR(VLOOKUP(ROWS($N$2:N4168),$D$2:$E$1996,2,0),"")</f>
        <v/>
      </c>
    </row>
    <row r="4169" spans="2:14">
      <c r="B4169" s="32">
        <f>IF(ISNUMBER(SEARCH('Φόρμα Εισαγωγής'!$B$2,C4169)),MAX($B$1:B4168)+1,0)</f>
        <v>0</v>
      </c>
      <c r="D4169" s="33">
        <f>IF(ISNUMBER(SEARCH('Φόρμα Εισαγωγής'!$C$2,E4169)),MAX($D$1:D4168)+1,0)</f>
        <v>0</v>
      </c>
      <c r="H4169" s="6">
        <f t="shared" si="206"/>
        <v>0</v>
      </c>
      <c r="I4169" s="6">
        <f t="shared" si="207"/>
        <v>0</v>
      </c>
      <c r="J4169" s="6">
        <f t="shared" si="208"/>
        <v>0</v>
      </c>
      <c r="L4169" s="4" t="str">
        <f>IFERROR(VLOOKUP(ROWS($L$2:L4169),$B$2:$C$1996,2,0),"")</f>
        <v/>
      </c>
      <c r="N4169" s="2" t="str">
        <f>IFERROR(VLOOKUP(ROWS($N$2:N4169),$D$2:$E$1996,2,0),"")</f>
        <v/>
      </c>
    </row>
    <row r="4170" spans="2:14">
      <c r="B4170" s="32">
        <f>IF(ISNUMBER(SEARCH('Φόρμα Εισαγωγής'!$B$2,C4170)),MAX($B$1:B4169)+1,0)</f>
        <v>0</v>
      </c>
      <c r="D4170" s="33">
        <f>IF(ISNUMBER(SEARCH('Φόρμα Εισαγωγής'!$C$2,E4170)),MAX($D$1:D4169)+1,0)</f>
        <v>0</v>
      </c>
      <c r="H4170" s="6">
        <f t="shared" si="206"/>
        <v>0</v>
      </c>
      <c r="I4170" s="6">
        <f t="shared" si="207"/>
        <v>0</v>
      </c>
      <c r="J4170" s="6">
        <f t="shared" si="208"/>
        <v>0</v>
      </c>
      <c r="L4170" s="4" t="str">
        <f>IFERROR(VLOOKUP(ROWS($L$2:L4170),$B$2:$C$1996,2,0),"")</f>
        <v/>
      </c>
      <c r="N4170" s="2" t="str">
        <f>IFERROR(VLOOKUP(ROWS($N$2:N4170),$D$2:$E$1996,2,0),"")</f>
        <v/>
      </c>
    </row>
    <row r="4171" spans="2:14">
      <c r="B4171" s="32">
        <f>IF(ISNUMBER(SEARCH('Φόρμα Εισαγωγής'!$B$2,C4171)),MAX($B$1:B4170)+1,0)</f>
        <v>0</v>
      </c>
      <c r="D4171" s="33">
        <f>IF(ISNUMBER(SEARCH('Φόρμα Εισαγωγής'!$C$2,E4171)),MAX($D$1:D4170)+1,0)</f>
        <v>0</v>
      </c>
      <c r="H4171" s="6">
        <f t="shared" si="206"/>
        <v>0</v>
      </c>
      <c r="I4171" s="6">
        <f t="shared" si="207"/>
        <v>0</v>
      </c>
      <c r="J4171" s="6">
        <f t="shared" si="208"/>
        <v>0</v>
      </c>
      <c r="L4171" s="4" t="str">
        <f>IFERROR(VLOOKUP(ROWS($L$2:L4171),$B$2:$C$1996,2,0),"")</f>
        <v/>
      </c>
      <c r="N4171" s="2" t="str">
        <f>IFERROR(VLOOKUP(ROWS($N$2:N4171),$D$2:$E$1996,2,0),"")</f>
        <v/>
      </c>
    </row>
    <row r="4172" spans="2:14">
      <c r="B4172" s="32">
        <f>IF(ISNUMBER(SEARCH('Φόρμα Εισαγωγής'!$B$2,C4172)),MAX($B$1:B4171)+1,0)</f>
        <v>0</v>
      </c>
      <c r="D4172" s="33">
        <f>IF(ISNUMBER(SEARCH('Φόρμα Εισαγωγής'!$C$2,E4172)),MAX($D$1:D4171)+1,0)</f>
        <v>0</v>
      </c>
      <c r="H4172" s="6">
        <f t="shared" si="206"/>
        <v>0</v>
      </c>
      <c r="I4172" s="6">
        <f t="shared" si="207"/>
        <v>0</v>
      </c>
      <c r="J4172" s="6">
        <f t="shared" si="208"/>
        <v>0</v>
      </c>
      <c r="L4172" s="4" t="str">
        <f>IFERROR(VLOOKUP(ROWS($L$2:L4172),$B$2:$C$1996,2,0),"")</f>
        <v/>
      </c>
      <c r="N4172" s="2" t="str">
        <f>IFERROR(VLOOKUP(ROWS($N$2:N4172),$D$2:$E$1996,2,0),"")</f>
        <v/>
      </c>
    </row>
    <row r="4173" spans="2:14">
      <c r="B4173" s="32">
        <f>IF(ISNUMBER(SEARCH('Φόρμα Εισαγωγής'!$B$2,C4173)),MAX($B$1:B4172)+1,0)</f>
        <v>0</v>
      </c>
      <c r="D4173" s="33">
        <f>IF(ISNUMBER(SEARCH('Φόρμα Εισαγωγής'!$C$2,E4173)),MAX($D$1:D4172)+1,0)</f>
        <v>0</v>
      </c>
      <c r="H4173" s="6">
        <f t="shared" si="206"/>
        <v>0</v>
      </c>
      <c r="I4173" s="6">
        <f t="shared" si="207"/>
        <v>0</v>
      </c>
      <c r="J4173" s="6">
        <f t="shared" si="208"/>
        <v>0</v>
      </c>
      <c r="L4173" s="4" t="str">
        <f>IFERROR(VLOOKUP(ROWS($L$2:L4173),$B$2:$C$1996,2,0),"")</f>
        <v/>
      </c>
      <c r="N4173" s="2" t="str">
        <f>IFERROR(VLOOKUP(ROWS($N$2:N4173),$D$2:$E$1996,2,0),"")</f>
        <v/>
      </c>
    </row>
    <row r="4174" spans="2:14">
      <c r="B4174" s="32">
        <f>IF(ISNUMBER(SEARCH('Φόρμα Εισαγωγής'!$B$2,C4174)),MAX($B$1:B4173)+1,0)</f>
        <v>0</v>
      </c>
      <c r="D4174" s="33">
        <f>IF(ISNUMBER(SEARCH('Φόρμα Εισαγωγής'!$C$2,E4174)),MAX($D$1:D4173)+1,0)</f>
        <v>0</v>
      </c>
      <c r="H4174" s="6">
        <f t="shared" si="206"/>
        <v>0</v>
      </c>
      <c r="I4174" s="6">
        <f t="shared" si="207"/>
        <v>0</v>
      </c>
      <c r="J4174" s="6">
        <f t="shared" si="208"/>
        <v>0</v>
      </c>
      <c r="L4174" s="4" t="str">
        <f>IFERROR(VLOOKUP(ROWS($L$2:L4174),$B$2:$C$1996,2,0),"")</f>
        <v/>
      </c>
      <c r="N4174" s="2" t="str">
        <f>IFERROR(VLOOKUP(ROWS($N$2:N4174),$D$2:$E$1996,2,0),"")</f>
        <v/>
      </c>
    </row>
    <row r="4175" spans="2:14">
      <c r="B4175" s="32">
        <f>IF(ISNUMBER(SEARCH('Φόρμα Εισαγωγής'!$B$2,C4175)),MAX($B$1:B4174)+1,0)</f>
        <v>0</v>
      </c>
      <c r="D4175" s="33">
        <f>IF(ISNUMBER(SEARCH('Φόρμα Εισαγωγής'!$C$2,E4175)),MAX($D$1:D4174)+1,0)</f>
        <v>0</v>
      </c>
      <c r="H4175" s="6">
        <f t="shared" si="206"/>
        <v>0</v>
      </c>
      <c r="I4175" s="6">
        <f t="shared" si="207"/>
        <v>0</v>
      </c>
      <c r="J4175" s="6">
        <f t="shared" si="208"/>
        <v>0</v>
      </c>
      <c r="L4175" s="4" t="str">
        <f>IFERROR(VLOOKUP(ROWS($L$2:L4175),$B$2:$C$1996,2,0),"")</f>
        <v/>
      </c>
      <c r="N4175" s="2" t="str">
        <f>IFERROR(VLOOKUP(ROWS($N$2:N4175),$D$2:$E$1996,2,0),"")</f>
        <v/>
      </c>
    </row>
    <row r="4176" spans="2:14">
      <c r="B4176" s="32">
        <f>IF(ISNUMBER(SEARCH('Φόρμα Εισαγωγής'!$B$2,C4176)),MAX($B$1:B4175)+1,0)</f>
        <v>0</v>
      </c>
      <c r="D4176" s="33">
        <f>IF(ISNUMBER(SEARCH('Φόρμα Εισαγωγής'!$C$2,E4176)),MAX($D$1:D4175)+1,0)</f>
        <v>0</v>
      </c>
      <c r="H4176" s="6">
        <f t="shared" si="206"/>
        <v>0</v>
      </c>
      <c r="I4176" s="6">
        <f t="shared" si="207"/>
        <v>0</v>
      </c>
      <c r="J4176" s="6">
        <f t="shared" si="208"/>
        <v>0</v>
      </c>
      <c r="L4176" s="4" t="str">
        <f>IFERROR(VLOOKUP(ROWS($L$2:L4176),$B$2:$C$1996,2,0),"")</f>
        <v/>
      </c>
      <c r="N4176" s="2" t="str">
        <f>IFERROR(VLOOKUP(ROWS($N$2:N4176),$D$2:$E$1996,2,0),"")</f>
        <v/>
      </c>
    </row>
    <row r="4177" spans="2:14">
      <c r="B4177" s="32">
        <f>IF(ISNUMBER(SEARCH('Φόρμα Εισαγωγής'!$B$2,C4177)),MAX($B$1:B4176)+1,0)</f>
        <v>0</v>
      </c>
      <c r="D4177" s="33">
        <f>IF(ISNUMBER(SEARCH('Φόρμα Εισαγωγής'!$C$2,E4177)),MAX($D$1:D4176)+1,0)</f>
        <v>0</v>
      </c>
      <c r="H4177" s="6">
        <f t="shared" si="206"/>
        <v>0</v>
      </c>
      <c r="I4177" s="6">
        <f t="shared" si="207"/>
        <v>0</v>
      </c>
      <c r="J4177" s="6">
        <f t="shared" si="208"/>
        <v>0</v>
      </c>
      <c r="L4177" s="4" t="str">
        <f>IFERROR(VLOOKUP(ROWS($L$2:L4177),$B$2:$C$1996,2,0),"")</f>
        <v/>
      </c>
      <c r="N4177" s="2" t="str">
        <f>IFERROR(VLOOKUP(ROWS($N$2:N4177),$D$2:$E$1996,2,0),"")</f>
        <v/>
      </c>
    </row>
    <row r="4178" spans="2:14">
      <c r="B4178" s="32">
        <f>IF(ISNUMBER(SEARCH('Φόρμα Εισαγωγής'!$B$2,C4178)),MAX($B$1:B4177)+1,0)</f>
        <v>0</v>
      </c>
      <c r="D4178" s="33">
        <f>IF(ISNUMBER(SEARCH('Φόρμα Εισαγωγής'!$C$2,E4178)),MAX($D$1:D4177)+1,0)</f>
        <v>0</v>
      </c>
      <c r="H4178" s="6">
        <f t="shared" si="206"/>
        <v>0</v>
      </c>
      <c r="I4178" s="6">
        <f t="shared" si="207"/>
        <v>0</v>
      </c>
      <c r="J4178" s="6">
        <f t="shared" si="208"/>
        <v>0</v>
      </c>
      <c r="L4178" s="4" t="str">
        <f>IFERROR(VLOOKUP(ROWS($L$2:L4178),$B$2:$C$1996,2,0),"")</f>
        <v/>
      </c>
      <c r="N4178" s="2" t="str">
        <f>IFERROR(VLOOKUP(ROWS($N$2:N4178),$D$2:$E$1996,2,0),"")</f>
        <v/>
      </c>
    </row>
    <row r="4179" spans="2:14">
      <c r="B4179" s="32">
        <f>IF(ISNUMBER(SEARCH('Φόρμα Εισαγωγής'!$B$2,C4179)),MAX($B$1:B4178)+1,0)</f>
        <v>0</v>
      </c>
      <c r="D4179" s="33">
        <f>IF(ISNUMBER(SEARCH('Φόρμα Εισαγωγής'!$C$2,E4179)),MAX($D$1:D4178)+1,0)</f>
        <v>0</v>
      </c>
      <c r="H4179" s="6">
        <f t="shared" si="206"/>
        <v>0</v>
      </c>
      <c r="I4179" s="6">
        <f t="shared" si="207"/>
        <v>0</v>
      </c>
      <c r="J4179" s="6">
        <f t="shared" si="208"/>
        <v>0</v>
      </c>
      <c r="L4179" s="4" t="str">
        <f>IFERROR(VLOOKUP(ROWS($L$2:L4179),$B$2:$C$1996,2,0),"")</f>
        <v/>
      </c>
      <c r="N4179" s="2" t="str">
        <f>IFERROR(VLOOKUP(ROWS($N$2:N4179),$D$2:$E$1996,2,0),"")</f>
        <v/>
      </c>
    </row>
    <row r="4180" spans="2:14">
      <c r="B4180" s="32">
        <f>IF(ISNUMBER(SEARCH('Φόρμα Εισαγωγής'!$B$2,C4180)),MAX($B$1:B4179)+1,0)</f>
        <v>0</v>
      </c>
      <c r="D4180" s="33">
        <f>IF(ISNUMBER(SEARCH('Φόρμα Εισαγωγής'!$C$2,E4180)),MAX($D$1:D4179)+1,0)</f>
        <v>0</v>
      </c>
      <c r="H4180" s="6">
        <f t="shared" si="206"/>
        <v>0</v>
      </c>
      <c r="I4180" s="6">
        <f t="shared" si="207"/>
        <v>0</v>
      </c>
      <c r="J4180" s="6">
        <f t="shared" si="208"/>
        <v>0</v>
      </c>
      <c r="L4180" s="4" t="str">
        <f>IFERROR(VLOOKUP(ROWS($L$2:L4180),$B$2:$C$1996,2,0),"")</f>
        <v/>
      </c>
      <c r="N4180" s="2" t="str">
        <f>IFERROR(VLOOKUP(ROWS($N$2:N4180),$D$2:$E$1996,2,0),"")</f>
        <v/>
      </c>
    </row>
    <row r="4181" spans="2:14">
      <c r="B4181" s="32">
        <f>IF(ISNUMBER(SEARCH('Φόρμα Εισαγωγής'!$B$2,C4181)),MAX($B$1:B4180)+1,0)</f>
        <v>0</v>
      </c>
      <c r="D4181" s="33">
        <f>IF(ISNUMBER(SEARCH('Φόρμα Εισαγωγής'!$C$2,E4181)),MAX($D$1:D4180)+1,0)</f>
        <v>0</v>
      </c>
      <c r="H4181" s="6">
        <f t="shared" si="206"/>
        <v>0</v>
      </c>
      <c r="I4181" s="6">
        <f t="shared" si="207"/>
        <v>0</v>
      </c>
      <c r="J4181" s="6">
        <f t="shared" si="208"/>
        <v>0</v>
      </c>
      <c r="L4181" s="4" t="str">
        <f>IFERROR(VLOOKUP(ROWS($L$2:L4181),$B$2:$C$1996,2,0),"")</f>
        <v/>
      </c>
      <c r="N4181" s="2" t="str">
        <f>IFERROR(VLOOKUP(ROWS($N$2:N4181),$D$2:$E$1996,2,0),"")</f>
        <v/>
      </c>
    </row>
    <row r="4182" spans="2:14">
      <c r="B4182" s="32">
        <f>IF(ISNUMBER(SEARCH('Φόρμα Εισαγωγής'!$B$2,C4182)),MAX($B$1:B4181)+1,0)</f>
        <v>0</v>
      </c>
      <c r="D4182" s="33">
        <f>IF(ISNUMBER(SEARCH('Φόρμα Εισαγωγής'!$C$2,E4182)),MAX($D$1:D4181)+1,0)</f>
        <v>0</v>
      </c>
      <c r="H4182" s="6">
        <f t="shared" si="206"/>
        <v>0</v>
      </c>
      <c r="I4182" s="6">
        <f t="shared" si="207"/>
        <v>0</v>
      </c>
      <c r="J4182" s="6">
        <f t="shared" si="208"/>
        <v>0</v>
      </c>
      <c r="L4182" s="4" t="str">
        <f>IFERROR(VLOOKUP(ROWS($L$2:L4182),$B$2:$C$1996,2,0),"")</f>
        <v/>
      </c>
      <c r="N4182" s="2" t="str">
        <f>IFERROR(VLOOKUP(ROWS($N$2:N4182),$D$2:$E$1996,2,0),"")</f>
        <v/>
      </c>
    </row>
    <row r="4183" spans="2:14">
      <c r="B4183" s="32">
        <f>IF(ISNUMBER(SEARCH('Φόρμα Εισαγωγής'!$B$2,C4183)),MAX($B$1:B4182)+1,0)</f>
        <v>0</v>
      </c>
      <c r="D4183" s="33">
        <f>IF(ISNUMBER(SEARCH('Φόρμα Εισαγωγής'!$C$2,E4183)),MAX($D$1:D4182)+1,0)</f>
        <v>0</v>
      </c>
      <c r="H4183" s="6">
        <f t="shared" si="206"/>
        <v>0</v>
      </c>
      <c r="I4183" s="6">
        <f t="shared" si="207"/>
        <v>0</v>
      </c>
      <c r="J4183" s="6">
        <f t="shared" si="208"/>
        <v>0</v>
      </c>
      <c r="L4183" s="4" t="str">
        <f>IFERROR(VLOOKUP(ROWS($L$2:L4183),$B$2:$C$1996,2,0),"")</f>
        <v/>
      </c>
      <c r="N4183" s="2" t="str">
        <f>IFERROR(VLOOKUP(ROWS($N$2:N4183),$D$2:$E$1996,2,0),"")</f>
        <v/>
      </c>
    </row>
    <row r="4184" spans="2:14">
      <c r="B4184" s="32">
        <f>IF(ISNUMBER(SEARCH('Φόρμα Εισαγωγής'!$B$2,C4184)),MAX($B$1:B4183)+1,0)</f>
        <v>0</v>
      </c>
      <c r="D4184" s="33">
        <f>IF(ISNUMBER(SEARCH('Φόρμα Εισαγωγής'!$C$2,E4184)),MAX($D$1:D4183)+1,0)</f>
        <v>0</v>
      </c>
      <c r="H4184" s="6">
        <f t="shared" si="206"/>
        <v>0</v>
      </c>
      <c r="I4184" s="6">
        <f t="shared" si="207"/>
        <v>0</v>
      </c>
      <c r="J4184" s="6">
        <f t="shared" si="208"/>
        <v>0</v>
      </c>
      <c r="L4184" s="4" t="str">
        <f>IFERROR(VLOOKUP(ROWS($L$2:L4184),$B$2:$C$1996,2,0),"")</f>
        <v/>
      </c>
      <c r="N4184" s="2" t="str">
        <f>IFERROR(VLOOKUP(ROWS($N$2:N4184),$D$2:$E$1996,2,0),"")</f>
        <v/>
      </c>
    </row>
    <row r="4185" spans="2:14">
      <c r="B4185" s="32">
        <f>IF(ISNUMBER(SEARCH('Φόρμα Εισαγωγής'!$B$2,C4185)),MAX($B$1:B4184)+1,0)</f>
        <v>0</v>
      </c>
      <c r="D4185" s="33">
        <f>IF(ISNUMBER(SEARCH('Φόρμα Εισαγωγής'!$C$2,E4185)),MAX($D$1:D4184)+1,0)</f>
        <v>0</v>
      </c>
      <c r="H4185" s="6">
        <f t="shared" si="206"/>
        <v>0</v>
      </c>
      <c r="I4185" s="6">
        <f t="shared" si="207"/>
        <v>0</v>
      </c>
      <c r="J4185" s="6">
        <f t="shared" si="208"/>
        <v>0</v>
      </c>
      <c r="L4185" s="4" t="str">
        <f>IFERROR(VLOOKUP(ROWS($L$2:L4185),$B$2:$C$1996,2,0),"")</f>
        <v/>
      </c>
      <c r="N4185" s="2" t="str">
        <f>IFERROR(VLOOKUP(ROWS($N$2:N4185),$D$2:$E$1996,2,0),"")</f>
        <v/>
      </c>
    </row>
    <row r="4186" spans="2:14">
      <c r="B4186" s="32">
        <f>IF(ISNUMBER(SEARCH('Φόρμα Εισαγωγής'!$B$2,C4186)),MAX($B$1:B4185)+1,0)</f>
        <v>0</v>
      </c>
      <c r="D4186" s="33">
        <f>IF(ISNUMBER(SEARCH('Φόρμα Εισαγωγής'!$C$2,E4186)),MAX($D$1:D4185)+1,0)</f>
        <v>0</v>
      </c>
      <c r="H4186" s="6">
        <f t="shared" si="206"/>
        <v>0</v>
      </c>
      <c r="I4186" s="6">
        <f t="shared" si="207"/>
        <v>0</v>
      </c>
      <c r="J4186" s="6">
        <f t="shared" si="208"/>
        <v>0</v>
      </c>
      <c r="L4186" s="4" t="str">
        <f>IFERROR(VLOOKUP(ROWS($L$2:L4186),$B$2:$C$1996,2,0),"")</f>
        <v/>
      </c>
      <c r="N4186" s="2" t="str">
        <f>IFERROR(VLOOKUP(ROWS($N$2:N4186),$D$2:$E$1996,2,0),"")</f>
        <v/>
      </c>
    </row>
    <row r="4187" spans="2:14">
      <c r="B4187" s="32">
        <f>IF(ISNUMBER(SEARCH('Φόρμα Εισαγωγής'!$B$2,C4187)),MAX($B$1:B4186)+1,0)</f>
        <v>0</v>
      </c>
      <c r="D4187" s="33">
        <f>IF(ISNUMBER(SEARCH('Φόρμα Εισαγωγής'!$C$2,E4187)),MAX($D$1:D4186)+1,0)</f>
        <v>0</v>
      </c>
      <c r="H4187" s="6">
        <f t="shared" si="206"/>
        <v>0</v>
      </c>
      <c r="I4187" s="6">
        <f t="shared" si="207"/>
        <v>0</v>
      </c>
      <c r="J4187" s="6">
        <f t="shared" si="208"/>
        <v>0</v>
      </c>
      <c r="L4187" s="4" t="str">
        <f>IFERROR(VLOOKUP(ROWS($L$2:L4187),$B$2:$C$1996,2,0),"")</f>
        <v/>
      </c>
      <c r="N4187" s="2" t="str">
        <f>IFERROR(VLOOKUP(ROWS($N$2:N4187),$D$2:$E$1996,2,0),"")</f>
        <v/>
      </c>
    </row>
    <row r="4188" spans="2:14">
      <c r="B4188" s="32">
        <f>IF(ISNUMBER(SEARCH('Φόρμα Εισαγωγής'!$B$2,C4188)),MAX($B$1:B4187)+1,0)</f>
        <v>0</v>
      </c>
      <c r="D4188" s="33">
        <f>IF(ISNUMBER(SEARCH('Φόρμα Εισαγωγής'!$C$2,E4188)),MAX($D$1:D4187)+1,0)</f>
        <v>0</v>
      </c>
      <c r="H4188" s="6">
        <f t="shared" si="206"/>
        <v>0</v>
      </c>
      <c r="I4188" s="6">
        <f t="shared" si="207"/>
        <v>0</v>
      </c>
      <c r="J4188" s="6">
        <f t="shared" si="208"/>
        <v>0</v>
      </c>
      <c r="L4188" s="4" t="str">
        <f>IFERROR(VLOOKUP(ROWS($L$2:L4188),$B$2:$C$1996,2,0),"")</f>
        <v/>
      </c>
      <c r="N4188" s="2" t="str">
        <f>IFERROR(VLOOKUP(ROWS($N$2:N4188),$D$2:$E$1996,2,0),"")</f>
        <v/>
      </c>
    </row>
    <row r="4189" spans="2:14">
      <c r="B4189" s="32">
        <f>IF(ISNUMBER(SEARCH('Φόρμα Εισαγωγής'!$B$2,C4189)),MAX($B$1:B4188)+1,0)</f>
        <v>0</v>
      </c>
      <c r="D4189" s="33">
        <f>IF(ISNUMBER(SEARCH('Φόρμα Εισαγωγής'!$C$2,E4189)),MAX($D$1:D4188)+1,0)</f>
        <v>0</v>
      </c>
      <c r="H4189" s="6">
        <f t="shared" si="206"/>
        <v>0</v>
      </c>
      <c r="I4189" s="6">
        <f t="shared" si="207"/>
        <v>0</v>
      </c>
      <c r="J4189" s="6">
        <f t="shared" si="208"/>
        <v>0</v>
      </c>
      <c r="L4189" s="4" t="str">
        <f>IFERROR(VLOOKUP(ROWS($L$2:L4189),$B$2:$C$1996,2,0),"")</f>
        <v/>
      </c>
      <c r="N4189" s="2" t="str">
        <f>IFERROR(VLOOKUP(ROWS($N$2:N4189),$D$2:$E$1996,2,0),"")</f>
        <v/>
      </c>
    </row>
    <row r="4190" spans="2:14">
      <c r="B4190" s="32">
        <f>IF(ISNUMBER(SEARCH('Φόρμα Εισαγωγής'!$B$2,C4190)),MAX($B$1:B4189)+1,0)</f>
        <v>0</v>
      </c>
      <c r="D4190" s="33">
        <f>IF(ISNUMBER(SEARCH('Φόρμα Εισαγωγής'!$C$2,E4190)),MAX($D$1:D4189)+1,0)</f>
        <v>0</v>
      </c>
      <c r="H4190" s="6">
        <f t="shared" si="206"/>
        <v>0</v>
      </c>
      <c r="I4190" s="6">
        <f t="shared" si="207"/>
        <v>0</v>
      </c>
      <c r="J4190" s="6">
        <f t="shared" si="208"/>
        <v>0</v>
      </c>
      <c r="L4190" s="4" t="str">
        <f>IFERROR(VLOOKUP(ROWS($L$2:L4190),$B$2:$C$1996,2,0),"")</f>
        <v/>
      </c>
      <c r="N4190" s="2" t="str">
        <f>IFERROR(VLOOKUP(ROWS($N$2:N4190),$D$2:$E$1996,2,0),"")</f>
        <v/>
      </c>
    </row>
    <row r="4191" spans="2:14">
      <c r="B4191" s="32">
        <f>IF(ISNUMBER(SEARCH('Φόρμα Εισαγωγής'!$B$2,C4191)),MAX($B$1:B4190)+1,0)</f>
        <v>0</v>
      </c>
      <c r="D4191" s="33">
        <f>IF(ISNUMBER(SEARCH('Φόρμα Εισαγωγής'!$C$2,E4191)),MAX($D$1:D4190)+1,0)</f>
        <v>0</v>
      </c>
      <c r="H4191" s="6">
        <f t="shared" si="206"/>
        <v>0</v>
      </c>
      <c r="I4191" s="6">
        <f t="shared" si="207"/>
        <v>0</v>
      </c>
      <c r="J4191" s="6">
        <f t="shared" si="208"/>
        <v>0</v>
      </c>
      <c r="L4191" s="4" t="str">
        <f>IFERROR(VLOOKUP(ROWS($L$2:L4191),$B$2:$C$1996,2,0),"")</f>
        <v/>
      </c>
      <c r="N4191" s="2" t="str">
        <f>IFERROR(VLOOKUP(ROWS($N$2:N4191),$D$2:$E$1996,2,0),"")</f>
        <v/>
      </c>
    </row>
    <row r="4192" spans="2:14">
      <c r="B4192" s="32">
        <f>IF(ISNUMBER(SEARCH('Φόρμα Εισαγωγής'!$B$2,C4192)),MAX($B$1:B4191)+1,0)</f>
        <v>0</v>
      </c>
      <c r="D4192" s="33">
        <f>IF(ISNUMBER(SEARCH('Φόρμα Εισαγωγής'!$C$2,E4192)),MAX($D$1:D4191)+1,0)</f>
        <v>0</v>
      </c>
      <c r="H4192" s="6">
        <f t="shared" si="206"/>
        <v>0</v>
      </c>
      <c r="I4192" s="6">
        <f t="shared" si="207"/>
        <v>0</v>
      </c>
      <c r="J4192" s="6">
        <f t="shared" si="208"/>
        <v>0</v>
      </c>
      <c r="L4192" s="4" t="str">
        <f>IFERROR(VLOOKUP(ROWS($L$2:L4192),$B$2:$C$1996,2,0),"")</f>
        <v/>
      </c>
      <c r="N4192" s="2" t="str">
        <f>IFERROR(VLOOKUP(ROWS($N$2:N4192),$D$2:$E$1996,2,0),"")</f>
        <v/>
      </c>
    </row>
    <row r="4193" spans="2:14">
      <c r="B4193" s="32">
        <f>IF(ISNUMBER(SEARCH('Φόρμα Εισαγωγής'!$B$2,C4193)),MAX($B$1:B4192)+1,0)</f>
        <v>0</v>
      </c>
      <c r="D4193" s="33">
        <f>IF(ISNUMBER(SEARCH('Φόρμα Εισαγωγής'!$C$2,E4193)),MAX($D$1:D4192)+1,0)</f>
        <v>0</v>
      </c>
      <c r="H4193" s="6">
        <f t="shared" si="206"/>
        <v>0</v>
      </c>
      <c r="I4193" s="6">
        <f t="shared" si="207"/>
        <v>0</v>
      </c>
      <c r="J4193" s="6">
        <f t="shared" si="208"/>
        <v>0</v>
      </c>
      <c r="L4193" s="4" t="str">
        <f>IFERROR(VLOOKUP(ROWS($L$2:L4193),$B$2:$C$1996,2,0),"")</f>
        <v/>
      </c>
      <c r="N4193" s="2" t="str">
        <f>IFERROR(VLOOKUP(ROWS($N$2:N4193),$D$2:$E$1996,2,0),"")</f>
        <v/>
      </c>
    </row>
    <row r="4194" spans="2:14">
      <c r="B4194" s="32">
        <f>IF(ISNUMBER(SEARCH('Φόρμα Εισαγωγής'!$B$2,C4194)),MAX($B$1:B4193)+1,0)</f>
        <v>0</v>
      </c>
      <c r="D4194" s="33">
        <f>IF(ISNUMBER(SEARCH('Φόρμα Εισαγωγής'!$C$2,E4194)),MAX($D$1:D4193)+1,0)</f>
        <v>0</v>
      </c>
      <c r="H4194" s="6">
        <f t="shared" si="206"/>
        <v>0</v>
      </c>
      <c r="I4194" s="6">
        <f t="shared" si="207"/>
        <v>0</v>
      </c>
      <c r="J4194" s="6">
        <f t="shared" si="208"/>
        <v>0</v>
      </c>
      <c r="L4194" s="4" t="str">
        <f>IFERROR(VLOOKUP(ROWS($L$2:L4194),$B$2:$C$1996,2,0),"")</f>
        <v/>
      </c>
      <c r="N4194" s="2" t="str">
        <f>IFERROR(VLOOKUP(ROWS($N$2:N4194),$D$2:$E$1996,2,0),"")</f>
        <v/>
      </c>
    </row>
    <row r="4195" spans="2:14">
      <c r="B4195" s="32">
        <f>IF(ISNUMBER(SEARCH('Φόρμα Εισαγωγής'!$B$2,C4195)),MAX($B$1:B4194)+1,0)</f>
        <v>0</v>
      </c>
      <c r="D4195" s="33">
        <f>IF(ISNUMBER(SEARCH('Φόρμα Εισαγωγής'!$C$2,E4195)),MAX($D$1:D4194)+1,0)</f>
        <v>0</v>
      </c>
      <c r="H4195" s="6">
        <f t="shared" si="206"/>
        <v>0</v>
      </c>
      <c r="I4195" s="6">
        <f t="shared" si="207"/>
        <v>0</v>
      </c>
      <c r="J4195" s="6">
        <f t="shared" si="208"/>
        <v>0</v>
      </c>
      <c r="L4195" s="4" t="str">
        <f>IFERROR(VLOOKUP(ROWS($L$2:L4195),$B$2:$C$1996,2,0),"")</f>
        <v/>
      </c>
      <c r="N4195" s="2" t="str">
        <f>IFERROR(VLOOKUP(ROWS($N$2:N4195),$D$2:$E$1996,2,0),"")</f>
        <v/>
      </c>
    </row>
    <row r="4196" spans="2:14">
      <c r="B4196" s="32">
        <f>IF(ISNUMBER(SEARCH('Φόρμα Εισαγωγής'!$B$2,C4196)),MAX($B$1:B4195)+1,0)</f>
        <v>0</v>
      </c>
      <c r="D4196" s="33">
        <f>IF(ISNUMBER(SEARCH('Φόρμα Εισαγωγής'!$C$2,E4196)),MAX($D$1:D4195)+1,0)</f>
        <v>0</v>
      </c>
      <c r="H4196" s="6">
        <f t="shared" si="206"/>
        <v>0</v>
      </c>
      <c r="I4196" s="6">
        <f t="shared" si="207"/>
        <v>0</v>
      </c>
      <c r="J4196" s="6">
        <f t="shared" si="208"/>
        <v>0</v>
      </c>
      <c r="L4196" s="4" t="str">
        <f>IFERROR(VLOOKUP(ROWS($L$2:L4196),$B$2:$C$1996,2,0),"")</f>
        <v/>
      </c>
      <c r="N4196" s="2" t="str">
        <f>IFERROR(VLOOKUP(ROWS($N$2:N4196),$D$2:$E$1996,2,0),"")</f>
        <v/>
      </c>
    </row>
    <row r="4197" spans="2:14">
      <c r="B4197" s="32">
        <f>IF(ISNUMBER(SEARCH('Φόρμα Εισαγωγής'!$B$2,C4197)),MAX($B$1:B4196)+1,0)</f>
        <v>0</v>
      </c>
      <c r="D4197" s="33">
        <f>IF(ISNUMBER(SEARCH('Φόρμα Εισαγωγής'!$C$2,E4197)),MAX($D$1:D4196)+1,0)</f>
        <v>0</v>
      </c>
      <c r="H4197" s="6">
        <f t="shared" si="206"/>
        <v>0</v>
      </c>
      <c r="I4197" s="6">
        <f t="shared" si="207"/>
        <v>0</v>
      </c>
      <c r="J4197" s="6">
        <f t="shared" si="208"/>
        <v>0</v>
      </c>
      <c r="L4197" s="4" t="str">
        <f>IFERROR(VLOOKUP(ROWS($L$2:L4197),$B$2:$C$1996,2,0),"")</f>
        <v/>
      </c>
      <c r="N4197" s="2" t="str">
        <f>IFERROR(VLOOKUP(ROWS($N$2:N4197),$D$2:$E$1996,2,0),"")</f>
        <v/>
      </c>
    </row>
    <row r="4198" spans="2:14">
      <c r="B4198" s="32">
        <f>IF(ISNUMBER(SEARCH('Φόρμα Εισαγωγής'!$B$2,C4198)),MAX($B$1:B4197)+1,0)</f>
        <v>0</v>
      </c>
      <c r="D4198" s="33">
        <f>IF(ISNUMBER(SEARCH('Φόρμα Εισαγωγής'!$C$2,E4198)),MAX($D$1:D4197)+1,0)</f>
        <v>0</v>
      </c>
      <c r="H4198" s="6">
        <f t="shared" si="206"/>
        <v>0</v>
      </c>
      <c r="I4198" s="6">
        <f t="shared" si="207"/>
        <v>0</v>
      </c>
      <c r="J4198" s="6">
        <f t="shared" si="208"/>
        <v>0</v>
      </c>
      <c r="L4198" s="4" t="str">
        <f>IFERROR(VLOOKUP(ROWS($L$2:L4198),$B$2:$C$1996,2,0),"")</f>
        <v/>
      </c>
      <c r="N4198" s="2" t="str">
        <f>IFERROR(VLOOKUP(ROWS($N$2:N4198),$D$2:$E$1996,2,0),"")</f>
        <v/>
      </c>
    </row>
    <row r="4199" spans="2:14">
      <c r="B4199" s="32">
        <f>IF(ISNUMBER(SEARCH('Φόρμα Εισαγωγής'!$B$2,C4199)),MAX($B$1:B4198)+1,0)</f>
        <v>0</v>
      </c>
      <c r="D4199" s="33">
        <f>IF(ISNUMBER(SEARCH('Φόρμα Εισαγωγής'!$C$2,E4199)),MAX($D$1:D4198)+1,0)</f>
        <v>0</v>
      </c>
      <c r="H4199" s="6">
        <f t="shared" si="206"/>
        <v>0</v>
      </c>
      <c r="I4199" s="6">
        <f t="shared" si="207"/>
        <v>0</v>
      </c>
      <c r="J4199" s="6">
        <f t="shared" si="208"/>
        <v>0</v>
      </c>
      <c r="L4199" s="4" t="str">
        <f>IFERROR(VLOOKUP(ROWS($L$2:L4199),$B$2:$C$1996,2,0),"")</f>
        <v/>
      </c>
      <c r="N4199" s="2" t="str">
        <f>IFERROR(VLOOKUP(ROWS($N$2:N4199),$D$2:$E$1996,2,0),"")</f>
        <v/>
      </c>
    </row>
    <row r="4200" spans="2:14">
      <c r="B4200" s="32">
        <f>IF(ISNUMBER(SEARCH('Φόρμα Εισαγωγής'!$B$2,C4200)),MAX($B$1:B4199)+1,0)</f>
        <v>0</v>
      </c>
      <c r="D4200" s="33">
        <f>IF(ISNUMBER(SEARCH('Φόρμα Εισαγωγής'!$C$2,E4200)),MAX($D$1:D4199)+1,0)</f>
        <v>0</v>
      </c>
      <c r="H4200" s="6">
        <f t="shared" si="206"/>
        <v>0</v>
      </c>
      <c r="I4200" s="6">
        <f t="shared" si="207"/>
        <v>0</v>
      </c>
      <c r="J4200" s="6">
        <f t="shared" si="208"/>
        <v>0</v>
      </c>
      <c r="L4200" s="4" t="str">
        <f>IFERROR(VLOOKUP(ROWS($L$2:L4200),$B$2:$C$1996,2,0),"")</f>
        <v/>
      </c>
      <c r="N4200" s="2" t="str">
        <f>IFERROR(VLOOKUP(ROWS($N$2:N4200),$D$2:$E$1996,2,0),"")</f>
        <v/>
      </c>
    </row>
    <row r="4201" spans="2:14">
      <c r="B4201" s="32">
        <f>IF(ISNUMBER(SEARCH('Φόρμα Εισαγωγής'!$B$2,C4201)),MAX($B$1:B4200)+1,0)</f>
        <v>0</v>
      </c>
      <c r="D4201" s="33">
        <f>IF(ISNUMBER(SEARCH('Φόρμα Εισαγωγής'!$C$2,E4201)),MAX($D$1:D4200)+1,0)</f>
        <v>0</v>
      </c>
      <c r="H4201" s="6">
        <f t="shared" si="206"/>
        <v>0</v>
      </c>
      <c r="I4201" s="6">
        <f t="shared" si="207"/>
        <v>0</v>
      </c>
      <c r="J4201" s="6">
        <f t="shared" si="208"/>
        <v>0</v>
      </c>
      <c r="L4201" s="4" t="str">
        <f>IFERROR(VLOOKUP(ROWS($L$2:L4201),$B$2:$C$1996,2,0),"")</f>
        <v/>
      </c>
      <c r="N4201" s="2" t="str">
        <f>IFERROR(VLOOKUP(ROWS($N$2:N4201),$D$2:$E$1996,2,0),"")</f>
        <v/>
      </c>
    </row>
    <row r="4202" spans="2:14">
      <c r="B4202" s="32">
        <f>IF(ISNUMBER(SEARCH('Φόρμα Εισαγωγής'!$B$2,C4202)),MAX($B$1:B4201)+1,0)</f>
        <v>0</v>
      </c>
      <c r="D4202" s="33">
        <f>IF(ISNUMBER(SEARCH('Φόρμα Εισαγωγής'!$C$2,E4202)),MAX($D$1:D4201)+1,0)</f>
        <v>0</v>
      </c>
      <c r="H4202" s="6">
        <f t="shared" si="206"/>
        <v>0</v>
      </c>
      <c r="I4202" s="6">
        <f t="shared" si="207"/>
        <v>0</v>
      </c>
      <c r="J4202" s="6">
        <f t="shared" si="208"/>
        <v>0</v>
      </c>
      <c r="L4202" s="4" t="str">
        <f>IFERROR(VLOOKUP(ROWS($L$2:L4202),$B$2:$C$1996,2,0),"")</f>
        <v/>
      </c>
      <c r="N4202" s="2" t="str">
        <f>IFERROR(VLOOKUP(ROWS($N$2:N4202),$D$2:$E$1996,2,0),"")</f>
        <v/>
      </c>
    </row>
    <row r="4203" spans="2:14">
      <c r="B4203" s="32">
        <f>IF(ISNUMBER(SEARCH('Φόρμα Εισαγωγής'!$B$2,C4203)),MAX($B$1:B4202)+1,0)</f>
        <v>0</v>
      </c>
      <c r="D4203" s="33">
        <f>IF(ISNUMBER(SEARCH('Φόρμα Εισαγωγής'!$C$2,E4203)),MAX($D$1:D4202)+1,0)</f>
        <v>0</v>
      </c>
      <c r="H4203" s="6">
        <f t="shared" si="206"/>
        <v>0</v>
      </c>
      <c r="I4203" s="6">
        <f t="shared" si="207"/>
        <v>0</v>
      </c>
      <c r="J4203" s="6">
        <f t="shared" si="208"/>
        <v>0</v>
      </c>
      <c r="L4203" s="4" t="str">
        <f>IFERROR(VLOOKUP(ROWS($L$2:L4203),$B$2:$C$1996,2,0),"")</f>
        <v/>
      </c>
      <c r="N4203" s="2" t="str">
        <f>IFERROR(VLOOKUP(ROWS($N$2:N4203),$D$2:$E$1996,2,0),"")</f>
        <v/>
      </c>
    </row>
    <row r="4204" spans="2:14">
      <c r="B4204" s="32">
        <f>IF(ISNUMBER(SEARCH('Φόρμα Εισαγωγής'!$B$2,C4204)),MAX($B$1:B4203)+1,0)</f>
        <v>0</v>
      </c>
      <c r="D4204" s="33">
        <f>IF(ISNUMBER(SEARCH('Φόρμα Εισαγωγής'!$C$2,E4204)),MAX($D$1:D4203)+1,0)</f>
        <v>0</v>
      </c>
      <c r="H4204" s="6">
        <f t="shared" si="206"/>
        <v>0</v>
      </c>
      <c r="I4204" s="6">
        <f t="shared" si="207"/>
        <v>0</v>
      </c>
      <c r="J4204" s="6">
        <f t="shared" si="208"/>
        <v>0</v>
      </c>
      <c r="L4204" s="4" t="str">
        <f>IFERROR(VLOOKUP(ROWS($L$2:L4204),$B$2:$C$1996,2,0),"")</f>
        <v/>
      </c>
      <c r="N4204" s="2" t="str">
        <f>IFERROR(VLOOKUP(ROWS($N$2:N4204),$D$2:$E$1996,2,0),"")</f>
        <v/>
      </c>
    </row>
    <row r="4205" spans="2:14">
      <c r="B4205" s="32">
        <f>IF(ISNUMBER(SEARCH('Φόρμα Εισαγωγής'!$B$2,C4205)),MAX($B$1:B4204)+1,0)</f>
        <v>0</v>
      </c>
      <c r="D4205" s="33">
        <f>IF(ISNUMBER(SEARCH('Φόρμα Εισαγωγής'!$C$2,E4205)),MAX($D$1:D4204)+1,0)</f>
        <v>0</v>
      </c>
      <c r="H4205" s="6">
        <f t="shared" si="206"/>
        <v>0</v>
      </c>
      <c r="I4205" s="6">
        <f t="shared" si="207"/>
        <v>0</v>
      </c>
      <c r="J4205" s="6">
        <f t="shared" si="208"/>
        <v>0</v>
      </c>
      <c r="L4205" s="4" t="str">
        <f>IFERROR(VLOOKUP(ROWS($L$2:L4205),$B$2:$C$1996,2,0),"")</f>
        <v/>
      </c>
      <c r="N4205" s="2" t="str">
        <f>IFERROR(VLOOKUP(ROWS($N$2:N4205),$D$2:$E$1996,2,0),"")</f>
        <v/>
      </c>
    </row>
    <row r="4206" spans="2:14">
      <c r="B4206" s="32">
        <f>IF(ISNUMBER(SEARCH('Φόρμα Εισαγωγής'!$B$2,C4206)),MAX($B$1:B4205)+1,0)</f>
        <v>0</v>
      </c>
      <c r="D4206" s="33">
        <f>IF(ISNUMBER(SEARCH('Φόρμα Εισαγωγής'!$C$2,E4206)),MAX($D$1:D4205)+1,0)</f>
        <v>0</v>
      </c>
      <c r="H4206" s="6">
        <f t="shared" si="206"/>
        <v>0</v>
      </c>
      <c r="I4206" s="6">
        <f t="shared" si="207"/>
        <v>0</v>
      </c>
      <c r="J4206" s="6">
        <f t="shared" si="208"/>
        <v>0</v>
      </c>
      <c r="L4206" s="4" t="str">
        <f>IFERROR(VLOOKUP(ROWS($L$2:L4206),$B$2:$C$1996,2,0),"")</f>
        <v/>
      </c>
      <c r="N4206" s="2" t="str">
        <f>IFERROR(VLOOKUP(ROWS($N$2:N4206),$D$2:$E$1996,2,0),"")</f>
        <v/>
      </c>
    </row>
    <row r="4207" spans="2:14">
      <c r="B4207" s="32">
        <f>IF(ISNUMBER(SEARCH('Φόρμα Εισαγωγής'!$B$2,C4207)),MAX($B$1:B4206)+1,0)</f>
        <v>0</v>
      </c>
      <c r="D4207" s="33">
        <f>IF(ISNUMBER(SEARCH('Φόρμα Εισαγωγής'!$C$2,E4207)),MAX($D$1:D4206)+1,0)</f>
        <v>0</v>
      </c>
      <c r="H4207" s="6">
        <f t="shared" si="206"/>
        <v>0</v>
      </c>
      <c r="I4207" s="6">
        <f t="shared" si="207"/>
        <v>0</v>
      </c>
      <c r="J4207" s="6">
        <f t="shared" si="208"/>
        <v>0</v>
      </c>
      <c r="L4207" s="4" t="str">
        <f>IFERROR(VLOOKUP(ROWS($L$2:L4207),$B$2:$C$1996,2,0),"")</f>
        <v/>
      </c>
      <c r="N4207" s="2" t="str">
        <f>IFERROR(VLOOKUP(ROWS($N$2:N4207),$D$2:$E$1996,2,0),"")</f>
        <v/>
      </c>
    </row>
    <row r="4208" spans="2:14">
      <c r="B4208" s="32">
        <f>IF(ISNUMBER(SEARCH('Φόρμα Εισαγωγής'!$B$2,C4208)),MAX($B$1:B4207)+1,0)</f>
        <v>0</v>
      </c>
      <c r="D4208" s="33">
        <f>IF(ISNUMBER(SEARCH('Φόρμα Εισαγωγής'!$C$2,E4208)),MAX($D$1:D4207)+1,0)</f>
        <v>0</v>
      </c>
      <c r="H4208" s="6">
        <f t="shared" si="206"/>
        <v>0</v>
      </c>
      <c r="I4208" s="6">
        <f t="shared" si="207"/>
        <v>0</v>
      </c>
      <c r="J4208" s="6">
        <f t="shared" si="208"/>
        <v>0</v>
      </c>
      <c r="L4208" s="4" t="str">
        <f>IFERROR(VLOOKUP(ROWS($L$2:L4208),$B$2:$C$1996,2,0),"")</f>
        <v/>
      </c>
      <c r="N4208" s="2" t="str">
        <f>IFERROR(VLOOKUP(ROWS($N$2:N4208),$D$2:$E$1996,2,0),"")</f>
        <v/>
      </c>
    </row>
    <row r="4209" spans="2:14">
      <c r="B4209" s="32">
        <f>IF(ISNUMBER(SEARCH('Φόρμα Εισαγωγής'!$B$2,C4209)),MAX($B$1:B4208)+1,0)</f>
        <v>0</v>
      </c>
      <c r="D4209" s="33">
        <f>IF(ISNUMBER(SEARCH('Φόρμα Εισαγωγής'!$C$2,E4209)),MAX($D$1:D4208)+1,0)</f>
        <v>0</v>
      </c>
      <c r="H4209" s="6">
        <f t="shared" si="206"/>
        <v>0</v>
      </c>
      <c r="I4209" s="6">
        <f t="shared" si="207"/>
        <v>0</v>
      </c>
      <c r="J4209" s="6">
        <f t="shared" si="208"/>
        <v>0</v>
      </c>
      <c r="L4209" s="4" t="str">
        <f>IFERROR(VLOOKUP(ROWS($L$2:L4209),$B$2:$C$1996,2,0),"")</f>
        <v/>
      </c>
      <c r="N4209" s="2" t="str">
        <f>IFERROR(VLOOKUP(ROWS($N$2:N4209),$D$2:$E$1996,2,0),"")</f>
        <v/>
      </c>
    </row>
    <row r="4210" spans="2:14">
      <c r="B4210" s="32">
        <f>IF(ISNUMBER(SEARCH('Φόρμα Εισαγωγής'!$B$2,C4210)),MAX($B$1:B4209)+1,0)</f>
        <v>0</v>
      </c>
      <c r="D4210" s="33">
        <f>IF(ISNUMBER(SEARCH('Φόρμα Εισαγωγής'!$C$2,E4210)),MAX($D$1:D4209)+1,0)</f>
        <v>0</v>
      </c>
      <c r="H4210" s="6">
        <f t="shared" si="206"/>
        <v>0</v>
      </c>
      <c r="I4210" s="6">
        <f t="shared" si="207"/>
        <v>0</v>
      </c>
      <c r="J4210" s="6">
        <f t="shared" si="208"/>
        <v>0</v>
      </c>
      <c r="L4210" s="4" t="str">
        <f>IFERROR(VLOOKUP(ROWS($L$2:L4210),$B$2:$C$1996,2,0),"")</f>
        <v/>
      </c>
      <c r="N4210" s="2" t="str">
        <f>IFERROR(VLOOKUP(ROWS($N$2:N4210),$D$2:$E$1996,2,0),"")</f>
        <v/>
      </c>
    </row>
    <row r="4211" spans="2:14">
      <c r="B4211" s="32">
        <f>IF(ISNUMBER(SEARCH('Φόρμα Εισαγωγής'!$B$2,C4211)),MAX($B$1:B4210)+1,0)</f>
        <v>0</v>
      </c>
      <c r="D4211" s="33">
        <f>IF(ISNUMBER(SEARCH('Φόρμα Εισαγωγής'!$C$2,E4211)),MAX($D$1:D4210)+1,0)</f>
        <v>0</v>
      </c>
      <c r="H4211" s="6">
        <f t="shared" si="206"/>
        <v>0</v>
      </c>
      <c r="I4211" s="6">
        <f t="shared" si="207"/>
        <v>0</v>
      </c>
      <c r="J4211" s="6">
        <f t="shared" si="208"/>
        <v>0</v>
      </c>
      <c r="L4211" s="4" t="str">
        <f>IFERROR(VLOOKUP(ROWS($L$2:L4211),$B$2:$C$1996,2,0),"")</f>
        <v/>
      </c>
      <c r="N4211" s="2" t="str">
        <f>IFERROR(VLOOKUP(ROWS($N$2:N4211),$D$2:$E$1996,2,0),"")</f>
        <v/>
      </c>
    </row>
    <row r="4212" spans="2:14">
      <c r="B4212" s="32">
        <f>IF(ISNUMBER(SEARCH('Φόρμα Εισαγωγής'!$B$2,C4212)),MAX($B$1:B4211)+1,0)</f>
        <v>0</v>
      </c>
      <c r="D4212" s="33">
        <f>IF(ISNUMBER(SEARCH('Φόρμα Εισαγωγής'!$C$2,E4212)),MAX($D$1:D4211)+1,0)</f>
        <v>0</v>
      </c>
      <c r="H4212" s="6">
        <f t="shared" si="206"/>
        <v>0</v>
      </c>
      <c r="I4212" s="6">
        <f t="shared" si="207"/>
        <v>0</v>
      </c>
      <c r="J4212" s="6">
        <f t="shared" si="208"/>
        <v>0</v>
      </c>
      <c r="L4212" s="4" t="str">
        <f>IFERROR(VLOOKUP(ROWS($L$2:L4212),$B$2:$C$1996,2,0),"")</f>
        <v/>
      </c>
      <c r="N4212" s="2" t="str">
        <f>IFERROR(VLOOKUP(ROWS($N$2:N4212),$D$2:$E$1996,2,0),"")</f>
        <v/>
      </c>
    </row>
    <row r="4213" spans="2:14">
      <c r="B4213" s="32">
        <f>IF(ISNUMBER(SEARCH('Φόρμα Εισαγωγής'!$B$2,C4213)),MAX($B$1:B4212)+1,0)</f>
        <v>0</v>
      </c>
      <c r="D4213" s="33">
        <f>IF(ISNUMBER(SEARCH('Φόρμα Εισαγωγής'!$C$2,E4213)),MAX($D$1:D4212)+1,0)</f>
        <v>0</v>
      </c>
      <c r="H4213" s="6">
        <f t="shared" si="206"/>
        <v>0</v>
      </c>
      <c r="I4213" s="6">
        <f t="shared" si="207"/>
        <v>0</v>
      </c>
      <c r="J4213" s="6">
        <f t="shared" si="208"/>
        <v>0</v>
      </c>
      <c r="L4213" s="4" t="str">
        <f>IFERROR(VLOOKUP(ROWS($L$2:L4213),$B$2:$C$1996,2,0),"")</f>
        <v/>
      </c>
      <c r="N4213" s="2" t="str">
        <f>IFERROR(VLOOKUP(ROWS($N$2:N4213),$D$2:$E$1996,2,0),"")</f>
        <v/>
      </c>
    </row>
    <row r="4214" spans="2:14">
      <c r="B4214" s="32">
        <f>IF(ISNUMBER(SEARCH('Φόρμα Εισαγωγής'!$B$2,C4214)),MAX($B$1:B4213)+1,0)</f>
        <v>0</v>
      </c>
      <c r="D4214" s="33">
        <f>IF(ISNUMBER(SEARCH('Φόρμα Εισαγωγής'!$C$2,E4214)),MAX($D$1:D4213)+1,0)</f>
        <v>0</v>
      </c>
      <c r="H4214" s="6">
        <f t="shared" si="206"/>
        <v>0</v>
      </c>
      <c r="I4214" s="6">
        <f t="shared" si="207"/>
        <v>0</v>
      </c>
      <c r="J4214" s="6">
        <f t="shared" si="208"/>
        <v>0</v>
      </c>
      <c r="L4214" s="4" t="str">
        <f>IFERROR(VLOOKUP(ROWS($L$2:L4214),$B$2:$C$1996,2,0),"")</f>
        <v/>
      </c>
      <c r="N4214" s="2" t="str">
        <f>IFERROR(VLOOKUP(ROWS($N$2:N4214),$D$2:$E$1996,2,0),"")</f>
        <v/>
      </c>
    </row>
    <row r="4215" spans="2:14">
      <c r="B4215" s="32">
        <f>IF(ISNUMBER(SEARCH('Φόρμα Εισαγωγής'!$B$2,C4215)),MAX($B$1:B4214)+1,0)</f>
        <v>0</v>
      </c>
      <c r="D4215" s="33">
        <f>IF(ISNUMBER(SEARCH('Φόρμα Εισαγωγής'!$C$2,E4215)),MAX($D$1:D4214)+1,0)</f>
        <v>0</v>
      </c>
      <c r="H4215" s="6">
        <f t="shared" si="206"/>
        <v>0</v>
      </c>
      <c r="I4215" s="6">
        <f t="shared" si="207"/>
        <v>0</v>
      </c>
      <c r="J4215" s="6">
        <f t="shared" si="208"/>
        <v>0</v>
      </c>
      <c r="L4215" s="4" t="str">
        <f>IFERROR(VLOOKUP(ROWS($L$2:L4215),$B$2:$C$1996,2,0),"")</f>
        <v/>
      </c>
      <c r="N4215" s="2" t="str">
        <f>IFERROR(VLOOKUP(ROWS($N$2:N4215),$D$2:$E$1996,2,0),"")</f>
        <v/>
      </c>
    </row>
    <row r="4216" spans="2:14">
      <c r="B4216" s="32">
        <f>IF(ISNUMBER(SEARCH('Φόρμα Εισαγωγής'!$B$2,C4216)),MAX($B$1:B4215)+1,0)</f>
        <v>0</v>
      </c>
      <c r="D4216" s="33">
        <f>IF(ISNUMBER(SEARCH('Φόρμα Εισαγωγής'!$C$2,E4216)),MAX($D$1:D4215)+1,0)</f>
        <v>0</v>
      </c>
      <c r="H4216" s="6">
        <f t="shared" si="206"/>
        <v>0</v>
      </c>
      <c r="I4216" s="6">
        <f t="shared" si="207"/>
        <v>0</v>
      </c>
      <c r="J4216" s="6">
        <f t="shared" si="208"/>
        <v>0</v>
      </c>
      <c r="L4216" s="4" t="str">
        <f>IFERROR(VLOOKUP(ROWS($L$2:L4216),$B$2:$C$1996,2,0),"")</f>
        <v/>
      </c>
      <c r="N4216" s="2" t="str">
        <f>IFERROR(VLOOKUP(ROWS($N$2:N4216),$D$2:$E$1996,2,0),"")</f>
        <v/>
      </c>
    </row>
    <row r="4217" spans="2:14">
      <c r="B4217" s="32">
        <f>IF(ISNUMBER(SEARCH('Φόρμα Εισαγωγής'!$B$2,C4217)),MAX($B$1:B4216)+1,0)</f>
        <v>0</v>
      </c>
      <c r="D4217" s="33">
        <f>IF(ISNUMBER(SEARCH('Φόρμα Εισαγωγής'!$C$2,E4217)),MAX($D$1:D4216)+1,0)</f>
        <v>0</v>
      </c>
      <c r="H4217" s="6">
        <f t="shared" si="206"/>
        <v>0</v>
      </c>
      <c r="I4217" s="6">
        <f t="shared" si="207"/>
        <v>0</v>
      </c>
      <c r="J4217" s="6">
        <f t="shared" si="208"/>
        <v>0</v>
      </c>
      <c r="L4217" s="4" t="str">
        <f>IFERROR(VLOOKUP(ROWS($L$2:L4217),$B$2:$C$1996,2,0),"")</f>
        <v/>
      </c>
      <c r="N4217" s="2" t="str">
        <f>IFERROR(VLOOKUP(ROWS($N$2:N4217),$D$2:$E$1996,2,0),"")</f>
        <v/>
      </c>
    </row>
    <row r="4218" spans="2:14">
      <c r="B4218" s="32">
        <f>IF(ISNUMBER(SEARCH('Φόρμα Εισαγωγής'!$B$2,C4218)),MAX($B$1:B4217)+1,0)</f>
        <v>0</v>
      </c>
      <c r="D4218" s="33">
        <f>IF(ISNUMBER(SEARCH('Φόρμα Εισαγωγής'!$C$2,E4218)),MAX($D$1:D4217)+1,0)</f>
        <v>0</v>
      </c>
      <c r="H4218" s="6">
        <f t="shared" si="206"/>
        <v>0</v>
      </c>
      <c r="I4218" s="6">
        <f t="shared" si="207"/>
        <v>0</v>
      </c>
      <c r="J4218" s="6">
        <f t="shared" si="208"/>
        <v>0</v>
      </c>
      <c r="L4218" s="4" t="str">
        <f>IFERROR(VLOOKUP(ROWS($L$2:L4218),$B$2:$C$1996,2,0),"")</f>
        <v/>
      </c>
      <c r="N4218" s="2" t="str">
        <f>IFERROR(VLOOKUP(ROWS($N$2:N4218),$D$2:$E$1996,2,0),"")</f>
        <v/>
      </c>
    </row>
    <row r="4219" spans="2:14">
      <c r="B4219" s="32">
        <f>IF(ISNUMBER(SEARCH('Φόρμα Εισαγωγής'!$B$2,C4219)),MAX($B$1:B4218)+1,0)</f>
        <v>0</v>
      </c>
      <c r="D4219" s="33">
        <f>IF(ISNUMBER(SEARCH('Φόρμα Εισαγωγής'!$C$2,E4219)),MAX($D$1:D4218)+1,0)</f>
        <v>0</v>
      </c>
      <c r="H4219" s="6">
        <f t="shared" si="206"/>
        <v>0</v>
      </c>
      <c r="I4219" s="6">
        <f t="shared" si="207"/>
        <v>0</v>
      </c>
      <c r="J4219" s="6">
        <f t="shared" si="208"/>
        <v>0</v>
      </c>
      <c r="L4219" s="4" t="str">
        <f>IFERROR(VLOOKUP(ROWS($L$2:L4219),$B$2:$C$1996,2,0),"")</f>
        <v/>
      </c>
      <c r="N4219" s="2" t="str">
        <f>IFERROR(VLOOKUP(ROWS($N$2:N4219),$D$2:$E$1996,2,0),"")</f>
        <v/>
      </c>
    </row>
    <row r="4220" spans="2:14">
      <c r="B4220" s="32">
        <f>IF(ISNUMBER(SEARCH('Φόρμα Εισαγωγής'!$B$2,C4220)),MAX($B$1:B4219)+1,0)</f>
        <v>0</v>
      </c>
      <c r="D4220" s="33">
        <f>IF(ISNUMBER(SEARCH('Φόρμα Εισαγωγής'!$C$2,E4220)),MAX($D$1:D4219)+1,0)</f>
        <v>0</v>
      </c>
      <c r="H4220" s="6">
        <f t="shared" si="206"/>
        <v>0</v>
      </c>
      <c r="I4220" s="6">
        <f t="shared" si="207"/>
        <v>0</v>
      </c>
      <c r="J4220" s="6">
        <f t="shared" si="208"/>
        <v>0</v>
      </c>
      <c r="L4220" s="4" t="str">
        <f>IFERROR(VLOOKUP(ROWS($L$2:L4220),$B$2:$C$1996,2,0),"")</f>
        <v/>
      </c>
      <c r="N4220" s="2" t="str">
        <f>IFERROR(VLOOKUP(ROWS($N$2:N4220),$D$2:$E$1996,2,0),"")</f>
        <v/>
      </c>
    </row>
    <row r="4221" spans="2:14">
      <c r="B4221" s="32">
        <f>IF(ISNUMBER(SEARCH('Φόρμα Εισαγωγής'!$B$2,C4221)),MAX($B$1:B4220)+1,0)</f>
        <v>0</v>
      </c>
      <c r="D4221" s="33">
        <f>IF(ISNUMBER(SEARCH('Φόρμα Εισαγωγής'!$C$2,E4221)),MAX($D$1:D4220)+1,0)</f>
        <v>0</v>
      </c>
      <c r="H4221" s="6">
        <f t="shared" si="206"/>
        <v>0</v>
      </c>
      <c r="I4221" s="6">
        <f t="shared" si="207"/>
        <v>0</v>
      </c>
      <c r="J4221" s="6">
        <f t="shared" si="208"/>
        <v>0</v>
      </c>
      <c r="L4221" s="4" t="str">
        <f>IFERROR(VLOOKUP(ROWS($L$2:L4221),$B$2:$C$1996,2,0),"")</f>
        <v/>
      </c>
      <c r="N4221" s="2" t="str">
        <f>IFERROR(VLOOKUP(ROWS($N$2:N4221),$D$2:$E$1996,2,0),"")</f>
        <v/>
      </c>
    </row>
    <row r="4222" spans="2:14">
      <c r="B4222" s="32">
        <f>IF(ISNUMBER(SEARCH('Φόρμα Εισαγωγής'!$B$2,C4222)),MAX($B$1:B4221)+1,0)</f>
        <v>0</v>
      </c>
      <c r="D4222" s="33">
        <f>IF(ISNUMBER(SEARCH('Φόρμα Εισαγωγής'!$C$2,E4222)),MAX($D$1:D4221)+1,0)</f>
        <v>0</v>
      </c>
      <c r="H4222" s="6">
        <f t="shared" si="206"/>
        <v>0</v>
      </c>
      <c r="I4222" s="6">
        <f t="shared" si="207"/>
        <v>0</v>
      </c>
      <c r="J4222" s="6">
        <f t="shared" si="208"/>
        <v>0</v>
      </c>
      <c r="L4222" s="4" t="str">
        <f>IFERROR(VLOOKUP(ROWS($L$2:L4222),$B$2:$C$1996,2,0),"")</f>
        <v/>
      </c>
      <c r="N4222" s="2" t="str">
        <f>IFERROR(VLOOKUP(ROWS($N$2:N4222),$D$2:$E$1996,2,0),"")</f>
        <v/>
      </c>
    </row>
    <row r="4223" spans="2:14">
      <c r="B4223" s="32">
        <f>IF(ISNUMBER(SEARCH('Φόρμα Εισαγωγής'!$B$2,C4223)),MAX($B$1:B4222)+1,0)</f>
        <v>0</v>
      </c>
      <c r="D4223" s="33">
        <f>IF(ISNUMBER(SEARCH('Φόρμα Εισαγωγής'!$C$2,E4223)),MAX($D$1:D4222)+1,0)</f>
        <v>0</v>
      </c>
      <c r="H4223" s="6">
        <f t="shared" si="206"/>
        <v>0</v>
      </c>
      <c r="I4223" s="6">
        <f t="shared" si="207"/>
        <v>0</v>
      </c>
      <c r="J4223" s="6">
        <f t="shared" si="208"/>
        <v>0</v>
      </c>
      <c r="L4223" s="4" t="str">
        <f>IFERROR(VLOOKUP(ROWS($L$2:L4223),$B$2:$C$1996,2,0),"")</f>
        <v/>
      </c>
      <c r="N4223" s="2" t="str">
        <f>IFERROR(VLOOKUP(ROWS($N$2:N4223),$D$2:$E$1996,2,0),"")</f>
        <v/>
      </c>
    </row>
    <row r="4224" spans="2:14">
      <c r="B4224" s="32">
        <f>IF(ISNUMBER(SEARCH('Φόρμα Εισαγωγής'!$B$2,C4224)),MAX($B$1:B4223)+1,0)</f>
        <v>0</v>
      </c>
      <c r="D4224" s="33">
        <f>IF(ISNUMBER(SEARCH('Φόρμα Εισαγωγής'!$C$2,E4224)),MAX($D$1:D4223)+1,0)</f>
        <v>0</v>
      </c>
      <c r="H4224" s="6">
        <f t="shared" ref="H4224:H4287" si="209">G4224+(G4224*0.24)</f>
        <v>0</v>
      </c>
      <c r="I4224" s="6">
        <f t="shared" ref="I4224:I4287" si="210">F4224*A4224</f>
        <v>0</v>
      </c>
      <c r="J4224" s="6">
        <f t="shared" ref="J4224:J4287" si="211">H4224*A4224</f>
        <v>0</v>
      </c>
      <c r="L4224" s="4" t="str">
        <f>IFERROR(VLOOKUP(ROWS($L$2:L4224),$B$2:$C$1996,2,0),"")</f>
        <v/>
      </c>
      <c r="N4224" s="2" t="str">
        <f>IFERROR(VLOOKUP(ROWS($N$2:N4224),$D$2:$E$1996,2,0),"")</f>
        <v/>
      </c>
    </row>
    <row r="4225" spans="2:14">
      <c r="B4225" s="32">
        <f>IF(ISNUMBER(SEARCH('Φόρμα Εισαγωγής'!$B$2,C4225)),MAX($B$1:B4224)+1,0)</f>
        <v>0</v>
      </c>
      <c r="D4225" s="33">
        <f>IF(ISNUMBER(SEARCH('Φόρμα Εισαγωγής'!$C$2,E4225)),MAX($D$1:D4224)+1,0)</f>
        <v>0</v>
      </c>
      <c r="H4225" s="6">
        <f t="shared" si="209"/>
        <v>0</v>
      </c>
      <c r="I4225" s="6">
        <f t="shared" si="210"/>
        <v>0</v>
      </c>
      <c r="J4225" s="6">
        <f t="shared" si="211"/>
        <v>0</v>
      </c>
      <c r="L4225" s="4" t="str">
        <f>IFERROR(VLOOKUP(ROWS($L$2:L4225),$B$2:$C$1996,2,0),"")</f>
        <v/>
      </c>
      <c r="N4225" s="2" t="str">
        <f>IFERROR(VLOOKUP(ROWS($N$2:N4225),$D$2:$E$1996,2,0),"")</f>
        <v/>
      </c>
    </row>
    <row r="4226" spans="2:14">
      <c r="B4226" s="32">
        <f>IF(ISNUMBER(SEARCH('Φόρμα Εισαγωγής'!$B$2,C4226)),MAX($B$1:B4225)+1,0)</f>
        <v>0</v>
      </c>
      <c r="D4226" s="33">
        <f>IF(ISNUMBER(SEARCH('Φόρμα Εισαγωγής'!$C$2,E4226)),MAX($D$1:D4225)+1,0)</f>
        <v>0</v>
      </c>
      <c r="H4226" s="6">
        <f t="shared" si="209"/>
        <v>0</v>
      </c>
      <c r="I4226" s="6">
        <f t="shared" si="210"/>
        <v>0</v>
      </c>
      <c r="J4226" s="6">
        <f t="shared" si="211"/>
        <v>0</v>
      </c>
      <c r="L4226" s="4" t="str">
        <f>IFERROR(VLOOKUP(ROWS($L$2:L4226),$B$2:$C$1996,2,0),"")</f>
        <v/>
      </c>
      <c r="N4226" s="2" t="str">
        <f>IFERROR(VLOOKUP(ROWS($N$2:N4226),$D$2:$E$1996,2,0),"")</f>
        <v/>
      </c>
    </row>
    <row r="4227" spans="2:14">
      <c r="B4227" s="32">
        <f>IF(ISNUMBER(SEARCH('Φόρμα Εισαγωγής'!$B$2,C4227)),MAX($B$1:B4226)+1,0)</f>
        <v>0</v>
      </c>
      <c r="D4227" s="33">
        <f>IF(ISNUMBER(SEARCH('Φόρμα Εισαγωγής'!$C$2,E4227)),MAX($D$1:D4226)+1,0)</f>
        <v>0</v>
      </c>
      <c r="H4227" s="6">
        <f t="shared" si="209"/>
        <v>0</v>
      </c>
      <c r="I4227" s="6">
        <f t="shared" si="210"/>
        <v>0</v>
      </c>
      <c r="J4227" s="6">
        <f t="shared" si="211"/>
        <v>0</v>
      </c>
      <c r="L4227" s="4" t="str">
        <f>IFERROR(VLOOKUP(ROWS($L$2:L4227),$B$2:$C$1996,2,0),"")</f>
        <v/>
      </c>
      <c r="N4227" s="2" t="str">
        <f>IFERROR(VLOOKUP(ROWS($N$2:N4227),$D$2:$E$1996,2,0),"")</f>
        <v/>
      </c>
    </row>
    <row r="4228" spans="2:14">
      <c r="B4228" s="32">
        <f>IF(ISNUMBER(SEARCH('Φόρμα Εισαγωγής'!$B$2,C4228)),MAX($B$1:B4227)+1,0)</f>
        <v>0</v>
      </c>
      <c r="D4228" s="33">
        <f>IF(ISNUMBER(SEARCH('Φόρμα Εισαγωγής'!$C$2,E4228)),MAX($D$1:D4227)+1,0)</f>
        <v>0</v>
      </c>
      <c r="H4228" s="6">
        <f t="shared" si="209"/>
        <v>0</v>
      </c>
      <c r="I4228" s="6">
        <f t="shared" si="210"/>
        <v>0</v>
      </c>
      <c r="J4228" s="6">
        <f t="shared" si="211"/>
        <v>0</v>
      </c>
      <c r="L4228" s="4" t="str">
        <f>IFERROR(VLOOKUP(ROWS($L$2:L4228),$B$2:$C$1996,2,0),"")</f>
        <v/>
      </c>
      <c r="N4228" s="2" t="str">
        <f>IFERROR(VLOOKUP(ROWS($N$2:N4228),$D$2:$E$1996,2,0),"")</f>
        <v/>
      </c>
    </row>
    <row r="4229" spans="2:14">
      <c r="B4229" s="32">
        <f>IF(ISNUMBER(SEARCH('Φόρμα Εισαγωγής'!$B$2,C4229)),MAX($B$1:B4228)+1,0)</f>
        <v>0</v>
      </c>
      <c r="D4229" s="33">
        <f>IF(ISNUMBER(SEARCH('Φόρμα Εισαγωγής'!$C$2,E4229)),MAX($D$1:D4228)+1,0)</f>
        <v>0</v>
      </c>
      <c r="H4229" s="6">
        <f t="shared" si="209"/>
        <v>0</v>
      </c>
      <c r="I4229" s="6">
        <f t="shared" si="210"/>
        <v>0</v>
      </c>
      <c r="J4229" s="6">
        <f t="shared" si="211"/>
        <v>0</v>
      </c>
      <c r="L4229" s="4" t="str">
        <f>IFERROR(VLOOKUP(ROWS($L$2:L4229),$B$2:$C$1996,2,0),"")</f>
        <v/>
      </c>
      <c r="N4229" s="2" t="str">
        <f>IFERROR(VLOOKUP(ROWS($N$2:N4229),$D$2:$E$1996,2,0),"")</f>
        <v/>
      </c>
    </row>
    <row r="4230" spans="2:14">
      <c r="B4230" s="32">
        <f>IF(ISNUMBER(SEARCH('Φόρμα Εισαγωγής'!$B$2,C4230)),MAX($B$1:B4229)+1,0)</f>
        <v>0</v>
      </c>
      <c r="D4230" s="33">
        <f>IF(ISNUMBER(SEARCH('Φόρμα Εισαγωγής'!$C$2,E4230)),MAX($D$1:D4229)+1,0)</f>
        <v>0</v>
      </c>
      <c r="H4230" s="6">
        <f t="shared" si="209"/>
        <v>0</v>
      </c>
      <c r="I4230" s="6">
        <f t="shared" si="210"/>
        <v>0</v>
      </c>
      <c r="J4230" s="6">
        <f t="shared" si="211"/>
        <v>0</v>
      </c>
      <c r="L4230" s="4" t="str">
        <f>IFERROR(VLOOKUP(ROWS($L$2:L4230),$B$2:$C$1996,2,0),"")</f>
        <v/>
      </c>
      <c r="N4230" s="2" t="str">
        <f>IFERROR(VLOOKUP(ROWS($N$2:N4230),$D$2:$E$1996,2,0),"")</f>
        <v/>
      </c>
    </row>
    <row r="4231" spans="2:14">
      <c r="B4231" s="32">
        <f>IF(ISNUMBER(SEARCH('Φόρμα Εισαγωγής'!$B$2,C4231)),MAX($B$1:B4230)+1,0)</f>
        <v>0</v>
      </c>
      <c r="D4231" s="33">
        <f>IF(ISNUMBER(SEARCH('Φόρμα Εισαγωγής'!$C$2,E4231)),MAX($D$1:D4230)+1,0)</f>
        <v>0</v>
      </c>
      <c r="H4231" s="6">
        <f t="shared" si="209"/>
        <v>0</v>
      </c>
      <c r="I4231" s="6">
        <f t="shared" si="210"/>
        <v>0</v>
      </c>
      <c r="J4231" s="6">
        <f t="shared" si="211"/>
        <v>0</v>
      </c>
      <c r="L4231" s="4" t="str">
        <f>IFERROR(VLOOKUP(ROWS($L$2:L4231),$B$2:$C$1996,2,0),"")</f>
        <v/>
      </c>
      <c r="N4231" s="2" t="str">
        <f>IFERROR(VLOOKUP(ROWS($N$2:N4231),$D$2:$E$1996,2,0),"")</f>
        <v/>
      </c>
    </row>
    <row r="4232" spans="2:14">
      <c r="B4232" s="32">
        <f>IF(ISNUMBER(SEARCH('Φόρμα Εισαγωγής'!$B$2,C4232)),MAX($B$1:B4231)+1,0)</f>
        <v>0</v>
      </c>
      <c r="D4232" s="33">
        <f>IF(ISNUMBER(SEARCH('Φόρμα Εισαγωγής'!$C$2,E4232)),MAX($D$1:D4231)+1,0)</f>
        <v>0</v>
      </c>
      <c r="H4232" s="6">
        <f t="shared" si="209"/>
        <v>0</v>
      </c>
      <c r="I4232" s="6">
        <f t="shared" si="210"/>
        <v>0</v>
      </c>
      <c r="J4232" s="6">
        <f t="shared" si="211"/>
        <v>0</v>
      </c>
      <c r="L4232" s="4" t="str">
        <f>IFERROR(VLOOKUP(ROWS($L$2:L4232),$B$2:$C$1996,2,0),"")</f>
        <v/>
      </c>
      <c r="N4232" s="2" t="str">
        <f>IFERROR(VLOOKUP(ROWS($N$2:N4232),$D$2:$E$1996,2,0),"")</f>
        <v/>
      </c>
    </row>
    <row r="4233" spans="2:14">
      <c r="B4233" s="32">
        <f>IF(ISNUMBER(SEARCH('Φόρμα Εισαγωγής'!$B$2,C4233)),MAX($B$1:B4232)+1,0)</f>
        <v>0</v>
      </c>
      <c r="D4233" s="33">
        <f>IF(ISNUMBER(SEARCH('Φόρμα Εισαγωγής'!$C$2,E4233)),MAX($D$1:D4232)+1,0)</f>
        <v>0</v>
      </c>
      <c r="H4233" s="6">
        <f t="shared" si="209"/>
        <v>0</v>
      </c>
      <c r="I4233" s="6">
        <f t="shared" si="210"/>
        <v>0</v>
      </c>
      <c r="J4233" s="6">
        <f t="shared" si="211"/>
        <v>0</v>
      </c>
      <c r="L4233" s="4" t="str">
        <f>IFERROR(VLOOKUP(ROWS($L$2:L4233),$B$2:$C$1996,2,0),"")</f>
        <v/>
      </c>
      <c r="N4233" s="2" t="str">
        <f>IFERROR(VLOOKUP(ROWS($N$2:N4233),$D$2:$E$1996,2,0),"")</f>
        <v/>
      </c>
    </row>
    <row r="4234" spans="2:14">
      <c r="B4234" s="32">
        <f>IF(ISNUMBER(SEARCH('Φόρμα Εισαγωγής'!$B$2,C4234)),MAX($B$1:B4233)+1,0)</f>
        <v>0</v>
      </c>
      <c r="D4234" s="33">
        <f>IF(ISNUMBER(SEARCH('Φόρμα Εισαγωγής'!$C$2,E4234)),MAX($D$1:D4233)+1,0)</f>
        <v>0</v>
      </c>
      <c r="H4234" s="6">
        <f t="shared" si="209"/>
        <v>0</v>
      </c>
      <c r="I4234" s="6">
        <f t="shared" si="210"/>
        <v>0</v>
      </c>
      <c r="J4234" s="6">
        <f t="shared" si="211"/>
        <v>0</v>
      </c>
      <c r="L4234" s="4" t="str">
        <f>IFERROR(VLOOKUP(ROWS($L$2:L4234),$B$2:$C$1996,2,0),"")</f>
        <v/>
      </c>
      <c r="N4234" s="2" t="str">
        <f>IFERROR(VLOOKUP(ROWS($N$2:N4234),$D$2:$E$1996,2,0),"")</f>
        <v/>
      </c>
    </row>
    <row r="4235" spans="2:14">
      <c r="B4235" s="32">
        <f>IF(ISNUMBER(SEARCH('Φόρμα Εισαγωγής'!$B$2,C4235)),MAX($B$1:B4234)+1,0)</f>
        <v>0</v>
      </c>
      <c r="D4235" s="33">
        <f>IF(ISNUMBER(SEARCH('Φόρμα Εισαγωγής'!$C$2,E4235)),MAX($D$1:D4234)+1,0)</f>
        <v>0</v>
      </c>
      <c r="H4235" s="6">
        <f t="shared" si="209"/>
        <v>0</v>
      </c>
      <c r="I4235" s="6">
        <f t="shared" si="210"/>
        <v>0</v>
      </c>
      <c r="J4235" s="6">
        <f t="shared" si="211"/>
        <v>0</v>
      </c>
      <c r="L4235" s="4" t="str">
        <f>IFERROR(VLOOKUP(ROWS($L$2:L4235),$B$2:$C$1996,2,0),"")</f>
        <v/>
      </c>
      <c r="N4235" s="2" t="str">
        <f>IFERROR(VLOOKUP(ROWS($N$2:N4235),$D$2:$E$1996,2,0),"")</f>
        <v/>
      </c>
    </row>
    <row r="4236" spans="2:14">
      <c r="B4236" s="32">
        <f>IF(ISNUMBER(SEARCH('Φόρμα Εισαγωγής'!$B$2,C4236)),MAX($B$1:B4235)+1,0)</f>
        <v>0</v>
      </c>
      <c r="D4236" s="33">
        <f>IF(ISNUMBER(SEARCH('Φόρμα Εισαγωγής'!$C$2,E4236)),MAX($D$1:D4235)+1,0)</f>
        <v>0</v>
      </c>
      <c r="H4236" s="6">
        <f t="shared" si="209"/>
        <v>0</v>
      </c>
      <c r="I4236" s="6">
        <f t="shared" si="210"/>
        <v>0</v>
      </c>
      <c r="J4236" s="6">
        <f t="shared" si="211"/>
        <v>0</v>
      </c>
      <c r="L4236" s="4" t="str">
        <f>IFERROR(VLOOKUP(ROWS($L$2:L4236),$B$2:$C$1996,2,0),"")</f>
        <v/>
      </c>
      <c r="N4236" s="2" t="str">
        <f>IFERROR(VLOOKUP(ROWS($N$2:N4236),$D$2:$E$1996,2,0),"")</f>
        <v/>
      </c>
    </row>
    <row r="4237" spans="2:14">
      <c r="B4237" s="32">
        <f>IF(ISNUMBER(SEARCH('Φόρμα Εισαγωγής'!$B$2,C4237)),MAX($B$1:B4236)+1,0)</f>
        <v>0</v>
      </c>
      <c r="D4237" s="33">
        <f>IF(ISNUMBER(SEARCH('Φόρμα Εισαγωγής'!$C$2,E4237)),MAX($D$1:D4236)+1,0)</f>
        <v>0</v>
      </c>
      <c r="H4237" s="6">
        <f t="shared" si="209"/>
        <v>0</v>
      </c>
      <c r="I4237" s="6">
        <f t="shared" si="210"/>
        <v>0</v>
      </c>
      <c r="J4237" s="6">
        <f t="shared" si="211"/>
        <v>0</v>
      </c>
      <c r="L4237" s="4" t="str">
        <f>IFERROR(VLOOKUP(ROWS($L$2:L4237),$B$2:$C$1996,2,0),"")</f>
        <v/>
      </c>
      <c r="N4237" s="2" t="str">
        <f>IFERROR(VLOOKUP(ROWS($N$2:N4237),$D$2:$E$1996,2,0),"")</f>
        <v/>
      </c>
    </row>
    <row r="4238" spans="2:14">
      <c r="B4238" s="32">
        <f>IF(ISNUMBER(SEARCH('Φόρμα Εισαγωγής'!$B$2,C4238)),MAX($B$1:B4237)+1,0)</f>
        <v>0</v>
      </c>
      <c r="D4238" s="33">
        <f>IF(ISNUMBER(SEARCH('Φόρμα Εισαγωγής'!$C$2,E4238)),MAX($D$1:D4237)+1,0)</f>
        <v>0</v>
      </c>
      <c r="H4238" s="6">
        <f t="shared" si="209"/>
        <v>0</v>
      </c>
      <c r="I4238" s="6">
        <f t="shared" si="210"/>
        <v>0</v>
      </c>
      <c r="J4238" s="6">
        <f t="shared" si="211"/>
        <v>0</v>
      </c>
      <c r="L4238" s="4" t="str">
        <f>IFERROR(VLOOKUP(ROWS($L$2:L4238),$B$2:$C$1996,2,0),"")</f>
        <v/>
      </c>
      <c r="N4238" s="2" t="str">
        <f>IFERROR(VLOOKUP(ROWS($N$2:N4238),$D$2:$E$1996,2,0),"")</f>
        <v/>
      </c>
    </row>
    <row r="4239" spans="2:14">
      <c r="B4239" s="32">
        <f>IF(ISNUMBER(SEARCH('Φόρμα Εισαγωγής'!$B$2,C4239)),MAX($B$1:B4238)+1,0)</f>
        <v>0</v>
      </c>
      <c r="D4239" s="33">
        <f>IF(ISNUMBER(SEARCH('Φόρμα Εισαγωγής'!$C$2,E4239)),MAX($D$1:D4238)+1,0)</f>
        <v>0</v>
      </c>
      <c r="H4239" s="6">
        <f t="shared" si="209"/>
        <v>0</v>
      </c>
      <c r="I4239" s="6">
        <f t="shared" si="210"/>
        <v>0</v>
      </c>
      <c r="J4239" s="6">
        <f t="shared" si="211"/>
        <v>0</v>
      </c>
      <c r="L4239" s="4" t="str">
        <f>IFERROR(VLOOKUP(ROWS($L$2:L4239),$B$2:$C$1996,2,0),"")</f>
        <v/>
      </c>
      <c r="N4239" s="2" t="str">
        <f>IFERROR(VLOOKUP(ROWS($N$2:N4239),$D$2:$E$1996,2,0),"")</f>
        <v/>
      </c>
    </row>
    <row r="4240" spans="2:14">
      <c r="B4240" s="32">
        <f>IF(ISNUMBER(SEARCH('Φόρμα Εισαγωγής'!$B$2,C4240)),MAX($B$1:B4239)+1,0)</f>
        <v>0</v>
      </c>
      <c r="D4240" s="33">
        <f>IF(ISNUMBER(SEARCH('Φόρμα Εισαγωγής'!$C$2,E4240)),MAX($D$1:D4239)+1,0)</f>
        <v>0</v>
      </c>
      <c r="H4240" s="6">
        <f t="shared" si="209"/>
        <v>0</v>
      </c>
      <c r="I4240" s="6">
        <f t="shared" si="210"/>
        <v>0</v>
      </c>
      <c r="J4240" s="6">
        <f t="shared" si="211"/>
        <v>0</v>
      </c>
      <c r="L4240" s="4" t="str">
        <f>IFERROR(VLOOKUP(ROWS($L$2:L4240),$B$2:$C$1996,2,0),"")</f>
        <v/>
      </c>
      <c r="N4240" s="2" t="str">
        <f>IFERROR(VLOOKUP(ROWS($N$2:N4240),$D$2:$E$1996,2,0),"")</f>
        <v/>
      </c>
    </row>
    <row r="4241" spans="2:14">
      <c r="B4241" s="32">
        <f>IF(ISNUMBER(SEARCH('Φόρμα Εισαγωγής'!$B$2,C4241)),MAX($B$1:B4240)+1,0)</f>
        <v>0</v>
      </c>
      <c r="D4241" s="33">
        <f>IF(ISNUMBER(SEARCH('Φόρμα Εισαγωγής'!$C$2,E4241)),MAX($D$1:D4240)+1,0)</f>
        <v>0</v>
      </c>
      <c r="H4241" s="6">
        <f t="shared" si="209"/>
        <v>0</v>
      </c>
      <c r="I4241" s="6">
        <f t="shared" si="210"/>
        <v>0</v>
      </c>
      <c r="J4241" s="6">
        <f t="shared" si="211"/>
        <v>0</v>
      </c>
      <c r="L4241" s="4" t="str">
        <f>IFERROR(VLOOKUP(ROWS($L$2:L4241),$B$2:$C$1996,2,0),"")</f>
        <v/>
      </c>
      <c r="N4241" s="2" t="str">
        <f>IFERROR(VLOOKUP(ROWS($N$2:N4241),$D$2:$E$1996,2,0),"")</f>
        <v/>
      </c>
    </row>
    <row r="4242" spans="2:14">
      <c r="B4242" s="32">
        <f>IF(ISNUMBER(SEARCH('Φόρμα Εισαγωγής'!$B$2,C4242)),MAX($B$1:B4241)+1,0)</f>
        <v>0</v>
      </c>
      <c r="D4242" s="33">
        <f>IF(ISNUMBER(SEARCH('Φόρμα Εισαγωγής'!$C$2,E4242)),MAX($D$1:D4241)+1,0)</f>
        <v>0</v>
      </c>
      <c r="H4242" s="6">
        <f t="shared" si="209"/>
        <v>0</v>
      </c>
      <c r="I4242" s="6">
        <f t="shared" si="210"/>
        <v>0</v>
      </c>
      <c r="J4242" s="6">
        <f t="shared" si="211"/>
        <v>0</v>
      </c>
      <c r="L4242" s="4" t="str">
        <f>IFERROR(VLOOKUP(ROWS($L$2:L4242),$B$2:$C$1996,2,0),"")</f>
        <v/>
      </c>
      <c r="N4242" s="2" t="str">
        <f>IFERROR(VLOOKUP(ROWS($N$2:N4242),$D$2:$E$1996,2,0),"")</f>
        <v/>
      </c>
    </row>
    <row r="4243" spans="2:14">
      <c r="B4243" s="32">
        <f>IF(ISNUMBER(SEARCH('Φόρμα Εισαγωγής'!$B$2,C4243)),MAX($B$1:B4242)+1,0)</f>
        <v>0</v>
      </c>
      <c r="D4243" s="33">
        <f>IF(ISNUMBER(SEARCH('Φόρμα Εισαγωγής'!$C$2,E4243)),MAX($D$1:D4242)+1,0)</f>
        <v>0</v>
      </c>
      <c r="H4243" s="6">
        <f t="shared" si="209"/>
        <v>0</v>
      </c>
      <c r="I4243" s="6">
        <f t="shared" si="210"/>
        <v>0</v>
      </c>
      <c r="J4243" s="6">
        <f t="shared" si="211"/>
        <v>0</v>
      </c>
      <c r="L4243" s="4" t="str">
        <f>IFERROR(VLOOKUP(ROWS($L$2:L4243),$B$2:$C$1996,2,0),"")</f>
        <v/>
      </c>
      <c r="N4243" s="2" t="str">
        <f>IFERROR(VLOOKUP(ROWS($N$2:N4243),$D$2:$E$1996,2,0),"")</f>
        <v/>
      </c>
    </row>
    <row r="4244" spans="2:14">
      <c r="B4244" s="32">
        <f>IF(ISNUMBER(SEARCH('Φόρμα Εισαγωγής'!$B$2,C4244)),MAX($B$1:B4243)+1,0)</f>
        <v>0</v>
      </c>
      <c r="D4244" s="33">
        <f>IF(ISNUMBER(SEARCH('Φόρμα Εισαγωγής'!$C$2,E4244)),MAX($D$1:D4243)+1,0)</f>
        <v>0</v>
      </c>
      <c r="H4244" s="6">
        <f t="shared" si="209"/>
        <v>0</v>
      </c>
      <c r="I4244" s="6">
        <f t="shared" si="210"/>
        <v>0</v>
      </c>
      <c r="J4244" s="6">
        <f t="shared" si="211"/>
        <v>0</v>
      </c>
      <c r="L4244" s="4" t="str">
        <f>IFERROR(VLOOKUP(ROWS($L$2:L4244),$B$2:$C$1996,2,0),"")</f>
        <v/>
      </c>
      <c r="N4244" s="2" t="str">
        <f>IFERROR(VLOOKUP(ROWS($N$2:N4244),$D$2:$E$1996,2,0),"")</f>
        <v/>
      </c>
    </row>
    <row r="4245" spans="2:14">
      <c r="B4245" s="32">
        <f>IF(ISNUMBER(SEARCH('Φόρμα Εισαγωγής'!$B$2,C4245)),MAX($B$1:B4244)+1,0)</f>
        <v>0</v>
      </c>
      <c r="D4245" s="33">
        <f>IF(ISNUMBER(SEARCH('Φόρμα Εισαγωγής'!$C$2,E4245)),MAX($D$1:D4244)+1,0)</f>
        <v>0</v>
      </c>
      <c r="H4245" s="6">
        <f t="shared" si="209"/>
        <v>0</v>
      </c>
      <c r="I4245" s="6">
        <f t="shared" si="210"/>
        <v>0</v>
      </c>
      <c r="J4245" s="6">
        <f t="shared" si="211"/>
        <v>0</v>
      </c>
      <c r="L4245" s="4" t="str">
        <f>IFERROR(VLOOKUP(ROWS($L$2:L4245),$B$2:$C$1996,2,0),"")</f>
        <v/>
      </c>
      <c r="N4245" s="2" t="str">
        <f>IFERROR(VLOOKUP(ROWS($N$2:N4245),$D$2:$E$1996,2,0),"")</f>
        <v/>
      </c>
    </row>
    <row r="4246" spans="2:14">
      <c r="B4246" s="32">
        <f>IF(ISNUMBER(SEARCH('Φόρμα Εισαγωγής'!$B$2,C4246)),MAX($B$1:B4245)+1,0)</f>
        <v>0</v>
      </c>
      <c r="D4246" s="33">
        <f>IF(ISNUMBER(SEARCH('Φόρμα Εισαγωγής'!$C$2,E4246)),MAX($D$1:D4245)+1,0)</f>
        <v>0</v>
      </c>
      <c r="H4246" s="6">
        <f t="shared" si="209"/>
        <v>0</v>
      </c>
      <c r="I4246" s="6">
        <f t="shared" si="210"/>
        <v>0</v>
      </c>
      <c r="J4246" s="6">
        <f t="shared" si="211"/>
        <v>0</v>
      </c>
      <c r="L4246" s="4" t="str">
        <f>IFERROR(VLOOKUP(ROWS($L$2:L4246),$B$2:$C$1996,2,0),"")</f>
        <v/>
      </c>
      <c r="N4246" s="2" t="str">
        <f>IFERROR(VLOOKUP(ROWS($N$2:N4246),$D$2:$E$1996,2,0),"")</f>
        <v/>
      </c>
    </row>
    <row r="4247" spans="2:14">
      <c r="B4247" s="32">
        <f>IF(ISNUMBER(SEARCH('Φόρμα Εισαγωγής'!$B$2,C4247)),MAX($B$1:B4246)+1,0)</f>
        <v>0</v>
      </c>
      <c r="D4247" s="33">
        <f>IF(ISNUMBER(SEARCH('Φόρμα Εισαγωγής'!$C$2,E4247)),MAX($D$1:D4246)+1,0)</f>
        <v>0</v>
      </c>
      <c r="H4247" s="6">
        <f t="shared" si="209"/>
        <v>0</v>
      </c>
      <c r="I4247" s="6">
        <f t="shared" si="210"/>
        <v>0</v>
      </c>
      <c r="J4247" s="6">
        <f t="shared" si="211"/>
        <v>0</v>
      </c>
      <c r="L4247" s="4" t="str">
        <f>IFERROR(VLOOKUP(ROWS($L$2:L4247),$B$2:$C$1996,2,0),"")</f>
        <v/>
      </c>
      <c r="N4247" s="2" t="str">
        <f>IFERROR(VLOOKUP(ROWS($N$2:N4247),$D$2:$E$1996,2,0),"")</f>
        <v/>
      </c>
    </row>
    <row r="4248" spans="2:14">
      <c r="B4248" s="32">
        <f>IF(ISNUMBER(SEARCH('Φόρμα Εισαγωγής'!$B$2,C4248)),MAX($B$1:B4247)+1,0)</f>
        <v>0</v>
      </c>
      <c r="D4248" s="33">
        <f>IF(ISNUMBER(SEARCH('Φόρμα Εισαγωγής'!$C$2,E4248)),MAX($D$1:D4247)+1,0)</f>
        <v>0</v>
      </c>
      <c r="H4248" s="6">
        <f t="shared" si="209"/>
        <v>0</v>
      </c>
      <c r="I4248" s="6">
        <f t="shared" si="210"/>
        <v>0</v>
      </c>
      <c r="J4248" s="6">
        <f t="shared" si="211"/>
        <v>0</v>
      </c>
      <c r="L4248" s="4" t="str">
        <f>IFERROR(VLOOKUP(ROWS($L$2:L4248),$B$2:$C$1996,2,0),"")</f>
        <v/>
      </c>
      <c r="N4248" s="2" t="str">
        <f>IFERROR(VLOOKUP(ROWS($N$2:N4248),$D$2:$E$1996,2,0),"")</f>
        <v/>
      </c>
    </row>
    <row r="4249" spans="2:14">
      <c r="B4249" s="32">
        <f>IF(ISNUMBER(SEARCH('Φόρμα Εισαγωγής'!$B$2,C4249)),MAX($B$1:B4248)+1,0)</f>
        <v>0</v>
      </c>
      <c r="D4249" s="33">
        <f>IF(ISNUMBER(SEARCH('Φόρμα Εισαγωγής'!$C$2,E4249)),MAX($D$1:D4248)+1,0)</f>
        <v>0</v>
      </c>
      <c r="H4249" s="6">
        <f t="shared" si="209"/>
        <v>0</v>
      </c>
      <c r="I4249" s="6">
        <f t="shared" si="210"/>
        <v>0</v>
      </c>
      <c r="J4249" s="6">
        <f t="shared" si="211"/>
        <v>0</v>
      </c>
      <c r="L4249" s="4" t="str">
        <f>IFERROR(VLOOKUP(ROWS($L$2:L4249),$B$2:$C$1996,2,0),"")</f>
        <v/>
      </c>
      <c r="N4249" s="2" t="str">
        <f>IFERROR(VLOOKUP(ROWS($N$2:N4249),$D$2:$E$1996,2,0),"")</f>
        <v/>
      </c>
    </row>
    <row r="4250" spans="2:14">
      <c r="B4250" s="32">
        <f>IF(ISNUMBER(SEARCH('Φόρμα Εισαγωγής'!$B$2,C4250)),MAX($B$1:B4249)+1,0)</f>
        <v>0</v>
      </c>
      <c r="D4250" s="33">
        <f>IF(ISNUMBER(SEARCH('Φόρμα Εισαγωγής'!$C$2,E4250)),MAX($D$1:D4249)+1,0)</f>
        <v>0</v>
      </c>
      <c r="H4250" s="6">
        <f t="shared" si="209"/>
        <v>0</v>
      </c>
      <c r="I4250" s="6">
        <f t="shared" si="210"/>
        <v>0</v>
      </c>
      <c r="J4250" s="6">
        <f t="shared" si="211"/>
        <v>0</v>
      </c>
      <c r="L4250" s="4" t="str">
        <f>IFERROR(VLOOKUP(ROWS($L$2:L4250),$B$2:$C$1996,2,0),"")</f>
        <v/>
      </c>
      <c r="N4250" s="2" t="str">
        <f>IFERROR(VLOOKUP(ROWS($N$2:N4250),$D$2:$E$1996,2,0),"")</f>
        <v/>
      </c>
    </row>
    <row r="4251" spans="2:14">
      <c r="B4251" s="32">
        <f>IF(ISNUMBER(SEARCH('Φόρμα Εισαγωγής'!$B$2,C4251)),MAX($B$1:B4250)+1,0)</f>
        <v>0</v>
      </c>
      <c r="D4251" s="33">
        <f>IF(ISNUMBER(SEARCH('Φόρμα Εισαγωγής'!$C$2,E4251)),MAX($D$1:D4250)+1,0)</f>
        <v>0</v>
      </c>
      <c r="H4251" s="6">
        <f t="shared" si="209"/>
        <v>0</v>
      </c>
      <c r="I4251" s="6">
        <f t="shared" si="210"/>
        <v>0</v>
      </c>
      <c r="J4251" s="6">
        <f t="shared" si="211"/>
        <v>0</v>
      </c>
      <c r="L4251" s="4" t="str">
        <f>IFERROR(VLOOKUP(ROWS($L$2:L4251),$B$2:$C$1996,2,0),"")</f>
        <v/>
      </c>
      <c r="N4251" s="2" t="str">
        <f>IFERROR(VLOOKUP(ROWS($N$2:N4251),$D$2:$E$1996,2,0),"")</f>
        <v/>
      </c>
    </row>
    <row r="4252" spans="2:14">
      <c r="B4252" s="32">
        <f>IF(ISNUMBER(SEARCH('Φόρμα Εισαγωγής'!$B$2,C4252)),MAX($B$1:B4251)+1,0)</f>
        <v>0</v>
      </c>
      <c r="D4252" s="33">
        <f>IF(ISNUMBER(SEARCH('Φόρμα Εισαγωγής'!$C$2,E4252)),MAX($D$1:D4251)+1,0)</f>
        <v>0</v>
      </c>
      <c r="H4252" s="6">
        <f t="shared" si="209"/>
        <v>0</v>
      </c>
      <c r="I4252" s="6">
        <f t="shared" si="210"/>
        <v>0</v>
      </c>
      <c r="J4252" s="6">
        <f t="shared" si="211"/>
        <v>0</v>
      </c>
      <c r="L4252" s="4" t="str">
        <f>IFERROR(VLOOKUP(ROWS($L$2:L4252),$B$2:$C$1996,2,0),"")</f>
        <v/>
      </c>
      <c r="N4252" s="2" t="str">
        <f>IFERROR(VLOOKUP(ROWS($N$2:N4252),$D$2:$E$1996,2,0),"")</f>
        <v/>
      </c>
    </row>
    <row r="4253" spans="2:14">
      <c r="B4253" s="32">
        <f>IF(ISNUMBER(SEARCH('Φόρμα Εισαγωγής'!$B$2,C4253)),MAX($B$1:B4252)+1,0)</f>
        <v>0</v>
      </c>
      <c r="D4253" s="33">
        <f>IF(ISNUMBER(SEARCH('Φόρμα Εισαγωγής'!$C$2,E4253)),MAX($D$1:D4252)+1,0)</f>
        <v>0</v>
      </c>
      <c r="H4253" s="6">
        <f t="shared" si="209"/>
        <v>0</v>
      </c>
      <c r="I4253" s="6">
        <f t="shared" si="210"/>
        <v>0</v>
      </c>
      <c r="J4253" s="6">
        <f t="shared" si="211"/>
        <v>0</v>
      </c>
      <c r="L4253" s="4" t="str">
        <f>IFERROR(VLOOKUP(ROWS($L$2:L4253),$B$2:$C$1996,2,0),"")</f>
        <v/>
      </c>
      <c r="N4253" s="2" t="str">
        <f>IFERROR(VLOOKUP(ROWS($N$2:N4253),$D$2:$E$1996,2,0),"")</f>
        <v/>
      </c>
    </row>
    <row r="4254" spans="2:14">
      <c r="B4254" s="32">
        <f>IF(ISNUMBER(SEARCH('Φόρμα Εισαγωγής'!$B$2,C4254)),MAX($B$1:B4253)+1,0)</f>
        <v>0</v>
      </c>
      <c r="D4254" s="33">
        <f>IF(ISNUMBER(SEARCH('Φόρμα Εισαγωγής'!$C$2,E4254)),MAX($D$1:D4253)+1,0)</f>
        <v>0</v>
      </c>
      <c r="H4254" s="6">
        <f t="shared" si="209"/>
        <v>0</v>
      </c>
      <c r="I4254" s="6">
        <f t="shared" si="210"/>
        <v>0</v>
      </c>
      <c r="J4254" s="6">
        <f t="shared" si="211"/>
        <v>0</v>
      </c>
      <c r="L4254" s="4" t="str">
        <f>IFERROR(VLOOKUP(ROWS($L$2:L4254),$B$2:$C$1996,2,0),"")</f>
        <v/>
      </c>
      <c r="N4254" s="2" t="str">
        <f>IFERROR(VLOOKUP(ROWS($N$2:N4254),$D$2:$E$1996,2,0),"")</f>
        <v/>
      </c>
    </row>
    <row r="4255" spans="2:14">
      <c r="B4255" s="32">
        <f>IF(ISNUMBER(SEARCH('Φόρμα Εισαγωγής'!$B$2,C4255)),MAX($B$1:B4254)+1,0)</f>
        <v>0</v>
      </c>
      <c r="D4255" s="33">
        <f>IF(ISNUMBER(SEARCH('Φόρμα Εισαγωγής'!$C$2,E4255)),MAX($D$1:D4254)+1,0)</f>
        <v>0</v>
      </c>
      <c r="H4255" s="6">
        <f t="shared" si="209"/>
        <v>0</v>
      </c>
      <c r="I4255" s="6">
        <f t="shared" si="210"/>
        <v>0</v>
      </c>
      <c r="J4255" s="6">
        <f t="shared" si="211"/>
        <v>0</v>
      </c>
      <c r="L4255" s="4" t="str">
        <f>IFERROR(VLOOKUP(ROWS($L$2:L4255),$B$2:$C$1996,2,0),"")</f>
        <v/>
      </c>
      <c r="N4255" s="2" t="str">
        <f>IFERROR(VLOOKUP(ROWS($N$2:N4255),$D$2:$E$1996,2,0),"")</f>
        <v/>
      </c>
    </row>
    <row r="4256" spans="2:14">
      <c r="B4256" s="32">
        <f>IF(ISNUMBER(SEARCH('Φόρμα Εισαγωγής'!$B$2,C4256)),MAX($B$1:B4255)+1,0)</f>
        <v>0</v>
      </c>
      <c r="D4256" s="33">
        <f>IF(ISNUMBER(SEARCH('Φόρμα Εισαγωγής'!$C$2,E4256)),MAX($D$1:D4255)+1,0)</f>
        <v>0</v>
      </c>
      <c r="H4256" s="6">
        <f t="shared" si="209"/>
        <v>0</v>
      </c>
      <c r="I4256" s="6">
        <f t="shared" si="210"/>
        <v>0</v>
      </c>
      <c r="J4256" s="6">
        <f t="shared" si="211"/>
        <v>0</v>
      </c>
      <c r="L4256" s="4" t="str">
        <f>IFERROR(VLOOKUP(ROWS($L$2:L4256),$B$2:$C$1996,2,0),"")</f>
        <v/>
      </c>
      <c r="N4256" s="2" t="str">
        <f>IFERROR(VLOOKUP(ROWS($N$2:N4256),$D$2:$E$1996,2,0),"")</f>
        <v/>
      </c>
    </row>
    <row r="4257" spans="2:14">
      <c r="B4257" s="32">
        <f>IF(ISNUMBER(SEARCH('Φόρμα Εισαγωγής'!$B$2,C4257)),MAX($B$1:B4256)+1,0)</f>
        <v>0</v>
      </c>
      <c r="D4257" s="33">
        <f>IF(ISNUMBER(SEARCH('Φόρμα Εισαγωγής'!$C$2,E4257)),MAX($D$1:D4256)+1,0)</f>
        <v>0</v>
      </c>
      <c r="H4257" s="6">
        <f t="shared" si="209"/>
        <v>0</v>
      </c>
      <c r="I4257" s="6">
        <f t="shared" si="210"/>
        <v>0</v>
      </c>
      <c r="J4257" s="6">
        <f t="shared" si="211"/>
        <v>0</v>
      </c>
      <c r="L4257" s="4" t="str">
        <f>IFERROR(VLOOKUP(ROWS($L$2:L4257),$B$2:$C$1996,2,0),"")</f>
        <v/>
      </c>
      <c r="N4257" s="2" t="str">
        <f>IFERROR(VLOOKUP(ROWS($N$2:N4257),$D$2:$E$1996,2,0),"")</f>
        <v/>
      </c>
    </row>
    <row r="4258" spans="2:14">
      <c r="B4258" s="32">
        <f>IF(ISNUMBER(SEARCH('Φόρμα Εισαγωγής'!$B$2,C4258)),MAX($B$1:B4257)+1,0)</f>
        <v>0</v>
      </c>
      <c r="D4258" s="33">
        <f>IF(ISNUMBER(SEARCH('Φόρμα Εισαγωγής'!$C$2,E4258)),MAX($D$1:D4257)+1,0)</f>
        <v>0</v>
      </c>
      <c r="H4258" s="6">
        <f t="shared" si="209"/>
        <v>0</v>
      </c>
      <c r="I4258" s="6">
        <f t="shared" si="210"/>
        <v>0</v>
      </c>
      <c r="J4258" s="6">
        <f t="shared" si="211"/>
        <v>0</v>
      </c>
      <c r="L4258" s="4" t="str">
        <f>IFERROR(VLOOKUP(ROWS($L$2:L4258),$B$2:$C$1996,2,0),"")</f>
        <v/>
      </c>
      <c r="N4258" s="2" t="str">
        <f>IFERROR(VLOOKUP(ROWS($N$2:N4258),$D$2:$E$1996,2,0),"")</f>
        <v/>
      </c>
    </row>
    <row r="4259" spans="2:14">
      <c r="B4259" s="32">
        <f>IF(ISNUMBER(SEARCH('Φόρμα Εισαγωγής'!$B$2,C4259)),MAX($B$1:B4258)+1,0)</f>
        <v>0</v>
      </c>
      <c r="D4259" s="33">
        <f>IF(ISNUMBER(SEARCH('Φόρμα Εισαγωγής'!$C$2,E4259)),MAX($D$1:D4258)+1,0)</f>
        <v>0</v>
      </c>
      <c r="H4259" s="6">
        <f t="shared" si="209"/>
        <v>0</v>
      </c>
      <c r="I4259" s="6">
        <f t="shared" si="210"/>
        <v>0</v>
      </c>
      <c r="J4259" s="6">
        <f t="shared" si="211"/>
        <v>0</v>
      </c>
      <c r="L4259" s="4" t="str">
        <f>IFERROR(VLOOKUP(ROWS($L$2:L4259),$B$2:$C$1996,2,0),"")</f>
        <v/>
      </c>
      <c r="N4259" s="2" t="str">
        <f>IFERROR(VLOOKUP(ROWS($N$2:N4259),$D$2:$E$1996,2,0),"")</f>
        <v/>
      </c>
    </row>
    <row r="4260" spans="2:14">
      <c r="B4260" s="32">
        <f>IF(ISNUMBER(SEARCH('Φόρμα Εισαγωγής'!$B$2,C4260)),MAX($B$1:B4259)+1,0)</f>
        <v>0</v>
      </c>
      <c r="D4260" s="33">
        <f>IF(ISNUMBER(SEARCH('Φόρμα Εισαγωγής'!$C$2,E4260)),MAX($D$1:D4259)+1,0)</f>
        <v>0</v>
      </c>
      <c r="H4260" s="6">
        <f t="shared" si="209"/>
        <v>0</v>
      </c>
      <c r="I4260" s="6">
        <f t="shared" si="210"/>
        <v>0</v>
      </c>
      <c r="J4260" s="6">
        <f t="shared" si="211"/>
        <v>0</v>
      </c>
      <c r="L4260" s="4" t="str">
        <f>IFERROR(VLOOKUP(ROWS($L$2:L4260),$B$2:$C$1996,2,0),"")</f>
        <v/>
      </c>
      <c r="N4260" s="2" t="str">
        <f>IFERROR(VLOOKUP(ROWS($N$2:N4260),$D$2:$E$1996,2,0),"")</f>
        <v/>
      </c>
    </row>
    <row r="4261" spans="2:14">
      <c r="B4261" s="32">
        <f>IF(ISNUMBER(SEARCH('Φόρμα Εισαγωγής'!$B$2,C4261)),MAX($B$1:B4260)+1,0)</f>
        <v>0</v>
      </c>
      <c r="D4261" s="33">
        <f>IF(ISNUMBER(SEARCH('Φόρμα Εισαγωγής'!$C$2,E4261)),MAX($D$1:D4260)+1,0)</f>
        <v>0</v>
      </c>
      <c r="H4261" s="6">
        <f t="shared" si="209"/>
        <v>0</v>
      </c>
      <c r="I4261" s="6">
        <f t="shared" si="210"/>
        <v>0</v>
      </c>
      <c r="J4261" s="6">
        <f t="shared" si="211"/>
        <v>0</v>
      </c>
      <c r="L4261" s="4" t="str">
        <f>IFERROR(VLOOKUP(ROWS($L$2:L4261),$B$2:$C$1996,2,0),"")</f>
        <v/>
      </c>
      <c r="N4261" s="2" t="str">
        <f>IFERROR(VLOOKUP(ROWS($N$2:N4261),$D$2:$E$1996,2,0),"")</f>
        <v/>
      </c>
    </row>
    <row r="4262" spans="2:14">
      <c r="B4262" s="32">
        <f>IF(ISNUMBER(SEARCH('Φόρμα Εισαγωγής'!$B$2,C4262)),MAX($B$1:B4261)+1,0)</f>
        <v>0</v>
      </c>
      <c r="D4262" s="33">
        <f>IF(ISNUMBER(SEARCH('Φόρμα Εισαγωγής'!$C$2,E4262)),MAX($D$1:D4261)+1,0)</f>
        <v>0</v>
      </c>
      <c r="H4262" s="6">
        <f t="shared" si="209"/>
        <v>0</v>
      </c>
      <c r="I4262" s="6">
        <f t="shared" si="210"/>
        <v>0</v>
      </c>
      <c r="J4262" s="6">
        <f t="shared" si="211"/>
        <v>0</v>
      </c>
      <c r="L4262" s="4" t="str">
        <f>IFERROR(VLOOKUP(ROWS($L$2:L4262),$B$2:$C$1996,2,0),"")</f>
        <v/>
      </c>
      <c r="N4262" s="2" t="str">
        <f>IFERROR(VLOOKUP(ROWS($N$2:N4262),$D$2:$E$1996,2,0),"")</f>
        <v/>
      </c>
    </row>
    <row r="4263" spans="2:14">
      <c r="B4263" s="32">
        <f>IF(ISNUMBER(SEARCH('Φόρμα Εισαγωγής'!$B$2,C4263)),MAX($B$1:B4262)+1,0)</f>
        <v>0</v>
      </c>
      <c r="D4263" s="33">
        <f>IF(ISNUMBER(SEARCH('Φόρμα Εισαγωγής'!$C$2,E4263)),MAX($D$1:D4262)+1,0)</f>
        <v>0</v>
      </c>
      <c r="H4263" s="6">
        <f t="shared" si="209"/>
        <v>0</v>
      </c>
      <c r="I4263" s="6">
        <f t="shared" si="210"/>
        <v>0</v>
      </c>
      <c r="J4263" s="6">
        <f t="shared" si="211"/>
        <v>0</v>
      </c>
      <c r="L4263" s="4" t="str">
        <f>IFERROR(VLOOKUP(ROWS($L$2:L4263),$B$2:$C$1996,2,0),"")</f>
        <v/>
      </c>
      <c r="N4263" s="2" t="str">
        <f>IFERROR(VLOOKUP(ROWS($N$2:N4263),$D$2:$E$1996,2,0),"")</f>
        <v/>
      </c>
    </row>
    <row r="4264" spans="2:14">
      <c r="B4264" s="32">
        <f>IF(ISNUMBER(SEARCH('Φόρμα Εισαγωγής'!$B$2,C4264)),MAX($B$1:B4263)+1,0)</f>
        <v>0</v>
      </c>
      <c r="D4264" s="33">
        <f>IF(ISNUMBER(SEARCH('Φόρμα Εισαγωγής'!$C$2,E4264)),MAX($D$1:D4263)+1,0)</f>
        <v>0</v>
      </c>
      <c r="H4264" s="6">
        <f t="shared" si="209"/>
        <v>0</v>
      </c>
      <c r="I4264" s="6">
        <f t="shared" si="210"/>
        <v>0</v>
      </c>
      <c r="J4264" s="6">
        <f t="shared" si="211"/>
        <v>0</v>
      </c>
      <c r="L4264" s="4" t="str">
        <f>IFERROR(VLOOKUP(ROWS($L$2:L4264),$B$2:$C$1996,2,0),"")</f>
        <v/>
      </c>
      <c r="N4264" s="2" t="str">
        <f>IFERROR(VLOOKUP(ROWS($N$2:N4264),$D$2:$E$1996,2,0),"")</f>
        <v/>
      </c>
    </row>
    <row r="4265" spans="2:14">
      <c r="B4265" s="32">
        <f>IF(ISNUMBER(SEARCH('Φόρμα Εισαγωγής'!$B$2,C4265)),MAX($B$1:B4264)+1,0)</f>
        <v>0</v>
      </c>
      <c r="D4265" s="33">
        <f>IF(ISNUMBER(SEARCH('Φόρμα Εισαγωγής'!$C$2,E4265)),MAX($D$1:D4264)+1,0)</f>
        <v>0</v>
      </c>
      <c r="H4265" s="6">
        <f t="shared" si="209"/>
        <v>0</v>
      </c>
      <c r="I4265" s="6">
        <f t="shared" si="210"/>
        <v>0</v>
      </c>
      <c r="J4265" s="6">
        <f t="shared" si="211"/>
        <v>0</v>
      </c>
      <c r="L4265" s="4" t="str">
        <f>IFERROR(VLOOKUP(ROWS($L$2:L4265),$B$2:$C$1996,2,0),"")</f>
        <v/>
      </c>
      <c r="N4265" s="2" t="str">
        <f>IFERROR(VLOOKUP(ROWS($N$2:N4265),$D$2:$E$1996,2,0),"")</f>
        <v/>
      </c>
    </row>
    <row r="4266" spans="2:14">
      <c r="B4266" s="32">
        <f>IF(ISNUMBER(SEARCH('Φόρμα Εισαγωγής'!$B$2,C4266)),MAX($B$1:B4265)+1,0)</f>
        <v>0</v>
      </c>
      <c r="D4266" s="33">
        <f>IF(ISNUMBER(SEARCH('Φόρμα Εισαγωγής'!$C$2,E4266)),MAX($D$1:D4265)+1,0)</f>
        <v>0</v>
      </c>
      <c r="H4266" s="6">
        <f t="shared" si="209"/>
        <v>0</v>
      </c>
      <c r="I4266" s="6">
        <f t="shared" si="210"/>
        <v>0</v>
      </c>
      <c r="J4266" s="6">
        <f t="shared" si="211"/>
        <v>0</v>
      </c>
      <c r="L4266" s="4" t="str">
        <f>IFERROR(VLOOKUP(ROWS($L$2:L4266),$B$2:$C$1996,2,0),"")</f>
        <v/>
      </c>
      <c r="N4266" s="2" t="str">
        <f>IFERROR(VLOOKUP(ROWS($N$2:N4266),$D$2:$E$1996,2,0),"")</f>
        <v/>
      </c>
    </row>
    <row r="4267" spans="2:14">
      <c r="B4267" s="32">
        <f>IF(ISNUMBER(SEARCH('Φόρμα Εισαγωγής'!$B$2,C4267)),MAX($B$1:B4266)+1,0)</f>
        <v>0</v>
      </c>
      <c r="D4267" s="33">
        <f>IF(ISNUMBER(SEARCH('Φόρμα Εισαγωγής'!$C$2,E4267)),MAX($D$1:D4266)+1,0)</f>
        <v>0</v>
      </c>
      <c r="H4267" s="6">
        <f t="shared" si="209"/>
        <v>0</v>
      </c>
      <c r="I4267" s="6">
        <f t="shared" si="210"/>
        <v>0</v>
      </c>
      <c r="J4267" s="6">
        <f t="shared" si="211"/>
        <v>0</v>
      </c>
      <c r="L4267" s="4" t="str">
        <f>IFERROR(VLOOKUP(ROWS($L$2:L4267),$B$2:$C$1996,2,0),"")</f>
        <v/>
      </c>
      <c r="N4267" s="2" t="str">
        <f>IFERROR(VLOOKUP(ROWS($N$2:N4267),$D$2:$E$1996,2,0),"")</f>
        <v/>
      </c>
    </row>
    <row r="4268" spans="2:14">
      <c r="B4268" s="32">
        <f>IF(ISNUMBER(SEARCH('Φόρμα Εισαγωγής'!$B$2,C4268)),MAX($B$1:B4267)+1,0)</f>
        <v>0</v>
      </c>
      <c r="D4268" s="33">
        <f>IF(ISNUMBER(SEARCH('Φόρμα Εισαγωγής'!$C$2,E4268)),MAX($D$1:D4267)+1,0)</f>
        <v>0</v>
      </c>
      <c r="H4268" s="6">
        <f t="shared" si="209"/>
        <v>0</v>
      </c>
      <c r="I4268" s="6">
        <f t="shared" si="210"/>
        <v>0</v>
      </c>
      <c r="J4268" s="6">
        <f t="shared" si="211"/>
        <v>0</v>
      </c>
      <c r="L4268" s="4" t="str">
        <f>IFERROR(VLOOKUP(ROWS($L$2:L4268),$B$2:$C$1996,2,0),"")</f>
        <v/>
      </c>
      <c r="N4268" s="2" t="str">
        <f>IFERROR(VLOOKUP(ROWS($N$2:N4268),$D$2:$E$1996,2,0),"")</f>
        <v/>
      </c>
    </row>
    <row r="4269" spans="2:14">
      <c r="B4269" s="32">
        <f>IF(ISNUMBER(SEARCH('Φόρμα Εισαγωγής'!$B$2,C4269)),MAX($B$1:B4268)+1,0)</f>
        <v>0</v>
      </c>
      <c r="D4269" s="33">
        <f>IF(ISNUMBER(SEARCH('Φόρμα Εισαγωγής'!$C$2,E4269)),MAX($D$1:D4268)+1,0)</f>
        <v>0</v>
      </c>
      <c r="H4269" s="6">
        <f t="shared" si="209"/>
        <v>0</v>
      </c>
      <c r="I4269" s="6">
        <f t="shared" si="210"/>
        <v>0</v>
      </c>
      <c r="J4269" s="6">
        <f t="shared" si="211"/>
        <v>0</v>
      </c>
      <c r="L4269" s="4" t="str">
        <f>IFERROR(VLOOKUP(ROWS($L$2:L4269),$B$2:$C$1996,2,0),"")</f>
        <v/>
      </c>
      <c r="N4269" s="2" t="str">
        <f>IFERROR(VLOOKUP(ROWS($N$2:N4269),$D$2:$E$1996,2,0),"")</f>
        <v/>
      </c>
    </row>
    <row r="4270" spans="2:14">
      <c r="B4270" s="32">
        <f>IF(ISNUMBER(SEARCH('Φόρμα Εισαγωγής'!$B$2,C4270)),MAX($B$1:B4269)+1,0)</f>
        <v>0</v>
      </c>
      <c r="D4270" s="33">
        <f>IF(ISNUMBER(SEARCH('Φόρμα Εισαγωγής'!$C$2,E4270)),MAX($D$1:D4269)+1,0)</f>
        <v>0</v>
      </c>
      <c r="H4270" s="6">
        <f t="shared" si="209"/>
        <v>0</v>
      </c>
      <c r="I4270" s="6">
        <f t="shared" si="210"/>
        <v>0</v>
      </c>
      <c r="J4270" s="6">
        <f t="shared" si="211"/>
        <v>0</v>
      </c>
      <c r="L4270" s="4" t="str">
        <f>IFERROR(VLOOKUP(ROWS($L$2:L4270),$B$2:$C$1996,2,0),"")</f>
        <v/>
      </c>
      <c r="N4270" s="2" t="str">
        <f>IFERROR(VLOOKUP(ROWS($N$2:N4270),$D$2:$E$1996,2,0),"")</f>
        <v/>
      </c>
    </row>
    <row r="4271" spans="2:14">
      <c r="B4271" s="32">
        <f>IF(ISNUMBER(SEARCH('Φόρμα Εισαγωγής'!$B$2,C4271)),MAX($B$1:B4270)+1,0)</f>
        <v>0</v>
      </c>
      <c r="D4271" s="33">
        <f>IF(ISNUMBER(SEARCH('Φόρμα Εισαγωγής'!$C$2,E4271)),MAX($D$1:D4270)+1,0)</f>
        <v>0</v>
      </c>
      <c r="H4271" s="6">
        <f t="shared" si="209"/>
        <v>0</v>
      </c>
      <c r="I4271" s="6">
        <f t="shared" si="210"/>
        <v>0</v>
      </c>
      <c r="J4271" s="6">
        <f t="shared" si="211"/>
        <v>0</v>
      </c>
      <c r="L4271" s="4" t="str">
        <f>IFERROR(VLOOKUP(ROWS($L$2:L4271),$B$2:$C$1996,2,0),"")</f>
        <v/>
      </c>
      <c r="N4271" s="2" t="str">
        <f>IFERROR(VLOOKUP(ROWS($N$2:N4271),$D$2:$E$1996,2,0),"")</f>
        <v/>
      </c>
    </row>
    <row r="4272" spans="2:14">
      <c r="B4272" s="32">
        <f>IF(ISNUMBER(SEARCH('Φόρμα Εισαγωγής'!$B$2,C4272)),MAX($B$1:B4271)+1,0)</f>
        <v>0</v>
      </c>
      <c r="D4272" s="33">
        <f>IF(ISNUMBER(SEARCH('Φόρμα Εισαγωγής'!$C$2,E4272)),MAX($D$1:D4271)+1,0)</f>
        <v>0</v>
      </c>
      <c r="H4272" s="6">
        <f t="shared" si="209"/>
        <v>0</v>
      </c>
      <c r="I4272" s="6">
        <f t="shared" si="210"/>
        <v>0</v>
      </c>
      <c r="J4272" s="6">
        <f t="shared" si="211"/>
        <v>0</v>
      </c>
      <c r="L4272" s="4" t="str">
        <f>IFERROR(VLOOKUP(ROWS($L$2:L4272),$B$2:$C$1996,2,0),"")</f>
        <v/>
      </c>
      <c r="N4272" s="2" t="str">
        <f>IFERROR(VLOOKUP(ROWS($N$2:N4272),$D$2:$E$1996,2,0),"")</f>
        <v/>
      </c>
    </row>
    <row r="4273" spans="2:14">
      <c r="B4273" s="32">
        <f>IF(ISNUMBER(SEARCH('Φόρμα Εισαγωγής'!$B$2,C4273)),MAX($B$1:B4272)+1,0)</f>
        <v>0</v>
      </c>
      <c r="D4273" s="33">
        <f>IF(ISNUMBER(SEARCH('Φόρμα Εισαγωγής'!$C$2,E4273)),MAX($D$1:D4272)+1,0)</f>
        <v>0</v>
      </c>
      <c r="H4273" s="6">
        <f t="shared" si="209"/>
        <v>0</v>
      </c>
      <c r="I4273" s="6">
        <f t="shared" si="210"/>
        <v>0</v>
      </c>
      <c r="J4273" s="6">
        <f t="shared" si="211"/>
        <v>0</v>
      </c>
      <c r="L4273" s="4" t="str">
        <f>IFERROR(VLOOKUP(ROWS($L$2:L4273),$B$2:$C$1996,2,0),"")</f>
        <v/>
      </c>
      <c r="N4273" s="2" t="str">
        <f>IFERROR(VLOOKUP(ROWS($N$2:N4273),$D$2:$E$1996,2,0),"")</f>
        <v/>
      </c>
    </row>
    <row r="4274" spans="2:14">
      <c r="B4274" s="32">
        <f>IF(ISNUMBER(SEARCH('Φόρμα Εισαγωγής'!$B$2,C4274)),MAX($B$1:B4273)+1,0)</f>
        <v>0</v>
      </c>
      <c r="D4274" s="33">
        <f>IF(ISNUMBER(SEARCH('Φόρμα Εισαγωγής'!$C$2,E4274)),MAX($D$1:D4273)+1,0)</f>
        <v>0</v>
      </c>
      <c r="H4274" s="6">
        <f t="shared" si="209"/>
        <v>0</v>
      </c>
      <c r="I4274" s="6">
        <f t="shared" si="210"/>
        <v>0</v>
      </c>
      <c r="J4274" s="6">
        <f t="shared" si="211"/>
        <v>0</v>
      </c>
      <c r="L4274" s="4" t="str">
        <f>IFERROR(VLOOKUP(ROWS($L$2:L4274),$B$2:$C$1996,2,0),"")</f>
        <v/>
      </c>
      <c r="N4274" s="2" t="str">
        <f>IFERROR(VLOOKUP(ROWS($N$2:N4274),$D$2:$E$1996,2,0),"")</f>
        <v/>
      </c>
    </row>
    <row r="4275" spans="2:14">
      <c r="B4275" s="32">
        <f>IF(ISNUMBER(SEARCH('Φόρμα Εισαγωγής'!$B$2,C4275)),MAX($B$1:B4274)+1,0)</f>
        <v>0</v>
      </c>
      <c r="D4275" s="33">
        <f>IF(ISNUMBER(SEARCH('Φόρμα Εισαγωγής'!$C$2,E4275)),MAX($D$1:D4274)+1,0)</f>
        <v>0</v>
      </c>
      <c r="H4275" s="6">
        <f t="shared" si="209"/>
        <v>0</v>
      </c>
      <c r="I4275" s="6">
        <f t="shared" si="210"/>
        <v>0</v>
      </c>
      <c r="J4275" s="6">
        <f t="shared" si="211"/>
        <v>0</v>
      </c>
      <c r="L4275" s="4" t="str">
        <f>IFERROR(VLOOKUP(ROWS($L$2:L4275),$B$2:$C$1996,2,0),"")</f>
        <v/>
      </c>
      <c r="N4275" s="2" t="str">
        <f>IFERROR(VLOOKUP(ROWS($N$2:N4275),$D$2:$E$1996,2,0),"")</f>
        <v/>
      </c>
    </row>
    <row r="4276" spans="2:14">
      <c r="B4276" s="32">
        <f>IF(ISNUMBER(SEARCH('Φόρμα Εισαγωγής'!$B$2,C4276)),MAX($B$1:B4275)+1,0)</f>
        <v>0</v>
      </c>
      <c r="D4276" s="33">
        <f>IF(ISNUMBER(SEARCH('Φόρμα Εισαγωγής'!$C$2,E4276)),MAX($D$1:D4275)+1,0)</f>
        <v>0</v>
      </c>
      <c r="H4276" s="6">
        <f t="shared" si="209"/>
        <v>0</v>
      </c>
      <c r="I4276" s="6">
        <f t="shared" si="210"/>
        <v>0</v>
      </c>
      <c r="J4276" s="6">
        <f t="shared" si="211"/>
        <v>0</v>
      </c>
      <c r="L4276" s="4" t="str">
        <f>IFERROR(VLOOKUP(ROWS($L$2:L4276),$B$2:$C$1996,2,0),"")</f>
        <v/>
      </c>
      <c r="N4276" s="2" t="str">
        <f>IFERROR(VLOOKUP(ROWS($N$2:N4276),$D$2:$E$1996,2,0),"")</f>
        <v/>
      </c>
    </row>
    <row r="4277" spans="2:14">
      <c r="B4277" s="32">
        <f>IF(ISNUMBER(SEARCH('Φόρμα Εισαγωγής'!$B$2,C4277)),MAX($B$1:B4276)+1,0)</f>
        <v>0</v>
      </c>
      <c r="D4277" s="33">
        <f>IF(ISNUMBER(SEARCH('Φόρμα Εισαγωγής'!$C$2,E4277)),MAX($D$1:D4276)+1,0)</f>
        <v>0</v>
      </c>
      <c r="H4277" s="6">
        <f t="shared" si="209"/>
        <v>0</v>
      </c>
      <c r="I4277" s="6">
        <f t="shared" si="210"/>
        <v>0</v>
      </c>
      <c r="J4277" s="6">
        <f t="shared" si="211"/>
        <v>0</v>
      </c>
      <c r="L4277" s="4" t="str">
        <f>IFERROR(VLOOKUP(ROWS($L$2:L4277),$B$2:$C$1996,2,0),"")</f>
        <v/>
      </c>
      <c r="N4277" s="2" t="str">
        <f>IFERROR(VLOOKUP(ROWS($N$2:N4277),$D$2:$E$1996,2,0),"")</f>
        <v/>
      </c>
    </row>
    <row r="4278" spans="2:14">
      <c r="B4278" s="32">
        <f>IF(ISNUMBER(SEARCH('Φόρμα Εισαγωγής'!$B$2,C4278)),MAX($B$1:B4277)+1,0)</f>
        <v>0</v>
      </c>
      <c r="D4278" s="33">
        <f>IF(ISNUMBER(SEARCH('Φόρμα Εισαγωγής'!$C$2,E4278)),MAX($D$1:D4277)+1,0)</f>
        <v>0</v>
      </c>
      <c r="H4278" s="6">
        <f t="shared" si="209"/>
        <v>0</v>
      </c>
      <c r="I4278" s="6">
        <f t="shared" si="210"/>
        <v>0</v>
      </c>
      <c r="J4278" s="6">
        <f t="shared" si="211"/>
        <v>0</v>
      </c>
      <c r="L4278" s="4" t="str">
        <f>IFERROR(VLOOKUP(ROWS($L$2:L4278),$B$2:$C$1996,2,0),"")</f>
        <v/>
      </c>
      <c r="N4278" s="2" t="str">
        <f>IFERROR(VLOOKUP(ROWS($N$2:N4278),$D$2:$E$1996,2,0),"")</f>
        <v/>
      </c>
    </row>
    <row r="4279" spans="2:14">
      <c r="B4279" s="32">
        <f>IF(ISNUMBER(SEARCH('Φόρμα Εισαγωγής'!$B$2,C4279)),MAX($B$1:B4278)+1,0)</f>
        <v>0</v>
      </c>
      <c r="D4279" s="33">
        <f>IF(ISNUMBER(SEARCH('Φόρμα Εισαγωγής'!$C$2,E4279)),MAX($D$1:D4278)+1,0)</f>
        <v>0</v>
      </c>
      <c r="H4279" s="6">
        <f t="shared" si="209"/>
        <v>0</v>
      </c>
      <c r="I4279" s="6">
        <f t="shared" si="210"/>
        <v>0</v>
      </c>
      <c r="J4279" s="6">
        <f t="shared" si="211"/>
        <v>0</v>
      </c>
      <c r="L4279" s="4" t="str">
        <f>IFERROR(VLOOKUP(ROWS($L$2:L4279),$B$2:$C$1996,2,0),"")</f>
        <v/>
      </c>
      <c r="N4279" s="2" t="str">
        <f>IFERROR(VLOOKUP(ROWS($N$2:N4279),$D$2:$E$1996,2,0),"")</f>
        <v/>
      </c>
    </row>
    <row r="4280" spans="2:14">
      <c r="B4280" s="32">
        <f>IF(ISNUMBER(SEARCH('Φόρμα Εισαγωγής'!$B$2,C4280)),MAX($B$1:B4279)+1,0)</f>
        <v>0</v>
      </c>
      <c r="D4280" s="33">
        <f>IF(ISNUMBER(SEARCH('Φόρμα Εισαγωγής'!$C$2,E4280)),MAX($D$1:D4279)+1,0)</f>
        <v>0</v>
      </c>
      <c r="H4280" s="6">
        <f t="shared" si="209"/>
        <v>0</v>
      </c>
      <c r="I4280" s="6">
        <f t="shared" si="210"/>
        <v>0</v>
      </c>
      <c r="J4280" s="6">
        <f t="shared" si="211"/>
        <v>0</v>
      </c>
      <c r="L4280" s="4" t="str">
        <f>IFERROR(VLOOKUP(ROWS($L$2:L4280),$B$2:$C$1996,2,0),"")</f>
        <v/>
      </c>
      <c r="N4280" s="2" t="str">
        <f>IFERROR(VLOOKUP(ROWS($N$2:N4280),$D$2:$E$1996,2,0),"")</f>
        <v/>
      </c>
    </row>
    <row r="4281" spans="2:14">
      <c r="B4281" s="32">
        <f>IF(ISNUMBER(SEARCH('Φόρμα Εισαγωγής'!$B$2,C4281)),MAX($B$1:B4280)+1,0)</f>
        <v>0</v>
      </c>
      <c r="D4281" s="33">
        <f>IF(ISNUMBER(SEARCH('Φόρμα Εισαγωγής'!$C$2,E4281)),MAX($D$1:D4280)+1,0)</f>
        <v>0</v>
      </c>
      <c r="H4281" s="6">
        <f t="shared" si="209"/>
        <v>0</v>
      </c>
      <c r="I4281" s="6">
        <f t="shared" si="210"/>
        <v>0</v>
      </c>
      <c r="J4281" s="6">
        <f t="shared" si="211"/>
        <v>0</v>
      </c>
      <c r="L4281" s="4" t="str">
        <f>IFERROR(VLOOKUP(ROWS($L$2:L4281),$B$2:$C$1996,2,0),"")</f>
        <v/>
      </c>
      <c r="N4281" s="2" t="str">
        <f>IFERROR(VLOOKUP(ROWS($N$2:N4281),$D$2:$E$1996,2,0),"")</f>
        <v/>
      </c>
    </row>
    <row r="4282" spans="2:14">
      <c r="B4282" s="32">
        <f>IF(ISNUMBER(SEARCH('Φόρμα Εισαγωγής'!$B$2,C4282)),MAX($B$1:B4281)+1,0)</f>
        <v>0</v>
      </c>
      <c r="D4282" s="33">
        <f>IF(ISNUMBER(SEARCH('Φόρμα Εισαγωγής'!$C$2,E4282)),MAX($D$1:D4281)+1,0)</f>
        <v>0</v>
      </c>
      <c r="H4282" s="6">
        <f t="shared" si="209"/>
        <v>0</v>
      </c>
      <c r="I4282" s="6">
        <f t="shared" si="210"/>
        <v>0</v>
      </c>
      <c r="J4282" s="6">
        <f t="shared" si="211"/>
        <v>0</v>
      </c>
      <c r="L4282" s="4" t="str">
        <f>IFERROR(VLOOKUP(ROWS($L$2:L4282),$B$2:$C$1996,2,0),"")</f>
        <v/>
      </c>
      <c r="N4282" s="2" t="str">
        <f>IFERROR(VLOOKUP(ROWS($N$2:N4282),$D$2:$E$1996,2,0),"")</f>
        <v/>
      </c>
    </row>
    <row r="4283" spans="2:14">
      <c r="B4283" s="32">
        <f>IF(ISNUMBER(SEARCH('Φόρμα Εισαγωγής'!$B$2,C4283)),MAX($B$1:B4282)+1,0)</f>
        <v>0</v>
      </c>
      <c r="D4283" s="33">
        <f>IF(ISNUMBER(SEARCH('Φόρμα Εισαγωγής'!$C$2,E4283)),MAX($D$1:D4282)+1,0)</f>
        <v>0</v>
      </c>
      <c r="H4283" s="6">
        <f t="shared" si="209"/>
        <v>0</v>
      </c>
      <c r="I4283" s="6">
        <f t="shared" si="210"/>
        <v>0</v>
      </c>
      <c r="J4283" s="6">
        <f t="shared" si="211"/>
        <v>0</v>
      </c>
      <c r="L4283" s="4" t="str">
        <f>IFERROR(VLOOKUP(ROWS($L$2:L4283),$B$2:$C$1996,2,0),"")</f>
        <v/>
      </c>
      <c r="N4283" s="2" t="str">
        <f>IFERROR(VLOOKUP(ROWS($N$2:N4283),$D$2:$E$1996,2,0),"")</f>
        <v/>
      </c>
    </row>
    <row r="4284" spans="2:14">
      <c r="B4284" s="32">
        <f>IF(ISNUMBER(SEARCH('Φόρμα Εισαγωγής'!$B$2,C4284)),MAX($B$1:B4283)+1,0)</f>
        <v>0</v>
      </c>
      <c r="D4284" s="33">
        <f>IF(ISNUMBER(SEARCH('Φόρμα Εισαγωγής'!$C$2,E4284)),MAX($D$1:D4283)+1,0)</f>
        <v>0</v>
      </c>
      <c r="H4284" s="6">
        <f t="shared" si="209"/>
        <v>0</v>
      </c>
      <c r="I4284" s="6">
        <f t="shared" si="210"/>
        <v>0</v>
      </c>
      <c r="J4284" s="6">
        <f t="shared" si="211"/>
        <v>0</v>
      </c>
      <c r="L4284" s="4" t="str">
        <f>IFERROR(VLOOKUP(ROWS($L$2:L4284),$B$2:$C$1996,2,0),"")</f>
        <v/>
      </c>
      <c r="N4284" s="2" t="str">
        <f>IFERROR(VLOOKUP(ROWS($N$2:N4284),$D$2:$E$1996,2,0),"")</f>
        <v/>
      </c>
    </row>
    <row r="4285" spans="2:14">
      <c r="B4285" s="32">
        <f>IF(ISNUMBER(SEARCH('Φόρμα Εισαγωγής'!$B$2,C4285)),MAX($B$1:B4284)+1,0)</f>
        <v>0</v>
      </c>
      <c r="D4285" s="33">
        <f>IF(ISNUMBER(SEARCH('Φόρμα Εισαγωγής'!$C$2,E4285)),MAX($D$1:D4284)+1,0)</f>
        <v>0</v>
      </c>
      <c r="H4285" s="6">
        <f t="shared" si="209"/>
        <v>0</v>
      </c>
      <c r="I4285" s="6">
        <f t="shared" si="210"/>
        <v>0</v>
      </c>
      <c r="J4285" s="6">
        <f t="shared" si="211"/>
        <v>0</v>
      </c>
      <c r="L4285" s="4" t="str">
        <f>IFERROR(VLOOKUP(ROWS($L$2:L4285),$B$2:$C$1996,2,0),"")</f>
        <v/>
      </c>
      <c r="N4285" s="2" t="str">
        <f>IFERROR(VLOOKUP(ROWS($N$2:N4285),$D$2:$E$1996,2,0),"")</f>
        <v/>
      </c>
    </row>
    <row r="4286" spans="2:14">
      <c r="B4286" s="32">
        <f>IF(ISNUMBER(SEARCH('Φόρμα Εισαγωγής'!$B$2,C4286)),MAX($B$1:B4285)+1,0)</f>
        <v>0</v>
      </c>
      <c r="D4286" s="33">
        <f>IF(ISNUMBER(SEARCH('Φόρμα Εισαγωγής'!$C$2,E4286)),MAX($D$1:D4285)+1,0)</f>
        <v>0</v>
      </c>
      <c r="H4286" s="6">
        <f t="shared" si="209"/>
        <v>0</v>
      </c>
      <c r="I4286" s="6">
        <f t="shared" si="210"/>
        <v>0</v>
      </c>
      <c r="J4286" s="6">
        <f t="shared" si="211"/>
        <v>0</v>
      </c>
      <c r="L4286" s="4" t="str">
        <f>IFERROR(VLOOKUP(ROWS($L$2:L4286),$B$2:$C$1996,2,0),"")</f>
        <v/>
      </c>
      <c r="N4286" s="2" t="str">
        <f>IFERROR(VLOOKUP(ROWS($N$2:N4286),$D$2:$E$1996,2,0),"")</f>
        <v/>
      </c>
    </row>
    <row r="4287" spans="2:14">
      <c r="B4287" s="32">
        <f>IF(ISNUMBER(SEARCH('Φόρμα Εισαγωγής'!$B$2,C4287)),MAX($B$1:B4286)+1,0)</f>
        <v>0</v>
      </c>
      <c r="D4287" s="33">
        <f>IF(ISNUMBER(SEARCH('Φόρμα Εισαγωγής'!$C$2,E4287)),MAX($D$1:D4286)+1,0)</f>
        <v>0</v>
      </c>
      <c r="H4287" s="6">
        <f t="shared" si="209"/>
        <v>0</v>
      </c>
      <c r="I4287" s="6">
        <f t="shared" si="210"/>
        <v>0</v>
      </c>
      <c r="J4287" s="6">
        <f t="shared" si="211"/>
        <v>0</v>
      </c>
      <c r="L4287" s="4" t="str">
        <f>IFERROR(VLOOKUP(ROWS($L$2:L4287),$B$2:$C$1996,2,0),"")</f>
        <v/>
      </c>
      <c r="N4287" s="2" t="str">
        <f>IFERROR(VLOOKUP(ROWS($N$2:N4287),$D$2:$E$1996,2,0),"")</f>
        <v/>
      </c>
    </row>
    <row r="4288" spans="2:14">
      <c r="B4288" s="32">
        <f>IF(ISNUMBER(SEARCH('Φόρμα Εισαγωγής'!$B$2,C4288)),MAX($B$1:B4287)+1,0)</f>
        <v>0</v>
      </c>
      <c r="D4288" s="33">
        <f>IF(ISNUMBER(SEARCH('Φόρμα Εισαγωγής'!$C$2,E4288)),MAX($D$1:D4287)+1,0)</f>
        <v>0</v>
      </c>
      <c r="H4288" s="6">
        <f t="shared" ref="H4288:H4351" si="212">G4288+(G4288*0.24)</f>
        <v>0</v>
      </c>
      <c r="I4288" s="6">
        <f t="shared" ref="I4288:I4351" si="213">F4288*A4288</f>
        <v>0</v>
      </c>
      <c r="J4288" s="6">
        <f t="shared" ref="J4288:J4351" si="214">H4288*A4288</f>
        <v>0</v>
      </c>
      <c r="L4288" s="4" t="str">
        <f>IFERROR(VLOOKUP(ROWS($L$2:L4288),$B$2:$C$1996,2,0),"")</f>
        <v/>
      </c>
      <c r="N4288" s="2" t="str">
        <f>IFERROR(VLOOKUP(ROWS($N$2:N4288),$D$2:$E$1996,2,0),"")</f>
        <v/>
      </c>
    </row>
    <row r="4289" spans="2:14">
      <c r="B4289" s="32">
        <f>IF(ISNUMBER(SEARCH('Φόρμα Εισαγωγής'!$B$2,C4289)),MAX($B$1:B4288)+1,0)</f>
        <v>0</v>
      </c>
      <c r="D4289" s="33">
        <f>IF(ISNUMBER(SEARCH('Φόρμα Εισαγωγής'!$C$2,E4289)),MAX($D$1:D4288)+1,0)</f>
        <v>0</v>
      </c>
      <c r="H4289" s="6">
        <f t="shared" si="212"/>
        <v>0</v>
      </c>
      <c r="I4289" s="6">
        <f t="shared" si="213"/>
        <v>0</v>
      </c>
      <c r="J4289" s="6">
        <f t="shared" si="214"/>
        <v>0</v>
      </c>
      <c r="L4289" s="4" t="str">
        <f>IFERROR(VLOOKUP(ROWS($L$2:L4289),$B$2:$C$1996,2,0),"")</f>
        <v/>
      </c>
      <c r="N4289" s="2" t="str">
        <f>IFERROR(VLOOKUP(ROWS($N$2:N4289),$D$2:$E$1996,2,0),"")</f>
        <v/>
      </c>
    </row>
    <row r="4290" spans="2:14">
      <c r="B4290" s="32">
        <f>IF(ISNUMBER(SEARCH('Φόρμα Εισαγωγής'!$B$2,C4290)),MAX($B$1:B4289)+1,0)</f>
        <v>0</v>
      </c>
      <c r="D4290" s="33">
        <f>IF(ISNUMBER(SEARCH('Φόρμα Εισαγωγής'!$C$2,E4290)),MAX($D$1:D4289)+1,0)</f>
        <v>0</v>
      </c>
      <c r="H4290" s="6">
        <f t="shared" si="212"/>
        <v>0</v>
      </c>
      <c r="I4290" s="6">
        <f t="shared" si="213"/>
        <v>0</v>
      </c>
      <c r="J4290" s="6">
        <f t="shared" si="214"/>
        <v>0</v>
      </c>
      <c r="L4290" s="4" t="str">
        <f>IFERROR(VLOOKUP(ROWS($L$2:L4290),$B$2:$C$1996,2,0),"")</f>
        <v/>
      </c>
      <c r="N4290" s="2" t="str">
        <f>IFERROR(VLOOKUP(ROWS($N$2:N4290),$D$2:$E$1996,2,0),"")</f>
        <v/>
      </c>
    </row>
    <row r="4291" spans="2:14">
      <c r="B4291" s="32">
        <f>IF(ISNUMBER(SEARCH('Φόρμα Εισαγωγής'!$B$2,C4291)),MAX($B$1:B4290)+1,0)</f>
        <v>0</v>
      </c>
      <c r="D4291" s="33">
        <f>IF(ISNUMBER(SEARCH('Φόρμα Εισαγωγής'!$C$2,E4291)),MAX($D$1:D4290)+1,0)</f>
        <v>0</v>
      </c>
      <c r="H4291" s="6">
        <f t="shared" si="212"/>
        <v>0</v>
      </c>
      <c r="I4291" s="6">
        <f t="shared" si="213"/>
        <v>0</v>
      </c>
      <c r="J4291" s="6">
        <f t="shared" si="214"/>
        <v>0</v>
      </c>
      <c r="L4291" s="4" t="str">
        <f>IFERROR(VLOOKUP(ROWS($L$2:L4291),$B$2:$C$1996,2,0),"")</f>
        <v/>
      </c>
      <c r="N4291" s="2" t="str">
        <f>IFERROR(VLOOKUP(ROWS($N$2:N4291),$D$2:$E$1996,2,0),"")</f>
        <v/>
      </c>
    </row>
    <row r="4292" spans="2:14">
      <c r="B4292" s="32">
        <f>IF(ISNUMBER(SEARCH('Φόρμα Εισαγωγής'!$B$2,C4292)),MAX($B$1:B4291)+1,0)</f>
        <v>0</v>
      </c>
      <c r="D4292" s="33">
        <f>IF(ISNUMBER(SEARCH('Φόρμα Εισαγωγής'!$C$2,E4292)),MAX($D$1:D4291)+1,0)</f>
        <v>0</v>
      </c>
      <c r="H4292" s="6">
        <f t="shared" si="212"/>
        <v>0</v>
      </c>
      <c r="I4292" s="6">
        <f t="shared" si="213"/>
        <v>0</v>
      </c>
      <c r="J4292" s="6">
        <f t="shared" si="214"/>
        <v>0</v>
      </c>
      <c r="L4292" s="4" t="str">
        <f>IFERROR(VLOOKUP(ROWS($L$2:L4292),$B$2:$C$1996,2,0),"")</f>
        <v/>
      </c>
      <c r="N4292" s="2" t="str">
        <f>IFERROR(VLOOKUP(ROWS($N$2:N4292),$D$2:$E$1996,2,0),"")</f>
        <v/>
      </c>
    </row>
    <row r="4293" spans="2:14">
      <c r="B4293" s="32">
        <f>IF(ISNUMBER(SEARCH('Φόρμα Εισαγωγής'!$B$2,C4293)),MAX($B$1:B4292)+1,0)</f>
        <v>0</v>
      </c>
      <c r="D4293" s="33">
        <f>IF(ISNUMBER(SEARCH('Φόρμα Εισαγωγής'!$C$2,E4293)),MAX($D$1:D4292)+1,0)</f>
        <v>0</v>
      </c>
      <c r="H4293" s="6">
        <f t="shared" si="212"/>
        <v>0</v>
      </c>
      <c r="I4293" s="6">
        <f t="shared" si="213"/>
        <v>0</v>
      </c>
      <c r="J4293" s="6">
        <f t="shared" si="214"/>
        <v>0</v>
      </c>
      <c r="L4293" s="4" t="str">
        <f>IFERROR(VLOOKUP(ROWS($L$2:L4293),$B$2:$C$1996,2,0),"")</f>
        <v/>
      </c>
      <c r="N4293" s="2" t="str">
        <f>IFERROR(VLOOKUP(ROWS($N$2:N4293),$D$2:$E$1996,2,0),"")</f>
        <v/>
      </c>
    </row>
    <row r="4294" spans="2:14">
      <c r="B4294" s="32">
        <f>IF(ISNUMBER(SEARCH('Φόρμα Εισαγωγής'!$B$2,C4294)),MAX($B$1:B4293)+1,0)</f>
        <v>0</v>
      </c>
      <c r="D4294" s="33">
        <f>IF(ISNUMBER(SEARCH('Φόρμα Εισαγωγής'!$C$2,E4294)),MAX($D$1:D4293)+1,0)</f>
        <v>0</v>
      </c>
      <c r="H4294" s="6">
        <f t="shared" si="212"/>
        <v>0</v>
      </c>
      <c r="I4294" s="6">
        <f t="shared" si="213"/>
        <v>0</v>
      </c>
      <c r="J4294" s="6">
        <f t="shared" si="214"/>
        <v>0</v>
      </c>
      <c r="L4294" s="4" t="str">
        <f>IFERROR(VLOOKUP(ROWS($L$2:L4294),$B$2:$C$1996,2,0),"")</f>
        <v/>
      </c>
      <c r="N4294" s="2" t="str">
        <f>IFERROR(VLOOKUP(ROWS($N$2:N4294),$D$2:$E$1996,2,0),"")</f>
        <v/>
      </c>
    </row>
    <row r="4295" spans="2:14">
      <c r="B4295" s="32">
        <f>IF(ISNUMBER(SEARCH('Φόρμα Εισαγωγής'!$B$2,C4295)),MAX($B$1:B4294)+1,0)</f>
        <v>0</v>
      </c>
      <c r="D4295" s="33">
        <f>IF(ISNUMBER(SEARCH('Φόρμα Εισαγωγής'!$C$2,E4295)),MAX($D$1:D4294)+1,0)</f>
        <v>0</v>
      </c>
      <c r="H4295" s="6">
        <f t="shared" si="212"/>
        <v>0</v>
      </c>
      <c r="I4295" s="6">
        <f t="shared" si="213"/>
        <v>0</v>
      </c>
      <c r="J4295" s="6">
        <f t="shared" si="214"/>
        <v>0</v>
      </c>
      <c r="L4295" s="4" t="str">
        <f>IFERROR(VLOOKUP(ROWS($L$2:L4295),$B$2:$C$1996,2,0),"")</f>
        <v/>
      </c>
      <c r="N4295" s="2" t="str">
        <f>IFERROR(VLOOKUP(ROWS($N$2:N4295),$D$2:$E$1996,2,0),"")</f>
        <v/>
      </c>
    </row>
    <row r="4296" spans="2:14">
      <c r="B4296" s="32">
        <f>IF(ISNUMBER(SEARCH('Φόρμα Εισαγωγής'!$B$2,C4296)),MAX($B$1:B4295)+1,0)</f>
        <v>0</v>
      </c>
      <c r="D4296" s="33">
        <f>IF(ISNUMBER(SEARCH('Φόρμα Εισαγωγής'!$C$2,E4296)),MAX($D$1:D4295)+1,0)</f>
        <v>0</v>
      </c>
      <c r="H4296" s="6">
        <f t="shared" si="212"/>
        <v>0</v>
      </c>
      <c r="I4296" s="6">
        <f t="shared" si="213"/>
        <v>0</v>
      </c>
      <c r="J4296" s="6">
        <f t="shared" si="214"/>
        <v>0</v>
      </c>
      <c r="L4296" s="4" t="str">
        <f>IFERROR(VLOOKUP(ROWS($L$2:L4296),$B$2:$C$1996,2,0),"")</f>
        <v/>
      </c>
      <c r="N4296" s="2" t="str">
        <f>IFERROR(VLOOKUP(ROWS($N$2:N4296),$D$2:$E$1996,2,0),"")</f>
        <v/>
      </c>
    </row>
    <row r="4297" spans="2:14">
      <c r="B4297" s="32">
        <f>IF(ISNUMBER(SEARCH('Φόρμα Εισαγωγής'!$B$2,C4297)),MAX($B$1:B4296)+1,0)</f>
        <v>0</v>
      </c>
      <c r="D4297" s="33">
        <f>IF(ISNUMBER(SEARCH('Φόρμα Εισαγωγής'!$C$2,E4297)),MAX($D$1:D4296)+1,0)</f>
        <v>0</v>
      </c>
      <c r="H4297" s="6">
        <f t="shared" si="212"/>
        <v>0</v>
      </c>
      <c r="I4297" s="6">
        <f t="shared" si="213"/>
        <v>0</v>
      </c>
      <c r="J4297" s="6">
        <f t="shared" si="214"/>
        <v>0</v>
      </c>
      <c r="L4297" s="4" t="str">
        <f>IFERROR(VLOOKUP(ROWS($L$2:L4297),$B$2:$C$1996,2,0),"")</f>
        <v/>
      </c>
      <c r="N4297" s="2" t="str">
        <f>IFERROR(VLOOKUP(ROWS($N$2:N4297),$D$2:$E$1996,2,0),"")</f>
        <v/>
      </c>
    </row>
    <row r="4298" spans="2:14">
      <c r="B4298" s="32">
        <f>IF(ISNUMBER(SEARCH('Φόρμα Εισαγωγής'!$B$2,C4298)),MAX($B$1:B4297)+1,0)</f>
        <v>0</v>
      </c>
      <c r="D4298" s="33">
        <f>IF(ISNUMBER(SEARCH('Φόρμα Εισαγωγής'!$C$2,E4298)),MAX($D$1:D4297)+1,0)</f>
        <v>0</v>
      </c>
      <c r="H4298" s="6">
        <f t="shared" si="212"/>
        <v>0</v>
      </c>
      <c r="I4298" s="6">
        <f t="shared" si="213"/>
        <v>0</v>
      </c>
      <c r="J4298" s="6">
        <f t="shared" si="214"/>
        <v>0</v>
      </c>
      <c r="L4298" s="4" t="str">
        <f>IFERROR(VLOOKUP(ROWS($L$2:L4298),$B$2:$C$1996,2,0),"")</f>
        <v/>
      </c>
      <c r="N4298" s="2" t="str">
        <f>IFERROR(VLOOKUP(ROWS($N$2:N4298),$D$2:$E$1996,2,0),"")</f>
        <v/>
      </c>
    </row>
    <row r="4299" spans="2:14">
      <c r="B4299" s="32">
        <f>IF(ISNUMBER(SEARCH('Φόρμα Εισαγωγής'!$B$2,C4299)),MAX($B$1:B4298)+1,0)</f>
        <v>0</v>
      </c>
      <c r="D4299" s="33">
        <f>IF(ISNUMBER(SEARCH('Φόρμα Εισαγωγής'!$C$2,E4299)),MAX($D$1:D4298)+1,0)</f>
        <v>0</v>
      </c>
      <c r="H4299" s="6">
        <f t="shared" si="212"/>
        <v>0</v>
      </c>
      <c r="I4299" s="6">
        <f t="shared" si="213"/>
        <v>0</v>
      </c>
      <c r="J4299" s="6">
        <f t="shared" si="214"/>
        <v>0</v>
      </c>
      <c r="L4299" s="4" t="str">
        <f>IFERROR(VLOOKUP(ROWS($L$2:L4299),$B$2:$C$1996,2,0),"")</f>
        <v/>
      </c>
      <c r="N4299" s="2" t="str">
        <f>IFERROR(VLOOKUP(ROWS($N$2:N4299),$D$2:$E$1996,2,0),"")</f>
        <v/>
      </c>
    </row>
    <row r="4300" spans="2:14">
      <c r="B4300" s="32">
        <f>IF(ISNUMBER(SEARCH('Φόρμα Εισαγωγής'!$B$2,C4300)),MAX($B$1:B4299)+1,0)</f>
        <v>0</v>
      </c>
      <c r="D4300" s="33">
        <f>IF(ISNUMBER(SEARCH('Φόρμα Εισαγωγής'!$C$2,E4300)),MAX($D$1:D4299)+1,0)</f>
        <v>0</v>
      </c>
      <c r="H4300" s="6">
        <f t="shared" si="212"/>
        <v>0</v>
      </c>
      <c r="I4300" s="6">
        <f t="shared" si="213"/>
        <v>0</v>
      </c>
      <c r="J4300" s="6">
        <f t="shared" si="214"/>
        <v>0</v>
      </c>
      <c r="L4300" s="4" t="str">
        <f>IFERROR(VLOOKUP(ROWS($L$2:L4300),$B$2:$C$1996,2,0),"")</f>
        <v/>
      </c>
      <c r="N4300" s="2" t="str">
        <f>IFERROR(VLOOKUP(ROWS($N$2:N4300),$D$2:$E$1996,2,0),"")</f>
        <v/>
      </c>
    </row>
    <row r="4301" spans="2:14">
      <c r="B4301" s="32">
        <f>IF(ISNUMBER(SEARCH('Φόρμα Εισαγωγής'!$B$2,C4301)),MAX($B$1:B4300)+1,0)</f>
        <v>0</v>
      </c>
      <c r="D4301" s="33">
        <f>IF(ISNUMBER(SEARCH('Φόρμα Εισαγωγής'!$C$2,E4301)),MAX($D$1:D4300)+1,0)</f>
        <v>0</v>
      </c>
      <c r="H4301" s="6">
        <f t="shared" si="212"/>
        <v>0</v>
      </c>
      <c r="I4301" s="6">
        <f t="shared" si="213"/>
        <v>0</v>
      </c>
      <c r="J4301" s="6">
        <f t="shared" si="214"/>
        <v>0</v>
      </c>
      <c r="L4301" s="4" t="str">
        <f>IFERROR(VLOOKUP(ROWS($L$2:L4301),$B$2:$C$1996,2,0),"")</f>
        <v/>
      </c>
      <c r="N4301" s="2" t="str">
        <f>IFERROR(VLOOKUP(ROWS($N$2:N4301),$D$2:$E$1996,2,0),"")</f>
        <v/>
      </c>
    </row>
    <row r="4302" spans="2:14">
      <c r="B4302" s="32">
        <f>IF(ISNUMBER(SEARCH('Φόρμα Εισαγωγής'!$B$2,C4302)),MAX($B$1:B4301)+1,0)</f>
        <v>0</v>
      </c>
      <c r="D4302" s="33">
        <f>IF(ISNUMBER(SEARCH('Φόρμα Εισαγωγής'!$C$2,E4302)),MAX($D$1:D4301)+1,0)</f>
        <v>0</v>
      </c>
      <c r="H4302" s="6">
        <f t="shared" si="212"/>
        <v>0</v>
      </c>
      <c r="I4302" s="6">
        <f t="shared" si="213"/>
        <v>0</v>
      </c>
      <c r="J4302" s="6">
        <f t="shared" si="214"/>
        <v>0</v>
      </c>
      <c r="L4302" s="4" t="str">
        <f>IFERROR(VLOOKUP(ROWS($L$2:L4302),$B$2:$C$1996,2,0),"")</f>
        <v/>
      </c>
      <c r="N4302" s="2" t="str">
        <f>IFERROR(VLOOKUP(ROWS($N$2:N4302),$D$2:$E$1996,2,0),"")</f>
        <v/>
      </c>
    </row>
    <row r="4303" spans="2:14">
      <c r="B4303" s="32">
        <f>IF(ISNUMBER(SEARCH('Φόρμα Εισαγωγής'!$B$2,C4303)),MAX($B$1:B4302)+1,0)</f>
        <v>0</v>
      </c>
      <c r="D4303" s="33">
        <f>IF(ISNUMBER(SEARCH('Φόρμα Εισαγωγής'!$C$2,E4303)),MAX($D$1:D4302)+1,0)</f>
        <v>0</v>
      </c>
      <c r="H4303" s="6">
        <f t="shared" si="212"/>
        <v>0</v>
      </c>
      <c r="I4303" s="6">
        <f t="shared" si="213"/>
        <v>0</v>
      </c>
      <c r="J4303" s="6">
        <f t="shared" si="214"/>
        <v>0</v>
      </c>
      <c r="L4303" s="4" t="str">
        <f>IFERROR(VLOOKUP(ROWS($L$2:L4303),$B$2:$C$1996,2,0),"")</f>
        <v/>
      </c>
      <c r="N4303" s="2" t="str">
        <f>IFERROR(VLOOKUP(ROWS($N$2:N4303),$D$2:$E$1996,2,0),"")</f>
        <v/>
      </c>
    </row>
    <row r="4304" spans="2:14">
      <c r="B4304" s="32">
        <f>IF(ISNUMBER(SEARCH('Φόρμα Εισαγωγής'!$B$2,C4304)),MAX($B$1:B4303)+1,0)</f>
        <v>0</v>
      </c>
      <c r="D4304" s="33">
        <f>IF(ISNUMBER(SEARCH('Φόρμα Εισαγωγής'!$C$2,E4304)),MAX($D$1:D4303)+1,0)</f>
        <v>0</v>
      </c>
      <c r="H4304" s="6">
        <f t="shared" si="212"/>
        <v>0</v>
      </c>
      <c r="I4304" s="6">
        <f t="shared" si="213"/>
        <v>0</v>
      </c>
      <c r="J4304" s="6">
        <f t="shared" si="214"/>
        <v>0</v>
      </c>
      <c r="L4304" s="4" t="str">
        <f>IFERROR(VLOOKUP(ROWS($L$2:L4304),$B$2:$C$1996,2,0),"")</f>
        <v/>
      </c>
      <c r="N4304" s="2" t="str">
        <f>IFERROR(VLOOKUP(ROWS($N$2:N4304),$D$2:$E$1996,2,0),"")</f>
        <v/>
      </c>
    </row>
    <row r="4305" spans="2:14">
      <c r="B4305" s="32">
        <f>IF(ISNUMBER(SEARCH('Φόρμα Εισαγωγής'!$B$2,C4305)),MAX($B$1:B4304)+1,0)</f>
        <v>0</v>
      </c>
      <c r="D4305" s="33">
        <f>IF(ISNUMBER(SEARCH('Φόρμα Εισαγωγής'!$C$2,E4305)),MAX($D$1:D4304)+1,0)</f>
        <v>0</v>
      </c>
      <c r="H4305" s="6">
        <f t="shared" si="212"/>
        <v>0</v>
      </c>
      <c r="I4305" s="6">
        <f t="shared" si="213"/>
        <v>0</v>
      </c>
      <c r="J4305" s="6">
        <f t="shared" si="214"/>
        <v>0</v>
      </c>
      <c r="L4305" s="4" t="str">
        <f>IFERROR(VLOOKUP(ROWS($L$2:L4305),$B$2:$C$1996,2,0),"")</f>
        <v/>
      </c>
      <c r="N4305" s="2" t="str">
        <f>IFERROR(VLOOKUP(ROWS($N$2:N4305),$D$2:$E$1996,2,0),"")</f>
        <v/>
      </c>
    </row>
    <row r="4306" spans="2:14">
      <c r="B4306" s="32">
        <f>IF(ISNUMBER(SEARCH('Φόρμα Εισαγωγής'!$B$2,C4306)),MAX($B$1:B4305)+1,0)</f>
        <v>0</v>
      </c>
      <c r="D4306" s="33">
        <f>IF(ISNUMBER(SEARCH('Φόρμα Εισαγωγής'!$C$2,E4306)),MAX($D$1:D4305)+1,0)</f>
        <v>0</v>
      </c>
      <c r="H4306" s="6">
        <f t="shared" si="212"/>
        <v>0</v>
      </c>
      <c r="I4306" s="6">
        <f t="shared" si="213"/>
        <v>0</v>
      </c>
      <c r="J4306" s="6">
        <f t="shared" si="214"/>
        <v>0</v>
      </c>
      <c r="L4306" s="4" t="str">
        <f>IFERROR(VLOOKUP(ROWS($L$2:L4306),$B$2:$C$1996,2,0),"")</f>
        <v/>
      </c>
      <c r="N4306" s="2" t="str">
        <f>IFERROR(VLOOKUP(ROWS($N$2:N4306),$D$2:$E$1996,2,0),"")</f>
        <v/>
      </c>
    </row>
    <row r="4307" spans="2:14">
      <c r="B4307" s="32">
        <f>IF(ISNUMBER(SEARCH('Φόρμα Εισαγωγής'!$B$2,C4307)),MAX($B$1:B4306)+1,0)</f>
        <v>0</v>
      </c>
      <c r="D4307" s="33">
        <f>IF(ISNUMBER(SEARCH('Φόρμα Εισαγωγής'!$C$2,E4307)),MAX($D$1:D4306)+1,0)</f>
        <v>0</v>
      </c>
      <c r="H4307" s="6">
        <f t="shared" si="212"/>
        <v>0</v>
      </c>
      <c r="I4307" s="6">
        <f t="shared" si="213"/>
        <v>0</v>
      </c>
      <c r="J4307" s="6">
        <f t="shared" si="214"/>
        <v>0</v>
      </c>
      <c r="L4307" s="4" t="str">
        <f>IFERROR(VLOOKUP(ROWS($L$2:L4307),$B$2:$C$1996,2,0),"")</f>
        <v/>
      </c>
      <c r="N4307" s="2" t="str">
        <f>IFERROR(VLOOKUP(ROWS($N$2:N4307),$D$2:$E$1996,2,0),"")</f>
        <v/>
      </c>
    </row>
    <row r="4308" spans="2:14">
      <c r="B4308" s="32">
        <f>IF(ISNUMBER(SEARCH('Φόρμα Εισαγωγής'!$B$2,C4308)),MAX($B$1:B4307)+1,0)</f>
        <v>0</v>
      </c>
      <c r="D4308" s="33">
        <f>IF(ISNUMBER(SEARCH('Φόρμα Εισαγωγής'!$C$2,E4308)),MAX($D$1:D4307)+1,0)</f>
        <v>0</v>
      </c>
      <c r="H4308" s="6">
        <f t="shared" si="212"/>
        <v>0</v>
      </c>
      <c r="I4308" s="6">
        <f t="shared" si="213"/>
        <v>0</v>
      </c>
      <c r="J4308" s="6">
        <f t="shared" si="214"/>
        <v>0</v>
      </c>
      <c r="L4308" s="4" t="str">
        <f>IFERROR(VLOOKUP(ROWS($L$2:L4308),$B$2:$C$1996,2,0),"")</f>
        <v/>
      </c>
      <c r="N4308" s="2" t="str">
        <f>IFERROR(VLOOKUP(ROWS($N$2:N4308),$D$2:$E$1996,2,0),"")</f>
        <v/>
      </c>
    </row>
    <row r="4309" spans="2:14">
      <c r="B4309" s="32">
        <f>IF(ISNUMBER(SEARCH('Φόρμα Εισαγωγής'!$B$2,C4309)),MAX($B$1:B4308)+1,0)</f>
        <v>0</v>
      </c>
      <c r="D4309" s="33">
        <f>IF(ISNUMBER(SEARCH('Φόρμα Εισαγωγής'!$C$2,E4309)),MAX($D$1:D4308)+1,0)</f>
        <v>0</v>
      </c>
      <c r="H4309" s="6">
        <f t="shared" si="212"/>
        <v>0</v>
      </c>
      <c r="I4309" s="6">
        <f t="shared" si="213"/>
        <v>0</v>
      </c>
      <c r="J4309" s="6">
        <f t="shared" si="214"/>
        <v>0</v>
      </c>
      <c r="L4309" s="4" t="str">
        <f>IFERROR(VLOOKUP(ROWS($L$2:L4309),$B$2:$C$1996,2,0),"")</f>
        <v/>
      </c>
      <c r="N4309" s="2" t="str">
        <f>IFERROR(VLOOKUP(ROWS($N$2:N4309),$D$2:$E$1996,2,0),"")</f>
        <v/>
      </c>
    </row>
    <row r="4310" spans="2:14">
      <c r="B4310" s="32">
        <f>IF(ISNUMBER(SEARCH('Φόρμα Εισαγωγής'!$B$2,C4310)),MAX($B$1:B4309)+1,0)</f>
        <v>0</v>
      </c>
      <c r="D4310" s="33">
        <f>IF(ISNUMBER(SEARCH('Φόρμα Εισαγωγής'!$C$2,E4310)),MAX($D$1:D4309)+1,0)</f>
        <v>0</v>
      </c>
      <c r="H4310" s="6">
        <f t="shared" si="212"/>
        <v>0</v>
      </c>
      <c r="I4310" s="6">
        <f t="shared" si="213"/>
        <v>0</v>
      </c>
      <c r="J4310" s="6">
        <f t="shared" si="214"/>
        <v>0</v>
      </c>
      <c r="L4310" s="4" t="str">
        <f>IFERROR(VLOOKUP(ROWS($L$2:L4310),$B$2:$C$1996,2,0),"")</f>
        <v/>
      </c>
      <c r="N4310" s="2" t="str">
        <f>IFERROR(VLOOKUP(ROWS($N$2:N4310),$D$2:$E$1996,2,0),"")</f>
        <v/>
      </c>
    </row>
    <row r="4311" spans="2:14">
      <c r="B4311" s="32">
        <f>IF(ISNUMBER(SEARCH('Φόρμα Εισαγωγής'!$B$2,C4311)),MAX($B$1:B4310)+1,0)</f>
        <v>0</v>
      </c>
      <c r="D4311" s="33">
        <f>IF(ISNUMBER(SEARCH('Φόρμα Εισαγωγής'!$C$2,E4311)),MAX($D$1:D4310)+1,0)</f>
        <v>0</v>
      </c>
      <c r="H4311" s="6">
        <f t="shared" si="212"/>
        <v>0</v>
      </c>
      <c r="I4311" s="6">
        <f t="shared" si="213"/>
        <v>0</v>
      </c>
      <c r="J4311" s="6">
        <f t="shared" si="214"/>
        <v>0</v>
      </c>
      <c r="L4311" s="4" t="str">
        <f>IFERROR(VLOOKUP(ROWS($L$2:L4311),$B$2:$C$1996,2,0),"")</f>
        <v/>
      </c>
      <c r="N4311" s="2" t="str">
        <f>IFERROR(VLOOKUP(ROWS($N$2:N4311),$D$2:$E$1996,2,0),"")</f>
        <v/>
      </c>
    </row>
    <row r="4312" spans="2:14">
      <c r="B4312" s="32">
        <f>IF(ISNUMBER(SEARCH('Φόρμα Εισαγωγής'!$B$2,C4312)),MAX($B$1:B4311)+1,0)</f>
        <v>0</v>
      </c>
      <c r="D4312" s="33">
        <f>IF(ISNUMBER(SEARCH('Φόρμα Εισαγωγής'!$C$2,E4312)),MAX($D$1:D4311)+1,0)</f>
        <v>0</v>
      </c>
      <c r="H4312" s="6">
        <f t="shared" si="212"/>
        <v>0</v>
      </c>
      <c r="I4312" s="6">
        <f t="shared" si="213"/>
        <v>0</v>
      </c>
      <c r="J4312" s="6">
        <f t="shared" si="214"/>
        <v>0</v>
      </c>
      <c r="L4312" s="4" t="str">
        <f>IFERROR(VLOOKUP(ROWS($L$2:L4312),$B$2:$C$1996,2,0),"")</f>
        <v/>
      </c>
      <c r="N4312" s="2" t="str">
        <f>IFERROR(VLOOKUP(ROWS($N$2:N4312),$D$2:$E$1996,2,0),"")</f>
        <v/>
      </c>
    </row>
    <row r="4313" spans="2:14">
      <c r="B4313" s="32">
        <f>IF(ISNUMBER(SEARCH('Φόρμα Εισαγωγής'!$B$2,C4313)),MAX($B$1:B4312)+1,0)</f>
        <v>0</v>
      </c>
      <c r="D4313" s="33">
        <f>IF(ISNUMBER(SEARCH('Φόρμα Εισαγωγής'!$C$2,E4313)),MAX($D$1:D4312)+1,0)</f>
        <v>0</v>
      </c>
      <c r="H4313" s="6">
        <f t="shared" si="212"/>
        <v>0</v>
      </c>
      <c r="I4313" s="6">
        <f t="shared" si="213"/>
        <v>0</v>
      </c>
      <c r="J4313" s="6">
        <f t="shared" si="214"/>
        <v>0</v>
      </c>
      <c r="L4313" s="4" t="str">
        <f>IFERROR(VLOOKUP(ROWS($L$2:L4313),$B$2:$C$1996,2,0),"")</f>
        <v/>
      </c>
      <c r="N4313" s="2" t="str">
        <f>IFERROR(VLOOKUP(ROWS($N$2:N4313),$D$2:$E$1996,2,0),"")</f>
        <v/>
      </c>
    </row>
    <row r="4314" spans="2:14">
      <c r="B4314" s="32">
        <f>IF(ISNUMBER(SEARCH('Φόρμα Εισαγωγής'!$B$2,C4314)),MAX($B$1:B4313)+1,0)</f>
        <v>0</v>
      </c>
      <c r="D4314" s="33">
        <f>IF(ISNUMBER(SEARCH('Φόρμα Εισαγωγής'!$C$2,E4314)),MAX($D$1:D4313)+1,0)</f>
        <v>0</v>
      </c>
      <c r="H4314" s="6">
        <f t="shared" si="212"/>
        <v>0</v>
      </c>
      <c r="I4314" s="6">
        <f t="shared" si="213"/>
        <v>0</v>
      </c>
      <c r="J4314" s="6">
        <f t="shared" si="214"/>
        <v>0</v>
      </c>
      <c r="L4314" s="4" t="str">
        <f>IFERROR(VLOOKUP(ROWS($L$2:L4314),$B$2:$C$1996,2,0),"")</f>
        <v/>
      </c>
      <c r="N4314" s="2" t="str">
        <f>IFERROR(VLOOKUP(ROWS($N$2:N4314),$D$2:$E$1996,2,0),"")</f>
        <v/>
      </c>
    </row>
    <row r="4315" spans="2:14">
      <c r="B4315" s="32">
        <f>IF(ISNUMBER(SEARCH('Φόρμα Εισαγωγής'!$B$2,C4315)),MAX($B$1:B4314)+1,0)</f>
        <v>0</v>
      </c>
      <c r="D4315" s="33">
        <f>IF(ISNUMBER(SEARCH('Φόρμα Εισαγωγής'!$C$2,E4315)),MAX($D$1:D4314)+1,0)</f>
        <v>0</v>
      </c>
      <c r="H4315" s="6">
        <f t="shared" si="212"/>
        <v>0</v>
      </c>
      <c r="I4315" s="6">
        <f t="shared" si="213"/>
        <v>0</v>
      </c>
      <c r="J4315" s="6">
        <f t="shared" si="214"/>
        <v>0</v>
      </c>
      <c r="L4315" s="4" t="str">
        <f>IFERROR(VLOOKUP(ROWS($L$2:L4315),$B$2:$C$1996,2,0),"")</f>
        <v/>
      </c>
      <c r="N4315" s="2" t="str">
        <f>IFERROR(VLOOKUP(ROWS($N$2:N4315),$D$2:$E$1996,2,0),"")</f>
        <v/>
      </c>
    </row>
    <row r="4316" spans="2:14">
      <c r="B4316" s="32">
        <f>IF(ISNUMBER(SEARCH('Φόρμα Εισαγωγής'!$B$2,C4316)),MAX($B$1:B4315)+1,0)</f>
        <v>0</v>
      </c>
      <c r="D4316" s="33">
        <f>IF(ISNUMBER(SEARCH('Φόρμα Εισαγωγής'!$C$2,E4316)),MAX($D$1:D4315)+1,0)</f>
        <v>0</v>
      </c>
      <c r="H4316" s="6">
        <f t="shared" si="212"/>
        <v>0</v>
      </c>
      <c r="I4316" s="6">
        <f t="shared" si="213"/>
        <v>0</v>
      </c>
      <c r="J4316" s="6">
        <f t="shared" si="214"/>
        <v>0</v>
      </c>
      <c r="L4316" s="4" t="str">
        <f>IFERROR(VLOOKUP(ROWS($L$2:L4316),$B$2:$C$1996,2,0),"")</f>
        <v/>
      </c>
      <c r="N4316" s="2" t="str">
        <f>IFERROR(VLOOKUP(ROWS($N$2:N4316),$D$2:$E$1996,2,0),"")</f>
        <v/>
      </c>
    </row>
    <row r="4317" spans="2:14">
      <c r="B4317" s="32">
        <f>IF(ISNUMBER(SEARCH('Φόρμα Εισαγωγής'!$B$2,C4317)),MAX($B$1:B4316)+1,0)</f>
        <v>0</v>
      </c>
      <c r="D4317" s="33">
        <f>IF(ISNUMBER(SEARCH('Φόρμα Εισαγωγής'!$C$2,E4317)),MAX($D$1:D4316)+1,0)</f>
        <v>0</v>
      </c>
      <c r="H4317" s="6">
        <f t="shared" si="212"/>
        <v>0</v>
      </c>
      <c r="I4317" s="6">
        <f t="shared" si="213"/>
        <v>0</v>
      </c>
      <c r="J4317" s="6">
        <f t="shared" si="214"/>
        <v>0</v>
      </c>
      <c r="L4317" s="4" t="str">
        <f>IFERROR(VLOOKUP(ROWS($L$2:L4317),$B$2:$C$1996,2,0),"")</f>
        <v/>
      </c>
      <c r="N4317" s="2" t="str">
        <f>IFERROR(VLOOKUP(ROWS($N$2:N4317),$D$2:$E$1996,2,0),"")</f>
        <v/>
      </c>
    </row>
    <row r="4318" spans="2:14">
      <c r="B4318" s="32">
        <f>IF(ISNUMBER(SEARCH('Φόρμα Εισαγωγής'!$B$2,C4318)),MAX($B$1:B4317)+1,0)</f>
        <v>0</v>
      </c>
      <c r="D4318" s="33">
        <f>IF(ISNUMBER(SEARCH('Φόρμα Εισαγωγής'!$C$2,E4318)),MAX($D$1:D4317)+1,0)</f>
        <v>0</v>
      </c>
      <c r="H4318" s="6">
        <f t="shared" si="212"/>
        <v>0</v>
      </c>
      <c r="I4318" s="6">
        <f t="shared" si="213"/>
        <v>0</v>
      </c>
      <c r="J4318" s="6">
        <f t="shared" si="214"/>
        <v>0</v>
      </c>
      <c r="L4318" s="4" t="str">
        <f>IFERROR(VLOOKUP(ROWS($L$2:L4318),$B$2:$C$1996,2,0),"")</f>
        <v/>
      </c>
      <c r="N4318" s="2" t="str">
        <f>IFERROR(VLOOKUP(ROWS($N$2:N4318),$D$2:$E$1996,2,0),"")</f>
        <v/>
      </c>
    </row>
    <row r="4319" spans="2:14">
      <c r="B4319" s="32">
        <f>IF(ISNUMBER(SEARCH('Φόρμα Εισαγωγής'!$B$2,C4319)),MAX($B$1:B4318)+1,0)</f>
        <v>0</v>
      </c>
      <c r="D4319" s="33">
        <f>IF(ISNUMBER(SEARCH('Φόρμα Εισαγωγής'!$C$2,E4319)),MAX($D$1:D4318)+1,0)</f>
        <v>0</v>
      </c>
      <c r="H4319" s="6">
        <f t="shared" si="212"/>
        <v>0</v>
      </c>
      <c r="I4319" s="6">
        <f t="shared" si="213"/>
        <v>0</v>
      </c>
      <c r="J4319" s="6">
        <f t="shared" si="214"/>
        <v>0</v>
      </c>
      <c r="L4319" s="4" t="str">
        <f>IFERROR(VLOOKUP(ROWS($L$2:L4319),$B$2:$C$1996,2,0),"")</f>
        <v/>
      </c>
      <c r="N4319" s="2" t="str">
        <f>IFERROR(VLOOKUP(ROWS($N$2:N4319),$D$2:$E$1996,2,0),"")</f>
        <v/>
      </c>
    </row>
    <row r="4320" spans="2:14">
      <c r="B4320" s="32">
        <f>IF(ISNUMBER(SEARCH('Φόρμα Εισαγωγής'!$B$2,C4320)),MAX($B$1:B4319)+1,0)</f>
        <v>0</v>
      </c>
      <c r="D4320" s="33">
        <f>IF(ISNUMBER(SEARCH('Φόρμα Εισαγωγής'!$C$2,E4320)),MAX($D$1:D4319)+1,0)</f>
        <v>0</v>
      </c>
      <c r="H4320" s="6">
        <f t="shared" si="212"/>
        <v>0</v>
      </c>
      <c r="I4320" s="6">
        <f t="shared" si="213"/>
        <v>0</v>
      </c>
      <c r="J4320" s="6">
        <f t="shared" si="214"/>
        <v>0</v>
      </c>
      <c r="L4320" s="4" t="str">
        <f>IFERROR(VLOOKUP(ROWS($L$2:L4320),$B$2:$C$1996,2,0),"")</f>
        <v/>
      </c>
      <c r="N4320" s="2" t="str">
        <f>IFERROR(VLOOKUP(ROWS($N$2:N4320),$D$2:$E$1996,2,0),"")</f>
        <v/>
      </c>
    </row>
    <row r="4321" spans="2:14">
      <c r="B4321" s="32">
        <f>IF(ISNUMBER(SEARCH('Φόρμα Εισαγωγής'!$B$2,C4321)),MAX($B$1:B4320)+1,0)</f>
        <v>0</v>
      </c>
      <c r="D4321" s="33">
        <f>IF(ISNUMBER(SEARCH('Φόρμα Εισαγωγής'!$C$2,E4321)),MAX($D$1:D4320)+1,0)</f>
        <v>0</v>
      </c>
      <c r="H4321" s="6">
        <f t="shared" si="212"/>
        <v>0</v>
      </c>
      <c r="I4321" s="6">
        <f t="shared" si="213"/>
        <v>0</v>
      </c>
      <c r="J4321" s="6">
        <f t="shared" si="214"/>
        <v>0</v>
      </c>
      <c r="L4321" s="4" t="str">
        <f>IFERROR(VLOOKUP(ROWS($L$2:L4321),$B$2:$C$1996,2,0),"")</f>
        <v/>
      </c>
      <c r="N4321" s="2" t="str">
        <f>IFERROR(VLOOKUP(ROWS($N$2:N4321),$D$2:$E$1996,2,0),"")</f>
        <v/>
      </c>
    </row>
    <row r="4322" spans="2:14">
      <c r="B4322" s="32">
        <f>IF(ISNUMBER(SEARCH('Φόρμα Εισαγωγής'!$B$2,C4322)),MAX($B$1:B4321)+1,0)</f>
        <v>0</v>
      </c>
      <c r="D4322" s="33">
        <f>IF(ISNUMBER(SEARCH('Φόρμα Εισαγωγής'!$C$2,E4322)),MAX($D$1:D4321)+1,0)</f>
        <v>0</v>
      </c>
      <c r="H4322" s="6">
        <f t="shared" si="212"/>
        <v>0</v>
      </c>
      <c r="I4322" s="6">
        <f t="shared" si="213"/>
        <v>0</v>
      </c>
      <c r="J4322" s="6">
        <f t="shared" si="214"/>
        <v>0</v>
      </c>
      <c r="L4322" s="4" t="str">
        <f>IFERROR(VLOOKUP(ROWS($L$2:L4322),$B$2:$C$1996,2,0),"")</f>
        <v/>
      </c>
      <c r="N4322" s="2" t="str">
        <f>IFERROR(VLOOKUP(ROWS($N$2:N4322),$D$2:$E$1996,2,0),"")</f>
        <v/>
      </c>
    </row>
    <row r="4323" spans="2:14">
      <c r="B4323" s="32">
        <f>IF(ISNUMBER(SEARCH('Φόρμα Εισαγωγής'!$B$2,C4323)),MAX($B$1:B4322)+1,0)</f>
        <v>0</v>
      </c>
      <c r="D4323" s="33">
        <f>IF(ISNUMBER(SEARCH('Φόρμα Εισαγωγής'!$C$2,E4323)),MAX($D$1:D4322)+1,0)</f>
        <v>0</v>
      </c>
      <c r="H4323" s="6">
        <f t="shared" si="212"/>
        <v>0</v>
      </c>
      <c r="I4323" s="6">
        <f t="shared" si="213"/>
        <v>0</v>
      </c>
      <c r="J4323" s="6">
        <f t="shared" si="214"/>
        <v>0</v>
      </c>
      <c r="L4323" s="4" t="str">
        <f>IFERROR(VLOOKUP(ROWS($L$2:L4323),$B$2:$C$1996,2,0),"")</f>
        <v/>
      </c>
      <c r="N4323" s="2" t="str">
        <f>IFERROR(VLOOKUP(ROWS($N$2:N4323),$D$2:$E$1996,2,0),"")</f>
        <v/>
      </c>
    </row>
    <row r="4324" spans="2:14">
      <c r="B4324" s="32">
        <f>IF(ISNUMBER(SEARCH('Φόρμα Εισαγωγής'!$B$2,C4324)),MAX($B$1:B4323)+1,0)</f>
        <v>0</v>
      </c>
      <c r="D4324" s="33">
        <f>IF(ISNUMBER(SEARCH('Φόρμα Εισαγωγής'!$C$2,E4324)),MAX($D$1:D4323)+1,0)</f>
        <v>0</v>
      </c>
      <c r="H4324" s="6">
        <f t="shared" si="212"/>
        <v>0</v>
      </c>
      <c r="I4324" s="6">
        <f t="shared" si="213"/>
        <v>0</v>
      </c>
      <c r="J4324" s="6">
        <f t="shared" si="214"/>
        <v>0</v>
      </c>
      <c r="L4324" s="4" t="str">
        <f>IFERROR(VLOOKUP(ROWS($L$2:L4324),$B$2:$C$1996,2,0),"")</f>
        <v/>
      </c>
      <c r="N4324" s="2" t="str">
        <f>IFERROR(VLOOKUP(ROWS($N$2:N4324),$D$2:$E$1996,2,0),"")</f>
        <v/>
      </c>
    </row>
    <row r="4325" spans="2:14">
      <c r="B4325" s="32">
        <f>IF(ISNUMBER(SEARCH('Φόρμα Εισαγωγής'!$B$2,C4325)),MAX($B$1:B4324)+1,0)</f>
        <v>0</v>
      </c>
      <c r="D4325" s="33">
        <f>IF(ISNUMBER(SEARCH('Φόρμα Εισαγωγής'!$C$2,E4325)),MAX($D$1:D4324)+1,0)</f>
        <v>0</v>
      </c>
      <c r="H4325" s="6">
        <f t="shared" si="212"/>
        <v>0</v>
      </c>
      <c r="I4325" s="6">
        <f t="shared" si="213"/>
        <v>0</v>
      </c>
      <c r="J4325" s="6">
        <f t="shared" si="214"/>
        <v>0</v>
      </c>
      <c r="L4325" s="4" t="str">
        <f>IFERROR(VLOOKUP(ROWS($L$2:L4325),$B$2:$C$1996,2,0),"")</f>
        <v/>
      </c>
      <c r="N4325" s="2" t="str">
        <f>IFERROR(VLOOKUP(ROWS($N$2:N4325),$D$2:$E$1996,2,0),"")</f>
        <v/>
      </c>
    </row>
    <row r="4326" spans="2:14">
      <c r="B4326" s="32">
        <f>IF(ISNUMBER(SEARCH('Φόρμα Εισαγωγής'!$B$2,C4326)),MAX($B$1:B4325)+1,0)</f>
        <v>0</v>
      </c>
      <c r="D4326" s="33">
        <f>IF(ISNUMBER(SEARCH('Φόρμα Εισαγωγής'!$C$2,E4326)),MAX($D$1:D4325)+1,0)</f>
        <v>0</v>
      </c>
      <c r="H4326" s="6">
        <f t="shared" si="212"/>
        <v>0</v>
      </c>
      <c r="I4326" s="6">
        <f t="shared" si="213"/>
        <v>0</v>
      </c>
      <c r="J4326" s="6">
        <f t="shared" si="214"/>
        <v>0</v>
      </c>
      <c r="L4326" s="4" t="str">
        <f>IFERROR(VLOOKUP(ROWS($L$2:L4326),$B$2:$C$1996,2,0),"")</f>
        <v/>
      </c>
      <c r="N4326" s="2" t="str">
        <f>IFERROR(VLOOKUP(ROWS($N$2:N4326),$D$2:$E$1996,2,0),"")</f>
        <v/>
      </c>
    </row>
    <row r="4327" spans="2:14">
      <c r="B4327" s="32">
        <f>IF(ISNUMBER(SEARCH('Φόρμα Εισαγωγής'!$B$2,C4327)),MAX($B$1:B4326)+1,0)</f>
        <v>0</v>
      </c>
      <c r="D4327" s="33">
        <f>IF(ISNUMBER(SEARCH('Φόρμα Εισαγωγής'!$C$2,E4327)),MAX($D$1:D4326)+1,0)</f>
        <v>0</v>
      </c>
      <c r="H4327" s="6">
        <f t="shared" si="212"/>
        <v>0</v>
      </c>
      <c r="I4327" s="6">
        <f t="shared" si="213"/>
        <v>0</v>
      </c>
      <c r="J4327" s="6">
        <f t="shared" si="214"/>
        <v>0</v>
      </c>
      <c r="L4327" s="4" t="str">
        <f>IFERROR(VLOOKUP(ROWS($L$2:L4327),$B$2:$C$1996,2,0),"")</f>
        <v/>
      </c>
      <c r="N4327" s="2" t="str">
        <f>IFERROR(VLOOKUP(ROWS($N$2:N4327),$D$2:$E$1996,2,0),"")</f>
        <v/>
      </c>
    </row>
    <row r="4328" spans="2:14">
      <c r="B4328" s="32">
        <f>IF(ISNUMBER(SEARCH('Φόρμα Εισαγωγής'!$B$2,C4328)),MAX($B$1:B4327)+1,0)</f>
        <v>0</v>
      </c>
      <c r="D4328" s="33">
        <f>IF(ISNUMBER(SEARCH('Φόρμα Εισαγωγής'!$C$2,E4328)),MAX($D$1:D4327)+1,0)</f>
        <v>0</v>
      </c>
      <c r="H4328" s="6">
        <f t="shared" si="212"/>
        <v>0</v>
      </c>
      <c r="I4328" s="6">
        <f t="shared" si="213"/>
        <v>0</v>
      </c>
      <c r="J4328" s="6">
        <f t="shared" si="214"/>
        <v>0</v>
      </c>
      <c r="L4328" s="4" t="str">
        <f>IFERROR(VLOOKUP(ROWS($L$2:L4328),$B$2:$C$1996,2,0),"")</f>
        <v/>
      </c>
      <c r="N4328" s="2" t="str">
        <f>IFERROR(VLOOKUP(ROWS($N$2:N4328),$D$2:$E$1996,2,0),"")</f>
        <v/>
      </c>
    </row>
    <row r="4329" spans="2:14">
      <c r="B4329" s="32">
        <f>IF(ISNUMBER(SEARCH('Φόρμα Εισαγωγής'!$B$2,C4329)),MAX($B$1:B4328)+1,0)</f>
        <v>0</v>
      </c>
      <c r="D4329" s="33">
        <f>IF(ISNUMBER(SEARCH('Φόρμα Εισαγωγής'!$C$2,E4329)),MAX($D$1:D4328)+1,0)</f>
        <v>0</v>
      </c>
      <c r="H4329" s="6">
        <f t="shared" si="212"/>
        <v>0</v>
      </c>
      <c r="I4329" s="6">
        <f t="shared" si="213"/>
        <v>0</v>
      </c>
      <c r="J4329" s="6">
        <f t="shared" si="214"/>
        <v>0</v>
      </c>
      <c r="L4329" s="4" t="str">
        <f>IFERROR(VLOOKUP(ROWS($L$2:L4329),$B$2:$C$1996,2,0),"")</f>
        <v/>
      </c>
      <c r="N4329" s="2" t="str">
        <f>IFERROR(VLOOKUP(ROWS($N$2:N4329),$D$2:$E$1996,2,0),"")</f>
        <v/>
      </c>
    </row>
    <row r="4330" spans="2:14">
      <c r="B4330" s="32">
        <f>IF(ISNUMBER(SEARCH('Φόρμα Εισαγωγής'!$B$2,C4330)),MAX($B$1:B4329)+1,0)</f>
        <v>0</v>
      </c>
      <c r="D4330" s="33">
        <f>IF(ISNUMBER(SEARCH('Φόρμα Εισαγωγής'!$C$2,E4330)),MAX($D$1:D4329)+1,0)</f>
        <v>0</v>
      </c>
      <c r="H4330" s="6">
        <f t="shared" si="212"/>
        <v>0</v>
      </c>
      <c r="I4330" s="6">
        <f t="shared" si="213"/>
        <v>0</v>
      </c>
      <c r="J4330" s="6">
        <f t="shared" si="214"/>
        <v>0</v>
      </c>
      <c r="L4330" s="4" t="str">
        <f>IFERROR(VLOOKUP(ROWS($L$2:L4330),$B$2:$C$1996,2,0),"")</f>
        <v/>
      </c>
      <c r="N4330" s="2" t="str">
        <f>IFERROR(VLOOKUP(ROWS($N$2:N4330),$D$2:$E$1996,2,0),"")</f>
        <v/>
      </c>
    </row>
    <row r="4331" spans="2:14">
      <c r="B4331" s="32">
        <f>IF(ISNUMBER(SEARCH('Φόρμα Εισαγωγής'!$B$2,C4331)),MAX($B$1:B4330)+1,0)</f>
        <v>0</v>
      </c>
      <c r="D4331" s="33">
        <f>IF(ISNUMBER(SEARCH('Φόρμα Εισαγωγής'!$C$2,E4331)),MAX($D$1:D4330)+1,0)</f>
        <v>0</v>
      </c>
      <c r="H4331" s="6">
        <f t="shared" si="212"/>
        <v>0</v>
      </c>
      <c r="I4331" s="6">
        <f t="shared" si="213"/>
        <v>0</v>
      </c>
      <c r="J4331" s="6">
        <f t="shared" si="214"/>
        <v>0</v>
      </c>
      <c r="L4331" s="4" t="str">
        <f>IFERROR(VLOOKUP(ROWS($L$2:L4331),$B$2:$C$1996,2,0),"")</f>
        <v/>
      </c>
      <c r="N4331" s="2" t="str">
        <f>IFERROR(VLOOKUP(ROWS($N$2:N4331),$D$2:$E$1996,2,0),"")</f>
        <v/>
      </c>
    </row>
    <row r="4332" spans="2:14">
      <c r="B4332" s="32">
        <f>IF(ISNUMBER(SEARCH('Φόρμα Εισαγωγής'!$B$2,C4332)),MAX($B$1:B4331)+1,0)</f>
        <v>0</v>
      </c>
      <c r="D4332" s="33">
        <f>IF(ISNUMBER(SEARCH('Φόρμα Εισαγωγής'!$C$2,E4332)),MAX($D$1:D4331)+1,0)</f>
        <v>0</v>
      </c>
      <c r="H4332" s="6">
        <f t="shared" si="212"/>
        <v>0</v>
      </c>
      <c r="I4332" s="6">
        <f t="shared" si="213"/>
        <v>0</v>
      </c>
      <c r="J4332" s="6">
        <f t="shared" si="214"/>
        <v>0</v>
      </c>
      <c r="L4332" s="4" t="str">
        <f>IFERROR(VLOOKUP(ROWS($L$2:L4332),$B$2:$C$1996,2,0),"")</f>
        <v/>
      </c>
      <c r="N4332" s="2" t="str">
        <f>IFERROR(VLOOKUP(ROWS($N$2:N4332),$D$2:$E$1996,2,0),"")</f>
        <v/>
      </c>
    </row>
    <row r="4333" spans="2:14">
      <c r="B4333" s="32">
        <f>IF(ISNUMBER(SEARCH('Φόρμα Εισαγωγής'!$B$2,C4333)),MAX($B$1:B4332)+1,0)</f>
        <v>0</v>
      </c>
      <c r="D4333" s="33">
        <f>IF(ISNUMBER(SEARCH('Φόρμα Εισαγωγής'!$C$2,E4333)),MAX($D$1:D4332)+1,0)</f>
        <v>0</v>
      </c>
      <c r="H4333" s="6">
        <f t="shared" si="212"/>
        <v>0</v>
      </c>
      <c r="I4333" s="6">
        <f t="shared" si="213"/>
        <v>0</v>
      </c>
      <c r="J4333" s="6">
        <f t="shared" si="214"/>
        <v>0</v>
      </c>
      <c r="L4333" s="4" t="str">
        <f>IFERROR(VLOOKUP(ROWS($L$2:L4333),$B$2:$C$1996,2,0),"")</f>
        <v/>
      </c>
      <c r="N4333" s="2" t="str">
        <f>IFERROR(VLOOKUP(ROWS($N$2:N4333),$D$2:$E$1996,2,0),"")</f>
        <v/>
      </c>
    </row>
    <row r="4334" spans="2:14">
      <c r="B4334" s="32">
        <f>IF(ISNUMBER(SEARCH('Φόρμα Εισαγωγής'!$B$2,C4334)),MAX($B$1:B4333)+1,0)</f>
        <v>0</v>
      </c>
      <c r="D4334" s="33">
        <f>IF(ISNUMBER(SEARCH('Φόρμα Εισαγωγής'!$C$2,E4334)),MAX($D$1:D4333)+1,0)</f>
        <v>0</v>
      </c>
      <c r="H4334" s="6">
        <f t="shared" si="212"/>
        <v>0</v>
      </c>
      <c r="I4334" s="6">
        <f t="shared" si="213"/>
        <v>0</v>
      </c>
      <c r="J4334" s="6">
        <f t="shared" si="214"/>
        <v>0</v>
      </c>
      <c r="L4334" s="4" t="str">
        <f>IFERROR(VLOOKUP(ROWS($L$2:L4334),$B$2:$C$1996,2,0),"")</f>
        <v/>
      </c>
      <c r="N4334" s="2" t="str">
        <f>IFERROR(VLOOKUP(ROWS($N$2:N4334),$D$2:$E$1996,2,0),"")</f>
        <v/>
      </c>
    </row>
    <row r="4335" spans="2:14">
      <c r="B4335" s="32">
        <f>IF(ISNUMBER(SEARCH('Φόρμα Εισαγωγής'!$B$2,C4335)),MAX($B$1:B4334)+1,0)</f>
        <v>0</v>
      </c>
      <c r="D4335" s="33">
        <f>IF(ISNUMBER(SEARCH('Φόρμα Εισαγωγής'!$C$2,E4335)),MAX($D$1:D4334)+1,0)</f>
        <v>0</v>
      </c>
      <c r="H4335" s="6">
        <f t="shared" si="212"/>
        <v>0</v>
      </c>
      <c r="I4335" s="6">
        <f t="shared" si="213"/>
        <v>0</v>
      </c>
      <c r="J4335" s="6">
        <f t="shared" si="214"/>
        <v>0</v>
      </c>
      <c r="L4335" s="4" t="str">
        <f>IFERROR(VLOOKUP(ROWS($L$2:L4335),$B$2:$C$1996,2,0),"")</f>
        <v/>
      </c>
      <c r="N4335" s="2" t="str">
        <f>IFERROR(VLOOKUP(ROWS($N$2:N4335),$D$2:$E$1996,2,0),"")</f>
        <v/>
      </c>
    </row>
    <row r="4336" spans="2:14">
      <c r="B4336" s="32">
        <f>IF(ISNUMBER(SEARCH('Φόρμα Εισαγωγής'!$B$2,C4336)),MAX($B$1:B4335)+1,0)</f>
        <v>0</v>
      </c>
      <c r="D4336" s="33">
        <f>IF(ISNUMBER(SEARCH('Φόρμα Εισαγωγής'!$C$2,E4336)),MAX($D$1:D4335)+1,0)</f>
        <v>0</v>
      </c>
      <c r="H4336" s="6">
        <f t="shared" si="212"/>
        <v>0</v>
      </c>
      <c r="I4336" s="6">
        <f t="shared" si="213"/>
        <v>0</v>
      </c>
      <c r="J4336" s="6">
        <f t="shared" si="214"/>
        <v>0</v>
      </c>
      <c r="L4336" s="4" t="str">
        <f>IFERROR(VLOOKUP(ROWS($L$2:L4336),$B$2:$C$1996,2,0),"")</f>
        <v/>
      </c>
      <c r="N4336" s="2" t="str">
        <f>IFERROR(VLOOKUP(ROWS($N$2:N4336),$D$2:$E$1996,2,0),"")</f>
        <v/>
      </c>
    </row>
    <row r="4337" spans="2:14">
      <c r="B4337" s="32">
        <f>IF(ISNUMBER(SEARCH('Φόρμα Εισαγωγής'!$B$2,C4337)),MAX($B$1:B4336)+1,0)</f>
        <v>0</v>
      </c>
      <c r="D4337" s="33">
        <f>IF(ISNUMBER(SEARCH('Φόρμα Εισαγωγής'!$C$2,E4337)),MAX($D$1:D4336)+1,0)</f>
        <v>0</v>
      </c>
      <c r="H4337" s="6">
        <f t="shared" si="212"/>
        <v>0</v>
      </c>
      <c r="I4337" s="6">
        <f t="shared" si="213"/>
        <v>0</v>
      </c>
      <c r="J4337" s="6">
        <f t="shared" si="214"/>
        <v>0</v>
      </c>
      <c r="L4337" s="4" t="str">
        <f>IFERROR(VLOOKUP(ROWS($L$2:L4337),$B$2:$C$1996,2,0),"")</f>
        <v/>
      </c>
      <c r="N4337" s="2" t="str">
        <f>IFERROR(VLOOKUP(ROWS($N$2:N4337),$D$2:$E$1996,2,0),"")</f>
        <v/>
      </c>
    </row>
    <row r="4338" spans="2:14">
      <c r="B4338" s="32">
        <f>IF(ISNUMBER(SEARCH('Φόρμα Εισαγωγής'!$B$2,C4338)),MAX($B$1:B4337)+1,0)</f>
        <v>0</v>
      </c>
      <c r="D4338" s="33">
        <f>IF(ISNUMBER(SEARCH('Φόρμα Εισαγωγής'!$C$2,E4338)),MAX($D$1:D4337)+1,0)</f>
        <v>0</v>
      </c>
      <c r="H4338" s="6">
        <f t="shared" si="212"/>
        <v>0</v>
      </c>
      <c r="I4338" s="6">
        <f t="shared" si="213"/>
        <v>0</v>
      </c>
      <c r="J4338" s="6">
        <f t="shared" si="214"/>
        <v>0</v>
      </c>
      <c r="L4338" s="4" t="str">
        <f>IFERROR(VLOOKUP(ROWS($L$2:L4338),$B$2:$C$1996,2,0),"")</f>
        <v/>
      </c>
      <c r="N4338" s="2" t="str">
        <f>IFERROR(VLOOKUP(ROWS($N$2:N4338),$D$2:$E$1996,2,0),"")</f>
        <v/>
      </c>
    </row>
    <row r="4339" spans="2:14">
      <c r="B4339" s="32">
        <f>IF(ISNUMBER(SEARCH('Φόρμα Εισαγωγής'!$B$2,C4339)),MAX($B$1:B4338)+1,0)</f>
        <v>0</v>
      </c>
      <c r="D4339" s="33">
        <f>IF(ISNUMBER(SEARCH('Φόρμα Εισαγωγής'!$C$2,E4339)),MAX($D$1:D4338)+1,0)</f>
        <v>0</v>
      </c>
      <c r="H4339" s="6">
        <f t="shared" si="212"/>
        <v>0</v>
      </c>
      <c r="I4339" s="6">
        <f t="shared" si="213"/>
        <v>0</v>
      </c>
      <c r="J4339" s="6">
        <f t="shared" si="214"/>
        <v>0</v>
      </c>
      <c r="L4339" s="4" t="str">
        <f>IFERROR(VLOOKUP(ROWS($L$2:L4339),$B$2:$C$1996,2,0),"")</f>
        <v/>
      </c>
      <c r="N4339" s="2" t="str">
        <f>IFERROR(VLOOKUP(ROWS($N$2:N4339),$D$2:$E$1996,2,0),"")</f>
        <v/>
      </c>
    </row>
    <row r="4340" spans="2:14">
      <c r="B4340" s="32">
        <f>IF(ISNUMBER(SEARCH('Φόρμα Εισαγωγής'!$B$2,C4340)),MAX($B$1:B4339)+1,0)</f>
        <v>0</v>
      </c>
      <c r="D4340" s="33">
        <f>IF(ISNUMBER(SEARCH('Φόρμα Εισαγωγής'!$C$2,E4340)),MAX($D$1:D4339)+1,0)</f>
        <v>0</v>
      </c>
      <c r="H4340" s="6">
        <f t="shared" si="212"/>
        <v>0</v>
      </c>
      <c r="I4340" s="6">
        <f t="shared" si="213"/>
        <v>0</v>
      </c>
      <c r="J4340" s="6">
        <f t="shared" si="214"/>
        <v>0</v>
      </c>
      <c r="L4340" s="4" t="str">
        <f>IFERROR(VLOOKUP(ROWS($L$2:L4340),$B$2:$C$1996,2,0),"")</f>
        <v/>
      </c>
      <c r="N4340" s="2" t="str">
        <f>IFERROR(VLOOKUP(ROWS($N$2:N4340),$D$2:$E$1996,2,0),"")</f>
        <v/>
      </c>
    </row>
    <row r="4341" spans="2:14">
      <c r="B4341" s="32">
        <f>IF(ISNUMBER(SEARCH('Φόρμα Εισαγωγής'!$B$2,C4341)),MAX($B$1:B4340)+1,0)</f>
        <v>0</v>
      </c>
      <c r="D4341" s="33">
        <f>IF(ISNUMBER(SEARCH('Φόρμα Εισαγωγής'!$C$2,E4341)),MAX($D$1:D4340)+1,0)</f>
        <v>0</v>
      </c>
      <c r="H4341" s="6">
        <f t="shared" si="212"/>
        <v>0</v>
      </c>
      <c r="I4341" s="6">
        <f t="shared" si="213"/>
        <v>0</v>
      </c>
      <c r="J4341" s="6">
        <f t="shared" si="214"/>
        <v>0</v>
      </c>
      <c r="L4341" s="4" t="str">
        <f>IFERROR(VLOOKUP(ROWS($L$2:L4341),$B$2:$C$1996,2,0),"")</f>
        <v/>
      </c>
      <c r="N4341" s="2" t="str">
        <f>IFERROR(VLOOKUP(ROWS($N$2:N4341),$D$2:$E$1996,2,0),"")</f>
        <v/>
      </c>
    </row>
    <row r="4342" spans="2:14">
      <c r="B4342" s="32">
        <f>IF(ISNUMBER(SEARCH('Φόρμα Εισαγωγής'!$B$2,C4342)),MAX($B$1:B4341)+1,0)</f>
        <v>0</v>
      </c>
      <c r="D4342" s="33">
        <f>IF(ISNUMBER(SEARCH('Φόρμα Εισαγωγής'!$C$2,E4342)),MAX($D$1:D4341)+1,0)</f>
        <v>0</v>
      </c>
      <c r="H4342" s="6">
        <f t="shared" si="212"/>
        <v>0</v>
      </c>
      <c r="I4342" s="6">
        <f t="shared" si="213"/>
        <v>0</v>
      </c>
      <c r="J4342" s="6">
        <f t="shared" si="214"/>
        <v>0</v>
      </c>
      <c r="L4342" s="4" t="str">
        <f>IFERROR(VLOOKUP(ROWS($L$2:L4342),$B$2:$C$1996,2,0),"")</f>
        <v/>
      </c>
      <c r="N4342" s="2" t="str">
        <f>IFERROR(VLOOKUP(ROWS($N$2:N4342),$D$2:$E$1996,2,0),"")</f>
        <v/>
      </c>
    </row>
    <row r="4343" spans="2:14">
      <c r="B4343" s="32">
        <f>IF(ISNUMBER(SEARCH('Φόρμα Εισαγωγής'!$B$2,C4343)),MAX($B$1:B4342)+1,0)</f>
        <v>0</v>
      </c>
      <c r="D4343" s="33">
        <f>IF(ISNUMBER(SEARCH('Φόρμα Εισαγωγής'!$C$2,E4343)),MAX($D$1:D4342)+1,0)</f>
        <v>0</v>
      </c>
      <c r="H4343" s="6">
        <f t="shared" si="212"/>
        <v>0</v>
      </c>
      <c r="I4343" s="6">
        <f t="shared" si="213"/>
        <v>0</v>
      </c>
      <c r="J4343" s="6">
        <f t="shared" si="214"/>
        <v>0</v>
      </c>
      <c r="L4343" s="4" t="str">
        <f>IFERROR(VLOOKUP(ROWS($L$2:L4343),$B$2:$C$1996,2,0),"")</f>
        <v/>
      </c>
      <c r="N4343" s="2" t="str">
        <f>IFERROR(VLOOKUP(ROWS($N$2:N4343),$D$2:$E$1996,2,0),"")</f>
        <v/>
      </c>
    </row>
    <row r="4344" spans="2:14">
      <c r="B4344" s="32">
        <f>IF(ISNUMBER(SEARCH('Φόρμα Εισαγωγής'!$B$2,C4344)),MAX($B$1:B4343)+1,0)</f>
        <v>0</v>
      </c>
      <c r="D4344" s="33">
        <f>IF(ISNUMBER(SEARCH('Φόρμα Εισαγωγής'!$C$2,E4344)),MAX($D$1:D4343)+1,0)</f>
        <v>0</v>
      </c>
      <c r="H4344" s="6">
        <f t="shared" si="212"/>
        <v>0</v>
      </c>
      <c r="I4344" s="6">
        <f t="shared" si="213"/>
        <v>0</v>
      </c>
      <c r="J4344" s="6">
        <f t="shared" si="214"/>
        <v>0</v>
      </c>
      <c r="L4344" s="4" t="str">
        <f>IFERROR(VLOOKUP(ROWS($L$2:L4344),$B$2:$C$1996,2,0),"")</f>
        <v/>
      </c>
      <c r="N4344" s="2" t="str">
        <f>IFERROR(VLOOKUP(ROWS($N$2:N4344),$D$2:$E$1996,2,0),"")</f>
        <v/>
      </c>
    </row>
    <row r="4345" spans="2:14">
      <c r="B4345" s="32">
        <f>IF(ISNUMBER(SEARCH('Φόρμα Εισαγωγής'!$B$2,C4345)),MAX($B$1:B4344)+1,0)</f>
        <v>0</v>
      </c>
      <c r="D4345" s="33">
        <f>IF(ISNUMBER(SEARCH('Φόρμα Εισαγωγής'!$C$2,E4345)),MAX($D$1:D4344)+1,0)</f>
        <v>0</v>
      </c>
      <c r="H4345" s="6">
        <f t="shared" si="212"/>
        <v>0</v>
      </c>
      <c r="I4345" s="6">
        <f t="shared" si="213"/>
        <v>0</v>
      </c>
      <c r="J4345" s="6">
        <f t="shared" si="214"/>
        <v>0</v>
      </c>
      <c r="L4345" s="4" t="str">
        <f>IFERROR(VLOOKUP(ROWS($L$2:L4345),$B$2:$C$1996,2,0),"")</f>
        <v/>
      </c>
      <c r="N4345" s="2" t="str">
        <f>IFERROR(VLOOKUP(ROWS($N$2:N4345),$D$2:$E$1996,2,0),"")</f>
        <v/>
      </c>
    </row>
    <row r="4346" spans="2:14">
      <c r="B4346" s="32">
        <f>IF(ISNUMBER(SEARCH('Φόρμα Εισαγωγής'!$B$2,C4346)),MAX($B$1:B4345)+1,0)</f>
        <v>0</v>
      </c>
      <c r="D4346" s="33">
        <f>IF(ISNUMBER(SEARCH('Φόρμα Εισαγωγής'!$C$2,E4346)),MAX($D$1:D4345)+1,0)</f>
        <v>0</v>
      </c>
      <c r="H4346" s="6">
        <f t="shared" si="212"/>
        <v>0</v>
      </c>
      <c r="I4346" s="6">
        <f t="shared" si="213"/>
        <v>0</v>
      </c>
      <c r="J4346" s="6">
        <f t="shared" si="214"/>
        <v>0</v>
      </c>
      <c r="L4346" s="4" t="str">
        <f>IFERROR(VLOOKUP(ROWS($L$2:L4346),$B$2:$C$1996,2,0),"")</f>
        <v/>
      </c>
      <c r="N4346" s="2" t="str">
        <f>IFERROR(VLOOKUP(ROWS($N$2:N4346),$D$2:$E$1996,2,0),"")</f>
        <v/>
      </c>
    </row>
    <row r="4347" spans="2:14">
      <c r="B4347" s="32">
        <f>IF(ISNUMBER(SEARCH('Φόρμα Εισαγωγής'!$B$2,C4347)),MAX($B$1:B4346)+1,0)</f>
        <v>0</v>
      </c>
      <c r="D4347" s="33">
        <f>IF(ISNUMBER(SEARCH('Φόρμα Εισαγωγής'!$C$2,E4347)),MAX($D$1:D4346)+1,0)</f>
        <v>0</v>
      </c>
      <c r="H4347" s="6">
        <f t="shared" si="212"/>
        <v>0</v>
      </c>
      <c r="I4347" s="6">
        <f t="shared" si="213"/>
        <v>0</v>
      </c>
      <c r="J4347" s="6">
        <f t="shared" si="214"/>
        <v>0</v>
      </c>
      <c r="L4347" s="4" t="str">
        <f>IFERROR(VLOOKUP(ROWS($L$2:L4347),$B$2:$C$1996,2,0),"")</f>
        <v/>
      </c>
      <c r="N4347" s="2" t="str">
        <f>IFERROR(VLOOKUP(ROWS($N$2:N4347),$D$2:$E$1996,2,0),"")</f>
        <v/>
      </c>
    </row>
    <row r="4348" spans="2:14">
      <c r="B4348" s="32">
        <f>IF(ISNUMBER(SEARCH('Φόρμα Εισαγωγής'!$B$2,C4348)),MAX($B$1:B4347)+1,0)</f>
        <v>0</v>
      </c>
      <c r="D4348" s="33">
        <f>IF(ISNUMBER(SEARCH('Φόρμα Εισαγωγής'!$C$2,E4348)),MAX($D$1:D4347)+1,0)</f>
        <v>0</v>
      </c>
      <c r="H4348" s="6">
        <f t="shared" si="212"/>
        <v>0</v>
      </c>
      <c r="I4348" s="6">
        <f t="shared" si="213"/>
        <v>0</v>
      </c>
      <c r="J4348" s="6">
        <f t="shared" si="214"/>
        <v>0</v>
      </c>
      <c r="L4348" s="4" t="str">
        <f>IFERROR(VLOOKUP(ROWS($L$2:L4348),$B$2:$C$1996,2,0),"")</f>
        <v/>
      </c>
      <c r="N4348" s="2" t="str">
        <f>IFERROR(VLOOKUP(ROWS($N$2:N4348),$D$2:$E$1996,2,0),"")</f>
        <v/>
      </c>
    </row>
    <row r="4349" spans="2:14">
      <c r="B4349" s="32">
        <f>IF(ISNUMBER(SEARCH('Φόρμα Εισαγωγής'!$B$2,C4349)),MAX($B$1:B4348)+1,0)</f>
        <v>0</v>
      </c>
      <c r="D4349" s="33">
        <f>IF(ISNUMBER(SEARCH('Φόρμα Εισαγωγής'!$C$2,E4349)),MAX($D$1:D4348)+1,0)</f>
        <v>0</v>
      </c>
      <c r="H4349" s="6">
        <f t="shared" si="212"/>
        <v>0</v>
      </c>
      <c r="I4349" s="6">
        <f t="shared" si="213"/>
        <v>0</v>
      </c>
      <c r="J4349" s="6">
        <f t="shared" si="214"/>
        <v>0</v>
      </c>
      <c r="L4349" s="4" t="str">
        <f>IFERROR(VLOOKUP(ROWS($L$2:L4349),$B$2:$C$1996,2,0),"")</f>
        <v/>
      </c>
      <c r="N4349" s="2" t="str">
        <f>IFERROR(VLOOKUP(ROWS($N$2:N4349),$D$2:$E$1996,2,0),"")</f>
        <v/>
      </c>
    </row>
    <row r="4350" spans="2:14">
      <c r="B4350" s="32">
        <f>IF(ISNUMBER(SEARCH('Φόρμα Εισαγωγής'!$B$2,C4350)),MAX($B$1:B4349)+1,0)</f>
        <v>0</v>
      </c>
      <c r="D4350" s="33">
        <f>IF(ISNUMBER(SEARCH('Φόρμα Εισαγωγής'!$C$2,E4350)),MAX($D$1:D4349)+1,0)</f>
        <v>0</v>
      </c>
      <c r="H4350" s="6">
        <f t="shared" si="212"/>
        <v>0</v>
      </c>
      <c r="I4350" s="6">
        <f t="shared" si="213"/>
        <v>0</v>
      </c>
      <c r="J4350" s="6">
        <f t="shared" si="214"/>
        <v>0</v>
      </c>
      <c r="L4350" s="4" t="str">
        <f>IFERROR(VLOOKUP(ROWS($L$2:L4350),$B$2:$C$1996,2,0),"")</f>
        <v/>
      </c>
      <c r="N4350" s="2" t="str">
        <f>IFERROR(VLOOKUP(ROWS($N$2:N4350),$D$2:$E$1996,2,0),"")</f>
        <v/>
      </c>
    </row>
    <row r="4351" spans="2:14">
      <c r="B4351" s="32">
        <f>IF(ISNUMBER(SEARCH('Φόρμα Εισαγωγής'!$B$2,C4351)),MAX($B$1:B4350)+1,0)</f>
        <v>0</v>
      </c>
      <c r="D4351" s="33">
        <f>IF(ISNUMBER(SEARCH('Φόρμα Εισαγωγής'!$C$2,E4351)),MAX($D$1:D4350)+1,0)</f>
        <v>0</v>
      </c>
      <c r="H4351" s="6">
        <f t="shared" si="212"/>
        <v>0</v>
      </c>
      <c r="I4351" s="6">
        <f t="shared" si="213"/>
        <v>0</v>
      </c>
      <c r="J4351" s="6">
        <f t="shared" si="214"/>
        <v>0</v>
      </c>
      <c r="L4351" s="4" t="str">
        <f>IFERROR(VLOOKUP(ROWS($L$2:L4351),$B$2:$C$1996,2,0),"")</f>
        <v/>
      </c>
      <c r="N4351" s="2" t="str">
        <f>IFERROR(VLOOKUP(ROWS($N$2:N4351),$D$2:$E$1996,2,0),"")</f>
        <v/>
      </c>
    </row>
    <row r="4352" spans="2:14">
      <c r="B4352" s="32">
        <f>IF(ISNUMBER(SEARCH('Φόρμα Εισαγωγής'!$B$2,C4352)),MAX($B$1:B4351)+1,0)</f>
        <v>0</v>
      </c>
      <c r="D4352" s="33">
        <f>IF(ISNUMBER(SEARCH('Φόρμα Εισαγωγής'!$C$2,E4352)),MAX($D$1:D4351)+1,0)</f>
        <v>0</v>
      </c>
      <c r="H4352" s="6">
        <f t="shared" ref="H4352:H4415" si="215">G4352+(G4352*0.24)</f>
        <v>0</v>
      </c>
      <c r="I4352" s="6">
        <f t="shared" ref="I4352:I4415" si="216">F4352*A4352</f>
        <v>0</v>
      </c>
      <c r="J4352" s="6">
        <f t="shared" ref="J4352:J4415" si="217">H4352*A4352</f>
        <v>0</v>
      </c>
      <c r="L4352" s="4" t="str">
        <f>IFERROR(VLOOKUP(ROWS($L$2:L4352),$B$2:$C$1996,2,0),"")</f>
        <v/>
      </c>
      <c r="N4352" s="2" t="str">
        <f>IFERROR(VLOOKUP(ROWS($N$2:N4352),$D$2:$E$1996,2,0),"")</f>
        <v/>
      </c>
    </row>
    <row r="4353" spans="2:14">
      <c r="B4353" s="32">
        <f>IF(ISNUMBER(SEARCH('Φόρμα Εισαγωγής'!$B$2,C4353)),MAX($B$1:B4352)+1,0)</f>
        <v>0</v>
      </c>
      <c r="D4353" s="33">
        <f>IF(ISNUMBER(SEARCH('Φόρμα Εισαγωγής'!$C$2,E4353)),MAX($D$1:D4352)+1,0)</f>
        <v>0</v>
      </c>
      <c r="H4353" s="6">
        <f t="shared" si="215"/>
        <v>0</v>
      </c>
      <c r="I4353" s="6">
        <f t="shared" si="216"/>
        <v>0</v>
      </c>
      <c r="J4353" s="6">
        <f t="shared" si="217"/>
        <v>0</v>
      </c>
      <c r="L4353" s="4" t="str">
        <f>IFERROR(VLOOKUP(ROWS($L$2:L4353),$B$2:$C$1996,2,0),"")</f>
        <v/>
      </c>
      <c r="N4353" s="2" t="str">
        <f>IFERROR(VLOOKUP(ROWS($N$2:N4353),$D$2:$E$1996,2,0),"")</f>
        <v/>
      </c>
    </row>
    <row r="4354" spans="2:14">
      <c r="B4354" s="32">
        <f>IF(ISNUMBER(SEARCH('Φόρμα Εισαγωγής'!$B$2,C4354)),MAX($B$1:B4353)+1,0)</f>
        <v>0</v>
      </c>
      <c r="D4354" s="33">
        <f>IF(ISNUMBER(SEARCH('Φόρμα Εισαγωγής'!$C$2,E4354)),MAX($D$1:D4353)+1,0)</f>
        <v>0</v>
      </c>
      <c r="H4354" s="6">
        <f t="shared" si="215"/>
        <v>0</v>
      </c>
      <c r="I4354" s="6">
        <f t="shared" si="216"/>
        <v>0</v>
      </c>
      <c r="J4354" s="6">
        <f t="shared" si="217"/>
        <v>0</v>
      </c>
      <c r="L4354" s="4" t="str">
        <f>IFERROR(VLOOKUP(ROWS($L$2:L4354),$B$2:$C$1996,2,0),"")</f>
        <v/>
      </c>
      <c r="N4354" s="2" t="str">
        <f>IFERROR(VLOOKUP(ROWS($N$2:N4354),$D$2:$E$1996,2,0),"")</f>
        <v/>
      </c>
    </row>
    <row r="4355" spans="2:14">
      <c r="B4355" s="32">
        <f>IF(ISNUMBER(SEARCH('Φόρμα Εισαγωγής'!$B$2,C4355)),MAX($B$1:B4354)+1,0)</f>
        <v>0</v>
      </c>
      <c r="D4355" s="33">
        <f>IF(ISNUMBER(SEARCH('Φόρμα Εισαγωγής'!$C$2,E4355)),MAX($D$1:D4354)+1,0)</f>
        <v>0</v>
      </c>
      <c r="H4355" s="6">
        <f t="shared" si="215"/>
        <v>0</v>
      </c>
      <c r="I4355" s="6">
        <f t="shared" si="216"/>
        <v>0</v>
      </c>
      <c r="J4355" s="6">
        <f t="shared" si="217"/>
        <v>0</v>
      </c>
      <c r="L4355" s="4" t="str">
        <f>IFERROR(VLOOKUP(ROWS($L$2:L4355),$B$2:$C$1996,2,0),"")</f>
        <v/>
      </c>
      <c r="N4355" s="2" t="str">
        <f>IFERROR(VLOOKUP(ROWS($N$2:N4355),$D$2:$E$1996,2,0),"")</f>
        <v/>
      </c>
    </row>
    <row r="4356" spans="2:14">
      <c r="B4356" s="32">
        <f>IF(ISNUMBER(SEARCH('Φόρμα Εισαγωγής'!$B$2,C4356)),MAX($B$1:B4355)+1,0)</f>
        <v>0</v>
      </c>
      <c r="D4356" s="33">
        <f>IF(ISNUMBER(SEARCH('Φόρμα Εισαγωγής'!$C$2,E4356)),MAX($D$1:D4355)+1,0)</f>
        <v>0</v>
      </c>
      <c r="H4356" s="6">
        <f t="shared" si="215"/>
        <v>0</v>
      </c>
      <c r="I4356" s="6">
        <f t="shared" si="216"/>
        <v>0</v>
      </c>
      <c r="J4356" s="6">
        <f t="shared" si="217"/>
        <v>0</v>
      </c>
      <c r="L4356" s="4" t="str">
        <f>IFERROR(VLOOKUP(ROWS($L$2:L4356),$B$2:$C$1996,2,0),"")</f>
        <v/>
      </c>
      <c r="N4356" s="2" t="str">
        <f>IFERROR(VLOOKUP(ROWS($N$2:N4356),$D$2:$E$1996,2,0),"")</f>
        <v/>
      </c>
    </row>
    <row r="4357" spans="2:14">
      <c r="B4357" s="32">
        <f>IF(ISNUMBER(SEARCH('Φόρμα Εισαγωγής'!$B$2,C4357)),MAX($B$1:B4356)+1,0)</f>
        <v>0</v>
      </c>
      <c r="D4357" s="33">
        <f>IF(ISNUMBER(SEARCH('Φόρμα Εισαγωγής'!$C$2,E4357)),MAX($D$1:D4356)+1,0)</f>
        <v>0</v>
      </c>
      <c r="H4357" s="6">
        <f t="shared" si="215"/>
        <v>0</v>
      </c>
      <c r="I4357" s="6">
        <f t="shared" si="216"/>
        <v>0</v>
      </c>
      <c r="J4357" s="6">
        <f t="shared" si="217"/>
        <v>0</v>
      </c>
      <c r="L4357" s="4" t="str">
        <f>IFERROR(VLOOKUP(ROWS($L$2:L4357),$B$2:$C$1996,2,0),"")</f>
        <v/>
      </c>
      <c r="N4357" s="2" t="str">
        <f>IFERROR(VLOOKUP(ROWS($N$2:N4357),$D$2:$E$1996,2,0),"")</f>
        <v/>
      </c>
    </row>
    <row r="4358" spans="2:14">
      <c r="B4358" s="32">
        <f>IF(ISNUMBER(SEARCH('Φόρμα Εισαγωγής'!$B$2,C4358)),MAX($B$1:B4357)+1,0)</f>
        <v>0</v>
      </c>
      <c r="D4358" s="33">
        <f>IF(ISNUMBER(SEARCH('Φόρμα Εισαγωγής'!$C$2,E4358)),MAX($D$1:D4357)+1,0)</f>
        <v>0</v>
      </c>
      <c r="H4358" s="6">
        <f t="shared" si="215"/>
        <v>0</v>
      </c>
      <c r="I4358" s="6">
        <f t="shared" si="216"/>
        <v>0</v>
      </c>
      <c r="J4358" s="6">
        <f t="shared" si="217"/>
        <v>0</v>
      </c>
      <c r="L4358" s="4" t="str">
        <f>IFERROR(VLOOKUP(ROWS($L$2:L4358),$B$2:$C$1996,2,0),"")</f>
        <v/>
      </c>
      <c r="N4358" s="2" t="str">
        <f>IFERROR(VLOOKUP(ROWS($N$2:N4358),$D$2:$E$1996,2,0),"")</f>
        <v/>
      </c>
    </row>
    <row r="4359" spans="2:14">
      <c r="B4359" s="32">
        <f>IF(ISNUMBER(SEARCH('Φόρμα Εισαγωγής'!$B$2,C4359)),MAX($B$1:B4358)+1,0)</f>
        <v>0</v>
      </c>
      <c r="D4359" s="33">
        <f>IF(ISNUMBER(SEARCH('Φόρμα Εισαγωγής'!$C$2,E4359)),MAX($D$1:D4358)+1,0)</f>
        <v>0</v>
      </c>
      <c r="H4359" s="6">
        <f t="shared" si="215"/>
        <v>0</v>
      </c>
      <c r="I4359" s="6">
        <f t="shared" si="216"/>
        <v>0</v>
      </c>
      <c r="J4359" s="6">
        <f t="shared" si="217"/>
        <v>0</v>
      </c>
      <c r="L4359" s="4" t="str">
        <f>IFERROR(VLOOKUP(ROWS($L$2:L4359),$B$2:$C$1996,2,0),"")</f>
        <v/>
      </c>
      <c r="N4359" s="2" t="str">
        <f>IFERROR(VLOOKUP(ROWS($N$2:N4359),$D$2:$E$1996,2,0),"")</f>
        <v/>
      </c>
    </row>
    <row r="4360" spans="2:14">
      <c r="B4360" s="32">
        <f>IF(ISNUMBER(SEARCH('Φόρμα Εισαγωγής'!$B$2,C4360)),MAX($B$1:B4359)+1,0)</f>
        <v>0</v>
      </c>
      <c r="D4360" s="33">
        <f>IF(ISNUMBER(SEARCH('Φόρμα Εισαγωγής'!$C$2,E4360)),MAX($D$1:D4359)+1,0)</f>
        <v>0</v>
      </c>
      <c r="H4360" s="6">
        <f t="shared" si="215"/>
        <v>0</v>
      </c>
      <c r="I4360" s="6">
        <f t="shared" si="216"/>
        <v>0</v>
      </c>
      <c r="J4360" s="6">
        <f t="shared" si="217"/>
        <v>0</v>
      </c>
      <c r="L4360" s="4" t="str">
        <f>IFERROR(VLOOKUP(ROWS($L$2:L4360),$B$2:$C$1996,2,0),"")</f>
        <v/>
      </c>
      <c r="N4360" s="2" t="str">
        <f>IFERROR(VLOOKUP(ROWS($N$2:N4360),$D$2:$E$1996,2,0),"")</f>
        <v/>
      </c>
    </row>
    <row r="4361" spans="2:14">
      <c r="B4361" s="32">
        <f>IF(ISNUMBER(SEARCH('Φόρμα Εισαγωγής'!$B$2,C4361)),MAX($B$1:B4360)+1,0)</f>
        <v>0</v>
      </c>
      <c r="D4361" s="33">
        <f>IF(ISNUMBER(SEARCH('Φόρμα Εισαγωγής'!$C$2,E4361)),MAX($D$1:D4360)+1,0)</f>
        <v>0</v>
      </c>
      <c r="H4361" s="6">
        <f t="shared" si="215"/>
        <v>0</v>
      </c>
      <c r="I4361" s="6">
        <f t="shared" si="216"/>
        <v>0</v>
      </c>
      <c r="J4361" s="6">
        <f t="shared" si="217"/>
        <v>0</v>
      </c>
      <c r="L4361" s="4" t="str">
        <f>IFERROR(VLOOKUP(ROWS($L$2:L4361),$B$2:$C$1996,2,0),"")</f>
        <v/>
      </c>
      <c r="N4361" s="2" t="str">
        <f>IFERROR(VLOOKUP(ROWS($N$2:N4361),$D$2:$E$1996,2,0),"")</f>
        <v/>
      </c>
    </row>
    <row r="4362" spans="2:14">
      <c r="B4362" s="32">
        <f>IF(ISNUMBER(SEARCH('Φόρμα Εισαγωγής'!$B$2,C4362)),MAX($B$1:B4361)+1,0)</f>
        <v>0</v>
      </c>
      <c r="D4362" s="33">
        <f>IF(ISNUMBER(SEARCH('Φόρμα Εισαγωγής'!$C$2,E4362)),MAX($D$1:D4361)+1,0)</f>
        <v>0</v>
      </c>
      <c r="H4362" s="6">
        <f t="shared" si="215"/>
        <v>0</v>
      </c>
      <c r="I4362" s="6">
        <f t="shared" si="216"/>
        <v>0</v>
      </c>
      <c r="J4362" s="6">
        <f t="shared" si="217"/>
        <v>0</v>
      </c>
      <c r="L4362" s="4" t="str">
        <f>IFERROR(VLOOKUP(ROWS($L$2:L4362),$B$2:$C$1996,2,0),"")</f>
        <v/>
      </c>
      <c r="N4362" s="2" t="str">
        <f>IFERROR(VLOOKUP(ROWS($N$2:N4362),$D$2:$E$1996,2,0),"")</f>
        <v/>
      </c>
    </row>
    <row r="4363" spans="2:14">
      <c r="B4363" s="32">
        <f>IF(ISNUMBER(SEARCH('Φόρμα Εισαγωγής'!$B$2,C4363)),MAX($B$1:B4362)+1,0)</f>
        <v>0</v>
      </c>
      <c r="D4363" s="33">
        <f>IF(ISNUMBER(SEARCH('Φόρμα Εισαγωγής'!$C$2,E4363)),MAX($D$1:D4362)+1,0)</f>
        <v>0</v>
      </c>
      <c r="H4363" s="6">
        <f t="shared" si="215"/>
        <v>0</v>
      </c>
      <c r="I4363" s="6">
        <f t="shared" si="216"/>
        <v>0</v>
      </c>
      <c r="J4363" s="6">
        <f t="shared" si="217"/>
        <v>0</v>
      </c>
      <c r="L4363" s="4" t="str">
        <f>IFERROR(VLOOKUP(ROWS($L$2:L4363),$B$2:$C$1996,2,0),"")</f>
        <v/>
      </c>
      <c r="N4363" s="2" t="str">
        <f>IFERROR(VLOOKUP(ROWS($N$2:N4363),$D$2:$E$1996,2,0),"")</f>
        <v/>
      </c>
    </row>
    <row r="4364" spans="2:14">
      <c r="B4364" s="32">
        <f>IF(ISNUMBER(SEARCH('Φόρμα Εισαγωγής'!$B$2,C4364)),MAX($B$1:B4363)+1,0)</f>
        <v>0</v>
      </c>
      <c r="D4364" s="33">
        <f>IF(ISNUMBER(SEARCH('Φόρμα Εισαγωγής'!$C$2,E4364)),MAX($D$1:D4363)+1,0)</f>
        <v>0</v>
      </c>
      <c r="H4364" s="6">
        <f t="shared" si="215"/>
        <v>0</v>
      </c>
      <c r="I4364" s="6">
        <f t="shared" si="216"/>
        <v>0</v>
      </c>
      <c r="J4364" s="6">
        <f t="shared" si="217"/>
        <v>0</v>
      </c>
      <c r="L4364" s="4" t="str">
        <f>IFERROR(VLOOKUP(ROWS($L$2:L4364),$B$2:$C$1996,2,0),"")</f>
        <v/>
      </c>
      <c r="N4364" s="2" t="str">
        <f>IFERROR(VLOOKUP(ROWS($N$2:N4364),$D$2:$E$1996,2,0),"")</f>
        <v/>
      </c>
    </row>
    <row r="4365" spans="2:14">
      <c r="B4365" s="32">
        <f>IF(ISNUMBER(SEARCH('Φόρμα Εισαγωγής'!$B$2,C4365)),MAX($B$1:B4364)+1,0)</f>
        <v>0</v>
      </c>
      <c r="D4365" s="33">
        <f>IF(ISNUMBER(SEARCH('Φόρμα Εισαγωγής'!$C$2,E4365)),MAX($D$1:D4364)+1,0)</f>
        <v>0</v>
      </c>
      <c r="H4365" s="6">
        <f t="shared" si="215"/>
        <v>0</v>
      </c>
      <c r="I4365" s="6">
        <f t="shared" si="216"/>
        <v>0</v>
      </c>
      <c r="J4365" s="6">
        <f t="shared" si="217"/>
        <v>0</v>
      </c>
      <c r="L4365" s="4" t="str">
        <f>IFERROR(VLOOKUP(ROWS($L$2:L4365),$B$2:$C$1996,2,0),"")</f>
        <v/>
      </c>
      <c r="N4365" s="2" t="str">
        <f>IFERROR(VLOOKUP(ROWS($N$2:N4365),$D$2:$E$1996,2,0),"")</f>
        <v/>
      </c>
    </row>
    <row r="4366" spans="2:14">
      <c r="B4366" s="32">
        <f>IF(ISNUMBER(SEARCH('Φόρμα Εισαγωγής'!$B$2,C4366)),MAX($B$1:B4365)+1,0)</f>
        <v>0</v>
      </c>
      <c r="D4366" s="33">
        <f>IF(ISNUMBER(SEARCH('Φόρμα Εισαγωγής'!$C$2,E4366)),MAX($D$1:D4365)+1,0)</f>
        <v>0</v>
      </c>
      <c r="H4366" s="6">
        <f t="shared" si="215"/>
        <v>0</v>
      </c>
      <c r="I4366" s="6">
        <f t="shared" si="216"/>
        <v>0</v>
      </c>
      <c r="J4366" s="6">
        <f t="shared" si="217"/>
        <v>0</v>
      </c>
      <c r="L4366" s="4" t="str">
        <f>IFERROR(VLOOKUP(ROWS($L$2:L4366),$B$2:$C$1996,2,0),"")</f>
        <v/>
      </c>
      <c r="N4366" s="2" t="str">
        <f>IFERROR(VLOOKUP(ROWS($N$2:N4366),$D$2:$E$1996,2,0),"")</f>
        <v/>
      </c>
    </row>
    <row r="4367" spans="2:14">
      <c r="B4367" s="32">
        <f>IF(ISNUMBER(SEARCH('Φόρμα Εισαγωγής'!$B$2,C4367)),MAX($B$1:B4366)+1,0)</f>
        <v>0</v>
      </c>
      <c r="D4367" s="33">
        <f>IF(ISNUMBER(SEARCH('Φόρμα Εισαγωγής'!$C$2,E4367)),MAX($D$1:D4366)+1,0)</f>
        <v>0</v>
      </c>
      <c r="H4367" s="6">
        <f t="shared" si="215"/>
        <v>0</v>
      </c>
      <c r="I4367" s="6">
        <f t="shared" si="216"/>
        <v>0</v>
      </c>
      <c r="J4367" s="6">
        <f t="shared" si="217"/>
        <v>0</v>
      </c>
      <c r="L4367" s="4" t="str">
        <f>IFERROR(VLOOKUP(ROWS($L$2:L4367),$B$2:$C$1996,2,0),"")</f>
        <v/>
      </c>
      <c r="N4367" s="2" t="str">
        <f>IFERROR(VLOOKUP(ROWS($N$2:N4367),$D$2:$E$1996,2,0),"")</f>
        <v/>
      </c>
    </row>
    <row r="4368" spans="2:14">
      <c r="B4368" s="32">
        <f>IF(ISNUMBER(SEARCH('Φόρμα Εισαγωγής'!$B$2,C4368)),MAX($B$1:B4367)+1,0)</f>
        <v>0</v>
      </c>
      <c r="D4368" s="33">
        <f>IF(ISNUMBER(SEARCH('Φόρμα Εισαγωγής'!$C$2,E4368)),MAX($D$1:D4367)+1,0)</f>
        <v>0</v>
      </c>
      <c r="H4368" s="6">
        <f t="shared" si="215"/>
        <v>0</v>
      </c>
      <c r="I4368" s="6">
        <f t="shared" si="216"/>
        <v>0</v>
      </c>
      <c r="J4368" s="6">
        <f t="shared" si="217"/>
        <v>0</v>
      </c>
      <c r="L4368" s="4" t="str">
        <f>IFERROR(VLOOKUP(ROWS($L$2:L4368),$B$2:$C$1996,2,0),"")</f>
        <v/>
      </c>
      <c r="N4368" s="2" t="str">
        <f>IFERROR(VLOOKUP(ROWS($N$2:N4368),$D$2:$E$1996,2,0),"")</f>
        <v/>
      </c>
    </row>
    <row r="4369" spans="2:14">
      <c r="B4369" s="32">
        <f>IF(ISNUMBER(SEARCH('Φόρμα Εισαγωγής'!$B$2,C4369)),MAX($B$1:B4368)+1,0)</f>
        <v>0</v>
      </c>
      <c r="D4369" s="33">
        <f>IF(ISNUMBER(SEARCH('Φόρμα Εισαγωγής'!$C$2,E4369)),MAX($D$1:D4368)+1,0)</f>
        <v>0</v>
      </c>
      <c r="H4369" s="6">
        <f t="shared" si="215"/>
        <v>0</v>
      </c>
      <c r="I4369" s="6">
        <f t="shared" si="216"/>
        <v>0</v>
      </c>
      <c r="J4369" s="6">
        <f t="shared" si="217"/>
        <v>0</v>
      </c>
      <c r="L4369" s="4" t="str">
        <f>IFERROR(VLOOKUP(ROWS($L$2:L4369),$B$2:$C$1996,2,0),"")</f>
        <v/>
      </c>
      <c r="N4369" s="2" t="str">
        <f>IFERROR(VLOOKUP(ROWS($N$2:N4369),$D$2:$E$1996,2,0),"")</f>
        <v/>
      </c>
    </row>
    <row r="4370" spans="2:14">
      <c r="B4370" s="32">
        <f>IF(ISNUMBER(SEARCH('Φόρμα Εισαγωγής'!$B$2,C4370)),MAX($B$1:B4369)+1,0)</f>
        <v>0</v>
      </c>
      <c r="D4370" s="33">
        <f>IF(ISNUMBER(SEARCH('Φόρμα Εισαγωγής'!$C$2,E4370)),MAX($D$1:D4369)+1,0)</f>
        <v>0</v>
      </c>
      <c r="H4370" s="6">
        <f t="shared" si="215"/>
        <v>0</v>
      </c>
      <c r="I4370" s="6">
        <f t="shared" si="216"/>
        <v>0</v>
      </c>
      <c r="J4370" s="6">
        <f t="shared" si="217"/>
        <v>0</v>
      </c>
      <c r="L4370" s="4" t="str">
        <f>IFERROR(VLOOKUP(ROWS($L$2:L4370),$B$2:$C$1996,2,0),"")</f>
        <v/>
      </c>
      <c r="N4370" s="2" t="str">
        <f>IFERROR(VLOOKUP(ROWS($N$2:N4370),$D$2:$E$1996,2,0),"")</f>
        <v/>
      </c>
    </row>
    <row r="4371" spans="2:14">
      <c r="B4371" s="32">
        <f>IF(ISNUMBER(SEARCH('Φόρμα Εισαγωγής'!$B$2,C4371)),MAX($B$1:B4370)+1,0)</f>
        <v>0</v>
      </c>
      <c r="D4371" s="33">
        <f>IF(ISNUMBER(SEARCH('Φόρμα Εισαγωγής'!$C$2,E4371)),MAX($D$1:D4370)+1,0)</f>
        <v>0</v>
      </c>
      <c r="H4371" s="6">
        <f t="shared" si="215"/>
        <v>0</v>
      </c>
      <c r="I4371" s="6">
        <f t="shared" si="216"/>
        <v>0</v>
      </c>
      <c r="J4371" s="6">
        <f t="shared" si="217"/>
        <v>0</v>
      </c>
      <c r="L4371" s="4" t="str">
        <f>IFERROR(VLOOKUP(ROWS($L$2:L4371),$B$2:$C$1996,2,0),"")</f>
        <v/>
      </c>
      <c r="N4371" s="2" t="str">
        <f>IFERROR(VLOOKUP(ROWS($N$2:N4371),$D$2:$E$1996,2,0),"")</f>
        <v/>
      </c>
    </row>
    <row r="4372" spans="2:14">
      <c r="B4372" s="32">
        <f>IF(ISNUMBER(SEARCH('Φόρμα Εισαγωγής'!$B$2,C4372)),MAX($B$1:B4371)+1,0)</f>
        <v>0</v>
      </c>
      <c r="D4372" s="33">
        <f>IF(ISNUMBER(SEARCH('Φόρμα Εισαγωγής'!$C$2,E4372)),MAX($D$1:D4371)+1,0)</f>
        <v>0</v>
      </c>
      <c r="H4372" s="6">
        <f t="shared" si="215"/>
        <v>0</v>
      </c>
      <c r="I4372" s="6">
        <f t="shared" si="216"/>
        <v>0</v>
      </c>
      <c r="J4372" s="6">
        <f t="shared" si="217"/>
        <v>0</v>
      </c>
      <c r="L4372" s="4" t="str">
        <f>IFERROR(VLOOKUP(ROWS($L$2:L4372),$B$2:$C$1996,2,0),"")</f>
        <v/>
      </c>
      <c r="N4372" s="2" t="str">
        <f>IFERROR(VLOOKUP(ROWS($N$2:N4372),$D$2:$E$1996,2,0),"")</f>
        <v/>
      </c>
    </row>
    <row r="4373" spans="2:14">
      <c r="B4373" s="32">
        <f>IF(ISNUMBER(SEARCH('Φόρμα Εισαγωγής'!$B$2,C4373)),MAX($B$1:B4372)+1,0)</f>
        <v>0</v>
      </c>
      <c r="D4373" s="33">
        <f>IF(ISNUMBER(SEARCH('Φόρμα Εισαγωγής'!$C$2,E4373)),MAX($D$1:D4372)+1,0)</f>
        <v>0</v>
      </c>
      <c r="H4373" s="6">
        <f t="shared" si="215"/>
        <v>0</v>
      </c>
      <c r="I4373" s="6">
        <f t="shared" si="216"/>
        <v>0</v>
      </c>
      <c r="J4373" s="6">
        <f t="shared" si="217"/>
        <v>0</v>
      </c>
      <c r="L4373" s="4" t="str">
        <f>IFERROR(VLOOKUP(ROWS($L$2:L4373),$B$2:$C$1996,2,0),"")</f>
        <v/>
      </c>
      <c r="N4373" s="2" t="str">
        <f>IFERROR(VLOOKUP(ROWS($N$2:N4373),$D$2:$E$1996,2,0),"")</f>
        <v/>
      </c>
    </row>
    <row r="4374" spans="2:14">
      <c r="B4374" s="32">
        <f>IF(ISNUMBER(SEARCH('Φόρμα Εισαγωγής'!$B$2,C4374)),MAX($B$1:B4373)+1,0)</f>
        <v>0</v>
      </c>
      <c r="D4374" s="33">
        <f>IF(ISNUMBER(SEARCH('Φόρμα Εισαγωγής'!$C$2,E4374)),MAX($D$1:D4373)+1,0)</f>
        <v>0</v>
      </c>
      <c r="H4374" s="6">
        <f t="shared" si="215"/>
        <v>0</v>
      </c>
      <c r="I4374" s="6">
        <f t="shared" si="216"/>
        <v>0</v>
      </c>
      <c r="J4374" s="6">
        <f t="shared" si="217"/>
        <v>0</v>
      </c>
      <c r="L4374" s="4" t="str">
        <f>IFERROR(VLOOKUP(ROWS($L$2:L4374),$B$2:$C$1996,2,0),"")</f>
        <v/>
      </c>
      <c r="N4374" s="2" t="str">
        <f>IFERROR(VLOOKUP(ROWS($N$2:N4374),$D$2:$E$1996,2,0),"")</f>
        <v/>
      </c>
    </row>
    <row r="4375" spans="2:14">
      <c r="B4375" s="32">
        <f>IF(ISNUMBER(SEARCH('Φόρμα Εισαγωγής'!$B$2,C4375)),MAX($B$1:B4374)+1,0)</f>
        <v>0</v>
      </c>
      <c r="D4375" s="33">
        <f>IF(ISNUMBER(SEARCH('Φόρμα Εισαγωγής'!$C$2,E4375)),MAX($D$1:D4374)+1,0)</f>
        <v>0</v>
      </c>
      <c r="H4375" s="6">
        <f t="shared" si="215"/>
        <v>0</v>
      </c>
      <c r="I4375" s="6">
        <f t="shared" si="216"/>
        <v>0</v>
      </c>
      <c r="J4375" s="6">
        <f t="shared" si="217"/>
        <v>0</v>
      </c>
      <c r="L4375" s="4" t="str">
        <f>IFERROR(VLOOKUP(ROWS($L$2:L4375),$B$2:$C$1996,2,0),"")</f>
        <v/>
      </c>
      <c r="N4375" s="2" t="str">
        <f>IFERROR(VLOOKUP(ROWS($N$2:N4375),$D$2:$E$1996,2,0),"")</f>
        <v/>
      </c>
    </row>
    <row r="4376" spans="2:14">
      <c r="B4376" s="32">
        <f>IF(ISNUMBER(SEARCH('Φόρμα Εισαγωγής'!$B$2,C4376)),MAX($B$1:B4375)+1,0)</f>
        <v>0</v>
      </c>
      <c r="D4376" s="33">
        <f>IF(ISNUMBER(SEARCH('Φόρμα Εισαγωγής'!$C$2,E4376)),MAX($D$1:D4375)+1,0)</f>
        <v>0</v>
      </c>
      <c r="H4376" s="6">
        <f t="shared" si="215"/>
        <v>0</v>
      </c>
      <c r="I4376" s="6">
        <f t="shared" si="216"/>
        <v>0</v>
      </c>
      <c r="J4376" s="6">
        <f t="shared" si="217"/>
        <v>0</v>
      </c>
      <c r="L4376" s="4" t="str">
        <f>IFERROR(VLOOKUP(ROWS($L$2:L4376),$B$2:$C$1996,2,0),"")</f>
        <v/>
      </c>
      <c r="N4376" s="2" t="str">
        <f>IFERROR(VLOOKUP(ROWS($N$2:N4376),$D$2:$E$1996,2,0),"")</f>
        <v/>
      </c>
    </row>
    <row r="4377" spans="2:14">
      <c r="B4377" s="32">
        <f>IF(ISNUMBER(SEARCH('Φόρμα Εισαγωγής'!$B$2,C4377)),MAX($B$1:B4376)+1,0)</f>
        <v>0</v>
      </c>
      <c r="D4377" s="33">
        <f>IF(ISNUMBER(SEARCH('Φόρμα Εισαγωγής'!$C$2,E4377)),MAX($D$1:D4376)+1,0)</f>
        <v>0</v>
      </c>
      <c r="H4377" s="6">
        <f t="shared" si="215"/>
        <v>0</v>
      </c>
      <c r="I4377" s="6">
        <f t="shared" si="216"/>
        <v>0</v>
      </c>
      <c r="J4377" s="6">
        <f t="shared" si="217"/>
        <v>0</v>
      </c>
      <c r="L4377" s="4" t="str">
        <f>IFERROR(VLOOKUP(ROWS($L$2:L4377),$B$2:$C$1996,2,0),"")</f>
        <v/>
      </c>
      <c r="N4377" s="2" t="str">
        <f>IFERROR(VLOOKUP(ROWS($N$2:N4377),$D$2:$E$1996,2,0),"")</f>
        <v/>
      </c>
    </row>
    <row r="4378" spans="2:14">
      <c r="B4378" s="32">
        <f>IF(ISNUMBER(SEARCH('Φόρμα Εισαγωγής'!$B$2,C4378)),MAX($B$1:B4377)+1,0)</f>
        <v>0</v>
      </c>
      <c r="D4378" s="33">
        <f>IF(ISNUMBER(SEARCH('Φόρμα Εισαγωγής'!$C$2,E4378)),MAX($D$1:D4377)+1,0)</f>
        <v>0</v>
      </c>
      <c r="H4378" s="6">
        <f t="shared" si="215"/>
        <v>0</v>
      </c>
      <c r="I4378" s="6">
        <f t="shared" si="216"/>
        <v>0</v>
      </c>
      <c r="J4378" s="6">
        <f t="shared" si="217"/>
        <v>0</v>
      </c>
      <c r="L4378" s="4" t="str">
        <f>IFERROR(VLOOKUP(ROWS($L$2:L4378),$B$2:$C$1996,2,0),"")</f>
        <v/>
      </c>
      <c r="N4378" s="2" t="str">
        <f>IFERROR(VLOOKUP(ROWS($N$2:N4378),$D$2:$E$1996,2,0),"")</f>
        <v/>
      </c>
    </row>
    <row r="4379" spans="2:14">
      <c r="B4379" s="32">
        <f>IF(ISNUMBER(SEARCH('Φόρμα Εισαγωγής'!$B$2,C4379)),MAX($B$1:B4378)+1,0)</f>
        <v>0</v>
      </c>
      <c r="D4379" s="33">
        <f>IF(ISNUMBER(SEARCH('Φόρμα Εισαγωγής'!$C$2,E4379)),MAX($D$1:D4378)+1,0)</f>
        <v>0</v>
      </c>
      <c r="H4379" s="6">
        <f t="shared" si="215"/>
        <v>0</v>
      </c>
      <c r="I4379" s="6">
        <f t="shared" si="216"/>
        <v>0</v>
      </c>
      <c r="J4379" s="6">
        <f t="shared" si="217"/>
        <v>0</v>
      </c>
      <c r="L4379" s="4" t="str">
        <f>IFERROR(VLOOKUP(ROWS($L$2:L4379),$B$2:$C$1996,2,0),"")</f>
        <v/>
      </c>
      <c r="N4379" s="2" t="str">
        <f>IFERROR(VLOOKUP(ROWS($N$2:N4379),$D$2:$E$1996,2,0),"")</f>
        <v/>
      </c>
    </row>
    <row r="4380" spans="2:14">
      <c r="B4380" s="32">
        <f>IF(ISNUMBER(SEARCH('Φόρμα Εισαγωγής'!$B$2,C4380)),MAX($B$1:B4379)+1,0)</f>
        <v>0</v>
      </c>
      <c r="D4380" s="33">
        <f>IF(ISNUMBER(SEARCH('Φόρμα Εισαγωγής'!$C$2,E4380)),MAX($D$1:D4379)+1,0)</f>
        <v>0</v>
      </c>
      <c r="H4380" s="6">
        <f t="shared" si="215"/>
        <v>0</v>
      </c>
      <c r="I4380" s="6">
        <f t="shared" si="216"/>
        <v>0</v>
      </c>
      <c r="J4380" s="6">
        <f t="shared" si="217"/>
        <v>0</v>
      </c>
      <c r="L4380" s="4" t="str">
        <f>IFERROR(VLOOKUP(ROWS($L$2:L4380),$B$2:$C$1996,2,0),"")</f>
        <v/>
      </c>
      <c r="N4380" s="2" t="str">
        <f>IFERROR(VLOOKUP(ROWS($N$2:N4380),$D$2:$E$1996,2,0),"")</f>
        <v/>
      </c>
    </row>
    <row r="4381" spans="2:14">
      <c r="B4381" s="32">
        <f>IF(ISNUMBER(SEARCH('Φόρμα Εισαγωγής'!$B$2,C4381)),MAX($B$1:B4380)+1,0)</f>
        <v>0</v>
      </c>
      <c r="D4381" s="33">
        <f>IF(ISNUMBER(SEARCH('Φόρμα Εισαγωγής'!$C$2,E4381)),MAX($D$1:D4380)+1,0)</f>
        <v>0</v>
      </c>
      <c r="H4381" s="6">
        <f t="shared" si="215"/>
        <v>0</v>
      </c>
      <c r="I4381" s="6">
        <f t="shared" si="216"/>
        <v>0</v>
      </c>
      <c r="J4381" s="6">
        <f t="shared" si="217"/>
        <v>0</v>
      </c>
      <c r="L4381" s="4" t="str">
        <f>IFERROR(VLOOKUP(ROWS($L$2:L4381),$B$2:$C$1996,2,0),"")</f>
        <v/>
      </c>
      <c r="N4381" s="2" t="str">
        <f>IFERROR(VLOOKUP(ROWS($N$2:N4381),$D$2:$E$1996,2,0),"")</f>
        <v/>
      </c>
    </row>
    <row r="4382" spans="2:14">
      <c r="B4382" s="32">
        <f>IF(ISNUMBER(SEARCH('Φόρμα Εισαγωγής'!$B$2,C4382)),MAX($B$1:B4381)+1,0)</f>
        <v>0</v>
      </c>
      <c r="D4382" s="33">
        <f>IF(ISNUMBER(SEARCH('Φόρμα Εισαγωγής'!$C$2,E4382)),MAX($D$1:D4381)+1,0)</f>
        <v>0</v>
      </c>
      <c r="H4382" s="6">
        <f t="shared" si="215"/>
        <v>0</v>
      </c>
      <c r="I4382" s="6">
        <f t="shared" si="216"/>
        <v>0</v>
      </c>
      <c r="J4382" s="6">
        <f t="shared" si="217"/>
        <v>0</v>
      </c>
      <c r="L4382" s="4" t="str">
        <f>IFERROR(VLOOKUP(ROWS($L$2:L4382),$B$2:$C$1996,2,0),"")</f>
        <v/>
      </c>
      <c r="N4382" s="2" t="str">
        <f>IFERROR(VLOOKUP(ROWS($N$2:N4382),$D$2:$E$1996,2,0),"")</f>
        <v/>
      </c>
    </row>
    <row r="4383" spans="2:14">
      <c r="B4383" s="32">
        <f>IF(ISNUMBER(SEARCH('Φόρμα Εισαγωγής'!$B$2,C4383)),MAX($B$1:B4382)+1,0)</f>
        <v>0</v>
      </c>
      <c r="D4383" s="33">
        <f>IF(ISNUMBER(SEARCH('Φόρμα Εισαγωγής'!$C$2,E4383)),MAX($D$1:D4382)+1,0)</f>
        <v>0</v>
      </c>
      <c r="H4383" s="6">
        <f t="shared" si="215"/>
        <v>0</v>
      </c>
      <c r="I4383" s="6">
        <f t="shared" si="216"/>
        <v>0</v>
      </c>
      <c r="J4383" s="6">
        <f t="shared" si="217"/>
        <v>0</v>
      </c>
      <c r="L4383" s="4" t="str">
        <f>IFERROR(VLOOKUP(ROWS($L$2:L4383),$B$2:$C$1996,2,0),"")</f>
        <v/>
      </c>
      <c r="N4383" s="2" t="str">
        <f>IFERROR(VLOOKUP(ROWS($N$2:N4383),$D$2:$E$1996,2,0),"")</f>
        <v/>
      </c>
    </row>
    <row r="4384" spans="2:14">
      <c r="B4384" s="32">
        <f>IF(ISNUMBER(SEARCH('Φόρμα Εισαγωγής'!$B$2,C4384)),MAX($B$1:B4383)+1,0)</f>
        <v>0</v>
      </c>
      <c r="D4384" s="33">
        <f>IF(ISNUMBER(SEARCH('Φόρμα Εισαγωγής'!$C$2,E4384)),MAX($D$1:D4383)+1,0)</f>
        <v>0</v>
      </c>
      <c r="H4384" s="6">
        <f t="shared" si="215"/>
        <v>0</v>
      </c>
      <c r="I4384" s="6">
        <f t="shared" si="216"/>
        <v>0</v>
      </c>
      <c r="J4384" s="6">
        <f t="shared" si="217"/>
        <v>0</v>
      </c>
      <c r="L4384" s="4" t="str">
        <f>IFERROR(VLOOKUP(ROWS($L$2:L4384),$B$2:$C$1996,2,0),"")</f>
        <v/>
      </c>
      <c r="N4384" s="2" t="str">
        <f>IFERROR(VLOOKUP(ROWS($N$2:N4384),$D$2:$E$1996,2,0),"")</f>
        <v/>
      </c>
    </row>
    <row r="4385" spans="2:14">
      <c r="B4385" s="32">
        <f>IF(ISNUMBER(SEARCH('Φόρμα Εισαγωγής'!$B$2,C4385)),MAX($B$1:B4384)+1,0)</f>
        <v>0</v>
      </c>
      <c r="D4385" s="33">
        <f>IF(ISNUMBER(SEARCH('Φόρμα Εισαγωγής'!$C$2,E4385)),MAX($D$1:D4384)+1,0)</f>
        <v>0</v>
      </c>
      <c r="H4385" s="6">
        <f t="shared" si="215"/>
        <v>0</v>
      </c>
      <c r="I4385" s="6">
        <f t="shared" si="216"/>
        <v>0</v>
      </c>
      <c r="J4385" s="6">
        <f t="shared" si="217"/>
        <v>0</v>
      </c>
      <c r="L4385" s="4" t="str">
        <f>IFERROR(VLOOKUP(ROWS($L$2:L4385),$B$2:$C$1996,2,0),"")</f>
        <v/>
      </c>
      <c r="N4385" s="2" t="str">
        <f>IFERROR(VLOOKUP(ROWS($N$2:N4385),$D$2:$E$1996,2,0),"")</f>
        <v/>
      </c>
    </row>
    <row r="4386" spans="2:14">
      <c r="B4386" s="32">
        <f>IF(ISNUMBER(SEARCH('Φόρμα Εισαγωγής'!$B$2,C4386)),MAX($B$1:B4385)+1,0)</f>
        <v>0</v>
      </c>
      <c r="D4386" s="33">
        <f>IF(ISNUMBER(SEARCH('Φόρμα Εισαγωγής'!$C$2,E4386)),MAX($D$1:D4385)+1,0)</f>
        <v>0</v>
      </c>
      <c r="H4386" s="6">
        <f t="shared" si="215"/>
        <v>0</v>
      </c>
      <c r="I4386" s="6">
        <f t="shared" si="216"/>
        <v>0</v>
      </c>
      <c r="J4386" s="6">
        <f t="shared" si="217"/>
        <v>0</v>
      </c>
      <c r="L4386" s="4" t="str">
        <f>IFERROR(VLOOKUP(ROWS($L$2:L4386),$B$2:$C$1996,2,0),"")</f>
        <v/>
      </c>
      <c r="N4386" s="2" t="str">
        <f>IFERROR(VLOOKUP(ROWS($N$2:N4386),$D$2:$E$1996,2,0),"")</f>
        <v/>
      </c>
    </row>
    <row r="4387" spans="2:14">
      <c r="B4387" s="32">
        <f>IF(ISNUMBER(SEARCH('Φόρμα Εισαγωγής'!$B$2,C4387)),MAX($B$1:B4386)+1,0)</f>
        <v>0</v>
      </c>
      <c r="D4387" s="33">
        <f>IF(ISNUMBER(SEARCH('Φόρμα Εισαγωγής'!$C$2,E4387)),MAX($D$1:D4386)+1,0)</f>
        <v>0</v>
      </c>
      <c r="H4387" s="6">
        <f t="shared" si="215"/>
        <v>0</v>
      </c>
      <c r="I4387" s="6">
        <f t="shared" si="216"/>
        <v>0</v>
      </c>
      <c r="J4387" s="6">
        <f t="shared" si="217"/>
        <v>0</v>
      </c>
      <c r="L4387" s="4" t="str">
        <f>IFERROR(VLOOKUP(ROWS($L$2:L4387),$B$2:$C$1996,2,0),"")</f>
        <v/>
      </c>
      <c r="N4387" s="2" t="str">
        <f>IFERROR(VLOOKUP(ROWS($N$2:N4387),$D$2:$E$1996,2,0),"")</f>
        <v/>
      </c>
    </row>
    <row r="4388" spans="2:14">
      <c r="B4388" s="32">
        <f>IF(ISNUMBER(SEARCH('Φόρμα Εισαγωγής'!$B$2,C4388)),MAX($B$1:B4387)+1,0)</f>
        <v>0</v>
      </c>
      <c r="D4388" s="33">
        <f>IF(ISNUMBER(SEARCH('Φόρμα Εισαγωγής'!$C$2,E4388)),MAX($D$1:D4387)+1,0)</f>
        <v>0</v>
      </c>
      <c r="H4388" s="6">
        <f t="shared" si="215"/>
        <v>0</v>
      </c>
      <c r="I4388" s="6">
        <f t="shared" si="216"/>
        <v>0</v>
      </c>
      <c r="J4388" s="6">
        <f t="shared" si="217"/>
        <v>0</v>
      </c>
      <c r="L4388" s="4" t="str">
        <f>IFERROR(VLOOKUP(ROWS($L$2:L4388),$B$2:$C$1996,2,0),"")</f>
        <v/>
      </c>
      <c r="N4388" s="2" t="str">
        <f>IFERROR(VLOOKUP(ROWS($N$2:N4388),$D$2:$E$1996,2,0),"")</f>
        <v/>
      </c>
    </row>
    <row r="4389" spans="2:14">
      <c r="B4389" s="32">
        <f>IF(ISNUMBER(SEARCH('Φόρμα Εισαγωγής'!$B$2,C4389)),MAX($B$1:B4388)+1,0)</f>
        <v>0</v>
      </c>
      <c r="D4389" s="33">
        <f>IF(ISNUMBER(SEARCH('Φόρμα Εισαγωγής'!$C$2,E4389)),MAX($D$1:D4388)+1,0)</f>
        <v>0</v>
      </c>
      <c r="H4389" s="6">
        <f t="shared" si="215"/>
        <v>0</v>
      </c>
      <c r="I4389" s="6">
        <f t="shared" si="216"/>
        <v>0</v>
      </c>
      <c r="J4389" s="6">
        <f t="shared" si="217"/>
        <v>0</v>
      </c>
      <c r="L4389" s="4" t="str">
        <f>IFERROR(VLOOKUP(ROWS($L$2:L4389),$B$2:$C$1996,2,0),"")</f>
        <v/>
      </c>
      <c r="N4389" s="2" t="str">
        <f>IFERROR(VLOOKUP(ROWS($N$2:N4389),$D$2:$E$1996,2,0),"")</f>
        <v/>
      </c>
    </row>
    <row r="4390" spans="2:14">
      <c r="B4390" s="32">
        <f>IF(ISNUMBER(SEARCH('Φόρμα Εισαγωγής'!$B$2,C4390)),MAX($B$1:B4389)+1,0)</f>
        <v>0</v>
      </c>
      <c r="D4390" s="33">
        <f>IF(ISNUMBER(SEARCH('Φόρμα Εισαγωγής'!$C$2,E4390)),MAX($D$1:D4389)+1,0)</f>
        <v>0</v>
      </c>
      <c r="H4390" s="6">
        <f t="shared" si="215"/>
        <v>0</v>
      </c>
      <c r="I4390" s="6">
        <f t="shared" si="216"/>
        <v>0</v>
      </c>
      <c r="J4390" s="6">
        <f t="shared" si="217"/>
        <v>0</v>
      </c>
      <c r="L4390" s="4" t="str">
        <f>IFERROR(VLOOKUP(ROWS($L$2:L4390),$B$2:$C$1996,2,0),"")</f>
        <v/>
      </c>
      <c r="N4390" s="2" t="str">
        <f>IFERROR(VLOOKUP(ROWS($N$2:N4390),$D$2:$E$1996,2,0),"")</f>
        <v/>
      </c>
    </row>
    <row r="4391" spans="2:14">
      <c r="B4391" s="32">
        <f>IF(ISNUMBER(SEARCH('Φόρμα Εισαγωγής'!$B$2,C4391)),MAX($B$1:B4390)+1,0)</f>
        <v>0</v>
      </c>
      <c r="D4391" s="33">
        <f>IF(ISNUMBER(SEARCH('Φόρμα Εισαγωγής'!$C$2,E4391)),MAX($D$1:D4390)+1,0)</f>
        <v>0</v>
      </c>
      <c r="H4391" s="6">
        <f t="shared" si="215"/>
        <v>0</v>
      </c>
      <c r="I4391" s="6">
        <f t="shared" si="216"/>
        <v>0</v>
      </c>
      <c r="J4391" s="6">
        <f t="shared" si="217"/>
        <v>0</v>
      </c>
      <c r="L4391" s="4" t="str">
        <f>IFERROR(VLOOKUP(ROWS($L$2:L4391),$B$2:$C$1996,2,0),"")</f>
        <v/>
      </c>
      <c r="N4391" s="2" t="str">
        <f>IFERROR(VLOOKUP(ROWS($N$2:N4391),$D$2:$E$1996,2,0),"")</f>
        <v/>
      </c>
    </row>
    <row r="4392" spans="2:14">
      <c r="B4392" s="32">
        <f>IF(ISNUMBER(SEARCH('Φόρμα Εισαγωγής'!$B$2,C4392)),MAX($B$1:B4391)+1,0)</f>
        <v>0</v>
      </c>
      <c r="D4392" s="33">
        <f>IF(ISNUMBER(SEARCH('Φόρμα Εισαγωγής'!$C$2,E4392)),MAX($D$1:D4391)+1,0)</f>
        <v>0</v>
      </c>
      <c r="H4392" s="6">
        <f t="shared" si="215"/>
        <v>0</v>
      </c>
      <c r="I4392" s="6">
        <f t="shared" si="216"/>
        <v>0</v>
      </c>
      <c r="J4392" s="6">
        <f t="shared" si="217"/>
        <v>0</v>
      </c>
      <c r="L4392" s="4" t="str">
        <f>IFERROR(VLOOKUP(ROWS($L$2:L4392),$B$2:$C$1996,2,0),"")</f>
        <v/>
      </c>
      <c r="N4392" s="2" t="str">
        <f>IFERROR(VLOOKUP(ROWS($N$2:N4392),$D$2:$E$1996,2,0),"")</f>
        <v/>
      </c>
    </row>
    <row r="4393" spans="2:14">
      <c r="B4393" s="32">
        <f>IF(ISNUMBER(SEARCH('Φόρμα Εισαγωγής'!$B$2,C4393)),MAX($B$1:B4392)+1,0)</f>
        <v>0</v>
      </c>
      <c r="D4393" s="33">
        <f>IF(ISNUMBER(SEARCH('Φόρμα Εισαγωγής'!$C$2,E4393)),MAX($D$1:D4392)+1,0)</f>
        <v>0</v>
      </c>
      <c r="H4393" s="6">
        <f t="shared" si="215"/>
        <v>0</v>
      </c>
      <c r="I4393" s="6">
        <f t="shared" si="216"/>
        <v>0</v>
      </c>
      <c r="J4393" s="6">
        <f t="shared" si="217"/>
        <v>0</v>
      </c>
      <c r="L4393" s="4" t="str">
        <f>IFERROR(VLOOKUP(ROWS($L$2:L4393),$B$2:$C$1996,2,0),"")</f>
        <v/>
      </c>
      <c r="N4393" s="2" t="str">
        <f>IFERROR(VLOOKUP(ROWS($N$2:N4393),$D$2:$E$1996,2,0),"")</f>
        <v/>
      </c>
    </row>
    <row r="4394" spans="2:14">
      <c r="B4394" s="32">
        <f>IF(ISNUMBER(SEARCH('Φόρμα Εισαγωγής'!$B$2,C4394)),MAX($B$1:B4393)+1,0)</f>
        <v>0</v>
      </c>
      <c r="D4394" s="33">
        <f>IF(ISNUMBER(SEARCH('Φόρμα Εισαγωγής'!$C$2,E4394)),MAX($D$1:D4393)+1,0)</f>
        <v>0</v>
      </c>
      <c r="H4394" s="6">
        <f t="shared" si="215"/>
        <v>0</v>
      </c>
      <c r="I4394" s="6">
        <f t="shared" si="216"/>
        <v>0</v>
      </c>
      <c r="J4394" s="6">
        <f t="shared" si="217"/>
        <v>0</v>
      </c>
      <c r="L4394" s="4" t="str">
        <f>IFERROR(VLOOKUP(ROWS($L$2:L4394),$B$2:$C$1996,2,0),"")</f>
        <v/>
      </c>
      <c r="N4394" s="2" t="str">
        <f>IFERROR(VLOOKUP(ROWS($N$2:N4394),$D$2:$E$1996,2,0),"")</f>
        <v/>
      </c>
    </row>
    <row r="4395" spans="2:14">
      <c r="B4395" s="32">
        <f>IF(ISNUMBER(SEARCH('Φόρμα Εισαγωγής'!$B$2,C4395)),MAX($B$1:B4394)+1,0)</f>
        <v>0</v>
      </c>
      <c r="D4395" s="33">
        <f>IF(ISNUMBER(SEARCH('Φόρμα Εισαγωγής'!$C$2,E4395)),MAX($D$1:D4394)+1,0)</f>
        <v>0</v>
      </c>
      <c r="H4395" s="6">
        <f t="shared" si="215"/>
        <v>0</v>
      </c>
      <c r="I4395" s="6">
        <f t="shared" si="216"/>
        <v>0</v>
      </c>
      <c r="J4395" s="6">
        <f t="shared" si="217"/>
        <v>0</v>
      </c>
      <c r="L4395" s="4" t="str">
        <f>IFERROR(VLOOKUP(ROWS($L$2:L4395),$B$2:$C$1996,2,0),"")</f>
        <v/>
      </c>
      <c r="N4395" s="2" t="str">
        <f>IFERROR(VLOOKUP(ROWS($N$2:N4395),$D$2:$E$1996,2,0),"")</f>
        <v/>
      </c>
    </row>
    <row r="4396" spans="2:14">
      <c r="B4396" s="32">
        <f>IF(ISNUMBER(SEARCH('Φόρμα Εισαγωγής'!$B$2,C4396)),MAX($B$1:B4395)+1,0)</f>
        <v>0</v>
      </c>
      <c r="D4396" s="33">
        <f>IF(ISNUMBER(SEARCH('Φόρμα Εισαγωγής'!$C$2,E4396)),MAX($D$1:D4395)+1,0)</f>
        <v>0</v>
      </c>
      <c r="H4396" s="6">
        <f t="shared" si="215"/>
        <v>0</v>
      </c>
      <c r="I4396" s="6">
        <f t="shared" si="216"/>
        <v>0</v>
      </c>
      <c r="J4396" s="6">
        <f t="shared" si="217"/>
        <v>0</v>
      </c>
      <c r="L4396" s="4" t="str">
        <f>IFERROR(VLOOKUP(ROWS($L$2:L4396),$B$2:$C$1996,2,0),"")</f>
        <v/>
      </c>
      <c r="N4396" s="2" t="str">
        <f>IFERROR(VLOOKUP(ROWS($N$2:N4396),$D$2:$E$1996,2,0),"")</f>
        <v/>
      </c>
    </row>
    <row r="4397" spans="2:14">
      <c r="B4397" s="32">
        <f>IF(ISNUMBER(SEARCH('Φόρμα Εισαγωγής'!$B$2,C4397)),MAX($B$1:B4396)+1,0)</f>
        <v>0</v>
      </c>
      <c r="D4397" s="33">
        <f>IF(ISNUMBER(SEARCH('Φόρμα Εισαγωγής'!$C$2,E4397)),MAX($D$1:D4396)+1,0)</f>
        <v>0</v>
      </c>
      <c r="H4397" s="6">
        <f t="shared" si="215"/>
        <v>0</v>
      </c>
      <c r="I4397" s="6">
        <f t="shared" si="216"/>
        <v>0</v>
      </c>
      <c r="J4397" s="6">
        <f t="shared" si="217"/>
        <v>0</v>
      </c>
      <c r="L4397" s="4" t="str">
        <f>IFERROR(VLOOKUP(ROWS($L$2:L4397),$B$2:$C$1996,2,0),"")</f>
        <v/>
      </c>
      <c r="N4397" s="2" t="str">
        <f>IFERROR(VLOOKUP(ROWS($N$2:N4397),$D$2:$E$1996,2,0),"")</f>
        <v/>
      </c>
    </row>
    <row r="4398" spans="2:14">
      <c r="B4398" s="32">
        <f>IF(ISNUMBER(SEARCH('Φόρμα Εισαγωγής'!$B$2,C4398)),MAX($B$1:B4397)+1,0)</f>
        <v>0</v>
      </c>
      <c r="D4398" s="33">
        <f>IF(ISNUMBER(SEARCH('Φόρμα Εισαγωγής'!$C$2,E4398)),MAX($D$1:D4397)+1,0)</f>
        <v>0</v>
      </c>
      <c r="H4398" s="6">
        <f t="shared" si="215"/>
        <v>0</v>
      </c>
      <c r="I4398" s="6">
        <f t="shared" si="216"/>
        <v>0</v>
      </c>
      <c r="J4398" s="6">
        <f t="shared" si="217"/>
        <v>0</v>
      </c>
      <c r="L4398" s="4" t="str">
        <f>IFERROR(VLOOKUP(ROWS($L$2:L4398),$B$2:$C$1996,2,0),"")</f>
        <v/>
      </c>
      <c r="N4398" s="2" t="str">
        <f>IFERROR(VLOOKUP(ROWS($N$2:N4398),$D$2:$E$1996,2,0),"")</f>
        <v/>
      </c>
    </row>
    <row r="4399" spans="2:14">
      <c r="B4399" s="32">
        <f>IF(ISNUMBER(SEARCH('Φόρμα Εισαγωγής'!$B$2,C4399)),MAX($B$1:B4398)+1,0)</f>
        <v>0</v>
      </c>
      <c r="D4399" s="33">
        <f>IF(ISNUMBER(SEARCH('Φόρμα Εισαγωγής'!$C$2,E4399)),MAX($D$1:D4398)+1,0)</f>
        <v>0</v>
      </c>
      <c r="H4399" s="6">
        <f t="shared" si="215"/>
        <v>0</v>
      </c>
      <c r="I4399" s="6">
        <f t="shared" si="216"/>
        <v>0</v>
      </c>
      <c r="J4399" s="6">
        <f t="shared" si="217"/>
        <v>0</v>
      </c>
      <c r="L4399" s="4" t="str">
        <f>IFERROR(VLOOKUP(ROWS($L$2:L4399),$B$2:$C$1996,2,0),"")</f>
        <v/>
      </c>
      <c r="N4399" s="2" t="str">
        <f>IFERROR(VLOOKUP(ROWS($N$2:N4399),$D$2:$E$1996,2,0),"")</f>
        <v/>
      </c>
    </row>
    <row r="4400" spans="2:14">
      <c r="B4400" s="32">
        <f>IF(ISNUMBER(SEARCH('Φόρμα Εισαγωγής'!$B$2,C4400)),MAX($B$1:B4399)+1,0)</f>
        <v>0</v>
      </c>
      <c r="D4400" s="33">
        <f>IF(ISNUMBER(SEARCH('Φόρμα Εισαγωγής'!$C$2,E4400)),MAX($D$1:D4399)+1,0)</f>
        <v>0</v>
      </c>
      <c r="H4400" s="6">
        <f t="shared" si="215"/>
        <v>0</v>
      </c>
      <c r="I4400" s="6">
        <f t="shared" si="216"/>
        <v>0</v>
      </c>
      <c r="J4400" s="6">
        <f t="shared" si="217"/>
        <v>0</v>
      </c>
      <c r="L4400" s="4" t="str">
        <f>IFERROR(VLOOKUP(ROWS($L$2:L4400),$B$2:$C$1996,2,0),"")</f>
        <v/>
      </c>
      <c r="N4400" s="2" t="str">
        <f>IFERROR(VLOOKUP(ROWS($N$2:N4400),$D$2:$E$1996,2,0),"")</f>
        <v/>
      </c>
    </row>
    <row r="4401" spans="2:14">
      <c r="B4401" s="32">
        <f>IF(ISNUMBER(SEARCH('Φόρμα Εισαγωγής'!$B$2,C4401)),MAX($B$1:B4400)+1,0)</f>
        <v>0</v>
      </c>
      <c r="D4401" s="33">
        <f>IF(ISNUMBER(SEARCH('Φόρμα Εισαγωγής'!$C$2,E4401)),MAX($D$1:D4400)+1,0)</f>
        <v>0</v>
      </c>
      <c r="H4401" s="6">
        <f t="shared" si="215"/>
        <v>0</v>
      </c>
      <c r="I4401" s="6">
        <f t="shared" si="216"/>
        <v>0</v>
      </c>
      <c r="J4401" s="6">
        <f t="shared" si="217"/>
        <v>0</v>
      </c>
      <c r="L4401" s="4" t="str">
        <f>IFERROR(VLOOKUP(ROWS($L$2:L4401),$B$2:$C$1996,2,0),"")</f>
        <v/>
      </c>
      <c r="N4401" s="2" t="str">
        <f>IFERROR(VLOOKUP(ROWS($N$2:N4401),$D$2:$E$1996,2,0),"")</f>
        <v/>
      </c>
    </row>
    <row r="4402" spans="2:14">
      <c r="B4402" s="32">
        <f>IF(ISNUMBER(SEARCH('Φόρμα Εισαγωγής'!$B$2,C4402)),MAX($B$1:B4401)+1,0)</f>
        <v>0</v>
      </c>
      <c r="D4402" s="33">
        <f>IF(ISNUMBER(SEARCH('Φόρμα Εισαγωγής'!$C$2,E4402)),MAX($D$1:D4401)+1,0)</f>
        <v>0</v>
      </c>
      <c r="H4402" s="6">
        <f t="shared" si="215"/>
        <v>0</v>
      </c>
      <c r="I4402" s="6">
        <f t="shared" si="216"/>
        <v>0</v>
      </c>
      <c r="J4402" s="6">
        <f t="shared" si="217"/>
        <v>0</v>
      </c>
      <c r="L4402" s="4" t="str">
        <f>IFERROR(VLOOKUP(ROWS($L$2:L4402),$B$2:$C$1996,2,0),"")</f>
        <v/>
      </c>
      <c r="N4402" s="2" t="str">
        <f>IFERROR(VLOOKUP(ROWS($N$2:N4402),$D$2:$E$1996,2,0),"")</f>
        <v/>
      </c>
    </row>
    <row r="4403" spans="2:14">
      <c r="B4403" s="32">
        <f>IF(ISNUMBER(SEARCH('Φόρμα Εισαγωγής'!$B$2,C4403)),MAX($B$1:B4402)+1,0)</f>
        <v>0</v>
      </c>
      <c r="D4403" s="33">
        <f>IF(ISNUMBER(SEARCH('Φόρμα Εισαγωγής'!$C$2,E4403)),MAX($D$1:D4402)+1,0)</f>
        <v>0</v>
      </c>
      <c r="H4403" s="6">
        <f t="shared" si="215"/>
        <v>0</v>
      </c>
      <c r="I4403" s="6">
        <f t="shared" si="216"/>
        <v>0</v>
      </c>
      <c r="J4403" s="6">
        <f t="shared" si="217"/>
        <v>0</v>
      </c>
      <c r="L4403" s="4" t="str">
        <f>IFERROR(VLOOKUP(ROWS($L$2:L4403),$B$2:$C$1996,2,0),"")</f>
        <v/>
      </c>
      <c r="N4403" s="2" t="str">
        <f>IFERROR(VLOOKUP(ROWS($N$2:N4403),$D$2:$E$1996,2,0),"")</f>
        <v/>
      </c>
    </row>
    <row r="4404" spans="2:14">
      <c r="B4404" s="32">
        <f>IF(ISNUMBER(SEARCH('Φόρμα Εισαγωγής'!$B$2,C4404)),MAX($B$1:B4403)+1,0)</f>
        <v>0</v>
      </c>
      <c r="D4404" s="33">
        <f>IF(ISNUMBER(SEARCH('Φόρμα Εισαγωγής'!$C$2,E4404)),MAX($D$1:D4403)+1,0)</f>
        <v>0</v>
      </c>
      <c r="H4404" s="6">
        <f t="shared" si="215"/>
        <v>0</v>
      </c>
      <c r="I4404" s="6">
        <f t="shared" si="216"/>
        <v>0</v>
      </c>
      <c r="J4404" s="6">
        <f t="shared" si="217"/>
        <v>0</v>
      </c>
      <c r="L4404" s="4" t="str">
        <f>IFERROR(VLOOKUP(ROWS($L$2:L4404),$B$2:$C$1996,2,0),"")</f>
        <v/>
      </c>
      <c r="N4404" s="2" t="str">
        <f>IFERROR(VLOOKUP(ROWS($N$2:N4404),$D$2:$E$1996,2,0),"")</f>
        <v/>
      </c>
    </row>
    <row r="4405" spans="2:14">
      <c r="B4405" s="32">
        <f>IF(ISNUMBER(SEARCH('Φόρμα Εισαγωγής'!$B$2,C4405)),MAX($B$1:B4404)+1,0)</f>
        <v>0</v>
      </c>
      <c r="D4405" s="33">
        <f>IF(ISNUMBER(SEARCH('Φόρμα Εισαγωγής'!$C$2,E4405)),MAX($D$1:D4404)+1,0)</f>
        <v>0</v>
      </c>
      <c r="H4405" s="6">
        <f t="shared" si="215"/>
        <v>0</v>
      </c>
      <c r="I4405" s="6">
        <f t="shared" si="216"/>
        <v>0</v>
      </c>
      <c r="J4405" s="6">
        <f t="shared" si="217"/>
        <v>0</v>
      </c>
      <c r="L4405" s="4" t="str">
        <f>IFERROR(VLOOKUP(ROWS($L$2:L4405),$B$2:$C$1996,2,0),"")</f>
        <v/>
      </c>
      <c r="N4405" s="2" t="str">
        <f>IFERROR(VLOOKUP(ROWS($N$2:N4405),$D$2:$E$1996,2,0),"")</f>
        <v/>
      </c>
    </row>
    <row r="4406" spans="2:14">
      <c r="B4406" s="32">
        <f>IF(ISNUMBER(SEARCH('Φόρμα Εισαγωγής'!$B$2,C4406)),MAX($B$1:B4405)+1,0)</f>
        <v>0</v>
      </c>
      <c r="D4406" s="33">
        <f>IF(ISNUMBER(SEARCH('Φόρμα Εισαγωγής'!$C$2,E4406)),MAX($D$1:D4405)+1,0)</f>
        <v>0</v>
      </c>
      <c r="H4406" s="6">
        <f t="shared" si="215"/>
        <v>0</v>
      </c>
      <c r="I4406" s="6">
        <f t="shared" si="216"/>
        <v>0</v>
      </c>
      <c r="J4406" s="6">
        <f t="shared" si="217"/>
        <v>0</v>
      </c>
      <c r="L4406" s="4" t="str">
        <f>IFERROR(VLOOKUP(ROWS($L$2:L4406),$B$2:$C$1996,2,0),"")</f>
        <v/>
      </c>
      <c r="N4406" s="2" t="str">
        <f>IFERROR(VLOOKUP(ROWS($N$2:N4406),$D$2:$E$1996,2,0),"")</f>
        <v/>
      </c>
    </row>
    <row r="4407" spans="2:14">
      <c r="B4407" s="32">
        <f>IF(ISNUMBER(SEARCH('Φόρμα Εισαγωγής'!$B$2,C4407)),MAX($B$1:B4406)+1,0)</f>
        <v>0</v>
      </c>
      <c r="D4407" s="33">
        <f>IF(ISNUMBER(SEARCH('Φόρμα Εισαγωγής'!$C$2,E4407)),MAX($D$1:D4406)+1,0)</f>
        <v>0</v>
      </c>
      <c r="H4407" s="6">
        <f t="shared" si="215"/>
        <v>0</v>
      </c>
      <c r="I4407" s="6">
        <f t="shared" si="216"/>
        <v>0</v>
      </c>
      <c r="J4407" s="6">
        <f t="shared" si="217"/>
        <v>0</v>
      </c>
      <c r="L4407" s="4" t="str">
        <f>IFERROR(VLOOKUP(ROWS($L$2:L4407),$B$2:$C$1996,2,0),"")</f>
        <v/>
      </c>
      <c r="N4407" s="2" t="str">
        <f>IFERROR(VLOOKUP(ROWS($N$2:N4407),$D$2:$E$1996,2,0),"")</f>
        <v/>
      </c>
    </row>
    <row r="4408" spans="2:14">
      <c r="B4408" s="32">
        <f>IF(ISNUMBER(SEARCH('Φόρμα Εισαγωγής'!$B$2,C4408)),MAX($B$1:B4407)+1,0)</f>
        <v>0</v>
      </c>
      <c r="D4408" s="33">
        <f>IF(ISNUMBER(SEARCH('Φόρμα Εισαγωγής'!$C$2,E4408)),MAX($D$1:D4407)+1,0)</f>
        <v>0</v>
      </c>
      <c r="H4408" s="6">
        <f t="shared" si="215"/>
        <v>0</v>
      </c>
      <c r="I4408" s="6">
        <f t="shared" si="216"/>
        <v>0</v>
      </c>
      <c r="J4408" s="6">
        <f t="shared" si="217"/>
        <v>0</v>
      </c>
      <c r="L4408" s="4" t="str">
        <f>IFERROR(VLOOKUP(ROWS($L$2:L4408),$B$2:$C$1996,2,0),"")</f>
        <v/>
      </c>
      <c r="N4408" s="2" t="str">
        <f>IFERROR(VLOOKUP(ROWS($N$2:N4408),$D$2:$E$1996,2,0),"")</f>
        <v/>
      </c>
    </row>
    <row r="4409" spans="2:14">
      <c r="B4409" s="32">
        <f>IF(ISNUMBER(SEARCH('Φόρμα Εισαγωγής'!$B$2,C4409)),MAX($B$1:B4408)+1,0)</f>
        <v>0</v>
      </c>
      <c r="D4409" s="33">
        <f>IF(ISNUMBER(SEARCH('Φόρμα Εισαγωγής'!$C$2,E4409)),MAX($D$1:D4408)+1,0)</f>
        <v>0</v>
      </c>
      <c r="H4409" s="6">
        <f t="shared" si="215"/>
        <v>0</v>
      </c>
      <c r="I4409" s="6">
        <f t="shared" si="216"/>
        <v>0</v>
      </c>
      <c r="J4409" s="6">
        <f t="shared" si="217"/>
        <v>0</v>
      </c>
      <c r="L4409" s="4" t="str">
        <f>IFERROR(VLOOKUP(ROWS($L$2:L4409),$B$2:$C$1996,2,0),"")</f>
        <v/>
      </c>
      <c r="N4409" s="2" t="str">
        <f>IFERROR(VLOOKUP(ROWS($N$2:N4409),$D$2:$E$1996,2,0),"")</f>
        <v/>
      </c>
    </row>
    <row r="4410" spans="2:14">
      <c r="B4410" s="32">
        <f>IF(ISNUMBER(SEARCH('Φόρμα Εισαγωγής'!$B$2,C4410)),MAX($B$1:B4409)+1,0)</f>
        <v>0</v>
      </c>
      <c r="D4410" s="33">
        <f>IF(ISNUMBER(SEARCH('Φόρμα Εισαγωγής'!$C$2,E4410)),MAX($D$1:D4409)+1,0)</f>
        <v>0</v>
      </c>
      <c r="H4410" s="6">
        <f t="shared" si="215"/>
        <v>0</v>
      </c>
      <c r="I4410" s="6">
        <f t="shared" si="216"/>
        <v>0</v>
      </c>
      <c r="J4410" s="6">
        <f t="shared" si="217"/>
        <v>0</v>
      </c>
      <c r="L4410" s="4" t="str">
        <f>IFERROR(VLOOKUP(ROWS($L$2:L4410),$B$2:$C$1996,2,0),"")</f>
        <v/>
      </c>
      <c r="N4410" s="2" t="str">
        <f>IFERROR(VLOOKUP(ROWS($N$2:N4410),$D$2:$E$1996,2,0),"")</f>
        <v/>
      </c>
    </row>
    <row r="4411" spans="2:14">
      <c r="B4411" s="32">
        <f>IF(ISNUMBER(SEARCH('Φόρμα Εισαγωγής'!$B$2,C4411)),MAX($B$1:B4410)+1,0)</f>
        <v>0</v>
      </c>
      <c r="D4411" s="33">
        <f>IF(ISNUMBER(SEARCH('Φόρμα Εισαγωγής'!$C$2,E4411)),MAX($D$1:D4410)+1,0)</f>
        <v>0</v>
      </c>
      <c r="H4411" s="6">
        <f t="shared" si="215"/>
        <v>0</v>
      </c>
      <c r="I4411" s="6">
        <f t="shared" si="216"/>
        <v>0</v>
      </c>
      <c r="J4411" s="6">
        <f t="shared" si="217"/>
        <v>0</v>
      </c>
      <c r="L4411" s="4" t="str">
        <f>IFERROR(VLOOKUP(ROWS($L$2:L4411),$B$2:$C$1996,2,0),"")</f>
        <v/>
      </c>
      <c r="N4411" s="2" t="str">
        <f>IFERROR(VLOOKUP(ROWS($N$2:N4411),$D$2:$E$1996,2,0),"")</f>
        <v/>
      </c>
    </row>
    <row r="4412" spans="2:14">
      <c r="B4412" s="32">
        <f>IF(ISNUMBER(SEARCH('Φόρμα Εισαγωγής'!$B$2,C4412)),MAX($B$1:B4411)+1,0)</f>
        <v>0</v>
      </c>
      <c r="D4412" s="33">
        <f>IF(ISNUMBER(SEARCH('Φόρμα Εισαγωγής'!$C$2,E4412)),MAX($D$1:D4411)+1,0)</f>
        <v>0</v>
      </c>
      <c r="H4412" s="6">
        <f t="shared" si="215"/>
        <v>0</v>
      </c>
      <c r="I4412" s="6">
        <f t="shared" si="216"/>
        <v>0</v>
      </c>
      <c r="J4412" s="6">
        <f t="shared" si="217"/>
        <v>0</v>
      </c>
      <c r="L4412" s="4" t="str">
        <f>IFERROR(VLOOKUP(ROWS($L$2:L4412),$B$2:$C$1996,2,0),"")</f>
        <v/>
      </c>
      <c r="N4412" s="2" t="str">
        <f>IFERROR(VLOOKUP(ROWS($N$2:N4412),$D$2:$E$1996,2,0),"")</f>
        <v/>
      </c>
    </row>
    <row r="4413" spans="2:14">
      <c r="B4413" s="32">
        <f>IF(ISNUMBER(SEARCH('Φόρμα Εισαγωγής'!$B$2,C4413)),MAX($B$1:B4412)+1,0)</f>
        <v>0</v>
      </c>
      <c r="D4413" s="33">
        <f>IF(ISNUMBER(SEARCH('Φόρμα Εισαγωγής'!$C$2,E4413)),MAX($D$1:D4412)+1,0)</f>
        <v>0</v>
      </c>
      <c r="H4413" s="6">
        <f t="shared" si="215"/>
        <v>0</v>
      </c>
      <c r="I4413" s="6">
        <f t="shared" si="216"/>
        <v>0</v>
      </c>
      <c r="J4413" s="6">
        <f t="shared" si="217"/>
        <v>0</v>
      </c>
      <c r="L4413" s="4" t="str">
        <f>IFERROR(VLOOKUP(ROWS($L$2:L4413),$B$2:$C$1996,2,0),"")</f>
        <v/>
      </c>
      <c r="N4413" s="2" t="str">
        <f>IFERROR(VLOOKUP(ROWS($N$2:N4413),$D$2:$E$1996,2,0),"")</f>
        <v/>
      </c>
    </row>
    <row r="4414" spans="2:14">
      <c r="B4414" s="32">
        <f>IF(ISNUMBER(SEARCH('Φόρμα Εισαγωγής'!$B$2,C4414)),MAX($B$1:B4413)+1,0)</f>
        <v>0</v>
      </c>
      <c r="D4414" s="33">
        <f>IF(ISNUMBER(SEARCH('Φόρμα Εισαγωγής'!$C$2,E4414)),MAX($D$1:D4413)+1,0)</f>
        <v>0</v>
      </c>
      <c r="H4414" s="6">
        <f t="shared" si="215"/>
        <v>0</v>
      </c>
      <c r="I4414" s="6">
        <f t="shared" si="216"/>
        <v>0</v>
      </c>
      <c r="J4414" s="6">
        <f t="shared" si="217"/>
        <v>0</v>
      </c>
      <c r="L4414" s="4" t="str">
        <f>IFERROR(VLOOKUP(ROWS($L$2:L4414),$B$2:$C$1996,2,0),"")</f>
        <v/>
      </c>
      <c r="N4414" s="2" t="str">
        <f>IFERROR(VLOOKUP(ROWS($N$2:N4414),$D$2:$E$1996,2,0),"")</f>
        <v/>
      </c>
    </row>
    <row r="4415" spans="2:14">
      <c r="B4415" s="32">
        <f>IF(ISNUMBER(SEARCH('Φόρμα Εισαγωγής'!$B$2,C4415)),MAX($B$1:B4414)+1,0)</f>
        <v>0</v>
      </c>
      <c r="D4415" s="33">
        <f>IF(ISNUMBER(SEARCH('Φόρμα Εισαγωγής'!$C$2,E4415)),MAX($D$1:D4414)+1,0)</f>
        <v>0</v>
      </c>
      <c r="H4415" s="6">
        <f t="shared" si="215"/>
        <v>0</v>
      </c>
      <c r="I4415" s="6">
        <f t="shared" si="216"/>
        <v>0</v>
      </c>
      <c r="J4415" s="6">
        <f t="shared" si="217"/>
        <v>0</v>
      </c>
      <c r="L4415" s="4" t="str">
        <f>IFERROR(VLOOKUP(ROWS($L$2:L4415),$B$2:$C$1996,2,0),"")</f>
        <v/>
      </c>
      <c r="N4415" s="2" t="str">
        <f>IFERROR(VLOOKUP(ROWS($N$2:N4415),$D$2:$E$1996,2,0),"")</f>
        <v/>
      </c>
    </row>
    <row r="4416" spans="2:14">
      <c r="B4416" s="32">
        <f>IF(ISNUMBER(SEARCH('Φόρμα Εισαγωγής'!$B$2,C4416)),MAX($B$1:B4415)+1,0)</f>
        <v>0</v>
      </c>
      <c r="D4416" s="33">
        <f>IF(ISNUMBER(SEARCH('Φόρμα Εισαγωγής'!$C$2,E4416)),MAX($D$1:D4415)+1,0)</f>
        <v>0</v>
      </c>
      <c r="H4416" s="6">
        <f t="shared" ref="H4416:H4479" si="218">G4416+(G4416*0.24)</f>
        <v>0</v>
      </c>
      <c r="I4416" s="6">
        <f t="shared" ref="I4416:I4479" si="219">F4416*A4416</f>
        <v>0</v>
      </c>
      <c r="J4416" s="6">
        <f t="shared" ref="J4416:J4479" si="220">H4416*A4416</f>
        <v>0</v>
      </c>
      <c r="L4416" s="4" t="str">
        <f>IFERROR(VLOOKUP(ROWS($L$2:L4416),$B$2:$C$1996,2,0),"")</f>
        <v/>
      </c>
      <c r="N4416" s="2" t="str">
        <f>IFERROR(VLOOKUP(ROWS($N$2:N4416),$D$2:$E$1996,2,0),"")</f>
        <v/>
      </c>
    </row>
    <row r="4417" spans="2:14">
      <c r="B4417" s="32">
        <f>IF(ISNUMBER(SEARCH('Φόρμα Εισαγωγής'!$B$2,C4417)),MAX($B$1:B4416)+1,0)</f>
        <v>0</v>
      </c>
      <c r="D4417" s="33">
        <f>IF(ISNUMBER(SEARCH('Φόρμα Εισαγωγής'!$C$2,E4417)),MAX($D$1:D4416)+1,0)</f>
        <v>0</v>
      </c>
      <c r="H4417" s="6">
        <f t="shared" si="218"/>
        <v>0</v>
      </c>
      <c r="I4417" s="6">
        <f t="shared" si="219"/>
        <v>0</v>
      </c>
      <c r="J4417" s="6">
        <f t="shared" si="220"/>
        <v>0</v>
      </c>
      <c r="L4417" s="4" t="str">
        <f>IFERROR(VLOOKUP(ROWS($L$2:L4417),$B$2:$C$1996,2,0),"")</f>
        <v/>
      </c>
      <c r="N4417" s="2" t="str">
        <f>IFERROR(VLOOKUP(ROWS($N$2:N4417),$D$2:$E$1996,2,0),"")</f>
        <v/>
      </c>
    </row>
    <row r="4418" spans="2:14">
      <c r="B4418" s="32">
        <f>IF(ISNUMBER(SEARCH('Φόρμα Εισαγωγής'!$B$2,C4418)),MAX($B$1:B4417)+1,0)</f>
        <v>0</v>
      </c>
      <c r="D4418" s="33">
        <f>IF(ISNUMBER(SEARCH('Φόρμα Εισαγωγής'!$C$2,E4418)),MAX($D$1:D4417)+1,0)</f>
        <v>0</v>
      </c>
      <c r="H4418" s="6">
        <f t="shared" si="218"/>
        <v>0</v>
      </c>
      <c r="I4418" s="6">
        <f t="shared" si="219"/>
        <v>0</v>
      </c>
      <c r="J4418" s="6">
        <f t="shared" si="220"/>
        <v>0</v>
      </c>
      <c r="L4418" s="4" t="str">
        <f>IFERROR(VLOOKUP(ROWS($L$2:L4418),$B$2:$C$1996,2,0),"")</f>
        <v/>
      </c>
      <c r="N4418" s="2" t="str">
        <f>IFERROR(VLOOKUP(ROWS($N$2:N4418),$D$2:$E$1996,2,0),"")</f>
        <v/>
      </c>
    </row>
    <row r="4419" spans="2:14">
      <c r="B4419" s="32">
        <f>IF(ISNUMBER(SEARCH('Φόρμα Εισαγωγής'!$B$2,C4419)),MAX($B$1:B4418)+1,0)</f>
        <v>0</v>
      </c>
      <c r="D4419" s="33">
        <f>IF(ISNUMBER(SEARCH('Φόρμα Εισαγωγής'!$C$2,E4419)),MAX($D$1:D4418)+1,0)</f>
        <v>0</v>
      </c>
      <c r="H4419" s="6">
        <f t="shared" si="218"/>
        <v>0</v>
      </c>
      <c r="I4419" s="6">
        <f t="shared" si="219"/>
        <v>0</v>
      </c>
      <c r="J4419" s="6">
        <f t="shared" si="220"/>
        <v>0</v>
      </c>
      <c r="L4419" s="4" t="str">
        <f>IFERROR(VLOOKUP(ROWS($L$2:L4419),$B$2:$C$1996,2,0),"")</f>
        <v/>
      </c>
      <c r="N4419" s="2" t="str">
        <f>IFERROR(VLOOKUP(ROWS($N$2:N4419),$D$2:$E$1996,2,0),"")</f>
        <v/>
      </c>
    </row>
    <row r="4420" spans="2:14">
      <c r="B4420" s="32">
        <f>IF(ISNUMBER(SEARCH('Φόρμα Εισαγωγής'!$B$2,C4420)),MAX($B$1:B4419)+1,0)</f>
        <v>0</v>
      </c>
      <c r="D4420" s="33">
        <f>IF(ISNUMBER(SEARCH('Φόρμα Εισαγωγής'!$C$2,E4420)),MAX($D$1:D4419)+1,0)</f>
        <v>0</v>
      </c>
      <c r="H4420" s="6">
        <f t="shared" si="218"/>
        <v>0</v>
      </c>
      <c r="I4420" s="6">
        <f t="shared" si="219"/>
        <v>0</v>
      </c>
      <c r="J4420" s="6">
        <f t="shared" si="220"/>
        <v>0</v>
      </c>
      <c r="L4420" s="4" t="str">
        <f>IFERROR(VLOOKUP(ROWS($L$2:L4420),$B$2:$C$1996,2,0),"")</f>
        <v/>
      </c>
      <c r="N4420" s="2" t="str">
        <f>IFERROR(VLOOKUP(ROWS($N$2:N4420),$D$2:$E$1996,2,0),"")</f>
        <v/>
      </c>
    </row>
    <row r="4421" spans="2:14">
      <c r="B4421" s="32">
        <f>IF(ISNUMBER(SEARCH('Φόρμα Εισαγωγής'!$B$2,C4421)),MAX($B$1:B4420)+1,0)</f>
        <v>0</v>
      </c>
      <c r="D4421" s="33">
        <f>IF(ISNUMBER(SEARCH('Φόρμα Εισαγωγής'!$C$2,E4421)),MAX($D$1:D4420)+1,0)</f>
        <v>0</v>
      </c>
      <c r="H4421" s="6">
        <f t="shared" si="218"/>
        <v>0</v>
      </c>
      <c r="I4421" s="6">
        <f t="shared" si="219"/>
        <v>0</v>
      </c>
      <c r="J4421" s="6">
        <f t="shared" si="220"/>
        <v>0</v>
      </c>
      <c r="L4421" s="4" t="str">
        <f>IFERROR(VLOOKUP(ROWS($L$2:L4421),$B$2:$C$1996,2,0),"")</f>
        <v/>
      </c>
      <c r="N4421" s="2" t="str">
        <f>IFERROR(VLOOKUP(ROWS($N$2:N4421),$D$2:$E$1996,2,0),"")</f>
        <v/>
      </c>
    </row>
    <row r="4422" spans="2:14">
      <c r="B4422" s="32">
        <f>IF(ISNUMBER(SEARCH('Φόρμα Εισαγωγής'!$B$2,C4422)),MAX($B$1:B4421)+1,0)</f>
        <v>0</v>
      </c>
      <c r="D4422" s="33">
        <f>IF(ISNUMBER(SEARCH('Φόρμα Εισαγωγής'!$C$2,E4422)),MAX($D$1:D4421)+1,0)</f>
        <v>0</v>
      </c>
      <c r="H4422" s="6">
        <f t="shared" si="218"/>
        <v>0</v>
      </c>
      <c r="I4422" s="6">
        <f t="shared" si="219"/>
        <v>0</v>
      </c>
      <c r="J4422" s="6">
        <f t="shared" si="220"/>
        <v>0</v>
      </c>
      <c r="L4422" s="4" t="str">
        <f>IFERROR(VLOOKUP(ROWS($L$2:L4422),$B$2:$C$1996,2,0),"")</f>
        <v/>
      </c>
      <c r="N4422" s="2" t="str">
        <f>IFERROR(VLOOKUP(ROWS($N$2:N4422),$D$2:$E$1996,2,0),"")</f>
        <v/>
      </c>
    </row>
    <row r="4423" spans="2:14">
      <c r="B4423" s="32">
        <f>IF(ISNUMBER(SEARCH('Φόρμα Εισαγωγής'!$B$2,C4423)),MAX($B$1:B4422)+1,0)</f>
        <v>0</v>
      </c>
      <c r="D4423" s="33">
        <f>IF(ISNUMBER(SEARCH('Φόρμα Εισαγωγής'!$C$2,E4423)),MAX($D$1:D4422)+1,0)</f>
        <v>0</v>
      </c>
      <c r="H4423" s="6">
        <f t="shared" si="218"/>
        <v>0</v>
      </c>
      <c r="I4423" s="6">
        <f t="shared" si="219"/>
        <v>0</v>
      </c>
      <c r="J4423" s="6">
        <f t="shared" si="220"/>
        <v>0</v>
      </c>
      <c r="L4423" s="4" t="str">
        <f>IFERROR(VLOOKUP(ROWS($L$2:L4423),$B$2:$C$1996,2,0),"")</f>
        <v/>
      </c>
      <c r="N4423" s="2" t="str">
        <f>IFERROR(VLOOKUP(ROWS($N$2:N4423),$D$2:$E$1996,2,0),"")</f>
        <v/>
      </c>
    </row>
    <row r="4424" spans="2:14">
      <c r="B4424" s="32">
        <f>IF(ISNUMBER(SEARCH('Φόρμα Εισαγωγής'!$B$2,C4424)),MAX($B$1:B4423)+1,0)</f>
        <v>0</v>
      </c>
      <c r="D4424" s="33">
        <f>IF(ISNUMBER(SEARCH('Φόρμα Εισαγωγής'!$C$2,E4424)),MAX($D$1:D4423)+1,0)</f>
        <v>0</v>
      </c>
      <c r="H4424" s="6">
        <f t="shared" si="218"/>
        <v>0</v>
      </c>
      <c r="I4424" s="6">
        <f t="shared" si="219"/>
        <v>0</v>
      </c>
      <c r="J4424" s="6">
        <f t="shared" si="220"/>
        <v>0</v>
      </c>
      <c r="L4424" s="4" t="str">
        <f>IFERROR(VLOOKUP(ROWS($L$2:L4424),$B$2:$C$1996,2,0),"")</f>
        <v/>
      </c>
      <c r="N4424" s="2" t="str">
        <f>IFERROR(VLOOKUP(ROWS($N$2:N4424),$D$2:$E$1996,2,0),"")</f>
        <v/>
      </c>
    </row>
    <row r="4425" spans="2:14">
      <c r="B4425" s="32">
        <f>IF(ISNUMBER(SEARCH('Φόρμα Εισαγωγής'!$B$2,C4425)),MAX($B$1:B4424)+1,0)</f>
        <v>0</v>
      </c>
      <c r="D4425" s="33">
        <f>IF(ISNUMBER(SEARCH('Φόρμα Εισαγωγής'!$C$2,E4425)),MAX($D$1:D4424)+1,0)</f>
        <v>0</v>
      </c>
      <c r="H4425" s="6">
        <f t="shared" si="218"/>
        <v>0</v>
      </c>
      <c r="I4425" s="6">
        <f t="shared" si="219"/>
        <v>0</v>
      </c>
      <c r="J4425" s="6">
        <f t="shared" si="220"/>
        <v>0</v>
      </c>
      <c r="L4425" s="4" t="str">
        <f>IFERROR(VLOOKUP(ROWS($L$2:L4425),$B$2:$C$1996,2,0),"")</f>
        <v/>
      </c>
      <c r="N4425" s="2" t="str">
        <f>IFERROR(VLOOKUP(ROWS($N$2:N4425),$D$2:$E$1996,2,0),"")</f>
        <v/>
      </c>
    </row>
    <row r="4426" spans="2:14">
      <c r="B4426" s="32">
        <f>IF(ISNUMBER(SEARCH('Φόρμα Εισαγωγής'!$B$2,C4426)),MAX($B$1:B4425)+1,0)</f>
        <v>0</v>
      </c>
      <c r="D4426" s="33">
        <f>IF(ISNUMBER(SEARCH('Φόρμα Εισαγωγής'!$C$2,E4426)),MAX($D$1:D4425)+1,0)</f>
        <v>0</v>
      </c>
      <c r="H4426" s="6">
        <f t="shared" si="218"/>
        <v>0</v>
      </c>
      <c r="I4426" s="6">
        <f t="shared" si="219"/>
        <v>0</v>
      </c>
      <c r="J4426" s="6">
        <f t="shared" si="220"/>
        <v>0</v>
      </c>
      <c r="L4426" s="4" t="str">
        <f>IFERROR(VLOOKUP(ROWS($L$2:L4426),$B$2:$C$1996,2,0),"")</f>
        <v/>
      </c>
      <c r="N4426" s="2" t="str">
        <f>IFERROR(VLOOKUP(ROWS($N$2:N4426),$D$2:$E$1996,2,0),"")</f>
        <v/>
      </c>
    </row>
    <row r="4427" spans="2:14">
      <c r="B4427" s="32">
        <f>IF(ISNUMBER(SEARCH('Φόρμα Εισαγωγής'!$B$2,C4427)),MAX($B$1:B4426)+1,0)</f>
        <v>0</v>
      </c>
      <c r="D4427" s="33">
        <f>IF(ISNUMBER(SEARCH('Φόρμα Εισαγωγής'!$C$2,E4427)),MAX($D$1:D4426)+1,0)</f>
        <v>0</v>
      </c>
      <c r="H4427" s="6">
        <f t="shared" si="218"/>
        <v>0</v>
      </c>
      <c r="I4427" s="6">
        <f t="shared" si="219"/>
        <v>0</v>
      </c>
      <c r="J4427" s="6">
        <f t="shared" si="220"/>
        <v>0</v>
      </c>
      <c r="L4427" s="4" t="str">
        <f>IFERROR(VLOOKUP(ROWS($L$2:L4427),$B$2:$C$1996,2,0),"")</f>
        <v/>
      </c>
      <c r="N4427" s="2" t="str">
        <f>IFERROR(VLOOKUP(ROWS($N$2:N4427),$D$2:$E$1996,2,0),"")</f>
        <v/>
      </c>
    </row>
    <row r="4428" spans="2:14">
      <c r="B4428" s="32">
        <f>IF(ISNUMBER(SEARCH('Φόρμα Εισαγωγής'!$B$2,C4428)),MAX($B$1:B4427)+1,0)</f>
        <v>0</v>
      </c>
      <c r="D4428" s="33">
        <f>IF(ISNUMBER(SEARCH('Φόρμα Εισαγωγής'!$C$2,E4428)),MAX($D$1:D4427)+1,0)</f>
        <v>0</v>
      </c>
      <c r="H4428" s="6">
        <f t="shared" si="218"/>
        <v>0</v>
      </c>
      <c r="I4428" s="6">
        <f t="shared" si="219"/>
        <v>0</v>
      </c>
      <c r="J4428" s="6">
        <f t="shared" si="220"/>
        <v>0</v>
      </c>
      <c r="L4428" s="4" t="str">
        <f>IFERROR(VLOOKUP(ROWS($L$2:L4428),$B$2:$C$1996,2,0),"")</f>
        <v/>
      </c>
      <c r="N4428" s="2" t="str">
        <f>IFERROR(VLOOKUP(ROWS($N$2:N4428),$D$2:$E$1996,2,0),"")</f>
        <v/>
      </c>
    </row>
    <row r="4429" spans="2:14">
      <c r="B4429" s="32">
        <f>IF(ISNUMBER(SEARCH('Φόρμα Εισαγωγής'!$B$2,C4429)),MAX($B$1:B4428)+1,0)</f>
        <v>0</v>
      </c>
      <c r="D4429" s="33">
        <f>IF(ISNUMBER(SEARCH('Φόρμα Εισαγωγής'!$C$2,E4429)),MAX($D$1:D4428)+1,0)</f>
        <v>0</v>
      </c>
      <c r="H4429" s="6">
        <f t="shared" si="218"/>
        <v>0</v>
      </c>
      <c r="I4429" s="6">
        <f t="shared" si="219"/>
        <v>0</v>
      </c>
      <c r="J4429" s="6">
        <f t="shared" si="220"/>
        <v>0</v>
      </c>
      <c r="L4429" s="4" t="str">
        <f>IFERROR(VLOOKUP(ROWS($L$2:L4429),$B$2:$C$1996,2,0),"")</f>
        <v/>
      </c>
      <c r="N4429" s="2" t="str">
        <f>IFERROR(VLOOKUP(ROWS($N$2:N4429),$D$2:$E$1996,2,0),"")</f>
        <v/>
      </c>
    </row>
    <row r="4430" spans="2:14">
      <c r="B4430" s="32">
        <f>IF(ISNUMBER(SEARCH('Φόρμα Εισαγωγής'!$B$2,C4430)),MAX($B$1:B4429)+1,0)</f>
        <v>0</v>
      </c>
      <c r="D4430" s="33">
        <f>IF(ISNUMBER(SEARCH('Φόρμα Εισαγωγής'!$C$2,E4430)),MAX($D$1:D4429)+1,0)</f>
        <v>0</v>
      </c>
      <c r="H4430" s="6">
        <f t="shared" si="218"/>
        <v>0</v>
      </c>
      <c r="I4430" s="6">
        <f t="shared" si="219"/>
        <v>0</v>
      </c>
      <c r="J4430" s="6">
        <f t="shared" si="220"/>
        <v>0</v>
      </c>
      <c r="L4430" s="4" t="str">
        <f>IFERROR(VLOOKUP(ROWS($L$2:L4430),$B$2:$C$1996,2,0),"")</f>
        <v/>
      </c>
      <c r="N4430" s="2" t="str">
        <f>IFERROR(VLOOKUP(ROWS($N$2:N4430),$D$2:$E$1996,2,0),"")</f>
        <v/>
      </c>
    </row>
    <row r="4431" spans="2:14">
      <c r="B4431" s="32">
        <f>IF(ISNUMBER(SEARCH('Φόρμα Εισαγωγής'!$B$2,C4431)),MAX($B$1:B4430)+1,0)</f>
        <v>0</v>
      </c>
      <c r="D4431" s="33">
        <f>IF(ISNUMBER(SEARCH('Φόρμα Εισαγωγής'!$C$2,E4431)),MAX($D$1:D4430)+1,0)</f>
        <v>0</v>
      </c>
      <c r="H4431" s="6">
        <f t="shared" si="218"/>
        <v>0</v>
      </c>
      <c r="I4431" s="6">
        <f t="shared" si="219"/>
        <v>0</v>
      </c>
      <c r="J4431" s="6">
        <f t="shared" si="220"/>
        <v>0</v>
      </c>
      <c r="L4431" s="4" t="str">
        <f>IFERROR(VLOOKUP(ROWS($L$2:L4431),$B$2:$C$1996,2,0),"")</f>
        <v/>
      </c>
      <c r="N4431" s="2" t="str">
        <f>IFERROR(VLOOKUP(ROWS($N$2:N4431),$D$2:$E$1996,2,0),"")</f>
        <v/>
      </c>
    </row>
    <row r="4432" spans="2:14">
      <c r="B4432" s="32">
        <f>IF(ISNUMBER(SEARCH('Φόρμα Εισαγωγής'!$B$2,C4432)),MAX($B$1:B4431)+1,0)</f>
        <v>0</v>
      </c>
      <c r="D4432" s="33">
        <f>IF(ISNUMBER(SEARCH('Φόρμα Εισαγωγής'!$C$2,E4432)),MAX($D$1:D4431)+1,0)</f>
        <v>0</v>
      </c>
      <c r="H4432" s="6">
        <f t="shared" si="218"/>
        <v>0</v>
      </c>
      <c r="I4432" s="6">
        <f t="shared" si="219"/>
        <v>0</v>
      </c>
      <c r="J4432" s="6">
        <f t="shared" si="220"/>
        <v>0</v>
      </c>
      <c r="L4432" s="4" t="str">
        <f>IFERROR(VLOOKUP(ROWS($L$2:L4432),$B$2:$C$1996,2,0),"")</f>
        <v/>
      </c>
      <c r="N4432" s="2" t="str">
        <f>IFERROR(VLOOKUP(ROWS($N$2:N4432),$D$2:$E$1996,2,0),"")</f>
        <v/>
      </c>
    </row>
    <row r="4433" spans="2:14">
      <c r="B4433" s="32">
        <f>IF(ISNUMBER(SEARCH('Φόρμα Εισαγωγής'!$B$2,C4433)),MAX($B$1:B4432)+1,0)</f>
        <v>0</v>
      </c>
      <c r="D4433" s="33">
        <f>IF(ISNUMBER(SEARCH('Φόρμα Εισαγωγής'!$C$2,E4433)),MAX($D$1:D4432)+1,0)</f>
        <v>0</v>
      </c>
      <c r="H4433" s="6">
        <f t="shared" si="218"/>
        <v>0</v>
      </c>
      <c r="I4433" s="6">
        <f t="shared" si="219"/>
        <v>0</v>
      </c>
      <c r="J4433" s="6">
        <f t="shared" si="220"/>
        <v>0</v>
      </c>
      <c r="L4433" s="4" t="str">
        <f>IFERROR(VLOOKUP(ROWS($L$2:L4433),$B$2:$C$1996,2,0),"")</f>
        <v/>
      </c>
      <c r="N4433" s="2" t="str">
        <f>IFERROR(VLOOKUP(ROWS($N$2:N4433),$D$2:$E$1996,2,0),"")</f>
        <v/>
      </c>
    </row>
    <row r="4434" spans="2:14">
      <c r="B4434" s="32">
        <f>IF(ISNUMBER(SEARCH('Φόρμα Εισαγωγής'!$B$2,C4434)),MAX($B$1:B4433)+1,0)</f>
        <v>0</v>
      </c>
      <c r="D4434" s="33">
        <f>IF(ISNUMBER(SEARCH('Φόρμα Εισαγωγής'!$C$2,E4434)),MAX($D$1:D4433)+1,0)</f>
        <v>0</v>
      </c>
      <c r="H4434" s="6">
        <f t="shared" si="218"/>
        <v>0</v>
      </c>
      <c r="I4434" s="6">
        <f t="shared" si="219"/>
        <v>0</v>
      </c>
      <c r="J4434" s="6">
        <f t="shared" si="220"/>
        <v>0</v>
      </c>
      <c r="L4434" s="4" t="str">
        <f>IFERROR(VLOOKUP(ROWS($L$2:L4434),$B$2:$C$1996,2,0),"")</f>
        <v/>
      </c>
      <c r="N4434" s="2" t="str">
        <f>IFERROR(VLOOKUP(ROWS($N$2:N4434),$D$2:$E$1996,2,0),"")</f>
        <v/>
      </c>
    </row>
    <row r="4435" spans="2:14">
      <c r="B4435" s="32">
        <f>IF(ISNUMBER(SEARCH('Φόρμα Εισαγωγής'!$B$2,C4435)),MAX($B$1:B4434)+1,0)</f>
        <v>0</v>
      </c>
      <c r="D4435" s="33">
        <f>IF(ISNUMBER(SEARCH('Φόρμα Εισαγωγής'!$C$2,E4435)),MAX($D$1:D4434)+1,0)</f>
        <v>0</v>
      </c>
      <c r="H4435" s="6">
        <f t="shared" si="218"/>
        <v>0</v>
      </c>
      <c r="I4435" s="6">
        <f t="shared" si="219"/>
        <v>0</v>
      </c>
      <c r="J4435" s="6">
        <f t="shared" si="220"/>
        <v>0</v>
      </c>
      <c r="L4435" s="4" t="str">
        <f>IFERROR(VLOOKUP(ROWS($L$2:L4435),$B$2:$C$1996,2,0),"")</f>
        <v/>
      </c>
      <c r="N4435" s="2" t="str">
        <f>IFERROR(VLOOKUP(ROWS($N$2:N4435),$D$2:$E$1996,2,0),"")</f>
        <v/>
      </c>
    </row>
    <row r="4436" spans="2:14">
      <c r="B4436" s="32">
        <f>IF(ISNUMBER(SEARCH('Φόρμα Εισαγωγής'!$B$2,C4436)),MAX($B$1:B4435)+1,0)</f>
        <v>0</v>
      </c>
      <c r="D4436" s="33">
        <f>IF(ISNUMBER(SEARCH('Φόρμα Εισαγωγής'!$C$2,E4436)),MAX($D$1:D4435)+1,0)</f>
        <v>0</v>
      </c>
      <c r="H4436" s="6">
        <f t="shared" si="218"/>
        <v>0</v>
      </c>
      <c r="I4436" s="6">
        <f t="shared" si="219"/>
        <v>0</v>
      </c>
      <c r="J4436" s="6">
        <f t="shared" si="220"/>
        <v>0</v>
      </c>
      <c r="L4436" s="4" t="str">
        <f>IFERROR(VLOOKUP(ROWS($L$2:L4436),$B$2:$C$1996,2,0),"")</f>
        <v/>
      </c>
      <c r="N4436" s="2" t="str">
        <f>IFERROR(VLOOKUP(ROWS($N$2:N4436),$D$2:$E$1996,2,0),"")</f>
        <v/>
      </c>
    </row>
    <row r="4437" spans="2:14">
      <c r="B4437" s="32">
        <f>IF(ISNUMBER(SEARCH('Φόρμα Εισαγωγής'!$B$2,C4437)),MAX($B$1:B4436)+1,0)</f>
        <v>0</v>
      </c>
      <c r="D4437" s="33">
        <f>IF(ISNUMBER(SEARCH('Φόρμα Εισαγωγής'!$C$2,E4437)),MAX($D$1:D4436)+1,0)</f>
        <v>0</v>
      </c>
      <c r="H4437" s="6">
        <f t="shared" si="218"/>
        <v>0</v>
      </c>
      <c r="I4437" s="6">
        <f t="shared" si="219"/>
        <v>0</v>
      </c>
      <c r="J4437" s="6">
        <f t="shared" si="220"/>
        <v>0</v>
      </c>
      <c r="L4437" s="4" t="str">
        <f>IFERROR(VLOOKUP(ROWS($L$2:L4437),$B$2:$C$1996,2,0),"")</f>
        <v/>
      </c>
      <c r="N4437" s="2" t="str">
        <f>IFERROR(VLOOKUP(ROWS($N$2:N4437),$D$2:$E$1996,2,0),"")</f>
        <v/>
      </c>
    </row>
    <row r="4438" spans="2:14">
      <c r="B4438" s="32">
        <f>IF(ISNUMBER(SEARCH('Φόρμα Εισαγωγής'!$B$2,C4438)),MAX($B$1:B4437)+1,0)</f>
        <v>0</v>
      </c>
      <c r="D4438" s="33">
        <f>IF(ISNUMBER(SEARCH('Φόρμα Εισαγωγής'!$C$2,E4438)),MAX($D$1:D4437)+1,0)</f>
        <v>0</v>
      </c>
      <c r="H4438" s="6">
        <f t="shared" si="218"/>
        <v>0</v>
      </c>
      <c r="I4438" s="6">
        <f t="shared" si="219"/>
        <v>0</v>
      </c>
      <c r="J4438" s="6">
        <f t="shared" si="220"/>
        <v>0</v>
      </c>
      <c r="L4438" s="4" t="str">
        <f>IFERROR(VLOOKUP(ROWS($L$2:L4438),$B$2:$C$1996,2,0),"")</f>
        <v/>
      </c>
      <c r="N4438" s="2" t="str">
        <f>IFERROR(VLOOKUP(ROWS($N$2:N4438),$D$2:$E$1996,2,0),"")</f>
        <v/>
      </c>
    </row>
    <row r="4439" spans="2:14">
      <c r="B4439" s="32">
        <f>IF(ISNUMBER(SEARCH('Φόρμα Εισαγωγής'!$B$2,C4439)),MAX($B$1:B4438)+1,0)</f>
        <v>0</v>
      </c>
      <c r="D4439" s="33">
        <f>IF(ISNUMBER(SEARCH('Φόρμα Εισαγωγής'!$C$2,E4439)),MAX($D$1:D4438)+1,0)</f>
        <v>0</v>
      </c>
      <c r="H4439" s="6">
        <f t="shared" si="218"/>
        <v>0</v>
      </c>
      <c r="I4439" s="6">
        <f t="shared" si="219"/>
        <v>0</v>
      </c>
      <c r="J4439" s="6">
        <f t="shared" si="220"/>
        <v>0</v>
      </c>
      <c r="L4439" s="4" t="str">
        <f>IFERROR(VLOOKUP(ROWS($L$2:L4439),$B$2:$C$1996,2,0),"")</f>
        <v/>
      </c>
      <c r="N4439" s="2" t="str">
        <f>IFERROR(VLOOKUP(ROWS($N$2:N4439),$D$2:$E$1996,2,0),"")</f>
        <v/>
      </c>
    </row>
    <row r="4440" spans="2:14">
      <c r="B4440" s="32">
        <f>IF(ISNUMBER(SEARCH('Φόρμα Εισαγωγής'!$B$2,C4440)),MAX($B$1:B4439)+1,0)</f>
        <v>0</v>
      </c>
      <c r="D4440" s="33">
        <f>IF(ISNUMBER(SEARCH('Φόρμα Εισαγωγής'!$C$2,E4440)),MAX($D$1:D4439)+1,0)</f>
        <v>0</v>
      </c>
      <c r="H4440" s="6">
        <f t="shared" si="218"/>
        <v>0</v>
      </c>
      <c r="I4440" s="6">
        <f t="shared" si="219"/>
        <v>0</v>
      </c>
      <c r="J4440" s="6">
        <f t="shared" si="220"/>
        <v>0</v>
      </c>
      <c r="L4440" s="4" t="str">
        <f>IFERROR(VLOOKUP(ROWS($L$2:L4440),$B$2:$C$1996,2,0),"")</f>
        <v/>
      </c>
      <c r="N4440" s="2" t="str">
        <f>IFERROR(VLOOKUP(ROWS($N$2:N4440),$D$2:$E$1996,2,0),"")</f>
        <v/>
      </c>
    </row>
    <row r="4441" spans="2:14">
      <c r="B4441" s="32">
        <f>IF(ISNUMBER(SEARCH('Φόρμα Εισαγωγής'!$B$2,C4441)),MAX($B$1:B4440)+1,0)</f>
        <v>0</v>
      </c>
      <c r="D4441" s="33">
        <f>IF(ISNUMBER(SEARCH('Φόρμα Εισαγωγής'!$C$2,E4441)),MAX($D$1:D4440)+1,0)</f>
        <v>0</v>
      </c>
      <c r="H4441" s="6">
        <f t="shared" si="218"/>
        <v>0</v>
      </c>
      <c r="I4441" s="6">
        <f t="shared" si="219"/>
        <v>0</v>
      </c>
      <c r="J4441" s="6">
        <f t="shared" si="220"/>
        <v>0</v>
      </c>
      <c r="L4441" s="4" t="str">
        <f>IFERROR(VLOOKUP(ROWS($L$2:L4441),$B$2:$C$1996,2,0),"")</f>
        <v/>
      </c>
      <c r="N4441" s="2" t="str">
        <f>IFERROR(VLOOKUP(ROWS($N$2:N4441),$D$2:$E$1996,2,0),"")</f>
        <v/>
      </c>
    </row>
    <row r="4442" spans="2:14">
      <c r="B4442" s="32">
        <f>IF(ISNUMBER(SEARCH('Φόρμα Εισαγωγής'!$B$2,C4442)),MAX($B$1:B4441)+1,0)</f>
        <v>0</v>
      </c>
      <c r="D4442" s="33">
        <f>IF(ISNUMBER(SEARCH('Φόρμα Εισαγωγής'!$C$2,E4442)),MAX($D$1:D4441)+1,0)</f>
        <v>0</v>
      </c>
      <c r="H4442" s="6">
        <f t="shared" si="218"/>
        <v>0</v>
      </c>
      <c r="I4442" s="6">
        <f t="shared" si="219"/>
        <v>0</v>
      </c>
      <c r="J4442" s="6">
        <f t="shared" si="220"/>
        <v>0</v>
      </c>
      <c r="L4442" s="4" t="str">
        <f>IFERROR(VLOOKUP(ROWS($L$2:L4442),$B$2:$C$1996,2,0),"")</f>
        <v/>
      </c>
      <c r="N4442" s="2" t="str">
        <f>IFERROR(VLOOKUP(ROWS($N$2:N4442),$D$2:$E$1996,2,0),"")</f>
        <v/>
      </c>
    </row>
    <row r="4443" spans="2:14">
      <c r="B4443" s="32">
        <f>IF(ISNUMBER(SEARCH('Φόρμα Εισαγωγής'!$B$2,C4443)),MAX($B$1:B4442)+1,0)</f>
        <v>0</v>
      </c>
      <c r="D4443" s="33">
        <f>IF(ISNUMBER(SEARCH('Φόρμα Εισαγωγής'!$C$2,E4443)),MAX($D$1:D4442)+1,0)</f>
        <v>0</v>
      </c>
      <c r="H4443" s="6">
        <f t="shared" si="218"/>
        <v>0</v>
      </c>
      <c r="I4443" s="6">
        <f t="shared" si="219"/>
        <v>0</v>
      </c>
      <c r="J4443" s="6">
        <f t="shared" si="220"/>
        <v>0</v>
      </c>
      <c r="L4443" s="4" t="str">
        <f>IFERROR(VLOOKUP(ROWS($L$2:L4443),$B$2:$C$1996,2,0),"")</f>
        <v/>
      </c>
      <c r="N4443" s="2" t="str">
        <f>IFERROR(VLOOKUP(ROWS($N$2:N4443),$D$2:$E$1996,2,0),"")</f>
        <v/>
      </c>
    </row>
    <row r="4444" spans="2:14">
      <c r="B4444" s="32">
        <f>IF(ISNUMBER(SEARCH('Φόρμα Εισαγωγής'!$B$2,C4444)),MAX($B$1:B4443)+1,0)</f>
        <v>0</v>
      </c>
      <c r="D4444" s="33">
        <f>IF(ISNUMBER(SEARCH('Φόρμα Εισαγωγής'!$C$2,E4444)),MAX($D$1:D4443)+1,0)</f>
        <v>0</v>
      </c>
      <c r="H4444" s="6">
        <f t="shared" si="218"/>
        <v>0</v>
      </c>
      <c r="I4444" s="6">
        <f t="shared" si="219"/>
        <v>0</v>
      </c>
      <c r="J4444" s="6">
        <f t="shared" si="220"/>
        <v>0</v>
      </c>
      <c r="L4444" s="4" t="str">
        <f>IFERROR(VLOOKUP(ROWS($L$2:L4444),$B$2:$C$1996,2,0),"")</f>
        <v/>
      </c>
      <c r="N4444" s="2" t="str">
        <f>IFERROR(VLOOKUP(ROWS($N$2:N4444),$D$2:$E$1996,2,0),"")</f>
        <v/>
      </c>
    </row>
    <row r="4445" spans="2:14">
      <c r="B4445" s="32">
        <f>IF(ISNUMBER(SEARCH('Φόρμα Εισαγωγής'!$B$2,C4445)),MAX($B$1:B4444)+1,0)</f>
        <v>0</v>
      </c>
      <c r="D4445" s="33">
        <f>IF(ISNUMBER(SEARCH('Φόρμα Εισαγωγής'!$C$2,E4445)),MAX($D$1:D4444)+1,0)</f>
        <v>0</v>
      </c>
      <c r="H4445" s="6">
        <f t="shared" si="218"/>
        <v>0</v>
      </c>
      <c r="I4445" s="6">
        <f t="shared" si="219"/>
        <v>0</v>
      </c>
      <c r="J4445" s="6">
        <f t="shared" si="220"/>
        <v>0</v>
      </c>
      <c r="L4445" s="4" t="str">
        <f>IFERROR(VLOOKUP(ROWS($L$2:L4445),$B$2:$C$1996,2,0),"")</f>
        <v/>
      </c>
      <c r="N4445" s="2" t="str">
        <f>IFERROR(VLOOKUP(ROWS($N$2:N4445),$D$2:$E$1996,2,0),"")</f>
        <v/>
      </c>
    </row>
    <row r="4446" spans="2:14">
      <c r="B4446" s="32">
        <f>IF(ISNUMBER(SEARCH('Φόρμα Εισαγωγής'!$B$2,C4446)),MAX($B$1:B4445)+1,0)</f>
        <v>0</v>
      </c>
      <c r="D4446" s="33">
        <f>IF(ISNUMBER(SEARCH('Φόρμα Εισαγωγής'!$C$2,E4446)),MAX($D$1:D4445)+1,0)</f>
        <v>0</v>
      </c>
      <c r="H4446" s="6">
        <f t="shared" si="218"/>
        <v>0</v>
      </c>
      <c r="I4446" s="6">
        <f t="shared" si="219"/>
        <v>0</v>
      </c>
      <c r="J4446" s="6">
        <f t="shared" si="220"/>
        <v>0</v>
      </c>
      <c r="L4446" s="4" t="str">
        <f>IFERROR(VLOOKUP(ROWS($L$2:L4446),$B$2:$C$1996,2,0),"")</f>
        <v/>
      </c>
      <c r="N4446" s="2" t="str">
        <f>IFERROR(VLOOKUP(ROWS($N$2:N4446),$D$2:$E$1996,2,0),"")</f>
        <v/>
      </c>
    </row>
    <row r="4447" spans="2:14">
      <c r="B4447" s="32">
        <f>IF(ISNUMBER(SEARCH('Φόρμα Εισαγωγής'!$B$2,C4447)),MAX($B$1:B4446)+1,0)</f>
        <v>0</v>
      </c>
      <c r="D4447" s="33">
        <f>IF(ISNUMBER(SEARCH('Φόρμα Εισαγωγής'!$C$2,E4447)),MAX($D$1:D4446)+1,0)</f>
        <v>0</v>
      </c>
      <c r="H4447" s="6">
        <f t="shared" si="218"/>
        <v>0</v>
      </c>
      <c r="I4447" s="6">
        <f t="shared" si="219"/>
        <v>0</v>
      </c>
      <c r="J4447" s="6">
        <f t="shared" si="220"/>
        <v>0</v>
      </c>
      <c r="L4447" s="4" t="str">
        <f>IFERROR(VLOOKUP(ROWS($L$2:L4447),$B$2:$C$1996,2,0),"")</f>
        <v/>
      </c>
      <c r="N4447" s="2" t="str">
        <f>IFERROR(VLOOKUP(ROWS($N$2:N4447),$D$2:$E$1996,2,0),"")</f>
        <v/>
      </c>
    </row>
    <row r="4448" spans="2:14">
      <c r="B4448" s="32">
        <f>IF(ISNUMBER(SEARCH('Φόρμα Εισαγωγής'!$B$2,C4448)),MAX($B$1:B4447)+1,0)</f>
        <v>0</v>
      </c>
      <c r="D4448" s="33">
        <f>IF(ISNUMBER(SEARCH('Φόρμα Εισαγωγής'!$C$2,E4448)),MAX($D$1:D4447)+1,0)</f>
        <v>0</v>
      </c>
      <c r="H4448" s="6">
        <f t="shared" si="218"/>
        <v>0</v>
      </c>
      <c r="I4448" s="6">
        <f t="shared" si="219"/>
        <v>0</v>
      </c>
      <c r="J4448" s="6">
        <f t="shared" si="220"/>
        <v>0</v>
      </c>
      <c r="L4448" s="4" t="str">
        <f>IFERROR(VLOOKUP(ROWS($L$2:L4448),$B$2:$C$1996,2,0),"")</f>
        <v/>
      </c>
      <c r="N4448" s="2" t="str">
        <f>IFERROR(VLOOKUP(ROWS($N$2:N4448),$D$2:$E$1996,2,0),"")</f>
        <v/>
      </c>
    </row>
    <row r="4449" spans="2:14">
      <c r="B4449" s="32">
        <f>IF(ISNUMBER(SEARCH('Φόρμα Εισαγωγής'!$B$2,C4449)),MAX($B$1:B4448)+1,0)</f>
        <v>0</v>
      </c>
      <c r="D4449" s="33">
        <f>IF(ISNUMBER(SEARCH('Φόρμα Εισαγωγής'!$C$2,E4449)),MAX($D$1:D4448)+1,0)</f>
        <v>0</v>
      </c>
      <c r="H4449" s="6">
        <f t="shared" si="218"/>
        <v>0</v>
      </c>
      <c r="I4449" s="6">
        <f t="shared" si="219"/>
        <v>0</v>
      </c>
      <c r="J4449" s="6">
        <f t="shared" si="220"/>
        <v>0</v>
      </c>
      <c r="L4449" s="4" t="str">
        <f>IFERROR(VLOOKUP(ROWS($L$2:L4449),$B$2:$C$1996,2,0),"")</f>
        <v/>
      </c>
      <c r="N4449" s="2" t="str">
        <f>IFERROR(VLOOKUP(ROWS($N$2:N4449),$D$2:$E$1996,2,0),"")</f>
        <v/>
      </c>
    </row>
    <row r="4450" spans="2:14">
      <c r="B4450" s="32">
        <f>IF(ISNUMBER(SEARCH('Φόρμα Εισαγωγής'!$B$2,C4450)),MAX($B$1:B4449)+1,0)</f>
        <v>0</v>
      </c>
      <c r="D4450" s="33">
        <f>IF(ISNUMBER(SEARCH('Φόρμα Εισαγωγής'!$C$2,E4450)),MAX($D$1:D4449)+1,0)</f>
        <v>0</v>
      </c>
      <c r="H4450" s="6">
        <f t="shared" si="218"/>
        <v>0</v>
      </c>
      <c r="I4450" s="6">
        <f t="shared" si="219"/>
        <v>0</v>
      </c>
      <c r="J4450" s="6">
        <f t="shared" si="220"/>
        <v>0</v>
      </c>
      <c r="L4450" s="4" t="str">
        <f>IFERROR(VLOOKUP(ROWS($L$2:L4450),$B$2:$C$1996,2,0),"")</f>
        <v/>
      </c>
      <c r="N4450" s="2" t="str">
        <f>IFERROR(VLOOKUP(ROWS($N$2:N4450),$D$2:$E$1996,2,0),"")</f>
        <v/>
      </c>
    </row>
    <row r="4451" spans="2:14">
      <c r="B4451" s="32">
        <f>IF(ISNUMBER(SEARCH('Φόρμα Εισαγωγής'!$B$2,C4451)),MAX($B$1:B4450)+1,0)</f>
        <v>0</v>
      </c>
      <c r="D4451" s="33">
        <f>IF(ISNUMBER(SEARCH('Φόρμα Εισαγωγής'!$C$2,E4451)),MAX($D$1:D4450)+1,0)</f>
        <v>0</v>
      </c>
      <c r="H4451" s="6">
        <f t="shared" si="218"/>
        <v>0</v>
      </c>
      <c r="I4451" s="6">
        <f t="shared" si="219"/>
        <v>0</v>
      </c>
      <c r="J4451" s="6">
        <f t="shared" si="220"/>
        <v>0</v>
      </c>
      <c r="L4451" s="4" t="str">
        <f>IFERROR(VLOOKUP(ROWS($L$2:L4451),$B$2:$C$1996,2,0),"")</f>
        <v/>
      </c>
      <c r="N4451" s="2" t="str">
        <f>IFERROR(VLOOKUP(ROWS($N$2:N4451),$D$2:$E$1996,2,0),"")</f>
        <v/>
      </c>
    </row>
    <row r="4452" spans="2:14">
      <c r="B4452" s="32">
        <f>IF(ISNUMBER(SEARCH('Φόρμα Εισαγωγής'!$B$2,C4452)),MAX($B$1:B4451)+1,0)</f>
        <v>0</v>
      </c>
      <c r="D4452" s="33">
        <f>IF(ISNUMBER(SEARCH('Φόρμα Εισαγωγής'!$C$2,E4452)),MAX($D$1:D4451)+1,0)</f>
        <v>0</v>
      </c>
      <c r="H4452" s="6">
        <f t="shared" si="218"/>
        <v>0</v>
      </c>
      <c r="I4452" s="6">
        <f t="shared" si="219"/>
        <v>0</v>
      </c>
      <c r="J4452" s="6">
        <f t="shared" si="220"/>
        <v>0</v>
      </c>
      <c r="L4452" s="4" t="str">
        <f>IFERROR(VLOOKUP(ROWS($L$2:L4452),$B$2:$C$1996,2,0),"")</f>
        <v/>
      </c>
      <c r="N4452" s="2" t="str">
        <f>IFERROR(VLOOKUP(ROWS($N$2:N4452),$D$2:$E$1996,2,0),"")</f>
        <v/>
      </c>
    </row>
    <row r="4453" spans="2:14">
      <c r="B4453" s="32">
        <f>IF(ISNUMBER(SEARCH('Φόρμα Εισαγωγής'!$B$2,C4453)),MAX($B$1:B4452)+1,0)</f>
        <v>0</v>
      </c>
      <c r="D4453" s="33">
        <f>IF(ISNUMBER(SEARCH('Φόρμα Εισαγωγής'!$C$2,E4453)),MAX($D$1:D4452)+1,0)</f>
        <v>0</v>
      </c>
      <c r="H4453" s="6">
        <f t="shared" si="218"/>
        <v>0</v>
      </c>
      <c r="I4453" s="6">
        <f t="shared" si="219"/>
        <v>0</v>
      </c>
      <c r="J4453" s="6">
        <f t="shared" si="220"/>
        <v>0</v>
      </c>
      <c r="L4453" s="4" t="str">
        <f>IFERROR(VLOOKUP(ROWS($L$2:L4453),$B$2:$C$1996,2,0),"")</f>
        <v/>
      </c>
      <c r="N4453" s="2" t="str">
        <f>IFERROR(VLOOKUP(ROWS($N$2:N4453),$D$2:$E$1996,2,0),"")</f>
        <v/>
      </c>
    </row>
    <row r="4454" spans="2:14">
      <c r="B4454" s="32">
        <f>IF(ISNUMBER(SEARCH('Φόρμα Εισαγωγής'!$B$2,C4454)),MAX($B$1:B4453)+1,0)</f>
        <v>0</v>
      </c>
      <c r="D4454" s="33">
        <f>IF(ISNUMBER(SEARCH('Φόρμα Εισαγωγής'!$C$2,E4454)),MAX($D$1:D4453)+1,0)</f>
        <v>0</v>
      </c>
      <c r="H4454" s="6">
        <f t="shared" si="218"/>
        <v>0</v>
      </c>
      <c r="I4454" s="6">
        <f t="shared" si="219"/>
        <v>0</v>
      </c>
      <c r="J4454" s="6">
        <f t="shared" si="220"/>
        <v>0</v>
      </c>
      <c r="L4454" s="4" t="str">
        <f>IFERROR(VLOOKUP(ROWS($L$2:L4454),$B$2:$C$1996,2,0),"")</f>
        <v/>
      </c>
      <c r="N4454" s="2" t="str">
        <f>IFERROR(VLOOKUP(ROWS($N$2:N4454),$D$2:$E$1996,2,0),"")</f>
        <v/>
      </c>
    </row>
    <row r="4455" spans="2:14">
      <c r="B4455" s="32">
        <f>IF(ISNUMBER(SEARCH('Φόρμα Εισαγωγής'!$B$2,C4455)),MAX($B$1:B4454)+1,0)</f>
        <v>0</v>
      </c>
      <c r="D4455" s="33">
        <f>IF(ISNUMBER(SEARCH('Φόρμα Εισαγωγής'!$C$2,E4455)),MAX($D$1:D4454)+1,0)</f>
        <v>0</v>
      </c>
      <c r="H4455" s="6">
        <f t="shared" si="218"/>
        <v>0</v>
      </c>
      <c r="I4455" s="6">
        <f t="shared" si="219"/>
        <v>0</v>
      </c>
      <c r="J4455" s="6">
        <f t="shared" si="220"/>
        <v>0</v>
      </c>
      <c r="L4455" s="4" t="str">
        <f>IFERROR(VLOOKUP(ROWS($L$2:L4455),$B$2:$C$1996,2,0),"")</f>
        <v/>
      </c>
      <c r="N4455" s="2" t="str">
        <f>IFERROR(VLOOKUP(ROWS($N$2:N4455),$D$2:$E$1996,2,0),"")</f>
        <v/>
      </c>
    </row>
    <row r="4456" spans="2:14">
      <c r="B4456" s="32">
        <f>IF(ISNUMBER(SEARCH('Φόρμα Εισαγωγής'!$B$2,C4456)),MAX($B$1:B4455)+1,0)</f>
        <v>0</v>
      </c>
      <c r="D4456" s="33">
        <f>IF(ISNUMBER(SEARCH('Φόρμα Εισαγωγής'!$C$2,E4456)),MAX($D$1:D4455)+1,0)</f>
        <v>0</v>
      </c>
      <c r="H4456" s="6">
        <f t="shared" si="218"/>
        <v>0</v>
      </c>
      <c r="I4456" s="6">
        <f t="shared" si="219"/>
        <v>0</v>
      </c>
      <c r="J4456" s="6">
        <f t="shared" si="220"/>
        <v>0</v>
      </c>
      <c r="L4456" s="4" t="str">
        <f>IFERROR(VLOOKUP(ROWS($L$2:L4456),$B$2:$C$1996,2,0),"")</f>
        <v/>
      </c>
      <c r="N4456" s="2" t="str">
        <f>IFERROR(VLOOKUP(ROWS($N$2:N4456),$D$2:$E$1996,2,0),"")</f>
        <v/>
      </c>
    </row>
    <row r="4457" spans="2:14">
      <c r="B4457" s="32">
        <f>IF(ISNUMBER(SEARCH('Φόρμα Εισαγωγής'!$B$2,C4457)),MAX($B$1:B4456)+1,0)</f>
        <v>0</v>
      </c>
      <c r="D4457" s="33">
        <f>IF(ISNUMBER(SEARCH('Φόρμα Εισαγωγής'!$C$2,E4457)),MAX($D$1:D4456)+1,0)</f>
        <v>0</v>
      </c>
      <c r="H4457" s="6">
        <f t="shared" si="218"/>
        <v>0</v>
      </c>
      <c r="I4457" s="6">
        <f t="shared" si="219"/>
        <v>0</v>
      </c>
      <c r="J4457" s="6">
        <f t="shared" si="220"/>
        <v>0</v>
      </c>
      <c r="L4457" s="4" t="str">
        <f>IFERROR(VLOOKUP(ROWS($L$2:L4457),$B$2:$C$1996,2,0),"")</f>
        <v/>
      </c>
      <c r="N4457" s="2" t="str">
        <f>IFERROR(VLOOKUP(ROWS($N$2:N4457),$D$2:$E$1996,2,0),"")</f>
        <v/>
      </c>
    </row>
    <row r="4458" spans="2:14">
      <c r="B4458" s="32">
        <f>IF(ISNUMBER(SEARCH('Φόρμα Εισαγωγής'!$B$2,C4458)),MAX($B$1:B4457)+1,0)</f>
        <v>0</v>
      </c>
      <c r="D4458" s="33">
        <f>IF(ISNUMBER(SEARCH('Φόρμα Εισαγωγής'!$C$2,E4458)),MAX($D$1:D4457)+1,0)</f>
        <v>0</v>
      </c>
      <c r="H4458" s="6">
        <f t="shared" si="218"/>
        <v>0</v>
      </c>
      <c r="I4458" s="6">
        <f t="shared" si="219"/>
        <v>0</v>
      </c>
      <c r="J4458" s="6">
        <f t="shared" si="220"/>
        <v>0</v>
      </c>
      <c r="L4458" s="4" t="str">
        <f>IFERROR(VLOOKUP(ROWS($L$2:L4458),$B$2:$C$1996,2,0),"")</f>
        <v/>
      </c>
      <c r="N4458" s="2" t="str">
        <f>IFERROR(VLOOKUP(ROWS($N$2:N4458),$D$2:$E$1996,2,0),"")</f>
        <v/>
      </c>
    </row>
    <row r="4459" spans="2:14">
      <c r="B4459" s="32">
        <f>IF(ISNUMBER(SEARCH('Φόρμα Εισαγωγής'!$B$2,C4459)),MAX($B$1:B4458)+1,0)</f>
        <v>0</v>
      </c>
      <c r="D4459" s="33">
        <f>IF(ISNUMBER(SEARCH('Φόρμα Εισαγωγής'!$C$2,E4459)),MAX($D$1:D4458)+1,0)</f>
        <v>0</v>
      </c>
      <c r="H4459" s="6">
        <f t="shared" si="218"/>
        <v>0</v>
      </c>
      <c r="I4459" s="6">
        <f t="shared" si="219"/>
        <v>0</v>
      </c>
      <c r="J4459" s="6">
        <f t="shared" si="220"/>
        <v>0</v>
      </c>
      <c r="L4459" s="4" t="str">
        <f>IFERROR(VLOOKUP(ROWS($L$2:L4459),$B$2:$C$1996,2,0),"")</f>
        <v/>
      </c>
      <c r="N4459" s="2" t="str">
        <f>IFERROR(VLOOKUP(ROWS($N$2:N4459),$D$2:$E$1996,2,0),"")</f>
        <v/>
      </c>
    </row>
    <row r="4460" spans="2:14">
      <c r="B4460" s="32">
        <f>IF(ISNUMBER(SEARCH('Φόρμα Εισαγωγής'!$B$2,C4460)),MAX($B$1:B4459)+1,0)</f>
        <v>0</v>
      </c>
      <c r="D4460" s="33">
        <f>IF(ISNUMBER(SEARCH('Φόρμα Εισαγωγής'!$C$2,E4460)),MAX($D$1:D4459)+1,0)</f>
        <v>0</v>
      </c>
      <c r="H4460" s="6">
        <f t="shared" si="218"/>
        <v>0</v>
      </c>
      <c r="I4460" s="6">
        <f t="shared" si="219"/>
        <v>0</v>
      </c>
      <c r="J4460" s="6">
        <f t="shared" si="220"/>
        <v>0</v>
      </c>
      <c r="L4460" s="4" t="str">
        <f>IFERROR(VLOOKUP(ROWS($L$2:L4460),$B$2:$C$1996,2,0),"")</f>
        <v/>
      </c>
      <c r="N4460" s="2" t="str">
        <f>IFERROR(VLOOKUP(ROWS($N$2:N4460),$D$2:$E$1996,2,0),"")</f>
        <v/>
      </c>
    </row>
    <row r="4461" spans="2:14">
      <c r="B4461" s="32">
        <f>IF(ISNUMBER(SEARCH('Φόρμα Εισαγωγής'!$B$2,C4461)),MAX($B$1:B4460)+1,0)</f>
        <v>0</v>
      </c>
      <c r="D4461" s="33">
        <f>IF(ISNUMBER(SEARCH('Φόρμα Εισαγωγής'!$C$2,E4461)),MAX($D$1:D4460)+1,0)</f>
        <v>0</v>
      </c>
      <c r="H4461" s="6">
        <f t="shared" si="218"/>
        <v>0</v>
      </c>
      <c r="I4461" s="6">
        <f t="shared" si="219"/>
        <v>0</v>
      </c>
      <c r="J4461" s="6">
        <f t="shared" si="220"/>
        <v>0</v>
      </c>
      <c r="L4461" s="4" t="str">
        <f>IFERROR(VLOOKUP(ROWS($L$2:L4461),$B$2:$C$1996,2,0),"")</f>
        <v/>
      </c>
      <c r="N4461" s="2" t="str">
        <f>IFERROR(VLOOKUP(ROWS($N$2:N4461),$D$2:$E$1996,2,0),"")</f>
        <v/>
      </c>
    </row>
    <row r="4462" spans="2:14">
      <c r="B4462" s="32">
        <f>IF(ISNUMBER(SEARCH('Φόρμα Εισαγωγής'!$B$2,C4462)),MAX($B$1:B4461)+1,0)</f>
        <v>0</v>
      </c>
      <c r="D4462" s="33">
        <f>IF(ISNUMBER(SEARCH('Φόρμα Εισαγωγής'!$C$2,E4462)),MAX($D$1:D4461)+1,0)</f>
        <v>0</v>
      </c>
      <c r="H4462" s="6">
        <f t="shared" si="218"/>
        <v>0</v>
      </c>
      <c r="I4462" s="6">
        <f t="shared" si="219"/>
        <v>0</v>
      </c>
      <c r="J4462" s="6">
        <f t="shared" si="220"/>
        <v>0</v>
      </c>
      <c r="L4462" s="4" t="str">
        <f>IFERROR(VLOOKUP(ROWS($L$2:L4462),$B$2:$C$1996,2,0),"")</f>
        <v/>
      </c>
      <c r="N4462" s="2" t="str">
        <f>IFERROR(VLOOKUP(ROWS($N$2:N4462),$D$2:$E$1996,2,0),"")</f>
        <v/>
      </c>
    </row>
    <row r="4463" spans="2:14">
      <c r="B4463" s="32">
        <f>IF(ISNUMBER(SEARCH('Φόρμα Εισαγωγής'!$B$2,C4463)),MAX($B$1:B4462)+1,0)</f>
        <v>0</v>
      </c>
      <c r="D4463" s="33">
        <f>IF(ISNUMBER(SEARCH('Φόρμα Εισαγωγής'!$C$2,E4463)),MAX($D$1:D4462)+1,0)</f>
        <v>0</v>
      </c>
      <c r="H4463" s="6">
        <f t="shared" si="218"/>
        <v>0</v>
      </c>
      <c r="I4463" s="6">
        <f t="shared" si="219"/>
        <v>0</v>
      </c>
      <c r="J4463" s="6">
        <f t="shared" si="220"/>
        <v>0</v>
      </c>
      <c r="L4463" s="4" t="str">
        <f>IFERROR(VLOOKUP(ROWS($L$2:L4463),$B$2:$C$1996,2,0),"")</f>
        <v/>
      </c>
      <c r="N4463" s="2" t="str">
        <f>IFERROR(VLOOKUP(ROWS($N$2:N4463),$D$2:$E$1996,2,0),"")</f>
        <v/>
      </c>
    </row>
    <row r="4464" spans="2:14">
      <c r="B4464" s="32">
        <f>IF(ISNUMBER(SEARCH('Φόρμα Εισαγωγής'!$B$2,C4464)),MAX($B$1:B4463)+1,0)</f>
        <v>0</v>
      </c>
      <c r="D4464" s="33">
        <f>IF(ISNUMBER(SEARCH('Φόρμα Εισαγωγής'!$C$2,E4464)),MAX($D$1:D4463)+1,0)</f>
        <v>0</v>
      </c>
      <c r="H4464" s="6">
        <f t="shared" si="218"/>
        <v>0</v>
      </c>
      <c r="I4464" s="6">
        <f t="shared" si="219"/>
        <v>0</v>
      </c>
      <c r="J4464" s="6">
        <f t="shared" si="220"/>
        <v>0</v>
      </c>
      <c r="L4464" s="4" t="str">
        <f>IFERROR(VLOOKUP(ROWS($L$2:L4464),$B$2:$C$1996,2,0),"")</f>
        <v/>
      </c>
      <c r="N4464" s="2" t="str">
        <f>IFERROR(VLOOKUP(ROWS($N$2:N4464),$D$2:$E$1996,2,0),"")</f>
        <v/>
      </c>
    </row>
    <row r="4465" spans="2:14">
      <c r="B4465" s="32">
        <f>IF(ISNUMBER(SEARCH('Φόρμα Εισαγωγής'!$B$2,C4465)),MAX($B$1:B4464)+1,0)</f>
        <v>0</v>
      </c>
      <c r="D4465" s="33">
        <f>IF(ISNUMBER(SEARCH('Φόρμα Εισαγωγής'!$C$2,E4465)),MAX($D$1:D4464)+1,0)</f>
        <v>0</v>
      </c>
      <c r="H4465" s="6">
        <f t="shared" si="218"/>
        <v>0</v>
      </c>
      <c r="I4465" s="6">
        <f t="shared" si="219"/>
        <v>0</v>
      </c>
      <c r="J4465" s="6">
        <f t="shared" si="220"/>
        <v>0</v>
      </c>
      <c r="L4465" s="4" t="str">
        <f>IFERROR(VLOOKUP(ROWS($L$2:L4465),$B$2:$C$1996,2,0),"")</f>
        <v/>
      </c>
      <c r="N4465" s="2" t="str">
        <f>IFERROR(VLOOKUP(ROWS($N$2:N4465),$D$2:$E$1996,2,0),"")</f>
        <v/>
      </c>
    </row>
    <row r="4466" spans="2:14">
      <c r="B4466" s="32">
        <f>IF(ISNUMBER(SEARCH('Φόρμα Εισαγωγής'!$B$2,C4466)),MAX($B$1:B4465)+1,0)</f>
        <v>0</v>
      </c>
      <c r="D4466" s="33">
        <f>IF(ISNUMBER(SEARCH('Φόρμα Εισαγωγής'!$C$2,E4466)),MAX($D$1:D4465)+1,0)</f>
        <v>0</v>
      </c>
      <c r="H4466" s="6">
        <f t="shared" si="218"/>
        <v>0</v>
      </c>
      <c r="I4466" s="6">
        <f t="shared" si="219"/>
        <v>0</v>
      </c>
      <c r="J4466" s="6">
        <f t="shared" si="220"/>
        <v>0</v>
      </c>
      <c r="L4466" s="4" t="str">
        <f>IFERROR(VLOOKUP(ROWS($L$2:L4466),$B$2:$C$1996,2,0),"")</f>
        <v/>
      </c>
      <c r="N4466" s="2" t="str">
        <f>IFERROR(VLOOKUP(ROWS($N$2:N4466),$D$2:$E$1996,2,0),"")</f>
        <v/>
      </c>
    </row>
    <row r="4467" spans="2:14">
      <c r="B4467" s="32">
        <f>IF(ISNUMBER(SEARCH('Φόρμα Εισαγωγής'!$B$2,C4467)),MAX($B$1:B4466)+1,0)</f>
        <v>0</v>
      </c>
      <c r="D4467" s="33">
        <f>IF(ISNUMBER(SEARCH('Φόρμα Εισαγωγής'!$C$2,E4467)),MAX($D$1:D4466)+1,0)</f>
        <v>0</v>
      </c>
      <c r="H4467" s="6">
        <f t="shared" si="218"/>
        <v>0</v>
      </c>
      <c r="I4467" s="6">
        <f t="shared" si="219"/>
        <v>0</v>
      </c>
      <c r="J4467" s="6">
        <f t="shared" si="220"/>
        <v>0</v>
      </c>
      <c r="L4467" s="4" t="str">
        <f>IFERROR(VLOOKUP(ROWS($L$2:L4467),$B$2:$C$1996,2,0),"")</f>
        <v/>
      </c>
      <c r="N4467" s="2" t="str">
        <f>IFERROR(VLOOKUP(ROWS($N$2:N4467),$D$2:$E$1996,2,0),"")</f>
        <v/>
      </c>
    </row>
    <row r="4468" spans="2:14">
      <c r="B4468" s="32">
        <f>IF(ISNUMBER(SEARCH('Φόρμα Εισαγωγής'!$B$2,C4468)),MAX($B$1:B4467)+1,0)</f>
        <v>0</v>
      </c>
      <c r="D4468" s="33">
        <f>IF(ISNUMBER(SEARCH('Φόρμα Εισαγωγής'!$C$2,E4468)),MAX($D$1:D4467)+1,0)</f>
        <v>0</v>
      </c>
      <c r="H4468" s="6">
        <f t="shared" si="218"/>
        <v>0</v>
      </c>
      <c r="I4468" s="6">
        <f t="shared" si="219"/>
        <v>0</v>
      </c>
      <c r="J4468" s="6">
        <f t="shared" si="220"/>
        <v>0</v>
      </c>
      <c r="L4468" s="4" t="str">
        <f>IFERROR(VLOOKUP(ROWS($L$2:L4468),$B$2:$C$1996,2,0),"")</f>
        <v/>
      </c>
      <c r="N4468" s="2" t="str">
        <f>IFERROR(VLOOKUP(ROWS($N$2:N4468),$D$2:$E$1996,2,0),"")</f>
        <v/>
      </c>
    </row>
    <row r="4469" spans="2:14">
      <c r="B4469" s="32">
        <f>IF(ISNUMBER(SEARCH('Φόρμα Εισαγωγής'!$B$2,C4469)),MAX($B$1:B4468)+1,0)</f>
        <v>0</v>
      </c>
      <c r="D4469" s="33">
        <f>IF(ISNUMBER(SEARCH('Φόρμα Εισαγωγής'!$C$2,E4469)),MAX($D$1:D4468)+1,0)</f>
        <v>0</v>
      </c>
      <c r="H4469" s="6">
        <f t="shared" si="218"/>
        <v>0</v>
      </c>
      <c r="I4469" s="6">
        <f t="shared" si="219"/>
        <v>0</v>
      </c>
      <c r="J4469" s="6">
        <f t="shared" si="220"/>
        <v>0</v>
      </c>
      <c r="L4469" s="4" t="str">
        <f>IFERROR(VLOOKUP(ROWS($L$2:L4469),$B$2:$C$1996,2,0),"")</f>
        <v/>
      </c>
      <c r="N4469" s="2" t="str">
        <f>IFERROR(VLOOKUP(ROWS($N$2:N4469),$D$2:$E$1996,2,0),"")</f>
        <v/>
      </c>
    </row>
    <row r="4470" spans="2:14">
      <c r="B4470" s="32">
        <f>IF(ISNUMBER(SEARCH('Φόρμα Εισαγωγής'!$B$2,C4470)),MAX($B$1:B4469)+1,0)</f>
        <v>0</v>
      </c>
      <c r="D4470" s="33">
        <f>IF(ISNUMBER(SEARCH('Φόρμα Εισαγωγής'!$C$2,E4470)),MAX($D$1:D4469)+1,0)</f>
        <v>0</v>
      </c>
      <c r="H4470" s="6">
        <f t="shared" si="218"/>
        <v>0</v>
      </c>
      <c r="I4470" s="6">
        <f t="shared" si="219"/>
        <v>0</v>
      </c>
      <c r="J4470" s="6">
        <f t="shared" si="220"/>
        <v>0</v>
      </c>
      <c r="L4470" s="4" t="str">
        <f>IFERROR(VLOOKUP(ROWS($L$2:L4470),$B$2:$C$1996,2,0),"")</f>
        <v/>
      </c>
      <c r="N4470" s="2" t="str">
        <f>IFERROR(VLOOKUP(ROWS($N$2:N4470),$D$2:$E$1996,2,0),"")</f>
        <v/>
      </c>
    </row>
    <row r="4471" spans="2:14">
      <c r="B4471" s="32">
        <f>IF(ISNUMBER(SEARCH('Φόρμα Εισαγωγής'!$B$2,C4471)),MAX($B$1:B4470)+1,0)</f>
        <v>0</v>
      </c>
      <c r="D4471" s="33">
        <f>IF(ISNUMBER(SEARCH('Φόρμα Εισαγωγής'!$C$2,E4471)),MAX($D$1:D4470)+1,0)</f>
        <v>0</v>
      </c>
      <c r="H4471" s="6">
        <f t="shared" si="218"/>
        <v>0</v>
      </c>
      <c r="I4471" s="6">
        <f t="shared" si="219"/>
        <v>0</v>
      </c>
      <c r="J4471" s="6">
        <f t="shared" si="220"/>
        <v>0</v>
      </c>
      <c r="L4471" s="4" t="str">
        <f>IFERROR(VLOOKUP(ROWS($L$2:L4471),$B$2:$C$1996,2,0),"")</f>
        <v/>
      </c>
      <c r="N4471" s="2" t="str">
        <f>IFERROR(VLOOKUP(ROWS($N$2:N4471),$D$2:$E$1996,2,0),"")</f>
        <v/>
      </c>
    </row>
    <row r="4472" spans="2:14">
      <c r="B4472" s="32">
        <f>IF(ISNUMBER(SEARCH('Φόρμα Εισαγωγής'!$B$2,C4472)),MAX($B$1:B4471)+1,0)</f>
        <v>0</v>
      </c>
      <c r="D4472" s="33">
        <f>IF(ISNUMBER(SEARCH('Φόρμα Εισαγωγής'!$C$2,E4472)),MAX($D$1:D4471)+1,0)</f>
        <v>0</v>
      </c>
      <c r="H4472" s="6">
        <f t="shared" si="218"/>
        <v>0</v>
      </c>
      <c r="I4472" s="6">
        <f t="shared" si="219"/>
        <v>0</v>
      </c>
      <c r="J4472" s="6">
        <f t="shared" si="220"/>
        <v>0</v>
      </c>
      <c r="L4472" s="4" t="str">
        <f>IFERROR(VLOOKUP(ROWS($L$2:L4472),$B$2:$C$1996,2,0),"")</f>
        <v/>
      </c>
      <c r="N4472" s="2" t="str">
        <f>IFERROR(VLOOKUP(ROWS($N$2:N4472),$D$2:$E$1996,2,0),"")</f>
        <v/>
      </c>
    </row>
    <row r="4473" spans="2:14">
      <c r="B4473" s="32">
        <f>IF(ISNUMBER(SEARCH('Φόρμα Εισαγωγής'!$B$2,C4473)),MAX($B$1:B4472)+1,0)</f>
        <v>0</v>
      </c>
      <c r="D4473" s="33">
        <f>IF(ISNUMBER(SEARCH('Φόρμα Εισαγωγής'!$C$2,E4473)),MAX($D$1:D4472)+1,0)</f>
        <v>0</v>
      </c>
      <c r="H4473" s="6">
        <f t="shared" si="218"/>
        <v>0</v>
      </c>
      <c r="I4473" s="6">
        <f t="shared" si="219"/>
        <v>0</v>
      </c>
      <c r="J4473" s="6">
        <f t="shared" si="220"/>
        <v>0</v>
      </c>
      <c r="L4473" s="4" t="str">
        <f>IFERROR(VLOOKUP(ROWS($L$2:L4473),$B$2:$C$1996,2,0),"")</f>
        <v/>
      </c>
      <c r="N4473" s="2" t="str">
        <f>IFERROR(VLOOKUP(ROWS($N$2:N4473),$D$2:$E$1996,2,0),"")</f>
        <v/>
      </c>
    </row>
    <row r="4474" spans="2:14">
      <c r="B4474" s="32">
        <f>IF(ISNUMBER(SEARCH('Φόρμα Εισαγωγής'!$B$2,C4474)),MAX($B$1:B4473)+1,0)</f>
        <v>0</v>
      </c>
      <c r="D4474" s="33">
        <f>IF(ISNUMBER(SEARCH('Φόρμα Εισαγωγής'!$C$2,E4474)),MAX($D$1:D4473)+1,0)</f>
        <v>0</v>
      </c>
      <c r="H4474" s="6">
        <f t="shared" si="218"/>
        <v>0</v>
      </c>
      <c r="I4474" s="6">
        <f t="shared" si="219"/>
        <v>0</v>
      </c>
      <c r="J4474" s="6">
        <f t="shared" si="220"/>
        <v>0</v>
      </c>
      <c r="L4474" s="4" t="str">
        <f>IFERROR(VLOOKUP(ROWS($L$2:L4474),$B$2:$C$1996,2,0),"")</f>
        <v/>
      </c>
      <c r="N4474" s="2" t="str">
        <f>IFERROR(VLOOKUP(ROWS($N$2:N4474),$D$2:$E$1996,2,0),"")</f>
        <v/>
      </c>
    </row>
    <row r="4475" spans="2:14">
      <c r="B4475" s="32">
        <f>IF(ISNUMBER(SEARCH('Φόρμα Εισαγωγής'!$B$2,C4475)),MAX($B$1:B4474)+1,0)</f>
        <v>0</v>
      </c>
      <c r="D4475" s="33">
        <f>IF(ISNUMBER(SEARCH('Φόρμα Εισαγωγής'!$C$2,E4475)),MAX($D$1:D4474)+1,0)</f>
        <v>0</v>
      </c>
      <c r="H4475" s="6">
        <f t="shared" si="218"/>
        <v>0</v>
      </c>
      <c r="I4475" s="6">
        <f t="shared" si="219"/>
        <v>0</v>
      </c>
      <c r="J4475" s="6">
        <f t="shared" si="220"/>
        <v>0</v>
      </c>
      <c r="L4475" s="4" t="str">
        <f>IFERROR(VLOOKUP(ROWS($L$2:L4475),$B$2:$C$1996,2,0),"")</f>
        <v/>
      </c>
      <c r="N4475" s="2" t="str">
        <f>IFERROR(VLOOKUP(ROWS($N$2:N4475),$D$2:$E$1996,2,0),"")</f>
        <v/>
      </c>
    </row>
    <row r="4476" spans="2:14">
      <c r="B4476" s="32">
        <f>IF(ISNUMBER(SEARCH('Φόρμα Εισαγωγής'!$B$2,C4476)),MAX($B$1:B4475)+1,0)</f>
        <v>0</v>
      </c>
      <c r="D4476" s="33">
        <f>IF(ISNUMBER(SEARCH('Φόρμα Εισαγωγής'!$C$2,E4476)),MAX($D$1:D4475)+1,0)</f>
        <v>0</v>
      </c>
      <c r="H4476" s="6">
        <f t="shared" si="218"/>
        <v>0</v>
      </c>
      <c r="I4476" s="6">
        <f t="shared" si="219"/>
        <v>0</v>
      </c>
      <c r="J4476" s="6">
        <f t="shared" si="220"/>
        <v>0</v>
      </c>
      <c r="L4476" s="4" t="str">
        <f>IFERROR(VLOOKUP(ROWS($L$2:L4476),$B$2:$C$1996,2,0),"")</f>
        <v/>
      </c>
      <c r="N4476" s="2" t="str">
        <f>IFERROR(VLOOKUP(ROWS($N$2:N4476),$D$2:$E$1996,2,0),"")</f>
        <v/>
      </c>
    </row>
    <row r="4477" spans="2:14">
      <c r="B4477" s="32">
        <f>IF(ISNUMBER(SEARCH('Φόρμα Εισαγωγής'!$B$2,C4477)),MAX($B$1:B4476)+1,0)</f>
        <v>0</v>
      </c>
      <c r="D4477" s="33">
        <f>IF(ISNUMBER(SEARCH('Φόρμα Εισαγωγής'!$C$2,E4477)),MAX($D$1:D4476)+1,0)</f>
        <v>0</v>
      </c>
      <c r="H4477" s="6">
        <f t="shared" si="218"/>
        <v>0</v>
      </c>
      <c r="I4477" s="6">
        <f t="shared" si="219"/>
        <v>0</v>
      </c>
      <c r="J4477" s="6">
        <f t="shared" si="220"/>
        <v>0</v>
      </c>
      <c r="L4477" s="4" t="str">
        <f>IFERROR(VLOOKUP(ROWS($L$2:L4477),$B$2:$C$1996,2,0),"")</f>
        <v/>
      </c>
      <c r="N4477" s="2" t="str">
        <f>IFERROR(VLOOKUP(ROWS($N$2:N4477),$D$2:$E$1996,2,0),"")</f>
        <v/>
      </c>
    </row>
    <row r="4478" spans="2:14">
      <c r="B4478" s="32">
        <f>IF(ISNUMBER(SEARCH('Φόρμα Εισαγωγής'!$B$2,C4478)),MAX($B$1:B4477)+1,0)</f>
        <v>0</v>
      </c>
      <c r="D4478" s="33">
        <f>IF(ISNUMBER(SEARCH('Φόρμα Εισαγωγής'!$C$2,E4478)),MAX($D$1:D4477)+1,0)</f>
        <v>0</v>
      </c>
      <c r="H4478" s="6">
        <f t="shared" si="218"/>
        <v>0</v>
      </c>
      <c r="I4478" s="6">
        <f t="shared" si="219"/>
        <v>0</v>
      </c>
      <c r="J4478" s="6">
        <f t="shared" si="220"/>
        <v>0</v>
      </c>
      <c r="L4478" s="4" t="str">
        <f>IFERROR(VLOOKUP(ROWS($L$2:L4478),$B$2:$C$1996,2,0),"")</f>
        <v/>
      </c>
      <c r="N4478" s="2" t="str">
        <f>IFERROR(VLOOKUP(ROWS($N$2:N4478),$D$2:$E$1996,2,0),"")</f>
        <v/>
      </c>
    </row>
    <row r="4479" spans="2:14">
      <c r="B4479" s="32">
        <f>IF(ISNUMBER(SEARCH('Φόρμα Εισαγωγής'!$B$2,C4479)),MAX($B$1:B4478)+1,0)</f>
        <v>0</v>
      </c>
      <c r="D4479" s="33">
        <f>IF(ISNUMBER(SEARCH('Φόρμα Εισαγωγής'!$C$2,E4479)),MAX($D$1:D4478)+1,0)</f>
        <v>0</v>
      </c>
      <c r="H4479" s="6">
        <f t="shared" si="218"/>
        <v>0</v>
      </c>
      <c r="I4479" s="6">
        <f t="shared" si="219"/>
        <v>0</v>
      </c>
      <c r="J4479" s="6">
        <f t="shared" si="220"/>
        <v>0</v>
      </c>
      <c r="L4479" s="4" t="str">
        <f>IFERROR(VLOOKUP(ROWS($L$2:L4479),$B$2:$C$1996,2,0),"")</f>
        <v/>
      </c>
      <c r="N4479" s="2" t="str">
        <f>IFERROR(VLOOKUP(ROWS($N$2:N4479),$D$2:$E$1996,2,0),"")</f>
        <v/>
      </c>
    </row>
    <row r="4480" spans="2:14">
      <c r="B4480" s="32">
        <f>IF(ISNUMBER(SEARCH('Φόρμα Εισαγωγής'!$B$2,C4480)),MAX($B$1:B4479)+1,0)</f>
        <v>0</v>
      </c>
      <c r="D4480" s="33">
        <f>IF(ISNUMBER(SEARCH('Φόρμα Εισαγωγής'!$C$2,E4480)),MAX($D$1:D4479)+1,0)</f>
        <v>0</v>
      </c>
      <c r="H4480" s="6">
        <f t="shared" ref="H4480:H4543" si="221">G4480+(G4480*0.24)</f>
        <v>0</v>
      </c>
      <c r="I4480" s="6">
        <f t="shared" ref="I4480:I4543" si="222">F4480*A4480</f>
        <v>0</v>
      </c>
      <c r="J4480" s="6">
        <f t="shared" ref="J4480:J4543" si="223">H4480*A4480</f>
        <v>0</v>
      </c>
      <c r="L4480" s="4" t="str">
        <f>IFERROR(VLOOKUP(ROWS($L$2:L4480),$B$2:$C$1996,2,0),"")</f>
        <v/>
      </c>
      <c r="N4480" s="2" t="str">
        <f>IFERROR(VLOOKUP(ROWS($N$2:N4480),$D$2:$E$1996,2,0),"")</f>
        <v/>
      </c>
    </row>
    <row r="4481" spans="2:14">
      <c r="B4481" s="32">
        <f>IF(ISNUMBER(SEARCH('Φόρμα Εισαγωγής'!$B$2,C4481)),MAX($B$1:B4480)+1,0)</f>
        <v>0</v>
      </c>
      <c r="D4481" s="33">
        <f>IF(ISNUMBER(SEARCH('Φόρμα Εισαγωγής'!$C$2,E4481)),MAX($D$1:D4480)+1,0)</f>
        <v>0</v>
      </c>
      <c r="H4481" s="6">
        <f t="shared" si="221"/>
        <v>0</v>
      </c>
      <c r="I4481" s="6">
        <f t="shared" si="222"/>
        <v>0</v>
      </c>
      <c r="J4481" s="6">
        <f t="shared" si="223"/>
        <v>0</v>
      </c>
      <c r="L4481" s="4" t="str">
        <f>IFERROR(VLOOKUP(ROWS($L$2:L4481),$B$2:$C$1996,2,0),"")</f>
        <v/>
      </c>
      <c r="N4481" s="2" t="str">
        <f>IFERROR(VLOOKUP(ROWS($N$2:N4481),$D$2:$E$1996,2,0),"")</f>
        <v/>
      </c>
    </row>
    <row r="4482" spans="2:14">
      <c r="B4482" s="32">
        <f>IF(ISNUMBER(SEARCH('Φόρμα Εισαγωγής'!$B$2,C4482)),MAX($B$1:B4481)+1,0)</f>
        <v>0</v>
      </c>
      <c r="D4482" s="33">
        <f>IF(ISNUMBER(SEARCH('Φόρμα Εισαγωγής'!$C$2,E4482)),MAX($D$1:D4481)+1,0)</f>
        <v>0</v>
      </c>
      <c r="H4482" s="6">
        <f t="shared" si="221"/>
        <v>0</v>
      </c>
      <c r="I4482" s="6">
        <f t="shared" si="222"/>
        <v>0</v>
      </c>
      <c r="J4482" s="6">
        <f t="shared" si="223"/>
        <v>0</v>
      </c>
      <c r="L4482" s="4" t="str">
        <f>IFERROR(VLOOKUP(ROWS($L$2:L4482),$B$2:$C$1996,2,0),"")</f>
        <v/>
      </c>
      <c r="N4482" s="2" t="str">
        <f>IFERROR(VLOOKUP(ROWS($N$2:N4482),$D$2:$E$1996,2,0),"")</f>
        <v/>
      </c>
    </row>
    <row r="4483" spans="2:14">
      <c r="B4483" s="32">
        <f>IF(ISNUMBER(SEARCH('Φόρμα Εισαγωγής'!$B$2,C4483)),MAX($B$1:B4482)+1,0)</f>
        <v>0</v>
      </c>
      <c r="D4483" s="33">
        <f>IF(ISNUMBER(SEARCH('Φόρμα Εισαγωγής'!$C$2,E4483)),MAX($D$1:D4482)+1,0)</f>
        <v>0</v>
      </c>
      <c r="H4483" s="6">
        <f t="shared" si="221"/>
        <v>0</v>
      </c>
      <c r="I4483" s="6">
        <f t="shared" si="222"/>
        <v>0</v>
      </c>
      <c r="J4483" s="6">
        <f t="shared" si="223"/>
        <v>0</v>
      </c>
      <c r="L4483" s="4" t="str">
        <f>IFERROR(VLOOKUP(ROWS($L$2:L4483),$B$2:$C$1996,2,0),"")</f>
        <v/>
      </c>
      <c r="N4483" s="2" t="str">
        <f>IFERROR(VLOOKUP(ROWS($N$2:N4483),$D$2:$E$1996,2,0),"")</f>
        <v/>
      </c>
    </row>
    <row r="4484" spans="2:14">
      <c r="B4484" s="32">
        <f>IF(ISNUMBER(SEARCH('Φόρμα Εισαγωγής'!$B$2,C4484)),MAX($B$1:B4483)+1,0)</f>
        <v>0</v>
      </c>
      <c r="D4484" s="33">
        <f>IF(ISNUMBER(SEARCH('Φόρμα Εισαγωγής'!$C$2,E4484)),MAX($D$1:D4483)+1,0)</f>
        <v>0</v>
      </c>
      <c r="H4484" s="6">
        <f t="shared" si="221"/>
        <v>0</v>
      </c>
      <c r="I4484" s="6">
        <f t="shared" si="222"/>
        <v>0</v>
      </c>
      <c r="J4484" s="6">
        <f t="shared" si="223"/>
        <v>0</v>
      </c>
      <c r="L4484" s="4" t="str">
        <f>IFERROR(VLOOKUP(ROWS($L$2:L4484),$B$2:$C$1996,2,0),"")</f>
        <v/>
      </c>
      <c r="N4484" s="2" t="str">
        <f>IFERROR(VLOOKUP(ROWS($N$2:N4484),$D$2:$E$1996,2,0),"")</f>
        <v/>
      </c>
    </row>
    <row r="4485" spans="2:14">
      <c r="B4485" s="32">
        <f>IF(ISNUMBER(SEARCH('Φόρμα Εισαγωγής'!$B$2,C4485)),MAX($B$1:B4484)+1,0)</f>
        <v>0</v>
      </c>
      <c r="D4485" s="33">
        <f>IF(ISNUMBER(SEARCH('Φόρμα Εισαγωγής'!$C$2,E4485)),MAX($D$1:D4484)+1,0)</f>
        <v>0</v>
      </c>
      <c r="H4485" s="6">
        <f t="shared" si="221"/>
        <v>0</v>
      </c>
      <c r="I4485" s="6">
        <f t="shared" si="222"/>
        <v>0</v>
      </c>
      <c r="J4485" s="6">
        <f t="shared" si="223"/>
        <v>0</v>
      </c>
      <c r="L4485" s="4" t="str">
        <f>IFERROR(VLOOKUP(ROWS($L$2:L4485),$B$2:$C$1996,2,0),"")</f>
        <v/>
      </c>
      <c r="N4485" s="2" t="str">
        <f>IFERROR(VLOOKUP(ROWS($N$2:N4485),$D$2:$E$1996,2,0),"")</f>
        <v/>
      </c>
    </row>
    <row r="4486" spans="2:14">
      <c r="B4486" s="32">
        <f>IF(ISNUMBER(SEARCH('Φόρμα Εισαγωγής'!$B$2,C4486)),MAX($B$1:B4485)+1,0)</f>
        <v>0</v>
      </c>
      <c r="D4486" s="33">
        <f>IF(ISNUMBER(SEARCH('Φόρμα Εισαγωγής'!$C$2,E4486)),MAX($D$1:D4485)+1,0)</f>
        <v>0</v>
      </c>
      <c r="H4486" s="6">
        <f t="shared" si="221"/>
        <v>0</v>
      </c>
      <c r="I4486" s="6">
        <f t="shared" si="222"/>
        <v>0</v>
      </c>
      <c r="J4486" s="6">
        <f t="shared" si="223"/>
        <v>0</v>
      </c>
      <c r="L4486" s="4" t="str">
        <f>IFERROR(VLOOKUP(ROWS($L$2:L4486),$B$2:$C$1996,2,0),"")</f>
        <v/>
      </c>
      <c r="N4486" s="2" t="str">
        <f>IFERROR(VLOOKUP(ROWS($N$2:N4486),$D$2:$E$1996,2,0),"")</f>
        <v/>
      </c>
    </row>
    <row r="4487" spans="2:14">
      <c r="B4487" s="32">
        <f>IF(ISNUMBER(SEARCH('Φόρμα Εισαγωγής'!$B$2,C4487)),MAX($B$1:B4486)+1,0)</f>
        <v>0</v>
      </c>
      <c r="D4487" s="33">
        <f>IF(ISNUMBER(SEARCH('Φόρμα Εισαγωγής'!$C$2,E4487)),MAX($D$1:D4486)+1,0)</f>
        <v>0</v>
      </c>
      <c r="H4487" s="6">
        <f t="shared" si="221"/>
        <v>0</v>
      </c>
      <c r="I4487" s="6">
        <f t="shared" si="222"/>
        <v>0</v>
      </c>
      <c r="J4487" s="6">
        <f t="shared" si="223"/>
        <v>0</v>
      </c>
      <c r="L4487" s="4" t="str">
        <f>IFERROR(VLOOKUP(ROWS($L$2:L4487),$B$2:$C$1996,2,0),"")</f>
        <v/>
      </c>
      <c r="N4487" s="2" t="str">
        <f>IFERROR(VLOOKUP(ROWS($N$2:N4487),$D$2:$E$1996,2,0),"")</f>
        <v/>
      </c>
    </row>
    <row r="4488" spans="2:14">
      <c r="B4488" s="32">
        <f>IF(ISNUMBER(SEARCH('Φόρμα Εισαγωγής'!$B$2,C4488)),MAX($B$1:B4487)+1,0)</f>
        <v>0</v>
      </c>
      <c r="D4488" s="33">
        <f>IF(ISNUMBER(SEARCH('Φόρμα Εισαγωγής'!$C$2,E4488)),MAX($D$1:D4487)+1,0)</f>
        <v>0</v>
      </c>
      <c r="H4488" s="6">
        <f t="shared" si="221"/>
        <v>0</v>
      </c>
      <c r="I4488" s="6">
        <f t="shared" si="222"/>
        <v>0</v>
      </c>
      <c r="J4488" s="6">
        <f t="shared" si="223"/>
        <v>0</v>
      </c>
      <c r="L4488" s="4" t="str">
        <f>IFERROR(VLOOKUP(ROWS($L$2:L4488),$B$2:$C$1996,2,0),"")</f>
        <v/>
      </c>
      <c r="N4488" s="2" t="str">
        <f>IFERROR(VLOOKUP(ROWS($N$2:N4488),$D$2:$E$1996,2,0),"")</f>
        <v/>
      </c>
    </row>
    <row r="4489" spans="2:14">
      <c r="B4489" s="32">
        <f>IF(ISNUMBER(SEARCH('Φόρμα Εισαγωγής'!$B$2,C4489)),MAX($B$1:B4488)+1,0)</f>
        <v>0</v>
      </c>
      <c r="D4489" s="33">
        <f>IF(ISNUMBER(SEARCH('Φόρμα Εισαγωγής'!$C$2,E4489)),MAX($D$1:D4488)+1,0)</f>
        <v>0</v>
      </c>
      <c r="H4489" s="6">
        <f t="shared" si="221"/>
        <v>0</v>
      </c>
      <c r="I4489" s="6">
        <f t="shared" si="222"/>
        <v>0</v>
      </c>
      <c r="J4489" s="6">
        <f t="shared" si="223"/>
        <v>0</v>
      </c>
      <c r="L4489" s="4" t="str">
        <f>IFERROR(VLOOKUP(ROWS($L$2:L4489),$B$2:$C$1996,2,0),"")</f>
        <v/>
      </c>
      <c r="N4489" s="2" t="str">
        <f>IFERROR(VLOOKUP(ROWS($N$2:N4489),$D$2:$E$1996,2,0),"")</f>
        <v/>
      </c>
    </row>
    <row r="4490" spans="2:14">
      <c r="B4490" s="32">
        <f>IF(ISNUMBER(SEARCH('Φόρμα Εισαγωγής'!$B$2,C4490)),MAX($B$1:B4489)+1,0)</f>
        <v>0</v>
      </c>
      <c r="D4490" s="33">
        <f>IF(ISNUMBER(SEARCH('Φόρμα Εισαγωγής'!$C$2,E4490)),MAX($D$1:D4489)+1,0)</f>
        <v>0</v>
      </c>
      <c r="H4490" s="6">
        <f t="shared" si="221"/>
        <v>0</v>
      </c>
      <c r="I4490" s="6">
        <f t="shared" si="222"/>
        <v>0</v>
      </c>
      <c r="J4490" s="6">
        <f t="shared" si="223"/>
        <v>0</v>
      </c>
      <c r="L4490" s="4" t="str">
        <f>IFERROR(VLOOKUP(ROWS($L$2:L4490),$B$2:$C$1996,2,0),"")</f>
        <v/>
      </c>
      <c r="N4490" s="2" t="str">
        <f>IFERROR(VLOOKUP(ROWS($N$2:N4490),$D$2:$E$1996,2,0),"")</f>
        <v/>
      </c>
    </row>
    <row r="4491" spans="2:14">
      <c r="B4491" s="32">
        <f>IF(ISNUMBER(SEARCH('Φόρμα Εισαγωγής'!$B$2,C4491)),MAX($B$1:B4490)+1,0)</f>
        <v>0</v>
      </c>
      <c r="D4491" s="33">
        <f>IF(ISNUMBER(SEARCH('Φόρμα Εισαγωγής'!$C$2,E4491)),MAX($D$1:D4490)+1,0)</f>
        <v>0</v>
      </c>
      <c r="H4491" s="6">
        <f t="shared" si="221"/>
        <v>0</v>
      </c>
      <c r="I4491" s="6">
        <f t="shared" si="222"/>
        <v>0</v>
      </c>
      <c r="J4491" s="6">
        <f t="shared" si="223"/>
        <v>0</v>
      </c>
      <c r="L4491" s="4" t="str">
        <f>IFERROR(VLOOKUP(ROWS($L$2:L4491),$B$2:$C$1996,2,0),"")</f>
        <v/>
      </c>
      <c r="N4491" s="2" t="str">
        <f>IFERROR(VLOOKUP(ROWS($N$2:N4491),$D$2:$E$1996,2,0),"")</f>
        <v/>
      </c>
    </row>
    <row r="4492" spans="2:14">
      <c r="B4492" s="32">
        <f>IF(ISNUMBER(SEARCH('Φόρμα Εισαγωγής'!$B$2,C4492)),MAX($B$1:B4491)+1,0)</f>
        <v>0</v>
      </c>
      <c r="D4492" s="33">
        <f>IF(ISNUMBER(SEARCH('Φόρμα Εισαγωγής'!$C$2,E4492)),MAX($D$1:D4491)+1,0)</f>
        <v>0</v>
      </c>
      <c r="H4492" s="6">
        <f t="shared" si="221"/>
        <v>0</v>
      </c>
      <c r="I4492" s="6">
        <f t="shared" si="222"/>
        <v>0</v>
      </c>
      <c r="J4492" s="6">
        <f t="shared" si="223"/>
        <v>0</v>
      </c>
      <c r="L4492" s="4" t="str">
        <f>IFERROR(VLOOKUP(ROWS($L$2:L4492),$B$2:$C$1996,2,0),"")</f>
        <v/>
      </c>
      <c r="N4492" s="2" t="str">
        <f>IFERROR(VLOOKUP(ROWS($N$2:N4492),$D$2:$E$1996,2,0),"")</f>
        <v/>
      </c>
    </row>
    <row r="4493" spans="2:14">
      <c r="B4493" s="32">
        <f>IF(ISNUMBER(SEARCH('Φόρμα Εισαγωγής'!$B$2,C4493)),MAX($B$1:B4492)+1,0)</f>
        <v>0</v>
      </c>
      <c r="D4493" s="33">
        <f>IF(ISNUMBER(SEARCH('Φόρμα Εισαγωγής'!$C$2,E4493)),MAX($D$1:D4492)+1,0)</f>
        <v>0</v>
      </c>
      <c r="H4493" s="6">
        <f t="shared" si="221"/>
        <v>0</v>
      </c>
      <c r="I4493" s="6">
        <f t="shared" si="222"/>
        <v>0</v>
      </c>
      <c r="J4493" s="6">
        <f t="shared" si="223"/>
        <v>0</v>
      </c>
      <c r="L4493" s="4" t="str">
        <f>IFERROR(VLOOKUP(ROWS($L$2:L4493),$B$2:$C$1996,2,0),"")</f>
        <v/>
      </c>
      <c r="N4493" s="2" t="str">
        <f>IFERROR(VLOOKUP(ROWS($N$2:N4493),$D$2:$E$1996,2,0),"")</f>
        <v/>
      </c>
    </row>
    <row r="4494" spans="2:14">
      <c r="B4494" s="32">
        <f>IF(ISNUMBER(SEARCH('Φόρμα Εισαγωγής'!$B$2,C4494)),MAX($B$1:B4493)+1,0)</f>
        <v>0</v>
      </c>
      <c r="D4494" s="33">
        <f>IF(ISNUMBER(SEARCH('Φόρμα Εισαγωγής'!$C$2,E4494)),MAX($D$1:D4493)+1,0)</f>
        <v>0</v>
      </c>
      <c r="H4494" s="6">
        <f t="shared" si="221"/>
        <v>0</v>
      </c>
      <c r="I4494" s="6">
        <f t="shared" si="222"/>
        <v>0</v>
      </c>
      <c r="J4494" s="6">
        <f t="shared" si="223"/>
        <v>0</v>
      </c>
      <c r="L4494" s="4" t="str">
        <f>IFERROR(VLOOKUP(ROWS($L$2:L4494),$B$2:$C$1996,2,0),"")</f>
        <v/>
      </c>
      <c r="N4494" s="2" t="str">
        <f>IFERROR(VLOOKUP(ROWS($N$2:N4494),$D$2:$E$1996,2,0),"")</f>
        <v/>
      </c>
    </row>
    <row r="4495" spans="2:14">
      <c r="B4495" s="32">
        <f>IF(ISNUMBER(SEARCH('Φόρμα Εισαγωγής'!$B$2,C4495)),MAX($B$1:B4494)+1,0)</f>
        <v>0</v>
      </c>
      <c r="D4495" s="33">
        <f>IF(ISNUMBER(SEARCH('Φόρμα Εισαγωγής'!$C$2,E4495)),MAX($D$1:D4494)+1,0)</f>
        <v>0</v>
      </c>
      <c r="H4495" s="6">
        <f t="shared" si="221"/>
        <v>0</v>
      </c>
      <c r="I4495" s="6">
        <f t="shared" si="222"/>
        <v>0</v>
      </c>
      <c r="J4495" s="6">
        <f t="shared" si="223"/>
        <v>0</v>
      </c>
      <c r="L4495" s="4" t="str">
        <f>IFERROR(VLOOKUP(ROWS($L$2:L4495),$B$2:$C$1996,2,0),"")</f>
        <v/>
      </c>
      <c r="N4495" s="2" t="str">
        <f>IFERROR(VLOOKUP(ROWS($N$2:N4495),$D$2:$E$1996,2,0),"")</f>
        <v/>
      </c>
    </row>
    <row r="4496" spans="2:14">
      <c r="B4496" s="32">
        <f>IF(ISNUMBER(SEARCH('Φόρμα Εισαγωγής'!$B$2,C4496)),MAX($B$1:B4495)+1,0)</f>
        <v>0</v>
      </c>
      <c r="D4496" s="33">
        <f>IF(ISNUMBER(SEARCH('Φόρμα Εισαγωγής'!$C$2,E4496)),MAX($D$1:D4495)+1,0)</f>
        <v>0</v>
      </c>
      <c r="H4496" s="6">
        <f t="shared" si="221"/>
        <v>0</v>
      </c>
      <c r="I4496" s="6">
        <f t="shared" si="222"/>
        <v>0</v>
      </c>
      <c r="J4496" s="6">
        <f t="shared" si="223"/>
        <v>0</v>
      </c>
      <c r="L4496" s="4" t="str">
        <f>IFERROR(VLOOKUP(ROWS($L$2:L4496),$B$2:$C$1996,2,0),"")</f>
        <v/>
      </c>
      <c r="N4496" s="2" t="str">
        <f>IFERROR(VLOOKUP(ROWS($N$2:N4496),$D$2:$E$1996,2,0),"")</f>
        <v/>
      </c>
    </row>
    <row r="4497" spans="2:14">
      <c r="B4497" s="32">
        <f>IF(ISNUMBER(SEARCH('Φόρμα Εισαγωγής'!$B$2,C4497)),MAX($B$1:B4496)+1,0)</f>
        <v>0</v>
      </c>
      <c r="D4497" s="33">
        <f>IF(ISNUMBER(SEARCH('Φόρμα Εισαγωγής'!$C$2,E4497)),MAX($D$1:D4496)+1,0)</f>
        <v>0</v>
      </c>
      <c r="H4497" s="6">
        <f t="shared" si="221"/>
        <v>0</v>
      </c>
      <c r="I4497" s="6">
        <f t="shared" si="222"/>
        <v>0</v>
      </c>
      <c r="J4497" s="6">
        <f t="shared" si="223"/>
        <v>0</v>
      </c>
      <c r="L4497" s="4" t="str">
        <f>IFERROR(VLOOKUP(ROWS($L$2:L4497),$B$2:$C$1996,2,0),"")</f>
        <v/>
      </c>
      <c r="N4497" s="2" t="str">
        <f>IFERROR(VLOOKUP(ROWS($N$2:N4497),$D$2:$E$1996,2,0),"")</f>
        <v/>
      </c>
    </row>
    <row r="4498" spans="2:14">
      <c r="B4498" s="32">
        <f>IF(ISNUMBER(SEARCH('Φόρμα Εισαγωγής'!$B$2,C4498)),MAX($B$1:B4497)+1,0)</f>
        <v>0</v>
      </c>
      <c r="D4498" s="33">
        <f>IF(ISNUMBER(SEARCH('Φόρμα Εισαγωγής'!$C$2,E4498)),MAX($D$1:D4497)+1,0)</f>
        <v>0</v>
      </c>
      <c r="H4498" s="6">
        <f t="shared" si="221"/>
        <v>0</v>
      </c>
      <c r="I4498" s="6">
        <f t="shared" si="222"/>
        <v>0</v>
      </c>
      <c r="J4498" s="6">
        <f t="shared" si="223"/>
        <v>0</v>
      </c>
      <c r="L4498" s="4" t="str">
        <f>IFERROR(VLOOKUP(ROWS($L$2:L4498),$B$2:$C$1996,2,0),"")</f>
        <v/>
      </c>
      <c r="N4498" s="2" t="str">
        <f>IFERROR(VLOOKUP(ROWS($N$2:N4498),$D$2:$E$1996,2,0),"")</f>
        <v/>
      </c>
    </row>
    <row r="4499" spans="2:14">
      <c r="B4499" s="32">
        <f>IF(ISNUMBER(SEARCH('Φόρμα Εισαγωγής'!$B$2,C4499)),MAX($B$1:B4498)+1,0)</f>
        <v>0</v>
      </c>
      <c r="D4499" s="33">
        <f>IF(ISNUMBER(SEARCH('Φόρμα Εισαγωγής'!$C$2,E4499)),MAX($D$1:D4498)+1,0)</f>
        <v>0</v>
      </c>
      <c r="H4499" s="6">
        <f t="shared" si="221"/>
        <v>0</v>
      </c>
      <c r="I4499" s="6">
        <f t="shared" si="222"/>
        <v>0</v>
      </c>
      <c r="J4499" s="6">
        <f t="shared" si="223"/>
        <v>0</v>
      </c>
      <c r="L4499" s="4" t="str">
        <f>IFERROR(VLOOKUP(ROWS($L$2:L4499),$B$2:$C$1996,2,0),"")</f>
        <v/>
      </c>
      <c r="N4499" s="2" t="str">
        <f>IFERROR(VLOOKUP(ROWS($N$2:N4499),$D$2:$E$1996,2,0),"")</f>
        <v/>
      </c>
    </row>
    <row r="4500" spans="2:14">
      <c r="B4500" s="32">
        <f>IF(ISNUMBER(SEARCH('Φόρμα Εισαγωγής'!$B$2,C4500)),MAX($B$1:B4499)+1,0)</f>
        <v>0</v>
      </c>
      <c r="D4500" s="33">
        <f>IF(ISNUMBER(SEARCH('Φόρμα Εισαγωγής'!$C$2,E4500)),MAX($D$1:D4499)+1,0)</f>
        <v>0</v>
      </c>
      <c r="H4500" s="6">
        <f t="shared" si="221"/>
        <v>0</v>
      </c>
      <c r="I4500" s="6">
        <f t="shared" si="222"/>
        <v>0</v>
      </c>
      <c r="J4500" s="6">
        <f t="shared" si="223"/>
        <v>0</v>
      </c>
      <c r="L4500" s="4" t="str">
        <f>IFERROR(VLOOKUP(ROWS($L$2:L4500),$B$2:$C$1996,2,0),"")</f>
        <v/>
      </c>
      <c r="N4500" s="2" t="str">
        <f>IFERROR(VLOOKUP(ROWS($N$2:N4500),$D$2:$E$1996,2,0),"")</f>
        <v/>
      </c>
    </row>
    <row r="4501" spans="2:14">
      <c r="B4501" s="32">
        <f>IF(ISNUMBER(SEARCH('Φόρμα Εισαγωγής'!$B$2,C4501)),MAX($B$1:B4500)+1,0)</f>
        <v>0</v>
      </c>
      <c r="D4501" s="33">
        <f>IF(ISNUMBER(SEARCH('Φόρμα Εισαγωγής'!$C$2,E4501)),MAX($D$1:D4500)+1,0)</f>
        <v>0</v>
      </c>
      <c r="H4501" s="6">
        <f t="shared" si="221"/>
        <v>0</v>
      </c>
      <c r="I4501" s="6">
        <f t="shared" si="222"/>
        <v>0</v>
      </c>
      <c r="J4501" s="6">
        <f t="shared" si="223"/>
        <v>0</v>
      </c>
      <c r="L4501" s="4" t="str">
        <f>IFERROR(VLOOKUP(ROWS($L$2:L4501),$B$2:$C$1996,2,0),"")</f>
        <v/>
      </c>
      <c r="N4501" s="2" t="str">
        <f>IFERROR(VLOOKUP(ROWS($N$2:N4501),$D$2:$E$1996,2,0),"")</f>
        <v/>
      </c>
    </row>
    <row r="4502" spans="2:14">
      <c r="B4502" s="32">
        <f>IF(ISNUMBER(SEARCH('Φόρμα Εισαγωγής'!$B$2,C4502)),MAX($B$1:B4501)+1,0)</f>
        <v>0</v>
      </c>
      <c r="D4502" s="33">
        <f>IF(ISNUMBER(SEARCH('Φόρμα Εισαγωγής'!$C$2,E4502)),MAX($D$1:D4501)+1,0)</f>
        <v>0</v>
      </c>
      <c r="H4502" s="6">
        <f t="shared" si="221"/>
        <v>0</v>
      </c>
      <c r="I4502" s="6">
        <f t="shared" si="222"/>
        <v>0</v>
      </c>
      <c r="J4502" s="6">
        <f t="shared" si="223"/>
        <v>0</v>
      </c>
      <c r="L4502" s="4" t="str">
        <f>IFERROR(VLOOKUP(ROWS($L$2:L4502),$B$2:$C$1996,2,0),"")</f>
        <v/>
      </c>
      <c r="N4502" s="2" t="str">
        <f>IFERROR(VLOOKUP(ROWS($N$2:N4502),$D$2:$E$1996,2,0),"")</f>
        <v/>
      </c>
    </row>
    <row r="4503" spans="2:14">
      <c r="B4503" s="32">
        <f>IF(ISNUMBER(SEARCH('Φόρμα Εισαγωγής'!$B$2,C4503)),MAX($B$1:B4502)+1,0)</f>
        <v>0</v>
      </c>
      <c r="D4503" s="33">
        <f>IF(ISNUMBER(SEARCH('Φόρμα Εισαγωγής'!$C$2,E4503)),MAX($D$1:D4502)+1,0)</f>
        <v>0</v>
      </c>
      <c r="H4503" s="6">
        <f t="shared" si="221"/>
        <v>0</v>
      </c>
      <c r="I4503" s="6">
        <f t="shared" si="222"/>
        <v>0</v>
      </c>
      <c r="J4503" s="6">
        <f t="shared" si="223"/>
        <v>0</v>
      </c>
      <c r="L4503" s="4" t="str">
        <f>IFERROR(VLOOKUP(ROWS($L$2:L4503),$B$2:$C$1996,2,0),"")</f>
        <v/>
      </c>
      <c r="N4503" s="2" t="str">
        <f>IFERROR(VLOOKUP(ROWS($N$2:N4503),$D$2:$E$1996,2,0),"")</f>
        <v/>
      </c>
    </row>
    <row r="4504" spans="2:14">
      <c r="B4504" s="32">
        <f>IF(ISNUMBER(SEARCH('Φόρμα Εισαγωγής'!$B$2,C4504)),MAX($B$1:B4503)+1,0)</f>
        <v>0</v>
      </c>
      <c r="D4504" s="33">
        <f>IF(ISNUMBER(SEARCH('Φόρμα Εισαγωγής'!$C$2,E4504)),MAX($D$1:D4503)+1,0)</f>
        <v>0</v>
      </c>
      <c r="H4504" s="6">
        <f t="shared" si="221"/>
        <v>0</v>
      </c>
      <c r="I4504" s="6">
        <f t="shared" si="222"/>
        <v>0</v>
      </c>
      <c r="J4504" s="6">
        <f t="shared" si="223"/>
        <v>0</v>
      </c>
      <c r="L4504" s="4" t="str">
        <f>IFERROR(VLOOKUP(ROWS($L$2:L4504),$B$2:$C$1996,2,0),"")</f>
        <v/>
      </c>
      <c r="N4504" s="2" t="str">
        <f>IFERROR(VLOOKUP(ROWS($N$2:N4504),$D$2:$E$1996,2,0),"")</f>
        <v/>
      </c>
    </row>
    <row r="4505" spans="2:14">
      <c r="B4505" s="32">
        <f>IF(ISNUMBER(SEARCH('Φόρμα Εισαγωγής'!$B$2,C4505)),MAX($B$1:B4504)+1,0)</f>
        <v>0</v>
      </c>
      <c r="D4505" s="33">
        <f>IF(ISNUMBER(SEARCH('Φόρμα Εισαγωγής'!$C$2,E4505)),MAX($D$1:D4504)+1,0)</f>
        <v>0</v>
      </c>
      <c r="H4505" s="6">
        <f t="shared" si="221"/>
        <v>0</v>
      </c>
      <c r="I4505" s="6">
        <f t="shared" si="222"/>
        <v>0</v>
      </c>
      <c r="J4505" s="6">
        <f t="shared" si="223"/>
        <v>0</v>
      </c>
      <c r="L4505" s="4" t="str">
        <f>IFERROR(VLOOKUP(ROWS($L$2:L4505),$B$2:$C$1996,2,0),"")</f>
        <v/>
      </c>
      <c r="N4505" s="2" t="str">
        <f>IFERROR(VLOOKUP(ROWS($N$2:N4505),$D$2:$E$1996,2,0),"")</f>
        <v/>
      </c>
    </row>
    <row r="4506" spans="2:14">
      <c r="B4506" s="32">
        <f>IF(ISNUMBER(SEARCH('Φόρμα Εισαγωγής'!$B$2,C4506)),MAX($B$1:B4505)+1,0)</f>
        <v>0</v>
      </c>
      <c r="D4506" s="33">
        <f>IF(ISNUMBER(SEARCH('Φόρμα Εισαγωγής'!$C$2,E4506)),MAX($D$1:D4505)+1,0)</f>
        <v>0</v>
      </c>
      <c r="H4506" s="6">
        <f t="shared" si="221"/>
        <v>0</v>
      </c>
      <c r="I4506" s="6">
        <f t="shared" si="222"/>
        <v>0</v>
      </c>
      <c r="J4506" s="6">
        <f t="shared" si="223"/>
        <v>0</v>
      </c>
      <c r="L4506" s="4" t="str">
        <f>IFERROR(VLOOKUP(ROWS($L$2:L4506),$B$2:$C$1996,2,0),"")</f>
        <v/>
      </c>
      <c r="N4506" s="2" t="str">
        <f>IFERROR(VLOOKUP(ROWS($N$2:N4506),$D$2:$E$1996,2,0),"")</f>
        <v/>
      </c>
    </row>
    <row r="4507" spans="2:14">
      <c r="B4507" s="32">
        <f>IF(ISNUMBER(SEARCH('Φόρμα Εισαγωγής'!$B$2,C4507)),MAX($B$1:B4506)+1,0)</f>
        <v>0</v>
      </c>
      <c r="D4507" s="33">
        <f>IF(ISNUMBER(SEARCH('Φόρμα Εισαγωγής'!$C$2,E4507)),MAX($D$1:D4506)+1,0)</f>
        <v>0</v>
      </c>
      <c r="H4507" s="6">
        <f t="shared" si="221"/>
        <v>0</v>
      </c>
      <c r="I4507" s="6">
        <f t="shared" si="222"/>
        <v>0</v>
      </c>
      <c r="J4507" s="6">
        <f t="shared" si="223"/>
        <v>0</v>
      </c>
      <c r="L4507" s="4" t="str">
        <f>IFERROR(VLOOKUP(ROWS($L$2:L4507),$B$2:$C$1996,2,0),"")</f>
        <v/>
      </c>
      <c r="N4507" s="2" t="str">
        <f>IFERROR(VLOOKUP(ROWS($N$2:N4507),$D$2:$E$1996,2,0),"")</f>
        <v/>
      </c>
    </row>
    <row r="4508" spans="2:14">
      <c r="B4508" s="32">
        <f>IF(ISNUMBER(SEARCH('Φόρμα Εισαγωγής'!$B$2,C4508)),MAX($B$1:B4507)+1,0)</f>
        <v>0</v>
      </c>
      <c r="D4508" s="33">
        <f>IF(ISNUMBER(SEARCH('Φόρμα Εισαγωγής'!$C$2,E4508)),MAX($D$1:D4507)+1,0)</f>
        <v>0</v>
      </c>
      <c r="H4508" s="6">
        <f t="shared" si="221"/>
        <v>0</v>
      </c>
      <c r="I4508" s="6">
        <f t="shared" si="222"/>
        <v>0</v>
      </c>
      <c r="J4508" s="6">
        <f t="shared" si="223"/>
        <v>0</v>
      </c>
      <c r="L4508" s="4" t="str">
        <f>IFERROR(VLOOKUP(ROWS($L$2:L4508),$B$2:$C$1996,2,0),"")</f>
        <v/>
      </c>
      <c r="N4508" s="2" t="str">
        <f>IFERROR(VLOOKUP(ROWS($N$2:N4508),$D$2:$E$1996,2,0),"")</f>
        <v/>
      </c>
    </row>
    <row r="4509" spans="2:14">
      <c r="B4509" s="32">
        <f>IF(ISNUMBER(SEARCH('Φόρμα Εισαγωγής'!$B$2,C4509)),MAX($B$1:B4508)+1,0)</f>
        <v>0</v>
      </c>
      <c r="D4509" s="33">
        <f>IF(ISNUMBER(SEARCH('Φόρμα Εισαγωγής'!$C$2,E4509)),MAX($D$1:D4508)+1,0)</f>
        <v>0</v>
      </c>
      <c r="H4509" s="6">
        <f t="shared" si="221"/>
        <v>0</v>
      </c>
      <c r="I4509" s="6">
        <f t="shared" si="222"/>
        <v>0</v>
      </c>
      <c r="J4509" s="6">
        <f t="shared" si="223"/>
        <v>0</v>
      </c>
      <c r="L4509" s="4" t="str">
        <f>IFERROR(VLOOKUP(ROWS($L$2:L4509),$B$2:$C$1996,2,0),"")</f>
        <v/>
      </c>
      <c r="N4509" s="2" t="str">
        <f>IFERROR(VLOOKUP(ROWS($N$2:N4509),$D$2:$E$1996,2,0),"")</f>
        <v/>
      </c>
    </row>
    <row r="4510" spans="2:14">
      <c r="B4510" s="32">
        <f>IF(ISNUMBER(SEARCH('Φόρμα Εισαγωγής'!$B$2,C4510)),MAX($B$1:B4509)+1,0)</f>
        <v>0</v>
      </c>
      <c r="D4510" s="33">
        <f>IF(ISNUMBER(SEARCH('Φόρμα Εισαγωγής'!$C$2,E4510)),MAX($D$1:D4509)+1,0)</f>
        <v>0</v>
      </c>
      <c r="H4510" s="6">
        <f t="shared" si="221"/>
        <v>0</v>
      </c>
      <c r="I4510" s="6">
        <f t="shared" si="222"/>
        <v>0</v>
      </c>
      <c r="J4510" s="6">
        <f t="shared" si="223"/>
        <v>0</v>
      </c>
      <c r="L4510" s="4" t="str">
        <f>IFERROR(VLOOKUP(ROWS($L$2:L4510),$B$2:$C$1996,2,0),"")</f>
        <v/>
      </c>
      <c r="N4510" s="2" t="str">
        <f>IFERROR(VLOOKUP(ROWS($N$2:N4510),$D$2:$E$1996,2,0),"")</f>
        <v/>
      </c>
    </row>
    <row r="4511" spans="2:14">
      <c r="B4511" s="32">
        <f>IF(ISNUMBER(SEARCH('Φόρμα Εισαγωγής'!$B$2,C4511)),MAX($B$1:B4510)+1,0)</f>
        <v>0</v>
      </c>
      <c r="D4511" s="33">
        <f>IF(ISNUMBER(SEARCH('Φόρμα Εισαγωγής'!$C$2,E4511)),MAX($D$1:D4510)+1,0)</f>
        <v>0</v>
      </c>
      <c r="H4511" s="6">
        <f t="shared" si="221"/>
        <v>0</v>
      </c>
      <c r="I4511" s="6">
        <f t="shared" si="222"/>
        <v>0</v>
      </c>
      <c r="J4511" s="6">
        <f t="shared" si="223"/>
        <v>0</v>
      </c>
      <c r="L4511" s="4" t="str">
        <f>IFERROR(VLOOKUP(ROWS($L$2:L4511),$B$2:$C$1996,2,0),"")</f>
        <v/>
      </c>
      <c r="N4511" s="2" t="str">
        <f>IFERROR(VLOOKUP(ROWS($N$2:N4511),$D$2:$E$1996,2,0),"")</f>
        <v/>
      </c>
    </row>
    <row r="4512" spans="2:14">
      <c r="B4512" s="32">
        <f>IF(ISNUMBER(SEARCH('Φόρμα Εισαγωγής'!$B$2,C4512)),MAX($B$1:B4511)+1,0)</f>
        <v>0</v>
      </c>
      <c r="D4512" s="33">
        <f>IF(ISNUMBER(SEARCH('Φόρμα Εισαγωγής'!$C$2,E4512)),MAX($D$1:D4511)+1,0)</f>
        <v>0</v>
      </c>
      <c r="H4512" s="6">
        <f t="shared" si="221"/>
        <v>0</v>
      </c>
      <c r="I4512" s="6">
        <f t="shared" si="222"/>
        <v>0</v>
      </c>
      <c r="J4512" s="6">
        <f t="shared" si="223"/>
        <v>0</v>
      </c>
      <c r="L4512" s="4" t="str">
        <f>IFERROR(VLOOKUP(ROWS($L$2:L4512),$B$2:$C$1996,2,0),"")</f>
        <v/>
      </c>
      <c r="N4512" s="2" t="str">
        <f>IFERROR(VLOOKUP(ROWS($N$2:N4512),$D$2:$E$1996,2,0),"")</f>
        <v/>
      </c>
    </row>
    <row r="4513" spans="2:14">
      <c r="B4513" s="32">
        <f>IF(ISNUMBER(SEARCH('Φόρμα Εισαγωγής'!$B$2,C4513)),MAX($B$1:B4512)+1,0)</f>
        <v>0</v>
      </c>
      <c r="D4513" s="33">
        <f>IF(ISNUMBER(SEARCH('Φόρμα Εισαγωγής'!$C$2,E4513)),MAX($D$1:D4512)+1,0)</f>
        <v>0</v>
      </c>
      <c r="H4513" s="6">
        <f t="shared" si="221"/>
        <v>0</v>
      </c>
      <c r="I4513" s="6">
        <f t="shared" si="222"/>
        <v>0</v>
      </c>
      <c r="J4513" s="6">
        <f t="shared" si="223"/>
        <v>0</v>
      </c>
      <c r="L4513" s="4" t="str">
        <f>IFERROR(VLOOKUP(ROWS($L$2:L4513),$B$2:$C$1996,2,0),"")</f>
        <v/>
      </c>
      <c r="N4513" s="2" t="str">
        <f>IFERROR(VLOOKUP(ROWS($N$2:N4513),$D$2:$E$1996,2,0),"")</f>
        <v/>
      </c>
    </row>
    <row r="4514" spans="2:14">
      <c r="B4514" s="32">
        <f>IF(ISNUMBER(SEARCH('Φόρμα Εισαγωγής'!$B$2,C4514)),MAX($B$1:B4513)+1,0)</f>
        <v>0</v>
      </c>
      <c r="D4514" s="33">
        <f>IF(ISNUMBER(SEARCH('Φόρμα Εισαγωγής'!$C$2,E4514)),MAX($D$1:D4513)+1,0)</f>
        <v>0</v>
      </c>
      <c r="H4514" s="6">
        <f t="shared" si="221"/>
        <v>0</v>
      </c>
      <c r="I4514" s="6">
        <f t="shared" si="222"/>
        <v>0</v>
      </c>
      <c r="J4514" s="6">
        <f t="shared" si="223"/>
        <v>0</v>
      </c>
      <c r="L4514" s="4" t="str">
        <f>IFERROR(VLOOKUP(ROWS($L$2:L4514),$B$2:$C$1996,2,0),"")</f>
        <v/>
      </c>
      <c r="N4514" s="2" t="str">
        <f>IFERROR(VLOOKUP(ROWS($N$2:N4514),$D$2:$E$1996,2,0),"")</f>
        <v/>
      </c>
    </row>
    <row r="4515" spans="2:14">
      <c r="B4515" s="32">
        <f>IF(ISNUMBER(SEARCH('Φόρμα Εισαγωγής'!$B$2,C4515)),MAX($B$1:B4514)+1,0)</f>
        <v>0</v>
      </c>
      <c r="D4515" s="33">
        <f>IF(ISNUMBER(SEARCH('Φόρμα Εισαγωγής'!$C$2,E4515)),MAX($D$1:D4514)+1,0)</f>
        <v>0</v>
      </c>
      <c r="H4515" s="6">
        <f t="shared" si="221"/>
        <v>0</v>
      </c>
      <c r="I4515" s="6">
        <f t="shared" si="222"/>
        <v>0</v>
      </c>
      <c r="J4515" s="6">
        <f t="shared" si="223"/>
        <v>0</v>
      </c>
      <c r="L4515" s="4" t="str">
        <f>IFERROR(VLOOKUP(ROWS($L$2:L4515),$B$2:$C$1996,2,0),"")</f>
        <v/>
      </c>
      <c r="N4515" s="2" t="str">
        <f>IFERROR(VLOOKUP(ROWS($N$2:N4515),$D$2:$E$1996,2,0),"")</f>
        <v/>
      </c>
    </row>
    <row r="4516" spans="2:14">
      <c r="B4516" s="32">
        <f>IF(ISNUMBER(SEARCH('Φόρμα Εισαγωγής'!$B$2,C4516)),MAX($B$1:B4515)+1,0)</f>
        <v>0</v>
      </c>
      <c r="D4516" s="33">
        <f>IF(ISNUMBER(SEARCH('Φόρμα Εισαγωγής'!$C$2,E4516)),MAX($D$1:D4515)+1,0)</f>
        <v>0</v>
      </c>
      <c r="H4516" s="6">
        <f t="shared" si="221"/>
        <v>0</v>
      </c>
      <c r="I4516" s="6">
        <f t="shared" si="222"/>
        <v>0</v>
      </c>
      <c r="J4516" s="6">
        <f t="shared" si="223"/>
        <v>0</v>
      </c>
      <c r="L4516" s="4" t="str">
        <f>IFERROR(VLOOKUP(ROWS($L$2:L4516),$B$2:$C$1996,2,0),"")</f>
        <v/>
      </c>
      <c r="N4516" s="2" t="str">
        <f>IFERROR(VLOOKUP(ROWS($N$2:N4516),$D$2:$E$1996,2,0),"")</f>
        <v/>
      </c>
    </row>
    <row r="4517" spans="2:14">
      <c r="B4517" s="32">
        <f>IF(ISNUMBER(SEARCH('Φόρμα Εισαγωγής'!$B$2,C4517)),MAX($B$1:B4516)+1,0)</f>
        <v>0</v>
      </c>
      <c r="D4517" s="33">
        <f>IF(ISNUMBER(SEARCH('Φόρμα Εισαγωγής'!$C$2,E4517)),MAX($D$1:D4516)+1,0)</f>
        <v>0</v>
      </c>
      <c r="H4517" s="6">
        <f t="shared" si="221"/>
        <v>0</v>
      </c>
      <c r="I4517" s="6">
        <f t="shared" si="222"/>
        <v>0</v>
      </c>
      <c r="J4517" s="6">
        <f t="shared" si="223"/>
        <v>0</v>
      </c>
      <c r="L4517" s="4" t="str">
        <f>IFERROR(VLOOKUP(ROWS($L$2:L4517),$B$2:$C$1996,2,0),"")</f>
        <v/>
      </c>
      <c r="N4517" s="2" t="str">
        <f>IFERROR(VLOOKUP(ROWS($N$2:N4517),$D$2:$E$1996,2,0),"")</f>
        <v/>
      </c>
    </row>
    <row r="4518" spans="2:14">
      <c r="B4518" s="32">
        <f>IF(ISNUMBER(SEARCH('Φόρμα Εισαγωγής'!$B$2,C4518)),MAX($B$1:B4517)+1,0)</f>
        <v>0</v>
      </c>
      <c r="D4518" s="33">
        <f>IF(ISNUMBER(SEARCH('Φόρμα Εισαγωγής'!$C$2,E4518)),MAX($D$1:D4517)+1,0)</f>
        <v>0</v>
      </c>
      <c r="H4518" s="6">
        <f t="shared" si="221"/>
        <v>0</v>
      </c>
      <c r="I4518" s="6">
        <f t="shared" si="222"/>
        <v>0</v>
      </c>
      <c r="J4518" s="6">
        <f t="shared" si="223"/>
        <v>0</v>
      </c>
      <c r="L4518" s="4" t="str">
        <f>IFERROR(VLOOKUP(ROWS($L$2:L4518),$B$2:$C$1996,2,0),"")</f>
        <v/>
      </c>
      <c r="N4518" s="2" t="str">
        <f>IFERROR(VLOOKUP(ROWS($N$2:N4518),$D$2:$E$1996,2,0),"")</f>
        <v/>
      </c>
    </row>
    <row r="4519" spans="2:14">
      <c r="B4519" s="32">
        <f>IF(ISNUMBER(SEARCH('Φόρμα Εισαγωγής'!$B$2,C4519)),MAX($B$1:B4518)+1,0)</f>
        <v>0</v>
      </c>
      <c r="D4519" s="33">
        <f>IF(ISNUMBER(SEARCH('Φόρμα Εισαγωγής'!$C$2,E4519)),MAX($D$1:D4518)+1,0)</f>
        <v>0</v>
      </c>
      <c r="H4519" s="6">
        <f t="shared" si="221"/>
        <v>0</v>
      </c>
      <c r="I4519" s="6">
        <f t="shared" si="222"/>
        <v>0</v>
      </c>
      <c r="J4519" s="6">
        <f t="shared" si="223"/>
        <v>0</v>
      </c>
      <c r="L4519" s="4" t="str">
        <f>IFERROR(VLOOKUP(ROWS($L$2:L4519),$B$2:$C$1996,2,0),"")</f>
        <v/>
      </c>
      <c r="N4519" s="2" t="str">
        <f>IFERROR(VLOOKUP(ROWS($N$2:N4519),$D$2:$E$1996,2,0),"")</f>
        <v/>
      </c>
    </row>
    <row r="4520" spans="2:14">
      <c r="B4520" s="32">
        <f>IF(ISNUMBER(SEARCH('Φόρμα Εισαγωγής'!$B$2,C4520)),MAX($B$1:B4519)+1,0)</f>
        <v>0</v>
      </c>
      <c r="D4520" s="33">
        <f>IF(ISNUMBER(SEARCH('Φόρμα Εισαγωγής'!$C$2,E4520)),MAX($D$1:D4519)+1,0)</f>
        <v>0</v>
      </c>
      <c r="H4520" s="6">
        <f t="shared" si="221"/>
        <v>0</v>
      </c>
      <c r="I4520" s="6">
        <f t="shared" si="222"/>
        <v>0</v>
      </c>
      <c r="J4520" s="6">
        <f t="shared" si="223"/>
        <v>0</v>
      </c>
      <c r="L4520" s="4" t="str">
        <f>IFERROR(VLOOKUP(ROWS($L$2:L4520),$B$2:$C$1996,2,0),"")</f>
        <v/>
      </c>
      <c r="N4520" s="2" t="str">
        <f>IFERROR(VLOOKUP(ROWS($N$2:N4520),$D$2:$E$1996,2,0),"")</f>
        <v/>
      </c>
    </row>
    <row r="4521" spans="2:14">
      <c r="B4521" s="32">
        <f>IF(ISNUMBER(SEARCH('Φόρμα Εισαγωγής'!$B$2,C4521)),MAX($B$1:B4520)+1,0)</f>
        <v>0</v>
      </c>
      <c r="D4521" s="33">
        <f>IF(ISNUMBER(SEARCH('Φόρμα Εισαγωγής'!$C$2,E4521)),MAX($D$1:D4520)+1,0)</f>
        <v>0</v>
      </c>
      <c r="H4521" s="6">
        <f t="shared" si="221"/>
        <v>0</v>
      </c>
      <c r="I4521" s="6">
        <f t="shared" si="222"/>
        <v>0</v>
      </c>
      <c r="J4521" s="6">
        <f t="shared" si="223"/>
        <v>0</v>
      </c>
      <c r="L4521" s="4" t="str">
        <f>IFERROR(VLOOKUP(ROWS($L$2:L4521),$B$2:$C$1996,2,0),"")</f>
        <v/>
      </c>
      <c r="N4521" s="2" t="str">
        <f>IFERROR(VLOOKUP(ROWS($N$2:N4521),$D$2:$E$1996,2,0),"")</f>
        <v/>
      </c>
    </row>
    <row r="4522" spans="2:14">
      <c r="B4522" s="32">
        <f>IF(ISNUMBER(SEARCH('Φόρμα Εισαγωγής'!$B$2,C4522)),MAX($B$1:B4521)+1,0)</f>
        <v>0</v>
      </c>
      <c r="D4522" s="33">
        <f>IF(ISNUMBER(SEARCH('Φόρμα Εισαγωγής'!$C$2,E4522)),MAX($D$1:D4521)+1,0)</f>
        <v>0</v>
      </c>
      <c r="H4522" s="6">
        <f t="shared" si="221"/>
        <v>0</v>
      </c>
      <c r="I4522" s="6">
        <f t="shared" si="222"/>
        <v>0</v>
      </c>
      <c r="J4522" s="6">
        <f t="shared" si="223"/>
        <v>0</v>
      </c>
      <c r="L4522" s="4" t="str">
        <f>IFERROR(VLOOKUP(ROWS($L$2:L4522),$B$2:$C$1996,2,0),"")</f>
        <v/>
      </c>
      <c r="N4522" s="2" t="str">
        <f>IFERROR(VLOOKUP(ROWS($N$2:N4522),$D$2:$E$1996,2,0),"")</f>
        <v/>
      </c>
    </row>
    <row r="4523" spans="2:14">
      <c r="B4523" s="32">
        <f>IF(ISNUMBER(SEARCH('Φόρμα Εισαγωγής'!$B$2,C4523)),MAX($B$1:B4522)+1,0)</f>
        <v>0</v>
      </c>
      <c r="D4523" s="33">
        <f>IF(ISNUMBER(SEARCH('Φόρμα Εισαγωγής'!$C$2,E4523)),MAX($D$1:D4522)+1,0)</f>
        <v>0</v>
      </c>
      <c r="H4523" s="6">
        <f t="shared" si="221"/>
        <v>0</v>
      </c>
      <c r="I4523" s="6">
        <f t="shared" si="222"/>
        <v>0</v>
      </c>
      <c r="J4523" s="6">
        <f t="shared" si="223"/>
        <v>0</v>
      </c>
      <c r="L4523" s="4" t="str">
        <f>IFERROR(VLOOKUP(ROWS($L$2:L4523),$B$2:$C$1996,2,0),"")</f>
        <v/>
      </c>
      <c r="N4523" s="2" t="str">
        <f>IFERROR(VLOOKUP(ROWS($N$2:N4523),$D$2:$E$1996,2,0),"")</f>
        <v/>
      </c>
    </row>
    <row r="4524" spans="2:14">
      <c r="B4524" s="32">
        <f>IF(ISNUMBER(SEARCH('Φόρμα Εισαγωγής'!$B$2,C4524)),MAX($B$1:B4523)+1,0)</f>
        <v>0</v>
      </c>
      <c r="D4524" s="33">
        <f>IF(ISNUMBER(SEARCH('Φόρμα Εισαγωγής'!$C$2,E4524)),MAX($D$1:D4523)+1,0)</f>
        <v>0</v>
      </c>
      <c r="H4524" s="6">
        <f t="shared" si="221"/>
        <v>0</v>
      </c>
      <c r="I4524" s="6">
        <f t="shared" si="222"/>
        <v>0</v>
      </c>
      <c r="J4524" s="6">
        <f t="shared" si="223"/>
        <v>0</v>
      </c>
      <c r="L4524" s="4" t="str">
        <f>IFERROR(VLOOKUP(ROWS($L$2:L4524),$B$2:$C$1996,2,0),"")</f>
        <v/>
      </c>
      <c r="N4524" s="2" t="str">
        <f>IFERROR(VLOOKUP(ROWS($N$2:N4524),$D$2:$E$1996,2,0),"")</f>
        <v/>
      </c>
    </row>
    <row r="4525" spans="2:14">
      <c r="B4525" s="32">
        <f>IF(ISNUMBER(SEARCH('Φόρμα Εισαγωγής'!$B$2,C4525)),MAX($B$1:B4524)+1,0)</f>
        <v>0</v>
      </c>
      <c r="D4525" s="33">
        <f>IF(ISNUMBER(SEARCH('Φόρμα Εισαγωγής'!$C$2,E4525)),MAX($D$1:D4524)+1,0)</f>
        <v>0</v>
      </c>
      <c r="H4525" s="6">
        <f t="shared" si="221"/>
        <v>0</v>
      </c>
      <c r="I4525" s="6">
        <f t="shared" si="222"/>
        <v>0</v>
      </c>
      <c r="J4525" s="6">
        <f t="shared" si="223"/>
        <v>0</v>
      </c>
      <c r="L4525" s="4" t="str">
        <f>IFERROR(VLOOKUP(ROWS($L$2:L4525),$B$2:$C$1996,2,0),"")</f>
        <v/>
      </c>
      <c r="N4525" s="2" t="str">
        <f>IFERROR(VLOOKUP(ROWS($N$2:N4525),$D$2:$E$1996,2,0),"")</f>
        <v/>
      </c>
    </row>
    <row r="4526" spans="2:14">
      <c r="B4526" s="32">
        <f>IF(ISNUMBER(SEARCH('Φόρμα Εισαγωγής'!$B$2,C4526)),MAX($B$1:B4525)+1,0)</f>
        <v>0</v>
      </c>
      <c r="D4526" s="33">
        <f>IF(ISNUMBER(SEARCH('Φόρμα Εισαγωγής'!$C$2,E4526)),MAX($D$1:D4525)+1,0)</f>
        <v>0</v>
      </c>
      <c r="H4526" s="6">
        <f t="shared" si="221"/>
        <v>0</v>
      </c>
      <c r="I4526" s="6">
        <f t="shared" si="222"/>
        <v>0</v>
      </c>
      <c r="J4526" s="6">
        <f t="shared" si="223"/>
        <v>0</v>
      </c>
      <c r="L4526" s="4" t="str">
        <f>IFERROR(VLOOKUP(ROWS($L$2:L4526),$B$2:$C$1996,2,0),"")</f>
        <v/>
      </c>
      <c r="N4526" s="2" t="str">
        <f>IFERROR(VLOOKUP(ROWS($N$2:N4526),$D$2:$E$1996,2,0),"")</f>
        <v/>
      </c>
    </row>
    <row r="4527" spans="2:14">
      <c r="B4527" s="32">
        <f>IF(ISNUMBER(SEARCH('Φόρμα Εισαγωγής'!$B$2,C4527)),MAX($B$1:B4526)+1,0)</f>
        <v>0</v>
      </c>
      <c r="D4527" s="33">
        <f>IF(ISNUMBER(SEARCH('Φόρμα Εισαγωγής'!$C$2,E4527)),MAX($D$1:D4526)+1,0)</f>
        <v>0</v>
      </c>
      <c r="H4527" s="6">
        <f t="shared" si="221"/>
        <v>0</v>
      </c>
      <c r="I4527" s="6">
        <f t="shared" si="222"/>
        <v>0</v>
      </c>
      <c r="J4527" s="6">
        <f t="shared" si="223"/>
        <v>0</v>
      </c>
      <c r="L4527" s="4" t="str">
        <f>IFERROR(VLOOKUP(ROWS($L$2:L4527),$B$2:$C$1996,2,0),"")</f>
        <v/>
      </c>
      <c r="N4527" s="2" t="str">
        <f>IFERROR(VLOOKUP(ROWS($N$2:N4527),$D$2:$E$1996,2,0),"")</f>
        <v/>
      </c>
    </row>
    <row r="4528" spans="2:14">
      <c r="B4528" s="32">
        <f>IF(ISNUMBER(SEARCH('Φόρμα Εισαγωγής'!$B$2,C4528)),MAX($B$1:B4527)+1,0)</f>
        <v>0</v>
      </c>
      <c r="D4528" s="33">
        <f>IF(ISNUMBER(SEARCH('Φόρμα Εισαγωγής'!$C$2,E4528)),MAX($D$1:D4527)+1,0)</f>
        <v>0</v>
      </c>
      <c r="H4528" s="6">
        <f t="shared" si="221"/>
        <v>0</v>
      </c>
      <c r="I4528" s="6">
        <f t="shared" si="222"/>
        <v>0</v>
      </c>
      <c r="J4528" s="6">
        <f t="shared" si="223"/>
        <v>0</v>
      </c>
      <c r="L4528" s="4" t="str">
        <f>IFERROR(VLOOKUP(ROWS($L$2:L4528),$B$2:$C$1996,2,0),"")</f>
        <v/>
      </c>
      <c r="N4528" s="2" t="str">
        <f>IFERROR(VLOOKUP(ROWS($N$2:N4528),$D$2:$E$1996,2,0),"")</f>
        <v/>
      </c>
    </row>
    <row r="4529" spans="2:14">
      <c r="B4529" s="32">
        <f>IF(ISNUMBER(SEARCH('Φόρμα Εισαγωγής'!$B$2,C4529)),MAX($B$1:B4528)+1,0)</f>
        <v>0</v>
      </c>
      <c r="D4529" s="33">
        <f>IF(ISNUMBER(SEARCH('Φόρμα Εισαγωγής'!$C$2,E4529)),MAX($D$1:D4528)+1,0)</f>
        <v>0</v>
      </c>
      <c r="H4529" s="6">
        <f t="shared" si="221"/>
        <v>0</v>
      </c>
      <c r="I4529" s="6">
        <f t="shared" si="222"/>
        <v>0</v>
      </c>
      <c r="J4529" s="6">
        <f t="shared" si="223"/>
        <v>0</v>
      </c>
      <c r="L4529" s="4" t="str">
        <f>IFERROR(VLOOKUP(ROWS($L$2:L4529),$B$2:$C$1996,2,0),"")</f>
        <v/>
      </c>
      <c r="N4529" s="2" t="str">
        <f>IFERROR(VLOOKUP(ROWS($N$2:N4529),$D$2:$E$1996,2,0),"")</f>
        <v/>
      </c>
    </row>
    <row r="4530" spans="2:14">
      <c r="B4530" s="32">
        <f>IF(ISNUMBER(SEARCH('Φόρμα Εισαγωγής'!$B$2,C4530)),MAX($B$1:B4529)+1,0)</f>
        <v>0</v>
      </c>
      <c r="D4530" s="33">
        <f>IF(ISNUMBER(SEARCH('Φόρμα Εισαγωγής'!$C$2,E4530)),MAX($D$1:D4529)+1,0)</f>
        <v>0</v>
      </c>
      <c r="H4530" s="6">
        <f t="shared" si="221"/>
        <v>0</v>
      </c>
      <c r="I4530" s="6">
        <f t="shared" si="222"/>
        <v>0</v>
      </c>
      <c r="J4530" s="6">
        <f t="shared" si="223"/>
        <v>0</v>
      </c>
      <c r="L4530" s="4" t="str">
        <f>IFERROR(VLOOKUP(ROWS($L$2:L4530),$B$2:$C$1996,2,0),"")</f>
        <v/>
      </c>
      <c r="N4530" s="2" t="str">
        <f>IFERROR(VLOOKUP(ROWS($N$2:N4530),$D$2:$E$1996,2,0),"")</f>
        <v/>
      </c>
    </row>
    <row r="4531" spans="2:14">
      <c r="B4531" s="32">
        <f>IF(ISNUMBER(SEARCH('Φόρμα Εισαγωγής'!$B$2,C4531)),MAX($B$1:B4530)+1,0)</f>
        <v>0</v>
      </c>
      <c r="D4531" s="33">
        <f>IF(ISNUMBER(SEARCH('Φόρμα Εισαγωγής'!$C$2,E4531)),MAX($D$1:D4530)+1,0)</f>
        <v>0</v>
      </c>
      <c r="H4531" s="6">
        <f t="shared" si="221"/>
        <v>0</v>
      </c>
      <c r="I4531" s="6">
        <f t="shared" si="222"/>
        <v>0</v>
      </c>
      <c r="J4531" s="6">
        <f t="shared" si="223"/>
        <v>0</v>
      </c>
      <c r="L4531" s="4" t="str">
        <f>IFERROR(VLOOKUP(ROWS($L$2:L4531),$B$2:$C$1996,2,0),"")</f>
        <v/>
      </c>
      <c r="N4531" s="2" t="str">
        <f>IFERROR(VLOOKUP(ROWS($N$2:N4531),$D$2:$E$1996,2,0),"")</f>
        <v/>
      </c>
    </row>
    <row r="4532" spans="2:14">
      <c r="B4532" s="32">
        <f>IF(ISNUMBER(SEARCH('Φόρμα Εισαγωγής'!$B$2,C4532)),MAX($B$1:B4531)+1,0)</f>
        <v>0</v>
      </c>
      <c r="D4532" s="33">
        <f>IF(ISNUMBER(SEARCH('Φόρμα Εισαγωγής'!$C$2,E4532)),MAX($D$1:D4531)+1,0)</f>
        <v>0</v>
      </c>
      <c r="H4532" s="6">
        <f t="shared" si="221"/>
        <v>0</v>
      </c>
      <c r="I4532" s="6">
        <f t="shared" si="222"/>
        <v>0</v>
      </c>
      <c r="J4532" s="6">
        <f t="shared" si="223"/>
        <v>0</v>
      </c>
      <c r="L4532" s="4" t="str">
        <f>IFERROR(VLOOKUP(ROWS($L$2:L4532),$B$2:$C$1996,2,0),"")</f>
        <v/>
      </c>
      <c r="N4532" s="2" t="str">
        <f>IFERROR(VLOOKUP(ROWS($N$2:N4532),$D$2:$E$1996,2,0),"")</f>
        <v/>
      </c>
    </row>
    <row r="4533" spans="2:14">
      <c r="B4533" s="32">
        <f>IF(ISNUMBER(SEARCH('Φόρμα Εισαγωγής'!$B$2,C4533)),MAX($B$1:B4532)+1,0)</f>
        <v>0</v>
      </c>
      <c r="D4533" s="33">
        <f>IF(ISNUMBER(SEARCH('Φόρμα Εισαγωγής'!$C$2,E4533)),MAX($D$1:D4532)+1,0)</f>
        <v>0</v>
      </c>
      <c r="H4533" s="6">
        <f t="shared" si="221"/>
        <v>0</v>
      </c>
      <c r="I4533" s="6">
        <f t="shared" si="222"/>
        <v>0</v>
      </c>
      <c r="J4533" s="6">
        <f t="shared" si="223"/>
        <v>0</v>
      </c>
      <c r="L4533" s="4" t="str">
        <f>IFERROR(VLOOKUP(ROWS($L$2:L4533),$B$2:$C$1996,2,0),"")</f>
        <v/>
      </c>
      <c r="N4533" s="2" t="str">
        <f>IFERROR(VLOOKUP(ROWS($N$2:N4533),$D$2:$E$1996,2,0),"")</f>
        <v/>
      </c>
    </row>
    <row r="4534" spans="2:14">
      <c r="B4534" s="32">
        <f>IF(ISNUMBER(SEARCH('Φόρμα Εισαγωγής'!$B$2,C4534)),MAX($B$1:B4533)+1,0)</f>
        <v>0</v>
      </c>
      <c r="D4534" s="33">
        <f>IF(ISNUMBER(SEARCH('Φόρμα Εισαγωγής'!$C$2,E4534)),MAX($D$1:D4533)+1,0)</f>
        <v>0</v>
      </c>
      <c r="H4534" s="6">
        <f t="shared" si="221"/>
        <v>0</v>
      </c>
      <c r="I4534" s="6">
        <f t="shared" si="222"/>
        <v>0</v>
      </c>
      <c r="J4534" s="6">
        <f t="shared" si="223"/>
        <v>0</v>
      </c>
      <c r="L4534" s="4" t="str">
        <f>IFERROR(VLOOKUP(ROWS($L$2:L4534),$B$2:$C$1996,2,0),"")</f>
        <v/>
      </c>
      <c r="N4534" s="2" t="str">
        <f>IFERROR(VLOOKUP(ROWS($N$2:N4534),$D$2:$E$1996,2,0),"")</f>
        <v/>
      </c>
    </row>
    <row r="4535" spans="2:14">
      <c r="B4535" s="32">
        <f>IF(ISNUMBER(SEARCH('Φόρμα Εισαγωγής'!$B$2,C4535)),MAX($B$1:B4534)+1,0)</f>
        <v>0</v>
      </c>
      <c r="D4535" s="33">
        <f>IF(ISNUMBER(SEARCH('Φόρμα Εισαγωγής'!$C$2,E4535)),MAX($D$1:D4534)+1,0)</f>
        <v>0</v>
      </c>
      <c r="H4535" s="6">
        <f t="shared" si="221"/>
        <v>0</v>
      </c>
      <c r="I4535" s="6">
        <f t="shared" si="222"/>
        <v>0</v>
      </c>
      <c r="J4535" s="6">
        <f t="shared" si="223"/>
        <v>0</v>
      </c>
      <c r="L4535" s="4" t="str">
        <f>IFERROR(VLOOKUP(ROWS($L$2:L4535),$B$2:$C$1996,2,0),"")</f>
        <v/>
      </c>
      <c r="N4535" s="2" t="str">
        <f>IFERROR(VLOOKUP(ROWS($N$2:N4535),$D$2:$E$1996,2,0),"")</f>
        <v/>
      </c>
    </row>
    <row r="4536" spans="2:14">
      <c r="B4536" s="32">
        <f>IF(ISNUMBER(SEARCH('Φόρμα Εισαγωγής'!$B$2,C4536)),MAX($B$1:B4535)+1,0)</f>
        <v>0</v>
      </c>
      <c r="D4536" s="33">
        <f>IF(ISNUMBER(SEARCH('Φόρμα Εισαγωγής'!$C$2,E4536)),MAX($D$1:D4535)+1,0)</f>
        <v>0</v>
      </c>
      <c r="H4536" s="6">
        <f t="shared" si="221"/>
        <v>0</v>
      </c>
      <c r="I4536" s="6">
        <f t="shared" si="222"/>
        <v>0</v>
      </c>
      <c r="J4536" s="6">
        <f t="shared" si="223"/>
        <v>0</v>
      </c>
      <c r="L4536" s="4" t="str">
        <f>IFERROR(VLOOKUP(ROWS($L$2:L4536),$B$2:$C$1996,2,0),"")</f>
        <v/>
      </c>
      <c r="N4536" s="2" t="str">
        <f>IFERROR(VLOOKUP(ROWS($N$2:N4536),$D$2:$E$1996,2,0),"")</f>
        <v/>
      </c>
    </row>
    <row r="4537" spans="2:14">
      <c r="B4537" s="32">
        <f>IF(ISNUMBER(SEARCH('Φόρμα Εισαγωγής'!$B$2,C4537)),MAX($B$1:B4536)+1,0)</f>
        <v>0</v>
      </c>
      <c r="D4537" s="33">
        <f>IF(ISNUMBER(SEARCH('Φόρμα Εισαγωγής'!$C$2,E4537)),MAX($D$1:D4536)+1,0)</f>
        <v>0</v>
      </c>
      <c r="H4537" s="6">
        <f t="shared" si="221"/>
        <v>0</v>
      </c>
      <c r="I4537" s="6">
        <f t="shared" si="222"/>
        <v>0</v>
      </c>
      <c r="J4537" s="6">
        <f t="shared" si="223"/>
        <v>0</v>
      </c>
      <c r="L4537" s="4" t="str">
        <f>IFERROR(VLOOKUP(ROWS($L$2:L4537),$B$2:$C$1996,2,0),"")</f>
        <v/>
      </c>
      <c r="N4537" s="2" t="str">
        <f>IFERROR(VLOOKUP(ROWS($N$2:N4537),$D$2:$E$1996,2,0),"")</f>
        <v/>
      </c>
    </row>
    <row r="4538" spans="2:14">
      <c r="B4538" s="32">
        <f>IF(ISNUMBER(SEARCH('Φόρμα Εισαγωγής'!$B$2,C4538)),MAX($B$1:B4537)+1,0)</f>
        <v>0</v>
      </c>
      <c r="D4538" s="33">
        <f>IF(ISNUMBER(SEARCH('Φόρμα Εισαγωγής'!$C$2,E4538)),MAX($D$1:D4537)+1,0)</f>
        <v>0</v>
      </c>
      <c r="H4538" s="6">
        <f t="shared" si="221"/>
        <v>0</v>
      </c>
      <c r="I4538" s="6">
        <f t="shared" si="222"/>
        <v>0</v>
      </c>
      <c r="J4538" s="6">
        <f t="shared" si="223"/>
        <v>0</v>
      </c>
      <c r="L4538" s="4" t="str">
        <f>IFERROR(VLOOKUP(ROWS($L$2:L4538),$B$2:$C$1996,2,0),"")</f>
        <v/>
      </c>
      <c r="N4538" s="2" t="str">
        <f>IFERROR(VLOOKUP(ROWS($N$2:N4538),$D$2:$E$1996,2,0),"")</f>
        <v/>
      </c>
    </row>
    <row r="4539" spans="2:14">
      <c r="B4539" s="32">
        <f>IF(ISNUMBER(SEARCH('Φόρμα Εισαγωγής'!$B$2,C4539)),MAX($B$1:B4538)+1,0)</f>
        <v>0</v>
      </c>
      <c r="D4539" s="33">
        <f>IF(ISNUMBER(SEARCH('Φόρμα Εισαγωγής'!$C$2,E4539)),MAX($D$1:D4538)+1,0)</f>
        <v>0</v>
      </c>
      <c r="H4539" s="6">
        <f t="shared" si="221"/>
        <v>0</v>
      </c>
      <c r="I4539" s="6">
        <f t="shared" si="222"/>
        <v>0</v>
      </c>
      <c r="J4539" s="6">
        <f t="shared" si="223"/>
        <v>0</v>
      </c>
      <c r="L4539" s="4" t="str">
        <f>IFERROR(VLOOKUP(ROWS($L$2:L4539),$B$2:$C$1996,2,0),"")</f>
        <v/>
      </c>
      <c r="N4539" s="2" t="str">
        <f>IFERROR(VLOOKUP(ROWS($N$2:N4539),$D$2:$E$1996,2,0),"")</f>
        <v/>
      </c>
    </row>
    <row r="4540" spans="2:14">
      <c r="B4540" s="32">
        <f>IF(ISNUMBER(SEARCH('Φόρμα Εισαγωγής'!$B$2,C4540)),MAX($B$1:B4539)+1,0)</f>
        <v>0</v>
      </c>
      <c r="D4540" s="33">
        <f>IF(ISNUMBER(SEARCH('Φόρμα Εισαγωγής'!$C$2,E4540)),MAX($D$1:D4539)+1,0)</f>
        <v>0</v>
      </c>
      <c r="H4540" s="6">
        <f t="shared" si="221"/>
        <v>0</v>
      </c>
      <c r="I4540" s="6">
        <f t="shared" si="222"/>
        <v>0</v>
      </c>
      <c r="J4540" s="6">
        <f t="shared" si="223"/>
        <v>0</v>
      </c>
      <c r="L4540" s="4" t="str">
        <f>IFERROR(VLOOKUP(ROWS($L$2:L4540),$B$2:$C$1996,2,0),"")</f>
        <v/>
      </c>
      <c r="N4540" s="2" t="str">
        <f>IFERROR(VLOOKUP(ROWS($N$2:N4540),$D$2:$E$1996,2,0),"")</f>
        <v/>
      </c>
    </row>
    <row r="4541" spans="2:14">
      <c r="B4541" s="32">
        <f>IF(ISNUMBER(SEARCH('Φόρμα Εισαγωγής'!$B$2,C4541)),MAX($B$1:B4540)+1,0)</f>
        <v>0</v>
      </c>
      <c r="D4541" s="33">
        <f>IF(ISNUMBER(SEARCH('Φόρμα Εισαγωγής'!$C$2,E4541)),MAX($D$1:D4540)+1,0)</f>
        <v>0</v>
      </c>
      <c r="H4541" s="6">
        <f t="shared" si="221"/>
        <v>0</v>
      </c>
      <c r="I4541" s="6">
        <f t="shared" si="222"/>
        <v>0</v>
      </c>
      <c r="J4541" s="6">
        <f t="shared" si="223"/>
        <v>0</v>
      </c>
      <c r="L4541" s="4" t="str">
        <f>IFERROR(VLOOKUP(ROWS($L$2:L4541),$B$2:$C$1996,2,0),"")</f>
        <v/>
      </c>
      <c r="N4541" s="2" t="str">
        <f>IFERROR(VLOOKUP(ROWS($N$2:N4541),$D$2:$E$1996,2,0),"")</f>
        <v/>
      </c>
    </row>
    <row r="4542" spans="2:14">
      <c r="B4542" s="32">
        <f>IF(ISNUMBER(SEARCH('Φόρμα Εισαγωγής'!$B$2,C4542)),MAX($B$1:B4541)+1,0)</f>
        <v>0</v>
      </c>
      <c r="D4542" s="33">
        <f>IF(ISNUMBER(SEARCH('Φόρμα Εισαγωγής'!$C$2,E4542)),MAX($D$1:D4541)+1,0)</f>
        <v>0</v>
      </c>
      <c r="H4542" s="6">
        <f t="shared" si="221"/>
        <v>0</v>
      </c>
      <c r="I4542" s="6">
        <f t="shared" si="222"/>
        <v>0</v>
      </c>
      <c r="J4542" s="6">
        <f t="shared" si="223"/>
        <v>0</v>
      </c>
      <c r="L4542" s="4" t="str">
        <f>IFERROR(VLOOKUP(ROWS($L$2:L4542),$B$2:$C$1996,2,0),"")</f>
        <v/>
      </c>
      <c r="N4542" s="2" t="str">
        <f>IFERROR(VLOOKUP(ROWS($N$2:N4542),$D$2:$E$1996,2,0),"")</f>
        <v/>
      </c>
    </row>
    <row r="4543" spans="2:14">
      <c r="B4543" s="32">
        <f>IF(ISNUMBER(SEARCH('Φόρμα Εισαγωγής'!$B$2,C4543)),MAX($B$1:B4542)+1,0)</f>
        <v>0</v>
      </c>
      <c r="D4543" s="33">
        <f>IF(ISNUMBER(SEARCH('Φόρμα Εισαγωγής'!$C$2,E4543)),MAX($D$1:D4542)+1,0)</f>
        <v>0</v>
      </c>
      <c r="H4543" s="6">
        <f t="shared" si="221"/>
        <v>0</v>
      </c>
      <c r="I4543" s="6">
        <f t="shared" si="222"/>
        <v>0</v>
      </c>
      <c r="J4543" s="6">
        <f t="shared" si="223"/>
        <v>0</v>
      </c>
      <c r="L4543" s="4" t="str">
        <f>IFERROR(VLOOKUP(ROWS($L$2:L4543),$B$2:$C$1996,2,0),"")</f>
        <v/>
      </c>
      <c r="N4543" s="2" t="str">
        <f>IFERROR(VLOOKUP(ROWS($N$2:N4543),$D$2:$E$1996,2,0),"")</f>
        <v/>
      </c>
    </row>
    <row r="4544" spans="2:14">
      <c r="B4544" s="32">
        <f>IF(ISNUMBER(SEARCH('Φόρμα Εισαγωγής'!$B$2,C4544)),MAX($B$1:B4543)+1,0)</f>
        <v>0</v>
      </c>
      <c r="D4544" s="33">
        <f>IF(ISNUMBER(SEARCH('Φόρμα Εισαγωγής'!$C$2,E4544)),MAX($D$1:D4543)+1,0)</f>
        <v>0</v>
      </c>
      <c r="H4544" s="6">
        <f t="shared" ref="H4544:H4607" si="224">G4544+(G4544*0.24)</f>
        <v>0</v>
      </c>
      <c r="I4544" s="6">
        <f t="shared" ref="I4544:I4607" si="225">F4544*A4544</f>
        <v>0</v>
      </c>
      <c r="J4544" s="6">
        <f t="shared" ref="J4544:J4607" si="226">H4544*A4544</f>
        <v>0</v>
      </c>
      <c r="L4544" s="4" t="str">
        <f>IFERROR(VLOOKUP(ROWS($L$2:L4544),$B$2:$C$1996,2,0),"")</f>
        <v/>
      </c>
      <c r="N4544" s="2" t="str">
        <f>IFERROR(VLOOKUP(ROWS($N$2:N4544),$D$2:$E$1996,2,0),"")</f>
        <v/>
      </c>
    </row>
    <row r="4545" spans="2:14">
      <c r="B4545" s="32">
        <f>IF(ISNUMBER(SEARCH('Φόρμα Εισαγωγής'!$B$2,C4545)),MAX($B$1:B4544)+1,0)</f>
        <v>0</v>
      </c>
      <c r="D4545" s="33">
        <f>IF(ISNUMBER(SEARCH('Φόρμα Εισαγωγής'!$C$2,E4545)),MAX($D$1:D4544)+1,0)</f>
        <v>0</v>
      </c>
      <c r="H4545" s="6">
        <f t="shared" si="224"/>
        <v>0</v>
      </c>
      <c r="I4545" s="6">
        <f t="shared" si="225"/>
        <v>0</v>
      </c>
      <c r="J4545" s="6">
        <f t="shared" si="226"/>
        <v>0</v>
      </c>
      <c r="L4545" s="4" t="str">
        <f>IFERROR(VLOOKUP(ROWS($L$2:L4545),$B$2:$C$1996,2,0),"")</f>
        <v/>
      </c>
      <c r="N4545" s="2" t="str">
        <f>IFERROR(VLOOKUP(ROWS($N$2:N4545),$D$2:$E$1996,2,0),"")</f>
        <v/>
      </c>
    </row>
    <row r="4546" spans="2:14">
      <c r="B4546" s="32">
        <f>IF(ISNUMBER(SEARCH('Φόρμα Εισαγωγής'!$B$2,C4546)),MAX($B$1:B4545)+1,0)</f>
        <v>0</v>
      </c>
      <c r="D4546" s="33">
        <f>IF(ISNUMBER(SEARCH('Φόρμα Εισαγωγής'!$C$2,E4546)),MAX($D$1:D4545)+1,0)</f>
        <v>0</v>
      </c>
      <c r="H4546" s="6">
        <f t="shared" si="224"/>
        <v>0</v>
      </c>
      <c r="I4546" s="6">
        <f t="shared" si="225"/>
        <v>0</v>
      </c>
      <c r="J4546" s="6">
        <f t="shared" si="226"/>
        <v>0</v>
      </c>
      <c r="L4546" s="4" t="str">
        <f>IFERROR(VLOOKUP(ROWS($L$2:L4546),$B$2:$C$1996,2,0),"")</f>
        <v/>
      </c>
      <c r="N4546" s="2" t="str">
        <f>IFERROR(VLOOKUP(ROWS($N$2:N4546),$D$2:$E$1996,2,0),"")</f>
        <v/>
      </c>
    </row>
    <row r="4547" spans="2:14">
      <c r="B4547" s="32">
        <f>IF(ISNUMBER(SEARCH('Φόρμα Εισαγωγής'!$B$2,C4547)),MAX($B$1:B4546)+1,0)</f>
        <v>0</v>
      </c>
      <c r="D4547" s="33">
        <f>IF(ISNUMBER(SEARCH('Φόρμα Εισαγωγής'!$C$2,E4547)),MAX($D$1:D4546)+1,0)</f>
        <v>0</v>
      </c>
      <c r="H4547" s="6">
        <f t="shared" si="224"/>
        <v>0</v>
      </c>
      <c r="I4547" s="6">
        <f t="shared" si="225"/>
        <v>0</v>
      </c>
      <c r="J4547" s="6">
        <f t="shared" si="226"/>
        <v>0</v>
      </c>
      <c r="L4547" s="4" t="str">
        <f>IFERROR(VLOOKUP(ROWS($L$2:L4547),$B$2:$C$1996,2,0),"")</f>
        <v/>
      </c>
      <c r="N4547" s="2" t="str">
        <f>IFERROR(VLOOKUP(ROWS($N$2:N4547),$D$2:$E$1996,2,0),"")</f>
        <v/>
      </c>
    </row>
    <row r="4548" spans="2:14">
      <c r="B4548" s="32">
        <f>IF(ISNUMBER(SEARCH('Φόρμα Εισαγωγής'!$B$2,C4548)),MAX($B$1:B4547)+1,0)</f>
        <v>0</v>
      </c>
      <c r="D4548" s="33">
        <f>IF(ISNUMBER(SEARCH('Φόρμα Εισαγωγής'!$C$2,E4548)),MAX($D$1:D4547)+1,0)</f>
        <v>0</v>
      </c>
      <c r="H4548" s="6">
        <f t="shared" si="224"/>
        <v>0</v>
      </c>
      <c r="I4548" s="6">
        <f t="shared" si="225"/>
        <v>0</v>
      </c>
      <c r="J4548" s="6">
        <f t="shared" si="226"/>
        <v>0</v>
      </c>
      <c r="L4548" s="4" t="str">
        <f>IFERROR(VLOOKUP(ROWS($L$2:L4548),$B$2:$C$1996,2,0),"")</f>
        <v/>
      </c>
      <c r="N4548" s="2" t="str">
        <f>IFERROR(VLOOKUP(ROWS($N$2:N4548),$D$2:$E$1996,2,0),"")</f>
        <v/>
      </c>
    </row>
    <row r="4549" spans="2:14">
      <c r="B4549" s="32">
        <f>IF(ISNUMBER(SEARCH('Φόρμα Εισαγωγής'!$B$2,C4549)),MAX($B$1:B4548)+1,0)</f>
        <v>0</v>
      </c>
      <c r="D4549" s="33">
        <f>IF(ISNUMBER(SEARCH('Φόρμα Εισαγωγής'!$C$2,E4549)),MAX($D$1:D4548)+1,0)</f>
        <v>0</v>
      </c>
      <c r="H4549" s="6">
        <f t="shared" si="224"/>
        <v>0</v>
      </c>
      <c r="I4549" s="6">
        <f t="shared" si="225"/>
        <v>0</v>
      </c>
      <c r="J4549" s="6">
        <f t="shared" si="226"/>
        <v>0</v>
      </c>
      <c r="L4549" s="4" t="str">
        <f>IFERROR(VLOOKUP(ROWS($L$2:L4549),$B$2:$C$1996,2,0),"")</f>
        <v/>
      </c>
      <c r="N4549" s="2" t="str">
        <f>IFERROR(VLOOKUP(ROWS($N$2:N4549),$D$2:$E$1996,2,0),"")</f>
        <v/>
      </c>
    </row>
    <row r="4550" spans="2:14">
      <c r="B4550" s="32">
        <f>IF(ISNUMBER(SEARCH('Φόρμα Εισαγωγής'!$B$2,C4550)),MAX($B$1:B4549)+1,0)</f>
        <v>0</v>
      </c>
      <c r="D4550" s="33">
        <f>IF(ISNUMBER(SEARCH('Φόρμα Εισαγωγής'!$C$2,E4550)),MAX($D$1:D4549)+1,0)</f>
        <v>0</v>
      </c>
      <c r="H4550" s="6">
        <f t="shared" si="224"/>
        <v>0</v>
      </c>
      <c r="I4550" s="6">
        <f t="shared" si="225"/>
        <v>0</v>
      </c>
      <c r="J4550" s="6">
        <f t="shared" si="226"/>
        <v>0</v>
      </c>
      <c r="L4550" s="4" t="str">
        <f>IFERROR(VLOOKUP(ROWS($L$2:L4550),$B$2:$C$1996,2,0),"")</f>
        <v/>
      </c>
      <c r="N4550" s="2" t="str">
        <f>IFERROR(VLOOKUP(ROWS($N$2:N4550),$D$2:$E$1996,2,0),"")</f>
        <v/>
      </c>
    </row>
    <row r="4551" spans="2:14">
      <c r="B4551" s="32">
        <f>IF(ISNUMBER(SEARCH('Φόρμα Εισαγωγής'!$B$2,C4551)),MAX($B$1:B4550)+1,0)</f>
        <v>0</v>
      </c>
      <c r="D4551" s="33">
        <f>IF(ISNUMBER(SEARCH('Φόρμα Εισαγωγής'!$C$2,E4551)),MAX($D$1:D4550)+1,0)</f>
        <v>0</v>
      </c>
      <c r="H4551" s="6">
        <f t="shared" si="224"/>
        <v>0</v>
      </c>
      <c r="I4551" s="6">
        <f t="shared" si="225"/>
        <v>0</v>
      </c>
      <c r="J4551" s="6">
        <f t="shared" si="226"/>
        <v>0</v>
      </c>
      <c r="L4551" s="4" t="str">
        <f>IFERROR(VLOOKUP(ROWS($L$2:L4551),$B$2:$C$1996,2,0),"")</f>
        <v/>
      </c>
      <c r="N4551" s="2" t="str">
        <f>IFERROR(VLOOKUP(ROWS($N$2:N4551),$D$2:$E$1996,2,0),"")</f>
        <v/>
      </c>
    </row>
    <row r="4552" spans="2:14">
      <c r="B4552" s="32">
        <f>IF(ISNUMBER(SEARCH('Φόρμα Εισαγωγής'!$B$2,C4552)),MAX($B$1:B4551)+1,0)</f>
        <v>0</v>
      </c>
      <c r="D4552" s="33">
        <f>IF(ISNUMBER(SEARCH('Φόρμα Εισαγωγής'!$C$2,E4552)),MAX($D$1:D4551)+1,0)</f>
        <v>0</v>
      </c>
      <c r="H4552" s="6">
        <f t="shared" si="224"/>
        <v>0</v>
      </c>
      <c r="I4552" s="6">
        <f t="shared" si="225"/>
        <v>0</v>
      </c>
      <c r="J4552" s="6">
        <f t="shared" si="226"/>
        <v>0</v>
      </c>
      <c r="L4552" s="4" t="str">
        <f>IFERROR(VLOOKUP(ROWS($L$2:L4552),$B$2:$C$1996,2,0),"")</f>
        <v/>
      </c>
      <c r="N4552" s="2" t="str">
        <f>IFERROR(VLOOKUP(ROWS($N$2:N4552),$D$2:$E$1996,2,0),"")</f>
        <v/>
      </c>
    </row>
    <row r="4553" spans="2:14">
      <c r="B4553" s="32">
        <f>IF(ISNUMBER(SEARCH('Φόρμα Εισαγωγής'!$B$2,C4553)),MAX($B$1:B4552)+1,0)</f>
        <v>0</v>
      </c>
      <c r="D4553" s="33">
        <f>IF(ISNUMBER(SEARCH('Φόρμα Εισαγωγής'!$C$2,E4553)),MAX($D$1:D4552)+1,0)</f>
        <v>0</v>
      </c>
      <c r="H4553" s="6">
        <f t="shared" si="224"/>
        <v>0</v>
      </c>
      <c r="I4553" s="6">
        <f t="shared" si="225"/>
        <v>0</v>
      </c>
      <c r="J4553" s="6">
        <f t="shared" si="226"/>
        <v>0</v>
      </c>
      <c r="L4553" s="4" t="str">
        <f>IFERROR(VLOOKUP(ROWS($L$2:L4553),$B$2:$C$1996,2,0),"")</f>
        <v/>
      </c>
      <c r="N4553" s="2" t="str">
        <f>IFERROR(VLOOKUP(ROWS($N$2:N4553),$D$2:$E$1996,2,0),"")</f>
        <v/>
      </c>
    </row>
    <row r="4554" spans="2:14">
      <c r="B4554" s="32">
        <f>IF(ISNUMBER(SEARCH('Φόρμα Εισαγωγής'!$B$2,C4554)),MAX($B$1:B4553)+1,0)</f>
        <v>0</v>
      </c>
      <c r="D4554" s="33">
        <f>IF(ISNUMBER(SEARCH('Φόρμα Εισαγωγής'!$C$2,E4554)),MAX($D$1:D4553)+1,0)</f>
        <v>0</v>
      </c>
      <c r="H4554" s="6">
        <f t="shared" si="224"/>
        <v>0</v>
      </c>
      <c r="I4554" s="6">
        <f t="shared" si="225"/>
        <v>0</v>
      </c>
      <c r="J4554" s="6">
        <f t="shared" si="226"/>
        <v>0</v>
      </c>
      <c r="L4554" s="4" t="str">
        <f>IFERROR(VLOOKUP(ROWS($L$2:L4554),$B$2:$C$1996,2,0),"")</f>
        <v/>
      </c>
      <c r="N4554" s="2" t="str">
        <f>IFERROR(VLOOKUP(ROWS($N$2:N4554),$D$2:$E$1996,2,0),"")</f>
        <v/>
      </c>
    </row>
    <row r="4555" spans="2:14">
      <c r="B4555" s="32">
        <f>IF(ISNUMBER(SEARCH('Φόρμα Εισαγωγής'!$B$2,C4555)),MAX($B$1:B4554)+1,0)</f>
        <v>0</v>
      </c>
      <c r="D4555" s="33">
        <f>IF(ISNUMBER(SEARCH('Φόρμα Εισαγωγής'!$C$2,E4555)),MAX($D$1:D4554)+1,0)</f>
        <v>0</v>
      </c>
      <c r="H4555" s="6">
        <f t="shared" si="224"/>
        <v>0</v>
      </c>
      <c r="I4555" s="6">
        <f t="shared" si="225"/>
        <v>0</v>
      </c>
      <c r="J4555" s="6">
        <f t="shared" si="226"/>
        <v>0</v>
      </c>
      <c r="L4555" s="4" t="str">
        <f>IFERROR(VLOOKUP(ROWS($L$2:L4555),$B$2:$C$1996,2,0),"")</f>
        <v/>
      </c>
      <c r="N4555" s="2" t="str">
        <f>IFERROR(VLOOKUP(ROWS($N$2:N4555),$D$2:$E$1996,2,0),"")</f>
        <v/>
      </c>
    </row>
    <row r="4556" spans="2:14">
      <c r="B4556" s="32">
        <f>IF(ISNUMBER(SEARCH('Φόρμα Εισαγωγής'!$B$2,C4556)),MAX($B$1:B4555)+1,0)</f>
        <v>0</v>
      </c>
      <c r="D4556" s="33">
        <f>IF(ISNUMBER(SEARCH('Φόρμα Εισαγωγής'!$C$2,E4556)),MAX($D$1:D4555)+1,0)</f>
        <v>0</v>
      </c>
      <c r="H4556" s="6">
        <f t="shared" si="224"/>
        <v>0</v>
      </c>
      <c r="I4556" s="6">
        <f t="shared" si="225"/>
        <v>0</v>
      </c>
      <c r="J4556" s="6">
        <f t="shared" si="226"/>
        <v>0</v>
      </c>
      <c r="L4556" s="4" t="str">
        <f>IFERROR(VLOOKUP(ROWS($L$2:L4556),$B$2:$C$1996,2,0),"")</f>
        <v/>
      </c>
      <c r="N4556" s="2" t="str">
        <f>IFERROR(VLOOKUP(ROWS($N$2:N4556),$D$2:$E$1996,2,0),"")</f>
        <v/>
      </c>
    </row>
    <row r="4557" spans="2:14">
      <c r="B4557" s="32">
        <f>IF(ISNUMBER(SEARCH('Φόρμα Εισαγωγής'!$B$2,C4557)),MAX($B$1:B4556)+1,0)</f>
        <v>0</v>
      </c>
      <c r="D4557" s="33">
        <f>IF(ISNUMBER(SEARCH('Φόρμα Εισαγωγής'!$C$2,E4557)),MAX($D$1:D4556)+1,0)</f>
        <v>0</v>
      </c>
      <c r="H4557" s="6">
        <f t="shared" si="224"/>
        <v>0</v>
      </c>
      <c r="I4557" s="6">
        <f t="shared" si="225"/>
        <v>0</v>
      </c>
      <c r="J4557" s="6">
        <f t="shared" si="226"/>
        <v>0</v>
      </c>
      <c r="L4557" s="4" t="str">
        <f>IFERROR(VLOOKUP(ROWS($L$2:L4557),$B$2:$C$1996,2,0),"")</f>
        <v/>
      </c>
      <c r="N4557" s="2" t="str">
        <f>IFERROR(VLOOKUP(ROWS($N$2:N4557),$D$2:$E$1996,2,0),"")</f>
        <v/>
      </c>
    </row>
    <row r="4558" spans="2:14">
      <c r="B4558" s="32">
        <f>IF(ISNUMBER(SEARCH('Φόρμα Εισαγωγής'!$B$2,C4558)),MAX($B$1:B4557)+1,0)</f>
        <v>0</v>
      </c>
      <c r="D4558" s="33">
        <f>IF(ISNUMBER(SEARCH('Φόρμα Εισαγωγής'!$C$2,E4558)),MAX($D$1:D4557)+1,0)</f>
        <v>0</v>
      </c>
      <c r="H4558" s="6">
        <f t="shared" si="224"/>
        <v>0</v>
      </c>
      <c r="I4558" s="6">
        <f t="shared" si="225"/>
        <v>0</v>
      </c>
      <c r="J4558" s="6">
        <f t="shared" si="226"/>
        <v>0</v>
      </c>
      <c r="L4558" s="4" t="str">
        <f>IFERROR(VLOOKUP(ROWS($L$2:L4558),$B$2:$C$1996,2,0),"")</f>
        <v/>
      </c>
      <c r="N4558" s="2" t="str">
        <f>IFERROR(VLOOKUP(ROWS($N$2:N4558),$D$2:$E$1996,2,0),"")</f>
        <v/>
      </c>
    </row>
    <row r="4559" spans="2:14">
      <c r="B4559" s="32">
        <f>IF(ISNUMBER(SEARCH('Φόρμα Εισαγωγής'!$B$2,C4559)),MAX($B$1:B4558)+1,0)</f>
        <v>0</v>
      </c>
      <c r="D4559" s="33">
        <f>IF(ISNUMBER(SEARCH('Φόρμα Εισαγωγής'!$C$2,E4559)),MAX($D$1:D4558)+1,0)</f>
        <v>0</v>
      </c>
      <c r="H4559" s="6">
        <f t="shared" si="224"/>
        <v>0</v>
      </c>
      <c r="I4559" s="6">
        <f t="shared" si="225"/>
        <v>0</v>
      </c>
      <c r="J4559" s="6">
        <f t="shared" si="226"/>
        <v>0</v>
      </c>
      <c r="L4559" s="4" t="str">
        <f>IFERROR(VLOOKUP(ROWS($L$2:L4559),$B$2:$C$1996,2,0),"")</f>
        <v/>
      </c>
      <c r="N4559" s="2" t="str">
        <f>IFERROR(VLOOKUP(ROWS($N$2:N4559),$D$2:$E$1996,2,0),"")</f>
        <v/>
      </c>
    </row>
    <row r="4560" spans="2:14">
      <c r="B4560" s="32">
        <f>IF(ISNUMBER(SEARCH('Φόρμα Εισαγωγής'!$B$2,C4560)),MAX($B$1:B4559)+1,0)</f>
        <v>0</v>
      </c>
      <c r="D4560" s="33">
        <f>IF(ISNUMBER(SEARCH('Φόρμα Εισαγωγής'!$C$2,E4560)),MAX($D$1:D4559)+1,0)</f>
        <v>0</v>
      </c>
      <c r="H4560" s="6">
        <f t="shared" si="224"/>
        <v>0</v>
      </c>
      <c r="I4560" s="6">
        <f t="shared" si="225"/>
        <v>0</v>
      </c>
      <c r="J4560" s="6">
        <f t="shared" si="226"/>
        <v>0</v>
      </c>
      <c r="L4560" s="4" t="str">
        <f>IFERROR(VLOOKUP(ROWS($L$2:L4560),$B$2:$C$1996,2,0),"")</f>
        <v/>
      </c>
      <c r="N4560" s="2" t="str">
        <f>IFERROR(VLOOKUP(ROWS($N$2:N4560),$D$2:$E$1996,2,0),"")</f>
        <v/>
      </c>
    </row>
    <row r="4561" spans="2:14">
      <c r="B4561" s="32">
        <f>IF(ISNUMBER(SEARCH('Φόρμα Εισαγωγής'!$B$2,C4561)),MAX($B$1:B4560)+1,0)</f>
        <v>0</v>
      </c>
      <c r="D4561" s="33">
        <f>IF(ISNUMBER(SEARCH('Φόρμα Εισαγωγής'!$C$2,E4561)),MAX($D$1:D4560)+1,0)</f>
        <v>0</v>
      </c>
      <c r="H4561" s="6">
        <f t="shared" si="224"/>
        <v>0</v>
      </c>
      <c r="I4561" s="6">
        <f t="shared" si="225"/>
        <v>0</v>
      </c>
      <c r="J4561" s="6">
        <f t="shared" si="226"/>
        <v>0</v>
      </c>
      <c r="L4561" s="4" t="str">
        <f>IFERROR(VLOOKUP(ROWS($L$2:L4561),$B$2:$C$1996,2,0),"")</f>
        <v/>
      </c>
      <c r="N4561" s="2" t="str">
        <f>IFERROR(VLOOKUP(ROWS($N$2:N4561),$D$2:$E$1996,2,0),"")</f>
        <v/>
      </c>
    </row>
    <row r="4562" spans="2:14">
      <c r="B4562" s="32">
        <f>IF(ISNUMBER(SEARCH('Φόρμα Εισαγωγής'!$B$2,C4562)),MAX($B$1:B4561)+1,0)</f>
        <v>0</v>
      </c>
      <c r="D4562" s="33">
        <f>IF(ISNUMBER(SEARCH('Φόρμα Εισαγωγής'!$C$2,E4562)),MAX($D$1:D4561)+1,0)</f>
        <v>0</v>
      </c>
      <c r="H4562" s="6">
        <f t="shared" si="224"/>
        <v>0</v>
      </c>
      <c r="I4562" s="6">
        <f t="shared" si="225"/>
        <v>0</v>
      </c>
      <c r="J4562" s="6">
        <f t="shared" si="226"/>
        <v>0</v>
      </c>
      <c r="L4562" s="4" t="str">
        <f>IFERROR(VLOOKUP(ROWS($L$2:L4562),$B$2:$C$1996,2,0),"")</f>
        <v/>
      </c>
      <c r="N4562" s="2" t="str">
        <f>IFERROR(VLOOKUP(ROWS($N$2:N4562),$D$2:$E$1996,2,0),"")</f>
        <v/>
      </c>
    </row>
    <row r="4563" spans="2:14">
      <c r="B4563" s="32">
        <f>IF(ISNUMBER(SEARCH('Φόρμα Εισαγωγής'!$B$2,C4563)),MAX($B$1:B4562)+1,0)</f>
        <v>0</v>
      </c>
      <c r="D4563" s="33">
        <f>IF(ISNUMBER(SEARCH('Φόρμα Εισαγωγής'!$C$2,E4563)),MAX($D$1:D4562)+1,0)</f>
        <v>0</v>
      </c>
      <c r="H4563" s="6">
        <f t="shared" si="224"/>
        <v>0</v>
      </c>
      <c r="I4563" s="6">
        <f t="shared" si="225"/>
        <v>0</v>
      </c>
      <c r="J4563" s="6">
        <f t="shared" si="226"/>
        <v>0</v>
      </c>
      <c r="L4563" s="4" t="str">
        <f>IFERROR(VLOOKUP(ROWS($L$2:L4563),$B$2:$C$1996,2,0),"")</f>
        <v/>
      </c>
      <c r="N4563" s="2" t="str">
        <f>IFERROR(VLOOKUP(ROWS($N$2:N4563),$D$2:$E$1996,2,0),"")</f>
        <v/>
      </c>
    </row>
    <row r="4564" spans="2:14">
      <c r="B4564" s="32">
        <f>IF(ISNUMBER(SEARCH('Φόρμα Εισαγωγής'!$B$2,C4564)),MAX($B$1:B4563)+1,0)</f>
        <v>0</v>
      </c>
      <c r="D4564" s="33">
        <f>IF(ISNUMBER(SEARCH('Φόρμα Εισαγωγής'!$C$2,E4564)),MAX($D$1:D4563)+1,0)</f>
        <v>0</v>
      </c>
      <c r="H4564" s="6">
        <f t="shared" si="224"/>
        <v>0</v>
      </c>
      <c r="I4564" s="6">
        <f t="shared" si="225"/>
        <v>0</v>
      </c>
      <c r="J4564" s="6">
        <f t="shared" si="226"/>
        <v>0</v>
      </c>
      <c r="L4564" s="4" t="str">
        <f>IFERROR(VLOOKUP(ROWS($L$2:L4564),$B$2:$C$1996,2,0),"")</f>
        <v/>
      </c>
      <c r="N4564" s="2" t="str">
        <f>IFERROR(VLOOKUP(ROWS($N$2:N4564),$D$2:$E$1996,2,0),"")</f>
        <v/>
      </c>
    </row>
    <row r="4565" spans="2:14">
      <c r="B4565" s="32">
        <f>IF(ISNUMBER(SEARCH('Φόρμα Εισαγωγής'!$B$2,C4565)),MAX($B$1:B4564)+1,0)</f>
        <v>0</v>
      </c>
      <c r="D4565" s="33">
        <f>IF(ISNUMBER(SEARCH('Φόρμα Εισαγωγής'!$C$2,E4565)),MAX($D$1:D4564)+1,0)</f>
        <v>0</v>
      </c>
      <c r="H4565" s="6">
        <f t="shared" si="224"/>
        <v>0</v>
      </c>
      <c r="I4565" s="6">
        <f t="shared" si="225"/>
        <v>0</v>
      </c>
      <c r="J4565" s="6">
        <f t="shared" si="226"/>
        <v>0</v>
      </c>
      <c r="L4565" s="4" t="str">
        <f>IFERROR(VLOOKUP(ROWS($L$2:L4565),$B$2:$C$1996,2,0),"")</f>
        <v/>
      </c>
      <c r="N4565" s="2" t="str">
        <f>IFERROR(VLOOKUP(ROWS($N$2:N4565),$D$2:$E$1996,2,0),"")</f>
        <v/>
      </c>
    </row>
    <row r="4566" spans="2:14">
      <c r="B4566" s="32">
        <f>IF(ISNUMBER(SEARCH('Φόρμα Εισαγωγής'!$B$2,C4566)),MAX($B$1:B4565)+1,0)</f>
        <v>0</v>
      </c>
      <c r="D4566" s="33">
        <f>IF(ISNUMBER(SEARCH('Φόρμα Εισαγωγής'!$C$2,E4566)),MAX($D$1:D4565)+1,0)</f>
        <v>0</v>
      </c>
      <c r="H4566" s="6">
        <f t="shared" si="224"/>
        <v>0</v>
      </c>
      <c r="I4566" s="6">
        <f t="shared" si="225"/>
        <v>0</v>
      </c>
      <c r="J4566" s="6">
        <f t="shared" si="226"/>
        <v>0</v>
      </c>
      <c r="L4566" s="4" t="str">
        <f>IFERROR(VLOOKUP(ROWS($L$2:L4566),$B$2:$C$1996,2,0),"")</f>
        <v/>
      </c>
      <c r="N4566" s="2" t="str">
        <f>IFERROR(VLOOKUP(ROWS($N$2:N4566),$D$2:$E$1996,2,0),"")</f>
        <v/>
      </c>
    </row>
    <row r="4567" spans="2:14">
      <c r="B4567" s="32">
        <f>IF(ISNUMBER(SEARCH('Φόρμα Εισαγωγής'!$B$2,C4567)),MAX($B$1:B4566)+1,0)</f>
        <v>0</v>
      </c>
      <c r="D4567" s="33">
        <f>IF(ISNUMBER(SEARCH('Φόρμα Εισαγωγής'!$C$2,E4567)),MAX($D$1:D4566)+1,0)</f>
        <v>0</v>
      </c>
      <c r="H4567" s="6">
        <f t="shared" si="224"/>
        <v>0</v>
      </c>
      <c r="I4567" s="6">
        <f t="shared" si="225"/>
        <v>0</v>
      </c>
      <c r="J4567" s="6">
        <f t="shared" si="226"/>
        <v>0</v>
      </c>
      <c r="L4567" s="4" t="str">
        <f>IFERROR(VLOOKUP(ROWS($L$2:L4567),$B$2:$C$1996,2,0),"")</f>
        <v/>
      </c>
      <c r="N4567" s="2" t="str">
        <f>IFERROR(VLOOKUP(ROWS($N$2:N4567),$D$2:$E$1996,2,0),"")</f>
        <v/>
      </c>
    </row>
    <row r="4568" spans="2:14">
      <c r="B4568" s="32">
        <f>IF(ISNUMBER(SEARCH('Φόρμα Εισαγωγής'!$B$2,C4568)),MAX($B$1:B4567)+1,0)</f>
        <v>0</v>
      </c>
      <c r="D4568" s="33">
        <f>IF(ISNUMBER(SEARCH('Φόρμα Εισαγωγής'!$C$2,E4568)),MAX($D$1:D4567)+1,0)</f>
        <v>0</v>
      </c>
      <c r="H4568" s="6">
        <f t="shared" si="224"/>
        <v>0</v>
      </c>
      <c r="I4568" s="6">
        <f t="shared" si="225"/>
        <v>0</v>
      </c>
      <c r="J4568" s="6">
        <f t="shared" si="226"/>
        <v>0</v>
      </c>
      <c r="L4568" s="4" t="str">
        <f>IFERROR(VLOOKUP(ROWS($L$2:L4568),$B$2:$C$1996,2,0),"")</f>
        <v/>
      </c>
      <c r="N4568" s="2" t="str">
        <f>IFERROR(VLOOKUP(ROWS($N$2:N4568),$D$2:$E$1996,2,0),"")</f>
        <v/>
      </c>
    </row>
    <row r="4569" spans="2:14">
      <c r="B4569" s="32">
        <f>IF(ISNUMBER(SEARCH('Φόρμα Εισαγωγής'!$B$2,C4569)),MAX($B$1:B4568)+1,0)</f>
        <v>0</v>
      </c>
      <c r="D4569" s="33">
        <f>IF(ISNUMBER(SEARCH('Φόρμα Εισαγωγής'!$C$2,E4569)),MAX($D$1:D4568)+1,0)</f>
        <v>0</v>
      </c>
      <c r="H4569" s="6">
        <f t="shared" si="224"/>
        <v>0</v>
      </c>
      <c r="I4569" s="6">
        <f t="shared" si="225"/>
        <v>0</v>
      </c>
      <c r="J4569" s="6">
        <f t="shared" si="226"/>
        <v>0</v>
      </c>
      <c r="L4569" s="4" t="str">
        <f>IFERROR(VLOOKUP(ROWS($L$2:L4569),$B$2:$C$1996,2,0),"")</f>
        <v/>
      </c>
      <c r="N4569" s="2" t="str">
        <f>IFERROR(VLOOKUP(ROWS($N$2:N4569),$D$2:$E$1996,2,0),"")</f>
        <v/>
      </c>
    </row>
    <row r="4570" spans="2:14">
      <c r="B4570" s="32">
        <f>IF(ISNUMBER(SEARCH('Φόρμα Εισαγωγής'!$B$2,C4570)),MAX($B$1:B4569)+1,0)</f>
        <v>0</v>
      </c>
      <c r="D4570" s="33">
        <f>IF(ISNUMBER(SEARCH('Φόρμα Εισαγωγής'!$C$2,E4570)),MAX($D$1:D4569)+1,0)</f>
        <v>0</v>
      </c>
      <c r="H4570" s="6">
        <f t="shared" si="224"/>
        <v>0</v>
      </c>
      <c r="I4570" s="6">
        <f t="shared" si="225"/>
        <v>0</v>
      </c>
      <c r="J4570" s="6">
        <f t="shared" si="226"/>
        <v>0</v>
      </c>
      <c r="L4570" s="4" t="str">
        <f>IFERROR(VLOOKUP(ROWS($L$2:L4570),$B$2:$C$1996,2,0),"")</f>
        <v/>
      </c>
      <c r="N4570" s="2" t="str">
        <f>IFERROR(VLOOKUP(ROWS($N$2:N4570),$D$2:$E$1996,2,0),"")</f>
        <v/>
      </c>
    </row>
    <row r="4571" spans="2:14">
      <c r="B4571" s="32">
        <f>IF(ISNUMBER(SEARCH('Φόρμα Εισαγωγής'!$B$2,C4571)),MAX($B$1:B4570)+1,0)</f>
        <v>0</v>
      </c>
      <c r="D4571" s="33">
        <f>IF(ISNUMBER(SEARCH('Φόρμα Εισαγωγής'!$C$2,E4571)),MAX($D$1:D4570)+1,0)</f>
        <v>0</v>
      </c>
      <c r="H4571" s="6">
        <f t="shared" si="224"/>
        <v>0</v>
      </c>
      <c r="I4571" s="6">
        <f t="shared" si="225"/>
        <v>0</v>
      </c>
      <c r="J4571" s="6">
        <f t="shared" si="226"/>
        <v>0</v>
      </c>
      <c r="L4571" s="4" t="str">
        <f>IFERROR(VLOOKUP(ROWS($L$2:L4571),$B$2:$C$1996,2,0),"")</f>
        <v/>
      </c>
      <c r="N4571" s="2" t="str">
        <f>IFERROR(VLOOKUP(ROWS($N$2:N4571),$D$2:$E$1996,2,0),"")</f>
        <v/>
      </c>
    </row>
    <row r="4572" spans="2:14">
      <c r="B4572" s="32">
        <f>IF(ISNUMBER(SEARCH('Φόρμα Εισαγωγής'!$B$2,C4572)),MAX($B$1:B4571)+1,0)</f>
        <v>0</v>
      </c>
      <c r="D4572" s="33">
        <f>IF(ISNUMBER(SEARCH('Φόρμα Εισαγωγής'!$C$2,E4572)),MAX($D$1:D4571)+1,0)</f>
        <v>0</v>
      </c>
      <c r="H4572" s="6">
        <f t="shared" si="224"/>
        <v>0</v>
      </c>
      <c r="I4572" s="6">
        <f t="shared" si="225"/>
        <v>0</v>
      </c>
      <c r="J4572" s="6">
        <f t="shared" si="226"/>
        <v>0</v>
      </c>
      <c r="L4572" s="4" t="str">
        <f>IFERROR(VLOOKUP(ROWS($L$2:L4572),$B$2:$C$1996,2,0),"")</f>
        <v/>
      </c>
      <c r="N4572" s="2" t="str">
        <f>IFERROR(VLOOKUP(ROWS($N$2:N4572),$D$2:$E$1996,2,0),"")</f>
        <v/>
      </c>
    </row>
    <row r="4573" spans="2:14">
      <c r="B4573" s="32">
        <f>IF(ISNUMBER(SEARCH('Φόρμα Εισαγωγής'!$B$2,C4573)),MAX($B$1:B4572)+1,0)</f>
        <v>0</v>
      </c>
      <c r="D4573" s="33">
        <f>IF(ISNUMBER(SEARCH('Φόρμα Εισαγωγής'!$C$2,E4573)),MAX($D$1:D4572)+1,0)</f>
        <v>0</v>
      </c>
      <c r="H4573" s="6">
        <f t="shared" si="224"/>
        <v>0</v>
      </c>
      <c r="I4573" s="6">
        <f t="shared" si="225"/>
        <v>0</v>
      </c>
      <c r="J4573" s="6">
        <f t="shared" si="226"/>
        <v>0</v>
      </c>
      <c r="L4573" s="4" t="str">
        <f>IFERROR(VLOOKUP(ROWS($L$2:L4573),$B$2:$C$1996,2,0),"")</f>
        <v/>
      </c>
      <c r="N4573" s="2" t="str">
        <f>IFERROR(VLOOKUP(ROWS($N$2:N4573),$D$2:$E$1996,2,0),"")</f>
        <v/>
      </c>
    </row>
    <row r="4574" spans="2:14">
      <c r="B4574" s="32">
        <f>IF(ISNUMBER(SEARCH('Φόρμα Εισαγωγής'!$B$2,C4574)),MAX($B$1:B4573)+1,0)</f>
        <v>0</v>
      </c>
      <c r="D4574" s="33">
        <f>IF(ISNUMBER(SEARCH('Φόρμα Εισαγωγής'!$C$2,E4574)),MAX($D$1:D4573)+1,0)</f>
        <v>0</v>
      </c>
      <c r="H4574" s="6">
        <f t="shared" si="224"/>
        <v>0</v>
      </c>
      <c r="I4574" s="6">
        <f t="shared" si="225"/>
        <v>0</v>
      </c>
      <c r="J4574" s="6">
        <f t="shared" si="226"/>
        <v>0</v>
      </c>
      <c r="L4574" s="4" t="str">
        <f>IFERROR(VLOOKUP(ROWS($L$2:L4574),$B$2:$C$1996,2,0),"")</f>
        <v/>
      </c>
      <c r="N4574" s="2" t="str">
        <f>IFERROR(VLOOKUP(ROWS($N$2:N4574),$D$2:$E$1996,2,0),"")</f>
        <v/>
      </c>
    </row>
    <row r="4575" spans="2:14">
      <c r="B4575" s="32">
        <f>IF(ISNUMBER(SEARCH('Φόρμα Εισαγωγής'!$B$2,C4575)),MAX($B$1:B4574)+1,0)</f>
        <v>0</v>
      </c>
      <c r="D4575" s="33">
        <f>IF(ISNUMBER(SEARCH('Φόρμα Εισαγωγής'!$C$2,E4575)),MAX($D$1:D4574)+1,0)</f>
        <v>0</v>
      </c>
      <c r="H4575" s="6">
        <f t="shared" si="224"/>
        <v>0</v>
      </c>
      <c r="I4575" s="6">
        <f t="shared" si="225"/>
        <v>0</v>
      </c>
      <c r="J4575" s="6">
        <f t="shared" si="226"/>
        <v>0</v>
      </c>
      <c r="L4575" s="4" t="str">
        <f>IFERROR(VLOOKUP(ROWS($L$2:L4575),$B$2:$C$1996,2,0),"")</f>
        <v/>
      </c>
      <c r="N4575" s="2" t="str">
        <f>IFERROR(VLOOKUP(ROWS($N$2:N4575),$D$2:$E$1996,2,0),"")</f>
        <v/>
      </c>
    </row>
    <row r="4576" spans="2:14">
      <c r="B4576" s="32">
        <f>IF(ISNUMBER(SEARCH('Φόρμα Εισαγωγής'!$B$2,C4576)),MAX($B$1:B4575)+1,0)</f>
        <v>0</v>
      </c>
      <c r="D4576" s="33">
        <f>IF(ISNUMBER(SEARCH('Φόρμα Εισαγωγής'!$C$2,E4576)),MAX($D$1:D4575)+1,0)</f>
        <v>0</v>
      </c>
      <c r="H4576" s="6">
        <f t="shared" si="224"/>
        <v>0</v>
      </c>
      <c r="I4576" s="6">
        <f t="shared" si="225"/>
        <v>0</v>
      </c>
      <c r="J4576" s="6">
        <f t="shared" si="226"/>
        <v>0</v>
      </c>
      <c r="L4576" s="4" t="str">
        <f>IFERROR(VLOOKUP(ROWS($L$2:L4576),$B$2:$C$1996,2,0),"")</f>
        <v/>
      </c>
      <c r="N4576" s="2" t="str">
        <f>IFERROR(VLOOKUP(ROWS($N$2:N4576),$D$2:$E$1996,2,0),"")</f>
        <v/>
      </c>
    </row>
    <row r="4577" spans="2:14">
      <c r="B4577" s="32">
        <f>IF(ISNUMBER(SEARCH('Φόρμα Εισαγωγής'!$B$2,C4577)),MAX($B$1:B4576)+1,0)</f>
        <v>0</v>
      </c>
      <c r="D4577" s="33">
        <f>IF(ISNUMBER(SEARCH('Φόρμα Εισαγωγής'!$C$2,E4577)),MAX($D$1:D4576)+1,0)</f>
        <v>0</v>
      </c>
      <c r="H4577" s="6">
        <f t="shared" si="224"/>
        <v>0</v>
      </c>
      <c r="I4577" s="6">
        <f t="shared" si="225"/>
        <v>0</v>
      </c>
      <c r="J4577" s="6">
        <f t="shared" si="226"/>
        <v>0</v>
      </c>
      <c r="L4577" s="4" t="str">
        <f>IFERROR(VLOOKUP(ROWS($L$2:L4577),$B$2:$C$1996,2,0),"")</f>
        <v/>
      </c>
      <c r="N4577" s="2" t="str">
        <f>IFERROR(VLOOKUP(ROWS($N$2:N4577),$D$2:$E$1996,2,0),"")</f>
        <v/>
      </c>
    </row>
    <row r="4578" spans="2:14">
      <c r="B4578" s="32">
        <f>IF(ISNUMBER(SEARCH('Φόρμα Εισαγωγής'!$B$2,C4578)),MAX($B$1:B4577)+1,0)</f>
        <v>0</v>
      </c>
      <c r="D4578" s="33">
        <f>IF(ISNUMBER(SEARCH('Φόρμα Εισαγωγής'!$C$2,E4578)),MAX($D$1:D4577)+1,0)</f>
        <v>0</v>
      </c>
      <c r="H4578" s="6">
        <f t="shared" si="224"/>
        <v>0</v>
      </c>
      <c r="I4578" s="6">
        <f t="shared" si="225"/>
        <v>0</v>
      </c>
      <c r="J4578" s="6">
        <f t="shared" si="226"/>
        <v>0</v>
      </c>
      <c r="L4578" s="4" t="str">
        <f>IFERROR(VLOOKUP(ROWS($L$2:L4578),$B$2:$C$1996,2,0),"")</f>
        <v/>
      </c>
      <c r="N4578" s="2" t="str">
        <f>IFERROR(VLOOKUP(ROWS($N$2:N4578),$D$2:$E$1996,2,0),"")</f>
        <v/>
      </c>
    </row>
    <row r="4579" spans="2:14">
      <c r="B4579" s="32">
        <f>IF(ISNUMBER(SEARCH('Φόρμα Εισαγωγής'!$B$2,C4579)),MAX($B$1:B4578)+1,0)</f>
        <v>0</v>
      </c>
      <c r="D4579" s="33">
        <f>IF(ISNUMBER(SEARCH('Φόρμα Εισαγωγής'!$C$2,E4579)),MAX($D$1:D4578)+1,0)</f>
        <v>0</v>
      </c>
      <c r="H4579" s="6">
        <f t="shared" si="224"/>
        <v>0</v>
      </c>
      <c r="I4579" s="6">
        <f t="shared" si="225"/>
        <v>0</v>
      </c>
      <c r="J4579" s="6">
        <f t="shared" si="226"/>
        <v>0</v>
      </c>
      <c r="L4579" s="4" t="str">
        <f>IFERROR(VLOOKUP(ROWS($L$2:L4579),$B$2:$C$1996,2,0),"")</f>
        <v/>
      </c>
      <c r="N4579" s="2" t="str">
        <f>IFERROR(VLOOKUP(ROWS($N$2:N4579),$D$2:$E$1996,2,0),"")</f>
        <v/>
      </c>
    </row>
    <row r="4580" spans="2:14">
      <c r="B4580" s="32">
        <f>IF(ISNUMBER(SEARCH('Φόρμα Εισαγωγής'!$B$2,C4580)),MAX($B$1:B4579)+1,0)</f>
        <v>0</v>
      </c>
      <c r="D4580" s="33">
        <f>IF(ISNUMBER(SEARCH('Φόρμα Εισαγωγής'!$C$2,E4580)),MAX($D$1:D4579)+1,0)</f>
        <v>0</v>
      </c>
      <c r="H4580" s="6">
        <f t="shared" si="224"/>
        <v>0</v>
      </c>
      <c r="I4580" s="6">
        <f t="shared" si="225"/>
        <v>0</v>
      </c>
      <c r="J4580" s="6">
        <f t="shared" si="226"/>
        <v>0</v>
      </c>
      <c r="L4580" s="4" t="str">
        <f>IFERROR(VLOOKUP(ROWS($L$2:L4580),$B$2:$C$1996,2,0),"")</f>
        <v/>
      </c>
      <c r="N4580" s="2" t="str">
        <f>IFERROR(VLOOKUP(ROWS($N$2:N4580),$D$2:$E$1996,2,0),"")</f>
        <v/>
      </c>
    </row>
    <row r="4581" spans="2:14">
      <c r="B4581" s="32">
        <f>IF(ISNUMBER(SEARCH('Φόρμα Εισαγωγής'!$B$2,C4581)),MAX($B$1:B4580)+1,0)</f>
        <v>0</v>
      </c>
      <c r="D4581" s="33">
        <f>IF(ISNUMBER(SEARCH('Φόρμα Εισαγωγής'!$C$2,E4581)),MAX($D$1:D4580)+1,0)</f>
        <v>0</v>
      </c>
      <c r="H4581" s="6">
        <f t="shared" si="224"/>
        <v>0</v>
      </c>
      <c r="I4581" s="6">
        <f t="shared" si="225"/>
        <v>0</v>
      </c>
      <c r="J4581" s="6">
        <f t="shared" si="226"/>
        <v>0</v>
      </c>
      <c r="L4581" s="4" t="str">
        <f>IFERROR(VLOOKUP(ROWS($L$2:L4581),$B$2:$C$1996,2,0),"")</f>
        <v/>
      </c>
      <c r="N4581" s="2" t="str">
        <f>IFERROR(VLOOKUP(ROWS($N$2:N4581),$D$2:$E$1996,2,0),"")</f>
        <v/>
      </c>
    </row>
    <row r="4582" spans="2:14">
      <c r="B4582" s="32">
        <f>IF(ISNUMBER(SEARCH('Φόρμα Εισαγωγής'!$B$2,C4582)),MAX($B$1:B4581)+1,0)</f>
        <v>0</v>
      </c>
      <c r="D4582" s="33">
        <f>IF(ISNUMBER(SEARCH('Φόρμα Εισαγωγής'!$C$2,E4582)),MAX($D$1:D4581)+1,0)</f>
        <v>0</v>
      </c>
      <c r="H4582" s="6">
        <f t="shared" si="224"/>
        <v>0</v>
      </c>
      <c r="I4582" s="6">
        <f t="shared" si="225"/>
        <v>0</v>
      </c>
      <c r="J4582" s="6">
        <f t="shared" si="226"/>
        <v>0</v>
      </c>
      <c r="L4582" s="4" t="str">
        <f>IFERROR(VLOOKUP(ROWS($L$2:L4582),$B$2:$C$1996,2,0),"")</f>
        <v/>
      </c>
      <c r="N4582" s="2" t="str">
        <f>IFERROR(VLOOKUP(ROWS($N$2:N4582),$D$2:$E$1996,2,0),"")</f>
        <v/>
      </c>
    </row>
    <row r="4583" spans="2:14">
      <c r="B4583" s="32">
        <f>IF(ISNUMBER(SEARCH('Φόρμα Εισαγωγής'!$B$2,C4583)),MAX($B$1:B4582)+1,0)</f>
        <v>0</v>
      </c>
      <c r="D4583" s="33">
        <f>IF(ISNUMBER(SEARCH('Φόρμα Εισαγωγής'!$C$2,E4583)),MAX($D$1:D4582)+1,0)</f>
        <v>0</v>
      </c>
      <c r="H4583" s="6">
        <f t="shared" si="224"/>
        <v>0</v>
      </c>
      <c r="I4583" s="6">
        <f t="shared" si="225"/>
        <v>0</v>
      </c>
      <c r="J4583" s="6">
        <f t="shared" si="226"/>
        <v>0</v>
      </c>
      <c r="L4583" s="4" t="str">
        <f>IFERROR(VLOOKUP(ROWS($L$2:L4583),$B$2:$C$1996,2,0),"")</f>
        <v/>
      </c>
      <c r="N4583" s="2" t="str">
        <f>IFERROR(VLOOKUP(ROWS($N$2:N4583),$D$2:$E$1996,2,0),"")</f>
        <v/>
      </c>
    </row>
    <row r="4584" spans="2:14">
      <c r="B4584" s="32">
        <f>IF(ISNUMBER(SEARCH('Φόρμα Εισαγωγής'!$B$2,C4584)),MAX($B$1:B4583)+1,0)</f>
        <v>0</v>
      </c>
      <c r="D4584" s="33">
        <f>IF(ISNUMBER(SEARCH('Φόρμα Εισαγωγής'!$C$2,E4584)),MAX($D$1:D4583)+1,0)</f>
        <v>0</v>
      </c>
      <c r="H4584" s="6">
        <f t="shared" si="224"/>
        <v>0</v>
      </c>
      <c r="I4584" s="6">
        <f t="shared" si="225"/>
        <v>0</v>
      </c>
      <c r="J4584" s="6">
        <f t="shared" si="226"/>
        <v>0</v>
      </c>
      <c r="L4584" s="4" t="str">
        <f>IFERROR(VLOOKUP(ROWS($L$2:L4584),$B$2:$C$1996,2,0),"")</f>
        <v/>
      </c>
      <c r="N4584" s="2" t="str">
        <f>IFERROR(VLOOKUP(ROWS($N$2:N4584),$D$2:$E$1996,2,0),"")</f>
        <v/>
      </c>
    </row>
    <row r="4585" spans="2:14">
      <c r="B4585" s="32">
        <f>IF(ISNUMBER(SEARCH('Φόρμα Εισαγωγής'!$B$2,C4585)),MAX($B$1:B4584)+1,0)</f>
        <v>0</v>
      </c>
      <c r="D4585" s="33">
        <f>IF(ISNUMBER(SEARCH('Φόρμα Εισαγωγής'!$C$2,E4585)),MAX($D$1:D4584)+1,0)</f>
        <v>0</v>
      </c>
      <c r="H4585" s="6">
        <f t="shared" si="224"/>
        <v>0</v>
      </c>
      <c r="I4585" s="6">
        <f t="shared" si="225"/>
        <v>0</v>
      </c>
      <c r="J4585" s="6">
        <f t="shared" si="226"/>
        <v>0</v>
      </c>
      <c r="L4585" s="4" t="str">
        <f>IFERROR(VLOOKUP(ROWS($L$2:L4585),$B$2:$C$1996,2,0),"")</f>
        <v/>
      </c>
      <c r="N4585" s="2" t="str">
        <f>IFERROR(VLOOKUP(ROWS($N$2:N4585),$D$2:$E$1996,2,0),"")</f>
        <v/>
      </c>
    </row>
    <row r="4586" spans="2:14">
      <c r="B4586" s="32">
        <f>IF(ISNUMBER(SEARCH('Φόρμα Εισαγωγής'!$B$2,C4586)),MAX($B$1:B4585)+1,0)</f>
        <v>0</v>
      </c>
      <c r="D4586" s="33">
        <f>IF(ISNUMBER(SEARCH('Φόρμα Εισαγωγής'!$C$2,E4586)),MAX($D$1:D4585)+1,0)</f>
        <v>0</v>
      </c>
      <c r="H4586" s="6">
        <f t="shared" si="224"/>
        <v>0</v>
      </c>
      <c r="I4586" s="6">
        <f t="shared" si="225"/>
        <v>0</v>
      </c>
      <c r="J4586" s="6">
        <f t="shared" si="226"/>
        <v>0</v>
      </c>
      <c r="L4586" s="4" t="str">
        <f>IFERROR(VLOOKUP(ROWS($L$2:L4586),$B$2:$C$1996,2,0),"")</f>
        <v/>
      </c>
      <c r="N4586" s="2" t="str">
        <f>IFERROR(VLOOKUP(ROWS($N$2:N4586),$D$2:$E$1996,2,0),"")</f>
        <v/>
      </c>
    </row>
    <row r="4587" spans="2:14">
      <c r="B4587" s="32">
        <f>IF(ISNUMBER(SEARCH('Φόρμα Εισαγωγής'!$B$2,C4587)),MAX($B$1:B4586)+1,0)</f>
        <v>0</v>
      </c>
      <c r="D4587" s="33">
        <f>IF(ISNUMBER(SEARCH('Φόρμα Εισαγωγής'!$C$2,E4587)),MAX($D$1:D4586)+1,0)</f>
        <v>0</v>
      </c>
      <c r="H4587" s="6">
        <f t="shared" si="224"/>
        <v>0</v>
      </c>
      <c r="I4587" s="6">
        <f t="shared" si="225"/>
        <v>0</v>
      </c>
      <c r="J4587" s="6">
        <f t="shared" si="226"/>
        <v>0</v>
      </c>
      <c r="L4587" s="4" t="str">
        <f>IFERROR(VLOOKUP(ROWS($L$2:L4587),$B$2:$C$1996,2,0),"")</f>
        <v/>
      </c>
      <c r="N4587" s="2" t="str">
        <f>IFERROR(VLOOKUP(ROWS($N$2:N4587),$D$2:$E$1996,2,0),"")</f>
        <v/>
      </c>
    </row>
    <row r="4588" spans="2:14">
      <c r="B4588" s="32">
        <f>IF(ISNUMBER(SEARCH('Φόρμα Εισαγωγής'!$B$2,C4588)),MAX($B$1:B4587)+1,0)</f>
        <v>0</v>
      </c>
      <c r="D4588" s="33">
        <f>IF(ISNUMBER(SEARCH('Φόρμα Εισαγωγής'!$C$2,E4588)),MAX($D$1:D4587)+1,0)</f>
        <v>0</v>
      </c>
      <c r="H4588" s="6">
        <f t="shared" si="224"/>
        <v>0</v>
      </c>
      <c r="I4588" s="6">
        <f t="shared" si="225"/>
        <v>0</v>
      </c>
      <c r="J4588" s="6">
        <f t="shared" si="226"/>
        <v>0</v>
      </c>
      <c r="L4588" s="4" t="str">
        <f>IFERROR(VLOOKUP(ROWS($L$2:L4588),$B$2:$C$1996,2,0),"")</f>
        <v/>
      </c>
      <c r="N4588" s="2" t="str">
        <f>IFERROR(VLOOKUP(ROWS($N$2:N4588),$D$2:$E$1996,2,0),"")</f>
        <v/>
      </c>
    </row>
    <row r="4589" spans="2:14">
      <c r="B4589" s="32">
        <f>IF(ISNUMBER(SEARCH('Φόρμα Εισαγωγής'!$B$2,C4589)),MAX($B$1:B4588)+1,0)</f>
        <v>0</v>
      </c>
      <c r="D4589" s="33">
        <f>IF(ISNUMBER(SEARCH('Φόρμα Εισαγωγής'!$C$2,E4589)),MAX($D$1:D4588)+1,0)</f>
        <v>0</v>
      </c>
      <c r="H4589" s="6">
        <f t="shared" si="224"/>
        <v>0</v>
      </c>
      <c r="I4589" s="6">
        <f t="shared" si="225"/>
        <v>0</v>
      </c>
      <c r="J4589" s="6">
        <f t="shared" si="226"/>
        <v>0</v>
      </c>
      <c r="L4589" s="4" t="str">
        <f>IFERROR(VLOOKUP(ROWS($L$2:L4589),$B$2:$C$1996,2,0),"")</f>
        <v/>
      </c>
      <c r="N4589" s="2" t="str">
        <f>IFERROR(VLOOKUP(ROWS($N$2:N4589),$D$2:$E$1996,2,0),"")</f>
        <v/>
      </c>
    </row>
    <row r="4590" spans="2:14">
      <c r="B4590" s="32">
        <f>IF(ISNUMBER(SEARCH('Φόρμα Εισαγωγής'!$B$2,C4590)),MAX($B$1:B4589)+1,0)</f>
        <v>0</v>
      </c>
      <c r="D4590" s="33">
        <f>IF(ISNUMBER(SEARCH('Φόρμα Εισαγωγής'!$C$2,E4590)),MAX($D$1:D4589)+1,0)</f>
        <v>0</v>
      </c>
      <c r="H4590" s="6">
        <f t="shared" si="224"/>
        <v>0</v>
      </c>
      <c r="I4590" s="6">
        <f t="shared" si="225"/>
        <v>0</v>
      </c>
      <c r="J4590" s="6">
        <f t="shared" si="226"/>
        <v>0</v>
      </c>
      <c r="L4590" s="4" t="str">
        <f>IFERROR(VLOOKUP(ROWS($L$2:L4590),$B$2:$C$1996,2,0),"")</f>
        <v/>
      </c>
      <c r="N4590" s="2" t="str">
        <f>IFERROR(VLOOKUP(ROWS($N$2:N4590),$D$2:$E$1996,2,0),"")</f>
        <v/>
      </c>
    </row>
    <row r="4591" spans="2:14">
      <c r="B4591" s="32">
        <f>IF(ISNUMBER(SEARCH('Φόρμα Εισαγωγής'!$B$2,C4591)),MAX($B$1:B4590)+1,0)</f>
        <v>0</v>
      </c>
      <c r="D4591" s="33">
        <f>IF(ISNUMBER(SEARCH('Φόρμα Εισαγωγής'!$C$2,E4591)),MAX($D$1:D4590)+1,0)</f>
        <v>0</v>
      </c>
      <c r="H4591" s="6">
        <f t="shared" si="224"/>
        <v>0</v>
      </c>
      <c r="I4591" s="6">
        <f t="shared" si="225"/>
        <v>0</v>
      </c>
      <c r="J4591" s="6">
        <f t="shared" si="226"/>
        <v>0</v>
      </c>
      <c r="L4591" s="4" t="str">
        <f>IFERROR(VLOOKUP(ROWS($L$2:L4591),$B$2:$C$1996,2,0),"")</f>
        <v/>
      </c>
      <c r="N4591" s="2" t="str">
        <f>IFERROR(VLOOKUP(ROWS($N$2:N4591),$D$2:$E$1996,2,0),"")</f>
        <v/>
      </c>
    </row>
    <row r="4592" spans="2:14">
      <c r="B4592" s="32">
        <f>IF(ISNUMBER(SEARCH('Φόρμα Εισαγωγής'!$B$2,C4592)),MAX($B$1:B4591)+1,0)</f>
        <v>0</v>
      </c>
      <c r="D4592" s="33">
        <f>IF(ISNUMBER(SEARCH('Φόρμα Εισαγωγής'!$C$2,E4592)),MAX($D$1:D4591)+1,0)</f>
        <v>0</v>
      </c>
      <c r="H4592" s="6">
        <f t="shared" si="224"/>
        <v>0</v>
      </c>
      <c r="I4592" s="6">
        <f t="shared" si="225"/>
        <v>0</v>
      </c>
      <c r="J4592" s="6">
        <f t="shared" si="226"/>
        <v>0</v>
      </c>
      <c r="L4592" s="4" t="str">
        <f>IFERROR(VLOOKUP(ROWS($L$2:L4592),$B$2:$C$1996,2,0),"")</f>
        <v/>
      </c>
      <c r="N4592" s="2" t="str">
        <f>IFERROR(VLOOKUP(ROWS($N$2:N4592),$D$2:$E$1996,2,0),"")</f>
        <v/>
      </c>
    </row>
    <row r="4593" spans="2:14">
      <c r="B4593" s="32">
        <f>IF(ISNUMBER(SEARCH('Φόρμα Εισαγωγής'!$B$2,C4593)),MAX($B$1:B4592)+1,0)</f>
        <v>0</v>
      </c>
      <c r="D4593" s="33">
        <f>IF(ISNUMBER(SEARCH('Φόρμα Εισαγωγής'!$C$2,E4593)),MAX($D$1:D4592)+1,0)</f>
        <v>0</v>
      </c>
      <c r="H4593" s="6">
        <f t="shared" si="224"/>
        <v>0</v>
      </c>
      <c r="I4593" s="6">
        <f t="shared" si="225"/>
        <v>0</v>
      </c>
      <c r="J4593" s="6">
        <f t="shared" si="226"/>
        <v>0</v>
      </c>
      <c r="L4593" s="4" t="str">
        <f>IFERROR(VLOOKUP(ROWS($L$2:L4593),$B$2:$C$1996,2,0),"")</f>
        <v/>
      </c>
      <c r="N4593" s="2" t="str">
        <f>IFERROR(VLOOKUP(ROWS($N$2:N4593),$D$2:$E$1996,2,0),"")</f>
        <v/>
      </c>
    </row>
    <row r="4594" spans="2:14">
      <c r="B4594" s="32">
        <f>IF(ISNUMBER(SEARCH('Φόρμα Εισαγωγής'!$B$2,C4594)),MAX($B$1:B4593)+1,0)</f>
        <v>0</v>
      </c>
      <c r="D4594" s="33">
        <f>IF(ISNUMBER(SEARCH('Φόρμα Εισαγωγής'!$C$2,E4594)),MAX($D$1:D4593)+1,0)</f>
        <v>0</v>
      </c>
      <c r="H4594" s="6">
        <f t="shared" si="224"/>
        <v>0</v>
      </c>
      <c r="I4594" s="6">
        <f t="shared" si="225"/>
        <v>0</v>
      </c>
      <c r="J4594" s="6">
        <f t="shared" si="226"/>
        <v>0</v>
      </c>
      <c r="L4594" s="4" t="str">
        <f>IFERROR(VLOOKUP(ROWS($L$2:L4594),$B$2:$C$1996,2,0),"")</f>
        <v/>
      </c>
      <c r="N4594" s="2" t="str">
        <f>IFERROR(VLOOKUP(ROWS($N$2:N4594),$D$2:$E$1996,2,0),"")</f>
        <v/>
      </c>
    </row>
    <row r="4595" spans="2:14">
      <c r="B4595" s="32">
        <f>IF(ISNUMBER(SEARCH('Φόρμα Εισαγωγής'!$B$2,C4595)),MAX($B$1:B4594)+1,0)</f>
        <v>0</v>
      </c>
      <c r="D4595" s="33">
        <f>IF(ISNUMBER(SEARCH('Φόρμα Εισαγωγής'!$C$2,E4595)),MAX($D$1:D4594)+1,0)</f>
        <v>0</v>
      </c>
      <c r="H4595" s="6">
        <f t="shared" si="224"/>
        <v>0</v>
      </c>
      <c r="I4595" s="6">
        <f t="shared" si="225"/>
        <v>0</v>
      </c>
      <c r="J4595" s="6">
        <f t="shared" si="226"/>
        <v>0</v>
      </c>
      <c r="L4595" s="4" t="str">
        <f>IFERROR(VLOOKUP(ROWS($L$2:L4595),$B$2:$C$1996,2,0),"")</f>
        <v/>
      </c>
      <c r="N4595" s="2" t="str">
        <f>IFERROR(VLOOKUP(ROWS($N$2:N4595),$D$2:$E$1996,2,0),"")</f>
        <v/>
      </c>
    </row>
    <row r="4596" spans="2:14">
      <c r="B4596" s="32">
        <f>IF(ISNUMBER(SEARCH('Φόρμα Εισαγωγής'!$B$2,C4596)),MAX($B$1:B4595)+1,0)</f>
        <v>0</v>
      </c>
      <c r="D4596" s="33">
        <f>IF(ISNUMBER(SEARCH('Φόρμα Εισαγωγής'!$C$2,E4596)),MAX($D$1:D4595)+1,0)</f>
        <v>0</v>
      </c>
      <c r="H4596" s="6">
        <f t="shared" si="224"/>
        <v>0</v>
      </c>
      <c r="I4596" s="6">
        <f t="shared" si="225"/>
        <v>0</v>
      </c>
      <c r="J4596" s="6">
        <f t="shared" si="226"/>
        <v>0</v>
      </c>
      <c r="L4596" s="4" t="str">
        <f>IFERROR(VLOOKUP(ROWS($L$2:L4596),$B$2:$C$1996,2,0),"")</f>
        <v/>
      </c>
      <c r="N4596" s="2" t="str">
        <f>IFERROR(VLOOKUP(ROWS($N$2:N4596),$D$2:$E$1996,2,0),"")</f>
        <v/>
      </c>
    </row>
    <row r="4597" spans="2:14">
      <c r="B4597" s="32">
        <f>IF(ISNUMBER(SEARCH('Φόρμα Εισαγωγής'!$B$2,C4597)),MAX($B$1:B4596)+1,0)</f>
        <v>0</v>
      </c>
      <c r="D4597" s="33">
        <f>IF(ISNUMBER(SEARCH('Φόρμα Εισαγωγής'!$C$2,E4597)),MAX($D$1:D4596)+1,0)</f>
        <v>0</v>
      </c>
      <c r="H4597" s="6">
        <f t="shared" si="224"/>
        <v>0</v>
      </c>
      <c r="I4597" s="6">
        <f t="shared" si="225"/>
        <v>0</v>
      </c>
      <c r="J4597" s="6">
        <f t="shared" si="226"/>
        <v>0</v>
      </c>
      <c r="L4597" s="4" t="str">
        <f>IFERROR(VLOOKUP(ROWS($L$2:L4597),$B$2:$C$1996,2,0),"")</f>
        <v/>
      </c>
      <c r="N4597" s="2" t="str">
        <f>IFERROR(VLOOKUP(ROWS($N$2:N4597),$D$2:$E$1996,2,0),"")</f>
        <v/>
      </c>
    </row>
    <row r="4598" spans="2:14">
      <c r="B4598" s="32">
        <f>IF(ISNUMBER(SEARCH('Φόρμα Εισαγωγής'!$B$2,C4598)),MAX($B$1:B4597)+1,0)</f>
        <v>0</v>
      </c>
      <c r="D4598" s="33">
        <f>IF(ISNUMBER(SEARCH('Φόρμα Εισαγωγής'!$C$2,E4598)),MAX($D$1:D4597)+1,0)</f>
        <v>0</v>
      </c>
      <c r="H4598" s="6">
        <f t="shared" si="224"/>
        <v>0</v>
      </c>
      <c r="I4598" s="6">
        <f t="shared" si="225"/>
        <v>0</v>
      </c>
      <c r="J4598" s="6">
        <f t="shared" si="226"/>
        <v>0</v>
      </c>
      <c r="L4598" s="4" t="str">
        <f>IFERROR(VLOOKUP(ROWS($L$2:L4598),$B$2:$C$1996,2,0),"")</f>
        <v/>
      </c>
      <c r="N4598" s="2" t="str">
        <f>IFERROR(VLOOKUP(ROWS($N$2:N4598),$D$2:$E$1996,2,0),"")</f>
        <v/>
      </c>
    </row>
    <row r="4599" spans="2:14">
      <c r="B4599" s="32">
        <f>IF(ISNUMBER(SEARCH('Φόρμα Εισαγωγής'!$B$2,C4599)),MAX($B$1:B4598)+1,0)</f>
        <v>0</v>
      </c>
      <c r="D4599" s="33">
        <f>IF(ISNUMBER(SEARCH('Φόρμα Εισαγωγής'!$C$2,E4599)),MAX($D$1:D4598)+1,0)</f>
        <v>0</v>
      </c>
      <c r="H4599" s="6">
        <f t="shared" si="224"/>
        <v>0</v>
      </c>
      <c r="I4599" s="6">
        <f t="shared" si="225"/>
        <v>0</v>
      </c>
      <c r="J4599" s="6">
        <f t="shared" si="226"/>
        <v>0</v>
      </c>
      <c r="L4599" s="4" t="str">
        <f>IFERROR(VLOOKUP(ROWS($L$2:L4599),$B$2:$C$1996,2,0),"")</f>
        <v/>
      </c>
      <c r="N4599" s="2" t="str">
        <f>IFERROR(VLOOKUP(ROWS($N$2:N4599),$D$2:$E$1996,2,0),"")</f>
        <v/>
      </c>
    </row>
    <row r="4600" spans="2:14">
      <c r="B4600" s="32">
        <f>IF(ISNUMBER(SEARCH('Φόρμα Εισαγωγής'!$B$2,C4600)),MAX($B$1:B4599)+1,0)</f>
        <v>0</v>
      </c>
      <c r="D4600" s="33">
        <f>IF(ISNUMBER(SEARCH('Φόρμα Εισαγωγής'!$C$2,E4600)),MAX($D$1:D4599)+1,0)</f>
        <v>0</v>
      </c>
      <c r="H4600" s="6">
        <f t="shared" si="224"/>
        <v>0</v>
      </c>
      <c r="I4600" s="6">
        <f t="shared" si="225"/>
        <v>0</v>
      </c>
      <c r="J4600" s="6">
        <f t="shared" si="226"/>
        <v>0</v>
      </c>
      <c r="L4600" s="4" t="str">
        <f>IFERROR(VLOOKUP(ROWS($L$2:L4600),$B$2:$C$1996,2,0),"")</f>
        <v/>
      </c>
      <c r="N4600" s="2" t="str">
        <f>IFERROR(VLOOKUP(ROWS($N$2:N4600),$D$2:$E$1996,2,0),"")</f>
        <v/>
      </c>
    </row>
    <row r="4601" spans="2:14">
      <c r="B4601" s="32">
        <f>IF(ISNUMBER(SEARCH('Φόρμα Εισαγωγής'!$B$2,C4601)),MAX($B$1:B4600)+1,0)</f>
        <v>0</v>
      </c>
      <c r="D4601" s="33">
        <f>IF(ISNUMBER(SEARCH('Φόρμα Εισαγωγής'!$C$2,E4601)),MAX($D$1:D4600)+1,0)</f>
        <v>0</v>
      </c>
      <c r="H4601" s="6">
        <f t="shared" si="224"/>
        <v>0</v>
      </c>
      <c r="I4601" s="6">
        <f t="shared" si="225"/>
        <v>0</v>
      </c>
      <c r="J4601" s="6">
        <f t="shared" si="226"/>
        <v>0</v>
      </c>
      <c r="L4601" s="4" t="str">
        <f>IFERROR(VLOOKUP(ROWS($L$2:L4601),$B$2:$C$1996,2,0),"")</f>
        <v/>
      </c>
      <c r="N4601" s="2" t="str">
        <f>IFERROR(VLOOKUP(ROWS($N$2:N4601),$D$2:$E$1996,2,0),"")</f>
        <v/>
      </c>
    </row>
    <row r="4602" spans="2:14">
      <c r="B4602" s="32">
        <f>IF(ISNUMBER(SEARCH('Φόρμα Εισαγωγής'!$B$2,C4602)),MAX($B$1:B4601)+1,0)</f>
        <v>0</v>
      </c>
      <c r="D4602" s="33">
        <f>IF(ISNUMBER(SEARCH('Φόρμα Εισαγωγής'!$C$2,E4602)),MAX($D$1:D4601)+1,0)</f>
        <v>0</v>
      </c>
      <c r="H4602" s="6">
        <f t="shared" si="224"/>
        <v>0</v>
      </c>
      <c r="I4602" s="6">
        <f t="shared" si="225"/>
        <v>0</v>
      </c>
      <c r="J4602" s="6">
        <f t="shared" si="226"/>
        <v>0</v>
      </c>
      <c r="L4602" s="4" t="str">
        <f>IFERROR(VLOOKUP(ROWS($L$2:L4602),$B$2:$C$1996,2,0),"")</f>
        <v/>
      </c>
      <c r="N4602" s="2" t="str">
        <f>IFERROR(VLOOKUP(ROWS($N$2:N4602),$D$2:$E$1996,2,0),"")</f>
        <v/>
      </c>
    </row>
    <row r="4603" spans="2:14">
      <c r="B4603" s="32">
        <f>IF(ISNUMBER(SEARCH('Φόρμα Εισαγωγής'!$B$2,C4603)),MAX($B$1:B4602)+1,0)</f>
        <v>0</v>
      </c>
      <c r="D4603" s="33">
        <f>IF(ISNUMBER(SEARCH('Φόρμα Εισαγωγής'!$C$2,E4603)),MAX($D$1:D4602)+1,0)</f>
        <v>0</v>
      </c>
      <c r="H4603" s="6">
        <f t="shared" si="224"/>
        <v>0</v>
      </c>
      <c r="I4603" s="6">
        <f t="shared" si="225"/>
        <v>0</v>
      </c>
      <c r="J4603" s="6">
        <f t="shared" si="226"/>
        <v>0</v>
      </c>
      <c r="L4603" s="4" t="str">
        <f>IFERROR(VLOOKUP(ROWS($L$2:L4603),$B$2:$C$1996,2,0),"")</f>
        <v/>
      </c>
      <c r="N4603" s="2" t="str">
        <f>IFERROR(VLOOKUP(ROWS($N$2:N4603),$D$2:$E$1996,2,0),"")</f>
        <v/>
      </c>
    </row>
    <row r="4604" spans="2:14">
      <c r="B4604" s="32">
        <f>IF(ISNUMBER(SEARCH('Φόρμα Εισαγωγής'!$B$2,C4604)),MAX($B$1:B4603)+1,0)</f>
        <v>0</v>
      </c>
      <c r="D4604" s="33">
        <f>IF(ISNUMBER(SEARCH('Φόρμα Εισαγωγής'!$C$2,E4604)),MAX($D$1:D4603)+1,0)</f>
        <v>0</v>
      </c>
      <c r="H4604" s="6">
        <f t="shared" si="224"/>
        <v>0</v>
      </c>
      <c r="I4604" s="6">
        <f t="shared" si="225"/>
        <v>0</v>
      </c>
      <c r="J4604" s="6">
        <f t="shared" si="226"/>
        <v>0</v>
      </c>
      <c r="L4604" s="4" t="str">
        <f>IFERROR(VLOOKUP(ROWS($L$2:L4604),$B$2:$C$1996,2,0),"")</f>
        <v/>
      </c>
      <c r="N4604" s="2" t="str">
        <f>IFERROR(VLOOKUP(ROWS($N$2:N4604),$D$2:$E$1996,2,0),"")</f>
        <v/>
      </c>
    </row>
    <row r="4605" spans="2:14">
      <c r="B4605" s="32">
        <f>IF(ISNUMBER(SEARCH('Φόρμα Εισαγωγής'!$B$2,C4605)),MAX($B$1:B4604)+1,0)</f>
        <v>0</v>
      </c>
      <c r="D4605" s="33">
        <f>IF(ISNUMBER(SEARCH('Φόρμα Εισαγωγής'!$C$2,E4605)),MAX($D$1:D4604)+1,0)</f>
        <v>0</v>
      </c>
      <c r="H4605" s="6">
        <f t="shared" si="224"/>
        <v>0</v>
      </c>
      <c r="I4605" s="6">
        <f t="shared" si="225"/>
        <v>0</v>
      </c>
      <c r="J4605" s="6">
        <f t="shared" si="226"/>
        <v>0</v>
      </c>
      <c r="L4605" s="4" t="str">
        <f>IFERROR(VLOOKUP(ROWS($L$2:L4605),$B$2:$C$1996,2,0),"")</f>
        <v/>
      </c>
      <c r="N4605" s="2" t="str">
        <f>IFERROR(VLOOKUP(ROWS($N$2:N4605),$D$2:$E$1996,2,0),"")</f>
        <v/>
      </c>
    </row>
    <row r="4606" spans="2:14">
      <c r="B4606" s="32">
        <f>IF(ISNUMBER(SEARCH('Φόρμα Εισαγωγής'!$B$2,C4606)),MAX($B$1:B4605)+1,0)</f>
        <v>0</v>
      </c>
      <c r="D4606" s="33">
        <f>IF(ISNUMBER(SEARCH('Φόρμα Εισαγωγής'!$C$2,E4606)),MAX($D$1:D4605)+1,0)</f>
        <v>0</v>
      </c>
      <c r="H4606" s="6">
        <f t="shared" si="224"/>
        <v>0</v>
      </c>
      <c r="I4606" s="6">
        <f t="shared" si="225"/>
        <v>0</v>
      </c>
      <c r="J4606" s="6">
        <f t="shared" si="226"/>
        <v>0</v>
      </c>
      <c r="L4606" s="4" t="str">
        <f>IFERROR(VLOOKUP(ROWS($L$2:L4606),$B$2:$C$1996,2,0),"")</f>
        <v/>
      </c>
      <c r="N4606" s="2" t="str">
        <f>IFERROR(VLOOKUP(ROWS($N$2:N4606),$D$2:$E$1996,2,0),"")</f>
        <v/>
      </c>
    </row>
    <row r="4607" spans="2:14">
      <c r="B4607" s="32">
        <f>IF(ISNUMBER(SEARCH('Φόρμα Εισαγωγής'!$B$2,C4607)),MAX($B$1:B4606)+1,0)</f>
        <v>0</v>
      </c>
      <c r="D4607" s="33">
        <f>IF(ISNUMBER(SEARCH('Φόρμα Εισαγωγής'!$C$2,E4607)),MAX($D$1:D4606)+1,0)</f>
        <v>0</v>
      </c>
      <c r="H4607" s="6">
        <f t="shared" si="224"/>
        <v>0</v>
      </c>
      <c r="I4607" s="6">
        <f t="shared" si="225"/>
        <v>0</v>
      </c>
      <c r="J4607" s="6">
        <f t="shared" si="226"/>
        <v>0</v>
      </c>
      <c r="L4607" s="4" t="str">
        <f>IFERROR(VLOOKUP(ROWS($L$2:L4607),$B$2:$C$1996,2,0),"")</f>
        <v/>
      </c>
      <c r="N4607" s="2" t="str">
        <f>IFERROR(VLOOKUP(ROWS($N$2:N4607),$D$2:$E$1996,2,0),"")</f>
        <v/>
      </c>
    </row>
    <row r="4608" spans="2:14">
      <c r="B4608" s="32">
        <f>IF(ISNUMBER(SEARCH('Φόρμα Εισαγωγής'!$B$2,C4608)),MAX($B$1:B4607)+1,0)</f>
        <v>0</v>
      </c>
      <c r="D4608" s="33">
        <f>IF(ISNUMBER(SEARCH('Φόρμα Εισαγωγής'!$C$2,E4608)),MAX($D$1:D4607)+1,0)</f>
        <v>0</v>
      </c>
      <c r="H4608" s="6">
        <f t="shared" ref="H4608:H4671" si="227">G4608+(G4608*0.24)</f>
        <v>0</v>
      </c>
      <c r="I4608" s="6">
        <f t="shared" ref="I4608:I4671" si="228">F4608*A4608</f>
        <v>0</v>
      </c>
      <c r="J4608" s="6">
        <f t="shared" ref="J4608:J4671" si="229">H4608*A4608</f>
        <v>0</v>
      </c>
      <c r="L4608" s="4" t="str">
        <f>IFERROR(VLOOKUP(ROWS($L$2:L4608),$B$2:$C$1996,2,0),"")</f>
        <v/>
      </c>
      <c r="N4608" s="2" t="str">
        <f>IFERROR(VLOOKUP(ROWS($N$2:N4608),$D$2:$E$1996,2,0),"")</f>
        <v/>
      </c>
    </row>
    <row r="4609" spans="2:14">
      <c r="B4609" s="32">
        <f>IF(ISNUMBER(SEARCH('Φόρμα Εισαγωγής'!$B$2,C4609)),MAX($B$1:B4608)+1,0)</f>
        <v>0</v>
      </c>
      <c r="D4609" s="33">
        <f>IF(ISNUMBER(SEARCH('Φόρμα Εισαγωγής'!$C$2,E4609)),MAX($D$1:D4608)+1,0)</f>
        <v>0</v>
      </c>
      <c r="H4609" s="6">
        <f t="shared" si="227"/>
        <v>0</v>
      </c>
      <c r="I4609" s="6">
        <f t="shared" si="228"/>
        <v>0</v>
      </c>
      <c r="J4609" s="6">
        <f t="shared" si="229"/>
        <v>0</v>
      </c>
      <c r="L4609" s="4" t="str">
        <f>IFERROR(VLOOKUP(ROWS($L$2:L4609),$B$2:$C$1996,2,0),"")</f>
        <v/>
      </c>
      <c r="N4609" s="2" t="str">
        <f>IFERROR(VLOOKUP(ROWS($N$2:N4609),$D$2:$E$1996,2,0),"")</f>
        <v/>
      </c>
    </row>
    <row r="4610" spans="2:14">
      <c r="B4610" s="32">
        <f>IF(ISNUMBER(SEARCH('Φόρμα Εισαγωγής'!$B$2,C4610)),MAX($B$1:B4609)+1,0)</f>
        <v>0</v>
      </c>
      <c r="D4610" s="33">
        <f>IF(ISNUMBER(SEARCH('Φόρμα Εισαγωγής'!$C$2,E4610)),MAX($D$1:D4609)+1,0)</f>
        <v>0</v>
      </c>
      <c r="H4610" s="6">
        <f t="shared" si="227"/>
        <v>0</v>
      </c>
      <c r="I4610" s="6">
        <f t="shared" si="228"/>
        <v>0</v>
      </c>
      <c r="J4610" s="6">
        <f t="shared" si="229"/>
        <v>0</v>
      </c>
      <c r="L4610" s="4" t="str">
        <f>IFERROR(VLOOKUP(ROWS($L$2:L4610),$B$2:$C$1996,2,0),"")</f>
        <v/>
      </c>
      <c r="N4610" s="2" t="str">
        <f>IFERROR(VLOOKUP(ROWS($N$2:N4610),$D$2:$E$1996,2,0),"")</f>
        <v/>
      </c>
    </row>
    <row r="4611" spans="2:14">
      <c r="B4611" s="32">
        <f>IF(ISNUMBER(SEARCH('Φόρμα Εισαγωγής'!$B$2,C4611)),MAX($B$1:B4610)+1,0)</f>
        <v>0</v>
      </c>
      <c r="D4611" s="33">
        <f>IF(ISNUMBER(SEARCH('Φόρμα Εισαγωγής'!$C$2,E4611)),MAX($D$1:D4610)+1,0)</f>
        <v>0</v>
      </c>
      <c r="H4611" s="6">
        <f t="shared" si="227"/>
        <v>0</v>
      </c>
      <c r="I4611" s="6">
        <f t="shared" si="228"/>
        <v>0</v>
      </c>
      <c r="J4611" s="6">
        <f t="shared" si="229"/>
        <v>0</v>
      </c>
      <c r="L4611" s="4" t="str">
        <f>IFERROR(VLOOKUP(ROWS($L$2:L4611),$B$2:$C$1996,2,0),"")</f>
        <v/>
      </c>
      <c r="N4611" s="2" t="str">
        <f>IFERROR(VLOOKUP(ROWS($N$2:N4611),$D$2:$E$1996,2,0),"")</f>
        <v/>
      </c>
    </row>
    <row r="4612" spans="2:14">
      <c r="B4612" s="32">
        <f>IF(ISNUMBER(SEARCH('Φόρμα Εισαγωγής'!$B$2,C4612)),MAX($B$1:B4611)+1,0)</f>
        <v>0</v>
      </c>
      <c r="D4612" s="33">
        <f>IF(ISNUMBER(SEARCH('Φόρμα Εισαγωγής'!$C$2,E4612)),MAX($D$1:D4611)+1,0)</f>
        <v>0</v>
      </c>
      <c r="H4612" s="6">
        <f t="shared" si="227"/>
        <v>0</v>
      </c>
      <c r="I4612" s="6">
        <f t="shared" si="228"/>
        <v>0</v>
      </c>
      <c r="J4612" s="6">
        <f t="shared" si="229"/>
        <v>0</v>
      </c>
      <c r="L4612" s="4" t="str">
        <f>IFERROR(VLOOKUP(ROWS($L$2:L4612),$B$2:$C$1996,2,0),"")</f>
        <v/>
      </c>
      <c r="N4612" s="2" t="str">
        <f>IFERROR(VLOOKUP(ROWS($N$2:N4612),$D$2:$E$1996,2,0),"")</f>
        <v/>
      </c>
    </row>
    <row r="4613" spans="2:14">
      <c r="B4613" s="32">
        <f>IF(ISNUMBER(SEARCH('Φόρμα Εισαγωγής'!$B$2,C4613)),MAX($B$1:B4612)+1,0)</f>
        <v>0</v>
      </c>
      <c r="D4613" s="33">
        <f>IF(ISNUMBER(SEARCH('Φόρμα Εισαγωγής'!$C$2,E4613)),MAX($D$1:D4612)+1,0)</f>
        <v>0</v>
      </c>
      <c r="H4613" s="6">
        <f t="shared" si="227"/>
        <v>0</v>
      </c>
      <c r="I4613" s="6">
        <f t="shared" si="228"/>
        <v>0</v>
      </c>
      <c r="J4613" s="6">
        <f t="shared" si="229"/>
        <v>0</v>
      </c>
      <c r="L4613" s="4" t="str">
        <f>IFERROR(VLOOKUP(ROWS($L$2:L4613),$B$2:$C$1996,2,0),"")</f>
        <v/>
      </c>
      <c r="N4613" s="2" t="str">
        <f>IFERROR(VLOOKUP(ROWS($N$2:N4613),$D$2:$E$1996,2,0),"")</f>
        <v/>
      </c>
    </row>
    <row r="4614" spans="2:14">
      <c r="B4614" s="32">
        <f>IF(ISNUMBER(SEARCH('Φόρμα Εισαγωγής'!$B$2,C4614)),MAX($B$1:B4613)+1,0)</f>
        <v>0</v>
      </c>
      <c r="D4614" s="33">
        <f>IF(ISNUMBER(SEARCH('Φόρμα Εισαγωγής'!$C$2,E4614)),MAX($D$1:D4613)+1,0)</f>
        <v>0</v>
      </c>
      <c r="H4614" s="6">
        <f t="shared" si="227"/>
        <v>0</v>
      </c>
      <c r="I4614" s="6">
        <f t="shared" si="228"/>
        <v>0</v>
      </c>
      <c r="J4614" s="6">
        <f t="shared" si="229"/>
        <v>0</v>
      </c>
      <c r="L4614" s="4" t="str">
        <f>IFERROR(VLOOKUP(ROWS($L$2:L4614),$B$2:$C$1996,2,0),"")</f>
        <v/>
      </c>
      <c r="N4614" s="2" t="str">
        <f>IFERROR(VLOOKUP(ROWS($N$2:N4614),$D$2:$E$1996,2,0),"")</f>
        <v/>
      </c>
    </row>
    <row r="4615" spans="2:14">
      <c r="B4615" s="32">
        <f>IF(ISNUMBER(SEARCH('Φόρμα Εισαγωγής'!$B$2,C4615)),MAX($B$1:B4614)+1,0)</f>
        <v>0</v>
      </c>
      <c r="D4615" s="33">
        <f>IF(ISNUMBER(SEARCH('Φόρμα Εισαγωγής'!$C$2,E4615)),MAX($D$1:D4614)+1,0)</f>
        <v>0</v>
      </c>
      <c r="H4615" s="6">
        <f t="shared" si="227"/>
        <v>0</v>
      </c>
      <c r="I4615" s="6">
        <f t="shared" si="228"/>
        <v>0</v>
      </c>
      <c r="J4615" s="6">
        <f t="shared" si="229"/>
        <v>0</v>
      </c>
      <c r="L4615" s="4" t="str">
        <f>IFERROR(VLOOKUP(ROWS($L$2:L4615),$B$2:$C$1996,2,0),"")</f>
        <v/>
      </c>
      <c r="N4615" s="2" t="str">
        <f>IFERROR(VLOOKUP(ROWS($N$2:N4615),$D$2:$E$1996,2,0),"")</f>
        <v/>
      </c>
    </row>
    <row r="4616" spans="2:14">
      <c r="B4616" s="32">
        <f>IF(ISNUMBER(SEARCH('Φόρμα Εισαγωγής'!$B$2,C4616)),MAX($B$1:B4615)+1,0)</f>
        <v>0</v>
      </c>
      <c r="D4616" s="33">
        <f>IF(ISNUMBER(SEARCH('Φόρμα Εισαγωγής'!$C$2,E4616)),MAX($D$1:D4615)+1,0)</f>
        <v>0</v>
      </c>
      <c r="H4616" s="6">
        <f t="shared" si="227"/>
        <v>0</v>
      </c>
      <c r="I4616" s="6">
        <f t="shared" si="228"/>
        <v>0</v>
      </c>
      <c r="J4616" s="6">
        <f t="shared" si="229"/>
        <v>0</v>
      </c>
      <c r="L4616" s="4" t="str">
        <f>IFERROR(VLOOKUP(ROWS($L$2:L4616),$B$2:$C$1996,2,0),"")</f>
        <v/>
      </c>
      <c r="N4616" s="2" t="str">
        <f>IFERROR(VLOOKUP(ROWS($N$2:N4616),$D$2:$E$1996,2,0),"")</f>
        <v/>
      </c>
    </row>
    <row r="4617" spans="2:14">
      <c r="B4617" s="32">
        <f>IF(ISNUMBER(SEARCH('Φόρμα Εισαγωγής'!$B$2,C4617)),MAX($B$1:B4616)+1,0)</f>
        <v>0</v>
      </c>
      <c r="D4617" s="33">
        <f>IF(ISNUMBER(SEARCH('Φόρμα Εισαγωγής'!$C$2,E4617)),MAX($D$1:D4616)+1,0)</f>
        <v>0</v>
      </c>
      <c r="H4617" s="6">
        <f t="shared" si="227"/>
        <v>0</v>
      </c>
      <c r="I4617" s="6">
        <f t="shared" si="228"/>
        <v>0</v>
      </c>
      <c r="J4617" s="6">
        <f t="shared" si="229"/>
        <v>0</v>
      </c>
      <c r="L4617" s="4" t="str">
        <f>IFERROR(VLOOKUP(ROWS($L$2:L4617),$B$2:$C$1996,2,0),"")</f>
        <v/>
      </c>
      <c r="N4617" s="2" t="str">
        <f>IFERROR(VLOOKUP(ROWS($N$2:N4617),$D$2:$E$1996,2,0),"")</f>
        <v/>
      </c>
    </row>
    <row r="4618" spans="2:14">
      <c r="B4618" s="32">
        <f>IF(ISNUMBER(SEARCH('Φόρμα Εισαγωγής'!$B$2,C4618)),MAX($B$1:B4617)+1,0)</f>
        <v>0</v>
      </c>
      <c r="D4618" s="33">
        <f>IF(ISNUMBER(SEARCH('Φόρμα Εισαγωγής'!$C$2,E4618)),MAX($D$1:D4617)+1,0)</f>
        <v>0</v>
      </c>
      <c r="H4618" s="6">
        <f t="shared" si="227"/>
        <v>0</v>
      </c>
      <c r="I4618" s="6">
        <f t="shared" si="228"/>
        <v>0</v>
      </c>
      <c r="J4618" s="6">
        <f t="shared" si="229"/>
        <v>0</v>
      </c>
      <c r="L4618" s="4" t="str">
        <f>IFERROR(VLOOKUP(ROWS($L$2:L4618),$B$2:$C$1996,2,0),"")</f>
        <v/>
      </c>
      <c r="N4618" s="2" t="str">
        <f>IFERROR(VLOOKUP(ROWS($N$2:N4618),$D$2:$E$1996,2,0),"")</f>
        <v/>
      </c>
    </row>
    <row r="4619" spans="2:14">
      <c r="B4619" s="32">
        <f>IF(ISNUMBER(SEARCH('Φόρμα Εισαγωγής'!$B$2,C4619)),MAX($B$1:B4618)+1,0)</f>
        <v>0</v>
      </c>
      <c r="D4619" s="33">
        <f>IF(ISNUMBER(SEARCH('Φόρμα Εισαγωγής'!$C$2,E4619)),MAX($D$1:D4618)+1,0)</f>
        <v>0</v>
      </c>
      <c r="H4619" s="6">
        <f t="shared" si="227"/>
        <v>0</v>
      </c>
      <c r="I4619" s="6">
        <f t="shared" si="228"/>
        <v>0</v>
      </c>
      <c r="J4619" s="6">
        <f t="shared" si="229"/>
        <v>0</v>
      </c>
      <c r="L4619" s="4" t="str">
        <f>IFERROR(VLOOKUP(ROWS($L$2:L4619),$B$2:$C$1996,2,0),"")</f>
        <v/>
      </c>
      <c r="N4619" s="2" t="str">
        <f>IFERROR(VLOOKUP(ROWS($N$2:N4619),$D$2:$E$1996,2,0),"")</f>
        <v/>
      </c>
    </row>
    <row r="4620" spans="2:14">
      <c r="B4620" s="32">
        <f>IF(ISNUMBER(SEARCH('Φόρμα Εισαγωγής'!$B$2,C4620)),MAX($B$1:B4619)+1,0)</f>
        <v>0</v>
      </c>
      <c r="D4620" s="33">
        <f>IF(ISNUMBER(SEARCH('Φόρμα Εισαγωγής'!$C$2,E4620)),MAX($D$1:D4619)+1,0)</f>
        <v>0</v>
      </c>
      <c r="H4620" s="6">
        <f t="shared" si="227"/>
        <v>0</v>
      </c>
      <c r="I4620" s="6">
        <f t="shared" si="228"/>
        <v>0</v>
      </c>
      <c r="J4620" s="6">
        <f t="shared" si="229"/>
        <v>0</v>
      </c>
      <c r="L4620" s="4" t="str">
        <f>IFERROR(VLOOKUP(ROWS($L$2:L4620),$B$2:$C$1996,2,0),"")</f>
        <v/>
      </c>
      <c r="N4620" s="2" t="str">
        <f>IFERROR(VLOOKUP(ROWS($N$2:N4620),$D$2:$E$1996,2,0),"")</f>
        <v/>
      </c>
    </row>
    <row r="4621" spans="2:14">
      <c r="B4621" s="32">
        <f>IF(ISNUMBER(SEARCH('Φόρμα Εισαγωγής'!$B$2,C4621)),MAX($B$1:B4620)+1,0)</f>
        <v>0</v>
      </c>
      <c r="D4621" s="33">
        <f>IF(ISNUMBER(SEARCH('Φόρμα Εισαγωγής'!$C$2,E4621)),MAX($D$1:D4620)+1,0)</f>
        <v>0</v>
      </c>
      <c r="H4621" s="6">
        <f t="shared" si="227"/>
        <v>0</v>
      </c>
      <c r="I4621" s="6">
        <f t="shared" si="228"/>
        <v>0</v>
      </c>
      <c r="J4621" s="6">
        <f t="shared" si="229"/>
        <v>0</v>
      </c>
      <c r="L4621" s="4" t="str">
        <f>IFERROR(VLOOKUP(ROWS($L$2:L4621),$B$2:$C$1996,2,0),"")</f>
        <v/>
      </c>
      <c r="N4621" s="2" t="str">
        <f>IFERROR(VLOOKUP(ROWS($N$2:N4621),$D$2:$E$1996,2,0),"")</f>
        <v/>
      </c>
    </row>
    <row r="4622" spans="2:14">
      <c r="B4622" s="32">
        <f>IF(ISNUMBER(SEARCH('Φόρμα Εισαγωγής'!$B$2,C4622)),MAX($B$1:B4621)+1,0)</f>
        <v>0</v>
      </c>
      <c r="D4622" s="33">
        <f>IF(ISNUMBER(SEARCH('Φόρμα Εισαγωγής'!$C$2,E4622)),MAX($D$1:D4621)+1,0)</f>
        <v>0</v>
      </c>
      <c r="H4622" s="6">
        <f t="shared" si="227"/>
        <v>0</v>
      </c>
      <c r="I4622" s="6">
        <f t="shared" si="228"/>
        <v>0</v>
      </c>
      <c r="J4622" s="6">
        <f t="shared" si="229"/>
        <v>0</v>
      </c>
      <c r="L4622" s="4" t="str">
        <f>IFERROR(VLOOKUP(ROWS($L$2:L4622),$B$2:$C$1996,2,0),"")</f>
        <v/>
      </c>
      <c r="N4622" s="2" t="str">
        <f>IFERROR(VLOOKUP(ROWS($N$2:N4622),$D$2:$E$1996,2,0),"")</f>
        <v/>
      </c>
    </row>
    <row r="4623" spans="2:14">
      <c r="B4623" s="32">
        <f>IF(ISNUMBER(SEARCH('Φόρμα Εισαγωγής'!$B$2,C4623)),MAX($B$1:B4622)+1,0)</f>
        <v>0</v>
      </c>
      <c r="D4623" s="33">
        <f>IF(ISNUMBER(SEARCH('Φόρμα Εισαγωγής'!$C$2,E4623)),MAX($D$1:D4622)+1,0)</f>
        <v>0</v>
      </c>
      <c r="H4623" s="6">
        <f t="shared" si="227"/>
        <v>0</v>
      </c>
      <c r="I4623" s="6">
        <f t="shared" si="228"/>
        <v>0</v>
      </c>
      <c r="J4623" s="6">
        <f t="shared" si="229"/>
        <v>0</v>
      </c>
      <c r="L4623" s="4" t="str">
        <f>IFERROR(VLOOKUP(ROWS($L$2:L4623),$B$2:$C$1996,2,0),"")</f>
        <v/>
      </c>
      <c r="N4623" s="2" t="str">
        <f>IFERROR(VLOOKUP(ROWS($N$2:N4623),$D$2:$E$1996,2,0),"")</f>
        <v/>
      </c>
    </row>
    <row r="4624" spans="2:14">
      <c r="B4624" s="32">
        <f>IF(ISNUMBER(SEARCH('Φόρμα Εισαγωγής'!$B$2,C4624)),MAX($B$1:B4623)+1,0)</f>
        <v>0</v>
      </c>
      <c r="D4624" s="33">
        <f>IF(ISNUMBER(SEARCH('Φόρμα Εισαγωγής'!$C$2,E4624)),MAX($D$1:D4623)+1,0)</f>
        <v>0</v>
      </c>
      <c r="H4624" s="6">
        <f t="shared" si="227"/>
        <v>0</v>
      </c>
      <c r="I4624" s="6">
        <f t="shared" si="228"/>
        <v>0</v>
      </c>
      <c r="J4624" s="6">
        <f t="shared" si="229"/>
        <v>0</v>
      </c>
      <c r="L4624" s="4" t="str">
        <f>IFERROR(VLOOKUP(ROWS($L$2:L4624),$B$2:$C$1996,2,0),"")</f>
        <v/>
      </c>
      <c r="N4624" s="2" t="str">
        <f>IFERROR(VLOOKUP(ROWS($N$2:N4624),$D$2:$E$1996,2,0),"")</f>
        <v/>
      </c>
    </row>
    <row r="4625" spans="2:14">
      <c r="B4625" s="32">
        <f>IF(ISNUMBER(SEARCH('Φόρμα Εισαγωγής'!$B$2,C4625)),MAX($B$1:B4624)+1,0)</f>
        <v>0</v>
      </c>
      <c r="D4625" s="33">
        <f>IF(ISNUMBER(SEARCH('Φόρμα Εισαγωγής'!$C$2,E4625)),MAX($D$1:D4624)+1,0)</f>
        <v>0</v>
      </c>
      <c r="H4625" s="6">
        <f t="shared" si="227"/>
        <v>0</v>
      </c>
      <c r="I4625" s="6">
        <f t="shared" si="228"/>
        <v>0</v>
      </c>
      <c r="J4625" s="6">
        <f t="shared" si="229"/>
        <v>0</v>
      </c>
      <c r="L4625" s="4" t="str">
        <f>IFERROR(VLOOKUP(ROWS($L$2:L4625),$B$2:$C$1996,2,0),"")</f>
        <v/>
      </c>
      <c r="N4625" s="2" t="str">
        <f>IFERROR(VLOOKUP(ROWS($N$2:N4625),$D$2:$E$1996,2,0),"")</f>
        <v/>
      </c>
    </row>
    <row r="4626" spans="2:14">
      <c r="B4626" s="32">
        <f>IF(ISNUMBER(SEARCH('Φόρμα Εισαγωγής'!$B$2,C4626)),MAX($B$1:B4625)+1,0)</f>
        <v>0</v>
      </c>
      <c r="D4626" s="33">
        <f>IF(ISNUMBER(SEARCH('Φόρμα Εισαγωγής'!$C$2,E4626)),MAX($D$1:D4625)+1,0)</f>
        <v>0</v>
      </c>
      <c r="H4626" s="6">
        <f t="shared" si="227"/>
        <v>0</v>
      </c>
      <c r="I4626" s="6">
        <f t="shared" si="228"/>
        <v>0</v>
      </c>
      <c r="J4626" s="6">
        <f t="shared" si="229"/>
        <v>0</v>
      </c>
      <c r="L4626" s="4" t="str">
        <f>IFERROR(VLOOKUP(ROWS($L$2:L4626),$B$2:$C$1996,2,0),"")</f>
        <v/>
      </c>
      <c r="N4626" s="2" t="str">
        <f>IFERROR(VLOOKUP(ROWS($N$2:N4626),$D$2:$E$1996,2,0),"")</f>
        <v/>
      </c>
    </row>
    <row r="4627" spans="2:14">
      <c r="B4627" s="32">
        <f>IF(ISNUMBER(SEARCH('Φόρμα Εισαγωγής'!$B$2,C4627)),MAX($B$1:B4626)+1,0)</f>
        <v>0</v>
      </c>
      <c r="D4627" s="33">
        <f>IF(ISNUMBER(SEARCH('Φόρμα Εισαγωγής'!$C$2,E4627)),MAX($D$1:D4626)+1,0)</f>
        <v>0</v>
      </c>
      <c r="H4627" s="6">
        <f t="shared" si="227"/>
        <v>0</v>
      </c>
      <c r="I4627" s="6">
        <f t="shared" si="228"/>
        <v>0</v>
      </c>
      <c r="J4627" s="6">
        <f t="shared" si="229"/>
        <v>0</v>
      </c>
      <c r="L4627" s="4" t="str">
        <f>IFERROR(VLOOKUP(ROWS($L$2:L4627),$B$2:$C$1996,2,0),"")</f>
        <v/>
      </c>
      <c r="N4627" s="2" t="str">
        <f>IFERROR(VLOOKUP(ROWS($N$2:N4627),$D$2:$E$1996,2,0),"")</f>
        <v/>
      </c>
    </row>
    <row r="4628" spans="2:14">
      <c r="B4628" s="32">
        <f>IF(ISNUMBER(SEARCH('Φόρμα Εισαγωγής'!$B$2,C4628)),MAX($B$1:B4627)+1,0)</f>
        <v>0</v>
      </c>
      <c r="D4628" s="33">
        <f>IF(ISNUMBER(SEARCH('Φόρμα Εισαγωγής'!$C$2,E4628)),MAX($D$1:D4627)+1,0)</f>
        <v>0</v>
      </c>
      <c r="H4628" s="6">
        <f t="shared" si="227"/>
        <v>0</v>
      </c>
      <c r="I4628" s="6">
        <f t="shared" si="228"/>
        <v>0</v>
      </c>
      <c r="J4628" s="6">
        <f t="shared" si="229"/>
        <v>0</v>
      </c>
      <c r="L4628" s="4" t="str">
        <f>IFERROR(VLOOKUP(ROWS($L$2:L4628),$B$2:$C$1996,2,0),"")</f>
        <v/>
      </c>
      <c r="N4628" s="2" t="str">
        <f>IFERROR(VLOOKUP(ROWS($N$2:N4628),$D$2:$E$1996,2,0),"")</f>
        <v/>
      </c>
    </row>
    <row r="4629" spans="2:14">
      <c r="B4629" s="32">
        <f>IF(ISNUMBER(SEARCH('Φόρμα Εισαγωγής'!$B$2,C4629)),MAX($B$1:B4628)+1,0)</f>
        <v>0</v>
      </c>
      <c r="D4629" s="33">
        <f>IF(ISNUMBER(SEARCH('Φόρμα Εισαγωγής'!$C$2,E4629)),MAX($D$1:D4628)+1,0)</f>
        <v>0</v>
      </c>
      <c r="H4629" s="6">
        <f t="shared" si="227"/>
        <v>0</v>
      </c>
      <c r="I4629" s="6">
        <f t="shared" si="228"/>
        <v>0</v>
      </c>
      <c r="J4629" s="6">
        <f t="shared" si="229"/>
        <v>0</v>
      </c>
      <c r="L4629" s="4" t="str">
        <f>IFERROR(VLOOKUP(ROWS($L$2:L4629),$B$2:$C$1996,2,0),"")</f>
        <v/>
      </c>
      <c r="N4629" s="2" t="str">
        <f>IFERROR(VLOOKUP(ROWS($N$2:N4629),$D$2:$E$1996,2,0),"")</f>
        <v/>
      </c>
    </row>
    <row r="4630" spans="2:14">
      <c r="B4630" s="32">
        <f>IF(ISNUMBER(SEARCH('Φόρμα Εισαγωγής'!$B$2,C4630)),MAX($B$1:B4629)+1,0)</f>
        <v>0</v>
      </c>
      <c r="D4630" s="33">
        <f>IF(ISNUMBER(SEARCH('Φόρμα Εισαγωγής'!$C$2,E4630)),MAX($D$1:D4629)+1,0)</f>
        <v>0</v>
      </c>
      <c r="H4630" s="6">
        <f t="shared" si="227"/>
        <v>0</v>
      </c>
      <c r="I4630" s="6">
        <f t="shared" si="228"/>
        <v>0</v>
      </c>
      <c r="J4630" s="6">
        <f t="shared" si="229"/>
        <v>0</v>
      </c>
      <c r="L4630" s="4" t="str">
        <f>IFERROR(VLOOKUP(ROWS($L$2:L4630),$B$2:$C$1996,2,0),"")</f>
        <v/>
      </c>
      <c r="N4630" s="2" t="str">
        <f>IFERROR(VLOOKUP(ROWS($N$2:N4630),$D$2:$E$1996,2,0),"")</f>
        <v/>
      </c>
    </row>
    <row r="4631" spans="2:14">
      <c r="B4631" s="32">
        <f>IF(ISNUMBER(SEARCH('Φόρμα Εισαγωγής'!$B$2,C4631)),MAX($B$1:B4630)+1,0)</f>
        <v>0</v>
      </c>
      <c r="D4631" s="33">
        <f>IF(ISNUMBER(SEARCH('Φόρμα Εισαγωγής'!$C$2,E4631)),MAX($D$1:D4630)+1,0)</f>
        <v>0</v>
      </c>
      <c r="H4631" s="6">
        <f t="shared" si="227"/>
        <v>0</v>
      </c>
      <c r="I4631" s="6">
        <f t="shared" si="228"/>
        <v>0</v>
      </c>
      <c r="J4631" s="6">
        <f t="shared" si="229"/>
        <v>0</v>
      </c>
      <c r="L4631" s="4" t="str">
        <f>IFERROR(VLOOKUP(ROWS($L$2:L4631),$B$2:$C$1996,2,0),"")</f>
        <v/>
      </c>
      <c r="N4631" s="2" t="str">
        <f>IFERROR(VLOOKUP(ROWS($N$2:N4631),$D$2:$E$1996,2,0),"")</f>
        <v/>
      </c>
    </row>
    <row r="4632" spans="2:14">
      <c r="B4632" s="32">
        <f>IF(ISNUMBER(SEARCH('Φόρμα Εισαγωγής'!$B$2,C4632)),MAX($B$1:B4631)+1,0)</f>
        <v>0</v>
      </c>
      <c r="D4632" s="33">
        <f>IF(ISNUMBER(SEARCH('Φόρμα Εισαγωγής'!$C$2,E4632)),MAX($D$1:D4631)+1,0)</f>
        <v>0</v>
      </c>
      <c r="H4632" s="6">
        <f t="shared" si="227"/>
        <v>0</v>
      </c>
      <c r="I4632" s="6">
        <f t="shared" si="228"/>
        <v>0</v>
      </c>
      <c r="J4632" s="6">
        <f t="shared" si="229"/>
        <v>0</v>
      </c>
      <c r="L4632" s="4" t="str">
        <f>IFERROR(VLOOKUP(ROWS($L$2:L4632),$B$2:$C$1996,2,0),"")</f>
        <v/>
      </c>
      <c r="N4632" s="2" t="str">
        <f>IFERROR(VLOOKUP(ROWS($N$2:N4632),$D$2:$E$1996,2,0),"")</f>
        <v/>
      </c>
    </row>
    <row r="4633" spans="2:14">
      <c r="B4633" s="32">
        <f>IF(ISNUMBER(SEARCH('Φόρμα Εισαγωγής'!$B$2,C4633)),MAX($B$1:B4632)+1,0)</f>
        <v>0</v>
      </c>
      <c r="D4633" s="33">
        <f>IF(ISNUMBER(SEARCH('Φόρμα Εισαγωγής'!$C$2,E4633)),MAX($D$1:D4632)+1,0)</f>
        <v>0</v>
      </c>
      <c r="H4633" s="6">
        <f t="shared" si="227"/>
        <v>0</v>
      </c>
      <c r="I4633" s="6">
        <f t="shared" si="228"/>
        <v>0</v>
      </c>
      <c r="J4633" s="6">
        <f t="shared" si="229"/>
        <v>0</v>
      </c>
      <c r="L4633" s="4" t="str">
        <f>IFERROR(VLOOKUP(ROWS($L$2:L4633),$B$2:$C$1996,2,0),"")</f>
        <v/>
      </c>
      <c r="N4633" s="2" t="str">
        <f>IFERROR(VLOOKUP(ROWS($N$2:N4633),$D$2:$E$1996,2,0),"")</f>
        <v/>
      </c>
    </row>
    <row r="4634" spans="2:14">
      <c r="B4634" s="32">
        <f>IF(ISNUMBER(SEARCH('Φόρμα Εισαγωγής'!$B$2,C4634)),MAX($B$1:B4633)+1,0)</f>
        <v>0</v>
      </c>
      <c r="D4634" s="33">
        <f>IF(ISNUMBER(SEARCH('Φόρμα Εισαγωγής'!$C$2,E4634)),MAX($D$1:D4633)+1,0)</f>
        <v>0</v>
      </c>
      <c r="H4634" s="6">
        <f t="shared" si="227"/>
        <v>0</v>
      </c>
      <c r="I4634" s="6">
        <f t="shared" si="228"/>
        <v>0</v>
      </c>
      <c r="J4634" s="6">
        <f t="shared" si="229"/>
        <v>0</v>
      </c>
      <c r="L4634" s="4" t="str">
        <f>IFERROR(VLOOKUP(ROWS($L$2:L4634),$B$2:$C$1996,2,0),"")</f>
        <v/>
      </c>
      <c r="N4634" s="2" t="str">
        <f>IFERROR(VLOOKUP(ROWS($N$2:N4634),$D$2:$E$1996,2,0),"")</f>
        <v/>
      </c>
    </row>
    <row r="4635" spans="2:14">
      <c r="B4635" s="32">
        <f>IF(ISNUMBER(SEARCH('Φόρμα Εισαγωγής'!$B$2,C4635)),MAX($B$1:B4634)+1,0)</f>
        <v>0</v>
      </c>
      <c r="D4635" s="33">
        <f>IF(ISNUMBER(SEARCH('Φόρμα Εισαγωγής'!$C$2,E4635)),MAX($D$1:D4634)+1,0)</f>
        <v>0</v>
      </c>
      <c r="H4635" s="6">
        <f t="shared" si="227"/>
        <v>0</v>
      </c>
      <c r="I4635" s="6">
        <f t="shared" si="228"/>
        <v>0</v>
      </c>
      <c r="J4635" s="6">
        <f t="shared" si="229"/>
        <v>0</v>
      </c>
      <c r="L4635" s="4" t="str">
        <f>IFERROR(VLOOKUP(ROWS($L$2:L4635),$B$2:$C$1996,2,0),"")</f>
        <v/>
      </c>
      <c r="N4635" s="2" t="str">
        <f>IFERROR(VLOOKUP(ROWS($N$2:N4635),$D$2:$E$1996,2,0),"")</f>
        <v/>
      </c>
    </row>
    <row r="4636" spans="2:14">
      <c r="B4636" s="32">
        <f>IF(ISNUMBER(SEARCH('Φόρμα Εισαγωγής'!$B$2,C4636)),MAX($B$1:B4635)+1,0)</f>
        <v>0</v>
      </c>
      <c r="D4636" s="33">
        <f>IF(ISNUMBER(SEARCH('Φόρμα Εισαγωγής'!$C$2,E4636)),MAX($D$1:D4635)+1,0)</f>
        <v>0</v>
      </c>
      <c r="H4636" s="6">
        <f t="shared" si="227"/>
        <v>0</v>
      </c>
      <c r="I4636" s="6">
        <f t="shared" si="228"/>
        <v>0</v>
      </c>
      <c r="J4636" s="6">
        <f t="shared" si="229"/>
        <v>0</v>
      </c>
      <c r="L4636" s="4" t="str">
        <f>IFERROR(VLOOKUP(ROWS($L$2:L4636),$B$2:$C$1996,2,0),"")</f>
        <v/>
      </c>
      <c r="N4636" s="2" t="str">
        <f>IFERROR(VLOOKUP(ROWS($N$2:N4636),$D$2:$E$1996,2,0),"")</f>
        <v/>
      </c>
    </row>
    <row r="4637" spans="2:14">
      <c r="B4637" s="32">
        <f>IF(ISNUMBER(SEARCH('Φόρμα Εισαγωγής'!$B$2,C4637)),MAX($B$1:B4636)+1,0)</f>
        <v>0</v>
      </c>
      <c r="D4637" s="33">
        <f>IF(ISNUMBER(SEARCH('Φόρμα Εισαγωγής'!$C$2,E4637)),MAX($D$1:D4636)+1,0)</f>
        <v>0</v>
      </c>
      <c r="H4637" s="6">
        <f t="shared" si="227"/>
        <v>0</v>
      </c>
      <c r="I4637" s="6">
        <f t="shared" si="228"/>
        <v>0</v>
      </c>
      <c r="J4637" s="6">
        <f t="shared" si="229"/>
        <v>0</v>
      </c>
      <c r="L4637" s="4" t="str">
        <f>IFERROR(VLOOKUP(ROWS($L$2:L4637),$B$2:$C$1996,2,0),"")</f>
        <v/>
      </c>
      <c r="N4637" s="2" t="str">
        <f>IFERROR(VLOOKUP(ROWS($N$2:N4637),$D$2:$E$1996,2,0),"")</f>
        <v/>
      </c>
    </row>
    <row r="4638" spans="2:14">
      <c r="B4638" s="32">
        <f>IF(ISNUMBER(SEARCH('Φόρμα Εισαγωγής'!$B$2,C4638)),MAX($B$1:B4637)+1,0)</f>
        <v>0</v>
      </c>
      <c r="D4638" s="33">
        <f>IF(ISNUMBER(SEARCH('Φόρμα Εισαγωγής'!$C$2,E4638)),MAX($D$1:D4637)+1,0)</f>
        <v>0</v>
      </c>
      <c r="H4638" s="6">
        <f t="shared" si="227"/>
        <v>0</v>
      </c>
      <c r="I4638" s="6">
        <f t="shared" si="228"/>
        <v>0</v>
      </c>
      <c r="J4638" s="6">
        <f t="shared" si="229"/>
        <v>0</v>
      </c>
      <c r="L4638" s="4" t="str">
        <f>IFERROR(VLOOKUP(ROWS($L$2:L4638),$B$2:$C$1996,2,0),"")</f>
        <v/>
      </c>
      <c r="N4638" s="2" t="str">
        <f>IFERROR(VLOOKUP(ROWS($N$2:N4638),$D$2:$E$1996,2,0),"")</f>
        <v/>
      </c>
    </row>
    <row r="4639" spans="2:14">
      <c r="B4639" s="32">
        <f>IF(ISNUMBER(SEARCH('Φόρμα Εισαγωγής'!$B$2,C4639)),MAX($B$1:B4638)+1,0)</f>
        <v>0</v>
      </c>
      <c r="D4639" s="33">
        <f>IF(ISNUMBER(SEARCH('Φόρμα Εισαγωγής'!$C$2,E4639)),MAX($D$1:D4638)+1,0)</f>
        <v>0</v>
      </c>
      <c r="H4639" s="6">
        <f t="shared" si="227"/>
        <v>0</v>
      </c>
      <c r="I4639" s="6">
        <f t="shared" si="228"/>
        <v>0</v>
      </c>
      <c r="J4639" s="6">
        <f t="shared" si="229"/>
        <v>0</v>
      </c>
      <c r="L4639" s="4" t="str">
        <f>IFERROR(VLOOKUP(ROWS($L$2:L4639),$B$2:$C$1996,2,0),"")</f>
        <v/>
      </c>
      <c r="N4639" s="2" t="str">
        <f>IFERROR(VLOOKUP(ROWS($N$2:N4639),$D$2:$E$1996,2,0),"")</f>
        <v/>
      </c>
    </row>
    <row r="4640" spans="2:14">
      <c r="B4640" s="32">
        <f>IF(ISNUMBER(SEARCH('Φόρμα Εισαγωγής'!$B$2,C4640)),MAX($B$1:B4639)+1,0)</f>
        <v>0</v>
      </c>
      <c r="D4640" s="33">
        <f>IF(ISNUMBER(SEARCH('Φόρμα Εισαγωγής'!$C$2,E4640)),MAX($D$1:D4639)+1,0)</f>
        <v>0</v>
      </c>
      <c r="H4640" s="6">
        <f t="shared" si="227"/>
        <v>0</v>
      </c>
      <c r="I4640" s="6">
        <f t="shared" si="228"/>
        <v>0</v>
      </c>
      <c r="J4640" s="6">
        <f t="shared" si="229"/>
        <v>0</v>
      </c>
      <c r="L4640" s="4" t="str">
        <f>IFERROR(VLOOKUP(ROWS($L$2:L4640),$B$2:$C$1996,2,0),"")</f>
        <v/>
      </c>
      <c r="N4640" s="2" t="str">
        <f>IFERROR(VLOOKUP(ROWS($N$2:N4640),$D$2:$E$1996,2,0),"")</f>
        <v/>
      </c>
    </row>
    <row r="4641" spans="2:14">
      <c r="B4641" s="32">
        <f>IF(ISNUMBER(SEARCH('Φόρμα Εισαγωγής'!$B$2,C4641)),MAX($B$1:B4640)+1,0)</f>
        <v>0</v>
      </c>
      <c r="D4641" s="33">
        <f>IF(ISNUMBER(SEARCH('Φόρμα Εισαγωγής'!$C$2,E4641)),MAX($D$1:D4640)+1,0)</f>
        <v>0</v>
      </c>
      <c r="H4641" s="6">
        <f t="shared" si="227"/>
        <v>0</v>
      </c>
      <c r="I4641" s="6">
        <f t="shared" si="228"/>
        <v>0</v>
      </c>
      <c r="J4641" s="6">
        <f t="shared" si="229"/>
        <v>0</v>
      </c>
      <c r="L4641" s="4" t="str">
        <f>IFERROR(VLOOKUP(ROWS($L$2:L4641),$B$2:$C$1996,2,0),"")</f>
        <v/>
      </c>
      <c r="N4641" s="2" t="str">
        <f>IFERROR(VLOOKUP(ROWS($N$2:N4641),$D$2:$E$1996,2,0),"")</f>
        <v/>
      </c>
    </row>
    <row r="4642" spans="2:14">
      <c r="B4642" s="32">
        <f>IF(ISNUMBER(SEARCH('Φόρμα Εισαγωγής'!$B$2,C4642)),MAX($B$1:B4641)+1,0)</f>
        <v>0</v>
      </c>
      <c r="D4642" s="33">
        <f>IF(ISNUMBER(SEARCH('Φόρμα Εισαγωγής'!$C$2,E4642)),MAX($D$1:D4641)+1,0)</f>
        <v>0</v>
      </c>
      <c r="H4642" s="6">
        <f t="shared" si="227"/>
        <v>0</v>
      </c>
      <c r="I4642" s="6">
        <f t="shared" si="228"/>
        <v>0</v>
      </c>
      <c r="J4642" s="6">
        <f t="shared" si="229"/>
        <v>0</v>
      </c>
      <c r="L4642" s="4" t="str">
        <f>IFERROR(VLOOKUP(ROWS($L$2:L4642),$B$2:$C$1996,2,0),"")</f>
        <v/>
      </c>
      <c r="N4642" s="2" t="str">
        <f>IFERROR(VLOOKUP(ROWS($N$2:N4642),$D$2:$E$1996,2,0),"")</f>
        <v/>
      </c>
    </row>
    <row r="4643" spans="2:14">
      <c r="B4643" s="32">
        <f>IF(ISNUMBER(SEARCH('Φόρμα Εισαγωγής'!$B$2,C4643)),MAX($B$1:B4642)+1,0)</f>
        <v>0</v>
      </c>
      <c r="D4643" s="33">
        <f>IF(ISNUMBER(SEARCH('Φόρμα Εισαγωγής'!$C$2,E4643)),MAX($D$1:D4642)+1,0)</f>
        <v>0</v>
      </c>
      <c r="H4643" s="6">
        <f t="shared" si="227"/>
        <v>0</v>
      </c>
      <c r="I4643" s="6">
        <f t="shared" si="228"/>
        <v>0</v>
      </c>
      <c r="J4643" s="6">
        <f t="shared" si="229"/>
        <v>0</v>
      </c>
      <c r="L4643" s="4" t="str">
        <f>IFERROR(VLOOKUP(ROWS($L$2:L4643),$B$2:$C$1996,2,0),"")</f>
        <v/>
      </c>
      <c r="N4643" s="2" t="str">
        <f>IFERROR(VLOOKUP(ROWS($N$2:N4643),$D$2:$E$1996,2,0),"")</f>
        <v/>
      </c>
    </row>
    <row r="4644" spans="2:14">
      <c r="B4644" s="32">
        <f>IF(ISNUMBER(SEARCH('Φόρμα Εισαγωγής'!$B$2,C4644)),MAX($B$1:B4643)+1,0)</f>
        <v>0</v>
      </c>
      <c r="D4644" s="33">
        <f>IF(ISNUMBER(SEARCH('Φόρμα Εισαγωγής'!$C$2,E4644)),MAX($D$1:D4643)+1,0)</f>
        <v>0</v>
      </c>
      <c r="H4644" s="6">
        <f t="shared" si="227"/>
        <v>0</v>
      </c>
      <c r="I4644" s="6">
        <f t="shared" si="228"/>
        <v>0</v>
      </c>
      <c r="J4644" s="6">
        <f t="shared" si="229"/>
        <v>0</v>
      </c>
      <c r="L4644" s="4" t="str">
        <f>IFERROR(VLOOKUP(ROWS($L$2:L4644),$B$2:$C$1996,2,0),"")</f>
        <v/>
      </c>
      <c r="N4644" s="2" t="str">
        <f>IFERROR(VLOOKUP(ROWS($N$2:N4644),$D$2:$E$1996,2,0),"")</f>
        <v/>
      </c>
    </row>
    <row r="4645" spans="2:14">
      <c r="B4645" s="32">
        <f>IF(ISNUMBER(SEARCH('Φόρμα Εισαγωγής'!$B$2,C4645)),MAX($B$1:B4644)+1,0)</f>
        <v>0</v>
      </c>
      <c r="D4645" s="33">
        <f>IF(ISNUMBER(SEARCH('Φόρμα Εισαγωγής'!$C$2,E4645)),MAX($D$1:D4644)+1,0)</f>
        <v>0</v>
      </c>
      <c r="H4645" s="6">
        <f t="shared" si="227"/>
        <v>0</v>
      </c>
      <c r="I4645" s="6">
        <f t="shared" si="228"/>
        <v>0</v>
      </c>
      <c r="J4645" s="6">
        <f t="shared" si="229"/>
        <v>0</v>
      </c>
      <c r="L4645" s="4" t="str">
        <f>IFERROR(VLOOKUP(ROWS($L$2:L4645),$B$2:$C$1996,2,0),"")</f>
        <v/>
      </c>
      <c r="N4645" s="2" t="str">
        <f>IFERROR(VLOOKUP(ROWS($N$2:N4645),$D$2:$E$1996,2,0),"")</f>
        <v/>
      </c>
    </row>
    <row r="4646" spans="2:14">
      <c r="B4646" s="32">
        <f>IF(ISNUMBER(SEARCH('Φόρμα Εισαγωγής'!$B$2,C4646)),MAX($B$1:B4645)+1,0)</f>
        <v>0</v>
      </c>
      <c r="D4646" s="33">
        <f>IF(ISNUMBER(SEARCH('Φόρμα Εισαγωγής'!$C$2,E4646)),MAX($D$1:D4645)+1,0)</f>
        <v>0</v>
      </c>
      <c r="H4646" s="6">
        <f t="shared" si="227"/>
        <v>0</v>
      </c>
      <c r="I4646" s="6">
        <f t="shared" si="228"/>
        <v>0</v>
      </c>
      <c r="J4646" s="6">
        <f t="shared" si="229"/>
        <v>0</v>
      </c>
      <c r="L4646" s="4" t="str">
        <f>IFERROR(VLOOKUP(ROWS($L$2:L4646),$B$2:$C$1996,2,0),"")</f>
        <v/>
      </c>
      <c r="N4646" s="2" t="str">
        <f>IFERROR(VLOOKUP(ROWS($N$2:N4646),$D$2:$E$1996,2,0),"")</f>
        <v/>
      </c>
    </row>
    <row r="4647" spans="2:14">
      <c r="B4647" s="32">
        <f>IF(ISNUMBER(SEARCH('Φόρμα Εισαγωγής'!$B$2,C4647)),MAX($B$1:B4646)+1,0)</f>
        <v>0</v>
      </c>
      <c r="D4647" s="33">
        <f>IF(ISNUMBER(SEARCH('Φόρμα Εισαγωγής'!$C$2,E4647)),MAX($D$1:D4646)+1,0)</f>
        <v>0</v>
      </c>
      <c r="H4647" s="6">
        <f t="shared" si="227"/>
        <v>0</v>
      </c>
      <c r="I4647" s="6">
        <f t="shared" si="228"/>
        <v>0</v>
      </c>
      <c r="J4647" s="6">
        <f t="shared" si="229"/>
        <v>0</v>
      </c>
      <c r="L4647" s="4" t="str">
        <f>IFERROR(VLOOKUP(ROWS($L$2:L4647),$B$2:$C$1996,2,0),"")</f>
        <v/>
      </c>
      <c r="N4647" s="2" t="str">
        <f>IFERROR(VLOOKUP(ROWS($N$2:N4647),$D$2:$E$1996,2,0),"")</f>
        <v/>
      </c>
    </row>
    <row r="4648" spans="2:14">
      <c r="B4648" s="32">
        <f>IF(ISNUMBER(SEARCH('Φόρμα Εισαγωγής'!$B$2,C4648)),MAX($B$1:B4647)+1,0)</f>
        <v>0</v>
      </c>
      <c r="D4648" s="33">
        <f>IF(ISNUMBER(SEARCH('Φόρμα Εισαγωγής'!$C$2,E4648)),MAX($D$1:D4647)+1,0)</f>
        <v>0</v>
      </c>
      <c r="H4648" s="6">
        <f t="shared" si="227"/>
        <v>0</v>
      </c>
      <c r="I4648" s="6">
        <f t="shared" si="228"/>
        <v>0</v>
      </c>
      <c r="J4648" s="6">
        <f t="shared" si="229"/>
        <v>0</v>
      </c>
      <c r="L4648" s="4" t="str">
        <f>IFERROR(VLOOKUP(ROWS($L$2:L4648),$B$2:$C$1996,2,0),"")</f>
        <v/>
      </c>
      <c r="N4648" s="2" t="str">
        <f>IFERROR(VLOOKUP(ROWS($N$2:N4648),$D$2:$E$1996,2,0),"")</f>
        <v/>
      </c>
    </row>
    <row r="4649" spans="2:14">
      <c r="B4649" s="32">
        <f>IF(ISNUMBER(SEARCH('Φόρμα Εισαγωγής'!$B$2,C4649)),MAX($B$1:B4648)+1,0)</f>
        <v>0</v>
      </c>
      <c r="D4649" s="33">
        <f>IF(ISNUMBER(SEARCH('Φόρμα Εισαγωγής'!$C$2,E4649)),MAX($D$1:D4648)+1,0)</f>
        <v>0</v>
      </c>
      <c r="H4649" s="6">
        <f t="shared" si="227"/>
        <v>0</v>
      </c>
      <c r="I4649" s="6">
        <f t="shared" si="228"/>
        <v>0</v>
      </c>
      <c r="J4649" s="6">
        <f t="shared" si="229"/>
        <v>0</v>
      </c>
      <c r="L4649" s="4" t="str">
        <f>IFERROR(VLOOKUP(ROWS($L$2:L4649),$B$2:$C$1996,2,0),"")</f>
        <v/>
      </c>
      <c r="N4649" s="2" t="str">
        <f>IFERROR(VLOOKUP(ROWS($N$2:N4649),$D$2:$E$1996,2,0),"")</f>
        <v/>
      </c>
    </row>
    <row r="4650" spans="2:14">
      <c r="B4650" s="32">
        <f>IF(ISNUMBER(SEARCH('Φόρμα Εισαγωγής'!$B$2,C4650)),MAX($B$1:B4649)+1,0)</f>
        <v>0</v>
      </c>
      <c r="D4650" s="33">
        <f>IF(ISNUMBER(SEARCH('Φόρμα Εισαγωγής'!$C$2,E4650)),MAX($D$1:D4649)+1,0)</f>
        <v>0</v>
      </c>
      <c r="H4650" s="6">
        <f t="shared" si="227"/>
        <v>0</v>
      </c>
      <c r="I4650" s="6">
        <f t="shared" si="228"/>
        <v>0</v>
      </c>
      <c r="J4650" s="6">
        <f t="shared" si="229"/>
        <v>0</v>
      </c>
      <c r="L4650" s="4" t="str">
        <f>IFERROR(VLOOKUP(ROWS($L$2:L4650),$B$2:$C$1996,2,0),"")</f>
        <v/>
      </c>
      <c r="N4650" s="2" t="str">
        <f>IFERROR(VLOOKUP(ROWS($N$2:N4650),$D$2:$E$1996,2,0),"")</f>
        <v/>
      </c>
    </row>
    <row r="4651" spans="2:14">
      <c r="B4651" s="32">
        <f>IF(ISNUMBER(SEARCH('Φόρμα Εισαγωγής'!$B$2,C4651)),MAX($B$1:B4650)+1,0)</f>
        <v>0</v>
      </c>
      <c r="D4651" s="33">
        <f>IF(ISNUMBER(SEARCH('Φόρμα Εισαγωγής'!$C$2,E4651)),MAX($D$1:D4650)+1,0)</f>
        <v>0</v>
      </c>
      <c r="H4651" s="6">
        <f t="shared" si="227"/>
        <v>0</v>
      </c>
      <c r="I4651" s="6">
        <f t="shared" si="228"/>
        <v>0</v>
      </c>
      <c r="J4651" s="6">
        <f t="shared" si="229"/>
        <v>0</v>
      </c>
      <c r="L4651" s="4" t="str">
        <f>IFERROR(VLOOKUP(ROWS($L$2:L4651),$B$2:$C$1996,2,0),"")</f>
        <v/>
      </c>
      <c r="N4651" s="2" t="str">
        <f>IFERROR(VLOOKUP(ROWS($N$2:N4651),$D$2:$E$1996,2,0),"")</f>
        <v/>
      </c>
    </row>
    <row r="4652" spans="2:14">
      <c r="B4652" s="32">
        <f>IF(ISNUMBER(SEARCH('Φόρμα Εισαγωγής'!$B$2,C4652)),MAX($B$1:B4651)+1,0)</f>
        <v>0</v>
      </c>
      <c r="D4652" s="33">
        <f>IF(ISNUMBER(SEARCH('Φόρμα Εισαγωγής'!$C$2,E4652)),MAX($D$1:D4651)+1,0)</f>
        <v>0</v>
      </c>
      <c r="H4652" s="6">
        <f t="shared" si="227"/>
        <v>0</v>
      </c>
      <c r="I4652" s="6">
        <f t="shared" si="228"/>
        <v>0</v>
      </c>
      <c r="J4652" s="6">
        <f t="shared" si="229"/>
        <v>0</v>
      </c>
      <c r="L4652" s="4" t="str">
        <f>IFERROR(VLOOKUP(ROWS($L$2:L4652),$B$2:$C$1996,2,0),"")</f>
        <v/>
      </c>
      <c r="N4652" s="2" t="str">
        <f>IFERROR(VLOOKUP(ROWS($N$2:N4652),$D$2:$E$1996,2,0),"")</f>
        <v/>
      </c>
    </row>
    <row r="4653" spans="2:14">
      <c r="B4653" s="32">
        <f>IF(ISNUMBER(SEARCH('Φόρμα Εισαγωγής'!$B$2,C4653)),MAX($B$1:B4652)+1,0)</f>
        <v>0</v>
      </c>
      <c r="D4653" s="33">
        <f>IF(ISNUMBER(SEARCH('Φόρμα Εισαγωγής'!$C$2,E4653)),MAX($D$1:D4652)+1,0)</f>
        <v>0</v>
      </c>
      <c r="H4653" s="6">
        <f t="shared" si="227"/>
        <v>0</v>
      </c>
      <c r="I4653" s="6">
        <f t="shared" si="228"/>
        <v>0</v>
      </c>
      <c r="J4653" s="6">
        <f t="shared" si="229"/>
        <v>0</v>
      </c>
      <c r="L4653" s="4" t="str">
        <f>IFERROR(VLOOKUP(ROWS($L$2:L4653),$B$2:$C$1996,2,0),"")</f>
        <v/>
      </c>
      <c r="N4653" s="2" t="str">
        <f>IFERROR(VLOOKUP(ROWS($N$2:N4653),$D$2:$E$1996,2,0),"")</f>
        <v/>
      </c>
    </row>
    <row r="4654" spans="2:14">
      <c r="B4654" s="32">
        <f>IF(ISNUMBER(SEARCH('Φόρμα Εισαγωγής'!$B$2,C4654)),MAX($B$1:B4653)+1,0)</f>
        <v>0</v>
      </c>
      <c r="D4654" s="33">
        <f>IF(ISNUMBER(SEARCH('Φόρμα Εισαγωγής'!$C$2,E4654)),MAX($D$1:D4653)+1,0)</f>
        <v>0</v>
      </c>
      <c r="H4654" s="6">
        <f t="shared" si="227"/>
        <v>0</v>
      </c>
      <c r="I4654" s="6">
        <f t="shared" si="228"/>
        <v>0</v>
      </c>
      <c r="J4654" s="6">
        <f t="shared" si="229"/>
        <v>0</v>
      </c>
      <c r="L4654" s="4" t="str">
        <f>IFERROR(VLOOKUP(ROWS($L$2:L4654),$B$2:$C$1996,2,0),"")</f>
        <v/>
      </c>
      <c r="N4654" s="2" t="str">
        <f>IFERROR(VLOOKUP(ROWS($N$2:N4654),$D$2:$E$1996,2,0),"")</f>
        <v/>
      </c>
    </row>
    <row r="4655" spans="2:14">
      <c r="B4655" s="32">
        <f>IF(ISNUMBER(SEARCH('Φόρμα Εισαγωγής'!$B$2,C4655)),MAX($B$1:B4654)+1,0)</f>
        <v>0</v>
      </c>
      <c r="D4655" s="33">
        <f>IF(ISNUMBER(SEARCH('Φόρμα Εισαγωγής'!$C$2,E4655)),MAX($D$1:D4654)+1,0)</f>
        <v>0</v>
      </c>
      <c r="H4655" s="6">
        <f t="shared" si="227"/>
        <v>0</v>
      </c>
      <c r="I4655" s="6">
        <f t="shared" si="228"/>
        <v>0</v>
      </c>
      <c r="J4655" s="6">
        <f t="shared" si="229"/>
        <v>0</v>
      </c>
      <c r="L4655" s="4" t="str">
        <f>IFERROR(VLOOKUP(ROWS($L$2:L4655),$B$2:$C$1996,2,0),"")</f>
        <v/>
      </c>
      <c r="N4655" s="2" t="str">
        <f>IFERROR(VLOOKUP(ROWS($N$2:N4655),$D$2:$E$1996,2,0),"")</f>
        <v/>
      </c>
    </row>
    <row r="4656" spans="2:14">
      <c r="B4656" s="32">
        <f>IF(ISNUMBER(SEARCH('Φόρμα Εισαγωγής'!$B$2,C4656)),MAX($B$1:B4655)+1,0)</f>
        <v>0</v>
      </c>
      <c r="D4656" s="33">
        <f>IF(ISNUMBER(SEARCH('Φόρμα Εισαγωγής'!$C$2,E4656)),MAX($D$1:D4655)+1,0)</f>
        <v>0</v>
      </c>
      <c r="H4656" s="6">
        <f t="shared" si="227"/>
        <v>0</v>
      </c>
      <c r="I4656" s="6">
        <f t="shared" si="228"/>
        <v>0</v>
      </c>
      <c r="J4656" s="6">
        <f t="shared" si="229"/>
        <v>0</v>
      </c>
      <c r="L4656" s="4" t="str">
        <f>IFERROR(VLOOKUP(ROWS($L$2:L4656),$B$2:$C$1996,2,0),"")</f>
        <v/>
      </c>
      <c r="N4656" s="2" t="str">
        <f>IFERROR(VLOOKUP(ROWS($N$2:N4656),$D$2:$E$1996,2,0),"")</f>
        <v/>
      </c>
    </row>
    <row r="4657" spans="2:14">
      <c r="B4657" s="32">
        <f>IF(ISNUMBER(SEARCH('Φόρμα Εισαγωγής'!$B$2,C4657)),MAX($B$1:B4656)+1,0)</f>
        <v>0</v>
      </c>
      <c r="D4657" s="33">
        <f>IF(ISNUMBER(SEARCH('Φόρμα Εισαγωγής'!$C$2,E4657)),MAX($D$1:D4656)+1,0)</f>
        <v>0</v>
      </c>
      <c r="H4657" s="6">
        <f t="shared" si="227"/>
        <v>0</v>
      </c>
      <c r="I4657" s="6">
        <f t="shared" si="228"/>
        <v>0</v>
      </c>
      <c r="J4657" s="6">
        <f t="shared" si="229"/>
        <v>0</v>
      </c>
      <c r="L4657" s="4" t="str">
        <f>IFERROR(VLOOKUP(ROWS($L$2:L4657),$B$2:$C$1996,2,0),"")</f>
        <v/>
      </c>
      <c r="N4657" s="2" t="str">
        <f>IFERROR(VLOOKUP(ROWS($N$2:N4657),$D$2:$E$1996,2,0),"")</f>
        <v/>
      </c>
    </row>
    <row r="4658" spans="2:14">
      <c r="B4658" s="32">
        <f>IF(ISNUMBER(SEARCH('Φόρμα Εισαγωγής'!$B$2,C4658)),MAX($B$1:B4657)+1,0)</f>
        <v>0</v>
      </c>
      <c r="D4658" s="33">
        <f>IF(ISNUMBER(SEARCH('Φόρμα Εισαγωγής'!$C$2,E4658)),MAX($D$1:D4657)+1,0)</f>
        <v>0</v>
      </c>
      <c r="H4658" s="6">
        <f t="shared" si="227"/>
        <v>0</v>
      </c>
      <c r="I4658" s="6">
        <f t="shared" si="228"/>
        <v>0</v>
      </c>
      <c r="J4658" s="6">
        <f t="shared" si="229"/>
        <v>0</v>
      </c>
      <c r="L4658" s="4" t="str">
        <f>IFERROR(VLOOKUP(ROWS($L$2:L4658),$B$2:$C$1996,2,0),"")</f>
        <v/>
      </c>
      <c r="N4658" s="2" t="str">
        <f>IFERROR(VLOOKUP(ROWS($N$2:N4658),$D$2:$E$1996,2,0),"")</f>
        <v/>
      </c>
    </row>
    <row r="4659" spans="2:14">
      <c r="B4659" s="32">
        <f>IF(ISNUMBER(SEARCH('Φόρμα Εισαγωγής'!$B$2,C4659)),MAX($B$1:B4658)+1,0)</f>
        <v>0</v>
      </c>
      <c r="D4659" s="33">
        <f>IF(ISNUMBER(SEARCH('Φόρμα Εισαγωγής'!$C$2,E4659)),MAX($D$1:D4658)+1,0)</f>
        <v>0</v>
      </c>
      <c r="H4659" s="6">
        <f t="shared" si="227"/>
        <v>0</v>
      </c>
      <c r="I4659" s="6">
        <f t="shared" si="228"/>
        <v>0</v>
      </c>
      <c r="J4659" s="6">
        <f t="shared" si="229"/>
        <v>0</v>
      </c>
      <c r="L4659" s="4" t="str">
        <f>IFERROR(VLOOKUP(ROWS($L$2:L4659),$B$2:$C$1996,2,0),"")</f>
        <v/>
      </c>
      <c r="N4659" s="2" t="str">
        <f>IFERROR(VLOOKUP(ROWS($N$2:N4659),$D$2:$E$1996,2,0),"")</f>
        <v/>
      </c>
    </row>
    <row r="4660" spans="2:14">
      <c r="B4660" s="32">
        <f>IF(ISNUMBER(SEARCH('Φόρμα Εισαγωγής'!$B$2,C4660)),MAX($B$1:B4659)+1,0)</f>
        <v>0</v>
      </c>
      <c r="D4660" s="33">
        <f>IF(ISNUMBER(SEARCH('Φόρμα Εισαγωγής'!$C$2,E4660)),MAX($D$1:D4659)+1,0)</f>
        <v>0</v>
      </c>
      <c r="H4660" s="6">
        <f t="shared" si="227"/>
        <v>0</v>
      </c>
      <c r="I4660" s="6">
        <f t="shared" si="228"/>
        <v>0</v>
      </c>
      <c r="J4660" s="6">
        <f t="shared" si="229"/>
        <v>0</v>
      </c>
      <c r="L4660" s="4" t="str">
        <f>IFERROR(VLOOKUP(ROWS($L$2:L4660),$B$2:$C$1996,2,0),"")</f>
        <v/>
      </c>
      <c r="N4660" s="2" t="str">
        <f>IFERROR(VLOOKUP(ROWS($N$2:N4660),$D$2:$E$1996,2,0),"")</f>
        <v/>
      </c>
    </row>
    <row r="4661" spans="2:14">
      <c r="B4661" s="32">
        <f>IF(ISNUMBER(SEARCH('Φόρμα Εισαγωγής'!$B$2,C4661)),MAX($B$1:B4660)+1,0)</f>
        <v>0</v>
      </c>
      <c r="D4661" s="33">
        <f>IF(ISNUMBER(SEARCH('Φόρμα Εισαγωγής'!$C$2,E4661)),MAX($D$1:D4660)+1,0)</f>
        <v>0</v>
      </c>
      <c r="H4661" s="6">
        <f t="shared" si="227"/>
        <v>0</v>
      </c>
      <c r="I4661" s="6">
        <f t="shared" si="228"/>
        <v>0</v>
      </c>
      <c r="J4661" s="6">
        <f t="shared" si="229"/>
        <v>0</v>
      </c>
      <c r="L4661" s="4" t="str">
        <f>IFERROR(VLOOKUP(ROWS($L$2:L4661),$B$2:$C$1996,2,0),"")</f>
        <v/>
      </c>
      <c r="N4661" s="2" t="str">
        <f>IFERROR(VLOOKUP(ROWS($N$2:N4661),$D$2:$E$1996,2,0),"")</f>
        <v/>
      </c>
    </row>
    <row r="4662" spans="2:14">
      <c r="B4662" s="32">
        <f>IF(ISNUMBER(SEARCH('Φόρμα Εισαγωγής'!$B$2,C4662)),MAX($B$1:B4661)+1,0)</f>
        <v>0</v>
      </c>
      <c r="D4662" s="33">
        <f>IF(ISNUMBER(SEARCH('Φόρμα Εισαγωγής'!$C$2,E4662)),MAX($D$1:D4661)+1,0)</f>
        <v>0</v>
      </c>
      <c r="H4662" s="6">
        <f t="shared" si="227"/>
        <v>0</v>
      </c>
      <c r="I4662" s="6">
        <f t="shared" si="228"/>
        <v>0</v>
      </c>
      <c r="J4662" s="6">
        <f t="shared" si="229"/>
        <v>0</v>
      </c>
      <c r="L4662" s="4" t="str">
        <f>IFERROR(VLOOKUP(ROWS($L$2:L4662),$B$2:$C$1996,2,0),"")</f>
        <v/>
      </c>
      <c r="N4662" s="2" t="str">
        <f>IFERROR(VLOOKUP(ROWS($N$2:N4662),$D$2:$E$1996,2,0),"")</f>
        <v/>
      </c>
    </row>
    <row r="4663" spans="2:14">
      <c r="B4663" s="32">
        <f>IF(ISNUMBER(SEARCH('Φόρμα Εισαγωγής'!$B$2,C4663)),MAX($B$1:B4662)+1,0)</f>
        <v>0</v>
      </c>
      <c r="D4663" s="33">
        <f>IF(ISNUMBER(SEARCH('Φόρμα Εισαγωγής'!$C$2,E4663)),MAX($D$1:D4662)+1,0)</f>
        <v>0</v>
      </c>
      <c r="H4663" s="6">
        <f t="shared" si="227"/>
        <v>0</v>
      </c>
      <c r="I4663" s="6">
        <f t="shared" si="228"/>
        <v>0</v>
      </c>
      <c r="J4663" s="6">
        <f t="shared" si="229"/>
        <v>0</v>
      </c>
      <c r="L4663" s="4" t="str">
        <f>IFERROR(VLOOKUP(ROWS($L$2:L4663),$B$2:$C$1996,2,0),"")</f>
        <v/>
      </c>
      <c r="N4663" s="2" t="str">
        <f>IFERROR(VLOOKUP(ROWS($N$2:N4663),$D$2:$E$1996,2,0),"")</f>
        <v/>
      </c>
    </row>
    <row r="4664" spans="2:14">
      <c r="B4664" s="32">
        <f>IF(ISNUMBER(SEARCH('Φόρμα Εισαγωγής'!$B$2,C4664)),MAX($B$1:B4663)+1,0)</f>
        <v>0</v>
      </c>
      <c r="D4664" s="33">
        <f>IF(ISNUMBER(SEARCH('Φόρμα Εισαγωγής'!$C$2,E4664)),MAX($D$1:D4663)+1,0)</f>
        <v>0</v>
      </c>
      <c r="H4664" s="6">
        <f t="shared" si="227"/>
        <v>0</v>
      </c>
      <c r="I4664" s="6">
        <f t="shared" si="228"/>
        <v>0</v>
      </c>
      <c r="J4664" s="6">
        <f t="shared" si="229"/>
        <v>0</v>
      </c>
      <c r="L4664" s="4" t="str">
        <f>IFERROR(VLOOKUP(ROWS($L$2:L4664),$B$2:$C$1996,2,0),"")</f>
        <v/>
      </c>
      <c r="N4664" s="2" t="str">
        <f>IFERROR(VLOOKUP(ROWS($N$2:N4664),$D$2:$E$1996,2,0),"")</f>
        <v/>
      </c>
    </row>
    <row r="4665" spans="2:14">
      <c r="B4665" s="32">
        <f>IF(ISNUMBER(SEARCH('Φόρμα Εισαγωγής'!$B$2,C4665)),MAX($B$1:B4664)+1,0)</f>
        <v>0</v>
      </c>
      <c r="D4665" s="33">
        <f>IF(ISNUMBER(SEARCH('Φόρμα Εισαγωγής'!$C$2,E4665)),MAX($D$1:D4664)+1,0)</f>
        <v>0</v>
      </c>
      <c r="H4665" s="6">
        <f t="shared" si="227"/>
        <v>0</v>
      </c>
      <c r="I4665" s="6">
        <f t="shared" si="228"/>
        <v>0</v>
      </c>
      <c r="J4665" s="6">
        <f t="shared" si="229"/>
        <v>0</v>
      </c>
      <c r="L4665" s="4" t="str">
        <f>IFERROR(VLOOKUP(ROWS($L$2:L4665),$B$2:$C$1996,2,0),"")</f>
        <v/>
      </c>
      <c r="N4665" s="2" t="str">
        <f>IFERROR(VLOOKUP(ROWS($N$2:N4665),$D$2:$E$1996,2,0),"")</f>
        <v/>
      </c>
    </row>
    <row r="4666" spans="2:14">
      <c r="B4666" s="32">
        <f>IF(ISNUMBER(SEARCH('Φόρμα Εισαγωγής'!$B$2,C4666)),MAX($B$1:B4665)+1,0)</f>
        <v>0</v>
      </c>
      <c r="D4666" s="33">
        <f>IF(ISNUMBER(SEARCH('Φόρμα Εισαγωγής'!$C$2,E4666)),MAX($D$1:D4665)+1,0)</f>
        <v>0</v>
      </c>
      <c r="H4666" s="6">
        <f t="shared" si="227"/>
        <v>0</v>
      </c>
      <c r="I4666" s="6">
        <f t="shared" si="228"/>
        <v>0</v>
      </c>
      <c r="J4666" s="6">
        <f t="shared" si="229"/>
        <v>0</v>
      </c>
      <c r="L4666" s="4" t="str">
        <f>IFERROR(VLOOKUP(ROWS($L$2:L4666),$B$2:$C$1996,2,0),"")</f>
        <v/>
      </c>
      <c r="N4666" s="2" t="str">
        <f>IFERROR(VLOOKUP(ROWS($N$2:N4666),$D$2:$E$1996,2,0),"")</f>
        <v/>
      </c>
    </row>
    <row r="4667" spans="2:14">
      <c r="B4667" s="32">
        <f>IF(ISNUMBER(SEARCH('Φόρμα Εισαγωγής'!$B$2,C4667)),MAX($B$1:B4666)+1,0)</f>
        <v>0</v>
      </c>
      <c r="D4667" s="33">
        <f>IF(ISNUMBER(SEARCH('Φόρμα Εισαγωγής'!$C$2,E4667)),MAX($D$1:D4666)+1,0)</f>
        <v>0</v>
      </c>
      <c r="H4667" s="6">
        <f t="shared" si="227"/>
        <v>0</v>
      </c>
      <c r="I4667" s="6">
        <f t="shared" si="228"/>
        <v>0</v>
      </c>
      <c r="J4667" s="6">
        <f t="shared" si="229"/>
        <v>0</v>
      </c>
      <c r="L4667" s="4" t="str">
        <f>IFERROR(VLOOKUP(ROWS($L$2:L4667),$B$2:$C$1996,2,0),"")</f>
        <v/>
      </c>
      <c r="N4667" s="2" t="str">
        <f>IFERROR(VLOOKUP(ROWS($N$2:N4667),$D$2:$E$1996,2,0),"")</f>
        <v/>
      </c>
    </row>
    <row r="4668" spans="2:14">
      <c r="B4668" s="32">
        <f>IF(ISNUMBER(SEARCH('Φόρμα Εισαγωγής'!$B$2,C4668)),MAX($B$1:B4667)+1,0)</f>
        <v>0</v>
      </c>
      <c r="D4668" s="33">
        <f>IF(ISNUMBER(SEARCH('Φόρμα Εισαγωγής'!$C$2,E4668)),MAX($D$1:D4667)+1,0)</f>
        <v>0</v>
      </c>
      <c r="H4668" s="6">
        <f t="shared" si="227"/>
        <v>0</v>
      </c>
      <c r="I4668" s="6">
        <f t="shared" si="228"/>
        <v>0</v>
      </c>
      <c r="J4668" s="6">
        <f t="shared" si="229"/>
        <v>0</v>
      </c>
      <c r="L4668" s="4" t="str">
        <f>IFERROR(VLOOKUP(ROWS($L$2:L4668),$B$2:$C$1996,2,0),"")</f>
        <v/>
      </c>
      <c r="N4668" s="2" t="str">
        <f>IFERROR(VLOOKUP(ROWS($N$2:N4668),$D$2:$E$1996,2,0),"")</f>
        <v/>
      </c>
    </row>
    <row r="4669" spans="2:14">
      <c r="B4669" s="32">
        <f>IF(ISNUMBER(SEARCH('Φόρμα Εισαγωγής'!$B$2,C4669)),MAX($B$1:B4668)+1,0)</f>
        <v>0</v>
      </c>
      <c r="D4669" s="33">
        <f>IF(ISNUMBER(SEARCH('Φόρμα Εισαγωγής'!$C$2,E4669)),MAX($D$1:D4668)+1,0)</f>
        <v>0</v>
      </c>
      <c r="H4669" s="6">
        <f t="shared" si="227"/>
        <v>0</v>
      </c>
      <c r="I4669" s="6">
        <f t="shared" si="228"/>
        <v>0</v>
      </c>
      <c r="J4669" s="6">
        <f t="shared" si="229"/>
        <v>0</v>
      </c>
      <c r="L4669" s="4" t="str">
        <f>IFERROR(VLOOKUP(ROWS($L$2:L4669),$B$2:$C$1996,2,0),"")</f>
        <v/>
      </c>
      <c r="N4669" s="2" t="str">
        <f>IFERROR(VLOOKUP(ROWS($N$2:N4669),$D$2:$E$1996,2,0),"")</f>
        <v/>
      </c>
    </row>
    <row r="4670" spans="2:14">
      <c r="B4670" s="32">
        <f>IF(ISNUMBER(SEARCH('Φόρμα Εισαγωγής'!$B$2,C4670)),MAX($B$1:B4669)+1,0)</f>
        <v>0</v>
      </c>
      <c r="D4670" s="33">
        <f>IF(ISNUMBER(SEARCH('Φόρμα Εισαγωγής'!$C$2,E4670)),MAX($D$1:D4669)+1,0)</f>
        <v>0</v>
      </c>
      <c r="H4670" s="6">
        <f t="shared" si="227"/>
        <v>0</v>
      </c>
      <c r="I4670" s="6">
        <f t="shared" si="228"/>
        <v>0</v>
      </c>
      <c r="J4670" s="6">
        <f t="shared" si="229"/>
        <v>0</v>
      </c>
      <c r="L4670" s="4" t="str">
        <f>IFERROR(VLOOKUP(ROWS($L$2:L4670),$B$2:$C$1996,2,0),"")</f>
        <v/>
      </c>
      <c r="N4670" s="2" t="str">
        <f>IFERROR(VLOOKUP(ROWS($N$2:N4670),$D$2:$E$1996,2,0),"")</f>
        <v/>
      </c>
    </row>
    <row r="4671" spans="2:14">
      <c r="B4671" s="32">
        <f>IF(ISNUMBER(SEARCH('Φόρμα Εισαγωγής'!$B$2,C4671)),MAX($B$1:B4670)+1,0)</f>
        <v>0</v>
      </c>
      <c r="D4671" s="33">
        <f>IF(ISNUMBER(SEARCH('Φόρμα Εισαγωγής'!$C$2,E4671)),MAX($D$1:D4670)+1,0)</f>
        <v>0</v>
      </c>
      <c r="H4671" s="6">
        <f t="shared" si="227"/>
        <v>0</v>
      </c>
      <c r="I4671" s="6">
        <f t="shared" si="228"/>
        <v>0</v>
      </c>
      <c r="J4671" s="6">
        <f t="shared" si="229"/>
        <v>0</v>
      </c>
      <c r="L4671" s="4" t="str">
        <f>IFERROR(VLOOKUP(ROWS($L$2:L4671),$B$2:$C$1996,2,0),"")</f>
        <v/>
      </c>
      <c r="N4671" s="2" t="str">
        <f>IFERROR(VLOOKUP(ROWS($N$2:N4671),$D$2:$E$1996,2,0),"")</f>
        <v/>
      </c>
    </row>
    <row r="4672" spans="2:14">
      <c r="B4672" s="32">
        <f>IF(ISNUMBER(SEARCH('Φόρμα Εισαγωγής'!$B$2,C4672)),MAX($B$1:B4671)+1,0)</f>
        <v>0</v>
      </c>
      <c r="D4672" s="33">
        <f>IF(ISNUMBER(SEARCH('Φόρμα Εισαγωγής'!$C$2,E4672)),MAX($D$1:D4671)+1,0)</f>
        <v>0</v>
      </c>
      <c r="H4672" s="6">
        <f t="shared" ref="H4672:H4735" si="230">G4672+(G4672*0.24)</f>
        <v>0</v>
      </c>
      <c r="I4672" s="6">
        <f t="shared" ref="I4672:I4735" si="231">F4672*A4672</f>
        <v>0</v>
      </c>
      <c r="J4672" s="6">
        <f t="shared" ref="J4672:J4735" si="232">H4672*A4672</f>
        <v>0</v>
      </c>
      <c r="L4672" s="4" t="str">
        <f>IFERROR(VLOOKUP(ROWS($L$2:L4672),$B$2:$C$1996,2,0),"")</f>
        <v/>
      </c>
      <c r="N4672" s="2" t="str">
        <f>IFERROR(VLOOKUP(ROWS($N$2:N4672),$D$2:$E$1996,2,0),"")</f>
        <v/>
      </c>
    </row>
    <row r="4673" spans="2:14">
      <c r="B4673" s="32">
        <f>IF(ISNUMBER(SEARCH('Φόρμα Εισαγωγής'!$B$2,C4673)),MAX($B$1:B4672)+1,0)</f>
        <v>0</v>
      </c>
      <c r="D4673" s="33">
        <f>IF(ISNUMBER(SEARCH('Φόρμα Εισαγωγής'!$C$2,E4673)),MAX($D$1:D4672)+1,0)</f>
        <v>0</v>
      </c>
      <c r="H4673" s="6">
        <f t="shared" si="230"/>
        <v>0</v>
      </c>
      <c r="I4673" s="6">
        <f t="shared" si="231"/>
        <v>0</v>
      </c>
      <c r="J4673" s="6">
        <f t="shared" si="232"/>
        <v>0</v>
      </c>
      <c r="L4673" s="4" t="str">
        <f>IFERROR(VLOOKUP(ROWS($L$2:L4673),$B$2:$C$1996,2,0),"")</f>
        <v/>
      </c>
      <c r="N4673" s="2" t="str">
        <f>IFERROR(VLOOKUP(ROWS($N$2:N4673),$D$2:$E$1996,2,0),"")</f>
        <v/>
      </c>
    </row>
    <row r="4674" spans="2:14">
      <c r="B4674" s="32">
        <f>IF(ISNUMBER(SEARCH('Φόρμα Εισαγωγής'!$B$2,C4674)),MAX($B$1:B4673)+1,0)</f>
        <v>0</v>
      </c>
      <c r="D4674" s="33">
        <f>IF(ISNUMBER(SEARCH('Φόρμα Εισαγωγής'!$C$2,E4674)),MAX($D$1:D4673)+1,0)</f>
        <v>0</v>
      </c>
      <c r="H4674" s="6">
        <f t="shared" si="230"/>
        <v>0</v>
      </c>
      <c r="I4674" s="6">
        <f t="shared" si="231"/>
        <v>0</v>
      </c>
      <c r="J4674" s="6">
        <f t="shared" si="232"/>
        <v>0</v>
      </c>
      <c r="L4674" s="4" t="str">
        <f>IFERROR(VLOOKUP(ROWS($L$2:L4674),$B$2:$C$1996,2,0),"")</f>
        <v/>
      </c>
      <c r="N4674" s="2" t="str">
        <f>IFERROR(VLOOKUP(ROWS($N$2:N4674),$D$2:$E$1996,2,0),"")</f>
        <v/>
      </c>
    </row>
    <row r="4675" spans="2:14">
      <c r="B4675" s="32">
        <f>IF(ISNUMBER(SEARCH('Φόρμα Εισαγωγής'!$B$2,C4675)),MAX($B$1:B4674)+1,0)</f>
        <v>0</v>
      </c>
      <c r="D4675" s="33">
        <f>IF(ISNUMBER(SEARCH('Φόρμα Εισαγωγής'!$C$2,E4675)),MAX($D$1:D4674)+1,0)</f>
        <v>0</v>
      </c>
      <c r="H4675" s="6">
        <f t="shared" si="230"/>
        <v>0</v>
      </c>
      <c r="I4675" s="6">
        <f t="shared" si="231"/>
        <v>0</v>
      </c>
      <c r="J4675" s="6">
        <f t="shared" si="232"/>
        <v>0</v>
      </c>
      <c r="L4675" s="4" t="str">
        <f>IFERROR(VLOOKUP(ROWS($L$2:L4675),$B$2:$C$1996,2,0),"")</f>
        <v/>
      </c>
      <c r="N4675" s="2" t="str">
        <f>IFERROR(VLOOKUP(ROWS($N$2:N4675),$D$2:$E$1996,2,0),"")</f>
        <v/>
      </c>
    </row>
    <row r="4676" spans="2:14">
      <c r="B4676" s="32">
        <f>IF(ISNUMBER(SEARCH('Φόρμα Εισαγωγής'!$B$2,C4676)),MAX($B$1:B4675)+1,0)</f>
        <v>0</v>
      </c>
      <c r="D4676" s="33">
        <f>IF(ISNUMBER(SEARCH('Φόρμα Εισαγωγής'!$C$2,E4676)),MAX($D$1:D4675)+1,0)</f>
        <v>0</v>
      </c>
      <c r="H4676" s="6">
        <f t="shared" si="230"/>
        <v>0</v>
      </c>
      <c r="I4676" s="6">
        <f t="shared" si="231"/>
        <v>0</v>
      </c>
      <c r="J4676" s="6">
        <f t="shared" si="232"/>
        <v>0</v>
      </c>
      <c r="L4676" s="4" t="str">
        <f>IFERROR(VLOOKUP(ROWS($L$2:L4676),$B$2:$C$1996,2,0),"")</f>
        <v/>
      </c>
      <c r="N4676" s="2" t="str">
        <f>IFERROR(VLOOKUP(ROWS($N$2:N4676),$D$2:$E$1996,2,0),"")</f>
        <v/>
      </c>
    </row>
    <row r="4677" spans="2:14">
      <c r="B4677" s="32">
        <f>IF(ISNUMBER(SEARCH('Φόρμα Εισαγωγής'!$B$2,C4677)),MAX($B$1:B4676)+1,0)</f>
        <v>0</v>
      </c>
      <c r="D4677" s="33">
        <f>IF(ISNUMBER(SEARCH('Φόρμα Εισαγωγής'!$C$2,E4677)),MAX($D$1:D4676)+1,0)</f>
        <v>0</v>
      </c>
      <c r="H4677" s="6">
        <f t="shared" si="230"/>
        <v>0</v>
      </c>
      <c r="I4677" s="6">
        <f t="shared" si="231"/>
        <v>0</v>
      </c>
      <c r="J4677" s="6">
        <f t="shared" si="232"/>
        <v>0</v>
      </c>
      <c r="L4677" s="4" t="str">
        <f>IFERROR(VLOOKUP(ROWS($L$2:L4677),$B$2:$C$1996,2,0),"")</f>
        <v/>
      </c>
      <c r="N4677" s="2" t="str">
        <f>IFERROR(VLOOKUP(ROWS($N$2:N4677),$D$2:$E$1996,2,0),"")</f>
        <v/>
      </c>
    </row>
    <row r="4678" spans="2:14">
      <c r="B4678" s="32">
        <f>IF(ISNUMBER(SEARCH('Φόρμα Εισαγωγής'!$B$2,C4678)),MAX($B$1:B4677)+1,0)</f>
        <v>0</v>
      </c>
      <c r="D4678" s="33">
        <f>IF(ISNUMBER(SEARCH('Φόρμα Εισαγωγής'!$C$2,E4678)),MAX($D$1:D4677)+1,0)</f>
        <v>0</v>
      </c>
      <c r="H4678" s="6">
        <f t="shared" si="230"/>
        <v>0</v>
      </c>
      <c r="I4678" s="6">
        <f t="shared" si="231"/>
        <v>0</v>
      </c>
      <c r="J4678" s="6">
        <f t="shared" si="232"/>
        <v>0</v>
      </c>
      <c r="L4678" s="4" t="str">
        <f>IFERROR(VLOOKUP(ROWS($L$2:L4678),$B$2:$C$1996,2,0),"")</f>
        <v/>
      </c>
      <c r="N4678" s="2" t="str">
        <f>IFERROR(VLOOKUP(ROWS($N$2:N4678),$D$2:$E$1996,2,0),"")</f>
        <v/>
      </c>
    </row>
    <row r="4679" spans="2:14">
      <c r="B4679" s="32">
        <f>IF(ISNUMBER(SEARCH('Φόρμα Εισαγωγής'!$B$2,C4679)),MAX($B$1:B4678)+1,0)</f>
        <v>0</v>
      </c>
      <c r="D4679" s="33">
        <f>IF(ISNUMBER(SEARCH('Φόρμα Εισαγωγής'!$C$2,E4679)),MAX($D$1:D4678)+1,0)</f>
        <v>0</v>
      </c>
      <c r="H4679" s="6">
        <f t="shared" si="230"/>
        <v>0</v>
      </c>
      <c r="I4679" s="6">
        <f t="shared" si="231"/>
        <v>0</v>
      </c>
      <c r="J4679" s="6">
        <f t="shared" si="232"/>
        <v>0</v>
      </c>
      <c r="L4679" s="4" t="str">
        <f>IFERROR(VLOOKUP(ROWS($L$2:L4679),$B$2:$C$1996,2,0),"")</f>
        <v/>
      </c>
      <c r="N4679" s="2" t="str">
        <f>IFERROR(VLOOKUP(ROWS($N$2:N4679),$D$2:$E$1996,2,0),"")</f>
        <v/>
      </c>
    </row>
    <row r="4680" spans="2:14">
      <c r="B4680" s="32">
        <f>IF(ISNUMBER(SEARCH('Φόρμα Εισαγωγής'!$B$2,C4680)),MAX($B$1:B4679)+1,0)</f>
        <v>0</v>
      </c>
      <c r="D4680" s="33">
        <f>IF(ISNUMBER(SEARCH('Φόρμα Εισαγωγής'!$C$2,E4680)),MAX($D$1:D4679)+1,0)</f>
        <v>0</v>
      </c>
      <c r="H4680" s="6">
        <f t="shared" si="230"/>
        <v>0</v>
      </c>
      <c r="I4680" s="6">
        <f t="shared" si="231"/>
        <v>0</v>
      </c>
      <c r="J4680" s="6">
        <f t="shared" si="232"/>
        <v>0</v>
      </c>
      <c r="L4680" s="4" t="str">
        <f>IFERROR(VLOOKUP(ROWS($L$2:L4680),$B$2:$C$1996,2,0),"")</f>
        <v/>
      </c>
      <c r="N4680" s="2" t="str">
        <f>IFERROR(VLOOKUP(ROWS($N$2:N4680),$D$2:$E$1996,2,0),"")</f>
        <v/>
      </c>
    </row>
    <row r="4681" spans="2:14">
      <c r="B4681" s="32">
        <f>IF(ISNUMBER(SEARCH('Φόρμα Εισαγωγής'!$B$2,C4681)),MAX($B$1:B4680)+1,0)</f>
        <v>0</v>
      </c>
      <c r="D4681" s="33">
        <f>IF(ISNUMBER(SEARCH('Φόρμα Εισαγωγής'!$C$2,E4681)),MAX($D$1:D4680)+1,0)</f>
        <v>0</v>
      </c>
      <c r="H4681" s="6">
        <f t="shared" si="230"/>
        <v>0</v>
      </c>
      <c r="I4681" s="6">
        <f t="shared" si="231"/>
        <v>0</v>
      </c>
      <c r="J4681" s="6">
        <f t="shared" si="232"/>
        <v>0</v>
      </c>
      <c r="L4681" s="4" t="str">
        <f>IFERROR(VLOOKUP(ROWS($L$2:L4681),$B$2:$C$1996,2,0),"")</f>
        <v/>
      </c>
      <c r="N4681" s="2" t="str">
        <f>IFERROR(VLOOKUP(ROWS($N$2:N4681),$D$2:$E$1996,2,0),"")</f>
        <v/>
      </c>
    </row>
    <row r="4682" spans="2:14">
      <c r="B4682" s="32">
        <f>IF(ISNUMBER(SEARCH('Φόρμα Εισαγωγής'!$B$2,C4682)),MAX($B$1:B4681)+1,0)</f>
        <v>0</v>
      </c>
      <c r="D4682" s="33">
        <f>IF(ISNUMBER(SEARCH('Φόρμα Εισαγωγής'!$C$2,E4682)),MAX($D$1:D4681)+1,0)</f>
        <v>0</v>
      </c>
      <c r="H4682" s="6">
        <f t="shared" si="230"/>
        <v>0</v>
      </c>
      <c r="I4682" s="6">
        <f t="shared" si="231"/>
        <v>0</v>
      </c>
      <c r="J4682" s="6">
        <f t="shared" si="232"/>
        <v>0</v>
      </c>
      <c r="L4682" s="4" t="str">
        <f>IFERROR(VLOOKUP(ROWS($L$2:L4682),$B$2:$C$1996,2,0),"")</f>
        <v/>
      </c>
      <c r="N4682" s="2" t="str">
        <f>IFERROR(VLOOKUP(ROWS($N$2:N4682),$D$2:$E$1996,2,0),"")</f>
        <v/>
      </c>
    </row>
    <row r="4683" spans="2:14">
      <c r="B4683" s="32">
        <f>IF(ISNUMBER(SEARCH('Φόρμα Εισαγωγής'!$B$2,C4683)),MAX($B$1:B4682)+1,0)</f>
        <v>0</v>
      </c>
      <c r="D4683" s="33">
        <f>IF(ISNUMBER(SEARCH('Φόρμα Εισαγωγής'!$C$2,E4683)),MAX($D$1:D4682)+1,0)</f>
        <v>0</v>
      </c>
      <c r="H4683" s="6">
        <f t="shared" si="230"/>
        <v>0</v>
      </c>
      <c r="I4683" s="6">
        <f t="shared" si="231"/>
        <v>0</v>
      </c>
      <c r="J4683" s="6">
        <f t="shared" si="232"/>
        <v>0</v>
      </c>
      <c r="L4683" s="4" t="str">
        <f>IFERROR(VLOOKUP(ROWS($L$2:L4683),$B$2:$C$1996,2,0),"")</f>
        <v/>
      </c>
      <c r="N4683" s="2" t="str">
        <f>IFERROR(VLOOKUP(ROWS($N$2:N4683),$D$2:$E$1996,2,0),"")</f>
        <v/>
      </c>
    </row>
    <row r="4684" spans="2:14">
      <c r="B4684" s="32">
        <f>IF(ISNUMBER(SEARCH('Φόρμα Εισαγωγής'!$B$2,C4684)),MAX($B$1:B4683)+1,0)</f>
        <v>0</v>
      </c>
      <c r="D4684" s="33">
        <f>IF(ISNUMBER(SEARCH('Φόρμα Εισαγωγής'!$C$2,E4684)),MAX($D$1:D4683)+1,0)</f>
        <v>0</v>
      </c>
      <c r="H4684" s="6">
        <f t="shared" si="230"/>
        <v>0</v>
      </c>
      <c r="I4684" s="6">
        <f t="shared" si="231"/>
        <v>0</v>
      </c>
      <c r="J4684" s="6">
        <f t="shared" si="232"/>
        <v>0</v>
      </c>
      <c r="L4684" s="4" t="str">
        <f>IFERROR(VLOOKUP(ROWS($L$2:L4684),$B$2:$C$1996,2,0),"")</f>
        <v/>
      </c>
      <c r="N4684" s="2" t="str">
        <f>IFERROR(VLOOKUP(ROWS($N$2:N4684),$D$2:$E$1996,2,0),"")</f>
        <v/>
      </c>
    </row>
    <row r="4685" spans="2:14">
      <c r="B4685" s="32">
        <f>IF(ISNUMBER(SEARCH('Φόρμα Εισαγωγής'!$B$2,C4685)),MAX($B$1:B4684)+1,0)</f>
        <v>0</v>
      </c>
      <c r="D4685" s="33">
        <f>IF(ISNUMBER(SEARCH('Φόρμα Εισαγωγής'!$C$2,E4685)),MAX($D$1:D4684)+1,0)</f>
        <v>0</v>
      </c>
      <c r="H4685" s="6">
        <f t="shared" si="230"/>
        <v>0</v>
      </c>
      <c r="I4685" s="6">
        <f t="shared" si="231"/>
        <v>0</v>
      </c>
      <c r="J4685" s="6">
        <f t="shared" si="232"/>
        <v>0</v>
      </c>
      <c r="L4685" s="4" t="str">
        <f>IFERROR(VLOOKUP(ROWS($L$2:L4685),$B$2:$C$1996,2,0),"")</f>
        <v/>
      </c>
      <c r="N4685" s="2" t="str">
        <f>IFERROR(VLOOKUP(ROWS($N$2:N4685),$D$2:$E$1996,2,0),"")</f>
        <v/>
      </c>
    </row>
    <row r="4686" spans="2:14">
      <c r="B4686" s="32">
        <f>IF(ISNUMBER(SEARCH('Φόρμα Εισαγωγής'!$B$2,C4686)),MAX($B$1:B4685)+1,0)</f>
        <v>0</v>
      </c>
      <c r="D4686" s="33">
        <f>IF(ISNUMBER(SEARCH('Φόρμα Εισαγωγής'!$C$2,E4686)),MAX($D$1:D4685)+1,0)</f>
        <v>0</v>
      </c>
      <c r="H4686" s="6">
        <f t="shared" si="230"/>
        <v>0</v>
      </c>
      <c r="I4686" s="6">
        <f t="shared" si="231"/>
        <v>0</v>
      </c>
      <c r="J4686" s="6">
        <f t="shared" si="232"/>
        <v>0</v>
      </c>
      <c r="L4686" s="4" t="str">
        <f>IFERROR(VLOOKUP(ROWS($L$2:L4686),$B$2:$C$1996,2,0),"")</f>
        <v/>
      </c>
      <c r="N4686" s="2" t="str">
        <f>IFERROR(VLOOKUP(ROWS($N$2:N4686),$D$2:$E$1996,2,0),"")</f>
        <v/>
      </c>
    </row>
    <row r="4687" spans="2:14">
      <c r="B4687" s="32">
        <f>IF(ISNUMBER(SEARCH('Φόρμα Εισαγωγής'!$B$2,C4687)),MAX($B$1:B4686)+1,0)</f>
        <v>0</v>
      </c>
      <c r="D4687" s="33">
        <f>IF(ISNUMBER(SEARCH('Φόρμα Εισαγωγής'!$C$2,E4687)),MAX($D$1:D4686)+1,0)</f>
        <v>0</v>
      </c>
      <c r="H4687" s="6">
        <f t="shared" si="230"/>
        <v>0</v>
      </c>
      <c r="I4687" s="6">
        <f t="shared" si="231"/>
        <v>0</v>
      </c>
      <c r="J4687" s="6">
        <f t="shared" si="232"/>
        <v>0</v>
      </c>
      <c r="L4687" s="4" t="str">
        <f>IFERROR(VLOOKUP(ROWS($L$2:L4687),$B$2:$C$1996,2,0),"")</f>
        <v/>
      </c>
      <c r="N4687" s="2" t="str">
        <f>IFERROR(VLOOKUP(ROWS($N$2:N4687),$D$2:$E$1996,2,0),"")</f>
        <v/>
      </c>
    </row>
    <row r="4688" spans="2:14">
      <c r="B4688" s="32">
        <f>IF(ISNUMBER(SEARCH('Φόρμα Εισαγωγής'!$B$2,C4688)),MAX($B$1:B4687)+1,0)</f>
        <v>0</v>
      </c>
      <c r="D4688" s="33">
        <f>IF(ISNUMBER(SEARCH('Φόρμα Εισαγωγής'!$C$2,E4688)),MAX($D$1:D4687)+1,0)</f>
        <v>0</v>
      </c>
      <c r="H4688" s="6">
        <f t="shared" si="230"/>
        <v>0</v>
      </c>
      <c r="I4688" s="6">
        <f t="shared" si="231"/>
        <v>0</v>
      </c>
      <c r="J4688" s="6">
        <f t="shared" si="232"/>
        <v>0</v>
      </c>
      <c r="L4688" s="4" t="str">
        <f>IFERROR(VLOOKUP(ROWS($L$2:L4688),$B$2:$C$1996,2,0),"")</f>
        <v/>
      </c>
      <c r="N4688" s="2" t="str">
        <f>IFERROR(VLOOKUP(ROWS($N$2:N4688),$D$2:$E$1996,2,0),"")</f>
        <v/>
      </c>
    </row>
    <row r="4689" spans="2:14">
      <c r="B4689" s="32">
        <f>IF(ISNUMBER(SEARCH('Φόρμα Εισαγωγής'!$B$2,C4689)),MAX($B$1:B4688)+1,0)</f>
        <v>0</v>
      </c>
      <c r="D4689" s="33">
        <f>IF(ISNUMBER(SEARCH('Φόρμα Εισαγωγής'!$C$2,E4689)),MAX($D$1:D4688)+1,0)</f>
        <v>0</v>
      </c>
      <c r="H4689" s="6">
        <f t="shared" si="230"/>
        <v>0</v>
      </c>
      <c r="I4689" s="6">
        <f t="shared" si="231"/>
        <v>0</v>
      </c>
      <c r="J4689" s="6">
        <f t="shared" si="232"/>
        <v>0</v>
      </c>
      <c r="L4689" s="4" t="str">
        <f>IFERROR(VLOOKUP(ROWS($L$2:L4689),$B$2:$C$1996,2,0),"")</f>
        <v/>
      </c>
      <c r="N4689" s="2" t="str">
        <f>IFERROR(VLOOKUP(ROWS($N$2:N4689),$D$2:$E$1996,2,0),"")</f>
        <v/>
      </c>
    </row>
    <row r="4690" spans="2:14">
      <c r="B4690" s="32">
        <f>IF(ISNUMBER(SEARCH('Φόρμα Εισαγωγής'!$B$2,C4690)),MAX($B$1:B4689)+1,0)</f>
        <v>0</v>
      </c>
      <c r="D4690" s="33">
        <f>IF(ISNUMBER(SEARCH('Φόρμα Εισαγωγής'!$C$2,E4690)),MAX($D$1:D4689)+1,0)</f>
        <v>0</v>
      </c>
      <c r="H4690" s="6">
        <f t="shared" si="230"/>
        <v>0</v>
      </c>
      <c r="I4690" s="6">
        <f t="shared" si="231"/>
        <v>0</v>
      </c>
      <c r="J4690" s="6">
        <f t="shared" si="232"/>
        <v>0</v>
      </c>
      <c r="L4690" s="4" t="str">
        <f>IFERROR(VLOOKUP(ROWS($L$2:L4690),$B$2:$C$1996,2,0),"")</f>
        <v/>
      </c>
      <c r="N4690" s="2" t="str">
        <f>IFERROR(VLOOKUP(ROWS($N$2:N4690),$D$2:$E$1996,2,0),"")</f>
        <v/>
      </c>
    </row>
    <row r="4691" spans="2:14">
      <c r="B4691" s="32">
        <f>IF(ISNUMBER(SEARCH('Φόρμα Εισαγωγής'!$B$2,C4691)),MAX($B$1:B4690)+1,0)</f>
        <v>0</v>
      </c>
      <c r="D4691" s="33">
        <f>IF(ISNUMBER(SEARCH('Φόρμα Εισαγωγής'!$C$2,E4691)),MAX($D$1:D4690)+1,0)</f>
        <v>0</v>
      </c>
      <c r="H4691" s="6">
        <f t="shared" si="230"/>
        <v>0</v>
      </c>
      <c r="I4691" s="6">
        <f t="shared" si="231"/>
        <v>0</v>
      </c>
      <c r="J4691" s="6">
        <f t="shared" si="232"/>
        <v>0</v>
      </c>
      <c r="L4691" s="4" t="str">
        <f>IFERROR(VLOOKUP(ROWS($L$2:L4691),$B$2:$C$1996,2,0),"")</f>
        <v/>
      </c>
      <c r="N4691" s="2" t="str">
        <f>IFERROR(VLOOKUP(ROWS($N$2:N4691),$D$2:$E$1996,2,0),"")</f>
        <v/>
      </c>
    </row>
    <row r="4692" spans="2:14">
      <c r="B4692" s="32">
        <f>IF(ISNUMBER(SEARCH('Φόρμα Εισαγωγής'!$B$2,C4692)),MAX($B$1:B4691)+1,0)</f>
        <v>0</v>
      </c>
      <c r="D4692" s="33">
        <f>IF(ISNUMBER(SEARCH('Φόρμα Εισαγωγής'!$C$2,E4692)),MAX($D$1:D4691)+1,0)</f>
        <v>0</v>
      </c>
      <c r="H4692" s="6">
        <f t="shared" si="230"/>
        <v>0</v>
      </c>
      <c r="I4692" s="6">
        <f t="shared" si="231"/>
        <v>0</v>
      </c>
      <c r="J4692" s="6">
        <f t="shared" si="232"/>
        <v>0</v>
      </c>
      <c r="L4692" s="4" t="str">
        <f>IFERROR(VLOOKUP(ROWS($L$2:L4692),$B$2:$C$1996,2,0),"")</f>
        <v/>
      </c>
      <c r="N4692" s="2" t="str">
        <f>IFERROR(VLOOKUP(ROWS($N$2:N4692),$D$2:$E$1996,2,0),"")</f>
        <v/>
      </c>
    </row>
    <row r="4693" spans="2:14">
      <c r="B4693" s="32">
        <f>IF(ISNUMBER(SEARCH('Φόρμα Εισαγωγής'!$B$2,C4693)),MAX($B$1:B4692)+1,0)</f>
        <v>0</v>
      </c>
      <c r="D4693" s="33">
        <f>IF(ISNUMBER(SEARCH('Φόρμα Εισαγωγής'!$C$2,E4693)),MAX($D$1:D4692)+1,0)</f>
        <v>0</v>
      </c>
      <c r="H4693" s="6">
        <f t="shared" si="230"/>
        <v>0</v>
      </c>
      <c r="I4693" s="6">
        <f t="shared" si="231"/>
        <v>0</v>
      </c>
      <c r="J4693" s="6">
        <f t="shared" si="232"/>
        <v>0</v>
      </c>
      <c r="L4693" s="4" t="str">
        <f>IFERROR(VLOOKUP(ROWS($L$2:L4693),$B$2:$C$1996,2,0),"")</f>
        <v/>
      </c>
      <c r="N4693" s="2" t="str">
        <f>IFERROR(VLOOKUP(ROWS($N$2:N4693),$D$2:$E$1996,2,0),"")</f>
        <v/>
      </c>
    </row>
    <row r="4694" spans="2:14">
      <c r="B4694" s="32">
        <f>IF(ISNUMBER(SEARCH('Φόρμα Εισαγωγής'!$B$2,C4694)),MAX($B$1:B4693)+1,0)</f>
        <v>0</v>
      </c>
      <c r="D4694" s="33">
        <f>IF(ISNUMBER(SEARCH('Φόρμα Εισαγωγής'!$C$2,E4694)),MAX($D$1:D4693)+1,0)</f>
        <v>0</v>
      </c>
      <c r="H4694" s="6">
        <f t="shared" si="230"/>
        <v>0</v>
      </c>
      <c r="I4694" s="6">
        <f t="shared" si="231"/>
        <v>0</v>
      </c>
      <c r="J4694" s="6">
        <f t="shared" si="232"/>
        <v>0</v>
      </c>
      <c r="L4694" s="4" t="str">
        <f>IFERROR(VLOOKUP(ROWS($L$2:L4694),$B$2:$C$1996,2,0),"")</f>
        <v/>
      </c>
      <c r="N4694" s="2" t="str">
        <f>IFERROR(VLOOKUP(ROWS($N$2:N4694),$D$2:$E$1996,2,0),"")</f>
        <v/>
      </c>
    </row>
    <row r="4695" spans="2:14">
      <c r="B4695" s="32">
        <f>IF(ISNUMBER(SEARCH('Φόρμα Εισαγωγής'!$B$2,C4695)),MAX($B$1:B4694)+1,0)</f>
        <v>0</v>
      </c>
      <c r="D4695" s="33">
        <f>IF(ISNUMBER(SEARCH('Φόρμα Εισαγωγής'!$C$2,E4695)),MAX($D$1:D4694)+1,0)</f>
        <v>0</v>
      </c>
      <c r="H4695" s="6">
        <f t="shared" si="230"/>
        <v>0</v>
      </c>
      <c r="I4695" s="6">
        <f t="shared" si="231"/>
        <v>0</v>
      </c>
      <c r="J4695" s="6">
        <f t="shared" si="232"/>
        <v>0</v>
      </c>
      <c r="L4695" s="4" t="str">
        <f>IFERROR(VLOOKUP(ROWS($L$2:L4695),$B$2:$C$1996,2,0),"")</f>
        <v/>
      </c>
      <c r="N4695" s="2" t="str">
        <f>IFERROR(VLOOKUP(ROWS($N$2:N4695),$D$2:$E$1996,2,0),"")</f>
        <v/>
      </c>
    </row>
    <row r="4696" spans="2:14">
      <c r="B4696" s="32">
        <f>IF(ISNUMBER(SEARCH('Φόρμα Εισαγωγής'!$B$2,C4696)),MAX($B$1:B4695)+1,0)</f>
        <v>0</v>
      </c>
      <c r="D4696" s="33">
        <f>IF(ISNUMBER(SEARCH('Φόρμα Εισαγωγής'!$C$2,E4696)),MAX($D$1:D4695)+1,0)</f>
        <v>0</v>
      </c>
      <c r="H4696" s="6">
        <f t="shared" si="230"/>
        <v>0</v>
      </c>
      <c r="I4696" s="6">
        <f t="shared" si="231"/>
        <v>0</v>
      </c>
      <c r="J4696" s="6">
        <f t="shared" si="232"/>
        <v>0</v>
      </c>
      <c r="L4696" s="4" t="str">
        <f>IFERROR(VLOOKUP(ROWS($L$2:L4696),$B$2:$C$1996,2,0),"")</f>
        <v/>
      </c>
      <c r="N4696" s="2" t="str">
        <f>IFERROR(VLOOKUP(ROWS($N$2:N4696),$D$2:$E$1996,2,0),"")</f>
        <v/>
      </c>
    </row>
    <row r="4697" spans="2:14">
      <c r="B4697" s="32">
        <f>IF(ISNUMBER(SEARCH('Φόρμα Εισαγωγής'!$B$2,C4697)),MAX($B$1:B4696)+1,0)</f>
        <v>0</v>
      </c>
      <c r="D4697" s="33">
        <f>IF(ISNUMBER(SEARCH('Φόρμα Εισαγωγής'!$C$2,E4697)),MAX($D$1:D4696)+1,0)</f>
        <v>0</v>
      </c>
      <c r="H4697" s="6">
        <f t="shared" si="230"/>
        <v>0</v>
      </c>
      <c r="I4697" s="6">
        <f t="shared" si="231"/>
        <v>0</v>
      </c>
      <c r="J4697" s="6">
        <f t="shared" si="232"/>
        <v>0</v>
      </c>
      <c r="L4697" s="4" t="str">
        <f>IFERROR(VLOOKUP(ROWS($L$2:L4697),$B$2:$C$1996,2,0),"")</f>
        <v/>
      </c>
      <c r="N4697" s="2" t="str">
        <f>IFERROR(VLOOKUP(ROWS($N$2:N4697),$D$2:$E$1996,2,0),"")</f>
        <v/>
      </c>
    </row>
    <row r="4698" spans="2:14">
      <c r="B4698" s="32">
        <f>IF(ISNUMBER(SEARCH('Φόρμα Εισαγωγής'!$B$2,C4698)),MAX($B$1:B4697)+1,0)</f>
        <v>0</v>
      </c>
      <c r="D4698" s="33">
        <f>IF(ISNUMBER(SEARCH('Φόρμα Εισαγωγής'!$C$2,E4698)),MAX($D$1:D4697)+1,0)</f>
        <v>0</v>
      </c>
      <c r="H4698" s="6">
        <f t="shared" si="230"/>
        <v>0</v>
      </c>
      <c r="I4698" s="6">
        <f t="shared" si="231"/>
        <v>0</v>
      </c>
      <c r="J4698" s="6">
        <f t="shared" si="232"/>
        <v>0</v>
      </c>
      <c r="L4698" s="4" t="str">
        <f>IFERROR(VLOOKUP(ROWS($L$2:L4698),$B$2:$C$1996,2,0),"")</f>
        <v/>
      </c>
      <c r="N4698" s="2" t="str">
        <f>IFERROR(VLOOKUP(ROWS($N$2:N4698),$D$2:$E$1996,2,0),"")</f>
        <v/>
      </c>
    </row>
    <row r="4699" spans="2:14">
      <c r="B4699" s="32">
        <f>IF(ISNUMBER(SEARCH('Φόρμα Εισαγωγής'!$B$2,C4699)),MAX($B$1:B4698)+1,0)</f>
        <v>0</v>
      </c>
      <c r="D4699" s="33">
        <f>IF(ISNUMBER(SEARCH('Φόρμα Εισαγωγής'!$C$2,E4699)),MAX($D$1:D4698)+1,0)</f>
        <v>0</v>
      </c>
      <c r="H4699" s="6">
        <f t="shared" si="230"/>
        <v>0</v>
      </c>
      <c r="I4699" s="6">
        <f t="shared" si="231"/>
        <v>0</v>
      </c>
      <c r="J4699" s="6">
        <f t="shared" si="232"/>
        <v>0</v>
      </c>
      <c r="L4699" s="4" t="str">
        <f>IFERROR(VLOOKUP(ROWS($L$2:L4699),$B$2:$C$1996,2,0),"")</f>
        <v/>
      </c>
      <c r="N4699" s="2" t="str">
        <f>IFERROR(VLOOKUP(ROWS($N$2:N4699),$D$2:$E$1996,2,0),"")</f>
        <v/>
      </c>
    </row>
    <row r="4700" spans="2:14">
      <c r="B4700" s="32">
        <f>IF(ISNUMBER(SEARCH('Φόρμα Εισαγωγής'!$B$2,C4700)),MAX($B$1:B4699)+1,0)</f>
        <v>0</v>
      </c>
      <c r="D4700" s="33">
        <f>IF(ISNUMBER(SEARCH('Φόρμα Εισαγωγής'!$C$2,E4700)),MAX($D$1:D4699)+1,0)</f>
        <v>0</v>
      </c>
      <c r="H4700" s="6">
        <f t="shared" si="230"/>
        <v>0</v>
      </c>
      <c r="I4700" s="6">
        <f t="shared" si="231"/>
        <v>0</v>
      </c>
      <c r="J4700" s="6">
        <f t="shared" si="232"/>
        <v>0</v>
      </c>
      <c r="L4700" s="4" t="str">
        <f>IFERROR(VLOOKUP(ROWS($L$2:L4700),$B$2:$C$1996,2,0),"")</f>
        <v/>
      </c>
      <c r="N4700" s="2" t="str">
        <f>IFERROR(VLOOKUP(ROWS($N$2:N4700),$D$2:$E$1996,2,0),"")</f>
        <v/>
      </c>
    </row>
    <row r="4701" spans="2:14">
      <c r="B4701" s="32">
        <f>IF(ISNUMBER(SEARCH('Φόρμα Εισαγωγής'!$B$2,C4701)),MAX($B$1:B4700)+1,0)</f>
        <v>0</v>
      </c>
      <c r="D4701" s="33">
        <f>IF(ISNUMBER(SEARCH('Φόρμα Εισαγωγής'!$C$2,E4701)),MAX($D$1:D4700)+1,0)</f>
        <v>0</v>
      </c>
      <c r="H4701" s="6">
        <f t="shared" si="230"/>
        <v>0</v>
      </c>
      <c r="I4701" s="6">
        <f t="shared" si="231"/>
        <v>0</v>
      </c>
      <c r="J4701" s="6">
        <f t="shared" si="232"/>
        <v>0</v>
      </c>
      <c r="L4701" s="4" t="str">
        <f>IFERROR(VLOOKUP(ROWS($L$2:L4701),$B$2:$C$1996,2,0),"")</f>
        <v/>
      </c>
      <c r="N4701" s="2" t="str">
        <f>IFERROR(VLOOKUP(ROWS($N$2:N4701),$D$2:$E$1996,2,0),"")</f>
        <v/>
      </c>
    </row>
    <row r="4702" spans="2:14">
      <c r="B4702" s="32">
        <f>IF(ISNUMBER(SEARCH('Φόρμα Εισαγωγής'!$B$2,C4702)),MAX($B$1:B4701)+1,0)</f>
        <v>0</v>
      </c>
      <c r="D4702" s="33">
        <f>IF(ISNUMBER(SEARCH('Φόρμα Εισαγωγής'!$C$2,E4702)),MAX($D$1:D4701)+1,0)</f>
        <v>0</v>
      </c>
      <c r="H4702" s="6">
        <f t="shared" si="230"/>
        <v>0</v>
      </c>
      <c r="I4702" s="6">
        <f t="shared" si="231"/>
        <v>0</v>
      </c>
      <c r="J4702" s="6">
        <f t="shared" si="232"/>
        <v>0</v>
      </c>
      <c r="L4702" s="4" t="str">
        <f>IFERROR(VLOOKUP(ROWS($L$2:L4702),$B$2:$C$1996,2,0),"")</f>
        <v/>
      </c>
      <c r="N4702" s="2" t="str">
        <f>IFERROR(VLOOKUP(ROWS($N$2:N4702),$D$2:$E$1996,2,0),"")</f>
        <v/>
      </c>
    </row>
    <row r="4703" spans="2:14">
      <c r="B4703" s="32">
        <f>IF(ISNUMBER(SEARCH('Φόρμα Εισαγωγής'!$B$2,C4703)),MAX($B$1:B4702)+1,0)</f>
        <v>0</v>
      </c>
      <c r="D4703" s="33">
        <f>IF(ISNUMBER(SEARCH('Φόρμα Εισαγωγής'!$C$2,E4703)),MAX($D$1:D4702)+1,0)</f>
        <v>0</v>
      </c>
      <c r="H4703" s="6">
        <f t="shared" si="230"/>
        <v>0</v>
      </c>
      <c r="I4703" s="6">
        <f t="shared" si="231"/>
        <v>0</v>
      </c>
      <c r="J4703" s="6">
        <f t="shared" si="232"/>
        <v>0</v>
      </c>
      <c r="L4703" s="4" t="str">
        <f>IFERROR(VLOOKUP(ROWS($L$2:L4703),$B$2:$C$1996,2,0),"")</f>
        <v/>
      </c>
      <c r="N4703" s="2" t="str">
        <f>IFERROR(VLOOKUP(ROWS($N$2:N4703),$D$2:$E$1996,2,0),"")</f>
        <v/>
      </c>
    </row>
    <row r="4704" spans="2:14">
      <c r="B4704" s="32">
        <f>IF(ISNUMBER(SEARCH('Φόρμα Εισαγωγής'!$B$2,C4704)),MAX($B$1:B4703)+1,0)</f>
        <v>0</v>
      </c>
      <c r="D4704" s="33">
        <f>IF(ISNUMBER(SEARCH('Φόρμα Εισαγωγής'!$C$2,E4704)),MAX($D$1:D4703)+1,0)</f>
        <v>0</v>
      </c>
      <c r="H4704" s="6">
        <f t="shared" si="230"/>
        <v>0</v>
      </c>
      <c r="I4704" s="6">
        <f t="shared" si="231"/>
        <v>0</v>
      </c>
      <c r="J4704" s="6">
        <f t="shared" si="232"/>
        <v>0</v>
      </c>
      <c r="L4704" s="4" t="str">
        <f>IFERROR(VLOOKUP(ROWS($L$2:L4704),$B$2:$C$1996,2,0),"")</f>
        <v/>
      </c>
      <c r="N4704" s="2" t="str">
        <f>IFERROR(VLOOKUP(ROWS($N$2:N4704),$D$2:$E$1996,2,0),"")</f>
        <v/>
      </c>
    </row>
    <row r="4705" spans="2:14">
      <c r="B4705" s="32">
        <f>IF(ISNUMBER(SEARCH('Φόρμα Εισαγωγής'!$B$2,C4705)),MAX($B$1:B4704)+1,0)</f>
        <v>0</v>
      </c>
      <c r="D4705" s="33">
        <f>IF(ISNUMBER(SEARCH('Φόρμα Εισαγωγής'!$C$2,E4705)),MAX($D$1:D4704)+1,0)</f>
        <v>0</v>
      </c>
      <c r="H4705" s="6">
        <f t="shared" si="230"/>
        <v>0</v>
      </c>
      <c r="I4705" s="6">
        <f t="shared" si="231"/>
        <v>0</v>
      </c>
      <c r="J4705" s="6">
        <f t="shared" si="232"/>
        <v>0</v>
      </c>
      <c r="L4705" s="4" t="str">
        <f>IFERROR(VLOOKUP(ROWS($L$2:L4705),$B$2:$C$1996,2,0),"")</f>
        <v/>
      </c>
      <c r="N4705" s="2" t="str">
        <f>IFERROR(VLOOKUP(ROWS($N$2:N4705),$D$2:$E$1996,2,0),"")</f>
        <v/>
      </c>
    </row>
    <row r="4706" spans="2:14">
      <c r="B4706" s="32">
        <f>IF(ISNUMBER(SEARCH('Φόρμα Εισαγωγής'!$B$2,C4706)),MAX($B$1:B4705)+1,0)</f>
        <v>0</v>
      </c>
      <c r="D4706" s="33">
        <f>IF(ISNUMBER(SEARCH('Φόρμα Εισαγωγής'!$C$2,E4706)),MAX($D$1:D4705)+1,0)</f>
        <v>0</v>
      </c>
      <c r="H4706" s="6">
        <f t="shared" si="230"/>
        <v>0</v>
      </c>
      <c r="I4706" s="6">
        <f t="shared" si="231"/>
        <v>0</v>
      </c>
      <c r="J4706" s="6">
        <f t="shared" si="232"/>
        <v>0</v>
      </c>
      <c r="L4706" s="4" t="str">
        <f>IFERROR(VLOOKUP(ROWS($L$2:L4706),$B$2:$C$1996,2,0),"")</f>
        <v/>
      </c>
      <c r="N4706" s="2" t="str">
        <f>IFERROR(VLOOKUP(ROWS($N$2:N4706),$D$2:$E$1996,2,0),"")</f>
        <v/>
      </c>
    </row>
    <row r="4707" spans="2:14">
      <c r="B4707" s="32">
        <f>IF(ISNUMBER(SEARCH('Φόρμα Εισαγωγής'!$B$2,C4707)),MAX($B$1:B4706)+1,0)</f>
        <v>0</v>
      </c>
      <c r="D4707" s="33">
        <f>IF(ISNUMBER(SEARCH('Φόρμα Εισαγωγής'!$C$2,E4707)),MAX($D$1:D4706)+1,0)</f>
        <v>0</v>
      </c>
      <c r="H4707" s="6">
        <f t="shared" si="230"/>
        <v>0</v>
      </c>
      <c r="I4707" s="6">
        <f t="shared" si="231"/>
        <v>0</v>
      </c>
      <c r="J4707" s="6">
        <f t="shared" si="232"/>
        <v>0</v>
      </c>
      <c r="L4707" s="4" t="str">
        <f>IFERROR(VLOOKUP(ROWS($L$2:L4707),$B$2:$C$1996,2,0),"")</f>
        <v/>
      </c>
      <c r="N4707" s="2" t="str">
        <f>IFERROR(VLOOKUP(ROWS($N$2:N4707),$D$2:$E$1996,2,0),"")</f>
        <v/>
      </c>
    </row>
    <row r="4708" spans="2:14">
      <c r="B4708" s="32">
        <f>IF(ISNUMBER(SEARCH('Φόρμα Εισαγωγής'!$B$2,C4708)),MAX($B$1:B4707)+1,0)</f>
        <v>0</v>
      </c>
      <c r="D4708" s="33">
        <f>IF(ISNUMBER(SEARCH('Φόρμα Εισαγωγής'!$C$2,E4708)),MAX($D$1:D4707)+1,0)</f>
        <v>0</v>
      </c>
      <c r="H4708" s="6">
        <f t="shared" si="230"/>
        <v>0</v>
      </c>
      <c r="I4708" s="6">
        <f t="shared" si="231"/>
        <v>0</v>
      </c>
      <c r="J4708" s="6">
        <f t="shared" si="232"/>
        <v>0</v>
      </c>
      <c r="L4708" s="4" t="str">
        <f>IFERROR(VLOOKUP(ROWS($L$2:L4708),$B$2:$C$1996,2,0),"")</f>
        <v/>
      </c>
      <c r="N4708" s="2" t="str">
        <f>IFERROR(VLOOKUP(ROWS($N$2:N4708),$D$2:$E$1996,2,0),"")</f>
        <v/>
      </c>
    </row>
    <row r="4709" spans="2:14">
      <c r="B4709" s="32">
        <f>IF(ISNUMBER(SEARCH('Φόρμα Εισαγωγής'!$B$2,C4709)),MAX($B$1:B4708)+1,0)</f>
        <v>0</v>
      </c>
      <c r="D4709" s="33">
        <f>IF(ISNUMBER(SEARCH('Φόρμα Εισαγωγής'!$C$2,E4709)),MAX($D$1:D4708)+1,0)</f>
        <v>0</v>
      </c>
      <c r="H4709" s="6">
        <f t="shared" si="230"/>
        <v>0</v>
      </c>
      <c r="I4709" s="6">
        <f t="shared" si="231"/>
        <v>0</v>
      </c>
      <c r="J4709" s="6">
        <f t="shared" si="232"/>
        <v>0</v>
      </c>
      <c r="L4709" s="4" t="str">
        <f>IFERROR(VLOOKUP(ROWS($L$2:L4709),$B$2:$C$1996,2,0),"")</f>
        <v/>
      </c>
      <c r="N4709" s="2" t="str">
        <f>IFERROR(VLOOKUP(ROWS($N$2:N4709),$D$2:$E$1996,2,0),"")</f>
        <v/>
      </c>
    </row>
    <row r="4710" spans="2:14">
      <c r="B4710" s="32">
        <f>IF(ISNUMBER(SEARCH('Φόρμα Εισαγωγής'!$B$2,C4710)),MAX($B$1:B4709)+1,0)</f>
        <v>0</v>
      </c>
      <c r="D4710" s="33">
        <f>IF(ISNUMBER(SEARCH('Φόρμα Εισαγωγής'!$C$2,E4710)),MAX($D$1:D4709)+1,0)</f>
        <v>0</v>
      </c>
      <c r="H4710" s="6">
        <f t="shared" si="230"/>
        <v>0</v>
      </c>
      <c r="I4710" s="6">
        <f t="shared" si="231"/>
        <v>0</v>
      </c>
      <c r="J4710" s="6">
        <f t="shared" si="232"/>
        <v>0</v>
      </c>
      <c r="L4710" s="4" t="str">
        <f>IFERROR(VLOOKUP(ROWS($L$2:L4710),$B$2:$C$1996,2,0),"")</f>
        <v/>
      </c>
      <c r="N4710" s="2" t="str">
        <f>IFERROR(VLOOKUP(ROWS($N$2:N4710),$D$2:$E$1996,2,0),"")</f>
        <v/>
      </c>
    </row>
    <row r="4711" spans="2:14">
      <c r="B4711" s="32">
        <f>IF(ISNUMBER(SEARCH('Φόρμα Εισαγωγής'!$B$2,C4711)),MAX($B$1:B4710)+1,0)</f>
        <v>0</v>
      </c>
      <c r="D4711" s="33">
        <f>IF(ISNUMBER(SEARCH('Φόρμα Εισαγωγής'!$C$2,E4711)),MAX($D$1:D4710)+1,0)</f>
        <v>0</v>
      </c>
      <c r="H4711" s="6">
        <f t="shared" si="230"/>
        <v>0</v>
      </c>
      <c r="I4711" s="6">
        <f t="shared" si="231"/>
        <v>0</v>
      </c>
      <c r="J4711" s="6">
        <f t="shared" si="232"/>
        <v>0</v>
      </c>
      <c r="L4711" s="4" t="str">
        <f>IFERROR(VLOOKUP(ROWS($L$2:L4711),$B$2:$C$1996,2,0),"")</f>
        <v/>
      </c>
      <c r="N4711" s="2" t="str">
        <f>IFERROR(VLOOKUP(ROWS($N$2:N4711),$D$2:$E$1996,2,0),"")</f>
        <v/>
      </c>
    </row>
    <row r="4712" spans="2:14">
      <c r="B4712" s="32">
        <f>IF(ISNUMBER(SEARCH('Φόρμα Εισαγωγής'!$B$2,C4712)),MAX($B$1:B4711)+1,0)</f>
        <v>0</v>
      </c>
      <c r="D4712" s="33">
        <f>IF(ISNUMBER(SEARCH('Φόρμα Εισαγωγής'!$C$2,E4712)),MAX($D$1:D4711)+1,0)</f>
        <v>0</v>
      </c>
      <c r="H4712" s="6">
        <f t="shared" si="230"/>
        <v>0</v>
      </c>
      <c r="I4712" s="6">
        <f t="shared" si="231"/>
        <v>0</v>
      </c>
      <c r="J4712" s="6">
        <f t="shared" si="232"/>
        <v>0</v>
      </c>
      <c r="L4712" s="4" t="str">
        <f>IFERROR(VLOOKUP(ROWS($L$2:L4712),$B$2:$C$1996,2,0),"")</f>
        <v/>
      </c>
      <c r="N4712" s="2" t="str">
        <f>IFERROR(VLOOKUP(ROWS($N$2:N4712),$D$2:$E$1996,2,0),"")</f>
        <v/>
      </c>
    </row>
    <row r="4713" spans="2:14">
      <c r="B4713" s="32">
        <f>IF(ISNUMBER(SEARCH('Φόρμα Εισαγωγής'!$B$2,C4713)),MAX($B$1:B4712)+1,0)</f>
        <v>0</v>
      </c>
      <c r="D4713" s="33">
        <f>IF(ISNUMBER(SEARCH('Φόρμα Εισαγωγής'!$C$2,E4713)),MAX($D$1:D4712)+1,0)</f>
        <v>0</v>
      </c>
      <c r="H4713" s="6">
        <f t="shared" si="230"/>
        <v>0</v>
      </c>
      <c r="I4713" s="6">
        <f t="shared" si="231"/>
        <v>0</v>
      </c>
      <c r="J4713" s="6">
        <f t="shared" si="232"/>
        <v>0</v>
      </c>
      <c r="L4713" s="4" t="str">
        <f>IFERROR(VLOOKUP(ROWS($L$2:L4713),$B$2:$C$1996,2,0),"")</f>
        <v/>
      </c>
      <c r="N4713" s="2" t="str">
        <f>IFERROR(VLOOKUP(ROWS($N$2:N4713),$D$2:$E$1996,2,0),"")</f>
        <v/>
      </c>
    </row>
    <row r="4714" spans="2:14">
      <c r="B4714" s="32">
        <f>IF(ISNUMBER(SEARCH('Φόρμα Εισαγωγής'!$B$2,C4714)),MAX($B$1:B4713)+1,0)</f>
        <v>0</v>
      </c>
      <c r="D4714" s="33">
        <f>IF(ISNUMBER(SEARCH('Φόρμα Εισαγωγής'!$C$2,E4714)),MAX($D$1:D4713)+1,0)</f>
        <v>0</v>
      </c>
      <c r="H4714" s="6">
        <f t="shared" si="230"/>
        <v>0</v>
      </c>
      <c r="I4714" s="6">
        <f t="shared" si="231"/>
        <v>0</v>
      </c>
      <c r="J4714" s="6">
        <f t="shared" si="232"/>
        <v>0</v>
      </c>
      <c r="L4714" s="4" t="str">
        <f>IFERROR(VLOOKUP(ROWS($L$2:L4714),$B$2:$C$1996,2,0),"")</f>
        <v/>
      </c>
      <c r="N4714" s="2" t="str">
        <f>IFERROR(VLOOKUP(ROWS($N$2:N4714),$D$2:$E$1996,2,0),"")</f>
        <v/>
      </c>
    </row>
    <row r="4715" spans="2:14">
      <c r="B4715" s="32">
        <f>IF(ISNUMBER(SEARCH('Φόρμα Εισαγωγής'!$B$2,C4715)),MAX($B$1:B4714)+1,0)</f>
        <v>0</v>
      </c>
      <c r="D4715" s="33">
        <f>IF(ISNUMBER(SEARCH('Φόρμα Εισαγωγής'!$C$2,E4715)),MAX($D$1:D4714)+1,0)</f>
        <v>0</v>
      </c>
      <c r="H4715" s="6">
        <f t="shared" si="230"/>
        <v>0</v>
      </c>
      <c r="I4715" s="6">
        <f t="shared" si="231"/>
        <v>0</v>
      </c>
      <c r="J4715" s="6">
        <f t="shared" si="232"/>
        <v>0</v>
      </c>
      <c r="L4715" s="4" t="str">
        <f>IFERROR(VLOOKUP(ROWS($L$2:L4715),$B$2:$C$1996,2,0),"")</f>
        <v/>
      </c>
      <c r="N4715" s="2" t="str">
        <f>IFERROR(VLOOKUP(ROWS($N$2:N4715),$D$2:$E$1996,2,0),"")</f>
        <v/>
      </c>
    </row>
    <row r="4716" spans="2:14">
      <c r="B4716" s="32">
        <f>IF(ISNUMBER(SEARCH('Φόρμα Εισαγωγής'!$B$2,C4716)),MAX($B$1:B4715)+1,0)</f>
        <v>0</v>
      </c>
      <c r="D4716" s="33">
        <f>IF(ISNUMBER(SEARCH('Φόρμα Εισαγωγής'!$C$2,E4716)),MAX($D$1:D4715)+1,0)</f>
        <v>0</v>
      </c>
      <c r="H4716" s="6">
        <f t="shared" si="230"/>
        <v>0</v>
      </c>
      <c r="I4716" s="6">
        <f t="shared" si="231"/>
        <v>0</v>
      </c>
      <c r="J4716" s="6">
        <f t="shared" si="232"/>
        <v>0</v>
      </c>
      <c r="L4716" s="4" t="str">
        <f>IFERROR(VLOOKUP(ROWS($L$2:L4716),$B$2:$C$1996,2,0),"")</f>
        <v/>
      </c>
      <c r="N4716" s="2" t="str">
        <f>IFERROR(VLOOKUP(ROWS($N$2:N4716),$D$2:$E$1996,2,0),"")</f>
        <v/>
      </c>
    </row>
    <row r="4717" spans="2:14">
      <c r="B4717" s="32">
        <f>IF(ISNUMBER(SEARCH('Φόρμα Εισαγωγής'!$B$2,C4717)),MAX($B$1:B4716)+1,0)</f>
        <v>0</v>
      </c>
      <c r="D4717" s="33">
        <f>IF(ISNUMBER(SEARCH('Φόρμα Εισαγωγής'!$C$2,E4717)),MAX($D$1:D4716)+1,0)</f>
        <v>0</v>
      </c>
      <c r="H4717" s="6">
        <f t="shared" si="230"/>
        <v>0</v>
      </c>
      <c r="I4717" s="6">
        <f t="shared" si="231"/>
        <v>0</v>
      </c>
      <c r="J4717" s="6">
        <f t="shared" si="232"/>
        <v>0</v>
      </c>
      <c r="L4717" s="4" t="str">
        <f>IFERROR(VLOOKUP(ROWS($L$2:L4717),$B$2:$C$1996,2,0),"")</f>
        <v/>
      </c>
      <c r="N4717" s="2" t="str">
        <f>IFERROR(VLOOKUP(ROWS($N$2:N4717),$D$2:$E$1996,2,0),"")</f>
        <v/>
      </c>
    </row>
    <row r="4718" spans="2:14">
      <c r="B4718" s="32">
        <f>IF(ISNUMBER(SEARCH('Φόρμα Εισαγωγής'!$B$2,C4718)),MAX($B$1:B4717)+1,0)</f>
        <v>0</v>
      </c>
      <c r="D4718" s="33">
        <f>IF(ISNUMBER(SEARCH('Φόρμα Εισαγωγής'!$C$2,E4718)),MAX($D$1:D4717)+1,0)</f>
        <v>0</v>
      </c>
      <c r="H4718" s="6">
        <f t="shared" si="230"/>
        <v>0</v>
      </c>
      <c r="I4718" s="6">
        <f t="shared" si="231"/>
        <v>0</v>
      </c>
      <c r="J4718" s="6">
        <f t="shared" si="232"/>
        <v>0</v>
      </c>
      <c r="L4718" s="4" t="str">
        <f>IFERROR(VLOOKUP(ROWS($L$2:L4718),$B$2:$C$1996,2,0),"")</f>
        <v/>
      </c>
      <c r="N4718" s="2" t="str">
        <f>IFERROR(VLOOKUP(ROWS($N$2:N4718),$D$2:$E$1996,2,0),"")</f>
        <v/>
      </c>
    </row>
    <row r="4719" spans="2:14">
      <c r="B4719" s="32">
        <f>IF(ISNUMBER(SEARCH('Φόρμα Εισαγωγής'!$B$2,C4719)),MAX($B$1:B4718)+1,0)</f>
        <v>0</v>
      </c>
      <c r="D4719" s="33">
        <f>IF(ISNUMBER(SEARCH('Φόρμα Εισαγωγής'!$C$2,E4719)),MAX($D$1:D4718)+1,0)</f>
        <v>0</v>
      </c>
      <c r="H4719" s="6">
        <f t="shared" si="230"/>
        <v>0</v>
      </c>
      <c r="I4719" s="6">
        <f t="shared" si="231"/>
        <v>0</v>
      </c>
      <c r="J4719" s="6">
        <f t="shared" si="232"/>
        <v>0</v>
      </c>
      <c r="L4719" s="4" t="str">
        <f>IFERROR(VLOOKUP(ROWS($L$2:L4719),$B$2:$C$1996,2,0),"")</f>
        <v/>
      </c>
      <c r="N4719" s="2" t="str">
        <f>IFERROR(VLOOKUP(ROWS($N$2:N4719),$D$2:$E$1996,2,0),"")</f>
        <v/>
      </c>
    </row>
    <row r="4720" spans="2:14">
      <c r="B4720" s="32">
        <f>IF(ISNUMBER(SEARCH('Φόρμα Εισαγωγής'!$B$2,C4720)),MAX($B$1:B4719)+1,0)</f>
        <v>0</v>
      </c>
      <c r="D4720" s="33">
        <f>IF(ISNUMBER(SEARCH('Φόρμα Εισαγωγής'!$C$2,E4720)),MAX($D$1:D4719)+1,0)</f>
        <v>0</v>
      </c>
      <c r="H4720" s="6">
        <f t="shared" si="230"/>
        <v>0</v>
      </c>
      <c r="I4720" s="6">
        <f t="shared" si="231"/>
        <v>0</v>
      </c>
      <c r="J4720" s="6">
        <f t="shared" si="232"/>
        <v>0</v>
      </c>
      <c r="L4720" s="4" t="str">
        <f>IFERROR(VLOOKUP(ROWS($L$2:L4720),$B$2:$C$1996,2,0),"")</f>
        <v/>
      </c>
      <c r="N4720" s="2" t="str">
        <f>IFERROR(VLOOKUP(ROWS($N$2:N4720),$D$2:$E$1996,2,0),"")</f>
        <v/>
      </c>
    </row>
    <row r="4721" spans="2:14">
      <c r="B4721" s="32">
        <f>IF(ISNUMBER(SEARCH('Φόρμα Εισαγωγής'!$B$2,C4721)),MAX($B$1:B4720)+1,0)</f>
        <v>0</v>
      </c>
      <c r="D4721" s="33">
        <f>IF(ISNUMBER(SEARCH('Φόρμα Εισαγωγής'!$C$2,E4721)),MAX($D$1:D4720)+1,0)</f>
        <v>0</v>
      </c>
      <c r="H4721" s="6">
        <f t="shared" si="230"/>
        <v>0</v>
      </c>
      <c r="I4721" s="6">
        <f t="shared" si="231"/>
        <v>0</v>
      </c>
      <c r="J4721" s="6">
        <f t="shared" si="232"/>
        <v>0</v>
      </c>
      <c r="L4721" s="4" t="str">
        <f>IFERROR(VLOOKUP(ROWS($L$2:L4721),$B$2:$C$1996,2,0),"")</f>
        <v/>
      </c>
      <c r="N4721" s="2" t="str">
        <f>IFERROR(VLOOKUP(ROWS($N$2:N4721),$D$2:$E$1996,2,0),"")</f>
        <v/>
      </c>
    </row>
    <row r="4722" spans="2:14">
      <c r="B4722" s="32">
        <f>IF(ISNUMBER(SEARCH('Φόρμα Εισαγωγής'!$B$2,C4722)),MAX($B$1:B4721)+1,0)</f>
        <v>0</v>
      </c>
      <c r="D4722" s="33">
        <f>IF(ISNUMBER(SEARCH('Φόρμα Εισαγωγής'!$C$2,E4722)),MAX($D$1:D4721)+1,0)</f>
        <v>0</v>
      </c>
      <c r="H4722" s="6">
        <f t="shared" si="230"/>
        <v>0</v>
      </c>
      <c r="I4722" s="6">
        <f t="shared" si="231"/>
        <v>0</v>
      </c>
      <c r="J4722" s="6">
        <f t="shared" si="232"/>
        <v>0</v>
      </c>
      <c r="L4722" s="4" t="str">
        <f>IFERROR(VLOOKUP(ROWS($L$2:L4722),$B$2:$C$1996,2,0),"")</f>
        <v/>
      </c>
      <c r="N4722" s="2" t="str">
        <f>IFERROR(VLOOKUP(ROWS($N$2:N4722),$D$2:$E$1996,2,0),"")</f>
        <v/>
      </c>
    </row>
    <row r="4723" spans="2:14">
      <c r="B4723" s="32">
        <f>IF(ISNUMBER(SEARCH('Φόρμα Εισαγωγής'!$B$2,C4723)),MAX($B$1:B4722)+1,0)</f>
        <v>0</v>
      </c>
      <c r="D4723" s="33">
        <f>IF(ISNUMBER(SEARCH('Φόρμα Εισαγωγής'!$C$2,E4723)),MAX($D$1:D4722)+1,0)</f>
        <v>0</v>
      </c>
      <c r="H4723" s="6">
        <f t="shared" si="230"/>
        <v>0</v>
      </c>
      <c r="I4723" s="6">
        <f t="shared" si="231"/>
        <v>0</v>
      </c>
      <c r="J4723" s="6">
        <f t="shared" si="232"/>
        <v>0</v>
      </c>
      <c r="L4723" s="4" t="str">
        <f>IFERROR(VLOOKUP(ROWS($L$2:L4723),$B$2:$C$1996,2,0),"")</f>
        <v/>
      </c>
      <c r="N4723" s="2" t="str">
        <f>IFERROR(VLOOKUP(ROWS($N$2:N4723),$D$2:$E$1996,2,0),"")</f>
        <v/>
      </c>
    </row>
    <row r="4724" spans="2:14">
      <c r="B4724" s="32">
        <f>IF(ISNUMBER(SEARCH('Φόρμα Εισαγωγής'!$B$2,C4724)),MAX($B$1:B4723)+1,0)</f>
        <v>0</v>
      </c>
      <c r="D4724" s="33">
        <f>IF(ISNUMBER(SEARCH('Φόρμα Εισαγωγής'!$C$2,E4724)),MAX($D$1:D4723)+1,0)</f>
        <v>0</v>
      </c>
      <c r="H4724" s="6">
        <f t="shared" si="230"/>
        <v>0</v>
      </c>
      <c r="I4724" s="6">
        <f t="shared" si="231"/>
        <v>0</v>
      </c>
      <c r="J4724" s="6">
        <f t="shared" si="232"/>
        <v>0</v>
      </c>
      <c r="L4724" s="4" t="str">
        <f>IFERROR(VLOOKUP(ROWS($L$2:L4724),$B$2:$C$1996,2,0),"")</f>
        <v/>
      </c>
      <c r="N4724" s="2" t="str">
        <f>IFERROR(VLOOKUP(ROWS($N$2:N4724),$D$2:$E$1996,2,0),"")</f>
        <v/>
      </c>
    </row>
    <row r="4725" spans="2:14">
      <c r="B4725" s="32">
        <f>IF(ISNUMBER(SEARCH('Φόρμα Εισαγωγής'!$B$2,C4725)),MAX($B$1:B4724)+1,0)</f>
        <v>0</v>
      </c>
      <c r="D4725" s="33">
        <f>IF(ISNUMBER(SEARCH('Φόρμα Εισαγωγής'!$C$2,E4725)),MAX($D$1:D4724)+1,0)</f>
        <v>0</v>
      </c>
      <c r="H4725" s="6">
        <f t="shared" si="230"/>
        <v>0</v>
      </c>
      <c r="I4725" s="6">
        <f t="shared" si="231"/>
        <v>0</v>
      </c>
      <c r="J4725" s="6">
        <f t="shared" si="232"/>
        <v>0</v>
      </c>
      <c r="L4725" s="4" t="str">
        <f>IFERROR(VLOOKUP(ROWS($L$2:L4725),$B$2:$C$1996,2,0),"")</f>
        <v/>
      </c>
      <c r="N4725" s="2" t="str">
        <f>IFERROR(VLOOKUP(ROWS($N$2:N4725),$D$2:$E$1996,2,0),"")</f>
        <v/>
      </c>
    </row>
    <row r="4726" spans="2:14">
      <c r="B4726" s="32">
        <f>IF(ISNUMBER(SEARCH('Φόρμα Εισαγωγής'!$B$2,C4726)),MAX($B$1:B4725)+1,0)</f>
        <v>0</v>
      </c>
      <c r="D4726" s="33">
        <f>IF(ISNUMBER(SEARCH('Φόρμα Εισαγωγής'!$C$2,E4726)),MAX($D$1:D4725)+1,0)</f>
        <v>0</v>
      </c>
      <c r="H4726" s="6">
        <f t="shared" si="230"/>
        <v>0</v>
      </c>
      <c r="I4726" s="6">
        <f t="shared" si="231"/>
        <v>0</v>
      </c>
      <c r="J4726" s="6">
        <f t="shared" si="232"/>
        <v>0</v>
      </c>
      <c r="L4726" s="4" t="str">
        <f>IFERROR(VLOOKUP(ROWS($L$2:L4726),$B$2:$C$1996,2,0),"")</f>
        <v/>
      </c>
      <c r="N4726" s="2" t="str">
        <f>IFERROR(VLOOKUP(ROWS($N$2:N4726),$D$2:$E$1996,2,0),"")</f>
        <v/>
      </c>
    </row>
    <row r="4727" spans="2:14">
      <c r="B4727" s="32">
        <f>IF(ISNUMBER(SEARCH('Φόρμα Εισαγωγής'!$B$2,C4727)),MAX($B$1:B4726)+1,0)</f>
        <v>0</v>
      </c>
      <c r="D4727" s="33">
        <f>IF(ISNUMBER(SEARCH('Φόρμα Εισαγωγής'!$C$2,E4727)),MAX($D$1:D4726)+1,0)</f>
        <v>0</v>
      </c>
      <c r="H4727" s="6">
        <f t="shared" si="230"/>
        <v>0</v>
      </c>
      <c r="I4727" s="6">
        <f t="shared" si="231"/>
        <v>0</v>
      </c>
      <c r="J4727" s="6">
        <f t="shared" si="232"/>
        <v>0</v>
      </c>
      <c r="L4727" s="4" t="str">
        <f>IFERROR(VLOOKUP(ROWS($L$2:L4727),$B$2:$C$1996,2,0),"")</f>
        <v/>
      </c>
      <c r="N4727" s="2" t="str">
        <f>IFERROR(VLOOKUP(ROWS($N$2:N4727),$D$2:$E$1996,2,0),"")</f>
        <v/>
      </c>
    </row>
    <row r="4728" spans="2:14">
      <c r="B4728" s="32">
        <f>IF(ISNUMBER(SEARCH('Φόρμα Εισαγωγής'!$B$2,C4728)),MAX($B$1:B4727)+1,0)</f>
        <v>0</v>
      </c>
      <c r="D4728" s="33">
        <f>IF(ISNUMBER(SEARCH('Φόρμα Εισαγωγής'!$C$2,E4728)),MAX($D$1:D4727)+1,0)</f>
        <v>0</v>
      </c>
      <c r="H4728" s="6">
        <f t="shared" si="230"/>
        <v>0</v>
      </c>
      <c r="I4728" s="6">
        <f t="shared" si="231"/>
        <v>0</v>
      </c>
      <c r="J4728" s="6">
        <f t="shared" si="232"/>
        <v>0</v>
      </c>
      <c r="L4728" s="4" t="str">
        <f>IFERROR(VLOOKUP(ROWS($L$2:L4728),$B$2:$C$1996,2,0),"")</f>
        <v/>
      </c>
      <c r="N4728" s="2" t="str">
        <f>IFERROR(VLOOKUP(ROWS($N$2:N4728),$D$2:$E$1996,2,0),"")</f>
        <v/>
      </c>
    </row>
    <row r="4729" spans="2:14">
      <c r="B4729" s="32">
        <f>IF(ISNUMBER(SEARCH('Φόρμα Εισαγωγής'!$B$2,C4729)),MAX($B$1:B4728)+1,0)</f>
        <v>0</v>
      </c>
      <c r="D4729" s="33">
        <f>IF(ISNUMBER(SEARCH('Φόρμα Εισαγωγής'!$C$2,E4729)),MAX($D$1:D4728)+1,0)</f>
        <v>0</v>
      </c>
      <c r="H4729" s="6">
        <f t="shared" si="230"/>
        <v>0</v>
      </c>
      <c r="I4729" s="6">
        <f t="shared" si="231"/>
        <v>0</v>
      </c>
      <c r="J4729" s="6">
        <f t="shared" si="232"/>
        <v>0</v>
      </c>
      <c r="L4729" s="4" t="str">
        <f>IFERROR(VLOOKUP(ROWS($L$2:L4729),$B$2:$C$1996,2,0),"")</f>
        <v/>
      </c>
      <c r="N4729" s="2" t="str">
        <f>IFERROR(VLOOKUP(ROWS($N$2:N4729),$D$2:$E$1996,2,0),"")</f>
        <v/>
      </c>
    </row>
    <row r="4730" spans="2:14">
      <c r="B4730" s="32">
        <f>IF(ISNUMBER(SEARCH('Φόρμα Εισαγωγής'!$B$2,C4730)),MAX($B$1:B4729)+1,0)</f>
        <v>0</v>
      </c>
      <c r="D4730" s="33">
        <f>IF(ISNUMBER(SEARCH('Φόρμα Εισαγωγής'!$C$2,E4730)),MAX($D$1:D4729)+1,0)</f>
        <v>0</v>
      </c>
      <c r="H4730" s="6">
        <f t="shared" si="230"/>
        <v>0</v>
      </c>
      <c r="I4730" s="6">
        <f t="shared" si="231"/>
        <v>0</v>
      </c>
      <c r="J4730" s="6">
        <f t="shared" si="232"/>
        <v>0</v>
      </c>
      <c r="L4730" s="4" t="str">
        <f>IFERROR(VLOOKUP(ROWS($L$2:L4730),$B$2:$C$1996,2,0),"")</f>
        <v/>
      </c>
      <c r="N4730" s="2" t="str">
        <f>IFERROR(VLOOKUP(ROWS($N$2:N4730),$D$2:$E$1996,2,0),"")</f>
        <v/>
      </c>
    </row>
    <row r="4731" spans="2:14">
      <c r="B4731" s="32">
        <f>IF(ISNUMBER(SEARCH('Φόρμα Εισαγωγής'!$B$2,C4731)),MAX($B$1:B4730)+1,0)</f>
        <v>0</v>
      </c>
      <c r="D4731" s="33">
        <f>IF(ISNUMBER(SEARCH('Φόρμα Εισαγωγής'!$C$2,E4731)),MAX($D$1:D4730)+1,0)</f>
        <v>0</v>
      </c>
      <c r="H4731" s="6">
        <f t="shared" si="230"/>
        <v>0</v>
      </c>
      <c r="I4731" s="6">
        <f t="shared" si="231"/>
        <v>0</v>
      </c>
      <c r="J4731" s="6">
        <f t="shared" si="232"/>
        <v>0</v>
      </c>
      <c r="L4731" s="4" t="str">
        <f>IFERROR(VLOOKUP(ROWS($L$2:L4731),$B$2:$C$1996,2,0),"")</f>
        <v/>
      </c>
      <c r="N4731" s="2" t="str">
        <f>IFERROR(VLOOKUP(ROWS($N$2:N4731),$D$2:$E$1996,2,0),"")</f>
        <v/>
      </c>
    </row>
    <row r="4732" spans="2:14">
      <c r="B4732" s="32">
        <f>IF(ISNUMBER(SEARCH('Φόρμα Εισαγωγής'!$B$2,C4732)),MAX($B$1:B4731)+1,0)</f>
        <v>0</v>
      </c>
      <c r="D4732" s="33">
        <f>IF(ISNUMBER(SEARCH('Φόρμα Εισαγωγής'!$C$2,E4732)),MAX($D$1:D4731)+1,0)</f>
        <v>0</v>
      </c>
      <c r="H4732" s="6">
        <f t="shared" si="230"/>
        <v>0</v>
      </c>
      <c r="I4732" s="6">
        <f t="shared" si="231"/>
        <v>0</v>
      </c>
      <c r="J4732" s="6">
        <f t="shared" si="232"/>
        <v>0</v>
      </c>
      <c r="L4732" s="4" t="str">
        <f>IFERROR(VLOOKUP(ROWS($L$2:L4732),$B$2:$C$1996,2,0),"")</f>
        <v/>
      </c>
      <c r="N4732" s="2" t="str">
        <f>IFERROR(VLOOKUP(ROWS($N$2:N4732),$D$2:$E$1996,2,0),"")</f>
        <v/>
      </c>
    </row>
    <row r="4733" spans="2:14">
      <c r="B4733" s="32">
        <f>IF(ISNUMBER(SEARCH('Φόρμα Εισαγωγής'!$B$2,C4733)),MAX($B$1:B4732)+1,0)</f>
        <v>0</v>
      </c>
      <c r="D4733" s="33">
        <f>IF(ISNUMBER(SEARCH('Φόρμα Εισαγωγής'!$C$2,E4733)),MAX($D$1:D4732)+1,0)</f>
        <v>0</v>
      </c>
      <c r="H4733" s="6">
        <f t="shared" si="230"/>
        <v>0</v>
      </c>
      <c r="I4733" s="6">
        <f t="shared" si="231"/>
        <v>0</v>
      </c>
      <c r="J4733" s="6">
        <f t="shared" si="232"/>
        <v>0</v>
      </c>
      <c r="L4733" s="4" t="str">
        <f>IFERROR(VLOOKUP(ROWS($L$2:L4733),$B$2:$C$1996,2,0),"")</f>
        <v/>
      </c>
      <c r="N4733" s="2" t="str">
        <f>IFERROR(VLOOKUP(ROWS($N$2:N4733),$D$2:$E$1996,2,0),"")</f>
        <v/>
      </c>
    </row>
    <row r="4734" spans="2:14">
      <c r="B4734" s="32">
        <f>IF(ISNUMBER(SEARCH('Φόρμα Εισαγωγής'!$B$2,C4734)),MAX($B$1:B4733)+1,0)</f>
        <v>0</v>
      </c>
      <c r="D4734" s="33">
        <f>IF(ISNUMBER(SEARCH('Φόρμα Εισαγωγής'!$C$2,E4734)),MAX($D$1:D4733)+1,0)</f>
        <v>0</v>
      </c>
      <c r="H4734" s="6">
        <f t="shared" si="230"/>
        <v>0</v>
      </c>
      <c r="I4734" s="6">
        <f t="shared" si="231"/>
        <v>0</v>
      </c>
      <c r="J4734" s="6">
        <f t="shared" si="232"/>
        <v>0</v>
      </c>
      <c r="L4734" s="4" t="str">
        <f>IFERROR(VLOOKUP(ROWS($L$2:L4734),$B$2:$C$1996,2,0),"")</f>
        <v/>
      </c>
      <c r="N4734" s="2" t="str">
        <f>IFERROR(VLOOKUP(ROWS($N$2:N4734),$D$2:$E$1996,2,0),"")</f>
        <v/>
      </c>
    </row>
    <row r="4735" spans="2:14">
      <c r="B4735" s="32">
        <f>IF(ISNUMBER(SEARCH('Φόρμα Εισαγωγής'!$B$2,C4735)),MAX($B$1:B4734)+1,0)</f>
        <v>0</v>
      </c>
      <c r="D4735" s="33">
        <f>IF(ISNUMBER(SEARCH('Φόρμα Εισαγωγής'!$C$2,E4735)),MAX($D$1:D4734)+1,0)</f>
        <v>0</v>
      </c>
      <c r="H4735" s="6">
        <f t="shared" si="230"/>
        <v>0</v>
      </c>
      <c r="I4735" s="6">
        <f t="shared" si="231"/>
        <v>0</v>
      </c>
      <c r="J4735" s="6">
        <f t="shared" si="232"/>
        <v>0</v>
      </c>
      <c r="L4735" s="4" t="str">
        <f>IFERROR(VLOOKUP(ROWS($L$2:L4735),$B$2:$C$1996,2,0),"")</f>
        <v/>
      </c>
      <c r="N4735" s="2" t="str">
        <f>IFERROR(VLOOKUP(ROWS($N$2:N4735),$D$2:$E$1996,2,0),"")</f>
        <v/>
      </c>
    </row>
    <row r="4736" spans="2:14">
      <c r="B4736" s="32">
        <f>IF(ISNUMBER(SEARCH('Φόρμα Εισαγωγής'!$B$2,C4736)),MAX($B$1:B4735)+1,0)</f>
        <v>0</v>
      </c>
      <c r="D4736" s="33">
        <f>IF(ISNUMBER(SEARCH('Φόρμα Εισαγωγής'!$C$2,E4736)),MAX($D$1:D4735)+1,0)</f>
        <v>0</v>
      </c>
      <c r="H4736" s="6">
        <f t="shared" ref="H4736:H4799" si="233">G4736+(G4736*0.24)</f>
        <v>0</v>
      </c>
      <c r="I4736" s="6">
        <f t="shared" ref="I4736:I4799" si="234">F4736*A4736</f>
        <v>0</v>
      </c>
      <c r="J4736" s="6">
        <f t="shared" ref="J4736:J4799" si="235">H4736*A4736</f>
        <v>0</v>
      </c>
      <c r="L4736" s="4" t="str">
        <f>IFERROR(VLOOKUP(ROWS($L$2:L4736),$B$2:$C$1996,2,0),"")</f>
        <v/>
      </c>
      <c r="N4736" s="2" t="str">
        <f>IFERROR(VLOOKUP(ROWS($N$2:N4736),$D$2:$E$1996,2,0),"")</f>
        <v/>
      </c>
    </row>
    <row r="4737" spans="2:14">
      <c r="B4737" s="32">
        <f>IF(ISNUMBER(SEARCH('Φόρμα Εισαγωγής'!$B$2,C4737)),MAX($B$1:B4736)+1,0)</f>
        <v>0</v>
      </c>
      <c r="D4737" s="33">
        <f>IF(ISNUMBER(SEARCH('Φόρμα Εισαγωγής'!$C$2,E4737)),MAX($D$1:D4736)+1,0)</f>
        <v>0</v>
      </c>
      <c r="H4737" s="6">
        <f t="shared" si="233"/>
        <v>0</v>
      </c>
      <c r="I4737" s="6">
        <f t="shared" si="234"/>
        <v>0</v>
      </c>
      <c r="J4737" s="6">
        <f t="shared" si="235"/>
        <v>0</v>
      </c>
      <c r="L4737" s="4" t="str">
        <f>IFERROR(VLOOKUP(ROWS($L$2:L4737),$B$2:$C$1996,2,0),"")</f>
        <v/>
      </c>
      <c r="N4737" s="2" t="str">
        <f>IFERROR(VLOOKUP(ROWS($N$2:N4737),$D$2:$E$1996,2,0),"")</f>
        <v/>
      </c>
    </row>
    <row r="4738" spans="2:14">
      <c r="B4738" s="32">
        <f>IF(ISNUMBER(SEARCH('Φόρμα Εισαγωγής'!$B$2,C4738)),MAX($B$1:B4737)+1,0)</f>
        <v>0</v>
      </c>
      <c r="D4738" s="33">
        <f>IF(ISNUMBER(SEARCH('Φόρμα Εισαγωγής'!$C$2,E4738)),MAX($D$1:D4737)+1,0)</f>
        <v>0</v>
      </c>
      <c r="H4738" s="6">
        <f t="shared" si="233"/>
        <v>0</v>
      </c>
      <c r="I4738" s="6">
        <f t="shared" si="234"/>
        <v>0</v>
      </c>
      <c r="J4738" s="6">
        <f t="shared" si="235"/>
        <v>0</v>
      </c>
      <c r="L4738" s="4" t="str">
        <f>IFERROR(VLOOKUP(ROWS($L$2:L4738),$B$2:$C$1996,2,0),"")</f>
        <v/>
      </c>
      <c r="N4738" s="2" t="str">
        <f>IFERROR(VLOOKUP(ROWS($N$2:N4738),$D$2:$E$1996,2,0),"")</f>
        <v/>
      </c>
    </row>
    <row r="4739" spans="2:14">
      <c r="B4739" s="32">
        <f>IF(ISNUMBER(SEARCH('Φόρμα Εισαγωγής'!$B$2,C4739)),MAX($B$1:B4738)+1,0)</f>
        <v>0</v>
      </c>
      <c r="D4739" s="33">
        <f>IF(ISNUMBER(SEARCH('Φόρμα Εισαγωγής'!$C$2,E4739)),MAX($D$1:D4738)+1,0)</f>
        <v>0</v>
      </c>
      <c r="H4739" s="6">
        <f t="shared" si="233"/>
        <v>0</v>
      </c>
      <c r="I4739" s="6">
        <f t="shared" si="234"/>
        <v>0</v>
      </c>
      <c r="J4739" s="6">
        <f t="shared" si="235"/>
        <v>0</v>
      </c>
      <c r="L4739" s="4" t="str">
        <f>IFERROR(VLOOKUP(ROWS($L$2:L4739),$B$2:$C$1996,2,0),"")</f>
        <v/>
      </c>
      <c r="N4739" s="2" t="str">
        <f>IFERROR(VLOOKUP(ROWS($N$2:N4739),$D$2:$E$1996,2,0),"")</f>
        <v/>
      </c>
    </row>
    <row r="4740" spans="2:14">
      <c r="B4740" s="32">
        <f>IF(ISNUMBER(SEARCH('Φόρμα Εισαγωγής'!$B$2,C4740)),MAX($B$1:B4739)+1,0)</f>
        <v>0</v>
      </c>
      <c r="D4740" s="33">
        <f>IF(ISNUMBER(SEARCH('Φόρμα Εισαγωγής'!$C$2,E4740)),MAX($D$1:D4739)+1,0)</f>
        <v>0</v>
      </c>
      <c r="H4740" s="6">
        <f t="shared" si="233"/>
        <v>0</v>
      </c>
      <c r="I4740" s="6">
        <f t="shared" si="234"/>
        <v>0</v>
      </c>
      <c r="J4740" s="6">
        <f t="shared" si="235"/>
        <v>0</v>
      </c>
      <c r="L4740" s="4" t="str">
        <f>IFERROR(VLOOKUP(ROWS($L$2:L4740),$B$2:$C$1996,2,0),"")</f>
        <v/>
      </c>
      <c r="N4740" s="2" t="str">
        <f>IFERROR(VLOOKUP(ROWS($N$2:N4740),$D$2:$E$1996,2,0),"")</f>
        <v/>
      </c>
    </row>
    <row r="4741" spans="2:14">
      <c r="B4741" s="32">
        <f>IF(ISNUMBER(SEARCH('Φόρμα Εισαγωγής'!$B$2,C4741)),MAX($B$1:B4740)+1,0)</f>
        <v>0</v>
      </c>
      <c r="D4741" s="33">
        <f>IF(ISNUMBER(SEARCH('Φόρμα Εισαγωγής'!$C$2,E4741)),MAX($D$1:D4740)+1,0)</f>
        <v>0</v>
      </c>
      <c r="H4741" s="6">
        <f t="shared" si="233"/>
        <v>0</v>
      </c>
      <c r="I4741" s="6">
        <f t="shared" si="234"/>
        <v>0</v>
      </c>
      <c r="J4741" s="6">
        <f t="shared" si="235"/>
        <v>0</v>
      </c>
      <c r="L4741" s="4" t="str">
        <f>IFERROR(VLOOKUP(ROWS($L$2:L4741),$B$2:$C$1996,2,0),"")</f>
        <v/>
      </c>
      <c r="N4741" s="2" t="str">
        <f>IFERROR(VLOOKUP(ROWS($N$2:N4741),$D$2:$E$1996,2,0),"")</f>
        <v/>
      </c>
    </row>
    <row r="4742" spans="2:14">
      <c r="B4742" s="32">
        <f>IF(ISNUMBER(SEARCH('Φόρμα Εισαγωγής'!$B$2,C4742)),MAX($B$1:B4741)+1,0)</f>
        <v>0</v>
      </c>
      <c r="D4742" s="33">
        <f>IF(ISNUMBER(SEARCH('Φόρμα Εισαγωγής'!$C$2,E4742)),MAX($D$1:D4741)+1,0)</f>
        <v>0</v>
      </c>
      <c r="H4742" s="6">
        <f t="shared" si="233"/>
        <v>0</v>
      </c>
      <c r="I4742" s="6">
        <f t="shared" si="234"/>
        <v>0</v>
      </c>
      <c r="J4742" s="6">
        <f t="shared" si="235"/>
        <v>0</v>
      </c>
      <c r="L4742" s="4" t="str">
        <f>IFERROR(VLOOKUP(ROWS($L$2:L4742),$B$2:$C$1996,2,0),"")</f>
        <v/>
      </c>
      <c r="N4742" s="2" t="str">
        <f>IFERROR(VLOOKUP(ROWS($N$2:N4742),$D$2:$E$1996,2,0),"")</f>
        <v/>
      </c>
    </row>
    <row r="4743" spans="2:14">
      <c r="B4743" s="32">
        <f>IF(ISNUMBER(SEARCH('Φόρμα Εισαγωγής'!$B$2,C4743)),MAX($B$1:B4742)+1,0)</f>
        <v>0</v>
      </c>
      <c r="D4743" s="33">
        <f>IF(ISNUMBER(SEARCH('Φόρμα Εισαγωγής'!$C$2,E4743)),MAX($D$1:D4742)+1,0)</f>
        <v>0</v>
      </c>
      <c r="H4743" s="6">
        <f t="shared" si="233"/>
        <v>0</v>
      </c>
      <c r="I4743" s="6">
        <f t="shared" si="234"/>
        <v>0</v>
      </c>
      <c r="J4743" s="6">
        <f t="shared" si="235"/>
        <v>0</v>
      </c>
      <c r="L4743" s="4" t="str">
        <f>IFERROR(VLOOKUP(ROWS($L$2:L4743),$B$2:$C$1996,2,0),"")</f>
        <v/>
      </c>
      <c r="N4743" s="2" t="str">
        <f>IFERROR(VLOOKUP(ROWS($N$2:N4743),$D$2:$E$1996,2,0),"")</f>
        <v/>
      </c>
    </row>
    <row r="4744" spans="2:14">
      <c r="B4744" s="32">
        <f>IF(ISNUMBER(SEARCH('Φόρμα Εισαγωγής'!$B$2,C4744)),MAX($B$1:B4743)+1,0)</f>
        <v>0</v>
      </c>
      <c r="D4744" s="33">
        <f>IF(ISNUMBER(SEARCH('Φόρμα Εισαγωγής'!$C$2,E4744)),MAX($D$1:D4743)+1,0)</f>
        <v>0</v>
      </c>
      <c r="H4744" s="6">
        <f t="shared" si="233"/>
        <v>0</v>
      </c>
      <c r="I4744" s="6">
        <f t="shared" si="234"/>
        <v>0</v>
      </c>
      <c r="J4744" s="6">
        <f t="shared" si="235"/>
        <v>0</v>
      </c>
      <c r="L4744" s="4" t="str">
        <f>IFERROR(VLOOKUP(ROWS($L$2:L4744),$B$2:$C$1996,2,0),"")</f>
        <v/>
      </c>
      <c r="N4744" s="2" t="str">
        <f>IFERROR(VLOOKUP(ROWS($N$2:N4744),$D$2:$E$1996,2,0),"")</f>
        <v/>
      </c>
    </row>
    <row r="4745" spans="2:14">
      <c r="B4745" s="32">
        <f>IF(ISNUMBER(SEARCH('Φόρμα Εισαγωγής'!$B$2,C4745)),MAX($B$1:B4744)+1,0)</f>
        <v>0</v>
      </c>
      <c r="D4745" s="33">
        <f>IF(ISNUMBER(SEARCH('Φόρμα Εισαγωγής'!$C$2,E4745)),MAX($D$1:D4744)+1,0)</f>
        <v>0</v>
      </c>
      <c r="H4745" s="6">
        <f t="shared" si="233"/>
        <v>0</v>
      </c>
      <c r="I4745" s="6">
        <f t="shared" si="234"/>
        <v>0</v>
      </c>
      <c r="J4745" s="6">
        <f t="shared" si="235"/>
        <v>0</v>
      </c>
      <c r="L4745" s="4" t="str">
        <f>IFERROR(VLOOKUP(ROWS($L$2:L4745),$B$2:$C$1996,2,0),"")</f>
        <v/>
      </c>
      <c r="N4745" s="2" t="str">
        <f>IFERROR(VLOOKUP(ROWS($N$2:N4745),$D$2:$E$1996,2,0),"")</f>
        <v/>
      </c>
    </row>
    <row r="4746" spans="2:14">
      <c r="B4746" s="32">
        <f>IF(ISNUMBER(SEARCH('Φόρμα Εισαγωγής'!$B$2,C4746)),MAX($B$1:B4745)+1,0)</f>
        <v>0</v>
      </c>
      <c r="D4746" s="33">
        <f>IF(ISNUMBER(SEARCH('Φόρμα Εισαγωγής'!$C$2,E4746)),MAX($D$1:D4745)+1,0)</f>
        <v>0</v>
      </c>
      <c r="H4746" s="6">
        <f t="shared" si="233"/>
        <v>0</v>
      </c>
      <c r="I4746" s="6">
        <f t="shared" si="234"/>
        <v>0</v>
      </c>
      <c r="J4746" s="6">
        <f t="shared" si="235"/>
        <v>0</v>
      </c>
      <c r="L4746" s="4" t="str">
        <f>IFERROR(VLOOKUP(ROWS($L$2:L4746),$B$2:$C$1996,2,0),"")</f>
        <v/>
      </c>
      <c r="N4746" s="2" t="str">
        <f>IFERROR(VLOOKUP(ROWS($N$2:N4746),$D$2:$E$1996,2,0),"")</f>
        <v/>
      </c>
    </row>
    <row r="4747" spans="2:14">
      <c r="B4747" s="32">
        <f>IF(ISNUMBER(SEARCH('Φόρμα Εισαγωγής'!$B$2,C4747)),MAX($B$1:B4746)+1,0)</f>
        <v>0</v>
      </c>
      <c r="D4747" s="33">
        <f>IF(ISNUMBER(SEARCH('Φόρμα Εισαγωγής'!$C$2,E4747)),MAX($D$1:D4746)+1,0)</f>
        <v>0</v>
      </c>
      <c r="H4747" s="6">
        <f t="shared" si="233"/>
        <v>0</v>
      </c>
      <c r="I4747" s="6">
        <f t="shared" si="234"/>
        <v>0</v>
      </c>
      <c r="J4747" s="6">
        <f t="shared" si="235"/>
        <v>0</v>
      </c>
      <c r="L4747" s="4" t="str">
        <f>IFERROR(VLOOKUP(ROWS($L$2:L4747),$B$2:$C$1996,2,0),"")</f>
        <v/>
      </c>
      <c r="N4747" s="2" t="str">
        <f>IFERROR(VLOOKUP(ROWS($N$2:N4747),$D$2:$E$1996,2,0),"")</f>
        <v/>
      </c>
    </row>
    <row r="4748" spans="2:14">
      <c r="B4748" s="32">
        <f>IF(ISNUMBER(SEARCH('Φόρμα Εισαγωγής'!$B$2,C4748)),MAX($B$1:B4747)+1,0)</f>
        <v>0</v>
      </c>
      <c r="D4748" s="33">
        <f>IF(ISNUMBER(SEARCH('Φόρμα Εισαγωγής'!$C$2,E4748)),MAX($D$1:D4747)+1,0)</f>
        <v>0</v>
      </c>
      <c r="H4748" s="6">
        <f t="shared" si="233"/>
        <v>0</v>
      </c>
      <c r="I4748" s="6">
        <f t="shared" si="234"/>
        <v>0</v>
      </c>
      <c r="J4748" s="6">
        <f t="shared" si="235"/>
        <v>0</v>
      </c>
      <c r="L4748" s="4" t="str">
        <f>IFERROR(VLOOKUP(ROWS($L$2:L4748),$B$2:$C$1996,2,0),"")</f>
        <v/>
      </c>
      <c r="N4748" s="2" t="str">
        <f>IFERROR(VLOOKUP(ROWS($N$2:N4748),$D$2:$E$1996,2,0),"")</f>
        <v/>
      </c>
    </row>
    <row r="4749" spans="2:14">
      <c r="B4749" s="32">
        <f>IF(ISNUMBER(SEARCH('Φόρμα Εισαγωγής'!$B$2,C4749)),MAX($B$1:B4748)+1,0)</f>
        <v>0</v>
      </c>
      <c r="D4749" s="33">
        <f>IF(ISNUMBER(SEARCH('Φόρμα Εισαγωγής'!$C$2,E4749)),MAX($D$1:D4748)+1,0)</f>
        <v>0</v>
      </c>
      <c r="H4749" s="6">
        <f t="shared" si="233"/>
        <v>0</v>
      </c>
      <c r="I4749" s="6">
        <f t="shared" si="234"/>
        <v>0</v>
      </c>
      <c r="J4749" s="6">
        <f t="shared" si="235"/>
        <v>0</v>
      </c>
      <c r="L4749" s="4" t="str">
        <f>IFERROR(VLOOKUP(ROWS($L$2:L4749),$B$2:$C$1996,2,0),"")</f>
        <v/>
      </c>
      <c r="N4749" s="2" t="str">
        <f>IFERROR(VLOOKUP(ROWS($N$2:N4749),$D$2:$E$1996,2,0),"")</f>
        <v/>
      </c>
    </row>
    <row r="4750" spans="2:14">
      <c r="B4750" s="32">
        <f>IF(ISNUMBER(SEARCH('Φόρμα Εισαγωγής'!$B$2,C4750)),MAX($B$1:B4749)+1,0)</f>
        <v>0</v>
      </c>
      <c r="D4750" s="33">
        <f>IF(ISNUMBER(SEARCH('Φόρμα Εισαγωγής'!$C$2,E4750)),MAX($D$1:D4749)+1,0)</f>
        <v>0</v>
      </c>
      <c r="H4750" s="6">
        <f t="shared" si="233"/>
        <v>0</v>
      </c>
      <c r="I4750" s="6">
        <f t="shared" si="234"/>
        <v>0</v>
      </c>
      <c r="J4750" s="6">
        <f t="shared" si="235"/>
        <v>0</v>
      </c>
      <c r="L4750" s="4" t="str">
        <f>IFERROR(VLOOKUP(ROWS($L$2:L4750),$B$2:$C$1996,2,0),"")</f>
        <v/>
      </c>
      <c r="N4750" s="2" t="str">
        <f>IFERROR(VLOOKUP(ROWS($N$2:N4750),$D$2:$E$1996,2,0),"")</f>
        <v/>
      </c>
    </row>
    <row r="4751" spans="2:14">
      <c r="B4751" s="32">
        <f>IF(ISNUMBER(SEARCH('Φόρμα Εισαγωγής'!$B$2,C4751)),MAX($B$1:B4750)+1,0)</f>
        <v>0</v>
      </c>
      <c r="D4751" s="33">
        <f>IF(ISNUMBER(SEARCH('Φόρμα Εισαγωγής'!$C$2,E4751)),MAX($D$1:D4750)+1,0)</f>
        <v>0</v>
      </c>
      <c r="H4751" s="6">
        <f t="shared" si="233"/>
        <v>0</v>
      </c>
      <c r="I4751" s="6">
        <f t="shared" si="234"/>
        <v>0</v>
      </c>
      <c r="J4751" s="6">
        <f t="shared" si="235"/>
        <v>0</v>
      </c>
      <c r="L4751" s="4" t="str">
        <f>IFERROR(VLOOKUP(ROWS($L$2:L4751),$B$2:$C$1996,2,0),"")</f>
        <v/>
      </c>
      <c r="N4751" s="2" t="str">
        <f>IFERROR(VLOOKUP(ROWS($N$2:N4751),$D$2:$E$1996,2,0),"")</f>
        <v/>
      </c>
    </row>
    <row r="4752" spans="2:14">
      <c r="B4752" s="32">
        <f>IF(ISNUMBER(SEARCH('Φόρμα Εισαγωγής'!$B$2,C4752)),MAX($B$1:B4751)+1,0)</f>
        <v>0</v>
      </c>
      <c r="D4752" s="33">
        <f>IF(ISNUMBER(SEARCH('Φόρμα Εισαγωγής'!$C$2,E4752)),MAX($D$1:D4751)+1,0)</f>
        <v>0</v>
      </c>
      <c r="H4752" s="6">
        <f t="shared" si="233"/>
        <v>0</v>
      </c>
      <c r="I4752" s="6">
        <f t="shared" si="234"/>
        <v>0</v>
      </c>
      <c r="J4752" s="6">
        <f t="shared" si="235"/>
        <v>0</v>
      </c>
      <c r="L4752" s="4" t="str">
        <f>IFERROR(VLOOKUP(ROWS($L$2:L4752),$B$2:$C$1996,2,0),"")</f>
        <v/>
      </c>
      <c r="N4752" s="2" t="str">
        <f>IFERROR(VLOOKUP(ROWS($N$2:N4752),$D$2:$E$1996,2,0),"")</f>
        <v/>
      </c>
    </row>
    <row r="4753" spans="2:14">
      <c r="B4753" s="32">
        <f>IF(ISNUMBER(SEARCH('Φόρμα Εισαγωγής'!$B$2,C4753)),MAX($B$1:B4752)+1,0)</f>
        <v>0</v>
      </c>
      <c r="D4753" s="33">
        <f>IF(ISNUMBER(SEARCH('Φόρμα Εισαγωγής'!$C$2,E4753)),MAX($D$1:D4752)+1,0)</f>
        <v>0</v>
      </c>
      <c r="H4753" s="6">
        <f t="shared" si="233"/>
        <v>0</v>
      </c>
      <c r="I4753" s="6">
        <f t="shared" si="234"/>
        <v>0</v>
      </c>
      <c r="J4753" s="6">
        <f t="shared" si="235"/>
        <v>0</v>
      </c>
      <c r="L4753" s="4" t="str">
        <f>IFERROR(VLOOKUP(ROWS($L$2:L4753),$B$2:$C$1996,2,0),"")</f>
        <v/>
      </c>
      <c r="N4753" s="2" t="str">
        <f>IFERROR(VLOOKUP(ROWS($N$2:N4753),$D$2:$E$1996,2,0),"")</f>
        <v/>
      </c>
    </row>
    <row r="4754" spans="2:14">
      <c r="B4754" s="32">
        <f>IF(ISNUMBER(SEARCH('Φόρμα Εισαγωγής'!$B$2,C4754)),MAX($B$1:B4753)+1,0)</f>
        <v>0</v>
      </c>
      <c r="D4754" s="33">
        <f>IF(ISNUMBER(SEARCH('Φόρμα Εισαγωγής'!$C$2,E4754)),MAX($D$1:D4753)+1,0)</f>
        <v>0</v>
      </c>
      <c r="H4754" s="6">
        <f t="shared" si="233"/>
        <v>0</v>
      </c>
      <c r="I4754" s="6">
        <f t="shared" si="234"/>
        <v>0</v>
      </c>
      <c r="J4754" s="6">
        <f t="shared" si="235"/>
        <v>0</v>
      </c>
      <c r="L4754" s="4" t="str">
        <f>IFERROR(VLOOKUP(ROWS($L$2:L4754),$B$2:$C$1996,2,0),"")</f>
        <v/>
      </c>
      <c r="N4754" s="2" t="str">
        <f>IFERROR(VLOOKUP(ROWS($N$2:N4754),$D$2:$E$1996,2,0),"")</f>
        <v/>
      </c>
    </row>
    <row r="4755" spans="2:14">
      <c r="B4755" s="32">
        <f>IF(ISNUMBER(SEARCH('Φόρμα Εισαγωγής'!$B$2,C4755)),MAX($B$1:B4754)+1,0)</f>
        <v>0</v>
      </c>
      <c r="D4755" s="33">
        <f>IF(ISNUMBER(SEARCH('Φόρμα Εισαγωγής'!$C$2,E4755)),MAX($D$1:D4754)+1,0)</f>
        <v>0</v>
      </c>
      <c r="H4755" s="6">
        <f t="shared" si="233"/>
        <v>0</v>
      </c>
      <c r="I4755" s="6">
        <f t="shared" si="234"/>
        <v>0</v>
      </c>
      <c r="J4755" s="6">
        <f t="shared" si="235"/>
        <v>0</v>
      </c>
      <c r="L4755" s="4" t="str">
        <f>IFERROR(VLOOKUP(ROWS($L$2:L4755),$B$2:$C$1996,2,0),"")</f>
        <v/>
      </c>
      <c r="N4755" s="2" t="str">
        <f>IFERROR(VLOOKUP(ROWS($N$2:N4755),$D$2:$E$1996,2,0),"")</f>
        <v/>
      </c>
    </row>
    <row r="4756" spans="2:14">
      <c r="B4756" s="32">
        <f>IF(ISNUMBER(SEARCH('Φόρμα Εισαγωγής'!$B$2,C4756)),MAX($B$1:B4755)+1,0)</f>
        <v>0</v>
      </c>
      <c r="D4756" s="33">
        <f>IF(ISNUMBER(SEARCH('Φόρμα Εισαγωγής'!$C$2,E4756)),MAX($D$1:D4755)+1,0)</f>
        <v>0</v>
      </c>
      <c r="H4756" s="6">
        <f t="shared" si="233"/>
        <v>0</v>
      </c>
      <c r="I4756" s="6">
        <f t="shared" si="234"/>
        <v>0</v>
      </c>
      <c r="J4756" s="6">
        <f t="shared" si="235"/>
        <v>0</v>
      </c>
      <c r="L4756" s="4" t="str">
        <f>IFERROR(VLOOKUP(ROWS($L$2:L4756),$B$2:$C$1996,2,0),"")</f>
        <v/>
      </c>
      <c r="N4756" s="2" t="str">
        <f>IFERROR(VLOOKUP(ROWS($N$2:N4756),$D$2:$E$1996,2,0),"")</f>
        <v/>
      </c>
    </row>
    <row r="4757" spans="2:14">
      <c r="B4757" s="32">
        <f>IF(ISNUMBER(SEARCH('Φόρμα Εισαγωγής'!$B$2,C4757)),MAX($B$1:B4756)+1,0)</f>
        <v>0</v>
      </c>
      <c r="D4757" s="33">
        <f>IF(ISNUMBER(SEARCH('Φόρμα Εισαγωγής'!$C$2,E4757)),MAX($D$1:D4756)+1,0)</f>
        <v>0</v>
      </c>
      <c r="H4757" s="6">
        <f t="shared" si="233"/>
        <v>0</v>
      </c>
      <c r="I4757" s="6">
        <f t="shared" si="234"/>
        <v>0</v>
      </c>
      <c r="J4757" s="6">
        <f t="shared" si="235"/>
        <v>0</v>
      </c>
      <c r="L4757" s="4" t="str">
        <f>IFERROR(VLOOKUP(ROWS($L$2:L4757),$B$2:$C$1996,2,0),"")</f>
        <v/>
      </c>
      <c r="N4757" s="2" t="str">
        <f>IFERROR(VLOOKUP(ROWS($N$2:N4757),$D$2:$E$1996,2,0),"")</f>
        <v/>
      </c>
    </row>
    <row r="4758" spans="2:14">
      <c r="B4758" s="32">
        <f>IF(ISNUMBER(SEARCH('Φόρμα Εισαγωγής'!$B$2,C4758)),MAX($B$1:B4757)+1,0)</f>
        <v>0</v>
      </c>
      <c r="D4758" s="33">
        <f>IF(ISNUMBER(SEARCH('Φόρμα Εισαγωγής'!$C$2,E4758)),MAX($D$1:D4757)+1,0)</f>
        <v>0</v>
      </c>
      <c r="H4758" s="6">
        <f t="shared" si="233"/>
        <v>0</v>
      </c>
      <c r="I4758" s="6">
        <f t="shared" si="234"/>
        <v>0</v>
      </c>
      <c r="J4758" s="6">
        <f t="shared" si="235"/>
        <v>0</v>
      </c>
      <c r="L4758" s="4" t="str">
        <f>IFERROR(VLOOKUP(ROWS($L$2:L4758),$B$2:$C$1996,2,0),"")</f>
        <v/>
      </c>
      <c r="N4758" s="2" t="str">
        <f>IFERROR(VLOOKUP(ROWS($N$2:N4758),$D$2:$E$1996,2,0),"")</f>
        <v/>
      </c>
    </row>
    <row r="4759" spans="2:14">
      <c r="B4759" s="32">
        <f>IF(ISNUMBER(SEARCH('Φόρμα Εισαγωγής'!$B$2,C4759)),MAX($B$1:B4758)+1,0)</f>
        <v>0</v>
      </c>
      <c r="D4759" s="33">
        <f>IF(ISNUMBER(SEARCH('Φόρμα Εισαγωγής'!$C$2,E4759)),MAX($D$1:D4758)+1,0)</f>
        <v>0</v>
      </c>
      <c r="H4759" s="6">
        <f t="shared" si="233"/>
        <v>0</v>
      </c>
      <c r="I4759" s="6">
        <f t="shared" si="234"/>
        <v>0</v>
      </c>
      <c r="J4759" s="6">
        <f t="shared" si="235"/>
        <v>0</v>
      </c>
      <c r="L4759" s="4" t="str">
        <f>IFERROR(VLOOKUP(ROWS($L$2:L4759),$B$2:$C$1996,2,0),"")</f>
        <v/>
      </c>
      <c r="N4759" s="2" t="str">
        <f>IFERROR(VLOOKUP(ROWS($N$2:N4759),$D$2:$E$1996,2,0),"")</f>
        <v/>
      </c>
    </row>
    <row r="4760" spans="2:14">
      <c r="B4760" s="32">
        <f>IF(ISNUMBER(SEARCH('Φόρμα Εισαγωγής'!$B$2,C4760)),MAX($B$1:B4759)+1,0)</f>
        <v>0</v>
      </c>
      <c r="D4760" s="33">
        <f>IF(ISNUMBER(SEARCH('Φόρμα Εισαγωγής'!$C$2,E4760)),MAX($D$1:D4759)+1,0)</f>
        <v>0</v>
      </c>
      <c r="H4760" s="6">
        <f t="shared" si="233"/>
        <v>0</v>
      </c>
      <c r="I4760" s="6">
        <f t="shared" si="234"/>
        <v>0</v>
      </c>
      <c r="J4760" s="6">
        <f t="shared" si="235"/>
        <v>0</v>
      </c>
      <c r="L4760" s="4" t="str">
        <f>IFERROR(VLOOKUP(ROWS($L$2:L4760),$B$2:$C$1996,2,0),"")</f>
        <v/>
      </c>
      <c r="N4760" s="2" t="str">
        <f>IFERROR(VLOOKUP(ROWS($N$2:N4760),$D$2:$E$1996,2,0),"")</f>
        <v/>
      </c>
    </row>
    <row r="4761" spans="2:14">
      <c r="B4761" s="32">
        <f>IF(ISNUMBER(SEARCH('Φόρμα Εισαγωγής'!$B$2,C4761)),MAX($B$1:B4760)+1,0)</f>
        <v>0</v>
      </c>
      <c r="D4761" s="33">
        <f>IF(ISNUMBER(SEARCH('Φόρμα Εισαγωγής'!$C$2,E4761)),MAX($D$1:D4760)+1,0)</f>
        <v>0</v>
      </c>
      <c r="H4761" s="6">
        <f t="shared" si="233"/>
        <v>0</v>
      </c>
      <c r="I4761" s="6">
        <f t="shared" si="234"/>
        <v>0</v>
      </c>
      <c r="J4761" s="6">
        <f t="shared" si="235"/>
        <v>0</v>
      </c>
      <c r="L4761" s="4" t="str">
        <f>IFERROR(VLOOKUP(ROWS($L$2:L4761),$B$2:$C$1996,2,0),"")</f>
        <v/>
      </c>
      <c r="N4761" s="2" t="str">
        <f>IFERROR(VLOOKUP(ROWS($N$2:N4761),$D$2:$E$1996,2,0),"")</f>
        <v/>
      </c>
    </row>
    <row r="4762" spans="2:14">
      <c r="B4762" s="32">
        <f>IF(ISNUMBER(SEARCH('Φόρμα Εισαγωγής'!$B$2,C4762)),MAX($B$1:B4761)+1,0)</f>
        <v>0</v>
      </c>
      <c r="D4762" s="33">
        <f>IF(ISNUMBER(SEARCH('Φόρμα Εισαγωγής'!$C$2,E4762)),MAX($D$1:D4761)+1,0)</f>
        <v>0</v>
      </c>
      <c r="H4762" s="6">
        <f t="shared" si="233"/>
        <v>0</v>
      </c>
      <c r="I4762" s="6">
        <f t="shared" si="234"/>
        <v>0</v>
      </c>
      <c r="J4762" s="6">
        <f t="shared" si="235"/>
        <v>0</v>
      </c>
      <c r="L4762" s="4" t="str">
        <f>IFERROR(VLOOKUP(ROWS($L$2:L4762),$B$2:$C$1996,2,0),"")</f>
        <v/>
      </c>
      <c r="N4762" s="2" t="str">
        <f>IFERROR(VLOOKUP(ROWS($N$2:N4762),$D$2:$E$1996,2,0),"")</f>
        <v/>
      </c>
    </row>
    <row r="4763" spans="2:14">
      <c r="B4763" s="32">
        <f>IF(ISNUMBER(SEARCH('Φόρμα Εισαγωγής'!$B$2,C4763)),MAX($B$1:B4762)+1,0)</f>
        <v>0</v>
      </c>
      <c r="D4763" s="33">
        <f>IF(ISNUMBER(SEARCH('Φόρμα Εισαγωγής'!$C$2,E4763)),MAX($D$1:D4762)+1,0)</f>
        <v>0</v>
      </c>
      <c r="H4763" s="6">
        <f t="shared" si="233"/>
        <v>0</v>
      </c>
      <c r="I4763" s="6">
        <f t="shared" si="234"/>
        <v>0</v>
      </c>
      <c r="J4763" s="6">
        <f t="shared" si="235"/>
        <v>0</v>
      </c>
      <c r="L4763" s="4" t="str">
        <f>IFERROR(VLOOKUP(ROWS($L$2:L4763),$B$2:$C$1996,2,0),"")</f>
        <v/>
      </c>
      <c r="N4763" s="2" t="str">
        <f>IFERROR(VLOOKUP(ROWS($N$2:N4763),$D$2:$E$1996,2,0),"")</f>
        <v/>
      </c>
    </row>
    <row r="4764" spans="2:14">
      <c r="B4764" s="32">
        <f>IF(ISNUMBER(SEARCH('Φόρμα Εισαγωγής'!$B$2,C4764)),MAX($B$1:B4763)+1,0)</f>
        <v>0</v>
      </c>
      <c r="D4764" s="33">
        <f>IF(ISNUMBER(SEARCH('Φόρμα Εισαγωγής'!$C$2,E4764)),MAX($D$1:D4763)+1,0)</f>
        <v>0</v>
      </c>
      <c r="H4764" s="6">
        <f t="shared" si="233"/>
        <v>0</v>
      </c>
      <c r="I4764" s="6">
        <f t="shared" si="234"/>
        <v>0</v>
      </c>
      <c r="J4764" s="6">
        <f t="shared" si="235"/>
        <v>0</v>
      </c>
      <c r="L4764" s="4" t="str">
        <f>IFERROR(VLOOKUP(ROWS($L$2:L4764),$B$2:$C$1996,2,0),"")</f>
        <v/>
      </c>
      <c r="N4764" s="2" t="str">
        <f>IFERROR(VLOOKUP(ROWS($N$2:N4764),$D$2:$E$1996,2,0),"")</f>
        <v/>
      </c>
    </row>
    <row r="4765" spans="2:14">
      <c r="B4765" s="32">
        <f>IF(ISNUMBER(SEARCH('Φόρμα Εισαγωγής'!$B$2,C4765)),MAX($B$1:B4764)+1,0)</f>
        <v>0</v>
      </c>
      <c r="D4765" s="33">
        <f>IF(ISNUMBER(SEARCH('Φόρμα Εισαγωγής'!$C$2,E4765)),MAX($D$1:D4764)+1,0)</f>
        <v>0</v>
      </c>
      <c r="H4765" s="6">
        <f t="shared" si="233"/>
        <v>0</v>
      </c>
      <c r="I4765" s="6">
        <f t="shared" si="234"/>
        <v>0</v>
      </c>
      <c r="J4765" s="6">
        <f t="shared" si="235"/>
        <v>0</v>
      </c>
      <c r="L4765" s="4" t="str">
        <f>IFERROR(VLOOKUP(ROWS($L$2:L4765),$B$2:$C$1996,2,0),"")</f>
        <v/>
      </c>
      <c r="N4765" s="2" t="str">
        <f>IFERROR(VLOOKUP(ROWS($N$2:N4765),$D$2:$E$1996,2,0),"")</f>
        <v/>
      </c>
    </row>
    <row r="4766" spans="2:14">
      <c r="B4766" s="32">
        <f>IF(ISNUMBER(SEARCH('Φόρμα Εισαγωγής'!$B$2,C4766)),MAX($B$1:B4765)+1,0)</f>
        <v>0</v>
      </c>
      <c r="D4766" s="33">
        <f>IF(ISNUMBER(SEARCH('Φόρμα Εισαγωγής'!$C$2,E4766)),MAX($D$1:D4765)+1,0)</f>
        <v>0</v>
      </c>
      <c r="H4766" s="6">
        <f t="shared" si="233"/>
        <v>0</v>
      </c>
      <c r="I4766" s="6">
        <f t="shared" si="234"/>
        <v>0</v>
      </c>
      <c r="J4766" s="6">
        <f t="shared" si="235"/>
        <v>0</v>
      </c>
      <c r="L4766" s="4" t="str">
        <f>IFERROR(VLOOKUP(ROWS($L$2:L4766),$B$2:$C$1996,2,0),"")</f>
        <v/>
      </c>
      <c r="N4766" s="2" t="str">
        <f>IFERROR(VLOOKUP(ROWS($N$2:N4766),$D$2:$E$1996,2,0),"")</f>
        <v/>
      </c>
    </row>
    <row r="4767" spans="2:14">
      <c r="B4767" s="32">
        <f>IF(ISNUMBER(SEARCH('Φόρμα Εισαγωγής'!$B$2,C4767)),MAX($B$1:B4766)+1,0)</f>
        <v>0</v>
      </c>
      <c r="D4767" s="33">
        <f>IF(ISNUMBER(SEARCH('Φόρμα Εισαγωγής'!$C$2,E4767)),MAX($D$1:D4766)+1,0)</f>
        <v>0</v>
      </c>
      <c r="H4767" s="6">
        <f t="shared" si="233"/>
        <v>0</v>
      </c>
      <c r="I4767" s="6">
        <f t="shared" si="234"/>
        <v>0</v>
      </c>
      <c r="J4767" s="6">
        <f t="shared" si="235"/>
        <v>0</v>
      </c>
      <c r="L4767" s="4" t="str">
        <f>IFERROR(VLOOKUP(ROWS($L$2:L4767),$B$2:$C$1996,2,0),"")</f>
        <v/>
      </c>
      <c r="N4767" s="2" t="str">
        <f>IFERROR(VLOOKUP(ROWS($N$2:N4767),$D$2:$E$1996,2,0),"")</f>
        <v/>
      </c>
    </row>
    <row r="4768" spans="2:14">
      <c r="B4768" s="32">
        <f>IF(ISNUMBER(SEARCH('Φόρμα Εισαγωγής'!$B$2,C4768)),MAX($B$1:B4767)+1,0)</f>
        <v>0</v>
      </c>
      <c r="D4768" s="33">
        <f>IF(ISNUMBER(SEARCH('Φόρμα Εισαγωγής'!$C$2,E4768)),MAX($D$1:D4767)+1,0)</f>
        <v>0</v>
      </c>
      <c r="H4768" s="6">
        <f t="shared" si="233"/>
        <v>0</v>
      </c>
      <c r="I4768" s="6">
        <f t="shared" si="234"/>
        <v>0</v>
      </c>
      <c r="J4768" s="6">
        <f t="shared" si="235"/>
        <v>0</v>
      </c>
      <c r="L4768" s="4" t="str">
        <f>IFERROR(VLOOKUP(ROWS($L$2:L4768),$B$2:$C$1996,2,0),"")</f>
        <v/>
      </c>
      <c r="N4768" s="2" t="str">
        <f>IFERROR(VLOOKUP(ROWS($N$2:N4768),$D$2:$E$1996,2,0),"")</f>
        <v/>
      </c>
    </row>
    <row r="4769" spans="2:14">
      <c r="B4769" s="32">
        <f>IF(ISNUMBER(SEARCH('Φόρμα Εισαγωγής'!$B$2,C4769)),MAX($B$1:B4768)+1,0)</f>
        <v>0</v>
      </c>
      <c r="D4769" s="33">
        <f>IF(ISNUMBER(SEARCH('Φόρμα Εισαγωγής'!$C$2,E4769)),MAX($D$1:D4768)+1,0)</f>
        <v>0</v>
      </c>
      <c r="H4769" s="6">
        <f t="shared" si="233"/>
        <v>0</v>
      </c>
      <c r="I4769" s="6">
        <f t="shared" si="234"/>
        <v>0</v>
      </c>
      <c r="J4769" s="6">
        <f t="shared" si="235"/>
        <v>0</v>
      </c>
      <c r="L4769" s="4" t="str">
        <f>IFERROR(VLOOKUP(ROWS($L$2:L4769),$B$2:$C$1996,2,0),"")</f>
        <v/>
      </c>
      <c r="N4769" s="2" t="str">
        <f>IFERROR(VLOOKUP(ROWS($N$2:N4769),$D$2:$E$1996,2,0),"")</f>
        <v/>
      </c>
    </row>
    <row r="4770" spans="2:14">
      <c r="B4770" s="32">
        <f>IF(ISNUMBER(SEARCH('Φόρμα Εισαγωγής'!$B$2,C4770)),MAX($B$1:B4769)+1,0)</f>
        <v>0</v>
      </c>
      <c r="D4770" s="33">
        <f>IF(ISNUMBER(SEARCH('Φόρμα Εισαγωγής'!$C$2,E4770)),MAX($D$1:D4769)+1,0)</f>
        <v>0</v>
      </c>
      <c r="H4770" s="6">
        <f t="shared" si="233"/>
        <v>0</v>
      </c>
      <c r="I4770" s="6">
        <f t="shared" si="234"/>
        <v>0</v>
      </c>
      <c r="J4770" s="6">
        <f t="shared" si="235"/>
        <v>0</v>
      </c>
      <c r="L4770" s="4" t="str">
        <f>IFERROR(VLOOKUP(ROWS($L$2:L4770),$B$2:$C$1996,2,0),"")</f>
        <v/>
      </c>
      <c r="N4770" s="2" t="str">
        <f>IFERROR(VLOOKUP(ROWS($N$2:N4770),$D$2:$E$1996,2,0),"")</f>
        <v/>
      </c>
    </row>
    <row r="4771" spans="2:14">
      <c r="B4771" s="32">
        <f>IF(ISNUMBER(SEARCH('Φόρμα Εισαγωγής'!$B$2,C4771)),MAX($B$1:B4770)+1,0)</f>
        <v>0</v>
      </c>
      <c r="D4771" s="33">
        <f>IF(ISNUMBER(SEARCH('Φόρμα Εισαγωγής'!$C$2,E4771)),MAX($D$1:D4770)+1,0)</f>
        <v>0</v>
      </c>
      <c r="H4771" s="6">
        <f t="shared" si="233"/>
        <v>0</v>
      </c>
      <c r="I4771" s="6">
        <f t="shared" si="234"/>
        <v>0</v>
      </c>
      <c r="J4771" s="6">
        <f t="shared" si="235"/>
        <v>0</v>
      </c>
      <c r="L4771" s="4" t="str">
        <f>IFERROR(VLOOKUP(ROWS($L$2:L4771),$B$2:$C$1996,2,0),"")</f>
        <v/>
      </c>
      <c r="N4771" s="2" t="str">
        <f>IFERROR(VLOOKUP(ROWS($N$2:N4771),$D$2:$E$1996,2,0),"")</f>
        <v/>
      </c>
    </row>
    <row r="4772" spans="2:14">
      <c r="B4772" s="32">
        <f>IF(ISNUMBER(SEARCH('Φόρμα Εισαγωγής'!$B$2,C4772)),MAX($B$1:B4771)+1,0)</f>
        <v>0</v>
      </c>
      <c r="D4772" s="33">
        <f>IF(ISNUMBER(SEARCH('Φόρμα Εισαγωγής'!$C$2,E4772)),MAX($D$1:D4771)+1,0)</f>
        <v>0</v>
      </c>
      <c r="H4772" s="6">
        <f t="shared" si="233"/>
        <v>0</v>
      </c>
      <c r="I4772" s="6">
        <f t="shared" si="234"/>
        <v>0</v>
      </c>
      <c r="J4772" s="6">
        <f t="shared" si="235"/>
        <v>0</v>
      </c>
      <c r="L4772" s="4" t="str">
        <f>IFERROR(VLOOKUP(ROWS($L$2:L4772),$B$2:$C$1996,2,0),"")</f>
        <v/>
      </c>
      <c r="N4772" s="2" t="str">
        <f>IFERROR(VLOOKUP(ROWS($N$2:N4772),$D$2:$E$1996,2,0),"")</f>
        <v/>
      </c>
    </row>
    <row r="4773" spans="2:14">
      <c r="B4773" s="32">
        <f>IF(ISNUMBER(SEARCH('Φόρμα Εισαγωγής'!$B$2,C4773)),MAX($B$1:B4772)+1,0)</f>
        <v>0</v>
      </c>
      <c r="D4773" s="33">
        <f>IF(ISNUMBER(SEARCH('Φόρμα Εισαγωγής'!$C$2,E4773)),MAX($D$1:D4772)+1,0)</f>
        <v>0</v>
      </c>
      <c r="H4773" s="6">
        <f t="shared" si="233"/>
        <v>0</v>
      </c>
      <c r="I4773" s="6">
        <f t="shared" si="234"/>
        <v>0</v>
      </c>
      <c r="J4773" s="6">
        <f t="shared" si="235"/>
        <v>0</v>
      </c>
      <c r="L4773" s="4" t="str">
        <f>IFERROR(VLOOKUP(ROWS($L$2:L4773),$B$2:$C$1996,2,0),"")</f>
        <v/>
      </c>
      <c r="N4773" s="2" t="str">
        <f>IFERROR(VLOOKUP(ROWS($N$2:N4773),$D$2:$E$1996,2,0),"")</f>
        <v/>
      </c>
    </row>
    <row r="4774" spans="2:14">
      <c r="B4774" s="32">
        <f>IF(ISNUMBER(SEARCH('Φόρμα Εισαγωγής'!$B$2,C4774)),MAX($B$1:B4773)+1,0)</f>
        <v>0</v>
      </c>
      <c r="D4774" s="33">
        <f>IF(ISNUMBER(SEARCH('Φόρμα Εισαγωγής'!$C$2,E4774)),MAX($D$1:D4773)+1,0)</f>
        <v>0</v>
      </c>
      <c r="H4774" s="6">
        <f t="shared" si="233"/>
        <v>0</v>
      </c>
      <c r="I4774" s="6">
        <f t="shared" si="234"/>
        <v>0</v>
      </c>
      <c r="J4774" s="6">
        <f t="shared" si="235"/>
        <v>0</v>
      </c>
      <c r="L4774" s="4" t="str">
        <f>IFERROR(VLOOKUP(ROWS($L$2:L4774),$B$2:$C$1996,2,0),"")</f>
        <v/>
      </c>
      <c r="N4774" s="2" t="str">
        <f>IFERROR(VLOOKUP(ROWS($N$2:N4774),$D$2:$E$1996,2,0),"")</f>
        <v/>
      </c>
    </row>
    <row r="4775" spans="2:14">
      <c r="B4775" s="32">
        <f>IF(ISNUMBER(SEARCH('Φόρμα Εισαγωγής'!$B$2,C4775)),MAX($B$1:B4774)+1,0)</f>
        <v>0</v>
      </c>
      <c r="D4775" s="33">
        <f>IF(ISNUMBER(SEARCH('Φόρμα Εισαγωγής'!$C$2,E4775)),MAX($D$1:D4774)+1,0)</f>
        <v>0</v>
      </c>
      <c r="H4775" s="6">
        <f t="shared" si="233"/>
        <v>0</v>
      </c>
      <c r="I4775" s="6">
        <f t="shared" si="234"/>
        <v>0</v>
      </c>
      <c r="J4775" s="6">
        <f t="shared" si="235"/>
        <v>0</v>
      </c>
      <c r="L4775" s="4" t="str">
        <f>IFERROR(VLOOKUP(ROWS($L$2:L4775),$B$2:$C$1996,2,0),"")</f>
        <v/>
      </c>
      <c r="N4775" s="2" t="str">
        <f>IFERROR(VLOOKUP(ROWS($N$2:N4775),$D$2:$E$1996,2,0),"")</f>
        <v/>
      </c>
    </row>
    <row r="4776" spans="2:14">
      <c r="B4776" s="32">
        <f>IF(ISNUMBER(SEARCH('Φόρμα Εισαγωγής'!$B$2,C4776)),MAX($B$1:B4775)+1,0)</f>
        <v>0</v>
      </c>
      <c r="D4776" s="33">
        <f>IF(ISNUMBER(SEARCH('Φόρμα Εισαγωγής'!$C$2,E4776)),MAX($D$1:D4775)+1,0)</f>
        <v>0</v>
      </c>
      <c r="H4776" s="6">
        <f t="shared" si="233"/>
        <v>0</v>
      </c>
      <c r="I4776" s="6">
        <f t="shared" si="234"/>
        <v>0</v>
      </c>
      <c r="J4776" s="6">
        <f t="shared" si="235"/>
        <v>0</v>
      </c>
      <c r="L4776" s="4" t="str">
        <f>IFERROR(VLOOKUP(ROWS($L$2:L4776),$B$2:$C$1996,2,0),"")</f>
        <v/>
      </c>
      <c r="N4776" s="2" t="str">
        <f>IFERROR(VLOOKUP(ROWS($N$2:N4776),$D$2:$E$1996,2,0),"")</f>
        <v/>
      </c>
    </row>
    <row r="4777" spans="2:14">
      <c r="B4777" s="32">
        <f>IF(ISNUMBER(SEARCH('Φόρμα Εισαγωγής'!$B$2,C4777)),MAX($B$1:B4776)+1,0)</f>
        <v>0</v>
      </c>
      <c r="D4777" s="33">
        <f>IF(ISNUMBER(SEARCH('Φόρμα Εισαγωγής'!$C$2,E4777)),MAX($D$1:D4776)+1,0)</f>
        <v>0</v>
      </c>
      <c r="H4777" s="6">
        <f t="shared" si="233"/>
        <v>0</v>
      </c>
      <c r="I4777" s="6">
        <f t="shared" si="234"/>
        <v>0</v>
      </c>
      <c r="J4777" s="6">
        <f t="shared" si="235"/>
        <v>0</v>
      </c>
      <c r="L4777" s="4" t="str">
        <f>IFERROR(VLOOKUP(ROWS($L$2:L4777),$B$2:$C$1996,2,0),"")</f>
        <v/>
      </c>
      <c r="N4777" s="2" t="str">
        <f>IFERROR(VLOOKUP(ROWS($N$2:N4777),$D$2:$E$1996,2,0),"")</f>
        <v/>
      </c>
    </row>
    <row r="4778" spans="2:14">
      <c r="B4778" s="32">
        <f>IF(ISNUMBER(SEARCH('Φόρμα Εισαγωγής'!$B$2,C4778)),MAX($B$1:B4777)+1,0)</f>
        <v>0</v>
      </c>
      <c r="D4778" s="33">
        <f>IF(ISNUMBER(SEARCH('Φόρμα Εισαγωγής'!$C$2,E4778)),MAX($D$1:D4777)+1,0)</f>
        <v>0</v>
      </c>
      <c r="H4778" s="6">
        <f t="shared" si="233"/>
        <v>0</v>
      </c>
      <c r="I4778" s="6">
        <f t="shared" si="234"/>
        <v>0</v>
      </c>
      <c r="J4778" s="6">
        <f t="shared" si="235"/>
        <v>0</v>
      </c>
      <c r="L4778" s="4" t="str">
        <f>IFERROR(VLOOKUP(ROWS($L$2:L4778),$B$2:$C$1996,2,0),"")</f>
        <v/>
      </c>
      <c r="N4778" s="2" t="str">
        <f>IFERROR(VLOOKUP(ROWS($N$2:N4778),$D$2:$E$1996,2,0),"")</f>
        <v/>
      </c>
    </row>
    <row r="4779" spans="2:14">
      <c r="B4779" s="32">
        <f>IF(ISNUMBER(SEARCH('Φόρμα Εισαγωγής'!$B$2,C4779)),MAX($B$1:B4778)+1,0)</f>
        <v>0</v>
      </c>
      <c r="D4779" s="33">
        <f>IF(ISNUMBER(SEARCH('Φόρμα Εισαγωγής'!$C$2,E4779)),MAX($D$1:D4778)+1,0)</f>
        <v>0</v>
      </c>
      <c r="H4779" s="6">
        <f t="shared" si="233"/>
        <v>0</v>
      </c>
      <c r="I4779" s="6">
        <f t="shared" si="234"/>
        <v>0</v>
      </c>
      <c r="J4779" s="6">
        <f t="shared" si="235"/>
        <v>0</v>
      </c>
      <c r="L4779" s="4" t="str">
        <f>IFERROR(VLOOKUP(ROWS($L$2:L4779),$B$2:$C$1996,2,0),"")</f>
        <v/>
      </c>
      <c r="N4779" s="2" t="str">
        <f>IFERROR(VLOOKUP(ROWS($N$2:N4779),$D$2:$E$1996,2,0),"")</f>
        <v/>
      </c>
    </row>
    <row r="4780" spans="2:14">
      <c r="B4780" s="32">
        <f>IF(ISNUMBER(SEARCH('Φόρμα Εισαγωγής'!$B$2,C4780)),MAX($B$1:B4779)+1,0)</f>
        <v>0</v>
      </c>
      <c r="D4780" s="33">
        <f>IF(ISNUMBER(SEARCH('Φόρμα Εισαγωγής'!$C$2,E4780)),MAX($D$1:D4779)+1,0)</f>
        <v>0</v>
      </c>
      <c r="H4780" s="6">
        <f t="shared" si="233"/>
        <v>0</v>
      </c>
      <c r="I4780" s="6">
        <f t="shared" si="234"/>
        <v>0</v>
      </c>
      <c r="J4780" s="6">
        <f t="shared" si="235"/>
        <v>0</v>
      </c>
      <c r="L4780" s="4" t="str">
        <f>IFERROR(VLOOKUP(ROWS($L$2:L4780),$B$2:$C$1996,2,0),"")</f>
        <v/>
      </c>
      <c r="N4780" s="2" t="str">
        <f>IFERROR(VLOOKUP(ROWS($N$2:N4780),$D$2:$E$1996,2,0),"")</f>
        <v/>
      </c>
    </row>
    <row r="4781" spans="2:14">
      <c r="B4781" s="32">
        <f>IF(ISNUMBER(SEARCH('Φόρμα Εισαγωγής'!$B$2,C4781)),MAX($B$1:B4780)+1,0)</f>
        <v>0</v>
      </c>
      <c r="D4781" s="33">
        <f>IF(ISNUMBER(SEARCH('Φόρμα Εισαγωγής'!$C$2,E4781)),MAX($D$1:D4780)+1,0)</f>
        <v>0</v>
      </c>
      <c r="H4781" s="6">
        <f t="shared" si="233"/>
        <v>0</v>
      </c>
      <c r="I4781" s="6">
        <f t="shared" si="234"/>
        <v>0</v>
      </c>
      <c r="J4781" s="6">
        <f t="shared" si="235"/>
        <v>0</v>
      </c>
      <c r="L4781" s="4" t="str">
        <f>IFERROR(VLOOKUP(ROWS($L$2:L4781),$B$2:$C$1996,2,0),"")</f>
        <v/>
      </c>
      <c r="N4781" s="2" t="str">
        <f>IFERROR(VLOOKUP(ROWS($N$2:N4781),$D$2:$E$1996,2,0),"")</f>
        <v/>
      </c>
    </row>
    <row r="4782" spans="2:14">
      <c r="B4782" s="32">
        <f>IF(ISNUMBER(SEARCH('Φόρμα Εισαγωγής'!$B$2,C4782)),MAX($B$1:B4781)+1,0)</f>
        <v>0</v>
      </c>
      <c r="D4782" s="33">
        <f>IF(ISNUMBER(SEARCH('Φόρμα Εισαγωγής'!$C$2,E4782)),MAX($D$1:D4781)+1,0)</f>
        <v>0</v>
      </c>
      <c r="H4782" s="6">
        <f t="shared" si="233"/>
        <v>0</v>
      </c>
      <c r="I4782" s="6">
        <f t="shared" si="234"/>
        <v>0</v>
      </c>
      <c r="J4782" s="6">
        <f t="shared" si="235"/>
        <v>0</v>
      </c>
      <c r="L4782" s="4" t="str">
        <f>IFERROR(VLOOKUP(ROWS($L$2:L4782),$B$2:$C$1996,2,0),"")</f>
        <v/>
      </c>
      <c r="N4782" s="2" t="str">
        <f>IFERROR(VLOOKUP(ROWS($N$2:N4782),$D$2:$E$1996,2,0),"")</f>
        <v/>
      </c>
    </row>
    <row r="4783" spans="2:14">
      <c r="B4783" s="32">
        <f>IF(ISNUMBER(SEARCH('Φόρμα Εισαγωγής'!$B$2,C4783)),MAX($B$1:B4782)+1,0)</f>
        <v>0</v>
      </c>
      <c r="D4783" s="33">
        <f>IF(ISNUMBER(SEARCH('Φόρμα Εισαγωγής'!$C$2,E4783)),MAX($D$1:D4782)+1,0)</f>
        <v>0</v>
      </c>
      <c r="H4783" s="6">
        <f t="shared" si="233"/>
        <v>0</v>
      </c>
      <c r="I4783" s="6">
        <f t="shared" si="234"/>
        <v>0</v>
      </c>
      <c r="J4783" s="6">
        <f t="shared" si="235"/>
        <v>0</v>
      </c>
      <c r="L4783" s="4" t="str">
        <f>IFERROR(VLOOKUP(ROWS($L$2:L4783),$B$2:$C$1996,2,0),"")</f>
        <v/>
      </c>
      <c r="N4783" s="2" t="str">
        <f>IFERROR(VLOOKUP(ROWS($N$2:N4783),$D$2:$E$1996,2,0),"")</f>
        <v/>
      </c>
    </row>
    <row r="4784" spans="2:14">
      <c r="B4784" s="32">
        <f>IF(ISNUMBER(SEARCH('Φόρμα Εισαγωγής'!$B$2,C4784)),MAX($B$1:B4783)+1,0)</f>
        <v>0</v>
      </c>
      <c r="D4784" s="33">
        <f>IF(ISNUMBER(SEARCH('Φόρμα Εισαγωγής'!$C$2,E4784)),MAX($D$1:D4783)+1,0)</f>
        <v>0</v>
      </c>
      <c r="H4784" s="6">
        <f t="shared" si="233"/>
        <v>0</v>
      </c>
      <c r="I4784" s="6">
        <f t="shared" si="234"/>
        <v>0</v>
      </c>
      <c r="J4784" s="6">
        <f t="shared" si="235"/>
        <v>0</v>
      </c>
      <c r="L4784" s="4" t="str">
        <f>IFERROR(VLOOKUP(ROWS($L$2:L4784),$B$2:$C$1996,2,0),"")</f>
        <v/>
      </c>
      <c r="N4784" s="2" t="str">
        <f>IFERROR(VLOOKUP(ROWS($N$2:N4784),$D$2:$E$1996,2,0),"")</f>
        <v/>
      </c>
    </row>
    <row r="4785" spans="2:14">
      <c r="B4785" s="32">
        <f>IF(ISNUMBER(SEARCH('Φόρμα Εισαγωγής'!$B$2,C4785)),MAX($B$1:B4784)+1,0)</f>
        <v>0</v>
      </c>
      <c r="D4785" s="33">
        <f>IF(ISNUMBER(SEARCH('Φόρμα Εισαγωγής'!$C$2,E4785)),MAX($D$1:D4784)+1,0)</f>
        <v>0</v>
      </c>
      <c r="H4785" s="6">
        <f t="shared" si="233"/>
        <v>0</v>
      </c>
      <c r="I4785" s="6">
        <f t="shared" si="234"/>
        <v>0</v>
      </c>
      <c r="J4785" s="6">
        <f t="shared" si="235"/>
        <v>0</v>
      </c>
      <c r="L4785" s="4" t="str">
        <f>IFERROR(VLOOKUP(ROWS($L$2:L4785),$B$2:$C$1996,2,0),"")</f>
        <v/>
      </c>
      <c r="N4785" s="2" t="str">
        <f>IFERROR(VLOOKUP(ROWS($N$2:N4785),$D$2:$E$1996,2,0),"")</f>
        <v/>
      </c>
    </row>
    <row r="4786" spans="2:14">
      <c r="B4786" s="32">
        <f>IF(ISNUMBER(SEARCH('Φόρμα Εισαγωγής'!$B$2,C4786)),MAX($B$1:B4785)+1,0)</f>
        <v>0</v>
      </c>
      <c r="D4786" s="33">
        <f>IF(ISNUMBER(SEARCH('Φόρμα Εισαγωγής'!$C$2,E4786)),MAX($D$1:D4785)+1,0)</f>
        <v>0</v>
      </c>
      <c r="H4786" s="6">
        <f t="shared" si="233"/>
        <v>0</v>
      </c>
      <c r="I4786" s="6">
        <f t="shared" si="234"/>
        <v>0</v>
      </c>
      <c r="J4786" s="6">
        <f t="shared" si="235"/>
        <v>0</v>
      </c>
      <c r="L4786" s="4" t="str">
        <f>IFERROR(VLOOKUP(ROWS($L$2:L4786),$B$2:$C$1996,2,0),"")</f>
        <v/>
      </c>
      <c r="N4786" s="2" t="str">
        <f>IFERROR(VLOOKUP(ROWS($N$2:N4786),$D$2:$E$1996,2,0),"")</f>
        <v/>
      </c>
    </row>
    <row r="4787" spans="2:14">
      <c r="B4787" s="32">
        <f>IF(ISNUMBER(SEARCH('Φόρμα Εισαγωγής'!$B$2,C4787)),MAX($B$1:B4786)+1,0)</f>
        <v>0</v>
      </c>
      <c r="D4787" s="33">
        <f>IF(ISNUMBER(SEARCH('Φόρμα Εισαγωγής'!$C$2,E4787)),MAX($D$1:D4786)+1,0)</f>
        <v>0</v>
      </c>
      <c r="H4787" s="6">
        <f t="shared" si="233"/>
        <v>0</v>
      </c>
      <c r="I4787" s="6">
        <f t="shared" si="234"/>
        <v>0</v>
      </c>
      <c r="J4787" s="6">
        <f t="shared" si="235"/>
        <v>0</v>
      </c>
      <c r="L4787" s="4" t="str">
        <f>IFERROR(VLOOKUP(ROWS($L$2:L4787),$B$2:$C$1996,2,0),"")</f>
        <v/>
      </c>
      <c r="N4787" s="2" t="str">
        <f>IFERROR(VLOOKUP(ROWS($N$2:N4787),$D$2:$E$1996,2,0),"")</f>
        <v/>
      </c>
    </row>
    <row r="4788" spans="2:14">
      <c r="B4788" s="32">
        <f>IF(ISNUMBER(SEARCH('Φόρμα Εισαγωγής'!$B$2,C4788)),MAX($B$1:B4787)+1,0)</f>
        <v>0</v>
      </c>
      <c r="D4788" s="33">
        <f>IF(ISNUMBER(SEARCH('Φόρμα Εισαγωγής'!$C$2,E4788)),MAX($D$1:D4787)+1,0)</f>
        <v>0</v>
      </c>
      <c r="H4788" s="6">
        <f t="shared" si="233"/>
        <v>0</v>
      </c>
      <c r="I4788" s="6">
        <f t="shared" si="234"/>
        <v>0</v>
      </c>
      <c r="J4788" s="6">
        <f t="shared" si="235"/>
        <v>0</v>
      </c>
      <c r="L4788" s="4" t="str">
        <f>IFERROR(VLOOKUP(ROWS($L$2:L4788),$B$2:$C$1996,2,0),"")</f>
        <v/>
      </c>
      <c r="N4788" s="2" t="str">
        <f>IFERROR(VLOOKUP(ROWS($N$2:N4788),$D$2:$E$1996,2,0),"")</f>
        <v/>
      </c>
    </row>
    <row r="4789" spans="2:14">
      <c r="B4789" s="32">
        <f>IF(ISNUMBER(SEARCH('Φόρμα Εισαγωγής'!$B$2,C4789)),MAX($B$1:B4788)+1,0)</f>
        <v>0</v>
      </c>
      <c r="D4789" s="33">
        <f>IF(ISNUMBER(SEARCH('Φόρμα Εισαγωγής'!$C$2,E4789)),MAX($D$1:D4788)+1,0)</f>
        <v>0</v>
      </c>
      <c r="H4789" s="6">
        <f t="shared" si="233"/>
        <v>0</v>
      </c>
      <c r="I4789" s="6">
        <f t="shared" si="234"/>
        <v>0</v>
      </c>
      <c r="J4789" s="6">
        <f t="shared" si="235"/>
        <v>0</v>
      </c>
      <c r="L4789" s="4" t="str">
        <f>IFERROR(VLOOKUP(ROWS($L$2:L4789),$B$2:$C$1996,2,0),"")</f>
        <v/>
      </c>
      <c r="N4789" s="2" t="str">
        <f>IFERROR(VLOOKUP(ROWS($N$2:N4789),$D$2:$E$1996,2,0),"")</f>
        <v/>
      </c>
    </row>
    <row r="4790" spans="2:14">
      <c r="B4790" s="32">
        <f>IF(ISNUMBER(SEARCH('Φόρμα Εισαγωγής'!$B$2,C4790)),MAX($B$1:B4789)+1,0)</f>
        <v>0</v>
      </c>
      <c r="D4790" s="33">
        <f>IF(ISNUMBER(SEARCH('Φόρμα Εισαγωγής'!$C$2,E4790)),MAX($D$1:D4789)+1,0)</f>
        <v>0</v>
      </c>
      <c r="H4790" s="6">
        <f t="shared" si="233"/>
        <v>0</v>
      </c>
      <c r="I4790" s="6">
        <f t="shared" si="234"/>
        <v>0</v>
      </c>
      <c r="J4790" s="6">
        <f t="shared" si="235"/>
        <v>0</v>
      </c>
      <c r="L4790" s="4" t="str">
        <f>IFERROR(VLOOKUP(ROWS($L$2:L4790),$B$2:$C$1996,2,0),"")</f>
        <v/>
      </c>
      <c r="N4790" s="2" t="str">
        <f>IFERROR(VLOOKUP(ROWS($N$2:N4790),$D$2:$E$1996,2,0),"")</f>
        <v/>
      </c>
    </row>
    <row r="4791" spans="2:14">
      <c r="B4791" s="32">
        <f>IF(ISNUMBER(SEARCH('Φόρμα Εισαγωγής'!$B$2,C4791)),MAX($B$1:B4790)+1,0)</f>
        <v>0</v>
      </c>
      <c r="D4791" s="33">
        <f>IF(ISNUMBER(SEARCH('Φόρμα Εισαγωγής'!$C$2,E4791)),MAX($D$1:D4790)+1,0)</f>
        <v>0</v>
      </c>
      <c r="H4791" s="6">
        <f t="shared" si="233"/>
        <v>0</v>
      </c>
      <c r="I4791" s="6">
        <f t="shared" si="234"/>
        <v>0</v>
      </c>
      <c r="J4791" s="6">
        <f t="shared" si="235"/>
        <v>0</v>
      </c>
      <c r="L4791" s="4" t="str">
        <f>IFERROR(VLOOKUP(ROWS($L$2:L4791),$B$2:$C$1996,2,0),"")</f>
        <v/>
      </c>
      <c r="N4791" s="2" t="str">
        <f>IFERROR(VLOOKUP(ROWS($N$2:N4791),$D$2:$E$1996,2,0),"")</f>
        <v/>
      </c>
    </row>
    <row r="4792" spans="2:14">
      <c r="B4792" s="32">
        <f>IF(ISNUMBER(SEARCH('Φόρμα Εισαγωγής'!$B$2,C4792)),MAX($B$1:B4791)+1,0)</f>
        <v>0</v>
      </c>
      <c r="D4792" s="33">
        <f>IF(ISNUMBER(SEARCH('Φόρμα Εισαγωγής'!$C$2,E4792)),MAX($D$1:D4791)+1,0)</f>
        <v>0</v>
      </c>
      <c r="H4792" s="6">
        <f t="shared" si="233"/>
        <v>0</v>
      </c>
      <c r="I4792" s="6">
        <f t="shared" si="234"/>
        <v>0</v>
      </c>
      <c r="J4792" s="6">
        <f t="shared" si="235"/>
        <v>0</v>
      </c>
      <c r="L4792" s="4" t="str">
        <f>IFERROR(VLOOKUP(ROWS($L$2:L4792),$B$2:$C$1996,2,0),"")</f>
        <v/>
      </c>
      <c r="N4792" s="2" t="str">
        <f>IFERROR(VLOOKUP(ROWS($N$2:N4792),$D$2:$E$1996,2,0),"")</f>
        <v/>
      </c>
    </row>
    <row r="4793" spans="2:14">
      <c r="B4793" s="32">
        <f>IF(ISNUMBER(SEARCH('Φόρμα Εισαγωγής'!$B$2,C4793)),MAX($B$1:B4792)+1,0)</f>
        <v>0</v>
      </c>
      <c r="D4793" s="33">
        <f>IF(ISNUMBER(SEARCH('Φόρμα Εισαγωγής'!$C$2,E4793)),MAX($D$1:D4792)+1,0)</f>
        <v>0</v>
      </c>
      <c r="H4793" s="6">
        <f t="shared" si="233"/>
        <v>0</v>
      </c>
      <c r="I4793" s="6">
        <f t="shared" si="234"/>
        <v>0</v>
      </c>
      <c r="J4793" s="6">
        <f t="shared" si="235"/>
        <v>0</v>
      </c>
      <c r="L4793" s="4" t="str">
        <f>IFERROR(VLOOKUP(ROWS($L$2:L4793),$B$2:$C$1996,2,0),"")</f>
        <v/>
      </c>
      <c r="N4793" s="2" t="str">
        <f>IFERROR(VLOOKUP(ROWS($N$2:N4793),$D$2:$E$1996,2,0),"")</f>
        <v/>
      </c>
    </row>
    <row r="4794" spans="2:14">
      <c r="B4794" s="32">
        <f>IF(ISNUMBER(SEARCH('Φόρμα Εισαγωγής'!$B$2,C4794)),MAX($B$1:B4793)+1,0)</f>
        <v>0</v>
      </c>
      <c r="D4794" s="33">
        <f>IF(ISNUMBER(SEARCH('Φόρμα Εισαγωγής'!$C$2,E4794)),MAX($D$1:D4793)+1,0)</f>
        <v>0</v>
      </c>
      <c r="H4794" s="6">
        <f t="shared" si="233"/>
        <v>0</v>
      </c>
      <c r="I4794" s="6">
        <f t="shared" si="234"/>
        <v>0</v>
      </c>
      <c r="J4794" s="6">
        <f t="shared" si="235"/>
        <v>0</v>
      </c>
      <c r="L4794" s="4" t="str">
        <f>IFERROR(VLOOKUP(ROWS($L$2:L4794),$B$2:$C$1996,2,0),"")</f>
        <v/>
      </c>
      <c r="N4794" s="2" t="str">
        <f>IFERROR(VLOOKUP(ROWS($N$2:N4794),$D$2:$E$1996,2,0),"")</f>
        <v/>
      </c>
    </row>
    <row r="4795" spans="2:14">
      <c r="B4795" s="32">
        <f>IF(ISNUMBER(SEARCH('Φόρμα Εισαγωγής'!$B$2,C4795)),MAX($B$1:B4794)+1,0)</f>
        <v>0</v>
      </c>
      <c r="D4795" s="33">
        <f>IF(ISNUMBER(SEARCH('Φόρμα Εισαγωγής'!$C$2,E4795)),MAX($D$1:D4794)+1,0)</f>
        <v>0</v>
      </c>
      <c r="H4795" s="6">
        <f t="shared" si="233"/>
        <v>0</v>
      </c>
      <c r="I4795" s="6">
        <f t="shared" si="234"/>
        <v>0</v>
      </c>
      <c r="J4795" s="6">
        <f t="shared" si="235"/>
        <v>0</v>
      </c>
      <c r="L4795" s="4" t="str">
        <f>IFERROR(VLOOKUP(ROWS($L$2:L4795),$B$2:$C$1996,2,0),"")</f>
        <v/>
      </c>
      <c r="N4795" s="2" t="str">
        <f>IFERROR(VLOOKUP(ROWS($N$2:N4795),$D$2:$E$1996,2,0),"")</f>
        <v/>
      </c>
    </row>
    <row r="4796" spans="2:14">
      <c r="B4796" s="32">
        <f>IF(ISNUMBER(SEARCH('Φόρμα Εισαγωγής'!$B$2,C4796)),MAX($B$1:B4795)+1,0)</f>
        <v>0</v>
      </c>
      <c r="D4796" s="33">
        <f>IF(ISNUMBER(SEARCH('Φόρμα Εισαγωγής'!$C$2,E4796)),MAX($D$1:D4795)+1,0)</f>
        <v>0</v>
      </c>
      <c r="H4796" s="6">
        <f t="shared" si="233"/>
        <v>0</v>
      </c>
      <c r="I4796" s="6">
        <f t="shared" si="234"/>
        <v>0</v>
      </c>
      <c r="J4796" s="6">
        <f t="shared" si="235"/>
        <v>0</v>
      </c>
      <c r="L4796" s="4" t="str">
        <f>IFERROR(VLOOKUP(ROWS($L$2:L4796),$B$2:$C$1996,2,0),"")</f>
        <v/>
      </c>
      <c r="N4796" s="2" t="str">
        <f>IFERROR(VLOOKUP(ROWS($N$2:N4796),$D$2:$E$1996,2,0),"")</f>
        <v/>
      </c>
    </row>
    <row r="4797" spans="2:14">
      <c r="B4797" s="32">
        <f>IF(ISNUMBER(SEARCH('Φόρμα Εισαγωγής'!$B$2,C4797)),MAX($B$1:B4796)+1,0)</f>
        <v>0</v>
      </c>
      <c r="D4797" s="33">
        <f>IF(ISNUMBER(SEARCH('Φόρμα Εισαγωγής'!$C$2,E4797)),MAX($D$1:D4796)+1,0)</f>
        <v>0</v>
      </c>
      <c r="H4797" s="6">
        <f t="shared" si="233"/>
        <v>0</v>
      </c>
      <c r="I4797" s="6">
        <f t="shared" si="234"/>
        <v>0</v>
      </c>
      <c r="J4797" s="6">
        <f t="shared" si="235"/>
        <v>0</v>
      </c>
      <c r="L4797" s="4" t="str">
        <f>IFERROR(VLOOKUP(ROWS($L$2:L4797),$B$2:$C$1996,2,0),"")</f>
        <v/>
      </c>
      <c r="N4797" s="2" t="str">
        <f>IFERROR(VLOOKUP(ROWS($N$2:N4797),$D$2:$E$1996,2,0),"")</f>
        <v/>
      </c>
    </row>
    <row r="4798" spans="2:14">
      <c r="B4798" s="32">
        <f>IF(ISNUMBER(SEARCH('Φόρμα Εισαγωγής'!$B$2,C4798)),MAX($B$1:B4797)+1,0)</f>
        <v>0</v>
      </c>
      <c r="D4798" s="33">
        <f>IF(ISNUMBER(SEARCH('Φόρμα Εισαγωγής'!$C$2,E4798)),MAX($D$1:D4797)+1,0)</f>
        <v>0</v>
      </c>
      <c r="H4798" s="6">
        <f t="shared" si="233"/>
        <v>0</v>
      </c>
      <c r="I4798" s="6">
        <f t="shared" si="234"/>
        <v>0</v>
      </c>
      <c r="J4798" s="6">
        <f t="shared" si="235"/>
        <v>0</v>
      </c>
      <c r="L4798" s="4" t="str">
        <f>IFERROR(VLOOKUP(ROWS($L$2:L4798),$B$2:$C$1996,2,0),"")</f>
        <v/>
      </c>
      <c r="N4798" s="2" t="str">
        <f>IFERROR(VLOOKUP(ROWS($N$2:N4798),$D$2:$E$1996,2,0),"")</f>
        <v/>
      </c>
    </row>
    <row r="4799" spans="2:14">
      <c r="B4799" s="32">
        <f>IF(ISNUMBER(SEARCH('Φόρμα Εισαγωγής'!$B$2,C4799)),MAX($B$1:B4798)+1,0)</f>
        <v>0</v>
      </c>
      <c r="D4799" s="33">
        <f>IF(ISNUMBER(SEARCH('Φόρμα Εισαγωγής'!$C$2,E4799)),MAX($D$1:D4798)+1,0)</f>
        <v>0</v>
      </c>
      <c r="H4799" s="6">
        <f t="shared" si="233"/>
        <v>0</v>
      </c>
      <c r="I4799" s="6">
        <f t="shared" si="234"/>
        <v>0</v>
      </c>
      <c r="J4799" s="6">
        <f t="shared" si="235"/>
        <v>0</v>
      </c>
      <c r="L4799" s="4" t="str">
        <f>IFERROR(VLOOKUP(ROWS($L$2:L4799),$B$2:$C$1996,2,0),"")</f>
        <v/>
      </c>
      <c r="N4799" s="2" t="str">
        <f>IFERROR(VLOOKUP(ROWS($N$2:N4799),$D$2:$E$1996,2,0),"")</f>
        <v/>
      </c>
    </row>
    <row r="4800" spans="2:14">
      <c r="B4800" s="32">
        <f>IF(ISNUMBER(SEARCH('Φόρμα Εισαγωγής'!$B$2,C4800)),MAX($B$1:B4799)+1,0)</f>
        <v>0</v>
      </c>
      <c r="D4800" s="33">
        <f>IF(ISNUMBER(SEARCH('Φόρμα Εισαγωγής'!$C$2,E4800)),MAX($D$1:D4799)+1,0)</f>
        <v>0</v>
      </c>
      <c r="H4800" s="6">
        <f t="shared" ref="H4800:H4863" si="236">G4800+(G4800*0.24)</f>
        <v>0</v>
      </c>
      <c r="I4800" s="6">
        <f t="shared" ref="I4800:I4863" si="237">F4800*A4800</f>
        <v>0</v>
      </c>
      <c r="J4800" s="6">
        <f t="shared" ref="J4800:J4863" si="238">H4800*A4800</f>
        <v>0</v>
      </c>
      <c r="L4800" s="4" t="str">
        <f>IFERROR(VLOOKUP(ROWS($L$2:L4800),$B$2:$C$1996,2,0),"")</f>
        <v/>
      </c>
      <c r="N4800" s="2" t="str">
        <f>IFERROR(VLOOKUP(ROWS($N$2:N4800),$D$2:$E$1996,2,0),"")</f>
        <v/>
      </c>
    </row>
    <row r="4801" spans="2:14">
      <c r="B4801" s="32">
        <f>IF(ISNUMBER(SEARCH('Φόρμα Εισαγωγής'!$B$2,C4801)),MAX($B$1:B4800)+1,0)</f>
        <v>0</v>
      </c>
      <c r="D4801" s="33">
        <f>IF(ISNUMBER(SEARCH('Φόρμα Εισαγωγής'!$C$2,E4801)),MAX($D$1:D4800)+1,0)</f>
        <v>0</v>
      </c>
      <c r="H4801" s="6">
        <f t="shared" si="236"/>
        <v>0</v>
      </c>
      <c r="I4801" s="6">
        <f t="shared" si="237"/>
        <v>0</v>
      </c>
      <c r="J4801" s="6">
        <f t="shared" si="238"/>
        <v>0</v>
      </c>
      <c r="L4801" s="4" t="str">
        <f>IFERROR(VLOOKUP(ROWS($L$2:L4801),$B$2:$C$1996,2,0),"")</f>
        <v/>
      </c>
      <c r="N4801" s="2" t="str">
        <f>IFERROR(VLOOKUP(ROWS($N$2:N4801),$D$2:$E$1996,2,0),"")</f>
        <v/>
      </c>
    </row>
    <row r="4802" spans="2:14">
      <c r="B4802" s="32">
        <f>IF(ISNUMBER(SEARCH('Φόρμα Εισαγωγής'!$B$2,C4802)),MAX($B$1:B4801)+1,0)</f>
        <v>0</v>
      </c>
      <c r="D4802" s="33">
        <f>IF(ISNUMBER(SEARCH('Φόρμα Εισαγωγής'!$C$2,E4802)),MAX($D$1:D4801)+1,0)</f>
        <v>0</v>
      </c>
      <c r="H4802" s="6">
        <f t="shared" si="236"/>
        <v>0</v>
      </c>
      <c r="I4802" s="6">
        <f t="shared" si="237"/>
        <v>0</v>
      </c>
      <c r="J4802" s="6">
        <f t="shared" si="238"/>
        <v>0</v>
      </c>
      <c r="L4802" s="4" t="str">
        <f>IFERROR(VLOOKUP(ROWS($L$2:L4802),$B$2:$C$1996,2,0),"")</f>
        <v/>
      </c>
      <c r="N4802" s="2" t="str">
        <f>IFERROR(VLOOKUP(ROWS($N$2:N4802),$D$2:$E$1996,2,0),"")</f>
        <v/>
      </c>
    </row>
    <row r="4803" spans="2:14">
      <c r="B4803" s="32">
        <f>IF(ISNUMBER(SEARCH('Φόρμα Εισαγωγής'!$B$2,C4803)),MAX($B$1:B4802)+1,0)</f>
        <v>0</v>
      </c>
      <c r="D4803" s="33">
        <f>IF(ISNUMBER(SEARCH('Φόρμα Εισαγωγής'!$C$2,E4803)),MAX($D$1:D4802)+1,0)</f>
        <v>0</v>
      </c>
      <c r="H4803" s="6">
        <f t="shared" si="236"/>
        <v>0</v>
      </c>
      <c r="I4803" s="6">
        <f t="shared" si="237"/>
        <v>0</v>
      </c>
      <c r="J4803" s="6">
        <f t="shared" si="238"/>
        <v>0</v>
      </c>
      <c r="L4803" s="4" t="str">
        <f>IFERROR(VLOOKUP(ROWS($L$2:L4803),$B$2:$C$1996,2,0),"")</f>
        <v/>
      </c>
      <c r="N4803" s="2" t="str">
        <f>IFERROR(VLOOKUP(ROWS($N$2:N4803),$D$2:$E$1996,2,0),"")</f>
        <v/>
      </c>
    </row>
    <row r="4804" spans="2:14">
      <c r="B4804" s="32">
        <f>IF(ISNUMBER(SEARCH('Φόρμα Εισαγωγής'!$B$2,C4804)),MAX($B$1:B4803)+1,0)</f>
        <v>0</v>
      </c>
      <c r="D4804" s="33">
        <f>IF(ISNUMBER(SEARCH('Φόρμα Εισαγωγής'!$C$2,E4804)),MAX($D$1:D4803)+1,0)</f>
        <v>0</v>
      </c>
      <c r="H4804" s="6">
        <f t="shared" si="236"/>
        <v>0</v>
      </c>
      <c r="I4804" s="6">
        <f t="shared" si="237"/>
        <v>0</v>
      </c>
      <c r="J4804" s="6">
        <f t="shared" si="238"/>
        <v>0</v>
      </c>
      <c r="L4804" s="4" t="str">
        <f>IFERROR(VLOOKUP(ROWS($L$2:L4804),$B$2:$C$1996,2,0),"")</f>
        <v/>
      </c>
      <c r="N4804" s="2" t="str">
        <f>IFERROR(VLOOKUP(ROWS($N$2:N4804),$D$2:$E$1996,2,0),"")</f>
        <v/>
      </c>
    </row>
    <row r="4805" spans="2:14">
      <c r="B4805" s="32">
        <f>IF(ISNUMBER(SEARCH('Φόρμα Εισαγωγής'!$B$2,C4805)),MAX($B$1:B4804)+1,0)</f>
        <v>0</v>
      </c>
      <c r="D4805" s="33">
        <f>IF(ISNUMBER(SEARCH('Φόρμα Εισαγωγής'!$C$2,E4805)),MAX($D$1:D4804)+1,0)</f>
        <v>0</v>
      </c>
      <c r="H4805" s="6">
        <f t="shared" si="236"/>
        <v>0</v>
      </c>
      <c r="I4805" s="6">
        <f t="shared" si="237"/>
        <v>0</v>
      </c>
      <c r="J4805" s="6">
        <f t="shared" si="238"/>
        <v>0</v>
      </c>
      <c r="L4805" s="4" t="str">
        <f>IFERROR(VLOOKUP(ROWS($L$2:L4805),$B$2:$C$1996,2,0),"")</f>
        <v/>
      </c>
      <c r="N4805" s="2" t="str">
        <f>IFERROR(VLOOKUP(ROWS($N$2:N4805),$D$2:$E$1996,2,0),"")</f>
        <v/>
      </c>
    </row>
    <row r="4806" spans="2:14">
      <c r="B4806" s="32">
        <f>IF(ISNUMBER(SEARCH('Φόρμα Εισαγωγής'!$B$2,C4806)),MAX($B$1:B4805)+1,0)</f>
        <v>0</v>
      </c>
      <c r="D4806" s="33">
        <f>IF(ISNUMBER(SEARCH('Φόρμα Εισαγωγής'!$C$2,E4806)),MAX($D$1:D4805)+1,0)</f>
        <v>0</v>
      </c>
      <c r="H4806" s="6">
        <f t="shared" si="236"/>
        <v>0</v>
      </c>
      <c r="I4806" s="6">
        <f t="shared" si="237"/>
        <v>0</v>
      </c>
      <c r="J4806" s="6">
        <f t="shared" si="238"/>
        <v>0</v>
      </c>
      <c r="L4806" s="4" t="str">
        <f>IFERROR(VLOOKUP(ROWS($L$2:L4806),$B$2:$C$1996,2,0),"")</f>
        <v/>
      </c>
      <c r="N4806" s="2" t="str">
        <f>IFERROR(VLOOKUP(ROWS($N$2:N4806),$D$2:$E$1996,2,0),"")</f>
        <v/>
      </c>
    </row>
    <row r="4807" spans="2:14">
      <c r="B4807" s="32">
        <f>IF(ISNUMBER(SEARCH('Φόρμα Εισαγωγής'!$B$2,C4807)),MAX($B$1:B4806)+1,0)</f>
        <v>0</v>
      </c>
      <c r="D4807" s="33">
        <f>IF(ISNUMBER(SEARCH('Φόρμα Εισαγωγής'!$C$2,E4807)),MAX($D$1:D4806)+1,0)</f>
        <v>0</v>
      </c>
      <c r="H4807" s="6">
        <f t="shared" si="236"/>
        <v>0</v>
      </c>
      <c r="I4807" s="6">
        <f t="shared" si="237"/>
        <v>0</v>
      </c>
      <c r="J4807" s="6">
        <f t="shared" si="238"/>
        <v>0</v>
      </c>
      <c r="L4807" s="4" t="str">
        <f>IFERROR(VLOOKUP(ROWS($L$2:L4807),$B$2:$C$1996,2,0),"")</f>
        <v/>
      </c>
      <c r="N4807" s="2" t="str">
        <f>IFERROR(VLOOKUP(ROWS($N$2:N4807),$D$2:$E$1996,2,0),"")</f>
        <v/>
      </c>
    </row>
    <row r="4808" spans="2:14">
      <c r="B4808" s="32">
        <f>IF(ISNUMBER(SEARCH('Φόρμα Εισαγωγής'!$B$2,C4808)),MAX($B$1:B4807)+1,0)</f>
        <v>0</v>
      </c>
      <c r="D4808" s="33">
        <f>IF(ISNUMBER(SEARCH('Φόρμα Εισαγωγής'!$C$2,E4808)),MAX($D$1:D4807)+1,0)</f>
        <v>0</v>
      </c>
      <c r="H4808" s="6">
        <f t="shared" si="236"/>
        <v>0</v>
      </c>
      <c r="I4808" s="6">
        <f t="shared" si="237"/>
        <v>0</v>
      </c>
      <c r="J4808" s="6">
        <f t="shared" si="238"/>
        <v>0</v>
      </c>
      <c r="L4808" s="4" t="str">
        <f>IFERROR(VLOOKUP(ROWS($L$2:L4808),$B$2:$C$1996,2,0),"")</f>
        <v/>
      </c>
      <c r="N4808" s="2" t="str">
        <f>IFERROR(VLOOKUP(ROWS($N$2:N4808),$D$2:$E$1996,2,0),"")</f>
        <v/>
      </c>
    </row>
    <row r="4809" spans="2:14">
      <c r="B4809" s="32">
        <f>IF(ISNUMBER(SEARCH('Φόρμα Εισαγωγής'!$B$2,C4809)),MAX($B$1:B4808)+1,0)</f>
        <v>0</v>
      </c>
      <c r="D4809" s="33">
        <f>IF(ISNUMBER(SEARCH('Φόρμα Εισαγωγής'!$C$2,E4809)),MAX($D$1:D4808)+1,0)</f>
        <v>0</v>
      </c>
      <c r="H4809" s="6">
        <f t="shared" si="236"/>
        <v>0</v>
      </c>
      <c r="I4809" s="6">
        <f t="shared" si="237"/>
        <v>0</v>
      </c>
      <c r="J4809" s="6">
        <f t="shared" si="238"/>
        <v>0</v>
      </c>
      <c r="L4809" s="4" t="str">
        <f>IFERROR(VLOOKUP(ROWS($L$2:L4809),$B$2:$C$1996,2,0),"")</f>
        <v/>
      </c>
      <c r="N4809" s="2" t="str">
        <f>IFERROR(VLOOKUP(ROWS($N$2:N4809),$D$2:$E$1996,2,0),"")</f>
        <v/>
      </c>
    </row>
    <row r="4810" spans="2:14">
      <c r="B4810" s="32">
        <f>IF(ISNUMBER(SEARCH('Φόρμα Εισαγωγής'!$B$2,C4810)),MAX($B$1:B4809)+1,0)</f>
        <v>0</v>
      </c>
      <c r="D4810" s="33">
        <f>IF(ISNUMBER(SEARCH('Φόρμα Εισαγωγής'!$C$2,E4810)),MAX($D$1:D4809)+1,0)</f>
        <v>0</v>
      </c>
      <c r="H4810" s="6">
        <f t="shared" si="236"/>
        <v>0</v>
      </c>
      <c r="I4810" s="6">
        <f t="shared" si="237"/>
        <v>0</v>
      </c>
      <c r="J4810" s="6">
        <f t="shared" si="238"/>
        <v>0</v>
      </c>
      <c r="L4810" s="4" t="str">
        <f>IFERROR(VLOOKUP(ROWS($L$2:L4810),$B$2:$C$1996,2,0),"")</f>
        <v/>
      </c>
      <c r="N4810" s="2" t="str">
        <f>IFERROR(VLOOKUP(ROWS($N$2:N4810),$D$2:$E$1996,2,0),"")</f>
        <v/>
      </c>
    </row>
    <row r="4811" spans="2:14">
      <c r="B4811" s="32">
        <f>IF(ISNUMBER(SEARCH('Φόρμα Εισαγωγής'!$B$2,C4811)),MAX($B$1:B4810)+1,0)</f>
        <v>0</v>
      </c>
      <c r="D4811" s="33">
        <f>IF(ISNUMBER(SEARCH('Φόρμα Εισαγωγής'!$C$2,E4811)),MAX($D$1:D4810)+1,0)</f>
        <v>0</v>
      </c>
      <c r="H4811" s="6">
        <f t="shared" si="236"/>
        <v>0</v>
      </c>
      <c r="I4811" s="6">
        <f t="shared" si="237"/>
        <v>0</v>
      </c>
      <c r="J4811" s="6">
        <f t="shared" si="238"/>
        <v>0</v>
      </c>
      <c r="L4811" s="4" t="str">
        <f>IFERROR(VLOOKUP(ROWS($L$2:L4811),$B$2:$C$1996,2,0),"")</f>
        <v/>
      </c>
      <c r="N4811" s="2" t="str">
        <f>IFERROR(VLOOKUP(ROWS($N$2:N4811),$D$2:$E$1996,2,0),"")</f>
        <v/>
      </c>
    </row>
    <row r="4812" spans="2:14">
      <c r="B4812" s="32">
        <f>IF(ISNUMBER(SEARCH('Φόρμα Εισαγωγής'!$B$2,C4812)),MAX($B$1:B4811)+1,0)</f>
        <v>0</v>
      </c>
      <c r="D4812" s="33">
        <f>IF(ISNUMBER(SEARCH('Φόρμα Εισαγωγής'!$C$2,E4812)),MAX($D$1:D4811)+1,0)</f>
        <v>0</v>
      </c>
      <c r="H4812" s="6">
        <f t="shared" si="236"/>
        <v>0</v>
      </c>
      <c r="I4812" s="6">
        <f t="shared" si="237"/>
        <v>0</v>
      </c>
      <c r="J4812" s="6">
        <f t="shared" si="238"/>
        <v>0</v>
      </c>
      <c r="L4812" s="4" t="str">
        <f>IFERROR(VLOOKUP(ROWS($L$2:L4812),$B$2:$C$1996,2,0),"")</f>
        <v/>
      </c>
      <c r="N4812" s="2" t="str">
        <f>IFERROR(VLOOKUP(ROWS($N$2:N4812),$D$2:$E$1996,2,0),"")</f>
        <v/>
      </c>
    </row>
    <row r="4813" spans="2:14">
      <c r="B4813" s="32">
        <f>IF(ISNUMBER(SEARCH('Φόρμα Εισαγωγής'!$B$2,C4813)),MAX($B$1:B4812)+1,0)</f>
        <v>0</v>
      </c>
      <c r="D4813" s="33">
        <f>IF(ISNUMBER(SEARCH('Φόρμα Εισαγωγής'!$C$2,E4813)),MAX($D$1:D4812)+1,0)</f>
        <v>0</v>
      </c>
      <c r="H4813" s="6">
        <f t="shared" si="236"/>
        <v>0</v>
      </c>
      <c r="I4813" s="6">
        <f t="shared" si="237"/>
        <v>0</v>
      </c>
      <c r="J4813" s="6">
        <f t="shared" si="238"/>
        <v>0</v>
      </c>
      <c r="L4813" s="4" t="str">
        <f>IFERROR(VLOOKUP(ROWS($L$2:L4813),$B$2:$C$1996,2,0),"")</f>
        <v/>
      </c>
      <c r="N4813" s="2" t="str">
        <f>IFERROR(VLOOKUP(ROWS($N$2:N4813),$D$2:$E$1996,2,0),"")</f>
        <v/>
      </c>
    </row>
    <row r="4814" spans="2:14">
      <c r="B4814" s="32">
        <f>IF(ISNUMBER(SEARCH('Φόρμα Εισαγωγής'!$B$2,C4814)),MAX($B$1:B4813)+1,0)</f>
        <v>0</v>
      </c>
      <c r="D4814" s="33">
        <f>IF(ISNUMBER(SEARCH('Φόρμα Εισαγωγής'!$C$2,E4814)),MAX($D$1:D4813)+1,0)</f>
        <v>0</v>
      </c>
      <c r="H4814" s="6">
        <f t="shared" si="236"/>
        <v>0</v>
      </c>
      <c r="I4814" s="6">
        <f t="shared" si="237"/>
        <v>0</v>
      </c>
      <c r="J4814" s="6">
        <f t="shared" si="238"/>
        <v>0</v>
      </c>
      <c r="L4814" s="4" t="str">
        <f>IFERROR(VLOOKUP(ROWS($L$2:L4814),$B$2:$C$1996,2,0),"")</f>
        <v/>
      </c>
      <c r="N4814" s="2" t="str">
        <f>IFERROR(VLOOKUP(ROWS($N$2:N4814),$D$2:$E$1996,2,0),"")</f>
        <v/>
      </c>
    </row>
    <row r="4815" spans="2:14">
      <c r="B4815" s="32">
        <f>IF(ISNUMBER(SEARCH('Φόρμα Εισαγωγής'!$B$2,C4815)),MAX($B$1:B4814)+1,0)</f>
        <v>0</v>
      </c>
      <c r="D4815" s="33">
        <f>IF(ISNUMBER(SEARCH('Φόρμα Εισαγωγής'!$C$2,E4815)),MAX($D$1:D4814)+1,0)</f>
        <v>0</v>
      </c>
      <c r="H4815" s="6">
        <f t="shared" si="236"/>
        <v>0</v>
      </c>
      <c r="I4815" s="6">
        <f t="shared" si="237"/>
        <v>0</v>
      </c>
      <c r="J4815" s="6">
        <f t="shared" si="238"/>
        <v>0</v>
      </c>
      <c r="L4815" s="4" t="str">
        <f>IFERROR(VLOOKUP(ROWS($L$2:L4815),$B$2:$C$1996,2,0),"")</f>
        <v/>
      </c>
      <c r="N4815" s="2" t="str">
        <f>IFERROR(VLOOKUP(ROWS($N$2:N4815),$D$2:$E$1996,2,0),"")</f>
        <v/>
      </c>
    </row>
    <row r="4816" spans="2:14">
      <c r="B4816" s="32">
        <f>IF(ISNUMBER(SEARCH('Φόρμα Εισαγωγής'!$B$2,C4816)),MAX($B$1:B4815)+1,0)</f>
        <v>0</v>
      </c>
      <c r="D4816" s="33">
        <f>IF(ISNUMBER(SEARCH('Φόρμα Εισαγωγής'!$C$2,E4816)),MAX($D$1:D4815)+1,0)</f>
        <v>0</v>
      </c>
      <c r="H4816" s="6">
        <f t="shared" si="236"/>
        <v>0</v>
      </c>
      <c r="I4816" s="6">
        <f t="shared" si="237"/>
        <v>0</v>
      </c>
      <c r="J4816" s="6">
        <f t="shared" si="238"/>
        <v>0</v>
      </c>
      <c r="L4816" s="4" t="str">
        <f>IFERROR(VLOOKUP(ROWS($L$2:L4816),$B$2:$C$1996,2,0),"")</f>
        <v/>
      </c>
      <c r="N4816" s="2" t="str">
        <f>IFERROR(VLOOKUP(ROWS($N$2:N4816),$D$2:$E$1996,2,0),"")</f>
        <v/>
      </c>
    </row>
    <row r="4817" spans="2:14">
      <c r="B4817" s="32">
        <f>IF(ISNUMBER(SEARCH('Φόρμα Εισαγωγής'!$B$2,C4817)),MAX($B$1:B4816)+1,0)</f>
        <v>0</v>
      </c>
      <c r="D4817" s="33">
        <f>IF(ISNUMBER(SEARCH('Φόρμα Εισαγωγής'!$C$2,E4817)),MAX($D$1:D4816)+1,0)</f>
        <v>0</v>
      </c>
      <c r="H4817" s="6">
        <f t="shared" si="236"/>
        <v>0</v>
      </c>
      <c r="I4817" s="6">
        <f t="shared" si="237"/>
        <v>0</v>
      </c>
      <c r="J4817" s="6">
        <f t="shared" si="238"/>
        <v>0</v>
      </c>
      <c r="L4817" s="4" t="str">
        <f>IFERROR(VLOOKUP(ROWS($L$2:L4817),$B$2:$C$1996,2,0),"")</f>
        <v/>
      </c>
      <c r="N4817" s="2" t="str">
        <f>IFERROR(VLOOKUP(ROWS($N$2:N4817),$D$2:$E$1996,2,0),"")</f>
        <v/>
      </c>
    </row>
    <row r="4818" spans="2:14">
      <c r="B4818" s="32">
        <f>IF(ISNUMBER(SEARCH('Φόρμα Εισαγωγής'!$B$2,C4818)),MAX($B$1:B4817)+1,0)</f>
        <v>0</v>
      </c>
      <c r="D4818" s="33">
        <f>IF(ISNUMBER(SEARCH('Φόρμα Εισαγωγής'!$C$2,E4818)),MAX($D$1:D4817)+1,0)</f>
        <v>0</v>
      </c>
      <c r="H4818" s="6">
        <f t="shared" si="236"/>
        <v>0</v>
      </c>
      <c r="I4818" s="6">
        <f t="shared" si="237"/>
        <v>0</v>
      </c>
      <c r="J4818" s="6">
        <f t="shared" si="238"/>
        <v>0</v>
      </c>
      <c r="L4818" s="4" t="str">
        <f>IFERROR(VLOOKUP(ROWS($L$2:L4818),$B$2:$C$1996,2,0),"")</f>
        <v/>
      </c>
      <c r="N4818" s="2" t="str">
        <f>IFERROR(VLOOKUP(ROWS($N$2:N4818),$D$2:$E$1996,2,0),"")</f>
        <v/>
      </c>
    </row>
    <row r="4819" spans="2:14">
      <c r="B4819" s="32">
        <f>IF(ISNUMBER(SEARCH('Φόρμα Εισαγωγής'!$B$2,C4819)),MAX($B$1:B4818)+1,0)</f>
        <v>0</v>
      </c>
      <c r="D4819" s="33">
        <f>IF(ISNUMBER(SEARCH('Φόρμα Εισαγωγής'!$C$2,E4819)),MAX($D$1:D4818)+1,0)</f>
        <v>0</v>
      </c>
      <c r="H4819" s="6">
        <f t="shared" si="236"/>
        <v>0</v>
      </c>
      <c r="I4819" s="6">
        <f t="shared" si="237"/>
        <v>0</v>
      </c>
      <c r="J4819" s="6">
        <f t="shared" si="238"/>
        <v>0</v>
      </c>
      <c r="L4819" s="4" t="str">
        <f>IFERROR(VLOOKUP(ROWS($L$2:L4819),$B$2:$C$1996,2,0),"")</f>
        <v/>
      </c>
      <c r="N4819" s="2" t="str">
        <f>IFERROR(VLOOKUP(ROWS($N$2:N4819),$D$2:$E$1996,2,0),"")</f>
        <v/>
      </c>
    </row>
    <row r="4820" spans="2:14">
      <c r="B4820" s="32">
        <f>IF(ISNUMBER(SEARCH('Φόρμα Εισαγωγής'!$B$2,C4820)),MAX($B$1:B4819)+1,0)</f>
        <v>0</v>
      </c>
      <c r="D4820" s="33">
        <f>IF(ISNUMBER(SEARCH('Φόρμα Εισαγωγής'!$C$2,E4820)),MAX($D$1:D4819)+1,0)</f>
        <v>0</v>
      </c>
      <c r="H4820" s="6">
        <f t="shared" si="236"/>
        <v>0</v>
      </c>
      <c r="I4820" s="6">
        <f t="shared" si="237"/>
        <v>0</v>
      </c>
      <c r="J4820" s="6">
        <f t="shared" si="238"/>
        <v>0</v>
      </c>
      <c r="L4820" s="4" t="str">
        <f>IFERROR(VLOOKUP(ROWS($L$2:L4820),$B$2:$C$1996,2,0),"")</f>
        <v/>
      </c>
      <c r="N4820" s="2" t="str">
        <f>IFERROR(VLOOKUP(ROWS($N$2:N4820),$D$2:$E$1996,2,0),"")</f>
        <v/>
      </c>
    </row>
    <row r="4821" spans="2:14">
      <c r="B4821" s="32">
        <f>IF(ISNUMBER(SEARCH('Φόρμα Εισαγωγής'!$B$2,C4821)),MAX($B$1:B4820)+1,0)</f>
        <v>0</v>
      </c>
      <c r="D4821" s="33">
        <f>IF(ISNUMBER(SEARCH('Φόρμα Εισαγωγής'!$C$2,E4821)),MAX($D$1:D4820)+1,0)</f>
        <v>0</v>
      </c>
      <c r="H4821" s="6">
        <f t="shared" si="236"/>
        <v>0</v>
      </c>
      <c r="I4821" s="6">
        <f t="shared" si="237"/>
        <v>0</v>
      </c>
      <c r="J4821" s="6">
        <f t="shared" si="238"/>
        <v>0</v>
      </c>
      <c r="L4821" s="4" t="str">
        <f>IFERROR(VLOOKUP(ROWS($L$2:L4821),$B$2:$C$1996,2,0),"")</f>
        <v/>
      </c>
      <c r="N4821" s="2" t="str">
        <f>IFERROR(VLOOKUP(ROWS($N$2:N4821),$D$2:$E$1996,2,0),"")</f>
        <v/>
      </c>
    </row>
    <row r="4822" spans="2:14">
      <c r="B4822" s="32">
        <f>IF(ISNUMBER(SEARCH('Φόρμα Εισαγωγής'!$B$2,C4822)),MAX($B$1:B4821)+1,0)</f>
        <v>0</v>
      </c>
      <c r="D4822" s="33">
        <f>IF(ISNUMBER(SEARCH('Φόρμα Εισαγωγής'!$C$2,E4822)),MAX($D$1:D4821)+1,0)</f>
        <v>0</v>
      </c>
      <c r="H4822" s="6">
        <f t="shared" si="236"/>
        <v>0</v>
      </c>
      <c r="I4822" s="6">
        <f t="shared" si="237"/>
        <v>0</v>
      </c>
      <c r="J4822" s="6">
        <f t="shared" si="238"/>
        <v>0</v>
      </c>
      <c r="L4822" s="4" t="str">
        <f>IFERROR(VLOOKUP(ROWS($L$2:L4822),$B$2:$C$1996,2,0),"")</f>
        <v/>
      </c>
      <c r="N4822" s="2" t="str">
        <f>IFERROR(VLOOKUP(ROWS($N$2:N4822),$D$2:$E$1996,2,0),"")</f>
        <v/>
      </c>
    </row>
    <row r="4823" spans="2:14">
      <c r="B4823" s="32">
        <f>IF(ISNUMBER(SEARCH('Φόρμα Εισαγωγής'!$B$2,C4823)),MAX($B$1:B4822)+1,0)</f>
        <v>0</v>
      </c>
      <c r="D4823" s="33">
        <f>IF(ISNUMBER(SEARCH('Φόρμα Εισαγωγής'!$C$2,E4823)),MAX($D$1:D4822)+1,0)</f>
        <v>0</v>
      </c>
      <c r="H4823" s="6">
        <f t="shared" si="236"/>
        <v>0</v>
      </c>
      <c r="I4823" s="6">
        <f t="shared" si="237"/>
        <v>0</v>
      </c>
      <c r="J4823" s="6">
        <f t="shared" si="238"/>
        <v>0</v>
      </c>
      <c r="L4823" s="4" t="str">
        <f>IFERROR(VLOOKUP(ROWS($L$2:L4823),$B$2:$C$1996,2,0),"")</f>
        <v/>
      </c>
      <c r="N4823" s="2" t="str">
        <f>IFERROR(VLOOKUP(ROWS($N$2:N4823),$D$2:$E$1996,2,0),"")</f>
        <v/>
      </c>
    </row>
    <row r="4824" spans="2:14">
      <c r="B4824" s="32">
        <f>IF(ISNUMBER(SEARCH('Φόρμα Εισαγωγής'!$B$2,C4824)),MAX($B$1:B4823)+1,0)</f>
        <v>0</v>
      </c>
      <c r="D4824" s="33">
        <f>IF(ISNUMBER(SEARCH('Φόρμα Εισαγωγής'!$C$2,E4824)),MAX($D$1:D4823)+1,0)</f>
        <v>0</v>
      </c>
      <c r="H4824" s="6">
        <f t="shared" si="236"/>
        <v>0</v>
      </c>
      <c r="I4824" s="6">
        <f t="shared" si="237"/>
        <v>0</v>
      </c>
      <c r="J4824" s="6">
        <f t="shared" si="238"/>
        <v>0</v>
      </c>
      <c r="L4824" s="4" t="str">
        <f>IFERROR(VLOOKUP(ROWS($L$2:L4824),$B$2:$C$1996,2,0),"")</f>
        <v/>
      </c>
      <c r="N4824" s="2" t="str">
        <f>IFERROR(VLOOKUP(ROWS($N$2:N4824),$D$2:$E$1996,2,0),"")</f>
        <v/>
      </c>
    </row>
    <row r="4825" spans="2:14">
      <c r="B4825" s="32">
        <f>IF(ISNUMBER(SEARCH('Φόρμα Εισαγωγής'!$B$2,C4825)),MAX($B$1:B4824)+1,0)</f>
        <v>0</v>
      </c>
      <c r="D4825" s="33">
        <f>IF(ISNUMBER(SEARCH('Φόρμα Εισαγωγής'!$C$2,E4825)),MAX($D$1:D4824)+1,0)</f>
        <v>0</v>
      </c>
      <c r="H4825" s="6">
        <f t="shared" si="236"/>
        <v>0</v>
      </c>
      <c r="I4825" s="6">
        <f t="shared" si="237"/>
        <v>0</v>
      </c>
      <c r="J4825" s="6">
        <f t="shared" si="238"/>
        <v>0</v>
      </c>
      <c r="L4825" s="4" t="str">
        <f>IFERROR(VLOOKUP(ROWS($L$2:L4825),$B$2:$C$1996,2,0),"")</f>
        <v/>
      </c>
      <c r="N4825" s="2" t="str">
        <f>IFERROR(VLOOKUP(ROWS($N$2:N4825),$D$2:$E$1996,2,0),"")</f>
        <v/>
      </c>
    </row>
    <row r="4826" spans="2:14">
      <c r="B4826" s="32">
        <f>IF(ISNUMBER(SEARCH('Φόρμα Εισαγωγής'!$B$2,C4826)),MAX($B$1:B4825)+1,0)</f>
        <v>0</v>
      </c>
      <c r="D4826" s="33">
        <f>IF(ISNUMBER(SEARCH('Φόρμα Εισαγωγής'!$C$2,E4826)),MAX($D$1:D4825)+1,0)</f>
        <v>0</v>
      </c>
      <c r="H4826" s="6">
        <f t="shared" si="236"/>
        <v>0</v>
      </c>
      <c r="I4826" s="6">
        <f t="shared" si="237"/>
        <v>0</v>
      </c>
      <c r="J4826" s="6">
        <f t="shared" si="238"/>
        <v>0</v>
      </c>
      <c r="L4826" s="4" t="str">
        <f>IFERROR(VLOOKUP(ROWS($L$2:L4826),$B$2:$C$1996,2,0),"")</f>
        <v/>
      </c>
      <c r="N4826" s="2" t="str">
        <f>IFERROR(VLOOKUP(ROWS($N$2:N4826),$D$2:$E$1996,2,0),"")</f>
        <v/>
      </c>
    </row>
    <row r="4827" spans="2:14">
      <c r="B4827" s="32">
        <f>IF(ISNUMBER(SEARCH('Φόρμα Εισαγωγής'!$B$2,C4827)),MAX($B$1:B4826)+1,0)</f>
        <v>0</v>
      </c>
      <c r="D4827" s="33">
        <f>IF(ISNUMBER(SEARCH('Φόρμα Εισαγωγής'!$C$2,E4827)),MAX($D$1:D4826)+1,0)</f>
        <v>0</v>
      </c>
      <c r="H4827" s="6">
        <f t="shared" si="236"/>
        <v>0</v>
      </c>
      <c r="I4827" s="6">
        <f t="shared" si="237"/>
        <v>0</v>
      </c>
      <c r="J4827" s="6">
        <f t="shared" si="238"/>
        <v>0</v>
      </c>
      <c r="L4827" s="4" t="str">
        <f>IFERROR(VLOOKUP(ROWS($L$2:L4827),$B$2:$C$1996,2,0),"")</f>
        <v/>
      </c>
      <c r="N4827" s="2" t="str">
        <f>IFERROR(VLOOKUP(ROWS($N$2:N4827),$D$2:$E$1996,2,0),"")</f>
        <v/>
      </c>
    </row>
    <row r="4828" spans="2:14">
      <c r="B4828" s="32">
        <f>IF(ISNUMBER(SEARCH('Φόρμα Εισαγωγής'!$B$2,C4828)),MAX($B$1:B4827)+1,0)</f>
        <v>0</v>
      </c>
      <c r="D4828" s="33">
        <f>IF(ISNUMBER(SEARCH('Φόρμα Εισαγωγής'!$C$2,E4828)),MAX($D$1:D4827)+1,0)</f>
        <v>0</v>
      </c>
      <c r="H4828" s="6">
        <f t="shared" si="236"/>
        <v>0</v>
      </c>
      <c r="I4828" s="6">
        <f t="shared" si="237"/>
        <v>0</v>
      </c>
      <c r="J4828" s="6">
        <f t="shared" si="238"/>
        <v>0</v>
      </c>
      <c r="L4828" s="4" t="str">
        <f>IFERROR(VLOOKUP(ROWS($L$2:L4828),$B$2:$C$1996,2,0),"")</f>
        <v/>
      </c>
      <c r="N4828" s="2" t="str">
        <f>IFERROR(VLOOKUP(ROWS($N$2:N4828),$D$2:$E$1996,2,0),"")</f>
        <v/>
      </c>
    </row>
    <row r="4829" spans="2:14">
      <c r="B4829" s="32">
        <f>IF(ISNUMBER(SEARCH('Φόρμα Εισαγωγής'!$B$2,C4829)),MAX($B$1:B4828)+1,0)</f>
        <v>0</v>
      </c>
      <c r="D4829" s="33">
        <f>IF(ISNUMBER(SEARCH('Φόρμα Εισαγωγής'!$C$2,E4829)),MAX($D$1:D4828)+1,0)</f>
        <v>0</v>
      </c>
      <c r="H4829" s="6">
        <f t="shared" si="236"/>
        <v>0</v>
      </c>
      <c r="I4829" s="6">
        <f t="shared" si="237"/>
        <v>0</v>
      </c>
      <c r="J4829" s="6">
        <f t="shared" si="238"/>
        <v>0</v>
      </c>
      <c r="L4829" s="4" t="str">
        <f>IFERROR(VLOOKUP(ROWS($L$2:L4829),$B$2:$C$1996,2,0),"")</f>
        <v/>
      </c>
      <c r="N4829" s="2" t="str">
        <f>IFERROR(VLOOKUP(ROWS($N$2:N4829),$D$2:$E$1996,2,0),"")</f>
        <v/>
      </c>
    </row>
    <row r="4830" spans="2:14">
      <c r="B4830" s="32">
        <f>IF(ISNUMBER(SEARCH('Φόρμα Εισαγωγής'!$B$2,C4830)),MAX($B$1:B4829)+1,0)</f>
        <v>0</v>
      </c>
      <c r="D4830" s="33">
        <f>IF(ISNUMBER(SEARCH('Φόρμα Εισαγωγής'!$C$2,E4830)),MAX($D$1:D4829)+1,0)</f>
        <v>0</v>
      </c>
      <c r="H4830" s="6">
        <f t="shared" si="236"/>
        <v>0</v>
      </c>
      <c r="I4830" s="6">
        <f t="shared" si="237"/>
        <v>0</v>
      </c>
      <c r="J4830" s="6">
        <f t="shared" si="238"/>
        <v>0</v>
      </c>
      <c r="L4830" s="4" t="str">
        <f>IFERROR(VLOOKUP(ROWS($L$2:L4830),$B$2:$C$1996,2,0),"")</f>
        <v/>
      </c>
      <c r="N4830" s="2" t="str">
        <f>IFERROR(VLOOKUP(ROWS($N$2:N4830),$D$2:$E$1996,2,0),"")</f>
        <v/>
      </c>
    </row>
    <row r="4831" spans="2:14">
      <c r="B4831" s="32">
        <f>IF(ISNUMBER(SEARCH('Φόρμα Εισαγωγής'!$B$2,C4831)),MAX($B$1:B4830)+1,0)</f>
        <v>0</v>
      </c>
      <c r="D4831" s="33">
        <f>IF(ISNUMBER(SEARCH('Φόρμα Εισαγωγής'!$C$2,E4831)),MAX($D$1:D4830)+1,0)</f>
        <v>0</v>
      </c>
      <c r="H4831" s="6">
        <f t="shared" si="236"/>
        <v>0</v>
      </c>
      <c r="I4831" s="6">
        <f t="shared" si="237"/>
        <v>0</v>
      </c>
      <c r="J4831" s="6">
        <f t="shared" si="238"/>
        <v>0</v>
      </c>
      <c r="L4831" s="4" t="str">
        <f>IFERROR(VLOOKUP(ROWS($L$2:L4831),$B$2:$C$1996,2,0),"")</f>
        <v/>
      </c>
      <c r="N4831" s="2" t="str">
        <f>IFERROR(VLOOKUP(ROWS($N$2:N4831),$D$2:$E$1996,2,0),"")</f>
        <v/>
      </c>
    </row>
    <row r="4832" spans="2:14">
      <c r="B4832" s="32">
        <f>IF(ISNUMBER(SEARCH('Φόρμα Εισαγωγής'!$B$2,C4832)),MAX($B$1:B4831)+1,0)</f>
        <v>0</v>
      </c>
      <c r="D4832" s="33">
        <f>IF(ISNUMBER(SEARCH('Φόρμα Εισαγωγής'!$C$2,E4832)),MAX($D$1:D4831)+1,0)</f>
        <v>0</v>
      </c>
      <c r="H4832" s="6">
        <f t="shared" si="236"/>
        <v>0</v>
      </c>
      <c r="I4832" s="6">
        <f t="shared" si="237"/>
        <v>0</v>
      </c>
      <c r="J4832" s="6">
        <f t="shared" si="238"/>
        <v>0</v>
      </c>
      <c r="L4832" s="4" t="str">
        <f>IFERROR(VLOOKUP(ROWS($L$2:L4832),$B$2:$C$1996,2,0),"")</f>
        <v/>
      </c>
      <c r="N4832" s="2" t="str">
        <f>IFERROR(VLOOKUP(ROWS($N$2:N4832),$D$2:$E$1996,2,0),"")</f>
        <v/>
      </c>
    </row>
    <row r="4833" spans="2:14">
      <c r="B4833" s="32">
        <f>IF(ISNUMBER(SEARCH('Φόρμα Εισαγωγής'!$B$2,C4833)),MAX($B$1:B4832)+1,0)</f>
        <v>0</v>
      </c>
      <c r="D4833" s="33">
        <f>IF(ISNUMBER(SEARCH('Φόρμα Εισαγωγής'!$C$2,E4833)),MAX($D$1:D4832)+1,0)</f>
        <v>0</v>
      </c>
      <c r="H4833" s="6">
        <f t="shared" si="236"/>
        <v>0</v>
      </c>
      <c r="I4833" s="6">
        <f t="shared" si="237"/>
        <v>0</v>
      </c>
      <c r="J4833" s="6">
        <f t="shared" si="238"/>
        <v>0</v>
      </c>
      <c r="L4833" s="4" t="str">
        <f>IFERROR(VLOOKUP(ROWS($L$2:L4833),$B$2:$C$1996,2,0),"")</f>
        <v/>
      </c>
      <c r="N4833" s="2" t="str">
        <f>IFERROR(VLOOKUP(ROWS($N$2:N4833),$D$2:$E$1996,2,0),"")</f>
        <v/>
      </c>
    </row>
    <row r="4834" spans="2:14">
      <c r="B4834" s="32">
        <f>IF(ISNUMBER(SEARCH('Φόρμα Εισαγωγής'!$B$2,C4834)),MAX($B$1:B4833)+1,0)</f>
        <v>0</v>
      </c>
      <c r="D4834" s="33">
        <f>IF(ISNUMBER(SEARCH('Φόρμα Εισαγωγής'!$C$2,E4834)),MAX($D$1:D4833)+1,0)</f>
        <v>0</v>
      </c>
      <c r="H4834" s="6">
        <f t="shared" si="236"/>
        <v>0</v>
      </c>
      <c r="I4834" s="6">
        <f t="shared" si="237"/>
        <v>0</v>
      </c>
      <c r="J4834" s="6">
        <f t="shared" si="238"/>
        <v>0</v>
      </c>
      <c r="L4834" s="4" t="str">
        <f>IFERROR(VLOOKUP(ROWS($L$2:L4834),$B$2:$C$1996,2,0),"")</f>
        <v/>
      </c>
      <c r="N4834" s="2" t="str">
        <f>IFERROR(VLOOKUP(ROWS($N$2:N4834),$D$2:$E$1996,2,0),"")</f>
        <v/>
      </c>
    </row>
    <row r="4835" spans="2:14">
      <c r="B4835" s="32">
        <f>IF(ISNUMBER(SEARCH('Φόρμα Εισαγωγής'!$B$2,C4835)),MAX($B$1:B4834)+1,0)</f>
        <v>0</v>
      </c>
      <c r="D4835" s="33">
        <f>IF(ISNUMBER(SEARCH('Φόρμα Εισαγωγής'!$C$2,E4835)),MAX($D$1:D4834)+1,0)</f>
        <v>0</v>
      </c>
      <c r="H4835" s="6">
        <f t="shared" si="236"/>
        <v>0</v>
      </c>
      <c r="I4835" s="6">
        <f t="shared" si="237"/>
        <v>0</v>
      </c>
      <c r="J4835" s="6">
        <f t="shared" si="238"/>
        <v>0</v>
      </c>
      <c r="L4835" s="4" t="str">
        <f>IFERROR(VLOOKUP(ROWS($L$2:L4835),$B$2:$C$1996,2,0),"")</f>
        <v/>
      </c>
      <c r="N4835" s="2" t="str">
        <f>IFERROR(VLOOKUP(ROWS($N$2:N4835),$D$2:$E$1996,2,0),"")</f>
        <v/>
      </c>
    </row>
    <row r="4836" spans="2:14">
      <c r="B4836" s="32">
        <f>IF(ISNUMBER(SEARCH('Φόρμα Εισαγωγής'!$B$2,C4836)),MAX($B$1:B4835)+1,0)</f>
        <v>0</v>
      </c>
      <c r="D4836" s="33">
        <f>IF(ISNUMBER(SEARCH('Φόρμα Εισαγωγής'!$C$2,E4836)),MAX($D$1:D4835)+1,0)</f>
        <v>0</v>
      </c>
      <c r="H4836" s="6">
        <f t="shared" si="236"/>
        <v>0</v>
      </c>
      <c r="I4836" s="6">
        <f t="shared" si="237"/>
        <v>0</v>
      </c>
      <c r="J4836" s="6">
        <f t="shared" si="238"/>
        <v>0</v>
      </c>
      <c r="L4836" s="4" t="str">
        <f>IFERROR(VLOOKUP(ROWS($L$2:L4836),$B$2:$C$1996,2,0),"")</f>
        <v/>
      </c>
      <c r="N4836" s="2" t="str">
        <f>IFERROR(VLOOKUP(ROWS($N$2:N4836),$D$2:$E$1996,2,0),"")</f>
        <v/>
      </c>
    </row>
    <row r="4837" spans="2:14">
      <c r="B4837" s="32">
        <f>IF(ISNUMBER(SEARCH('Φόρμα Εισαγωγής'!$B$2,C4837)),MAX($B$1:B4836)+1,0)</f>
        <v>0</v>
      </c>
      <c r="D4837" s="33">
        <f>IF(ISNUMBER(SEARCH('Φόρμα Εισαγωγής'!$C$2,E4837)),MAX($D$1:D4836)+1,0)</f>
        <v>0</v>
      </c>
      <c r="H4837" s="6">
        <f t="shared" si="236"/>
        <v>0</v>
      </c>
      <c r="I4837" s="6">
        <f t="shared" si="237"/>
        <v>0</v>
      </c>
      <c r="J4837" s="6">
        <f t="shared" si="238"/>
        <v>0</v>
      </c>
      <c r="L4837" s="4" t="str">
        <f>IFERROR(VLOOKUP(ROWS($L$2:L4837),$B$2:$C$1996,2,0),"")</f>
        <v/>
      </c>
      <c r="N4837" s="2" t="str">
        <f>IFERROR(VLOOKUP(ROWS($N$2:N4837),$D$2:$E$1996,2,0),"")</f>
        <v/>
      </c>
    </row>
    <row r="4838" spans="2:14">
      <c r="B4838" s="32">
        <f>IF(ISNUMBER(SEARCH('Φόρμα Εισαγωγής'!$B$2,C4838)),MAX($B$1:B4837)+1,0)</f>
        <v>0</v>
      </c>
      <c r="D4838" s="33">
        <f>IF(ISNUMBER(SEARCH('Φόρμα Εισαγωγής'!$C$2,E4838)),MAX($D$1:D4837)+1,0)</f>
        <v>0</v>
      </c>
      <c r="H4838" s="6">
        <f t="shared" si="236"/>
        <v>0</v>
      </c>
      <c r="I4838" s="6">
        <f t="shared" si="237"/>
        <v>0</v>
      </c>
      <c r="J4838" s="6">
        <f t="shared" si="238"/>
        <v>0</v>
      </c>
      <c r="L4838" s="4" t="str">
        <f>IFERROR(VLOOKUP(ROWS($L$2:L4838),$B$2:$C$1996,2,0),"")</f>
        <v/>
      </c>
      <c r="N4838" s="2" t="str">
        <f>IFERROR(VLOOKUP(ROWS($N$2:N4838),$D$2:$E$1996,2,0),"")</f>
        <v/>
      </c>
    </row>
    <row r="4839" spans="2:14">
      <c r="B4839" s="32">
        <f>IF(ISNUMBER(SEARCH('Φόρμα Εισαγωγής'!$B$2,C4839)),MAX($B$1:B4838)+1,0)</f>
        <v>0</v>
      </c>
      <c r="D4839" s="33">
        <f>IF(ISNUMBER(SEARCH('Φόρμα Εισαγωγής'!$C$2,E4839)),MAX($D$1:D4838)+1,0)</f>
        <v>0</v>
      </c>
      <c r="H4839" s="6">
        <f t="shared" si="236"/>
        <v>0</v>
      </c>
      <c r="I4839" s="6">
        <f t="shared" si="237"/>
        <v>0</v>
      </c>
      <c r="J4839" s="6">
        <f t="shared" si="238"/>
        <v>0</v>
      </c>
      <c r="L4839" s="4" t="str">
        <f>IFERROR(VLOOKUP(ROWS($L$2:L4839),$B$2:$C$1996,2,0),"")</f>
        <v/>
      </c>
      <c r="N4839" s="2" t="str">
        <f>IFERROR(VLOOKUP(ROWS($N$2:N4839),$D$2:$E$1996,2,0),"")</f>
        <v/>
      </c>
    </row>
    <row r="4840" spans="2:14">
      <c r="B4840" s="32">
        <f>IF(ISNUMBER(SEARCH('Φόρμα Εισαγωγής'!$B$2,C4840)),MAX($B$1:B4839)+1,0)</f>
        <v>0</v>
      </c>
      <c r="D4840" s="33">
        <f>IF(ISNUMBER(SEARCH('Φόρμα Εισαγωγής'!$C$2,E4840)),MAX($D$1:D4839)+1,0)</f>
        <v>0</v>
      </c>
      <c r="H4840" s="6">
        <f t="shared" si="236"/>
        <v>0</v>
      </c>
      <c r="I4840" s="6">
        <f t="shared" si="237"/>
        <v>0</v>
      </c>
      <c r="J4840" s="6">
        <f t="shared" si="238"/>
        <v>0</v>
      </c>
      <c r="L4840" s="4" t="str">
        <f>IFERROR(VLOOKUP(ROWS($L$2:L4840),$B$2:$C$1996,2,0),"")</f>
        <v/>
      </c>
      <c r="N4840" s="2" t="str">
        <f>IFERROR(VLOOKUP(ROWS($N$2:N4840),$D$2:$E$1996,2,0),"")</f>
        <v/>
      </c>
    </row>
    <row r="4841" spans="2:14">
      <c r="B4841" s="32">
        <f>IF(ISNUMBER(SEARCH('Φόρμα Εισαγωγής'!$B$2,C4841)),MAX($B$1:B4840)+1,0)</f>
        <v>0</v>
      </c>
      <c r="D4841" s="33">
        <f>IF(ISNUMBER(SEARCH('Φόρμα Εισαγωγής'!$C$2,E4841)),MAX($D$1:D4840)+1,0)</f>
        <v>0</v>
      </c>
      <c r="H4841" s="6">
        <f t="shared" si="236"/>
        <v>0</v>
      </c>
      <c r="I4841" s="6">
        <f t="shared" si="237"/>
        <v>0</v>
      </c>
      <c r="J4841" s="6">
        <f t="shared" si="238"/>
        <v>0</v>
      </c>
      <c r="L4841" s="4" t="str">
        <f>IFERROR(VLOOKUP(ROWS($L$2:L4841),$B$2:$C$1996,2,0),"")</f>
        <v/>
      </c>
      <c r="N4841" s="2" t="str">
        <f>IFERROR(VLOOKUP(ROWS($N$2:N4841),$D$2:$E$1996,2,0),"")</f>
        <v/>
      </c>
    </row>
    <row r="4842" spans="2:14">
      <c r="B4842" s="32">
        <f>IF(ISNUMBER(SEARCH('Φόρμα Εισαγωγής'!$B$2,C4842)),MAX($B$1:B4841)+1,0)</f>
        <v>0</v>
      </c>
      <c r="D4842" s="33">
        <f>IF(ISNUMBER(SEARCH('Φόρμα Εισαγωγής'!$C$2,E4842)),MAX($D$1:D4841)+1,0)</f>
        <v>0</v>
      </c>
      <c r="H4842" s="6">
        <f t="shared" si="236"/>
        <v>0</v>
      </c>
      <c r="I4842" s="6">
        <f t="shared" si="237"/>
        <v>0</v>
      </c>
      <c r="J4842" s="6">
        <f t="shared" si="238"/>
        <v>0</v>
      </c>
      <c r="L4842" s="4" t="str">
        <f>IFERROR(VLOOKUP(ROWS($L$2:L4842),$B$2:$C$1996,2,0),"")</f>
        <v/>
      </c>
      <c r="N4842" s="2" t="str">
        <f>IFERROR(VLOOKUP(ROWS($N$2:N4842),$D$2:$E$1996,2,0),"")</f>
        <v/>
      </c>
    </row>
    <row r="4843" spans="2:14">
      <c r="B4843" s="32">
        <f>IF(ISNUMBER(SEARCH('Φόρμα Εισαγωγής'!$B$2,C4843)),MAX($B$1:B4842)+1,0)</f>
        <v>0</v>
      </c>
      <c r="D4843" s="33">
        <f>IF(ISNUMBER(SEARCH('Φόρμα Εισαγωγής'!$C$2,E4843)),MAX($D$1:D4842)+1,0)</f>
        <v>0</v>
      </c>
      <c r="H4843" s="6">
        <f t="shared" si="236"/>
        <v>0</v>
      </c>
      <c r="I4843" s="6">
        <f t="shared" si="237"/>
        <v>0</v>
      </c>
      <c r="J4843" s="6">
        <f t="shared" si="238"/>
        <v>0</v>
      </c>
      <c r="L4843" s="4" t="str">
        <f>IFERROR(VLOOKUP(ROWS($L$2:L4843),$B$2:$C$1996,2,0),"")</f>
        <v/>
      </c>
      <c r="N4843" s="2" t="str">
        <f>IFERROR(VLOOKUP(ROWS($N$2:N4843),$D$2:$E$1996,2,0),"")</f>
        <v/>
      </c>
    </row>
    <row r="4844" spans="2:14">
      <c r="B4844" s="32">
        <f>IF(ISNUMBER(SEARCH('Φόρμα Εισαγωγής'!$B$2,C4844)),MAX($B$1:B4843)+1,0)</f>
        <v>0</v>
      </c>
      <c r="D4844" s="33">
        <f>IF(ISNUMBER(SEARCH('Φόρμα Εισαγωγής'!$C$2,E4844)),MAX($D$1:D4843)+1,0)</f>
        <v>0</v>
      </c>
      <c r="H4844" s="6">
        <f t="shared" si="236"/>
        <v>0</v>
      </c>
      <c r="I4844" s="6">
        <f t="shared" si="237"/>
        <v>0</v>
      </c>
      <c r="J4844" s="6">
        <f t="shared" si="238"/>
        <v>0</v>
      </c>
      <c r="L4844" s="4" t="str">
        <f>IFERROR(VLOOKUP(ROWS($L$2:L4844),$B$2:$C$1996,2,0),"")</f>
        <v/>
      </c>
      <c r="N4844" s="2" t="str">
        <f>IFERROR(VLOOKUP(ROWS($N$2:N4844),$D$2:$E$1996,2,0),"")</f>
        <v/>
      </c>
    </row>
    <row r="4845" spans="2:14">
      <c r="B4845" s="32">
        <f>IF(ISNUMBER(SEARCH('Φόρμα Εισαγωγής'!$B$2,C4845)),MAX($B$1:B4844)+1,0)</f>
        <v>0</v>
      </c>
      <c r="D4845" s="33">
        <f>IF(ISNUMBER(SEARCH('Φόρμα Εισαγωγής'!$C$2,E4845)),MAX($D$1:D4844)+1,0)</f>
        <v>0</v>
      </c>
      <c r="H4845" s="6">
        <f t="shared" si="236"/>
        <v>0</v>
      </c>
      <c r="I4845" s="6">
        <f t="shared" si="237"/>
        <v>0</v>
      </c>
      <c r="J4845" s="6">
        <f t="shared" si="238"/>
        <v>0</v>
      </c>
      <c r="L4845" s="4" t="str">
        <f>IFERROR(VLOOKUP(ROWS($L$2:L4845),$B$2:$C$1996,2,0),"")</f>
        <v/>
      </c>
      <c r="N4845" s="2" t="str">
        <f>IFERROR(VLOOKUP(ROWS($N$2:N4845),$D$2:$E$1996,2,0),"")</f>
        <v/>
      </c>
    </row>
    <row r="4846" spans="2:14">
      <c r="B4846" s="32">
        <f>IF(ISNUMBER(SEARCH('Φόρμα Εισαγωγής'!$B$2,C4846)),MAX($B$1:B4845)+1,0)</f>
        <v>0</v>
      </c>
      <c r="D4846" s="33">
        <f>IF(ISNUMBER(SEARCH('Φόρμα Εισαγωγής'!$C$2,E4846)),MAX($D$1:D4845)+1,0)</f>
        <v>0</v>
      </c>
      <c r="H4846" s="6">
        <f t="shared" si="236"/>
        <v>0</v>
      </c>
      <c r="I4846" s="6">
        <f t="shared" si="237"/>
        <v>0</v>
      </c>
      <c r="J4846" s="6">
        <f t="shared" si="238"/>
        <v>0</v>
      </c>
      <c r="L4846" s="4" t="str">
        <f>IFERROR(VLOOKUP(ROWS($L$2:L4846),$B$2:$C$1996,2,0),"")</f>
        <v/>
      </c>
      <c r="N4846" s="2" t="str">
        <f>IFERROR(VLOOKUP(ROWS($N$2:N4846),$D$2:$E$1996,2,0),"")</f>
        <v/>
      </c>
    </row>
    <row r="4847" spans="2:14">
      <c r="B4847" s="32">
        <f>IF(ISNUMBER(SEARCH('Φόρμα Εισαγωγής'!$B$2,C4847)),MAX($B$1:B4846)+1,0)</f>
        <v>0</v>
      </c>
      <c r="D4847" s="33">
        <f>IF(ISNUMBER(SEARCH('Φόρμα Εισαγωγής'!$C$2,E4847)),MAX($D$1:D4846)+1,0)</f>
        <v>0</v>
      </c>
      <c r="H4847" s="6">
        <f t="shared" si="236"/>
        <v>0</v>
      </c>
      <c r="I4847" s="6">
        <f t="shared" si="237"/>
        <v>0</v>
      </c>
      <c r="J4847" s="6">
        <f t="shared" si="238"/>
        <v>0</v>
      </c>
      <c r="L4847" s="4" t="str">
        <f>IFERROR(VLOOKUP(ROWS($L$2:L4847),$B$2:$C$1996,2,0),"")</f>
        <v/>
      </c>
      <c r="N4847" s="2" t="str">
        <f>IFERROR(VLOOKUP(ROWS($N$2:N4847),$D$2:$E$1996,2,0),"")</f>
        <v/>
      </c>
    </row>
    <row r="4848" spans="2:14">
      <c r="B4848" s="32">
        <f>IF(ISNUMBER(SEARCH('Φόρμα Εισαγωγής'!$B$2,C4848)),MAX($B$1:B4847)+1,0)</f>
        <v>0</v>
      </c>
      <c r="D4848" s="33">
        <f>IF(ISNUMBER(SEARCH('Φόρμα Εισαγωγής'!$C$2,E4848)),MAX($D$1:D4847)+1,0)</f>
        <v>0</v>
      </c>
      <c r="H4848" s="6">
        <f t="shared" si="236"/>
        <v>0</v>
      </c>
      <c r="I4848" s="6">
        <f t="shared" si="237"/>
        <v>0</v>
      </c>
      <c r="J4848" s="6">
        <f t="shared" si="238"/>
        <v>0</v>
      </c>
      <c r="L4848" s="4" t="str">
        <f>IFERROR(VLOOKUP(ROWS($L$2:L4848),$B$2:$C$1996,2,0),"")</f>
        <v/>
      </c>
      <c r="N4848" s="2" t="str">
        <f>IFERROR(VLOOKUP(ROWS($N$2:N4848),$D$2:$E$1996,2,0),"")</f>
        <v/>
      </c>
    </row>
    <row r="4849" spans="2:14">
      <c r="B4849" s="32">
        <f>IF(ISNUMBER(SEARCH('Φόρμα Εισαγωγής'!$B$2,C4849)),MAX($B$1:B4848)+1,0)</f>
        <v>0</v>
      </c>
      <c r="D4849" s="33">
        <f>IF(ISNUMBER(SEARCH('Φόρμα Εισαγωγής'!$C$2,E4849)),MAX($D$1:D4848)+1,0)</f>
        <v>0</v>
      </c>
      <c r="H4849" s="6">
        <f t="shared" si="236"/>
        <v>0</v>
      </c>
      <c r="I4849" s="6">
        <f t="shared" si="237"/>
        <v>0</v>
      </c>
      <c r="J4849" s="6">
        <f t="shared" si="238"/>
        <v>0</v>
      </c>
      <c r="L4849" s="4" t="str">
        <f>IFERROR(VLOOKUP(ROWS($L$2:L4849),$B$2:$C$1996,2,0),"")</f>
        <v/>
      </c>
      <c r="N4849" s="2" t="str">
        <f>IFERROR(VLOOKUP(ROWS($N$2:N4849),$D$2:$E$1996,2,0),"")</f>
        <v/>
      </c>
    </row>
    <row r="4850" spans="2:14">
      <c r="B4850" s="32">
        <f>IF(ISNUMBER(SEARCH('Φόρμα Εισαγωγής'!$B$2,C4850)),MAX($B$1:B4849)+1,0)</f>
        <v>0</v>
      </c>
      <c r="D4850" s="33">
        <f>IF(ISNUMBER(SEARCH('Φόρμα Εισαγωγής'!$C$2,E4850)),MAX($D$1:D4849)+1,0)</f>
        <v>0</v>
      </c>
      <c r="H4850" s="6">
        <f t="shared" si="236"/>
        <v>0</v>
      </c>
      <c r="I4850" s="6">
        <f t="shared" si="237"/>
        <v>0</v>
      </c>
      <c r="J4850" s="6">
        <f t="shared" si="238"/>
        <v>0</v>
      </c>
      <c r="L4850" s="4" t="str">
        <f>IFERROR(VLOOKUP(ROWS($L$2:L4850),$B$2:$C$1996,2,0),"")</f>
        <v/>
      </c>
      <c r="N4850" s="2" t="str">
        <f>IFERROR(VLOOKUP(ROWS($N$2:N4850),$D$2:$E$1996,2,0),"")</f>
        <v/>
      </c>
    </row>
    <row r="4851" spans="2:14">
      <c r="B4851" s="32">
        <f>IF(ISNUMBER(SEARCH('Φόρμα Εισαγωγής'!$B$2,C4851)),MAX($B$1:B4850)+1,0)</f>
        <v>0</v>
      </c>
      <c r="D4851" s="33">
        <f>IF(ISNUMBER(SEARCH('Φόρμα Εισαγωγής'!$C$2,E4851)),MAX($D$1:D4850)+1,0)</f>
        <v>0</v>
      </c>
      <c r="H4851" s="6">
        <f t="shared" si="236"/>
        <v>0</v>
      </c>
      <c r="I4851" s="6">
        <f t="shared" si="237"/>
        <v>0</v>
      </c>
      <c r="J4851" s="6">
        <f t="shared" si="238"/>
        <v>0</v>
      </c>
      <c r="L4851" s="4" t="str">
        <f>IFERROR(VLOOKUP(ROWS($L$2:L4851),$B$2:$C$1996,2,0),"")</f>
        <v/>
      </c>
      <c r="N4851" s="2" t="str">
        <f>IFERROR(VLOOKUP(ROWS($N$2:N4851),$D$2:$E$1996,2,0),"")</f>
        <v/>
      </c>
    </row>
    <row r="4852" spans="2:14">
      <c r="B4852" s="32">
        <f>IF(ISNUMBER(SEARCH('Φόρμα Εισαγωγής'!$B$2,C4852)),MAX($B$1:B4851)+1,0)</f>
        <v>0</v>
      </c>
      <c r="D4852" s="33">
        <f>IF(ISNUMBER(SEARCH('Φόρμα Εισαγωγής'!$C$2,E4852)),MAX($D$1:D4851)+1,0)</f>
        <v>0</v>
      </c>
      <c r="H4852" s="6">
        <f t="shared" si="236"/>
        <v>0</v>
      </c>
      <c r="I4852" s="6">
        <f t="shared" si="237"/>
        <v>0</v>
      </c>
      <c r="J4852" s="6">
        <f t="shared" si="238"/>
        <v>0</v>
      </c>
      <c r="L4852" s="4" t="str">
        <f>IFERROR(VLOOKUP(ROWS($L$2:L4852),$B$2:$C$1996,2,0),"")</f>
        <v/>
      </c>
      <c r="N4852" s="2" t="str">
        <f>IFERROR(VLOOKUP(ROWS($N$2:N4852),$D$2:$E$1996,2,0),"")</f>
        <v/>
      </c>
    </row>
    <row r="4853" spans="2:14">
      <c r="B4853" s="32">
        <f>IF(ISNUMBER(SEARCH('Φόρμα Εισαγωγής'!$B$2,C4853)),MAX($B$1:B4852)+1,0)</f>
        <v>0</v>
      </c>
      <c r="D4853" s="33">
        <f>IF(ISNUMBER(SEARCH('Φόρμα Εισαγωγής'!$C$2,E4853)),MAX($D$1:D4852)+1,0)</f>
        <v>0</v>
      </c>
      <c r="H4853" s="6">
        <f t="shared" si="236"/>
        <v>0</v>
      </c>
      <c r="I4853" s="6">
        <f t="shared" si="237"/>
        <v>0</v>
      </c>
      <c r="J4853" s="6">
        <f t="shared" si="238"/>
        <v>0</v>
      </c>
      <c r="L4853" s="4" t="str">
        <f>IFERROR(VLOOKUP(ROWS($L$2:L4853),$B$2:$C$1996,2,0),"")</f>
        <v/>
      </c>
      <c r="N4853" s="2" t="str">
        <f>IFERROR(VLOOKUP(ROWS($N$2:N4853),$D$2:$E$1996,2,0),"")</f>
        <v/>
      </c>
    </row>
    <row r="4854" spans="2:14">
      <c r="B4854" s="32">
        <f>IF(ISNUMBER(SEARCH('Φόρμα Εισαγωγής'!$B$2,C4854)),MAX($B$1:B4853)+1,0)</f>
        <v>0</v>
      </c>
      <c r="D4854" s="33">
        <f>IF(ISNUMBER(SEARCH('Φόρμα Εισαγωγής'!$C$2,E4854)),MAX($D$1:D4853)+1,0)</f>
        <v>0</v>
      </c>
      <c r="H4854" s="6">
        <f t="shared" si="236"/>
        <v>0</v>
      </c>
      <c r="I4854" s="6">
        <f t="shared" si="237"/>
        <v>0</v>
      </c>
      <c r="J4854" s="6">
        <f t="shared" si="238"/>
        <v>0</v>
      </c>
      <c r="L4854" s="4" t="str">
        <f>IFERROR(VLOOKUP(ROWS($L$2:L4854),$B$2:$C$1996,2,0),"")</f>
        <v/>
      </c>
      <c r="N4854" s="2" t="str">
        <f>IFERROR(VLOOKUP(ROWS($N$2:N4854),$D$2:$E$1996,2,0),"")</f>
        <v/>
      </c>
    </row>
    <row r="4855" spans="2:14">
      <c r="B4855" s="32">
        <f>IF(ISNUMBER(SEARCH('Φόρμα Εισαγωγής'!$B$2,C4855)),MAX($B$1:B4854)+1,0)</f>
        <v>0</v>
      </c>
      <c r="D4855" s="33">
        <f>IF(ISNUMBER(SEARCH('Φόρμα Εισαγωγής'!$C$2,E4855)),MAX($D$1:D4854)+1,0)</f>
        <v>0</v>
      </c>
      <c r="H4855" s="6">
        <f t="shared" si="236"/>
        <v>0</v>
      </c>
      <c r="I4855" s="6">
        <f t="shared" si="237"/>
        <v>0</v>
      </c>
      <c r="J4855" s="6">
        <f t="shared" si="238"/>
        <v>0</v>
      </c>
      <c r="L4855" s="4" t="str">
        <f>IFERROR(VLOOKUP(ROWS($L$2:L4855),$B$2:$C$1996,2,0),"")</f>
        <v/>
      </c>
      <c r="N4855" s="2" t="str">
        <f>IFERROR(VLOOKUP(ROWS($N$2:N4855),$D$2:$E$1996,2,0),"")</f>
        <v/>
      </c>
    </row>
    <row r="4856" spans="2:14">
      <c r="B4856" s="32">
        <f>IF(ISNUMBER(SEARCH('Φόρμα Εισαγωγής'!$B$2,C4856)),MAX($B$1:B4855)+1,0)</f>
        <v>0</v>
      </c>
      <c r="D4856" s="33">
        <f>IF(ISNUMBER(SEARCH('Φόρμα Εισαγωγής'!$C$2,E4856)),MAX($D$1:D4855)+1,0)</f>
        <v>0</v>
      </c>
      <c r="H4856" s="6">
        <f t="shared" si="236"/>
        <v>0</v>
      </c>
      <c r="I4856" s="6">
        <f t="shared" si="237"/>
        <v>0</v>
      </c>
      <c r="J4856" s="6">
        <f t="shared" si="238"/>
        <v>0</v>
      </c>
      <c r="L4856" s="4" t="str">
        <f>IFERROR(VLOOKUP(ROWS($L$2:L4856),$B$2:$C$1996,2,0),"")</f>
        <v/>
      </c>
      <c r="N4856" s="2" t="str">
        <f>IFERROR(VLOOKUP(ROWS($N$2:N4856),$D$2:$E$1996,2,0),"")</f>
        <v/>
      </c>
    </row>
    <row r="4857" spans="2:14">
      <c r="B4857" s="32">
        <f>IF(ISNUMBER(SEARCH('Φόρμα Εισαγωγής'!$B$2,C4857)),MAX($B$1:B4856)+1,0)</f>
        <v>0</v>
      </c>
      <c r="D4857" s="33">
        <f>IF(ISNUMBER(SEARCH('Φόρμα Εισαγωγής'!$C$2,E4857)),MAX($D$1:D4856)+1,0)</f>
        <v>0</v>
      </c>
      <c r="H4857" s="6">
        <f t="shared" si="236"/>
        <v>0</v>
      </c>
      <c r="I4857" s="6">
        <f t="shared" si="237"/>
        <v>0</v>
      </c>
      <c r="J4857" s="6">
        <f t="shared" si="238"/>
        <v>0</v>
      </c>
      <c r="L4857" s="4" t="str">
        <f>IFERROR(VLOOKUP(ROWS($L$2:L4857),$B$2:$C$1996,2,0),"")</f>
        <v/>
      </c>
      <c r="N4857" s="2" t="str">
        <f>IFERROR(VLOOKUP(ROWS($N$2:N4857),$D$2:$E$1996,2,0),"")</f>
        <v/>
      </c>
    </row>
    <row r="4858" spans="2:14">
      <c r="B4858" s="32">
        <f>IF(ISNUMBER(SEARCH('Φόρμα Εισαγωγής'!$B$2,C4858)),MAX($B$1:B4857)+1,0)</f>
        <v>0</v>
      </c>
      <c r="D4858" s="33">
        <f>IF(ISNUMBER(SEARCH('Φόρμα Εισαγωγής'!$C$2,E4858)),MAX($D$1:D4857)+1,0)</f>
        <v>0</v>
      </c>
      <c r="H4858" s="6">
        <f t="shared" si="236"/>
        <v>0</v>
      </c>
      <c r="I4858" s="6">
        <f t="shared" si="237"/>
        <v>0</v>
      </c>
      <c r="J4858" s="6">
        <f t="shared" si="238"/>
        <v>0</v>
      </c>
      <c r="L4858" s="4" t="str">
        <f>IFERROR(VLOOKUP(ROWS($L$2:L4858),$B$2:$C$1996,2,0),"")</f>
        <v/>
      </c>
      <c r="N4858" s="2" t="str">
        <f>IFERROR(VLOOKUP(ROWS($N$2:N4858),$D$2:$E$1996,2,0),"")</f>
        <v/>
      </c>
    </row>
    <row r="4859" spans="2:14">
      <c r="B4859" s="32">
        <f>IF(ISNUMBER(SEARCH('Φόρμα Εισαγωγής'!$B$2,C4859)),MAX($B$1:B4858)+1,0)</f>
        <v>0</v>
      </c>
      <c r="D4859" s="33">
        <f>IF(ISNUMBER(SEARCH('Φόρμα Εισαγωγής'!$C$2,E4859)),MAX($D$1:D4858)+1,0)</f>
        <v>0</v>
      </c>
      <c r="H4859" s="6">
        <f t="shared" si="236"/>
        <v>0</v>
      </c>
      <c r="I4859" s="6">
        <f t="shared" si="237"/>
        <v>0</v>
      </c>
      <c r="J4859" s="6">
        <f t="shared" si="238"/>
        <v>0</v>
      </c>
      <c r="L4859" s="4" t="str">
        <f>IFERROR(VLOOKUP(ROWS($L$2:L4859),$B$2:$C$1996,2,0),"")</f>
        <v/>
      </c>
      <c r="N4859" s="2" t="str">
        <f>IFERROR(VLOOKUP(ROWS($N$2:N4859),$D$2:$E$1996,2,0),"")</f>
        <v/>
      </c>
    </row>
    <row r="4860" spans="2:14">
      <c r="B4860" s="32">
        <f>IF(ISNUMBER(SEARCH('Φόρμα Εισαγωγής'!$B$2,C4860)),MAX($B$1:B4859)+1,0)</f>
        <v>0</v>
      </c>
      <c r="D4860" s="33">
        <f>IF(ISNUMBER(SEARCH('Φόρμα Εισαγωγής'!$C$2,E4860)),MAX($D$1:D4859)+1,0)</f>
        <v>0</v>
      </c>
      <c r="H4860" s="6">
        <f t="shared" si="236"/>
        <v>0</v>
      </c>
      <c r="I4860" s="6">
        <f t="shared" si="237"/>
        <v>0</v>
      </c>
      <c r="J4860" s="6">
        <f t="shared" si="238"/>
        <v>0</v>
      </c>
      <c r="L4860" s="4" t="str">
        <f>IFERROR(VLOOKUP(ROWS($L$2:L4860),$B$2:$C$1996,2,0),"")</f>
        <v/>
      </c>
      <c r="N4860" s="2" t="str">
        <f>IFERROR(VLOOKUP(ROWS($N$2:N4860),$D$2:$E$1996,2,0),"")</f>
        <v/>
      </c>
    </row>
    <row r="4861" spans="2:14">
      <c r="B4861" s="32">
        <f>IF(ISNUMBER(SEARCH('Φόρμα Εισαγωγής'!$B$2,C4861)),MAX($B$1:B4860)+1,0)</f>
        <v>0</v>
      </c>
      <c r="D4861" s="33">
        <f>IF(ISNUMBER(SEARCH('Φόρμα Εισαγωγής'!$C$2,E4861)),MAX($D$1:D4860)+1,0)</f>
        <v>0</v>
      </c>
      <c r="H4861" s="6">
        <f t="shared" si="236"/>
        <v>0</v>
      </c>
      <c r="I4861" s="6">
        <f t="shared" si="237"/>
        <v>0</v>
      </c>
      <c r="J4861" s="6">
        <f t="shared" si="238"/>
        <v>0</v>
      </c>
      <c r="L4861" s="4" t="str">
        <f>IFERROR(VLOOKUP(ROWS($L$2:L4861),$B$2:$C$1996,2,0),"")</f>
        <v/>
      </c>
      <c r="N4861" s="2" t="str">
        <f>IFERROR(VLOOKUP(ROWS($N$2:N4861),$D$2:$E$1996,2,0),"")</f>
        <v/>
      </c>
    </row>
    <row r="4862" spans="2:14">
      <c r="B4862" s="32">
        <f>IF(ISNUMBER(SEARCH('Φόρμα Εισαγωγής'!$B$2,C4862)),MAX($B$1:B4861)+1,0)</f>
        <v>0</v>
      </c>
      <c r="D4862" s="33">
        <f>IF(ISNUMBER(SEARCH('Φόρμα Εισαγωγής'!$C$2,E4862)),MAX($D$1:D4861)+1,0)</f>
        <v>0</v>
      </c>
      <c r="H4862" s="6">
        <f t="shared" si="236"/>
        <v>0</v>
      </c>
      <c r="I4862" s="6">
        <f t="shared" si="237"/>
        <v>0</v>
      </c>
      <c r="J4862" s="6">
        <f t="shared" si="238"/>
        <v>0</v>
      </c>
      <c r="L4862" s="4" t="str">
        <f>IFERROR(VLOOKUP(ROWS($L$2:L4862),$B$2:$C$1996,2,0),"")</f>
        <v/>
      </c>
      <c r="N4862" s="2" t="str">
        <f>IFERROR(VLOOKUP(ROWS($N$2:N4862),$D$2:$E$1996,2,0),"")</f>
        <v/>
      </c>
    </row>
    <row r="4863" spans="2:14">
      <c r="B4863" s="32">
        <f>IF(ISNUMBER(SEARCH('Φόρμα Εισαγωγής'!$B$2,C4863)),MAX($B$1:B4862)+1,0)</f>
        <v>0</v>
      </c>
      <c r="D4863" s="33">
        <f>IF(ISNUMBER(SEARCH('Φόρμα Εισαγωγής'!$C$2,E4863)),MAX($D$1:D4862)+1,0)</f>
        <v>0</v>
      </c>
      <c r="H4863" s="6">
        <f t="shared" si="236"/>
        <v>0</v>
      </c>
      <c r="I4863" s="6">
        <f t="shared" si="237"/>
        <v>0</v>
      </c>
      <c r="J4863" s="6">
        <f t="shared" si="238"/>
        <v>0</v>
      </c>
      <c r="L4863" s="4" t="str">
        <f>IFERROR(VLOOKUP(ROWS($L$2:L4863),$B$2:$C$1996,2,0),"")</f>
        <v/>
      </c>
      <c r="N4863" s="2" t="str">
        <f>IFERROR(VLOOKUP(ROWS($N$2:N4863),$D$2:$E$1996,2,0),"")</f>
        <v/>
      </c>
    </row>
    <row r="4864" spans="2:14">
      <c r="B4864" s="32">
        <f>IF(ISNUMBER(SEARCH('Φόρμα Εισαγωγής'!$B$2,C4864)),MAX($B$1:B4863)+1,0)</f>
        <v>0</v>
      </c>
      <c r="D4864" s="33">
        <f>IF(ISNUMBER(SEARCH('Φόρμα Εισαγωγής'!$C$2,E4864)),MAX($D$1:D4863)+1,0)</f>
        <v>0</v>
      </c>
      <c r="H4864" s="6">
        <f t="shared" ref="H4864:H4927" si="239">G4864+(G4864*0.24)</f>
        <v>0</v>
      </c>
      <c r="I4864" s="6">
        <f t="shared" ref="I4864:I4927" si="240">F4864*A4864</f>
        <v>0</v>
      </c>
      <c r="J4864" s="6">
        <f t="shared" ref="J4864:J4927" si="241">H4864*A4864</f>
        <v>0</v>
      </c>
      <c r="L4864" s="4" t="str">
        <f>IFERROR(VLOOKUP(ROWS($L$2:L4864),$B$2:$C$1996,2,0),"")</f>
        <v/>
      </c>
      <c r="N4864" s="2" t="str">
        <f>IFERROR(VLOOKUP(ROWS($N$2:N4864),$D$2:$E$1996,2,0),"")</f>
        <v/>
      </c>
    </row>
    <row r="4865" spans="2:14">
      <c r="B4865" s="32">
        <f>IF(ISNUMBER(SEARCH('Φόρμα Εισαγωγής'!$B$2,C4865)),MAX($B$1:B4864)+1,0)</f>
        <v>0</v>
      </c>
      <c r="D4865" s="33">
        <f>IF(ISNUMBER(SEARCH('Φόρμα Εισαγωγής'!$C$2,E4865)),MAX($D$1:D4864)+1,0)</f>
        <v>0</v>
      </c>
      <c r="H4865" s="6">
        <f t="shared" si="239"/>
        <v>0</v>
      </c>
      <c r="I4865" s="6">
        <f t="shared" si="240"/>
        <v>0</v>
      </c>
      <c r="J4865" s="6">
        <f t="shared" si="241"/>
        <v>0</v>
      </c>
      <c r="L4865" s="4" t="str">
        <f>IFERROR(VLOOKUP(ROWS($L$2:L4865),$B$2:$C$1996,2,0),"")</f>
        <v/>
      </c>
      <c r="N4865" s="2" t="str">
        <f>IFERROR(VLOOKUP(ROWS($N$2:N4865),$D$2:$E$1996,2,0),"")</f>
        <v/>
      </c>
    </row>
    <row r="4866" spans="2:14">
      <c r="B4866" s="32">
        <f>IF(ISNUMBER(SEARCH('Φόρμα Εισαγωγής'!$B$2,C4866)),MAX($B$1:B4865)+1,0)</f>
        <v>0</v>
      </c>
      <c r="D4866" s="33">
        <f>IF(ISNUMBER(SEARCH('Φόρμα Εισαγωγής'!$C$2,E4866)),MAX($D$1:D4865)+1,0)</f>
        <v>0</v>
      </c>
      <c r="H4866" s="6">
        <f t="shared" si="239"/>
        <v>0</v>
      </c>
      <c r="I4866" s="6">
        <f t="shared" si="240"/>
        <v>0</v>
      </c>
      <c r="J4866" s="6">
        <f t="shared" si="241"/>
        <v>0</v>
      </c>
      <c r="L4866" s="4" t="str">
        <f>IFERROR(VLOOKUP(ROWS($L$2:L4866),$B$2:$C$1996,2,0),"")</f>
        <v/>
      </c>
      <c r="N4866" s="2" t="str">
        <f>IFERROR(VLOOKUP(ROWS($N$2:N4866),$D$2:$E$1996,2,0),"")</f>
        <v/>
      </c>
    </row>
    <row r="4867" spans="2:14">
      <c r="B4867" s="32">
        <f>IF(ISNUMBER(SEARCH('Φόρμα Εισαγωγής'!$B$2,C4867)),MAX($B$1:B4866)+1,0)</f>
        <v>0</v>
      </c>
      <c r="D4867" s="33">
        <f>IF(ISNUMBER(SEARCH('Φόρμα Εισαγωγής'!$C$2,E4867)),MAX($D$1:D4866)+1,0)</f>
        <v>0</v>
      </c>
      <c r="H4867" s="6">
        <f t="shared" si="239"/>
        <v>0</v>
      </c>
      <c r="I4867" s="6">
        <f t="shared" si="240"/>
        <v>0</v>
      </c>
      <c r="J4867" s="6">
        <f t="shared" si="241"/>
        <v>0</v>
      </c>
      <c r="L4867" s="4" t="str">
        <f>IFERROR(VLOOKUP(ROWS($L$2:L4867),$B$2:$C$1996,2,0),"")</f>
        <v/>
      </c>
      <c r="N4867" s="2" t="str">
        <f>IFERROR(VLOOKUP(ROWS($N$2:N4867),$D$2:$E$1996,2,0),"")</f>
        <v/>
      </c>
    </row>
    <row r="4868" spans="2:14">
      <c r="B4868" s="32">
        <f>IF(ISNUMBER(SEARCH('Φόρμα Εισαγωγής'!$B$2,C4868)),MAX($B$1:B4867)+1,0)</f>
        <v>0</v>
      </c>
      <c r="D4868" s="33">
        <f>IF(ISNUMBER(SEARCH('Φόρμα Εισαγωγής'!$C$2,E4868)),MAX($D$1:D4867)+1,0)</f>
        <v>0</v>
      </c>
      <c r="H4868" s="6">
        <f t="shared" si="239"/>
        <v>0</v>
      </c>
      <c r="I4868" s="6">
        <f t="shared" si="240"/>
        <v>0</v>
      </c>
      <c r="J4868" s="6">
        <f t="shared" si="241"/>
        <v>0</v>
      </c>
      <c r="L4868" s="4" t="str">
        <f>IFERROR(VLOOKUP(ROWS($L$2:L4868),$B$2:$C$1996,2,0),"")</f>
        <v/>
      </c>
      <c r="N4868" s="2" t="str">
        <f>IFERROR(VLOOKUP(ROWS($N$2:N4868),$D$2:$E$1996,2,0),"")</f>
        <v/>
      </c>
    </row>
    <row r="4869" spans="2:14">
      <c r="B4869" s="32">
        <f>IF(ISNUMBER(SEARCH('Φόρμα Εισαγωγής'!$B$2,C4869)),MAX($B$1:B4868)+1,0)</f>
        <v>0</v>
      </c>
      <c r="D4869" s="33">
        <f>IF(ISNUMBER(SEARCH('Φόρμα Εισαγωγής'!$C$2,E4869)),MAX($D$1:D4868)+1,0)</f>
        <v>0</v>
      </c>
      <c r="H4869" s="6">
        <f t="shared" si="239"/>
        <v>0</v>
      </c>
      <c r="I4869" s="6">
        <f t="shared" si="240"/>
        <v>0</v>
      </c>
      <c r="J4869" s="6">
        <f t="shared" si="241"/>
        <v>0</v>
      </c>
      <c r="L4869" s="4" t="str">
        <f>IFERROR(VLOOKUP(ROWS($L$2:L4869),$B$2:$C$1996,2,0),"")</f>
        <v/>
      </c>
      <c r="N4869" s="2" t="str">
        <f>IFERROR(VLOOKUP(ROWS($N$2:N4869),$D$2:$E$1996,2,0),"")</f>
        <v/>
      </c>
    </row>
    <row r="4870" spans="2:14">
      <c r="B4870" s="32">
        <f>IF(ISNUMBER(SEARCH('Φόρμα Εισαγωγής'!$B$2,C4870)),MAX($B$1:B4869)+1,0)</f>
        <v>0</v>
      </c>
      <c r="D4870" s="33">
        <f>IF(ISNUMBER(SEARCH('Φόρμα Εισαγωγής'!$C$2,E4870)),MAX($D$1:D4869)+1,0)</f>
        <v>0</v>
      </c>
      <c r="H4870" s="6">
        <f t="shared" si="239"/>
        <v>0</v>
      </c>
      <c r="I4870" s="6">
        <f t="shared" si="240"/>
        <v>0</v>
      </c>
      <c r="J4870" s="6">
        <f t="shared" si="241"/>
        <v>0</v>
      </c>
      <c r="L4870" s="4" t="str">
        <f>IFERROR(VLOOKUP(ROWS($L$2:L4870),$B$2:$C$1996,2,0),"")</f>
        <v/>
      </c>
      <c r="N4870" s="2" t="str">
        <f>IFERROR(VLOOKUP(ROWS($N$2:N4870),$D$2:$E$1996,2,0),"")</f>
        <v/>
      </c>
    </row>
    <row r="4871" spans="2:14">
      <c r="B4871" s="32">
        <f>IF(ISNUMBER(SEARCH('Φόρμα Εισαγωγής'!$B$2,C4871)),MAX($B$1:B4870)+1,0)</f>
        <v>0</v>
      </c>
      <c r="D4871" s="33">
        <f>IF(ISNUMBER(SEARCH('Φόρμα Εισαγωγής'!$C$2,E4871)),MAX($D$1:D4870)+1,0)</f>
        <v>0</v>
      </c>
      <c r="H4871" s="6">
        <f t="shared" si="239"/>
        <v>0</v>
      </c>
      <c r="I4871" s="6">
        <f t="shared" si="240"/>
        <v>0</v>
      </c>
      <c r="J4871" s="6">
        <f t="shared" si="241"/>
        <v>0</v>
      </c>
      <c r="L4871" s="4" t="str">
        <f>IFERROR(VLOOKUP(ROWS($L$2:L4871),$B$2:$C$1996,2,0),"")</f>
        <v/>
      </c>
      <c r="N4871" s="2" t="str">
        <f>IFERROR(VLOOKUP(ROWS($N$2:N4871),$D$2:$E$1996,2,0),"")</f>
        <v/>
      </c>
    </row>
    <row r="4872" spans="2:14">
      <c r="B4872" s="32">
        <f>IF(ISNUMBER(SEARCH('Φόρμα Εισαγωγής'!$B$2,C4872)),MAX($B$1:B4871)+1,0)</f>
        <v>0</v>
      </c>
      <c r="D4872" s="33">
        <f>IF(ISNUMBER(SEARCH('Φόρμα Εισαγωγής'!$C$2,E4872)),MAX($D$1:D4871)+1,0)</f>
        <v>0</v>
      </c>
      <c r="H4872" s="6">
        <f t="shared" si="239"/>
        <v>0</v>
      </c>
      <c r="I4872" s="6">
        <f t="shared" si="240"/>
        <v>0</v>
      </c>
      <c r="J4872" s="6">
        <f t="shared" si="241"/>
        <v>0</v>
      </c>
      <c r="L4872" s="4" t="str">
        <f>IFERROR(VLOOKUP(ROWS($L$2:L4872),$B$2:$C$1996,2,0),"")</f>
        <v/>
      </c>
      <c r="N4872" s="2" t="str">
        <f>IFERROR(VLOOKUP(ROWS($N$2:N4872),$D$2:$E$1996,2,0),"")</f>
        <v/>
      </c>
    </row>
    <row r="4873" spans="2:14">
      <c r="B4873" s="32">
        <f>IF(ISNUMBER(SEARCH('Φόρμα Εισαγωγής'!$B$2,C4873)),MAX($B$1:B4872)+1,0)</f>
        <v>0</v>
      </c>
      <c r="D4873" s="33">
        <f>IF(ISNUMBER(SEARCH('Φόρμα Εισαγωγής'!$C$2,E4873)),MAX($D$1:D4872)+1,0)</f>
        <v>0</v>
      </c>
      <c r="H4873" s="6">
        <f t="shared" si="239"/>
        <v>0</v>
      </c>
      <c r="I4873" s="6">
        <f t="shared" si="240"/>
        <v>0</v>
      </c>
      <c r="J4873" s="6">
        <f t="shared" si="241"/>
        <v>0</v>
      </c>
      <c r="L4873" s="4" t="str">
        <f>IFERROR(VLOOKUP(ROWS($L$2:L4873),$B$2:$C$1996,2,0),"")</f>
        <v/>
      </c>
      <c r="N4873" s="2" t="str">
        <f>IFERROR(VLOOKUP(ROWS($N$2:N4873),$D$2:$E$1996,2,0),"")</f>
        <v/>
      </c>
    </row>
    <row r="4874" spans="2:14">
      <c r="B4874" s="32">
        <f>IF(ISNUMBER(SEARCH('Φόρμα Εισαγωγής'!$B$2,C4874)),MAX($B$1:B4873)+1,0)</f>
        <v>0</v>
      </c>
      <c r="D4874" s="33">
        <f>IF(ISNUMBER(SEARCH('Φόρμα Εισαγωγής'!$C$2,E4874)),MAX($D$1:D4873)+1,0)</f>
        <v>0</v>
      </c>
      <c r="H4874" s="6">
        <f t="shared" si="239"/>
        <v>0</v>
      </c>
      <c r="I4874" s="6">
        <f t="shared" si="240"/>
        <v>0</v>
      </c>
      <c r="J4874" s="6">
        <f t="shared" si="241"/>
        <v>0</v>
      </c>
      <c r="L4874" s="4" t="str">
        <f>IFERROR(VLOOKUP(ROWS($L$2:L4874),$B$2:$C$1996,2,0),"")</f>
        <v/>
      </c>
      <c r="N4874" s="2" t="str">
        <f>IFERROR(VLOOKUP(ROWS($N$2:N4874),$D$2:$E$1996,2,0),"")</f>
        <v/>
      </c>
    </row>
    <row r="4875" spans="2:14">
      <c r="B4875" s="32">
        <f>IF(ISNUMBER(SEARCH('Φόρμα Εισαγωγής'!$B$2,C4875)),MAX($B$1:B4874)+1,0)</f>
        <v>0</v>
      </c>
      <c r="D4875" s="33">
        <f>IF(ISNUMBER(SEARCH('Φόρμα Εισαγωγής'!$C$2,E4875)),MAX($D$1:D4874)+1,0)</f>
        <v>0</v>
      </c>
      <c r="H4875" s="6">
        <f t="shared" si="239"/>
        <v>0</v>
      </c>
      <c r="I4875" s="6">
        <f t="shared" si="240"/>
        <v>0</v>
      </c>
      <c r="J4875" s="6">
        <f t="shared" si="241"/>
        <v>0</v>
      </c>
      <c r="L4875" s="4" t="str">
        <f>IFERROR(VLOOKUP(ROWS($L$2:L4875),$B$2:$C$1996,2,0),"")</f>
        <v/>
      </c>
      <c r="N4875" s="2" t="str">
        <f>IFERROR(VLOOKUP(ROWS($N$2:N4875),$D$2:$E$1996,2,0),"")</f>
        <v/>
      </c>
    </row>
    <row r="4876" spans="2:14">
      <c r="B4876" s="32">
        <f>IF(ISNUMBER(SEARCH('Φόρμα Εισαγωγής'!$B$2,C4876)),MAX($B$1:B4875)+1,0)</f>
        <v>0</v>
      </c>
      <c r="D4876" s="33">
        <f>IF(ISNUMBER(SEARCH('Φόρμα Εισαγωγής'!$C$2,E4876)),MAX($D$1:D4875)+1,0)</f>
        <v>0</v>
      </c>
      <c r="H4876" s="6">
        <f t="shared" si="239"/>
        <v>0</v>
      </c>
      <c r="I4876" s="6">
        <f t="shared" si="240"/>
        <v>0</v>
      </c>
      <c r="J4876" s="6">
        <f t="shared" si="241"/>
        <v>0</v>
      </c>
      <c r="L4876" s="4" t="str">
        <f>IFERROR(VLOOKUP(ROWS($L$2:L4876),$B$2:$C$1996,2,0),"")</f>
        <v/>
      </c>
      <c r="N4876" s="2" t="str">
        <f>IFERROR(VLOOKUP(ROWS($N$2:N4876),$D$2:$E$1996,2,0),"")</f>
        <v/>
      </c>
    </row>
    <row r="4877" spans="2:14">
      <c r="B4877" s="32">
        <f>IF(ISNUMBER(SEARCH('Φόρμα Εισαγωγής'!$B$2,C4877)),MAX($B$1:B4876)+1,0)</f>
        <v>0</v>
      </c>
      <c r="D4877" s="33">
        <f>IF(ISNUMBER(SEARCH('Φόρμα Εισαγωγής'!$C$2,E4877)),MAX($D$1:D4876)+1,0)</f>
        <v>0</v>
      </c>
      <c r="H4877" s="6">
        <f t="shared" si="239"/>
        <v>0</v>
      </c>
      <c r="I4877" s="6">
        <f t="shared" si="240"/>
        <v>0</v>
      </c>
      <c r="J4877" s="6">
        <f t="shared" si="241"/>
        <v>0</v>
      </c>
      <c r="L4877" s="4" t="str">
        <f>IFERROR(VLOOKUP(ROWS($L$2:L4877),$B$2:$C$1996,2,0),"")</f>
        <v/>
      </c>
      <c r="N4877" s="2" t="str">
        <f>IFERROR(VLOOKUP(ROWS($N$2:N4877),$D$2:$E$1996,2,0),"")</f>
        <v/>
      </c>
    </row>
    <row r="4878" spans="2:14">
      <c r="B4878" s="32">
        <f>IF(ISNUMBER(SEARCH('Φόρμα Εισαγωγής'!$B$2,C4878)),MAX($B$1:B4877)+1,0)</f>
        <v>0</v>
      </c>
      <c r="D4878" s="33">
        <f>IF(ISNUMBER(SEARCH('Φόρμα Εισαγωγής'!$C$2,E4878)),MAX($D$1:D4877)+1,0)</f>
        <v>0</v>
      </c>
      <c r="H4878" s="6">
        <f t="shared" si="239"/>
        <v>0</v>
      </c>
      <c r="I4878" s="6">
        <f t="shared" si="240"/>
        <v>0</v>
      </c>
      <c r="J4878" s="6">
        <f t="shared" si="241"/>
        <v>0</v>
      </c>
      <c r="L4878" s="4" t="str">
        <f>IFERROR(VLOOKUP(ROWS($L$2:L4878),$B$2:$C$1996,2,0),"")</f>
        <v/>
      </c>
      <c r="N4878" s="2" t="str">
        <f>IFERROR(VLOOKUP(ROWS($N$2:N4878),$D$2:$E$1996,2,0),"")</f>
        <v/>
      </c>
    </row>
    <row r="4879" spans="2:14">
      <c r="B4879" s="32">
        <f>IF(ISNUMBER(SEARCH('Φόρμα Εισαγωγής'!$B$2,C4879)),MAX($B$1:B4878)+1,0)</f>
        <v>0</v>
      </c>
      <c r="D4879" s="33">
        <f>IF(ISNUMBER(SEARCH('Φόρμα Εισαγωγής'!$C$2,E4879)),MAX($D$1:D4878)+1,0)</f>
        <v>0</v>
      </c>
      <c r="H4879" s="6">
        <f t="shared" si="239"/>
        <v>0</v>
      </c>
      <c r="I4879" s="6">
        <f t="shared" si="240"/>
        <v>0</v>
      </c>
      <c r="J4879" s="6">
        <f t="shared" si="241"/>
        <v>0</v>
      </c>
      <c r="L4879" s="4" t="str">
        <f>IFERROR(VLOOKUP(ROWS($L$2:L4879),$B$2:$C$1996,2,0),"")</f>
        <v/>
      </c>
      <c r="N4879" s="2" t="str">
        <f>IFERROR(VLOOKUP(ROWS($N$2:N4879),$D$2:$E$1996,2,0),"")</f>
        <v/>
      </c>
    </row>
    <row r="4880" spans="2:14">
      <c r="B4880" s="32">
        <f>IF(ISNUMBER(SEARCH('Φόρμα Εισαγωγής'!$B$2,C4880)),MAX($B$1:B4879)+1,0)</f>
        <v>0</v>
      </c>
      <c r="D4880" s="33">
        <f>IF(ISNUMBER(SEARCH('Φόρμα Εισαγωγής'!$C$2,E4880)),MAX($D$1:D4879)+1,0)</f>
        <v>0</v>
      </c>
      <c r="H4880" s="6">
        <f t="shared" si="239"/>
        <v>0</v>
      </c>
      <c r="I4880" s="6">
        <f t="shared" si="240"/>
        <v>0</v>
      </c>
      <c r="J4880" s="6">
        <f t="shared" si="241"/>
        <v>0</v>
      </c>
      <c r="L4880" s="4" t="str">
        <f>IFERROR(VLOOKUP(ROWS($L$2:L4880),$B$2:$C$1996,2,0),"")</f>
        <v/>
      </c>
      <c r="N4880" s="2" t="str">
        <f>IFERROR(VLOOKUP(ROWS($N$2:N4880),$D$2:$E$1996,2,0),"")</f>
        <v/>
      </c>
    </row>
    <row r="4881" spans="2:14">
      <c r="B4881" s="32">
        <f>IF(ISNUMBER(SEARCH('Φόρμα Εισαγωγής'!$B$2,C4881)),MAX($B$1:B4880)+1,0)</f>
        <v>0</v>
      </c>
      <c r="D4881" s="33">
        <f>IF(ISNUMBER(SEARCH('Φόρμα Εισαγωγής'!$C$2,E4881)),MAX($D$1:D4880)+1,0)</f>
        <v>0</v>
      </c>
      <c r="H4881" s="6">
        <f t="shared" si="239"/>
        <v>0</v>
      </c>
      <c r="I4881" s="6">
        <f t="shared" si="240"/>
        <v>0</v>
      </c>
      <c r="J4881" s="6">
        <f t="shared" si="241"/>
        <v>0</v>
      </c>
      <c r="L4881" s="4" t="str">
        <f>IFERROR(VLOOKUP(ROWS($L$2:L4881),$B$2:$C$1996,2,0),"")</f>
        <v/>
      </c>
      <c r="N4881" s="2" t="str">
        <f>IFERROR(VLOOKUP(ROWS($N$2:N4881),$D$2:$E$1996,2,0),"")</f>
        <v/>
      </c>
    </row>
    <row r="4882" spans="2:14">
      <c r="B4882" s="32">
        <f>IF(ISNUMBER(SEARCH('Φόρμα Εισαγωγής'!$B$2,C4882)),MAX($B$1:B4881)+1,0)</f>
        <v>0</v>
      </c>
      <c r="D4882" s="33">
        <f>IF(ISNUMBER(SEARCH('Φόρμα Εισαγωγής'!$C$2,E4882)),MAX($D$1:D4881)+1,0)</f>
        <v>0</v>
      </c>
      <c r="H4882" s="6">
        <f t="shared" si="239"/>
        <v>0</v>
      </c>
      <c r="I4882" s="6">
        <f t="shared" si="240"/>
        <v>0</v>
      </c>
      <c r="J4882" s="6">
        <f t="shared" si="241"/>
        <v>0</v>
      </c>
      <c r="L4882" s="4" t="str">
        <f>IFERROR(VLOOKUP(ROWS($L$2:L4882),$B$2:$C$1996,2,0),"")</f>
        <v/>
      </c>
      <c r="N4882" s="2" t="str">
        <f>IFERROR(VLOOKUP(ROWS($N$2:N4882),$D$2:$E$1996,2,0),"")</f>
        <v/>
      </c>
    </row>
    <row r="4883" spans="2:14">
      <c r="B4883" s="32">
        <f>IF(ISNUMBER(SEARCH('Φόρμα Εισαγωγής'!$B$2,C4883)),MAX($B$1:B4882)+1,0)</f>
        <v>0</v>
      </c>
      <c r="D4883" s="33">
        <f>IF(ISNUMBER(SEARCH('Φόρμα Εισαγωγής'!$C$2,E4883)),MAX($D$1:D4882)+1,0)</f>
        <v>0</v>
      </c>
      <c r="H4883" s="6">
        <f t="shared" si="239"/>
        <v>0</v>
      </c>
      <c r="I4883" s="6">
        <f t="shared" si="240"/>
        <v>0</v>
      </c>
      <c r="J4883" s="6">
        <f t="shared" si="241"/>
        <v>0</v>
      </c>
      <c r="L4883" s="4" t="str">
        <f>IFERROR(VLOOKUP(ROWS($L$2:L4883),$B$2:$C$1996,2,0),"")</f>
        <v/>
      </c>
      <c r="N4883" s="2" t="str">
        <f>IFERROR(VLOOKUP(ROWS($N$2:N4883),$D$2:$E$1996,2,0),"")</f>
        <v/>
      </c>
    </row>
    <row r="4884" spans="2:14">
      <c r="B4884" s="32">
        <f>IF(ISNUMBER(SEARCH('Φόρμα Εισαγωγής'!$B$2,C4884)),MAX($B$1:B4883)+1,0)</f>
        <v>0</v>
      </c>
      <c r="D4884" s="33">
        <f>IF(ISNUMBER(SEARCH('Φόρμα Εισαγωγής'!$C$2,E4884)),MAX($D$1:D4883)+1,0)</f>
        <v>0</v>
      </c>
      <c r="H4884" s="6">
        <f t="shared" si="239"/>
        <v>0</v>
      </c>
      <c r="I4884" s="6">
        <f t="shared" si="240"/>
        <v>0</v>
      </c>
      <c r="J4884" s="6">
        <f t="shared" si="241"/>
        <v>0</v>
      </c>
      <c r="L4884" s="4" t="str">
        <f>IFERROR(VLOOKUP(ROWS($L$2:L4884),$B$2:$C$1996,2,0),"")</f>
        <v/>
      </c>
      <c r="N4884" s="2" t="str">
        <f>IFERROR(VLOOKUP(ROWS($N$2:N4884),$D$2:$E$1996,2,0),"")</f>
        <v/>
      </c>
    </row>
    <row r="4885" spans="2:14">
      <c r="B4885" s="32">
        <f>IF(ISNUMBER(SEARCH('Φόρμα Εισαγωγής'!$B$2,C4885)),MAX($B$1:B4884)+1,0)</f>
        <v>0</v>
      </c>
      <c r="D4885" s="33">
        <f>IF(ISNUMBER(SEARCH('Φόρμα Εισαγωγής'!$C$2,E4885)),MAX($D$1:D4884)+1,0)</f>
        <v>0</v>
      </c>
      <c r="H4885" s="6">
        <f t="shared" si="239"/>
        <v>0</v>
      </c>
      <c r="I4885" s="6">
        <f t="shared" si="240"/>
        <v>0</v>
      </c>
      <c r="J4885" s="6">
        <f t="shared" si="241"/>
        <v>0</v>
      </c>
      <c r="L4885" s="4" t="str">
        <f>IFERROR(VLOOKUP(ROWS($L$2:L4885),$B$2:$C$1996,2,0),"")</f>
        <v/>
      </c>
      <c r="N4885" s="2" t="str">
        <f>IFERROR(VLOOKUP(ROWS($N$2:N4885),$D$2:$E$1996,2,0),"")</f>
        <v/>
      </c>
    </row>
    <row r="4886" spans="2:14">
      <c r="B4886" s="32">
        <f>IF(ISNUMBER(SEARCH('Φόρμα Εισαγωγής'!$B$2,C4886)),MAX($B$1:B4885)+1,0)</f>
        <v>0</v>
      </c>
      <c r="D4886" s="33">
        <f>IF(ISNUMBER(SEARCH('Φόρμα Εισαγωγής'!$C$2,E4886)),MAX($D$1:D4885)+1,0)</f>
        <v>0</v>
      </c>
      <c r="H4886" s="6">
        <f t="shared" si="239"/>
        <v>0</v>
      </c>
      <c r="I4886" s="6">
        <f t="shared" si="240"/>
        <v>0</v>
      </c>
      <c r="J4886" s="6">
        <f t="shared" si="241"/>
        <v>0</v>
      </c>
      <c r="L4886" s="4" t="str">
        <f>IFERROR(VLOOKUP(ROWS($L$2:L4886),$B$2:$C$1996,2,0),"")</f>
        <v/>
      </c>
      <c r="N4886" s="2" t="str">
        <f>IFERROR(VLOOKUP(ROWS($N$2:N4886),$D$2:$E$1996,2,0),"")</f>
        <v/>
      </c>
    </row>
    <row r="4887" spans="2:14">
      <c r="B4887" s="32">
        <f>IF(ISNUMBER(SEARCH('Φόρμα Εισαγωγής'!$B$2,C4887)),MAX($B$1:B4886)+1,0)</f>
        <v>0</v>
      </c>
      <c r="D4887" s="33">
        <f>IF(ISNUMBER(SEARCH('Φόρμα Εισαγωγής'!$C$2,E4887)),MAX($D$1:D4886)+1,0)</f>
        <v>0</v>
      </c>
      <c r="H4887" s="6">
        <f t="shared" si="239"/>
        <v>0</v>
      </c>
      <c r="I4887" s="6">
        <f t="shared" si="240"/>
        <v>0</v>
      </c>
      <c r="J4887" s="6">
        <f t="shared" si="241"/>
        <v>0</v>
      </c>
      <c r="L4887" s="4" t="str">
        <f>IFERROR(VLOOKUP(ROWS($L$2:L4887),$B$2:$C$1996,2,0),"")</f>
        <v/>
      </c>
      <c r="N4887" s="2" t="str">
        <f>IFERROR(VLOOKUP(ROWS($N$2:N4887),$D$2:$E$1996,2,0),"")</f>
        <v/>
      </c>
    </row>
    <row r="4888" spans="2:14">
      <c r="B4888" s="32">
        <f>IF(ISNUMBER(SEARCH('Φόρμα Εισαγωγής'!$B$2,C4888)),MAX($B$1:B4887)+1,0)</f>
        <v>0</v>
      </c>
      <c r="D4888" s="33">
        <f>IF(ISNUMBER(SEARCH('Φόρμα Εισαγωγής'!$C$2,E4888)),MAX($D$1:D4887)+1,0)</f>
        <v>0</v>
      </c>
      <c r="H4888" s="6">
        <f t="shared" si="239"/>
        <v>0</v>
      </c>
      <c r="I4888" s="6">
        <f t="shared" si="240"/>
        <v>0</v>
      </c>
      <c r="J4888" s="6">
        <f t="shared" si="241"/>
        <v>0</v>
      </c>
      <c r="L4888" s="4" t="str">
        <f>IFERROR(VLOOKUP(ROWS($L$2:L4888),$B$2:$C$1996,2,0),"")</f>
        <v/>
      </c>
      <c r="N4888" s="2" t="str">
        <f>IFERROR(VLOOKUP(ROWS($N$2:N4888),$D$2:$E$1996,2,0),"")</f>
        <v/>
      </c>
    </row>
    <row r="4889" spans="2:14">
      <c r="B4889" s="32">
        <f>IF(ISNUMBER(SEARCH('Φόρμα Εισαγωγής'!$B$2,C4889)),MAX($B$1:B4888)+1,0)</f>
        <v>0</v>
      </c>
      <c r="D4889" s="33">
        <f>IF(ISNUMBER(SEARCH('Φόρμα Εισαγωγής'!$C$2,E4889)),MAX($D$1:D4888)+1,0)</f>
        <v>0</v>
      </c>
      <c r="H4889" s="6">
        <f t="shared" si="239"/>
        <v>0</v>
      </c>
      <c r="I4889" s="6">
        <f t="shared" si="240"/>
        <v>0</v>
      </c>
      <c r="J4889" s="6">
        <f t="shared" si="241"/>
        <v>0</v>
      </c>
      <c r="L4889" s="4" t="str">
        <f>IFERROR(VLOOKUP(ROWS($L$2:L4889),$B$2:$C$1996,2,0),"")</f>
        <v/>
      </c>
      <c r="N4889" s="2" t="str">
        <f>IFERROR(VLOOKUP(ROWS($N$2:N4889),$D$2:$E$1996,2,0),"")</f>
        <v/>
      </c>
    </row>
    <row r="4890" spans="2:14">
      <c r="B4890" s="32">
        <f>IF(ISNUMBER(SEARCH('Φόρμα Εισαγωγής'!$B$2,C4890)),MAX($B$1:B4889)+1,0)</f>
        <v>0</v>
      </c>
      <c r="D4890" s="33">
        <f>IF(ISNUMBER(SEARCH('Φόρμα Εισαγωγής'!$C$2,E4890)),MAX($D$1:D4889)+1,0)</f>
        <v>0</v>
      </c>
      <c r="H4890" s="6">
        <f t="shared" si="239"/>
        <v>0</v>
      </c>
      <c r="I4890" s="6">
        <f t="shared" si="240"/>
        <v>0</v>
      </c>
      <c r="J4890" s="6">
        <f t="shared" si="241"/>
        <v>0</v>
      </c>
      <c r="L4890" s="4" t="str">
        <f>IFERROR(VLOOKUP(ROWS($L$2:L4890),$B$2:$C$1996,2,0),"")</f>
        <v/>
      </c>
      <c r="N4890" s="2" t="str">
        <f>IFERROR(VLOOKUP(ROWS($N$2:N4890),$D$2:$E$1996,2,0),"")</f>
        <v/>
      </c>
    </row>
    <row r="4891" spans="2:14">
      <c r="B4891" s="32">
        <f>IF(ISNUMBER(SEARCH('Φόρμα Εισαγωγής'!$B$2,C4891)),MAX($B$1:B4890)+1,0)</f>
        <v>0</v>
      </c>
      <c r="D4891" s="33">
        <f>IF(ISNUMBER(SEARCH('Φόρμα Εισαγωγής'!$C$2,E4891)),MAX($D$1:D4890)+1,0)</f>
        <v>0</v>
      </c>
      <c r="H4891" s="6">
        <f t="shared" si="239"/>
        <v>0</v>
      </c>
      <c r="I4891" s="6">
        <f t="shared" si="240"/>
        <v>0</v>
      </c>
      <c r="J4891" s="6">
        <f t="shared" si="241"/>
        <v>0</v>
      </c>
      <c r="L4891" s="4" t="str">
        <f>IFERROR(VLOOKUP(ROWS($L$2:L4891),$B$2:$C$1996,2,0),"")</f>
        <v/>
      </c>
      <c r="N4891" s="2" t="str">
        <f>IFERROR(VLOOKUP(ROWS($N$2:N4891),$D$2:$E$1996,2,0),"")</f>
        <v/>
      </c>
    </row>
    <row r="4892" spans="2:14">
      <c r="B4892" s="32">
        <f>IF(ISNUMBER(SEARCH('Φόρμα Εισαγωγής'!$B$2,C4892)),MAX($B$1:B4891)+1,0)</f>
        <v>0</v>
      </c>
      <c r="D4892" s="33">
        <f>IF(ISNUMBER(SEARCH('Φόρμα Εισαγωγής'!$C$2,E4892)),MAX($D$1:D4891)+1,0)</f>
        <v>0</v>
      </c>
      <c r="H4892" s="6">
        <f t="shared" si="239"/>
        <v>0</v>
      </c>
      <c r="I4892" s="6">
        <f t="shared" si="240"/>
        <v>0</v>
      </c>
      <c r="J4892" s="6">
        <f t="shared" si="241"/>
        <v>0</v>
      </c>
      <c r="L4892" s="4" t="str">
        <f>IFERROR(VLOOKUP(ROWS($L$2:L4892),$B$2:$C$1996,2,0),"")</f>
        <v/>
      </c>
      <c r="N4892" s="2" t="str">
        <f>IFERROR(VLOOKUP(ROWS($N$2:N4892),$D$2:$E$1996,2,0),"")</f>
        <v/>
      </c>
    </row>
    <row r="4893" spans="2:14">
      <c r="B4893" s="32">
        <f>IF(ISNUMBER(SEARCH('Φόρμα Εισαγωγής'!$B$2,C4893)),MAX($B$1:B4892)+1,0)</f>
        <v>0</v>
      </c>
      <c r="D4893" s="33">
        <f>IF(ISNUMBER(SEARCH('Φόρμα Εισαγωγής'!$C$2,E4893)),MAX($D$1:D4892)+1,0)</f>
        <v>0</v>
      </c>
      <c r="H4893" s="6">
        <f t="shared" si="239"/>
        <v>0</v>
      </c>
      <c r="I4893" s="6">
        <f t="shared" si="240"/>
        <v>0</v>
      </c>
      <c r="J4893" s="6">
        <f t="shared" si="241"/>
        <v>0</v>
      </c>
      <c r="L4893" s="4" t="str">
        <f>IFERROR(VLOOKUP(ROWS($L$2:L4893),$B$2:$C$1996,2,0),"")</f>
        <v/>
      </c>
      <c r="N4893" s="2" t="str">
        <f>IFERROR(VLOOKUP(ROWS($N$2:N4893),$D$2:$E$1996,2,0),"")</f>
        <v/>
      </c>
    </row>
    <row r="4894" spans="2:14">
      <c r="B4894" s="32">
        <f>IF(ISNUMBER(SEARCH('Φόρμα Εισαγωγής'!$B$2,C4894)),MAX($B$1:B4893)+1,0)</f>
        <v>0</v>
      </c>
      <c r="D4894" s="33">
        <f>IF(ISNUMBER(SEARCH('Φόρμα Εισαγωγής'!$C$2,E4894)),MAX($D$1:D4893)+1,0)</f>
        <v>0</v>
      </c>
      <c r="H4894" s="6">
        <f t="shared" si="239"/>
        <v>0</v>
      </c>
      <c r="I4894" s="6">
        <f t="shared" si="240"/>
        <v>0</v>
      </c>
      <c r="J4894" s="6">
        <f t="shared" si="241"/>
        <v>0</v>
      </c>
      <c r="L4894" s="4" t="str">
        <f>IFERROR(VLOOKUP(ROWS($L$2:L4894),$B$2:$C$1996,2,0),"")</f>
        <v/>
      </c>
      <c r="N4894" s="2" t="str">
        <f>IFERROR(VLOOKUP(ROWS($N$2:N4894),$D$2:$E$1996,2,0),"")</f>
        <v/>
      </c>
    </row>
    <row r="4895" spans="2:14">
      <c r="B4895" s="32">
        <f>IF(ISNUMBER(SEARCH('Φόρμα Εισαγωγής'!$B$2,C4895)),MAX($B$1:B4894)+1,0)</f>
        <v>0</v>
      </c>
      <c r="D4895" s="33">
        <f>IF(ISNUMBER(SEARCH('Φόρμα Εισαγωγής'!$C$2,E4895)),MAX($D$1:D4894)+1,0)</f>
        <v>0</v>
      </c>
      <c r="H4895" s="6">
        <f t="shared" si="239"/>
        <v>0</v>
      </c>
      <c r="I4895" s="6">
        <f t="shared" si="240"/>
        <v>0</v>
      </c>
      <c r="J4895" s="6">
        <f t="shared" si="241"/>
        <v>0</v>
      </c>
      <c r="L4895" s="4" t="str">
        <f>IFERROR(VLOOKUP(ROWS($L$2:L4895),$B$2:$C$1996,2,0),"")</f>
        <v/>
      </c>
      <c r="N4895" s="2" t="str">
        <f>IFERROR(VLOOKUP(ROWS($N$2:N4895),$D$2:$E$1996,2,0),"")</f>
        <v/>
      </c>
    </row>
    <row r="4896" spans="2:14">
      <c r="B4896" s="32">
        <f>IF(ISNUMBER(SEARCH('Φόρμα Εισαγωγής'!$B$2,C4896)),MAX($B$1:B4895)+1,0)</f>
        <v>0</v>
      </c>
      <c r="D4896" s="33">
        <f>IF(ISNUMBER(SEARCH('Φόρμα Εισαγωγής'!$C$2,E4896)),MAX($D$1:D4895)+1,0)</f>
        <v>0</v>
      </c>
      <c r="H4896" s="6">
        <f t="shared" si="239"/>
        <v>0</v>
      </c>
      <c r="I4896" s="6">
        <f t="shared" si="240"/>
        <v>0</v>
      </c>
      <c r="J4896" s="6">
        <f t="shared" si="241"/>
        <v>0</v>
      </c>
      <c r="L4896" s="4" t="str">
        <f>IFERROR(VLOOKUP(ROWS($L$2:L4896),$B$2:$C$1996,2,0),"")</f>
        <v/>
      </c>
      <c r="N4896" s="2" t="str">
        <f>IFERROR(VLOOKUP(ROWS($N$2:N4896),$D$2:$E$1996,2,0),"")</f>
        <v/>
      </c>
    </row>
    <row r="4897" spans="2:14">
      <c r="B4897" s="32">
        <f>IF(ISNUMBER(SEARCH('Φόρμα Εισαγωγής'!$B$2,C4897)),MAX($B$1:B4896)+1,0)</f>
        <v>0</v>
      </c>
      <c r="D4897" s="33">
        <f>IF(ISNUMBER(SEARCH('Φόρμα Εισαγωγής'!$C$2,E4897)),MAX($D$1:D4896)+1,0)</f>
        <v>0</v>
      </c>
      <c r="H4897" s="6">
        <f t="shared" si="239"/>
        <v>0</v>
      </c>
      <c r="I4897" s="6">
        <f t="shared" si="240"/>
        <v>0</v>
      </c>
      <c r="J4897" s="6">
        <f t="shared" si="241"/>
        <v>0</v>
      </c>
      <c r="L4897" s="4" t="str">
        <f>IFERROR(VLOOKUP(ROWS($L$2:L4897),$B$2:$C$1996,2,0),"")</f>
        <v/>
      </c>
      <c r="N4897" s="2" t="str">
        <f>IFERROR(VLOOKUP(ROWS($N$2:N4897),$D$2:$E$1996,2,0),"")</f>
        <v/>
      </c>
    </row>
    <row r="4898" spans="2:14">
      <c r="B4898" s="32">
        <f>IF(ISNUMBER(SEARCH('Φόρμα Εισαγωγής'!$B$2,C4898)),MAX($B$1:B4897)+1,0)</f>
        <v>0</v>
      </c>
      <c r="D4898" s="33">
        <f>IF(ISNUMBER(SEARCH('Φόρμα Εισαγωγής'!$C$2,E4898)),MAX($D$1:D4897)+1,0)</f>
        <v>0</v>
      </c>
      <c r="H4898" s="6">
        <f t="shared" si="239"/>
        <v>0</v>
      </c>
      <c r="I4898" s="6">
        <f t="shared" si="240"/>
        <v>0</v>
      </c>
      <c r="J4898" s="6">
        <f t="shared" si="241"/>
        <v>0</v>
      </c>
      <c r="L4898" s="4" t="str">
        <f>IFERROR(VLOOKUP(ROWS($L$2:L4898),$B$2:$C$1996,2,0),"")</f>
        <v/>
      </c>
      <c r="N4898" s="2" t="str">
        <f>IFERROR(VLOOKUP(ROWS($N$2:N4898),$D$2:$E$1996,2,0),"")</f>
        <v/>
      </c>
    </row>
    <row r="4899" spans="2:14">
      <c r="B4899" s="32">
        <f>IF(ISNUMBER(SEARCH('Φόρμα Εισαγωγής'!$B$2,C4899)),MAX($B$1:B4898)+1,0)</f>
        <v>0</v>
      </c>
      <c r="D4899" s="33">
        <f>IF(ISNUMBER(SEARCH('Φόρμα Εισαγωγής'!$C$2,E4899)),MAX($D$1:D4898)+1,0)</f>
        <v>0</v>
      </c>
      <c r="H4899" s="6">
        <f t="shared" si="239"/>
        <v>0</v>
      </c>
      <c r="I4899" s="6">
        <f t="shared" si="240"/>
        <v>0</v>
      </c>
      <c r="J4899" s="6">
        <f t="shared" si="241"/>
        <v>0</v>
      </c>
      <c r="L4899" s="4" t="str">
        <f>IFERROR(VLOOKUP(ROWS($L$2:L4899),$B$2:$C$1996,2,0),"")</f>
        <v/>
      </c>
      <c r="N4899" s="2" t="str">
        <f>IFERROR(VLOOKUP(ROWS($N$2:N4899),$D$2:$E$1996,2,0),"")</f>
        <v/>
      </c>
    </row>
    <row r="4900" spans="2:14">
      <c r="B4900" s="32">
        <f>IF(ISNUMBER(SEARCH('Φόρμα Εισαγωγής'!$B$2,C4900)),MAX($B$1:B4899)+1,0)</f>
        <v>0</v>
      </c>
      <c r="D4900" s="33">
        <f>IF(ISNUMBER(SEARCH('Φόρμα Εισαγωγής'!$C$2,E4900)),MAX($D$1:D4899)+1,0)</f>
        <v>0</v>
      </c>
      <c r="H4900" s="6">
        <f t="shared" si="239"/>
        <v>0</v>
      </c>
      <c r="I4900" s="6">
        <f t="shared" si="240"/>
        <v>0</v>
      </c>
      <c r="J4900" s="6">
        <f t="shared" si="241"/>
        <v>0</v>
      </c>
      <c r="L4900" s="4" t="str">
        <f>IFERROR(VLOOKUP(ROWS($L$2:L4900),$B$2:$C$1996,2,0),"")</f>
        <v/>
      </c>
      <c r="N4900" s="2" t="str">
        <f>IFERROR(VLOOKUP(ROWS($N$2:N4900),$D$2:$E$1996,2,0),"")</f>
        <v/>
      </c>
    </row>
    <row r="4901" spans="2:14">
      <c r="B4901" s="32">
        <f>IF(ISNUMBER(SEARCH('Φόρμα Εισαγωγής'!$B$2,C4901)),MAX($B$1:B4900)+1,0)</f>
        <v>0</v>
      </c>
      <c r="D4901" s="33">
        <f>IF(ISNUMBER(SEARCH('Φόρμα Εισαγωγής'!$C$2,E4901)),MAX($D$1:D4900)+1,0)</f>
        <v>0</v>
      </c>
      <c r="H4901" s="6">
        <f t="shared" si="239"/>
        <v>0</v>
      </c>
      <c r="I4901" s="6">
        <f t="shared" si="240"/>
        <v>0</v>
      </c>
      <c r="J4901" s="6">
        <f t="shared" si="241"/>
        <v>0</v>
      </c>
      <c r="L4901" s="4" t="str">
        <f>IFERROR(VLOOKUP(ROWS($L$2:L4901),$B$2:$C$1996,2,0),"")</f>
        <v/>
      </c>
      <c r="N4901" s="2" t="str">
        <f>IFERROR(VLOOKUP(ROWS($N$2:N4901),$D$2:$E$1996,2,0),"")</f>
        <v/>
      </c>
    </row>
    <row r="4902" spans="2:14">
      <c r="B4902" s="32">
        <f>IF(ISNUMBER(SEARCH('Φόρμα Εισαγωγής'!$B$2,C4902)),MAX($B$1:B4901)+1,0)</f>
        <v>0</v>
      </c>
      <c r="D4902" s="33">
        <f>IF(ISNUMBER(SEARCH('Φόρμα Εισαγωγής'!$C$2,E4902)),MAX($D$1:D4901)+1,0)</f>
        <v>0</v>
      </c>
      <c r="H4902" s="6">
        <f t="shared" si="239"/>
        <v>0</v>
      </c>
      <c r="I4902" s="6">
        <f t="shared" si="240"/>
        <v>0</v>
      </c>
      <c r="J4902" s="6">
        <f t="shared" si="241"/>
        <v>0</v>
      </c>
      <c r="L4902" s="4" t="str">
        <f>IFERROR(VLOOKUP(ROWS($L$2:L4902),$B$2:$C$1996,2,0),"")</f>
        <v/>
      </c>
      <c r="N4902" s="2" t="str">
        <f>IFERROR(VLOOKUP(ROWS($N$2:N4902),$D$2:$E$1996,2,0),"")</f>
        <v/>
      </c>
    </row>
    <row r="4903" spans="2:14">
      <c r="B4903" s="32">
        <f>IF(ISNUMBER(SEARCH('Φόρμα Εισαγωγής'!$B$2,C4903)),MAX($B$1:B4902)+1,0)</f>
        <v>0</v>
      </c>
      <c r="D4903" s="33">
        <f>IF(ISNUMBER(SEARCH('Φόρμα Εισαγωγής'!$C$2,E4903)),MAX($D$1:D4902)+1,0)</f>
        <v>0</v>
      </c>
      <c r="H4903" s="6">
        <f t="shared" si="239"/>
        <v>0</v>
      </c>
      <c r="I4903" s="6">
        <f t="shared" si="240"/>
        <v>0</v>
      </c>
      <c r="J4903" s="6">
        <f t="shared" si="241"/>
        <v>0</v>
      </c>
      <c r="L4903" s="4" t="str">
        <f>IFERROR(VLOOKUP(ROWS($L$2:L4903),$B$2:$C$1996,2,0),"")</f>
        <v/>
      </c>
      <c r="N4903" s="2" t="str">
        <f>IFERROR(VLOOKUP(ROWS($N$2:N4903),$D$2:$E$1996,2,0),"")</f>
        <v/>
      </c>
    </row>
    <row r="4904" spans="2:14">
      <c r="B4904" s="32">
        <f>IF(ISNUMBER(SEARCH('Φόρμα Εισαγωγής'!$B$2,C4904)),MAX($B$1:B4903)+1,0)</f>
        <v>0</v>
      </c>
      <c r="D4904" s="33">
        <f>IF(ISNUMBER(SEARCH('Φόρμα Εισαγωγής'!$C$2,E4904)),MAX($D$1:D4903)+1,0)</f>
        <v>0</v>
      </c>
      <c r="H4904" s="6">
        <f t="shared" si="239"/>
        <v>0</v>
      </c>
      <c r="I4904" s="6">
        <f t="shared" si="240"/>
        <v>0</v>
      </c>
      <c r="J4904" s="6">
        <f t="shared" si="241"/>
        <v>0</v>
      </c>
      <c r="L4904" s="4" t="str">
        <f>IFERROR(VLOOKUP(ROWS($L$2:L4904),$B$2:$C$1996,2,0),"")</f>
        <v/>
      </c>
      <c r="N4904" s="2" t="str">
        <f>IFERROR(VLOOKUP(ROWS($N$2:N4904),$D$2:$E$1996,2,0),"")</f>
        <v/>
      </c>
    </row>
    <row r="4905" spans="2:14">
      <c r="B4905" s="32">
        <f>IF(ISNUMBER(SEARCH('Φόρμα Εισαγωγής'!$B$2,C4905)),MAX($B$1:B4904)+1,0)</f>
        <v>0</v>
      </c>
      <c r="D4905" s="33">
        <f>IF(ISNUMBER(SEARCH('Φόρμα Εισαγωγής'!$C$2,E4905)),MAX($D$1:D4904)+1,0)</f>
        <v>0</v>
      </c>
      <c r="H4905" s="6">
        <f t="shared" si="239"/>
        <v>0</v>
      </c>
      <c r="I4905" s="6">
        <f t="shared" si="240"/>
        <v>0</v>
      </c>
      <c r="J4905" s="6">
        <f t="shared" si="241"/>
        <v>0</v>
      </c>
      <c r="L4905" s="4" t="str">
        <f>IFERROR(VLOOKUP(ROWS($L$2:L4905),$B$2:$C$1996,2,0),"")</f>
        <v/>
      </c>
      <c r="N4905" s="2" t="str">
        <f>IFERROR(VLOOKUP(ROWS($N$2:N4905),$D$2:$E$1996,2,0),"")</f>
        <v/>
      </c>
    </row>
    <row r="4906" spans="2:14">
      <c r="B4906" s="32">
        <f>IF(ISNUMBER(SEARCH('Φόρμα Εισαγωγής'!$B$2,C4906)),MAX($B$1:B4905)+1,0)</f>
        <v>0</v>
      </c>
      <c r="D4906" s="33">
        <f>IF(ISNUMBER(SEARCH('Φόρμα Εισαγωγής'!$C$2,E4906)),MAX($D$1:D4905)+1,0)</f>
        <v>0</v>
      </c>
      <c r="H4906" s="6">
        <f t="shared" si="239"/>
        <v>0</v>
      </c>
      <c r="I4906" s="6">
        <f t="shared" si="240"/>
        <v>0</v>
      </c>
      <c r="J4906" s="6">
        <f t="shared" si="241"/>
        <v>0</v>
      </c>
      <c r="L4906" s="4" t="str">
        <f>IFERROR(VLOOKUP(ROWS($L$2:L4906),$B$2:$C$1996,2,0),"")</f>
        <v/>
      </c>
      <c r="N4906" s="2" t="str">
        <f>IFERROR(VLOOKUP(ROWS($N$2:N4906),$D$2:$E$1996,2,0),"")</f>
        <v/>
      </c>
    </row>
    <row r="4907" spans="2:14">
      <c r="B4907" s="32">
        <f>IF(ISNUMBER(SEARCH('Φόρμα Εισαγωγής'!$B$2,C4907)),MAX($B$1:B4906)+1,0)</f>
        <v>0</v>
      </c>
      <c r="D4907" s="33">
        <f>IF(ISNUMBER(SEARCH('Φόρμα Εισαγωγής'!$C$2,E4907)),MAX($D$1:D4906)+1,0)</f>
        <v>0</v>
      </c>
      <c r="H4907" s="6">
        <f t="shared" si="239"/>
        <v>0</v>
      </c>
      <c r="I4907" s="6">
        <f t="shared" si="240"/>
        <v>0</v>
      </c>
      <c r="J4907" s="6">
        <f t="shared" si="241"/>
        <v>0</v>
      </c>
      <c r="L4907" s="4" t="str">
        <f>IFERROR(VLOOKUP(ROWS($L$2:L4907),$B$2:$C$1996,2,0),"")</f>
        <v/>
      </c>
      <c r="N4907" s="2" t="str">
        <f>IFERROR(VLOOKUP(ROWS($N$2:N4907),$D$2:$E$1996,2,0),"")</f>
        <v/>
      </c>
    </row>
    <row r="4908" spans="2:14">
      <c r="B4908" s="32">
        <f>IF(ISNUMBER(SEARCH('Φόρμα Εισαγωγής'!$B$2,C4908)),MAX($B$1:B4907)+1,0)</f>
        <v>0</v>
      </c>
      <c r="D4908" s="33">
        <f>IF(ISNUMBER(SEARCH('Φόρμα Εισαγωγής'!$C$2,E4908)),MAX($D$1:D4907)+1,0)</f>
        <v>0</v>
      </c>
      <c r="H4908" s="6">
        <f t="shared" si="239"/>
        <v>0</v>
      </c>
      <c r="I4908" s="6">
        <f t="shared" si="240"/>
        <v>0</v>
      </c>
      <c r="J4908" s="6">
        <f t="shared" si="241"/>
        <v>0</v>
      </c>
      <c r="L4908" s="4" t="str">
        <f>IFERROR(VLOOKUP(ROWS($L$2:L4908),$B$2:$C$1996,2,0),"")</f>
        <v/>
      </c>
      <c r="N4908" s="2" t="str">
        <f>IFERROR(VLOOKUP(ROWS($N$2:N4908),$D$2:$E$1996,2,0),"")</f>
        <v/>
      </c>
    </row>
    <row r="4909" spans="2:14">
      <c r="B4909" s="32">
        <f>IF(ISNUMBER(SEARCH('Φόρμα Εισαγωγής'!$B$2,C4909)),MAX($B$1:B4908)+1,0)</f>
        <v>0</v>
      </c>
      <c r="D4909" s="33">
        <f>IF(ISNUMBER(SEARCH('Φόρμα Εισαγωγής'!$C$2,E4909)),MAX($D$1:D4908)+1,0)</f>
        <v>0</v>
      </c>
      <c r="H4909" s="6">
        <f t="shared" si="239"/>
        <v>0</v>
      </c>
      <c r="I4909" s="6">
        <f t="shared" si="240"/>
        <v>0</v>
      </c>
      <c r="J4909" s="6">
        <f t="shared" si="241"/>
        <v>0</v>
      </c>
      <c r="L4909" s="4" t="str">
        <f>IFERROR(VLOOKUP(ROWS($L$2:L4909),$B$2:$C$1996,2,0),"")</f>
        <v/>
      </c>
      <c r="N4909" s="2" t="str">
        <f>IFERROR(VLOOKUP(ROWS($N$2:N4909),$D$2:$E$1996,2,0),"")</f>
        <v/>
      </c>
    </row>
    <row r="4910" spans="2:14">
      <c r="B4910" s="32">
        <f>IF(ISNUMBER(SEARCH('Φόρμα Εισαγωγής'!$B$2,C4910)),MAX($B$1:B4909)+1,0)</f>
        <v>0</v>
      </c>
      <c r="D4910" s="33">
        <f>IF(ISNUMBER(SEARCH('Φόρμα Εισαγωγής'!$C$2,E4910)),MAX($D$1:D4909)+1,0)</f>
        <v>0</v>
      </c>
      <c r="H4910" s="6">
        <f t="shared" si="239"/>
        <v>0</v>
      </c>
      <c r="I4910" s="6">
        <f t="shared" si="240"/>
        <v>0</v>
      </c>
      <c r="J4910" s="6">
        <f t="shared" si="241"/>
        <v>0</v>
      </c>
      <c r="L4910" s="4" t="str">
        <f>IFERROR(VLOOKUP(ROWS($L$2:L4910),$B$2:$C$1996,2,0),"")</f>
        <v/>
      </c>
      <c r="N4910" s="2" t="str">
        <f>IFERROR(VLOOKUP(ROWS($N$2:N4910),$D$2:$E$1996,2,0),"")</f>
        <v/>
      </c>
    </row>
    <row r="4911" spans="2:14">
      <c r="B4911" s="32">
        <f>IF(ISNUMBER(SEARCH('Φόρμα Εισαγωγής'!$B$2,C4911)),MAX($B$1:B4910)+1,0)</f>
        <v>0</v>
      </c>
      <c r="D4911" s="33">
        <f>IF(ISNUMBER(SEARCH('Φόρμα Εισαγωγής'!$C$2,E4911)),MAX($D$1:D4910)+1,0)</f>
        <v>0</v>
      </c>
      <c r="H4911" s="6">
        <f t="shared" si="239"/>
        <v>0</v>
      </c>
      <c r="I4911" s="6">
        <f t="shared" si="240"/>
        <v>0</v>
      </c>
      <c r="J4911" s="6">
        <f t="shared" si="241"/>
        <v>0</v>
      </c>
      <c r="L4911" s="4" t="str">
        <f>IFERROR(VLOOKUP(ROWS($L$2:L4911),$B$2:$C$1996,2,0),"")</f>
        <v/>
      </c>
      <c r="N4911" s="2" t="str">
        <f>IFERROR(VLOOKUP(ROWS($N$2:N4911),$D$2:$E$1996,2,0),"")</f>
        <v/>
      </c>
    </row>
    <row r="4912" spans="2:14">
      <c r="B4912" s="32">
        <f>IF(ISNUMBER(SEARCH('Φόρμα Εισαγωγής'!$B$2,C4912)),MAX($B$1:B4911)+1,0)</f>
        <v>0</v>
      </c>
      <c r="D4912" s="33">
        <f>IF(ISNUMBER(SEARCH('Φόρμα Εισαγωγής'!$C$2,E4912)),MAX($D$1:D4911)+1,0)</f>
        <v>0</v>
      </c>
      <c r="H4912" s="6">
        <f t="shared" si="239"/>
        <v>0</v>
      </c>
      <c r="I4912" s="6">
        <f t="shared" si="240"/>
        <v>0</v>
      </c>
      <c r="J4912" s="6">
        <f t="shared" si="241"/>
        <v>0</v>
      </c>
      <c r="L4912" s="4" t="str">
        <f>IFERROR(VLOOKUP(ROWS($L$2:L4912),$B$2:$C$1996,2,0),"")</f>
        <v/>
      </c>
      <c r="N4912" s="2" t="str">
        <f>IFERROR(VLOOKUP(ROWS($N$2:N4912),$D$2:$E$1996,2,0),"")</f>
        <v/>
      </c>
    </row>
    <row r="4913" spans="2:14">
      <c r="B4913" s="32">
        <f>IF(ISNUMBER(SEARCH('Φόρμα Εισαγωγής'!$B$2,C4913)),MAX($B$1:B4912)+1,0)</f>
        <v>0</v>
      </c>
      <c r="D4913" s="33">
        <f>IF(ISNUMBER(SEARCH('Φόρμα Εισαγωγής'!$C$2,E4913)),MAX($D$1:D4912)+1,0)</f>
        <v>0</v>
      </c>
      <c r="H4913" s="6">
        <f t="shared" si="239"/>
        <v>0</v>
      </c>
      <c r="I4913" s="6">
        <f t="shared" si="240"/>
        <v>0</v>
      </c>
      <c r="J4913" s="6">
        <f t="shared" si="241"/>
        <v>0</v>
      </c>
      <c r="L4913" s="4" t="str">
        <f>IFERROR(VLOOKUP(ROWS($L$2:L4913),$B$2:$C$1996,2,0),"")</f>
        <v/>
      </c>
      <c r="N4913" s="2" t="str">
        <f>IFERROR(VLOOKUP(ROWS($N$2:N4913),$D$2:$E$1996,2,0),"")</f>
        <v/>
      </c>
    </row>
    <row r="4914" spans="2:14">
      <c r="B4914" s="32">
        <f>IF(ISNUMBER(SEARCH('Φόρμα Εισαγωγής'!$B$2,C4914)),MAX($B$1:B4913)+1,0)</f>
        <v>0</v>
      </c>
      <c r="D4914" s="33">
        <f>IF(ISNUMBER(SEARCH('Φόρμα Εισαγωγής'!$C$2,E4914)),MAX($D$1:D4913)+1,0)</f>
        <v>0</v>
      </c>
      <c r="H4914" s="6">
        <f t="shared" si="239"/>
        <v>0</v>
      </c>
      <c r="I4914" s="6">
        <f t="shared" si="240"/>
        <v>0</v>
      </c>
      <c r="J4914" s="6">
        <f t="shared" si="241"/>
        <v>0</v>
      </c>
      <c r="L4914" s="4" t="str">
        <f>IFERROR(VLOOKUP(ROWS($L$2:L4914),$B$2:$C$1996,2,0),"")</f>
        <v/>
      </c>
      <c r="N4914" s="2" t="str">
        <f>IFERROR(VLOOKUP(ROWS($N$2:N4914),$D$2:$E$1996,2,0),"")</f>
        <v/>
      </c>
    </row>
    <row r="4915" spans="2:14">
      <c r="B4915" s="32">
        <f>IF(ISNUMBER(SEARCH('Φόρμα Εισαγωγής'!$B$2,C4915)),MAX($B$1:B4914)+1,0)</f>
        <v>0</v>
      </c>
      <c r="D4915" s="33">
        <f>IF(ISNUMBER(SEARCH('Φόρμα Εισαγωγής'!$C$2,E4915)),MAX($D$1:D4914)+1,0)</f>
        <v>0</v>
      </c>
      <c r="H4915" s="6">
        <f t="shared" si="239"/>
        <v>0</v>
      </c>
      <c r="I4915" s="6">
        <f t="shared" si="240"/>
        <v>0</v>
      </c>
      <c r="J4915" s="6">
        <f t="shared" si="241"/>
        <v>0</v>
      </c>
      <c r="L4915" s="4" t="str">
        <f>IFERROR(VLOOKUP(ROWS($L$2:L4915),$B$2:$C$1996,2,0),"")</f>
        <v/>
      </c>
      <c r="N4915" s="2" t="str">
        <f>IFERROR(VLOOKUP(ROWS($N$2:N4915),$D$2:$E$1996,2,0),"")</f>
        <v/>
      </c>
    </row>
    <row r="4916" spans="2:14">
      <c r="B4916" s="32">
        <f>IF(ISNUMBER(SEARCH('Φόρμα Εισαγωγής'!$B$2,C4916)),MAX($B$1:B4915)+1,0)</f>
        <v>0</v>
      </c>
      <c r="D4916" s="33">
        <f>IF(ISNUMBER(SEARCH('Φόρμα Εισαγωγής'!$C$2,E4916)),MAX($D$1:D4915)+1,0)</f>
        <v>0</v>
      </c>
      <c r="H4916" s="6">
        <f t="shared" si="239"/>
        <v>0</v>
      </c>
      <c r="I4916" s="6">
        <f t="shared" si="240"/>
        <v>0</v>
      </c>
      <c r="J4916" s="6">
        <f t="shared" si="241"/>
        <v>0</v>
      </c>
      <c r="L4916" s="4" t="str">
        <f>IFERROR(VLOOKUP(ROWS($L$2:L4916),$B$2:$C$1996,2,0),"")</f>
        <v/>
      </c>
      <c r="N4916" s="2" t="str">
        <f>IFERROR(VLOOKUP(ROWS($N$2:N4916),$D$2:$E$1996,2,0),"")</f>
        <v/>
      </c>
    </row>
    <row r="4917" spans="2:14">
      <c r="B4917" s="32">
        <f>IF(ISNUMBER(SEARCH('Φόρμα Εισαγωγής'!$B$2,C4917)),MAX($B$1:B4916)+1,0)</f>
        <v>0</v>
      </c>
      <c r="D4917" s="33">
        <f>IF(ISNUMBER(SEARCH('Φόρμα Εισαγωγής'!$C$2,E4917)),MAX($D$1:D4916)+1,0)</f>
        <v>0</v>
      </c>
      <c r="H4917" s="6">
        <f t="shared" si="239"/>
        <v>0</v>
      </c>
      <c r="I4917" s="6">
        <f t="shared" si="240"/>
        <v>0</v>
      </c>
      <c r="J4917" s="6">
        <f t="shared" si="241"/>
        <v>0</v>
      </c>
      <c r="L4917" s="4" t="str">
        <f>IFERROR(VLOOKUP(ROWS($L$2:L4917),$B$2:$C$1996,2,0),"")</f>
        <v/>
      </c>
      <c r="N4917" s="2" t="str">
        <f>IFERROR(VLOOKUP(ROWS($N$2:N4917),$D$2:$E$1996,2,0),"")</f>
        <v/>
      </c>
    </row>
    <row r="4918" spans="2:14">
      <c r="B4918" s="32">
        <f>IF(ISNUMBER(SEARCH('Φόρμα Εισαγωγής'!$B$2,C4918)),MAX($B$1:B4917)+1,0)</f>
        <v>0</v>
      </c>
      <c r="D4918" s="33">
        <f>IF(ISNUMBER(SEARCH('Φόρμα Εισαγωγής'!$C$2,E4918)),MAX($D$1:D4917)+1,0)</f>
        <v>0</v>
      </c>
      <c r="H4918" s="6">
        <f t="shared" si="239"/>
        <v>0</v>
      </c>
      <c r="I4918" s="6">
        <f t="shared" si="240"/>
        <v>0</v>
      </c>
      <c r="J4918" s="6">
        <f t="shared" si="241"/>
        <v>0</v>
      </c>
      <c r="L4918" s="4" t="str">
        <f>IFERROR(VLOOKUP(ROWS($L$2:L4918),$B$2:$C$1996,2,0),"")</f>
        <v/>
      </c>
      <c r="N4918" s="2" t="str">
        <f>IFERROR(VLOOKUP(ROWS($N$2:N4918),$D$2:$E$1996,2,0),"")</f>
        <v/>
      </c>
    </row>
    <row r="4919" spans="2:14">
      <c r="B4919" s="32">
        <f>IF(ISNUMBER(SEARCH('Φόρμα Εισαγωγής'!$B$2,C4919)),MAX($B$1:B4918)+1,0)</f>
        <v>0</v>
      </c>
      <c r="D4919" s="33">
        <f>IF(ISNUMBER(SEARCH('Φόρμα Εισαγωγής'!$C$2,E4919)),MAX($D$1:D4918)+1,0)</f>
        <v>0</v>
      </c>
      <c r="H4919" s="6">
        <f t="shared" si="239"/>
        <v>0</v>
      </c>
      <c r="I4919" s="6">
        <f t="shared" si="240"/>
        <v>0</v>
      </c>
      <c r="J4919" s="6">
        <f t="shared" si="241"/>
        <v>0</v>
      </c>
      <c r="L4919" s="4" t="str">
        <f>IFERROR(VLOOKUP(ROWS($L$2:L4919),$B$2:$C$1996,2,0),"")</f>
        <v/>
      </c>
      <c r="N4919" s="2" t="str">
        <f>IFERROR(VLOOKUP(ROWS($N$2:N4919),$D$2:$E$1996,2,0),"")</f>
        <v/>
      </c>
    </row>
    <row r="4920" spans="2:14">
      <c r="B4920" s="32">
        <f>IF(ISNUMBER(SEARCH('Φόρμα Εισαγωγής'!$B$2,C4920)),MAX($B$1:B4919)+1,0)</f>
        <v>0</v>
      </c>
      <c r="D4920" s="33">
        <f>IF(ISNUMBER(SEARCH('Φόρμα Εισαγωγής'!$C$2,E4920)),MAX($D$1:D4919)+1,0)</f>
        <v>0</v>
      </c>
      <c r="H4920" s="6">
        <f t="shared" si="239"/>
        <v>0</v>
      </c>
      <c r="I4920" s="6">
        <f t="shared" si="240"/>
        <v>0</v>
      </c>
      <c r="J4920" s="6">
        <f t="shared" si="241"/>
        <v>0</v>
      </c>
      <c r="L4920" s="4" t="str">
        <f>IFERROR(VLOOKUP(ROWS($L$2:L4920),$B$2:$C$1996,2,0),"")</f>
        <v/>
      </c>
      <c r="N4920" s="2" t="str">
        <f>IFERROR(VLOOKUP(ROWS($N$2:N4920),$D$2:$E$1996,2,0),"")</f>
        <v/>
      </c>
    </row>
    <row r="4921" spans="2:14">
      <c r="B4921" s="32">
        <f>IF(ISNUMBER(SEARCH('Φόρμα Εισαγωγής'!$B$2,C4921)),MAX($B$1:B4920)+1,0)</f>
        <v>0</v>
      </c>
      <c r="D4921" s="33">
        <f>IF(ISNUMBER(SEARCH('Φόρμα Εισαγωγής'!$C$2,E4921)),MAX($D$1:D4920)+1,0)</f>
        <v>0</v>
      </c>
      <c r="H4921" s="6">
        <f t="shared" si="239"/>
        <v>0</v>
      </c>
      <c r="I4921" s="6">
        <f t="shared" si="240"/>
        <v>0</v>
      </c>
      <c r="J4921" s="6">
        <f t="shared" si="241"/>
        <v>0</v>
      </c>
      <c r="L4921" s="4" t="str">
        <f>IFERROR(VLOOKUP(ROWS($L$2:L4921),$B$2:$C$1996,2,0),"")</f>
        <v/>
      </c>
      <c r="N4921" s="2" t="str">
        <f>IFERROR(VLOOKUP(ROWS($N$2:N4921),$D$2:$E$1996,2,0),"")</f>
        <v/>
      </c>
    </row>
    <row r="4922" spans="2:14">
      <c r="B4922" s="32">
        <f>IF(ISNUMBER(SEARCH('Φόρμα Εισαγωγής'!$B$2,C4922)),MAX($B$1:B4921)+1,0)</f>
        <v>0</v>
      </c>
      <c r="D4922" s="33">
        <f>IF(ISNUMBER(SEARCH('Φόρμα Εισαγωγής'!$C$2,E4922)),MAX($D$1:D4921)+1,0)</f>
        <v>0</v>
      </c>
      <c r="H4922" s="6">
        <f t="shared" si="239"/>
        <v>0</v>
      </c>
      <c r="I4922" s="6">
        <f t="shared" si="240"/>
        <v>0</v>
      </c>
      <c r="J4922" s="6">
        <f t="shared" si="241"/>
        <v>0</v>
      </c>
      <c r="L4922" s="4" t="str">
        <f>IFERROR(VLOOKUP(ROWS($L$2:L4922),$B$2:$C$1996,2,0),"")</f>
        <v/>
      </c>
      <c r="N4922" s="2" t="str">
        <f>IFERROR(VLOOKUP(ROWS($N$2:N4922),$D$2:$E$1996,2,0),"")</f>
        <v/>
      </c>
    </row>
    <row r="4923" spans="2:14">
      <c r="B4923" s="32">
        <f>IF(ISNUMBER(SEARCH('Φόρμα Εισαγωγής'!$B$2,C4923)),MAX($B$1:B4922)+1,0)</f>
        <v>0</v>
      </c>
      <c r="D4923" s="33">
        <f>IF(ISNUMBER(SEARCH('Φόρμα Εισαγωγής'!$C$2,E4923)),MAX($D$1:D4922)+1,0)</f>
        <v>0</v>
      </c>
      <c r="H4923" s="6">
        <f t="shared" si="239"/>
        <v>0</v>
      </c>
      <c r="I4923" s="6">
        <f t="shared" si="240"/>
        <v>0</v>
      </c>
      <c r="J4923" s="6">
        <f t="shared" si="241"/>
        <v>0</v>
      </c>
      <c r="L4923" s="4" t="str">
        <f>IFERROR(VLOOKUP(ROWS($L$2:L4923),$B$2:$C$1996,2,0),"")</f>
        <v/>
      </c>
      <c r="N4923" s="2" t="str">
        <f>IFERROR(VLOOKUP(ROWS($N$2:N4923),$D$2:$E$1996,2,0),"")</f>
        <v/>
      </c>
    </row>
    <row r="4924" spans="2:14">
      <c r="B4924" s="32">
        <f>IF(ISNUMBER(SEARCH('Φόρμα Εισαγωγής'!$B$2,C4924)),MAX($B$1:B4923)+1,0)</f>
        <v>0</v>
      </c>
      <c r="D4924" s="33">
        <f>IF(ISNUMBER(SEARCH('Φόρμα Εισαγωγής'!$C$2,E4924)),MAX($D$1:D4923)+1,0)</f>
        <v>0</v>
      </c>
      <c r="H4924" s="6">
        <f t="shared" si="239"/>
        <v>0</v>
      </c>
      <c r="I4924" s="6">
        <f t="shared" si="240"/>
        <v>0</v>
      </c>
      <c r="J4924" s="6">
        <f t="shared" si="241"/>
        <v>0</v>
      </c>
      <c r="L4924" s="4" t="str">
        <f>IFERROR(VLOOKUP(ROWS($L$2:L4924),$B$2:$C$1996,2,0),"")</f>
        <v/>
      </c>
      <c r="N4924" s="2" t="str">
        <f>IFERROR(VLOOKUP(ROWS($N$2:N4924),$D$2:$E$1996,2,0),"")</f>
        <v/>
      </c>
    </row>
    <row r="4925" spans="2:14">
      <c r="B4925" s="32">
        <f>IF(ISNUMBER(SEARCH('Φόρμα Εισαγωγής'!$B$2,C4925)),MAX($B$1:B4924)+1,0)</f>
        <v>0</v>
      </c>
      <c r="D4925" s="33">
        <f>IF(ISNUMBER(SEARCH('Φόρμα Εισαγωγής'!$C$2,E4925)),MAX($D$1:D4924)+1,0)</f>
        <v>0</v>
      </c>
      <c r="H4925" s="6">
        <f t="shared" si="239"/>
        <v>0</v>
      </c>
      <c r="I4925" s="6">
        <f t="shared" si="240"/>
        <v>0</v>
      </c>
      <c r="J4925" s="6">
        <f t="shared" si="241"/>
        <v>0</v>
      </c>
      <c r="L4925" s="4" t="str">
        <f>IFERROR(VLOOKUP(ROWS($L$2:L4925),$B$2:$C$1996,2,0),"")</f>
        <v/>
      </c>
      <c r="N4925" s="2" t="str">
        <f>IFERROR(VLOOKUP(ROWS($N$2:N4925),$D$2:$E$1996,2,0),"")</f>
        <v/>
      </c>
    </row>
    <row r="4926" spans="2:14">
      <c r="B4926" s="32">
        <f>IF(ISNUMBER(SEARCH('Φόρμα Εισαγωγής'!$B$2,C4926)),MAX($B$1:B4925)+1,0)</f>
        <v>0</v>
      </c>
      <c r="D4926" s="33">
        <f>IF(ISNUMBER(SEARCH('Φόρμα Εισαγωγής'!$C$2,E4926)),MAX($D$1:D4925)+1,0)</f>
        <v>0</v>
      </c>
      <c r="H4926" s="6">
        <f t="shared" si="239"/>
        <v>0</v>
      </c>
      <c r="I4926" s="6">
        <f t="shared" si="240"/>
        <v>0</v>
      </c>
      <c r="J4926" s="6">
        <f t="shared" si="241"/>
        <v>0</v>
      </c>
      <c r="L4926" s="4" t="str">
        <f>IFERROR(VLOOKUP(ROWS($L$2:L4926),$B$2:$C$1996,2,0),"")</f>
        <v/>
      </c>
      <c r="N4926" s="2" t="str">
        <f>IFERROR(VLOOKUP(ROWS($N$2:N4926),$D$2:$E$1996,2,0),"")</f>
        <v/>
      </c>
    </row>
    <row r="4927" spans="2:14">
      <c r="B4927" s="32">
        <f>IF(ISNUMBER(SEARCH('Φόρμα Εισαγωγής'!$B$2,C4927)),MAX($B$1:B4926)+1,0)</f>
        <v>0</v>
      </c>
      <c r="D4927" s="33">
        <f>IF(ISNUMBER(SEARCH('Φόρμα Εισαγωγής'!$C$2,E4927)),MAX($D$1:D4926)+1,0)</f>
        <v>0</v>
      </c>
      <c r="H4927" s="6">
        <f t="shared" si="239"/>
        <v>0</v>
      </c>
      <c r="I4927" s="6">
        <f t="shared" si="240"/>
        <v>0</v>
      </c>
      <c r="J4927" s="6">
        <f t="shared" si="241"/>
        <v>0</v>
      </c>
      <c r="L4927" s="4" t="str">
        <f>IFERROR(VLOOKUP(ROWS($L$2:L4927),$B$2:$C$1996,2,0),"")</f>
        <v/>
      </c>
      <c r="N4927" s="2" t="str">
        <f>IFERROR(VLOOKUP(ROWS($N$2:N4927),$D$2:$E$1996,2,0),"")</f>
        <v/>
      </c>
    </row>
    <row r="4928" spans="2:14">
      <c r="B4928" s="32">
        <f>IF(ISNUMBER(SEARCH('Φόρμα Εισαγωγής'!$B$2,C4928)),MAX($B$1:B4927)+1,0)</f>
        <v>0</v>
      </c>
      <c r="D4928" s="33">
        <f>IF(ISNUMBER(SEARCH('Φόρμα Εισαγωγής'!$C$2,E4928)),MAX($D$1:D4927)+1,0)</f>
        <v>0</v>
      </c>
      <c r="H4928" s="6">
        <f t="shared" ref="H4928:H4991" si="242">G4928+(G4928*0.24)</f>
        <v>0</v>
      </c>
      <c r="I4928" s="6">
        <f t="shared" ref="I4928:I4991" si="243">F4928*A4928</f>
        <v>0</v>
      </c>
      <c r="J4928" s="6">
        <f t="shared" ref="J4928:J4991" si="244">H4928*A4928</f>
        <v>0</v>
      </c>
      <c r="L4928" s="4" t="str">
        <f>IFERROR(VLOOKUP(ROWS($L$2:L4928),$B$2:$C$1996,2,0),"")</f>
        <v/>
      </c>
      <c r="N4928" s="2" t="str">
        <f>IFERROR(VLOOKUP(ROWS($N$2:N4928),$D$2:$E$1996,2,0),"")</f>
        <v/>
      </c>
    </row>
    <row r="4929" spans="2:14">
      <c r="B4929" s="32">
        <f>IF(ISNUMBER(SEARCH('Φόρμα Εισαγωγής'!$B$2,C4929)),MAX($B$1:B4928)+1,0)</f>
        <v>0</v>
      </c>
      <c r="D4929" s="33">
        <f>IF(ISNUMBER(SEARCH('Φόρμα Εισαγωγής'!$C$2,E4929)),MAX($D$1:D4928)+1,0)</f>
        <v>0</v>
      </c>
      <c r="H4929" s="6">
        <f t="shared" si="242"/>
        <v>0</v>
      </c>
      <c r="I4929" s="6">
        <f t="shared" si="243"/>
        <v>0</v>
      </c>
      <c r="J4929" s="6">
        <f t="shared" si="244"/>
        <v>0</v>
      </c>
      <c r="L4929" s="4" t="str">
        <f>IFERROR(VLOOKUP(ROWS($L$2:L4929),$B$2:$C$1996,2,0),"")</f>
        <v/>
      </c>
      <c r="N4929" s="2" t="str">
        <f>IFERROR(VLOOKUP(ROWS($N$2:N4929),$D$2:$E$1996,2,0),"")</f>
        <v/>
      </c>
    </row>
    <row r="4930" spans="2:14">
      <c r="B4930" s="32">
        <f>IF(ISNUMBER(SEARCH('Φόρμα Εισαγωγής'!$B$2,C4930)),MAX($B$1:B4929)+1,0)</f>
        <v>0</v>
      </c>
      <c r="D4930" s="33">
        <f>IF(ISNUMBER(SEARCH('Φόρμα Εισαγωγής'!$C$2,E4930)),MAX($D$1:D4929)+1,0)</f>
        <v>0</v>
      </c>
      <c r="H4930" s="6">
        <f t="shared" si="242"/>
        <v>0</v>
      </c>
      <c r="I4930" s="6">
        <f t="shared" si="243"/>
        <v>0</v>
      </c>
      <c r="J4930" s="6">
        <f t="shared" si="244"/>
        <v>0</v>
      </c>
      <c r="L4930" s="4" t="str">
        <f>IFERROR(VLOOKUP(ROWS($L$2:L4930),$B$2:$C$1996,2,0),"")</f>
        <v/>
      </c>
      <c r="N4930" s="2" t="str">
        <f>IFERROR(VLOOKUP(ROWS($N$2:N4930),$D$2:$E$1996,2,0),"")</f>
        <v/>
      </c>
    </row>
    <row r="4931" spans="2:14">
      <c r="B4931" s="32">
        <f>IF(ISNUMBER(SEARCH('Φόρμα Εισαγωγής'!$B$2,C4931)),MAX($B$1:B4930)+1,0)</f>
        <v>0</v>
      </c>
      <c r="D4931" s="33">
        <f>IF(ISNUMBER(SEARCH('Φόρμα Εισαγωγής'!$C$2,E4931)),MAX($D$1:D4930)+1,0)</f>
        <v>0</v>
      </c>
      <c r="H4931" s="6">
        <f t="shared" si="242"/>
        <v>0</v>
      </c>
      <c r="I4931" s="6">
        <f t="shared" si="243"/>
        <v>0</v>
      </c>
      <c r="J4931" s="6">
        <f t="shared" si="244"/>
        <v>0</v>
      </c>
      <c r="L4931" s="4" t="str">
        <f>IFERROR(VLOOKUP(ROWS($L$2:L4931),$B$2:$C$1996,2,0),"")</f>
        <v/>
      </c>
      <c r="N4931" s="2" t="str">
        <f>IFERROR(VLOOKUP(ROWS($N$2:N4931),$D$2:$E$1996,2,0),"")</f>
        <v/>
      </c>
    </row>
    <row r="4932" spans="2:14">
      <c r="B4932" s="32">
        <f>IF(ISNUMBER(SEARCH('Φόρμα Εισαγωγής'!$B$2,C4932)),MAX($B$1:B4931)+1,0)</f>
        <v>0</v>
      </c>
      <c r="D4932" s="33">
        <f>IF(ISNUMBER(SEARCH('Φόρμα Εισαγωγής'!$C$2,E4932)),MAX($D$1:D4931)+1,0)</f>
        <v>0</v>
      </c>
      <c r="H4932" s="6">
        <f t="shared" si="242"/>
        <v>0</v>
      </c>
      <c r="I4932" s="6">
        <f t="shared" si="243"/>
        <v>0</v>
      </c>
      <c r="J4932" s="6">
        <f t="shared" si="244"/>
        <v>0</v>
      </c>
      <c r="L4932" s="4" t="str">
        <f>IFERROR(VLOOKUP(ROWS($L$2:L4932),$B$2:$C$1996,2,0),"")</f>
        <v/>
      </c>
      <c r="N4932" s="2" t="str">
        <f>IFERROR(VLOOKUP(ROWS($N$2:N4932),$D$2:$E$1996,2,0),"")</f>
        <v/>
      </c>
    </row>
    <row r="4933" spans="2:14">
      <c r="B4933" s="32">
        <f>IF(ISNUMBER(SEARCH('Φόρμα Εισαγωγής'!$B$2,C4933)),MAX($B$1:B4932)+1,0)</f>
        <v>0</v>
      </c>
      <c r="D4933" s="33">
        <f>IF(ISNUMBER(SEARCH('Φόρμα Εισαγωγής'!$C$2,E4933)),MAX($D$1:D4932)+1,0)</f>
        <v>0</v>
      </c>
      <c r="H4933" s="6">
        <f t="shared" si="242"/>
        <v>0</v>
      </c>
      <c r="I4933" s="6">
        <f t="shared" si="243"/>
        <v>0</v>
      </c>
      <c r="J4933" s="6">
        <f t="shared" si="244"/>
        <v>0</v>
      </c>
      <c r="L4933" s="4" t="str">
        <f>IFERROR(VLOOKUP(ROWS($L$2:L4933),$B$2:$C$1996,2,0),"")</f>
        <v/>
      </c>
      <c r="N4933" s="2" t="str">
        <f>IFERROR(VLOOKUP(ROWS($N$2:N4933),$D$2:$E$1996,2,0),"")</f>
        <v/>
      </c>
    </row>
    <row r="4934" spans="2:14">
      <c r="B4934" s="32">
        <f>IF(ISNUMBER(SEARCH('Φόρμα Εισαγωγής'!$B$2,C4934)),MAX($B$1:B4933)+1,0)</f>
        <v>0</v>
      </c>
      <c r="D4934" s="33">
        <f>IF(ISNUMBER(SEARCH('Φόρμα Εισαγωγής'!$C$2,E4934)),MAX($D$1:D4933)+1,0)</f>
        <v>0</v>
      </c>
      <c r="H4934" s="6">
        <f t="shared" si="242"/>
        <v>0</v>
      </c>
      <c r="I4934" s="6">
        <f t="shared" si="243"/>
        <v>0</v>
      </c>
      <c r="J4934" s="6">
        <f t="shared" si="244"/>
        <v>0</v>
      </c>
      <c r="L4934" s="4" t="str">
        <f>IFERROR(VLOOKUP(ROWS($L$2:L4934),$B$2:$C$1996,2,0),"")</f>
        <v/>
      </c>
      <c r="N4934" s="2" t="str">
        <f>IFERROR(VLOOKUP(ROWS($N$2:N4934),$D$2:$E$1996,2,0),"")</f>
        <v/>
      </c>
    </row>
    <row r="4935" spans="2:14">
      <c r="B4935" s="32">
        <f>IF(ISNUMBER(SEARCH('Φόρμα Εισαγωγής'!$B$2,C4935)),MAX($B$1:B4934)+1,0)</f>
        <v>0</v>
      </c>
      <c r="D4935" s="33">
        <f>IF(ISNUMBER(SEARCH('Φόρμα Εισαγωγής'!$C$2,E4935)),MAX($D$1:D4934)+1,0)</f>
        <v>0</v>
      </c>
      <c r="H4935" s="6">
        <f t="shared" si="242"/>
        <v>0</v>
      </c>
      <c r="I4935" s="6">
        <f t="shared" si="243"/>
        <v>0</v>
      </c>
      <c r="J4935" s="6">
        <f t="shared" si="244"/>
        <v>0</v>
      </c>
      <c r="L4935" s="4" t="str">
        <f>IFERROR(VLOOKUP(ROWS($L$2:L4935),$B$2:$C$1996,2,0),"")</f>
        <v/>
      </c>
      <c r="N4935" s="2" t="str">
        <f>IFERROR(VLOOKUP(ROWS($N$2:N4935),$D$2:$E$1996,2,0),"")</f>
        <v/>
      </c>
    </row>
    <row r="4936" spans="2:14">
      <c r="B4936" s="32">
        <f>IF(ISNUMBER(SEARCH('Φόρμα Εισαγωγής'!$B$2,C4936)),MAX($B$1:B4935)+1,0)</f>
        <v>0</v>
      </c>
      <c r="D4936" s="33">
        <f>IF(ISNUMBER(SEARCH('Φόρμα Εισαγωγής'!$C$2,E4936)),MAX($D$1:D4935)+1,0)</f>
        <v>0</v>
      </c>
      <c r="H4936" s="6">
        <f t="shared" si="242"/>
        <v>0</v>
      </c>
      <c r="I4936" s="6">
        <f t="shared" si="243"/>
        <v>0</v>
      </c>
      <c r="J4936" s="6">
        <f t="shared" si="244"/>
        <v>0</v>
      </c>
      <c r="L4936" s="4" t="str">
        <f>IFERROR(VLOOKUP(ROWS($L$2:L4936),$B$2:$C$1996,2,0),"")</f>
        <v/>
      </c>
      <c r="N4936" s="2" t="str">
        <f>IFERROR(VLOOKUP(ROWS($N$2:N4936),$D$2:$E$1996,2,0),"")</f>
        <v/>
      </c>
    </row>
    <row r="4937" spans="2:14">
      <c r="B4937" s="32">
        <f>IF(ISNUMBER(SEARCH('Φόρμα Εισαγωγής'!$B$2,C4937)),MAX($B$1:B4936)+1,0)</f>
        <v>0</v>
      </c>
      <c r="D4937" s="33">
        <f>IF(ISNUMBER(SEARCH('Φόρμα Εισαγωγής'!$C$2,E4937)),MAX($D$1:D4936)+1,0)</f>
        <v>0</v>
      </c>
      <c r="H4937" s="6">
        <f t="shared" si="242"/>
        <v>0</v>
      </c>
      <c r="I4937" s="6">
        <f t="shared" si="243"/>
        <v>0</v>
      </c>
      <c r="J4937" s="6">
        <f t="shared" si="244"/>
        <v>0</v>
      </c>
      <c r="L4937" s="4" t="str">
        <f>IFERROR(VLOOKUP(ROWS($L$2:L4937),$B$2:$C$1996,2,0),"")</f>
        <v/>
      </c>
      <c r="N4937" s="2" t="str">
        <f>IFERROR(VLOOKUP(ROWS($N$2:N4937),$D$2:$E$1996,2,0),"")</f>
        <v/>
      </c>
    </row>
    <row r="4938" spans="2:14">
      <c r="B4938" s="32">
        <f>IF(ISNUMBER(SEARCH('Φόρμα Εισαγωγής'!$B$2,C4938)),MAX($B$1:B4937)+1,0)</f>
        <v>0</v>
      </c>
      <c r="D4938" s="33">
        <f>IF(ISNUMBER(SEARCH('Φόρμα Εισαγωγής'!$C$2,E4938)),MAX($D$1:D4937)+1,0)</f>
        <v>0</v>
      </c>
      <c r="H4938" s="6">
        <f t="shared" si="242"/>
        <v>0</v>
      </c>
      <c r="I4938" s="6">
        <f t="shared" si="243"/>
        <v>0</v>
      </c>
      <c r="J4938" s="6">
        <f t="shared" si="244"/>
        <v>0</v>
      </c>
      <c r="L4938" s="4" t="str">
        <f>IFERROR(VLOOKUP(ROWS($L$2:L4938),$B$2:$C$1996,2,0),"")</f>
        <v/>
      </c>
      <c r="N4938" s="2" t="str">
        <f>IFERROR(VLOOKUP(ROWS($N$2:N4938),$D$2:$E$1996,2,0),"")</f>
        <v/>
      </c>
    </row>
    <row r="4939" spans="2:14">
      <c r="B4939" s="32">
        <f>IF(ISNUMBER(SEARCH('Φόρμα Εισαγωγής'!$B$2,C4939)),MAX($B$1:B4938)+1,0)</f>
        <v>0</v>
      </c>
      <c r="D4939" s="33">
        <f>IF(ISNUMBER(SEARCH('Φόρμα Εισαγωγής'!$C$2,E4939)),MAX($D$1:D4938)+1,0)</f>
        <v>0</v>
      </c>
      <c r="H4939" s="6">
        <f t="shared" si="242"/>
        <v>0</v>
      </c>
      <c r="I4939" s="6">
        <f t="shared" si="243"/>
        <v>0</v>
      </c>
      <c r="J4939" s="6">
        <f t="shared" si="244"/>
        <v>0</v>
      </c>
      <c r="L4939" s="4" t="str">
        <f>IFERROR(VLOOKUP(ROWS($L$2:L4939),$B$2:$C$1996,2,0),"")</f>
        <v/>
      </c>
      <c r="N4939" s="2" t="str">
        <f>IFERROR(VLOOKUP(ROWS($N$2:N4939),$D$2:$E$1996,2,0),"")</f>
        <v/>
      </c>
    </row>
    <row r="4940" spans="2:14">
      <c r="B4940" s="32">
        <f>IF(ISNUMBER(SEARCH('Φόρμα Εισαγωγής'!$B$2,C4940)),MAX($B$1:B4939)+1,0)</f>
        <v>0</v>
      </c>
      <c r="D4940" s="33">
        <f>IF(ISNUMBER(SEARCH('Φόρμα Εισαγωγής'!$C$2,E4940)),MAX($D$1:D4939)+1,0)</f>
        <v>0</v>
      </c>
      <c r="H4940" s="6">
        <f t="shared" si="242"/>
        <v>0</v>
      </c>
      <c r="I4940" s="6">
        <f t="shared" si="243"/>
        <v>0</v>
      </c>
      <c r="J4940" s="6">
        <f t="shared" si="244"/>
        <v>0</v>
      </c>
      <c r="L4940" s="4" t="str">
        <f>IFERROR(VLOOKUP(ROWS($L$2:L4940),$B$2:$C$1996,2,0),"")</f>
        <v/>
      </c>
      <c r="N4940" s="2" t="str">
        <f>IFERROR(VLOOKUP(ROWS($N$2:N4940),$D$2:$E$1996,2,0),"")</f>
        <v/>
      </c>
    </row>
    <row r="4941" spans="2:14">
      <c r="B4941" s="32">
        <f>IF(ISNUMBER(SEARCH('Φόρμα Εισαγωγής'!$B$2,C4941)),MAX($B$1:B4940)+1,0)</f>
        <v>0</v>
      </c>
      <c r="D4941" s="33">
        <f>IF(ISNUMBER(SEARCH('Φόρμα Εισαγωγής'!$C$2,E4941)),MAX($D$1:D4940)+1,0)</f>
        <v>0</v>
      </c>
      <c r="H4941" s="6">
        <f t="shared" si="242"/>
        <v>0</v>
      </c>
      <c r="I4941" s="6">
        <f t="shared" si="243"/>
        <v>0</v>
      </c>
      <c r="J4941" s="6">
        <f t="shared" si="244"/>
        <v>0</v>
      </c>
      <c r="L4941" s="4" t="str">
        <f>IFERROR(VLOOKUP(ROWS($L$2:L4941),$B$2:$C$1996,2,0),"")</f>
        <v/>
      </c>
      <c r="N4941" s="2" t="str">
        <f>IFERROR(VLOOKUP(ROWS($N$2:N4941),$D$2:$E$1996,2,0),"")</f>
        <v/>
      </c>
    </row>
    <row r="4942" spans="2:14">
      <c r="B4942" s="32">
        <f>IF(ISNUMBER(SEARCH('Φόρμα Εισαγωγής'!$B$2,C4942)),MAX($B$1:B4941)+1,0)</f>
        <v>0</v>
      </c>
      <c r="D4942" s="33">
        <f>IF(ISNUMBER(SEARCH('Φόρμα Εισαγωγής'!$C$2,E4942)),MAX($D$1:D4941)+1,0)</f>
        <v>0</v>
      </c>
      <c r="H4942" s="6">
        <f t="shared" si="242"/>
        <v>0</v>
      </c>
      <c r="I4942" s="6">
        <f t="shared" si="243"/>
        <v>0</v>
      </c>
      <c r="J4942" s="6">
        <f t="shared" si="244"/>
        <v>0</v>
      </c>
      <c r="L4942" s="4" t="str">
        <f>IFERROR(VLOOKUP(ROWS($L$2:L4942),$B$2:$C$1996,2,0),"")</f>
        <v/>
      </c>
      <c r="N4942" s="2" t="str">
        <f>IFERROR(VLOOKUP(ROWS($N$2:N4942),$D$2:$E$1996,2,0),"")</f>
        <v/>
      </c>
    </row>
    <row r="4943" spans="2:14">
      <c r="B4943" s="32">
        <f>IF(ISNUMBER(SEARCH('Φόρμα Εισαγωγής'!$B$2,C4943)),MAX($B$1:B4942)+1,0)</f>
        <v>0</v>
      </c>
      <c r="D4943" s="33">
        <f>IF(ISNUMBER(SEARCH('Φόρμα Εισαγωγής'!$C$2,E4943)),MAX($D$1:D4942)+1,0)</f>
        <v>0</v>
      </c>
      <c r="H4943" s="6">
        <f t="shared" si="242"/>
        <v>0</v>
      </c>
      <c r="I4943" s="6">
        <f t="shared" si="243"/>
        <v>0</v>
      </c>
      <c r="J4943" s="6">
        <f t="shared" si="244"/>
        <v>0</v>
      </c>
      <c r="L4943" s="4" t="str">
        <f>IFERROR(VLOOKUP(ROWS($L$2:L4943),$B$2:$C$1996,2,0),"")</f>
        <v/>
      </c>
      <c r="N4943" s="2" t="str">
        <f>IFERROR(VLOOKUP(ROWS($N$2:N4943),$D$2:$E$1996,2,0),"")</f>
        <v/>
      </c>
    </row>
    <row r="4944" spans="2:14">
      <c r="B4944" s="32">
        <f>IF(ISNUMBER(SEARCH('Φόρμα Εισαγωγής'!$B$2,C4944)),MAX($B$1:B4943)+1,0)</f>
        <v>0</v>
      </c>
      <c r="D4944" s="33">
        <f>IF(ISNUMBER(SEARCH('Φόρμα Εισαγωγής'!$C$2,E4944)),MAX($D$1:D4943)+1,0)</f>
        <v>0</v>
      </c>
      <c r="H4944" s="6">
        <f t="shared" si="242"/>
        <v>0</v>
      </c>
      <c r="I4944" s="6">
        <f t="shared" si="243"/>
        <v>0</v>
      </c>
      <c r="J4944" s="6">
        <f t="shared" si="244"/>
        <v>0</v>
      </c>
      <c r="L4944" s="4" t="str">
        <f>IFERROR(VLOOKUP(ROWS($L$2:L4944),$B$2:$C$1996,2,0),"")</f>
        <v/>
      </c>
      <c r="N4944" s="2" t="str">
        <f>IFERROR(VLOOKUP(ROWS($N$2:N4944),$D$2:$E$1996,2,0),"")</f>
        <v/>
      </c>
    </row>
    <row r="4945" spans="2:14">
      <c r="B4945" s="32">
        <f>IF(ISNUMBER(SEARCH('Φόρμα Εισαγωγής'!$B$2,C4945)),MAX($B$1:B4944)+1,0)</f>
        <v>0</v>
      </c>
      <c r="D4945" s="33">
        <f>IF(ISNUMBER(SEARCH('Φόρμα Εισαγωγής'!$C$2,E4945)),MAX($D$1:D4944)+1,0)</f>
        <v>0</v>
      </c>
      <c r="H4945" s="6">
        <f t="shared" si="242"/>
        <v>0</v>
      </c>
      <c r="I4945" s="6">
        <f t="shared" si="243"/>
        <v>0</v>
      </c>
      <c r="J4945" s="6">
        <f t="shared" si="244"/>
        <v>0</v>
      </c>
      <c r="L4945" s="4" t="str">
        <f>IFERROR(VLOOKUP(ROWS($L$2:L4945),$B$2:$C$1996,2,0),"")</f>
        <v/>
      </c>
      <c r="N4945" s="2" t="str">
        <f>IFERROR(VLOOKUP(ROWS($N$2:N4945),$D$2:$E$1996,2,0),"")</f>
        <v/>
      </c>
    </row>
    <row r="4946" spans="2:14">
      <c r="B4946" s="32">
        <f>IF(ISNUMBER(SEARCH('Φόρμα Εισαγωγής'!$B$2,C4946)),MAX($B$1:B4945)+1,0)</f>
        <v>0</v>
      </c>
      <c r="D4946" s="33">
        <f>IF(ISNUMBER(SEARCH('Φόρμα Εισαγωγής'!$C$2,E4946)),MAX($D$1:D4945)+1,0)</f>
        <v>0</v>
      </c>
      <c r="H4946" s="6">
        <f t="shared" si="242"/>
        <v>0</v>
      </c>
      <c r="I4946" s="6">
        <f t="shared" si="243"/>
        <v>0</v>
      </c>
      <c r="J4946" s="6">
        <f t="shared" si="244"/>
        <v>0</v>
      </c>
      <c r="L4946" s="4" t="str">
        <f>IFERROR(VLOOKUP(ROWS($L$2:L4946),$B$2:$C$1996,2,0),"")</f>
        <v/>
      </c>
      <c r="N4946" s="2" t="str">
        <f>IFERROR(VLOOKUP(ROWS($N$2:N4946),$D$2:$E$1996,2,0),"")</f>
        <v/>
      </c>
    </row>
    <row r="4947" spans="2:14">
      <c r="B4947" s="32">
        <f>IF(ISNUMBER(SEARCH('Φόρμα Εισαγωγής'!$B$2,C4947)),MAX($B$1:B4946)+1,0)</f>
        <v>0</v>
      </c>
      <c r="D4947" s="33">
        <f>IF(ISNUMBER(SEARCH('Φόρμα Εισαγωγής'!$C$2,E4947)),MAX($D$1:D4946)+1,0)</f>
        <v>0</v>
      </c>
      <c r="H4947" s="6">
        <f t="shared" si="242"/>
        <v>0</v>
      </c>
      <c r="I4947" s="6">
        <f t="shared" si="243"/>
        <v>0</v>
      </c>
      <c r="J4947" s="6">
        <f t="shared" si="244"/>
        <v>0</v>
      </c>
      <c r="L4947" s="4" t="str">
        <f>IFERROR(VLOOKUP(ROWS($L$2:L4947),$B$2:$C$1996,2,0),"")</f>
        <v/>
      </c>
      <c r="N4947" s="2" t="str">
        <f>IFERROR(VLOOKUP(ROWS($N$2:N4947),$D$2:$E$1996,2,0),"")</f>
        <v/>
      </c>
    </row>
    <row r="4948" spans="2:14">
      <c r="B4948" s="32">
        <f>IF(ISNUMBER(SEARCH('Φόρμα Εισαγωγής'!$B$2,C4948)),MAX($B$1:B4947)+1,0)</f>
        <v>0</v>
      </c>
      <c r="D4948" s="33">
        <f>IF(ISNUMBER(SEARCH('Φόρμα Εισαγωγής'!$C$2,E4948)),MAX($D$1:D4947)+1,0)</f>
        <v>0</v>
      </c>
      <c r="H4948" s="6">
        <f t="shared" si="242"/>
        <v>0</v>
      </c>
      <c r="I4948" s="6">
        <f t="shared" si="243"/>
        <v>0</v>
      </c>
      <c r="J4948" s="6">
        <f t="shared" si="244"/>
        <v>0</v>
      </c>
      <c r="L4948" s="4" t="str">
        <f>IFERROR(VLOOKUP(ROWS($L$2:L4948),$B$2:$C$1996,2,0),"")</f>
        <v/>
      </c>
      <c r="N4948" s="2" t="str">
        <f>IFERROR(VLOOKUP(ROWS($N$2:N4948),$D$2:$E$1996,2,0),"")</f>
        <v/>
      </c>
    </row>
    <row r="4949" spans="2:14">
      <c r="B4949" s="32">
        <f>IF(ISNUMBER(SEARCH('Φόρμα Εισαγωγής'!$B$2,C4949)),MAX($B$1:B4948)+1,0)</f>
        <v>0</v>
      </c>
      <c r="D4949" s="33">
        <f>IF(ISNUMBER(SEARCH('Φόρμα Εισαγωγής'!$C$2,E4949)),MAX($D$1:D4948)+1,0)</f>
        <v>0</v>
      </c>
      <c r="H4949" s="6">
        <f t="shared" si="242"/>
        <v>0</v>
      </c>
      <c r="I4949" s="6">
        <f t="shared" si="243"/>
        <v>0</v>
      </c>
      <c r="J4949" s="6">
        <f t="shared" si="244"/>
        <v>0</v>
      </c>
      <c r="L4949" s="4" t="str">
        <f>IFERROR(VLOOKUP(ROWS($L$2:L4949),$B$2:$C$1996,2,0),"")</f>
        <v/>
      </c>
      <c r="N4949" s="2" t="str">
        <f>IFERROR(VLOOKUP(ROWS($N$2:N4949),$D$2:$E$1996,2,0),"")</f>
        <v/>
      </c>
    </row>
    <row r="4950" spans="2:14">
      <c r="B4950" s="32">
        <f>IF(ISNUMBER(SEARCH('Φόρμα Εισαγωγής'!$B$2,C4950)),MAX($B$1:B4949)+1,0)</f>
        <v>0</v>
      </c>
      <c r="D4950" s="33">
        <f>IF(ISNUMBER(SEARCH('Φόρμα Εισαγωγής'!$C$2,E4950)),MAX($D$1:D4949)+1,0)</f>
        <v>0</v>
      </c>
      <c r="H4950" s="6">
        <f t="shared" si="242"/>
        <v>0</v>
      </c>
      <c r="I4950" s="6">
        <f t="shared" si="243"/>
        <v>0</v>
      </c>
      <c r="J4950" s="6">
        <f t="shared" si="244"/>
        <v>0</v>
      </c>
      <c r="L4950" s="4" t="str">
        <f>IFERROR(VLOOKUP(ROWS($L$2:L4950),$B$2:$C$1996,2,0),"")</f>
        <v/>
      </c>
      <c r="N4950" s="2" t="str">
        <f>IFERROR(VLOOKUP(ROWS($N$2:N4950),$D$2:$E$1996,2,0),"")</f>
        <v/>
      </c>
    </row>
    <row r="4951" spans="2:14">
      <c r="B4951" s="32">
        <f>IF(ISNUMBER(SEARCH('Φόρμα Εισαγωγής'!$B$2,C4951)),MAX($B$1:B4950)+1,0)</f>
        <v>0</v>
      </c>
      <c r="D4951" s="33">
        <f>IF(ISNUMBER(SEARCH('Φόρμα Εισαγωγής'!$C$2,E4951)),MAX($D$1:D4950)+1,0)</f>
        <v>0</v>
      </c>
      <c r="H4951" s="6">
        <f t="shared" si="242"/>
        <v>0</v>
      </c>
      <c r="I4951" s="6">
        <f t="shared" si="243"/>
        <v>0</v>
      </c>
      <c r="J4951" s="6">
        <f t="shared" si="244"/>
        <v>0</v>
      </c>
      <c r="L4951" s="4" t="str">
        <f>IFERROR(VLOOKUP(ROWS($L$2:L4951),$B$2:$C$1996,2,0),"")</f>
        <v/>
      </c>
      <c r="N4951" s="2" t="str">
        <f>IFERROR(VLOOKUP(ROWS($N$2:N4951),$D$2:$E$1996,2,0),"")</f>
        <v/>
      </c>
    </row>
    <row r="4952" spans="2:14">
      <c r="B4952" s="32">
        <f>IF(ISNUMBER(SEARCH('Φόρμα Εισαγωγής'!$B$2,C4952)),MAX($B$1:B4951)+1,0)</f>
        <v>0</v>
      </c>
      <c r="D4952" s="33">
        <f>IF(ISNUMBER(SEARCH('Φόρμα Εισαγωγής'!$C$2,E4952)),MAX($D$1:D4951)+1,0)</f>
        <v>0</v>
      </c>
      <c r="H4952" s="6">
        <f t="shared" si="242"/>
        <v>0</v>
      </c>
      <c r="I4952" s="6">
        <f t="shared" si="243"/>
        <v>0</v>
      </c>
      <c r="J4952" s="6">
        <f t="shared" si="244"/>
        <v>0</v>
      </c>
      <c r="L4952" s="4" t="str">
        <f>IFERROR(VLOOKUP(ROWS($L$2:L4952),$B$2:$C$1996,2,0),"")</f>
        <v/>
      </c>
      <c r="N4952" s="2" t="str">
        <f>IFERROR(VLOOKUP(ROWS($N$2:N4952),$D$2:$E$1996,2,0),"")</f>
        <v/>
      </c>
    </row>
    <row r="4953" spans="2:14">
      <c r="B4953" s="32">
        <f>IF(ISNUMBER(SEARCH('Φόρμα Εισαγωγής'!$B$2,C4953)),MAX($B$1:B4952)+1,0)</f>
        <v>0</v>
      </c>
      <c r="D4953" s="33">
        <f>IF(ISNUMBER(SEARCH('Φόρμα Εισαγωγής'!$C$2,E4953)),MAX($D$1:D4952)+1,0)</f>
        <v>0</v>
      </c>
      <c r="H4953" s="6">
        <f t="shared" si="242"/>
        <v>0</v>
      </c>
      <c r="I4953" s="6">
        <f t="shared" si="243"/>
        <v>0</v>
      </c>
      <c r="J4953" s="6">
        <f t="shared" si="244"/>
        <v>0</v>
      </c>
      <c r="L4953" s="4" t="str">
        <f>IFERROR(VLOOKUP(ROWS($L$2:L4953),$B$2:$C$1996,2,0),"")</f>
        <v/>
      </c>
      <c r="N4953" s="2" t="str">
        <f>IFERROR(VLOOKUP(ROWS($N$2:N4953),$D$2:$E$1996,2,0),"")</f>
        <v/>
      </c>
    </row>
    <row r="4954" spans="2:14">
      <c r="B4954" s="32">
        <f>IF(ISNUMBER(SEARCH('Φόρμα Εισαγωγής'!$B$2,C4954)),MAX($B$1:B4953)+1,0)</f>
        <v>0</v>
      </c>
      <c r="D4954" s="33">
        <f>IF(ISNUMBER(SEARCH('Φόρμα Εισαγωγής'!$C$2,E4954)),MAX($D$1:D4953)+1,0)</f>
        <v>0</v>
      </c>
      <c r="H4954" s="6">
        <f t="shared" si="242"/>
        <v>0</v>
      </c>
      <c r="I4954" s="6">
        <f t="shared" si="243"/>
        <v>0</v>
      </c>
      <c r="J4954" s="6">
        <f t="shared" si="244"/>
        <v>0</v>
      </c>
      <c r="L4954" s="4" t="str">
        <f>IFERROR(VLOOKUP(ROWS($L$2:L4954),$B$2:$C$1996,2,0),"")</f>
        <v/>
      </c>
      <c r="N4954" s="2" t="str">
        <f>IFERROR(VLOOKUP(ROWS($N$2:N4954),$D$2:$E$1996,2,0),"")</f>
        <v/>
      </c>
    </row>
    <row r="4955" spans="2:14">
      <c r="B4955" s="32">
        <f>IF(ISNUMBER(SEARCH('Φόρμα Εισαγωγής'!$B$2,C4955)),MAX($B$1:B4954)+1,0)</f>
        <v>0</v>
      </c>
      <c r="D4955" s="33">
        <f>IF(ISNUMBER(SEARCH('Φόρμα Εισαγωγής'!$C$2,E4955)),MAX($D$1:D4954)+1,0)</f>
        <v>0</v>
      </c>
      <c r="H4955" s="6">
        <f t="shared" si="242"/>
        <v>0</v>
      </c>
      <c r="I4955" s="6">
        <f t="shared" si="243"/>
        <v>0</v>
      </c>
      <c r="J4955" s="6">
        <f t="shared" si="244"/>
        <v>0</v>
      </c>
      <c r="L4955" s="4" t="str">
        <f>IFERROR(VLOOKUP(ROWS($L$2:L4955),$B$2:$C$1996,2,0),"")</f>
        <v/>
      </c>
      <c r="N4955" s="2" t="str">
        <f>IFERROR(VLOOKUP(ROWS($N$2:N4955),$D$2:$E$1996,2,0),"")</f>
        <v/>
      </c>
    </row>
    <row r="4956" spans="2:14">
      <c r="B4956" s="32">
        <f>IF(ISNUMBER(SEARCH('Φόρμα Εισαγωγής'!$B$2,C4956)),MAX($B$1:B4955)+1,0)</f>
        <v>0</v>
      </c>
      <c r="D4956" s="33">
        <f>IF(ISNUMBER(SEARCH('Φόρμα Εισαγωγής'!$C$2,E4956)),MAX($D$1:D4955)+1,0)</f>
        <v>0</v>
      </c>
      <c r="H4956" s="6">
        <f t="shared" si="242"/>
        <v>0</v>
      </c>
      <c r="I4956" s="6">
        <f t="shared" si="243"/>
        <v>0</v>
      </c>
      <c r="J4956" s="6">
        <f t="shared" si="244"/>
        <v>0</v>
      </c>
      <c r="L4956" s="4" t="str">
        <f>IFERROR(VLOOKUP(ROWS($L$2:L4956),$B$2:$C$1996,2,0),"")</f>
        <v/>
      </c>
      <c r="N4956" s="2" t="str">
        <f>IFERROR(VLOOKUP(ROWS($N$2:N4956),$D$2:$E$1996,2,0),"")</f>
        <v/>
      </c>
    </row>
    <row r="4957" spans="2:14">
      <c r="B4957" s="32">
        <f>IF(ISNUMBER(SEARCH('Φόρμα Εισαγωγής'!$B$2,C4957)),MAX($B$1:B4956)+1,0)</f>
        <v>0</v>
      </c>
      <c r="D4957" s="33">
        <f>IF(ISNUMBER(SEARCH('Φόρμα Εισαγωγής'!$C$2,E4957)),MAX($D$1:D4956)+1,0)</f>
        <v>0</v>
      </c>
      <c r="H4957" s="6">
        <f t="shared" si="242"/>
        <v>0</v>
      </c>
      <c r="I4957" s="6">
        <f t="shared" si="243"/>
        <v>0</v>
      </c>
      <c r="J4957" s="6">
        <f t="shared" si="244"/>
        <v>0</v>
      </c>
      <c r="L4957" s="4" t="str">
        <f>IFERROR(VLOOKUP(ROWS($L$2:L4957),$B$2:$C$1996,2,0),"")</f>
        <v/>
      </c>
      <c r="N4957" s="2" t="str">
        <f>IFERROR(VLOOKUP(ROWS($N$2:N4957),$D$2:$E$1996,2,0),"")</f>
        <v/>
      </c>
    </row>
    <row r="4958" spans="2:14">
      <c r="B4958" s="32">
        <f>IF(ISNUMBER(SEARCH('Φόρμα Εισαγωγής'!$B$2,C4958)),MAX($B$1:B4957)+1,0)</f>
        <v>0</v>
      </c>
      <c r="D4958" s="33">
        <f>IF(ISNUMBER(SEARCH('Φόρμα Εισαγωγής'!$C$2,E4958)),MAX($D$1:D4957)+1,0)</f>
        <v>0</v>
      </c>
      <c r="H4958" s="6">
        <f t="shared" si="242"/>
        <v>0</v>
      </c>
      <c r="I4958" s="6">
        <f t="shared" si="243"/>
        <v>0</v>
      </c>
      <c r="J4958" s="6">
        <f t="shared" si="244"/>
        <v>0</v>
      </c>
      <c r="L4958" s="4" t="str">
        <f>IFERROR(VLOOKUP(ROWS($L$2:L4958),$B$2:$C$1996,2,0),"")</f>
        <v/>
      </c>
      <c r="N4958" s="2" t="str">
        <f>IFERROR(VLOOKUP(ROWS($N$2:N4958),$D$2:$E$1996,2,0),"")</f>
        <v/>
      </c>
    </row>
    <row r="4959" spans="2:14">
      <c r="B4959" s="32">
        <f>IF(ISNUMBER(SEARCH('Φόρμα Εισαγωγής'!$B$2,C4959)),MAX($B$1:B4958)+1,0)</f>
        <v>0</v>
      </c>
      <c r="D4959" s="33">
        <f>IF(ISNUMBER(SEARCH('Φόρμα Εισαγωγής'!$C$2,E4959)),MAX($D$1:D4958)+1,0)</f>
        <v>0</v>
      </c>
      <c r="H4959" s="6">
        <f t="shared" si="242"/>
        <v>0</v>
      </c>
      <c r="I4959" s="6">
        <f t="shared" si="243"/>
        <v>0</v>
      </c>
      <c r="J4959" s="6">
        <f t="shared" si="244"/>
        <v>0</v>
      </c>
      <c r="L4959" s="4" t="str">
        <f>IFERROR(VLOOKUP(ROWS($L$2:L4959),$B$2:$C$1996,2,0),"")</f>
        <v/>
      </c>
      <c r="N4959" s="2" t="str">
        <f>IFERROR(VLOOKUP(ROWS($N$2:N4959),$D$2:$E$1996,2,0),"")</f>
        <v/>
      </c>
    </row>
    <row r="4960" spans="2:14">
      <c r="B4960" s="32">
        <f>IF(ISNUMBER(SEARCH('Φόρμα Εισαγωγής'!$B$2,C4960)),MAX($B$1:B4959)+1,0)</f>
        <v>0</v>
      </c>
      <c r="D4960" s="33">
        <f>IF(ISNUMBER(SEARCH('Φόρμα Εισαγωγής'!$C$2,E4960)),MAX($D$1:D4959)+1,0)</f>
        <v>0</v>
      </c>
      <c r="H4960" s="6">
        <f t="shared" si="242"/>
        <v>0</v>
      </c>
      <c r="I4960" s="6">
        <f t="shared" si="243"/>
        <v>0</v>
      </c>
      <c r="J4960" s="6">
        <f t="shared" si="244"/>
        <v>0</v>
      </c>
      <c r="L4960" s="4" t="str">
        <f>IFERROR(VLOOKUP(ROWS($L$2:L4960),$B$2:$C$1996,2,0),"")</f>
        <v/>
      </c>
      <c r="N4960" s="2" t="str">
        <f>IFERROR(VLOOKUP(ROWS($N$2:N4960),$D$2:$E$1996,2,0),"")</f>
        <v/>
      </c>
    </row>
    <row r="4961" spans="2:14">
      <c r="B4961" s="32">
        <f>IF(ISNUMBER(SEARCH('Φόρμα Εισαγωγής'!$B$2,C4961)),MAX($B$1:B4960)+1,0)</f>
        <v>0</v>
      </c>
      <c r="D4961" s="33">
        <f>IF(ISNUMBER(SEARCH('Φόρμα Εισαγωγής'!$C$2,E4961)),MAX($D$1:D4960)+1,0)</f>
        <v>0</v>
      </c>
      <c r="H4961" s="6">
        <f t="shared" si="242"/>
        <v>0</v>
      </c>
      <c r="I4961" s="6">
        <f t="shared" si="243"/>
        <v>0</v>
      </c>
      <c r="J4961" s="6">
        <f t="shared" si="244"/>
        <v>0</v>
      </c>
      <c r="L4961" s="4" t="str">
        <f>IFERROR(VLOOKUP(ROWS($L$2:L4961),$B$2:$C$1996,2,0),"")</f>
        <v/>
      </c>
      <c r="N4961" s="2" t="str">
        <f>IFERROR(VLOOKUP(ROWS($N$2:N4961),$D$2:$E$1996,2,0),"")</f>
        <v/>
      </c>
    </row>
    <row r="4962" spans="2:14">
      <c r="B4962" s="32">
        <f>IF(ISNUMBER(SEARCH('Φόρμα Εισαγωγής'!$B$2,C4962)),MAX($B$1:B4961)+1,0)</f>
        <v>0</v>
      </c>
      <c r="D4962" s="33">
        <f>IF(ISNUMBER(SEARCH('Φόρμα Εισαγωγής'!$C$2,E4962)),MAX($D$1:D4961)+1,0)</f>
        <v>0</v>
      </c>
      <c r="H4962" s="6">
        <f t="shared" si="242"/>
        <v>0</v>
      </c>
      <c r="I4962" s="6">
        <f t="shared" si="243"/>
        <v>0</v>
      </c>
      <c r="J4962" s="6">
        <f t="shared" si="244"/>
        <v>0</v>
      </c>
      <c r="L4962" s="4" t="str">
        <f>IFERROR(VLOOKUP(ROWS($L$2:L4962),$B$2:$C$1996,2,0),"")</f>
        <v/>
      </c>
      <c r="N4962" s="2" t="str">
        <f>IFERROR(VLOOKUP(ROWS($N$2:N4962),$D$2:$E$1996,2,0),"")</f>
        <v/>
      </c>
    </row>
    <row r="4963" spans="2:14">
      <c r="B4963" s="32">
        <f>IF(ISNUMBER(SEARCH('Φόρμα Εισαγωγής'!$B$2,C4963)),MAX($B$1:B4962)+1,0)</f>
        <v>0</v>
      </c>
      <c r="D4963" s="33">
        <f>IF(ISNUMBER(SEARCH('Φόρμα Εισαγωγής'!$C$2,E4963)),MAX($D$1:D4962)+1,0)</f>
        <v>0</v>
      </c>
      <c r="H4963" s="6">
        <f t="shared" si="242"/>
        <v>0</v>
      </c>
      <c r="I4963" s="6">
        <f t="shared" si="243"/>
        <v>0</v>
      </c>
      <c r="J4963" s="6">
        <f t="shared" si="244"/>
        <v>0</v>
      </c>
      <c r="L4963" s="4" t="str">
        <f>IFERROR(VLOOKUP(ROWS($L$2:L4963),$B$2:$C$1996,2,0),"")</f>
        <v/>
      </c>
      <c r="N4963" s="2" t="str">
        <f>IFERROR(VLOOKUP(ROWS($N$2:N4963),$D$2:$E$1996,2,0),"")</f>
        <v/>
      </c>
    </row>
    <row r="4964" spans="2:14">
      <c r="B4964" s="32">
        <f>IF(ISNUMBER(SEARCH('Φόρμα Εισαγωγής'!$B$2,C4964)),MAX($B$1:B4963)+1,0)</f>
        <v>0</v>
      </c>
      <c r="D4964" s="33">
        <f>IF(ISNUMBER(SEARCH('Φόρμα Εισαγωγής'!$C$2,E4964)),MAX($D$1:D4963)+1,0)</f>
        <v>0</v>
      </c>
      <c r="H4964" s="6">
        <f t="shared" si="242"/>
        <v>0</v>
      </c>
      <c r="I4964" s="6">
        <f t="shared" si="243"/>
        <v>0</v>
      </c>
      <c r="J4964" s="6">
        <f t="shared" si="244"/>
        <v>0</v>
      </c>
      <c r="L4964" s="4" t="str">
        <f>IFERROR(VLOOKUP(ROWS($L$2:L4964),$B$2:$C$1996,2,0),"")</f>
        <v/>
      </c>
      <c r="N4964" s="2" t="str">
        <f>IFERROR(VLOOKUP(ROWS($N$2:N4964),$D$2:$E$1996,2,0),"")</f>
        <v/>
      </c>
    </row>
    <row r="4965" spans="2:14">
      <c r="B4965" s="32">
        <f>IF(ISNUMBER(SEARCH('Φόρμα Εισαγωγής'!$B$2,C4965)),MAX($B$1:B4964)+1,0)</f>
        <v>0</v>
      </c>
      <c r="D4965" s="33">
        <f>IF(ISNUMBER(SEARCH('Φόρμα Εισαγωγής'!$C$2,E4965)),MAX($D$1:D4964)+1,0)</f>
        <v>0</v>
      </c>
      <c r="H4965" s="6">
        <f t="shared" si="242"/>
        <v>0</v>
      </c>
      <c r="I4965" s="6">
        <f t="shared" si="243"/>
        <v>0</v>
      </c>
      <c r="J4965" s="6">
        <f t="shared" si="244"/>
        <v>0</v>
      </c>
      <c r="L4965" s="4" t="str">
        <f>IFERROR(VLOOKUP(ROWS($L$2:L4965),$B$2:$C$1996,2,0),"")</f>
        <v/>
      </c>
      <c r="N4965" s="2" t="str">
        <f>IFERROR(VLOOKUP(ROWS($N$2:N4965),$D$2:$E$1996,2,0),"")</f>
        <v/>
      </c>
    </row>
    <row r="4966" spans="2:14">
      <c r="B4966" s="32">
        <f>IF(ISNUMBER(SEARCH('Φόρμα Εισαγωγής'!$B$2,C4966)),MAX($B$1:B4965)+1,0)</f>
        <v>0</v>
      </c>
      <c r="D4966" s="33">
        <f>IF(ISNUMBER(SEARCH('Φόρμα Εισαγωγής'!$C$2,E4966)),MAX($D$1:D4965)+1,0)</f>
        <v>0</v>
      </c>
      <c r="H4966" s="6">
        <f t="shared" si="242"/>
        <v>0</v>
      </c>
      <c r="I4966" s="6">
        <f t="shared" si="243"/>
        <v>0</v>
      </c>
      <c r="J4966" s="6">
        <f t="shared" si="244"/>
        <v>0</v>
      </c>
      <c r="L4966" s="4" t="str">
        <f>IFERROR(VLOOKUP(ROWS($L$2:L4966),$B$2:$C$1996,2,0),"")</f>
        <v/>
      </c>
      <c r="N4966" s="2" t="str">
        <f>IFERROR(VLOOKUP(ROWS($N$2:N4966),$D$2:$E$1996,2,0),"")</f>
        <v/>
      </c>
    </row>
    <row r="4967" spans="2:14">
      <c r="B4967" s="32">
        <f>IF(ISNUMBER(SEARCH('Φόρμα Εισαγωγής'!$B$2,C4967)),MAX($B$1:B4966)+1,0)</f>
        <v>0</v>
      </c>
      <c r="D4967" s="33">
        <f>IF(ISNUMBER(SEARCH('Φόρμα Εισαγωγής'!$C$2,E4967)),MAX($D$1:D4966)+1,0)</f>
        <v>0</v>
      </c>
      <c r="H4967" s="6">
        <f t="shared" si="242"/>
        <v>0</v>
      </c>
      <c r="I4967" s="6">
        <f t="shared" si="243"/>
        <v>0</v>
      </c>
      <c r="J4967" s="6">
        <f t="shared" si="244"/>
        <v>0</v>
      </c>
      <c r="L4967" s="4" t="str">
        <f>IFERROR(VLOOKUP(ROWS($L$2:L4967),$B$2:$C$1996,2,0),"")</f>
        <v/>
      </c>
      <c r="N4967" s="2" t="str">
        <f>IFERROR(VLOOKUP(ROWS($N$2:N4967),$D$2:$E$1996,2,0),"")</f>
        <v/>
      </c>
    </row>
    <row r="4968" spans="2:14">
      <c r="B4968" s="32">
        <f>IF(ISNUMBER(SEARCH('Φόρμα Εισαγωγής'!$B$2,C4968)),MAX($B$1:B4967)+1,0)</f>
        <v>0</v>
      </c>
      <c r="D4968" s="33">
        <f>IF(ISNUMBER(SEARCH('Φόρμα Εισαγωγής'!$C$2,E4968)),MAX($D$1:D4967)+1,0)</f>
        <v>0</v>
      </c>
      <c r="H4968" s="6">
        <f t="shared" si="242"/>
        <v>0</v>
      </c>
      <c r="I4968" s="6">
        <f t="shared" si="243"/>
        <v>0</v>
      </c>
      <c r="J4968" s="6">
        <f t="shared" si="244"/>
        <v>0</v>
      </c>
      <c r="L4968" s="4" t="str">
        <f>IFERROR(VLOOKUP(ROWS($L$2:L4968),$B$2:$C$1996,2,0),"")</f>
        <v/>
      </c>
      <c r="N4968" s="2" t="str">
        <f>IFERROR(VLOOKUP(ROWS($N$2:N4968),$D$2:$E$1996,2,0),"")</f>
        <v/>
      </c>
    </row>
    <row r="4969" spans="2:14">
      <c r="B4969" s="32">
        <f>IF(ISNUMBER(SEARCH('Φόρμα Εισαγωγής'!$B$2,C4969)),MAX($B$1:B4968)+1,0)</f>
        <v>0</v>
      </c>
      <c r="D4969" s="33">
        <f>IF(ISNUMBER(SEARCH('Φόρμα Εισαγωγής'!$C$2,E4969)),MAX($D$1:D4968)+1,0)</f>
        <v>0</v>
      </c>
      <c r="H4969" s="6">
        <f t="shared" si="242"/>
        <v>0</v>
      </c>
      <c r="I4969" s="6">
        <f t="shared" si="243"/>
        <v>0</v>
      </c>
      <c r="J4969" s="6">
        <f t="shared" si="244"/>
        <v>0</v>
      </c>
      <c r="L4969" s="4" t="str">
        <f>IFERROR(VLOOKUP(ROWS($L$2:L4969),$B$2:$C$1996,2,0),"")</f>
        <v/>
      </c>
      <c r="N4969" s="2" t="str">
        <f>IFERROR(VLOOKUP(ROWS($N$2:N4969),$D$2:$E$1996,2,0),"")</f>
        <v/>
      </c>
    </row>
    <row r="4970" spans="2:14">
      <c r="B4970" s="32">
        <f>IF(ISNUMBER(SEARCH('Φόρμα Εισαγωγής'!$B$2,C4970)),MAX($B$1:B4969)+1,0)</f>
        <v>0</v>
      </c>
      <c r="D4970" s="33">
        <f>IF(ISNUMBER(SEARCH('Φόρμα Εισαγωγής'!$C$2,E4970)),MAX($D$1:D4969)+1,0)</f>
        <v>0</v>
      </c>
      <c r="H4970" s="6">
        <f t="shared" si="242"/>
        <v>0</v>
      </c>
      <c r="I4970" s="6">
        <f t="shared" si="243"/>
        <v>0</v>
      </c>
      <c r="J4970" s="6">
        <f t="shared" si="244"/>
        <v>0</v>
      </c>
      <c r="L4970" s="4" t="str">
        <f>IFERROR(VLOOKUP(ROWS($L$2:L4970),$B$2:$C$1996,2,0),"")</f>
        <v/>
      </c>
      <c r="N4970" s="2" t="str">
        <f>IFERROR(VLOOKUP(ROWS($N$2:N4970),$D$2:$E$1996,2,0),"")</f>
        <v/>
      </c>
    </row>
    <row r="4971" spans="2:14">
      <c r="B4971" s="32">
        <f>IF(ISNUMBER(SEARCH('Φόρμα Εισαγωγής'!$B$2,C4971)),MAX($B$1:B4970)+1,0)</f>
        <v>0</v>
      </c>
      <c r="D4971" s="33">
        <f>IF(ISNUMBER(SEARCH('Φόρμα Εισαγωγής'!$C$2,E4971)),MAX($D$1:D4970)+1,0)</f>
        <v>0</v>
      </c>
      <c r="H4971" s="6">
        <f t="shared" si="242"/>
        <v>0</v>
      </c>
      <c r="I4971" s="6">
        <f t="shared" si="243"/>
        <v>0</v>
      </c>
      <c r="J4971" s="6">
        <f t="shared" si="244"/>
        <v>0</v>
      </c>
      <c r="L4971" s="4" t="str">
        <f>IFERROR(VLOOKUP(ROWS($L$2:L4971),$B$2:$C$1996,2,0),"")</f>
        <v/>
      </c>
      <c r="N4971" s="2" t="str">
        <f>IFERROR(VLOOKUP(ROWS($N$2:N4971),$D$2:$E$1996,2,0),"")</f>
        <v/>
      </c>
    </row>
    <row r="4972" spans="2:14">
      <c r="B4972" s="32">
        <f>IF(ISNUMBER(SEARCH('Φόρμα Εισαγωγής'!$B$2,C4972)),MAX($B$1:B4971)+1,0)</f>
        <v>0</v>
      </c>
      <c r="D4972" s="33">
        <f>IF(ISNUMBER(SEARCH('Φόρμα Εισαγωγής'!$C$2,E4972)),MAX($D$1:D4971)+1,0)</f>
        <v>0</v>
      </c>
      <c r="H4972" s="6">
        <f t="shared" si="242"/>
        <v>0</v>
      </c>
      <c r="I4972" s="6">
        <f t="shared" si="243"/>
        <v>0</v>
      </c>
      <c r="J4972" s="6">
        <f t="shared" si="244"/>
        <v>0</v>
      </c>
      <c r="L4972" s="4" t="str">
        <f>IFERROR(VLOOKUP(ROWS($L$2:L4972),$B$2:$C$1996,2,0),"")</f>
        <v/>
      </c>
      <c r="N4972" s="2" t="str">
        <f>IFERROR(VLOOKUP(ROWS($N$2:N4972),$D$2:$E$1996,2,0),"")</f>
        <v/>
      </c>
    </row>
    <row r="4973" spans="2:14">
      <c r="B4973" s="32">
        <f>IF(ISNUMBER(SEARCH('Φόρμα Εισαγωγής'!$B$2,C4973)),MAX($B$1:B4972)+1,0)</f>
        <v>0</v>
      </c>
      <c r="D4973" s="33">
        <f>IF(ISNUMBER(SEARCH('Φόρμα Εισαγωγής'!$C$2,E4973)),MAX($D$1:D4972)+1,0)</f>
        <v>0</v>
      </c>
      <c r="H4973" s="6">
        <f t="shared" si="242"/>
        <v>0</v>
      </c>
      <c r="I4973" s="6">
        <f t="shared" si="243"/>
        <v>0</v>
      </c>
      <c r="J4973" s="6">
        <f t="shared" si="244"/>
        <v>0</v>
      </c>
      <c r="L4973" s="4" t="str">
        <f>IFERROR(VLOOKUP(ROWS($L$2:L4973),$B$2:$C$1996,2,0),"")</f>
        <v/>
      </c>
      <c r="N4973" s="2" t="str">
        <f>IFERROR(VLOOKUP(ROWS($N$2:N4973),$D$2:$E$1996,2,0),"")</f>
        <v/>
      </c>
    </row>
    <row r="4974" spans="2:14">
      <c r="B4974" s="32">
        <f>IF(ISNUMBER(SEARCH('Φόρμα Εισαγωγής'!$B$2,C4974)),MAX($B$1:B4973)+1,0)</f>
        <v>0</v>
      </c>
      <c r="D4974" s="33">
        <f>IF(ISNUMBER(SEARCH('Φόρμα Εισαγωγής'!$C$2,E4974)),MAX($D$1:D4973)+1,0)</f>
        <v>0</v>
      </c>
      <c r="H4974" s="6">
        <f t="shared" si="242"/>
        <v>0</v>
      </c>
      <c r="I4974" s="6">
        <f t="shared" si="243"/>
        <v>0</v>
      </c>
      <c r="J4974" s="6">
        <f t="shared" si="244"/>
        <v>0</v>
      </c>
      <c r="L4974" s="4" t="str">
        <f>IFERROR(VLOOKUP(ROWS($L$2:L4974),$B$2:$C$1996,2,0),"")</f>
        <v/>
      </c>
      <c r="N4974" s="2" t="str">
        <f>IFERROR(VLOOKUP(ROWS($N$2:N4974),$D$2:$E$1996,2,0),"")</f>
        <v/>
      </c>
    </row>
    <row r="4975" spans="2:14">
      <c r="B4975" s="32">
        <f>IF(ISNUMBER(SEARCH('Φόρμα Εισαγωγής'!$B$2,C4975)),MAX($B$1:B4974)+1,0)</f>
        <v>0</v>
      </c>
      <c r="D4975" s="33">
        <f>IF(ISNUMBER(SEARCH('Φόρμα Εισαγωγής'!$C$2,E4975)),MAX($D$1:D4974)+1,0)</f>
        <v>0</v>
      </c>
      <c r="H4975" s="6">
        <f t="shared" si="242"/>
        <v>0</v>
      </c>
      <c r="I4975" s="6">
        <f t="shared" si="243"/>
        <v>0</v>
      </c>
      <c r="J4975" s="6">
        <f t="shared" si="244"/>
        <v>0</v>
      </c>
      <c r="L4975" s="4" t="str">
        <f>IFERROR(VLOOKUP(ROWS($L$2:L4975),$B$2:$C$1996,2,0),"")</f>
        <v/>
      </c>
      <c r="N4975" s="2" t="str">
        <f>IFERROR(VLOOKUP(ROWS($N$2:N4975),$D$2:$E$1996,2,0),"")</f>
        <v/>
      </c>
    </row>
    <row r="4976" spans="2:14">
      <c r="B4976" s="32">
        <f>IF(ISNUMBER(SEARCH('Φόρμα Εισαγωγής'!$B$2,C4976)),MAX($B$1:B4975)+1,0)</f>
        <v>0</v>
      </c>
      <c r="D4976" s="33">
        <f>IF(ISNUMBER(SEARCH('Φόρμα Εισαγωγής'!$C$2,E4976)),MAX($D$1:D4975)+1,0)</f>
        <v>0</v>
      </c>
      <c r="H4976" s="6">
        <f t="shared" si="242"/>
        <v>0</v>
      </c>
      <c r="I4976" s="6">
        <f t="shared" si="243"/>
        <v>0</v>
      </c>
      <c r="J4976" s="6">
        <f t="shared" si="244"/>
        <v>0</v>
      </c>
      <c r="L4976" s="4" t="str">
        <f>IFERROR(VLOOKUP(ROWS($L$2:L4976),$B$2:$C$1996,2,0),"")</f>
        <v/>
      </c>
      <c r="N4976" s="2" t="str">
        <f>IFERROR(VLOOKUP(ROWS($N$2:N4976),$D$2:$E$1996,2,0),"")</f>
        <v/>
      </c>
    </row>
    <row r="4977" spans="2:14">
      <c r="B4977" s="32">
        <f>IF(ISNUMBER(SEARCH('Φόρμα Εισαγωγής'!$B$2,C4977)),MAX($B$1:B4976)+1,0)</f>
        <v>0</v>
      </c>
      <c r="D4977" s="33">
        <f>IF(ISNUMBER(SEARCH('Φόρμα Εισαγωγής'!$C$2,E4977)),MAX($D$1:D4976)+1,0)</f>
        <v>0</v>
      </c>
      <c r="H4977" s="6">
        <f t="shared" si="242"/>
        <v>0</v>
      </c>
      <c r="I4977" s="6">
        <f t="shared" si="243"/>
        <v>0</v>
      </c>
      <c r="J4977" s="6">
        <f t="shared" si="244"/>
        <v>0</v>
      </c>
      <c r="L4977" s="4" t="str">
        <f>IFERROR(VLOOKUP(ROWS($L$2:L4977),$B$2:$C$1996,2,0),"")</f>
        <v/>
      </c>
      <c r="N4977" s="2" t="str">
        <f>IFERROR(VLOOKUP(ROWS($N$2:N4977),$D$2:$E$1996,2,0),"")</f>
        <v/>
      </c>
    </row>
    <row r="4978" spans="2:14">
      <c r="B4978" s="32">
        <f>IF(ISNUMBER(SEARCH('Φόρμα Εισαγωγής'!$B$2,C4978)),MAX($B$1:B4977)+1,0)</f>
        <v>0</v>
      </c>
      <c r="D4978" s="33">
        <f>IF(ISNUMBER(SEARCH('Φόρμα Εισαγωγής'!$C$2,E4978)),MAX($D$1:D4977)+1,0)</f>
        <v>0</v>
      </c>
      <c r="H4978" s="6">
        <f t="shared" si="242"/>
        <v>0</v>
      </c>
      <c r="I4978" s="6">
        <f t="shared" si="243"/>
        <v>0</v>
      </c>
      <c r="J4978" s="6">
        <f t="shared" si="244"/>
        <v>0</v>
      </c>
      <c r="L4978" s="4" t="str">
        <f>IFERROR(VLOOKUP(ROWS($L$2:L4978),$B$2:$C$1996,2,0),"")</f>
        <v/>
      </c>
      <c r="N4978" s="2" t="str">
        <f>IFERROR(VLOOKUP(ROWS($N$2:N4978),$D$2:$E$1996,2,0),"")</f>
        <v/>
      </c>
    </row>
    <row r="4979" spans="2:14">
      <c r="B4979" s="32">
        <f>IF(ISNUMBER(SEARCH('Φόρμα Εισαγωγής'!$B$2,C4979)),MAX($B$1:B4978)+1,0)</f>
        <v>0</v>
      </c>
      <c r="D4979" s="33">
        <f>IF(ISNUMBER(SEARCH('Φόρμα Εισαγωγής'!$C$2,E4979)),MAX($D$1:D4978)+1,0)</f>
        <v>0</v>
      </c>
      <c r="H4979" s="6">
        <f t="shared" si="242"/>
        <v>0</v>
      </c>
      <c r="I4979" s="6">
        <f t="shared" si="243"/>
        <v>0</v>
      </c>
      <c r="J4979" s="6">
        <f t="shared" si="244"/>
        <v>0</v>
      </c>
      <c r="L4979" s="4" t="str">
        <f>IFERROR(VLOOKUP(ROWS($L$2:L4979),$B$2:$C$1996,2,0),"")</f>
        <v/>
      </c>
      <c r="N4979" s="2" t="str">
        <f>IFERROR(VLOOKUP(ROWS($N$2:N4979),$D$2:$E$1996,2,0),"")</f>
        <v/>
      </c>
    </row>
    <row r="4980" spans="2:14">
      <c r="B4980" s="32">
        <f>IF(ISNUMBER(SEARCH('Φόρμα Εισαγωγής'!$B$2,C4980)),MAX($B$1:B4979)+1,0)</f>
        <v>0</v>
      </c>
      <c r="D4980" s="33">
        <f>IF(ISNUMBER(SEARCH('Φόρμα Εισαγωγής'!$C$2,E4980)),MAX($D$1:D4979)+1,0)</f>
        <v>0</v>
      </c>
      <c r="H4980" s="6">
        <f t="shared" si="242"/>
        <v>0</v>
      </c>
      <c r="I4980" s="6">
        <f t="shared" si="243"/>
        <v>0</v>
      </c>
      <c r="J4980" s="6">
        <f t="shared" si="244"/>
        <v>0</v>
      </c>
      <c r="L4980" s="4" t="str">
        <f>IFERROR(VLOOKUP(ROWS($L$2:L4980),$B$2:$C$1996,2,0),"")</f>
        <v/>
      </c>
      <c r="N4980" s="2" t="str">
        <f>IFERROR(VLOOKUP(ROWS($N$2:N4980),$D$2:$E$1996,2,0),"")</f>
        <v/>
      </c>
    </row>
    <row r="4981" spans="2:14">
      <c r="B4981" s="32">
        <f>IF(ISNUMBER(SEARCH('Φόρμα Εισαγωγής'!$B$2,C4981)),MAX($B$1:B4980)+1,0)</f>
        <v>0</v>
      </c>
      <c r="D4981" s="33">
        <f>IF(ISNUMBER(SEARCH('Φόρμα Εισαγωγής'!$C$2,E4981)),MAX($D$1:D4980)+1,0)</f>
        <v>0</v>
      </c>
      <c r="H4981" s="6">
        <f t="shared" si="242"/>
        <v>0</v>
      </c>
      <c r="I4981" s="6">
        <f t="shared" si="243"/>
        <v>0</v>
      </c>
      <c r="J4981" s="6">
        <f t="shared" si="244"/>
        <v>0</v>
      </c>
      <c r="L4981" s="4" t="str">
        <f>IFERROR(VLOOKUP(ROWS($L$2:L4981),$B$2:$C$1996,2,0),"")</f>
        <v/>
      </c>
      <c r="N4981" s="2" t="str">
        <f>IFERROR(VLOOKUP(ROWS($N$2:N4981),$D$2:$E$1996,2,0),"")</f>
        <v/>
      </c>
    </row>
    <row r="4982" spans="2:14">
      <c r="B4982" s="32">
        <f>IF(ISNUMBER(SEARCH('Φόρμα Εισαγωγής'!$B$2,C4982)),MAX($B$1:B4981)+1,0)</f>
        <v>0</v>
      </c>
      <c r="D4982" s="33">
        <f>IF(ISNUMBER(SEARCH('Φόρμα Εισαγωγής'!$C$2,E4982)),MAX($D$1:D4981)+1,0)</f>
        <v>0</v>
      </c>
      <c r="H4982" s="6">
        <f t="shared" si="242"/>
        <v>0</v>
      </c>
      <c r="I4982" s="6">
        <f t="shared" si="243"/>
        <v>0</v>
      </c>
      <c r="J4982" s="6">
        <f t="shared" si="244"/>
        <v>0</v>
      </c>
      <c r="L4982" s="4" t="str">
        <f>IFERROR(VLOOKUP(ROWS($L$2:L4982),$B$2:$C$1996,2,0),"")</f>
        <v/>
      </c>
      <c r="N4982" s="2" t="str">
        <f>IFERROR(VLOOKUP(ROWS($N$2:N4982),$D$2:$E$1996,2,0),"")</f>
        <v/>
      </c>
    </row>
    <row r="4983" spans="2:14">
      <c r="B4983" s="32">
        <f>IF(ISNUMBER(SEARCH('Φόρμα Εισαγωγής'!$B$2,C4983)),MAX($B$1:B4982)+1,0)</f>
        <v>0</v>
      </c>
      <c r="D4983" s="33">
        <f>IF(ISNUMBER(SEARCH('Φόρμα Εισαγωγής'!$C$2,E4983)),MAX($D$1:D4982)+1,0)</f>
        <v>0</v>
      </c>
      <c r="H4983" s="6">
        <f t="shared" si="242"/>
        <v>0</v>
      </c>
      <c r="I4983" s="6">
        <f t="shared" si="243"/>
        <v>0</v>
      </c>
      <c r="J4983" s="6">
        <f t="shared" si="244"/>
        <v>0</v>
      </c>
      <c r="L4983" s="4" t="str">
        <f>IFERROR(VLOOKUP(ROWS($L$2:L4983),$B$2:$C$1996,2,0),"")</f>
        <v/>
      </c>
      <c r="N4983" s="2" t="str">
        <f>IFERROR(VLOOKUP(ROWS($N$2:N4983),$D$2:$E$1996,2,0),"")</f>
        <v/>
      </c>
    </row>
    <row r="4984" spans="2:14">
      <c r="B4984" s="32">
        <f>IF(ISNUMBER(SEARCH('Φόρμα Εισαγωγής'!$B$2,C4984)),MAX($B$1:B4983)+1,0)</f>
        <v>0</v>
      </c>
      <c r="D4984" s="33">
        <f>IF(ISNUMBER(SEARCH('Φόρμα Εισαγωγής'!$C$2,E4984)),MAX($D$1:D4983)+1,0)</f>
        <v>0</v>
      </c>
      <c r="H4984" s="6">
        <f t="shared" si="242"/>
        <v>0</v>
      </c>
      <c r="I4984" s="6">
        <f t="shared" si="243"/>
        <v>0</v>
      </c>
      <c r="J4984" s="6">
        <f t="shared" si="244"/>
        <v>0</v>
      </c>
      <c r="L4984" s="4" t="str">
        <f>IFERROR(VLOOKUP(ROWS($L$2:L4984),$B$2:$C$1996,2,0),"")</f>
        <v/>
      </c>
      <c r="N4984" s="2" t="str">
        <f>IFERROR(VLOOKUP(ROWS($N$2:N4984),$D$2:$E$1996,2,0),"")</f>
        <v/>
      </c>
    </row>
    <row r="4985" spans="2:14">
      <c r="B4985" s="32">
        <f>IF(ISNUMBER(SEARCH('Φόρμα Εισαγωγής'!$B$2,C4985)),MAX($B$1:B4984)+1,0)</f>
        <v>0</v>
      </c>
      <c r="D4985" s="33">
        <f>IF(ISNUMBER(SEARCH('Φόρμα Εισαγωγής'!$C$2,E4985)),MAX($D$1:D4984)+1,0)</f>
        <v>0</v>
      </c>
      <c r="H4985" s="6">
        <f t="shared" si="242"/>
        <v>0</v>
      </c>
      <c r="I4985" s="6">
        <f t="shared" si="243"/>
        <v>0</v>
      </c>
      <c r="J4985" s="6">
        <f t="shared" si="244"/>
        <v>0</v>
      </c>
      <c r="L4985" s="4" t="str">
        <f>IFERROR(VLOOKUP(ROWS($L$2:L4985),$B$2:$C$1996,2,0),"")</f>
        <v/>
      </c>
      <c r="N4985" s="2" t="str">
        <f>IFERROR(VLOOKUP(ROWS($N$2:N4985),$D$2:$E$1996,2,0),"")</f>
        <v/>
      </c>
    </row>
    <row r="4986" spans="2:14">
      <c r="B4986" s="32">
        <f>IF(ISNUMBER(SEARCH('Φόρμα Εισαγωγής'!$B$2,C4986)),MAX($B$1:B4985)+1,0)</f>
        <v>0</v>
      </c>
      <c r="D4986" s="33">
        <f>IF(ISNUMBER(SEARCH('Φόρμα Εισαγωγής'!$C$2,E4986)),MAX($D$1:D4985)+1,0)</f>
        <v>0</v>
      </c>
      <c r="H4986" s="6">
        <f t="shared" si="242"/>
        <v>0</v>
      </c>
      <c r="I4986" s="6">
        <f t="shared" si="243"/>
        <v>0</v>
      </c>
      <c r="J4986" s="6">
        <f t="shared" si="244"/>
        <v>0</v>
      </c>
      <c r="L4986" s="4" t="str">
        <f>IFERROR(VLOOKUP(ROWS($L$2:L4986),$B$2:$C$1996,2,0),"")</f>
        <v/>
      </c>
      <c r="N4986" s="2" t="str">
        <f>IFERROR(VLOOKUP(ROWS($N$2:N4986),$D$2:$E$1996,2,0),"")</f>
        <v/>
      </c>
    </row>
    <row r="4987" spans="2:14">
      <c r="B4987" s="32">
        <f>IF(ISNUMBER(SEARCH('Φόρμα Εισαγωγής'!$B$2,C4987)),MAX($B$1:B4986)+1,0)</f>
        <v>0</v>
      </c>
      <c r="D4987" s="33">
        <f>IF(ISNUMBER(SEARCH('Φόρμα Εισαγωγής'!$C$2,E4987)),MAX($D$1:D4986)+1,0)</f>
        <v>0</v>
      </c>
      <c r="H4987" s="6">
        <f t="shared" si="242"/>
        <v>0</v>
      </c>
      <c r="I4987" s="6">
        <f t="shared" si="243"/>
        <v>0</v>
      </c>
      <c r="J4987" s="6">
        <f t="shared" si="244"/>
        <v>0</v>
      </c>
      <c r="L4987" s="4" t="str">
        <f>IFERROR(VLOOKUP(ROWS($L$2:L4987),$B$2:$C$1996,2,0),"")</f>
        <v/>
      </c>
      <c r="N4987" s="2" t="str">
        <f>IFERROR(VLOOKUP(ROWS($N$2:N4987),$D$2:$E$1996,2,0),"")</f>
        <v/>
      </c>
    </row>
    <row r="4988" spans="2:14">
      <c r="B4988" s="32">
        <f>IF(ISNUMBER(SEARCH('Φόρμα Εισαγωγής'!$B$2,C4988)),MAX($B$1:B4987)+1,0)</f>
        <v>0</v>
      </c>
      <c r="D4988" s="33">
        <f>IF(ISNUMBER(SEARCH('Φόρμα Εισαγωγής'!$C$2,E4988)),MAX($D$1:D4987)+1,0)</f>
        <v>0</v>
      </c>
      <c r="H4988" s="6">
        <f t="shared" si="242"/>
        <v>0</v>
      </c>
      <c r="I4988" s="6">
        <f t="shared" si="243"/>
        <v>0</v>
      </c>
      <c r="J4988" s="6">
        <f t="shared" si="244"/>
        <v>0</v>
      </c>
      <c r="L4988" s="4" t="str">
        <f>IFERROR(VLOOKUP(ROWS($L$2:L4988),$B$2:$C$1996,2,0),"")</f>
        <v/>
      </c>
      <c r="N4988" s="2" t="str">
        <f>IFERROR(VLOOKUP(ROWS($N$2:N4988),$D$2:$E$1996,2,0),"")</f>
        <v/>
      </c>
    </row>
    <row r="4989" spans="2:14">
      <c r="B4989" s="32">
        <f>IF(ISNUMBER(SEARCH('Φόρμα Εισαγωγής'!$B$2,C4989)),MAX($B$1:B4988)+1,0)</f>
        <v>0</v>
      </c>
      <c r="D4989" s="33">
        <f>IF(ISNUMBER(SEARCH('Φόρμα Εισαγωγής'!$C$2,E4989)),MAX($D$1:D4988)+1,0)</f>
        <v>0</v>
      </c>
      <c r="H4989" s="6">
        <f t="shared" si="242"/>
        <v>0</v>
      </c>
      <c r="I4989" s="6">
        <f t="shared" si="243"/>
        <v>0</v>
      </c>
      <c r="J4989" s="6">
        <f t="shared" si="244"/>
        <v>0</v>
      </c>
      <c r="L4989" s="4" t="str">
        <f>IFERROR(VLOOKUP(ROWS($L$2:L4989),$B$2:$C$1996,2,0),"")</f>
        <v/>
      </c>
      <c r="N4989" s="2" t="str">
        <f>IFERROR(VLOOKUP(ROWS($N$2:N4989),$D$2:$E$1996,2,0),"")</f>
        <v/>
      </c>
    </row>
    <row r="4990" spans="2:14">
      <c r="B4990" s="32">
        <f>IF(ISNUMBER(SEARCH('Φόρμα Εισαγωγής'!$B$2,C4990)),MAX($B$1:B4989)+1,0)</f>
        <v>0</v>
      </c>
      <c r="D4990" s="33">
        <f>IF(ISNUMBER(SEARCH('Φόρμα Εισαγωγής'!$C$2,E4990)),MAX($D$1:D4989)+1,0)</f>
        <v>0</v>
      </c>
      <c r="H4990" s="6">
        <f t="shared" si="242"/>
        <v>0</v>
      </c>
      <c r="I4990" s="6">
        <f t="shared" si="243"/>
        <v>0</v>
      </c>
      <c r="J4990" s="6">
        <f t="shared" si="244"/>
        <v>0</v>
      </c>
      <c r="L4990" s="4" t="str">
        <f>IFERROR(VLOOKUP(ROWS($L$2:L4990),$B$2:$C$1996,2,0),"")</f>
        <v/>
      </c>
      <c r="N4990" s="2" t="str">
        <f>IFERROR(VLOOKUP(ROWS($N$2:N4990),$D$2:$E$1996,2,0),"")</f>
        <v/>
      </c>
    </row>
    <row r="4991" spans="2:14">
      <c r="B4991" s="32">
        <f>IF(ISNUMBER(SEARCH('Φόρμα Εισαγωγής'!$B$2,C4991)),MAX($B$1:B4990)+1,0)</f>
        <v>0</v>
      </c>
      <c r="D4991" s="33">
        <f>IF(ISNUMBER(SEARCH('Φόρμα Εισαγωγής'!$C$2,E4991)),MAX($D$1:D4990)+1,0)</f>
        <v>0</v>
      </c>
      <c r="H4991" s="6">
        <f t="shared" si="242"/>
        <v>0</v>
      </c>
      <c r="I4991" s="6">
        <f t="shared" si="243"/>
        <v>0</v>
      </c>
      <c r="J4991" s="6">
        <f t="shared" si="244"/>
        <v>0</v>
      </c>
      <c r="L4991" s="4" t="str">
        <f>IFERROR(VLOOKUP(ROWS($L$2:L4991),$B$2:$C$1996,2,0),"")</f>
        <v/>
      </c>
      <c r="N4991" s="2" t="str">
        <f>IFERROR(VLOOKUP(ROWS($N$2:N4991),$D$2:$E$1996,2,0),"")</f>
        <v/>
      </c>
    </row>
    <row r="4992" spans="2:14">
      <c r="B4992" s="32">
        <f>IF(ISNUMBER(SEARCH('Φόρμα Εισαγωγής'!$B$2,C4992)),MAX($B$1:B4991)+1,0)</f>
        <v>0</v>
      </c>
      <c r="D4992" s="33">
        <f>IF(ISNUMBER(SEARCH('Φόρμα Εισαγωγής'!$C$2,E4992)),MAX($D$1:D4991)+1,0)</f>
        <v>0</v>
      </c>
      <c r="H4992" s="6">
        <f t="shared" ref="H4992:H5055" si="245">G4992+(G4992*0.24)</f>
        <v>0</v>
      </c>
      <c r="I4992" s="6">
        <f t="shared" ref="I4992:I5055" si="246">F4992*A4992</f>
        <v>0</v>
      </c>
      <c r="J4992" s="6">
        <f t="shared" ref="J4992:J5055" si="247">H4992*A4992</f>
        <v>0</v>
      </c>
      <c r="L4992" s="4" t="str">
        <f>IFERROR(VLOOKUP(ROWS($L$2:L4992),$B$2:$C$1996,2,0),"")</f>
        <v/>
      </c>
      <c r="N4992" s="2" t="str">
        <f>IFERROR(VLOOKUP(ROWS($N$2:N4992),$D$2:$E$1996,2,0),"")</f>
        <v/>
      </c>
    </row>
    <row r="4993" spans="2:14">
      <c r="B4993" s="32">
        <f>IF(ISNUMBER(SEARCH('Φόρμα Εισαγωγής'!$B$2,C4993)),MAX($B$1:B4992)+1,0)</f>
        <v>0</v>
      </c>
      <c r="D4993" s="33">
        <f>IF(ISNUMBER(SEARCH('Φόρμα Εισαγωγής'!$C$2,E4993)),MAX($D$1:D4992)+1,0)</f>
        <v>0</v>
      </c>
      <c r="H4993" s="6">
        <f t="shared" si="245"/>
        <v>0</v>
      </c>
      <c r="I4993" s="6">
        <f t="shared" si="246"/>
        <v>0</v>
      </c>
      <c r="J4993" s="6">
        <f t="shared" si="247"/>
        <v>0</v>
      </c>
      <c r="L4993" s="4" t="str">
        <f>IFERROR(VLOOKUP(ROWS($L$2:L4993),$B$2:$C$1996,2,0),"")</f>
        <v/>
      </c>
      <c r="N4993" s="2" t="str">
        <f>IFERROR(VLOOKUP(ROWS($N$2:N4993),$D$2:$E$1996,2,0),"")</f>
        <v/>
      </c>
    </row>
    <row r="4994" spans="2:14">
      <c r="B4994" s="32">
        <f>IF(ISNUMBER(SEARCH('Φόρμα Εισαγωγής'!$B$2,C4994)),MAX($B$1:B4993)+1,0)</f>
        <v>0</v>
      </c>
      <c r="D4994" s="33">
        <f>IF(ISNUMBER(SEARCH('Φόρμα Εισαγωγής'!$C$2,E4994)),MAX($D$1:D4993)+1,0)</f>
        <v>0</v>
      </c>
      <c r="H4994" s="6">
        <f t="shared" si="245"/>
        <v>0</v>
      </c>
      <c r="I4994" s="6">
        <f t="shared" si="246"/>
        <v>0</v>
      </c>
      <c r="J4994" s="6">
        <f t="shared" si="247"/>
        <v>0</v>
      </c>
      <c r="L4994" s="4" t="str">
        <f>IFERROR(VLOOKUP(ROWS($L$2:L4994),$B$2:$C$1996,2,0),"")</f>
        <v/>
      </c>
      <c r="N4994" s="2" t="str">
        <f>IFERROR(VLOOKUP(ROWS($N$2:N4994),$D$2:$E$1996,2,0),"")</f>
        <v/>
      </c>
    </row>
    <row r="4995" spans="2:14">
      <c r="B4995" s="32">
        <f>IF(ISNUMBER(SEARCH('Φόρμα Εισαγωγής'!$B$2,C4995)),MAX($B$1:B4994)+1,0)</f>
        <v>0</v>
      </c>
      <c r="D4995" s="33">
        <f>IF(ISNUMBER(SEARCH('Φόρμα Εισαγωγής'!$C$2,E4995)),MAX($D$1:D4994)+1,0)</f>
        <v>0</v>
      </c>
      <c r="H4995" s="6">
        <f t="shared" si="245"/>
        <v>0</v>
      </c>
      <c r="I4995" s="6">
        <f t="shared" si="246"/>
        <v>0</v>
      </c>
      <c r="J4995" s="6">
        <f t="shared" si="247"/>
        <v>0</v>
      </c>
      <c r="L4995" s="4" t="str">
        <f>IFERROR(VLOOKUP(ROWS($L$2:L4995),$B$2:$C$1996,2,0),"")</f>
        <v/>
      </c>
      <c r="N4995" s="2" t="str">
        <f>IFERROR(VLOOKUP(ROWS($N$2:N4995),$D$2:$E$1996,2,0),"")</f>
        <v/>
      </c>
    </row>
    <row r="4996" spans="2:14">
      <c r="B4996" s="32">
        <f>IF(ISNUMBER(SEARCH('Φόρμα Εισαγωγής'!$B$2,C4996)),MAX($B$1:B4995)+1,0)</f>
        <v>0</v>
      </c>
      <c r="D4996" s="33">
        <f>IF(ISNUMBER(SEARCH('Φόρμα Εισαγωγής'!$C$2,E4996)),MAX($D$1:D4995)+1,0)</f>
        <v>0</v>
      </c>
      <c r="H4996" s="6">
        <f t="shared" si="245"/>
        <v>0</v>
      </c>
      <c r="I4996" s="6">
        <f t="shared" si="246"/>
        <v>0</v>
      </c>
      <c r="J4996" s="6">
        <f t="shared" si="247"/>
        <v>0</v>
      </c>
      <c r="L4996" s="4" t="str">
        <f>IFERROR(VLOOKUP(ROWS($L$2:L4996),$B$2:$C$1996,2,0),"")</f>
        <v/>
      </c>
      <c r="N4996" s="2" t="str">
        <f>IFERROR(VLOOKUP(ROWS($N$2:N4996),$D$2:$E$1996,2,0),"")</f>
        <v/>
      </c>
    </row>
    <row r="4997" spans="2:14">
      <c r="B4997" s="32">
        <f>IF(ISNUMBER(SEARCH('Φόρμα Εισαγωγής'!$B$2,C4997)),MAX($B$1:B4996)+1,0)</f>
        <v>0</v>
      </c>
      <c r="D4997" s="33">
        <f>IF(ISNUMBER(SEARCH('Φόρμα Εισαγωγής'!$C$2,E4997)),MAX($D$1:D4996)+1,0)</f>
        <v>0</v>
      </c>
      <c r="H4997" s="6">
        <f t="shared" si="245"/>
        <v>0</v>
      </c>
      <c r="I4997" s="6">
        <f t="shared" si="246"/>
        <v>0</v>
      </c>
      <c r="J4997" s="6">
        <f t="shared" si="247"/>
        <v>0</v>
      </c>
      <c r="L4997" s="4" t="str">
        <f>IFERROR(VLOOKUP(ROWS($L$2:L4997),$B$2:$C$1996,2,0),"")</f>
        <v/>
      </c>
      <c r="N4997" s="2" t="str">
        <f>IFERROR(VLOOKUP(ROWS($N$2:N4997),$D$2:$E$1996,2,0),"")</f>
        <v/>
      </c>
    </row>
    <row r="4998" spans="2:14">
      <c r="B4998" s="32">
        <f>IF(ISNUMBER(SEARCH('Φόρμα Εισαγωγής'!$B$2,C4998)),MAX($B$1:B4997)+1,0)</f>
        <v>0</v>
      </c>
      <c r="D4998" s="33">
        <f>IF(ISNUMBER(SEARCH('Φόρμα Εισαγωγής'!$C$2,E4998)),MAX($D$1:D4997)+1,0)</f>
        <v>0</v>
      </c>
      <c r="H4998" s="6">
        <f t="shared" si="245"/>
        <v>0</v>
      </c>
      <c r="I4998" s="6">
        <f t="shared" si="246"/>
        <v>0</v>
      </c>
      <c r="J4998" s="6">
        <f t="shared" si="247"/>
        <v>0</v>
      </c>
      <c r="L4998" s="4" t="str">
        <f>IFERROR(VLOOKUP(ROWS($L$2:L4998),$B$2:$C$1996,2,0),"")</f>
        <v/>
      </c>
      <c r="N4998" s="2" t="str">
        <f>IFERROR(VLOOKUP(ROWS($N$2:N4998),$D$2:$E$1996,2,0),"")</f>
        <v/>
      </c>
    </row>
    <row r="4999" spans="2:14">
      <c r="B4999" s="32">
        <f>IF(ISNUMBER(SEARCH('Φόρμα Εισαγωγής'!$B$2,C4999)),MAX($B$1:B4998)+1,0)</f>
        <v>0</v>
      </c>
      <c r="D4999" s="33">
        <f>IF(ISNUMBER(SEARCH('Φόρμα Εισαγωγής'!$C$2,E4999)),MAX($D$1:D4998)+1,0)</f>
        <v>0</v>
      </c>
      <c r="H4999" s="6">
        <f t="shared" si="245"/>
        <v>0</v>
      </c>
      <c r="I4999" s="6">
        <f t="shared" si="246"/>
        <v>0</v>
      </c>
      <c r="J4999" s="6">
        <f t="shared" si="247"/>
        <v>0</v>
      </c>
      <c r="L4999" s="4" t="str">
        <f>IFERROR(VLOOKUP(ROWS($L$2:L4999),$B$2:$C$1996,2,0),"")</f>
        <v/>
      </c>
      <c r="N4999" s="2" t="str">
        <f>IFERROR(VLOOKUP(ROWS($N$2:N4999),$D$2:$E$1996,2,0),"")</f>
        <v/>
      </c>
    </row>
    <row r="5000" spans="2:14">
      <c r="B5000" s="32">
        <f>IF(ISNUMBER(SEARCH('Φόρμα Εισαγωγής'!$B$2,C5000)),MAX($B$1:B4999)+1,0)</f>
        <v>0</v>
      </c>
      <c r="D5000" s="33">
        <f>IF(ISNUMBER(SEARCH('Φόρμα Εισαγωγής'!$C$2,E5000)),MAX($D$1:D4999)+1,0)</f>
        <v>0</v>
      </c>
      <c r="H5000" s="6">
        <f t="shared" si="245"/>
        <v>0</v>
      </c>
      <c r="I5000" s="6">
        <f t="shared" si="246"/>
        <v>0</v>
      </c>
      <c r="J5000" s="6">
        <f t="shared" si="247"/>
        <v>0</v>
      </c>
      <c r="L5000" s="4" t="str">
        <f>IFERROR(VLOOKUP(ROWS($L$2:L5000),$B$2:$C$1996,2,0),"")</f>
        <v/>
      </c>
      <c r="N5000" s="2" t="str">
        <f>IFERROR(VLOOKUP(ROWS($N$2:N5000),$D$2:$E$1996,2,0),"")</f>
        <v/>
      </c>
    </row>
    <row r="5001" spans="2:14">
      <c r="B5001" s="32">
        <f>IF(ISNUMBER(SEARCH('Φόρμα Εισαγωγής'!$B$2,C5001)),MAX($B$1:B5000)+1,0)</f>
        <v>0</v>
      </c>
      <c r="D5001" s="33">
        <f>IF(ISNUMBER(SEARCH('Φόρμα Εισαγωγής'!$C$2,E5001)),MAX($D$1:D5000)+1,0)</f>
        <v>0</v>
      </c>
      <c r="H5001" s="6">
        <f t="shared" si="245"/>
        <v>0</v>
      </c>
      <c r="I5001" s="6">
        <f t="shared" si="246"/>
        <v>0</v>
      </c>
      <c r="J5001" s="6">
        <f t="shared" si="247"/>
        <v>0</v>
      </c>
      <c r="L5001" s="4" t="str">
        <f>IFERROR(VLOOKUP(ROWS($L$2:L5001),$B$2:$C$1996,2,0),"")</f>
        <v/>
      </c>
      <c r="N5001" s="2" t="str">
        <f>IFERROR(VLOOKUP(ROWS($N$2:N5001),$D$2:$E$1996,2,0),"")</f>
        <v/>
      </c>
    </row>
    <row r="5002" spans="2:14">
      <c r="B5002" s="32">
        <f>IF(ISNUMBER(SEARCH('Φόρμα Εισαγωγής'!$B$2,C5002)),MAX($B$1:B5001)+1,0)</f>
        <v>0</v>
      </c>
      <c r="D5002" s="33">
        <f>IF(ISNUMBER(SEARCH('Φόρμα Εισαγωγής'!$C$2,E5002)),MAX($D$1:D5001)+1,0)</f>
        <v>0</v>
      </c>
      <c r="H5002" s="6">
        <f t="shared" si="245"/>
        <v>0</v>
      </c>
      <c r="I5002" s="6">
        <f t="shared" si="246"/>
        <v>0</v>
      </c>
      <c r="J5002" s="6">
        <f t="shared" si="247"/>
        <v>0</v>
      </c>
      <c r="L5002" s="4" t="str">
        <f>IFERROR(VLOOKUP(ROWS($L$2:L5002),$B$2:$C$1996,2,0),"")</f>
        <v/>
      </c>
      <c r="N5002" s="2" t="str">
        <f>IFERROR(VLOOKUP(ROWS($N$2:N5002),$D$2:$E$1996,2,0),"")</f>
        <v/>
      </c>
    </row>
    <row r="5003" spans="2:14">
      <c r="B5003" s="32">
        <f>IF(ISNUMBER(SEARCH('Φόρμα Εισαγωγής'!$B$2,C5003)),MAX($B$1:B5002)+1,0)</f>
        <v>0</v>
      </c>
      <c r="D5003" s="33">
        <f>IF(ISNUMBER(SEARCH('Φόρμα Εισαγωγής'!$C$2,E5003)),MAX($D$1:D5002)+1,0)</f>
        <v>0</v>
      </c>
      <c r="H5003" s="6">
        <f t="shared" si="245"/>
        <v>0</v>
      </c>
      <c r="I5003" s="6">
        <f t="shared" si="246"/>
        <v>0</v>
      </c>
      <c r="J5003" s="6">
        <f t="shared" si="247"/>
        <v>0</v>
      </c>
      <c r="L5003" s="4" t="str">
        <f>IFERROR(VLOOKUP(ROWS($L$2:L5003),$B$2:$C$1996,2,0),"")</f>
        <v/>
      </c>
      <c r="N5003" s="2" t="str">
        <f>IFERROR(VLOOKUP(ROWS($N$2:N5003),$D$2:$E$1996,2,0),"")</f>
        <v/>
      </c>
    </row>
    <row r="5004" spans="2:14">
      <c r="B5004" s="32">
        <f>IF(ISNUMBER(SEARCH('Φόρμα Εισαγωγής'!$B$2,C5004)),MAX($B$1:B5003)+1,0)</f>
        <v>0</v>
      </c>
      <c r="D5004" s="33">
        <f>IF(ISNUMBER(SEARCH('Φόρμα Εισαγωγής'!$C$2,E5004)),MAX($D$1:D5003)+1,0)</f>
        <v>0</v>
      </c>
      <c r="H5004" s="6">
        <f t="shared" si="245"/>
        <v>0</v>
      </c>
      <c r="I5004" s="6">
        <f t="shared" si="246"/>
        <v>0</v>
      </c>
      <c r="J5004" s="6">
        <f t="shared" si="247"/>
        <v>0</v>
      </c>
      <c r="L5004" s="4" t="str">
        <f>IFERROR(VLOOKUP(ROWS($L$2:L5004),$B$2:$C$1996,2,0),"")</f>
        <v/>
      </c>
      <c r="N5004" s="2" t="str">
        <f>IFERROR(VLOOKUP(ROWS($N$2:N5004),$D$2:$E$1996,2,0),"")</f>
        <v/>
      </c>
    </row>
    <row r="5005" spans="2:14">
      <c r="B5005" s="32">
        <f>IF(ISNUMBER(SEARCH('Φόρμα Εισαγωγής'!$B$2,C5005)),MAX($B$1:B5004)+1,0)</f>
        <v>0</v>
      </c>
      <c r="D5005" s="33">
        <f>IF(ISNUMBER(SEARCH('Φόρμα Εισαγωγής'!$C$2,E5005)),MAX($D$1:D5004)+1,0)</f>
        <v>0</v>
      </c>
      <c r="H5005" s="6">
        <f t="shared" si="245"/>
        <v>0</v>
      </c>
      <c r="I5005" s="6">
        <f t="shared" si="246"/>
        <v>0</v>
      </c>
      <c r="J5005" s="6">
        <f t="shared" si="247"/>
        <v>0</v>
      </c>
      <c r="L5005" s="4" t="str">
        <f>IFERROR(VLOOKUP(ROWS($L$2:L5005),$B$2:$C$1996,2,0),"")</f>
        <v/>
      </c>
      <c r="N5005" s="2" t="str">
        <f>IFERROR(VLOOKUP(ROWS($N$2:N5005),$D$2:$E$1996,2,0),"")</f>
        <v/>
      </c>
    </row>
    <row r="5006" spans="2:14">
      <c r="B5006" s="32">
        <f>IF(ISNUMBER(SEARCH('Φόρμα Εισαγωγής'!$B$2,C5006)),MAX($B$1:B5005)+1,0)</f>
        <v>0</v>
      </c>
      <c r="D5006" s="33">
        <f>IF(ISNUMBER(SEARCH('Φόρμα Εισαγωγής'!$C$2,E5006)),MAX($D$1:D5005)+1,0)</f>
        <v>0</v>
      </c>
      <c r="H5006" s="6">
        <f t="shared" si="245"/>
        <v>0</v>
      </c>
      <c r="I5006" s="6">
        <f t="shared" si="246"/>
        <v>0</v>
      </c>
      <c r="J5006" s="6">
        <f t="shared" si="247"/>
        <v>0</v>
      </c>
      <c r="L5006" s="4" t="str">
        <f>IFERROR(VLOOKUP(ROWS($L$2:L5006),$B$2:$C$1996,2,0),"")</f>
        <v/>
      </c>
      <c r="N5006" s="2" t="str">
        <f>IFERROR(VLOOKUP(ROWS($N$2:N5006),$D$2:$E$1996,2,0),"")</f>
        <v/>
      </c>
    </row>
    <row r="5007" spans="2:14">
      <c r="B5007" s="32">
        <f>IF(ISNUMBER(SEARCH('Φόρμα Εισαγωγής'!$B$2,C5007)),MAX($B$1:B5006)+1,0)</f>
        <v>0</v>
      </c>
      <c r="D5007" s="33">
        <f>IF(ISNUMBER(SEARCH('Φόρμα Εισαγωγής'!$C$2,E5007)),MAX($D$1:D5006)+1,0)</f>
        <v>0</v>
      </c>
      <c r="H5007" s="6">
        <f t="shared" si="245"/>
        <v>0</v>
      </c>
      <c r="I5007" s="6">
        <f t="shared" si="246"/>
        <v>0</v>
      </c>
      <c r="J5007" s="6">
        <f t="shared" si="247"/>
        <v>0</v>
      </c>
      <c r="L5007" s="4" t="str">
        <f>IFERROR(VLOOKUP(ROWS($L$2:L5007),$B$2:$C$1996,2,0),"")</f>
        <v/>
      </c>
      <c r="N5007" s="2" t="str">
        <f>IFERROR(VLOOKUP(ROWS($N$2:N5007),$D$2:$E$1996,2,0),"")</f>
        <v/>
      </c>
    </row>
    <row r="5008" spans="2:14">
      <c r="B5008" s="32">
        <f>IF(ISNUMBER(SEARCH('Φόρμα Εισαγωγής'!$B$2,C5008)),MAX($B$1:B5007)+1,0)</f>
        <v>0</v>
      </c>
      <c r="D5008" s="33">
        <f>IF(ISNUMBER(SEARCH('Φόρμα Εισαγωγής'!$C$2,E5008)),MAX($D$1:D5007)+1,0)</f>
        <v>0</v>
      </c>
      <c r="H5008" s="6">
        <f t="shared" si="245"/>
        <v>0</v>
      </c>
      <c r="I5008" s="6">
        <f t="shared" si="246"/>
        <v>0</v>
      </c>
      <c r="J5008" s="6">
        <f t="shared" si="247"/>
        <v>0</v>
      </c>
      <c r="L5008" s="4" t="str">
        <f>IFERROR(VLOOKUP(ROWS($L$2:L5008),$B$2:$C$1996,2,0),"")</f>
        <v/>
      </c>
      <c r="N5008" s="2" t="str">
        <f>IFERROR(VLOOKUP(ROWS($N$2:N5008),$D$2:$E$1996,2,0),"")</f>
        <v/>
      </c>
    </row>
    <row r="5009" spans="2:14">
      <c r="B5009" s="32">
        <f>IF(ISNUMBER(SEARCH('Φόρμα Εισαγωγής'!$B$2,C5009)),MAX($B$1:B5008)+1,0)</f>
        <v>0</v>
      </c>
      <c r="D5009" s="33">
        <f>IF(ISNUMBER(SEARCH('Φόρμα Εισαγωγής'!$C$2,E5009)),MAX($D$1:D5008)+1,0)</f>
        <v>0</v>
      </c>
      <c r="H5009" s="6">
        <f t="shared" si="245"/>
        <v>0</v>
      </c>
      <c r="I5009" s="6">
        <f t="shared" si="246"/>
        <v>0</v>
      </c>
      <c r="J5009" s="6">
        <f t="shared" si="247"/>
        <v>0</v>
      </c>
      <c r="L5009" s="4" t="str">
        <f>IFERROR(VLOOKUP(ROWS($L$2:L5009),$B$2:$C$1996,2,0),"")</f>
        <v/>
      </c>
      <c r="N5009" s="2" t="str">
        <f>IFERROR(VLOOKUP(ROWS($N$2:N5009),$D$2:$E$1996,2,0),"")</f>
        <v/>
      </c>
    </row>
    <row r="5010" spans="2:14">
      <c r="B5010" s="32">
        <f>IF(ISNUMBER(SEARCH('Φόρμα Εισαγωγής'!$B$2,C5010)),MAX($B$1:B5009)+1,0)</f>
        <v>0</v>
      </c>
      <c r="D5010" s="33">
        <f>IF(ISNUMBER(SEARCH('Φόρμα Εισαγωγής'!$C$2,E5010)),MAX($D$1:D5009)+1,0)</f>
        <v>0</v>
      </c>
      <c r="H5010" s="6">
        <f t="shared" si="245"/>
        <v>0</v>
      </c>
      <c r="I5010" s="6">
        <f t="shared" si="246"/>
        <v>0</v>
      </c>
      <c r="J5010" s="6">
        <f t="shared" si="247"/>
        <v>0</v>
      </c>
      <c r="L5010" s="4" t="str">
        <f>IFERROR(VLOOKUP(ROWS($L$2:L5010),$B$2:$C$1996,2,0),"")</f>
        <v/>
      </c>
      <c r="N5010" s="2" t="str">
        <f>IFERROR(VLOOKUP(ROWS($N$2:N5010),$D$2:$E$1996,2,0),"")</f>
        <v/>
      </c>
    </row>
    <row r="5011" spans="2:14">
      <c r="B5011" s="32">
        <f>IF(ISNUMBER(SEARCH('Φόρμα Εισαγωγής'!$B$2,C5011)),MAX($B$1:B5010)+1,0)</f>
        <v>0</v>
      </c>
      <c r="D5011" s="33">
        <f>IF(ISNUMBER(SEARCH('Φόρμα Εισαγωγής'!$C$2,E5011)),MAX($D$1:D5010)+1,0)</f>
        <v>0</v>
      </c>
      <c r="H5011" s="6">
        <f t="shared" si="245"/>
        <v>0</v>
      </c>
      <c r="I5011" s="6">
        <f t="shared" si="246"/>
        <v>0</v>
      </c>
      <c r="J5011" s="6">
        <f t="shared" si="247"/>
        <v>0</v>
      </c>
      <c r="L5011" s="4" t="str">
        <f>IFERROR(VLOOKUP(ROWS($L$2:L5011),$B$2:$C$1996,2,0),"")</f>
        <v/>
      </c>
      <c r="N5011" s="2" t="str">
        <f>IFERROR(VLOOKUP(ROWS($N$2:N5011),$D$2:$E$1996,2,0),"")</f>
        <v/>
      </c>
    </row>
    <row r="5012" spans="2:14">
      <c r="B5012" s="32">
        <f>IF(ISNUMBER(SEARCH('Φόρμα Εισαγωγής'!$B$2,C5012)),MAX($B$1:B5011)+1,0)</f>
        <v>0</v>
      </c>
      <c r="D5012" s="33">
        <f>IF(ISNUMBER(SEARCH('Φόρμα Εισαγωγής'!$C$2,E5012)),MAX($D$1:D5011)+1,0)</f>
        <v>0</v>
      </c>
      <c r="H5012" s="6">
        <f t="shared" si="245"/>
        <v>0</v>
      </c>
      <c r="I5012" s="6">
        <f t="shared" si="246"/>
        <v>0</v>
      </c>
      <c r="J5012" s="6">
        <f t="shared" si="247"/>
        <v>0</v>
      </c>
      <c r="L5012" s="4" t="str">
        <f>IFERROR(VLOOKUP(ROWS($L$2:L5012),$B$2:$C$1996,2,0),"")</f>
        <v/>
      </c>
      <c r="N5012" s="2" t="str">
        <f>IFERROR(VLOOKUP(ROWS($N$2:N5012),$D$2:$E$1996,2,0),"")</f>
        <v/>
      </c>
    </row>
    <row r="5013" spans="2:14">
      <c r="B5013" s="32">
        <f>IF(ISNUMBER(SEARCH('Φόρμα Εισαγωγής'!$B$2,C5013)),MAX($B$1:B5012)+1,0)</f>
        <v>0</v>
      </c>
      <c r="D5013" s="33">
        <f>IF(ISNUMBER(SEARCH('Φόρμα Εισαγωγής'!$C$2,E5013)),MAX($D$1:D5012)+1,0)</f>
        <v>0</v>
      </c>
      <c r="H5013" s="6">
        <f t="shared" si="245"/>
        <v>0</v>
      </c>
      <c r="I5013" s="6">
        <f t="shared" si="246"/>
        <v>0</v>
      </c>
      <c r="J5013" s="6">
        <f t="shared" si="247"/>
        <v>0</v>
      </c>
      <c r="L5013" s="4" t="str">
        <f>IFERROR(VLOOKUP(ROWS($L$2:L5013),$B$2:$C$1996,2,0),"")</f>
        <v/>
      </c>
      <c r="N5013" s="2" t="str">
        <f>IFERROR(VLOOKUP(ROWS($N$2:N5013),$D$2:$E$1996,2,0),"")</f>
        <v/>
      </c>
    </row>
    <row r="5014" spans="2:14">
      <c r="B5014" s="32">
        <f>IF(ISNUMBER(SEARCH('Φόρμα Εισαγωγής'!$B$2,C5014)),MAX($B$1:B5013)+1,0)</f>
        <v>0</v>
      </c>
      <c r="D5014" s="33">
        <f>IF(ISNUMBER(SEARCH('Φόρμα Εισαγωγής'!$C$2,E5014)),MAX($D$1:D5013)+1,0)</f>
        <v>0</v>
      </c>
      <c r="H5014" s="6">
        <f t="shared" si="245"/>
        <v>0</v>
      </c>
      <c r="I5014" s="6">
        <f t="shared" si="246"/>
        <v>0</v>
      </c>
      <c r="J5014" s="6">
        <f t="shared" si="247"/>
        <v>0</v>
      </c>
      <c r="L5014" s="4" t="str">
        <f>IFERROR(VLOOKUP(ROWS($L$2:L5014),$B$2:$C$1996,2,0),"")</f>
        <v/>
      </c>
      <c r="N5014" s="2" t="str">
        <f>IFERROR(VLOOKUP(ROWS($N$2:N5014),$D$2:$E$1996,2,0),"")</f>
        <v/>
      </c>
    </row>
    <row r="5015" spans="2:14">
      <c r="B5015" s="32">
        <f>IF(ISNUMBER(SEARCH('Φόρμα Εισαγωγής'!$B$2,C5015)),MAX($B$1:B5014)+1,0)</f>
        <v>0</v>
      </c>
      <c r="D5015" s="33">
        <f>IF(ISNUMBER(SEARCH('Φόρμα Εισαγωγής'!$C$2,E5015)),MAX($D$1:D5014)+1,0)</f>
        <v>0</v>
      </c>
      <c r="H5015" s="6">
        <f t="shared" si="245"/>
        <v>0</v>
      </c>
      <c r="I5015" s="6">
        <f t="shared" si="246"/>
        <v>0</v>
      </c>
      <c r="J5015" s="6">
        <f t="shared" si="247"/>
        <v>0</v>
      </c>
      <c r="L5015" s="4" t="str">
        <f>IFERROR(VLOOKUP(ROWS($L$2:L5015),$B$2:$C$1996,2,0),"")</f>
        <v/>
      </c>
      <c r="N5015" s="2" t="str">
        <f>IFERROR(VLOOKUP(ROWS($N$2:N5015),$D$2:$E$1996,2,0),"")</f>
        <v/>
      </c>
    </row>
    <row r="5016" spans="2:14">
      <c r="B5016" s="32">
        <f>IF(ISNUMBER(SEARCH('Φόρμα Εισαγωγής'!$B$2,C5016)),MAX($B$1:B5015)+1,0)</f>
        <v>0</v>
      </c>
      <c r="D5016" s="33">
        <f>IF(ISNUMBER(SEARCH('Φόρμα Εισαγωγής'!$C$2,E5016)),MAX($D$1:D5015)+1,0)</f>
        <v>0</v>
      </c>
      <c r="H5016" s="6">
        <f t="shared" si="245"/>
        <v>0</v>
      </c>
      <c r="I5016" s="6">
        <f t="shared" si="246"/>
        <v>0</v>
      </c>
      <c r="J5016" s="6">
        <f t="shared" si="247"/>
        <v>0</v>
      </c>
      <c r="L5016" s="4" t="str">
        <f>IFERROR(VLOOKUP(ROWS($L$2:L5016),$B$2:$C$1996,2,0),"")</f>
        <v/>
      </c>
      <c r="N5016" s="2" t="str">
        <f>IFERROR(VLOOKUP(ROWS($N$2:N5016),$D$2:$E$1996,2,0),"")</f>
        <v/>
      </c>
    </row>
    <row r="5017" spans="2:14">
      <c r="B5017" s="32">
        <f>IF(ISNUMBER(SEARCH('Φόρμα Εισαγωγής'!$B$2,C5017)),MAX($B$1:B5016)+1,0)</f>
        <v>0</v>
      </c>
      <c r="D5017" s="33">
        <f>IF(ISNUMBER(SEARCH('Φόρμα Εισαγωγής'!$C$2,E5017)),MAX($D$1:D5016)+1,0)</f>
        <v>0</v>
      </c>
      <c r="H5017" s="6">
        <f t="shared" si="245"/>
        <v>0</v>
      </c>
      <c r="I5017" s="6">
        <f t="shared" si="246"/>
        <v>0</v>
      </c>
      <c r="J5017" s="6">
        <f t="shared" si="247"/>
        <v>0</v>
      </c>
      <c r="L5017" s="4" t="str">
        <f>IFERROR(VLOOKUP(ROWS($L$2:L5017),$B$2:$C$1996,2,0),"")</f>
        <v/>
      </c>
      <c r="N5017" s="2" t="str">
        <f>IFERROR(VLOOKUP(ROWS($N$2:N5017),$D$2:$E$1996,2,0),"")</f>
        <v/>
      </c>
    </row>
    <row r="5018" spans="2:14">
      <c r="B5018" s="32">
        <f>IF(ISNUMBER(SEARCH('Φόρμα Εισαγωγής'!$B$2,C5018)),MAX($B$1:B5017)+1,0)</f>
        <v>0</v>
      </c>
      <c r="D5018" s="33">
        <f>IF(ISNUMBER(SEARCH('Φόρμα Εισαγωγής'!$C$2,E5018)),MAX($D$1:D5017)+1,0)</f>
        <v>0</v>
      </c>
      <c r="H5018" s="6">
        <f t="shared" si="245"/>
        <v>0</v>
      </c>
      <c r="I5018" s="6">
        <f t="shared" si="246"/>
        <v>0</v>
      </c>
      <c r="J5018" s="6">
        <f t="shared" si="247"/>
        <v>0</v>
      </c>
      <c r="L5018" s="4" t="str">
        <f>IFERROR(VLOOKUP(ROWS($L$2:L5018),$B$2:$C$1996,2,0),"")</f>
        <v/>
      </c>
      <c r="N5018" s="2" t="str">
        <f>IFERROR(VLOOKUP(ROWS($N$2:N5018),$D$2:$E$1996,2,0),"")</f>
        <v/>
      </c>
    </row>
    <row r="5019" spans="2:14">
      <c r="B5019" s="32">
        <f>IF(ISNUMBER(SEARCH('Φόρμα Εισαγωγής'!$B$2,C5019)),MAX($B$1:B5018)+1,0)</f>
        <v>0</v>
      </c>
      <c r="D5019" s="33">
        <f>IF(ISNUMBER(SEARCH('Φόρμα Εισαγωγής'!$C$2,E5019)),MAX($D$1:D5018)+1,0)</f>
        <v>0</v>
      </c>
      <c r="H5019" s="6">
        <f t="shared" si="245"/>
        <v>0</v>
      </c>
      <c r="I5019" s="6">
        <f t="shared" si="246"/>
        <v>0</v>
      </c>
      <c r="J5019" s="6">
        <f t="shared" si="247"/>
        <v>0</v>
      </c>
      <c r="L5019" s="4" t="str">
        <f>IFERROR(VLOOKUP(ROWS($L$2:L5019),$B$2:$C$1996,2,0),"")</f>
        <v/>
      </c>
      <c r="N5019" s="2" t="str">
        <f>IFERROR(VLOOKUP(ROWS($N$2:N5019),$D$2:$E$1996,2,0),"")</f>
        <v/>
      </c>
    </row>
    <row r="5020" spans="2:14">
      <c r="B5020" s="32">
        <f>IF(ISNUMBER(SEARCH('Φόρμα Εισαγωγής'!$B$2,C5020)),MAX($B$1:B5019)+1,0)</f>
        <v>0</v>
      </c>
      <c r="D5020" s="33">
        <f>IF(ISNUMBER(SEARCH('Φόρμα Εισαγωγής'!$C$2,E5020)),MAX($D$1:D5019)+1,0)</f>
        <v>0</v>
      </c>
      <c r="H5020" s="6">
        <f t="shared" si="245"/>
        <v>0</v>
      </c>
      <c r="I5020" s="6">
        <f t="shared" si="246"/>
        <v>0</v>
      </c>
      <c r="J5020" s="6">
        <f t="shared" si="247"/>
        <v>0</v>
      </c>
      <c r="L5020" s="4" t="str">
        <f>IFERROR(VLOOKUP(ROWS($L$2:L5020),$B$2:$C$1996,2,0),"")</f>
        <v/>
      </c>
      <c r="N5020" s="2" t="str">
        <f>IFERROR(VLOOKUP(ROWS($N$2:N5020),$D$2:$E$1996,2,0),"")</f>
        <v/>
      </c>
    </row>
    <row r="5021" spans="2:14">
      <c r="B5021" s="32">
        <f>IF(ISNUMBER(SEARCH('Φόρμα Εισαγωγής'!$B$2,C5021)),MAX($B$1:B5020)+1,0)</f>
        <v>0</v>
      </c>
      <c r="D5021" s="33">
        <f>IF(ISNUMBER(SEARCH('Φόρμα Εισαγωγής'!$C$2,E5021)),MAX($D$1:D5020)+1,0)</f>
        <v>0</v>
      </c>
      <c r="H5021" s="6">
        <f t="shared" si="245"/>
        <v>0</v>
      </c>
      <c r="I5021" s="6">
        <f t="shared" si="246"/>
        <v>0</v>
      </c>
      <c r="J5021" s="6">
        <f t="shared" si="247"/>
        <v>0</v>
      </c>
      <c r="L5021" s="4" t="str">
        <f>IFERROR(VLOOKUP(ROWS($L$2:L5021),$B$2:$C$1996,2,0),"")</f>
        <v/>
      </c>
      <c r="N5021" s="2" t="str">
        <f>IFERROR(VLOOKUP(ROWS($N$2:N5021),$D$2:$E$1996,2,0),"")</f>
        <v/>
      </c>
    </row>
    <row r="5022" spans="2:14">
      <c r="B5022" s="32">
        <f>IF(ISNUMBER(SEARCH('Φόρμα Εισαγωγής'!$B$2,C5022)),MAX($B$1:B5021)+1,0)</f>
        <v>0</v>
      </c>
      <c r="D5022" s="33">
        <f>IF(ISNUMBER(SEARCH('Φόρμα Εισαγωγής'!$C$2,E5022)),MAX($D$1:D5021)+1,0)</f>
        <v>0</v>
      </c>
      <c r="H5022" s="6">
        <f t="shared" si="245"/>
        <v>0</v>
      </c>
      <c r="I5022" s="6">
        <f t="shared" si="246"/>
        <v>0</v>
      </c>
      <c r="J5022" s="6">
        <f t="shared" si="247"/>
        <v>0</v>
      </c>
      <c r="L5022" s="4" t="str">
        <f>IFERROR(VLOOKUP(ROWS($L$2:L5022),$B$2:$C$1996,2,0),"")</f>
        <v/>
      </c>
      <c r="N5022" s="2" t="str">
        <f>IFERROR(VLOOKUP(ROWS($N$2:N5022),$D$2:$E$1996,2,0),"")</f>
        <v/>
      </c>
    </row>
    <row r="5023" spans="2:14">
      <c r="B5023" s="32">
        <f>IF(ISNUMBER(SEARCH('Φόρμα Εισαγωγής'!$B$2,C5023)),MAX($B$1:B5022)+1,0)</f>
        <v>0</v>
      </c>
      <c r="D5023" s="33">
        <f>IF(ISNUMBER(SEARCH('Φόρμα Εισαγωγής'!$C$2,E5023)),MAX($D$1:D5022)+1,0)</f>
        <v>0</v>
      </c>
      <c r="H5023" s="6">
        <f t="shared" si="245"/>
        <v>0</v>
      </c>
      <c r="I5023" s="6">
        <f t="shared" si="246"/>
        <v>0</v>
      </c>
      <c r="J5023" s="6">
        <f t="shared" si="247"/>
        <v>0</v>
      </c>
      <c r="L5023" s="4" t="str">
        <f>IFERROR(VLOOKUP(ROWS($L$2:L5023),$B$2:$C$1996,2,0),"")</f>
        <v/>
      </c>
      <c r="N5023" s="2" t="str">
        <f>IFERROR(VLOOKUP(ROWS($N$2:N5023),$D$2:$E$1996,2,0),"")</f>
        <v/>
      </c>
    </row>
    <row r="5024" spans="2:14">
      <c r="B5024" s="32">
        <f>IF(ISNUMBER(SEARCH('Φόρμα Εισαγωγής'!$B$2,C5024)),MAX($B$1:B5023)+1,0)</f>
        <v>0</v>
      </c>
      <c r="D5024" s="33">
        <f>IF(ISNUMBER(SEARCH('Φόρμα Εισαγωγής'!$C$2,E5024)),MAX($D$1:D5023)+1,0)</f>
        <v>0</v>
      </c>
      <c r="H5024" s="6">
        <f t="shared" si="245"/>
        <v>0</v>
      </c>
      <c r="I5024" s="6">
        <f t="shared" si="246"/>
        <v>0</v>
      </c>
      <c r="J5024" s="6">
        <f t="shared" si="247"/>
        <v>0</v>
      </c>
      <c r="L5024" s="4" t="str">
        <f>IFERROR(VLOOKUP(ROWS($L$2:L5024),$B$2:$C$1996,2,0),"")</f>
        <v/>
      </c>
      <c r="N5024" s="2" t="str">
        <f>IFERROR(VLOOKUP(ROWS($N$2:N5024),$D$2:$E$1996,2,0),"")</f>
        <v/>
      </c>
    </row>
    <row r="5025" spans="2:14">
      <c r="B5025" s="32">
        <f>IF(ISNUMBER(SEARCH('Φόρμα Εισαγωγής'!$B$2,C5025)),MAX($B$1:B5024)+1,0)</f>
        <v>0</v>
      </c>
      <c r="D5025" s="33">
        <f>IF(ISNUMBER(SEARCH('Φόρμα Εισαγωγής'!$C$2,E5025)),MAX($D$1:D5024)+1,0)</f>
        <v>0</v>
      </c>
      <c r="H5025" s="6">
        <f t="shared" si="245"/>
        <v>0</v>
      </c>
      <c r="I5025" s="6">
        <f t="shared" si="246"/>
        <v>0</v>
      </c>
      <c r="J5025" s="6">
        <f t="shared" si="247"/>
        <v>0</v>
      </c>
      <c r="L5025" s="4" t="str">
        <f>IFERROR(VLOOKUP(ROWS($L$2:L5025),$B$2:$C$1996,2,0),"")</f>
        <v/>
      </c>
      <c r="N5025" s="2" t="str">
        <f>IFERROR(VLOOKUP(ROWS($N$2:N5025),$D$2:$E$1996,2,0),"")</f>
        <v/>
      </c>
    </row>
    <row r="5026" spans="2:14">
      <c r="B5026" s="32">
        <f>IF(ISNUMBER(SEARCH('Φόρμα Εισαγωγής'!$B$2,C5026)),MAX($B$1:B5025)+1,0)</f>
        <v>0</v>
      </c>
      <c r="D5026" s="33">
        <f>IF(ISNUMBER(SEARCH('Φόρμα Εισαγωγής'!$C$2,E5026)),MAX($D$1:D5025)+1,0)</f>
        <v>0</v>
      </c>
      <c r="H5026" s="6">
        <f t="shared" si="245"/>
        <v>0</v>
      </c>
      <c r="I5026" s="6">
        <f t="shared" si="246"/>
        <v>0</v>
      </c>
      <c r="J5026" s="6">
        <f t="shared" si="247"/>
        <v>0</v>
      </c>
      <c r="L5026" s="4" t="str">
        <f>IFERROR(VLOOKUP(ROWS($L$2:L5026),$B$2:$C$1996,2,0),"")</f>
        <v/>
      </c>
      <c r="N5026" s="2" t="str">
        <f>IFERROR(VLOOKUP(ROWS($N$2:N5026),$D$2:$E$1996,2,0),"")</f>
        <v/>
      </c>
    </row>
    <row r="5027" spans="2:14">
      <c r="B5027" s="32">
        <f>IF(ISNUMBER(SEARCH('Φόρμα Εισαγωγής'!$B$2,C5027)),MAX($B$1:B5026)+1,0)</f>
        <v>0</v>
      </c>
      <c r="D5027" s="33">
        <f>IF(ISNUMBER(SEARCH('Φόρμα Εισαγωγής'!$C$2,E5027)),MAX($D$1:D5026)+1,0)</f>
        <v>0</v>
      </c>
      <c r="H5027" s="6">
        <f t="shared" si="245"/>
        <v>0</v>
      </c>
      <c r="I5027" s="6">
        <f t="shared" si="246"/>
        <v>0</v>
      </c>
      <c r="J5027" s="6">
        <f t="shared" si="247"/>
        <v>0</v>
      </c>
      <c r="L5027" s="4" t="str">
        <f>IFERROR(VLOOKUP(ROWS($L$2:L5027),$B$2:$C$1996,2,0),"")</f>
        <v/>
      </c>
      <c r="N5027" s="2" t="str">
        <f>IFERROR(VLOOKUP(ROWS($N$2:N5027),$D$2:$E$1996,2,0),"")</f>
        <v/>
      </c>
    </row>
    <row r="5028" spans="2:14">
      <c r="B5028" s="32">
        <f>IF(ISNUMBER(SEARCH('Φόρμα Εισαγωγής'!$B$2,C5028)),MAX($B$1:B5027)+1,0)</f>
        <v>0</v>
      </c>
      <c r="D5028" s="33">
        <f>IF(ISNUMBER(SEARCH('Φόρμα Εισαγωγής'!$C$2,E5028)),MAX($D$1:D5027)+1,0)</f>
        <v>0</v>
      </c>
      <c r="H5028" s="6">
        <f t="shared" si="245"/>
        <v>0</v>
      </c>
      <c r="I5028" s="6">
        <f t="shared" si="246"/>
        <v>0</v>
      </c>
      <c r="J5028" s="6">
        <f t="shared" si="247"/>
        <v>0</v>
      </c>
      <c r="L5028" s="4" t="str">
        <f>IFERROR(VLOOKUP(ROWS($L$2:L5028),$B$2:$C$1996,2,0),"")</f>
        <v/>
      </c>
      <c r="N5028" s="2" t="str">
        <f>IFERROR(VLOOKUP(ROWS($N$2:N5028),$D$2:$E$1996,2,0),"")</f>
        <v/>
      </c>
    </row>
    <row r="5029" spans="2:14">
      <c r="B5029" s="32">
        <f>IF(ISNUMBER(SEARCH('Φόρμα Εισαγωγής'!$B$2,C5029)),MAX($B$1:B5028)+1,0)</f>
        <v>0</v>
      </c>
      <c r="D5029" s="33">
        <f>IF(ISNUMBER(SEARCH('Φόρμα Εισαγωγής'!$C$2,E5029)),MAX($D$1:D5028)+1,0)</f>
        <v>0</v>
      </c>
      <c r="H5029" s="6">
        <f t="shared" si="245"/>
        <v>0</v>
      </c>
      <c r="I5029" s="6">
        <f t="shared" si="246"/>
        <v>0</v>
      </c>
      <c r="J5029" s="6">
        <f t="shared" si="247"/>
        <v>0</v>
      </c>
      <c r="L5029" s="4" t="str">
        <f>IFERROR(VLOOKUP(ROWS($L$2:L5029),$B$2:$C$1996,2,0),"")</f>
        <v/>
      </c>
      <c r="N5029" s="2" t="str">
        <f>IFERROR(VLOOKUP(ROWS($N$2:N5029),$D$2:$E$1996,2,0),"")</f>
        <v/>
      </c>
    </row>
    <row r="5030" spans="2:14">
      <c r="B5030" s="32">
        <f>IF(ISNUMBER(SEARCH('Φόρμα Εισαγωγής'!$B$2,C5030)),MAX($B$1:B5029)+1,0)</f>
        <v>0</v>
      </c>
      <c r="D5030" s="33">
        <f>IF(ISNUMBER(SEARCH('Φόρμα Εισαγωγής'!$C$2,E5030)),MAX($D$1:D5029)+1,0)</f>
        <v>0</v>
      </c>
      <c r="H5030" s="6">
        <f t="shared" si="245"/>
        <v>0</v>
      </c>
      <c r="I5030" s="6">
        <f t="shared" si="246"/>
        <v>0</v>
      </c>
      <c r="J5030" s="6">
        <f t="shared" si="247"/>
        <v>0</v>
      </c>
      <c r="L5030" s="4" t="str">
        <f>IFERROR(VLOOKUP(ROWS($L$2:L5030),$B$2:$C$1996,2,0),"")</f>
        <v/>
      </c>
      <c r="N5030" s="2" t="str">
        <f>IFERROR(VLOOKUP(ROWS($N$2:N5030),$D$2:$E$1996,2,0),"")</f>
        <v/>
      </c>
    </row>
    <row r="5031" spans="2:14">
      <c r="B5031" s="32">
        <f>IF(ISNUMBER(SEARCH('Φόρμα Εισαγωγής'!$B$2,C5031)),MAX($B$1:B5030)+1,0)</f>
        <v>0</v>
      </c>
      <c r="D5031" s="33">
        <f>IF(ISNUMBER(SEARCH('Φόρμα Εισαγωγής'!$C$2,E5031)),MAX($D$1:D5030)+1,0)</f>
        <v>0</v>
      </c>
      <c r="H5031" s="6">
        <f t="shared" si="245"/>
        <v>0</v>
      </c>
      <c r="I5031" s="6">
        <f t="shared" si="246"/>
        <v>0</v>
      </c>
      <c r="J5031" s="6">
        <f t="shared" si="247"/>
        <v>0</v>
      </c>
      <c r="L5031" s="4" t="str">
        <f>IFERROR(VLOOKUP(ROWS($L$2:L5031),$B$2:$C$1996,2,0),"")</f>
        <v/>
      </c>
      <c r="N5031" s="2" t="str">
        <f>IFERROR(VLOOKUP(ROWS($N$2:N5031),$D$2:$E$1996,2,0),"")</f>
        <v/>
      </c>
    </row>
    <row r="5032" spans="2:14">
      <c r="B5032" s="32">
        <f>IF(ISNUMBER(SEARCH('Φόρμα Εισαγωγής'!$B$2,C5032)),MAX($B$1:B5031)+1,0)</f>
        <v>0</v>
      </c>
      <c r="D5032" s="33">
        <f>IF(ISNUMBER(SEARCH('Φόρμα Εισαγωγής'!$C$2,E5032)),MAX($D$1:D5031)+1,0)</f>
        <v>0</v>
      </c>
      <c r="H5032" s="6">
        <f t="shared" si="245"/>
        <v>0</v>
      </c>
      <c r="I5032" s="6">
        <f t="shared" si="246"/>
        <v>0</v>
      </c>
      <c r="J5032" s="6">
        <f t="shared" si="247"/>
        <v>0</v>
      </c>
      <c r="L5032" s="4" t="str">
        <f>IFERROR(VLOOKUP(ROWS($L$2:L5032),$B$2:$C$1996,2,0),"")</f>
        <v/>
      </c>
      <c r="N5032" s="2" t="str">
        <f>IFERROR(VLOOKUP(ROWS($N$2:N5032),$D$2:$E$1996,2,0),"")</f>
        <v/>
      </c>
    </row>
    <row r="5033" spans="2:14">
      <c r="B5033" s="32">
        <f>IF(ISNUMBER(SEARCH('Φόρμα Εισαγωγής'!$B$2,C5033)),MAX($B$1:B5032)+1,0)</f>
        <v>0</v>
      </c>
      <c r="D5033" s="33">
        <f>IF(ISNUMBER(SEARCH('Φόρμα Εισαγωγής'!$C$2,E5033)),MAX($D$1:D5032)+1,0)</f>
        <v>0</v>
      </c>
      <c r="H5033" s="6">
        <f t="shared" si="245"/>
        <v>0</v>
      </c>
      <c r="I5033" s="6">
        <f t="shared" si="246"/>
        <v>0</v>
      </c>
      <c r="J5033" s="6">
        <f t="shared" si="247"/>
        <v>0</v>
      </c>
      <c r="L5033" s="4" t="str">
        <f>IFERROR(VLOOKUP(ROWS($L$2:L5033),$B$2:$C$1996,2,0),"")</f>
        <v/>
      </c>
      <c r="N5033" s="2" t="str">
        <f>IFERROR(VLOOKUP(ROWS($N$2:N5033),$D$2:$E$1996,2,0),"")</f>
        <v/>
      </c>
    </row>
    <row r="5034" spans="2:14">
      <c r="B5034" s="32">
        <f>IF(ISNUMBER(SEARCH('Φόρμα Εισαγωγής'!$B$2,C5034)),MAX($B$1:B5033)+1,0)</f>
        <v>0</v>
      </c>
      <c r="D5034" s="33">
        <f>IF(ISNUMBER(SEARCH('Φόρμα Εισαγωγής'!$C$2,E5034)),MAX($D$1:D5033)+1,0)</f>
        <v>0</v>
      </c>
      <c r="H5034" s="6">
        <f t="shared" si="245"/>
        <v>0</v>
      </c>
      <c r="I5034" s="6">
        <f t="shared" si="246"/>
        <v>0</v>
      </c>
      <c r="J5034" s="6">
        <f t="shared" si="247"/>
        <v>0</v>
      </c>
      <c r="L5034" s="4" t="str">
        <f>IFERROR(VLOOKUP(ROWS($L$2:L5034),$B$2:$C$1996,2,0),"")</f>
        <v/>
      </c>
      <c r="N5034" s="2" t="str">
        <f>IFERROR(VLOOKUP(ROWS($N$2:N5034),$D$2:$E$1996,2,0),"")</f>
        <v/>
      </c>
    </row>
    <row r="5035" spans="2:14">
      <c r="B5035" s="32">
        <f>IF(ISNUMBER(SEARCH('Φόρμα Εισαγωγής'!$B$2,C5035)),MAX($B$1:B5034)+1,0)</f>
        <v>0</v>
      </c>
      <c r="D5035" s="33">
        <f>IF(ISNUMBER(SEARCH('Φόρμα Εισαγωγής'!$C$2,E5035)),MAX($D$1:D5034)+1,0)</f>
        <v>0</v>
      </c>
      <c r="H5035" s="6">
        <f t="shared" si="245"/>
        <v>0</v>
      </c>
      <c r="I5035" s="6">
        <f t="shared" si="246"/>
        <v>0</v>
      </c>
      <c r="J5035" s="6">
        <f t="shared" si="247"/>
        <v>0</v>
      </c>
      <c r="L5035" s="4" t="str">
        <f>IFERROR(VLOOKUP(ROWS($L$2:L5035),$B$2:$C$1996,2,0),"")</f>
        <v/>
      </c>
      <c r="N5035" s="2" t="str">
        <f>IFERROR(VLOOKUP(ROWS($N$2:N5035),$D$2:$E$1996,2,0),"")</f>
        <v/>
      </c>
    </row>
    <row r="5036" spans="2:14">
      <c r="B5036" s="32">
        <f>IF(ISNUMBER(SEARCH('Φόρμα Εισαγωγής'!$B$2,C5036)),MAX($B$1:B5035)+1,0)</f>
        <v>0</v>
      </c>
      <c r="D5036" s="33">
        <f>IF(ISNUMBER(SEARCH('Φόρμα Εισαγωγής'!$C$2,E5036)),MAX($D$1:D5035)+1,0)</f>
        <v>0</v>
      </c>
      <c r="H5036" s="6">
        <f t="shared" si="245"/>
        <v>0</v>
      </c>
      <c r="I5036" s="6">
        <f t="shared" si="246"/>
        <v>0</v>
      </c>
      <c r="J5036" s="6">
        <f t="shared" si="247"/>
        <v>0</v>
      </c>
      <c r="L5036" s="4" t="str">
        <f>IFERROR(VLOOKUP(ROWS($L$2:L5036),$B$2:$C$1996,2,0),"")</f>
        <v/>
      </c>
      <c r="N5036" s="2" t="str">
        <f>IFERROR(VLOOKUP(ROWS($N$2:N5036),$D$2:$E$1996,2,0),"")</f>
        <v/>
      </c>
    </row>
    <row r="5037" spans="2:14">
      <c r="B5037" s="32">
        <f>IF(ISNUMBER(SEARCH('Φόρμα Εισαγωγής'!$B$2,C5037)),MAX($B$1:B5036)+1,0)</f>
        <v>0</v>
      </c>
      <c r="D5037" s="33">
        <f>IF(ISNUMBER(SEARCH('Φόρμα Εισαγωγής'!$C$2,E5037)),MAX($D$1:D5036)+1,0)</f>
        <v>0</v>
      </c>
      <c r="H5037" s="6">
        <f t="shared" si="245"/>
        <v>0</v>
      </c>
      <c r="I5037" s="6">
        <f t="shared" si="246"/>
        <v>0</v>
      </c>
      <c r="J5037" s="6">
        <f t="shared" si="247"/>
        <v>0</v>
      </c>
      <c r="L5037" s="4" t="str">
        <f>IFERROR(VLOOKUP(ROWS($L$2:L5037),$B$2:$C$1996,2,0),"")</f>
        <v/>
      </c>
      <c r="N5037" s="2" t="str">
        <f>IFERROR(VLOOKUP(ROWS($N$2:N5037),$D$2:$E$1996,2,0),"")</f>
        <v/>
      </c>
    </row>
    <row r="5038" spans="2:14">
      <c r="B5038" s="32">
        <f>IF(ISNUMBER(SEARCH('Φόρμα Εισαγωγής'!$B$2,C5038)),MAX($B$1:B5037)+1,0)</f>
        <v>0</v>
      </c>
      <c r="D5038" s="33">
        <f>IF(ISNUMBER(SEARCH('Φόρμα Εισαγωγής'!$C$2,E5038)),MAX($D$1:D5037)+1,0)</f>
        <v>0</v>
      </c>
      <c r="H5038" s="6">
        <f t="shared" si="245"/>
        <v>0</v>
      </c>
      <c r="I5038" s="6">
        <f t="shared" si="246"/>
        <v>0</v>
      </c>
      <c r="J5038" s="6">
        <f t="shared" si="247"/>
        <v>0</v>
      </c>
      <c r="L5038" s="4" t="str">
        <f>IFERROR(VLOOKUP(ROWS($L$2:L5038),$B$2:$C$1996,2,0),"")</f>
        <v/>
      </c>
      <c r="N5038" s="2" t="str">
        <f>IFERROR(VLOOKUP(ROWS($N$2:N5038),$D$2:$E$1996,2,0),"")</f>
        <v/>
      </c>
    </row>
    <row r="5039" spans="2:14">
      <c r="B5039" s="32">
        <f>IF(ISNUMBER(SEARCH('Φόρμα Εισαγωγής'!$B$2,C5039)),MAX($B$1:B5038)+1,0)</f>
        <v>0</v>
      </c>
      <c r="D5039" s="33">
        <f>IF(ISNUMBER(SEARCH('Φόρμα Εισαγωγής'!$C$2,E5039)),MAX($D$1:D5038)+1,0)</f>
        <v>0</v>
      </c>
      <c r="H5039" s="6">
        <f t="shared" si="245"/>
        <v>0</v>
      </c>
      <c r="I5039" s="6">
        <f t="shared" si="246"/>
        <v>0</v>
      </c>
      <c r="J5039" s="6">
        <f t="shared" si="247"/>
        <v>0</v>
      </c>
      <c r="L5039" s="4" t="str">
        <f>IFERROR(VLOOKUP(ROWS($L$2:L5039),$B$2:$C$1996,2,0),"")</f>
        <v/>
      </c>
      <c r="N5039" s="2" t="str">
        <f>IFERROR(VLOOKUP(ROWS($N$2:N5039),$D$2:$E$1996,2,0),"")</f>
        <v/>
      </c>
    </row>
    <row r="5040" spans="2:14">
      <c r="B5040" s="32">
        <f>IF(ISNUMBER(SEARCH('Φόρμα Εισαγωγής'!$B$2,C5040)),MAX($B$1:B5039)+1,0)</f>
        <v>0</v>
      </c>
      <c r="D5040" s="33">
        <f>IF(ISNUMBER(SEARCH('Φόρμα Εισαγωγής'!$C$2,E5040)),MAX($D$1:D5039)+1,0)</f>
        <v>0</v>
      </c>
      <c r="H5040" s="6">
        <f t="shared" si="245"/>
        <v>0</v>
      </c>
      <c r="I5040" s="6">
        <f t="shared" si="246"/>
        <v>0</v>
      </c>
      <c r="J5040" s="6">
        <f t="shared" si="247"/>
        <v>0</v>
      </c>
      <c r="L5040" s="4" t="str">
        <f>IFERROR(VLOOKUP(ROWS($L$2:L5040),$B$2:$C$1996,2,0),"")</f>
        <v/>
      </c>
      <c r="N5040" s="2" t="str">
        <f>IFERROR(VLOOKUP(ROWS($N$2:N5040),$D$2:$E$1996,2,0),"")</f>
        <v/>
      </c>
    </row>
    <row r="5041" spans="2:14">
      <c r="B5041" s="32">
        <f>IF(ISNUMBER(SEARCH('Φόρμα Εισαγωγής'!$B$2,C5041)),MAX($B$1:B5040)+1,0)</f>
        <v>0</v>
      </c>
      <c r="D5041" s="33">
        <f>IF(ISNUMBER(SEARCH('Φόρμα Εισαγωγής'!$C$2,E5041)),MAX($D$1:D5040)+1,0)</f>
        <v>0</v>
      </c>
      <c r="H5041" s="6">
        <f t="shared" si="245"/>
        <v>0</v>
      </c>
      <c r="I5041" s="6">
        <f t="shared" si="246"/>
        <v>0</v>
      </c>
      <c r="J5041" s="6">
        <f t="shared" si="247"/>
        <v>0</v>
      </c>
      <c r="L5041" s="4" t="str">
        <f>IFERROR(VLOOKUP(ROWS($L$2:L5041),$B$2:$C$1996,2,0),"")</f>
        <v/>
      </c>
      <c r="N5041" s="2" t="str">
        <f>IFERROR(VLOOKUP(ROWS($N$2:N5041),$D$2:$E$1996,2,0),"")</f>
        <v/>
      </c>
    </row>
    <row r="5042" spans="2:14">
      <c r="B5042" s="32">
        <f>IF(ISNUMBER(SEARCH('Φόρμα Εισαγωγής'!$B$2,C5042)),MAX($B$1:B5041)+1,0)</f>
        <v>0</v>
      </c>
      <c r="D5042" s="33">
        <f>IF(ISNUMBER(SEARCH('Φόρμα Εισαγωγής'!$C$2,E5042)),MAX($D$1:D5041)+1,0)</f>
        <v>0</v>
      </c>
      <c r="H5042" s="6">
        <f t="shared" si="245"/>
        <v>0</v>
      </c>
      <c r="I5042" s="6">
        <f t="shared" si="246"/>
        <v>0</v>
      </c>
      <c r="J5042" s="6">
        <f t="shared" si="247"/>
        <v>0</v>
      </c>
      <c r="L5042" s="4" t="str">
        <f>IFERROR(VLOOKUP(ROWS($L$2:L5042),$B$2:$C$1996,2,0),"")</f>
        <v/>
      </c>
      <c r="N5042" s="2" t="str">
        <f>IFERROR(VLOOKUP(ROWS($N$2:N5042),$D$2:$E$1996,2,0),"")</f>
        <v/>
      </c>
    </row>
    <row r="5043" spans="2:14">
      <c r="B5043" s="32">
        <f>IF(ISNUMBER(SEARCH('Φόρμα Εισαγωγής'!$B$2,C5043)),MAX($B$1:B5042)+1,0)</f>
        <v>0</v>
      </c>
      <c r="D5043" s="33">
        <f>IF(ISNUMBER(SEARCH('Φόρμα Εισαγωγής'!$C$2,E5043)),MAX($D$1:D5042)+1,0)</f>
        <v>0</v>
      </c>
      <c r="H5043" s="6">
        <f t="shared" si="245"/>
        <v>0</v>
      </c>
      <c r="I5043" s="6">
        <f t="shared" si="246"/>
        <v>0</v>
      </c>
      <c r="J5043" s="6">
        <f t="shared" si="247"/>
        <v>0</v>
      </c>
      <c r="L5043" s="4" t="str">
        <f>IFERROR(VLOOKUP(ROWS($L$2:L5043),$B$2:$C$1996,2,0),"")</f>
        <v/>
      </c>
      <c r="N5043" s="2" t="str">
        <f>IFERROR(VLOOKUP(ROWS($N$2:N5043),$D$2:$E$1996,2,0),"")</f>
        <v/>
      </c>
    </row>
    <row r="5044" spans="2:14">
      <c r="B5044" s="32">
        <f>IF(ISNUMBER(SEARCH('Φόρμα Εισαγωγής'!$B$2,C5044)),MAX($B$1:B5043)+1,0)</f>
        <v>0</v>
      </c>
      <c r="D5044" s="33">
        <f>IF(ISNUMBER(SEARCH('Φόρμα Εισαγωγής'!$C$2,E5044)),MAX($D$1:D5043)+1,0)</f>
        <v>0</v>
      </c>
      <c r="H5044" s="6">
        <f t="shared" si="245"/>
        <v>0</v>
      </c>
      <c r="I5044" s="6">
        <f t="shared" si="246"/>
        <v>0</v>
      </c>
      <c r="J5044" s="6">
        <f t="shared" si="247"/>
        <v>0</v>
      </c>
      <c r="L5044" s="4" t="str">
        <f>IFERROR(VLOOKUP(ROWS($L$2:L5044),$B$2:$C$1996,2,0),"")</f>
        <v/>
      </c>
      <c r="N5044" s="2" t="str">
        <f>IFERROR(VLOOKUP(ROWS($N$2:N5044),$D$2:$E$1996,2,0),"")</f>
        <v/>
      </c>
    </row>
    <row r="5045" spans="2:14">
      <c r="B5045" s="32">
        <f>IF(ISNUMBER(SEARCH('Φόρμα Εισαγωγής'!$B$2,C5045)),MAX($B$1:B5044)+1,0)</f>
        <v>0</v>
      </c>
      <c r="D5045" s="33">
        <f>IF(ISNUMBER(SEARCH('Φόρμα Εισαγωγής'!$C$2,E5045)),MAX($D$1:D5044)+1,0)</f>
        <v>0</v>
      </c>
      <c r="H5045" s="6">
        <f t="shared" si="245"/>
        <v>0</v>
      </c>
      <c r="I5045" s="6">
        <f t="shared" si="246"/>
        <v>0</v>
      </c>
      <c r="J5045" s="6">
        <f t="shared" si="247"/>
        <v>0</v>
      </c>
      <c r="L5045" s="4" t="str">
        <f>IFERROR(VLOOKUP(ROWS($L$2:L5045),$B$2:$C$1996,2,0),"")</f>
        <v/>
      </c>
      <c r="N5045" s="2" t="str">
        <f>IFERROR(VLOOKUP(ROWS($N$2:N5045),$D$2:$E$1996,2,0),"")</f>
        <v/>
      </c>
    </row>
    <row r="5046" spans="2:14">
      <c r="B5046" s="32">
        <f>IF(ISNUMBER(SEARCH('Φόρμα Εισαγωγής'!$B$2,C5046)),MAX($B$1:B5045)+1,0)</f>
        <v>0</v>
      </c>
      <c r="D5046" s="33">
        <f>IF(ISNUMBER(SEARCH('Φόρμα Εισαγωγής'!$C$2,E5046)),MAX($D$1:D5045)+1,0)</f>
        <v>0</v>
      </c>
      <c r="H5046" s="6">
        <f t="shared" si="245"/>
        <v>0</v>
      </c>
      <c r="I5046" s="6">
        <f t="shared" si="246"/>
        <v>0</v>
      </c>
      <c r="J5046" s="6">
        <f t="shared" si="247"/>
        <v>0</v>
      </c>
      <c r="L5046" s="4" t="str">
        <f>IFERROR(VLOOKUP(ROWS($L$2:L5046),$B$2:$C$1996,2,0),"")</f>
        <v/>
      </c>
      <c r="N5046" s="2" t="str">
        <f>IFERROR(VLOOKUP(ROWS($N$2:N5046),$D$2:$E$1996,2,0),"")</f>
        <v/>
      </c>
    </row>
    <row r="5047" spans="2:14">
      <c r="B5047" s="32">
        <f>IF(ISNUMBER(SEARCH('Φόρμα Εισαγωγής'!$B$2,C5047)),MAX($B$1:B5046)+1,0)</f>
        <v>0</v>
      </c>
      <c r="D5047" s="33">
        <f>IF(ISNUMBER(SEARCH('Φόρμα Εισαγωγής'!$C$2,E5047)),MAX($D$1:D5046)+1,0)</f>
        <v>0</v>
      </c>
      <c r="H5047" s="6">
        <f t="shared" si="245"/>
        <v>0</v>
      </c>
      <c r="I5047" s="6">
        <f t="shared" si="246"/>
        <v>0</v>
      </c>
      <c r="J5047" s="6">
        <f t="shared" si="247"/>
        <v>0</v>
      </c>
      <c r="L5047" s="4" t="str">
        <f>IFERROR(VLOOKUP(ROWS($L$2:L5047),$B$2:$C$1996,2,0),"")</f>
        <v/>
      </c>
      <c r="N5047" s="2" t="str">
        <f>IFERROR(VLOOKUP(ROWS($N$2:N5047),$D$2:$E$1996,2,0),"")</f>
        <v/>
      </c>
    </row>
    <row r="5048" spans="2:14">
      <c r="B5048" s="32">
        <f>IF(ISNUMBER(SEARCH('Φόρμα Εισαγωγής'!$B$2,C5048)),MAX($B$1:B5047)+1,0)</f>
        <v>0</v>
      </c>
      <c r="D5048" s="33">
        <f>IF(ISNUMBER(SEARCH('Φόρμα Εισαγωγής'!$C$2,E5048)),MAX($D$1:D5047)+1,0)</f>
        <v>0</v>
      </c>
      <c r="H5048" s="6">
        <f t="shared" si="245"/>
        <v>0</v>
      </c>
      <c r="I5048" s="6">
        <f t="shared" si="246"/>
        <v>0</v>
      </c>
      <c r="J5048" s="6">
        <f t="shared" si="247"/>
        <v>0</v>
      </c>
      <c r="L5048" s="4" t="str">
        <f>IFERROR(VLOOKUP(ROWS($L$2:L5048),$B$2:$C$1996,2,0),"")</f>
        <v/>
      </c>
      <c r="N5048" s="2" t="str">
        <f>IFERROR(VLOOKUP(ROWS($N$2:N5048),$D$2:$E$1996,2,0),"")</f>
        <v/>
      </c>
    </row>
    <row r="5049" spans="2:14">
      <c r="B5049" s="32">
        <f>IF(ISNUMBER(SEARCH('Φόρμα Εισαγωγής'!$B$2,C5049)),MAX($B$1:B5048)+1,0)</f>
        <v>0</v>
      </c>
      <c r="D5049" s="33">
        <f>IF(ISNUMBER(SEARCH('Φόρμα Εισαγωγής'!$C$2,E5049)),MAX($D$1:D5048)+1,0)</f>
        <v>0</v>
      </c>
      <c r="H5049" s="6">
        <f t="shared" si="245"/>
        <v>0</v>
      </c>
      <c r="I5049" s="6">
        <f t="shared" si="246"/>
        <v>0</v>
      </c>
      <c r="J5049" s="6">
        <f t="shared" si="247"/>
        <v>0</v>
      </c>
      <c r="L5049" s="4" t="str">
        <f>IFERROR(VLOOKUP(ROWS($L$2:L5049),$B$2:$C$1996,2,0),"")</f>
        <v/>
      </c>
      <c r="N5049" s="2" t="str">
        <f>IFERROR(VLOOKUP(ROWS($N$2:N5049),$D$2:$E$1996,2,0),"")</f>
        <v/>
      </c>
    </row>
    <row r="5050" spans="2:14">
      <c r="B5050" s="32">
        <f>IF(ISNUMBER(SEARCH('Φόρμα Εισαγωγής'!$B$2,C5050)),MAX($B$1:B5049)+1,0)</f>
        <v>0</v>
      </c>
      <c r="D5050" s="33">
        <f>IF(ISNUMBER(SEARCH('Φόρμα Εισαγωγής'!$C$2,E5050)),MAX($D$1:D5049)+1,0)</f>
        <v>0</v>
      </c>
      <c r="H5050" s="6">
        <f t="shared" si="245"/>
        <v>0</v>
      </c>
      <c r="I5050" s="6">
        <f t="shared" si="246"/>
        <v>0</v>
      </c>
      <c r="J5050" s="6">
        <f t="shared" si="247"/>
        <v>0</v>
      </c>
      <c r="L5050" s="4" t="str">
        <f>IFERROR(VLOOKUP(ROWS($L$2:L5050),$B$2:$C$1996,2,0),"")</f>
        <v/>
      </c>
      <c r="N5050" s="2" t="str">
        <f>IFERROR(VLOOKUP(ROWS($N$2:N5050),$D$2:$E$1996,2,0),"")</f>
        <v/>
      </c>
    </row>
    <row r="5051" spans="2:14">
      <c r="B5051" s="32">
        <f>IF(ISNUMBER(SEARCH('Φόρμα Εισαγωγής'!$B$2,C5051)),MAX($B$1:B5050)+1,0)</f>
        <v>0</v>
      </c>
      <c r="D5051" s="33">
        <f>IF(ISNUMBER(SEARCH('Φόρμα Εισαγωγής'!$C$2,E5051)),MAX($D$1:D5050)+1,0)</f>
        <v>0</v>
      </c>
      <c r="H5051" s="6">
        <f t="shared" si="245"/>
        <v>0</v>
      </c>
      <c r="I5051" s="6">
        <f t="shared" si="246"/>
        <v>0</v>
      </c>
      <c r="J5051" s="6">
        <f t="shared" si="247"/>
        <v>0</v>
      </c>
      <c r="L5051" s="4" t="str">
        <f>IFERROR(VLOOKUP(ROWS($L$2:L5051),$B$2:$C$1996,2,0),"")</f>
        <v/>
      </c>
      <c r="N5051" s="2" t="str">
        <f>IFERROR(VLOOKUP(ROWS($N$2:N5051),$D$2:$E$1996,2,0),"")</f>
        <v/>
      </c>
    </row>
    <row r="5052" spans="2:14">
      <c r="B5052" s="32">
        <f>IF(ISNUMBER(SEARCH('Φόρμα Εισαγωγής'!$B$2,C5052)),MAX($B$1:B5051)+1,0)</f>
        <v>0</v>
      </c>
      <c r="D5052" s="33">
        <f>IF(ISNUMBER(SEARCH('Φόρμα Εισαγωγής'!$C$2,E5052)),MAX($D$1:D5051)+1,0)</f>
        <v>0</v>
      </c>
      <c r="H5052" s="6">
        <f t="shared" si="245"/>
        <v>0</v>
      </c>
      <c r="I5052" s="6">
        <f t="shared" si="246"/>
        <v>0</v>
      </c>
      <c r="J5052" s="6">
        <f t="shared" si="247"/>
        <v>0</v>
      </c>
      <c r="L5052" s="4" t="str">
        <f>IFERROR(VLOOKUP(ROWS($L$2:L5052),$B$2:$C$1996,2,0),"")</f>
        <v/>
      </c>
      <c r="N5052" s="2" t="str">
        <f>IFERROR(VLOOKUP(ROWS($N$2:N5052),$D$2:$E$1996,2,0),"")</f>
        <v/>
      </c>
    </row>
    <row r="5053" spans="2:14">
      <c r="B5053" s="32">
        <f>IF(ISNUMBER(SEARCH('Φόρμα Εισαγωγής'!$B$2,C5053)),MAX($B$1:B5052)+1,0)</f>
        <v>0</v>
      </c>
      <c r="D5053" s="33">
        <f>IF(ISNUMBER(SEARCH('Φόρμα Εισαγωγής'!$C$2,E5053)),MAX($D$1:D5052)+1,0)</f>
        <v>0</v>
      </c>
      <c r="H5053" s="6">
        <f t="shared" si="245"/>
        <v>0</v>
      </c>
      <c r="I5053" s="6">
        <f t="shared" si="246"/>
        <v>0</v>
      </c>
      <c r="J5053" s="6">
        <f t="shared" si="247"/>
        <v>0</v>
      </c>
      <c r="L5053" s="4" t="str">
        <f>IFERROR(VLOOKUP(ROWS($L$2:L5053),$B$2:$C$1996,2,0),"")</f>
        <v/>
      </c>
      <c r="N5053" s="2" t="str">
        <f>IFERROR(VLOOKUP(ROWS($N$2:N5053),$D$2:$E$1996,2,0),"")</f>
        <v/>
      </c>
    </row>
    <row r="5054" spans="2:14">
      <c r="B5054" s="32">
        <f>IF(ISNUMBER(SEARCH('Φόρμα Εισαγωγής'!$B$2,C5054)),MAX($B$1:B5053)+1,0)</f>
        <v>0</v>
      </c>
      <c r="D5054" s="33">
        <f>IF(ISNUMBER(SEARCH('Φόρμα Εισαγωγής'!$C$2,E5054)),MAX($D$1:D5053)+1,0)</f>
        <v>0</v>
      </c>
      <c r="H5054" s="6">
        <f t="shared" si="245"/>
        <v>0</v>
      </c>
      <c r="I5054" s="6">
        <f t="shared" si="246"/>
        <v>0</v>
      </c>
      <c r="J5054" s="6">
        <f t="shared" si="247"/>
        <v>0</v>
      </c>
      <c r="L5054" s="4" t="str">
        <f>IFERROR(VLOOKUP(ROWS($L$2:L5054),$B$2:$C$1996,2,0),"")</f>
        <v/>
      </c>
      <c r="N5054" s="2" t="str">
        <f>IFERROR(VLOOKUP(ROWS($N$2:N5054),$D$2:$E$1996,2,0),"")</f>
        <v/>
      </c>
    </row>
    <row r="5055" spans="2:14">
      <c r="B5055" s="32">
        <f>IF(ISNUMBER(SEARCH('Φόρμα Εισαγωγής'!$B$2,C5055)),MAX($B$1:B5054)+1,0)</f>
        <v>0</v>
      </c>
      <c r="D5055" s="33">
        <f>IF(ISNUMBER(SEARCH('Φόρμα Εισαγωγής'!$C$2,E5055)),MAX($D$1:D5054)+1,0)</f>
        <v>0</v>
      </c>
      <c r="H5055" s="6">
        <f t="shared" si="245"/>
        <v>0</v>
      </c>
      <c r="I5055" s="6">
        <f t="shared" si="246"/>
        <v>0</v>
      </c>
      <c r="J5055" s="6">
        <f t="shared" si="247"/>
        <v>0</v>
      </c>
      <c r="L5055" s="4" t="str">
        <f>IFERROR(VLOOKUP(ROWS($L$2:L5055),$B$2:$C$1996,2,0),"")</f>
        <v/>
      </c>
      <c r="N5055" s="2" t="str">
        <f>IFERROR(VLOOKUP(ROWS($N$2:N5055),$D$2:$E$1996,2,0),"")</f>
        <v/>
      </c>
    </row>
    <row r="5056" spans="2:14">
      <c r="B5056" s="32">
        <f>IF(ISNUMBER(SEARCH('Φόρμα Εισαγωγής'!$B$2,C5056)),MAX($B$1:B5055)+1,0)</f>
        <v>0</v>
      </c>
      <c r="D5056" s="33">
        <f>IF(ISNUMBER(SEARCH('Φόρμα Εισαγωγής'!$C$2,E5056)),MAX($D$1:D5055)+1,0)</f>
        <v>0</v>
      </c>
      <c r="H5056" s="6">
        <f t="shared" ref="H5056:H5119" si="248">G5056+(G5056*0.24)</f>
        <v>0</v>
      </c>
      <c r="I5056" s="6">
        <f t="shared" ref="I5056:I5119" si="249">F5056*A5056</f>
        <v>0</v>
      </c>
      <c r="J5056" s="6">
        <f t="shared" ref="J5056:J5119" si="250">H5056*A5056</f>
        <v>0</v>
      </c>
      <c r="L5056" s="4" t="str">
        <f>IFERROR(VLOOKUP(ROWS($L$2:L5056),$B$2:$C$1996,2,0),"")</f>
        <v/>
      </c>
      <c r="N5056" s="2" t="str">
        <f>IFERROR(VLOOKUP(ROWS($N$2:N5056),$D$2:$E$1996,2,0),"")</f>
        <v/>
      </c>
    </row>
    <row r="5057" spans="2:14">
      <c r="B5057" s="32">
        <f>IF(ISNUMBER(SEARCH('Φόρμα Εισαγωγής'!$B$2,C5057)),MAX($B$1:B5056)+1,0)</f>
        <v>0</v>
      </c>
      <c r="D5057" s="33">
        <f>IF(ISNUMBER(SEARCH('Φόρμα Εισαγωγής'!$C$2,E5057)),MAX($D$1:D5056)+1,0)</f>
        <v>0</v>
      </c>
      <c r="H5057" s="6">
        <f t="shared" si="248"/>
        <v>0</v>
      </c>
      <c r="I5057" s="6">
        <f t="shared" si="249"/>
        <v>0</v>
      </c>
      <c r="J5057" s="6">
        <f t="shared" si="250"/>
        <v>0</v>
      </c>
      <c r="L5057" s="4" t="str">
        <f>IFERROR(VLOOKUP(ROWS($L$2:L5057),$B$2:$C$1996,2,0),"")</f>
        <v/>
      </c>
      <c r="N5057" s="2" t="str">
        <f>IFERROR(VLOOKUP(ROWS($N$2:N5057),$D$2:$E$1996,2,0),"")</f>
        <v/>
      </c>
    </row>
    <row r="5058" spans="2:14">
      <c r="B5058" s="32">
        <f>IF(ISNUMBER(SEARCH('Φόρμα Εισαγωγής'!$B$2,C5058)),MAX($B$1:B5057)+1,0)</f>
        <v>0</v>
      </c>
      <c r="D5058" s="33">
        <f>IF(ISNUMBER(SEARCH('Φόρμα Εισαγωγής'!$C$2,E5058)),MAX($D$1:D5057)+1,0)</f>
        <v>0</v>
      </c>
      <c r="H5058" s="6">
        <f t="shared" si="248"/>
        <v>0</v>
      </c>
      <c r="I5058" s="6">
        <f t="shared" si="249"/>
        <v>0</v>
      </c>
      <c r="J5058" s="6">
        <f t="shared" si="250"/>
        <v>0</v>
      </c>
      <c r="L5058" s="4" t="str">
        <f>IFERROR(VLOOKUP(ROWS($L$2:L5058),$B$2:$C$1996,2,0),"")</f>
        <v/>
      </c>
      <c r="N5058" s="2" t="str">
        <f>IFERROR(VLOOKUP(ROWS($N$2:N5058),$D$2:$E$1996,2,0),"")</f>
        <v/>
      </c>
    </row>
    <row r="5059" spans="2:14">
      <c r="B5059" s="32">
        <f>IF(ISNUMBER(SEARCH('Φόρμα Εισαγωγής'!$B$2,C5059)),MAX($B$1:B5058)+1,0)</f>
        <v>0</v>
      </c>
      <c r="D5059" s="33">
        <f>IF(ISNUMBER(SEARCH('Φόρμα Εισαγωγής'!$C$2,E5059)),MAX($D$1:D5058)+1,0)</f>
        <v>0</v>
      </c>
      <c r="H5059" s="6">
        <f t="shared" si="248"/>
        <v>0</v>
      </c>
      <c r="I5059" s="6">
        <f t="shared" si="249"/>
        <v>0</v>
      </c>
      <c r="J5059" s="6">
        <f t="shared" si="250"/>
        <v>0</v>
      </c>
      <c r="L5059" s="4" t="str">
        <f>IFERROR(VLOOKUP(ROWS($L$2:L5059),$B$2:$C$1996,2,0),"")</f>
        <v/>
      </c>
      <c r="N5059" s="2" t="str">
        <f>IFERROR(VLOOKUP(ROWS($N$2:N5059),$D$2:$E$1996,2,0),"")</f>
        <v/>
      </c>
    </row>
    <row r="5060" spans="2:14">
      <c r="B5060" s="32">
        <f>IF(ISNUMBER(SEARCH('Φόρμα Εισαγωγής'!$B$2,C5060)),MAX($B$1:B5059)+1,0)</f>
        <v>0</v>
      </c>
      <c r="D5060" s="33">
        <f>IF(ISNUMBER(SEARCH('Φόρμα Εισαγωγής'!$C$2,E5060)),MAX($D$1:D5059)+1,0)</f>
        <v>0</v>
      </c>
      <c r="H5060" s="6">
        <f t="shared" si="248"/>
        <v>0</v>
      </c>
      <c r="I5060" s="6">
        <f t="shared" si="249"/>
        <v>0</v>
      </c>
      <c r="J5060" s="6">
        <f t="shared" si="250"/>
        <v>0</v>
      </c>
      <c r="L5060" s="4" t="str">
        <f>IFERROR(VLOOKUP(ROWS($L$2:L5060),$B$2:$C$1996,2,0),"")</f>
        <v/>
      </c>
      <c r="N5060" s="2" t="str">
        <f>IFERROR(VLOOKUP(ROWS($N$2:N5060),$D$2:$E$1996,2,0),"")</f>
        <v/>
      </c>
    </row>
    <row r="5061" spans="2:14">
      <c r="B5061" s="32">
        <f>IF(ISNUMBER(SEARCH('Φόρμα Εισαγωγής'!$B$2,C5061)),MAX($B$1:B5060)+1,0)</f>
        <v>0</v>
      </c>
      <c r="D5061" s="33">
        <f>IF(ISNUMBER(SEARCH('Φόρμα Εισαγωγής'!$C$2,E5061)),MAX($D$1:D5060)+1,0)</f>
        <v>0</v>
      </c>
      <c r="H5061" s="6">
        <f t="shared" si="248"/>
        <v>0</v>
      </c>
      <c r="I5061" s="6">
        <f t="shared" si="249"/>
        <v>0</v>
      </c>
      <c r="J5061" s="6">
        <f t="shared" si="250"/>
        <v>0</v>
      </c>
      <c r="L5061" s="4" t="str">
        <f>IFERROR(VLOOKUP(ROWS($L$2:L5061),$B$2:$C$1996,2,0),"")</f>
        <v/>
      </c>
      <c r="N5061" s="2" t="str">
        <f>IFERROR(VLOOKUP(ROWS($N$2:N5061),$D$2:$E$1996,2,0),"")</f>
        <v/>
      </c>
    </row>
    <row r="5062" spans="2:14">
      <c r="B5062" s="32">
        <f>IF(ISNUMBER(SEARCH('Φόρμα Εισαγωγής'!$B$2,C5062)),MAX($B$1:B5061)+1,0)</f>
        <v>0</v>
      </c>
      <c r="D5062" s="33">
        <f>IF(ISNUMBER(SEARCH('Φόρμα Εισαγωγής'!$C$2,E5062)),MAX($D$1:D5061)+1,0)</f>
        <v>0</v>
      </c>
      <c r="H5062" s="6">
        <f t="shared" si="248"/>
        <v>0</v>
      </c>
      <c r="I5062" s="6">
        <f t="shared" si="249"/>
        <v>0</v>
      </c>
      <c r="J5062" s="6">
        <f t="shared" si="250"/>
        <v>0</v>
      </c>
      <c r="L5062" s="4" t="str">
        <f>IFERROR(VLOOKUP(ROWS($L$2:L5062),$B$2:$C$1996,2,0),"")</f>
        <v/>
      </c>
      <c r="N5062" s="2" t="str">
        <f>IFERROR(VLOOKUP(ROWS($N$2:N5062),$D$2:$E$1996,2,0),"")</f>
        <v/>
      </c>
    </row>
    <row r="5063" spans="2:14">
      <c r="B5063" s="32">
        <f>IF(ISNUMBER(SEARCH('Φόρμα Εισαγωγής'!$B$2,C5063)),MAX($B$1:B5062)+1,0)</f>
        <v>0</v>
      </c>
      <c r="D5063" s="33">
        <f>IF(ISNUMBER(SEARCH('Φόρμα Εισαγωγής'!$C$2,E5063)),MAX($D$1:D5062)+1,0)</f>
        <v>0</v>
      </c>
      <c r="H5063" s="6">
        <f t="shared" si="248"/>
        <v>0</v>
      </c>
      <c r="I5063" s="6">
        <f t="shared" si="249"/>
        <v>0</v>
      </c>
      <c r="J5063" s="6">
        <f t="shared" si="250"/>
        <v>0</v>
      </c>
      <c r="L5063" s="4" t="str">
        <f>IFERROR(VLOOKUP(ROWS($L$2:L5063),$B$2:$C$1996,2,0),"")</f>
        <v/>
      </c>
      <c r="N5063" s="2" t="str">
        <f>IFERROR(VLOOKUP(ROWS($N$2:N5063),$D$2:$E$1996,2,0),"")</f>
        <v/>
      </c>
    </row>
    <row r="5064" spans="2:14">
      <c r="B5064" s="32">
        <f>IF(ISNUMBER(SEARCH('Φόρμα Εισαγωγής'!$B$2,C5064)),MAX($B$1:B5063)+1,0)</f>
        <v>0</v>
      </c>
      <c r="D5064" s="33">
        <f>IF(ISNUMBER(SEARCH('Φόρμα Εισαγωγής'!$C$2,E5064)),MAX($D$1:D5063)+1,0)</f>
        <v>0</v>
      </c>
      <c r="H5064" s="6">
        <f t="shared" si="248"/>
        <v>0</v>
      </c>
      <c r="I5064" s="6">
        <f t="shared" si="249"/>
        <v>0</v>
      </c>
      <c r="J5064" s="6">
        <f t="shared" si="250"/>
        <v>0</v>
      </c>
      <c r="L5064" s="4" t="str">
        <f>IFERROR(VLOOKUP(ROWS($L$2:L5064),$B$2:$C$1996,2,0),"")</f>
        <v/>
      </c>
      <c r="N5064" s="2" t="str">
        <f>IFERROR(VLOOKUP(ROWS($N$2:N5064),$D$2:$E$1996,2,0),"")</f>
        <v/>
      </c>
    </row>
    <row r="5065" spans="2:14">
      <c r="B5065" s="32">
        <f>IF(ISNUMBER(SEARCH('Φόρμα Εισαγωγής'!$B$2,C5065)),MAX($B$1:B5064)+1,0)</f>
        <v>0</v>
      </c>
      <c r="D5065" s="33">
        <f>IF(ISNUMBER(SEARCH('Φόρμα Εισαγωγής'!$C$2,E5065)),MAX($D$1:D5064)+1,0)</f>
        <v>0</v>
      </c>
      <c r="H5065" s="6">
        <f t="shared" si="248"/>
        <v>0</v>
      </c>
      <c r="I5065" s="6">
        <f t="shared" si="249"/>
        <v>0</v>
      </c>
      <c r="J5065" s="6">
        <f t="shared" si="250"/>
        <v>0</v>
      </c>
      <c r="L5065" s="4" t="str">
        <f>IFERROR(VLOOKUP(ROWS($L$2:L5065),$B$2:$C$1996,2,0),"")</f>
        <v/>
      </c>
      <c r="N5065" s="2" t="str">
        <f>IFERROR(VLOOKUP(ROWS($N$2:N5065),$D$2:$E$1996,2,0),"")</f>
        <v/>
      </c>
    </row>
    <row r="5066" spans="2:14">
      <c r="B5066" s="32">
        <f>IF(ISNUMBER(SEARCH('Φόρμα Εισαγωγής'!$B$2,C5066)),MAX($B$1:B5065)+1,0)</f>
        <v>0</v>
      </c>
      <c r="D5066" s="33">
        <f>IF(ISNUMBER(SEARCH('Φόρμα Εισαγωγής'!$C$2,E5066)),MAX($D$1:D5065)+1,0)</f>
        <v>0</v>
      </c>
      <c r="H5066" s="6">
        <f t="shared" si="248"/>
        <v>0</v>
      </c>
      <c r="I5066" s="6">
        <f t="shared" si="249"/>
        <v>0</v>
      </c>
      <c r="J5066" s="6">
        <f t="shared" si="250"/>
        <v>0</v>
      </c>
      <c r="L5066" s="4" t="str">
        <f>IFERROR(VLOOKUP(ROWS($L$2:L5066),$B$2:$C$1996,2,0),"")</f>
        <v/>
      </c>
      <c r="N5066" s="2" t="str">
        <f>IFERROR(VLOOKUP(ROWS($N$2:N5066),$D$2:$E$1996,2,0),"")</f>
        <v/>
      </c>
    </row>
    <row r="5067" spans="2:14">
      <c r="B5067" s="32">
        <f>IF(ISNUMBER(SEARCH('Φόρμα Εισαγωγής'!$B$2,C5067)),MAX($B$1:B5066)+1,0)</f>
        <v>0</v>
      </c>
      <c r="D5067" s="33">
        <f>IF(ISNUMBER(SEARCH('Φόρμα Εισαγωγής'!$C$2,E5067)),MAX($D$1:D5066)+1,0)</f>
        <v>0</v>
      </c>
      <c r="H5067" s="6">
        <f t="shared" si="248"/>
        <v>0</v>
      </c>
      <c r="I5067" s="6">
        <f t="shared" si="249"/>
        <v>0</v>
      </c>
      <c r="J5067" s="6">
        <f t="shared" si="250"/>
        <v>0</v>
      </c>
      <c r="L5067" s="4" t="str">
        <f>IFERROR(VLOOKUP(ROWS($L$2:L5067),$B$2:$C$1996,2,0),"")</f>
        <v/>
      </c>
      <c r="N5067" s="2" t="str">
        <f>IFERROR(VLOOKUP(ROWS($N$2:N5067),$D$2:$E$1996,2,0),"")</f>
        <v/>
      </c>
    </row>
    <row r="5068" spans="2:14">
      <c r="B5068" s="32">
        <f>IF(ISNUMBER(SEARCH('Φόρμα Εισαγωγής'!$B$2,C5068)),MAX($B$1:B5067)+1,0)</f>
        <v>0</v>
      </c>
      <c r="D5068" s="33">
        <f>IF(ISNUMBER(SEARCH('Φόρμα Εισαγωγής'!$C$2,E5068)),MAX($D$1:D5067)+1,0)</f>
        <v>0</v>
      </c>
      <c r="H5068" s="6">
        <f t="shared" si="248"/>
        <v>0</v>
      </c>
      <c r="I5068" s="6">
        <f t="shared" si="249"/>
        <v>0</v>
      </c>
      <c r="J5068" s="6">
        <f t="shared" si="250"/>
        <v>0</v>
      </c>
      <c r="L5068" s="4" t="str">
        <f>IFERROR(VLOOKUP(ROWS($L$2:L5068),$B$2:$C$1996,2,0),"")</f>
        <v/>
      </c>
      <c r="N5068" s="2" t="str">
        <f>IFERROR(VLOOKUP(ROWS($N$2:N5068),$D$2:$E$1996,2,0),"")</f>
        <v/>
      </c>
    </row>
    <row r="5069" spans="2:14">
      <c r="B5069" s="32">
        <f>IF(ISNUMBER(SEARCH('Φόρμα Εισαγωγής'!$B$2,C5069)),MAX($B$1:B5068)+1,0)</f>
        <v>0</v>
      </c>
      <c r="D5069" s="33">
        <f>IF(ISNUMBER(SEARCH('Φόρμα Εισαγωγής'!$C$2,E5069)),MAX($D$1:D5068)+1,0)</f>
        <v>0</v>
      </c>
      <c r="H5069" s="6">
        <f t="shared" si="248"/>
        <v>0</v>
      </c>
      <c r="I5069" s="6">
        <f t="shared" si="249"/>
        <v>0</v>
      </c>
      <c r="J5069" s="6">
        <f t="shared" si="250"/>
        <v>0</v>
      </c>
      <c r="L5069" s="4" t="str">
        <f>IFERROR(VLOOKUP(ROWS($L$2:L5069),$B$2:$C$1996,2,0),"")</f>
        <v/>
      </c>
      <c r="N5069" s="2" t="str">
        <f>IFERROR(VLOOKUP(ROWS($N$2:N5069),$D$2:$E$1996,2,0),"")</f>
        <v/>
      </c>
    </row>
    <row r="5070" spans="2:14">
      <c r="B5070" s="32">
        <f>IF(ISNUMBER(SEARCH('Φόρμα Εισαγωγής'!$B$2,C5070)),MAX($B$1:B5069)+1,0)</f>
        <v>0</v>
      </c>
      <c r="D5070" s="33">
        <f>IF(ISNUMBER(SEARCH('Φόρμα Εισαγωγής'!$C$2,E5070)),MAX($D$1:D5069)+1,0)</f>
        <v>0</v>
      </c>
      <c r="H5070" s="6">
        <f t="shared" si="248"/>
        <v>0</v>
      </c>
      <c r="I5070" s="6">
        <f t="shared" si="249"/>
        <v>0</v>
      </c>
      <c r="J5070" s="6">
        <f t="shared" si="250"/>
        <v>0</v>
      </c>
      <c r="L5070" s="4" t="str">
        <f>IFERROR(VLOOKUP(ROWS($L$2:L5070),$B$2:$C$1996,2,0),"")</f>
        <v/>
      </c>
      <c r="N5070" s="2" t="str">
        <f>IFERROR(VLOOKUP(ROWS($N$2:N5070),$D$2:$E$1996,2,0),"")</f>
        <v/>
      </c>
    </row>
    <row r="5071" spans="2:14">
      <c r="B5071" s="32">
        <f>IF(ISNUMBER(SEARCH('Φόρμα Εισαγωγής'!$B$2,C5071)),MAX($B$1:B5070)+1,0)</f>
        <v>0</v>
      </c>
      <c r="D5071" s="33">
        <f>IF(ISNUMBER(SEARCH('Φόρμα Εισαγωγής'!$C$2,E5071)),MAX($D$1:D5070)+1,0)</f>
        <v>0</v>
      </c>
      <c r="H5071" s="6">
        <f t="shared" si="248"/>
        <v>0</v>
      </c>
      <c r="I5071" s="6">
        <f t="shared" si="249"/>
        <v>0</v>
      </c>
      <c r="J5071" s="6">
        <f t="shared" si="250"/>
        <v>0</v>
      </c>
      <c r="L5071" s="4" t="str">
        <f>IFERROR(VLOOKUP(ROWS($L$2:L5071),$B$2:$C$1996,2,0),"")</f>
        <v/>
      </c>
      <c r="N5071" s="2" t="str">
        <f>IFERROR(VLOOKUP(ROWS($N$2:N5071),$D$2:$E$1996,2,0),"")</f>
        <v/>
      </c>
    </row>
    <row r="5072" spans="2:14">
      <c r="B5072" s="32">
        <f>IF(ISNUMBER(SEARCH('Φόρμα Εισαγωγής'!$B$2,C5072)),MAX($B$1:B5071)+1,0)</f>
        <v>0</v>
      </c>
      <c r="D5072" s="33">
        <f>IF(ISNUMBER(SEARCH('Φόρμα Εισαγωγής'!$C$2,E5072)),MAX($D$1:D5071)+1,0)</f>
        <v>0</v>
      </c>
      <c r="H5072" s="6">
        <f t="shared" si="248"/>
        <v>0</v>
      </c>
      <c r="I5072" s="6">
        <f t="shared" si="249"/>
        <v>0</v>
      </c>
      <c r="J5072" s="6">
        <f t="shared" si="250"/>
        <v>0</v>
      </c>
      <c r="L5072" s="4" t="str">
        <f>IFERROR(VLOOKUP(ROWS($L$2:L5072),$B$2:$C$1996,2,0),"")</f>
        <v/>
      </c>
      <c r="N5072" s="2" t="str">
        <f>IFERROR(VLOOKUP(ROWS($N$2:N5072),$D$2:$E$1996,2,0),"")</f>
        <v/>
      </c>
    </row>
    <row r="5073" spans="2:14">
      <c r="B5073" s="32">
        <f>IF(ISNUMBER(SEARCH('Φόρμα Εισαγωγής'!$B$2,C5073)),MAX($B$1:B5072)+1,0)</f>
        <v>0</v>
      </c>
      <c r="D5073" s="33">
        <f>IF(ISNUMBER(SEARCH('Φόρμα Εισαγωγής'!$C$2,E5073)),MAX($D$1:D5072)+1,0)</f>
        <v>0</v>
      </c>
      <c r="H5073" s="6">
        <f t="shared" si="248"/>
        <v>0</v>
      </c>
      <c r="I5073" s="6">
        <f t="shared" si="249"/>
        <v>0</v>
      </c>
      <c r="J5073" s="6">
        <f t="shared" si="250"/>
        <v>0</v>
      </c>
      <c r="L5073" s="4" t="str">
        <f>IFERROR(VLOOKUP(ROWS($L$2:L5073),$B$2:$C$1996,2,0),"")</f>
        <v/>
      </c>
      <c r="N5073" s="2" t="str">
        <f>IFERROR(VLOOKUP(ROWS($N$2:N5073),$D$2:$E$1996,2,0),"")</f>
        <v/>
      </c>
    </row>
    <row r="5074" spans="2:14">
      <c r="B5074" s="32">
        <f>IF(ISNUMBER(SEARCH('Φόρμα Εισαγωγής'!$B$2,C5074)),MAX($B$1:B5073)+1,0)</f>
        <v>0</v>
      </c>
      <c r="D5074" s="33">
        <f>IF(ISNUMBER(SEARCH('Φόρμα Εισαγωγής'!$C$2,E5074)),MAX($D$1:D5073)+1,0)</f>
        <v>0</v>
      </c>
      <c r="H5074" s="6">
        <f t="shared" si="248"/>
        <v>0</v>
      </c>
      <c r="I5074" s="6">
        <f t="shared" si="249"/>
        <v>0</v>
      </c>
      <c r="J5074" s="6">
        <f t="shared" si="250"/>
        <v>0</v>
      </c>
      <c r="L5074" s="4" t="str">
        <f>IFERROR(VLOOKUP(ROWS($L$2:L5074),$B$2:$C$1996,2,0),"")</f>
        <v/>
      </c>
      <c r="N5074" s="2" t="str">
        <f>IFERROR(VLOOKUP(ROWS($N$2:N5074),$D$2:$E$1996,2,0),"")</f>
        <v/>
      </c>
    </row>
    <row r="5075" spans="2:14">
      <c r="B5075" s="32">
        <f>IF(ISNUMBER(SEARCH('Φόρμα Εισαγωγής'!$B$2,C5075)),MAX($B$1:B5074)+1,0)</f>
        <v>0</v>
      </c>
      <c r="D5075" s="33">
        <f>IF(ISNUMBER(SEARCH('Φόρμα Εισαγωγής'!$C$2,E5075)),MAX($D$1:D5074)+1,0)</f>
        <v>0</v>
      </c>
      <c r="H5075" s="6">
        <f t="shared" si="248"/>
        <v>0</v>
      </c>
      <c r="I5075" s="6">
        <f t="shared" si="249"/>
        <v>0</v>
      </c>
      <c r="J5075" s="6">
        <f t="shared" si="250"/>
        <v>0</v>
      </c>
      <c r="L5075" s="4" t="str">
        <f>IFERROR(VLOOKUP(ROWS($L$2:L5075),$B$2:$C$1996,2,0),"")</f>
        <v/>
      </c>
      <c r="N5075" s="2" t="str">
        <f>IFERROR(VLOOKUP(ROWS($N$2:N5075),$D$2:$E$1996,2,0),"")</f>
        <v/>
      </c>
    </row>
    <row r="5076" spans="2:14">
      <c r="B5076" s="32">
        <f>IF(ISNUMBER(SEARCH('Φόρμα Εισαγωγής'!$B$2,C5076)),MAX($B$1:B5075)+1,0)</f>
        <v>0</v>
      </c>
      <c r="D5076" s="33">
        <f>IF(ISNUMBER(SEARCH('Φόρμα Εισαγωγής'!$C$2,E5076)),MAX($D$1:D5075)+1,0)</f>
        <v>0</v>
      </c>
      <c r="H5076" s="6">
        <f t="shared" si="248"/>
        <v>0</v>
      </c>
      <c r="I5076" s="6">
        <f t="shared" si="249"/>
        <v>0</v>
      </c>
      <c r="J5076" s="6">
        <f t="shared" si="250"/>
        <v>0</v>
      </c>
      <c r="L5076" s="4" t="str">
        <f>IFERROR(VLOOKUP(ROWS($L$2:L5076),$B$2:$C$1996,2,0),"")</f>
        <v/>
      </c>
      <c r="N5076" s="2" t="str">
        <f>IFERROR(VLOOKUP(ROWS($N$2:N5076),$D$2:$E$1996,2,0),"")</f>
        <v/>
      </c>
    </row>
    <row r="5077" spans="2:14">
      <c r="B5077" s="32">
        <f>IF(ISNUMBER(SEARCH('Φόρμα Εισαγωγής'!$B$2,C5077)),MAX($B$1:B5076)+1,0)</f>
        <v>0</v>
      </c>
      <c r="D5077" s="33">
        <f>IF(ISNUMBER(SEARCH('Φόρμα Εισαγωγής'!$C$2,E5077)),MAX($D$1:D5076)+1,0)</f>
        <v>0</v>
      </c>
      <c r="H5077" s="6">
        <f t="shared" si="248"/>
        <v>0</v>
      </c>
      <c r="I5077" s="6">
        <f t="shared" si="249"/>
        <v>0</v>
      </c>
      <c r="J5077" s="6">
        <f t="shared" si="250"/>
        <v>0</v>
      </c>
      <c r="L5077" s="4" t="str">
        <f>IFERROR(VLOOKUP(ROWS($L$2:L5077),$B$2:$C$1996,2,0),"")</f>
        <v/>
      </c>
      <c r="N5077" s="2" t="str">
        <f>IFERROR(VLOOKUP(ROWS($N$2:N5077),$D$2:$E$1996,2,0),"")</f>
        <v/>
      </c>
    </row>
    <row r="5078" spans="2:14">
      <c r="B5078" s="32">
        <f>IF(ISNUMBER(SEARCH('Φόρμα Εισαγωγής'!$B$2,C5078)),MAX($B$1:B5077)+1,0)</f>
        <v>0</v>
      </c>
      <c r="D5078" s="33">
        <f>IF(ISNUMBER(SEARCH('Φόρμα Εισαγωγής'!$C$2,E5078)),MAX($D$1:D5077)+1,0)</f>
        <v>0</v>
      </c>
      <c r="H5078" s="6">
        <f t="shared" si="248"/>
        <v>0</v>
      </c>
      <c r="I5078" s="6">
        <f t="shared" si="249"/>
        <v>0</v>
      </c>
      <c r="J5078" s="6">
        <f t="shared" si="250"/>
        <v>0</v>
      </c>
      <c r="L5078" s="4" t="str">
        <f>IFERROR(VLOOKUP(ROWS($L$2:L5078),$B$2:$C$1996,2,0),"")</f>
        <v/>
      </c>
      <c r="N5078" s="2" t="str">
        <f>IFERROR(VLOOKUP(ROWS($N$2:N5078),$D$2:$E$1996,2,0),"")</f>
        <v/>
      </c>
    </row>
    <row r="5079" spans="2:14">
      <c r="B5079" s="32">
        <f>IF(ISNUMBER(SEARCH('Φόρμα Εισαγωγής'!$B$2,C5079)),MAX($B$1:B5078)+1,0)</f>
        <v>0</v>
      </c>
      <c r="D5079" s="33">
        <f>IF(ISNUMBER(SEARCH('Φόρμα Εισαγωγής'!$C$2,E5079)),MAX($D$1:D5078)+1,0)</f>
        <v>0</v>
      </c>
      <c r="H5079" s="6">
        <f t="shared" si="248"/>
        <v>0</v>
      </c>
      <c r="I5079" s="6">
        <f t="shared" si="249"/>
        <v>0</v>
      </c>
      <c r="J5079" s="6">
        <f t="shared" si="250"/>
        <v>0</v>
      </c>
      <c r="L5079" s="4" t="str">
        <f>IFERROR(VLOOKUP(ROWS($L$2:L5079),$B$2:$C$1996,2,0),"")</f>
        <v/>
      </c>
      <c r="N5079" s="2" t="str">
        <f>IFERROR(VLOOKUP(ROWS($N$2:N5079),$D$2:$E$1996,2,0),"")</f>
        <v/>
      </c>
    </row>
    <row r="5080" spans="2:14">
      <c r="B5080" s="32">
        <f>IF(ISNUMBER(SEARCH('Φόρμα Εισαγωγής'!$B$2,C5080)),MAX($B$1:B5079)+1,0)</f>
        <v>0</v>
      </c>
      <c r="D5080" s="33">
        <f>IF(ISNUMBER(SEARCH('Φόρμα Εισαγωγής'!$C$2,E5080)),MAX($D$1:D5079)+1,0)</f>
        <v>0</v>
      </c>
      <c r="H5080" s="6">
        <f t="shared" si="248"/>
        <v>0</v>
      </c>
      <c r="I5080" s="6">
        <f t="shared" si="249"/>
        <v>0</v>
      </c>
      <c r="J5080" s="6">
        <f t="shared" si="250"/>
        <v>0</v>
      </c>
      <c r="L5080" s="4" t="str">
        <f>IFERROR(VLOOKUP(ROWS($L$2:L5080),$B$2:$C$1996,2,0),"")</f>
        <v/>
      </c>
      <c r="N5080" s="2" t="str">
        <f>IFERROR(VLOOKUP(ROWS($N$2:N5080),$D$2:$E$1996,2,0),"")</f>
        <v/>
      </c>
    </row>
    <row r="5081" spans="2:14">
      <c r="B5081" s="32">
        <f>IF(ISNUMBER(SEARCH('Φόρμα Εισαγωγής'!$B$2,C5081)),MAX($B$1:B5080)+1,0)</f>
        <v>0</v>
      </c>
      <c r="D5081" s="33">
        <f>IF(ISNUMBER(SEARCH('Φόρμα Εισαγωγής'!$C$2,E5081)),MAX($D$1:D5080)+1,0)</f>
        <v>0</v>
      </c>
      <c r="H5081" s="6">
        <f t="shared" si="248"/>
        <v>0</v>
      </c>
      <c r="I5081" s="6">
        <f t="shared" si="249"/>
        <v>0</v>
      </c>
      <c r="J5081" s="6">
        <f t="shared" si="250"/>
        <v>0</v>
      </c>
      <c r="L5081" s="4" t="str">
        <f>IFERROR(VLOOKUP(ROWS($L$2:L5081),$B$2:$C$1996,2,0),"")</f>
        <v/>
      </c>
      <c r="N5081" s="2" t="str">
        <f>IFERROR(VLOOKUP(ROWS($N$2:N5081),$D$2:$E$1996,2,0),"")</f>
        <v/>
      </c>
    </row>
    <row r="5082" spans="2:14">
      <c r="B5082" s="32">
        <f>IF(ISNUMBER(SEARCH('Φόρμα Εισαγωγής'!$B$2,C5082)),MAX($B$1:B5081)+1,0)</f>
        <v>0</v>
      </c>
      <c r="D5082" s="33">
        <f>IF(ISNUMBER(SEARCH('Φόρμα Εισαγωγής'!$C$2,E5082)),MAX($D$1:D5081)+1,0)</f>
        <v>0</v>
      </c>
      <c r="H5082" s="6">
        <f t="shared" si="248"/>
        <v>0</v>
      </c>
      <c r="I5082" s="6">
        <f t="shared" si="249"/>
        <v>0</v>
      </c>
      <c r="J5082" s="6">
        <f t="shared" si="250"/>
        <v>0</v>
      </c>
      <c r="L5082" s="4" t="str">
        <f>IFERROR(VLOOKUP(ROWS($L$2:L5082),$B$2:$C$1996,2,0),"")</f>
        <v/>
      </c>
      <c r="N5082" s="2" t="str">
        <f>IFERROR(VLOOKUP(ROWS($N$2:N5082),$D$2:$E$1996,2,0),"")</f>
        <v/>
      </c>
    </row>
    <row r="5083" spans="2:14">
      <c r="B5083" s="32">
        <f>IF(ISNUMBER(SEARCH('Φόρμα Εισαγωγής'!$B$2,C5083)),MAX($B$1:B5082)+1,0)</f>
        <v>0</v>
      </c>
      <c r="D5083" s="33">
        <f>IF(ISNUMBER(SEARCH('Φόρμα Εισαγωγής'!$C$2,E5083)),MAX($D$1:D5082)+1,0)</f>
        <v>0</v>
      </c>
      <c r="H5083" s="6">
        <f t="shared" si="248"/>
        <v>0</v>
      </c>
      <c r="I5083" s="6">
        <f t="shared" si="249"/>
        <v>0</v>
      </c>
      <c r="J5083" s="6">
        <f t="shared" si="250"/>
        <v>0</v>
      </c>
      <c r="L5083" s="4" t="str">
        <f>IFERROR(VLOOKUP(ROWS($L$2:L5083),$B$2:$C$1996,2,0),"")</f>
        <v/>
      </c>
      <c r="N5083" s="2" t="str">
        <f>IFERROR(VLOOKUP(ROWS($N$2:N5083),$D$2:$E$1996,2,0),"")</f>
        <v/>
      </c>
    </row>
    <row r="5084" spans="2:14">
      <c r="B5084" s="32">
        <f>IF(ISNUMBER(SEARCH('Φόρμα Εισαγωγής'!$B$2,C5084)),MAX($B$1:B5083)+1,0)</f>
        <v>0</v>
      </c>
      <c r="D5084" s="33">
        <f>IF(ISNUMBER(SEARCH('Φόρμα Εισαγωγής'!$C$2,E5084)),MAX($D$1:D5083)+1,0)</f>
        <v>0</v>
      </c>
      <c r="H5084" s="6">
        <f t="shared" si="248"/>
        <v>0</v>
      </c>
      <c r="I5084" s="6">
        <f t="shared" si="249"/>
        <v>0</v>
      </c>
      <c r="J5084" s="6">
        <f t="shared" si="250"/>
        <v>0</v>
      </c>
      <c r="L5084" s="4" t="str">
        <f>IFERROR(VLOOKUP(ROWS($L$2:L5084),$B$2:$C$1996,2,0),"")</f>
        <v/>
      </c>
      <c r="N5084" s="2" t="str">
        <f>IFERROR(VLOOKUP(ROWS($N$2:N5084),$D$2:$E$1996,2,0),"")</f>
        <v/>
      </c>
    </row>
    <row r="5085" spans="2:14">
      <c r="B5085" s="32">
        <f>IF(ISNUMBER(SEARCH('Φόρμα Εισαγωγής'!$B$2,C5085)),MAX($B$1:B5084)+1,0)</f>
        <v>0</v>
      </c>
      <c r="D5085" s="33">
        <f>IF(ISNUMBER(SEARCH('Φόρμα Εισαγωγής'!$C$2,E5085)),MAX($D$1:D5084)+1,0)</f>
        <v>0</v>
      </c>
      <c r="H5085" s="6">
        <f t="shared" si="248"/>
        <v>0</v>
      </c>
      <c r="I5085" s="6">
        <f t="shared" si="249"/>
        <v>0</v>
      </c>
      <c r="J5085" s="6">
        <f t="shared" si="250"/>
        <v>0</v>
      </c>
      <c r="L5085" s="4" t="str">
        <f>IFERROR(VLOOKUP(ROWS($L$2:L5085),$B$2:$C$1996,2,0),"")</f>
        <v/>
      </c>
      <c r="N5085" s="2" t="str">
        <f>IFERROR(VLOOKUP(ROWS($N$2:N5085),$D$2:$E$1996,2,0),"")</f>
        <v/>
      </c>
    </row>
    <row r="5086" spans="2:14">
      <c r="B5086" s="32">
        <f>IF(ISNUMBER(SEARCH('Φόρμα Εισαγωγής'!$B$2,C5086)),MAX($B$1:B5085)+1,0)</f>
        <v>0</v>
      </c>
      <c r="D5086" s="33">
        <f>IF(ISNUMBER(SEARCH('Φόρμα Εισαγωγής'!$C$2,E5086)),MAX($D$1:D5085)+1,0)</f>
        <v>0</v>
      </c>
      <c r="H5086" s="6">
        <f t="shared" si="248"/>
        <v>0</v>
      </c>
      <c r="I5086" s="6">
        <f t="shared" si="249"/>
        <v>0</v>
      </c>
      <c r="J5086" s="6">
        <f t="shared" si="250"/>
        <v>0</v>
      </c>
      <c r="L5086" s="4" t="str">
        <f>IFERROR(VLOOKUP(ROWS($L$2:L5086),$B$2:$C$1996,2,0),"")</f>
        <v/>
      </c>
      <c r="N5086" s="2" t="str">
        <f>IFERROR(VLOOKUP(ROWS($N$2:N5086),$D$2:$E$1996,2,0),"")</f>
        <v/>
      </c>
    </row>
    <row r="5087" spans="2:14">
      <c r="B5087" s="32">
        <f>IF(ISNUMBER(SEARCH('Φόρμα Εισαγωγής'!$B$2,C5087)),MAX($B$1:B5086)+1,0)</f>
        <v>0</v>
      </c>
      <c r="D5087" s="33">
        <f>IF(ISNUMBER(SEARCH('Φόρμα Εισαγωγής'!$C$2,E5087)),MAX($D$1:D5086)+1,0)</f>
        <v>0</v>
      </c>
      <c r="H5087" s="6">
        <f t="shared" si="248"/>
        <v>0</v>
      </c>
      <c r="I5087" s="6">
        <f t="shared" si="249"/>
        <v>0</v>
      </c>
      <c r="J5087" s="6">
        <f t="shared" si="250"/>
        <v>0</v>
      </c>
      <c r="L5087" s="4" t="str">
        <f>IFERROR(VLOOKUP(ROWS($L$2:L5087),$B$2:$C$1996,2,0),"")</f>
        <v/>
      </c>
      <c r="N5087" s="2" t="str">
        <f>IFERROR(VLOOKUP(ROWS($N$2:N5087),$D$2:$E$1996,2,0),"")</f>
        <v/>
      </c>
    </row>
    <row r="5088" spans="2:14">
      <c r="B5088" s="32">
        <f>IF(ISNUMBER(SEARCH('Φόρμα Εισαγωγής'!$B$2,C5088)),MAX($B$1:B5087)+1,0)</f>
        <v>0</v>
      </c>
      <c r="D5088" s="33">
        <f>IF(ISNUMBER(SEARCH('Φόρμα Εισαγωγής'!$C$2,E5088)),MAX($D$1:D5087)+1,0)</f>
        <v>0</v>
      </c>
      <c r="H5088" s="6">
        <f t="shared" si="248"/>
        <v>0</v>
      </c>
      <c r="I5088" s="6">
        <f t="shared" si="249"/>
        <v>0</v>
      </c>
      <c r="J5088" s="6">
        <f t="shared" si="250"/>
        <v>0</v>
      </c>
      <c r="L5088" s="4" t="str">
        <f>IFERROR(VLOOKUP(ROWS($L$2:L5088),$B$2:$C$1996,2,0),"")</f>
        <v/>
      </c>
      <c r="N5088" s="2" t="str">
        <f>IFERROR(VLOOKUP(ROWS($N$2:N5088),$D$2:$E$1996,2,0),"")</f>
        <v/>
      </c>
    </row>
    <row r="5089" spans="2:14">
      <c r="B5089" s="32">
        <f>IF(ISNUMBER(SEARCH('Φόρμα Εισαγωγής'!$B$2,C5089)),MAX($B$1:B5088)+1,0)</f>
        <v>0</v>
      </c>
      <c r="D5089" s="33">
        <f>IF(ISNUMBER(SEARCH('Φόρμα Εισαγωγής'!$C$2,E5089)),MAX($D$1:D5088)+1,0)</f>
        <v>0</v>
      </c>
      <c r="H5089" s="6">
        <f t="shared" si="248"/>
        <v>0</v>
      </c>
      <c r="I5089" s="6">
        <f t="shared" si="249"/>
        <v>0</v>
      </c>
      <c r="J5089" s="6">
        <f t="shared" si="250"/>
        <v>0</v>
      </c>
      <c r="L5089" s="4" t="str">
        <f>IFERROR(VLOOKUP(ROWS($L$2:L5089),$B$2:$C$1996,2,0),"")</f>
        <v/>
      </c>
      <c r="N5089" s="2" t="str">
        <f>IFERROR(VLOOKUP(ROWS($N$2:N5089),$D$2:$E$1996,2,0),"")</f>
        <v/>
      </c>
    </row>
    <row r="5090" spans="2:14">
      <c r="B5090" s="32">
        <f>IF(ISNUMBER(SEARCH('Φόρμα Εισαγωγής'!$B$2,C5090)),MAX($B$1:B5089)+1,0)</f>
        <v>0</v>
      </c>
      <c r="D5090" s="33">
        <f>IF(ISNUMBER(SEARCH('Φόρμα Εισαγωγής'!$C$2,E5090)),MAX($D$1:D5089)+1,0)</f>
        <v>0</v>
      </c>
      <c r="H5090" s="6">
        <f t="shared" si="248"/>
        <v>0</v>
      </c>
      <c r="I5090" s="6">
        <f t="shared" si="249"/>
        <v>0</v>
      </c>
      <c r="J5090" s="6">
        <f t="shared" si="250"/>
        <v>0</v>
      </c>
      <c r="L5090" s="4" t="str">
        <f>IFERROR(VLOOKUP(ROWS($L$2:L5090),$B$2:$C$1996,2,0),"")</f>
        <v/>
      </c>
      <c r="N5090" s="2" t="str">
        <f>IFERROR(VLOOKUP(ROWS($N$2:N5090),$D$2:$E$1996,2,0),"")</f>
        <v/>
      </c>
    </row>
    <row r="5091" spans="2:14">
      <c r="B5091" s="32">
        <f>IF(ISNUMBER(SEARCH('Φόρμα Εισαγωγής'!$B$2,C5091)),MAX($B$1:B5090)+1,0)</f>
        <v>0</v>
      </c>
      <c r="D5091" s="33">
        <f>IF(ISNUMBER(SEARCH('Φόρμα Εισαγωγής'!$C$2,E5091)),MAX($D$1:D5090)+1,0)</f>
        <v>0</v>
      </c>
      <c r="H5091" s="6">
        <f t="shared" si="248"/>
        <v>0</v>
      </c>
      <c r="I5091" s="6">
        <f t="shared" si="249"/>
        <v>0</v>
      </c>
      <c r="J5091" s="6">
        <f t="shared" si="250"/>
        <v>0</v>
      </c>
      <c r="L5091" s="4" t="str">
        <f>IFERROR(VLOOKUP(ROWS($L$2:L5091),$B$2:$C$1996,2,0),"")</f>
        <v/>
      </c>
      <c r="N5091" s="2" t="str">
        <f>IFERROR(VLOOKUP(ROWS($N$2:N5091),$D$2:$E$1996,2,0),"")</f>
        <v/>
      </c>
    </row>
    <row r="5092" spans="2:14">
      <c r="B5092" s="32">
        <f>IF(ISNUMBER(SEARCH('Φόρμα Εισαγωγής'!$B$2,C5092)),MAX($B$1:B5091)+1,0)</f>
        <v>0</v>
      </c>
      <c r="D5092" s="33">
        <f>IF(ISNUMBER(SEARCH('Φόρμα Εισαγωγής'!$C$2,E5092)),MAX($D$1:D5091)+1,0)</f>
        <v>0</v>
      </c>
      <c r="H5092" s="6">
        <f t="shared" si="248"/>
        <v>0</v>
      </c>
      <c r="I5092" s="6">
        <f t="shared" si="249"/>
        <v>0</v>
      </c>
      <c r="J5092" s="6">
        <f t="shared" si="250"/>
        <v>0</v>
      </c>
      <c r="L5092" s="4" t="str">
        <f>IFERROR(VLOOKUP(ROWS($L$2:L5092),$B$2:$C$1996,2,0),"")</f>
        <v/>
      </c>
      <c r="N5092" s="2" t="str">
        <f>IFERROR(VLOOKUP(ROWS($N$2:N5092),$D$2:$E$1996,2,0),"")</f>
        <v/>
      </c>
    </row>
    <row r="5093" spans="2:14">
      <c r="B5093" s="32">
        <f>IF(ISNUMBER(SEARCH('Φόρμα Εισαγωγής'!$B$2,C5093)),MAX($B$1:B5092)+1,0)</f>
        <v>0</v>
      </c>
      <c r="D5093" s="33">
        <f>IF(ISNUMBER(SEARCH('Φόρμα Εισαγωγής'!$C$2,E5093)),MAX($D$1:D5092)+1,0)</f>
        <v>0</v>
      </c>
      <c r="H5093" s="6">
        <f t="shared" si="248"/>
        <v>0</v>
      </c>
      <c r="I5093" s="6">
        <f t="shared" si="249"/>
        <v>0</v>
      </c>
      <c r="J5093" s="6">
        <f t="shared" si="250"/>
        <v>0</v>
      </c>
      <c r="L5093" s="4" t="str">
        <f>IFERROR(VLOOKUP(ROWS($L$2:L5093),$B$2:$C$1996,2,0),"")</f>
        <v/>
      </c>
      <c r="N5093" s="2" t="str">
        <f>IFERROR(VLOOKUP(ROWS($N$2:N5093),$D$2:$E$1996,2,0),"")</f>
        <v/>
      </c>
    </row>
    <row r="5094" spans="2:14">
      <c r="B5094" s="32">
        <f>IF(ISNUMBER(SEARCH('Φόρμα Εισαγωγής'!$B$2,C5094)),MAX($B$1:B5093)+1,0)</f>
        <v>0</v>
      </c>
      <c r="D5094" s="33">
        <f>IF(ISNUMBER(SEARCH('Φόρμα Εισαγωγής'!$C$2,E5094)),MAX($D$1:D5093)+1,0)</f>
        <v>0</v>
      </c>
      <c r="H5094" s="6">
        <f t="shared" si="248"/>
        <v>0</v>
      </c>
      <c r="I5094" s="6">
        <f t="shared" si="249"/>
        <v>0</v>
      </c>
      <c r="J5094" s="6">
        <f t="shared" si="250"/>
        <v>0</v>
      </c>
      <c r="L5094" s="4" t="str">
        <f>IFERROR(VLOOKUP(ROWS($L$2:L5094),$B$2:$C$1996,2,0),"")</f>
        <v/>
      </c>
      <c r="N5094" s="2" t="str">
        <f>IFERROR(VLOOKUP(ROWS($N$2:N5094),$D$2:$E$1996,2,0),"")</f>
        <v/>
      </c>
    </row>
    <row r="5095" spans="2:14">
      <c r="B5095" s="32">
        <f>IF(ISNUMBER(SEARCH('Φόρμα Εισαγωγής'!$B$2,C5095)),MAX($B$1:B5094)+1,0)</f>
        <v>0</v>
      </c>
      <c r="D5095" s="33">
        <f>IF(ISNUMBER(SEARCH('Φόρμα Εισαγωγής'!$C$2,E5095)),MAX($D$1:D5094)+1,0)</f>
        <v>0</v>
      </c>
      <c r="H5095" s="6">
        <f t="shared" si="248"/>
        <v>0</v>
      </c>
      <c r="I5095" s="6">
        <f t="shared" si="249"/>
        <v>0</v>
      </c>
      <c r="J5095" s="6">
        <f t="shared" si="250"/>
        <v>0</v>
      </c>
      <c r="L5095" s="4" t="str">
        <f>IFERROR(VLOOKUP(ROWS($L$2:L5095),$B$2:$C$1996,2,0),"")</f>
        <v/>
      </c>
      <c r="N5095" s="2" t="str">
        <f>IFERROR(VLOOKUP(ROWS($N$2:N5095),$D$2:$E$1996,2,0),"")</f>
        <v/>
      </c>
    </row>
    <row r="5096" spans="2:14">
      <c r="B5096" s="32">
        <f>IF(ISNUMBER(SEARCH('Φόρμα Εισαγωγής'!$B$2,C5096)),MAX($B$1:B5095)+1,0)</f>
        <v>0</v>
      </c>
      <c r="D5096" s="33">
        <f>IF(ISNUMBER(SEARCH('Φόρμα Εισαγωγής'!$C$2,E5096)),MAX($D$1:D5095)+1,0)</f>
        <v>0</v>
      </c>
      <c r="H5096" s="6">
        <f t="shared" si="248"/>
        <v>0</v>
      </c>
      <c r="I5096" s="6">
        <f t="shared" si="249"/>
        <v>0</v>
      </c>
      <c r="J5096" s="6">
        <f t="shared" si="250"/>
        <v>0</v>
      </c>
      <c r="L5096" s="4" t="str">
        <f>IFERROR(VLOOKUP(ROWS($L$2:L5096),$B$2:$C$1996,2,0),"")</f>
        <v/>
      </c>
      <c r="N5096" s="2" t="str">
        <f>IFERROR(VLOOKUP(ROWS($N$2:N5096),$D$2:$E$1996,2,0),"")</f>
        <v/>
      </c>
    </row>
    <row r="5097" spans="2:14">
      <c r="B5097" s="32">
        <f>IF(ISNUMBER(SEARCH('Φόρμα Εισαγωγής'!$B$2,C5097)),MAX($B$1:B5096)+1,0)</f>
        <v>0</v>
      </c>
      <c r="D5097" s="33">
        <f>IF(ISNUMBER(SEARCH('Φόρμα Εισαγωγής'!$C$2,E5097)),MAX($D$1:D5096)+1,0)</f>
        <v>0</v>
      </c>
      <c r="H5097" s="6">
        <f t="shared" si="248"/>
        <v>0</v>
      </c>
      <c r="I5097" s="6">
        <f t="shared" si="249"/>
        <v>0</v>
      </c>
      <c r="J5097" s="6">
        <f t="shared" si="250"/>
        <v>0</v>
      </c>
      <c r="L5097" s="4" t="str">
        <f>IFERROR(VLOOKUP(ROWS($L$2:L5097),$B$2:$C$1996,2,0),"")</f>
        <v/>
      </c>
      <c r="N5097" s="2" t="str">
        <f>IFERROR(VLOOKUP(ROWS($N$2:N5097),$D$2:$E$1996,2,0),"")</f>
        <v/>
      </c>
    </row>
    <row r="5098" spans="2:14">
      <c r="B5098" s="32">
        <f>IF(ISNUMBER(SEARCH('Φόρμα Εισαγωγής'!$B$2,C5098)),MAX($B$1:B5097)+1,0)</f>
        <v>0</v>
      </c>
      <c r="D5098" s="33">
        <f>IF(ISNUMBER(SEARCH('Φόρμα Εισαγωγής'!$C$2,E5098)),MAX($D$1:D5097)+1,0)</f>
        <v>0</v>
      </c>
      <c r="H5098" s="6">
        <f t="shared" si="248"/>
        <v>0</v>
      </c>
      <c r="I5098" s="6">
        <f t="shared" si="249"/>
        <v>0</v>
      </c>
      <c r="J5098" s="6">
        <f t="shared" si="250"/>
        <v>0</v>
      </c>
      <c r="L5098" s="4" t="str">
        <f>IFERROR(VLOOKUP(ROWS($L$2:L5098),$B$2:$C$1996,2,0),"")</f>
        <v/>
      </c>
      <c r="N5098" s="2" t="str">
        <f>IFERROR(VLOOKUP(ROWS($N$2:N5098),$D$2:$E$1996,2,0),"")</f>
        <v/>
      </c>
    </row>
    <row r="5099" spans="2:14">
      <c r="B5099" s="32">
        <f>IF(ISNUMBER(SEARCH('Φόρμα Εισαγωγής'!$B$2,C5099)),MAX($B$1:B5098)+1,0)</f>
        <v>0</v>
      </c>
      <c r="D5099" s="33">
        <f>IF(ISNUMBER(SEARCH('Φόρμα Εισαγωγής'!$C$2,E5099)),MAX($D$1:D5098)+1,0)</f>
        <v>0</v>
      </c>
      <c r="H5099" s="6">
        <f t="shared" si="248"/>
        <v>0</v>
      </c>
      <c r="I5099" s="6">
        <f t="shared" si="249"/>
        <v>0</v>
      </c>
      <c r="J5099" s="6">
        <f t="shared" si="250"/>
        <v>0</v>
      </c>
      <c r="L5099" s="4" t="str">
        <f>IFERROR(VLOOKUP(ROWS($L$2:L5099),$B$2:$C$1996,2,0),"")</f>
        <v/>
      </c>
      <c r="N5099" s="2" t="str">
        <f>IFERROR(VLOOKUP(ROWS($N$2:N5099),$D$2:$E$1996,2,0),"")</f>
        <v/>
      </c>
    </row>
    <row r="5100" spans="2:14">
      <c r="B5100" s="32">
        <f>IF(ISNUMBER(SEARCH('Φόρμα Εισαγωγής'!$B$2,C5100)),MAX($B$1:B5099)+1,0)</f>
        <v>0</v>
      </c>
      <c r="D5100" s="33">
        <f>IF(ISNUMBER(SEARCH('Φόρμα Εισαγωγής'!$C$2,E5100)),MAX($D$1:D5099)+1,0)</f>
        <v>0</v>
      </c>
      <c r="H5100" s="6">
        <f t="shared" si="248"/>
        <v>0</v>
      </c>
      <c r="I5100" s="6">
        <f t="shared" si="249"/>
        <v>0</v>
      </c>
      <c r="J5100" s="6">
        <f t="shared" si="250"/>
        <v>0</v>
      </c>
      <c r="L5100" s="4" t="str">
        <f>IFERROR(VLOOKUP(ROWS($L$2:L5100),$B$2:$C$1996,2,0),"")</f>
        <v/>
      </c>
      <c r="N5100" s="2" t="str">
        <f>IFERROR(VLOOKUP(ROWS($N$2:N5100),$D$2:$E$1996,2,0),"")</f>
        <v/>
      </c>
    </row>
    <row r="5101" spans="2:14">
      <c r="B5101" s="32">
        <f>IF(ISNUMBER(SEARCH('Φόρμα Εισαγωγής'!$B$2,C5101)),MAX($B$1:B5100)+1,0)</f>
        <v>0</v>
      </c>
      <c r="D5101" s="33">
        <f>IF(ISNUMBER(SEARCH('Φόρμα Εισαγωγής'!$C$2,E5101)),MAX($D$1:D5100)+1,0)</f>
        <v>0</v>
      </c>
      <c r="H5101" s="6">
        <f t="shared" si="248"/>
        <v>0</v>
      </c>
      <c r="I5101" s="6">
        <f t="shared" si="249"/>
        <v>0</v>
      </c>
      <c r="J5101" s="6">
        <f t="shared" si="250"/>
        <v>0</v>
      </c>
      <c r="L5101" s="4" t="str">
        <f>IFERROR(VLOOKUP(ROWS($L$2:L5101),$B$2:$C$1996,2,0),"")</f>
        <v/>
      </c>
      <c r="N5101" s="2" t="str">
        <f>IFERROR(VLOOKUP(ROWS($N$2:N5101),$D$2:$E$1996,2,0),"")</f>
        <v/>
      </c>
    </row>
    <row r="5102" spans="2:14">
      <c r="B5102" s="32">
        <f>IF(ISNUMBER(SEARCH('Φόρμα Εισαγωγής'!$B$2,C5102)),MAX($B$1:B5101)+1,0)</f>
        <v>0</v>
      </c>
      <c r="D5102" s="33">
        <f>IF(ISNUMBER(SEARCH('Φόρμα Εισαγωγής'!$C$2,E5102)),MAX($D$1:D5101)+1,0)</f>
        <v>0</v>
      </c>
      <c r="H5102" s="6">
        <f t="shared" si="248"/>
        <v>0</v>
      </c>
      <c r="I5102" s="6">
        <f t="shared" si="249"/>
        <v>0</v>
      </c>
      <c r="J5102" s="6">
        <f t="shared" si="250"/>
        <v>0</v>
      </c>
      <c r="L5102" s="4" t="str">
        <f>IFERROR(VLOOKUP(ROWS($L$2:L5102),$B$2:$C$1996,2,0),"")</f>
        <v/>
      </c>
      <c r="N5102" s="2" t="str">
        <f>IFERROR(VLOOKUP(ROWS($N$2:N5102),$D$2:$E$1996,2,0),"")</f>
        <v/>
      </c>
    </row>
    <row r="5103" spans="2:14">
      <c r="B5103" s="32">
        <f>IF(ISNUMBER(SEARCH('Φόρμα Εισαγωγής'!$B$2,C5103)),MAX($B$1:B5102)+1,0)</f>
        <v>0</v>
      </c>
      <c r="D5103" s="33">
        <f>IF(ISNUMBER(SEARCH('Φόρμα Εισαγωγής'!$C$2,E5103)),MAX($D$1:D5102)+1,0)</f>
        <v>0</v>
      </c>
      <c r="H5103" s="6">
        <f t="shared" si="248"/>
        <v>0</v>
      </c>
      <c r="I5103" s="6">
        <f t="shared" si="249"/>
        <v>0</v>
      </c>
      <c r="J5103" s="6">
        <f t="shared" si="250"/>
        <v>0</v>
      </c>
      <c r="L5103" s="4" t="str">
        <f>IFERROR(VLOOKUP(ROWS($L$2:L5103),$B$2:$C$1996,2,0),"")</f>
        <v/>
      </c>
      <c r="N5103" s="2" t="str">
        <f>IFERROR(VLOOKUP(ROWS($N$2:N5103),$D$2:$E$1996,2,0),"")</f>
        <v/>
      </c>
    </row>
    <row r="5104" spans="2:14">
      <c r="B5104" s="32">
        <f>IF(ISNUMBER(SEARCH('Φόρμα Εισαγωγής'!$B$2,C5104)),MAX($B$1:B5103)+1,0)</f>
        <v>0</v>
      </c>
      <c r="D5104" s="33">
        <f>IF(ISNUMBER(SEARCH('Φόρμα Εισαγωγής'!$C$2,E5104)),MAX($D$1:D5103)+1,0)</f>
        <v>0</v>
      </c>
      <c r="H5104" s="6">
        <f t="shared" si="248"/>
        <v>0</v>
      </c>
      <c r="I5104" s="6">
        <f t="shared" si="249"/>
        <v>0</v>
      </c>
      <c r="J5104" s="6">
        <f t="shared" si="250"/>
        <v>0</v>
      </c>
      <c r="L5104" s="4" t="str">
        <f>IFERROR(VLOOKUP(ROWS($L$2:L5104),$B$2:$C$1996,2,0),"")</f>
        <v/>
      </c>
      <c r="N5104" s="2" t="str">
        <f>IFERROR(VLOOKUP(ROWS($N$2:N5104),$D$2:$E$1996,2,0),"")</f>
        <v/>
      </c>
    </row>
    <row r="5105" spans="2:14">
      <c r="B5105" s="32">
        <f>IF(ISNUMBER(SEARCH('Φόρμα Εισαγωγής'!$B$2,C5105)),MAX($B$1:B5104)+1,0)</f>
        <v>0</v>
      </c>
      <c r="D5105" s="33">
        <f>IF(ISNUMBER(SEARCH('Φόρμα Εισαγωγής'!$C$2,E5105)),MAX($D$1:D5104)+1,0)</f>
        <v>0</v>
      </c>
      <c r="H5105" s="6">
        <f t="shared" si="248"/>
        <v>0</v>
      </c>
      <c r="I5105" s="6">
        <f t="shared" si="249"/>
        <v>0</v>
      </c>
      <c r="J5105" s="6">
        <f t="shared" si="250"/>
        <v>0</v>
      </c>
      <c r="L5105" s="4" t="str">
        <f>IFERROR(VLOOKUP(ROWS($L$2:L5105),$B$2:$C$1996,2,0),"")</f>
        <v/>
      </c>
      <c r="N5105" s="2" t="str">
        <f>IFERROR(VLOOKUP(ROWS($N$2:N5105),$D$2:$E$1996,2,0),"")</f>
        <v/>
      </c>
    </row>
    <row r="5106" spans="2:14">
      <c r="B5106" s="32">
        <f>IF(ISNUMBER(SEARCH('Φόρμα Εισαγωγής'!$B$2,C5106)),MAX($B$1:B5105)+1,0)</f>
        <v>0</v>
      </c>
      <c r="D5106" s="33">
        <f>IF(ISNUMBER(SEARCH('Φόρμα Εισαγωγής'!$C$2,E5106)),MAX($D$1:D5105)+1,0)</f>
        <v>0</v>
      </c>
      <c r="H5106" s="6">
        <f t="shared" si="248"/>
        <v>0</v>
      </c>
      <c r="I5106" s="6">
        <f t="shared" si="249"/>
        <v>0</v>
      </c>
      <c r="J5106" s="6">
        <f t="shared" si="250"/>
        <v>0</v>
      </c>
      <c r="L5106" s="4" t="str">
        <f>IFERROR(VLOOKUP(ROWS($L$2:L5106),$B$2:$C$1996,2,0),"")</f>
        <v/>
      </c>
      <c r="N5106" s="2" t="str">
        <f>IFERROR(VLOOKUP(ROWS($N$2:N5106),$D$2:$E$1996,2,0),"")</f>
        <v/>
      </c>
    </row>
    <row r="5107" spans="2:14">
      <c r="B5107" s="32">
        <f>IF(ISNUMBER(SEARCH('Φόρμα Εισαγωγής'!$B$2,C5107)),MAX($B$1:B5106)+1,0)</f>
        <v>0</v>
      </c>
      <c r="D5107" s="33">
        <f>IF(ISNUMBER(SEARCH('Φόρμα Εισαγωγής'!$C$2,E5107)),MAX($D$1:D5106)+1,0)</f>
        <v>0</v>
      </c>
      <c r="H5107" s="6">
        <f t="shared" si="248"/>
        <v>0</v>
      </c>
      <c r="I5107" s="6">
        <f t="shared" si="249"/>
        <v>0</v>
      </c>
      <c r="J5107" s="6">
        <f t="shared" si="250"/>
        <v>0</v>
      </c>
      <c r="L5107" s="4" t="str">
        <f>IFERROR(VLOOKUP(ROWS($L$2:L5107),$B$2:$C$1996,2,0),"")</f>
        <v/>
      </c>
      <c r="N5107" s="2" t="str">
        <f>IFERROR(VLOOKUP(ROWS($N$2:N5107),$D$2:$E$1996,2,0),"")</f>
        <v/>
      </c>
    </row>
    <row r="5108" spans="2:14">
      <c r="B5108" s="32">
        <f>IF(ISNUMBER(SEARCH('Φόρμα Εισαγωγής'!$B$2,C5108)),MAX($B$1:B5107)+1,0)</f>
        <v>0</v>
      </c>
      <c r="D5108" s="33">
        <f>IF(ISNUMBER(SEARCH('Φόρμα Εισαγωγής'!$C$2,E5108)),MAX($D$1:D5107)+1,0)</f>
        <v>0</v>
      </c>
      <c r="H5108" s="6">
        <f t="shared" si="248"/>
        <v>0</v>
      </c>
      <c r="I5108" s="6">
        <f t="shared" si="249"/>
        <v>0</v>
      </c>
      <c r="J5108" s="6">
        <f t="shared" si="250"/>
        <v>0</v>
      </c>
      <c r="L5108" s="4" t="str">
        <f>IFERROR(VLOOKUP(ROWS($L$2:L5108),$B$2:$C$1996,2,0),"")</f>
        <v/>
      </c>
      <c r="N5108" s="2" t="str">
        <f>IFERROR(VLOOKUP(ROWS($N$2:N5108),$D$2:$E$1996,2,0),"")</f>
        <v/>
      </c>
    </row>
    <row r="5109" spans="2:14">
      <c r="B5109" s="32">
        <f>IF(ISNUMBER(SEARCH('Φόρμα Εισαγωγής'!$B$2,C5109)),MAX($B$1:B5108)+1,0)</f>
        <v>0</v>
      </c>
      <c r="D5109" s="33">
        <f>IF(ISNUMBER(SEARCH('Φόρμα Εισαγωγής'!$C$2,E5109)),MAX($D$1:D5108)+1,0)</f>
        <v>0</v>
      </c>
      <c r="H5109" s="6">
        <f t="shared" si="248"/>
        <v>0</v>
      </c>
      <c r="I5109" s="6">
        <f t="shared" si="249"/>
        <v>0</v>
      </c>
      <c r="J5109" s="6">
        <f t="shared" si="250"/>
        <v>0</v>
      </c>
      <c r="L5109" s="4" t="str">
        <f>IFERROR(VLOOKUP(ROWS($L$2:L5109),$B$2:$C$1996,2,0),"")</f>
        <v/>
      </c>
      <c r="N5109" s="2" t="str">
        <f>IFERROR(VLOOKUP(ROWS($N$2:N5109),$D$2:$E$1996,2,0),"")</f>
        <v/>
      </c>
    </row>
    <row r="5110" spans="2:14">
      <c r="B5110" s="32">
        <f>IF(ISNUMBER(SEARCH('Φόρμα Εισαγωγής'!$B$2,C5110)),MAX($B$1:B5109)+1,0)</f>
        <v>0</v>
      </c>
      <c r="D5110" s="33">
        <f>IF(ISNUMBER(SEARCH('Φόρμα Εισαγωγής'!$C$2,E5110)),MAX($D$1:D5109)+1,0)</f>
        <v>0</v>
      </c>
      <c r="H5110" s="6">
        <f t="shared" si="248"/>
        <v>0</v>
      </c>
      <c r="I5110" s="6">
        <f t="shared" si="249"/>
        <v>0</v>
      </c>
      <c r="J5110" s="6">
        <f t="shared" si="250"/>
        <v>0</v>
      </c>
      <c r="L5110" s="4" t="str">
        <f>IFERROR(VLOOKUP(ROWS($L$2:L5110),$B$2:$C$1996,2,0),"")</f>
        <v/>
      </c>
      <c r="N5110" s="2" t="str">
        <f>IFERROR(VLOOKUP(ROWS($N$2:N5110),$D$2:$E$1996,2,0),"")</f>
        <v/>
      </c>
    </row>
    <row r="5111" spans="2:14">
      <c r="B5111" s="32">
        <f>IF(ISNUMBER(SEARCH('Φόρμα Εισαγωγής'!$B$2,C5111)),MAX($B$1:B5110)+1,0)</f>
        <v>0</v>
      </c>
      <c r="D5111" s="33">
        <f>IF(ISNUMBER(SEARCH('Φόρμα Εισαγωγής'!$C$2,E5111)),MAX($D$1:D5110)+1,0)</f>
        <v>0</v>
      </c>
      <c r="H5111" s="6">
        <f t="shared" si="248"/>
        <v>0</v>
      </c>
      <c r="I5111" s="6">
        <f t="shared" si="249"/>
        <v>0</v>
      </c>
      <c r="J5111" s="6">
        <f t="shared" si="250"/>
        <v>0</v>
      </c>
      <c r="L5111" s="4" t="str">
        <f>IFERROR(VLOOKUP(ROWS($L$2:L5111),$B$2:$C$1996,2,0),"")</f>
        <v/>
      </c>
      <c r="N5111" s="2" t="str">
        <f>IFERROR(VLOOKUP(ROWS($N$2:N5111),$D$2:$E$1996,2,0),"")</f>
        <v/>
      </c>
    </row>
    <row r="5112" spans="2:14">
      <c r="B5112" s="32">
        <f>IF(ISNUMBER(SEARCH('Φόρμα Εισαγωγής'!$B$2,C5112)),MAX($B$1:B5111)+1,0)</f>
        <v>0</v>
      </c>
      <c r="D5112" s="33">
        <f>IF(ISNUMBER(SEARCH('Φόρμα Εισαγωγής'!$C$2,E5112)),MAX($D$1:D5111)+1,0)</f>
        <v>0</v>
      </c>
      <c r="H5112" s="6">
        <f t="shared" si="248"/>
        <v>0</v>
      </c>
      <c r="I5112" s="6">
        <f t="shared" si="249"/>
        <v>0</v>
      </c>
      <c r="J5112" s="6">
        <f t="shared" si="250"/>
        <v>0</v>
      </c>
      <c r="L5112" s="4" t="str">
        <f>IFERROR(VLOOKUP(ROWS($L$2:L5112),$B$2:$C$1996,2,0),"")</f>
        <v/>
      </c>
      <c r="N5112" s="2" t="str">
        <f>IFERROR(VLOOKUP(ROWS($N$2:N5112),$D$2:$E$1996,2,0),"")</f>
        <v/>
      </c>
    </row>
    <row r="5113" spans="2:14">
      <c r="B5113" s="32">
        <f>IF(ISNUMBER(SEARCH('Φόρμα Εισαγωγής'!$B$2,C5113)),MAX($B$1:B5112)+1,0)</f>
        <v>0</v>
      </c>
      <c r="D5113" s="33">
        <f>IF(ISNUMBER(SEARCH('Φόρμα Εισαγωγής'!$C$2,E5113)),MAX($D$1:D5112)+1,0)</f>
        <v>0</v>
      </c>
      <c r="H5113" s="6">
        <f t="shared" si="248"/>
        <v>0</v>
      </c>
      <c r="I5113" s="6">
        <f t="shared" si="249"/>
        <v>0</v>
      </c>
      <c r="J5113" s="6">
        <f t="shared" si="250"/>
        <v>0</v>
      </c>
      <c r="L5113" s="4" t="str">
        <f>IFERROR(VLOOKUP(ROWS($L$2:L5113),$B$2:$C$1996,2,0),"")</f>
        <v/>
      </c>
      <c r="N5113" s="2" t="str">
        <f>IFERROR(VLOOKUP(ROWS($N$2:N5113),$D$2:$E$1996,2,0),"")</f>
        <v/>
      </c>
    </row>
    <row r="5114" spans="2:14">
      <c r="B5114" s="32">
        <f>IF(ISNUMBER(SEARCH('Φόρμα Εισαγωγής'!$B$2,C5114)),MAX($B$1:B5113)+1,0)</f>
        <v>0</v>
      </c>
      <c r="D5114" s="33">
        <f>IF(ISNUMBER(SEARCH('Φόρμα Εισαγωγής'!$C$2,E5114)),MAX($D$1:D5113)+1,0)</f>
        <v>0</v>
      </c>
      <c r="H5114" s="6">
        <f t="shared" si="248"/>
        <v>0</v>
      </c>
      <c r="I5114" s="6">
        <f t="shared" si="249"/>
        <v>0</v>
      </c>
      <c r="J5114" s="6">
        <f t="shared" si="250"/>
        <v>0</v>
      </c>
      <c r="L5114" s="4" t="str">
        <f>IFERROR(VLOOKUP(ROWS($L$2:L5114),$B$2:$C$1996,2,0),"")</f>
        <v/>
      </c>
      <c r="N5114" s="2" t="str">
        <f>IFERROR(VLOOKUP(ROWS($N$2:N5114),$D$2:$E$1996,2,0),"")</f>
        <v/>
      </c>
    </row>
    <row r="5115" spans="2:14">
      <c r="B5115" s="32">
        <f>IF(ISNUMBER(SEARCH('Φόρμα Εισαγωγής'!$B$2,C5115)),MAX($B$1:B5114)+1,0)</f>
        <v>0</v>
      </c>
      <c r="D5115" s="33">
        <f>IF(ISNUMBER(SEARCH('Φόρμα Εισαγωγής'!$C$2,E5115)),MAX($D$1:D5114)+1,0)</f>
        <v>0</v>
      </c>
      <c r="H5115" s="6">
        <f t="shared" si="248"/>
        <v>0</v>
      </c>
      <c r="I5115" s="6">
        <f t="shared" si="249"/>
        <v>0</v>
      </c>
      <c r="J5115" s="6">
        <f t="shared" si="250"/>
        <v>0</v>
      </c>
      <c r="L5115" s="4" t="str">
        <f>IFERROR(VLOOKUP(ROWS($L$2:L5115),$B$2:$C$1996,2,0),"")</f>
        <v/>
      </c>
      <c r="N5115" s="2" t="str">
        <f>IFERROR(VLOOKUP(ROWS($N$2:N5115),$D$2:$E$1996,2,0),"")</f>
        <v/>
      </c>
    </row>
    <row r="5116" spans="2:14">
      <c r="B5116" s="32">
        <f>IF(ISNUMBER(SEARCH('Φόρμα Εισαγωγής'!$B$2,C5116)),MAX($B$1:B5115)+1,0)</f>
        <v>0</v>
      </c>
      <c r="D5116" s="33">
        <f>IF(ISNUMBER(SEARCH('Φόρμα Εισαγωγής'!$C$2,E5116)),MAX($D$1:D5115)+1,0)</f>
        <v>0</v>
      </c>
      <c r="H5116" s="6">
        <f t="shared" si="248"/>
        <v>0</v>
      </c>
      <c r="I5116" s="6">
        <f t="shared" si="249"/>
        <v>0</v>
      </c>
      <c r="J5116" s="6">
        <f t="shared" si="250"/>
        <v>0</v>
      </c>
      <c r="L5116" s="4" t="str">
        <f>IFERROR(VLOOKUP(ROWS($L$2:L5116),$B$2:$C$1996,2,0),"")</f>
        <v/>
      </c>
      <c r="N5116" s="2" t="str">
        <f>IFERROR(VLOOKUP(ROWS($N$2:N5116),$D$2:$E$1996,2,0),"")</f>
        <v/>
      </c>
    </row>
    <row r="5117" spans="2:14">
      <c r="B5117" s="32">
        <f>IF(ISNUMBER(SEARCH('Φόρμα Εισαγωγής'!$B$2,C5117)),MAX($B$1:B5116)+1,0)</f>
        <v>0</v>
      </c>
      <c r="D5117" s="33">
        <f>IF(ISNUMBER(SEARCH('Φόρμα Εισαγωγής'!$C$2,E5117)),MAX($D$1:D5116)+1,0)</f>
        <v>0</v>
      </c>
      <c r="H5117" s="6">
        <f t="shared" si="248"/>
        <v>0</v>
      </c>
      <c r="I5117" s="6">
        <f t="shared" si="249"/>
        <v>0</v>
      </c>
      <c r="J5117" s="6">
        <f t="shared" si="250"/>
        <v>0</v>
      </c>
      <c r="L5117" s="4" t="str">
        <f>IFERROR(VLOOKUP(ROWS($L$2:L5117),$B$2:$C$1996,2,0),"")</f>
        <v/>
      </c>
      <c r="N5117" s="2" t="str">
        <f>IFERROR(VLOOKUP(ROWS($N$2:N5117),$D$2:$E$1996,2,0),"")</f>
        <v/>
      </c>
    </row>
    <row r="5118" spans="2:14">
      <c r="B5118" s="32">
        <f>IF(ISNUMBER(SEARCH('Φόρμα Εισαγωγής'!$B$2,C5118)),MAX($B$1:B5117)+1,0)</f>
        <v>0</v>
      </c>
      <c r="D5118" s="33">
        <f>IF(ISNUMBER(SEARCH('Φόρμα Εισαγωγής'!$C$2,E5118)),MAX($D$1:D5117)+1,0)</f>
        <v>0</v>
      </c>
      <c r="H5118" s="6">
        <f t="shared" si="248"/>
        <v>0</v>
      </c>
      <c r="I5118" s="6">
        <f t="shared" si="249"/>
        <v>0</v>
      </c>
      <c r="J5118" s="6">
        <f t="shared" si="250"/>
        <v>0</v>
      </c>
      <c r="L5118" s="4" t="str">
        <f>IFERROR(VLOOKUP(ROWS($L$2:L5118),$B$2:$C$1996,2,0),"")</f>
        <v/>
      </c>
      <c r="N5118" s="2" t="str">
        <f>IFERROR(VLOOKUP(ROWS($N$2:N5118),$D$2:$E$1996,2,0),"")</f>
        <v/>
      </c>
    </row>
    <row r="5119" spans="2:14">
      <c r="B5119" s="32">
        <f>IF(ISNUMBER(SEARCH('Φόρμα Εισαγωγής'!$B$2,C5119)),MAX($B$1:B5118)+1,0)</f>
        <v>0</v>
      </c>
      <c r="D5119" s="33">
        <f>IF(ISNUMBER(SEARCH('Φόρμα Εισαγωγής'!$C$2,E5119)),MAX($D$1:D5118)+1,0)</f>
        <v>0</v>
      </c>
      <c r="H5119" s="6">
        <f t="shared" si="248"/>
        <v>0</v>
      </c>
      <c r="I5119" s="6">
        <f t="shared" si="249"/>
        <v>0</v>
      </c>
      <c r="J5119" s="6">
        <f t="shared" si="250"/>
        <v>0</v>
      </c>
      <c r="L5119" s="4" t="str">
        <f>IFERROR(VLOOKUP(ROWS($L$2:L5119),$B$2:$C$1996,2,0),"")</f>
        <v/>
      </c>
      <c r="N5119" s="2" t="str">
        <f>IFERROR(VLOOKUP(ROWS($N$2:N5119),$D$2:$E$1996,2,0),"")</f>
        <v/>
      </c>
    </row>
    <row r="5120" spans="2:14">
      <c r="B5120" s="32">
        <f>IF(ISNUMBER(SEARCH('Φόρμα Εισαγωγής'!$B$2,C5120)),MAX($B$1:B5119)+1,0)</f>
        <v>0</v>
      </c>
      <c r="D5120" s="33">
        <f>IF(ISNUMBER(SEARCH('Φόρμα Εισαγωγής'!$C$2,E5120)),MAX($D$1:D5119)+1,0)</f>
        <v>0</v>
      </c>
      <c r="H5120" s="6">
        <f t="shared" ref="H5120:H5183" si="251">G5120+(G5120*0.24)</f>
        <v>0</v>
      </c>
      <c r="I5120" s="6">
        <f t="shared" ref="I5120:I5183" si="252">F5120*A5120</f>
        <v>0</v>
      </c>
      <c r="J5120" s="6">
        <f t="shared" ref="J5120:J5183" si="253">H5120*A5120</f>
        <v>0</v>
      </c>
      <c r="L5120" s="4" t="str">
        <f>IFERROR(VLOOKUP(ROWS($L$2:L5120),$B$2:$C$1996,2,0),"")</f>
        <v/>
      </c>
      <c r="N5120" s="2" t="str">
        <f>IFERROR(VLOOKUP(ROWS($N$2:N5120),$D$2:$E$1996,2,0),"")</f>
        <v/>
      </c>
    </row>
    <row r="5121" spans="2:14">
      <c r="B5121" s="32">
        <f>IF(ISNUMBER(SEARCH('Φόρμα Εισαγωγής'!$B$2,C5121)),MAX($B$1:B5120)+1,0)</f>
        <v>0</v>
      </c>
      <c r="D5121" s="33">
        <f>IF(ISNUMBER(SEARCH('Φόρμα Εισαγωγής'!$C$2,E5121)),MAX($D$1:D5120)+1,0)</f>
        <v>0</v>
      </c>
      <c r="H5121" s="6">
        <f t="shared" si="251"/>
        <v>0</v>
      </c>
      <c r="I5121" s="6">
        <f t="shared" si="252"/>
        <v>0</v>
      </c>
      <c r="J5121" s="6">
        <f t="shared" si="253"/>
        <v>0</v>
      </c>
      <c r="L5121" s="4" t="str">
        <f>IFERROR(VLOOKUP(ROWS($L$2:L5121),$B$2:$C$1996,2,0),"")</f>
        <v/>
      </c>
      <c r="N5121" s="2" t="str">
        <f>IFERROR(VLOOKUP(ROWS($N$2:N5121),$D$2:$E$1996,2,0),"")</f>
        <v/>
      </c>
    </row>
    <row r="5122" spans="2:14">
      <c r="B5122" s="32">
        <f>IF(ISNUMBER(SEARCH('Φόρμα Εισαγωγής'!$B$2,C5122)),MAX($B$1:B5121)+1,0)</f>
        <v>0</v>
      </c>
      <c r="D5122" s="33">
        <f>IF(ISNUMBER(SEARCH('Φόρμα Εισαγωγής'!$C$2,E5122)),MAX($D$1:D5121)+1,0)</f>
        <v>0</v>
      </c>
      <c r="H5122" s="6">
        <f t="shared" si="251"/>
        <v>0</v>
      </c>
      <c r="I5122" s="6">
        <f t="shared" si="252"/>
        <v>0</v>
      </c>
      <c r="J5122" s="6">
        <f t="shared" si="253"/>
        <v>0</v>
      </c>
      <c r="L5122" s="4" t="str">
        <f>IFERROR(VLOOKUP(ROWS($L$2:L5122),$B$2:$C$1996,2,0),"")</f>
        <v/>
      </c>
      <c r="N5122" s="2" t="str">
        <f>IFERROR(VLOOKUP(ROWS($N$2:N5122),$D$2:$E$1996,2,0),"")</f>
        <v/>
      </c>
    </row>
    <row r="5123" spans="2:14">
      <c r="B5123" s="32">
        <f>IF(ISNUMBER(SEARCH('Φόρμα Εισαγωγής'!$B$2,C5123)),MAX($B$1:B5122)+1,0)</f>
        <v>0</v>
      </c>
      <c r="D5123" s="33">
        <f>IF(ISNUMBER(SEARCH('Φόρμα Εισαγωγής'!$C$2,E5123)),MAX($D$1:D5122)+1,0)</f>
        <v>0</v>
      </c>
      <c r="H5123" s="6">
        <f t="shared" si="251"/>
        <v>0</v>
      </c>
      <c r="I5123" s="6">
        <f t="shared" si="252"/>
        <v>0</v>
      </c>
      <c r="J5123" s="6">
        <f t="shared" si="253"/>
        <v>0</v>
      </c>
      <c r="L5123" s="4" t="str">
        <f>IFERROR(VLOOKUP(ROWS($L$2:L5123),$B$2:$C$1996,2,0),"")</f>
        <v/>
      </c>
      <c r="N5123" s="2" t="str">
        <f>IFERROR(VLOOKUP(ROWS($N$2:N5123),$D$2:$E$1996,2,0),"")</f>
        <v/>
      </c>
    </row>
    <row r="5124" spans="2:14">
      <c r="B5124" s="32">
        <f>IF(ISNUMBER(SEARCH('Φόρμα Εισαγωγής'!$B$2,C5124)),MAX($B$1:B5123)+1,0)</f>
        <v>0</v>
      </c>
      <c r="D5124" s="33">
        <f>IF(ISNUMBER(SEARCH('Φόρμα Εισαγωγής'!$C$2,E5124)),MAX($D$1:D5123)+1,0)</f>
        <v>0</v>
      </c>
      <c r="H5124" s="6">
        <f t="shared" si="251"/>
        <v>0</v>
      </c>
      <c r="I5124" s="6">
        <f t="shared" si="252"/>
        <v>0</v>
      </c>
      <c r="J5124" s="6">
        <f t="shared" si="253"/>
        <v>0</v>
      </c>
      <c r="L5124" s="4" t="str">
        <f>IFERROR(VLOOKUP(ROWS($L$2:L5124),$B$2:$C$1996,2,0),"")</f>
        <v/>
      </c>
      <c r="N5124" s="2" t="str">
        <f>IFERROR(VLOOKUP(ROWS($N$2:N5124),$D$2:$E$1996,2,0),"")</f>
        <v/>
      </c>
    </row>
    <row r="5125" spans="2:14">
      <c r="B5125" s="32">
        <f>IF(ISNUMBER(SEARCH('Φόρμα Εισαγωγής'!$B$2,C5125)),MAX($B$1:B5124)+1,0)</f>
        <v>0</v>
      </c>
      <c r="D5125" s="33">
        <f>IF(ISNUMBER(SEARCH('Φόρμα Εισαγωγής'!$C$2,E5125)),MAX($D$1:D5124)+1,0)</f>
        <v>0</v>
      </c>
      <c r="H5125" s="6">
        <f t="shared" si="251"/>
        <v>0</v>
      </c>
      <c r="I5125" s="6">
        <f t="shared" si="252"/>
        <v>0</v>
      </c>
      <c r="J5125" s="6">
        <f t="shared" si="253"/>
        <v>0</v>
      </c>
      <c r="L5125" s="4" t="str">
        <f>IFERROR(VLOOKUP(ROWS($L$2:L5125),$B$2:$C$1996,2,0),"")</f>
        <v/>
      </c>
      <c r="N5125" s="2" t="str">
        <f>IFERROR(VLOOKUP(ROWS($N$2:N5125),$D$2:$E$1996,2,0),"")</f>
        <v/>
      </c>
    </row>
    <row r="5126" spans="2:14">
      <c r="B5126" s="32">
        <f>IF(ISNUMBER(SEARCH('Φόρμα Εισαγωγής'!$B$2,C5126)),MAX($B$1:B5125)+1,0)</f>
        <v>0</v>
      </c>
      <c r="D5126" s="33">
        <f>IF(ISNUMBER(SEARCH('Φόρμα Εισαγωγής'!$C$2,E5126)),MAX($D$1:D5125)+1,0)</f>
        <v>0</v>
      </c>
      <c r="H5126" s="6">
        <f t="shared" si="251"/>
        <v>0</v>
      </c>
      <c r="I5126" s="6">
        <f t="shared" si="252"/>
        <v>0</v>
      </c>
      <c r="J5126" s="6">
        <f t="shared" si="253"/>
        <v>0</v>
      </c>
      <c r="L5126" s="4" t="str">
        <f>IFERROR(VLOOKUP(ROWS($L$2:L5126),$B$2:$C$1996,2,0),"")</f>
        <v/>
      </c>
      <c r="N5126" s="2" t="str">
        <f>IFERROR(VLOOKUP(ROWS($N$2:N5126),$D$2:$E$1996,2,0),"")</f>
        <v/>
      </c>
    </row>
    <row r="5127" spans="2:14">
      <c r="B5127" s="32">
        <f>IF(ISNUMBER(SEARCH('Φόρμα Εισαγωγής'!$B$2,C5127)),MAX($B$1:B5126)+1,0)</f>
        <v>0</v>
      </c>
      <c r="D5127" s="33">
        <f>IF(ISNUMBER(SEARCH('Φόρμα Εισαγωγής'!$C$2,E5127)),MAX($D$1:D5126)+1,0)</f>
        <v>0</v>
      </c>
      <c r="H5127" s="6">
        <f t="shared" si="251"/>
        <v>0</v>
      </c>
      <c r="I5127" s="6">
        <f t="shared" si="252"/>
        <v>0</v>
      </c>
      <c r="J5127" s="6">
        <f t="shared" si="253"/>
        <v>0</v>
      </c>
      <c r="L5127" s="4" t="str">
        <f>IFERROR(VLOOKUP(ROWS($L$2:L5127),$B$2:$C$1996,2,0),"")</f>
        <v/>
      </c>
      <c r="N5127" s="2" t="str">
        <f>IFERROR(VLOOKUP(ROWS($N$2:N5127),$D$2:$E$1996,2,0),"")</f>
        <v/>
      </c>
    </row>
    <row r="5128" spans="2:14">
      <c r="B5128" s="32">
        <f>IF(ISNUMBER(SEARCH('Φόρμα Εισαγωγής'!$B$2,C5128)),MAX($B$1:B5127)+1,0)</f>
        <v>0</v>
      </c>
      <c r="D5128" s="33">
        <f>IF(ISNUMBER(SEARCH('Φόρμα Εισαγωγής'!$C$2,E5128)),MAX($D$1:D5127)+1,0)</f>
        <v>0</v>
      </c>
      <c r="H5128" s="6">
        <f t="shared" si="251"/>
        <v>0</v>
      </c>
      <c r="I5128" s="6">
        <f t="shared" si="252"/>
        <v>0</v>
      </c>
      <c r="J5128" s="6">
        <f t="shared" si="253"/>
        <v>0</v>
      </c>
      <c r="L5128" s="4" t="str">
        <f>IFERROR(VLOOKUP(ROWS($L$2:L5128),$B$2:$C$1996,2,0),"")</f>
        <v/>
      </c>
      <c r="N5128" s="2" t="str">
        <f>IFERROR(VLOOKUP(ROWS($N$2:N5128),$D$2:$E$1996,2,0),"")</f>
        <v/>
      </c>
    </row>
    <row r="5129" spans="2:14">
      <c r="B5129" s="32">
        <f>IF(ISNUMBER(SEARCH('Φόρμα Εισαγωγής'!$B$2,C5129)),MAX($B$1:B5128)+1,0)</f>
        <v>0</v>
      </c>
      <c r="D5129" s="33">
        <f>IF(ISNUMBER(SEARCH('Φόρμα Εισαγωγής'!$C$2,E5129)),MAX($D$1:D5128)+1,0)</f>
        <v>0</v>
      </c>
      <c r="H5129" s="6">
        <f t="shared" si="251"/>
        <v>0</v>
      </c>
      <c r="I5129" s="6">
        <f t="shared" si="252"/>
        <v>0</v>
      </c>
      <c r="J5129" s="6">
        <f t="shared" si="253"/>
        <v>0</v>
      </c>
      <c r="L5129" s="4" t="str">
        <f>IFERROR(VLOOKUP(ROWS($L$2:L5129),$B$2:$C$1996,2,0),"")</f>
        <v/>
      </c>
      <c r="N5129" s="2" t="str">
        <f>IFERROR(VLOOKUP(ROWS($N$2:N5129),$D$2:$E$1996,2,0),"")</f>
        <v/>
      </c>
    </row>
    <row r="5130" spans="2:14">
      <c r="B5130" s="32">
        <f>IF(ISNUMBER(SEARCH('Φόρμα Εισαγωγής'!$B$2,C5130)),MAX($B$1:B5129)+1,0)</f>
        <v>0</v>
      </c>
      <c r="D5130" s="33">
        <f>IF(ISNUMBER(SEARCH('Φόρμα Εισαγωγής'!$C$2,E5130)),MAX($D$1:D5129)+1,0)</f>
        <v>0</v>
      </c>
      <c r="H5130" s="6">
        <f t="shared" si="251"/>
        <v>0</v>
      </c>
      <c r="I5130" s="6">
        <f t="shared" si="252"/>
        <v>0</v>
      </c>
      <c r="J5130" s="6">
        <f t="shared" si="253"/>
        <v>0</v>
      </c>
      <c r="L5130" s="4" t="str">
        <f>IFERROR(VLOOKUP(ROWS($L$2:L5130),$B$2:$C$1996,2,0),"")</f>
        <v/>
      </c>
      <c r="N5130" s="2" t="str">
        <f>IFERROR(VLOOKUP(ROWS($N$2:N5130),$D$2:$E$1996,2,0),"")</f>
        <v/>
      </c>
    </row>
    <row r="5131" spans="2:14">
      <c r="B5131" s="32">
        <f>IF(ISNUMBER(SEARCH('Φόρμα Εισαγωγής'!$B$2,C5131)),MAX($B$1:B5130)+1,0)</f>
        <v>0</v>
      </c>
      <c r="D5131" s="33">
        <f>IF(ISNUMBER(SEARCH('Φόρμα Εισαγωγής'!$C$2,E5131)),MAX($D$1:D5130)+1,0)</f>
        <v>0</v>
      </c>
      <c r="H5131" s="6">
        <f t="shared" si="251"/>
        <v>0</v>
      </c>
      <c r="I5131" s="6">
        <f t="shared" si="252"/>
        <v>0</v>
      </c>
      <c r="J5131" s="6">
        <f t="shared" si="253"/>
        <v>0</v>
      </c>
      <c r="L5131" s="4" t="str">
        <f>IFERROR(VLOOKUP(ROWS($L$2:L5131),$B$2:$C$1996,2,0),"")</f>
        <v/>
      </c>
      <c r="N5131" s="2" t="str">
        <f>IFERROR(VLOOKUP(ROWS($N$2:N5131),$D$2:$E$1996,2,0),"")</f>
        <v/>
      </c>
    </row>
    <row r="5132" spans="2:14">
      <c r="B5132" s="32">
        <f>IF(ISNUMBER(SEARCH('Φόρμα Εισαγωγής'!$B$2,C5132)),MAX($B$1:B5131)+1,0)</f>
        <v>0</v>
      </c>
      <c r="D5132" s="33">
        <f>IF(ISNUMBER(SEARCH('Φόρμα Εισαγωγής'!$C$2,E5132)),MAX($D$1:D5131)+1,0)</f>
        <v>0</v>
      </c>
      <c r="H5132" s="6">
        <f t="shared" si="251"/>
        <v>0</v>
      </c>
      <c r="I5132" s="6">
        <f t="shared" si="252"/>
        <v>0</v>
      </c>
      <c r="J5132" s="6">
        <f t="shared" si="253"/>
        <v>0</v>
      </c>
      <c r="L5132" s="4" t="str">
        <f>IFERROR(VLOOKUP(ROWS($L$2:L5132),$B$2:$C$1996,2,0),"")</f>
        <v/>
      </c>
      <c r="N5132" s="2" t="str">
        <f>IFERROR(VLOOKUP(ROWS($N$2:N5132),$D$2:$E$1996,2,0),"")</f>
        <v/>
      </c>
    </row>
    <row r="5133" spans="2:14">
      <c r="B5133" s="32">
        <f>IF(ISNUMBER(SEARCH('Φόρμα Εισαγωγής'!$B$2,C5133)),MAX($B$1:B5132)+1,0)</f>
        <v>0</v>
      </c>
      <c r="D5133" s="33">
        <f>IF(ISNUMBER(SEARCH('Φόρμα Εισαγωγής'!$C$2,E5133)),MAX($D$1:D5132)+1,0)</f>
        <v>0</v>
      </c>
      <c r="H5133" s="6">
        <f t="shared" si="251"/>
        <v>0</v>
      </c>
      <c r="I5133" s="6">
        <f t="shared" si="252"/>
        <v>0</v>
      </c>
      <c r="J5133" s="6">
        <f t="shared" si="253"/>
        <v>0</v>
      </c>
      <c r="L5133" s="4" t="str">
        <f>IFERROR(VLOOKUP(ROWS($L$2:L5133),$B$2:$C$1996,2,0),"")</f>
        <v/>
      </c>
      <c r="N5133" s="2" t="str">
        <f>IFERROR(VLOOKUP(ROWS($N$2:N5133),$D$2:$E$1996,2,0),"")</f>
        <v/>
      </c>
    </row>
    <row r="5134" spans="2:14">
      <c r="B5134" s="32">
        <f>IF(ISNUMBER(SEARCH('Φόρμα Εισαγωγής'!$B$2,C5134)),MAX($B$1:B5133)+1,0)</f>
        <v>0</v>
      </c>
      <c r="D5134" s="33">
        <f>IF(ISNUMBER(SEARCH('Φόρμα Εισαγωγής'!$C$2,E5134)),MAX($D$1:D5133)+1,0)</f>
        <v>0</v>
      </c>
      <c r="H5134" s="6">
        <f t="shared" si="251"/>
        <v>0</v>
      </c>
      <c r="I5134" s="6">
        <f t="shared" si="252"/>
        <v>0</v>
      </c>
      <c r="J5134" s="6">
        <f t="shared" si="253"/>
        <v>0</v>
      </c>
      <c r="L5134" s="4" t="str">
        <f>IFERROR(VLOOKUP(ROWS($L$2:L5134),$B$2:$C$1996,2,0),"")</f>
        <v/>
      </c>
      <c r="N5134" s="2" t="str">
        <f>IFERROR(VLOOKUP(ROWS($N$2:N5134),$D$2:$E$1996,2,0),"")</f>
        <v/>
      </c>
    </row>
    <row r="5135" spans="2:14">
      <c r="B5135" s="32">
        <f>IF(ISNUMBER(SEARCH('Φόρμα Εισαγωγής'!$B$2,C5135)),MAX($B$1:B5134)+1,0)</f>
        <v>0</v>
      </c>
      <c r="D5135" s="33">
        <f>IF(ISNUMBER(SEARCH('Φόρμα Εισαγωγής'!$C$2,E5135)),MAX($D$1:D5134)+1,0)</f>
        <v>0</v>
      </c>
      <c r="H5135" s="6">
        <f t="shared" si="251"/>
        <v>0</v>
      </c>
      <c r="I5135" s="6">
        <f t="shared" si="252"/>
        <v>0</v>
      </c>
      <c r="J5135" s="6">
        <f t="shared" si="253"/>
        <v>0</v>
      </c>
      <c r="L5135" s="4" t="str">
        <f>IFERROR(VLOOKUP(ROWS($L$2:L5135),$B$2:$C$1996,2,0),"")</f>
        <v/>
      </c>
      <c r="N5135" s="2" t="str">
        <f>IFERROR(VLOOKUP(ROWS($N$2:N5135),$D$2:$E$1996,2,0),"")</f>
        <v/>
      </c>
    </row>
    <row r="5136" spans="2:14">
      <c r="B5136" s="32">
        <f>IF(ISNUMBER(SEARCH('Φόρμα Εισαγωγής'!$B$2,C5136)),MAX($B$1:B5135)+1,0)</f>
        <v>0</v>
      </c>
      <c r="D5136" s="33">
        <f>IF(ISNUMBER(SEARCH('Φόρμα Εισαγωγής'!$C$2,E5136)),MAX($D$1:D5135)+1,0)</f>
        <v>0</v>
      </c>
      <c r="H5136" s="6">
        <f t="shared" si="251"/>
        <v>0</v>
      </c>
      <c r="I5136" s="6">
        <f t="shared" si="252"/>
        <v>0</v>
      </c>
      <c r="J5136" s="6">
        <f t="shared" si="253"/>
        <v>0</v>
      </c>
      <c r="L5136" s="4" t="str">
        <f>IFERROR(VLOOKUP(ROWS($L$2:L5136),$B$2:$C$1996,2,0),"")</f>
        <v/>
      </c>
      <c r="N5136" s="2" t="str">
        <f>IFERROR(VLOOKUP(ROWS($N$2:N5136),$D$2:$E$1996,2,0),"")</f>
        <v/>
      </c>
    </row>
    <row r="5137" spans="2:14">
      <c r="B5137" s="32">
        <f>IF(ISNUMBER(SEARCH('Φόρμα Εισαγωγής'!$B$2,C5137)),MAX($B$1:B5136)+1,0)</f>
        <v>0</v>
      </c>
      <c r="D5137" s="33">
        <f>IF(ISNUMBER(SEARCH('Φόρμα Εισαγωγής'!$C$2,E5137)),MAX($D$1:D5136)+1,0)</f>
        <v>0</v>
      </c>
      <c r="H5137" s="6">
        <f t="shared" si="251"/>
        <v>0</v>
      </c>
      <c r="I5137" s="6">
        <f t="shared" si="252"/>
        <v>0</v>
      </c>
      <c r="J5137" s="6">
        <f t="shared" si="253"/>
        <v>0</v>
      </c>
      <c r="L5137" s="4" t="str">
        <f>IFERROR(VLOOKUP(ROWS($L$2:L5137),$B$2:$C$1996,2,0),"")</f>
        <v/>
      </c>
      <c r="N5137" s="2" t="str">
        <f>IFERROR(VLOOKUP(ROWS($N$2:N5137),$D$2:$E$1996,2,0),"")</f>
        <v/>
      </c>
    </row>
    <row r="5138" spans="2:14">
      <c r="B5138" s="32">
        <f>IF(ISNUMBER(SEARCH('Φόρμα Εισαγωγής'!$B$2,C5138)),MAX($B$1:B5137)+1,0)</f>
        <v>0</v>
      </c>
      <c r="D5138" s="33">
        <f>IF(ISNUMBER(SEARCH('Φόρμα Εισαγωγής'!$C$2,E5138)),MAX($D$1:D5137)+1,0)</f>
        <v>0</v>
      </c>
      <c r="H5138" s="6">
        <f t="shared" si="251"/>
        <v>0</v>
      </c>
      <c r="I5138" s="6">
        <f t="shared" si="252"/>
        <v>0</v>
      </c>
      <c r="J5138" s="6">
        <f t="shared" si="253"/>
        <v>0</v>
      </c>
      <c r="L5138" s="4" t="str">
        <f>IFERROR(VLOOKUP(ROWS($L$2:L5138),$B$2:$C$1996,2,0),"")</f>
        <v/>
      </c>
      <c r="N5138" s="2" t="str">
        <f>IFERROR(VLOOKUP(ROWS($N$2:N5138),$D$2:$E$1996,2,0),"")</f>
        <v/>
      </c>
    </row>
    <row r="5139" spans="2:14">
      <c r="B5139" s="32">
        <f>IF(ISNUMBER(SEARCH('Φόρμα Εισαγωγής'!$B$2,C5139)),MAX($B$1:B5138)+1,0)</f>
        <v>0</v>
      </c>
      <c r="D5139" s="33">
        <f>IF(ISNUMBER(SEARCH('Φόρμα Εισαγωγής'!$C$2,E5139)),MAX($D$1:D5138)+1,0)</f>
        <v>0</v>
      </c>
      <c r="H5139" s="6">
        <f t="shared" si="251"/>
        <v>0</v>
      </c>
      <c r="I5139" s="6">
        <f t="shared" si="252"/>
        <v>0</v>
      </c>
      <c r="J5139" s="6">
        <f t="shared" si="253"/>
        <v>0</v>
      </c>
      <c r="L5139" s="4" t="str">
        <f>IFERROR(VLOOKUP(ROWS($L$2:L5139),$B$2:$C$1996,2,0),"")</f>
        <v/>
      </c>
      <c r="N5139" s="2" t="str">
        <f>IFERROR(VLOOKUP(ROWS($N$2:N5139),$D$2:$E$1996,2,0),"")</f>
        <v/>
      </c>
    </row>
    <row r="5140" spans="2:14">
      <c r="B5140" s="32">
        <f>IF(ISNUMBER(SEARCH('Φόρμα Εισαγωγής'!$B$2,C5140)),MAX($B$1:B5139)+1,0)</f>
        <v>0</v>
      </c>
      <c r="D5140" s="33">
        <f>IF(ISNUMBER(SEARCH('Φόρμα Εισαγωγής'!$C$2,E5140)),MAX($D$1:D5139)+1,0)</f>
        <v>0</v>
      </c>
      <c r="H5140" s="6">
        <f t="shared" si="251"/>
        <v>0</v>
      </c>
      <c r="I5140" s="6">
        <f t="shared" si="252"/>
        <v>0</v>
      </c>
      <c r="J5140" s="6">
        <f t="shared" si="253"/>
        <v>0</v>
      </c>
      <c r="L5140" s="4" t="str">
        <f>IFERROR(VLOOKUP(ROWS($L$2:L5140),$B$2:$C$1996,2,0),"")</f>
        <v/>
      </c>
      <c r="N5140" s="2" t="str">
        <f>IFERROR(VLOOKUP(ROWS($N$2:N5140),$D$2:$E$1996,2,0),"")</f>
        <v/>
      </c>
    </row>
    <row r="5141" spans="2:14">
      <c r="B5141" s="32">
        <f>IF(ISNUMBER(SEARCH('Φόρμα Εισαγωγής'!$B$2,C5141)),MAX($B$1:B5140)+1,0)</f>
        <v>0</v>
      </c>
      <c r="D5141" s="33">
        <f>IF(ISNUMBER(SEARCH('Φόρμα Εισαγωγής'!$C$2,E5141)),MAX($D$1:D5140)+1,0)</f>
        <v>0</v>
      </c>
      <c r="H5141" s="6">
        <f t="shared" si="251"/>
        <v>0</v>
      </c>
      <c r="I5141" s="6">
        <f t="shared" si="252"/>
        <v>0</v>
      </c>
      <c r="J5141" s="6">
        <f t="shared" si="253"/>
        <v>0</v>
      </c>
      <c r="L5141" s="4" t="str">
        <f>IFERROR(VLOOKUP(ROWS($L$2:L5141),$B$2:$C$1996,2,0),"")</f>
        <v/>
      </c>
      <c r="N5141" s="2" t="str">
        <f>IFERROR(VLOOKUP(ROWS($N$2:N5141),$D$2:$E$1996,2,0),"")</f>
        <v/>
      </c>
    </row>
    <row r="5142" spans="2:14">
      <c r="B5142" s="32">
        <f>IF(ISNUMBER(SEARCH('Φόρμα Εισαγωγής'!$B$2,C5142)),MAX($B$1:B5141)+1,0)</f>
        <v>0</v>
      </c>
      <c r="D5142" s="33">
        <f>IF(ISNUMBER(SEARCH('Φόρμα Εισαγωγής'!$C$2,E5142)),MAX($D$1:D5141)+1,0)</f>
        <v>0</v>
      </c>
      <c r="H5142" s="6">
        <f t="shared" si="251"/>
        <v>0</v>
      </c>
      <c r="I5142" s="6">
        <f t="shared" si="252"/>
        <v>0</v>
      </c>
      <c r="J5142" s="6">
        <f t="shared" si="253"/>
        <v>0</v>
      </c>
      <c r="L5142" s="4" t="str">
        <f>IFERROR(VLOOKUP(ROWS($L$2:L5142),$B$2:$C$1996,2,0),"")</f>
        <v/>
      </c>
      <c r="N5142" s="2" t="str">
        <f>IFERROR(VLOOKUP(ROWS($N$2:N5142),$D$2:$E$1996,2,0),"")</f>
        <v/>
      </c>
    </row>
    <row r="5143" spans="2:14">
      <c r="B5143" s="32">
        <f>IF(ISNUMBER(SEARCH('Φόρμα Εισαγωγής'!$B$2,C5143)),MAX($B$1:B5142)+1,0)</f>
        <v>0</v>
      </c>
      <c r="D5143" s="33">
        <f>IF(ISNUMBER(SEARCH('Φόρμα Εισαγωγής'!$C$2,E5143)),MAX($D$1:D5142)+1,0)</f>
        <v>0</v>
      </c>
      <c r="H5143" s="6">
        <f t="shared" si="251"/>
        <v>0</v>
      </c>
      <c r="I5143" s="6">
        <f t="shared" si="252"/>
        <v>0</v>
      </c>
      <c r="J5143" s="6">
        <f t="shared" si="253"/>
        <v>0</v>
      </c>
      <c r="L5143" s="4" t="str">
        <f>IFERROR(VLOOKUP(ROWS($L$2:L5143),$B$2:$C$1996,2,0),"")</f>
        <v/>
      </c>
      <c r="N5143" s="2" t="str">
        <f>IFERROR(VLOOKUP(ROWS($N$2:N5143),$D$2:$E$1996,2,0),"")</f>
        <v/>
      </c>
    </row>
    <row r="5144" spans="2:14">
      <c r="B5144" s="32">
        <f>IF(ISNUMBER(SEARCH('Φόρμα Εισαγωγής'!$B$2,C5144)),MAX($B$1:B5143)+1,0)</f>
        <v>0</v>
      </c>
      <c r="D5144" s="33">
        <f>IF(ISNUMBER(SEARCH('Φόρμα Εισαγωγής'!$C$2,E5144)),MAX($D$1:D5143)+1,0)</f>
        <v>0</v>
      </c>
      <c r="H5144" s="6">
        <f t="shared" si="251"/>
        <v>0</v>
      </c>
      <c r="I5144" s="6">
        <f t="shared" si="252"/>
        <v>0</v>
      </c>
      <c r="J5144" s="6">
        <f t="shared" si="253"/>
        <v>0</v>
      </c>
      <c r="L5144" s="4" t="str">
        <f>IFERROR(VLOOKUP(ROWS($L$2:L5144),$B$2:$C$1996,2,0),"")</f>
        <v/>
      </c>
      <c r="N5144" s="2" t="str">
        <f>IFERROR(VLOOKUP(ROWS($N$2:N5144),$D$2:$E$1996,2,0),"")</f>
        <v/>
      </c>
    </row>
    <row r="5145" spans="2:14">
      <c r="B5145" s="32">
        <f>IF(ISNUMBER(SEARCH('Φόρμα Εισαγωγής'!$B$2,C5145)),MAX($B$1:B5144)+1,0)</f>
        <v>0</v>
      </c>
      <c r="D5145" s="33">
        <f>IF(ISNUMBER(SEARCH('Φόρμα Εισαγωγής'!$C$2,E5145)),MAX($D$1:D5144)+1,0)</f>
        <v>0</v>
      </c>
      <c r="H5145" s="6">
        <f t="shared" si="251"/>
        <v>0</v>
      </c>
      <c r="I5145" s="6">
        <f t="shared" si="252"/>
        <v>0</v>
      </c>
      <c r="J5145" s="6">
        <f t="shared" si="253"/>
        <v>0</v>
      </c>
      <c r="L5145" s="4" t="str">
        <f>IFERROR(VLOOKUP(ROWS($L$2:L5145),$B$2:$C$1996,2,0),"")</f>
        <v/>
      </c>
      <c r="N5145" s="2" t="str">
        <f>IFERROR(VLOOKUP(ROWS($N$2:N5145),$D$2:$E$1996,2,0),"")</f>
        <v/>
      </c>
    </row>
    <row r="5146" spans="2:14">
      <c r="B5146" s="32">
        <f>IF(ISNUMBER(SEARCH('Φόρμα Εισαγωγής'!$B$2,C5146)),MAX($B$1:B5145)+1,0)</f>
        <v>0</v>
      </c>
      <c r="D5146" s="33">
        <f>IF(ISNUMBER(SEARCH('Φόρμα Εισαγωγής'!$C$2,E5146)),MAX($D$1:D5145)+1,0)</f>
        <v>0</v>
      </c>
      <c r="H5146" s="6">
        <f t="shared" si="251"/>
        <v>0</v>
      </c>
      <c r="I5146" s="6">
        <f t="shared" si="252"/>
        <v>0</v>
      </c>
      <c r="J5146" s="6">
        <f t="shared" si="253"/>
        <v>0</v>
      </c>
      <c r="L5146" s="4" t="str">
        <f>IFERROR(VLOOKUP(ROWS($L$2:L5146),$B$2:$C$1996,2,0),"")</f>
        <v/>
      </c>
      <c r="N5146" s="2" t="str">
        <f>IFERROR(VLOOKUP(ROWS($N$2:N5146),$D$2:$E$1996,2,0),"")</f>
        <v/>
      </c>
    </row>
    <row r="5147" spans="2:14">
      <c r="B5147" s="32">
        <f>IF(ISNUMBER(SEARCH('Φόρμα Εισαγωγής'!$B$2,C5147)),MAX($B$1:B5146)+1,0)</f>
        <v>0</v>
      </c>
      <c r="D5147" s="33">
        <f>IF(ISNUMBER(SEARCH('Φόρμα Εισαγωγής'!$C$2,E5147)),MAX($D$1:D5146)+1,0)</f>
        <v>0</v>
      </c>
      <c r="H5147" s="6">
        <f t="shared" si="251"/>
        <v>0</v>
      </c>
      <c r="I5147" s="6">
        <f t="shared" si="252"/>
        <v>0</v>
      </c>
      <c r="J5147" s="6">
        <f t="shared" si="253"/>
        <v>0</v>
      </c>
      <c r="L5147" s="4" t="str">
        <f>IFERROR(VLOOKUP(ROWS($L$2:L5147),$B$2:$C$1996,2,0),"")</f>
        <v/>
      </c>
      <c r="N5147" s="2" t="str">
        <f>IFERROR(VLOOKUP(ROWS($N$2:N5147),$D$2:$E$1996,2,0),"")</f>
        <v/>
      </c>
    </row>
    <row r="5148" spans="2:14">
      <c r="B5148" s="32">
        <f>IF(ISNUMBER(SEARCH('Φόρμα Εισαγωγής'!$B$2,C5148)),MAX($B$1:B5147)+1,0)</f>
        <v>0</v>
      </c>
      <c r="D5148" s="33">
        <f>IF(ISNUMBER(SEARCH('Φόρμα Εισαγωγής'!$C$2,E5148)),MAX($D$1:D5147)+1,0)</f>
        <v>0</v>
      </c>
      <c r="H5148" s="6">
        <f t="shared" si="251"/>
        <v>0</v>
      </c>
      <c r="I5148" s="6">
        <f t="shared" si="252"/>
        <v>0</v>
      </c>
      <c r="J5148" s="6">
        <f t="shared" si="253"/>
        <v>0</v>
      </c>
      <c r="L5148" s="4" t="str">
        <f>IFERROR(VLOOKUP(ROWS($L$2:L5148),$B$2:$C$1996,2,0),"")</f>
        <v/>
      </c>
      <c r="N5148" s="2" t="str">
        <f>IFERROR(VLOOKUP(ROWS($N$2:N5148),$D$2:$E$1996,2,0),"")</f>
        <v/>
      </c>
    </row>
    <row r="5149" spans="2:14">
      <c r="B5149" s="32">
        <f>IF(ISNUMBER(SEARCH('Φόρμα Εισαγωγής'!$B$2,C5149)),MAX($B$1:B5148)+1,0)</f>
        <v>0</v>
      </c>
      <c r="D5149" s="33">
        <f>IF(ISNUMBER(SEARCH('Φόρμα Εισαγωγής'!$C$2,E5149)),MAX($D$1:D5148)+1,0)</f>
        <v>0</v>
      </c>
      <c r="H5149" s="6">
        <f t="shared" si="251"/>
        <v>0</v>
      </c>
      <c r="I5149" s="6">
        <f t="shared" si="252"/>
        <v>0</v>
      </c>
      <c r="J5149" s="6">
        <f t="shared" si="253"/>
        <v>0</v>
      </c>
      <c r="L5149" s="4" t="str">
        <f>IFERROR(VLOOKUP(ROWS($L$2:L5149),$B$2:$C$1996,2,0),"")</f>
        <v/>
      </c>
      <c r="N5149" s="2" t="str">
        <f>IFERROR(VLOOKUP(ROWS($N$2:N5149),$D$2:$E$1996,2,0),"")</f>
        <v/>
      </c>
    </row>
    <row r="5150" spans="2:14">
      <c r="B5150" s="32">
        <f>IF(ISNUMBER(SEARCH('Φόρμα Εισαγωγής'!$B$2,C5150)),MAX($B$1:B5149)+1,0)</f>
        <v>0</v>
      </c>
      <c r="D5150" s="33">
        <f>IF(ISNUMBER(SEARCH('Φόρμα Εισαγωγής'!$C$2,E5150)),MAX($D$1:D5149)+1,0)</f>
        <v>0</v>
      </c>
      <c r="H5150" s="6">
        <f t="shared" si="251"/>
        <v>0</v>
      </c>
      <c r="I5150" s="6">
        <f t="shared" si="252"/>
        <v>0</v>
      </c>
      <c r="J5150" s="6">
        <f t="shared" si="253"/>
        <v>0</v>
      </c>
      <c r="L5150" s="4" t="str">
        <f>IFERROR(VLOOKUP(ROWS($L$2:L5150),$B$2:$C$1996,2,0),"")</f>
        <v/>
      </c>
      <c r="N5150" s="2" t="str">
        <f>IFERROR(VLOOKUP(ROWS($N$2:N5150),$D$2:$E$1996,2,0),"")</f>
        <v/>
      </c>
    </row>
    <row r="5151" spans="2:14">
      <c r="B5151" s="32">
        <f>IF(ISNUMBER(SEARCH('Φόρμα Εισαγωγής'!$B$2,C5151)),MAX($B$1:B5150)+1,0)</f>
        <v>0</v>
      </c>
      <c r="D5151" s="33">
        <f>IF(ISNUMBER(SEARCH('Φόρμα Εισαγωγής'!$C$2,E5151)),MAX($D$1:D5150)+1,0)</f>
        <v>0</v>
      </c>
      <c r="H5151" s="6">
        <f t="shared" si="251"/>
        <v>0</v>
      </c>
      <c r="I5151" s="6">
        <f t="shared" si="252"/>
        <v>0</v>
      </c>
      <c r="J5151" s="6">
        <f t="shared" si="253"/>
        <v>0</v>
      </c>
      <c r="L5151" s="4" t="str">
        <f>IFERROR(VLOOKUP(ROWS($L$2:L5151),$B$2:$C$1996,2,0),"")</f>
        <v/>
      </c>
      <c r="N5151" s="2" t="str">
        <f>IFERROR(VLOOKUP(ROWS($N$2:N5151),$D$2:$E$1996,2,0),"")</f>
        <v/>
      </c>
    </row>
    <row r="5152" spans="2:14">
      <c r="B5152" s="32">
        <f>IF(ISNUMBER(SEARCH('Φόρμα Εισαγωγής'!$B$2,C5152)),MAX($B$1:B5151)+1,0)</f>
        <v>0</v>
      </c>
      <c r="D5152" s="33">
        <f>IF(ISNUMBER(SEARCH('Φόρμα Εισαγωγής'!$C$2,E5152)),MAX($D$1:D5151)+1,0)</f>
        <v>0</v>
      </c>
      <c r="H5152" s="6">
        <f t="shared" si="251"/>
        <v>0</v>
      </c>
      <c r="I5152" s="6">
        <f t="shared" si="252"/>
        <v>0</v>
      </c>
      <c r="J5152" s="6">
        <f t="shared" si="253"/>
        <v>0</v>
      </c>
      <c r="L5152" s="4" t="str">
        <f>IFERROR(VLOOKUP(ROWS($L$2:L5152),$B$2:$C$1996,2,0),"")</f>
        <v/>
      </c>
      <c r="N5152" s="2" t="str">
        <f>IFERROR(VLOOKUP(ROWS($N$2:N5152),$D$2:$E$1996,2,0),"")</f>
        <v/>
      </c>
    </row>
    <row r="5153" spans="2:14">
      <c r="B5153" s="32">
        <f>IF(ISNUMBER(SEARCH('Φόρμα Εισαγωγής'!$B$2,C5153)),MAX($B$1:B5152)+1,0)</f>
        <v>0</v>
      </c>
      <c r="D5153" s="33">
        <f>IF(ISNUMBER(SEARCH('Φόρμα Εισαγωγής'!$C$2,E5153)),MAX($D$1:D5152)+1,0)</f>
        <v>0</v>
      </c>
      <c r="H5153" s="6">
        <f t="shared" si="251"/>
        <v>0</v>
      </c>
      <c r="I5153" s="6">
        <f t="shared" si="252"/>
        <v>0</v>
      </c>
      <c r="J5153" s="6">
        <f t="shared" si="253"/>
        <v>0</v>
      </c>
      <c r="L5153" s="4" t="str">
        <f>IFERROR(VLOOKUP(ROWS($L$2:L5153),$B$2:$C$1996,2,0),"")</f>
        <v/>
      </c>
      <c r="N5153" s="2" t="str">
        <f>IFERROR(VLOOKUP(ROWS($N$2:N5153),$D$2:$E$1996,2,0),"")</f>
        <v/>
      </c>
    </row>
    <row r="5154" spans="2:14">
      <c r="B5154" s="32">
        <f>IF(ISNUMBER(SEARCH('Φόρμα Εισαγωγής'!$B$2,C5154)),MAX($B$1:B5153)+1,0)</f>
        <v>0</v>
      </c>
      <c r="D5154" s="33">
        <f>IF(ISNUMBER(SEARCH('Φόρμα Εισαγωγής'!$C$2,E5154)),MAX($D$1:D5153)+1,0)</f>
        <v>0</v>
      </c>
      <c r="H5154" s="6">
        <f t="shared" si="251"/>
        <v>0</v>
      </c>
      <c r="I5154" s="6">
        <f t="shared" si="252"/>
        <v>0</v>
      </c>
      <c r="J5154" s="6">
        <f t="shared" si="253"/>
        <v>0</v>
      </c>
      <c r="L5154" s="4" t="str">
        <f>IFERROR(VLOOKUP(ROWS($L$2:L5154),$B$2:$C$1996,2,0),"")</f>
        <v/>
      </c>
      <c r="N5154" s="2" t="str">
        <f>IFERROR(VLOOKUP(ROWS($N$2:N5154),$D$2:$E$1996,2,0),"")</f>
        <v/>
      </c>
    </row>
    <row r="5155" spans="2:14">
      <c r="B5155" s="32">
        <f>IF(ISNUMBER(SEARCH('Φόρμα Εισαγωγής'!$B$2,C5155)),MAX($B$1:B5154)+1,0)</f>
        <v>0</v>
      </c>
      <c r="D5155" s="33">
        <f>IF(ISNUMBER(SEARCH('Φόρμα Εισαγωγής'!$C$2,E5155)),MAX($D$1:D5154)+1,0)</f>
        <v>0</v>
      </c>
      <c r="H5155" s="6">
        <f t="shared" si="251"/>
        <v>0</v>
      </c>
      <c r="I5155" s="6">
        <f t="shared" si="252"/>
        <v>0</v>
      </c>
      <c r="J5155" s="6">
        <f t="shared" si="253"/>
        <v>0</v>
      </c>
      <c r="L5155" s="4" t="str">
        <f>IFERROR(VLOOKUP(ROWS($L$2:L5155),$B$2:$C$1996,2,0),"")</f>
        <v/>
      </c>
      <c r="N5155" s="2" t="str">
        <f>IFERROR(VLOOKUP(ROWS($N$2:N5155),$D$2:$E$1996,2,0),"")</f>
        <v/>
      </c>
    </row>
    <row r="5156" spans="2:14">
      <c r="B5156" s="32">
        <f>IF(ISNUMBER(SEARCH('Φόρμα Εισαγωγής'!$B$2,C5156)),MAX($B$1:B5155)+1,0)</f>
        <v>0</v>
      </c>
      <c r="D5156" s="33">
        <f>IF(ISNUMBER(SEARCH('Φόρμα Εισαγωγής'!$C$2,E5156)),MAX($D$1:D5155)+1,0)</f>
        <v>0</v>
      </c>
      <c r="H5156" s="6">
        <f t="shared" si="251"/>
        <v>0</v>
      </c>
      <c r="I5156" s="6">
        <f t="shared" si="252"/>
        <v>0</v>
      </c>
      <c r="J5156" s="6">
        <f t="shared" si="253"/>
        <v>0</v>
      </c>
      <c r="L5156" s="4" t="str">
        <f>IFERROR(VLOOKUP(ROWS($L$2:L5156),$B$2:$C$1996,2,0),"")</f>
        <v/>
      </c>
      <c r="N5156" s="2" t="str">
        <f>IFERROR(VLOOKUP(ROWS($N$2:N5156),$D$2:$E$1996,2,0),"")</f>
        <v/>
      </c>
    </row>
    <row r="5157" spans="2:14">
      <c r="B5157" s="32">
        <f>IF(ISNUMBER(SEARCH('Φόρμα Εισαγωγής'!$B$2,C5157)),MAX($B$1:B5156)+1,0)</f>
        <v>0</v>
      </c>
      <c r="D5157" s="33">
        <f>IF(ISNUMBER(SEARCH('Φόρμα Εισαγωγής'!$C$2,E5157)),MAX($D$1:D5156)+1,0)</f>
        <v>0</v>
      </c>
      <c r="H5157" s="6">
        <f t="shared" si="251"/>
        <v>0</v>
      </c>
      <c r="I5157" s="6">
        <f t="shared" si="252"/>
        <v>0</v>
      </c>
      <c r="J5157" s="6">
        <f t="shared" si="253"/>
        <v>0</v>
      </c>
      <c r="L5157" s="4" t="str">
        <f>IFERROR(VLOOKUP(ROWS($L$2:L5157),$B$2:$C$1996,2,0),"")</f>
        <v/>
      </c>
      <c r="N5157" s="2" t="str">
        <f>IFERROR(VLOOKUP(ROWS($N$2:N5157),$D$2:$E$1996,2,0),"")</f>
        <v/>
      </c>
    </row>
    <row r="5158" spans="2:14">
      <c r="B5158" s="32">
        <f>IF(ISNUMBER(SEARCH('Φόρμα Εισαγωγής'!$B$2,C5158)),MAX($B$1:B5157)+1,0)</f>
        <v>0</v>
      </c>
      <c r="D5158" s="33">
        <f>IF(ISNUMBER(SEARCH('Φόρμα Εισαγωγής'!$C$2,E5158)),MAX($D$1:D5157)+1,0)</f>
        <v>0</v>
      </c>
      <c r="H5158" s="6">
        <f t="shared" si="251"/>
        <v>0</v>
      </c>
      <c r="I5158" s="6">
        <f t="shared" si="252"/>
        <v>0</v>
      </c>
      <c r="J5158" s="6">
        <f t="shared" si="253"/>
        <v>0</v>
      </c>
      <c r="L5158" s="4" t="str">
        <f>IFERROR(VLOOKUP(ROWS($L$2:L5158),$B$2:$C$1996,2,0),"")</f>
        <v/>
      </c>
      <c r="N5158" s="2" t="str">
        <f>IFERROR(VLOOKUP(ROWS($N$2:N5158),$D$2:$E$1996,2,0),"")</f>
        <v/>
      </c>
    </row>
    <row r="5159" spans="2:14">
      <c r="B5159" s="32">
        <f>IF(ISNUMBER(SEARCH('Φόρμα Εισαγωγής'!$B$2,C5159)),MAX($B$1:B5158)+1,0)</f>
        <v>0</v>
      </c>
      <c r="D5159" s="33">
        <f>IF(ISNUMBER(SEARCH('Φόρμα Εισαγωγής'!$C$2,E5159)),MAX($D$1:D5158)+1,0)</f>
        <v>0</v>
      </c>
      <c r="H5159" s="6">
        <f t="shared" si="251"/>
        <v>0</v>
      </c>
      <c r="I5159" s="6">
        <f t="shared" si="252"/>
        <v>0</v>
      </c>
      <c r="J5159" s="6">
        <f t="shared" si="253"/>
        <v>0</v>
      </c>
      <c r="L5159" s="4" t="str">
        <f>IFERROR(VLOOKUP(ROWS($L$2:L5159),$B$2:$C$1996,2,0),"")</f>
        <v/>
      </c>
      <c r="N5159" s="2" t="str">
        <f>IFERROR(VLOOKUP(ROWS($N$2:N5159),$D$2:$E$1996,2,0),"")</f>
        <v/>
      </c>
    </row>
    <row r="5160" spans="2:14">
      <c r="B5160" s="32">
        <f>IF(ISNUMBER(SEARCH('Φόρμα Εισαγωγής'!$B$2,C5160)),MAX($B$1:B5159)+1,0)</f>
        <v>0</v>
      </c>
      <c r="D5160" s="33">
        <f>IF(ISNUMBER(SEARCH('Φόρμα Εισαγωγής'!$C$2,E5160)),MAX($D$1:D5159)+1,0)</f>
        <v>0</v>
      </c>
      <c r="H5160" s="6">
        <f t="shared" si="251"/>
        <v>0</v>
      </c>
      <c r="I5160" s="6">
        <f t="shared" si="252"/>
        <v>0</v>
      </c>
      <c r="J5160" s="6">
        <f t="shared" si="253"/>
        <v>0</v>
      </c>
      <c r="L5160" s="4" t="str">
        <f>IFERROR(VLOOKUP(ROWS($L$2:L5160),$B$2:$C$1996,2,0),"")</f>
        <v/>
      </c>
      <c r="N5160" s="2" t="str">
        <f>IFERROR(VLOOKUP(ROWS($N$2:N5160),$D$2:$E$1996,2,0),"")</f>
        <v/>
      </c>
    </row>
    <row r="5161" spans="2:14">
      <c r="B5161" s="32">
        <f>IF(ISNUMBER(SEARCH('Φόρμα Εισαγωγής'!$B$2,C5161)),MAX($B$1:B5160)+1,0)</f>
        <v>0</v>
      </c>
      <c r="D5161" s="33">
        <f>IF(ISNUMBER(SEARCH('Φόρμα Εισαγωγής'!$C$2,E5161)),MAX($D$1:D5160)+1,0)</f>
        <v>0</v>
      </c>
      <c r="H5161" s="6">
        <f t="shared" si="251"/>
        <v>0</v>
      </c>
      <c r="I5161" s="6">
        <f t="shared" si="252"/>
        <v>0</v>
      </c>
      <c r="J5161" s="6">
        <f t="shared" si="253"/>
        <v>0</v>
      </c>
      <c r="L5161" s="4" t="str">
        <f>IFERROR(VLOOKUP(ROWS($L$2:L5161),$B$2:$C$1996,2,0),"")</f>
        <v/>
      </c>
      <c r="N5161" s="2" t="str">
        <f>IFERROR(VLOOKUP(ROWS($N$2:N5161),$D$2:$E$1996,2,0),"")</f>
        <v/>
      </c>
    </row>
    <row r="5162" spans="2:14">
      <c r="B5162" s="32">
        <f>IF(ISNUMBER(SEARCH('Φόρμα Εισαγωγής'!$B$2,C5162)),MAX($B$1:B5161)+1,0)</f>
        <v>0</v>
      </c>
      <c r="D5162" s="33">
        <f>IF(ISNUMBER(SEARCH('Φόρμα Εισαγωγής'!$C$2,E5162)),MAX($D$1:D5161)+1,0)</f>
        <v>0</v>
      </c>
      <c r="H5162" s="6">
        <f t="shared" si="251"/>
        <v>0</v>
      </c>
      <c r="I5162" s="6">
        <f t="shared" si="252"/>
        <v>0</v>
      </c>
      <c r="J5162" s="6">
        <f t="shared" si="253"/>
        <v>0</v>
      </c>
      <c r="L5162" s="4" t="str">
        <f>IFERROR(VLOOKUP(ROWS($L$2:L5162),$B$2:$C$1996,2,0),"")</f>
        <v/>
      </c>
      <c r="N5162" s="2" t="str">
        <f>IFERROR(VLOOKUP(ROWS($N$2:N5162),$D$2:$E$1996,2,0),"")</f>
        <v/>
      </c>
    </row>
    <row r="5163" spans="2:14">
      <c r="B5163" s="32">
        <f>IF(ISNUMBER(SEARCH('Φόρμα Εισαγωγής'!$B$2,C5163)),MAX($B$1:B5162)+1,0)</f>
        <v>0</v>
      </c>
      <c r="D5163" s="33">
        <f>IF(ISNUMBER(SEARCH('Φόρμα Εισαγωγής'!$C$2,E5163)),MAX($D$1:D5162)+1,0)</f>
        <v>0</v>
      </c>
      <c r="H5163" s="6">
        <f t="shared" si="251"/>
        <v>0</v>
      </c>
      <c r="I5163" s="6">
        <f t="shared" si="252"/>
        <v>0</v>
      </c>
      <c r="J5163" s="6">
        <f t="shared" si="253"/>
        <v>0</v>
      </c>
      <c r="L5163" s="4" t="str">
        <f>IFERROR(VLOOKUP(ROWS($L$2:L5163),$B$2:$C$1996,2,0),"")</f>
        <v/>
      </c>
      <c r="N5163" s="2" t="str">
        <f>IFERROR(VLOOKUP(ROWS($N$2:N5163),$D$2:$E$1996,2,0),"")</f>
        <v/>
      </c>
    </row>
    <row r="5164" spans="2:14">
      <c r="B5164" s="32">
        <f>IF(ISNUMBER(SEARCH('Φόρμα Εισαγωγής'!$B$2,C5164)),MAX($B$1:B5163)+1,0)</f>
        <v>0</v>
      </c>
      <c r="D5164" s="33">
        <f>IF(ISNUMBER(SEARCH('Φόρμα Εισαγωγής'!$C$2,E5164)),MAX($D$1:D5163)+1,0)</f>
        <v>0</v>
      </c>
      <c r="H5164" s="6">
        <f t="shared" si="251"/>
        <v>0</v>
      </c>
      <c r="I5164" s="6">
        <f t="shared" si="252"/>
        <v>0</v>
      </c>
      <c r="J5164" s="6">
        <f t="shared" si="253"/>
        <v>0</v>
      </c>
      <c r="L5164" s="4" t="str">
        <f>IFERROR(VLOOKUP(ROWS($L$2:L5164),$B$2:$C$1996,2,0),"")</f>
        <v/>
      </c>
      <c r="N5164" s="2" t="str">
        <f>IFERROR(VLOOKUP(ROWS($N$2:N5164),$D$2:$E$1996,2,0),"")</f>
        <v/>
      </c>
    </row>
    <row r="5165" spans="2:14">
      <c r="B5165" s="32">
        <f>IF(ISNUMBER(SEARCH('Φόρμα Εισαγωγής'!$B$2,C5165)),MAX($B$1:B5164)+1,0)</f>
        <v>0</v>
      </c>
      <c r="D5165" s="33">
        <f>IF(ISNUMBER(SEARCH('Φόρμα Εισαγωγής'!$C$2,E5165)),MAX($D$1:D5164)+1,0)</f>
        <v>0</v>
      </c>
      <c r="H5165" s="6">
        <f t="shared" si="251"/>
        <v>0</v>
      </c>
      <c r="I5165" s="6">
        <f t="shared" si="252"/>
        <v>0</v>
      </c>
      <c r="J5165" s="6">
        <f t="shared" si="253"/>
        <v>0</v>
      </c>
      <c r="L5165" s="4" t="str">
        <f>IFERROR(VLOOKUP(ROWS($L$2:L5165),$B$2:$C$1996,2,0),"")</f>
        <v/>
      </c>
      <c r="N5165" s="2" t="str">
        <f>IFERROR(VLOOKUP(ROWS($N$2:N5165),$D$2:$E$1996,2,0),"")</f>
        <v/>
      </c>
    </row>
    <row r="5166" spans="2:14">
      <c r="B5166" s="32">
        <f>IF(ISNUMBER(SEARCH('Φόρμα Εισαγωγής'!$B$2,C5166)),MAX($B$1:B5165)+1,0)</f>
        <v>0</v>
      </c>
      <c r="D5166" s="33">
        <f>IF(ISNUMBER(SEARCH('Φόρμα Εισαγωγής'!$C$2,E5166)),MAX($D$1:D5165)+1,0)</f>
        <v>0</v>
      </c>
      <c r="H5166" s="6">
        <f t="shared" si="251"/>
        <v>0</v>
      </c>
      <c r="I5166" s="6">
        <f t="shared" si="252"/>
        <v>0</v>
      </c>
      <c r="J5166" s="6">
        <f t="shared" si="253"/>
        <v>0</v>
      </c>
      <c r="L5166" s="4" t="str">
        <f>IFERROR(VLOOKUP(ROWS($L$2:L5166),$B$2:$C$1996,2,0),"")</f>
        <v/>
      </c>
      <c r="N5166" s="2" t="str">
        <f>IFERROR(VLOOKUP(ROWS($N$2:N5166),$D$2:$E$1996,2,0),"")</f>
        <v/>
      </c>
    </row>
    <row r="5167" spans="2:14">
      <c r="B5167" s="32">
        <f>IF(ISNUMBER(SEARCH('Φόρμα Εισαγωγής'!$B$2,C5167)),MAX($B$1:B5166)+1,0)</f>
        <v>0</v>
      </c>
      <c r="D5167" s="33">
        <f>IF(ISNUMBER(SEARCH('Φόρμα Εισαγωγής'!$C$2,E5167)),MAX($D$1:D5166)+1,0)</f>
        <v>0</v>
      </c>
      <c r="H5167" s="6">
        <f t="shared" si="251"/>
        <v>0</v>
      </c>
      <c r="I5167" s="6">
        <f t="shared" si="252"/>
        <v>0</v>
      </c>
      <c r="J5167" s="6">
        <f t="shared" si="253"/>
        <v>0</v>
      </c>
      <c r="L5167" s="4" t="str">
        <f>IFERROR(VLOOKUP(ROWS($L$2:L5167),$B$2:$C$1996,2,0),"")</f>
        <v/>
      </c>
      <c r="N5167" s="2" t="str">
        <f>IFERROR(VLOOKUP(ROWS($N$2:N5167),$D$2:$E$1996,2,0),"")</f>
        <v/>
      </c>
    </row>
    <row r="5168" spans="2:14">
      <c r="B5168" s="32">
        <f>IF(ISNUMBER(SEARCH('Φόρμα Εισαγωγής'!$B$2,C5168)),MAX($B$1:B5167)+1,0)</f>
        <v>0</v>
      </c>
      <c r="D5168" s="33">
        <f>IF(ISNUMBER(SEARCH('Φόρμα Εισαγωγής'!$C$2,E5168)),MAX($D$1:D5167)+1,0)</f>
        <v>0</v>
      </c>
      <c r="H5168" s="6">
        <f t="shared" si="251"/>
        <v>0</v>
      </c>
      <c r="I5168" s="6">
        <f t="shared" si="252"/>
        <v>0</v>
      </c>
      <c r="J5168" s="6">
        <f t="shared" si="253"/>
        <v>0</v>
      </c>
      <c r="L5168" s="4" t="str">
        <f>IFERROR(VLOOKUP(ROWS($L$2:L5168),$B$2:$C$1996,2,0),"")</f>
        <v/>
      </c>
      <c r="N5168" s="2" t="str">
        <f>IFERROR(VLOOKUP(ROWS($N$2:N5168),$D$2:$E$1996,2,0),"")</f>
        <v/>
      </c>
    </row>
    <row r="5169" spans="2:14">
      <c r="B5169" s="32">
        <f>IF(ISNUMBER(SEARCH('Φόρμα Εισαγωγής'!$B$2,C5169)),MAX($B$1:B5168)+1,0)</f>
        <v>0</v>
      </c>
      <c r="D5169" s="33">
        <f>IF(ISNUMBER(SEARCH('Φόρμα Εισαγωγής'!$C$2,E5169)),MAX($D$1:D5168)+1,0)</f>
        <v>0</v>
      </c>
      <c r="H5169" s="6">
        <f t="shared" si="251"/>
        <v>0</v>
      </c>
      <c r="I5169" s="6">
        <f t="shared" si="252"/>
        <v>0</v>
      </c>
      <c r="J5169" s="6">
        <f t="shared" si="253"/>
        <v>0</v>
      </c>
      <c r="L5169" s="4" t="str">
        <f>IFERROR(VLOOKUP(ROWS($L$2:L5169),$B$2:$C$1996,2,0),"")</f>
        <v/>
      </c>
      <c r="N5169" s="2" t="str">
        <f>IFERROR(VLOOKUP(ROWS($N$2:N5169),$D$2:$E$1996,2,0),"")</f>
        <v/>
      </c>
    </row>
    <row r="5170" spans="2:14">
      <c r="B5170" s="32">
        <f>IF(ISNUMBER(SEARCH('Φόρμα Εισαγωγής'!$B$2,C5170)),MAX($B$1:B5169)+1,0)</f>
        <v>0</v>
      </c>
      <c r="D5170" s="33">
        <f>IF(ISNUMBER(SEARCH('Φόρμα Εισαγωγής'!$C$2,E5170)),MAX($D$1:D5169)+1,0)</f>
        <v>0</v>
      </c>
      <c r="H5170" s="6">
        <f t="shared" si="251"/>
        <v>0</v>
      </c>
      <c r="I5170" s="6">
        <f t="shared" si="252"/>
        <v>0</v>
      </c>
      <c r="J5170" s="6">
        <f t="shared" si="253"/>
        <v>0</v>
      </c>
      <c r="L5170" s="4" t="str">
        <f>IFERROR(VLOOKUP(ROWS($L$2:L5170),$B$2:$C$1996,2,0),"")</f>
        <v/>
      </c>
      <c r="N5170" s="2" t="str">
        <f>IFERROR(VLOOKUP(ROWS($N$2:N5170),$D$2:$E$1996,2,0),"")</f>
        <v/>
      </c>
    </row>
    <row r="5171" spans="2:14">
      <c r="B5171" s="32">
        <f>IF(ISNUMBER(SEARCH('Φόρμα Εισαγωγής'!$B$2,C5171)),MAX($B$1:B5170)+1,0)</f>
        <v>0</v>
      </c>
      <c r="D5171" s="33">
        <f>IF(ISNUMBER(SEARCH('Φόρμα Εισαγωγής'!$C$2,E5171)),MAX($D$1:D5170)+1,0)</f>
        <v>0</v>
      </c>
      <c r="H5171" s="6">
        <f t="shared" si="251"/>
        <v>0</v>
      </c>
      <c r="I5171" s="6">
        <f t="shared" si="252"/>
        <v>0</v>
      </c>
      <c r="J5171" s="6">
        <f t="shared" si="253"/>
        <v>0</v>
      </c>
      <c r="L5171" s="4" t="str">
        <f>IFERROR(VLOOKUP(ROWS($L$2:L5171),$B$2:$C$1996,2,0),"")</f>
        <v/>
      </c>
      <c r="N5171" s="2" t="str">
        <f>IFERROR(VLOOKUP(ROWS($N$2:N5171),$D$2:$E$1996,2,0),"")</f>
        <v/>
      </c>
    </row>
    <row r="5172" spans="2:14">
      <c r="B5172" s="32">
        <f>IF(ISNUMBER(SEARCH('Φόρμα Εισαγωγής'!$B$2,C5172)),MAX($B$1:B5171)+1,0)</f>
        <v>0</v>
      </c>
      <c r="D5172" s="33">
        <f>IF(ISNUMBER(SEARCH('Φόρμα Εισαγωγής'!$C$2,E5172)),MAX($D$1:D5171)+1,0)</f>
        <v>0</v>
      </c>
      <c r="H5172" s="6">
        <f t="shared" si="251"/>
        <v>0</v>
      </c>
      <c r="I5172" s="6">
        <f t="shared" si="252"/>
        <v>0</v>
      </c>
      <c r="J5172" s="6">
        <f t="shared" si="253"/>
        <v>0</v>
      </c>
      <c r="L5172" s="4" t="str">
        <f>IFERROR(VLOOKUP(ROWS($L$2:L5172),$B$2:$C$1996,2,0),"")</f>
        <v/>
      </c>
      <c r="N5172" s="2" t="str">
        <f>IFERROR(VLOOKUP(ROWS($N$2:N5172),$D$2:$E$1996,2,0),"")</f>
        <v/>
      </c>
    </row>
    <row r="5173" spans="2:14">
      <c r="B5173" s="32">
        <f>IF(ISNUMBER(SEARCH('Φόρμα Εισαγωγής'!$B$2,C5173)),MAX($B$1:B5172)+1,0)</f>
        <v>0</v>
      </c>
      <c r="D5173" s="33">
        <f>IF(ISNUMBER(SEARCH('Φόρμα Εισαγωγής'!$C$2,E5173)),MAX($D$1:D5172)+1,0)</f>
        <v>0</v>
      </c>
      <c r="H5173" s="6">
        <f t="shared" si="251"/>
        <v>0</v>
      </c>
      <c r="I5173" s="6">
        <f t="shared" si="252"/>
        <v>0</v>
      </c>
      <c r="J5173" s="6">
        <f t="shared" si="253"/>
        <v>0</v>
      </c>
      <c r="L5173" s="4" t="str">
        <f>IFERROR(VLOOKUP(ROWS($L$2:L5173),$B$2:$C$1996,2,0),"")</f>
        <v/>
      </c>
      <c r="N5173" s="2" t="str">
        <f>IFERROR(VLOOKUP(ROWS($N$2:N5173),$D$2:$E$1996,2,0),"")</f>
        <v/>
      </c>
    </row>
    <row r="5174" spans="2:14">
      <c r="B5174" s="32">
        <f>IF(ISNUMBER(SEARCH('Φόρμα Εισαγωγής'!$B$2,C5174)),MAX($B$1:B5173)+1,0)</f>
        <v>0</v>
      </c>
      <c r="D5174" s="33">
        <f>IF(ISNUMBER(SEARCH('Φόρμα Εισαγωγής'!$C$2,E5174)),MAX($D$1:D5173)+1,0)</f>
        <v>0</v>
      </c>
      <c r="H5174" s="6">
        <f t="shared" si="251"/>
        <v>0</v>
      </c>
      <c r="I5174" s="6">
        <f t="shared" si="252"/>
        <v>0</v>
      </c>
      <c r="J5174" s="6">
        <f t="shared" si="253"/>
        <v>0</v>
      </c>
      <c r="L5174" s="4" t="str">
        <f>IFERROR(VLOOKUP(ROWS($L$2:L5174),$B$2:$C$1996,2,0),"")</f>
        <v/>
      </c>
      <c r="N5174" s="2" t="str">
        <f>IFERROR(VLOOKUP(ROWS($N$2:N5174),$D$2:$E$1996,2,0),"")</f>
        <v/>
      </c>
    </row>
    <row r="5175" spans="2:14">
      <c r="B5175" s="32">
        <f>IF(ISNUMBER(SEARCH('Φόρμα Εισαγωγής'!$B$2,C5175)),MAX($B$1:B5174)+1,0)</f>
        <v>0</v>
      </c>
      <c r="D5175" s="33">
        <f>IF(ISNUMBER(SEARCH('Φόρμα Εισαγωγής'!$C$2,E5175)),MAX($D$1:D5174)+1,0)</f>
        <v>0</v>
      </c>
      <c r="H5175" s="6">
        <f t="shared" si="251"/>
        <v>0</v>
      </c>
      <c r="I5175" s="6">
        <f t="shared" si="252"/>
        <v>0</v>
      </c>
      <c r="J5175" s="6">
        <f t="shared" si="253"/>
        <v>0</v>
      </c>
      <c r="L5175" s="4" t="str">
        <f>IFERROR(VLOOKUP(ROWS($L$2:L5175),$B$2:$C$1996,2,0),"")</f>
        <v/>
      </c>
      <c r="N5175" s="2" t="str">
        <f>IFERROR(VLOOKUP(ROWS($N$2:N5175),$D$2:$E$1996,2,0),"")</f>
        <v/>
      </c>
    </row>
    <row r="5176" spans="2:14">
      <c r="B5176" s="32">
        <f>IF(ISNUMBER(SEARCH('Φόρμα Εισαγωγής'!$B$2,C5176)),MAX($B$1:B5175)+1,0)</f>
        <v>0</v>
      </c>
      <c r="D5176" s="33">
        <f>IF(ISNUMBER(SEARCH('Φόρμα Εισαγωγής'!$C$2,E5176)),MAX($D$1:D5175)+1,0)</f>
        <v>0</v>
      </c>
      <c r="H5176" s="6">
        <f t="shared" si="251"/>
        <v>0</v>
      </c>
      <c r="I5176" s="6">
        <f t="shared" si="252"/>
        <v>0</v>
      </c>
      <c r="J5176" s="6">
        <f t="shared" si="253"/>
        <v>0</v>
      </c>
      <c r="L5176" s="4" t="str">
        <f>IFERROR(VLOOKUP(ROWS($L$2:L5176),$B$2:$C$1996,2,0),"")</f>
        <v/>
      </c>
      <c r="N5176" s="2" t="str">
        <f>IFERROR(VLOOKUP(ROWS($N$2:N5176),$D$2:$E$1996,2,0),"")</f>
        <v/>
      </c>
    </row>
    <row r="5177" spans="2:14">
      <c r="B5177" s="32">
        <f>IF(ISNUMBER(SEARCH('Φόρμα Εισαγωγής'!$B$2,C5177)),MAX($B$1:B5176)+1,0)</f>
        <v>0</v>
      </c>
      <c r="D5177" s="33">
        <f>IF(ISNUMBER(SEARCH('Φόρμα Εισαγωγής'!$C$2,E5177)),MAX($D$1:D5176)+1,0)</f>
        <v>0</v>
      </c>
      <c r="H5177" s="6">
        <f t="shared" si="251"/>
        <v>0</v>
      </c>
      <c r="I5177" s="6">
        <f t="shared" si="252"/>
        <v>0</v>
      </c>
      <c r="J5177" s="6">
        <f t="shared" si="253"/>
        <v>0</v>
      </c>
      <c r="L5177" s="4" t="str">
        <f>IFERROR(VLOOKUP(ROWS($L$2:L5177),$B$2:$C$1996,2,0),"")</f>
        <v/>
      </c>
      <c r="N5177" s="2" t="str">
        <f>IFERROR(VLOOKUP(ROWS($N$2:N5177),$D$2:$E$1996,2,0),"")</f>
        <v/>
      </c>
    </row>
    <row r="5178" spans="2:14">
      <c r="B5178" s="32">
        <f>IF(ISNUMBER(SEARCH('Φόρμα Εισαγωγής'!$B$2,C5178)),MAX($B$1:B5177)+1,0)</f>
        <v>0</v>
      </c>
      <c r="D5178" s="33">
        <f>IF(ISNUMBER(SEARCH('Φόρμα Εισαγωγής'!$C$2,E5178)),MAX($D$1:D5177)+1,0)</f>
        <v>0</v>
      </c>
      <c r="H5178" s="6">
        <f t="shared" si="251"/>
        <v>0</v>
      </c>
      <c r="I5178" s="6">
        <f t="shared" si="252"/>
        <v>0</v>
      </c>
      <c r="J5178" s="6">
        <f t="shared" si="253"/>
        <v>0</v>
      </c>
      <c r="L5178" s="4" t="str">
        <f>IFERROR(VLOOKUP(ROWS($L$2:L5178),$B$2:$C$1996,2,0),"")</f>
        <v/>
      </c>
      <c r="N5178" s="2" t="str">
        <f>IFERROR(VLOOKUP(ROWS($N$2:N5178),$D$2:$E$1996,2,0),"")</f>
        <v/>
      </c>
    </row>
    <row r="5179" spans="2:14">
      <c r="B5179" s="32">
        <f>IF(ISNUMBER(SEARCH('Φόρμα Εισαγωγής'!$B$2,C5179)),MAX($B$1:B5178)+1,0)</f>
        <v>0</v>
      </c>
      <c r="D5179" s="33">
        <f>IF(ISNUMBER(SEARCH('Φόρμα Εισαγωγής'!$C$2,E5179)),MAX($D$1:D5178)+1,0)</f>
        <v>0</v>
      </c>
      <c r="H5179" s="6">
        <f t="shared" si="251"/>
        <v>0</v>
      </c>
      <c r="I5179" s="6">
        <f t="shared" si="252"/>
        <v>0</v>
      </c>
      <c r="J5179" s="6">
        <f t="shared" si="253"/>
        <v>0</v>
      </c>
      <c r="L5179" s="4" t="str">
        <f>IFERROR(VLOOKUP(ROWS($L$2:L5179),$B$2:$C$1996,2,0),"")</f>
        <v/>
      </c>
      <c r="N5179" s="2" t="str">
        <f>IFERROR(VLOOKUP(ROWS($N$2:N5179),$D$2:$E$1996,2,0),"")</f>
        <v/>
      </c>
    </row>
    <row r="5180" spans="2:14">
      <c r="B5180" s="32">
        <f>IF(ISNUMBER(SEARCH('Φόρμα Εισαγωγής'!$B$2,C5180)),MAX($B$1:B5179)+1,0)</f>
        <v>0</v>
      </c>
      <c r="D5180" s="33">
        <f>IF(ISNUMBER(SEARCH('Φόρμα Εισαγωγής'!$C$2,E5180)),MAX($D$1:D5179)+1,0)</f>
        <v>0</v>
      </c>
      <c r="H5180" s="6">
        <f t="shared" si="251"/>
        <v>0</v>
      </c>
      <c r="I5180" s="6">
        <f t="shared" si="252"/>
        <v>0</v>
      </c>
      <c r="J5180" s="6">
        <f t="shared" si="253"/>
        <v>0</v>
      </c>
      <c r="L5180" s="4" t="str">
        <f>IFERROR(VLOOKUP(ROWS($L$2:L5180),$B$2:$C$1996,2,0),"")</f>
        <v/>
      </c>
      <c r="N5180" s="2" t="str">
        <f>IFERROR(VLOOKUP(ROWS($N$2:N5180),$D$2:$E$1996,2,0),"")</f>
        <v/>
      </c>
    </row>
    <row r="5181" spans="2:14">
      <c r="B5181" s="32">
        <f>IF(ISNUMBER(SEARCH('Φόρμα Εισαγωγής'!$B$2,C5181)),MAX($B$1:B5180)+1,0)</f>
        <v>0</v>
      </c>
      <c r="D5181" s="33">
        <f>IF(ISNUMBER(SEARCH('Φόρμα Εισαγωγής'!$C$2,E5181)),MAX($D$1:D5180)+1,0)</f>
        <v>0</v>
      </c>
      <c r="H5181" s="6">
        <f t="shared" si="251"/>
        <v>0</v>
      </c>
      <c r="I5181" s="6">
        <f t="shared" si="252"/>
        <v>0</v>
      </c>
      <c r="J5181" s="6">
        <f t="shared" si="253"/>
        <v>0</v>
      </c>
      <c r="L5181" s="4" t="str">
        <f>IFERROR(VLOOKUP(ROWS($L$2:L5181),$B$2:$C$1996,2,0),"")</f>
        <v/>
      </c>
      <c r="N5181" s="2" t="str">
        <f>IFERROR(VLOOKUP(ROWS($N$2:N5181),$D$2:$E$1996,2,0),"")</f>
        <v/>
      </c>
    </row>
    <row r="5182" spans="2:14">
      <c r="B5182" s="32">
        <f>IF(ISNUMBER(SEARCH('Φόρμα Εισαγωγής'!$B$2,C5182)),MAX($B$1:B5181)+1,0)</f>
        <v>0</v>
      </c>
      <c r="D5182" s="33">
        <f>IF(ISNUMBER(SEARCH('Φόρμα Εισαγωγής'!$C$2,E5182)),MAX($D$1:D5181)+1,0)</f>
        <v>0</v>
      </c>
      <c r="H5182" s="6">
        <f t="shared" si="251"/>
        <v>0</v>
      </c>
      <c r="I5182" s="6">
        <f t="shared" si="252"/>
        <v>0</v>
      </c>
      <c r="J5182" s="6">
        <f t="shared" si="253"/>
        <v>0</v>
      </c>
      <c r="L5182" s="4" t="str">
        <f>IFERROR(VLOOKUP(ROWS($L$2:L5182),$B$2:$C$1996,2,0),"")</f>
        <v/>
      </c>
      <c r="N5182" s="2" t="str">
        <f>IFERROR(VLOOKUP(ROWS($N$2:N5182),$D$2:$E$1996,2,0),"")</f>
        <v/>
      </c>
    </row>
    <row r="5183" spans="2:14">
      <c r="B5183" s="32">
        <f>IF(ISNUMBER(SEARCH('Φόρμα Εισαγωγής'!$B$2,C5183)),MAX($B$1:B5182)+1,0)</f>
        <v>0</v>
      </c>
      <c r="D5183" s="33">
        <f>IF(ISNUMBER(SEARCH('Φόρμα Εισαγωγής'!$C$2,E5183)),MAX($D$1:D5182)+1,0)</f>
        <v>0</v>
      </c>
      <c r="H5183" s="6">
        <f t="shared" si="251"/>
        <v>0</v>
      </c>
      <c r="I5183" s="6">
        <f t="shared" si="252"/>
        <v>0</v>
      </c>
      <c r="J5183" s="6">
        <f t="shared" si="253"/>
        <v>0</v>
      </c>
      <c r="L5183" s="4" t="str">
        <f>IFERROR(VLOOKUP(ROWS($L$2:L5183),$B$2:$C$1996,2,0),"")</f>
        <v/>
      </c>
      <c r="N5183" s="2" t="str">
        <f>IFERROR(VLOOKUP(ROWS($N$2:N5183),$D$2:$E$1996,2,0),"")</f>
        <v/>
      </c>
    </row>
    <row r="5184" spans="2:14">
      <c r="B5184" s="32">
        <f>IF(ISNUMBER(SEARCH('Φόρμα Εισαγωγής'!$B$2,C5184)),MAX($B$1:B5183)+1,0)</f>
        <v>0</v>
      </c>
      <c r="D5184" s="33">
        <f>IF(ISNUMBER(SEARCH('Φόρμα Εισαγωγής'!$C$2,E5184)),MAX($D$1:D5183)+1,0)</f>
        <v>0</v>
      </c>
      <c r="H5184" s="6">
        <f t="shared" ref="H5184:H5247" si="254">G5184+(G5184*0.24)</f>
        <v>0</v>
      </c>
      <c r="I5184" s="6">
        <f t="shared" ref="I5184:I5247" si="255">F5184*A5184</f>
        <v>0</v>
      </c>
      <c r="J5184" s="6">
        <f t="shared" ref="J5184:J5247" si="256">H5184*A5184</f>
        <v>0</v>
      </c>
      <c r="L5184" s="4" t="str">
        <f>IFERROR(VLOOKUP(ROWS($L$2:L5184),$B$2:$C$1996,2,0),"")</f>
        <v/>
      </c>
      <c r="N5184" s="2" t="str">
        <f>IFERROR(VLOOKUP(ROWS($N$2:N5184),$D$2:$E$1996,2,0),"")</f>
        <v/>
      </c>
    </row>
    <row r="5185" spans="2:14">
      <c r="B5185" s="32">
        <f>IF(ISNUMBER(SEARCH('Φόρμα Εισαγωγής'!$B$2,C5185)),MAX($B$1:B5184)+1,0)</f>
        <v>0</v>
      </c>
      <c r="D5185" s="33">
        <f>IF(ISNUMBER(SEARCH('Φόρμα Εισαγωγής'!$C$2,E5185)),MAX($D$1:D5184)+1,0)</f>
        <v>0</v>
      </c>
      <c r="H5185" s="6">
        <f t="shared" si="254"/>
        <v>0</v>
      </c>
      <c r="I5185" s="6">
        <f t="shared" si="255"/>
        <v>0</v>
      </c>
      <c r="J5185" s="6">
        <f t="shared" si="256"/>
        <v>0</v>
      </c>
      <c r="L5185" s="4" t="str">
        <f>IFERROR(VLOOKUP(ROWS($L$2:L5185),$B$2:$C$1996,2,0),"")</f>
        <v/>
      </c>
      <c r="N5185" s="2" t="str">
        <f>IFERROR(VLOOKUP(ROWS($N$2:N5185),$D$2:$E$1996,2,0),"")</f>
        <v/>
      </c>
    </row>
    <row r="5186" spans="2:14">
      <c r="B5186" s="32">
        <f>IF(ISNUMBER(SEARCH('Φόρμα Εισαγωγής'!$B$2,C5186)),MAX($B$1:B5185)+1,0)</f>
        <v>0</v>
      </c>
      <c r="D5186" s="33">
        <f>IF(ISNUMBER(SEARCH('Φόρμα Εισαγωγής'!$C$2,E5186)),MAX($D$1:D5185)+1,0)</f>
        <v>0</v>
      </c>
      <c r="H5186" s="6">
        <f t="shared" si="254"/>
        <v>0</v>
      </c>
      <c r="I5186" s="6">
        <f t="shared" si="255"/>
        <v>0</v>
      </c>
      <c r="J5186" s="6">
        <f t="shared" si="256"/>
        <v>0</v>
      </c>
      <c r="L5186" s="4" t="str">
        <f>IFERROR(VLOOKUP(ROWS($L$2:L5186),$B$2:$C$1996,2,0),"")</f>
        <v/>
      </c>
      <c r="N5186" s="2" t="str">
        <f>IFERROR(VLOOKUP(ROWS($N$2:N5186),$D$2:$E$1996,2,0),"")</f>
        <v/>
      </c>
    </row>
    <row r="5187" spans="2:14">
      <c r="B5187" s="32">
        <f>IF(ISNUMBER(SEARCH('Φόρμα Εισαγωγής'!$B$2,C5187)),MAX($B$1:B5186)+1,0)</f>
        <v>0</v>
      </c>
      <c r="D5187" s="33">
        <f>IF(ISNUMBER(SEARCH('Φόρμα Εισαγωγής'!$C$2,E5187)),MAX($D$1:D5186)+1,0)</f>
        <v>0</v>
      </c>
      <c r="H5187" s="6">
        <f t="shared" si="254"/>
        <v>0</v>
      </c>
      <c r="I5187" s="6">
        <f t="shared" si="255"/>
        <v>0</v>
      </c>
      <c r="J5187" s="6">
        <f t="shared" si="256"/>
        <v>0</v>
      </c>
      <c r="L5187" s="4" t="str">
        <f>IFERROR(VLOOKUP(ROWS($L$2:L5187),$B$2:$C$1996,2,0),"")</f>
        <v/>
      </c>
      <c r="N5187" s="2" t="str">
        <f>IFERROR(VLOOKUP(ROWS($N$2:N5187),$D$2:$E$1996,2,0),"")</f>
        <v/>
      </c>
    </row>
    <row r="5188" spans="2:14">
      <c r="B5188" s="32">
        <f>IF(ISNUMBER(SEARCH('Φόρμα Εισαγωγής'!$B$2,C5188)),MAX($B$1:B5187)+1,0)</f>
        <v>0</v>
      </c>
      <c r="D5188" s="33">
        <f>IF(ISNUMBER(SEARCH('Φόρμα Εισαγωγής'!$C$2,E5188)),MAX($D$1:D5187)+1,0)</f>
        <v>0</v>
      </c>
      <c r="H5188" s="6">
        <f t="shared" si="254"/>
        <v>0</v>
      </c>
      <c r="I5188" s="6">
        <f t="shared" si="255"/>
        <v>0</v>
      </c>
      <c r="J5188" s="6">
        <f t="shared" si="256"/>
        <v>0</v>
      </c>
      <c r="L5188" s="4" t="str">
        <f>IFERROR(VLOOKUP(ROWS($L$2:L5188),$B$2:$C$1996,2,0),"")</f>
        <v/>
      </c>
      <c r="N5188" s="2" t="str">
        <f>IFERROR(VLOOKUP(ROWS($N$2:N5188),$D$2:$E$1996,2,0),"")</f>
        <v/>
      </c>
    </row>
    <row r="5189" spans="2:14">
      <c r="B5189" s="32">
        <f>IF(ISNUMBER(SEARCH('Φόρμα Εισαγωγής'!$B$2,C5189)),MAX($B$1:B5188)+1,0)</f>
        <v>0</v>
      </c>
      <c r="D5189" s="33">
        <f>IF(ISNUMBER(SEARCH('Φόρμα Εισαγωγής'!$C$2,E5189)),MAX($D$1:D5188)+1,0)</f>
        <v>0</v>
      </c>
      <c r="H5189" s="6">
        <f t="shared" si="254"/>
        <v>0</v>
      </c>
      <c r="I5189" s="6">
        <f t="shared" si="255"/>
        <v>0</v>
      </c>
      <c r="J5189" s="6">
        <f t="shared" si="256"/>
        <v>0</v>
      </c>
      <c r="L5189" s="4" t="str">
        <f>IFERROR(VLOOKUP(ROWS($L$2:L5189),$B$2:$C$1996,2,0),"")</f>
        <v/>
      </c>
      <c r="N5189" s="2" t="str">
        <f>IFERROR(VLOOKUP(ROWS($N$2:N5189),$D$2:$E$1996,2,0),"")</f>
        <v/>
      </c>
    </row>
    <row r="5190" spans="2:14">
      <c r="B5190" s="32">
        <f>IF(ISNUMBER(SEARCH('Φόρμα Εισαγωγής'!$B$2,C5190)),MAX($B$1:B5189)+1,0)</f>
        <v>0</v>
      </c>
      <c r="D5190" s="33">
        <f>IF(ISNUMBER(SEARCH('Φόρμα Εισαγωγής'!$C$2,E5190)),MAX($D$1:D5189)+1,0)</f>
        <v>0</v>
      </c>
      <c r="H5190" s="6">
        <f t="shared" si="254"/>
        <v>0</v>
      </c>
      <c r="I5190" s="6">
        <f t="shared" si="255"/>
        <v>0</v>
      </c>
      <c r="J5190" s="6">
        <f t="shared" si="256"/>
        <v>0</v>
      </c>
      <c r="L5190" s="4" t="str">
        <f>IFERROR(VLOOKUP(ROWS($L$2:L5190),$B$2:$C$1996,2,0),"")</f>
        <v/>
      </c>
      <c r="N5190" s="2" t="str">
        <f>IFERROR(VLOOKUP(ROWS($N$2:N5190),$D$2:$E$1996,2,0),"")</f>
        <v/>
      </c>
    </row>
    <row r="5191" spans="2:14">
      <c r="B5191" s="32">
        <f>IF(ISNUMBER(SEARCH('Φόρμα Εισαγωγής'!$B$2,C5191)),MAX($B$1:B5190)+1,0)</f>
        <v>0</v>
      </c>
      <c r="D5191" s="33">
        <f>IF(ISNUMBER(SEARCH('Φόρμα Εισαγωγής'!$C$2,E5191)),MAX($D$1:D5190)+1,0)</f>
        <v>0</v>
      </c>
      <c r="H5191" s="6">
        <f t="shared" si="254"/>
        <v>0</v>
      </c>
      <c r="I5191" s="6">
        <f t="shared" si="255"/>
        <v>0</v>
      </c>
      <c r="J5191" s="6">
        <f t="shared" si="256"/>
        <v>0</v>
      </c>
      <c r="L5191" s="4" t="str">
        <f>IFERROR(VLOOKUP(ROWS($L$2:L5191),$B$2:$C$1996,2,0),"")</f>
        <v/>
      </c>
      <c r="N5191" s="2" t="str">
        <f>IFERROR(VLOOKUP(ROWS($N$2:N5191),$D$2:$E$1996,2,0),"")</f>
        <v/>
      </c>
    </row>
    <row r="5192" spans="2:14">
      <c r="B5192" s="32">
        <f>IF(ISNUMBER(SEARCH('Φόρμα Εισαγωγής'!$B$2,C5192)),MAX($B$1:B5191)+1,0)</f>
        <v>0</v>
      </c>
      <c r="D5192" s="33">
        <f>IF(ISNUMBER(SEARCH('Φόρμα Εισαγωγής'!$C$2,E5192)),MAX($D$1:D5191)+1,0)</f>
        <v>0</v>
      </c>
      <c r="H5192" s="6">
        <f t="shared" si="254"/>
        <v>0</v>
      </c>
      <c r="I5192" s="6">
        <f t="shared" si="255"/>
        <v>0</v>
      </c>
      <c r="J5192" s="6">
        <f t="shared" si="256"/>
        <v>0</v>
      </c>
      <c r="L5192" s="4" t="str">
        <f>IFERROR(VLOOKUP(ROWS($L$2:L5192),$B$2:$C$1996,2,0),"")</f>
        <v/>
      </c>
      <c r="N5192" s="2" t="str">
        <f>IFERROR(VLOOKUP(ROWS($N$2:N5192),$D$2:$E$1996,2,0),"")</f>
        <v/>
      </c>
    </row>
    <row r="5193" spans="2:14">
      <c r="B5193" s="32">
        <f>IF(ISNUMBER(SEARCH('Φόρμα Εισαγωγής'!$B$2,C5193)),MAX($B$1:B5192)+1,0)</f>
        <v>0</v>
      </c>
      <c r="D5193" s="33">
        <f>IF(ISNUMBER(SEARCH('Φόρμα Εισαγωγής'!$C$2,E5193)),MAX($D$1:D5192)+1,0)</f>
        <v>0</v>
      </c>
      <c r="H5193" s="6">
        <f t="shared" si="254"/>
        <v>0</v>
      </c>
      <c r="I5193" s="6">
        <f t="shared" si="255"/>
        <v>0</v>
      </c>
      <c r="J5193" s="6">
        <f t="shared" si="256"/>
        <v>0</v>
      </c>
      <c r="L5193" s="4" t="str">
        <f>IFERROR(VLOOKUP(ROWS($L$2:L5193),$B$2:$C$1996,2,0),"")</f>
        <v/>
      </c>
      <c r="N5193" s="2" t="str">
        <f>IFERROR(VLOOKUP(ROWS($N$2:N5193),$D$2:$E$1996,2,0),"")</f>
        <v/>
      </c>
    </row>
    <row r="5194" spans="2:14">
      <c r="B5194" s="32">
        <f>IF(ISNUMBER(SEARCH('Φόρμα Εισαγωγής'!$B$2,C5194)),MAX($B$1:B5193)+1,0)</f>
        <v>0</v>
      </c>
      <c r="D5194" s="33">
        <f>IF(ISNUMBER(SEARCH('Φόρμα Εισαγωγής'!$C$2,E5194)),MAX($D$1:D5193)+1,0)</f>
        <v>0</v>
      </c>
      <c r="H5194" s="6">
        <f t="shared" si="254"/>
        <v>0</v>
      </c>
      <c r="I5194" s="6">
        <f t="shared" si="255"/>
        <v>0</v>
      </c>
      <c r="J5194" s="6">
        <f t="shared" si="256"/>
        <v>0</v>
      </c>
      <c r="L5194" s="4" t="str">
        <f>IFERROR(VLOOKUP(ROWS($L$2:L5194),$B$2:$C$1996,2,0),"")</f>
        <v/>
      </c>
      <c r="N5194" s="2" t="str">
        <f>IFERROR(VLOOKUP(ROWS($N$2:N5194),$D$2:$E$1996,2,0),"")</f>
        <v/>
      </c>
    </row>
    <row r="5195" spans="2:14">
      <c r="B5195" s="32">
        <f>IF(ISNUMBER(SEARCH('Φόρμα Εισαγωγής'!$B$2,C5195)),MAX($B$1:B5194)+1,0)</f>
        <v>0</v>
      </c>
      <c r="D5195" s="33">
        <f>IF(ISNUMBER(SEARCH('Φόρμα Εισαγωγής'!$C$2,E5195)),MAX($D$1:D5194)+1,0)</f>
        <v>0</v>
      </c>
      <c r="H5195" s="6">
        <f t="shared" si="254"/>
        <v>0</v>
      </c>
      <c r="I5195" s="6">
        <f t="shared" si="255"/>
        <v>0</v>
      </c>
      <c r="J5195" s="6">
        <f t="shared" si="256"/>
        <v>0</v>
      </c>
      <c r="L5195" s="4" t="str">
        <f>IFERROR(VLOOKUP(ROWS($L$2:L5195),$B$2:$C$1996,2,0),"")</f>
        <v/>
      </c>
      <c r="N5195" s="2" t="str">
        <f>IFERROR(VLOOKUP(ROWS($N$2:N5195),$D$2:$E$1996,2,0),"")</f>
        <v/>
      </c>
    </row>
    <row r="5196" spans="2:14">
      <c r="B5196" s="32">
        <f>IF(ISNUMBER(SEARCH('Φόρμα Εισαγωγής'!$B$2,C5196)),MAX($B$1:B5195)+1,0)</f>
        <v>0</v>
      </c>
      <c r="D5196" s="33">
        <f>IF(ISNUMBER(SEARCH('Φόρμα Εισαγωγής'!$C$2,E5196)),MAX($D$1:D5195)+1,0)</f>
        <v>0</v>
      </c>
      <c r="H5196" s="6">
        <f t="shared" si="254"/>
        <v>0</v>
      </c>
      <c r="I5196" s="6">
        <f t="shared" si="255"/>
        <v>0</v>
      </c>
      <c r="J5196" s="6">
        <f t="shared" si="256"/>
        <v>0</v>
      </c>
      <c r="L5196" s="4" t="str">
        <f>IFERROR(VLOOKUP(ROWS($L$2:L5196),$B$2:$C$1996,2,0),"")</f>
        <v/>
      </c>
      <c r="N5196" s="2" t="str">
        <f>IFERROR(VLOOKUP(ROWS($N$2:N5196),$D$2:$E$1996,2,0),"")</f>
        <v/>
      </c>
    </row>
    <row r="5197" spans="2:14">
      <c r="B5197" s="32">
        <f>IF(ISNUMBER(SEARCH('Φόρμα Εισαγωγής'!$B$2,C5197)),MAX($B$1:B5196)+1,0)</f>
        <v>0</v>
      </c>
      <c r="D5197" s="33">
        <f>IF(ISNUMBER(SEARCH('Φόρμα Εισαγωγής'!$C$2,E5197)),MAX($D$1:D5196)+1,0)</f>
        <v>0</v>
      </c>
      <c r="H5197" s="6">
        <f t="shared" si="254"/>
        <v>0</v>
      </c>
      <c r="I5197" s="6">
        <f t="shared" si="255"/>
        <v>0</v>
      </c>
      <c r="J5197" s="6">
        <f t="shared" si="256"/>
        <v>0</v>
      </c>
      <c r="L5197" s="4" t="str">
        <f>IFERROR(VLOOKUP(ROWS($L$2:L5197),$B$2:$C$1996,2,0),"")</f>
        <v/>
      </c>
      <c r="N5197" s="2" t="str">
        <f>IFERROR(VLOOKUP(ROWS($N$2:N5197),$D$2:$E$1996,2,0),"")</f>
        <v/>
      </c>
    </row>
    <row r="5198" spans="2:14">
      <c r="B5198" s="32">
        <f>IF(ISNUMBER(SEARCH('Φόρμα Εισαγωγής'!$B$2,C5198)),MAX($B$1:B5197)+1,0)</f>
        <v>0</v>
      </c>
      <c r="D5198" s="33">
        <f>IF(ISNUMBER(SEARCH('Φόρμα Εισαγωγής'!$C$2,E5198)),MAX($D$1:D5197)+1,0)</f>
        <v>0</v>
      </c>
      <c r="H5198" s="6">
        <f t="shared" si="254"/>
        <v>0</v>
      </c>
      <c r="I5198" s="6">
        <f t="shared" si="255"/>
        <v>0</v>
      </c>
      <c r="J5198" s="6">
        <f t="shared" si="256"/>
        <v>0</v>
      </c>
      <c r="L5198" s="4" t="str">
        <f>IFERROR(VLOOKUP(ROWS($L$2:L5198),$B$2:$C$1996,2,0),"")</f>
        <v/>
      </c>
      <c r="N5198" s="2" t="str">
        <f>IFERROR(VLOOKUP(ROWS($N$2:N5198),$D$2:$E$1996,2,0),"")</f>
        <v/>
      </c>
    </row>
    <row r="5199" spans="2:14">
      <c r="B5199" s="32">
        <f>IF(ISNUMBER(SEARCH('Φόρμα Εισαγωγής'!$B$2,C5199)),MAX($B$1:B5198)+1,0)</f>
        <v>0</v>
      </c>
      <c r="D5199" s="33">
        <f>IF(ISNUMBER(SEARCH('Φόρμα Εισαγωγής'!$C$2,E5199)),MAX($D$1:D5198)+1,0)</f>
        <v>0</v>
      </c>
      <c r="H5199" s="6">
        <f t="shared" si="254"/>
        <v>0</v>
      </c>
      <c r="I5199" s="6">
        <f t="shared" si="255"/>
        <v>0</v>
      </c>
      <c r="J5199" s="6">
        <f t="shared" si="256"/>
        <v>0</v>
      </c>
      <c r="L5199" s="4" t="str">
        <f>IFERROR(VLOOKUP(ROWS($L$2:L5199),$B$2:$C$1996,2,0),"")</f>
        <v/>
      </c>
      <c r="N5199" s="2" t="str">
        <f>IFERROR(VLOOKUP(ROWS($N$2:N5199),$D$2:$E$1996,2,0),"")</f>
        <v/>
      </c>
    </row>
    <row r="5200" spans="2:14">
      <c r="B5200" s="32">
        <f>IF(ISNUMBER(SEARCH('Φόρμα Εισαγωγής'!$B$2,C5200)),MAX($B$1:B5199)+1,0)</f>
        <v>0</v>
      </c>
      <c r="D5200" s="33">
        <f>IF(ISNUMBER(SEARCH('Φόρμα Εισαγωγής'!$C$2,E5200)),MAX($D$1:D5199)+1,0)</f>
        <v>0</v>
      </c>
      <c r="H5200" s="6">
        <f t="shared" si="254"/>
        <v>0</v>
      </c>
      <c r="I5200" s="6">
        <f t="shared" si="255"/>
        <v>0</v>
      </c>
      <c r="J5200" s="6">
        <f t="shared" si="256"/>
        <v>0</v>
      </c>
      <c r="L5200" s="4" t="str">
        <f>IFERROR(VLOOKUP(ROWS($L$2:L5200),$B$2:$C$1996,2,0),"")</f>
        <v/>
      </c>
      <c r="N5200" s="2" t="str">
        <f>IFERROR(VLOOKUP(ROWS($N$2:N5200),$D$2:$E$1996,2,0),"")</f>
        <v/>
      </c>
    </row>
    <row r="5201" spans="2:14">
      <c r="B5201" s="32">
        <f>IF(ISNUMBER(SEARCH('Φόρμα Εισαγωγής'!$B$2,C5201)),MAX($B$1:B5200)+1,0)</f>
        <v>0</v>
      </c>
      <c r="D5201" s="33">
        <f>IF(ISNUMBER(SEARCH('Φόρμα Εισαγωγής'!$C$2,E5201)),MAX($D$1:D5200)+1,0)</f>
        <v>0</v>
      </c>
      <c r="H5201" s="6">
        <f t="shared" si="254"/>
        <v>0</v>
      </c>
      <c r="I5201" s="6">
        <f t="shared" si="255"/>
        <v>0</v>
      </c>
      <c r="J5201" s="6">
        <f t="shared" si="256"/>
        <v>0</v>
      </c>
      <c r="L5201" s="4" t="str">
        <f>IFERROR(VLOOKUP(ROWS($L$2:L5201),$B$2:$C$1996,2,0),"")</f>
        <v/>
      </c>
      <c r="N5201" s="2" t="str">
        <f>IFERROR(VLOOKUP(ROWS($N$2:N5201),$D$2:$E$1996,2,0),"")</f>
        <v/>
      </c>
    </row>
    <row r="5202" spans="2:14">
      <c r="B5202" s="32">
        <f>IF(ISNUMBER(SEARCH('Φόρμα Εισαγωγής'!$B$2,C5202)),MAX($B$1:B5201)+1,0)</f>
        <v>0</v>
      </c>
      <c r="D5202" s="33">
        <f>IF(ISNUMBER(SEARCH('Φόρμα Εισαγωγής'!$C$2,E5202)),MAX($D$1:D5201)+1,0)</f>
        <v>0</v>
      </c>
      <c r="H5202" s="6">
        <f t="shared" si="254"/>
        <v>0</v>
      </c>
      <c r="I5202" s="6">
        <f t="shared" si="255"/>
        <v>0</v>
      </c>
      <c r="J5202" s="6">
        <f t="shared" si="256"/>
        <v>0</v>
      </c>
      <c r="L5202" s="4" t="str">
        <f>IFERROR(VLOOKUP(ROWS($L$2:L5202),$B$2:$C$1996,2,0),"")</f>
        <v/>
      </c>
      <c r="N5202" s="2" t="str">
        <f>IFERROR(VLOOKUP(ROWS($N$2:N5202),$D$2:$E$1996,2,0),"")</f>
        <v/>
      </c>
    </row>
    <row r="5203" spans="2:14">
      <c r="B5203" s="32">
        <f>IF(ISNUMBER(SEARCH('Φόρμα Εισαγωγής'!$B$2,C5203)),MAX($B$1:B5202)+1,0)</f>
        <v>0</v>
      </c>
      <c r="D5203" s="33">
        <f>IF(ISNUMBER(SEARCH('Φόρμα Εισαγωγής'!$C$2,E5203)),MAX($D$1:D5202)+1,0)</f>
        <v>0</v>
      </c>
      <c r="H5203" s="6">
        <f t="shared" si="254"/>
        <v>0</v>
      </c>
      <c r="I5203" s="6">
        <f t="shared" si="255"/>
        <v>0</v>
      </c>
      <c r="J5203" s="6">
        <f t="shared" si="256"/>
        <v>0</v>
      </c>
      <c r="L5203" s="4" t="str">
        <f>IFERROR(VLOOKUP(ROWS($L$2:L5203),$B$2:$C$1996,2,0),"")</f>
        <v/>
      </c>
      <c r="N5203" s="2" t="str">
        <f>IFERROR(VLOOKUP(ROWS($N$2:N5203),$D$2:$E$1996,2,0),"")</f>
        <v/>
      </c>
    </row>
    <row r="5204" spans="2:14">
      <c r="B5204" s="32">
        <f>IF(ISNUMBER(SEARCH('Φόρμα Εισαγωγής'!$B$2,C5204)),MAX($B$1:B5203)+1,0)</f>
        <v>0</v>
      </c>
      <c r="D5204" s="33">
        <f>IF(ISNUMBER(SEARCH('Φόρμα Εισαγωγής'!$C$2,E5204)),MAX($D$1:D5203)+1,0)</f>
        <v>0</v>
      </c>
      <c r="H5204" s="6">
        <f t="shared" si="254"/>
        <v>0</v>
      </c>
      <c r="I5204" s="6">
        <f t="shared" si="255"/>
        <v>0</v>
      </c>
      <c r="J5204" s="6">
        <f t="shared" si="256"/>
        <v>0</v>
      </c>
      <c r="L5204" s="4" t="str">
        <f>IFERROR(VLOOKUP(ROWS($L$2:L5204),$B$2:$C$1996,2,0),"")</f>
        <v/>
      </c>
      <c r="N5204" s="2" t="str">
        <f>IFERROR(VLOOKUP(ROWS($N$2:N5204),$D$2:$E$1996,2,0),"")</f>
        <v/>
      </c>
    </row>
    <row r="5205" spans="2:14">
      <c r="B5205" s="32">
        <f>IF(ISNUMBER(SEARCH('Φόρμα Εισαγωγής'!$B$2,C5205)),MAX($B$1:B5204)+1,0)</f>
        <v>0</v>
      </c>
      <c r="D5205" s="33">
        <f>IF(ISNUMBER(SEARCH('Φόρμα Εισαγωγής'!$C$2,E5205)),MAX($D$1:D5204)+1,0)</f>
        <v>0</v>
      </c>
      <c r="H5205" s="6">
        <f t="shared" si="254"/>
        <v>0</v>
      </c>
      <c r="I5205" s="6">
        <f t="shared" si="255"/>
        <v>0</v>
      </c>
      <c r="J5205" s="6">
        <f t="shared" si="256"/>
        <v>0</v>
      </c>
      <c r="L5205" s="4" t="str">
        <f>IFERROR(VLOOKUP(ROWS($L$2:L5205),$B$2:$C$1996,2,0),"")</f>
        <v/>
      </c>
      <c r="N5205" s="2" t="str">
        <f>IFERROR(VLOOKUP(ROWS($N$2:N5205),$D$2:$E$1996,2,0),"")</f>
        <v/>
      </c>
    </row>
    <row r="5206" spans="2:14">
      <c r="B5206" s="32">
        <f>IF(ISNUMBER(SEARCH('Φόρμα Εισαγωγής'!$B$2,C5206)),MAX($B$1:B5205)+1,0)</f>
        <v>0</v>
      </c>
      <c r="D5206" s="33">
        <f>IF(ISNUMBER(SEARCH('Φόρμα Εισαγωγής'!$C$2,E5206)),MAX($D$1:D5205)+1,0)</f>
        <v>0</v>
      </c>
      <c r="H5206" s="6">
        <f t="shared" si="254"/>
        <v>0</v>
      </c>
      <c r="I5206" s="6">
        <f t="shared" si="255"/>
        <v>0</v>
      </c>
      <c r="J5206" s="6">
        <f t="shared" si="256"/>
        <v>0</v>
      </c>
      <c r="L5206" s="4" t="str">
        <f>IFERROR(VLOOKUP(ROWS($L$2:L5206),$B$2:$C$1996,2,0),"")</f>
        <v/>
      </c>
      <c r="N5206" s="2" t="str">
        <f>IFERROR(VLOOKUP(ROWS($N$2:N5206),$D$2:$E$1996,2,0),"")</f>
        <v/>
      </c>
    </row>
    <row r="5207" spans="2:14">
      <c r="B5207" s="32">
        <f>IF(ISNUMBER(SEARCH('Φόρμα Εισαγωγής'!$B$2,C5207)),MAX($B$1:B5206)+1,0)</f>
        <v>0</v>
      </c>
      <c r="D5207" s="33">
        <f>IF(ISNUMBER(SEARCH('Φόρμα Εισαγωγής'!$C$2,E5207)),MAX($D$1:D5206)+1,0)</f>
        <v>0</v>
      </c>
      <c r="H5207" s="6">
        <f t="shared" si="254"/>
        <v>0</v>
      </c>
      <c r="I5207" s="6">
        <f t="shared" si="255"/>
        <v>0</v>
      </c>
      <c r="J5207" s="6">
        <f t="shared" si="256"/>
        <v>0</v>
      </c>
      <c r="L5207" s="4" t="str">
        <f>IFERROR(VLOOKUP(ROWS($L$2:L5207),$B$2:$C$1996,2,0),"")</f>
        <v/>
      </c>
      <c r="N5207" s="2" t="str">
        <f>IFERROR(VLOOKUP(ROWS($N$2:N5207),$D$2:$E$1996,2,0),"")</f>
        <v/>
      </c>
    </row>
    <row r="5208" spans="2:14">
      <c r="B5208" s="32">
        <f>IF(ISNUMBER(SEARCH('Φόρμα Εισαγωγής'!$B$2,C5208)),MAX($B$1:B5207)+1,0)</f>
        <v>0</v>
      </c>
      <c r="D5208" s="33">
        <f>IF(ISNUMBER(SEARCH('Φόρμα Εισαγωγής'!$C$2,E5208)),MAX($D$1:D5207)+1,0)</f>
        <v>0</v>
      </c>
      <c r="H5208" s="6">
        <f t="shared" si="254"/>
        <v>0</v>
      </c>
      <c r="I5208" s="6">
        <f t="shared" si="255"/>
        <v>0</v>
      </c>
      <c r="J5208" s="6">
        <f t="shared" si="256"/>
        <v>0</v>
      </c>
      <c r="L5208" s="4" t="str">
        <f>IFERROR(VLOOKUP(ROWS($L$2:L5208),$B$2:$C$1996,2,0),"")</f>
        <v/>
      </c>
      <c r="N5208" s="2" t="str">
        <f>IFERROR(VLOOKUP(ROWS($N$2:N5208),$D$2:$E$1996,2,0),"")</f>
        <v/>
      </c>
    </row>
    <row r="5209" spans="2:14">
      <c r="B5209" s="32">
        <f>IF(ISNUMBER(SEARCH('Φόρμα Εισαγωγής'!$B$2,C5209)),MAX($B$1:B5208)+1,0)</f>
        <v>0</v>
      </c>
      <c r="D5209" s="33">
        <f>IF(ISNUMBER(SEARCH('Φόρμα Εισαγωγής'!$C$2,E5209)),MAX($D$1:D5208)+1,0)</f>
        <v>0</v>
      </c>
      <c r="H5209" s="6">
        <f t="shared" si="254"/>
        <v>0</v>
      </c>
      <c r="I5209" s="6">
        <f t="shared" si="255"/>
        <v>0</v>
      </c>
      <c r="J5209" s="6">
        <f t="shared" si="256"/>
        <v>0</v>
      </c>
      <c r="L5209" s="4" t="str">
        <f>IFERROR(VLOOKUP(ROWS($L$2:L5209),$B$2:$C$1996,2,0),"")</f>
        <v/>
      </c>
      <c r="N5209" s="2" t="str">
        <f>IFERROR(VLOOKUP(ROWS($N$2:N5209),$D$2:$E$1996,2,0),"")</f>
        <v/>
      </c>
    </row>
    <row r="5210" spans="2:14">
      <c r="B5210" s="32">
        <f>IF(ISNUMBER(SEARCH('Φόρμα Εισαγωγής'!$B$2,C5210)),MAX($B$1:B5209)+1,0)</f>
        <v>0</v>
      </c>
      <c r="D5210" s="33">
        <f>IF(ISNUMBER(SEARCH('Φόρμα Εισαγωγής'!$C$2,E5210)),MAX($D$1:D5209)+1,0)</f>
        <v>0</v>
      </c>
      <c r="H5210" s="6">
        <f t="shared" si="254"/>
        <v>0</v>
      </c>
      <c r="I5210" s="6">
        <f t="shared" si="255"/>
        <v>0</v>
      </c>
      <c r="J5210" s="6">
        <f t="shared" si="256"/>
        <v>0</v>
      </c>
      <c r="L5210" s="4" t="str">
        <f>IFERROR(VLOOKUP(ROWS($L$2:L5210),$B$2:$C$1996,2,0),"")</f>
        <v/>
      </c>
      <c r="N5210" s="2" t="str">
        <f>IFERROR(VLOOKUP(ROWS($N$2:N5210),$D$2:$E$1996,2,0),"")</f>
        <v/>
      </c>
    </row>
    <row r="5211" spans="2:14">
      <c r="B5211" s="32">
        <f>IF(ISNUMBER(SEARCH('Φόρμα Εισαγωγής'!$B$2,C5211)),MAX($B$1:B5210)+1,0)</f>
        <v>0</v>
      </c>
      <c r="D5211" s="33">
        <f>IF(ISNUMBER(SEARCH('Φόρμα Εισαγωγής'!$C$2,E5211)),MAX($D$1:D5210)+1,0)</f>
        <v>0</v>
      </c>
      <c r="H5211" s="6">
        <f t="shared" si="254"/>
        <v>0</v>
      </c>
      <c r="I5211" s="6">
        <f t="shared" si="255"/>
        <v>0</v>
      </c>
      <c r="J5211" s="6">
        <f t="shared" si="256"/>
        <v>0</v>
      </c>
      <c r="L5211" s="4" t="str">
        <f>IFERROR(VLOOKUP(ROWS($L$2:L5211),$B$2:$C$1996,2,0),"")</f>
        <v/>
      </c>
      <c r="N5211" s="2" t="str">
        <f>IFERROR(VLOOKUP(ROWS($N$2:N5211),$D$2:$E$1996,2,0),"")</f>
        <v/>
      </c>
    </row>
    <row r="5212" spans="2:14">
      <c r="B5212" s="32">
        <f>IF(ISNUMBER(SEARCH('Φόρμα Εισαγωγής'!$B$2,C5212)),MAX($B$1:B5211)+1,0)</f>
        <v>0</v>
      </c>
      <c r="D5212" s="33">
        <f>IF(ISNUMBER(SEARCH('Φόρμα Εισαγωγής'!$C$2,E5212)),MAX($D$1:D5211)+1,0)</f>
        <v>0</v>
      </c>
      <c r="H5212" s="6">
        <f t="shared" si="254"/>
        <v>0</v>
      </c>
      <c r="I5212" s="6">
        <f t="shared" si="255"/>
        <v>0</v>
      </c>
      <c r="J5212" s="6">
        <f t="shared" si="256"/>
        <v>0</v>
      </c>
      <c r="L5212" s="4" t="str">
        <f>IFERROR(VLOOKUP(ROWS($L$2:L5212),$B$2:$C$1996,2,0),"")</f>
        <v/>
      </c>
      <c r="N5212" s="2" t="str">
        <f>IFERROR(VLOOKUP(ROWS($N$2:N5212),$D$2:$E$1996,2,0),"")</f>
        <v/>
      </c>
    </row>
    <row r="5213" spans="2:14">
      <c r="B5213" s="32">
        <f>IF(ISNUMBER(SEARCH('Φόρμα Εισαγωγής'!$B$2,C5213)),MAX($B$1:B5212)+1,0)</f>
        <v>0</v>
      </c>
      <c r="D5213" s="33">
        <f>IF(ISNUMBER(SEARCH('Φόρμα Εισαγωγής'!$C$2,E5213)),MAX($D$1:D5212)+1,0)</f>
        <v>0</v>
      </c>
      <c r="H5213" s="6">
        <f t="shared" si="254"/>
        <v>0</v>
      </c>
      <c r="I5213" s="6">
        <f t="shared" si="255"/>
        <v>0</v>
      </c>
      <c r="J5213" s="6">
        <f t="shared" si="256"/>
        <v>0</v>
      </c>
      <c r="L5213" s="4" t="str">
        <f>IFERROR(VLOOKUP(ROWS($L$2:L5213),$B$2:$C$1996,2,0),"")</f>
        <v/>
      </c>
      <c r="N5213" s="2" t="str">
        <f>IFERROR(VLOOKUP(ROWS($N$2:N5213),$D$2:$E$1996,2,0),"")</f>
        <v/>
      </c>
    </row>
    <row r="5214" spans="2:14">
      <c r="B5214" s="32">
        <f>IF(ISNUMBER(SEARCH('Φόρμα Εισαγωγής'!$B$2,C5214)),MAX($B$1:B5213)+1,0)</f>
        <v>0</v>
      </c>
      <c r="D5214" s="33">
        <f>IF(ISNUMBER(SEARCH('Φόρμα Εισαγωγής'!$C$2,E5214)),MAX($D$1:D5213)+1,0)</f>
        <v>0</v>
      </c>
      <c r="H5214" s="6">
        <f t="shared" si="254"/>
        <v>0</v>
      </c>
      <c r="I5214" s="6">
        <f t="shared" si="255"/>
        <v>0</v>
      </c>
      <c r="J5214" s="6">
        <f t="shared" si="256"/>
        <v>0</v>
      </c>
      <c r="L5214" s="4" t="str">
        <f>IFERROR(VLOOKUP(ROWS($L$2:L5214),$B$2:$C$1996,2,0),"")</f>
        <v/>
      </c>
      <c r="N5214" s="2" t="str">
        <f>IFERROR(VLOOKUP(ROWS($N$2:N5214),$D$2:$E$1996,2,0),"")</f>
        <v/>
      </c>
    </row>
    <row r="5215" spans="2:14">
      <c r="B5215" s="32">
        <f>IF(ISNUMBER(SEARCH('Φόρμα Εισαγωγής'!$B$2,C5215)),MAX($B$1:B5214)+1,0)</f>
        <v>0</v>
      </c>
      <c r="D5215" s="33">
        <f>IF(ISNUMBER(SEARCH('Φόρμα Εισαγωγής'!$C$2,E5215)),MAX($D$1:D5214)+1,0)</f>
        <v>0</v>
      </c>
      <c r="H5215" s="6">
        <f t="shared" si="254"/>
        <v>0</v>
      </c>
      <c r="I5215" s="6">
        <f t="shared" si="255"/>
        <v>0</v>
      </c>
      <c r="J5215" s="6">
        <f t="shared" si="256"/>
        <v>0</v>
      </c>
      <c r="L5215" s="4" t="str">
        <f>IFERROR(VLOOKUP(ROWS($L$2:L5215),$B$2:$C$1996,2,0),"")</f>
        <v/>
      </c>
      <c r="N5215" s="2" t="str">
        <f>IFERROR(VLOOKUP(ROWS($N$2:N5215),$D$2:$E$1996,2,0),"")</f>
        <v/>
      </c>
    </row>
    <row r="5216" spans="2:14">
      <c r="B5216" s="32">
        <f>IF(ISNUMBER(SEARCH('Φόρμα Εισαγωγής'!$B$2,C5216)),MAX($B$1:B5215)+1,0)</f>
        <v>0</v>
      </c>
      <c r="D5216" s="33">
        <f>IF(ISNUMBER(SEARCH('Φόρμα Εισαγωγής'!$C$2,E5216)),MAX($D$1:D5215)+1,0)</f>
        <v>0</v>
      </c>
      <c r="H5216" s="6">
        <f t="shared" si="254"/>
        <v>0</v>
      </c>
      <c r="I5216" s="6">
        <f t="shared" si="255"/>
        <v>0</v>
      </c>
      <c r="J5216" s="6">
        <f t="shared" si="256"/>
        <v>0</v>
      </c>
      <c r="L5216" s="4" t="str">
        <f>IFERROR(VLOOKUP(ROWS($L$2:L5216),$B$2:$C$1996,2,0),"")</f>
        <v/>
      </c>
      <c r="N5216" s="2" t="str">
        <f>IFERROR(VLOOKUP(ROWS($N$2:N5216),$D$2:$E$1996,2,0),"")</f>
        <v/>
      </c>
    </row>
    <row r="5217" spans="2:14">
      <c r="B5217" s="32">
        <f>IF(ISNUMBER(SEARCH('Φόρμα Εισαγωγής'!$B$2,C5217)),MAX($B$1:B5216)+1,0)</f>
        <v>0</v>
      </c>
      <c r="D5217" s="33">
        <f>IF(ISNUMBER(SEARCH('Φόρμα Εισαγωγής'!$C$2,E5217)),MAX($D$1:D5216)+1,0)</f>
        <v>0</v>
      </c>
      <c r="H5217" s="6">
        <f t="shared" si="254"/>
        <v>0</v>
      </c>
      <c r="I5217" s="6">
        <f t="shared" si="255"/>
        <v>0</v>
      </c>
      <c r="J5217" s="6">
        <f t="shared" si="256"/>
        <v>0</v>
      </c>
      <c r="L5217" s="4" t="str">
        <f>IFERROR(VLOOKUP(ROWS($L$2:L5217),$B$2:$C$1996,2,0),"")</f>
        <v/>
      </c>
      <c r="N5217" s="2" t="str">
        <f>IFERROR(VLOOKUP(ROWS($N$2:N5217),$D$2:$E$1996,2,0),"")</f>
        <v/>
      </c>
    </row>
    <row r="5218" spans="2:14">
      <c r="B5218" s="32">
        <f>IF(ISNUMBER(SEARCH('Φόρμα Εισαγωγής'!$B$2,C5218)),MAX($B$1:B5217)+1,0)</f>
        <v>0</v>
      </c>
      <c r="D5218" s="33">
        <f>IF(ISNUMBER(SEARCH('Φόρμα Εισαγωγής'!$C$2,E5218)),MAX($D$1:D5217)+1,0)</f>
        <v>0</v>
      </c>
      <c r="H5218" s="6">
        <f t="shared" si="254"/>
        <v>0</v>
      </c>
      <c r="I5218" s="6">
        <f t="shared" si="255"/>
        <v>0</v>
      </c>
      <c r="J5218" s="6">
        <f t="shared" si="256"/>
        <v>0</v>
      </c>
      <c r="L5218" s="4" t="str">
        <f>IFERROR(VLOOKUP(ROWS($L$2:L5218),$B$2:$C$1996,2,0),"")</f>
        <v/>
      </c>
      <c r="N5218" s="2" t="str">
        <f>IFERROR(VLOOKUP(ROWS($N$2:N5218),$D$2:$E$1996,2,0),"")</f>
        <v/>
      </c>
    </row>
    <row r="5219" spans="2:14">
      <c r="B5219" s="32">
        <f>IF(ISNUMBER(SEARCH('Φόρμα Εισαγωγής'!$B$2,C5219)),MAX($B$1:B5218)+1,0)</f>
        <v>0</v>
      </c>
      <c r="D5219" s="33">
        <f>IF(ISNUMBER(SEARCH('Φόρμα Εισαγωγής'!$C$2,E5219)),MAX($D$1:D5218)+1,0)</f>
        <v>0</v>
      </c>
      <c r="H5219" s="6">
        <f t="shared" si="254"/>
        <v>0</v>
      </c>
      <c r="I5219" s="6">
        <f t="shared" si="255"/>
        <v>0</v>
      </c>
      <c r="J5219" s="6">
        <f t="shared" si="256"/>
        <v>0</v>
      </c>
      <c r="L5219" s="4" t="str">
        <f>IFERROR(VLOOKUP(ROWS($L$2:L5219),$B$2:$C$1996,2,0),"")</f>
        <v/>
      </c>
      <c r="N5219" s="2" t="str">
        <f>IFERROR(VLOOKUP(ROWS($N$2:N5219),$D$2:$E$1996,2,0),"")</f>
        <v/>
      </c>
    </row>
    <row r="5220" spans="2:14">
      <c r="B5220" s="32">
        <f>IF(ISNUMBER(SEARCH('Φόρμα Εισαγωγής'!$B$2,C5220)),MAX($B$1:B5219)+1,0)</f>
        <v>0</v>
      </c>
      <c r="D5220" s="33">
        <f>IF(ISNUMBER(SEARCH('Φόρμα Εισαγωγής'!$C$2,E5220)),MAX($D$1:D5219)+1,0)</f>
        <v>0</v>
      </c>
      <c r="H5220" s="6">
        <f t="shared" si="254"/>
        <v>0</v>
      </c>
      <c r="I5220" s="6">
        <f t="shared" si="255"/>
        <v>0</v>
      </c>
      <c r="J5220" s="6">
        <f t="shared" si="256"/>
        <v>0</v>
      </c>
      <c r="L5220" s="4" t="str">
        <f>IFERROR(VLOOKUP(ROWS($L$2:L5220),$B$2:$C$1996,2,0),"")</f>
        <v/>
      </c>
      <c r="N5220" s="2" t="str">
        <f>IFERROR(VLOOKUP(ROWS($N$2:N5220),$D$2:$E$1996,2,0),"")</f>
        <v/>
      </c>
    </row>
    <row r="5221" spans="2:14">
      <c r="B5221" s="32">
        <f>IF(ISNUMBER(SEARCH('Φόρμα Εισαγωγής'!$B$2,C5221)),MAX($B$1:B5220)+1,0)</f>
        <v>0</v>
      </c>
      <c r="D5221" s="33">
        <f>IF(ISNUMBER(SEARCH('Φόρμα Εισαγωγής'!$C$2,E5221)),MAX($D$1:D5220)+1,0)</f>
        <v>0</v>
      </c>
      <c r="H5221" s="6">
        <f t="shared" si="254"/>
        <v>0</v>
      </c>
      <c r="I5221" s="6">
        <f t="shared" si="255"/>
        <v>0</v>
      </c>
      <c r="J5221" s="6">
        <f t="shared" si="256"/>
        <v>0</v>
      </c>
      <c r="L5221" s="4" t="str">
        <f>IFERROR(VLOOKUP(ROWS($L$2:L5221),$B$2:$C$1996,2,0),"")</f>
        <v/>
      </c>
      <c r="N5221" s="2" t="str">
        <f>IFERROR(VLOOKUP(ROWS($N$2:N5221),$D$2:$E$1996,2,0),"")</f>
        <v/>
      </c>
    </row>
    <row r="5222" spans="2:14">
      <c r="B5222" s="32">
        <f>IF(ISNUMBER(SEARCH('Φόρμα Εισαγωγής'!$B$2,C5222)),MAX($B$1:B5221)+1,0)</f>
        <v>0</v>
      </c>
      <c r="D5222" s="33">
        <f>IF(ISNUMBER(SEARCH('Φόρμα Εισαγωγής'!$C$2,E5222)),MAX($D$1:D5221)+1,0)</f>
        <v>0</v>
      </c>
      <c r="H5222" s="6">
        <f t="shared" si="254"/>
        <v>0</v>
      </c>
      <c r="I5222" s="6">
        <f t="shared" si="255"/>
        <v>0</v>
      </c>
      <c r="J5222" s="6">
        <f t="shared" si="256"/>
        <v>0</v>
      </c>
      <c r="L5222" s="4" t="str">
        <f>IFERROR(VLOOKUP(ROWS($L$2:L5222),$B$2:$C$1996,2,0),"")</f>
        <v/>
      </c>
      <c r="N5222" s="2" t="str">
        <f>IFERROR(VLOOKUP(ROWS($N$2:N5222),$D$2:$E$1996,2,0),"")</f>
        <v/>
      </c>
    </row>
    <row r="5223" spans="2:14">
      <c r="B5223" s="32">
        <f>IF(ISNUMBER(SEARCH('Φόρμα Εισαγωγής'!$B$2,C5223)),MAX($B$1:B5222)+1,0)</f>
        <v>0</v>
      </c>
      <c r="D5223" s="33">
        <f>IF(ISNUMBER(SEARCH('Φόρμα Εισαγωγής'!$C$2,E5223)),MAX($D$1:D5222)+1,0)</f>
        <v>0</v>
      </c>
      <c r="H5223" s="6">
        <f t="shared" si="254"/>
        <v>0</v>
      </c>
      <c r="I5223" s="6">
        <f t="shared" si="255"/>
        <v>0</v>
      </c>
      <c r="J5223" s="6">
        <f t="shared" si="256"/>
        <v>0</v>
      </c>
      <c r="L5223" s="4" t="str">
        <f>IFERROR(VLOOKUP(ROWS($L$2:L5223),$B$2:$C$1996,2,0),"")</f>
        <v/>
      </c>
      <c r="N5223" s="2" t="str">
        <f>IFERROR(VLOOKUP(ROWS($N$2:N5223),$D$2:$E$1996,2,0),"")</f>
        <v/>
      </c>
    </row>
    <row r="5224" spans="2:14">
      <c r="B5224" s="32">
        <f>IF(ISNUMBER(SEARCH('Φόρμα Εισαγωγής'!$B$2,C5224)),MAX($B$1:B5223)+1,0)</f>
        <v>0</v>
      </c>
      <c r="D5224" s="33">
        <f>IF(ISNUMBER(SEARCH('Φόρμα Εισαγωγής'!$C$2,E5224)),MAX($D$1:D5223)+1,0)</f>
        <v>0</v>
      </c>
      <c r="H5224" s="6">
        <f t="shared" si="254"/>
        <v>0</v>
      </c>
      <c r="I5224" s="6">
        <f t="shared" si="255"/>
        <v>0</v>
      </c>
      <c r="J5224" s="6">
        <f t="shared" si="256"/>
        <v>0</v>
      </c>
      <c r="L5224" s="4" t="str">
        <f>IFERROR(VLOOKUP(ROWS($L$2:L5224),$B$2:$C$1996,2,0),"")</f>
        <v/>
      </c>
      <c r="N5224" s="2" t="str">
        <f>IFERROR(VLOOKUP(ROWS($N$2:N5224),$D$2:$E$1996,2,0),"")</f>
        <v/>
      </c>
    </row>
    <row r="5225" spans="2:14">
      <c r="B5225" s="32">
        <f>IF(ISNUMBER(SEARCH('Φόρμα Εισαγωγής'!$B$2,C5225)),MAX($B$1:B5224)+1,0)</f>
        <v>0</v>
      </c>
      <c r="D5225" s="33">
        <f>IF(ISNUMBER(SEARCH('Φόρμα Εισαγωγής'!$C$2,E5225)),MAX($D$1:D5224)+1,0)</f>
        <v>0</v>
      </c>
      <c r="H5225" s="6">
        <f t="shared" si="254"/>
        <v>0</v>
      </c>
      <c r="I5225" s="6">
        <f t="shared" si="255"/>
        <v>0</v>
      </c>
      <c r="J5225" s="6">
        <f t="shared" si="256"/>
        <v>0</v>
      </c>
      <c r="L5225" s="4" t="str">
        <f>IFERROR(VLOOKUP(ROWS($L$2:L5225),$B$2:$C$1996,2,0),"")</f>
        <v/>
      </c>
      <c r="N5225" s="2" t="str">
        <f>IFERROR(VLOOKUP(ROWS($N$2:N5225),$D$2:$E$1996,2,0),"")</f>
        <v/>
      </c>
    </row>
    <row r="5226" spans="2:14">
      <c r="B5226" s="32">
        <f>IF(ISNUMBER(SEARCH('Φόρμα Εισαγωγής'!$B$2,C5226)),MAX($B$1:B5225)+1,0)</f>
        <v>0</v>
      </c>
      <c r="D5226" s="33">
        <f>IF(ISNUMBER(SEARCH('Φόρμα Εισαγωγής'!$C$2,E5226)),MAX($D$1:D5225)+1,0)</f>
        <v>0</v>
      </c>
      <c r="H5226" s="6">
        <f t="shared" si="254"/>
        <v>0</v>
      </c>
      <c r="I5226" s="6">
        <f t="shared" si="255"/>
        <v>0</v>
      </c>
      <c r="J5226" s="6">
        <f t="shared" si="256"/>
        <v>0</v>
      </c>
      <c r="L5226" s="4" t="str">
        <f>IFERROR(VLOOKUP(ROWS($L$2:L5226),$B$2:$C$1996,2,0),"")</f>
        <v/>
      </c>
      <c r="N5226" s="2" t="str">
        <f>IFERROR(VLOOKUP(ROWS($N$2:N5226),$D$2:$E$1996,2,0),"")</f>
        <v/>
      </c>
    </row>
    <row r="5227" spans="2:14">
      <c r="B5227" s="32">
        <f>IF(ISNUMBER(SEARCH('Φόρμα Εισαγωγής'!$B$2,C5227)),MAX($B$1:B5226)+1,0)</f>
        <v>0</v>
      </c>
      <c r="D5227" s="33">
        <f>IF(ISNUMBER(SEARCH('Φόρμα Εισαγωγής'!$C$2,E5227)),MAX($D$1:D5226)+1,0)</f>
        <v>0</v>
      </c>
      <c r="H5227" s="6">
        <f t="shared" si="254"/>
        <v>0</v>
      </c>
      <c r="I5227" s="6">
        <f t="shared" si="255"/>
        <v>0</v>
      </c>
      <c r="J5227" s="6">
        <f t="shared" si="256"/>
        <v>0</v>
      </c>
      <c r="L5227" s="4" t="str">
        <f>IFERROR(VLOOKUP(ROWS($L$2:L5227),$B$2:$C$1996,2,0),"")</f>
        <v/>
      </c>
      <c r="N5227" s="2" t="str">
        <f>IFERROR(VLOOKUP(ROWS($N$2:N5227),$D$2:$E$1996,2,0),"")</f>
        <v/>
      </c>
    </row>
    <row r="5228" spans="2:14">
      <c r="B5228" s="32">
        <f>IF(ISNUMBER(SEARCH('Φόρμα Εισαγωγής'!$B$2,C5228)),MAX($B$1:B5227)+1,0)</f>
        <v>0</v>
      </c>
      <c r="D5228" s="33">
        <f>IF(ISNUMBER(SEARCH('Φόρμα Εισαγωγής'!$C$2,E5228)),MAX($D$1:D5227)+1,0)</f>
        <v>0</v>
      </c>
      <c r="H5228" s="6">
        <f t="shared" si="254"/>
        <v>0</v>
      </c>
      <c r="I5228" s="6">
        <f t="shared" si="255"/>
        <v>0</v>
      </c>
      <c r="J5228" s="6">
        <f t="shared" si="256"/>
        <v>0</v>
      </c>
      <c r="L5228" s="4" t="str">
        <f>IFERROR(VLOOKUP(ROWS($L$2:L5228),$B$2:$C$1996,2,0),"")</f>
        <v/>
      </c>
      <c r="N5228" s="2" t="str">
        <f>IFERROR(VLOOKUP(ROWS($N$2:N5228),$D$2:$E$1996,2,0),"")</f>
        <v/>
      </c>
    </row>
    <row r="5229" spans="2:14">
      <c r="B5229" s="32">
        <f>IF(ISNUMBER(SEARCH('Φόρμα Εισαγωγής'!$B$2,C5229)),MAX($B$1:B5228)+1,0)</f>
        <v>0</v>
      </c>
      <c r="D5229" s="33">
        <f>IF(ISNUMBER(SEARCH('Φόρμα Εισαγωγής'!$C$2,E5229)),MAX($D$1:D5228)+1,0)</f>
        <v>0</v>
      </c>
      <c r="H5229" s="6">
        <f t="shared" si="254"/>
        <v>0</v>
      </c>
      <c r="I5229" s="6">
        <f t="shared" si="255"/>
        <v>0</v>
      </c>
      <c r="J5229" s="6">
        <f t="shared" si="256"/>
        <v>0</v>
      </c>
      <c r="L5229" s="4" t="str">
        <f>IFERROR(VLOOKUP(ROWS($L$2:L5229),$B$2:$C$1996,2,0),"")</f>
        <v/>
      </c>
      <c r="N5229" s="2" t="str">
        <f>IFERROR(VLOOKUP(ROWS($N$2:N5229),$D$2:$E$1996,2,0),"")</f>
        <v/>
      </c>
    </row>
    <row r="5230" spans="2:14">
      <c r="B5230" s="32">
        <f>IF(ISNUMBER(SEARCH('Φόρμα Εισαγωγής'!$B$2,C5230)),MAX($B$1:B5229)+1,0)</f>
        <v>0</v>
      </c>
      <c r="D5230" s="33">
        <f>IF(ISNUMBER(SEARCH('Φόρμα Εισαγωγής'!$C$2,E5230)),MAX($D$1:D5229)+1,0)</f>
        <v>0</v>
      </c>
      <c r="H5230" s="6">
        <f t="shared" si="254"/>
        <v>0</v>
      </c>
      <c r="I5230" s="6">
        <f t="shared" si="255"/>
        <v>0</v>
      </c>
      <c r="J5230" s="6">
        <f t="shared" si="256"/>
        <v>0</v>
      </c>
      <c r="L5230" s="4" t="str">
        <f>IFERROR(VLOOKUP(ROWS($L$2:L5230),$B$2:$C$1996,2,0),"")</f>
        <v/>
      </c>
      <c r="N5230" s="2" t="str">
        <f>IFERROR(VLOOKUP(ROWS($N$2:N5230),$D$2:$E$1996,2,0),"")</f>
        <v/>
      </c>
    </row>
    <row r="5231" spans="2:14">
      <c r="B5231" s="32">
        <f>IF(ISNUMBER(SEARCH('Φόρμα Εισαγωγής'!$B$2,C5231)),MAX($B$1:B5230)+1,0)</f>
        <v>0</v>
      </c>
      <c r="D5231" s="33">
        <f>IF(ISNUMBER(SEARCH('Φόρμα Εισαγωγής'!$C$2,E5231)),MAX($D$1:D5230)+1,0)</f>
        <v>0</v>
      </c>
      <c r="H5231" s="6">
        <f t="shared" si="254"/>
        <v>0</v>
      </c>
      <c r="I5231" s="6">
        <f t="shared" si="255"/>
        <v>0</v>
      </c>
      <c r="J5231" s="6">
        <f t="shared" si="256"/>
        <v>0</v>
      </c>
      <c r="L5231" s="4" t="str">
        <f>IFERROR(VLOOKUP(ROWS($L$2:L5231),$B$2:$C$1996,2,0),"")</f>
        <v/>
      </c>
      <c r="N5231" s="2" t="str">
        <f>IFERROR(VLOOKUP(ROWS($N$2:N5231),$D$2:$E$1996,2,0),"")</f>
        <v/>
      </c>
    </row>
    <row r="5232" spans="2:14">
      <c r="B5232" s="32">
        <f>IF(ISNUMBER(SEARCH('Φόρμα Εισαγωγής'!$B$2,C5232)),MAX($B$1:B5231)+1,0)</f>
        <v>0</v>
      </c>
      <c r="D5232" s="33">
        <f>IF(ISNUMBER(SEARCH('Φόρμα Εισαγωγής'!$C$2,E5232)),MAX($D$1:D5231)+1,0)</f>
        <v>0</v>
      </c>
      <c r="H5232" s="6">
        <f t="shared" si="254"/>
        <v>0</v>
      </c>
      <c r="I5232" s="6">
        <f t="shared" si="255"/>
        <v>0</v>
      </c>
      <c r="J5232" s="6">
        <f t="shared" si="256"/>
        <v>0</v>
      </c>
      <c r="L5232" s="4" t="str">
        <f>IFERROR(VLOOKUP(ROWS($L$2:L5232),$B$2:$C$1996,2,0),"")</f>
        <v/>
      </c>
      <c r="N5232" s="2" t="str">
        <f>IFERROR(VLOOKUP(ROWS($N$2:N5232),$D$2:$E$1996,2,0),"")</f>
        <v/>
      </c>
    </row>
    <row r="5233" spans="2:14">
      <c r="B5233" s="32">
        <f>IF(ISNUMBER(SEARCH('Φόρμα Εισαγωγής'!$B$2,C5233)),MAX($B$1:B5232)+1,0)</f>
        <v>0</v>
      </c>
      <c r="D5233" s="33">
        <f>IF(ISNUMBER(SEARCH('Φόρμα Εισαγωγής'!$C$2,E5233)),MAX($D$1:D5232)+1,0)</f>
        <v>0</v>
      </c>
      <c r="H5233" s="6">
        <f t="shared" si="254"/>
        <v>0</v>
      </c>
      <c r="I5233" s="6">
        <f t="shared" si="255"/>
        <v>0</v>
      </c>
      <c r="J5233" s="6">
        <f t="shared" si="256"/>
        <v>0</v>
      </c>
      <c r="L5233" s="4" t="str">
        <f>IFERROR(VLOOKUP(ROWS($L$2:L5233),$B$2:$C$1996,2,0),"")</f>
        <v/>
      </c>
      <c r="N5233" s="2" t="str">
        <f>IFERROR(VLOOKUP(ROWS($N$2:N5233),$D$2:$E$1996,2,0),"")</f>
        <v/>
      </c>
    </row>
    <row r="5234" spans="2:14">
      <c r="B5234" s="32">
        <f>IF(ISNUMBER(SEARCH('Φόρμα Εισαγωγής'!$B$2,C5234)),MAX($B$1:B5233)+1,0)</f>
        <v>0</v>
      </c>
      <c r="D5234" s="33">
        <f>IF(ISNUMBER(SEARCH('Φόρμα Εισαγωγής'!$C$2,E5234)),MAX($D$1:D5233)+1,0)</f>
        <v>0</v>
      </c>
      <c r="H5234" s="6">
        <f t="shared" si="254"/>
        <v>0</v>
      </c>
      <c r="I5234" s="6">
        <f t="shared" si="255"/>
        <v>0</v>
      </c>
      <c r="J5234" s="6">
        <f t="shared" si="256"/>
        <v>0</v>
      </c>
      <c r="L5234" s="4" t="str">
        <f>IFERROR(VLOOKUP(ROWS($L$2:L5234),$B$2:$C$1996,2,0),"")</f>
        <v/>
      </c>
      <c r="N5234" s="2" t="str">
        <f>IFERROR(VLOOKUP(ROWS($N$2:N5234),$D$2:$E$1996,2,0),"")</f>
        <v/>
      </c>
    </row>
    <row r="5235" spans="2:14">
      <c r="B5235" s="32">
        <f>IF(ISNUMBER(SEARCH('Φόρμα Εισαγωγής'!$B$2,C5235)),MAX($B$1:B5234)+1,0)</f>
        <v>0</v>
      </c>
      <c r="D5235" s="33">
        <f>IF(ISNUMBER(SEARCH('Φόρμα Εισαγωγής'!$C$2,E5235)),MAX($D$1:D5234)+1,0)</f>
        <v>0</v>
      </c>
      <c r="H5235" s="6">
        <f t="shared" si="254"/>
        <v>0</v>
      </c>
      <c r="I5235" s="6">
        <f t="shared" si="255"/>
        <v>0</v>
      </c>
      <c r="J5235" s="6">
        <f t="shared" si="256"/>
        <v>0</v>
      </c>
      <c r="L5235" s="4" t="str">
        <f>IFERROR(VLOOKUP(ROWS($L$2:L5235),$B$2:$C$1996,2,0),"")</f>
        <v/>
      </c>
      <c r="N5235" s="2" t="str">
        <f>IFERROR(VLOOKUP(ROWS($N$2:N5235),$D$2:$E$1996,2,0),"")</f>
        <v/>
      </c>
    </row>
    <row r="5236" spans="2:14">
      <c r="B5236" s="32">
        <f>IF(ISNUMBER(SEARCH('Φόρμα Εισαγωγής'!$B$2,C5236)),MAX($B$1:B5235)+1,0)</f>
        <v>0</v>
      </c>
      <c r="D5236" s="33">
        <f>IF(ISNUMBER(SEARCH('Φόρμα Εισαγωγής'!$C$2,E5236)),MAX($D$1:D5235)+1,0)</f>
        <v>0</v>
      </c>
      <c r="H5236" s="6">
        <f t="shared" si="254"/>
        <v>0</v>
      </c>
      <c r="I5236" s="6">
        <f t="shared" si="255"/>
        <v>0</v>
      </c>
      <c r="J5236" s="6">
        <f t="shared" si="256"/>
        <v>0</v>
      </c>
      <c r="L5236" s="4" t="str">
        <f>IFERROR(VLOOKUP(ROWS($L$2:L5236),$B$2:$C$1996,2,0),"")</f>
        <v/>
      </c>
      <c r="N5236" s="2" t="str">
        <f>IFERROR(VLOOKUP(ROWS($N$2:N5236),$D$2:$E$1996,2,0),"")</f>
        <v/>
      </c>
    </row>
    <row r="5237" spans="2:14">
      <c r="B5237" s="32">
        <f>IF(ISNUMBER(SEARCH('Φόρμα Εισαγωγής'!$B$2,C5237)),MAX($B$1:B5236)+1,0)</f>
        <v>0</v>
      </c>
      <c r="D5237" s="33">
        <f>IF(ISNUMBER(SEARCH('Φόρμα Εισαγωγής'!$C$2,E5237)),MAX($D$1:D5236)+1,0)</f>
        <v>0</v>
      </c>
      <c r="H5237" s="6">
        <f t="shared" si="254"/>
        <v>0</v>
      </c>
      <c r="I5237" s="6">
        <f t="shared" si="255"/>
        <v>0</v>
      </c>
      <c r="J5237" s="6">
        <f t="shared" si="256"/>
        <v>0</v>
      </c>
      <c r="L5237" s="4" t="str">
        <f>IFERROR(VLOOKUP(ROWS($L$2:L5237),$B$2:$C$1996,2,0),"")</f>
        <v/>
      </c>
      <c r="N5237" s="2" t="str">
        <f>IFERROR(VLOOKUP(ROWS($N$2:N5237),$D$2:$E$1996,2,0),"")</f>
        <v/>
      </c>
    </row>
    <row r="5238" spans="2:14">
      <c r="B5238" s="32">
        <f>IF(ISNUMBER(SEARCH('Φόρμα Εισαγωγής'!$B$2,C5238)),MAX($B$1:B5237)+1,0)</f>
        <v>0</v>
      </c>
      <c r="D5238" s="33">
        <f>IF(ISNUMBER(SEARCH('Φόρμα Εισαγωγής'!$C$2,E5238)),MAX($D$1:D5237)+1,0)</f>
        <v>0</v>
      </c>
      <c r="H5238" s="6">
        <f t="shared" si="254"/>
        <v>0</v>
      </c>
      <c r="I5238" s="6">
        <f t="shared" si="255"/>
        <v>0</v>
      </c>
      <c r="J5238" s="6">
        <f t="shared" si="256"/>
        <v>0</v>
      </c>
      <c r="L5238" s="4" t="str">
        <f>IFERROR(VLOOKUP(ROWS($L$2:L5238),$B$2:$C$1996,2,0),"")</f>
        <v/>
      </c>
      <c r="N5238" s="2" t="str">
        <f>IFERROR(VLOOKUP(ROWS($N$2:N5238),$D$2:$E$1996,2,0),"")</f>
        <v/>
      </c>
    </row>
    <row r="5239" spans="2:14">
      <c r="B5239" s="32">
        <f>IF(ISNUMBER(SEARCH('Φόρμα Εισαγωγής'!$B$2,C5239)),MAX($B$1:B5238)+1,0)</f>
        <v>0</v>
      </c>
      <c r="D5239" s="33">
        <f>IF(ISNUMBER(SEARCH('Φόρμα Εισαγωγής'!$C$2,E5239)),MAX($D$1:D5238)+1,0)</f>
        <v>0</v>
      </c>
      <c r="H5239" s="6">
        <f t="shared" si="254"/>
        <v>0</v>
      </c>
      <c r="I5239" s="6">
        <f t="shared" si="255"/>
        <v>0</v>
      </c>
      <c r="J5239" s="6">
        <f t="shared" si="256"/>
        <v>0</v>
      </c>
      <c r="L5239" s="4" t="str">
        <f>IFERROR(VLOOKUP(ROWS($L$2:L5239),$B$2:$C$1996,2,0),"")</f>
        <v/>
      </c>
      <c r="N5239" s="2" t="str">
        <f>IFERROR(VLOOKUP(ROWS($N$2:N5239),$D$2:$E$1996,2,0),"")</f>
        <v/>
      </c>
    </row>
    <row r="5240" spans="2:14">
      <c r="B5240" s="32">
        <f>IF(ISNUMBER(SEARCH('Φόρμα Εισαγωγής'!$B$2,C5240)),MAX($B$1:B5239)+1,0)</f>
        <v>0</v>
      </c>
      <c r="D5240" s="33">
        <f>IF(ISNUMBER(SEARCH('Φόρμα Εισαγωγής'!$C$2,E5240)),MAX($D$1:D5239)+1,0)</f>
        <v>0</v>
      </c>
      <c r="H5240" s="6">
        <f t="shared" si="254"/>
        <v>0</v>
      </c>
      <c r="I5240" s="6">
        <f t="shared" si="255"/>
        <v>0</v>
      </c>
      <c r="J5240" s="6">
        <f t="shared" si="256"/>
        <v>0</v>
      </c>
      <c r="L5240" s="4" t="str">
        <f>IFERROR(VLOOKUP(ROWS($L$2:L5240),$B$2:$C$1996,2,0),"")</f>
        <v/>
      </c>
      <c r="N5240" s="2" t="str">
        <f>IFERROR(VLOOKUP(ROWS($N$2:N5240),$D$2:$E$1996,2,0),"")</f>
        <v/>
      </c>
    </row>
    <row r="5241" spans="2:14">
      <c r="B5241" s="32">
        <f>IF(ISNUMBER(SEARCH('Φόρμα Εισαγωγής'!$B$2,C5241)),MAX($B$1:B5240)+1,0)</f>
        <v>0</v>
      </c>
      <c r="D5241" s="33">
        <f>IF(ISNUMBER(SEARCH('Φόρμα Εισαγωγής'!$C$2,E5241)),MAX($D$1:D5240)+1,0)</f>
        <v>0</v>
      </c>
      <c r="H5241" s="6">
        <f t="shared" si="254"/>
        <v>0</v>
      </c>
      <c r="I5241" s="6">
        <f t="shared" si="255"/>
        <v>0</v>
      </c>
      <c r="J5241" s="6">
        <f t="shared" si="256"/>
        <v>0</v>
      </c>
      <c r="L5241" s="4" t="str">
        <f>IFERROR(VLOOKUP(ROWS($L$2:L5241),$B$2:$C$1996,2,0),"")</f>
        <v/>
      </c>
      <c r="N5241" s="2" t="str">
        <f>IFERROR(VLOOKUP(ROWS($N$2:N5241),$D$2:$E$1996,2,0),"")</f>
        <v/>
      </c>
    </row>
    <row r="5242" spans="2:14">
      <c r="B5242" s="32">
        <f>IF(ISNUMBER(SEARCH('Φόρμα Εισαγωγής'!$B$2,C5242)),MAX($B$1:B5241)+1,0)</f>
        <v>0</v>
      </c>
      <c r="D5242" s="33">
        <f>IF(ISNUMBER(SEARCH('Φόρμα Εισαγωγής'!$C$2,E5242)),MAX($D$1:D5241)+1,0)</f>
        <v>0</v>
      </c>
      <c r="H5242" s="6">
        <f t="shared" si="254"/>
        <v>0</v>
      </c>
      <c r="I5242" s="6">
        <f t="shared" si="255"/>
        <v>0</v>
      </c>
      <c r="J5242" s="6">
        <f t="shared" si="256"/>
        <v>0</v>
      </c>
      <c r="L5242" s="4" t="str">
        <f>IFERROR(VLOOKUP(ROWS($L$2:L5242),$B$2:$C$1996,2,0),"")</f>
        <v/>
      </c>
      <c r="N5242" s="2" t="str">
        <f>IFERROR(VLOOKUP(ROWS($N$2:N5242),$D$2:$E$1996,2,0),"")</f>
        <v/>
      </c>
    </row>
    <row r="5243" spans="2:14">
      <c r="B5243" s="32">
        <f>IF(ISNUMBER(SEARCH('Φόρμα Εισαγωγής'!$B$2,C5243)),MAX($B$1:B5242)+1,0)</f>
        <v>0</v>
      </c>
      <c r="D5243" s="33">
        <f>IF(ISNUMBER(SEARCH('Φόρμα Εισαγωγής'!$C$2,E5243)),MAX($D$1:D5242)+1,0)</f>
        <v>0</v>
      </c>
      <c r="H5243" s="6">
        <f t="shared" si="254"/>
        <v>0</v>
      </c>
      <c r="I5243" s="6">
        <f t="shared" si="255"/>
        <v>0</v>
      </c>
      <c r="J5243" s="6">
        <f t="shared" si="256"/>
        <v>0</v>
      </c>
      <c r="L5243" s="4" t="str">
        <f>IFERROR(VLOOKUP(ROWS($L$2:L5243),$B$2:$C$1996,2,0),"")</f>
        <v/>
      </c>
      <c r="N5243" s="2" t="str">
        <f>IFERROR(VLOOKUP(ROWS($N$2:N5243),$D$2:$E$1996,2,0),"")</f>
        <v/>
      </c>
    </row>
    <row r="5244" spans="2:14">
      <c r="B5244" s="32">
        <f>IF(ISNUMBER(SEARCH('Φόρμα Εισαγωγής'!$B$2,C5244)),MAX($B$1:B5243)+1,0)</f>
        <v>0</v>
      </c>
      <c r="D5244" s="33">
        <f>IF(ISNUMBER(SEARCH('Φόρμα Εισαγωγής'!$C$2,E5244)),MAX($D$1:D5243)+1,0)</f>
        <v>0</v>
      </c>
      <c r="H5244" s="6">
        <f t="shared" si="254"/>
        <v>0</v>
      </c>
      <c r="I5244" s="6">
        <f t="shared" si="255"/>
        <v>0</v>
      </c>
      <c r="J5244" s="6">
        <f t="shared" si="256"/>
        <v>0</v>
      </c>
      <c r="L5244" s="4" t="str">
        <f>IFERROR(VLOOKUP(ROWS($L$2:L5244),$B$2:$C$1996,2,0),"")</f>
        <v/>
      </c>
      <c r="N5244" s="2" t="str">
        <f>IFERROR(VLOOKUP(ROWS($N$2:N5244),$D$2:$E$1996,2,0),"")</f>
        <v/>
      </c>
    </row>
    <row r="5245" spans="2:14">
      <c r="B5245" s="32">
        <f>IF(ISNUMBER(SEARCH('Φόρμα Εισαγωγής'!$B$2,C5245)),MAX($B$1:B5244)+1,0)</f>
        <v>0</v>
      </c>
      <c r="D5245" s="33">
        <f>IF(ISNUMBER(SEARCH('Φόρμα Εισαγωγής'!$C$2,E5245)),MAX($D$1:D5244)+1,0)</f>
        <v>0</v>
      </c>
      <c r="H5245" s="6">
        <f t="shared" si="254"/>
        <v>0</v>
      </c>
      <c r="I5245" s="6">
        <f t="shared" si="255"/>
        <v>0</v>
      </c>
      <c r="J5245" s="6">
        <f t="shared" si="256"/>
        <v>0</v>
      </c>
      <c r="L5245" s="4" t="str">
        <f>IFERROR(VLOOKUP(ROWS($L$2:L5245),$B$2:$C$1996,2,0),"")</f>
        <v/>
      </c>
      <c r="N5245" s="2" t="str">
        <f>IFERROR(VLOOKUP(ROWS($N$2:N5245),$D$2:$E$1996,2,0),"")</f>
        <v/>
      </c>
    </row>
    <row r="5246" spans="2:14">
      <c r="B5246" s="32">
        <f>IF(ISNUMBER(SEARCH('Φόρμα Εισαγωγής'!$B$2,C5246)),MAX($B$1:B5245)+1,0)</f>
        <v>0</v>
      </c>
      <c r="D5246" s="33">
        <f>IF(ISNUMBER(SEARCH('Φόρμα Εισαγωγής'!$C$2,E5246)),MAX($D$1:D5245)+1,0)</f>
        <v>0</v>
      </c>
      <c r="H5246" s="6">
        <f t="shared" si="254"/>
        <v>0</v>
      </c>
      <c r="I5246" s="6">
        <f t="shared" si="255"/>
        <v>0</v>
      </c>
      <c r="J5246" s="6">
        <f t="shared" si="256"/>
        <v>0</v>
      </c>
      <c r="L5246" s="4" t="str">
        <f>IFERROR(VLOOKUP(ROWS($L$2:L5246),$B$2:$C$1996,2,0),"")</f>
        <v/>
      </c>
      <c r="N5246" s="2" t="str">
        <f>IFERROR(VLOOKUP(ROWS($N$2:N5246),$D$2:$E$1996,2,0),"")</f>
        <v/>
      </c>
    </row>
    <row r="5247" spans="2:14">
      <c r="B5247" s="32">
        <f>IF(ISNUMBER(SEARCH('Φόρμα Εισαγωγής'!$B$2,C5247)),MAX($B$1:B5246)+1,0)</f>
        <v>0</v>
      </c>
      <c r="D5247" s="33">
        <f>IF(ISNUMBER(SEARCH('Φόρμα Εισαγωγής'!$C$2,E5247)),MAX($D$1:D5246)+1,0)</f>
        <v>0</v>
      </c>
      <c r="H5247" s="6">
        <f t="shared" si="254"/>
        <v>0</v>
      </c>
      <c r="I5247" s="6">
        <f t="shared" si="255"/>
        <v>0</v>
      </c>
      <c r="J5247" s="6">
        <f t="shared" si="256"/>
        <v>0</v>
      </c>
      <c r="L5247" s="4" t="str">
        <f>IFERROR(VLOOKUP(ROWS($L$2:L5247),$B$2:$C$1996,2,0),"")</f>
        <v/>
      </c>
      <c r="N5247" s="2" t="str">
        <f>IFERROR(VLOOKUP(ROWS($N$2:N5247),$D$2:$E$1996,2,0),"")</f>
        <v/>
      </c>
    </row>
    <row r="5248" spans="2:14">
      <c r="B5248" s="32">
        <f>IF(ISNUMBER(SEARCH('Φόρμα Εισαγωγής'!$B$2,C5248)),MAX($B$1:B5247)+1,0)</f>
        <v>0</v>
      </c>
      <c r="D5248" s="33">
        <f>IF(ISNUMBER(SEARCH('Φόρμα Εισαγωγής'!$C$2,E5248)),MAX($D$1:D5247)+1,0)</f>
        <v>0</v>
      </c>
      <c r="H5248" s="6">
        <f t="shared" ref="H5248:H5311" si="257">G5248+(G5248*0.24)</f>
        <v>0</v>
      </c>
      <c r="I5248" s="6">
        <f t="shared" ref="I5248:I5311" si="258">F5248*A5248</f>
        <v>0</v>
      </c>
      <c r="J5248" s="6">
        <f t="shared" ref="J5248:J5311" si="259">H5248*A5248</f>
        <v>0</v>
      </c>
      <c r="L5248" s="4" t="str">
        <f>IFERROR(VLOOKUP(ROWS($L$2:L5248),$B$2:$C$1996,2,0),"")</f>
        <v/>
      </c>
      <c r="N5248" s="2" t="str">
        <f>IFERROR(VLOOKUP(ROWS($N$2:N5248),$D$2:$E$1996,2,0),"")</f>
        <v/>
      </c>
    </row>
    <row r="5249" spans="2:14">
      <c r="B5249" s="32">
        <f>IF(ISNUMBER(SEARCH('Φόρμα Εισαγωγής'!$B$2,C5249)),MAX($B$1:B5248)+1,0)</f>
        <v>0</v>
      </c>
      <c r="D5249" s="33">
        <f>IF(ISNUMBER(SEARCH('Φόρμα Εισαγωγής'!$C$2,E5249)),MAX($D$1:D5248)+1,0)</f>
        <v>0</v>
      </c>
      <c r="H5249" s="6">
        <f t="shared" si="257"/>
        <v>0</v>
      </c>
      <c r="I5249" s="6">
        <f t="shared" si="258"/>
        <v>0</v>
      </c>
      <c r="J5249" s="6">
        <f t="shared" si="259"/>
        <v>0</v>
      </c>
      <c r="L5249" s="4" t="str">
        <f>IFERROR(VLOOKUP(ROWS($L$2:L5249),$B$2:$C$1996,2,0),"")</f>
        <v/>
      </c>
      <c r="N5249" s="2" t="str">
        <f>IFERROR(VLOOKUP(ROWS($N$2:N5249),$D$2:$E$1996,2,0),"")</f>
        <v/>
      </c>
    </row>
    <row r="5250" spans="2:14">
      <c r="B5250" s="32">
        <f>IF(ISNUMBER(SEARCH('Φόρμα Εισαγωγής'!$B$2,C5250)),MAX($B$1:B5249)+1,0)</f>
        <v>0</v>
      </c>
      <c r="D5250" s="33">
        <f>IF(ISNUMBER(SEARCH('Φόρμα Εισαγωγής'!$C$2,E5250)),MAX($D$1:D5249)+1,0)</f>
        <v>0</v>
      </c>
      <c r="H5250" s="6">
        <f t="shared" si="257"/>
        <v>0</v>
      </c>
      <c r="I5250" s="6">
        <f t="shared" si="258"/>
        <v>0</v>
      </c>
      <c r="J5250" s="6">
        <f t="shared" si="259"/>
        <v>0</v>
      </c>
      <c r="L5250" s="4" t="str">
        <f>IFERROR(VLOOKUP(ROWS($L$2:L5250),$B$2:$C$1996,2,0),"")</f>
        <v/>
      </c>
      <c r="N5250" s="2" t="str">
        <f>IFERROR(VLOOKUP(ROWS($N$2:N5250),$D$2:$E$1996,2,0),"")</f>
        <v/>
      </c>
    </row>
    <row r="5251" spans="2:14">
      <c r="B5251" s="32">
        <f>IF(ISNUMBER(SEARCH('Φόρμα Εισαγωγής'!$B$2,C5251)),MAX($B$1:B5250)+1,0)</f>
        <v>0</v>
      </c>
      <c r="D5251" s="33">
        <f>IF(ISNUMBER(SEARCH('Φόρμα Εισαγωγής'!$C$2,E5251)),MAX($D$1:D5250)+1,0)</f>
        <v>0</v>
      </c>
      <c r="H5251" s="6">
        <f t="shared" si="257"/>
        <v>0</v>
      </c>
      <c r="I5251" s="6">
        <f t="shared" si="258"/>
        <v>0</v>
      </c>
      <c r="J5251" s="6">
        <f t="shared" si="259"/>
        <v>0</v>
      </c>
      <c r="L5251" s="4" t="str">
        <f>IFERROR(VLOOKUP(ROWS($L$2:L5251),$B$2:$C$1996,2,0),"")</f>
        <v/>
      </c>
      <c r="N5251" s="2" t="str">
        <f>IFERROR(VLOOKUP(ROWS($N$2:N5251),$D$2:$E$1996,2,0),"")</f>
        <v/>
      </c>
    </row>
    <row r="5252" spans="2:14">
      <c r="B5252" s="32">
        <f>IF(ISNUMBER(SEARCH('Φόρμα Εισαγωγής'!$B$2,C5252)),MAX($B$1:B5251)+1,0)</f>
        <v>0</v>
      </c>
      <c r="D5252" s="33">
        <f>IF(ISNUMBER(SEARCH('Φόρμα Εισαγωγής'!$C$2,E5252)),MAX($D$1:D5251)+1,0)</f>
        <v>0</v>
      </c>
      <c r="H5252" s="6">
        <f t="shared" si="257"/>
        <v>0</v>
      </c>
      <c r="I5252" s="6">
        <f t="shared" si="258"/>
        <v>0</v>
      </c>
      <c r="J5252" s="6">
        <f t="shared" si="259"/>
        <v>0</v>
      </c>
      <c r="L5252" s="4" t="str">
        <f>IFERROR(VLOOKUP(ROWS($L$2:L5252),$B$2:$C$1996,2,0),"")</f>
        <v/>
      </c>
      <c r="N5252" s="2" t="str">
        <f>IFERROR(VLOOKUP(ROWS($N$2:N5252),$D$2:$E$1996,2,0),"")</f>
        <v/>
      </c>
    </row>
    <row r="5253" spans="2:14">
      <c r="B5253" s="32">
        <f>IF(ISNUMBER(SEARCH('Φόρμα Εισαγωγής'!$B$2,C5253)),MAX($B$1:B5252)+1,0)</f>
        <v>0</v>
      </c>
      <c r="D5253" s="33">
        <f>IF(ISNUMBER(SEARCH('Φόρμα Εισαγωγής'!$C$2,E5253)),MAX($D$1:D5252)+1,0)</f>
        <v>0</v>
      </c>
      <c r="H5253" s="6">
        <f t="shared" si="257"/>
        <v>0</v>
      </c>
      <c r="I5253" s="6">
        <f t="shared" si="258"/>
        <v>0</v>
      </c>
      <c r="J5253" s="6">
        <f t="shared" si="259"/>
        <v>0</v>
      </c>
      <c r="L5253" s="4" t="str">
        <f>IFERROR(VLOOKUP(ROWS($L$2:L5253),$B$2:$C$1996,2,0),"")</f>
        <v/>
      </c>
      <c r="N5253" s="2" t="str">
        <f>IFERROR(VLOOKUP(ROWS($N$2:N5253),$D$2:$E$1996,2,0),"")</f>
        <v/>
      </c>
    </row>
    <row r="5254" spans="2:14">
      <c r="B5254" s="32">
        <f>IF(ISNUMBER(SEARCH('Φόρμα Εισαγωγής'!$B$2,C5254)),MAX($B$1:B5253)+1,0)</f>
        <v>0</v>
      </c>
      <c r="D5254" s="33">
        <f>IF(ISNUMBER(SEARCH('Φόρμα Εισαγωγής'!$C$2,E5254)),MAX($D$1:D5253)+1,0)</f>
        <v>0</v>
      </c>
      <c r="H5254" s="6">
        <f t="shared" si="257"/>
        <v>0</v>
      </c>
      <c r="I5254" s="6">
        <f t="shared" si="258"/>
        <v>0</v>
      </c>
      <c r="J5254" s="6">
        <f t="shared" si="259"/>
        <v>0</v>
      </c>
      <c r="L5254" s="4" t="str">
        <f>IFERROR(VLOOKUP(ROWS($L$2:L5254),$B$2:$C$1996,2,0),"")</f>
        <v/>
      </c>
      <c r="N5254" s="2" t="str">
        <f>IFERROR(VLOOKUP(ROWS($N$2:N5254),$D$2:$E$1996,2,0),"")</f>
        <v/>
      </c>
    </row>
    <row r="5255" spans="2:14">
      <c r="B5255" s="32">
        <f>IF(ISNUMBER(SEARCH('Φόρμα Εισαγωγής'!$B$2,C5255)),MAX($B$1:B5254)+1,0)</f>
        <v>0</v>
      </c>
      <c r="D5255" s="33">
        <f>IF(ISNUMBER(SEARCH('Φόρμα Εισαγωγής'!$C$2,E5255)),MAX($D$1:D5254)+1,0)</f>
        <v>0</v>
      </c>
      <c r="H5255" s="6">
        <f t="shared" si="257"/>
        <v>0</v>
      </c>
      <c r="I5255" s="6">
        <f t="shared" si="258"/>
        <v>0</v>
      </c>
      <c r="J5255" s="6">
        <f t="shared" si="259"/>
        <v>0</v>
      </c>
      <c r="L5255" s="4" t="str">
        <f>IFERROR(VLOOKUP(ROWS($L$2:L5255),$B$2:$C$1996,2,0),"")</f>
        <v/>
      </c>
      <c r="N5255" s="2" t="str">
        <f>IFERROR(VLOOKUP(ROWS($N$2:N5255),$D$2:$E$1996,2,0),"")</f>
        <v/>
      </c>
    </row>
    <row r="5256" spans="2:14">
      <c r="B5256" s="32">
        <f>IF(ISNUMBER(SEARCH('Φόρμα Εισαγωγής'!$B$2,C5256)),MAX($B$1:B5255)+1,0)</f>
        <v>0</v>
      </c>
      <c r="D5256" s="33">
        <f>IF(ISNUMBER(SEARCH('Φόρμα Εισαγωγής'!$C$2,E5256)),MAX($D$1:D5255)+1,0)</f>
        <v>0</v>
      </c>
      <c r="H5256" s="6">
        <f t="shared" si="257"/>
        <v>0</v>
      </c>
      <c r="I5256" s="6">
        <f t="shared" si="258"/>
        <v>0</v>
      </c>
      <c r="J5256" s="6">
        <f t="shared" si="259"/>
        <v>0</v>
      </c>
      <c r="L5256" s="4" t="str">
        <f>IFERROR(VLOOKUP(ROWS($L$2:L5256),$B$2:$C$1996,2,0),"")</f>
        <v/>
      </c>
      <c r="N5256" s="2" t="str">
        <f>IFERROR(VLOOKUP(ROWS($N$2:N5256),$D$2:$E$1996,2,0),"")</f>
        <v/>
      </c>
    </row>
    <row r="5257" spans="2:14">
      <c r="B5257" s="32">
        <f>IF(ISNUMBER(SEARCH('Φόρμα Εισαγωγής'!$B$2,C5257)),MAX($B$1:B5256)+1,0)</f>
        <v>0</v>
      </c>
      <c r="D5257" s="33">
        <f>IF(ISNUMBER(SEARCH('Φόρμα Εισαγωγής'!$C$2,E5257)),MAX($D$1:D5256)+1,0)</f>
        <v>0</v>
      </c>
      <c r="H5257" s="6">
        <f t="shared" si="257"/>
        <v>0</v>
      </c>
      <c r="I5257" s="6">
        <f t="shared" si="258"/>
        <v>0</v>
      </c>
      <c r="J5257" s="6">
        <f t="shared" si="259"/>
        <v>0</v>
      </c>
      <c r="L5257" s="4" t="str">
        <f>IFERROR(VLOOKUP(ROWS($L$2:L5257),$B$2:$C$1996,2,0),"")</f>
        <v/>
      </c>
      <c r="N5257" s="2" t="str">
        <f>IFERROR(VLOOKUP(ROWS($N$2:N5257),$D$2:$E$1996,2,0),"")</f>
        <v/>
      </c>
    </row>
    <row r="5258" spans="2:14">
      <c r="B5258" s="32">
        <f>IF(ISNUMBER(SEARCH('Φόρμα Εισαγωγής'!$B$2,C5258)),MAX($B$1:B5257)+1,0)</f>
        <v>0</v>
      </c>
      <c r="D5258" s="33">
        <f>IF(ISNUMBER(SEARCH('Φόρμα Εισαγωγής'!$C$2,E5258)),MAX($D$1:D5257)+1,0)</f>
        <v>0</v>
      </c>
      <c r="H5258" s="6">
        <f t="shared" si="257"/>
        <v>0</v>
      </c>
      <c r="I5258" s="6">
        <f t="shared" si="258"/>
        <v>0</v>
      </c>
      <c r="J5258" s="6">
        <f t="shared" si="259"/>
        <v>0</v>
      </c>
      <c r="L5258" s="4" t="str">
        <f>IFERROR(VLOOKUP(ROWS($L$2:L5258),$B$2:$C$1996,2,0),"")</f>
        <v/>
      </c>
      <c r="N5258" s="2" t="str">
        <f>IFERROR(VLOOKUP(ROWS($N$2:N5258),$D$2:$E$1996,2,0),"")</f>
        <v/>
      </c>
    </row>
    <row r="5259" spans="2:14">
      <c r="B5259" s="32">
        <f>IF(ISNUMBER(SEARCH('Φόρμα Εισαγωγής'!$B$2,C5259)),MAX($B$1:B5258)+1,0)</f>
        <v>0</v>
      </c>
      <c r="D5259" s="33">
        <f>IF(ISNUMBER(SEARCH('Φόρμα Εισαγωγής'!$C$2,E5259)),MAX($D$1:D5258)+1,0)</f>
        <v>0</v>
      </c>
      <c r="H5259" s="6">
        <f t="shared" si="257"/>
        <v>0</v>
      </c>
      <c r="I5259" s="6">
        <f t="shared" si="258"/>
        <v>0</v>
      </c>
      <c r="J5259" s="6">
        <f t="shared" si="259"/>
        <v>0</v>
      </c>
      <c r="L5259" s="4" t="str">
        <f>IFERROR(VLOOKUP(ROWS($L$2:L5259),$B$2:$C$1996,2,0),"")</f>
        <v/>
      </c>
      <c r="N5259" s="2" t="str">
        <f>IFERROR(VLOOKUP(ROWS($N$2:N5259),$D$2:$E$1996,2,0),"")</f>
        <v/>
      </c>
    </row>
    <row r="5260" spans="2:14">
      <c r="B5260" s="32">
        <f>IF(ISNUMBER(SEARCH('Φόρμα Εισαγωγής'!$B$2,C5260)),MAX($B$1:B5259)+1,0)</f>
        <v>0</v>
      </c>
      <c r="D5260" s="33">
        <f>IF(ISNUMBER(SEARCH('Φόρμα Εισαγωγής'!$C$2,E5260)),MAX($D$1:D5259)+1,0)</f>
        <v>0</v>
      </c>
      <c r="H5260" s="6">
        <f t="shared" si="257"/>
        <v>0</v>
      </c>
      <c r="I5260" s="6">
        <f t="shared" si="258"/>
        <v>0</v>
      </c>
      <c r="J5260" s="6">
        <f t="shared" si="259"/>
        <v>0</v>
      </c>
      <c r="L5260" s="4" t="str">
        <f>IFERROR(VLOOKUP(ROWS($L$2:L5260),$B$2:$C$1996,2,0),"")</f>
        <v/>
      </c>
      <c r="N5260" s="2" t="str">
        <f>IFERROR(VLOOKUP(ROWS($N$2:N5260),$D$2:$E$1996,2,0),"")</f>
        <v/>
      </c>
    </row>
    <row r="5261" spans="2:14">
      <c r="B5261" s="32">
        <f>IF(ISNUMBER(SEARCH('Φόρμα Εισαγωγής'!$B$2,C5261)),MAX($B$1:B5260)+1,0)</f>
        <v>0</v>
      </c>
      <c r="D5261" s="33">
        <f>IF(ISNUMBER(SEARCH('Φόρμα Εισαγωγής'!$C$2,E5261)),MAX($D$1:D5260)+1,0)</f>
        <v>0</v>
      </c>
      <c r="H5261" s="6">
        <f t="shared" si="257"/>
        <v>0</v>
      </c>
      <c r="I5261" s="6">
        <f t="shared" si="258"/>
        <v>0</v>
      </c>
      <c r="J5261" s="6">
        <f t="shared" si="259"/>
        <v>0</v>
      </c>
      <c r="L5261" s="4" t="str">
        <f>IFERROR(VLOOKUP(ROWS($L$2:L5261),$B$2:$C$1996,2,0),"")</f>
        <v/>
      </c>
      <c r="N5261" s="2" t="str">
        <f>IFERROR(VLOOKUP(ROWS($N$2:N5261),$D$2:$E$1996,2,0),"")</f>
        <v/>
      </c>
    </row>
    <row r="5262" spans="2:14">
      <c r="B5262" s="32">
        <f>IF(ISNUMBER(SEARCH('Φόρμα Εισαγωγής'!$B$2,C5262)),MAX($B$1:B5261)+1,0)</f>
        <v>0</v>
      </c>
      <c r="D5262" s="33">
        <f>IF(ISNUMBER(SEARCH('Φόρμα Εισαγωγής'!$C$2,E5262)),MAX($D$1:D5261)+1,0)</f>
        <v>0</v>
      </c>
      <c r="H5262" s="6">
        <f t="shared" si="257"/>
        <v>0</v>
      </c>
      <c r="I5262" s="6">
        <f t="shared" si="258"/>
        <v>0</v>
      </c>
      <c r="J5262" s="6">
        <f t="shared" si="259"/>
        <v>0</v>
      </c>
      <c r="L5262" s="4" t="str">
        <f>IFERROR(VLOOKUP(ROWS($L$2:L5262),$B$2:$C$1996,2,0),"")</f>
        <v/>
      </c>
      <c r="N5262" s="2" t="str">
        <f>IFERROR(VLOOKUP(ROWS($N$2:N5262),$D$2:$E$1996,2,0),"")</f>
        <v/>
      </c>
    </row>
    <row r="5263" spans="2:14">
      <c r="B5263" s="32">
        <f>IF(ISNUMBER(SEARCH('Φόρμα Εισαγωγής'!$B$2,C5263)),MAX($B$1:B5262)+1,0)</f>
        <v>0</v>
      </c>
      <c r="D5263" s="33">
        <f>IF(ISNUMBER(SEARCH('Φόρμα Εισαγωγής'!$C$2,E5263)),MAX($D$1:D5262)+1,0)</f>
        <v>0</v>
      </c>
      <c r="H5263" s="6">
        <f t="shared" si="257"/>
        <v>0</v>
      </c>
      <c r="I5263" s="6">
        <f t="shared" si="258"/>
        <v>0</v>
      </c>
      <c r="J5263" s="6">
        <f t="shared" si="259"/>
        <v>0</v>
      </c>
      <c r="L5263" s="4" t="str">
        <f>IFERROR(VLOOKUP(ROWS($L$2:L5263),$B$2:$C$1996,2,0),"")</f>
        <v/>
      </c>
      <c r="N5263" s="2" t="str">
        <f>IFERROR(VLOOKUP(ROWS($N$2:N5263),$D$2:$E$1996,2,0),"")</f>
        <v/>
      </c>
    </row>
    <row r="5264" spans="2:14">
      <c r="B5264" s="32">
        <f>IF(ISNUMBER(SEARCH('Φόρμα Εισαγωγής'!$B$2,C5264)),MAX($B$1:B5263)+1,0)</f>
        <v>0</v>
      </c>
      <c r="D5264" s="33">
        <f>IF(ISNUMBER(SEARCH('Φόρμα Εισαγωγής'!$C$2,E5264)),MAX($D$1:D5263)+1,0)</f>
        <v>0</v>
      </c>
      <c r="H5264" s="6">
        <f t="shared" si="257"/>
        <v>0</v>
      </c>
      <c r="I5264" s="6">
        <f t="shared" si="258"/>
        <v>0</v>
      </c>
      <c r="J5264" s="6">
        <f t="shared" si="259"/>
        <v>0</v>
      </c>
      <c r="L5264" s="4" t="str">
        <f>IFERROR(VLOOKUP(ROWS($L$2:L5264),$B$2:$C$1996,2,0),"")</f>
        <v/>
      </c>
      <c r="N5264" s="2" t="str">
        <f>IFERROR(VLOOKUP(ROWS($N$2:N5264),$D$2:$E$1996,2,0),"")</f>
        <v/>
      </c>
    </row>
    <row r="5265" spans="2:14">
      <c r="B5265" s="32">
        <f>IF(ISNUMBER(SEARCH('Φόρμα Εισαγωγής'!$B$2,C5265)),MAX($B$1:B5264)+1,0)</f>
        <v>0</v>
      </c>
      <c r="D5265" s="33">
        <f>IF(ISNUMBER(SEARCH('Φόρμα Εισαγωγής'!$C$2,E5265)),MAX($D$1:D5264)+1,0)</f>
        <v>0</v>
      </c>
      <c r="H5265" s="6">
        <f t="shared" si="257"/>
        <v>0</v>
      </c>
      <c r="I5265" s="6">
        <f t="shared" si="258"/>
        <v>0</v>
      </c>
      <c r="J5265" s="6">
        <f t="shared" si="259"/>
        <v>0</v>
      </c>
      <c r="L5265" s="4" t="str">
        <f>IFERROR(VLOOKUP(ROWS($L$2:L5265),$B$2:$C$1996,2,0),"")</f>
        <v/>
      </c>
      <c r="N5265" s="2" t="str">
        <f>IFERROR(VLOOKUP(ROWS($N$2:N5265),$D$2:$E$1996,2,0),"")</f>
        <v/>
      </c>
    </row>
    <row r="5266" spans="2:14">
      <c r="B5266" s="32">
        <f>IF(ISNUMBER(SEARCH('Φόρμα Εισαγωγής'!$B$2,C5266)),MAX($B$1:B5265)+1,0)</f>
        <v>0</v>
      </c>
      <c r="D5266" s="33">
        <f>IF(ISNUMBER(SEARCH('Φόρμα Εισαγωγής'!$C$2,E5266)),MAX($D$1:D5265)+1,0)</f>
        <v>0</v>
      </c>
      <c r="H5266" s="6">
        <f t="shared" si="257"/>
        <v>0</v>
      </c>
      <c r="I5266" s="6">
        <f t="shared" si="258"/>
        <v>0</v>
      </c>
      <c r="J5266" s="6">
        <f t="shared" si="259"/>
        <v>0</v>
      </c>
      <c r="L5266" s="4" t="str">
        <f>IFERROR(VLOOKUP(ROWS($L$2:L5266),$B$2:$C$1996,2,0),"")</f>
        <v/>
      </c>
      <c r="N5266" s="2" t="str">
        <f>IFERROR(VLOOKUP(ROWS($N$2:N5266),$D$2:$E$1996,2,0),"")</f>
        <v/>
      </c>
    </row>
    <row r="5267" spans="2:14">
      <c r="B5267" s="32">
        <f>IF(ISNUMBER(SEARCH('Φόρμα Εισαγωγής'!$B$2,C5267)),MAX($B$1:B5266)+1,0)</f>
        <v>0</v>
      </c>
      <c r="D5267" s="33">
        <f>IF(ISNUMBER(SEARCH('Φόρμα Εισαγωγής'!$C$2,E5267)),MAX($D$1:D5266)+1,0)</f>
        <v>0</v>
      </c>
      <c r="H5267" s="6">
        <f t="shared" si="257"/>
        <v>0</v>
      </c>
      <c r="I5267" s="6">
        <f t="shared" si="258"/>
        <v>0</v>
      </c>
      <c r="J5267" s="6">
        <f t="shared" si="259"/>
        <v>0</v>
      </c>
      <c r="L5267" s="4" t="str">
        <f>IFERROR(VLOOKUP(ROWS($L$2:L5267),$B$2:$C$1996,2,0),"")</f>
        <v/>
      </c>
      <c r="N5267" s="2" t="str">
        <f>IFERROR(VLOOKUP(ROWS($N$2:N5267),$D$2:$E$1996,2,0),"")</f>
        <v/>
      </c>
    </row>
    <row r="5268" spans="2:14">
      <c r="B5268" s="32">
        <f>IF(ISNUMBER(SEARCH('Φόρμα Εισαγωγής'!$B$2,C5268)),MAX($B$1:B5267)+1,0)</f>
        <v>0</v>
      </c>
      <c r="D5268" s="33">
        <f>IF(ISNUMBER(SEARCH('Φόρμα Εισαγωγής'!$C$2,E5268)),MAX($D$1:D5267)+1,0)</f>
        <v>0</v>
      </c>
      <c r="H5268" s="6">
        <f t="shared" si="257"/>
        <v>0</v>
      </c>
      <c r="I5268" s="6">
        <f t="shared" si="258"/>
        <v>0</v>
      </c>
      <c r="J5268" s="6">
        <f t="shared" si="259"/>
        <v>0</v>
      </c>
      <c r="L5268" s="4" t="str">
        <f>IFERROR(VLOOKUP(ROWS($L$2:L5268),$B$2:$C$1996,2,0),"")</f>
        <v/>
      </c>
      <c r="N5268" s="2" t="str">
        <f>IFERROR(VLOOKUP(ROWS($N$2:N5268),$D$2:$E$1996,2,0),"")</f>
        <v/>
      </c>
    </row>
    <row r="5269" spans="2:14">
      <c r="B5269" s="32">
        <f>IF(ISNUMBER(SEARCH('Φόρμα Εισαγωγής'!$B$2,C5269)),MAX($B$1:B5268)+1,0)</f>
        <v>0</v>
      </c>
      <c r="D5269" s="33">
        <f>IF(ISNUMBER(SEARCH('Φόρμα Εισαγωγής'!$C$2,E5269)),MAX($D$1:D5268)+1,0)</f>
        <v>0</v>
      </c>
      <c r="H5269" s="6">
        <f t="shared" si="257"/>
        <v>0</v>
      </c>
      <c r="I5269" s="6">
        <f t="shared" si="258"/>
        <v>0</v>
      </c>
      <c r="J5269" s="6">
        <f t="shared" si="259"/>
        <v>0</v>
      </c>
      <c r="L5269" s="4" t="str">
        <f>IFERROR(VLOOKUP(ROWS($L$2:L5269),$B$2:$C$1996,2,0),"")</f>
        <v/>
      </c>
      <c r="N5269" s="2" t="str">
        <f>IFERROR(VLOOKUP(ROWS($N$2:N5269),$D$2:$E$1996,2,0),"")</f>
        <v/>
      </c>
    </row>
    <row r="5270" spans="2:14">
      <c r="B5270" s="32">
        <f>IF(ISNUMBER(SEARCH('Φόρμα Εισαγωγής'!$B$2,C5270)),MAX($B$1:B5269)+1,0)</f>
        <v>0</v>
      </c>
      <c r="D5270" s="33">
        <f>IF(ISNUMBER(SEARCH('Φόρμα Εισαγωγής'!$C$2,E5270)),MAX($D$1:D5269)+1,0)</f>
        <v>0</v>
      </c>
      <c r="H5270" s="6">
        <f t="shared" si="257"/>
        <v>0</v>
      </c>
      <c r="I5270" s="6">
        <f t="shared" si="258"/>
        <v>0</v>
      </c>
      <c r="J5270" s="6">
        <f t="shared" si="259"/>
        <v>0</v>
      </c>
      <c r="L5270" s="4" t="str">
        <f>IFERROR(VLOOKUP(ROWS($L$2:L5270),$B$2:$C$1996,2,0),"")</f>
        <v/>
      </c>
      <c r="N5270" s="2" t="str">
        <f>IFERROR(VLOOKUP(ROWS($N$2:N5270),$D$2:$E$1996,2,0),"")</f>
        <v/>
      </c>
    </row>
    <row r="5271" spans="2:14">
      <c r="B5271" s="32">
        <f>IF(ISNUMBER(SEARCH('Φόρμα Εισαγωγής'!$B$2,C5271)),MAX($B$1:B5270)+1,0)</f>
        <v>0</v>
      </c>
      <c r="D5271" s="33">
        <f>IF(ISNUMBER(SEARCH('Φόρμα Εισαγωγής'!$C$2,E5271)),MAX($D$1:D5270)+1,0)</f>
        <v>0</v>
      </c>
      <c r="H5271" s="6">
        <f t="shared" si="257"/>
        <v>0</v>
      </c>
      <c r="I5271" s="6">
        <f t="shared" si="258"/>
        <v>0</v>
      </c>
      <c r="J5271" s="6">
        <f t="shared" si="259"/>
        <v>0</v>
      </c>
      <c r="L5271" s="4" t="str">
        <f>IFERROR(VLOOKUP(ROWS($L$2:L5271),$B$2:$C$1996,2,0),"")</f>
        <v/>
      </c>
      <c r="N5271" s="2" t="str">
        <f>IFERROR(VLOOKUP(ROWS($N$2:N5271),$D$2:$E$1996,2,0),"")</f>
        <v/>
      </c>
    </row>
    <row r="5272" spans="2:14">
      <c r="B5272" s="32">
        <f>IF(ISNUMBER(SEARCH('Φόρμα Εισαγωγής'!$B$2,C5272)),MAX($B$1:B5271)+1,0)</f>
        <v>0</v>
      </c>
      <c r="D5272" s="33">
        <f>IF(ISNUMBER(SEARCH('Φόρμα Εισαγωγής'!$C$2,E5272)),MAX($D$1:D5271)+1,0)</f>
        <v>0</v>
      </c>
      <c r="H5272" s="6">
        <f t="shared" si="257"/>
        <v>0</v>
      </c>
      <c r="I5272" s="6">
        <f t="shared" si="258"/>
        <v>0</v>
      </c>
      <c r="J5272" s="6">
        <f t="shared" si="259"/>
        <v>0</v>
      </c>
      <c r="L5272" s="4" t="str">
        <f>IFERROR(VLOOKUP(ROWS($L$2:L5272),$B$2:$C$1996,2,0),"")</f>
        <v/>
      </c>
      <c r="N5272" s="2" t="str">
        <f>IFERROR(VLOOKUP(ROWS($N$2:N5272),$D$2:$E$1996,2,0),"")</f>
        <v/>
      </c>
    </row>
    <row r="5273" spans="2:14">
      <c r="B5273" s="32">
        <f>IF(ISNUMBER(SEARCH('Φόρμα Εισαγωγής'!$B$2,C5273)),MAX($B$1:B5272)+1,0)</f>
        <v>0</v>
      </c>
      <c r="D5273" s="33">
        <f>IF(ISNUMBER(SEARCH('Φόρμα Εισαγωγής'!$C$2,E5273)),MAX($D$1:D5272)+1,0)</f>
        <v>0</v>
      </c>
      <c r="H5273" s="6">
        <f t="shared" si="257"/>
        <v>0</v>
      </c>
      <c r="I5273" s="6">
        <f t="shared" si="258"/>
        <v>0</v>
      </c>
      <c r="J5273" s="6">
        <f t="shared" si="259"/>
        <v>0</v>
      </c>
      <c r="L5273" s="4" t="str">
        <f>IFERROR(VLOOKUP(ROWS($L$2:L5273),$B$2:$C$1996,2,0),"")</f>
        <v/>
      </c>
      <c r="N5273" s="2" t="str">
        <f>IFERROR(VLOOKUP(ROWS($N$2:N5273),$D$2:$E$1996,2,0),"")</f>
        <v/>
      </c>
    </row>
    <row r="5274" spans="2:14">
      <c r="B5274" s="32">
        <f>IF(ISNUMBER(SEARCH('Φόρμα Εισαγωγής'!$B$2,C5274)),MAX($B$1:B5273)+1,0)</f>
        <v>0</v>
      </c>
      <c r="D5274" s="33">
        <f>IF(ISNUMBER(SEARCH('Φόρμα Εισαγωγής'!$C$2,E5274)),MAX($D$1:D5273)+1,0)</f>
        <v>0</v>
      </c>
      <c r="H5274" s="6">
        <f t="shared" si="257"/>
        <v>0</v>
      </c>
      <c r="I5274" s="6">
        <f t="shared" si="258"/>
        <v>0</v>
      </c>
      <c r="J5274" s="6">
        <f t="shared" si="259"/>
        <v>0</v>
      </c>
      <c r="L5274" s="4" t="str">
        <f>IFERROR(VLOOKUP(ROWS($L$2:L5274),$B$2:$C$1996,2,0),"")</f>
        <v/>
      </c>
      <c r="N5274" s="2" t="str">
        <f>IFERROR(VLOOKUP(ROWS($N$2:N5274),$D$2:$E$1996,2,0),"")</f>
        <v/>
      </c>
    </row>
    <row r="5275" spans="2:14">
      <c r="B5275" s="32">
        <f>IF(ISNUMBER(SEARCH('Φόρμα Εισαγωγής'!$B$2,C5275)),MAX($B$1:B5274)+1,0)</f>
        <v>0</v>
      </c>
      <c r="D5275" s="33">
        <f>IF(ISNUMBER(SEARCH('Φόρμα Εισαγωγής'!$C$2,E5275)),MAX($D$1:D5274)+1,0)</f>
        <v>0</v>
      </c>
      <c r="H5275" s="6">
        <f t="shared" si="257"/>
        <v>0</v>
      </c>
      <c r="I5275" s="6">
        <f t="shared" si="258"/>
        <v>0</v>
      </c>
      <c r="J5275" s="6">
        <f t="shared" si="259"/>
        <v>0</v>
      </c>
      <c r="L5275" s="4" t="str">
        <f>IFERROR(VLOOKUP(ROWS($L$2:L5275),$B$2:$C$1996,2,0),"")</f>
        <v/>
      </c>
      <c r="N5275" s="2" t="str">
        <f>IFERROR(VLOOKUP(ROWS($N$2:N5275),$D$2:$E$1996,2,0),"")</f>
        <v/>
      </c>
    </row>
    <row r="5276" spans="2:14">
      <c r="B5276" s="32">
        <f>IF(ISNUMBER(SEARCH('Φόρμα Εισαγωγής'!$B$2,C5276)),MAX($B$1:B5275)+1,0)</f>
        <v>0</v>
      </c>
      <c r="D5276" s="33">
        <f>IF(ISNUMBER(SEARCH('Φόρμα Εισαγωγής'!$C$2,E5276)),MAX($D$1:D5275)+1,0)</f>
        <v>0</v>
      </c>
      <c r="H5276" s="6">
        <f t="shared" si="257"/>
        <v>0</v>
      </c>
      <c r="I5276" s="6">
        <f t="shared" si="258"/>
        <v>0</v>
      </c>
      <c r="J5276" s="6">
        <f t="shared" si="259"/>
        <v>0</v>
      </c>
      <c r="L5276" s="4" t="str">
        <f>IFERROR(VLOOKUP(ROWS($L$2:L5276),$B$2:$C$1996,2,0),"")</f>
        <v/>
      </c>
      <c r="N5276" s="2" t="str">
        <f>IFERROR(VLOOKUP(ROWS($N$2:N5276),$D$2:$E$1996,2,0),"")</f>
        <v/>
      </c>
    </row>
    <row r="5277" spans="2:14">
      <c r="B5277" s="32">
        <f>IF(ISNUMBER(SEARCH('Φόρμα Εισαγωγής'!$B$2,C5277)),MAX($B$1:B5276)+1,0)</f>
        <v>0</v>
      </c>
      <c r="D5277" s="33">
        <f>IF(ISNUMBER(SEARCH('Φόρμα Εισαγωγής'!$C$2,E5277)),MAX($D$1:D5276)+1,0)</f>
        <v>0</v>
      </c>
      <c r="H5277" s="6">
        <f t="shared" si="257"/>
        <v>0</v>
      </c>
      <c r="I5277" s="6">
        <f t="shared" si="258"/>
        <v>0</v>
      </c>
      <c r="J5277" s="6">
        <f t="shared" si="259"/>
        <v>0</v>
      </c>
      <c r="L5277" s="4" t="str">
        <f>IFERROR(VLOOKUP(ROWS($L$2:L5277),$B$2:$C$1996,2,0),"")</f>
        <v/>
      </c>
      <c r="N5277" s="2" t="str">
        <f>IFERROR(VLOOKUP(ROWS($N$2:N5277),$D$2:$E$1996,2,0),"")</f>
        <v/>
      </c>
    </row>
    <row r="5278" spans="2:14">
      <c r="B5278" s="32">
        <f>IF(ISNUMBER(SEARCH('Φόρμα Εισαγωγής'!$B$2,C5278)),MAX($B$1:B5277)+1,0)</f>
        <v>0</v>
      </c>
      <c r="D5278" s="33">
        <f>IF(ISNUMBER(SEARCH('Φόρμα Εισαγωγής'!$C$2,E5278)),MAX($D$1:D5277)+1,0)</f>
        <v>0</v>
      </c>
      <c r="H5278" s="6">
        <f t="shared" si="257"/>
        <v>0</v>
      </c>
      <c r="I5278" s="6">
        <f t="shared" si="258"/>
        <v>0</v>
      </c>
      <c r="J5278" s="6">
        <f t="shared" si="259"/>
        <v>0</v>
      </c>
      <c r="L5278" s="4" t="str">
        <f>IFERROR(VLOOKUP(ROWS($L$2:L5278),$B$2:$C$1996,2,0),"")</f>
        <v/>
      </c>
      <c r="N5278" s="2" t="str">
        <f>IFERROR(VLOOKUP(ROWS($N$2:N5278),$D$2:$E$1996,2,0),"")</f>
        <v/>
      </c>
    </row>
    <row r="5279" spans="2:14">
      <c r="B5279" s="32">
        <f>IF(ISNUMBER(SEARCH('Φόρμα Εισαγωγής'!$B$2,C5279)),MAX($B$1:B5278)+1,0)</f>
        <v>0</v>
      </c>
      <c r="D5279" s="33">
        <f>IF(ISNUMBER(SEARCH('Φόρμα Εισαγωγής'!$C$2,E5279)),MAX($D$1:D5278)+1,0)</f>
        <v>0</v>
      </c>
      <c r="H5279" s="6">
        <f t="shared" si="257"/>
        <v>0</v>
      </c>
      <c r="I5279" s="6">
        <f t="shared" si="258"/>
        <v>0</v>
      </c>
      <c r="J5279" s="6">
        <f t="shared" si="259"/>
        <v>0</v>
      </c>
      <c r="L5279" s="4" t="str">
        <f>IFERROR(VLOOKUP(ROWS($L$2:L5279),$B$2:$C$1996,2,0),"")</f>
        <v/>
      </c>
      <c r="N5279" s="2" t="str">
        <f>IFERROR(VLOOKUP(ROWS($N$2:N5279),$D$2:$E$1996,2,0),"")</f>
        <v/>
      </c>
    </row>
    <row r="5280" spans="2:14">
      <c r="B5280" s="32">
        <f>IF(ISNUMBER(SEARCH('Φόρμα Εισαγωγής'!$B$2,C5280)),MAX($B$1:B5279)+1,0)</f>
        <v>0</v>
      </c>
      <c r="D5280" s="33">
        <f>IF(ISNUMBER(SEARCH('Φόρμα Εισαγωγής'!$C$2,E5280)),MAX($D$1:D5279)+1,0)</f>
        <v>0</v>
      </c>
      <c r="H5280" s="6">
        <f t="shared" si="257"/>
        <v>0</v>
      </c>
      <c r="I5280" s="6">
        <f t="shared" si="258"/>
        <v>0</v>
      </c>
      <c r="J5280" s="6">
        <f t="shared" si="259"/>
        <v>0</v>
      </c>
      <c r="L5280" s="4" t="str">
        <f>IFERROR(VLOOKUP(ROWS($L$2:L5280),$B$2:$C$1996,2,0),"")</f>
        <v/>
      </c>
      <c r="N5280" s="2" t="str">
        <f>IFERROR(VLOOKUP(ROWS($N$2:N5280),$D$2:$E$1996,2,0),"")</f>
        <v/>
      </c>
    </row>
    <row r="5281" spans="2:14">
      <c r="B5281" s="32">
        <f>IF(ISNUMBER(SEARCH('Φόρμα Εισαγωγής'!$B$2,C5281)),MAX($B$1:B5280)+1,0)</f>
        <v>0</v>
      </c>
      <c r="D5281" s="33">
        <f>IF(ISNUMBER(SEARCH('Φόρμα Εισαγωγής'!$C$2,E5281)),MAX($D$1:D5280)+1,0)</f>
        <v>0</v>
      </c>
      <c r="H5281" s="6">
        <f t="shared" si="257"/>
        <v>0</v>
      </c>
      <c r="I5281" s="6">
        <f t="shared" si="258"/>
        <v>0</v>
      </c>
      <c r="J5281" s="6">
        <f t="shared" si="259"/>
        <v>0</v>
      </c>
      <c r="L5281" s="4" t="str">
        <f>IFERROR(VLOOKUP(ROWS($L$2:L5281),$B$2:$C$1996,2,0),"")</f>
        <v/>
      </c>
      <c r="N5281" s="2" t="str">
        <f>IFERROR(VLOOKUP(ROWS($N$2:N5281),$D$2:$E$1996,2,0),"")</f>
        <v/>
      </c>
    </row>
    <row r="5282" spans="2:14">
      <c r="B5282" s="32">
        <f>IF(ISNUMBER(SEARCH('Φόρμα Εισαγωγής'!$B$2,C5282)),MAX($B$1:B5281)+1,0)</f>
        <v>0</v>
      </c>
      <c r="D5282" s="33">
        <f>IF(ISNUMBER(SEARCH('Φόρμα Εισαγωγής'!$C$2,E5282)),MAX($D$1:D5281)+1,0)</f>
        <v>0</v>
      </c>
      <c r="H5282" s="6">
        <f t="shared" si="257"/>
        <v>0</v>
      </c>
      <c r="I5282" s="6">
        <f t="shared" si="258"/>
        <v>0</v>
      </c>
      <c r="J5282" s="6">
        <f t="shared" si="259"/>
        <v>0</v>
      </c>
      <c r="L5282" s="4" t="str">
        <f>IFERROR(VLOOKUP(ROWS($L$2:L5282),$B$2:$C$1996,2,0),"")</f>
        <v/>
      </c>
      <c r="N5282" s="2" t="str">
        <f>IFERROR(VLOOKUP(ROWS($N$2:N5282),$D$2:$E$1996,2,0),"")</f>
        <v/>
      </c>
    </row>
    <row r="5283" spans="2:14">
      <c r="B5283" s="32">
        <f>IF(ISNUMBER(SEARCH('Φόρμα Εισαγωγής'!$B$2,C5283)),MAX($B$1:B5282)+1,0)</f>
        <v>0</v>
      </c>
      <c r="D5283" s="33">
        <f>IF(ISNUMBER(SEARCH('Φόρμα Εισαγωγής'!$C$2,E5283)),MAX($D$1:D5282)+1,0)</f>
        <v>0</v>
      </c>
      <c r="H5283" s="6">
        <f t="shared" si="257"/>
        <v>0</v>
      </c>
      <c r="I5283" s="6">
        <f t="shared" si="258"/>
        <v>0</v>
      </c>
      <c r="J5283" s="6">
        <f t="shared" si="259"/>
        <v>0</v>
      </c>
      <c r="L5283" s="4" t="str">
        <f>IFERROR(VLOOKUP(ROWS($L$2:L5283),$B$2:$C$1996,2,0),"")</f>
        <v/>
      </c>
      <c r="N5283" s="2" t="str">
        <f>IFERROR(VLOOKUP(ROWS($N$2:N5283),$D$2:$E$1996,2,0),"")</f>
        <v/>
      </c>
    </row>
    <row r="5284" spans="2:14">
      <c r="B5284" s="32">
        <f>IF(ISNUMBER(SEARCH('Φόρμα Εισαγωγής'!$B$2,C5284)),MAX($B$1:B5283)+1,0)</f>
        <v>0</v>
      </c>
      <c r="D5284" s="33">
        <f>IF(ISNUMBER(SEARCH('Φόρμα Εισαγωγής'!$C$2,E5284)),MAX($D$1:D5283)+1,0)</f>
        <v>0</v>
      </c>
      <c r="H5284" s="6">
        <f t="shared" si="257"/>
        <v>0</v>
      </c>
      <c r="I5284" s="6">
        <f t="shared" si="258"/>
        <v>0</v>
      </c>
      <c r="J5284" s="6">
        <f t="shared" si="259"/>
        <v>0</v>
      </c>
      <c r="L5284" s="4" t="str">
        <f>IFERROR(VLOOKUP(ROWS($L$2:L5284),$B$2:$C$1996,2,0),"")</f>
        <v/>
      </c>
      <c r="N5284" s="2" t="str">
        <f>IFERROR(VLOOKUP(ROWS($N$2:N5284),$D$2:$E$1996,2,0),"")</f>
        <v/>
      </c>
    </row>
    <row r="5285" spans="2:14">
      <c r="B5285" s="32">
        <f>IF(ISNUMBER(SEARCH('Φόρμα Εισαγωγής'!$B$2,C5285)),MAX($B$1:B5284)+1,0)</f>
        <v>0</v>
      </c>
      <c r="D5285" s="33">
        <f>IF(ISNUMBER(SEARCH('Φόρμα Εισαγωγής'!$C$2,E5285)),MAX($D$1:D5284)+1,0)</f>
        <v>0</v>
      </c>
      <c r="H5285" s="6">
        <f t="shared" si="257"/>
        <v>0</v>
      </c>
      <c r="I5285" s="6">
        <f t="shared" si="258"/>
        <v>0</v>
      </c>
      <c r="J5285" s="6">
        <f t="shared" si="259"/>
        <v>0</v>
      </c>
      <c r="L5285" s="4" t="str">
        <f>IFERROR(VLOOKUP(ROWS($L$2:L5285),$B$2:$C$1996,2,0),"")</f>
        <v/>
      </c>
      <c r="N5285" s="2" t="str">
        <f>IFERROR(VLOOKUP(ROWS($N$2:N5285),$D$2:$E$1996,2,0),"")</f>
        <v/>
      </c>
    </row>
    <row r="5286" spans="2:14">
      <c r="B5286" s="32">
        <f>IF(ISNUMBER(SEARCH('Φόρμα Εισαγωγής'!$B$2,C5286)),MAX($B$1:B5285)+1,0)</f>
        <v>0</v>
      </c>
      <c r="D5286" s="33">
        <f>IF(ISNUMBER(SEARCH('Φόρμα Εισαγωγής'!$C$2,E5286)),MAX($D$1:D5285)+1,0)</f>
        <v>0</v>
      </c>
      <c r="H5286" s="6">
        <f t="shared" si="257"/>
        <v>0</v>
      </c>
      <c r="I5286" s="6">
        <f t="shared" si="258"/>
        <v>0</v>
      </c>
      <c r="J5286" s="6">
        <f t="shared" si="259"/>
        <v>0</v>
      </c>
      <c r="L5286" s="4" t="str">
        <f>IFERROR(VLOOKUP(ROWS($L$2:L5286),$B$2:$C$1996,2,0),"")</f>
        <v/>
      </c>
      <c r="N5286" s="2" t="str">
        <f>IFERROR(VLOOKUP(ROWS($N$2:N5286),$D$2:$E$1996,2,0),"")</f>
        <v/>
      </c>
    </row>
    <row r="5287" spans="2:14">
      <c r="B5287" s="32">
        <f>IF(ISNUMBER(SEARCH('Φόρμα Εισαγωγής'!$B$2,C5287)),MAX($B$1:B5286)+1,0)</f>
        <v>0</v>
      </c>
      <c r="D5287" s="33">
        <f>IF(ISNUMBER(SEARCH('Φόρμα Εισαγωγής'!$C$2,E5287)),MAX($D$1:D5286)+1,0)</f>
        <v>0</v>
      </c>
      <c r="H5287" s="6">
        <f t="shared" si="257"/>
        <v>0</v>
      </c>
      <c r="I5287" s="6">
        <f t="shared" si="258"/>
        <v>0</v>
      </c>
      <c r="J5287" s="6">
        <f t="shared" si="259"/>
        <v>0</v>
      </c>
      <c r="L5287" s="4" t="str">
        <f>IFERROR(VLOOKUP(ROWS($L$2:L5287),$B$2:$C$1996,2,0),"")</f>
        <v/>
      </c>
      <c r="N5287" s="2" t="str">
        <f>IFERROR(VLOOKUP(ROWS($N$2:N5287),$D$2:$E$1996,2,0),"")</f>
        <v/>
      </c>
    </row>
    <row r="5288" spans="2:14">
      <c r="B5288" s="32">
        <f>IF(ISNUMBER(SEARCH('Φόρμα Εισαγωγής'!$B$2,C5288)),MAX($B$1:B5287)+1,0)</f>
        <v>0</v>
      </c>
      <c r="D5288" s="33">
        <f>IF(ISNUMBER(SEARCH('Φόρμα Εισαγωγής'!$C$2,E5288)),MAX($D$1:D5287)+1,0)</f>
        <v>0</v>
      </c>
      <c r="H5288" s="6">
        <f t="shared" si="257"/>
        <v>0</v>
      </c>
      <c r="I5288" s="6">
        <f t="shared" si="258"/>
        <v>0</v>
      </c>
      <c r="J5288" s="6">
        <f t="shared" si="259"/>
        <v>0</v>
      </c>
      <c r="L5288" s="4" t="str">
        <f>IFERROR(VLOOKUP(ROWS($L$2:L5288),$B$2:$C$1996,2,0),"")</f>
        <v/>
      </c>
      <c r="N5288" s="2" t="str">
        <f>IFERROR(VLOOKUP(ROWS($N$2:N5288),$D$2:$E$1996,2,0),"")</f>
        <v/>
      </c>
    </row>
    <row r="5289" spans="2:14">
      <c r="B5289" s="32">
        <f>IF(ISNUMBER(SEARCH('Φόρμα Εισαγωγής'!$B$2,C5289)),MAX($B$1:B5288)+1,0)</f>
        <v>0</v>
      </c>
      <c r="D5289" s="33">
        <f>IF(ISNUMBER(SEARCH('Φόρμα Εισαγωγής'!$C$2,E5289)),MAX($D$1:D5288)+1,0)</f>
        <v>0</v>
      </c>
      <c r="H5289" s="6">
        <f t="shared" si="257"/>
        <v>0</v>
      </c>
      <c r="I5289" s="6">
        <f t="shared" si="258"/>
        <v>0</v>
      </c>
      <c r="J5289" s="6">
        <f t="shared" si="259"/>
        <v>0</v>
      </c>
      <c r="L5289" s="4" t="str">
        <f>IFERROR(VLOOKUP(ROWS($L$2:L5289),$B$2:$C$1996,2,0),"")</f>
        <v/>
      </c>
      <c r="N5289" s="2" t="str">
        <f>IFERROR(VLOOKUP(ROWS($N$2:N5289),$D$2:$E$1996,2,0),"")</f>
        <v/>
      </c>
    </row>
    <row r="5290" spans="2:14">
      <c r="B5290" s="32">
        <f>IF(ISNUMBER(SEARCH('Φόρμα Εισαγωγής'!$B$2,C5290)),MAX($B$1:B5289)+1,0)</f>
        <v>0</v>
      </c>
      <c r="D5290" s="33">
        <f>IF(ISNUMBER(SEARCH('Φόρμα Εισαγωγής'!$C$2,E5290)),MAX($D$1:D5289)+1,0)</f>
        <v>0</v>
      </c>
      <c r="H5290" s="6">
        <f t="shared" si="257"/>
        <v>0</v>
      </c>
      <c r="I5290" s="6">
        <f t="shared" si="258"/>
        <v>0</v>
      </c>
      <c r="J5290" s="6">
        <f t="shared" si="259"/>
        <v>0</v>
      </c>
      <c r="L5290" s="4" t="str">
        <f>IFERROR(VLOOKUP(ROWS($L$2:L5290),$B$2:$C$1996,2,0),"")</f>
        <v/>
      </c>
      <c r="N5290" s="2" t="str">
        <f>IFERROR(VLOOKUP(ROWS($N$2:N5290),$D$2:$E$1996,2,0),"")</f>
        <v/>
      </c>
    </row>
    <row r="5291" spans="2:14">
      <c r="B5291" s="32">
        <f>IF(ISNUMBER(SEARCH('Φόρμα Εισαγωγής'!$B$2,C5291)),MAX($B$1:B5290)+1,0)</f>
        <v>0</v>
      </c>
      <c r="D5291" s="33">
        <f>IF(ISNUMBER(SEARCH('Φόρμα Εισαγωγής'!$C$2,E5291)),MAX($D$1:D5290)+1,0)</f>
        <v>0</v>
      </c>
      <c r="H5291" s="6">
        <f t="shared" si="257"/>
        <v>0</v>
      </c>
      <c r="I5291" s="6">
        <f t="shared" si="258"/>
        <v>0</v>
      </c>
      <c r="J5291" s="6">
        <f t="shared" si="259"/>
        <v>0</v>
      </c>
      <c r="L5291" s="4" t="str">
        <f>IFERROR(VLOOKUP(ROWS($L$2:L5291),$B$2:$C$1996,2,0),"")</f>
        <v/>
      </c>
      <c r="N5291" s="2" t="str">
        <f>IFERROR(VLOOKUP(ROWS($N$2:N5291),$D$2:$E$1996,2,0),"")</f>
        <v/>
      </c>
    </row>
    <row r="5292" spans="2:14">
      <c r="B5292" s="32">
        <f>IF(ISNUMBER(SEARCH('Φόρμα Εισαγωγής'!$B$2,C5292)),MAX($B$1:B5291)+1,0)</f>
        <v>0</v>
      </c>
      <c r="D5292" s="33">
        <f>IF(ISNUMBER(SEARCH('Φόρμα Εισαγωγής'!$C$2,E5292)),MAX($D$1:D5291)+1,0)</f>
        <v>0</v>
      </c>
      <c r="H5292" s="6">
        <f t="shared" si="257"/>
        <v>0</v>
      </c>
      <c r="I5292" s="6">
        <f t="shared" si="258"/>
        <v>0</v>
      </c>
      <c r="J5292" s="6">
        <f t="shared" si="259"/>
        <v>0</v>
      </c>
      <c r="L5292" s="4" t="str">
        <f>IFERROR(VLOOKUP(ROWS($L$2:L5292),$B$2:$C$1996,2,0),"")</f>
        <v/>
      </c>
      <c r="N5292" s="2" t="str">
        <f>IFERROR(VLOOKUP(ROWS($N$2:N5292),$D$2:$E$1996,2,0),"")</f>
        <v/>
      </c>
    </row>
    <row r="5293" spans="2:14">
      <c r="B5293" s="32">
        <f>IF(ISNUMBER(SEARCH('Φόρμα Εισαγωγής'!$B$2,C5293)),MAX($B$1:B5292)+1,0)</f>
        <v>0</v>
      </c>
      <c r="D5293" s="33">
        <f>IF(ISNUMBER(SEARCH('Φόρμα Εισαγωγής'!$C$2,E5293)),MAX($D$1:D5292)+1,0)</f>
        <v>0</v>
      </c>
      <c r="H5293" s="6">
        <f t="shared" si="257"/>
        <v>0</v>
      </c>
      <c r="I5293" s="6">
        <f t="shared" si="258"/>
        <v>0</v>
      </c>
      <c r="J5293" s="6">
        <f t="shared" si="259"/>
        <v>0</v>
      </c>
      <c r="L5293" s="4" t="str">
        <f>IFERROR(VLOOKUP(ROWS($L$2:L5293),$B$2:$C$1996,2,0),"")</f>
        <v/>
      </c>
      <c r="N5293" s="2" t="str">
        <f>IFERROR(VLOOKUP(ROWS($N$2:N5293),$D$2:$E$1996,2,0),"")</f>
        <v/>
      </c>
    </row>
    <row r="5294" spans="2:14">
      <c r="B5294" s="32">
        <f>IF(ISNUMBER(SEARCH('Φόρμα Εισαγωγής'!$B$2,C5294)),MAX($B$1:B5293)+1,0)</f>
        <v>0</v>
      </c>
      <c r="D5294" s="33">
        <f>IF(ISNUMBER(SEARCH('Φόρμα Εισαγωγής'!$C$2,E5294)),MAX($D$1:D5293)+1,0)</f>
        <v>0</v>
      </c>
      <c r="H5294" s="6">
        <f t="shared" si="257"/>
        <v>0</v>
      </c>
      <c r="I5294" s="6">
        <f t="shared" si="258"/>
        <v>0</v>
      </c>
      <c r="J5294" s="6">
        <f t="shared" si="259"/>
        <v>0</v>
      </c>
      <c r="L5294" s="4" t="str">
        <f>IFERROR(VLOOKUP(ROWS($L$2:L5294),$B$2:$C$1996,2,0),"")</f>
        <v/>
      </c>
      <c r="N5294" s="2" t="str">
        <f>IFERROR(VLOOKUP(ROWS($N$2:N5294),$D$2:$E$1996,2,0),"")</f>
        <v/>
      </c>
    </row>
    <row r="5295" spans="2:14">
      <c r="B5295" s="32">
        <f>IF(ISNUMBER(SEARCH('Φόρμα Εισαγωγής'!$B$2,C5295)),MAX($B$1:B5294)+1,0)</f>
        <v>0</v>
      </c>
      <c r="D5295" s="33">
        <f>IF(ISNUMBER(SEARCH('Φόρμα Εισαγωγής'!$C$2,E5295)),MAX($D$1:D5294)+1,0)</f>
        <v>0</v>
      </c>
      <c r="H5295" s="6">
        <f t="shared" si="257"/>
        <v>0</v>
      </c>
      <c r="I5295" s="6">
        <f t="shared" si="258"/>
        <v>0</v>
      </c>
      <c r="J5295" s="6">
        <f t="shared" si="259"/>
        <v>0</v>
      </c>
      <c r="L5295" s="4" t="str">
        <f>IFERROR(VLOOKUP(ROWS($L$2:L5295),$B$2:$C$1996,2,0),"")</f>
        <v/>
      </c>
      <c r="N5295" s="2" t="str">
        <f>IFERROR(VLOOKUP(ROWS($N$2:N5295),$D$2:$E$1996,2,0),"")</f>
        <v/>
      </c>
    </row>
    <row r="5296" spans="2:14">
      <c r="B5296" s="32">
        <f>IF(ISNUMBER(SEARCH('Φόρμα Εισαγωγής'!$B$2,C5296)),MAX($B$1:B5295)+1,0)</f>
        <v>0</v>
      </c>
      <c r="D5296" s="33">
        <f>IF(ISNUMBER(SEARCH('Φόρμα Εισαγωγής'!$C$2,E5296)),MAX($D$1:D5295)+1,0)</f>
        <v>0</v>
      </c>
      <c r="H5296" s="6">
        <f t="shared" si="257"/>
        <v>0</v>
      </c>
      <c r="I5296" s="6">
        <f t="shared" si="258"/>
        <v>0</v>
      </c>
      <c r="J5296" s="6">
        <f t="shared" si="259"/>
        <v>0</v>
      </c>
      <c r="L5296" s="4" t="str">
        <f>IFERROR(VLOOKUP(ROWS($L$2:L5296),$B$2:$C$1996,2,0),"")</f>
        <v/>
      </c>
      <c r="N5296" s="2" t="str">
        <f>IFERROR(VLOOKUP(ROWS($N$2:N5296),$D$2:$E$1996,2,0),"")</f>
        <v/>
      </c>
    </row>
    <row r="5297" spans="2:14">
      <c r="B5297" s="32">
        <f>IF(ISNUMBER(SEARCH('Φόρμα Εισαγωγής'!$B$2,C5297)),MAX($B$1:B5296)+1,0)</f>
        <v>0</v>
      </c>
      <c r="D5297" s="33">
        <f>IF(ISNUMBER(SEARCH('Φόρμα Εισαγωγής'!$C$2,E5297)),MAX($D$1:D5296)+1,0)</f>
        <v>0</v>
      </c>
      <c r="H5297" s="6">
        <f t="shared" si="257"/>
        <v>0</v>
      </c>
      <c r="I5297" s="6">
        <f t="shared" si="258"/>
        <v>0</v>
      </c>
      <c r="J5297" s="6">
        <f t="shared" si="259"/>
        <v>0</v>
      </c>
      <c r="L5297" s="4" t="str">
        <f>IFERROR(VLOOKUP(ROWS($L$2:L5297),$B$2:$C$1996,2,0),"")</f>
        <v/>
      </c>
      <c r="N5297" s="2" t="str">
        <f>IFERROR(VLOOKUP(ROWS($N$2:N5297),$D$2:$E$1996,2,0),"")</f>
        <v/>
      </c>
    </row>
    <row r="5298" spans="2:14">
      <c r="B5298" s="32">
        <f>IF(ISNUMBER(SEARCH('Φόρμα Εισαγωγής'!$B$2,C5298)),MAX($B$1:B5297)+1,0)</f>
        <v>0</v>
      </c>
      <c r="D5298" s="33">
        <f>IF(ISNUMBER(SEARCH('Φόρμα Εισαγωγής'!$C$2,E5298)),MAX($D$1:D5297)+1,0)</f>
        <v>0</v>
      </c>
      <c r="H5298" s="6">
        <f t="shared" si="257"/>
        <v>0</v>
      </c>
      <c r="I5298" s="6">
        <f t="shared" si="258"/>
        <v>0</v>
      </c>
      <c r="J5298" s="6">
        <f t="shared" si="259"/>
        <v>0</v>
      </c>
      <c r="L5298" s="4" t="str">
        <f>IFERROR(VLOOKUP(ROWS($L$2:L5298),$B$2:$C$1996,2,0),"")</f>
        <v/>
      </c>
      <c r="N5298" s="2" t="str">
        <f>IFERROR(VLOOKUP(ROWS($N$2:N5298),$D$2:$E$1996,2,0),"")</f>
        <v/>
      </c>
    </row>
    <row r="5299" spans="2:14">
      <c r="B5299" s="32">
        <f>IF(ISNUMBER(SEARCH('Φόρμα Εισαγωγής'!$B$2,C5299)),MAX($B$1:B5298)+1,0)</f>
        <v>0</v>
      </c>
      <c r="D5299" s="33">
        <f>IF(ISNUMBER(SEARCH('Φόρμα Εισαγωγής'!$C$2,E5299)),MAX($D$1:D5298)+1,0)</f>
        <v>0</v>
      </c>
      <c r="H5299" s="6">
        <f t="shared" si="257"/>
        <v>0</v>
      </c>
      <c r="I5299" s="6">
        <f t="shared" si="258"/>
        <v>0</v>
      </c>
      <c r="J5299" s="6">
        <f t="shared" si="259"/>
        <v>0</v>
      </c>
      <c r="L5299" s="4" t="str">
        <f>IFERROR(VLOOKUP(ROWS($L$2:L5299),$B$2:$C$1996,2,0),"")</f>
        <v/>
      </c>
      <c r="N5299" s="2" t="str">
        <f>IFERROR(VLOOKUP(ROWS($N$2:N5299),$D$2:$E$1996,2,0),"")</f>
        <v/>
      </c>
    </row>
    <row r="5300" spans="2:14">
      <c r="B5300" s="32">
        <f>IF(ISNUMBER(SEARCH('Φόρμα Εισαγωγής'!$B$2,C5300)),MAX($B$1:B5299)+1,0)</f>
        <v>0</v>
      </c>
      <c r="D5300" s="33">
        <f>IF(ISNUMBER(SEARCH('Φόρμα Εισαγωγής'!$C$2,E5300)),MAX($D$1:D5299)+1,0)</f>
        <v>0</v>
      </c>
      <c r="H5300" s="6">
        <f t="shared" si="257"/>
        <v>0</v>
      </c>
      <c r="I5300" s="6">
        <f t="shared" si="258"/>
        <v>0</v>
      </c>
      <c r="J5300" s="6">
        <f t="shared" si="259"/>
        <v>0</v>
      </c>
      <c r="L5300" s="4" t="str">
        <f>IFERROR(VLOOKUP(ROWS($L$2:L5300),$B$2:$C$1996,2,0),"")</f>
        <v/>
      </c>
      <c r="N5300" s="2" t="str">
        <f>IFERROR(VLOOKUP(ROWS($N$2:N5300),$D$2:$E$1996,2,0),"")</f>
        <v/>
      </c>
    </row>
    <row r="5301" spans="2:14">
      <c r="B5301" s="32">
        <f>IF(ISNUMBER(SEARCH('Φόρμα Εισαγωγής'!$B$2,C5301)),MAX($B$1:B5300)+1,0)</f>
        <v>0</v>
      </c>
      <c r="D5301" s="33">
        <f>IF(ISNUMBER(SEARCH('Φόρμα Εισαγωγής'!$C$2,E5301)),MAX($D$1:D5300)+1,0)</f>
        <v>0</v>
      </c>
      <c r="H5301" s="6">
        <f t="shared" si="257"/>
        <v>0</v>
      </c>
      <c r="I5301" s="6">
        <f t="shared" si="258"/>
        <v>0</v>
      </c>
      <c r="J5301" s="6">
        <f t="shared" si="259"/>
        <v>0</v>
      </c>
      <c r="L5301" s="4" t="str">
        <f>IFERROR(VLOOKUP(ROWS($L$2:L5301),$B$2:$C$1996,2,0),"")</f>
        <v/>
      </c>
      <c r="N5301" s="2" t="str">
        <f>IFERROR(VLOOKUP(ROWS($N$2:N5301),$D$2:$E$1996,2,0),"")</f>
        <v/>
      </c>
    </row>
    <row r="5302" spans="2:14">
      <c r="B5302" s="32">
        <f>IF(ISNUMBER(SEARCH('Φόρμα Εισαγωγής'!$B$2,C5302)),MAX($B$1:B5301)+1,0)</f>
        <v>0</v>
      </c>
      <c r="D5302" s="33">
        <f>IF(ISNUMBER(SEARCH('Φόρμα Εισαγωγής'!$C$2,E5302)),MAX($D$1:D5301)+1,0)</f>
        <v>0</v>
      </c>
      <c r="H5302" s="6">
        <f t="shared" si="257"/>
        <v>0</v>
      </c>
      <c r="I5302" s="6">
        <f t="shared" si="258"/>
        <v>0</v>
      </c>
      <c r="J5302" s="6">
        <f t="shared" si="259"/>
        <v>0</v>
      </c>
      <c r="L5302" s="4" t="str">
        <f>IFERROR(VLOOKUP(ROWS($L$2:L5302),$B$2:$C$1996,2,0),"")</f>
        <v/>
      </c>
      <c r="N5302" s="2" t="str">
        <f>IFERROR(VLOOKUP(ROWS($N$2:N5302),$D$2:$E$1996,2,0),"")</f>
        <v/>
      </c>
    </row>
    <row r="5303" spans="2:14">
      <c r="B5303" s="32">
        <f>IF(ISNUMBER(SEARCH('Φόρμα Εισαγωγής'!$B$2,C5303)),MAX($B$1:B5302)+1,0)</f>
        <v>0</v>
      </c>
      <c r="D5303" s="33">
        <f>IF(ISNUMBER(SEARCH('Φόρμα Εισαγωγής'!$C$2,E5303)),MAX($D$1:D5302)+1,0)</f>
        <v>0</v>
      </c>
      <c r="H5303" s="6">
        <f t="shared" si="257"/>
        <v>0</v>
      </c>
      <c r="I5303" s="6">
        <f t="shared" si="258"/>
        <v>0</v>
      </c>
      <c r="J5303" s="6">
        <f t="shared" si="259"/>
        <v>0</v>
      </c>
      <c r="L5303" s="4" t="str">
        <f>IFERROR(VLOOKUP(ROWS($L$2:L5303),$B$2:$C$1996,2,0),"")</f>
        <v/>
      </c>
      <c r="N5303" s="2" t="str">
        <f>IFERROR(VLOOKUP(ROWS($N$2:N5303),$D$2:$E$1996,2,0),"")</f>
        <v/>
      </c>
    </row>
    <row r="5304" spans="2:14">
      <c r="B5304" s="32">
        <f>IF(ISNUMBER(SEARCH('Φόρμα Εισαγωγής'!$B$2,C5304)),MAX($B$1:B5303)+1,0)</f>
        <v>0</v>
      </c>
      <c r="D5304" s="33">
        <f>IF(ISNUMBER(SEARCH('Φόρμα Εισαγωγής'!$C$2,E5304)),MAX($D$1:D5303)+1,0)</f>
        <v>0</v>
      </c>
      <c r="H5304" s="6">
        <f t="shared" si="257"/>
        <v>0</v>
      </c>
      <c r="I5304" s="6">
        <f t="shared" si="258"/>
        <v>0</v>
      </c>
      <c r="J5304" s="6">
        <f t="shared" si="259"/>
        <v>0</v>
      </c>
      <c r="L5304" s="4" t="str">
        <f>IFERROR(VLOOKUP(ROWS($L$2:L5304),$B$2:$C$1996,2,0),"")</f>
        <v/>
      </c>
      <c r="N5304" s="2" t="str">
        <f>IFERROR(VLOOKUP(ROWS($N$2:N5304),$D$2:$E$1996,2,0),"")</f>
        <v/>
      </c>
    </row>
    <row r="5305" spans="2:14">
      <c r="B5305" s="32">
        <f>IF(ISNUMBER(SEARCH('Φόρμα Εισαγωγής'!$B$2,C5305)),MAX($B$1:B5304)+1,0)</f>
        <v>0</v>
      </c>
      <c r="D5305" s="33">
        <f>IF(ISNUMBER(SEARCH('Φόρμα Εισαγωγής'!$C$2,E5305)),MAX($D$1:D5304)+1,0)</f>
        <v>0</v>
      </c>
      <c r="H5305" s="6">
        <f t="shared" si="257"/>
        <v>0</v>
      </c>
      <c r="I5305" s="6">
        <f t="shared" si="258"/>
        <v>0</v>
      </c>
      <c r="J5305" s="6">
        <f t="shared" si="259"/>
        <v>0</v>
      </c>
      <c r="L5305" s="4" t="str">
        <f>IFERROR(VLOOKUP(ROWS($L$2:L5305),$B$2:$C$1996,2,0),"")</f>
        <v/>
      </c>
      <c r="N5305" s="2" t="str">
        <f>IFERROR(VLOOKUP(ROWS($N$2:N5305),$D$2:$E$1996,2,0),"")</f>
        <v/>
      </c>
    </row>
    <row r="5306" spans="2:14">
      <c r="B5306" s="32">
        <f>IF(ISNUMBER(SEARCH('Φόρμα Εισαγωγής'!$B$2,C5306)),MAX($B$1:B5305)+1,0)</f>
        <v>0</v>
      </c>
      <c r="D5306" s="33">
        <f>IF(ISNUMBER(SEARCH('Φόρμα Εισαγωγής'!$C$2,E5306)),MAX($D$1:D5305)+1,0)</f>
        <v>0</v>
      </c>
      <c r="H5306" s="6">
        <f t="shared" si="257"/>
        <v>0</v>
      </c>
      <c r="I5306" s="6">
        <f t="shared" si="258"/>
        <v>0</v>
      </c>
      <c r="J5306" s="6">
        <f t="shared" si="259"/>
        <v>0</v>
      </c>
      <c r="L5306" s="4" t="str">
        <f>IFERROR(VLOOKUP(ROWS($L$2:L5306),$B$2:$C$1996,2,0),"")</f>
        <v/>
      </c>
      <c r="N5306" s="2" t="str">
        <f>IFERROR(VLOOKUP(ROWS($N$2:N5306),$D$2:$E$1996,2,0),"")</f>
        <v/>
      </c>
    </row>
    <row r="5307" spans="2:14">
      <c r="B5307" s="32">
        <f>IF(ISNUMBER(SEARCH('Φόρμα Εισαγωγής'!$B$2,C5307)),MAX($B$1:B5306)+1,0)</f>
        <v>0</v>
      </c>
      <c r="D5307" s="33">
        <f>IF(ISNUMBER(SEARCH('Φόρμα Εισαγωγής'!$C$2,E5307)),MAX($D$1:D5306)+1,0)</f>
        <v>0</v>
      </c>
      <c r="H5307" s="6">
        <f t="shared" si="257"/>
        <v>0</v>
      </c>
      <c r="I5307" s="6">
        <f t="shared" si="258"/>
        <v>0</v>
      </c>
      <c r="J5307" s="6">
        <f t="shared" si="259"/>
        <v>0</v>
      </c>
      <c r="L5307" s="4" t="str">
        <f>IFERROR(VLOOKUP(ROWS($L$2:L5307),$B$2:$C$1996,2,0),"")</f>
        <v/>
      </c>
      <c r="N5307" s="2" t="str">
        <f>IFERROR(VLOOKUP(ROWS($N$2:N5307),$D$2:$E$1996,2,0),"")</f>
        <v/>
      </c>
    </row>
    <row r="5308" spans="2:14">
      <c r="B5308" s="32">
        <f>IF(ISNUMBER(SEARCH('Φόρμα Εισαγωγής'!$B$2,C5308)),MAX($B$1:B5307)+1,0)</f>
        <v>0</v>
      </c>
      <c r="D5308" s="33">
        <f>IF(ISNUMBER(SEARCH('Φόρμα Εισαγωγής'!$C$2,E5308)),MAX($D$1:D5307)+1,0)</f>
        <v>0</v>
      </c>
      <c r="H5308" s="6">
        <f t="shared" si="257"/>
        <v>0</v>
      </c>
      <c r="I5308" s="6">
        <f t="shared" si="258"/>
        <v>0</v>
      </c>
      <c r="J5308" s="6">
        <f t="shared" si="259"/>
        <v>0</v>
      </c>
      <c r="L5308" s="4" t="str">
        <f>IFERROR(VLOOKUP(ROWS($L$2:L5308),$B$2:$C$1996,2,0),"")</f>
        <v/>
      </c>
      <c r="N5308" s="2" t="str">
        <f>IFERROR(VLOOKUP(ROWS($N$2:N5308),$D$2:$E$1996,2,0),"")</f>
        <v/>
      </c>
    </row>
    <row r="5309" spans="2:14">
      <c r="B5309" s="32">
        <f>IF(ISNUMBER(SEARCH('Φόρμα Εισαγωγής'!$B$2,C5309)),MAX($B$1:B5308)+1,0)</f>
        <v>0</v>
      </c>
      <c r="D5309" s="33">
        <f>IF(ISNUMBER(SEARCH('Φόρμα Εισαγωγής'!$C$2,E5309)),MAX($D$1:D5308)+1,0)</f>
        <v>0</v>
      </c>
      <c r="H5309" s="6">
        <f t="shared" si="257"/>
        <v>0</v>
      </c>
      <c r="I5309" s="6">
        <f t="shared" si="258"/>
        <v>0</v>
      </c>
      <c r="J5309" s="6">
        <f t="shared" si="259"/>
        <v>0</v>
      </c>
      <c r="L5309" s="4" t="str">
        <f>IFERROR(VLOOKUP(ROWS($L$2:L5309),$B$2:$C$1996,2,0),"")</f>
        <v/>
      </c>
      <c r="N5309" s="2" t="str">
        <f>IFERROR(VLOOKUP(ROWS($N$2:N5309),$D$2:$E$1996,2,0),"")</f>
        <v/>
      </c>
    </row>
    <row r="5310" spans="2:14">
      <c r="B5310" s="32">
        <f>IF(ISNUMBER(SEARCH('Φόρμα Εισαγωγής'!$B$2,C5310)),MAX($B$1:B5309)+1,0)</f>
        <v>0</v>
      </c>
      <c r="D5310" s="33">
        <f>IF(ISNUMBER(SEARCH('Φόρμα Εισαγωγής'!$C$2,E5310)),MAX($D$1:D5309)+1,0)</f>
        <v>0</v>
      </c>
      <c r="H5310" s="6">
        <f t="shared" si="257"/>
        <v>0</v>
      </c>
      <c r="I5310" s="6">
        <f t="shared" si="258"/>
        <v>0</v>
      </c>
      <c r="J5310" s="6">
        <f t="shared" si="259"/>
        <v>0</v>
      </c>
      <c r="L5310" s="4" t="str">
        <f>IFERROR(VLOOKUP(ROWS($L$2:L5310),$B$2:$C$1996,2,0),"")</f>
        <v/>
      </c>
      <c r="N5310" s="2" t="str">
        <f>IFERROR(VLOOKUP(ROWS($N$2:N5310),$D$2:$E$1996,2,0),"")</f>
        <v/>
      </c>
    </row>
    <row r="5311" spans="2:14">
      <c r="B5311" s="32">
        <f>IF(ISNUMBER(SEARCH('Φόρμα Εισαγωγής'!$B$2,C5311)),MAX($B$1:B5310)+1,0)</f>
        <v>0</v>
      </c>
      <c r="D5311" s="33">
        <f>IF(ISNUMBER(SEARCH('Φόρμα Εισαγωγής'!$C$2,E5311)),MAX($D$1:D5310)+1,0)</f>
        <v>0</v>
      </c>
      <c r="H5311" s="6">
        <f t="shared" si="257"/>
        <v>0</v>
      </c>
      <c r="I5311" s="6">
        <f t="shared" si="258"/>
        <v>0</v>
      </c>
      <c r="J5311" s="6">
        <f t="shared" si="259"/>
        <v>0</v>
      </c>
      <c r="L5311" s="4" t="str">
        <f>IFERROR(VLOOKUP(ROWS($L$2:L5311),$B$2:$C$1996,2,0),"")</f>
        <v/>
      </c>
      <c r="N5311" s="2" t="str">
        <f>IFERROR(VLOOKUP(ROWS($N$2:N5311),$D$2:$E$1996,2,0),"")</f>
        <v/>
      </c>
    </row>
    <row r="5312" spans="2:14">
      <c r="B5312" s="32">
        <f>IF(ISNUMBER(SEARCH('Φόρμα Εισαγωγής'!$B$2,C5312)),MAX($B$1:B5311)+1,0)</f>
        <v>0</v>
      </c>
      <c r="D5312" s="33">
        <f>IF(ISNUMBER(SEARCH('Φόρμα Εισαγωγής'!$C$2,E5312)),MAX($D$1:D5311)+1,0)</f>
        <v>0</v>
      </c>
      <c r="H5312" s="6">
        <f t="shared" ref="H5312:H5375" si="260">G5312+(G5312*0.24)</f>
        <v>0</v>
      </c>
      <c r="I5312" s="6">
        <f t="shared" ref="I5312:I5375" si="261">F5312*A5312</f>
        <v>0</v>
      </c>
      <c r="J5312" s="6">
        <f t="shared" ref="J5312:J5375" si="262">H5312*A5312</f>
        <v>0</v>
      </c>
      <c r="L5312" s="4" t="str">
        <f>IFERROR(VLOOKUP(ROWS($L$2:L5312),$B$2:$C$1996,2,0),"")</f>
        <v/>
      </c>
      <c r="N5312" s="2" t="str">
        <f>IFERROR(VLOOKUP(ROWS($N$2:N5312),$D$2:$E$1996,2,0),"")</f>
        <v/>
      </c>
    </row>
    <row r="5313" spans="2:14">
      <c r="B5313" s="32">
        <f>IF(ISNUMBER(SEARCH('Φόρμα Εισαγωγής'!$B$2,C5313)),MAX($B$1:B5312)+1,0)</f>
        <v>0</v>
      </c>
      <c r="D5313" s="33">
        <f>IF(ISNUMBER(SEARCH('Φόρμα Εισαγωγής'!$C$2,E5313)),MAX($D$1:D5312)+1,0)</f>
        <v>0</v>
      </c>
      <c r="H5313" s="6">
        <f t="shared" si="260"/>
        <v>0</v>
      </c>
      <c r="I5313" s="6">
        <f t="shared" si="261"/>
        <v>0</v>
      </c>
      <c r="J5313" s="6">
        <f t="shared" si="262"/>
        <v>0</v>
      </c>
      <c r="L5313" s="4" t="str">
        <f>IFERROR(VLOOKUP(ROWS($L$2:L5313),$B$2:$C$1996,2,0),"")</f>
        <v/>
      </c>
      <c r="N5313" s="2" t="str">
        <f>IFERROR(VLOOKUP(ROWS($N$2:N5313),$D$2:$E$1996,2,0),"")</f>
        <v/>
      </c>
    </row>
    <row r="5314" spans="2:14">
      <c r="B5314" s="32">
        <f>IF(ISNUMBER(SEARCH('Φόρμα Εισαγωγής'!$B$2,C5314)),MAX($B$1:B5313)+1,0)</f>
        <v>0</v>
      </c>
      <c r="D5314" s="33">
        <f>IF(ISNUMBER(SEARCH('Φόρμα Εισαγωγής'!$C$2,E5314)),MAX($D$1:D5313)+1,0)</f>
        <v>0</v>
      </c>
      <c r="H5314" s="6">
        <f t="shared" si="260"/>
        <v>0</v>
      </c>
      <c r="I5314" s="6">
        <f t="shared" si="261"/>
        <v>0</v>
      </c>
      <c r="J5314" s="6">
        <f t="shared" si="262"/>
        <v>0</v>
      </c>
      <c r="L5314" s="4" t="str">
        <f>IFERROR(VLOOKUP(ROWS($L$2:L5314),$B$2:$C$1996,2,0),"")</f>
        <v/>
      </c>
      <c r="N5314" s="2" t="str">
        <f>IFERROR(VLOOKUP(ROWS($N$2:N5314),$D$2:$E$1996,2,0),"")</f>
        <v/>
      </c>
    </row>
    <row r="5315" spans="2:14">
      <c r="B5315" s="32">
        <f>IF(ISNUMBER(SEARCH('Φόρμα Εισαγωγής'!$B$2,C5315)),MAX($B$1:B5314)+1,0)</f>
        <v>0</v>
      </c>
      <c r="D5315" s="33">
        <f>IF(ISNUMBER(SEARCH('Φόρμα Εισαγωγής'!$C$2,E5315)),MAX($D$1:D5314)+1,0)</f>
        <v>0</v>
      </c>
      <c r="H5315" s="6">
        <f t="shared" si="260"/>
        <v>0</v>
      </c>
      <c r="I5315" s="6">
        <f t="shared" si="261"/>
        <v>0</v>
      </c>
      <c r="J5315" s="6">
        <f t="shared" si="262"/>
        <v>0</v>
      </c>
      <c r="L5315" s="4" t="str">
        <f>IFERROR(VLOOKUP(ROWS($L$2:L5315),$B$2:$C$1996,2,0),"")</f>
        <v/>
      </c>
      <c r="N5315" s="2" t="str">
        <f>IFERROR(VLOOKUP(ROWS($N$2:N5315),$D$2:$E$1996,2,0),"")</f>
        <v/>
      </c>
    </row>
    <row r="5316" spans="2:14">
      <c r="B5316" s="32">
        <f>IF(ISNUMBER(SEARCH('Φόρμα Εισαγωγής'!$B$2,C5316)),MAX($B$1:B5315)+1,0)</f>
        <v>0</v>
      </c>
      <c r="D5316" s="33">
        <f>IF(ISNUMBER(SEARCH('Φόρμα Εισαγωγής'!$C$2,E5316)),MAX($D$1:D5315)+1,0)</f>
        <v>0</v>
      </c>
      <c r="H5316" s="6">
        <f t="shared" si="260"/>
        <v>0</v>
      </c>
      <c r="I5316" s="6">
        <f t="shared" si="261"/>
        <v>0</v>
      </c>
      <c r="J5316" s="6">
        <f t="shared" si="262"/>
        <v>0</v>
      </c>
      <c r="L5316" s="4" t="str">
        <f>IFERROR(VLOOKUP(ROWS($L$2:L5316),$B$2:$C$1996,2,0),"")</f>
        <v/>
      </c>
      <c r="N5316" s="2" t="str">
        <f>IFERROR(VLOOKUP(ROWS($N$2:N5316),$D$2:$E$1996,2,0),"")</f>
        <v/>
      </c>
    </row>
    <row r="5317" spans="2:14">
      <c r="B5317" s="32">
        <f>IF(ISNUMBER(SEARCH('Φόρμα Εισαγωγής'!$B$2,C5317)),MAX($B$1:B5316)+1,0)</f>
        <v>0</v>
      </c>
      <c r="D5317" s="33">
        <f>IF(ISNUMBER(SEARCH('Φόρμα Εισαγωγής'!$C$2,E5317)),MAX($D$1:D5316)+1,0)</f>
        <v>0</v>
      </c>
      <c r="H5317" s="6">
        <f t="shared" si="260"/>
        <v>0</v>
      </c>
      <c r="I5317" s="6">
        <f t="shared" si="261"/>
        <v>0</v>
      </c>
      <c r="J5317" s="6">
        <f t="shared" si="262"/>
        <v>0</v>
      </c>
      <c r="L5317" s="4" t="str">
        <f>IFERROR(VLOOKUP(ROWS($L$2:L5317),$B$2:$C$1996,2,0),"")</f>
        <v/>
      </c>
      <c r="N5317" s="2" t="str">
        <f>IFERROR(VLOOKUP(ROWS($N$2:N5317),$D$2:$E$1996,2,0),"")</f>
        <v/>
      </c>
    </row>
    <row r="5318" spans="2:14">
      <c r="B5318" s="32">
        <f>IF(ISNUMBER(SEARCH('Φόρμα Εισαγωγής'!$B$2,C5318)),MAX($B$1:B5317)+1,0)</f>
        <v>0</v>
      </c>
      <c r="D5318" s="33">
        <f>IF(ISNUMBER(SEARCH('Φόρμα Εισαγωγής'!$C$2,E5318)),MAX($D$1:D5317)+1,0)</f>
        <v>0</v>
      </c>
      <c r="H5318" s="6">
        <f t="shared" si="260"/>
        <v>0</v>
      </c>
      <c r="I5318" s="6">
        <f t="shared" si="261"/>
        <v>0</v>
      </c>
      <c r="J5318" s="6">
        <f t="shared" si="262"/>
        <v>0</v>
      </c>
      <c r="L5318" s="4" t="str">
        <f>IFERROR(VLOOKUP(ROWS($L$2:L5318),$B$2:$C$1996,2,0),"")</f>
        <v/>
      </c>
      <c r="N5318" s="2" t="str">
        <f>IFERROR(VLOOKUP(ROWS($N$2:N5318),$D$2:$E$1996,2,0),"")</f>
        <v/>
      </c>
    </row>
    <row r="5319" spans="2:14">
      <c r="B5319" s="32">
        <f>IF(ISNUMBER(SEARCH('Φόρμα Εισαγωγής'!$B$2,C5319)),MAX($B$1:B5318)+1,0)</f>
        <v>0</v>
      </c>
      <c r="D5319" s="33">
        <f>IF(ISNUMBER(SEARCH('Φόρμα Εισαγωγής'!$C$2,E5319)),MAX($D$1:D5318)+1,0)</f>
        <v>0</v>
      </c>
      <c r="H5319" s="6">
        <f t="shared" si="260"/>
        <v>0</v>
      </c>
      <c r="I5319" s="6">
        <f t="shared" si="261"/>
        <v>0</v>
      </c>
      <c r="J5319" s="6">
        <f t="shared" si="262"/>
        <v>0</v>
      </c>
      <c r="L5319" s="4" t="str">
        <f>IFERROR(VLOOKUP(ROWS($L$2:L5319),$B$2:$C$1996,2,0),"")</f>
        <v/>
      </c>
      <c r="N5319" s="2" t="str">
        <f>IFERROR(VLOOKUP(ROWS($N$2:N5319),$D$2:$E$1996,2,0),"")</f>
        <v/>
      </c>
    </row>
    <row r="5320" spans="2:14">
      <c r="B5320" s="32">
        <f>IF(ISNUMBER(SEARCH('Φόρμα Εισαγωγής'!$B$2,C5320)),MAX($B$1:B5319)+1,0)</f>
        <v>0</v>
      </c>
      <c r="D5320" s="33">
        <f>IF(ISNUMBER(SEARCH('Φόρμα Εισαγωγής'!$C$2,E5320)),MAX($D$1:D5319)+1,0)</f>
        <v>0</v>
      </c>
      <c r="H5320" s="6">
        <f t="shared" si="260"/>
        <v>0</v>
      </c>
      <c r="I5320" s="6">
        <f t="shared" si="261"/>
        <v>0</v>
      </c>
      <c r="J5320" s="6">
        <f t="shared" si="262"/>
        <v>0</v>
      </c>
      <c r="L5320" s="4" t="str">
        <f>IFERROR(VLOOKUP(ROWS($L$2:L5320),$B$2:$C$1996,2,0),"")</f>
        <v/>
      </c>
      <c r="N5320" s="2" t="str">
        <f>IFERROR(VLOOKUP(ROWS($N$2:N5320),$D$2:$E$1996,2,0),"")</f>
        <v/>
      </c>
    </row>
    <row r="5321" spans="2:14">
      <c r="B5321" s="32">
        <f>IF(ISNUMBER(SEARCH('Φόρμα Εισαγωγής'!$B$2,C5321)),MAX($B$1:B5320)+1,0)</f>
        <v>0</v>
      </c>
      <c r="D5321" s="33">
        <f>IF(ISNUMBER(SEARCH('Φόρμα Εισαγωγής'!$C$2,E5321)),MAX($D$1:D5320)+1,0)</f>
        <v>0</v>
      </c>
      <c r="H5321" s="6">
        <f t="shared" si="260"/>
        <v>0</v>
      </c>
      <c r="I5321" s="6">
        <f t="shared" si="261"/>
        <v>0</v>
      </c>
      <c r="J5321" s="6">
        <f t="shared" si="262"/>
        <v>0</v>
      </c>
      <c r="L5321" s="4" t="str">
        <f>IFERROR(VLOOKUP(ROWS($L$2:L5321),$B$2:$C$1996,2,0),"")</f>
        <v/>
      </c>
      <c r="N5321" s="2" t="str">
        <f>IFERROR(VLOOKUP(ROWS($N$2:N5321),$D$2:$E$1996,2,0),"")</f>
        <v/>
      </c>
    </row>
    <row r="5322" spans="2:14">
      <c r="B5322" s="32">
        <f>IF(ISNUMBER(SEARCH('Φόρμα Εισαγωγής'!$B$2,C5322)),MAX($B$1:B5321)+1,0)</f>
        <v>0</v>
      </c>
      <c r="D5322" s="33">
        <f>IF(ISNUMBER(SEARCH('Φόρμα Εισαγωγής'!$C$2,E5322)),MAX($D$1:D5321)+1,0)</f>
        <v>0</v>
      </c>
      <c r="H5322" s="6">
        <f t="shared" si="260"/>
        <v>0</v>
      </c>
      <c r="I5322" s="6">
        <f t="shared" si="261"/>
        <v>0</v>
      </c>
      <c r="J5322" s="6">
        <f t="shared" si="262"/>
        <v>0</v>
      </c>
      <c r="L5322" s="4" t="str">
        <f>IFERROR(VLOOKUP(ROWS($L$2:L5322),$B$2:$C$1996,2,0),"")</f>
        <v/>
      </c>
      <c r="N5322" s="2" t="str">
        <f>IFERROR(VLOOKUP(ROWS($N$2:N5322),$D$2:$E$1996,2,0),"")</f>
        <v/>
      </c>
    </row>
    <row r="5323" spans="2:14">
      <c r="B5323" s="32">
        <f>IF(ISNUMBER(SEARCH('Φόρμα Εισαγωγής'!$B$2,C5323)),MAX($B$1:B5322)+1,0)</f>
        <v>0</v>
      </c>
      <c r="D5323" s="33">
        <f>IF(ISNUMBER(SEARCH('Φόρμα Εισαγωγής'!$C$2,E5323)),MAX($D$1:D5322)+1,0)</f>
        <v>0</v>
      </c>
      <c r="H5323" s="6">
        <f t="shared" si="260"/>
        <v>0</v>
      </c>
      <c r="I5323" s="6">
        <f t="shared" si="261"/>
        <v>0</v>
      </c>
      <c r="J5323" s="6">
        <f t="shared" si="262"/>
        <v>0</v>
      </c>
      <c r="L5323" s="4" t="str">
        <f>IFERROR(VLOOKUP(ROWS($L$2:L5323),$B$2:$C$1996,2,0),"")</f>
        <v/>
      </c>
      <c r="N5323" s="2" t="str">
        <f>IFERROR(VLOOKUP(ROWS($N$2:N5323),$D$2:$E$1996,2,0),"")</f>
        <v/>
      </c>
    </row>
    <row r="5324" spans="2:14">
      <c r="B5324" s="32">
        <f>IF(ISNUMBER(SEARCH('Φόρμα Εισαγωγής'!$B$2,C5324)),MAX($B$1:B5323)+1,0)</f>
        <v>0</v>
      </c>
      <c r="D5324" s="33">
        <f>IF(ISNUMBER(SEARCH('Φόρμα Εισαγωγής'!$C$2,E5324)),MAX($D$1:D5323)+1,0)</f>
        <v>0</v>
      </c>
      <c r="H5324" s="6">
        <f t="shared" si="260"/>
        <v>0</v>
      </c>
      <c r="I5324" s="6">
        <f t="shared" si="261"/>
        <v>0</v>
      </c>
      <c r="J5324" s="6">
        <f t="shared" si="262"/>
        <v>0</v>
      </c>
      <c r="L5324" s="4" t="str">
        <f>IFERROR(VLOOKUP(ROWS($L$2:L5324),$B$2:$C$1996,2,0),"")</f>
        <v/>
      </c>
      <c r="N5324" s="2" t="str">
        <f>IFERROR(VLOOKUP(ROWS($N$2:N5324),$D$2:$E$1996,2,0),"")</f>
        <v/>
      </c>
    </row>
    <row r="5325" spans="2:14">
      <c r="B5325" s="32">
        <f>IF(ISNUMBER(SEARCH('Φόρμα Εισαγωγής'!$B$2,C5325)),MAX($B$1:B5324)+1,0)</f>
        <v>0</v>
      </c>
      <c r="D5325" s="33">
        <f>IF(ISNUMBER(SEARCH('Φόρμα Εισαγωγής'!$C$2,E5325)),MAX($D$1:D5324)+1,0)</f>
        <v>0</v>
      </c>
      <c r="H5325" s="6">
        <f t="shared" si="260"/>
        <v>0</v>
      </c>
      <c r="I5325" s="6">
        <f t="shared" si="261"/>
        <v>0</v>
      </c>
      <c r="J5325" s="6">
        <f t="shared" si="262"/>
        <v>0</v>
      </c>
      <c r="L5325" s="4" t="str">
        <f>IFERROR(VLOOKUP(ROWS($L$2:L5325),$B$2:$C$1996,2,0),"")</f>
        <v/>
      </c>
      <c r="N5325" s="2" t="str">
        <f>IFERROR(VLOOKUP(ROWS($N$2:N5325),$D$2:$E$1996,2,0),"")</f>
        <v/>
      </c>
    </row>
    <row r="5326" spans="2:14">
      <c r="B5326" s="32">
        <f>IF(ISNUMBER(SEARCH('Φόρμα Εισαγωγής'!$B$2,C5326)),MAX($B$1:B5325)+1,0)</f>
        <v>0</v>
      </c>
      <c r="D5326" s="33">
        <f>IF(ISNUMBER(SEARCH('Φόρμα Εισαγωγής'!$C$2,E5326)),MAX($D$1:D5325)+1,0)</f>
        <v>0</v>
      </c>
      <c r="H5326" s="6">
        <f t="shared" si="260"/>
        <v>0</v>
      </c>
      <c r="I5326" s="6">
        <f t="shared" si="261"/>
        <v>0</v>
      </c>
      <c r="J5326" s="6">
        <f t="shared" si="262"/>
        <v>0</v>
      </c>
      <c r="L5326" s="4" t="str">
        <f>IFERROR(VLOOKUP(ROWS($L$2:L5326),$B$2:$C$1996,2,0),"")</f>
        <v/>
      </c>
      <c r="N5326" s="2" t="str">
        <f>IFERROR(VLOOKUP(ROWS($N$2:N5326),$D$2:$E$1996,2,0),"")</f>
        <v/>
      </c>
    </row>
    <row r="5327" spans="2:14">
      <c r="B5327" s="32">
        <f>IF(ISNUMBER(SEARCH('Φόρμα Εισαγωγής'!$B$2,C5327)),MAX($B$1:B5326)+1,0)</f>
        <v>0</v>
      </c>
      <c r="D5327" s="33">
        <f>IF(ISNUMBER(SEARCH('Φόρμα Εισαγωγής'!$C$2,E5327)),MAX($D$1:D5326)+1,0)</f>
        <v>0</v>
      </c>
      <c r="H5327" s="6">
        <f t="shared" si="260"/>
        <v>0</v>
      </c>
      <c r="I5327" s="6">
        <f t="shared" si="261"/>
        <v>0</v>
      </c>
      <c r="J5327" s="6">
        <f t="shared" si="262"/>
        <v>0</v>
      </c>
      <c r="L5327" s="4" t="str">
        <f>IFERROR(VLOOKUP(ROWS($L$2:L5327),$B$2:$C$1996,2,0),"")</f>
        <v/>
      </c>
      <c r="N5327" s="2" t="str">
        <f>IFERROR(VLOOKUP(ROWS($N$2:N5327),$D$2:$E$1996,2,0),"")</f>
        <v/>
      </c>
    </row>
    <row r="5328" spans="2:14">
      <c r="B5328" s="32">
        <f>IF(ISNUMBER(SEARCH('Φόρμα Εισαγωγής'!$B$2,C5328)),MAX($B$1:B5327)+1,0)</f>
        <v>0</v>
      </c>
      <c r="D5328" s="33">
        <f>IF(ISNUMBER(SEARCH('Φόρμα Εισαγωγής'!$C$2,E5328)),MAX($D$1:D5327)+1,0)</f>
        <v>0</v>
      </c>
      <c r="H5328" s="6">
        <f t="shared" si="260"/>
        <v>0</v>
      </c>
      <c r="I5328" s="6">
        <f t="shared" si="261"/>
        <v>0</v>
      </c>
      <c r="J5328" s="6">
        <f t="shared" si="262"/>
        <v>0</v>
      </c>
      <c r="L5328" s="4" t="str">
        <f>IFERROR(VLOOKUP(ROWS($L$2:L5328),$B$2:$C$1996,2,0),"")</f>
        <v/>
      </c>
      <c r="N5328" s="2" t="str">
        <f>IFERROR(VLOOKUP(ROWS($N$2:N5328),$D$2:$E$1996,2,0),"")</f>
        <v/>
      </c>
    </row>
    <row r="5329" spans="2:14">
      <c r="B5329" s="32">
        <f>IF(ISNUMBER(SEARCH('Φόρμα Εισαγωγής'!$B$2,C5329)),MAX($B$1:B5328)+1,0)</f>
        <v>0</v>
      </c>
      <c r="D5329" s="33">
        <f>IF(ISNUMBER(SEARCH('Φόρμα Εισαγωγής'!$C$2,E5329)),MAX($D$1:D5328)+1,0)</f>
        <v>0</v>
      </c>
      <c r="H5329" s="6">
        <f t="shared" si="260"/>
        <v>0</v>
      </c>
      <c r="I5329" s="6">
        <f t="shared" si="261"/>
        <v>0</v>
      </c>
      <c r="J5329" s="6">
        <f t="shared" si="262"/>
        <v>0</v>
      </c>
      <c r="L5329" s="4" t="str">
        <f>IFERROR(VLOOKUP(ROWS($L$2:L5329),$B$2:$C$1996,2,0),"")</f>
        <v/>
      </c>
      <c r="N5329" s="2" t="str">
        <f>IFERROR(VLOOKUP(ROWS($N$2:N5329),$D$2:$E$1996,2,0),"")</f>
        <v/>
      </c>
    </row>
    <row r="5330" spans="2:14">
      <c r="B5330" s="32">
        <f>IF(ISNUMBER(SEARCH('Φόρμα Εισαγωγής'!$B$2,C5330)),MAX($B$1:B5329)+1,0)</f>
        <v>0</v>
      </c>
      <c r="D5330" s="33">
        <f>IF(ISNUMBER(SEARCH('Φόρμα Εισαγωγής'!$C$2,E5330)),MAX($D$1:D5329)+1,0)</f>
        <v>0</v>
      </c>
      <c r="H5330" s="6">
        <f t="shared" si="260"/>
        <v>0</v>
      </c>
      <c r="I5330" s="6">
        <f t="shared" si="261"/>
        <v>0</v>
      </c>
      <c r="J5330" s="6">
        <f t="shared" si="262"/>
        <v>0</v>
      </c>
      <c r="L5330" s="4" t="str">
        <f>IFERROR(VLOOKUP(ROWS($L$2:L5330),$B$2:$C$1996,2,0),"")</f>
        <v/>
      </c>
      <c r="N5330" s="2" t="str">
        <f>IFERROR(VLOOKUP(ROWS($N$2:N5330),$D$2:$E$1996,2,0),"")</f>
        <v/>
      </c>
    </row>
    <row r="5331" spans="2:14">
      <c r="B5331" s="32">
        <f>IF(ISNUMBER(SEARCH('Φόρμα Εισαγωγής'!$B$2,C5331)),MAX($B$1:B5330)+1,0)</f>
        <v>0</v>
      </c>
      <c r="D5331" s="33">
        <f>IF(ISNUMBER(SEARCH('Φόρμα Εισαγωγής'!$C$2,E5331)),MAX($D$1:D5330)+1,0)</f>
        <v>0</v>
      </c>
      <c r="H5331" s="6">
        <f t="shared" si="260"/>
        <v>0</v>
      </c>
      <c r="I5331" s="6">
        <f t="shared" si="261"/>
        <v>0</v>
      </c>
      <c r="J5331" s="6">
        <f t="shared" si="262"/>
        <v>0</v>
      </c>
      <c r="L5331" s="4" t="str">
        <f>IFERROR(VLOOKUP(ROWS($L$2:L5331),$B$2:$C$1996,2,0),"")</f>
        <v/>
      </c>
      <c r="N5331" s="2" t="str">
        <f>IFERROR(VLOOKUP(ROWS($N$2:N5331),$D$2:$E$1996,2,0),"")</f>
        <v/>
      </c>
    </row>
    <row r="5332" spans="2:14">
      <c r="B5332" s="32">
        <f>IF(ISNUMBER(SEARCH('Φόρμα Εισαγωγής'!$B$2,C5332)),MAX($B$1:B5331)+1,0)</f>
        <v>0</v>
      </c>
      <c r="D5332" s="33">
        <f>IF(ISNUMBER(SEARCH('Φόρμα Εισαγωγής'!$C$2,E5332)),MAX($D$1:D5331)+1,0)</f>
        <v>0</v>
      </c>
      <c r="H5332" s="6">
        <f t="shared" si="260"/>
        <v>0</v>
      </c>
      <c r="I5332" s="6">
        <f t="shared" si="261"/>
        <v>0</v>
      </c>
      <c r="J5332" s="6">
        <f t="shared" si="262"/>
        <v>0</v>
      </c>
      <c r="L5332" s="4" t="str">
        <f>IFERROR(VLOOKUP(ROWS($L$2:L5332),$B$2:$C$1996,2,0),"")</f>
        <v/>
      </c>
      <c r="N5332" s="2" t="str">
        <f>IFERROR(VLOOKUP(ROWS($N$2:N5332),$D$2:$E$1996,2,0),"")</f>
        <v/>
      </c>
    </row>
    <row r="5333" spans="2:14">
      <c r="B5333" s="32">
        <f>IF(ISNUMBER(SEARCH('Φόρμα Εισαγωγής'!$B$2,C5333)),MAX($B$1:B5332)+1,0)</f>
        <v>0</v>
      </c>
      <c r="D5333" s="33">
        <f>IF(ISNUMBER(SEARCH('Φόρμα Εισαγωγής'!$C$2,E5333)),MAX($D$1:D5332)+1,0)</f>
        <v>0</v>
      </c>
      <c r="H5333" s="6">
        <f t="shared" si="260"/>
        <v>0</v>
      </c>
      <c r="I5333" s="6">
        <f t="shared" si="261"/>
        <v>0</v>
      </c>
      <c r="J5333" s="6">
        <f t="shared" si="262"/>
        <v>0</v>
      </c>
      <c r="L5333" s="4" t="str">
        <f>IFERROR(VLOOKUP(ROWS($L$2:L5333),$B$2:$C$1996,2,0),"")</f>
        <v/>
      </c>
      <c r="N5333" s="2" t="str">
        <f>IFERROR(VLOOKUP(ROWS($N$2:N5333),$D$2:$E$1996,2,0),"")</f>
        <v/>
      </c>
    </row>
    <row r="5334" spans="2:14">
      <c r="B5334" s="32">
        <f>IF(ISNUMBER(SEARCH('Φόρμα Εισαγωγής'!$B$2,C5334)),MAX($B$1:B5333)+1,0)</f>
        <v>0</v>
      </c>
      <c r="D5334" s="33">
        <f>IF(ISNUMBER(SEARCH('Φόρμα Εισαγωγής'!$C$2,E5334)),MAX($D$1:D5333)+1,0)</f>
        <v>0</v>
      </c>
      <c r="H5334" s="6">
        <f t="shared" si="260"/>
        <v>0</v>
      </c>
      <c r="I5334" s="6">
        <f t="shared" si="261"/>
        <v>0</v>
      </c>
      <c r="J5334" s="6">
        <f t="shared" si="262"/>
        <v>0</v>
      </c>
      <c r="L5334" s="4" t="str">
        <f>IFERROR(VLOOKUP(ROWS($L$2:L5334),$B$2:$C$1996,2,0),"")</f>
        <v/>
      </c>
      <c r="N5334" s="2" t="str">
        <f>IFERROR(VLOOKUP(ROWS($N$2:N5334),$D$2:$E$1996,2,0),"")</f>
        <v/>
      </c>
    </row>
    <row r="5335" spans="2:14">
      <c r="B5335" s="32">
        <f>IF(ISNUMBER(SEARCH('Φόρμα Εισαγωγής'!$B$2,C5335)),MAX($B$1:B5334)+1,0)</f>
        <v>0</v>
      </c>
      <c r="D5335" s="33">
        <f>IF(ISNUMBER(SEARCH('Φόρμα Εισαγωγής'!$C$2,E5335)),MAX($D$1:D5334)+1,0)</f>
        <v>0</v>
      </c>
      <c r="H5335" s="6">
        <f t="shared" si="260"/>
        <v>0</v>
      </c>
      <c r="I5335" s="6">
        <f t="shared" si="261"/>
        <v>0</v>
      </c>
      <c r="J5335" s="6">
        <f t="shared" si="262"/>
        <v>0</v>
      </c>
      <c r="L5335" s="4" t="str">
        <f>IFERROR(VLOOKUP(ROWS($L$2:L5335),$B$2:$C$1996,2,0),"")</f>
        <v/>
      </c>
      <c r="N5335" s="2" t="str">
        <f>IFERROR(VLOOKUP(ROWS($N$2:N5335),$D$2:$E$1996,2,0),"")</f>
        <v/>
      </c>
    </row>
    <row r="5336" spans="2:14">
      <c r="B5336" s="32">
        <f>IF(ISNUMBER(SEARCH('Φόρμα Εισαγωγής'!$B$2,C5336)),MAX($B$1:B5335)+1,0)</f>
        <v>0</v>
      </c>
      <c r="D5336" s="33">
        <f>IF(ISNUMBER(SEARCH('Φόρμα Εισαγωγής'!$C$2,E5336)),MAX($D$1:D5335)+1,0)</f>
        <v>0</v>
      </c>
      <c r="H5336" s="6">
        <f t="shared" si="260"/>
        <v>0</v>
      </c>
      <c r="I5336" s="6">
        <f t="shared" si="261"/>
        <v>0</v>
      </c>
      <c r="J5336" s="6">
        <f t="shared" si="262"/>
        <v>0</v>
      </c>
      <c r="L5336" s="4" t="str">
        <f>IFERROR(VLOOKUP(ROWS($L$2:L5336),$B$2:$C$1996,2,0),"")</f>
        <v/>
      </c>
      <c r="N5336" s="2" t="str">
        <f>IFERROR(VLOOKUP(ROWS($N$2:N5336),$D$2:$E$1996,2,0),"")</f>
        <v/>
      </c>
    </row>
    <row r="5337" spans="2:14">
      <c r="B5337" s="32">
        <f>IF(ISNUMBER(SEARCH('Φόρμα Εισαγωγής'!$B$2,C5337)),MAX($B$1:B5336)+1,0)</f>
        <v>0</v>
      </c>
      <c r="D5337" s="33">
        <f>IF(ISNUMBER(SEARCH('Φόρμα Εισαγωγής'!$C$2,E5337)),MAX($D$1:D5336)+1,0)</f>
        <v>0</v>
      </c>
      <c r="H5337" s="6">
        <f t="shared" si="260"/>
        <v>0</v>
      </c>
      <c r="I5337" s="6">
        <f t="shared" si="261"/>
        <v>0</v>
      </c>
      <c r="J5337" s="6">
        <f t="shared" si="262"/>
        <v>0</v>
      </c>
      <c r="L5337" s="4" t="str">
        <f>IFERROR(VLOOKUP(ROWS($L$2:L5337),$B$2:$C$1996,2,0),"")</f>
        <v/>
      </c>
      <c r="N5337" s="2" t="str">
        <f>IFERROR(VLOOKUP(ROWS($N$2:N5337),$D$2:$E$1996,2,0),"")</f>
        <v/>
      </c>
    </row>
    <row r="5338" spans="2:14">
      <c r="B5338" s="32">
        <f>IF(ISNUMBER(SEARCH('Φόρμα Εισαγωγής'!$B$2,C5338)),MAX($B$1:B5337)+1,0)</f>
        <v>0</v>
      </c>
      <c r="D5338" s="33">
        <f>IF(ISNUMBER(SEARCH('Φόρμα Εισαγωγής'!$C$2,E5338)),MAX($D$1:D5337)+1,0)</f>
        <v>0</v>
      </c>
      <c r="H5338" s="6">
        <f t="shared" si="260"/>
        <v>0</v>
      </c>
      <c r="I5338" s="6">
        <f t="shared" si="261"/>
        <v>0</v>
      </c>
      <c r="J5338" s="6">
        <f t="shared" si="262"/>
        <v>0</v>
      </c>
      <c r="L5338" s="4" t="str">
        <f>IFERROR(VLOOKUP(ROWS($L$2:L5338),$B$2:$C$1996,2,0),"")</f>
        <v/>
      </c>
      <c r="N5338" s="2" t="str">
        <f>IFERROR(VLOOKUP(ROWS($N$2:N5338),$D$2:$E$1996,2,0),"")</f>
        <v/>
      </c>
    </row>
    <row r="5339" spans="2:14">
      <c r="B5339" s="32">
        <f>IF(ISNUMBER(SEARCH('Φόρμα Εισαγωγής'!$B$2,C5339)),MAX($B$1:B5338)+1,0)</f>
        <v>0</v>
      </c>
      <c r="D5339" s="33">
        <f>IF(ISNUMBER(SEARCH('Φόρμα Εισαγωγής'!$C$2,E5339)),MAX($D$1:D5338)+1,0)</f>
        <v>0</v>
      </c>
      <c r="H5339" s="6">
        <f t="shared" si="260"/>
        <v>0</v>
      </c>
      <c r="I5339" s="6">
        <f t="shared" si="261"/>
        <v>0</v>
      </c>
      <c r="J5339" s="6">
        <f t="shared" si="262"/>
        <v>0</v>
      </c>
      <c r="L5339" s="4" t="str">
        <f>IFERROR(VLOOKUP(ROWS($L$2:L5339),$B$2:$C$1996,2,0),"")</f>
        <v/>
      </c>
      <c r="N5339" s="2" t="str">
        <f>IFERROR(VLOOKUP(ROWS($N$2:N5339),$D$2:$E$1996,2,0),"")</f>
        <v/>
      </c>
    </row>
    <row r="5340" spans="2:14">
      <c r="B5340" s="32">
        <f>IF(ISNUMBER(SEARCH('Φόρμα Εισαγωγής'!$B$2,C5340)),MAX($B$1:B5339)+1,0)</f>
        <v>0</v>
      </c>
      <c r="D5340" s="33">
        <f>IF(ISNUMBER(SEARCH('Φόρμα Εισαγωγής'!$C$2,E5340)),MAX($D$1:D5339)+1,0)</f>
        <v>0</v>
      </c>
      <c r="H5340" s="6">
        <f t="shared" si="260"/>
        <v>0</v>
      </c>
      <c r="I5340" s="6">
        <f t="shared" si="261"/>
        <v>0</v>
      </c>
      <c r="J5340" s="6">
        <f t="shared" si="262"/>
        <v>0</v>
      </c>
      <c r="L5340" s="4" t="str">
        <f>IFERROR(VLOOKUP(ROWS($L$2:L5340),$B$2:$C$1996,2,0),"")</f>
        <v/>
      </c>
      <c r="N5340" s="2" t="str">
        <f>IFERROR(VLOOKUP(ROWS($N$2:N5340),$D$2:$E$1996,2,0),"")</f>
        <v/>
      </c>
    </row>
    <row r="5341" spans="2:14">
      <c r="B5341" s="32">
        <f>IF(ISNUMBER(SEARCH('Φόρμα Εισαγωγής'!$B$2,C5341)),MAX($B$1:B5340)+1,0)</f>
        <v>0</v>
      </c>
      <c r="D5341" s="33">
        <f>IF(ISNUMBER(SEARCH('Φόρμα Εισαγωγής'!$C$2,E5341)),MAX($D$1:D5340)+1,0)</f>
        <v>0</v>
      </c>
      <c r="H5341" s="6">
        <f t="shared" si="260"/>
        <v>0</v>
      </c>
      <c r="I5341" s="6">
        <f t="shared" si="261"/>
        <v>0</v>
      </c>
      <c r="J5341" s="6">
        <f t="shared" si="262"/>
        <v>0</v>
      </c>
      <c r="L5341" s="4" t="str">
        <f>IFERROR(VLOOKUP(ROWS($L$2:L5341),$B$2:$C$1996,2,0),"")</f>
        <v/>
      </c>
      <c r="N5341" s="2" t="str">
        <f>IFERROR(VLOOKUP(ROWS($N$2:N5341),$D$2:$E$1996,2,0),"")</f>
        <v/>
      </c>
    </row>
    <row r="5342" spans="2:14">
      <c r="B5342" s="32">
        <f>IF(ISNUMBER(SEARCH('Φόρμα Εισαγωγής'!$B$2,C5342)),MAX($B$1:B5341)+1,0)</f>
        <v>0</v>
      </c>
      <c r="D5342" s="33">
        <f>IF(ISNUMBER(SEARCH('Φόρμα Εισαγωγής'!$C$2,E5342)),MAX($D$1:D5341)+1,0)</f>
        <v>0</v>
      </c>
      <c r="H5342" s="6">
        <f t="shared" si="260"/>
        <v>0</v>
      </c>
      <c r="I5342" s="6">
        <f t="shared" si="261"/>
        <v>0</v>
      </c>
      <c r="J5342" s="6">
        <f t="shared" si="262"/>
        <v>0</v>
      </c>
      <c r="L5342" s="4" t="str">
        <f>IFERROR(VLOOKUP(ROWS($L$2:L5342),$B$2:$C$1996,2,0),"")</f>
        <v/>
      </c>
      <c r="N5342" s="2" t="str">
        <f>IFERROR(VLOOKUP(ROWS($N$2:N5342),$D$2:$E$1996,2,0),"")</f>
        <v/>
      </c>
    </row>
    <row r="5343" spans="2:14">
      <c r="B5343" s="32">
        <f>IF(ISNUMBER(SEARCH('Φόρμα Εισαγωγής'!$B$2,C5343)),MAX($B$1:B5342)+1,0)</f>
        <v>0</v>
      </c>
      <c r="D5343" s="33">
        <f>IF(ISNUMBER(SEARCH('Φόρμα Εισαγωγής'!$C$2,E5343)),MAX($D$1:D5342)+1,0)</f>
        <v>0</v>
      </c>
      <c r="H5343" s="6">
        <f t="shared" si="260"/>
        <v>0</v>
      </c>
      <c r="I5343" s="6">
        <f t="shared" si="261"/>
        <v>0</v>
      </c>
      <c r="J5343" s="6">
        <f t="shared" si="262"/>
        <v>0</v>
      </c>
      <c r="L5343" s="4" t="str">
        <f>IFERROR(VLOOKUP(ROWS($L$2:L5343),$B$2:$C$1996,2,0),"")</f>
        <v/>
      </c>
      <c r="N5343" s="2" t="str">
        <f>IFERROR(VLOOKUP(ROWS($N$2:N5343),$D$2:$E$1996,2,0),"")</f>
        <v/>
      </c>
    </row>
    <row r="5344" spans="2:14">
      <c r="B5344" s="32">
        <f>IF(ISNUMBER(SEARCH('Φόρμα Εισαγωγής'!$B$2,C5344)),MAX($B$1:B5343)+1,0)</f>
        <v>0</v>
      </c>
      <c r="D5344" s="33">
        <f>IF(ISNUMBER(SEARCH('Φόρμα Εισαγωγής'!$C$2,E5344)),MAX($D$1:D5343)+1,0)</f>
        <v>0</v>
      </c>
      <c r="H5344" s="6">
        <f t="shared" si="260"/>
        <v>0</v>
      </c>
      <c r="I5344" s="6">
        <f t="shared" si="261"/>
        <v>0</v>
      </c>
      <c r="J5344" s="6">
        <f t="shared" si="262"/>
        <v>0</v>
      </c>
      <c r="L5344" s="4" t="str">
        <f>IFERROR(VLOOKUP(ROWS($L$2:L5344),$B$2:$C$1996,2,0),"")</f>
        <v/>
      </c>
      <c r="N5344" s="2" t="str">
        <f>IFERROR(VLOOKUP(ROWS($N$2:N5344),$D$2:$E$1996,2,0),"")</f>
        <v/>
      </c>
    </row>
    <row r="5345" spans="2:14">
      <c r="B5345" s="32">
        <f>IF(ISNUMBER(SEARCH('Φόρμα Εισαγωγής'!$B$2,C5345)),MAX($B$1:B5344)+1,0)</f>
        <v>0</v>
      </c>
      <c r="D5345" s="33">
        <f>IF(ISNUMBER(SEARCH('Φόρμα Εισαγωγής'!$C$2,E5345)),MAX($D$1:D5344)+1,0)</f>
        <v>0</v>
      </c>
      <c r="H5345" s="6">
        <f t="shared" si="260"/>
        <v>0</v>
      </c>
      <c r="I5345" s="6">
        <f t="shared" si="261"/>
        <v>0</v>
      </c>
      <c r="J5345" s="6">
        <f t="shared" si="262"/>
        <v>0</v>
      </c>
      <c r="L5345" s="4" t="str">
        <f>IFERROR(VLOOKUP(ROWS($L$2:L5345),$B$2:$C$1996,2,0),"")</f>
        <v/>
      </c>
      <c r="N5345" s="2" t="str">
        <f>IFERROR(VLOOKUP(ROWS($N$2:N5345),$D$2:$E$1996,2,0),"")</f>
        <v/>
      </c>
    </row>
    <row r="5346" spans="2:14">
      <c r="B5346" s="32">
        <f>IF(ISNUMBER(SEARCH('Φόρμα Εισαγωγής'!$B$2,C5346)),MAX($B$1:B5345)+1,0)</f>
        <v>0</v>
      </c>
      <c r="D5346" s="33">
        <f>IF(ISNUMBER(SEARCH('Φόρμα Εισαγωγής'!$C$2,E5346)),MAX($D$1:D5345)+1,0)</f>
        <v>0</v>
      </c>
      <c r="H5346" s="6">
        <f t="shared" si="260"/>
        <v>0</v>
      </c>
      <c r="I5346" s="6">
        <f t="shared" si="261"/>
        <v>0</v>
      </c>
      <c r="J5346" s="6">
        <f t="shared" si="262"/>
        <v>0</v>
      </c>
      <c r="L5346" s="4" t="str">
        <f>IFERROR(VLOOKUP(ROWS($L$2:L5346),$B$2:$C$1996,2,0),"")</f>
        <v/>
      </c>
      <c r="N5346" s="2" t="str">
        <f>IFERROR(VLOOKUP(ROWS($N$2:N5346),$D$2:$E$1996,2,0),"")</f>
        <v/>
      </c>
    </row>
    <row r="5347" spans="2:14">
      <c r="B5347" s="32">
        <f>IF(ISNUMBER(SEARCH('Φόρμα Εισαγωγής'!$B$2,C5347)),MAX($B$1:B5346)+1,0)</f>
        <v>0</v>
      </c>
      <c r="D5347" s="33">
        <f>IF(ISNUMBER(SEARCH('Φόρμα Εισαγωγής'!$C$2,E5347)),MAX($D$1:D5346)+1,0)</f>
        <v>0</v>
      </c>
      <c r="H5347" s="6">
        <f t="shared" si="260"/>
        <v>0</v>
      </c>
      <c r="I5347" s="6">
        <f t="shared" si="261"/>
        <v>0</v>
      </c>
      <c r="J5347" s="6">
        <f t="shared" si="262"/>
        <v>0</v>
      </c>
      <c r="L5347" s="4" t="str">
        <f>IFERROR(VLOOKUP(ROWS($L$2:L5347),$B$2:$C$1996,2,0),"")</f>
        <v/>
      </c>
      <c r="N5347" s="2" t="str">
        <f>IFERROR(VLOOKUP(ROWS($N$2:N5347),$D$2:$E$1996,2,0),"")</f>
        <v/>
      </c>
    </row>
    <row r="5348" spans="2:14">
      <c r="B5348" s="32">
        <f>IF(ISNUMBER(SEARCH('Φόρμα Εισαγωγής'!$B$2,C5348)),MAX($B$1:B5347)+1,0)</f>
        <v>0</v>
      </c>
      <c r="D5348" s="33">
        <f>IF(ISNUMBER(SEARCH('Φόρμα Εισαγωγής'!$C$2,E5348)),MAX($D$1:D5347)+1,0)</f>
        <v>0</v>
      </c>
      <c r="H5348" s="6">
        <f t="shared" si="260"/>
        <v>0</v>
      </c>
      <c r="I5348" s="6">
        <f t="shared" si="261"/>
        <v>0</v>
      </c>
      <c r="J5348" s="6">
        <f t="shared" si="262"/>
        <v>0</v>
      </c>
      <c r="L5348" s="4" t="str">
        <f>IFERROR(VLOOKUP(ROWS($L$2:L5348),$B$2:$C$1996,2,0),"")</f>
        <v/>
      </c>
      <c r="N5348" s="2" t="str">
        <f>IFERROR(VLOOKUP(ROWS($N$2:N5348),$D$2:$E$1996,2,0),"")</f>
        <v/>
      </c>
    </row>
    <row r="5349" spans="2:14">
      <c r="B5349" s="32">
        <f>IF(ISNUMBER(SEARCH('Φόρμα Εισαγωγής'!$B$2,C5349)),MAX($B$1:B5348)+1,0)</f>
        <v>0</v>
      </c>
      <c r="D5349" s="33">
        <f>IF(ISNUMBER(SEARCH('Φόρμα Εισαγωγής'!$C$2,E5349)),MAX($D$1:D5348)+1,0)</f>
        <v>0</v>
      </c>
      <c r="H5349" s="6">
        <f t="shared" si="260"/>
        <v>0</v>
      </c>
      <c r="I5349" s="6">
        <f t="shared" si="261"/>
        <v>0</v>
      </c>
      <c r="J5349" s="6">
        <f t="shared" si="262"/>
        <v>0</v>
      </c>
      <c r="L5349" s="4" t="str">
        <f>IFERROR(VLOOKUP(ROWS($L$2:L5349),$B$2:$C$1996,2,0),"")</f>
        <v/>
      </c>
      <c r="N5349" s="2" t="str">
        <f>IFERROR(VLOOKUP(ROWS($N$2:N5349),$D$2:$E$1996,2,0),"")</f>
        <v/>
      </c>
    </row>
    <row r="5350" spans="2:14">
      <c r="B5350" s="32">
        <f>IF(ISNUMBER(SEARCH('Φόρμα Εισαγωγής'!$B$2,C5350)),MAX($B$1:B5349)+1,0)</f>
        <v>0</v>
      </c>
      <c r="D5350" s="33">
        <f>IF(ISNUMBER(SEARCH('Φόρμα Εισαγωγής'!$C$2,E5350)),MAX($D$1:D5349)+1,0)</f>
        <v>0</v>
      </c>
      <c r="H5350" s="6">
        <f t="shared" si="260"/>
        <v>0</v>
      </c>
      <c r="I5350" s="6">
        <f t="shared" si="261"/>
        <v>0</v>
      </c>
      <c r="J5350" s="6">
        <f t="shared" si="262"/>
        <v>0</v>
      </c>
      <c r="L5350" s="4" t="str">
        <f>IFERROR(VLOOKUP(ROWS($L$2:L5350),$B$2:$C$1996,2,0),"")</f>
        <v/>
      </c>
      <c r="N5350" s="2" t="str">
        <f>IFERROR(VLOOKUP(ROWS($N$2:N5350),$D$2:$E$1996,2,0),"")</f>
        <v/>
      </c>
    </row>
    <row r="5351" spans="2:14">
      <c r="B5351" s="32">
        <f>IF(ISNUMBER(SEARCH('Φόρμα Εισαγωγής'!$B$2,C5351)),MAX($B$1:B5350)+1,0)</f>
        <v>0</v>
      </c>
      <c r="D5351" s="33">
        <f>IF(ISNUMBER(SEARCH('Φόρμα Εισαγωγής'!$C$2,E5351)),MAX($D$1:D5350)+1,0)</f>
        <v>0</v>
      </c>
      <c r="H5351" s="6">
        <f t="shared" si="260"/>
        <v>0</v>
      </c>
      <c r="I5351" s="6">
        <f t="shared" si="261"/>
        <v>0</v>
      </c>
      <c r="J5351" s="6">
        <f t="shared" si="262"/>
        <v>0</v>
      </c>
      <c r="L5351" s="4" t="str">
        <f>IFERROR(VLOOKUP(ROWS($L$2:L5351),$B$2:$C$1996,2,0),"")</f>
        <v/>
      </c>
      <c r="N5351" s="2" t="str">
        <f>IFERROR(VLOOKUP(ROWS($N$2:N5351),$D$2:$E$1996,2,0),"")</f>
        <v/>
      </c>
    </row>
    <row r="5352" spans="2:14">
      <c r="B5352" s="32">
        <f>IF(ISNUMBER(SEARCH('Φόρμα Εισαγωγής'!$B$2,C5352)),MAX($B$1:B5351)+1,0)</f>
        <v>0</v>
      </c>
      <c r="D5352" s="33">
        <f>IF(ISNUMBER(SEARCH('Φόρμα Εισαγωγής'!$C$2,E5352)),MAX($D$1:D5351)+1,0)</f>
        <v>0</v>
      </c>
      <c r="H5352" s="6">
        <f t="shared" si="260"/>
        <v>0</v>
      </c>
      <c r="I5352" s="6">
        <f t="shared" si="261"/>
        <v>0</v>
      </c>
      <c r="J5352" s="6">
        <f t="shared" si="262"/>
        <v>0</v>
      </c>
      <c r="L5352" s="4" t="str">
        <f>IFERROR(VLOOKUP(ROWS($L$2:L5352),$B$2:$C$1996,2,0),"")</f>
        <v/>
      </c>
      <c r="N5352" s="2" t="str">
        <f>IFERROR(VLOOKUP(ROWS($N$2:N5352),$D$2:$E$1996,2,0),"")</f>
        <v/>
      </c>
    </row>
    <row r="5353" spans="2:14">
      <c r="B5353" s="32">
        <f>IF(ISNUMBER(SEARCH('Φόρμα Εισαγωγής'!$B$2,C5353)),MAX($B$1:B5352)+1,0)</f>
        <v>0</v>
      </c>
      <c r="D5353" s="33">
        <f>IF(ISNUMBER(SEARCH('Φόρμα Εισαγωγής'!$C$2,E5353)),MAX($D$1:D5352)+1,0)</f>
        <v>0</v>
      </c>
      <c r="H5353" s="6">
        <f t="shared" si="260"/>
        <v>0</v>
      </c>
      <c r="I5353" s="6">
        <f t="shared" si="261"/>
        <v>0</v>
      </c>
      <c r="J5353" s="6">
        <f t="shared" si="262"/>
        <v>0</v>
      </c>
      <c r="L5353" s="4" t="str">
        <f>IFERROR(VLOOKUP(ROWS($L$2:L5353),$B$2:$C$1996,2,0),"")</f>
        <v/>
      </c>
      <c r="N5353" s="2" t="str">
        <f>IFERROR(VLOOKUP(ROWS($N$2:N5353),$D$2:$E$1996,2,0),"")</f>
        <v/>
      </c>
    </row>
    <row r="5354" spans="2:14">
      <c r="B5354" s="32">
        <f>IF(ISNUMBER(SEARCH('Φόρμα Εισαγωγής'!$B$2,C5354)),MAX($B$1:B5353)+1,0)</f>
        <v>0</v>
      </c>
      <c r="D5354" s="33">
        <f>IF(ISNUMBER(SEARCH('Φόρμα Εισαγωγής'!$C$2,E5354)),MAX($D$1:D5353)+1,0)</f>
        <v>0</v>
      </c>
      <c r="H5354" s="6">
        <f t="shared" si="260"/>
        <v>0</v>
      </c>
      <c r="I5354" s="6">
        <f t="shared" si="261"/>
        <v>0</v>
      </c>
      <c r="J5354" s="6">
        <f t="shared" si="262"/>
        <v>0</v>
      </c>
      <c r="L5354" s="4" t="str">
        <f>IFERROR(VLOOKUP(ROWS($L$2:L5354),$B$2:$C$1996,2,0),"")</f>
        <v/>
      </c>
      <c r="N5354" s="2" t="str">
        <f>IFERROR(VLOOKUP(ROWS($N$2:N5354),$D$2:$E$1996,2,0),"")</f>
        <v/>
      </c>
    </row>
    <row r="5355" spans="2:14">
      <c r="B5355" s="32">
        <f>IF(ISNUMBER(SEARCH('Φόρμα Εισαγωγής'!$B$2,C5355)),MAX($B$1:B5354)+1,0)</f>
        <v>0</v>
      </c>
      <c r="D5355" s="33">
        <f>IF(ISNUMBER(SEARCH('Φόρμα Εισαγωγής'!$C$2,E5355)),MAX($D$1:D5354)+1,0)</f>
        <v>0</v>
      </c>
      <c r="H5355" s="6">
        <f t="shared" si="260"/>
        <v>0</v>
      </c>
      <c r="I5355" s="6">
        <f t="shared" si="261"/>
        <v>0</v>
      </c>
      <c r="J5355" s="6">
        <f t="shared" si="262"/>
        <v>0</v>
      </c>
      <c r="L5355" s="4" t="str">
        <f>IFERROR(VLOOKUP(ROWS($L$2:L5355),$B$2:$C$1996,2,0),"")</f>
        <v/>
      </c>
      <c r="N5355" s="2" t="str">
        <f>IFERROR(VLOOKUP(ROWS($N$2:N5355),$D$2:$E$1996,2,0),"")</f>
        <v/>
      </c>
    </row>
    <row r="5356" spans="2:14">
      <c r="B5356" s="32">
        <f>IF(ISNUMBER(SEARCH('Φόρμα Εισαγωγής'!$B$2,C5356)),MAX($B$1:B5355)+1,0)</f>
        <v>0</v>
      </c>
      <c r="D5356" s="33">
        <f>IF(ISNUMBER(SEARCH('Φόρμα Εισαγωγής'!$C$2,E5356)),MAX($D$1:D5355)+1,0)</f>
        <v>0</v>
      </c>
      <c r="H5356" s="6">
        <f t="shared" si="260"/>
        <v>0</v>
      </c>
      <c r="I5356" s="6">
        <f t="shared" si="261"/>
        <v>0</v>
      </c>
      <c r="J5356" s="6">
        <f t="shared" si="262"/>
        <v>0</v>
      </c>
      <c r="L5356" s="4" t="str">
        <f>IFERROR(VLOOKUP(ROWS($L$2:L5356),$B$2:$C$1996,2,0),"")</f>
        <v/>
      </c>
      <c r="N5356" s="2" t="str">
        <f>IFERROR(VLOOKUP(ROWS($N$2:N5356),$D$2:$E$1996,2,0),"")</f>
        <v/>
      </c>
    </row>
    <row r="5357" spans="2:14">
      <c r="B5357" s="32">
        <f>IF(ISNUMBER(SEARCH('Φόρμα Εισαγωγής'!$B$2,C5357)),MAX($B$1:B5356)+1,0)</f>
        <v>0</v>
      </c>
      <c r="D5357" s="33">
        <f>IF(ISNUMBER(SEARCH('Φόρμα Εισαγωγής'!$C$2,E5357)),MAX($D$1:D5356)+1,0)</f>
        <v>0</v>
      </c>
      <c r="H5357" s="6">
        <f t="shared" si="260"/>
        <v>0</v>
      </c>
      <c r="I5357" s="6">
        <f t="shared" si="261"/>
        <v>0</v>
      </c>
      <c r="J5357" s="6">
        <f t="shared" si="262"/>
        <v>0</v>
      </c>
      <c r="L5357" s="4" t="str">
        <f>IFERROR(VLOOKUP(ROWS($L$2:L5357),$B$2:$C$1996,2,0),"")</f>
        <v/>
      </c>
      <c r="N5357" s="2" t="str">
        <f>IFERROR(VLOOKUP(ROWS($N$2:N5357),$D$2:$E$1996,2,0),"")</f>
        <v/>
      </c>
    </row>
    <row r="5358" spans="2:14">
      <c r="B5358" s="32">
        <f>IF(ISNUMBER(SEARCH('Φόρμα Εισαγωγής'!$B$2,C5358)),MAX($B$1:B5357)+1,0)</f>
        <v>0</v>
      </c>
      <c r="D5358" s="33">
        <f>IF(ISNUMBER(SEARCH('Φόρμα Εισαγωγής'!$C$2,E5358)),MAX($D$1:D5357)+1,0)</f>
        <v>0</v>
      </c>
      <c r="H5358" s="6">
        <f t="shared" si="260"/>
        <v>0</v>
      </c>
      <c r="I5358" s="6">
        <f t="shared" si="261"/>
        <v>0</v>
      </c>
      <c r="J5358" s="6">
        <f t="shared" si="262"/>
        <v>0</v>
      </c>
      <c r="L5358" s="4" t="str">
        <f>IFERROR(VLOOKUP(ROWS($L$2:L5358),$B$2:$C$1996,2,0),"")</f>
        <v/>
      </c>
      <c r="N5358" s="2" t="str">
        <f>IFERROR(VLOOKUP(ROWS($N$2:N5358),$D$2:$E$1996,2,0),"")</f>
        <v/>
      </c>
    </row>
    <row r="5359" spans="2:14">
      <c r="B5359" s="32">
        <f>IF(ISNUMBER(SEARCH('Φόρμα Εισαγωγής'!$B$2,C5359)),MAX($B$1:B5358)+1,0)</f>
        <v>0</v>
      </c>
      <c r="D5359" s="33">
        <f>IF(ISNUMBER(SEARCH('Φόρμα Εισαγωγής'!$C$2,E5359)),MAX($D$1:D5358)+1,0)</f>
        <v>0</v>
      </c>
      <c r="H5359" s="6">
        <f t="shared" si="260"/>
        <v>0</v>
      </c>
      <c r="I5359" s="6">
        <f t="shared" si="261"/>
        <v>0</v>
      </c>
      <c r="J5359" s="6">
        <f t="shared" si="262"/>
        <v>0</v>
      </c>
      <c r="L5359" s="4" t="str">
        <f>IFERROR(VLOOKUP(ROWS($L$2:L5359),$B$2:$C$1996,2,0),"")</f>
        <v/>
      </c>
      <c r="N5359" s="2" t="str">
        <f>IFERROR(VLOOKUP(ROWS($N$2:N5359),$D$2:$E$1996,2,0),"")</f>
        <v/>
      </c>
    </row>
    <row r="5360" spans="2:14">
      <c r="B5360" s="32">
        <f>IF(ISNUMBER(SEARCH('Φόρμα Εισαγωγής'!$B$2,C5360)),MAX($B$1:B5359)+1,0)</f>
        <v>0</v>
      </c>
      <c r="D5360" s="33">
        <f>IF(ISNUMBER(SEARCH('Φόρμα Εισαγωγής'!$C$2,E5360)),MAX($D$1:D5359)+1,0)</f>
        <v>0</v>
      </c>
      <c r="H5360" s="6">
        <f t="shared" si="260"/>
        <v>0</v>
      </c>
      <c r="I5360" s="6">
        <f t="shared" si="261"/>
        <v>0</v>
      </c>
      <c r="J5360" s="6">
        <f t="shared" si="262"/>
        <v>0</v>
      </c>
      <c r="L5360" s="4" t="str">
        <f>IFERROR(VLOOKUP(ROWS($L$2:L5360),$B$2:$C$1996,2,0),"")</f>
        <v/>
      </c>
      <c r="N5360" s="2" t="str">
        <f>IFERROR(VLOOKUP(ROWS($N$2:N5360),$D$2:$E$1996,2,0),"")</f>
        <v/>
      </c>
    </row>
    <row r="5361" spans="2:14">
      <c r="B5361" s="32">
        <f>IF(ISNUMBER(SEARCH('Φόρμα Εισαγωγής'!$B$2,C5361)),MAX($B$1:B5360)+1,0)</f>
        <v>0</v>
      </c>
      <c r="D5361" s="33">
        <f>IF(ISNUMBER(SEARCH('Φόρμα Εισαγωγής'!$C$2,E5361)),MAX($D$1:D5360)+1,0)</f>
        <v>0</v>
      </c>
      <c r="H5361" s="6">
        <f t="shared" si="260"/>
        <v>0</v>
      </c>
      <c r="I5361" s="6">
        <f t="shared" si="261"/>
        <v>0</v>
      </c>
      <c r="J5361" s="6">
        <f t="shared" si="262"/>
        <v>0</v>
      </c>
      <c r="L5361" s="4" t="str">
        <f>IFERROR(VLOOKUP(ROWS($L$2:L5361),$B$2:$C$1996,2,0),"")</f>
        <v/>
      </c>
      <c r="N5361" s="2" t="str">
        <f>IFERROR(VLOOKUP(ROWS($N$2:N5361),$D$2:$E$1996,2,0),"")</f>
        <v/>
      </c>
    </row>
    <row r="5362" spans="2:14">
      <c r="B5362" s="32">
        <f>IF(ISNUMBER(SEARCH('Φόρμα Εισαγωγής'!$B$2,C5362)),MAX($B$1:B5361)+1,0)</f>
        <v>0</v>
      </c>
      <c r="D5362" s="33">
        <f>IF(ISNUMBER(SEARCH('Φόρμα Εισαγωγής'!$C$2,E5362)),MAX($D$1:D5361)+1,0)</f>
        <v>0</v>
      </c>
      <c r="H5362" s="6">
        <f t="shared" si="260"/>
        <v>0</v>
      </c>
      <c r="I5362" s="6">
        <f t="shared" si="261"/>
        <v>0</v>
      </c>
      <c r="J5362" s="6">
        <f t="shared" si="262"/>
        <v>0</v>
      </c>
      <c r="L5362" s="4" t="str">
        <f>IFERROR(VLOOKUP(ROWS($L$2:L5362),$B$2:$C$1996,2,0),"")</f>
        <v/>
      </c>
      <c r="N5362" s="2" t="str">
        <f>IFERROR(VLOOKUP(ROWS($N$2:N5362),$D$2:$E$1996,2,0),"")</f>
        <v/>
      </c>
    </row>
    <row r="5363" spans="2:14">
      <c r="B5363" s="32">
        <f>IF(ISNUMBER(SEARCH('Φόρμα Εισαγωγής'!$B$2,C5363)),MAX($B$1:B5362)+1,0)</f>
        <v>0</v>
      </c>
      <c r="D5363" s="33">
        <f>IF(ISNUMBER(SEARCH('Φόρμα Εισαγωγής'!$C$2,E5363)),MAX($D$1:D5362)+1,0)</f>
        <v>0</v>
      </c>
      <c r="H5363" s="6">
        <f t="shared" si="260"/>
        <v>0</v>
      </c>
      <c r="I5363" s="6">
        <f t="shared" si="261"/>
        <v>0</v>
      </c>
      <c r="J5363" s="6">
        <f t="shared" si="262"/>
        <v>0</v>
      </c>
      <c r="L5363" s="4" t="str">
        <f>IFERROR(VLOOKUP(ROWS($L$2:L5363),$B$2:$C$1996,2,0),"")</f>
        <v/>
      </c>
      <c r="N5363" s="2" t="str">
        <f>IFERROR(VLOOKUP(ROWS($N$2:N5363),$D$2:$E$1996,2,0),"")</f>
        <v/>
      </c>
    </row>
    <row r="5364" spans="2:14">
      <c r="B5364" s="32">
        <f>IF(ISNUMBER(SEARCH('Φόρμα Εισαγωγής'!$B$2,C5364)),MAX($B$1:B5363)+1,0)</f>
        <v>0</v>
      </c>
      <c r="D5364" s="33">
        <f>IF(ISNUMBER(SEARCH('Φόρμα Εισαγωγής'!$C$2,E5364)),MAX($D$1:D5363)+1,0)</f>
        <v>0</v>
      </c>
      <c r="H5364" s="6">
        <f t="shared" si="260"/>
        <v>0</v>
      </c>
      <c r="I5364" s="6">
        <f t="shared" si="261"/>
        <v>0</v>
      </c>
      <c r="J5364" s="6">
        <f t="shared" si="262"/>
        <v>0</v>
      </c>
      <c r="L5364" s="4" t="str">
        <f>IFERROR(VLOOKUP(ROWS($L$2:L5364),$B$2:$C$1996,2,0),"")</f>
        <v/>
      </c>
      <c r="N5364" s="2" t="str">
        <f>IFERROR(VLOOKUP(ROWS($N$2:N5364),$D$2:$E$1996,2,0),"")</f>
        <v/>
      </c>
    </row>
    <row r="5365" spans="2:14">
      <c r="B5365" s="32">
        <f>IF(ISNUMBER(SEARCH('Φόρμα Εισαγωγής'!$B$2,C5365)),MAX($B$1:B5364)+1,0)</f>
        <v>0</v>
      </c>
      <c r="D5365" s="33">
        <f>IF(ISNUMBER(SEARCH('Φόρμα Εισαγωγής'!$C$2,E5365)),MAX($D$1:D5364)+1,0)</f>
        <v>0</v>
      </c>
      <c r="H5365" s="6">
        <f t="shared" si="260"/>
        <v>0</v>
      </c>
      <c r="I5365" s="6">
        <f t="shared" si="261"/>
        <v>0</v>
      </c>
      <c r="J5365" s="6">
        <f t="shared" si="262"/>
        <v>0</v>
      </c>
      <c r="L5365" s="4" t="str">
        <f>IFERROR(VLOOKUP(ROWS($L$2:L5365),$B$2:$C$1996,2,0),"")</f>
        <v/>
      </c>
      <c r="N5365" s="2" t="str">
        <f>IFERROR(VLOOKUP(ROWS($N$2:N5365),$D$2:$E$1996,2,0),"")</f>
        <v/>
      </c>
    </row>
    <row r="5366" spans="2:14">
      <c r="B5366" s="32">
        <f>IF(ISNUMBER(SEARCH('Φόρμα Εισαγωγής'!$B$2,C5366)),MAX($B$1:B5365)+1,0)</f>
        <v>0</v>
      </c>
      <c r="D5366" s="33">
        <f>IF(ISNUMBER(SEARCH('Φόρμα Εισαγωγής'!$C$2,E5366)),MAX($D$1:D5365)+1,0)</f>
        <v>0</v>
      </c>
      <c r="H5366" s="6">
        <f t="shared" si="260"/>
        <v>0</v>
      </c>
      <c r="I5366" s="6">
        <f t="shared" si="261"/>
        <v>0</v>
      </c>
      <c r="J5366" s="6">
        <f t="shared" si="262"/>
        <v>0</v>
      </c>
      <c r="L5366" s="4" t="str">
        <f>IFERROR(VLOOKUP(ROWS($L$2:L5366),$B$2:$C$1996,2,0),"")</f>
        <v/>
      </c>
      <c r="N5366" s="2" t="str">
        <f>IFERROR(VLOOKUP(ROWS($N$2:N5366),$D$2:$E$1996,2,0),"")</f>
        <v/>
      </c>
    </row>
    <row r="5367" spans="2:14">
      <c r="B5367" s="32">
        <f>IF(ISNUMBER(SEARCH('Φόρμα Εισαγωγής'!$B$2,C5367)),MAX($B$1:B5366)+1,0)</f>
        <v>0</v>
      </c>
      <c r="D5367" s="33">
        <f>IF(ISNUMBER(SEARCH('Φόρμα Εισαγωγής'!$C$2,E5367)),MAX($D$1:D5366)+1,0)</f>
        <v>0</v>
      </c>
      <c r="H5367" s="6">
        <f t="shared" si="260"/>
        <v>0</v>
      </c>
      <c r="I5367" s="6">
        <f t="shared" si="261"/>
        <v>0</v>
      </c>
      <c r="J5367" s="6">
        <f t="shared" si="262"/>
        <v>0</v>
      </c>
      <c r="L5367" s="4" t="str">
        <f>IFERROR(VLOOKUP(ROWS($L$2:L5367),$B$2:$C$1996,2,0),"")</f>
        <v/>
      </c>
      <c r="N5367" s="2" t="str">
        <f>IFERROR(VLOOKUP(ROWS($N$2:N5367),$D$2:$E$1996,2,0),"")</f>
        <v/>
      </c>
    </row>
    <row r="5368" spans="2:14">
      <c r="B5368" s="32">
        <f>IF(ISNUMBER(SEARCH('Φόρμα Εισαγωγής'!$B$2,C5368)),MAX($B$1:B5367)+1,0)</f>
        <v>0</v>
      </c>
      <c r="D5368" s="33">
        <f>IF(ISNUMBER(SEARCH('Φόρμα Εισαγωγής'!$C$2,E5368)),MAX($D$1:D5367)+1,0)</f>
        <v>0</v>
      </c>
      <c r="H5368" s="6">
        <f t="shared" si="260"/>
        <v>0</v>
      </c>
      <c r="I5368" s="6">
        <f t="shared" si="261"/>
        <v>0</v>
      </c>
      <c r="J5368" s="6">
        <f t="shared" si="262"/>
        <v>0</v>
      </c>
      <c r="L5368" s="4" t="str">
        <f>IFERROR(VLOOKUP(ROWS($L$2:L5368),$B$2:$C$1996,2,0),"")</f>
        <v/>
      </c>
      <c r="N5368" s="2" t="str">
        <f>IFERROR(VLOOKUP(ROWS($N$2:N5368),$D$2:$E$1996,2,0),"")</f>
        <v/>
      </c>
    </row>
    <row r="5369" spans="2:14">
      <c r="B5369" s="32">
        <f>IF(ISNUMBER(SEARCH('Φόρμα Εισαγωγής'!$B$2,C5369)),MAX($B$1:B5368)+1,0)</f>
        <v>0</v>
      </c>
      <c r="D5369" s="33">
        <f>IF(ISNUMBER(SEARCH('Φόρμα Εισαγωγής'!$C$2,E5369)),MAX($D$1:D5368)+1,0)</f>
        <v>0</v>
      </c>
      <c r="H5369" s="6">
        <f t="shared" si="260"/>
        <v>0</v>
      </c>
      <c r="I5369" s="6">
        <f t="shared" si="261"/>
        <v>0</v>
      </c>
      <c r="J5369" s="6">
        <f t="shared" si="262"/>
        <v>0</v>
      </c>
      <c r="L5369" s="4" t="str">
        <f>IFERROR(VLOOKUP(ROWS($L$2:L5369),$B$2:$C$1996,2,0),"")</f>
        <v/>
      </c>
      <c r="N5369" s="2" t="str">
        <f>IFERROR(VLOOKUP(ROWS($N$2:N5369),$D$2:$E$1996,2,0),"")</f>
        <v/>
      </c>
    </row>
    <row r="5370" spans="2:14">
      <c r="B5370" s="32">
        <f>IF(ISNUMBER(SEARCH('Φόρμα Εισαγωγής'!$B$2,C5370)),MAX($B$1:B5369)+1,0)</f>
        <v>0</v>
      </c>
      <c r="D5370" s="33">
        <f>IF(ISNUMBER(SEARCH('Φόρμα Εισαγωγής'!$C$2,E5370)),MAX($D$1:D5369)+1,0)</f>
        <v>0</v>
      </c>
      <c r="H5370" s="6">
        <f t="shared" si="260"/>
        <v>0</v>
      </c>
      <c r="I5370" s="6">
        <f t="shared" si="261"/>
        <v>0</v>
      </c>
      <c r="J5370" s="6">
        <f t="shared" si="262"/>
        <v>0</v>
      </c>
      <c r="L5370" s="4" t="str">
        <f>IFERROR(VLOOKUP(ROWS($L$2:L5370),$B$2:$C$1996,2,0),"")</f>
        <v/>
      </c>
      <c r="N5370" s="2" t="str">
        <f>IFERROR(VLOOKUP(ROWS($N$2:N5370),$D$2:$E$1996,2,0),"")</f>
        <v/>
      </c>
    </row>
    <row r="5371" spans="2:14">
      <c r="B5371" s="32">
        <f>IF(ISNUMBER(SEARCH('Φόρμα Εισαγωγής'!$B$2,C5371)),MAX($B$1:B5370)+1,0)</f>
        <v>0</v>
      </c>
      <c r="D5371" s="33">
        <f>IF(ISNUMBER(SEARCH('Φόρμα Εισαγωγής'!$C$2,E5371)),MAX($D$1:D5370)+1,0)</f>
        <v>0</v>
      </c>
      <c r="H5371" s="6">
        <f t="shared" si="260"/>
        <v>0</v>
      </c>
      <c r="I5371" s="6">
        <f t="shared" si="261"/>
        <v>0</v>
      </c>
      <c r="J5371" s="6">
        <f t="shared" si="262"/>
        <v>0</v>
      </c>
      <c r="L5371" s="4" t="str">
        <f>IFERROR(VLOOKUP(ROWS($L$2:L5371),$B$2:$C$1996,2,0),"")</f>
        <v/>
      </c>
      <c r="N5371" s="2" t="str">
        <f>IFERROR(VLOOKUP(ROWS($N$2:N5371),$D$2:$E$1996,2,0),"")</f>
        <v/>
      </c>
    </row>
    <row r="5372" spans="2:14">
      <c r="B5372" s="32">
        <f>IF(ISNUMBER(SEARCH('Φόρμα Εισαγωγής'!$B$2,C5372)),MAX($B$1:B5371)+1,0)</f>
        <v>0</v>
      </c>
      <c r="D5372" s="33">
        <f>IF(ISNUMBER(SEARCH('Φόρμα Εισαγωγής'!$C$2,E5372)),MAX($D$1:D5371)+1,0)</f>
        <v>0</v>
      </c>
      <c r="H5372" s="6">
        <f t="shared" si="260"/>
        <v>0</v>
      </c>
      <c r="I5372" s="6">
        <f t="shared" si="261"/>
        <v>0</v>
      </c>
      <c r="J5372" s="6">
        <f t="shared" si="262"/>
        <v>0</v>
      </c>
      <c r="L5372" s="4" t="str">
        <f>IFERROR(VLOOKUP(ROWS($L$2:L5372),$B$2:$C$1996,2,0),"")</f>
        <v/>
      </c>
      <c r="N5372" s="2" t="str">
        <f>IFERROR(VLOOKUP(ROWS($N$2:N5372),$D$2:$E$1996,2,0),"")</f>
        <v/>
      </c>
    </row>
    <row r="5373" spans="2:14">
      <c r="B5373" s="32">
        <f>IF(ISNUMBER(SEARCH('Φόρμα Εισαγωγής'!$B$2,C5373)),MAX($B$1:B5372)+1,0)</f>
        <v>0</v>
      </c>
      <c r="D5373" s="33">
        <f>IF(ISNUMBER(SEARCH('Φόρμα Εισαγωγής'!$C$2,E5373)),MAX($D$1:D5372)+1,0)</f>
        <v>0</v>
      </c>
      <c r="H5373" s="6">
        <f t="shared" si="260"/>
        <v>0</v>
      </c>
      <c r="I5373" s="6">
        <f t="shared" si="261"/>
        <v>0</v>
      </c>
      <c r="J5373" s="6">
        <f t="shared" si="262"/>
        <v>0</v>
      </c>
      <c r="L5373" s="4" t="str">
        <f>IFERROR(VLOOKUP(ROWS($L$2:L5373),$B$2:$C$1996,2,0),"")</f>
        <v/>
      </c>
      <c r="N5373" s="2" t="str">
        <f>IFERROR(VLOOKUP(ROWS($N$2:N5373),$D$2:$E$1996,2,0),"")</f>
        <v/>
      </c>
    </row>
    <row r="5374" spans="2:14">
      <c r="B5374" s="32">
        <f>IF(ISNUMBER(SEARCH('Φόρμα Εισαγωγής'!$B$2,C5374)),MAX($B$1:B5373)+1,0)</f>
        <v>0</v>
      </c>
      <c r="D5374" s="33">
        <f>IF(ISNUMBER(SEARCH('Φόρμα Εισαγωγής'!$C$2,E5374)),MAX($D$1:D5373)+1,0)</f>
        <v>0</v>
      </c>
      <c r="H5374" s="6">
        <f t="shared" si="260"/>
        <v>0</v>
      </c>
      <c r="I5374" s="6">
        <f t="shared" si="261"/>
        <v>0</v>
      </c>
      <c r="J5374" s="6">
        <f t="shared" si="262"/>
        <v>0</v>
      </c>
      <c r="L5374" s="4" t="str">
        <f>IFERROR(VLOOKUP(ROWS($L$2:L5374),$B$2:$C$1996,2,0),"")</f>
        <v/>
      </c>
      <c r="N5374" s="2" t="str">
        <f>IFERROR(VLOOKUP(ROWS($N$2:N5374),$D$2:$E$1996,2,0),"")</f>
        <v/>
      </c>
    </row>
    <row r="5375" spans="2:14">
      <c r="B5375" s="32">
        <f>IF(ISNUMBER(SEARCH('Φόρμα Εισαγωγής'!$B$2,C5375)),MAX($B$1:B5374)+1,0)</f>
        <v>0</v>
      </c>
      <c r="D5375" s="33">
        <f>IF(ISNUMBER(SEARCH('Φόρμα Εισαγωγής'!$C$2,E5375)),MAX($D$1:D5374)+1,0)</f>
        <v>0</v>
      </c>
      <c r="H5375" s="6">
        <f t="shared" si="260"/>
        <v>0</v>
      </c>
      <c r="I5375" s="6">
        <f t="shared" si="261"/>
        <v>0</v>
      </c>
      <c r="J5375" s="6">
        <f t="shared" si="262"/>
        <v>0</v>
      </c>
      <c r="L5375" s="4" t="str">
        <f>IFERROR(VLOOKUP(ROWS($L$2:L5375),$B$2:$C$1996,2,0),"")</f>
        <v/>
      </c>
      <c r="N5375" s="2" t="str">
        <f>IFERROR(VLOOKUP(ROWS($N$2:N5375),$D$2:$E$1996,2,0),"")</f>
        <v/>
      </c>
    </row>
    <row r="5376" spans="2:14">
      <c r="B5376" s="32">
        <f>IF(ISNUMBER(SEARCH('Φόρμα Εισαγωγής'!$B$2,C5376)),MAX($B$1:B5375)+1,0)</f>
        <v>0</v>
      </c>
      <c r="D5376" s="33">
        <f>IF(ISNUMBER(SEARCH('Φόρμα Εισαγωγής'!$C$2,E5376)),MAX($D$1:D5375)+1,0)</f>
        <v>0</v>
      </c>
      <c r="H5376" s="6">
        <f t="shared" ref="H5376:H5439" si="263">G5376+(G5376*0.24)</f>
        <v>0</v>
      </c>
      <c r="I5376" s="6">
        <f t="shared" ref="I5376:I5439" si="264">F5376*A5376</f>
        <v>0</v>
      </c>
      <c r="J5376" s="6">
        <f t="shared" ref="J5376:J5439" si="265">H5376*A5376</f>
        <v>0</v>
      </c>
      <c r="L5376" s="4" t="str">
        <f>IFERROR(VLOOKUP(ROWS($L$2:L5376),$B$2:$C$1996,2,0),"")</f>
        <v/>
      </c>
      <c r="N5376" s="2" t="str">
        <f>IFERROR(VLOOKUP(ROWS($N$2:N5376),$D$2:$E$1996,2,0),"")</f>
        <v/>
      </c>
    </row>
    <row r="5377" spans="2:14">
      <c r="B5377" s="32">
        <f>IF(ISNUMBER(SEARCH('Φόρμα Εισαγωγής'!$B$2,C5377)),MAX($B$1:B5376)+1,0)</f>
        <v>0</v>
      </c>
      <c r="D5377" s="33">
        <f>IF(ISNUMBER(SEARCH('Φόρμα Εισαγωγής'!$C$2,E5377)),MAX($D$1:D5376)+1,0)</f>
        <v>0</v>
      </c>
      <c r="H5377" s="6">
        <f t="shared" si="263"/>
        <v>0</v>
      </c>
      <c r="I5377" s="6">
        <f t="shared" si="264"/>
        <v>0</v>
      </c>
      <c r="J5377" s="6">
        <f t="shared" si="265"/>
        <v>0</v>
      </c>
      <c r="L5377" s="4" t="str">
        <f>IFERROR(VLOOKUP(ROWS($L$2:L5377),$B$2:$C$1996,2,0),"")</f>
        <v/>
      </c>
      <c r="N5377" s="2" t="str">
        <f>IFERROR(VLOOKUP(ROWS($N$2:N5377),$D$2:$E$1996,2,0),"")</f>
        <v/>
      </c>
    </row>
    <row r="5378" spans="2:14">
      <c r="B5378" s="32">
        <f>IF(ISNUMBER(SEARCH('Φόρμα Εισαγωγής'!$B$2,C5378)),MAX($B$1:B5377)+1,0)</f>
        <v>0</v>
      </c>
      <c r="D5378" s="33">
        <f>IF(ISNUMBER(SEARCH('Φόρμα Εισαγωγής'!$C$2,E5378)),MAX($D$1:D5377)+1,0)</f>
        <v>0</v>
      </c>
      <c r="H5378" s="6">
        <f t="shared" si="263"/>
        <v>0</v>
      </c>
      <c r="I5378" s="6">
        <f t="shared" si="264"/>
        <v>0</v>
      </c>
      <c r="J5378" s="6">
        <f t="shared" si="265"/>
        <v>0</v>
      </c>
      <c r="L5378" s="4" t="str">
        <f>IFERROR(VLOOKUP(ROWS($L$2:L5378),$B$2:$C$1996,2,0),"")</f>
        <v/>
      </c>
      <c r="N5378" s="2" t="str">
        <f>IFERROR(VLOOKUP(ROWS($N$2:N5378),$D$2:$E$1996,2,0),"")</f>
        <v/>
      </c>
    </row>
    <row r="5379" spans="2:14">
      <c r="B5379" s="32">
        <f>IF(ISNUMBER(SEARCH('Φόρμα Εισαγωγής'!$B$2,C5379)),MAX($B$1:B5378)+1,0)</f>
        <v>0</v>
      </c>
      <c r="D5379" s="33">
        <f>IF(ISNUMBER(SEARCH('Φόρμα Εισαγωγής'!$C$2,E5379)),MAX($D$1:D5378)+1,0)</f>
        <v>0</v>
      </c>
      <c r="H5379" s="6">
        <f t="shared" si="263"/>
        <v>0</v>
      </c>
      <c r="I5379" s="6">
        <f t="shared" si="264"/>
        <v>0</v>
      </c>
      <c r="J5379" s="6">
        <f t="shared" si="265"/>
        <v>0</v>
      </c>
      <c r="L5379" s="4" t="str">
        <f>IFERROR(VLOOKUP(ROWS($L$2:L5379),$B$2:$C$1996,2,0),"")</f>
        <v/>
      </c>
      <c r="N5379" s="2" t="str">
        <f>IFERROR(VLOOKUP(ROWS($N$2:N5379),$D$2:$E$1996,2,0),"")</f>
        <v/>
      </c>
    </row>
    <row r="5380" spans="2:14">
      <c r="B5380" s="32">
        <f>IF(ISNUMBER(SEARCH('Φόρμα Εισαγωγής'!$B$2,C5380)),MAX($B$1:B5379)+1,0)</f>
        <v>0</v>
      </c>
      <c r="D5380" s="33">
        <f>IF(ISNUMBER(SEARCH('Φόρμα Εισαγωγής'!$C$2,E5380)),MAX($D$1:D5379)+1,0)</f>
        <v>0</v>
      </c>
      <c r="H5380" s="6">
        <f t="shared" si="263"/>
        <v>0</v>
      </c>
      <c r="I5380" s="6">
        <f t="shared" si="264"/>
        <v>0</v>
      </c>
      <c r="J5380" s="6">
        <f t="shared" si="265"/>
        <v>0</v>
      </c>
      <c r="L5380" s="4" t="str">
        <f>IFERROR(VLOOKUP(ROWS($L$2:L5380),$B$2:$C$1996,2,0),"")</f>
        <v/>
      </c>
      <c r="N5380" s="2" t="str">
        <f>IFERROR(VLOOKUP(ROWS($N$2:N5380),$D$2:$E$1996,2,0),"")</f>
        <v/>
      </c>
    </row>
    <row r="5381" spans="2:14">
      <c r="B5381" s="32">
        <f>IF(ISNUMBER(SEARCH('Φόρμα Εισαγωγής'!$B$2,C5381)),MAX($B$1:B5380)+1,0)</f>
        <v>0</v>
      </c>
      <c r="D5381" s="33">
        <f>IF(ISNUMBER(SEARCH('Φόρμα Εισαγωγής'!$C$2,E5381)),MAX($D$1:D5380)+1,0)</f>
        <v>0</v>
      </c>
      <c r="H5381" s="6">
        <f t="shared" si="263"/>
        <v>0</v>
      </c>
      <c r="I5381" s="6">
        <f t="shared" si="264"/>
        <v>0</v>
      </c>
      <c r="J5381" s="6">
        <f t="shared" si="265"/>
        <v>0</v>
      </c>
      <c r="L5381" s="4" t="str">
        <f>IFERROR(VLOOKUP(ROWS($L$2:L5381),$B$2:$C$1996,2,0),"")</f>
        <v/>
      </c>
      <c r="N5381" s="2" t="str">
        <f>IFERROR(VLOOKUP(ROWS($N$2:N5381),$D$2:$E$1996,2,0),"")</f>
        <v/>
      </c>
    </row>
    <row r="5382" spans="2:14">
      <c r="B5382" s="32">
        <f>IF(ISNUMBER(SEARCH('Φόρμα Εισαγωγής'!$B$2,C5382)),MAX($B$1:B5381)+1,0)</f>
        <v>0</v>
      </c>
      <c r="D5382" s="33">
        <f>IF(ISNUMBER(SEARCH('Φόρμα Εισαγωγής'!$C$2,E5382)),MAX($D$1:D5381)+1,0)</f>
        <v>0</v>
      </c>
      <c r="H5382" s="6">
        <f t="shared" si="263"/>
        <v>0</v>
      </c>
      <c r="I5382" s="6">
        <f t="shared" si="264"/>
        <v>0</v>
      </c>
      <c r="J5382" s="6">
        <f t="shared" si="265"/>
        <v>0</v>
      </c>
      <c r="L5382" s="4" t="str">
        <f>IFERROR(VLOOKUP(ROWS($L$2:L5382),$B$2:$C$1996,2,0),"")</f>
        <v/>
      </c>
      <c r="N5382" s="2" t="str">
        <f>IFERROR(VLOOKUP(ROWS($N$2:N5382),$D$2:$E$1996,2,0),"")</f>
        <v/>
      </c>
    </row>
    <row r="5383" spans="2:14">
      <c r="B5383" s="32">
        <f>IF(ISNUMBER(SEARCH('Φόρμα Εισαγωγής'!$B$2,C5383)),MAX($B$1:B5382)+1,0)</f>
        <v>0</v>
      </c>
      <c r="D5383" s="33">
        <f>IF(ISNUMBER(SEARCH('Φόρμα Εισαγωγής'!$C$2,E5383)),MAX($D$1:D5382)+1,0)</f>
        <v>0</v>
      </c>
      <c r="H5383" s="6">
        <f t="shared" si="263"/>
        <v>0</v>
      </c>
      <c r="I5383" s="6">
        <f t="shared" si="264"/>
        <v>0</v>
      </c>
      <c r="J5383" s="6">
        <f t="shared" si="265"/>
        <v>0</v>
      </c>
      <c r="L5383" s="4" t="str">
        <f>IFERROR(VLOOKUP(ROWS($L$2:L5383),$B$2:$C$1996,2,0),"")</f>
        <v/>
      </c>
      <c r="N5383" s="2" t="str">
        <f>IFERROR(VLOOKUP(ROWS($N$2:N5383),$D$2:$E$1996,2,0),"")</f>
        <v/>
      </c>
    </row>
    <row r="5384" spans="2:14">
      <c r="B5384" s="32">
        <f>IF(ISNUMBER(SEARCH('Φόρμα Εισαγωγής'!$B$2,C5384)),MAX($B$1:B5383)+1,0)</f>
        <v>0</v>
      </c>
      <c r="D5384" s="33">
        <f>IF(ISNUMBER(SEARCH('Φόρμα Εισαγωγής'!$C$2,E5384)),MAX($D$1:D5383)+1,0)</f>
        <v>0</v>
      </c>
      <c r="H5384" s="6">
        <f t="shared" si="263"/>
        <v>0</v>
      </c>
      <c r="I5384" s="6">
        <f t="shared" si="264"/>
        <v>0</v>
      </c>
      <c r="J5384" s="6">
        <f t="shared" si="265"/>
        <v>0</v>
      </c>
      <c r="L5384" s="4" t="str">
        <f>IFERROR(VLOOKUP(ROWS($L$2:L5384),$B$2:$C$1996,2,0),"")</f>
        <v/>
      </c>
      <c r="N5384" s="2" t="str">
        <f>IFERROR(VLOOKUP(ROWS($N$2:N5384),$D$2:$E$1996,2,0),"")</f>
        <v/>
      </c>
    </row>
    <row r="5385" spans="2:14">
      <c r="B5385" s="32">
        <f>IF(ISNUMBER(SEARCH('Φόρμα Εισαγωγής'!$B$2,C5385)),MAX($B$1:B5384)+1,0)</f>
        <v>0</v>
      </c>
      <c r="D5385" s="33">
        <f>IF(ISNUMBER(SEARCH('Φόρμα Εισαγωγής'!$C$2,E5385)),MAX($D$1:D5384)+1,0)</f>
        <v>0</v>
      </c>
      <c r="H5385" s="6">
        <f t="shared" si="263"/>
        <v>0</v>
      </c>
      <c r="I5385" s="6">
        <f t="shared" si="264"/>
        <v>0</v>
      </c>
      <c r="J5385" s="6">
        <f t="shared" si="265"/>
        <v>0</v>
      </c>
      <c r="L5385" s="4" t="str">
        <f>IFERROR(VLOOKUP(ROWS($L$2:L5385),$B$2:$C$1996,2,0),"")</f>
        <v/>
      </c>
      <c r="N5385" s="2" t="str">
        <f>IFERROR(VLOOKUP(ROWS($N$2:N5385),$D$2:$E$1996,2,0),"")</f>
        <v/>
      </c>
    </row>
    <row r="5386" spans="2:14">
      <c r="B5386" s="32">
        <f>IF(ISNUMBER(SEARCH('Φόρμα Εισαγωγής'!$B$2,C5386)),MAX($B$1:B5385)+1,0)</f>
        <v>0</v>
      </c>
      <c r="D5386" s="33">
        <f>IF(ISNUMBER(SEARCH('Φόρμα Εισαγωγής'!$C$2,E5386)),MAX($D$1:D5385)+1,0)</f>
        <v>0</v>
      </c>
      <c r="H5386" s="6">
        <f t="shared" si="263"/>
        <v>0</v>
      </c>
      <c r="I5386" s="6">
        <f t="shared" si="264"/>
        <v>0</v>
      </c>
      <c r="J5386" s="6">
        <f t="shared" si="265"/>
        <v>0</v>
      </c>
      <c r="L5386" s="4" t="str">
        <f>IFERROR(VLOOKUP(ROWS($L$2:L5386),$B$2:$C$1996,2,0),"")</f>
        <v/>
      </c>
      <c r="N5386" s="2" t="str">
        <f>IFERROR(VLOOKUP(ROWS($N$2:N5386),$D$2:$E$1996,2,0),"")</f>
        <v/>
      </c>
    </row>
    <row r="5387" spans="2:14">
      <c r="B5387" s="32">
        <f>IF(ISNUMBER(SEARCH('Φόρμα Εισαγωγής'!$B$2,C5387)),MAX($B$1:B5386)+1,0)</f>
        <v>0</v>
      </c>
      <c r="D5387" s="33">
        <f>IF(ISNUMBER(SEARCH('Φόρμα Εισαγωγής'!$C$2,E5387)),MAX($D$1:D5386)+1,0)</f>
        <v>0</v>
      </c>
      <c r="H5387" s="6">
        <f t="shared" si="263"/>
        <v>0</v>
      </c>
      <c r="I5387" s="6">
        <f t="shared" si="264"/>
        <v>0</v>
      </c>
      <c r="J5387" s="6">
        <f t="shared" si="265"/>
        <v>0</v>
      </c>
      <c r="L5387" s="4" t="str">
        <f>IFERROR(VLOOKUP(ROWS($L$2:L5387),$B$2:$C$1996,2,0),"")</f>
        <v/>
      </c>
      <c r="N5387" s="2" t="str">
        <f>IFERROR(VLOOKUP(ROWS($N$2:N5387),$D$2:$E$1996,2,0),"")</f>
        <v/>
      </c>
    </row>
    <row r="5388" spans="2:14">
      <c r="B5388" s="32">
        <f>IF(ISNUMBER(SEARCH('Φόρμα Εισαγωγής'!$B$2,C5388)),MAX($B$1:B5387)+1,0)</f>
        <v>0</v>
      </c>
      <c r="D5388" s="33">
        <f>IF(ISNUMBER(SEARCH('Φόρμα Εισαγωγής'!$C$2,E5388)),MAX($D$1:D5387)+1,0)</f>
        <v>0</v>
      </c>
      <c r="H5388" s="6">
        <f t="shared" si="263"/>
        <v>0</v>
      </c>
      <c r="I5388" s="6">
        <f t="shared" si="264"/>
        <v>0</v>
      </c>
      <c r="J5388" s="6">
        <f t="shared" si="265"/>
        <v>0</v>
      </c>
      <c r="L5388" s="4" t="str">
        <f>IFERROR(VLOOKUP(ROWS($L$2:L5388),$B$2:$C$1996,2,0),"")</f>
        <v/>
      </c>
      <c r="N5388" s="2" t="str">
        <f>IFERROR(VLOOKUP(ROWS($N$2:N5388),$D$2:$E$1996,2,0),"")</f>
        <v/>
      </c>
    </row>
    <row r="5389" spans="2:14">
      <c r="B5389" s="32">
        <f>IF(ISNUMBER(SEARCH('Φόρμα Εισαγωγής'!$B$2,C5389)),MAX($B$1:B5388)+1,0)</f>
        <v>0</v>
      </c>
      <c r="D5389" s="33">
        <f>IF(ISNUMBER(SEARCH('Φόρμα Εισαγωγής'!$C$2,E5389)),MAX($D$1:D5388)+1,0)</f>
        <v>0</v>
      </c>
      <c r="H5389" s="6">
        <f t="shared" si="263"/>
        <v>0</v>
      </c>
      <c r="I5389" s="6">
        <f t="shared" si="264"/>
        <v>0</v>
      </c>
      <c r="J5389" s="6">
        <f t="shared" si="265"/>
        <v>0</v>
      </c>
      <c r="L5389" s="4" t="str">
        <f>IFERROR(VLOOKUP(ROWS($L$2:L5389),$B$2:$C$1996,2,0),"")</f>
        <v/>
      </c>
      <c r="N5389" s="2" t="str">
        <f>IFERROR(VLOOKUP(ROWS($N$2:N5389),$D$2:$E$1996,2,0),"")</f>
        <v/>
      </c>
    </row>
    <row r="5390" spans="2:14">
      <c r="B5390" s="32">
        <f>IF(ISNUMBER(SEARCH('Φόρμα Εισαγωγής'!$B$2,C5390)),MAX($B$1:B5389)+1,0)</f>
        <v>0</v>
      </c>
      <c r="D5390" s="33">
        <f>IF(ISNUMBER(SEARCH('Φόρμα Εισαγωγής'!$C$2,E5390)),MAX($D$1:D5389)+1,0)</f>
        <v>0</v>
      </c>
      <c r="H5390" s="6">
        <f t="shared" si="263"/>
        <v>0</v>
      </c>
      <c r="I5390" s="6">
        <f t="shared" si="264"/>
        <v>0</v>
      </c>
      <c r="J5390" s="6">
        <f t="shared" si="265"/>
        <v>0</v>
      </c>
      <c r="L5390" s="4" t="str">
        <f>IFERROR(VLOOKUP(ROWS($L$2:L5390),$B$2:$C$1996,2,0),"")</f>
        <v/>
      </c>
      <c r="N5390" s="2" t="str">
        <f>IFERROR(VLOOKUP(ROWS($N$2:N5390),$D$2:$E$1996,2,0),"")</f>
        <v/>
      </c>
    </row>
    <row r="5391" spans="2:14">
      <c r="B5391" s="32">
        <f>IF(ISNUMBER(SEARCH('Φόρμα Εισαγωγής'!$B$2,C5391)),MAX($B$1:B5390)+1,0)</f>
        <v>0</v>
      </c>
      <c r="D5391" s="33">
        <f>IF(ISNUMBER(SEARCH('Φόρμα Εισαγωγής'!$C$2,E5391)),MAX($D$1:D5390)+1,0)</f>
        <v>0</v>
      </c>
      <c r="H5391" s="6">
        <f t="shared" si="263"/>
        <v>0</v>
      </c>
      <c r="I5391" s="6">
        <f t="shared" si="264"/>
        <v>0</v>
      </c>
      <c r="J5391" s="6">
        <f t="shared" si="265"/>
        <v>0</v>
      </c>
      <c r="L5391" s="4" t="str">
        <f>IFERROR(VLOOKUP(ROWS($L$2:L5391),$B$2:$C$1996,2,0),"")</f>
        <v/>
      </c>
      <c r="N5391" s="2" t="str">
        <f>IFERROR(VLOOKUP(ROWS($N$2:N5391),$D$2:$E$1996,2,0),"")</f>
        <v/>
      </c>
    </row>
    <row r="5392" spans="2:14">
      <c r="B5392" s="32">
        <f>IF(ISNUMBER(SEARCH('Φόρμα Εισαγωγής'!$B$2,C5392)),MAX($B$1:B5391)+1,0)</f>
        <v>0</v>
      </c>
      <c r="D5392" s="33">
        <f>IF(ISNUMBER(SEARCH('Φόρμα Εισαγωγής'!$C$2,E5392)),MAX($D$1:D5391)+1,0)</f>
        <v>0</v>
      </c>
      <c r="H5392" s="6">
        <f t="shared" si="263"/>
        <v>0</v>
      </c>
      <c r="I5392" s="6">
        <f t="shared" si="264"/>
        <v>0</v>
      </c>
      <c r="J5392" s="6">
        <f t="shared" si="265"/>
        <v>0</v>
      </c>
      <c r="L5392" s="4" t="str">
        <f>IFERROR(VLOOKUP(ROWS($L$2:L5392),$B$2:$C$1996,2,0),"")</f>
        <v/>
      </c>
      <c r="N5392" s="2" t="str">
        <f>IFERROR(VLOOKUP(ROWS($N$2:N5392),$D$2:$E$1996,2,0),"")</f>
        <v/>
      </c>
    </row>
    <row r="5393" spans="2:14">
      <c r="B5393" s="32">
        <f>IF(ISNUMBER(SEARCH('Φόρμα Εισαγωγής'!$B$2,C5393)),MAX($B$1:B5392)+1,0)</f>
        <v>0</v>
      </c>
      <c r="D5393" s="33">
        <f>IF(ISNUMBER(SEARCH('Φόρμα Εισαγωγής'!$C$2,E5393)),MAX($D$1:D5392)+1,0)</f>
        <v>0</v>
      </c>
      <c r="H5393" s="6">
        <f t="shared" si="263"/>
        <v>0</v>
      </c>
      <c r="I5393" s="6">
        <f t="shared" si="264"/>
        <v>0</v>
      </c>
      <c r="J5393" s="6">
        <f t="shared" si="265"/>
        <v>0</v>
      </c>
      <c r="L5393" s="4" t="str">
        <f>IFERROR(VLOOKUP(ROWS($L$2:L5393),$B$2:$C$1996,2,0),"")</f>
        <v/>
      </c>
      <c r="N5393" s="2" t="str">
        <f>IFERROR(VLOOKUP(ROWS($N$2:N5393),$D$2:$E$1996,2,0),"")</f>
        <v/>
      </c>
    </row>
    <row r="5394" spans="2:14">
      <c r="B5394" s="32">
        <f>IF(ISNUMBER(SEARCH('Φόρμα Εισαγωγής'!$B$2,C5394)),MAX($B$1:B5393)+1,0)</f>
        <v>0</v>
      </c>
      <c r="D5394" s="33">
        <f>IF(ISNUMBER(SEARCH('Φόρμα Εισαγωγής'!$C$2,E5394)),MAX($D$1:D5393)+1,0)</f>
        <v>0</v>
      </c>
      <c r="H5394" s="6">
        <f t="shared" si="263"/>
        <v>0</v>
      </c>
      <c r="I5394" s="6">
        <f t="shared" si="264"/>
        <v>0</v>
      </c>
      <c r="J5394" s="6">
        <f t="shared" si="265"/>
        <v>0</v>
      </c>
      <c r="L5394" s="4" t="str">
        <f>IFERROR(VLOOKUP(ROWS($L$2:L5394),$B$2:$C$1996,2,0),"")</f>
        <v/>
      </c>
      <c r="N5394" s="2" t="str">
        <f>IFERROR(VLOOKUP(ROWS($N$2:N5394),$D$2:$E$1996,2,0),"")</f>
        <v/>
      </c>
    </row>
    <row r="5395" spans="2:14">
      <c r="B5395" s="32">
        <f>IF(ISNUMBER(SEARCH('Φόρμα Εισαγωγής'!$B$2,C5395)),MAX($B$1:B5394)+1,0)</f>
        <v>0</v>
      </c>
      <c r="D5395" s="33">
        <f>IF(ISNUMBER(SEARCH('Φόρμα Εισαγωγής'!$C$2,E5395)),MAX($D$1:D5394)+1,0)</f>
        <v>0</v>
      </c>
      <c r="H5395" s="6">
        <f t="shared" si="263"/>
        <v>0</v>
      </c>
      <c r="I5395" s="6">
        <f t="shared" si="264"/>
        <v>0</v>
      </c>
      <c r="J5395" s="6">
        <f t="shared" si="265"/>
        <v>0</v>
      </c>
      <c r="L5395" s="4" t="str">
        <f>IFERROR(VLOOKUP(ROWS($L$2:L5395),$B$2:$C$1996,2,0),"")</f>
        <v/>
      </c>
      <c r="N5395" s="2" t="str">
        <f>IFERROR(VLOOKUP(ROWS($N$2:N5395),$D$2:$E$1996,2,0),"")</f>
        <v/>
      </c>
    </row>
    <row r="5396" spans="2:14">
      <c r="B5396" s="32">
        <f>IF(ISNUMBER(SEARCH('Φόρμα Εισαγωγής'!$B$2,C5396)),MAX($B$1:B5395)+1,0)</f>
        <v>0</v>
      </c>
      <c r="D5396" s="33">
        <f>IF(ISNUMBER(SEARCH('Φόρμα Εισαγωγής'!$C$2,E5396)),MAX($D$1:D5395)+1,0)</f>
        <v>0</v>
      </c>
      <c r="H5396" s="6">
        <f t="shared" si="263"/>
        <v>0</v>
      </c>
      <c r="I5396" s="6">
        <f t="shared" si="264"/>
        <v>0</v>
      </c>
      <c r="J5396" s="6">
        <f t="shared" si="265"/>
        <v>0</v>
      </c>
      <c r="L5396" s="4" t="str">
        <f>IFERROR(VLOOKUP(ROWS($L$2:L5396),$B$2:$C$1996,2,0),"")</f>
        <v/>
      </c>
      <c r="N5396" s="2" t="str">
        <f>IFERROR(VLOOKUP(ROWS($N$2:N5396),$D$2:$E$1996,2,0),"")</f>
        <v/>
      </c>
    </row>
    <row r="5397" spans="2:14">
      <c r="B5397" s="32">
        <f>IF(ISNUMBER(SEARCH('Φόρμα Εισαγωγής'!$B$2,C5397)),MAX($B$1:B5396)+1,0)</f>
        <v>0</v>
      </c>
      <c r="D5397" s="33">
        <f>IF(ISNUMBER(SEARCH('Φόρμα Εισαγωγής'!$C$2,E5397)),MAX($D$1:D5396)+1,0)</f>
        <v>0</v>
      </c>
      <c r="H5397" s="6">
        <f t="shared" si="263"/>
        <v>0</v>
      </c>
      <c r="I5397" s="6">
        <f t="shared" si="264"/>
        <v>0</v>
      </c>
      <c r="J5397" s="6">
        <f t="shared" si="265"/>
        <v>0</v>
      </c>
      <c r="L5397" s="4" t="str">
        <f>IFERROR(VLOOKUP(ROWS($L$2:L5397),$B$2:$C$1996,2,0),"")</f>
        <v/>
      </c>
      <c r="N5397" s="2" t="str">
        <f>IFERROR(VLOOKUP(ROWS($N$2:N5397),$D$2:$E$1996,2,0),"")</f>
        <v/>
      </c>
    </row>
    <row r="5398" spans="2:14">
      <c r="B5398" s="32">
        <f>IF(ISNUMBER(SEARCH('Φόρμα Εισαγωγής'!$B$2,C5398)),MAX($B$1:B5397)+1,0)</f>
        <v>0</v>
      </c>
      <c r="D5398" s="33">
        <f>IF(ISNUMBER(SEARCH('Φόρμα Εισαγωγής'!$C$2,E5398)),MAX($D$1:D5397)+1,0)</f>
        <v>0</v>
      </c>
      <c r="H5398" s="6">
        <f t="shared" si="263"/>
        <v>0</v>
      </c>
      <c r="I5398" s="6">
        <f t="shared" si="264"/>
        <v>0</v>
      </c>
      <c r="J5398" s="6">
        <f t="shared" si="265"/>
        <v>0</v>
      </c>
      <c r="L5398" s="4" t="str">
        <f>IFERROR(VLOOKUP(ROWS($L$2:L5398),$B$2:$C$1996,2,0),"")</f>
        <v/>
      </c>
      <c r="N5398" s="2" t="str">
        <f>IFERROR(VLOOKUP(ROWS($N$2:N5398),$D$2:$E$1996,2,0),"")</f>
        <v/>
      </c>
    </row>
    <row r="5399" spans="2:14">
      <c r="B5399" s="32">
        <f>IF(ISNUMBER(SEARCH('Φόρμα Εισαγωγής'!$B$2,C5399)),MAX($B$1:B5398)+1,0)</f>
        <v>0</v>
      </c>
      <c r="D5399" s="33">
        <f>IF(ISNUMBER(SEARCH('Φόρμα Εισαγωγής'!$C$2,E5399)),MAX($D$1:D5398)+1,0)</f>
        <v>0</v>
      </c>
      <c r="H5399" s="6">
        <f t="shared" si="263"/>
        <v>0</v>
      </c>
      <c r="I5399" s="6">
        <f t="shared" si="264"/>
        <v>0</v>
      </c>
      <c r="J5399" s="6">
        <f t="shared" si="265"/>
        <v>0</v>
      </c>
      <c r="L5399" s="4" t="str">
        <f>IFERROR(VLOOKUP(ROWS($L$2:L5399),$B$2:$C$1996,2,0),"")</f>
        <v/>
      </c>
      <c r="N5399" s="2" t="str">
        <f>IFERROR(VLOOKUP(ROWS($N$2:N5399),$D$2:$E$1996,2,0),"")</f>
        <v/>
      </c>
    </row>
    <row r="5400" spans="2:14">
      <c r="B5400" s="32">
        <f>IF(ISNUMBER(SEARCH('Φόρμα Εισαγωγής'!$B$2,C5400)),MAX($B$1:B5399)+1,0)</f>
        <v>0</v>
      </c>
      <c r="D5400" s="33">
        <f>IF(ISNUMBER(SEARCH('Φόρμα Εισαγωγής'!$C$2,E5400)),MAX($D$1:D5399)+1,0)</f>
        <v>0</v>
      </c>
      <c r="H5400" s="6">
        <f t="shared" si="263"/>
        <v>0</v>
      </c>
      <c r="I5400" s="6">
        <f t="shared" si="264"/>
        <v>0</v>
      </c>
      <c r="J5400" s="6">
        <f t="shared" si="265"/>
        <v>0</v>
      </c>
      <c r="L5400" s="4" t="str">
        <f>IFERROR(VLOOKUP(ROWS($L$2:L5400),$B$2:$C$1996,2,0),"")</f>
        <v/>
      </c>
      <c r="N5400" s="2" t="str">
        <f>IFERROR(VLOOKUP(ROWS($N$2:N5400),$D$2:$E$1996,2,0),"")</f>
        <v/>
      </c>
    </row>
    <row r="5401" spans="2:14">
      <c r="B5401" s="32">
        <f>IF(ISNUMBER(SEARCH('Φόρμα Εισαγωγής'!$B$2,C5401)),MAX($B$1:B5400)+1,0)</f>
        <v>0</v>
      </c>
      <c r="D5401" s="33">
        <f>IF(ISNUMBER(SEARCH('Φόρμα Εισαγωγής'!$C$2,E5401)),MAX($D$1:D5400)+1,0)</f>
        <v>0</v>
      </c>
      <c r="H5401" s="6">
        <f t="shared" si="263"/>
        <v>0</v>
      </c>
      <c r="I5401" s="6">
        <f t="shared" si="264"/>
        <v>0</v>
      </c>
      <c r="J5401" s="6">
        <f t="shared" si="265"/>
        <v>0</v>
      </c>
      <c r="L5401" s="4" t="str">
        <f>IFERROR(VLOOKUP(ROWS($L$2:L5401),$B$2:$C$1996,2,0),"")</f>
        <v/>
      </c>
      <c r="N5401" s="2" t="str">
        <f>IFERROR(VLOOKUP(ROWS($N$2:N5401),$D$2:$E$1996,2,0),"")</f>
        <v/>
      </c>
    </row>
    <row r="5402" spans="2:14">
      <c r="B5402" s="32">
        <f>IF(ISNUMBER(SEARCH('Φόρμα Εισαγωγής'!$B$2,C5402)),MAX($B$1:B5401)+1,0)</f>
        <v>0</v>
      </c>
      <c r="D5402" s="33">
        <f>IF(ISNUMBER(SEARCH('Φόρμα Εισαγωγής'!$C$2,E5402)),MAX($D$1:D5401)+1,0)</f>
        <v>0</v>
      </c>
      <c r="H5402" s="6">
        <f t="shared" si="263"/>
        <v>0</v>
      </c>
      <c r="I5402" s="6">
        <f t="shared" si="264"/>
        <v>0</v>
      </c>
      <c r="J5402" s="6">
        <f t="shared" si="265"/>
        <v>0</v>
      </c>
      <c r="L5402" s="4" t="str">
        <f>IFERROR(VLOOKUP(ROWS($L$2:L5402),$B$2:$C$1996,2,0),"")</f>
        <v/>
      </c>
      <c r="N5402" s="2" t="str">
        <f>IFERROR(VLOOKUP(ROWS($N$2:N5402),$D$2:$E$1996,2,0),"")</f>
        <v/>
      </c>
    </row>
    <row r="5403" spans="2:14">
      <c r="B5403" s="32">
        <f>IF(ISNUMBER(SEARCH('Φόρμα Εισαγωγής'!$B$2,C5403)),MAX($B$1:B5402)+1,0)</f>
        <v>0</v>
      </c>
      <c r="D5403" s="33">
        <f>IF(ISNUMBER(SEARCH('Φόρμα Εισαγωγής'!$C$2,E5403)),MAX($D$1:D5402)+1,0)</f>
        <v>0</v>
      </c>
      <c r="H5403" s="6">
        <f t="shared" si="263"/>
        <v>0</v>
      </c>
      <c r="I5403" s="6">
        <f t="shared" si="264"/>
        <v>0</v>
      </c>
      <c r="J5403" s="6">
        <f t="shared" si="265"/>
        <v>0</v>
      </c>
      <c r="L5403" s="4" t="str">
        <f>IFERROR(VLOOKUP(ROWS($L$2:L5403),$B$2:$C$1996,2,0),"")</f>
        <v/>
      </c>
      <c r="N5403" s="2" t="str">
        <f>IFERROR(VLOOKUP(ROWS($N$2:N5403),$D$2:$E$1996,2,0),"")</f>
        <v/>
      </c>
    </row>
    <row r="5404" spans="2:14">
      <c r="B5404" s="32">
        <f>IF(ISNUMBER(SEARCH('Φόρμα Εισαγωγής'!$B$2,C5404)),MAX($B$1:B5403)+1,0)</f>
        <v>0</v>
      </c>
      <c r="D5404" s="33">
        <f>IF(ISNUMBER(SEARCH('Φόρμα Εισαγωγής'!$C$2,E5404)),MAX($D$1:D5403)+1,0)</f>
        <v>0</v>
      </c>
      <c r="H5404" s="6">
        <f t="shared" si="263"/>
        <v>0</v>
      </c>
      <c r="I5404" s="6">
        <f t="shared" si="264"/>
        <v>0</v>
      </c>
      <c r="J5404" s="6">
        <f t="shared" si="265"/>
        <v>0</v>
      </c>
      <c r="L5404" s="4" t="str">
        <f>IFERROR(VLOOKUP(ROWS($L$2:L5404),$B$2:$C$1996,2,0),"")</f>
        <v/>
      </c>
      <c r="N5404" s="2" t="str">
        <f>IFERROR(VLOOKUP(ROWS($N$2:N5404),$D$2:$E$1996,2,0),"")</f>
        <v/>
      </c>
    </row>
    <row r="5405" spans="2:14">
      <c r="B5405" s="32">
        <f>IF(ISNUMBER(SEARCH('Φόρμα Εισαγωγής'!$B$2,C5405)),MAX($B$1:B5404)+1,0)</f>
        <v>0</v>
      </c>
      <c r="D5405" s="33">
        <f>IF(ISNUMBER(SEARCH('Φόρμα Εισαγωγής'!$C$2,E5405)),MAX($D$1:D5404)+1,0)</f>
        <v>0</v>
      </c>
      <c r="H5405" s="6">
        <f t="shared" si="263"/>
        <v>0</v>
      </c>
      <c r="I5405" s="6">
        <f t="shared" si="264"/>
        <v>0</v>
      </c>
      <c r="J5405" s="6">
        <f t="shared" si="265"/>
        <v>0</v>
      </c>
      <c r="L5405" s="4" t="str">
        <f>IFERROR(VLOOKUP(ROWS($L$2:L5405),$B$2:$C$1996,2,0),"")</f>
        <v/>
      </c>
      <c r="N5405" s="2" t="str">
        <f>IFERROR(VLOOKUP(ROWS($N$2:N5405),$D$2:$E$1996,2,0),"")</f>
        <v/>
      </c>
    </row>
    <row r="5406" spans="2:14">
      <c r="B5406" s="32">
        <f>IF(ISNUMBER(SEARCH('Φόρμα Εισαγωγής'!$B$2,C5406)),MAX($B$1:B5405)+1,0)</f>
        <v>0</v>
      </c>
      <c r="D5406" s="33">
        <f>IF(ISNUMBER(SEARCH('Φόρμα Εισαγωγής'!$C$2,E5406)),MAX($D$1:D5405)+1,0)</f>
        <v>0</v>
      </c>
      <c r="H5406" s="6">
        <f t="shared" si="263"/>
        <v>0</v>
      </c>
      <c r="I5406" s="6">
        <f t="shared" si="264"/>
        <v>0</v>
      </c>
      <c r="J5406" s="6">
        <f t="shared" si="265"/>
        <v>0</v>
      </c>
      <c r="L5406" s="4" t="str">
        <f>IFERROR(VLOOKUP(ROWS($L$2:L5406),$B$2:$C$1996,2,0),"")</f>
        <v/>
      </c>
      <c r="N5406" s="2" t="str">
        <f>IFERROR(VLOOKUP(ROWS($N$2:N5406),$D$2:$E$1996,2,0),"")</f>
        <v/>
      </c>
    </row>
    <row r="5407" spans="2:14">
      <c r="B5407" s="32">
        <f>IF(ISNUMBER(SEARCH('Φόρμα Εισαγωγής'!$B$2,C5407)),MAX($B$1:B5406)+1,0)</f>
        <v>0</v>
      </c>
      <c r="D5407" s="33">
        <f>IF(ISNUMBER(SEARCH('Φόρμα Εισαγωγής'!$C$2,E5407)),MAX($D$1:D5406)+1,0)</f>
        <v>0</v>
      </c>
      <c r="H5407" s="6">
        <f t="shared" si="263"/>
        <v>0</v>
      </c>
      <c r="I5407" s="6">
        <f t="shared" si="264"/>
        <v>0</v>
      </c>
      <c r="J5407" s="6">
        <f t="shared" si="265"/>
        <v>0</v>
      </c>
      <c r="L5407" s="4" t="str">
        <f>IFERROR(VLOOKUP(ROWS($L$2:L5407),$B$2:$C$1996,2,0),"")</f>
        <v/>
      </c>
      <c r="N5407" s="2" t="str">
        <f>IFERROR(VLOOKUP(ROWS($N$2:N5407),$D$2:$E$1996,2,0),"")</f>
        <v/>
      </c>
    </row>
    <row r="5408" spans="2:14">
      <c r="B5408" s="32">
        <f>IF(ISNUMBER(SEARCH('Φόρμα Εισαγωγής'!$B$2,C5408)),MAX($B$1:B5407)+1,0)</f>
        <v>0</v>
      </c>
      <c r="D5408" s="33">
        <f>IF(ISNUMBER(SEARCH('Φόρμα Εισαγωγής'!$C$2,E5408)),MAX($D$1:D5407)+1,0)</f>
        <v>0</v>
      </c>
      <c r="H5408" s="6">
        <f t="shared" si="263"/>
        <v>0</v>
      </c>
      <c r="I5408" s="6">
        <f t="shared" si="264"/>
        <v>0</v>
      </c>
      <c r="J5408" s="6">
        <f t="shared" si="265"/>
        <v>0</v>
      </c>
      <c r="L5408" s="4" t="str">
        <f>IFERROR(VLOOKUP(ROWS($L$2:L5408),$B$2:$C$1996,2,0),"")</f>
        <v/>
      </c>
      <c r="N5408" s="2" t="str">
        <f>IFERROR(VLOOKUP(ROWS($N$2:N5408),$D$2:$E$1996,2,0),"")</f>
        <v/>
      </c>
    </row>
    <row r="5409" spans="2:14">
      <c r="B5409" s="32">
        <f>IF(ISNUMBER(SEARCH('Φόρμα Εισαγωγής'!$B$2,C5409)),MAX($B$1:B5408)+1,0)</f>
        <v>0</v>
      </c>
      <c r="D5409" s="33">
        <f>IF(ISNUMBER(SEARCH('Φόρμα Εισαγωγής'!$C$2,E5409)),MAX($D$1:D5408)+1,0)</f>
        <v>0</v>
      </c>
      <c r="H5409" s="6">
        <f t="shared" si="263"/>
        <v>0</v>
      </c>
      <c r="I5409" s="6">
        <f t="shared" si="264"/>
        <v>0</v>
      </c>
      <c r="J5409" s="6">
        <f t="shared" si="265"/>
        <v>0</v>
      </c>
      <c r="L5409" s="4" t="str">
        <f>IFERROR(VLOOKUP(ROWS($L$2:L5409),$B$2:$C$1996,2,0),"")</f>
        <v/>
      </c>
      <c r="N5409" s="2" t="str">
        <f>IFERROR(VLOOKUP(ROWS($N$2:N5409),$D$2:$E$1996,2,0),"")</f>
        <v/>
      </c>
    </row>
    <row r="5410" spans="2:14">
      <c r="B5410" s="32">
        <f>IF(ISNUMBER(SEARCH('Φόρμα Εισαγωγής'!$B$2,C5410)),MAX($B$1:B5409)+1,0)</f>
        <v>0</v>
      </c>
      <c r="D5410" s="33">
        <f>IF(ISNUMBER(SEARCH('Φόρμα Εισαγωγής'!$C$2,E5410)),MAX($D$1:D5409)+1,0)</f>
        <v>0</v>
      </c>
      <c r="H5410" s="6">
        <f t="shared" si="263"/>
        <v>0</v>
      </c>
      <c r="I5410" s="6">
        <f t="shared" si="264"/>
        <v>0</v>
      </c>
      <c r="J5410" s="6">
        <f t="shared" si="265"/>
        <v>0</v>
      </c>
      <c r="L5410" s="4" t="str">
        <f>IFERROR(VLOOKUP(ROWS($L$2:L5410),$B$2:$C$1996,2,0),"")</f>
        <v/>
      </c>
      <c r="N5410" s="2" t="str">
        <f>IFERROR(VLOOKUP(ROWS($N$2:N5410),$D$2:$E$1996,2,0),"")</f>
        <v/>
      </c>
    </row>
    <row r="5411" spans="2:14">
      <c r="B5411" s="32">
        <f>IF(ISNUMBER(SEARCH('Φόρμα Εισαγωγής'!$B$2,C5411)),MAX($B$1:B5410)+1,0)</f>
        <v>0</v>
      </c>
      <c r="D5411" s="33">
        <f>IF(ISNUMBER(SEARCH('Φόρμα Εισαγωγής'!$C$2,E5411)),MAX($D$1:D5410)+1,0)</f>
        <v>0</v>
      </c>
      <c r="H5411" s="6">
        <f t="shared" si="263"/>
        <v>0</v>
      </c>
      <c r="I5411" s="6">
        <f t="shared" si="264"/>
        <v>0</v>
      </c>
      <c r="J5411" s="6">
        <f t="shared" si="265"/>
        <v>0</v>
      </c>
      <c r="L5411" s="4" t="str">
        <f>IFERROR(VLOOKUP(ROWS($L$2:L5411),$B$2:$C$1996,2,0),"")</f>
        <v/>
      </c>
      <c r="N5411" s="2" t="str">
        <f>IFERROR(VLOOKUP(ROWS($N$2:N5411),$D$2:$E$1996,2,0),"")</f>
        <v/>
      </c>
    </row>
    <row r="5412" spans="2:14">
      <c r="B5412" s="32">
        <f>IF(ISNUMBER(SEARCH('Φόρμα Εισαγωγής'!$B$2,C5412)),MAX($B$1:B5411)+1,0)</f>
        <v>0</v>
      </c>
      <c r="D5412" s="33">
        <f>IF(ISNUMBER(SEARCH('Φόρμα Εισαγωγής'!$C$2,E5412)),MAX($D$1:D5411)+1,0)</f>
        <v>0</v>
      </c>
      <c r="H5412" s="6">
        <f t="shared" si="263"/>
        <v>0</v>
      </c>
      <c r="I5412" s="6">
        <f t="shared" si="264"/>
        <v>0</v>
      </c>
      <c r="J5412" s="6">
        <f t="shared" si="265"/>
        <v>0</v>
      </c>
      <c r="L5412" s="4" t="str">
        <f>IFERROR(VLOOKUP(ROWS($L$2:L5412),$B$2:$C$1996,2,0),"")</f>
        <v/>
      </c>
      <c r="N5412" s="2" t="str">
        <f>IFERROR(VLOOKUP(ROWS($N$2:N5412),$D$2:$E$1996,2,0),"")</f>
        <v/>
      </c>
    </row>
    <row r="5413" spans="2:14">
      <c r="B5413" s="32">
        <f>IF(ISNUMBER(SEARCH('Φόρμα Εισαγωγής'!$B$2,C5413)),MAX($B$1:B5412)+1,0)</f>
        <v>0</v>
      </c>
      <c r="D5413" s="33">
        <f>IF(ISNUMBER(SEARCH('Φόρμα Εισαγωγής'!$C$2,E5413)),MAX($D$1:D5412)+1,0)</f>
        <v>0</v>
      </c>
      <c r="H5413" s="6">
        <f t="shared" si="263"/>
        <v>0</v>
      </c>
      <c r="I5413" s="6">
        <f t="shared" si="264"/>
        <v>0</v>
      </c>
      <c r="J5413" s="6">
        <f t="shared" si="265"/>
        <v>0</v>
      </c>
      <c r="L5413" s="4" t="str">
        <f>IFERROR(VLOOKUP(ROWS($L$2:L5413),$B$2:$C$1996,2,0),"")</f>
        <v/>
      </c>
      <c r="N5413" s="2" t="str">
        <f>IFERROR(VLOOKUP(ROWS($N$2:N5413),$D$2:$E$1996,2,0),"")</f>
        <v/>
      </c>
    </row>
    <row r="5414" spans="2:14">
      <c r="B5414" s="32">
        <f>IF(ISNUMBER(SEARCH('Φόρμα Εισαγωγής'!$B$2,C5414)),MAX($B$1:B5413)+1,0)</f>
        <v>0</v>
      </c>
      <c r="D5414" s="33">
        <f>IF(ISNUMBER(SEARCH('Φόρμα Εισαγωγής'!$C$2,E5414)),MAX($D$1:D5413)+1,0)</f>
        <v>0</v>
      </c>
      <c r="H5414" s="6">
        <f t="shared" si="263"/>
        <v>0</v>
      </c>
      <c r="I5414" s="6">
        <f t="shared" si="264"/>
        <v>0</v>
      </c>
      <c r="J5414" s="6">
        <f t="shared" si="265"/>
        <v>0</v>
      </c>
      <c r="L5414" s="4" t="str">
        <f>IFERROR(VLOOKUP(ROWS($L$2:L5414),$B$2:$C$1996,2,0),"")</f>
        <v/>
      </c>
      <c r="N5414" s="2" t="str">
        <f>IFERROR(VLOOKUP(ROWS($N$2:N5414),$D$2:$E$1996,2,0),"")</f>
        <v/>
      </c>
    </row>
    <row r="5415" spans="2:14">
      <c r="B5415" s="32">
        <f>IF(ISNUMBER(SEARCH('Φόρμα Εισαγωγής'!$B$2,C5415)),MAX($B$1:B5414)+1,0)</f>
        <v>0</v>
      </c>
      <c r="D5415" s="33">
        <f>IF(ISNUMBER(SEARCH('Φόρμα Εισαγωγής'!$C$2,E5415)),MAX($D$1:D5414)+1,0)</f>
        <v>0</v>
      </c>
      <c r="H5415" s="6">
        <f t="shared" si="263"/>
        <v>0</v>
      </c>
      <c r="I5415" s="6">
        <f t="shared" si="264"/>
        <v>0</v>
      </c>
      <c r="J5415" s="6">
        <f t="shared" si="265"/>
        <v>0</v>
      </c>
      <c r="L5415" s="4" t="str">
        <f>IFERROR(VLOOKUP(ROWS($L$2:L5415),$B$2:$C$1996,2,0),"")</f>
        <v/>
      </c>
      <c r="N5415" s="2" t="str">
        <f>IFERROR(VLOOKUP(ROWS($N$2:N5415),$D$2:$E$1996,2,0),"")</f>
        <v/>
      </c>
    </row>
    <row r="5416" spans="2:14">
      <c r="B5416" s="32">
        <f>IF(ISNUMBER(SEARCH('Φόρμα Εισαγωγής'!$B$2,C5416)),MAX($B$1:B5415)+1,0)</f>
        <v>0</v>
      </c>
      <c r="D5416" s="33">
        <f>IF(ISNUMBER(SEARCH('Φόρμα Εισαγωγής'!$C$2,E5416)),MAX($D$1:D5415)+1,0)</f>
        <v>0</v>
      </c>
      <c r="H5416" s="6">
        <f t="shared" si="263"/>
        <v>0</v>
      </c>
      <c r="I5416" s="6">
        <f t="shared" si="264"/>
        <v>0</v>
      </c>
      <c r="J5416" s="6">
        <f t="shared" si="265"/>
        <v>0</v>
      </c>
      <c r="L5416" s="4" t="str">
        <f>IFERROR(VLOOKUP(ROWS($L$2:L5416),$B$2:$C$1996,2,0),"")</f>
        <v/>
      </c>
      <c r="N5416" s="2" t="str">
        <f>IFERROR(VLOOKUP(ROWS($N$2:N5416),$D$2:$E$1996,2,0),"")</f>
        <v/>
      </c>
    </row>
    <row r="5417" spans="2:14">
      <c r="B5417" s="32">
        <f>IF(ISNUMBER(SEARCH('Φόρμα Εισαγωγής'!$B$2,C5417)),MAX($B$1:B5416)+1,0)</f>
        <v>0</v>
      </c>
      <c r="D5417" s="33">
        <f>IF(ISNUMBER(SEARCH('Φόρμα Εισαγωγής'!$C$2,E5417)),MAX($D$1:D5416)+1,0)</f>
        <v>0</v>
      </c>
      <c r="H5417" s="6">
        <f t="shared" si="263"/>
        <v>0</v>
      </c>
      <c r="I5417" s="6">
        <f t="shared" si="264"/>
        <v>0</v>
      </c>
      <c r="J5417" s="6">
        <f t="shared" si="265"/>
        <v>0</v>
      </c>
      <c r="L5417" s="4" t="str">
        <f>IFERROR(VLOOKUP(ROWS($L$2:L5417),$B$2:$C$1996,2,0),"")</f>
        <v/>
      </c>
      <c r="N5417" s="2" t="str">
        <f>IFERROR(VLOOKUP(ROWS($N$2:N5417),$D$2:$E$1996,2,0),"")</f>
        <v/>
      </c>
    </row>
    <row r="5418" spans="2:14">
      <c r="B5418" s="32">
        <f>IF(ISNUMBER(SEARCH('Φόρμα Εισαγωγής'!$B$2,C5418)),MAX($B$1:B5417)+1,0)</f>
        <v>0</v>
      </c>
      <c r="D5418" s="33">
        <f>IF(ISNUMBER(SEARCH('Φόρμα Εισαγωγής'!$C$2,E5418)),MAX($D$1:D5417)+1,0)</f>
        <v>0</v>
      </c>
      <c r="H5418" s="6">
        <f t="shared" si="263"/>
        <v>0</v>
      </c>
      <c r="I5418" s="6">
        <f t="shared" si="264"/>
        <v>0</v>
      </c>
      <c r="J5418" s="6">
        <f t="shared" si="265"/>
        <v>0</v>
      </c>
      <c r="L5418" s="4" t="str">
        <f>IFERROR(VLOOKUP(ROWS($L$2:L5418),$B$2:$C$1996,2,0),"")</f>
        <v/>
      </c>
      <c r="N5418" s="2" t="str">
        <f>IFERROR(VLOOKUP(ROWS($N$2:N5418),$D$2:$E$1996,2,0),"")</f>
        <v/>
      </c>
    </row>
    <row r="5419" spans="2:14">
      <c r="B5419" s="32">
        <f>IF(ISNUMBER(SEARCH('Φόρμα Εισαγωγής'!$B$2,C5419)),MAX($B$1:B5418)+1,0)</f>
        <v>0</v>
      </c>
      <c r="D5419" s="33">
        <f>IF(ISNUMBER(SEARCH('Φόρμα Εισαγωγής'!$C$2,E5419)),MAX($D$1:D5418)+1,0)</f>
        <v>0</v>
      </c>
      <c r="H5419" s="6">
        <f t="shared" si="263"/>
        <v>0</v>
      </c>
      <c r="I5419" s="6">
        <f t="shared" si="264"/>
        <v>0</v>
      </c>
      <c r="J5419" s="6">
        <f t="shared" si="265"/>
        <v>0</v>
      </c>
      <c r="L5419" s="4" t="str">
        <f>IFERROR(VLOOKUP(ROWS($L$2:L5419),$B$2:$C$1996,2,0),"")</f>
        <v/>
      </c>
      <c r="N5419" s="2" t="str">
        <f>IFERROR(VLOOKUP(ROWS($N$2:N5419),$D$2:$E$1996,2,0),"")</f>
        <v/>
      </c>
    </row>
    <row r="5420" spans="2:14">
      <c r="B5420" s="32">
        <f>IF(ISNUMBER(SEARCH('Φόρμα Εισαγωγής'!$B$2,C5420)),MAX($B$1:B5419)+1,0)</f>
        <v>0</v>
      </c>
      <c r="D5420" s="33">
        <f>IF(ISNUMBER(SEARCH('Φόρμα Εισαγωγής'!$C$2,E5420)),MAX($D$1:D5419)+1,0)</f>
        <v>0</v>
      </c>
      <c r="H5420" s="6">
        <f t="shared" si="263"/>
        <v>0</v>
      </c>
      <c r="I5420" s="6">
        <f t="shared" si="264"/>
        <v>0</v>
      </c>
      <c r="J5420" s="6">
        <f t="shared" si="265"/>
        <v>0</v>
      </c>
      <c r="L5420" s="4" t="str">
        <f>IFERROR(VLOOKUP(ROWS($L$2:L5420),$B$2:$C$1996,2,0),"")</f>
        <v/>
      </c>
      <c r="N5420" s="2" t="str">
        <f>IFERROR(VLOOKUP(ROWS($N$2:N5420),$D$2:$E$1996,2,0),"")</f>
        <v/>
      </c>
    </row>
    <row r="5421" spans="2:14">
      <c r="B5421" s="32">
        <f>IF(ISNUMBER(SEARCH('Φόρμα Εισαγωγής'!$B$2,C5421)),MAX($B$1:B5420)+1,0)</f>
        <v>0</v>
      </c>
      <c r="D5421" s="33">
        <f>IF(ISNUMBER(SEARCH('Φόρμα Εισαγωγής'!$C$2,E5421)),MAX($D$1:D5420)+1,0)</f>
        <v>0</v>
      </c>
      <c r="H5421" s="6">
        <f t="shared" si="263"/>
        <v>0</v>
      </c>
      <c r="I5421" s="6">
        <f t="shared" si="264"/>
        <v>0</v>
      </c>
      <c r="J5421" s="6">
        <f t="shared" si="265"/>
        <v>0</v>
      </c>
      <c r="L5421" s="4" t="str">
        <f>IFERROR(VLOOKUP(ROWS($L$2:L5421),$B$2:$C$1996,2,0),"")</f>
        <v/>
      </c>
      <c r="N5421" s="2" t="str">
        <f>IFERROR(VLOOKUP(ROWS($N$2:N5421),$D$2:$E$1996,2,0),"")</f>
        <v/>
      </c>
    </row>
    <row r="5422" spans="2:14">
      <c r="B5422" s="32">
        <f>IF(ISNUMBER(SEARCH('Φόρμα Εισαγωγής'!$B$2,C5422)),MAX($B$1:B5421)+1,0)</f>
        <v>0</v>
      </c>
      <c r="D5422" s="33">
        <f>IF(ISNUMBER(SEARCH('Φόρμα Εισαγωγής'!$C$2,E5422)),MAX($D$1:D5421)+1,0)</f>
        <v>0</v>
      </c>
      <c r="H5422" s="6">
        <f t="shared" si="263"/>
        <v>0</v>
      </c>
      <c r="I5422" s="6">
        <f t="shared" si="264"/>
        <v>0</v>
      </c>
      <c r="J5422" s="6">
        <f t="shared" si="265"/>
        <v>0</v>
      </c>
      <c r="L5422" s="4" t="str">
        <f>IFERROR(VLOOKUP(ROWS($L$2:L5422),$B$2:$C$1996,2,0),"")</f>
        <v/>
      </c>
      <c r="N5422" s="2" t="str">
        <f>IFERROR(VLOOKUP(ROWS($N$2:N5422),$D$2:$E$1996,2,0),"")</f>
        <v/>
      </c>
    </row>
    <row r="5423" spans="2:14">
      <c r="B5423" s="32">
        <f>IF(ISNUMBER(SEARCH('Φόρμα Εισαγωγής'!$B$2,C5423)),MAX($B$1:B5422)+1,0)</f>
        <v>0</v>
      </c>
      <c r="D5423" s="33">
        <f>IF(ISNUMBER(SEARCH('Φόρμα Εισαγωγής'!$C$2,E5423)),MAX($D$1:D5422)+1,0)</f>
        <v>0</v>
      </c>
      <c r="H5423" s="6">
        <f t="shared" si="263"/>
        <v>0</v>
      </c>
      <c r="I5423" s="6">
        <f t="shared" si="264"/>
        <v>0</v>
      </c>
      <c r="J5423" s="6">
        <f t="shared" si="265"/>
        <v>0</v>
      </c>
      <c r="L5423" s="4" t="str">
        <f>IFERROR(VLOOKUP(ROWS($L$2:L5423),$B$2:$C$1996,2,0),"")</f>
        <v/>
      </c>
      <c r="N5423" s="2" t="str">
        <f>IFERROR(VLOOKUP(ROWS($N$2:N5423),$D$2:$E$1996,2,0),"")</f>
        <v/>
      </c>
    </row>
    <row r="5424" spans="2:14">
      <c r="B5424" s="32">
        <f>IF(ISNUMBER(SEARCH('Φόρμα Εισαγωγής'!$B$2,C5424)),MAX($B$1:B5423)+1,0)</f>
        <v>0</v>
      </c>
      <c r="D5424" s="33">
        <f>IF(ISNUMBER(SEARCH('Φόρμα Εισαγωγής'!$C$2,E5424)),MAX($D$1:D5423)+1,0)</f>
        <v>0</v>
      </c>
      <c r="H5424" s="6">
        <f t="shared" si="263"/>
        <v>0</v>
      </c>
      <c r="I5424" s="6">
        <f t="shared" si="264"/>
        <v>0</v>
      </c>
      <c r="J5424" s="6">
        <f t="shared" si="265"/>
        <v>0</v>
      </c>
      <c r="L5424" s="4" t="str">
        <f>IFERROR(VLOOKUP(ROWS($L$2:L5424),$B$2:$C$1996,2,0),"")</f>
        <v/>
      </c>
      <c r="N5424" s="2" t="str">
        <f>IFERROR(VLOOKUP(ROWS($N$2:N5424),$D$2:$E$1996,2,0),"")</f>
        <v/>
      </c>
    </row>
    <row r="5425" spans="2:14">
      <c r="B5425" s="32">
        <f>IF(ISNUMBER(SEARCH('Φόρμα Εισαγωγής'!$B$2,C5425)),MAX($B$1:B5424)+1,0)</f>
        <v>0</v>
      </c>
      <c r="D5425" s="33">
        <f>IF(ISNUMBER(SEARCH('Φόρμα Εισαγωγής'!$C$2,E5425)),MAX($D$1:D5424)+1,0)</f>
        <v>0</v>
      </c>
      <c r="H5425" s="6">
        <f t="shared" si="263"/>
        <v>0</v>
      </c>
      <c r="I5425" s="6">
        <f t="shared" si="264"/>
        <v>0</v>
      </c>
      <c r="J5425" s="6">
        <f t="shared" si="265"/>
        <v>0</v>
      </c>
      <c r="L5425" s="4" t="str">
        <f>IFERROR(VLOOKUP(ROWS($L$2:L5425),$B$2:$C$1996,2,0),"")</f>
        <v/>
      </c>
      <c r="N5425" s="2" t="str">
        <f>IFERROR(VLOOKUP(ROWS($N$2:N5425),$D$2:$E$1996,2,0),"")</f>
        <v/>
      </c>
    </row>
    <row r="5426" spans="2:14">
      <c r="B5426" s="32">
        <f>IF(ISNUMBER(SEARCH('Φόρμα Εισαγωγής'!$B$2,C5426)),MAX($B$1:B5425)+1,0)</f>
        <v>0</v>
      </c>
      <c r="D5426" s="33">
        <f>IF(ISNUMBER(SEARCH('Φόρμα Εισαγωγής'!$C$2,E5426)),MAX($D$1:D5425)+1,0)</f>
        <v>0</v>
      </c>
      <c r="H5426" s="6">
        <f t="shared" si="263"/>
        <v>0</v>
      </c>
      <c r="I5426" s="6">
        <f t="shared" si="264"/>
        <v>0</v>
      </c>
      <c r="J5426" s="6">
        <f t="shared" si="265"/>
        <v>0</v>
      </c>
      <c r="L5426" s="4" t="str">
        <f>IFERROR(VLOOKUP(ROWS($L$2:L5426),$B$2:$C$1996,2,0),"")</f>
        <v/>
      </c>
      <c r="N5426" s="2" t="str">
        <f>IFERROR(VLOOKUP(ROWS($N$2:N5426),$D$2:$E$1996,2,0),"")</f>
        <v/>
      </c>
    </row>
    <row r="5427" spans="2:14">
      <c r="B5427" s="32">
        <f>IF(ISNUMBER(SEARCH('Φόρμα Εισαγωγής'!$B$2,C5427)),MAX($B$1:B5426)+1,0)</f>
        <v>0</v>
      </c>
      <c r="D5427" s="33">
        <f>IF(ISNUMBER(SEARCH('Φόρμα Εισαγωγής'!$C$2,E5427)),MAX($D$1:D5426)+1,0)</f>
        <v>0</v>
      </c>
      <c r="H5427" s="6">
        <f t="shared" si="263"/>
        <v>0</v>
      </c>
      <c r="I5427" s="6">
        <f t="shared" si="264"/>
        <v>0</v>
      </c>
      <c r="J5427" s="6">
        <f t="shared" si="265"/>
        <v>0</v>
      </c>
      <c r="L5427" s="4" t="str">
        <f>IFERROR(VLOOKUP(ROWS($L$2:L5427),$B$2:$C$1996,2,0),"")</f>
        <v/>
      </c>
      <c r="N5427" s="2" t="str">
        <f>IFERROR(VLOOKUP(ROWS($N$2:N5427),$D$2:$E$1996,2,0),"")</f>
        <v/>
      </c>
    </row>
    <row r="5428" spans="2:14">
      <c r="B5428" s="32">
        <f>IF(ISNUMBER(SEARCH('Φόρμα Εισαγωγής'!$B$2,C5428)),MAX($B$1:B5427)+1,0)</f>
        <v>0</v>
      </c>
      <c r="D5428" s="33">
        <f>IF(ISNUMBER(SEARCH('Φόρμα Εισαγωγής'!$C$2,E5428)),MAX($D$1:D5427)+1,0)</f>
        <v>0</v>
      </c>
      <c r="H5428" s="6">
        <f t="shared" si="263"/>
        <v>0</v>
      </c>
      <c r="I5428" s="6">
        <f t="shared" si="264"/>
        <v>0</v>
      </c>
      <c r="J5428" s="6">
        <f t="shared" si="265"/>
        <v>0</v>
      </c>
      <c r="L5428" s="4" t="str">
        <f>IFERROR(VLOOKUP(ROWS($L$2:L5428),$B$2:$C$1996,2,0),"")</f>
        <v/>
      </c>
      <c r="N5428" s="2" t="str">
        <f>IFERROR(VLOOKUP(ROWS($N$2:N5428),$D$2:$E$1996,2,0),"")</f>
        <v/>
      </c>
    </row>
    <row r="5429" spans="2:14">
      <c r="B5429" s="32">
        <f>IF(ISNUMBER(SEARCH('Φόρμα Εισαγωγής'!$B$2,C5429)),MAX($B$1:B5428)+1,0)</f>
        <v>0</v>
      </c>
      <c r="D5429" s="33">
        <f>IF(ISNUMBER(SEARCH('Φόρμα Εισαγωγής'!$C$2,E5429)),MAX($D$1:D5428)+1,0)</f>
        <v>0</v>
      </c>
      <c r="H5429" s="6">
        <f t="shared" si="263"/>
        <v>0</v>
      </c>
      <c r="I5429" s="6">
        <f t="shared" si="264"/>
        <v>0</v>
      </c>
      <c r="J5429" s="6">
        <f t="shared" si="265"/>
        <v>0</v>
      </c>
      <c r="L5429" s="4" t="str">
        <f>IFERROR(VLOOKUP(ROWS($L$2:L5429),$B$2:$C$1996,2,0),"")</f>
        <v/>
      </c>
      <c r="N5429" s="2" t="str">
        <f>IFERROR(VLOOKUP(ROWS($N$2:N5429),$D$2:$E$1996,2,0),"")</f>
        <v/>
      </c>
    </row>
    <row r="5430" spans="2:14">
      <c r="B5430" s="32">
        <f>IF(ISNUMBER(SEARCH('Φόρμα Εισαγωγής'!$B$2,C5430)),MAX($B$1:B5429)+1,0)</f>
        <v>0</v>
      </c>
      <c r="D5430" s="33">
        <f>IF(ISNUMBER(SEARCH('Φόρμα Εισαγωγής'!$C$2,E5430)),MAX($D$1:D5429)+1,0)</f>
        <v>0</v>
      </c>
      <c r="H5430" s="6">
        <f t="shared" si="263"/>
        <v>0</v>
      </c>
      <c r="I5430" s="6">
        <f t="shared" si="264"/>
        <v>0</v>
      </c>
      <c r="J5430" s="6">
        <f t="shared" si="265"/>
        <v>0</v>
      </c>
      <c r="L5430" s="4" t="str">
        <f>IFERROR(VLOOKUP(ROWS($L$2:L5430),$B$2:$C$1996,2,0),"")</f>
        <v/>
      </c>
      <c r="N5430" s="2" t="str">
        <f>IFERROR(VLOOKUP(ROWS($N$2:N5430),$D$2:$E$1996,2,0),"")</f>
        <v/>
      </c>
    </row>
    <row r="5431" spans="2:14">
      <c r="B5431" s="32">
        <f>IF(ISNUMBER(SEARCH('Φόρμα Εισαγωγής'!$B$2,C5431)),MAX($B$1:B5430)+1,0)</f>
        <v>0</v>
      </c>
      <c r="D5431" s="33">
        <f>IF(ISNUMBER(SEARCH('Φόρμα Εισαγωγής'!$C$2,E5431)),MAX($D$1:D5430)+1,0)</f>
        <v>0</v>
      </c>
      <c r="H5431" s="6">
        <f t="shared" si="263"/>
        <v>0</v>
      </c>
      <c r="I5431" s="6">
        <f t="shared" si="264"/>
        <v>0</v>
      </c>
      <c r="J5431" s="6">
        <f t="shared" si="265"/>
        <v>0</v>
      </c>
      <c r="L5431" s="4" t="str">
        <f>IFERROR(VLOOKUP(ROWS($L$2:L5431),$B$2:$C$1996,2,0),"")</f>
        <v/>
      </c>
      <c r="N5431" s="2" t="str">
        <f>IFERROR(VLOOKUP(ROWS($N$2:N5431),$D$2:$E$1996,2,0),"")</f>
        <v/>
      </c>
    </row>
    <row r="5432" spans="2:14">
      <c r="B5432" s="32">
        <f>IF(ISNUMBER(SEARCH('Φόρμα Εισαγωγής'!$B$2,C5432)),MAX($B$1:B5431)+1,0)</f>
        <v>0</v>
      </c>
      <c r="D5432" s="33">
        <f>IF(ISNUMBER(SEARCH('Φόρμα Εισαγωγής'!$C$2,E5432)),MAX($D$1:D5431)+1,0)</f>
        <v>0</v>
      </c>
      <c r="H5432" s="6">
        <f t="shared" si="263"/>
        <v>0</v>
      </c>
      <c r="I5432" s="6">
        <f t="shared" si="264"/>
        <v>0</v>
      </c>
      <c r="J5432" s="6">
        <f t="shared" si="265"/>
        <v>0</v>
      </c>
      <c r="L5432" s="4" t="str">
        <f>IFERROR(VLOOKUP(ROWS($L$2:L5432),$B$2:$C$1996,2,0),"")</f>
        <v/>
      </c>
      <c r="N5432" s="2" t="str">
        <f>IFERROR(VLOOKUP(ROWS($N$2:N5432),$D$2:$E$1996,2,0),"")</f>
        <v/>
      </c>
    </row>
    <row r="5433" spans="2:14">
      <c r="B5433" s="32">
        <f>IF(ISNUMBER(SEARCH('Φόρμα Εισαγωγής'!$B$2,C5433)),MAX($B$1:B5432)+1,0)</f>
        <v>0</v>
      </c>
      <c r="D5433" s="33">
        <f>IF(ISNUMBER(SEARCH('Φόρμα Εισαγωγής'!$C$2,E5433)),MAX($D$1:D5432)+1,0)</f>
        <v>0</v>
      </c>
      <c r="H5433" s="6">
        <f t="shared" si="263"/>
        <v>0</v>
      </c>
      <c r="I5433" s="6">
        <f t="shared" si="264"/>
        <v>0</v>
      </c>
      <c r="J5433" s="6">
        <f t="shared" si="265"/>
        <v>0</v>
      </c>
      <c r="L5433" s="4" t="str">
        <f>IFERROR(VLOOKUP(ROWS($L$2:L5433),$B$2:$C$1996,2,0),"")</f>
        <v/>
      </c>
      <c r="N5433" s="2" t="str">
        <f>IFERROR(VLOOKUP(ROWS($N$2:N5433),$D$2:$E$1996,2,0),"")</f>
        <v/>
      </c>
    </row>
    <row r="5434" spans="2:14">
      <c r="B5434" s="32">
        <f>IF(ISNUMBER(SEARCH('Φόρμα Εισαγωγής'!$B$2,C5434)),MAX($B$1:B5433)+1,0)</f>
        <v>0</v>
      </c>
      <c r="D5434" s="33">
        <f>IF(ISNUMBER(SEARCH('Φόρμα Εισαγωγής'!$C$2,E5434)),MAX($D$1:D5433)+1,0)</f>
        <v>0</v>
      </c>
      <c r="H5434" s="6">
        <f t="shared" si="263"/>
        <v>0</v>
      </c>
      <c r="I5434" s="6">
        <f t="shared" si="264"/>
        <v>0</v>
      </c>
      <c r="J5434" s="6">
        <f t="shared" si="265"/>
        <v>0</v>
      </c>
      <c r="L5434" s="4" t="str">
        <f>IFERROR(VLOOKUP(ROWS($L$2:L5434),$B$2:$C$1996,2,0),"")</f>
        <v/>
      </c>
      <c r="N5434" s="2" t="str">
        <f>IFERROR(VLOOKUP(ROWS($N$2:N5434),$D$2:$E$1996,2,0),"")</f>
        <v/>
      </c>
    </row>
    <row r="5435" spans="2:14">
      <c r="B5435" s="32">
        <f>IF(ISNUMBER(SEARCH('Φόρμα Εισαγωγής'!$B$2,C5435)),MAX($B$1:B5434)+1,0)</f>
        <v>0</v>
      </c>
      <c r="D5435" s="33">
        <f>IF(ISNUMBER(SEARCH('Φόρμα Εισαγωγής'!$C$2,E5435)),MAX($D$1:D5434)+1,0)</f>
        <v>0</v>
      </c>
      <c r="H5435" s="6">
        <f t="shared" si="263"/>
        <v>0</v>
      </c>
      <c r="I5435" s="6">
        <f t="shared" si="264"/>
        <v>0</v>
      </c>
      <c r="J5435" s="6">
        <f t="shared" si="265"/>
        <v>0</v>
      </c>
      <c r="L5435" s="4" t="str">
        <f>IFERROR(VLOOKUP(ROWS($L$2:L5435),$B$2:$C$1996,2,0),"")</f>
        <v/>
      </c>
      <c r="N5435" s="2" t="str">
        <f>IFERROR(VLOOKUP(ROWS($N$2:N5435),$D$2:$E$1996,2,0),"")</f>
        <v/>
      </c>
    </row>
    <row r="5436" spans="2:14">
      <c r="B5436" s="32">
        <f>IF(ISNUMBER(SEARCH('Φόρμα Εισαγωγής'!$B$2,C5436)),MAX($B$1:B5435)+1,0)</f>
        <v>0</v>
      </c>
      <c r="D5436" s="33">
        <f>IF(ISNUMBER(SEARCH('Φόρμα Εισαγωγής'!$C$2,E5436)),MAX($D$1:D5435)+1,0)</f>
        <v>0</v>
      </c>
      <c r="H5436" s="6">
        <f t="shared" si="263"/>
        <v>0</v>
      </c>
      <c r="I5436" s="6">
        <f t="shared" si="264"/>
        <v>0</v>
      </c>
      <c r="J5436" s="6">
        <f t="shared" si="265"/>
        <v>0</v>
      </c>
      <c r="L5436" s="4" t="str">
        <f>IFERROR(VLOOKUP(ROWS($L$2:L5436),$B$2:$C$1996,2,0),"")</f>
        <v/>
      </c>
      <c r="N5436" s="2" t="str">
        <f>IFERROR(VLOOKUP(ROWS($N$2:N5436),$D$2:$E$1996,2,0),"")</f>
        <v/>
      </c>
    </row>
    <row r="5437" spans="2:14">
      <c r="B5437" s="32">
        <f>IF(ISNUMBER(SEARCH('Φόρμα Εισαγωγής'!$B$2,C5437)),MAX($B$1:B5436)+1,0)</f>
        <v>0</v>
      </c>
      <c r="D5437" s="33">
        <f>IF(ISNUMBER(SEARCH('Φόρμα Εισαγωγής'!$C$2,E5437)),MAX($D$1:D5436)+1,0)</f>
        <v>0</v>
      </c>
      <c r="H5437" s="6">
        <f t="shared" si="263"/>
        <v>0</v>
      </c>
      <c r="I5437" s="6">
        <f t="shared" si="264"/>
        <v>0</v>
      </c>
      <c r="J5437" s="6">
        <f t="shared" si="265"/>
        <v>0</v>
      </c>
      <c r="L5437" s="4" t="str">
        <f>IFERROR(VLOOKUP(ROWS($L$2:L5437),$B$2:$C$1996,2,0),"")</f>
        <v/>
      </c>
      <c r="N5437" s="2" t="str">
        <f>IFERROR(VLOOKUP(ROWS($N$2:N5437),$D$2:$E$1996,2,0),"")</f>
        <v/>
      </c>
    </row>
    <row r="5438" spans="2:14">
      <c r="B5438" s="32">
        <f>IF(ISNUMBER(SEARCH('Φόρμα Εισαγωγής'!$B$2,C5438)),MAX($B$1:B5437)+1,0)</f>
        <v>0</v>
      </c>
      <c r="D5438" s="33">
        <f>IF(ISNUMBER(SEARCH('Φόρμα Εισαγωγής'!$C$2,E5438)),MAX($D$1:D5437)+1,0)</f>
        <v>0</v>
      </c>
      <c r="H5438" s="6">
        <f t="shared" si="263"/>
        <v>0</v>
      </c>
      <c r="I5438" s="6">
        <f t="shared" si="264"/>
        <v>0</v>
      </c>
      <c r="J5438" s="6">
        <f t="shared" si="265"/>
        <v>0</v>
      </c>
      <c r="L5438" s="4" t="str">
        <f>IFERROR(VLOOKUP(ROWS($L$2:L5438),$B$2:$C$1996,2,0),"")</f>
        <v/>
      </c>
      <c r="N5438" s="2" t="str">
        <f>IFERROR(VLOOKUP(ROWS($N$2:N5438),$D$2:$E$1996,2,0),"")</f>
        <v/>
      </c>
    </row>
    <row r="5439" spans="2:14">
      <c r="B5439" s="32">
        <f>IF(ISNUMBER(SEARCH('Φόρμα Εισαγωγής'!$B$2,C5439)),MAX($B$1:B5438)+1,0)</f>
        <v>0</v>
      </c>
      <c r="D5439" s="33">
        <f>IF(ISNUMBER(SEARCH('Φόρμα Εισαγωγής'!$C$2,E5439)),MAX($D$1:D5438)+1,0)</f>
        <v>0</v>
      </c>
      <c r="H5439" s="6">
        <f t="shared" si="263"/>
        <v>0</v>
      </c>
      <c r="I5439" s="6">
        <f t="shared" si="264"/>
        <v>0</v>
      </c>
      <c r="J5439" s="6">
        <f t="shared" si="265"/>
        <v>0</v>
      </c>
      <c r="L5439" s="4" t="str">
        <f>IFERROR(VLOOKUP(ROWS($L$2:L5439),$B$2:$C$1996,2,0),"")</f>
        <v/>
      </c>
      <c r="N5439" s="2" t="str">
        <f>IFERROR(VLOOKUP(ROWS($N$2:N5439),$D$2:$E$1996,2,0),"")</f>
        <v/>
      </c>
    </row>
    <row r="5440" spans="2:14">
      <c r="B5440" s="32">
        <f>IF(ISNUMBER(SEARCH('Φόρμα Εισαγωγής'!$B$2,C5440)),MAX($B$1:B5439)+1,0)</f>
        <v>0</v>
      </c>
      <c r="D5440" s="33">
        <f>IF(ISNUMBER(SEARCH('Φόρμα Εισαγωγής'!$C$2,E5440)),MAX($D$1:D5439)+1,0)</f>
        <v>0</v>
      </c>
      <c r="H5440" s="6">
        <f t="shared" ref="H5440:H5503" si="266">G5440+(G5440*0.24)</f>
        <v>0</v>
      </c>
      <c r="I5440" s="6">
        <f t="shared" ref="I5440:I5503" si="267">F5440*A5440</f>
        <v>0</v>
      </c>
      <c r="J5440" s="6">
        <f t="shared" ref="J5440:J5503" si="268">H5440*A5440</f>
        <v>0</v>
      </c>
      <c r="L5440" s="4" t="str">
        <f>IFERROR(VLOOKUP(ROWS($L$2:L5440),$B$2:$C$1996,2,0),"")</f>
        <v/>
      </c>
      <c r="N5440" s="2" t="str">
        <f>IFERROR(VLOOKUP(ROWS($N$2:N5440),$D$2:$E$1996,2,0),"")</f>
        <v/>
      </c>
    </row>
    <row r="5441" spans="2:14">
      <c r="B5441" s="32">
        <f>IF(ISNUMBER(SEARCH('Φόρμα Εισαγωγής'!$B$2,C5441)),MAX($B$1:B5440)+1,0)</f>
        <v>0</v>
      </c>
      <c r="D5441" s="33">
        <f>IF(ISNUMBER(SEARCH('Φόρμα Εισαγωγής'!$C$2,E5441)),MAX($D$1:D5440)+1,0)</f>
        <v>0</v>
      </c>
      <c r="H5441" s="6">
        <f t="shared" si="266"/>
        <v>0</v>
      </c>
      <c r="I5441" s="6">
        <f t="shared" si="267"/>
        <v>0</v>
      </c>
      <c r="J5441" s="6">
        <f t="shared" si="268"/>
        <v>0</v>
      </c>
      <c r="L5441" s="4" t="str">
        <f>IFERROR(VLOOKUP(ROWS($L$2:L5441),$B$2:$C$1996,2,0),"")</f>
        <v/>
      </c>
      <c r="N5441" s="2" t="str">
        <f>IFERROR(VLOOKUP(ROWS($N$2:N5441),$D$2:$E$1996,2,0),"")</f>
        <v/>
      </c>
    </row>
    <row r="5442" spans="2:14">
      <c r="B5442" s="32">
        <f>IF(ISNUMBER(SEARCH('Φόρμα Εισαγωγής'!$B$2,C5442)),MAX($B$1:B5441)+1,0)</f>
        <v>0</v>
      </c>
      <c r="D5442" s="33">
        <f>IF(ISNUMBER(SEARCH('Φόρμα Εισαγωγής'!$C$2,E5442)),MAX($D$1:D5441)+1,0)</f>
        <v>0</v>
      </c>
      <c r="H5442" s="6">
        <f t="shared" si="266"/>
        <v>0</v>
      </c>
      <c r="I5442" s="6">
        <f t="shared" si="267"/>
        <v>0</v>
      </c>
      <c r="J5442" s="6">
        <f t="shared" si="268"/>
        <v>0</v>
      </c>
      <c r="L5442" s="4" t="str">
        <f>IFERROR(VLOOKUP(ROWS($L$2:L5442),$B$2:$C$1996,2,0),"")</f>
        <v/>
      </c>
      <c r="N5442" s="2" t="str">
        <f>IFERROR(VLOOKUP(ROWS($N$2:N5442),$D$2:$E$1996,2,0),"")</f>
        <v/>
      </c>
    </row>
    <row r="5443" spans="2:14">
      <c r="B5443" s="32">
        <f>IF(ISNUMBER(SEARCH('Φόρμα Εισαγωγής'!$B$2,C5443)),MAX($B$1:B5442)+1,0)</f>
        <v>0</v>
      </c>
      <c r="D5443" s="33">
        <f>IF(ISNUMBER(SEARCH('Φόρμα Εισαγωγής'!$C$2,E5443)),MAX($D$1:D5442)+1,0)</f>
        <v>0</v>
      </c>
      <c r="H5443" s="6">
        <f t="shared" si="266"/>
        <v>0</v>
      </c>
      <c r="I5443" s="6">
        <f t="shared" si="267"/>
        <v>0</v>
      </c>
      <c r="J5443" s="6">
        <f t="shared" si="268"/>
        <v>0</v>
      </c>
      <c r="L5443" s="4" t="str">
        <f>IFERROR(VLOOKUP(ROWS($L$2:L5443),$B$2:$C$1996,2,0),"")</f>
        <v/>
      </c>
      <c r="N5443" s="2" t="str">
        <f>IFERROR(VLOOKUP(ROWS($N$2:N5443),$D$2:$E$1996,2,0),"")</f>
        <v/>
      </c>
    </row>
    <row r="5444" spans="2:14">
      <c r="B5444" s="32">
        <f>IF(ISNUMBER(SEARCH('Φόρμα Εισαγωγής'!$B$2,C5444)),MAX($B$1:B5443)+1,0)</f>
        <v>0</v>
      </c>
      <c r="D5444" s="33">
        <f>IF(ISNUMBER(SEARCH('Φόρμα Εισαγωγής'!$C$2,E5444)),MAX($D$1:D5443)+1,0)</f>
        <v>0</v>
      </c>
      <c r="H5444" s="6">
        <f t="shared" si="266"/>
        <v>0</v>
      </c>
      <c r="I5444" s="6">
        <f t="shared" si="267"/>
        <v>0</v>
      </c>
      <c r="J5444" s="6">
        <f t="shared" si="268"/>
        <v>0</v>
      </c>
      <c r="L5444" s="4" t="str">
        <f>IFERROR(VLOOKUP(ROWS($L$2:L5444),$B$2:$C$1996,2,0),"")</f>
        <v/>
      </c>
      <c r="N5444" s="2" t="str">
        <f>IFERROR(VLOOKUP(ROWS($N$2:N5444),$D$2:$E$1996,2,0),"")</f>
        <v/>
      </c>
    </row>
    <row r="5445" spans="2:14">
      <c r="B5445" s="32">
        <f>IF(ISNUMBER(SEARCH('Φόρμα Εισαγωγής'!$B$2,C5445)),MAX($B$1:B5444)+1,0)</f>
        <v>0</v>
      </c>
      <c r="D5445" s="33">
        <f>IF(ISNUMBER(SEARCH('Φόρμα Εισαγωγής'!$C$2,E5445)),MAX($D$1:D5444)+1,0)</f>
        <v>0</v>
      </c>
      <c r="H5445" s="6">
        <f t="shared" si="266"/>
        <v>0</v>
      </c>
      <c r="I5445" s="6">
        <f t="shared" si="267"/>
        <v>0</v>
      </c>
      <c r="J5445" s="6">
        <f t="shared" si="268"/>
        <v>0</v>
      </c>
      <c r="L5445" s="4" t="str">
        <f>IFERROR(VLOOKUP(ROWS($L$2:L5445),$B$2:$C$1996,2,0),"")</f>
        <v/>
      </c>
      <c r="N5445" s="2" t="str">
        <f>IFERROR(VLOOKUP(ROWS($N$2:N5445),$D$2:$E$1996,2,0),"")</f>
        <v/>
      </c>
    </row>
    <row r="5446" spans="2:14">
      <c r="B5446" s="32">
        <f>IF(ISNUMBER(SEARCH('Φόρμα Εισαγωγής'!$B$2,C5446)),MAX($B$1:B5445)+1,0)</f>
        <v>0</v>
      </c>
      <c r="D5446" s="33">
        <f>IF(ISNUMBER(SEARCH('Φόρμα Εισαγωγής'!$C$2,E5446)),MAX($D$1:D5445)+1,0)</f>
        <v>0</v>
      </c>
      <c r="H5446" s="6">
        <f t="shared" si="266"/>
        <v>0</v>
      </c>
      <c r="I5446" s="6">
        <f t="shared" si="267"/>
        <v>0</v>
      </c>
      <c r="J5446" s="6">
        <f t="shared" si="268"/>
        <v>0</v>
      </c>
      <c r="L5446" s="4" t="str">
        <f>IFERROR(VLOOKUP(ROWS($L$2:L5446),$B$2:$C$1996,2,0),"")</f>
        <v/>
      </c>
      <c r="N5446" s="2" t="str">
        <f>IFERROR(VLOOKUP(ROWS($N$2:N5446),$D$2:$E$1996,2,0),"")</f>
        <v/>
      </c>
    </row>
    <row r="5447" spans="2:14">
      <c r="B5447" s="32">
        <f>IF(ISNUMBER(SEARCH('Φόρμα Εισαγωγής'!$B$2,C5447)),MAX($B$1:B5446)+1,0)</f>
        <v>0</v>
      </c>
      <c r="D5447" s="33">
        <f>IF(ISNUMBER(SEARCH('Φόρμα Εισαγωγής'!$C$2,E5447)),MAX($D$1:D5446)+1,0)</f>
        <v>0</v>
      </c>
      <c r="H5447" s="6">
        <f t="shared" si="266"/>
        <v>0</v>
      </c>
      <c r="I5447" s="6">
        <f t="shared" si="267"/>
        <v>0</v>
      </c>
      <c r="J5447" s="6">
        <f t="shared" si="268"/>
        <v>0</v>
      </c>
      <c r="L5447" s="4" t="str">
        <f>IFERROR(VLOOKUP(ROWS($L$2:L5447),$B$2:$C$1996,2,0),"")</f>
        <v/>
      </c>
      <c r="N5447" s="2" t="str">
        <f>IFERROR(VLOOKUP(ROWS($N$2:N5447),$D$2:$E$1996,2,0),"")</f>
        <v/>
      </c>
    </row>
    <row r="5448" spans="2:14">
      <c r="B5448" s="32">
        <f>IF(ISNUMBER(SEARCH('Φόρμα Εισαγωγής'!$B$2,C5448)),MAX($B$1:B5447)+1,0)</f>
        <v>0</v>
      </c>
      <c r="D5448" s="33">
        <f>IF(ISNUMBER(SEARCH('Φόρμα Εισαγωγής'!$C$2,E5448)),MAX($D$1:D5447)+1,0)</f>
        <v>0</v>
      </c>
      <c r="H5448" s="6">
        <f t="shared" si="266"/>
        <v>0</v>
      </c>
      <c r="I5448" s="6">
        <f t="shared" si="267"/>
        <v>0</v>
      </c>
      <c r="J5448" s="6">
        <f t="shared" si="268"/>
        <v>0</v>
      </c>
      <c r="L5448" s="4" t="str">
        <f>IFERROR(VLOOKUP(ROWS($L$2:L5448),$B$2:$C$1996,2,0),"")</f>
        <v/>
      </c>
      <c r="N5448" s="2" t="str">
        <f>IFERROR(VLOOKUP(ROWS($N$2:N5448),$D$2:$E$1996,2,0),"")</f>
        <v/>
      </c>
    </row>
    <row r="5449" spans="2:14">
      <c r="B5449" s="32">
        <f>IF(ISNUMBER(SEARCH('Φόρμα Εισαγωγής'!$B$2,C5449)),MAX($B$1:B5448)+1,0)</f>
        <v>0</v>
      </c>
      <c r="D5449" s="33">
        <f>IF(ISNUMBER(SEARCH('Φόρμα Εισαγωγής'!$C$2,E5449)),MAX($D$1:D5448)+1,0)</f>
        <v>0</v>
      </c>
      <c r="H5449" s="6">
        <f t="shared" si="266"/>
        <v>0</v>
      </c>
      <c r="I5449" s="6">
        <f t="shared" si="267"/>
        <v>0</v>
      </c>
      <c r="J5449" s="6">
        <f t="shared" si="268"/>
        <v>0</v>
      </c>
      <c r="L5449" s="4" t="str">
        <f>IFERROR(VLOOKUP(ROWS($L$2:L5449),$B$2:$C$1996,2,0),"")</f>
        <v/>
      </c>
      <c r="N5449" s="2" t="str">
        <f>IFERROR(VLOOKUP(ROWS($N$2:N5449),$D$2:$E$1996,2,0),"")</f>
        <v/>
      </c>
    </row>
    <row r="5450" spans="2:14">
      <c r="B5450" s="32">
        <f>IF(ISNUMBER(SEARCH('Φόρμα Εισαγωγής'!$B$2,C5450)),MAX($B$1:B5449)+1,0)</f>
        <v>0</v>
      </c>
      <c r="D5450" s="33">
        <f>IF(ISNUMBER(SEARCH('Φόρμα Εισαγωγής'!$C$2,E5450)),MAX($D$1:D5449)+1,0)</f>
        <v>0</v>
      </c>
      <c r="H5450" s="6">
        <f t="shared" si="266"/>
        <v>0</v>
      </c>
      <c r="I5450" s="6">
        <f t="shared" si="267"/>
        <v>0</v>
      </c>
      <c r="J5450" s="6">
        <f t="shared" si="268"/>
        <v>0</v>
      </c>
      <c r="L5450" s="4" t="str">
        <f>IFERROR(VLOOKUP(ROWS($L$2:L5450),$B$2:$C$1996,2,0),"")</f>
        <v/>
      </c>
      <c r="N5450" s="2" t="str">
        <f>IFERROR(VLOOKUP(ROWS($N$2:N5450),$D$2:$E$1996,2,0),"")</f>
        <v/>
      </c>
    </row>
    <row r="5451" spans="2:14">
      <c r="B5451" s="32">
        <f>IF(ISNUMBER(SEARCH('Φόρμα Εισαγωγής'!$B$2,C5451)),MAX($B$1:B5450)+1,0)</f>
        <v>0</v>
      </c>
      <c r="D5451" s="33">
        <f>IF(ISNUMBER(SEARCH('Φόρμα Εισαγωγής'!$C$2,E5451)),MAX($D$1:D5450)+1,0)</f>
        <v>0</v>
      </c>
      <c r="H5451" s="6">
        <f t="shared" si="266"/>
        <v>0</v>
      </c>
      <c r="I5451" s="6">
        <f t="shared" si="267"/>
        <v>0</v>
      </c>
      <c r="J5451" s="6">
        <f t="shared" si="268"/>
        <v>0</v>
      </c>
      <c r="L5451" s="4" t="str">
        <f>IFERROR(VLOOKUP(ROWS($L$2:L5451),$B$2:$C$1996,2,0),"")</f>
        <v/>
      </c>
      <c r="N5451" s="2" t="str">
        <f>IFERROR(VLOOKUP(ROWS($N$2:N5451),$D$2:$E$1996,2,0),"")</f>
        <v/>
      </c>
    </row>
    <row r="5452" spans="2:14">
      <c r="B5452" s="32">
        <f>IF(ISNUMBER(SEARCH('Φόρμα Εισαγωγής'!$B$2,C5452)),MAX($B$1:B5451)+1,0)</f>
        <v>0</v>
      </c>
      <c r="D5452" s="33">
        <f>IF(ISNUMBER(SEARCH('Φόρμα Εισαγωγής'!$C$2,E5452)),MAX($D$1:D5451)+1,0)</f>
        <v>0</v>
      </c>
      <c r="H5452" s="6">
        <f t="shared" si="266"/>
        <v>0</v>
      </c>
      <c r="I5452" s="6">
        <f t="shared" si="267"/>
        <v>0</v>
      </c>
      <c r="J5452" s="6">
        <f t="shared" si="268"/>
        <v>0</v>
      </c>
      <c r="L5452" s="4" t="str">
        <f>IFERROR(VLOOKUP(ROWS($L$2:L5452),$B$2:$C$1996,2,0),"")</f>
        <v/>
      </c>
      <c r="N5452" s="2" t="str">
        <f>IFERROR(VLOOKUP(ROWS($N$2:N5452),$D$2:$E$1996,2,0),"")</f>
        <v/>
      </c>
    </row>
    <row r="5453" spans="2:14">
      <c r="B5453" s="32">
        <f>IF(ISNUMBER(SEARCH('Φόρμα Εισαγωγής'!$B$2,C5453)),MAX($B$1:B5452)+1,0)</f>
        <v>0</v>
      </c>
      <c r="D5453" s="33">
        <f>IF(ISNUMBER(SEARCH('Φόρμα Εισαγωγής'!$C$2,E5453)),MAX($D$1:D5452)+1,0)</f>
        <v>0</v>
      </c>
      <c r="H5453" s="6">
        <f t="shared" si="266"/>
        <v>0</v>
      </c>
      <c r="I5453" s="6">
        <f t="shared" si="267"/>
        <v>0</v>
      </c>
      <c r="J5453" s="6">
        <f t="shared" si="268"/>
        <v>0</v>
      </c>
      <c r="L5453" s="4" t="str">
        <f>IFERROR(VLOOKUP(ROWS($L$2:L5453),$B$2:$C$1996,2,0),"")</f>
        <v/>
      </c>
      <c r="N5453" s="2" t="str">
        <f>IFERROR(VLOOKUP(ROWS($N$2:N5453),$D$2:$E$1996,2,0),"")</f>
        <v/>
      </c>
    </row>
    <row r="5454" spans="2:14">
      <c r="B5454" s="32">
        <f>IF(ISNUMBER(SEARCH('Φόρμα Εισαγωγής'!$B$2,C5454)),MAX($B$1:B5453)+1,0)</f>
        <v>0</v>
      </c>
      <c r="D5454" s="33">
        <f>IF(ISNUMBER(SEARCH('Φόρμα Εισαγωγής'!$C$2,E5454)),MAX($D$1:D5453)+1,0)</f>
        <v>0</v>
      </c>
      <c r="H5454" s="6">
        <f t="shared" si="266"/>
        <v>0</v>
      </c>
      <c r="I5454" s="6">
        <f t="shared" si="267"/>
        <v>0</v>
      </c>
      <c r="J5454" s="6">
        <f t="shared" si="268"/>
        <v>0</v>
      </c>
      <c r="L5454" s="4" t="str">
        <f>IFERROR(VLOOKUP(ROWS($L$2:L5454),$B$2:$C$1996,2,0),"")</f>
        <v/>
      </c>
      <c r="N5454" s="2" t="str">
        <f>IFERROR(VLOOKUP(ROWS($N$2:N5454),$D$2:$E$1996,2,0),"")</f>
        <v/>
      </c>
    </row>
    <row r="5455" spans="2:14">
      <c r="B5455" s="32">
        <f>IF(ISNUMBER(SEARCH('Φόρμα Εισαγωγής'!$B$2,C5455)),MAX($B$1:B5454)+1,0)</f>
        <v>0</v>
      </c>
      <c r="D5455" s="33">
        <f>IF(ISNUMBER(SEARCH('Φόρμα Εισαγωγής'!$C$2,E5455)),MAX($D$1:D5454)+1,0)</f>
        <v>0</v>
      </c>
      <c r="H5455" s="6">
        <f t="shared" si="266"/>
        <v>0</v>
      </c>
      <c r="I5455" s="6">
        <f t="shared" si="267"/>
        <v>0</v>
      </c>
      <c r="J5455" s="6">
        <f t="shared" si="268"/>
        <v>0</v>
      </c>
      <c r="L5455" s="4" t="str">
        <f>IFERROR(VLOOKUP(ROWS($L$2:L5455),$B$2:$C$1996,2,0),"")</f>
        <v/>
      </c>
      <c r="N5455" s="2" t="str">
        <f>IFERROR(VLOOKUP(ROWS($N$2:N5455),$D$2:$E$1996,2,0),"")</f>
        <v/>
      </c>
    </row>
    <row r="5456" spans="2:14">
      <c r="B5456" s="32">
        <f>IF(ISNUMBER(SEARCH('Φόρμα Εισαγωγής'!$B$2,C5456)),MAX($B$1:B5455)+1,0)</f>
        <v>0</v>
      </c>
      <c r="D5456" s="33">
        <f>IF(ISNUMBER(SEARCH('Φόρμα Εισαγωγής'!$C$2,E5456)),MAX($D$1:D5455)+1,0)</f>
        <v>0</v>
      </c>
      <c r="H5456" s="6">
        <f t="shared" si="266"/>
        <v>0</v>
      </c>
      <c r="I5456" s="6">
        <f t="shared" si="267"/>
        <v>0</v>
      </c>
      <c r="J5456" s="6">
        <f t="shared" si="268"/>
        <v>0</v>
      </c>
      <c r="L5456" s="4" t="str">
        <f>IFERROR(VLOOKUP(ROWS($L$2:L5456),$B$2:$C$1996,2,0),"")</f>
        <v/>
      </c>
      <c r="N5456" s="2" t="str">
        <f>IFERROR(VLOOKUP(ROWS($N$2:N5456),$D$2:$E$1996,2,0),"")</f>
        <v/>
      </c>
    </row>
    <row r="5457" spans="2:14">
      <c r="B5457" s="32">
        <f>IF(ISNUMBER(SEARCH('Φόρμα Εισαγωγής'!$B$2,C5457)),MAX($B$1:B5456)+1,0)</f>
        <v>0</v>
      </c>
      <c r="D5457" s="33">
        <f>IF(ISNUMBER(SEARCH('Φόρμα Εισαγωγής'!$C$2,E5457)),MAX($D$1:D5456)+1,0)</f>
        <v>0</v>
      </c>
      <c r="H5457" s="6">
        <f t="shared" si="266"/>
        <v>0</v>
      </c>
      <c r="I5457" s="6">
        <f t="shared" si="267"/>
        <v>0</v>
      </c>
      <c r="J5457" s="6">
        <f t="shared" si="268"/>
        <v>0</v>
      </c>
      <c r="L5457" s="4" t="str">
        <f>IFERROR(VLOOKUP(ROWS($L$2:L5457),$B$2:$C$1996,2,0),"")</f>
        <v/>
      </c>
      <c r="N5457" s="2" t="str">
        <f>IFERROR(VLOOKUP(ROWS($N$2:N5457),$D$2:$E$1996,2,0),"")</f>
        <v/>
      </c>
    </row>
    <row r="5458" spans="2:14">
      <c r="B5458" s="32">
        <f>IF(ISNUMBER(SEARCH('Φόρμα Εισαγωγής'!$B$2,C5458)),MAX($B$1:B5457)+1,0)</f>
        <v>0</v>
      </c>
      <c r="D5458" s="33">
        <f>IF(ISNUMBER(SEARCH('Φόρμα Εισαγωγής'!$C$2,E5458)),MAX($D$1:D5457)+1,0)</f>
        <v>0</v>
      </c>
      <c r="H5458" s="6">
        <f t="shared" si="266"/>
        <v>0</v>
      </c>
      <c r="I5458" s="6">
        <f t="shared" si="267"/>
        <v>0</v>
      </c>
      <c r="J5458" s="6">
        <f t="shared" si="268"/>
        <v>0</v>
      </c>
      <c r="L5458" s="4" t="str">
        <f>IFERROR(VLOOKUP(ROWS($L$2:L5458),$B$2:$C$1996,2,0),"")</f>
        <v/>
      </c>
      <c r="N5458" s="2" t="str">
        <f>IFERROR(VLOOKUP(ROWS($N$2:N5458),$D$2:$E$1996,2,0),"")</f>
        <v/>
      </c>
    </row>
    <row r="5459" spans="2:14">
      <c r="B5459" s="32">
        <f>IF(ISNUMBER(SEARCH('Φόρμα Εισαγωγής'!$B$2,C5459)),MAX($B$1:B5458)+1,0)</f>
        <v>0</v>
      </c>
      <c r="D5459" s="33">
        <f>IF(ISNUMBER(SEARCH('Φόρμα Εισαγωγής'!$C$2,E5459)),MAX($D$1:D5458)+1,0)</f>
        <v>0</v>
      </c>
      <c r="H5459" s="6">
        <f t="shared" si="266"/>
        <v>0</v>
      </c>
      <c r="I5459" s="6">
        <f t="shared" si="267"/>
        <v>0</v>
      </c>
      <c r="J5459" s="6">
        <f t="shared" si="268"/>
        <v>0</v>
      </c>
      <c r="L5459" s="4" t="str">
        <f>IFERROR(VLOOKUP(ROWS($L$2:L5459),$B$2:$C$1996,2,0),"")</f>
        <v/>
      </c>
      <c r="N5459" s="2" t="str">
        <f>IFERROR(VLOOKUP(ROWS($N$2:N5459),$D$2:$E$1996,2,0),"")</f>
        <v/>
      </c>
    </row>
    <row r="5460" spans="2:14">
      <c r="B5460" s="32">
        <f>IF(ISNUMBER(SEARCH('Φόρμα Εισαγωγής'!$B$2,C5460)),MAX($B$1:B5459)+1,0)</f>
        <v>0</v>
      </c>
      <c r="D5460" s="33">
        <f>IF(ISNUMBER(SEARCH('Φόρμα Εισαγωγής'!$C$2,E5460)),MAX($D$1:D5459)+1,0)</f>
        <v>0</v>
      </c>
      <c r="H5460" s="6">
        <f t="shared" si="266"/>
        <v>0</v>
      </c>
      <c r="I5460" s="6">
        <f t="shared" si="267"/>
        <v>0</v>
      </c>
      <c r="J5460" s="6">
        <f t="shared" si="268"/>
        <v>0</v>
      </c>
      <c r="L5460" s="4" t="str">
        <f>IFERROR(VLOOKUP(ROWS($L$2:L5460),$B$2:$C$1996,2,0),"")</f>
        <v/>
      </c>
      <c r="N5460" s="2" t="str">
        <f>IFERROR(VLOOKUP(ROWS($N$2:N5460),$D$2:$E$1996,2,0),"")</f>
        <v/>
      </c>
    </row>
    <row r="5461" spans="2:14">
      <c r="B5461" s="32">
        <f>IF(ISNUMBER(SEARCH('Φόρμα Εισαγωγής'!$B$2,C5461)),MAX($B$1:B5460)+1,0)</f>
        <v>0</v>
      </c>
      <c r="D5461" s="33">
        <f>IF(ISNUMBER(SEARCH('Φόρμα Εισαγωγής'!$C$2,E5461)),MAX($D$1:D5460)+1,0)</f>
        <v>0</v>
      </c>
      <c r="H5461" s="6">
        <f t="shared" si="266"/>
        <v>0</v>
      </c>
      <c r="I5461" s="6">
        <f t="shared" si="267"/>
        <v>0</v>
      </c>
      <c r="J5461" s="6">
        <f t="shared" si="268"/>
        <v>0</v>
      </c>
      <c r="L5461" s="4" t="str">
        <f>IFERROR(VLOOKUP(ROWS($L$2:L5461),$B$2:$C$1996,2,0),"")</f>
        <v/>
      </c>
      <c r="N5461" s="2" t="str">
        <f>IFERROR(VLOOKUP(ROWS($N$2:N5461),$D$2:$E$1996,2,0),"")</f>
        <v/>
      </c>
    </row>
    <row r="5462" spans="2:14">
      <c r="B5462" s="32">
        <f>IF(ISNUMBER(SEARCH('Φόρμα Εισαγωγής'!$B$2,C5462)),MAX($B$1:B5461)+1,0)</f>
        <v>0</v>
      </c>
      <c r="D5462" s="33">
        <f>IF(ISNUMBER(SEARCH('Φόρμα Εισαγωγής'!$C$2,E5462)),MAX($D$1:D5461)+1,0)</f>
        <v>0</v>
      </c>
      <c r="H5462" s="6">
        <f t="shared" si="266"/>
        <v>0</v>
      </c>
      <c r="I5462" s="6">
        <f t="shared" si="267"/>
        <v>0</v>
      </c>
      <c r="J5462" s="6">
        <f t="shared" si="268"/>
        <v>0</v>
      </c>
      <c r="L5462" s="4" t="str">
        <f>IFERROR(VLOOKUP(ROWS($L$2:L5462),$B$2:$C$1996,2,0),"")</f>
        <v/>
      </c>
      <c r="N5462" s="2" t="str">
        <f>IFERROR(VLOOKUP(ROWS($N$2:N5462),$D$2:$E$1996,2,0),"")</f>
        <v/>
      </c>
    </row>
    <row r="5463" spans="2:14">
      <c r="B5463" s="32">
        <f>IF(ISNUMBER(SEARCH('Φόρμα Εισαγωγής'!$B$2,C5463)),MAX($B$1:B5462)+1,0)</f>
        <v>0</v>
      </c>
      <c r="D5463" s="33">
        <f>IF(ISNUMBER(SEARCH('Φόρμα Εισαγωγής'!$C$2,E5463)),MAX($D$1:D5462)+1,0)</f>
        <v>0</v>
      </c>
      <c r="H5463" s="6">
        <f t="shared" si="266"/>
        <v>0</v>
      </c>
      <c r="I5463" s="6">
        <f t="shared" si="267"/>
        <v>0</v>
      </c>
      <c r="J5463" s="6">
        <f t="shared" si="268"/>
        <v>0</v>
      </c>
      <c r="L5463" s="4" t="str">
        <f>IFERROR(VLOOKUP(ROWS($L$2:L5463),$B$2:$C$1996,2,0),"")</f>
        <v/>
      </c>
      <c r="N5463" s="2" t="str">
        <f>IFERROR(VLOOKUP(ROWS($N$2:N5463),$D$2:$E$1996,2,0),"")</f>
        <v/>
      </c>
    </row>
    <row r="5464" spans="2:14">
      <c r="B5464" s="32">
        <f>IF(ISNUMBER(SEARCH('Φόρμα Εισαγωγής'!$B$2,C5464)),MAX($B$1:B5463)+1,0)</f>
        <v>0</v>
      </c>
      <c r="D5464" s="33">
        <f>IF(ISNUMBER(SEARCH('Φόρμα Εισαγωγής'!$C$2,E5464)),MAX($D$1:D5463)+1,0)</f>
        <v>0</v>
      </c>
      <c r="H5464" s="6">
        <f t="shared" si="266"/>
        <v>0</v>
      </c>
      <c r="I5464" s="6">
        <f t="shared" si="267"/>
        <v>0</v>
      </c>
      <c r="J5464" s="6">
        <f t="shared" si="268"/>
        <v>0</v>
      </c>
      <c r="L5464" s="4" t="str">
        <f>IFERROR(VLOOKUP(ROWS($L$2:L5464),$B$2:$C$1996,2,0),"")</f>
        <v/>
      </c>
      <c r="N5464" s="2" t="str">
        <f>IFERROR(VLOOKUP(ROWS($N$2:N5464),$D$2:$E$1996,2,0),"")</f>
        <v/>
      </c>
    </row>
    <row r="5465" spans="2:14">
      <c r="B5465" s="32">
        <f>IF(ISNUMBER(SEARCH('Φόρμα Εισαγωγής'!$B$2,C5465)),MAX($B$1:B5464)+1,0)</f>
        <v>0</v>
      </c>
      <c r="D5465" s="33">
        <f>IF(ISNUMBER(SEARCH('Φόρμα Εισαγωγής'!$C$2,E5465)),MAX($D$1:D5464)+1,0)</f>
        <v>0</v>
      </c>
      <c r="H5465" s="6">
        <f t="shared" si="266"/>
        <v>0</v>
      </c>
      <c r="I5465" s="6">
        <f t="shared" si="267"/>
        <v>0</v>
      </c>
      <c r="J5465" s="6">
        <f t="shared" si="268"/>
        <v>0</v>
      </c>
      <c r="L5465" s="4" t="str">
        <f>IFERROR(VLOOKUP(ROWS($L$2:L5465),$B$2:$C$1996,2,0),"")</f>
        <v/>
      </c>
      <c r="N5465" s="2" t="str">
        <f>IFERROR(VLOOKUP(ROWS($N$2:N5465),$D$2:$E$1996,2,0),"")</f>
        <v/>
      </c>
    </row>
    <row r="5466" spans="2:14">
      <c r="B5466" s="32">
        <f>IF(ISNUMBER(SEARCH('Φόρμα Εισαγωγής'!$B$2,C5466)),MAX($B$1:B5465)+1,0)</f>
        <v>0</v>
      </c>
      <c r="D5466" s="33">
        <f>IF(ISNUMBER(SEARCH('Φόρμα Εισαγωγής'!$C$2,E5466)),MAX($D$1:D5465)+1,0)</f>
        <v>0</v>
      </c>
      <c r="H5466" s="6">
        <f t="shared" si="266"/>
        <v>0</v>
      </c>
      <c r="I5466" s="6">
        <f t="shared" si="267"/>
        <v>0</v>
      </c>
      <c r="J5466" s="6">
        <f t="shared" si="268"/>
        <v>0</v>
      </c>
      <c r="L5466" s="4" t="str">
        <f>IFERROR(VLOOKUP(ROWS($L$2:L5466),$B$2:$C$1996,2,0),"")</f>
        <v/>
      </c>
      <c r="N5466" s="2" t="str">
        <f>IFERROR(VLOOKUP(ROWS($N$2:N5466),$D$2:$E$1996,2,0),"")</f>
        <v/>
      </c>
    </row>
    <row r="5467" spans="2:14">
      <c r="B5467" s="32">
        <f>IF(ISNUMBER(SEARCH('Φόρμα Εισαγωγής'!$B$2,C5467)),MAX($B$1:B5466)+1,0)</f>
        <v>0</v>
      </c>
      <c r="D5467" s="33">
        <f>IF(ISNUMBER(SEARCH('Φόρμα Εισαγωγής'!$C$2,E5467)),MAX($D$1:D5466)+1,0)</f>
        <v>0</v>
      </c>
      <c r="H5467" s="6">
        <f t="shared" si="266"/>
        <v>0</v>
      </c>
      <c r="I5467" s="6">
        <f t="shared" si="267"/>
        <v>0</v>
      </c>
      <c r="J5467" s="6">
        <f t="shared" si="268"/>
        <v>0</v>
      </c>
      <c r="L5467" s="4" t="str">
        <f>IFERROR(VLOOKUP(ROWS($L$2:L5467),$B$2:$C$1996,2,0),"")</f>
        <v/>
      </c>
      <c r="N5467" s="2" t="str">
        <f>IFERROR(VLOOKUP(ROWS($N$2:N5467),$D$2:$E$1996,2,0),"")</f>
        <v/>
      </c>
    </row>
    <row r="5468" spans="2:14">
      <c r="B5468" s="32">
        <f>IF(ISNUMBER(SEARCH('Φόρμα Εισαγωγής'!$B$2,C5468)),MAX($B$1:B5467)+1,0)</f>
        <v>0</v>
      </c>
      <c r="D5468" s="33">
        <f>IF(ISNUMBER(SEARCH('Φόρμα Εισαγωγής'!$C$2,E5468)),MAX($D$1:D5467)+1,0)</f>
        <v>0</v>
      </c>
      <c r="H5468" s="6">
        <f t="shared" si="266"/>
        <v>0</v>
      </c>
      <c r="I5468" s="6">
        <f t="shared" si="267"/>
        <v>0</v>
      </c>
      <c r="J5468" s="6">
        <f t="shared" si="268"/>
        <v>0</v>
      </c>
      <c r="L5468" s="4" t="str">
        <f>IFERROR(VLOOKUP(ROWS($L$2:L5468),$B$2:$C$1996,2,0),"")</f>
        <v/>
      </c>
      <c r="N5468" s="2" t="str">
        <f>IFERROR(VLOOKUP(ROWS($N$2:N5468),$D$2:$E$1996,2,0),"")</f>
        <v/>
      </c>
    </row>
    <row r="5469" spans="2:14">
      <c r="B5469" s="32">
        <f>IF(ISNUMBER(SEARCH('Φόρμα Εισαγωγής'!$B$2,C5469)),MAX($B$1:B5468)+1,0)</f>
        <v>0</v>
      </c>
      <c r="D5469" s="33">
        <f>IF(ISNUMBER(SEARCH('Φόρμα Εισαγωγής'!$C$2,E5469)),MAX($D$1:D5468)+1,0)</f>
        <v>0</v>
      </c>
      <c r="H5469" s="6">
        <f t="shared" si="266"/>
        <v>0</v>
      </c>
      <c r="I5469" s="6">
        <f t="shared" si="267"/>
        <v>0</v>
      </c>
      <c r="J5469" s="6">
        <f t="shared" si="268"/>
        <v>0</v>
      </c>
      <c r="L5469" s="4" t="str">
        <f>IFERROR(VLOOKUP(ROWS($L$2:L5469),$B$2:$C$1996,2,0),"")</f>
        <v/>
      </c>
      <c r="N5469" s="2" t="str">
        <f>IFERROR(VLOOKUP(ROWS($N$2:N5469),$D$2:$E$1996,2,0),"")</f>
        <v/>
      </c>
    </row>
    <row r="5470" spans="2:14">
      <c r="B5470" s="32">
        <f>IF(ISNUMBER(SEARCH('Φόρμα Εισαγωγής'!$B$2,C5470)),MAX($B$1:B5469)+1,0)</f>
        <v>0</v>
      </c>
      <c r="D5470" s="33">
        <f>IF(ISNUMBER(SEARCH('Φόρμα Εισαγωγής'!$C$2,E5470)),MAX($D$1:D5469)+1,0)</f>
        <v>0</v>
      </c>
      <c r="H5470" s="6">
        <f t="shared" si="266"/>
        <v>0</v>
      </c>
      <c r="I5470" s="6">
        <f t="shared" si="267"/>
        <v>0</v>
      </c>
      <c r="J5470" s="6">
        <f t="shared" si="268"/>
        <v>0</v>
      </c>
      <c r="L5470" s="4" t="str">
        <f>IFERROR(VLOOKUP(ROWS($L$2:L5470),$B$2:$C$1996,2,0),"")</f>
        <v/>
      </c>
      <c r="N5470" s="2" t="str">
        <f>IFERROR(VLOOKUP(ROWS($N$2:N5470),$D$2:$E$1996,2,0),"")</f>
        <v/>
      </c>
    </row>
    <row r="5471" spans="2:14">
      <c r="B5471" s="32">
        <f>IF(ISNUMBER(SEARCH('Φόρμα Εισαγωγής'!$B$2,C5471)),MAX($B$1:B5470)+1,0)</f>
        <v>0</v>
      </c>
      <c r="D5471" s="33">
        <f>IF(ISNUMBER(SEARCH('Φόρμα Εισαγωγής'!$C$2,E5471)),MAX($D$1:D5470)+1,0)</f>
        <v>0</v>
      </c>
      <c r="H5471" s="6">
        <f t="shared" si="266"/>
        <v>0</v>
      </c>
      <c r="I5471" s="6">
        <f t="shared" si="267"/>
        <v>0</v>
      </c>
      <c r="J5471" s="6">
        <f t="shared" si="268"/>
        <v>0</v>
      </c>
      <c r="L5471" s="4" t="str">
        <f>IFERROR(VLOOKUP(ROWS($L$2:L5471),$B$2:$C$1996,2,0),"")</f>
        <v/>
      </c>
      <c r="N5471" s="2" t="str">
        <f>IFERROR(VLOOKUP(ROWS($N$2:N5471),$D$2:$E$1996,2,0),"")</f>
        <v/>
      </c>
    </row>
    <row r="5472" spans="2:14">
      <c r="B5472" s="32">
        <f>IF(ISNUMBER(SEARCH('Φόρμα Εισαγωγής'!$B$2,C5472)),MAX($B$1:B5471)+1,0)</f>
        <v>0</v>
      </c>
      <c r="D5472" s="33">
        <f>IF(ISNUMBER(SEARCH('Φόρμα Εισαγωγής'!$C$2,E5472)),MAX($D$1:D5471)+1,0)</f>
        <v>0</v>
      </c>
      <c r="H5472" s="6">
        <f t="shared" si="266"/>
        <v>0</v>
      </c>
      <c r="I5472" s="6">
        <f t="shared" si="267"/>
        <v>0</v>
      </c>
      <c r="J5472" s="6">
        <f t="shared" si="268"/>
        <v>0</v>
      </c>
      <c r="L5472" s="4" t="str">
        <f>IFERROR(VLOOKUP(ROWS($L$2:L5472),$B$2:$C$1996,2,0),"")</f>
        <v/>
      </c>
      <c r="N5472" s="2" t="str">
        <f>IFERROR(VLOOKUP(ROWS($N$2:N5472),$D$2:$E$1996,2,0),"")</f>
        <v/>
      </c>
    </row>
    <row r="5473" spans="2:14">
      <c r="B5473" s="32">
        <f>IF(ISNUMBER(SEARCH('Φόρμα Εισαγωγής'!$B$2,C5473)),MAX($B$1:B5472)+1,0)</f>
        <v>0</v>
      </c>
      <c r="D5473" s="33">
        <f>IF(ISNUMBER(SEARCH('Φόρμα Εισαγωγής'!$C$2,E5473)),MAX($D$1:D5472)+1,0)</f>
        <v>0</v>
      </c>
      <c r="H5473" s="6">
        <f t="shared" si="266"/>
        <v>0</v>
      </c>
      <c r="I5473" s="6">
        <f t="shared" si="267"/>
        <v>0</v>
      </c>
      <c r="J5473" s="6">
        <f t="shared" si="268"/>
        <v>0</v>
      </c>
      <c r="L5473" s="4" t="str">
        <f>IFERROR(VLOOKUP(ROWS($L$2:L5473),$B$2:$C$1996,2,0),"")</f>
        <v/>
      </c>
      <c r="N5473" s="2" t="str">
        <f>IFERROR(VLOOKUP(ROWS($N$2:N5473),$D$2:$E$1996,2,0),"")</f>
        <v/>
      </c>
    </row>
    <row r="5474" spans="2:14">
      <c r="B5474" s="32">
        <f>IF(ISNUMBER(SEARCH('Φόρμα Εισαγωγής'!$B$2,C5474)),MAX($B$1:B5473)+1,0)</f>
        <v>0</v>
      </c>
      <c r="D5474" s="33">
        <f>IF(ISNUMBER(SEARCH('Φόρμα Εισαγωγής'!$C$2,E5474)),MAX($D$1:D5473)+1,0)</f>
        <v>0</v>
      </c>
      <c r="H5474" s="6">
        <f t="shared" si="266"/>
        <v>0</v>
      </c>
      <c r="I5474" s="6">
        <f t="shared" si="267"/>
        <v>0</v>
      </c>
      <c r="J5474" s="6">
        <f t="shared" si="268"/>
        <v>0</v>
      </c>
      <c r="L5474" s="4" t="str">
        <f>IFERROR(VLOOKUP(ROWS($L$2:L5474),$B$2:$C$1996,2,0),"")</f>
        <v/>
      </c>
      <c r="N5474" s="2" t="str">
        <f>IFERROR(VLOOKUP(ROWS($N$2:N5474),$D$2:$E$1996,2,0),"")</f>
        <v/>
      </c>
    </row>
    <row r="5475" spans="2:14">
      <c r="B5475" s="32">
        <f>IF(ISNUMBER(SEARCH('Φόρμα Εισαγωγής'!$B$2,C5475)),MAX($B$1:B5474)+1,0)</f>
        <v>0</v>
      </c>
      <c r="D5475" s="33">
        <f>IF(ISNUMBER(SEARCH('Φόρμα Εισαγωγής'!$C$2,E5475)),MAX($D$1:D5474)+1,0)</f>
        <v>0</v>
      </c>
      <c r="H5475" s="6">
        <f t="shared" si="266"/>
        <v>0</v>
      </c>
      <c r="I5475" s="6">
        <f t="shared" si="267"/>
        <v>0</v>
      </c>
      <c r="J5475" s="6">
        <f t="shared" si="268"/>
        <v>0</v>
      </c>
      <c r="L5475" s="4" t="str">
        <f>IFERROR(VLOOKUP(ROWS($L$2:L5475),$B$2:$C$1996,2,0),"")</f>
        <v/>
      </c>
      <c r="N5475" s="2" t="str">
        <f>IFERROR(VLOOKUP(ROWS($N$2:N5475),$D$2:$E$1996,2,0),"")</f>
        <v/>
      </c>
    </row>
    <row r="5476" spans="2:14">
      <c r="B5476" s="32">
        <f>IF(ISNUMBER(SEARCH('Φόρμα Εισαγωγής'!$B$2,C5476)),MAX($B$1:B5475)+1,0)</f>
        <v>0</v>
      </c>
      <c r="D5476" s="33">
        <f>IF(ISNUMBER(SEARCH('Φόρμα Εισαγωγής'!$C$2,E5476)),MAX($D$1:D5475)+1,0)</f>
        <v>0</v>
      </c>
      <c r="H5476" s="6">
        <f t="shared" si="266"/>
        <v>0</v>
      </c>
      <c r="I5476" s="6">
        <f t="shared" si="267"/>
        <v>0</v>
      </c>
      <c r="J5476" s="6">
        <f t="shared" si="268"/>
        <v>0</v>
      </c>
      <c r="L5476" s="4" t="str">
        <f>IFERROR(VLOOKUP(ROWS($L$2:L5476),$B$2:$C$1996,2,0),"")</f>
        <v/>
      </c>
      <c r="N5476" s="2" t="str">
        <f>IFERROR(VLOOKUP(ROWS($N$2:N5476),$D$2:$E$1996,2,0),"")</f>
        <v/>
      </c>
    </row>
    <row r="5477" spans="2:14">
      <c r="B5477" s="32">
        <f>IF(ISNUMBER(SEARCH('Φόρμα Εισαγωγής'!$B$2,C5477)),MAX($B$1:B5476)+1,0)</f>
        <v>0</v>
      </c>
      <c r="D5477" s="33">
        <f>IF(ISNUMBER(SEARCH('Φόρμα Εισαγωγής'!$C$2,E5477)),MAX($D$1:D5476)+1,0)</f>
        <v>0</v>
      </c>
      <c r="H5477" s="6">
        <f t="shared" si="266"/>
        <v>0</v>
      </c>
      <c r="I5477" s="6">
        <f t="shared" si="267"/>
        <v>0</v>
      </c>
      <c r="J5477" s="6">
        <f t="shared" si="268"/>
        <v>0</v>
      </c>
      <c r="L5477" s="4" t="str">
        <f>IFERROR(VLOOKUP(ROWS($L$2:L5477),$B$2:$C$1996,2,0),"")</f>
        <v/>
      </c>
      <c r="N5477" s="2" t="str">
        <f>IFERROR(VLOOKUP(ROWS($N$2:N5477),$D$2:$E$1996,2,0),"")</f>
        <v/>
      </c>
    </row>
    <row r="5478" spans="2:14">
      <c r="B5478" s="32">
        <f>IF(ISNUMBER(SEARCH('Φόρμα Εισαγωγής'!$B$2,C5478)),MAX($B$1:B5477)+1,0)</f>
        <v>0</v>
      </c>
      <c r="D5478" s="33">
        <f>IF(ISNUMBER(SEARCH('Φόρμα Εισαγωγής'!$C$2,E5478)),MAX($D$1:D5477)+1,0)</f>
        <v>0</v>
      </c>
      <c r="H5478" s="6">
        <f t="shared" si="266"/>
        <v>0</v>
      </c>
      <c r="I5478" s="6">
        <f t="shared" si="267"/>
        <v>0</v>
      </c>
      <c r="J5478" s="6">
        <f t="shared" si="268"/>
        <v>0</v>
      </c>
      <c r="L5478" s="4" t="str">
        <f>IFERROR(VLOOKUP(ROWS($L$2:L5478),$B$2:$C$1996,2,0),"")</f>
        <v/>
      </c>
      <c r="N5478" s="2" t="str">
        <f>IFERROR(VLOOKUP(ROWS($N$2:N5478),$D$2:$E$1996,2,0),"")</f>
        <v/>
      </c>
    </row>
    <row r="5479" spans="2:14">
      <c r="B5479" s="32">
        <f>IF(ISNUMBER(SEARCH('Φόρμα Εισαγωγής'!$B$2,C5479)),MAX($B$1:B5478)+1,0)</f>
        <v>0</v>
      </c>
      <c r="D5479" s="33">
        <f>IF(ISNUMBER(SEARCH('Φόρμα Εισαγωγής'!$C$2,E5479)),MAX($D$1:D5478)+1,0)</f>
        <v>0</v>
      </c>
      <c r="H5479" s="6">
        <f t="shared" si="266"/>
        <v>0</v>
      </c>
      <c r="I5479" s="6">
        <f t="shared" si="267"/>
        <v>0</v>
      </c>
      <c r="J5479" s="6">
        <f t="shared" si="268"/>
        <v>0</v>
      </c>
      <c r="L5479" s="4" t="str">
        <f>IFERROR(VLOOKUP(ROWS($L$2:L5479),$B$2:$C$1996,2,0),"")</f>
        <v/>
      </c>
      <c r="N5479" s="2" t="str">
        <f>IFERROR(VLOOKUP(ROWS($N$2:N5479),$D$2:$E$1996,2,0),"")</f>
        <v/>
      </c>
    </row>
    <row r="5480" spans="2:14">
      <c r="B5480" s="32">
        <f>IF(ISNUMBER(SEARCH('Φόρμα Εισαγωγής'!$B$2,C5480)),MAX($B$1:B5479)+1,0)</f>
        <v>0</v>
      </c>
      <c r="D5480" s="33">
        <f>IF(ISNUMBER(SEARCH('Φόρμα Εισαγωγής'!$C$2,E5480)),MAX($D$1:D5479)+1,0)</f>
        <v>0</v>
      </c>
      <c r="H5480" s="6">
        <f t="shared" si="266"/>
        <v>0</v>
      </c>
      <c r="I5480" s="6">
        <f t="shared" si="267"/>
        <v>0</v>
      </c>
      <c r="J5480" s="6">
        <f t="shared" si="268"/>
        <v>0</v>
      </c>
      <c r="L5480" s="4" t="str">
        <f>IFERROR(VLOOKUP(ROWS($L$2:L5480),$B$2:$C$1996,2,0),"")</f>
        <v/>
      </c>
      <c r="N5480" s="2" t="str">
        <f>IFERROR(VLOOKUP(ROWS($N$2:N5480),$D$2:$E$1996,2,0),"")</f>
        <v/>
      </c>
    </row>
    <row r="5481" spans="2:14">
      <c r="B5481" s="32">
        <f>IF(ISNUMBER(SEARCH('Φόρμα Εισαγωγής'!$B$2,C5481)),MAX($B$1:B5480)+1,0)</f>
        <v>0</v>
      </c>
      <c r="D5481" s="33">
        <f>IF(ISNUMBER(SEARCH('Φόρμα Εισαγωγής'!$C$2,E5481)),MAX($D$1:D5480)+1,0)</f>
        <v>0</v>
      </c>
      <c r="H5481" s="6">
        <f t="shared" si="266"/>
        <v>0</v>
      </c>
      <c r="I5481" s="6">
        <f t="shared" si="267"/>
        <v>0</v>
      </c>
      <c r="J5481" s="6">
        <f t="shared" si="268"/>
        <v>0</v>
      </c>
      <c r="L5481" s="4" t="str">
        <f>IFERROR(VLOOKUP(ROWS($L$2:L5481),$B$2:$C$1996,2,0),"")</f>
        <v/>
      </c>
      <c r="N5481" s="2" t="str">
        <f>IFERROR(VLOOKUP(ROWS($N$2:N5481),$D$2:$E$1996,2,0),"")</f>
        <v/>
      </c>
    </row>
    <row r="5482" spans="2:14">
      <c r="B5482" s="32">
        <f>IF(ISNUMBER(SEARCH('Φόρμα Εισαγωγής'!$B$2,C5482)),MAX($B$1:B5481)+1,0)</f>
        <v>0</v>
      </c>
      <c r="D5482" s="33">
        <f>IF(ISNUMBER(SEARCH('Φόρμα Εισαγωγής'!$C$2,E5482)),MAX($D$1:D5481)+1,0)</f>
        <v>0</v>
      </c>
      <c r="H5482" s="6">
        <f t="shared" si="266"/>
        <v>0</v>
      </c>
      <c r="I5482" s="6">
        <f t="shared" si="267"/>
        <v>0</v>
      </c>
      <c r="J5482" s="6">
        <f t="shared" si="268"/>
        <v>0</v>
      </c>
      <c r="L5482" s="4" t="str">
        <f>IFERROR(VLOOKUP(ROWS($L$2:L5482),$B$2:$C$1996,2,0),"")</f>
        <v/>
      </c>
      <c r="N5482" s="2" t="str">
        <f>IFERROR(VLOOKUP(ROWS($N$2:N5482),$D$2:$E$1996,2,0),"")</f>
        <v/>
      </c>
    </row>
    <row r="5483" spans="2:14">
      <c r="B5483" s="32">
        <f>IF(ISNUMBER(SEARCH('Φόρμα Εισαγωγής'!$B$2,C5483)),MAX($B$1:B5482)+1,0)</f>
        <v>0</v>
      </c>
      <c r="D5483" s="33">
        <f>IF(ISNUMBER(SEARCH('Φόρμα Εισαγωγής'!$C$2,E5483)),MAX($D$1:D5482)+1,0)</f>
        <v>0</v>
      </c>
      <c r="H5483" s="6">
        <f t="shared" si="266"/>
        <v>0</v>
      </c>
      <c r="I5483" s="6">
        <f t="shared" si="267"/>
        <v>0</v>
      </c>
      <c r="J5483" s="6">
        <f t="shared" si="268"/>
        <v>0</v>
      </c>
      <c r="L5483" s="4" t="str">
        <f>IFERROR(VLOOKUP(ROWS($L$2:L5483),$B$2:$C$1996,2,0),"")</f>
        <v/>
      </c>
      <c r="N5483" s="2" t="str">
        <f>IFERROR(VLOOKUP(ROWS($N$2:N5483),$D$2:$E$1996,2,0),"")</f>
        <v/>
      </c>
    </row>
    <row r="5484" spans="2:14">
      <c r="B5484" s="32">
        <f>IF(ISNUMBER(SEARCH('Φόρμα Εισαγωγής'!$B$2,C5484)),MAX($B$1:B5483)+1,0)</f>
        <v>0</v>
      </c>
      <c r="D5484" s="33">
        <f>IF(ISNUMBER(SEARCH('Φόρμα Εισαγωγής'!$C$2,E5484)),MAX($D$1:D5483)+1,0)</f>
        <v>0</v>
      </c>
      <c r="H5484" s="6">
        <f t="shared" si="266"/>
        <v>0</v>
      </c>
      <c r="I5484" s="6">
        <f t="shared" si="267"/>
        <v>0</v>
      </c>
      <c r="J5484" s="6">
        <f t="shared" si="268"/>
        <v>0</v>
      </c>
      <c r="L5484" s="4" t="str">
        <f>IFERROR(VLOOKUP(ROWS($L$2:L5484),$B$2:$C$1996,2,0),"")</f>
        <v/>
      </c>
      <c r="N5484" s="2" t="str">
        <f>IFERROR(VLOOKUP(ROWS($N$2:N5484),$D$2:$E$1996,2,0),"")</f>
        <v/>
      </c>
    </row>
    <row r="5485" spans="2:14">
      <c r="B5485" s="32">
        <f>IF(ISNUMBER(SEARCH('Φόρμα Εισαγωγής'!$B$2,C5485)),MAX($B$1:B5484)+1,0)</f>
        <v>0</v>
      </c>
      <c r="D5485" s="33">
        <f>IF(ISNUMBER(SEARCH('Φόρμα Εισαγωγής'!$C$2,E5485)),MAX($D$1:D5484)+1,0)</f>
        <v>0</v>
      </c>
      <c r="H5485" s="6">
        <f t="shared" si="266"/>
        <v>0</v>
      </c>
      <c r="I5485" s="6">
        <f t="shared" si="267"/>
        <v>0</v>
      </c>
      <c r="J5485" s="6">
        <f t="shared" si="268"/>
        <v>0</v>
      </c>
      <c r="L5485" s="4" t="str">
        <f>IFERROR(VLOOKUP(ROWS($L$2:L5485),$B$2:$C$1996,2,0),"")</f>
        <v/>
      </c>
      <c r="N5485" s="2" t="str">
        <f>IFERROR(VLOOKUP(ROWS($N$2:N5485),$D$2:$E$1996,2,0),"")</f>
        <v/>
      </c>
    </row>
    <row r="5486" spans="2:14">
      <c r="B5486" s="32">
        <f>IF(ISNUMBER(SEARCH('Φόρμα Εισαγωγής'!$B$2,C5486)),MAX($B$1:B5485)+1,0)</f>
        <v>0</v>
      </c>
      <c r="D5486" s="33">
        <f>IF(ISNUMBER(SEARCH('Φόρμα Εισαγωγής'!$C$2,E5486)),MAX($D$1:D5485)+1,0)</f>
        <v>0</v>
      </c>
      <c r="H5486" s="6">
        <f t="shared" si="266"/>
        <v>0</v>
      </c>
      <c r="I5486" s="6">
        <f t="shared" si="267"/>
        <v>0</v>
      </c>
      <c r="J5486" s="6">
        <f t="shared" si="268"/>
        <v>0</v>
      </c>
      <c r="L5486" s="4" t="str">
        <f>IFERROR(VLOOKUP(ROWS($L$2:L5486),$B$2:$C$1996,2,0),"")</f>
        <v/>
      </c>
      <c r="N5486" s="2" t="str">
        <f>IFERROR(VLOOKUP(ROWS($N$2:N5486),$D$2:$E$1996,2,0),"")</f>
        <v/>
      </c>
    </row>
    <row r="5487" spans="2:14">
      <c r="B5487" s="32">
        <f>IF(ISNUMBER(SEARCH('Φόρμα Εισαγωγής'!$B$2,C5487)),MAX($B$1:B5486)+1,0)</f>
        <v>0</v>
      </c>
      <c r="D5487" s="33">
        <f>IF(ISNUMBER(SEARCH('Φόρμα Εισαγωγής'!$C$2,E5487)),MAX($D$1:D5486)+1,0)</f>
        <v>0</v>
      </c>
      <c r="H5487" s="6">
        <f t="shared" si="266"/>
        <v>0</v>
      </c>
      <c r="I5487" s="6">
        <f t="shared" si="267"/>
        <v>0</v>
      </c>
      <c r="J5487" s="6">
        <f t="shared" si="268"/>
        <v>0</v>
      </c>
      <c r="L5487" s="4" t="str">
        <f>IFERROR(VLOOKUP(ROWS($L$2:L5487),$B$2:$C$1996,2,0),"")</f>
        <v/>
      </c>
      <c r="N5487" s="2" t="str">
        <f>IFERROR(VLOOKUP(ROWS($N$2:N5487),$D$2:$E$1996,2,0),"")</f>
        <v/>
      </c>
    </row>
    <row r="5488" spans="2:14">
      <c r="B5488" s="32">
        <f>IF(ISNUMBER(SEARCH('Φόρμα Εισαγωγής'!$B$2,C5488)),MAX($B$1:B5487)+1,0)</f>
        <v>0</v>
      </c>
      <c r="D5488" s="33">
        <f>IF(ISNUMBER(SEARCH('Φόρμα Εισαγωγής'!$C$2,E5488)),MAX($D$1:D5487)+1,0)</f>
        <v>0</v>
      </c>
      <c r="H5488" s="6">
        <f t="shared" si="266"/>
        <v>0</v>
      </c>
      <c r="I5488" s="6">
        <f t="shared" si="267"/>
        <v>0</v>
      </c>
      <c r="J5488" s="6">
        <f t="shared" si="268"/>
        <v>0</v>
      </c>
      <c r="L5488" s="4" t="str">
        <f>IFERROR(VLOOKUP(ROWS($L$2:L5488),$B$2:$C$1996,2,0),"")</f>
        <v/>
      </c>
      <c r="N5488" s="2" t="str">
        <f>IFERROR(VLOOKUP(ROWS($N$2:N5488),$D$2:$E$1996,2,0),"")</f>
        <v/>
      </c>
    </row>
    <row r="5489" spans="2:14">
      <c r="B5489" s="32">
        <f>IF(ISNUMBER(SEARCH('Φόρμα Εισαγωγής'!$B$2,C5489)),MAX($B$1:B5488)+1,0)</f>
        <v>0</v>
      </c>
      <c r="D5489" s="33">
        <f>IF(ISNUMBER(SEARCH('Φόρμα Εισαγωγής'!$C$2,E5489)),MAX($D$1:D5488)+1,0)</f>
        <v>0</v>
      </c>
      <c r="H5489" s="6">
        <f t="shared" si="266"/>
        <v>0</v>
      </c>
      <c r="I5489" s="6">
        <f t="shared" si="267"/>
        <v>0</v>
      </c>
      <c r="J5489" s="6">
        <f t="shared" si="268"/>
        <v>0</v>
      </c>
      <c r="L5489" s="4" t="str">
        <f>IFERROR(VLOOKUP(ROWS($L$2:L5489),$B$2:$C$1996,2,0),"")</f>
        <v/>
      </c>
      <c r="N5489" s="2" t="str">
        <f>IFERROR(VLOOKUP(ROWS($N$2:N5489),$D$2:$E$1996,2,0),"")</f>
        <v/>
      </c>
    </row>
    <row r="5490" spans="2:14">
      <c r="B5490" s="32">
        <f>IF(ISNUMBER(SEARCH('Φόρμα Εισαγωγής'!$B$2,C5490)),MAX($B$1:B5489)+1,0)</f>
        <v>0</v>
      </c>
      <c r="D5490" s="33">
        <f>IF(ISNUMBER(SEARCH('Φόρμα Εισαγωγής'!$C$2,E5490)),MAX($D$1:D5489)+1,0)</f>
        <v>0</v>
      </c>
      <c r="H5490" s="6">
        <f t="shared" si="266"/>
        <v>0</v>
      </c>
      <c r="I5490" s="6">
        <f t="shared" si="267"/>
        <v>0</v>
      </c>
      <c r="J5490" s="6">
        <f t="shared" si="268"/>
        <v>0</v>
      </c>
      <c r="L5490" s="4" t="str">
        <f>IFERROR(VLOOKUP(ROWS($L$2:L5490),$B$2:$C$1996,2,0),"")</f>
        <v/>
      </c>
      <c r="N5490" s="2" t="str">
        <f>IFERROR(VLOOKUP(ROWS($N$2:N5490),$D$2:$E$1996,2,0),"")</f>
        <v/>
      </c>
    </row>
    <row r="5491" spans="2:14">
      <c r="B5491" s="32">
        <f>IF(ISNUMBER(SEARCH('Φόρμα Εισαγωγής'!$B$2,C5491)),MAX($B$1:B5490)+1,0)</f>
        <v>0</v>
      </c>
      <c r="D5491" s="33">
        <f>IF(ISNUMBER(SEARCH('Φόρμα Εισαγωγής'!$C$2,E5491)),MAX($D$1:D5490)+1,0)</f>
        <v>0</v>
      </c>
      <c r="H5491" s="6">
        <f t="shared" si="266"/>
        <v>0</v>
      </c>
      <c r="I5491" s="6">
        <f t="shared" si="267"/>
        <v>0</v>
      </c>
      <c r="J5491" s="6">
        <f t="shared" si="268"/>
        <v>0</v>
      </c>
      <c r="L5491" s="4" t="str">
        <f>IFERROR(VLOOKUP(ROWS($L$2:L5491),$B$2:$C$1996,2,0),"")</f>
        <v/>
      </c>
      <c r="N5491" s="2" t="str">
        <f>IFERROR(VLOOKUP(ROWS($N$2:N5491),$D$2:$E$1996,2,0),"")</f>
        <v/>
      </c>
    </row>
    <row r="5492" spans="2:14">
      <c r="B5492" s="32">
        <f>IF(ISNUMBER(SEARCH('Φόρμα Εισαγωγής'!$B$2,C5492)),MAX($B$1:B5491)+1,0)</f>
        <v>0</v>
      </c>
      <c r="D5492" s="33">
        <f>IF(ISNUMBER(SEARCH('Φόρμα Εισαγωγής'!$C$2,E5492)),MAX($D$1:D5491)+1,0)</f>
        <v>0</v>
      </c>
      <c r="H5492" s="6">
        <f t="shared" si="266"/>
        <v>0</v>
      </c>
      <c r="I5492" s="6">
        <f t="shared" si="267"/>
        <v>0</v>
      </c>
      <c r="J5492" s="6">
        <f t="shared" si="268"/>
        <v>0</v>
      </c>
      <c r="L5492" s="4" t="str">
        <f>IFERROR(VLOOKUP(ROWS($L$2:L5492),$B$2:$C$1996,2,0),"")</f>
        <v/>
      </c>
      <c r="N5492" s="2" t="str">
        <f>IFERROR(VLOOKUP(ROWS($N$2:N5492),$D$2:$E$1996,2,0),"")</f>
        <v/>
      </c>
    </row>
    <row r="5493" spans="2:14">
      <c r="B5493" s="32">
        <f>IF(ISNUMBER(SEARCH('Φόρμα Εισαγωγής'!$B$2,C5493)),MAX($B$1:B5492)+1,0)</f>
        <v>0</v>
      </c>
      <c r="D5493" s="33">
        <f>IF(ISNUMBER(SEARCH('Φόρμα Εισαγωγής'!$C$2,E5493)),MAX($D$1:D5492)+1,0)</f>
        <v>0</v>
      </c>
      <c r="H5493" s="6">
        <f t="shared" si="266"/>
        <v>0</v>
      </c>
      <c r="I5493" s="6">
        <f t="shared" si="267"/>
        <v>0</v>
      </c>
      <c r="J5493" s="6">
        <f t="shared" si="268"/>
        <v>0</v>
      </c>
      <c r="L5493" s="4" t="str">
        <f>IFERROR(VLOOKUP(ROWS($L$2:L5493),$B$2:$C$1996,2,0),"")</f>
        <v/>
      </c>
      <c r="N5493" s="2" t="str">
        <f>IFERROR(VLOOKUP(ROWS($N$2:N5493),$D$2:$E$1996,2,0),"")</f>
        <v/>
      </c>
    </row>
    <row r="5494" spans="2:14">
      <c r="B5494" s="32">
        <f>IF(ISNUMBER(SEARCH('Φόρμα Εισαγωγής'!$B$2,C5494)),MAX($B$1:B5493)+1,0)</f>
        <v>0</v>
      </c>
      <c r="D5494" s="33">
        <f>IF(ISNUMBER(SEARCH('Φόρμα Εισαγωγής'!$C$2,E5494)),MAX($D$1:D5493)+1,0)</f>
        <v>0</v>
      </c>
      <c r="H5494" s="6">
        <f t="shared" si="266"/>
        <v>0</v>
      </c>
      <c r="I5494" s="6">
        <f t="shared" si="267"/>
        <v>0</v>
      </c>
      <c r="J5494" s="6">
        <f t="shared" si="268"/>
        <v>0</v>
      </c>
      <c r="L5494" s="4" t="str">
        <f>IFERROR(VLOOKUP(ROWS($L$2:L5494),$B$2:$C$1996,2,0),"")</f>
        <v/>
      </c>
      <c r="N5494" s="2" t="str">
        <f>IFERROR(VLOOKUP(ROWS($N$2:N5494),$D$2:$E$1996,2,0),"")</f>
        <v/>
      </c>
    </row>
    <row r="5495" spans="2:14">
      <c r="B5495" s="32">
        <f>IF(ISNUMBER(SEARCH('Φόρμα Εισαγωγής'!$B$2,C5495)),MAX($B$1:B5494)+1,0)</f>
        <v>0</v>
      </c>
      <c r="D5495" s="33">
        <f>IF(ISNUMBER(SEARCH('Φόρμα Εισαγωγής'!$C$2,E5495)),MAX($D$1:D5494)+1,0)</f>
        <v>0</v>
      </c>
      <c r="H5495" s="6">
        <f t="shared" si="266"/>
        <v>0</v>
      </c>
      <c r="I5495" s="6">
        <f t="shared" si="267"/>
        <v>0</v>
      </c>
      <c r="J5495" s="6">
        <f t="shared" si="268"/>
        <v>0</v>
      </c>
      <c r="L5495" s="4" t="str">
        <f>IFERROR(VLOOKUP(ROWS($L$2:L5495),$B$2:$C$1996,2,0),"")</f>
        <v/>
      </c>
      <c r="N5495" s="2" t="str">
        <f>IFERROR(VLOOKUP(ROWS($N$2:N5495),$D$2:$E$1996,2,0),"")</f>
        <v/>
      </c>
    </row>
    <row r="5496" spans="2:14">
      <c r="B5496" s="32">
        <f>IF(ISNUMBER(SEARCH('Φόρμα Εισαγωγής'!$B$2,C5496)),MAX($B$1:B5495)+1,0)</f>
        <v>0</v>
      </c>
      <c r="D5496" s="33">
        <f>IF(ISNUMBER(SEARCH('Φόρμα Εισαγωγής'!$C$2,E5496)),MAX($D$1:D5495)+1,0)</f>
        <v>0</v>
      </c>
      <c r="H5496" s="6">
        <f t="shared" si="266"/>
        <v>0</v>
      </c>
      <c r="I5496" s="6">
        <f t="shared" si="267"/>
        <v>0</v>
      </c>
      <c r="J5496" s="6">
        <f t="shared" si="268"/>
        <v>0</v>
      </c>
      <c r="L5496" s="4" t="str">
        <f>IFERROR(VLOOKUP(ROWS($L$2:L5496),$B$2:$C$1996,2,0),"")</f>
        <v/>
      </c>
      <c r="N5496" s="2" t="str">
        <f>IFERROR(VLOOKUP(ROWS($N$2:N5496),$D$2:$E$1996,2,0),"")</f>
        <v/>
      </c>
    </row>
    <row r="5497" spans="2:14">
      <c r="B5497" s="32">
        <f>IF(ISNUMBER(SEARCH('Φόρμα Εισαγωγής'!$B$2,C5497)),MAX($B$1:B5496)+1,0)</f>
        <v>0</v>
      </c>
      <c r="D5497" s="33">
        <f>IF(ISNUMBER(SEARCH('Φόρμα Εισαγωγής'!$C$2,E5497)),MAX($D$1:D5496)+1,0)</f>
        <v>0</v>
      </c>
      <c r="H5497" s="6">
        <f t="shared" si="266"/>
        <v>0</v>
      </c>
      <c r="I5497" s="6">
        <f t="shared" si="267"/>
        <v>0</v>
      </c>
      <c r="J5497" s="6">
        <f t="shared" si="268"/>
        <v>0</v>
      </c>
      <c r="L5497" s="4" t="str">
        <f>IFERROR(VLOOKUP(ROWS($L$2:L5497),$B$2:$C$1996,2,0),"")</f>
        <v/>
      </c>
      <c r="N5497" s="2" t="str">
        <f>IFERROR(VLOOKUP(ROWS($N$2:N5497),$D$2:$E$1996,2,0),"")</f>
        <v/>
      </c>
    </row>
    <row r="5498" spans="2:14">
      <c r="B5498" s="32">
        <f>IF(ISNUMBER(SEARCH('Φόρμα Εισαγωγής'!$B$2,C5498)),MAX($B$1:B5497)+1,0)</f>
        <v>0</v>
      </c>
      <c r="D5498" s="33">
        <f>IF(ISNUMBER(SEARCH('Φόρμα Εισαγωγής'!$C$2,E5498)),MAX($D$1:D5497)+1,0)</f>
        <v>0</v>
      </c>
      <c r="H5498" s="6">
        <f t="shared" si="266"/>
        <v>0</v>
      </c>
      <c r="I5498" s="6">
        <f t="shared" si="267"/>
        <v>0</v>
      </c>
      <c r="J5498" s="6">
        <f t="shared" si="268"/>
        <v>0</v>
      </c>
      <c r="L5498" s="4" t="str">
        <f>IFERROR(VLOOKUP(ROWS($L$2:L5498),$B$2:$C$1996,2,0),"")</f>
        <v/>
      </c>
      <c r="N5498" s="2" t="str">
        <f>IFERROR(VLOOKUP(ROWS($N$2:N5498),$D$2:$E$1996,2,0),"")</f>
        <v/>
      </c>
    </row>
    <row r="5499" spans="2:14">
      <c r="B5499" s="32">
        <f>IF(ISNUMBER(SEARCH('Φόρμα Εισαγωγής'!$B$2,C5499)),MAX($B$1:B5498)+1,0)</f>
        <v>0</v>
      </c>
      <c r="D5499" s="33">
        <f>IF(ISNUMBER(SEARCH('Φόρμα Εισαγωγής'!$C$2,E5499)),MAX($D$1:D5498)+1,0)</f>
        <v>0</v>
      </c>
      <c r="H5499" s="6">
        <f t="shared" si="266"/>
        <v>0</v>
      </c>
      <c r="I5499" s="6">
        <f t="shared" si="267"/>
        <v>0</v>
      </c>
      <c r="J5499" s="6">
        <f t="shared" si="268"/>
        <v>0</v>
      </c>
      <c r="L5499" s="4" t="str">
        <f>IFERROR(VLOOKUP(ROWS($L$2:L5499),$B$2:$C$1996,2,0),"")</f>
        <v/>
      </c>
      <c r="N5499" s="2" t="str">
        <f>IFERROR(VLOOKUP(ROWS($N$2:N5499),$D$2:$E$1996,2,0),"")</f>
        <v/>
      </c>
    </row>
    <row r="5500" spans="2:14">
      <c r="B5500" s="32">
        <f>IF(ISNUMBER(SEARCH('Φόρμα Εισαγωγής'!$B$2,C5500)),MAX($B$1:B5499)+1,0)</f>
        <v>0</v>
      </c>
      <c r="D5500" s="33">
        <f>IF(ISNUMBER(SEARCH('Φόρμα Εισαγωγής'!$C$2,E5500)),MAX($D$1:D5499)+1,0)</f>
        <v>0</v>
      </c>
      <c r="H5500" s="6">
        <f t="shared" si="266"/>
        <v>0</v>
      </c>
      <c r="I5500" s="6">
        <f t="shared" si="267"/>
        <v>0</v>
      </c>
      <c r="J5500" s="6">
        <f t="shared" si="268"/>
        <v>0</v>
      </c>
      <c r="L5500" s="4" t="str">
        <f>IFERROR(VLOOKUP(ROWS($L$2:L5500),$B$2:$C$1996,2,0),"")</f>
        <v/>
      </c>
      <c r="N5500" s="2" t="str">
        <f>IFERROR(VLOOKUP(ROWS($N$2:N5500),$D$2:$E$1996,2,0),"")</f>
        <v/>
      </c>
    </row>
    <row r="5501" spans="2:14">
      <c r="B5501" s="32">
        <f>IF(ISNUMBER(SEARCH('Φόρμα Εισαγωγής'!$B$2,C5501)),MAX($B$1:B5500)+1,0)</f>
        <v>0</v>
      </c>
      <c r="D5501" s="33">
        <f>IF(ISNUMBER(SEARCH('Φόρμα Εισαγωγής'!$C$2,E5501)),MAX($D$1:D5500)+1,0)</f>
        <v>0</v>
      </c>
      <c r="H5501" s="6">
        <f t="shared" si="266"/>
        <v>0</v>
      </c>
      <c r="I5501" s="6">
        <f t="shared" si="267"/>
        <v>0</v>
      </c>
      <c r="J5501" s="6">
        <f t="shared" si="268"/>
        <v>0</v>
      </c>
      <c r="L5501" s="4" t="str">
        <f>IFERROR(VLOOKUP(ROWS($L$2:L5501),$B$2:$C$1996,2,0),"")</f>
        <v/>
      </c>
      <c r="N5501" s="2" t="str">
        <f>IFERROR(VLOOKUP(ROWS($N$2:N5501),$D$2:$E$1996,2,0),"")</f>
        <v/>
      </c>
    </row>
    <row r="5502" spans="2:14">
      <c r="B5502" s="32">
        <f>IF(ISNUMBER(SEARCH('Φόρμα Εισαγωγής'!$B$2,C5502)),MAX($B$1:B5501)+1,0)</f>
        <v>0</v>
      </c>
      <c r="D5502" s="33">
        <f>IF(ISNUMBER(SEARCH('Φόρμα Εισαγωγής'!$C$2,E5502)),MAX($D$1:D5501)+1,0)</f>
        <v>0</v>
      </c>
      <c r="H5502" s="6">
        <f t="shared" si="266"/>
        <v>0</v>
      </c>
      <c r="I5502" s="6">
        <f t="shared" si="267"/>
        <v>0</v>
      </c>
      <c r="J5502" s="6">
        <f t="shared" si="268"/>
        <v>0</v>
      </c>
      <c r="L5502" s="4" t="str">
        <f>IFERROR(VLOOKUP(ROWS($L$2:L5502),$B$2:$C$1996,2,0),"")</f>
        <v/>
      </c>
      <c r="N5502" s="2" t="str">
        <f>IFERROR(VLOOKUP(ROWS($N$2:N5502),$D$2:$E$1996,2,0),"")</f>
        <v/>
      </c>
    </row>
    <row r="5503" spans="2:14">
      <c r="B5503" s="32">
        <f>IF(ISNUMBER(SEARCH('Φόρμα Εισαγωγής'!$B$2,C5503)),MAX($B$1:B5502)+1,0)</f>
        <v>0</v>
      </c>
      <c r="D5503" s="33">
        <f>IF(ISNUMBER(SEARCH('Φόρμα Εισαγωγής'!$C$2,E5503)),MAX($D$1:D5502)+1,0)</f>
        <v>0</v>
      </c>
      <c r="H5503" s="6">
        <f t="shared" si="266"/>
        <v>0</v>
      </c>
      <c r="I5503" s="6">
        <f t="shared" si="267"/>
        <v>0</v>
      </c>
      <c r="J5503" s="6">
        <f t="shared" si="268"/>
        <v>0</v>
      </c>
      <c r="L5503" s="4" t="str">
        <f>IFERROR(VLOOKUP(ROWS($L$2:L5503),$B$2:$C$1996,2,0),"")</f>
        <v/>
      </c>
      <c r="N5503" s="2" t="str">
        <f>IFERROR(VLOOKUP(ROWS($N$2:N5503),$D$2:$E$1996,2,0),"")</f>
        <v/>
      </c>
    </row>
    <row r="5504" spans="2:14">
      <c r="B5504" s="32">
        <f>IF(ISNUMBER(SEARCH('Φόρμα Εισαγωγής'!$B$2,C5504)),MAX($B$1:B5503)+1,0)</f>
        <v>0</v>
      </c>
      <c r="D5504" s="33">
        <f>IF(ISNUMBER(SEARCH('Φόρμα Εισαγωγής'!$C$2,E5504)),MAX($D$1:D5503)+1,0)</f>
        <v>0</v>
      </c>
      <c r="H5504" s="6">
        <f t="shared" ref="H5504:H5567" si="269">G5504+(G5504*0.24)</f>
        <v>0</v>
      </c>
      <c r="I5504" s="6">
        <f t="shared" ref="I5504:I5567" si="270">F5504*A5504</f>
        <v>0</v>
      </c>
      <c r="J5504" s="6">
        <f t="shared" ref="J5504:J5567" si="271">H5504*A5504</f>
        <v>0</v>
      </c>
      <c r="L5504" s="4" t="str">
        <f>IFERROR(VLOOKUP(ROWS($L$2:L5504),$B$2:$C$1996,2,0),"")</f>
        <v/>
      </c>
      <c r="N5504" s="2" t="str">
        <f>IFERROR(VLOOKUP(ROWS($N$2:N5504),$D$2:$E$1996,2,0),"")</f>
        <v/>
      </c>
    </row>
    <row r="5505" spans="2:14">
      <c r="B5505" s="32">
        <f>IF(ISNUMBER(SEARCH('Φόρμα Εισαγωγής'!$B$2,C5505)),MAX($B$1:B5504)+1,0)</f>
        <v>0</v>
      </c>
      <c r="D5505" s="33">
        <f>IF(ISNUMBER(SEARCH('Φόρμα Εισαγωγής'!$C$2,E5505)),MAX($D$1:D5504)+1,0)</f>
        <v>0</v>
      </c>
      <c r="H5505" s="6">
        <f t="shared" si="269"/>
        <v>0</v>
      </c>
      <c r="I5505" s="6">
        <f t="shared" si="270"/>
        <v>0</v>
      </c>
      <c r="J5505" s="6">
        <f t="shared" si="271"/>
        <v>0</v>
      </c>
      <c r="L5505" s="4" t="str">
        <f>IFERROR(VLOOKUP(ROWS($L$2:L5505),$B$2:$C$1996,2,0),"")</f>
        <v/>
      </c>
      <c r="N5505" s="2" t="str">
        <f>IFERROR(VLOOKUP(ROWS($N$2:N5505),$D$2:$E$1996,2,0),"")</f>
        <v/>
      </c>
    </row>
    <row r="5506" spans="2:14">
      <c r="B5506" s="32">
        <f>IF(ISNUMBER(SEARCH('Φόρμα Εισαγωγής'!$B$2,C5506)),MAX($B$1:B5505)+1,0)</f>
        <v>0</v>
      </c>
      <c r="D5506" s="33">
        <f>IF(ISNUMBER(SEARCH('Φόρμα Εισαγωγής'!$C$2,E5506)),MAX($D$1:D5505)+1,0)</f>
        <v>0</v>
      </c>
      <c r="H5506" s="6">
        <f t="shared" si="269"/>
        <v>0</v>
      </c>
      <c r="I5506" s="6">
        <f t="shared" si="270"/>
        <v>0</v>
      </c>
      <c r="J5506" s="6">
        <f t="shared" si="271"/>
        <v>0</v>
      </c>
      <c r="L5506" s="4" t="str">
        <f>IFERROR(VLOOKUP(ROWS($L$2:L5506),$B$2:$C$1996,2,0),"")</f>
        <v/>
      </c>
      <c r="N5506" s="2" t="str">
        <f>IFERROR(VLOOKUP(ROWS($N$2:N5506),$D$2:$E$1996,2,0),"")</f>
        <v/>
      </c>
    </row>
    <row r="5507" spans="2:14">
      <c r="B5507" s="32">
        <f>IF(ISNUMBER(SEARCH('Φόρμα Εισαγωγής'!$B$2,C5507)),MAX($B$1:B5506)+1,0)</f>
        <v>0</v>
      </c>
      <c r="D5507" s="33">
        <f>IF(ISNUMBER(SEARCH('Φόρμα Εισαγωγής'!$C$2,E5507)),MAX($D$1:D5506)+1,0)</f>
        <v>0</v>
      </c>
      <c r="H5507" s="6">
        <f t="shared" si="269"/>
        <v>0</v>
      </c>
      <c r="I5507" s="6">
        <f t="shared" si="270"/>
        <v>0</v>
      </c>
      <c r="J5507" s="6">
        <f t="shared" si="271"/>
        <v>0</v>
      </c>
      <c r="L5507" s="4" t="str">
        <f>IFERROR(VLOOKUP(ROWS($L$2:L5507),$B$2:$C$1996,2,0),"")</f>
        <v/>
      </c>
      <c r="N5507" s="2" t="str">
        <f>IFERROR(VLOOKUP(ROWS($N$2:N5507),$D$2:$E$1996,2,0),"")</f>
        <v/>
      </c>
    </row>
    <row r="5508" spans="2:14">
      <c r="B5508" s="32">
        <f>IF(ISNUMBER(SEARCH('Φόρμα Εισαγωγής'!$B$2,C5508)),MAX($B$1:B5507)+1,0)</f>
        <v>0</v>
      </c>
      <c r="D5508" s="33">
        <f>IF(ISNUMBER(SEARCH('Φόρμα Εισαγωγής'!$C$2,E5508)),MAX($D$1:D5507)+1,0)</f>
        <v>0</v>
      </c>
      <c r="H5508" s="6">
        <f t="shared" si="269"/>
        <v>0</v>
      </c>
      <c r="I5508" s="6">
        <f t="shared" si="270"/>
        <v>0</v>
      </c>
      <c r="J5508" s="6">
        <f t="shared" si="271"/>
        <v>0</v>
      </c>
      <c r="L5508" s="4" t="str">
        <f>IFERROR(VLOOKUP(ROWS($L$2:L5508),$B$2:$C$1996,2,0),"")</f>
        <v/>
      </c>
      <c r="N5508" s="2" t="str">
        <f>IFERROR(VLOOKUP(ROWS($N$2:N5508),$D$2:$E$1996,2,0),"")</f>
        <v/>
      </c>
    </row>
    <row r="5509" spans="2:14">
      <c r="B5509" s="32">
        <f>IF(ISNUMBER(SEARCH('Φόρμα Εισαγωγής'!$B$2,C5509)),MAX($B$1:B5508)+1,0)</f>
        <v>0</v>
      </c>
      <c r="D5509" s="33">
        <f>IF(ISNUMBER(SEARCH('Φόρμα Εισαγωγής'!$C$2,E5509)),MAX($D$1:D5508)+1,0)</f>
        <v>0</v>
      </c>
      <c r="H5509" s="6">
        <f t="shared" si="269"/>
        <v>0</v>
      </c>
      <c r="I5509" s="6">
        <f t="shared" si="270"/>
        <v>0</v>
      </c>
      <c r="J5509" s="6">
        <f t="shared" si="271"/>
        <v>0</v>
      </c>
      <c r="L5509" s="4" t="str">
        <f>IFERROR(VLOOKUP(ROWS($L$2:L5509),$B$2:$C$1996,2,0),"")</f>
        <v/>
      </c>
      <c r="N5509" s="2" t="str">
        <f>IFERROR(VLOOKUP(ROWS($N$2:N5509),$D$2:$E$1996,2,0),"")</f>
        <v/>
      </c>
    </row>
    <row r="5510" spans="2:14">
      <c r="B5510" s="32">
        <f>IF(ISNUMBER(SEARCH('Φόρμα Εισαγωγής'!$B$2,C5510)),MAX($B$1:B5509)+1,0)</f>
        <v>0</v>
      </c>
      <c r="D5510" s="33">
        <f>IF(ISNUMBER(SEARCH('Φόρμα Εισαγωγής'!$C$2,E5510)),MAX($D$1:D5509)+1,0)</f>
        <v>0</v>
      </c>
      <c r="H5510" s="6">
        <f t="shared" si="269"/>
        <v>0</v>
      </c>
      <c r="I5510" s="6">
        <f t="shared" si="270"/>
        <v>0</v>
      </c>
      <c r="J5510" s="6">
        <f t="shared" si="271"/>
        <v>0</v>
      </c>
      <c r="L5510" s="4" t="str">
        <f>IFERROR(VLOOKUP(ROWS($L$2:L5510),$B$2:$C$1996,2,0),"")</f>
        <v/>
      </c>
      <c r="N5510" s="2" t="str">
        <f>IFERROR(VLOOKUP(ROWS($N$2:N5510),$D$2:$E$1996,2,0),"")</f>
        <v/>
      </c>
    </row>
    <row r="5511" spans="2:14">
      <c r="B5511" s="32">
        <f>IF(ISNUMBER(SEARCH('Φόρμα Εισαγωγής'!$B$2,C5511)),MAX($B$1:B5510)+1,0)</f>
        <v>0</v>
      </c>
      <c r="D5511" s="33">
        <f>IF(ISNUMBER(SEARCH('Φόρμα Εισαγωγής'!$C$2,E5511)),MAX($D$1:D5510)+1,0)</f>
        <v>0</v>
      </c>
      <c r="H5511" s="6">
        <f t="shared" si="269"/>
        <v>0</v>
      </c>
      <c r="I5511" s="6">
        <f t="shared" si="270"/>
        <v>0</v>
      </c>
      <c r="J5511" s="6">
        <f t="shared" si="271"/>
        <v>0</v>
      </c>
      <c r="L5511" s="4" t="str">
        <f>IFERROR(VLOOKUP(ROWS($L$2:L5511),$B$2:$C$1996,2,0),"")</f>
        <v/>
      </c>
      <c r="N5511" s="2" t="str">
        <f>IFERROR(VLOOKUP(ROWS($N$2:N5511),$D$2:$E$1996,2,0),"")</f>
        <v/>
      </c>
    </row>
    <row r="5512" spans="2:14">
      <c r="B5512" s="32">
        <f>IF(ISNUMBER(SEARCH('Φόρμα Εισαγωγής'!$B$2,C5512)),MAX($B$1:B5511)+1,0)</f>
        <v>0</v>
      </c>
      <c r="D5512" s="33">
        <f>IF(ISNUMBER(SEARCH('Φόρμα Εισαγωγής'!$C$2,E5512)),MAX($D$1:D5511)+1,0)</f>
        <v>0</v>
      </c>
      <c r="H5512" s="6">
        <f t="shared" si="269"/>
        <v>0</v>
      </c>
      <c r="I5512" s="6">
        <f t="shared" si="270"/>
        <v>0</v>
      </c>
      <c r="J5512" s="6">
        <f t="shared" si="271"/>
        <v>0</v>
      </c>
      <c r="L5512" s="4" t="str">
        <f>IFERROR(VLOOKUP(ROWS($L$2:L5512),$B$2:$C$1996,2,0),"")</f>
        <v/>
      </c>
      <c r="N5512" s="2" t="str">
        <f>IFERROR(VLOOKUP(ROWS($N$2:N5512),$D$2:$E$1996,2,0),"")</f>
        <v/>
      </c>
    </row>
    <row r="5513" spans="2:14">
      <c r="B5513" s="32">
        <f>IF(ISNUMBER(SEARCH('Φόρμα Εισαγωγής'!$B$2,C5513)),MAX($B$1:B5512)+1,0)</f>
        <v>0</v>
      </c>
      <c r="D5513" s="33">
        <f>IF(ISNUMBER(SEARCH('Φόρμα Εισαγωγής'!$C$2,E5513)),MAX($D$1:D5512)+1,0)</f>
        <v>0</v>
      </c>
      <c r="H5513" s="6">
        <f t="shared" si="269"/>
        <v>0</v>
      </c>
      <c r="I5513" s="6">
        <f t="shared" si="270"/>
        <v>0</v>
      </c>
      <c r="J5513" s="6">
        <f t="shared" si="271"/>
        <v>0</v>
      </c>
      <c r="L5513" s="4" t="str">
        <f>IFERROR(VLOOKUP(ROWS($L$2:L5513),$B$2:$C$1996,2,0),"")</f>
        <v/>
      </c>
      <c r="N5513" s="2" t="str">
        <f>IFERROR(VLOOKUP(ROWS($N$2:N5513),$D$2:$E$1996,2,0),"")</f>
        <v/>
      </c>
    </row>
    <row r="5514" spans="2:14">
      <c r="B5514" s="32">
        <f>IF(ISNUMBER(SEARCH('Φόρμα Εισαγωγής'!$B$2,C5514)),MAX($B$1:B5513)+1,0)</f>
        <v>0</v>
      </c>
      <c r="D5514" s="33">
        <f>IF(ISNUMBER(SEARCH('Φόρμα Εισαγωγής'!$C$2,E5514)),MAX($D$1:D5513)+1,0)</f>
        <v>0</v>
      </c>
      <c r="H5514" s="6">
        <f t="shared" si="269"/>
        <v>0</v>
      </c>
      <c r="I5514" s="6">
        <f t="shared" si="270"/>
        <v>0</v>
      </c>
      <c r="J5514" s="6">
        <f t="shared" si="271"/>
        <v>0</v>
      </c>
      <c r="L5514" s="4" t="str">
        <f>IFERROR(VLOOKUP(ROWS($L$2:L5514),$B$2:$C$1996,2,0),"")</f>
        <v/>
      </c>
      <c r="N5514" s="2" t="str">
        <f>IFERROR(VLOOKUP(ROWS($N$2:N5514),$D$2:$E$1996,2,0),"")</f>
        <v/>
      </c>
    </row>
    <row r="5515" spans="2:14">
      <c r="B5515" s="32">
        <f>IF(ISNUMBER(SEARCH('Φόρμα Εισαγωγής'!$B$2,C5515)),MAX($B$1:B5514)+1,0)</f>
        <v>0</v>
      </c>
      <c r="D5515" s="33">
        <f>IF(ISNUMBER(SEARCH('Φόρμα Εισαγωγής'!$C$2,E5515)),MAX($D$1:D5514)+1,0)</f>
        <v>0</v>
      </c>
      <c r="H5515" s="6">
        <f t="shared" si="269"/>
        <v>0</v>
      </c>
      <c r="I5515" s="6">
        <f t="shared" si="270"/>
        <v>0</v>
      </c>
      <c r="J5515" s="6">
        <f t="shared" si="271"/>
        <v>0</v>
      </c>
      <c r="L5515" s="4" t="str">
        <f>IFERROR(VLOOKUP(ROWS($L$2:L5515),$B$2:$C$1996,2,0),"")</f>
        <v/>
      </c>
      <c r="N5515" s="2" t="str">
        <f>IFERROR(VLOOKUP(ROWS($N$2:N5515),$D$2:$E$1996,2,0),"")</f>
        <v/>
      </c>
    </row>
    <row r="5516" spans="2:14">
      <c r="B5516" s="32">
        <f>IF(ISNUMBER(SEARCH('Φόρμα Εισαγωγής'!$B$2,C5516)),MAX($B$1:B5515)+1,0)</f>
        <v>0</v>
      </c>
      <c r="D5516" s="33">
        <f>IF(ISNUMBER(SEARCH('Φόρμα Εισαγωγής'!$C$2,E5516)),MAX($D$1:D5515)+1,0)</f>
        <v>0</v>
      </c>
      <c r="H5516" s="6">
        <f t="shared" si="269"/>
        <v>0</v>
      </c>
      <c r="I5516" s="6">
        <f t="shared" si="270"/>
        <v>0</v>
      </c>
      <c r="J5516" s="6">
        <f t="shared" si="271"/>
        <v>0</v>
      </c>
      <c r="L5516" s="4" t="str">
        <f>IFERROR(VLOOKUP(ROWS($L$2:L5516),$B$2:$C$1996,2,0),"")</f>
        <v/>
      </c>
      <c r="N5516" s="2" t="str">
        <f>IFERROR(VLOOKUP(ROWS($N$2:N5516),$D$2:$E$1996,2,0),"")</f>
        <v/>
      </c>
    </row>
    <row r="5517" spans="2:14">
      <c r="B5517" s="32">
        <f>IF(ISNUMBER(SEARCH('Φόρμα Εισαγωγής'!$B$2,C5517)),MAX($B$1:B5516)+1,0)</f>
        <v>0</v>
      </c>
      <c r="D5517" s="33">
        <f>IF(ISNUMBER(SEARCH('Φόρμα Εισαγωγής'!$C$2,E5517)),MAX($D$1:D5516)+1,0)</f>
        <v>0</v>
      </c>
      <c r="H5517" s="6">
        <f t="shared" si="269"/>
        <v>0</v>
      </c>
      <c r="I5517" s="6">
        <f t="shared" si="270"/>
        <v>0</v>
      </c>
      <c r="J5517" s="6">
        <f t="shared" si="271"/>
        <v>0</v>
      </c>
      <c r="L5517" s="4" t="str">
        <f>IFERROR(VLOOKUP(ROWS($L$2:L5517),$B$2:$C$1996,2,0),"")</f>
        <v/>
      </c>
      <c r="N5517" s="2" t="str">
        <f>IFERROR(VLOOKUP(ROWS($N$2:N5517),$D$2:$E$1996,2,0),"")</f>
        <v/>
      </c>
    </row>
    <row r="5518" spans="2:14">
      <c r="B5518" s="32">
        <f>IF(ISNUMBER(SEARCH('Φόρμα Εισαγωγής'!$B$2,C5518)),MAX($B$1:B5517)+1,0)</f>
        <v>0</v>
      </c>
      <c r="D5518" s="33">
        <f>IF(ISNUMBER(SEARCH('Φόρμα Εισαγωγής'!$C$2,E5518)),MAX($D$1:D5517)+1,0)</f>
        <v>0</v>
      </c>
      <c r="H5518" s="6">
        <f t="shared" si="269"/>
        <v>0</v>
      </c>
      <c r="I5518" s="6">
        <f t="shared" si="270"/>
        <v>0</v>
      </c>
      <c r="J5518" s="6">
        <f t="shared" si="271"/>
        <v>0</v>
      </c>
      <c r="L5518" s="4" t="str">
        <f>IFERROR(VLOOKUP(ROWS($L$2:L5518),$B$2:$C$1996,2,0),"")</f>
        <v/>
      </c>
      <c r="N5518" s="2" t="str">
        <f>IFERROR(VLOOKUP(ROWS($N$2:N5518),$D$2:$E$1996,2,0),"")</f>
        <v/>
      </c>
    </row>
    <row r="5519" spans="2:14">
      <c r="B5519" s="32">
        <f>IF(ISNUMBER(SEARCH('Φόρμα Εισαγωγής'!$B$2,C5519)),MAX($B$1:B5518)+1,0)</f>
        <v>0</v>
      </c>
      <c r="D5519" s="33">
        <f>IF(ISNUMBER(SEARCH('Φόρμα Εισαγωγής'!$C$2,E5519)),MAX($D$1:D5518)+1,0)</f>
        <v>0</v>
      </c>
      <c r="H5519" s="6">
        <f t="shared" si="269"/>
        <v>0</v>
      </c>
      <c r="I5519" s="6">
        <f t="shared" si="270"/>
        <v>0</v>
      </c>
      <c r="J5519" s="6">
        <f t="shared" si="271"/>
        <v>0</v>
      </c>
      <c r="L5519" s="4" t="str">
        <f>IFERROR(VLOOKUP(ROWS($L$2:L5519),$B$2:$C$1996,2,0),"")</f>
        <v/>
      </c>
      <c r="N5519" s="2" t="str">
        <f>IFERROR(VLOOKUP(ROWS($N$2:N5519),$D$2:$E$1996,2,0),"")</f>
        <v/>
      </c>
    </row>
    <row r="5520" spans="2:14">
      <c r="B5520" s="32">
        <f>IF(ISNUMBER(SEARCH('Φόρμα Εισαγωγής'!$B$2,C5520)),MAX($B$1:B5519)+1,0)</f>
        <v>0</v>
      </c>
      <c r="D5520" s="33">
        <f>IF(ISNUMBER(SEARCH('Φόρμα Εισαγωγής'!$C$2,E5520)),MAX($D$1:D5519)+1,0)</f>
        <v>0</v>
      </c>
      <c r="H5520" s="6">
        <f t="shared" si="269"/>
        <v>0</v>
      </c>
      <c r="I5520" s="6">
        <f t="shared" si="270"/>
        <v>0</v>
      </c>
      <c r="J5520" s="6">
        <f t="shared" si="271"/>
        <v>0</v>
      </c>
      <c r="L5520" s="4" t="str">
        <f>IFERROR(VLOOKUP(ROWS($L$2:L5520),$B$2:$C$1996,2,0),"")</f>
        <v/>
      </c>
      <c r="N5520" s="2" t="str">
        <f>IFERROR(VLOOKUP(ROWS($N$2:N5520),$D$2:$E$1996,2,0),"")</f>
        <v/>
      </c>
    </row>
    <row r="5521" spans="2:14">
      <c r="B5521" s="32">
        <f>IF(ISNUMBER(SEARCH('Φόρμα Εισαγωγής'!$B$2,C5521)),MAX($B$1:B5520)+1,0)</f>
        <v>0</v>
      </c>
      <c r="D5521" s="33">
        <f>IF(ISNUMBER(SEARCH('Φόρμα Εισαγωγής'!$C$2,E5521)),MAX($D$1:D5520)+1,0)</f>
        <v>0</v>
      </c>
      <c r="H5521" s="6">
        <f t="shared" si="269"/>
        <v>0</v>
      </c>
      <c r="I5521" s="6">
        <f t="shared" si="270"/>
        <v>0</v>
      </c>
      <c r="J5521" s="6">
        <f t="shared" si="271"/>
        <v>0</v>
      </c>
      <c r="L5521" s="4" t="str">
        <f>IFERROR(VLOOKUP(ROWS($L$2:L5521),$B$2:$C$1996,2,0),"")</f>
        <v/>
      </c>
      <c r="N5521" s="2" t="str">
        <f>IFERROR(VLOOKUP(ROWS($N$2:N5521),$D$2:$E$1996,2,0),"")</f>
        <v/>
      </c>
    </row>
    <row r="5522" spans="2:14">
      <c r="B5522" s="32">
        <f>IF(ISNUMBER(SEARCH('Φόρμα Εισαγωγής'!$B$2,C5522)),MAX($B$1:B5521)+1,0)</f>
        <v>0</v>
      </c>
      <c r="D5522" s="33">
        <f>IF(ISNUMBER(SEARCH('Φόρμα Εισαγωγής'!$C$2,E5522)),MAX($D$1:D5521)+1,0)</f>
        <v>0</v>
      </c>
      <c r="H5522" s="6">
        <f t="shared" si="269"/>
        <v>0</v>
      </c>
      <c r="I5522" s="6">
        <f t="shared" si="270"/>
        <v>0</v>
      </c>
      <c r="J5522" s="6">
        <f t="shared" si="271"/>
        <v>0</v>
      </c>
      <c r="L5522" s="4" t="str">
        <f>IFERROR(VLOOKUP(ROWS($L$2:L5522),$B$2:$C$1996,2,0),"")</f>
        <v/>
      </c>
      <c r="N5522" s="2" t="str">
        <f>IFERROR(VLOOKUP(ROWS($N$2:N5522),$D$2:$E$1996,2,0),"")</f>
        <v/>
      </c>
    </row>
    <row r="5523" spans="2:14">
      <c r="B5523" s="32">
        <f>IF(ISNUMBER(SEARCH('Φόρμα Εισαγωγής'!$B$2,C5523)),MAX($B$1:B5522)+1,0)</f>
        <v>0</v>
      </c>
      <c r="D5523" s="33">
        <f>IF(ISNUMBER(SEARCH('Φόρμα Εισαγωγής'!$C$2,E5523)),MAX($D$1:D5522)+1,0)</f>
        <v>0</v>
      </c>
      <c r="H5523" s="6">
        <f t="shared" si="269"/>
        <v>0</v>
      </c>
      <c r="I5523" s="6">
        <f t="shared" si="270"/>
        <v>0</v>
      </c>
      <c r="J5523" s="6">
        <f t="shared" si="271"/>
        <v>0</v>
      </c>
      <c r="L5523" s="4" t="str">
        <f>IFERROR(VLOOKUP(ROWS($L$2:L5523),$B$2:$C$1996,2,0),"")</f>
        <v/>
      </c>
      <c r="N5523" s="2" t="str">
        <f>IFERROR(VLOOKUP(ROWS($N$2:N5523),$D$2:$E$1996,2,0),"")</f>
        <v/>
      </c>
    </row>
    <row r="5524" spans="2:14">
      <c r="B5524" s="32">
        <f>IF(ISNUMBER(SEARCH('Φόρμα Εισαγωγής'!$B$2,C5524)),MAX($B$1:B5523)+1,0)</f>
        <v>0</v>
      </c>
      <c r="D5524" s="33">
        <f>IF(ISNUMBER(SEARCH('Φόρμα Εισαγωγής'!$C$2,E5524)),MAX($D$1:D5523)+1,0)</f>
        <v>0</v>
      </c>
      <c r="H5524" s="6">
        <f t="shared" si="269"/>
        <v>0</v>
      </c>
      <c r="I5524" s="6">
        <f t="shared" si="270"/>
        <v>0</v>
      </c>
      <c r="J5524" s="6">
        <f t="shared" si="271"/>
        <v>0</v>
      </c>
      <c r="L5524" s="4" t="str">
        <f>IFERROR(VLOOKUP(ROWS($L$2:L5524),$B$2:$C$1996,2,0),"")</f>
        <v/>
      </c>
      <c r="N5524" s="2" t="str">
        <f>IFERROR(VLOOKUP(ROWS($N$2:N5524),$D$2:$E$1996,2,0),"")</f>
        <v/>
      </c>
    </row>
    <row r="5525" spans="2:14">
      <c r="B5525" s="32">
        <f>IF(ISNUMBER(SEARCH('Φόρμα Εισαγωγής'!$B$2,C5525)),MAX($B$1:B5524)+1,0)</f>
        <v>0</v>
      </c>
      <c r="D5525" s="33">
        <f>IF(ISNUMBER(SEARCH('Φόρμα Εισαγωγής'!$C$2,E5525)),MAX($D$1:D5524)+1,0)</f>
        <v>0</v>
      </c>
      <c r="H5525" s="6">
        <f t="shared" si="269"/>
        <v>0</v>
      </c>
      <c r="I5525" s="6">
        <f t="shared" si="270"/>
        <v>0</v>
      </c>
      <c r="J5525" s="6">
        <f t="shared" si="271"/>
        <v>0</v>
      </c>
      <c r="L5525" s="4" t="str">
        <f>IFERROR(VLOOKUP(ROWS($L$2:L5525),$B$2:$C$1996,2,0),"")</f>
        <v/>
      </c>
      <c r="N5525" s="2" t="str">
        <f>IFERROR(VLOOKUP(ROWS($N$2:N5525),$D$2:$E$1996,2,0),"")</f>
        <v/>
      </c>
    </row>
    <row r="5526" spans="2:14">
      <c r="B5526" s="32">
        <f>IF(ISNUMBER(SEARCH('Φόρμα Εισαγωγής'!$B$2,C5526)),MAX($B$1:B5525)+1,0)</f>
        <v>0</v>
      </c>
      <c r="D5526" s="33">
        <f>IF(ISNUMBER(SEARCH('Φόρμα Εισαγωγής'!$C$2,E5526)),MAX($D$1:D5525)+1,0)</f>
        <v>0</v>
      </c>
      <c r="H5526" s="6">
        <f t="shared" si="269"/>
        <v>0</v>
      </c>
      <c r="I5526" s="6">
        <f t="shared" si="270"/>
        <v>0</v>
      </c>
      <c r="J5526" s="6">
        <f t="shared" si="271"/>
        <v>0</v>
      </c>
      <c r="L5526" s="4" t="str">
        <f>IFERROR(VLOOKUP(ROWS($L$2:L5526),$B$2:$C$1996,2,0),"")</f>
        <v/>
      </c>
      <c r="N5526" s="2" t="str">
        <f>IFERROR(VLOOKUP(ROWS($N$2:N5526),$D$2:$E$1996,2,0),"")</f>
        <v/>
      </c>
    </row>
    <row r="5527" spans="2:14">
      <c r="B5527" s="32">
        <f>IF(ISNUMBER(SEARCH('Φόρμα Εισαγωγής'!$B$2,C5527)),MAX($B$1:B5526)+1,0)</f>
        <v>0</v>
      </c>
      <c r="D5527" s="33">
        <f>IF(ISNUMBER(SEARCH('Φόρμα Εισαγωγής'!$C$2,E5527)),MAX($D$1:D5526)+1,0)</f>
        <v>0</v>
      </c>
      <c r="H5527" s="6">
        <f t="shared" si="269"/>
        <v>0</v>
      </c>
      <c r="I5527" s="6">
        <f t="shared" si="270"/>
        <v>0</v>
      </c>
      <c r="J5527" s="6">
        <f t="shared" si="271"/>
        <v>0</v>
      </c>
      <c r="L5527" s="4" t="str">
        <f>IFERROR(VLOOKUP(ROWS($L$2:L5527),$B$2:$C$1996,2,0),"")</f>
        <v/>
      </c>
      <c r="N5527" s="2" t="str">
        <f>IFERROR(VLOOKUP(ROWS($N$2:N5527),$D$2:$E$1996,2,0),"")</f>
        <v/>
      </c>
    </row>
    <row r="5528" spans="2:14">
      <c r="B5528" s="32">
        <f>IF(ISNUMBER(SEARCH('Φόρμα Εισαγωγής'!$B$2,C5528)),MAX($B$1:B5527)+1,0)</f>
        <v>0</v>
      </c>
      <c r="D5528" s="33">
        <f>IF(ISNUMBER(SEARCH('Φόρμα Εισαγωγής'!$C$2,E5528)),MAX($D$1:D5527)+1,0)</f>
        <v>0</v>
      </c>
      <c r="H5528" s="6">
        <f t="shared" si="269"/>
        <v>0</v>
      </c>
      <c r="I5528" s="6">
        <f t="shared" si="270"/>
        <v>0</v>
      </c>
      <c r="J5528" s="6">
        <f t="shared" si="271"/>
        <v>0</v>
      </c>
      <c r="L5528" s="4" t="str">
        <f>IFERROR(VLOOKUP(ROWS($L$2:L5528),$B$2:$C$1996,2,0),"")</f>
        <v/>
      </c>
      <c r="N5528" s="2" t="str">
        <f>IFERROR(VLOOKUP(ROWS($N$2:N5528),$D$2:$E$1996,2,0),"")</f>
        <v/>
      </c>
    </row>
    <row r="5529" spans="2:14">
      <c r="B5529" s="32">
        <f>IF(ISNUMBER(SEARCH('Φόρμα Εισαγωγής'!$B$2,C5529)),MAX($B$1:B5528)+1,0)</f>
        <v>0</v>
      </c>
      <c r="D5529" s="33">
        <f>IF(ISNUMBER(SEARCH('Φόρμα Εισαγωγής'!$C$2,E5529)),MAX($D$1:D5528)+1,0)</f>
        <v>0</v>
      </c>
      <c r="H5529" s="6">
        <f t="shared" si="269"/>
        <v>0</v>
      </c>
      <c r="I5529" s="6">
        <f t="shared" si="270"/>
        <v>0</v>
      </c>
      <c r="J5529" s="6">
        <f t="shared" si="271"/>
        <v>0</v>
      </c>
      <c r="L5529" s="4" t="str">
        <f>IFERROR(VLOOKUP(ROWS($L$2:L5529),$B$2:$C$1996,2,0),"")</f>
        <v/>
      </c>
      <c r="N5529" s="2" t="str">
        <f>IFERROR(VLOOKUP(ROWS($N$2:N5529),$D$2:$E$1996,2,0),"")</f>
        <v/>
      </c>
    </row>
    <row r="5530" spans="2:14">
      <c r="B5530" s="32">
        <f>IF(ISNUMBER(SEARCH('Φόρμα Εισαγωγής'!$B$2,C5530)),MAX($B$1:B5529)+1,0)</f>
        <v>0</v>
      </c>
      <c r="D5530" s="33">
        <f>IF(ISNUMBER(SEARCH('Φόρμα Εισαγωγής'!$C$2,E5530)),MAX($D$1:D5529)+1,0)</f>
        <v>0</v>
      </c>
      <c r="H5530" s="6">
        <f t="shared" si="269"/>
        <v>0</v>
      </c>
      <c r="I5530" s="6">
        <f t="shared" si="270"/>
        <v>0</v>
      </c>
      <c r="J5530" s="6">
        <f t="shared" si="271"/>
        <v>0</v>
      </c>
      <c r="L5530" s="4" t="str">
        <f>IFERROR(VLOOKUP(ROWS($L$2:L5530),$B$2:$C$1996,2,0),"")</f>
        <v/>
      </c>
      <c r="N5530" s="2" t="str">
        <f>IFERROR(VLOOKUP(ROWS($N$2:N5530),$D$2:$E$1996,2,0),"")</f>
        <v/>
      </c>
    </row>
    <row r="5531" spans="2:14">
      <c r="B5531" s="32">
        <f>IF(ISNUMBER(SEARCH('Φόρμα Εισαγωγής'!$B$2,C5531)),MAX($B$1:B5530)+1,0)</f>
        <v>0</v>
      </c>
      <c r="D5531" s="33">
        <f>IF(ISNUMBER(SEARCH('Φόρμα Εισαγωγής'!$C$2,E5531)),MAX($D$1:D5530)+1,0)</f>
        <v>0</v>
      </c>
      <c r="H5531" s="6">
        <f t="shared" si="269"/>
        <v>0</v>
      </c>
      <c r="I5531" s="6">
        <f t="shared" si="270"/>
        <v>0</v>
      </c>
      <c r="J5531" s="6">
        <f t="shared" si="271"/>
        <v>0</v>
      </c>
      <c r="L5531" s="4" t="str">
        <f>IFERROR(VLOOKUP(ROWS($L$2:L5531),$B$2:$C$1996,2,0),"")</f>
        <v/>
      </c>
      <c r="N5531" s="2" t="str">
        <f>IFERROR(VLOOKUP(ROWS($N$2:N5531),$D$2:$E$1996,2,0),"")</f>
        <v/>
      </c>
    </row>
    <row r="5532" spans="2:14">
      <c r="B5532" s="32">
        <f>IF(ISNUMBER(SEARCH('Φόρμα Εισαγωγής'!$B$2,C5532)),MAX($B$1:B5531)+1,0)</f>
        <v>0</v>
      </c>
      <c r="D5532" s="33">
        <f>IF(ISNUMBER(SEARCH('Φόρμα Εισαγωγής'!$C$2,E5532)),MAX($D$1:D5531)+1,0)</f>
        <v>0</v>
      </c>
      <c r="H5532" s="6">
        <f t="shared" si="269"/>
        <v>0</v>
      </c>
      <c r="I5532" s="6">
        <f t="shared" si="270"/>
        <v>0</v>
      </c>
      <c r="J5532" s="6">
        <f t="shared" si="271"/>
        <v>0</v>
      </c>
      <c r="L5532" s="4" t="str">
        <f>IFERROR(VLOOKUP(ROWS($L$2:L5532),$B$2:$C$1996,2,0),"")</f>
        <v/>
      </c>
      <c r="N5532" s="2" t="str">
        <f>IFERROR(VLOOKUP(ROWS($N$2:N5532),$D$2:$E$1996,2,0),"")</f>
        <v/>
      </c>
    </row>
    <row r="5533" spans="2:14">
      <c r="B5533" s="32">
        <f>IF(ISNUMBER(SEARCH('Φόρμα Εισαγωγής'!$B$2,C5533)),MAX($B$1:B5532)+1,0)</f>
        <v>0</v>
      </c>
      <c r="D5533" s="33">
        <f>IF(ISNUMBER(SEARCH('Φόρμα Εισαγωγής'!$C$2,E5533)),MAX($D$1:D5532)+1,0)</f>
        <v>0</v>
      </c>
      <c r="H5533" s="6">
        <f t="shared" si="269"/>
        <v>0</v>
      </c>
      <c r="I5533" s="6">
        <f t="shared" si="270"/>
        <v>0</v>
      </c>
      <c r="J5533" s="6">
        <f t="shared" si="271"/>
        <v>0</v>
      </c>
      <c r="L5533" s="4" t="str">
        <f>IFERROR(VLOOKUP(ROWS($L$2:L5533),$B$2:$C$1996,2,0),"")</f>
        <v/>
      </c>
      <c r="N5533" s="2" t="str">
        <f>IFERROR(VLOOKUP(ROWS($N$2:N5533),$D$2:$E$1996,2,0),"")</f>
        <v/>
      </c>
    </row>
    <row r="5534" spans="2:14">
      <c r="B5534" s="32">
        <f>IF(ISNUMBER(SEARCH('Φόρμα Εισαγωγής'!$B$2,C5534)),MAX($B$1:B5533)+1,0)</f>
        <v>0</v>
      </c>
      <c r="D5534" s="33">
        <f>IF(ISNUMBER(SEARCH('Φόρμα Εισαγωγής'!$C$2,E5534)),MAX($D$1:D5533)+1,0)</f>
        <v>0</v>
      </c>
      <c r="H5534" s="6">
        <f t="shared" si="269"/>
        <v>0</v>
      </c>
      <c r="I5534" s="6">
        <f t="shared" si="270"/>
        <v>0</v>
      </c>
      <c r="J5534" s="6">
        <f t="shared" si="271"/>
        <v>0</v>
      </c>
      <c r="L5534" s="4" t="str">
        <f>IFERROR(VLOOKUP(ROWS($L$2:L5534),$B$2:$C$1996,2,0),"")</f>
        <v/>
      </c>
      <c r="N5534" s="2" t="str">
        <f>IFERROR(VLOOKUP(ROWS($N$2:N5534),$D$2:$E$1996,2,0),"")</f>
        <v/>
      </c>
    </row>
    <row r="5535" spans="2:14">
      <c r="B5535" s="32">
        <f>IF(ISNUMBER(SEARCH('Φόρμα Εισαγωγής'!$B$2,C5535)),MAX($B$1:B5534)+1,0)</f>
        <v>0</v>
      </c>
      <c r="D5535" s="33">
        <f>IF(ISNUMBER(SEARCH('Φόρμα Εισαγωγής'!$C$2,E5535)),MAX($D$1:D5534)+1,0)</f>
        <v>0</v>
      </c>
      <c r="H5535" s="6">
        <f t="shared" si="269"/>
        <v>0</v>
      </c>
      <c r="I5535" s="6">
        <f t="shared" si="270"/>
        <v>0</v>
      </c>
      <c r="J5535" s="6">
        <f t="shared" si="271"/>
        <v>0</v>
      </c>
      <c r="L5535" s="4" t="str">
        <f>IFERROR(VLOOKUP(ROWS($L$2:L5535),$B$2:$C$1996,2,0),"")</f>
        <v/>
      </c>
      <c r="N5535" s="2" t="str">
        <f>IFERROR(VLOOKUP(ROWS($N$2:N5535),$D$2:$E$1996,2,0),"")</f>
        <v/>
      </c>
    </row>
    <row r="5536" spans="2:14">
      <c r="B5536" s="32">
        <f>IF(ISNUMBER(SEARCH('Φόρμα Εισαγωγής'!$B$2,C5536)),MAX($B$1:B5535)+1,0)</f>
        <v>0</v>
      </c>
      <c r="D5536" s="33">
        <f>IF(ISNUMBER(SEARCH('Φόρμα Εισαγωγής'!$C$2,E5536)),MAX($D$1:D5535)+1,0)</f>
        <v>0</v>
      </c>
      <c r="H5536" s="6">
        <f t="shared" si="269"/>
        <v>0</v>
      </c>
      <c r="I5536" s="6">
        <f t="shared" si="270"/>
        <v>0</v>
      </c>
      <c r="J5536" s="6">
        <f t="shared" si="271"/>
        <v>0</v>
      </c>
      <c r="L5536" s="4" t="str">
        <f>IFERROR(VLOOKUP(ROWS($L$2:L5536),$B$2:$C$1996,2,0),"")</f>
        <v/>
      </c>
      <c r="N5536" s="2" t="str">
        <f>IFERROR(VLOOKUP(ROWS($N$2:N5536),$D$2:$E$1996,2,0),"")</f>
        <v/>
      </c>
    </row>
    <row r="5537" spans="2:14">
      <c r="B5537" s="32">
        <f>IF(ISNUMBER(SEARCH('Φόρμα Εισαγωγής'!$B$2,C5537)),MAX($B$1:B5536)+1,0)</f>
        <v>0</v>
      </c>
      <c r="D5537" s="33">
        <f>IF(ISNUMBER(SEARCH('Φόρμα Εισαγωγής'!$C$2,E5537)),MAX($D$1:D5536)+1,0)</f>
        <v>0</v>
      </c>
      <c r="H5537" s="6">
        <f t="shared" si="269"/>
        <v>0</v>
      </c>
      <c r="I5537" s="6">
        <f t="shared" si="270"/>
        <v>0</v>
      </c>
      <c r="J5537" s="6">
        <f t="shared" si="271"/>
        <v>0</v>
      </c>
      <c r="L5537" s="4" t="str">
        <f>IFERROR(VLOOKUP(ROWS($L$2:L5537),$B$2:$C$1996,2,0),"")</f>
        <v/>
      </c>
      <c r="N5537" s="2" t="str">
        <f>IFERROR(VLOOKUP(ROWS($N$2:N5537),$D$2:$E$1996,2,0),"")</f>
        <v/>
      </c>
    </row>
    <row r="5538" spans="2:14">
      <c r="B5538" s="32">
        <f>IF(ISNUMBER(SEARCH('Φόρμα Εισαγωγής'!$B$2,C5538)),MAX($B$1:B5537)+1,0)</f>
        <v>0</v>
      </c>
      <c r="D5538" s="33">
        <f>IF(ISNUMBER(SEARCH('Φόρμα Εισαγωγής'!$C$2,E5538)),MAX($D$1:D5537)+1,0)</f>
        <v>0</v>
      </c>
      <c r="H5538" s="6">
        <f t="shared" si="269"/>
        <v>0</v>
      </c>
      <c r="I5538" s="6">
        <f t="shared" si="270"/>
        <v>0</v>
      </c>
      <c r="J5538" s="6">
        <f t="shared" si="271"/>
        <v>0</v>
      </c>
      <c r="L5538" s="4" t="str">
        <f>IFERROR(VLOOKUP(ROWS($L$2:L5538),$B$2:$C$1996,2,0),"")</f>
        <v/>
      </c>
      <c r="N5538" s="2" t="str">
        <f>IFERROR(VLOOKUP(ROWS($N$2:N5538),$D$2:$E$1996,2,0),"")</f>
        <v/>
      </c>
    </row>
    <row r="5539" spans="2:14">
      <c r="B5539" s="32">
        <f>IF(ISNUMBER(SEARCH('Φόρμα Εισαγωγής'!$B$2,C5539)),MAX($B$1:B5538)+1,0)</f>
        <v>0</v>
      </c>
      <c r="D5539" s="33">
        <f>IF(ISNUMBER(SEARCH('Φόρμα Εισαγωγής'!$C$2,E5539)),MAX($D$1:D5538)+1,0)</f>
        <v>0</v>
      </c>
      <c r="H5539" s="6">
        <f t="shared" si="269"/>
        <v>0</v>
      </c>
      <c r="I5539" s="6">
        <f t="shared" si="270"/>
        <v>0</v>
      </c>
      <c r="J5539" s="6">
        <f t="shared" si="271"/>
        <v>0</v>
      </c>
      <c r="L5539" s="4" t="str">
        <f>IFERROR(VLOOKUP(ROWS($L$2:L5539),$B$2:$C$1996,2,0),"")</f>
        <v/>
      </c>
      <c r="N5539" s="2" t="str">
        <f>IFERROR(VLOOKUP(ROWS($N$2:N5539),$D$2:$E$1996,2,0),"")</f>
        <v/>
      </c>
    </row>
    <row r="5540" spans="2:14">
      <c r="B5540" s="32">
        <f>IF(ISNUMBER(SEARCH('Φόρμα Εισαγωγής'!$B$2,C5540)),MAX($B$1:B5539)+1,0)</f>
        <v>0</v>
      </c>
      <c r="D5540" s="33">
        <f>IF(ISNUMBER(SEARCH('Φόρμα Εισαγωγής'!$C$2,E5540)),MAX($D$1:D5539)+1,0)</f>
        <v>0</v>
      </c>
      <c r="H5540" s="6">
        <f t="shared" si="269"/>
        <v>0</v>
      </c>
      <c r="I5540" s="6">
        <f t="shared" si="270"/>
        <v>0</v>
      </c>
      <c r="J5540" s="6">
        <f t="shared" si="271"/>
        <v>0</v>
      </c>
      <c r="L5540" s="4" t="str">
        <f>IFERROR(VLOOKUP(ROWS($L$2:L5540),$B$2:$C$1996,2,0),"")</f>
        <v/>
      </c>
      <c r="N5540" s="2" t="str">
        <f>IFERROR(VLOOKUP(ROWS($N$2:N5540),$D$2:$E$1996,2,0),"")</f>
        <v/>
      </c>
    </row>
    <row r="5541" spans="2:14">
      <c r="B5541" s="32">
        <f>IF(ISNUMBER(SEARCH('Φόρμα Εισαγωγής'!$B$2,C5541)),MAX($B$1:B5540)+1,0)</f>
        <v>0</v>
      </c>
      <c r="D5541" s="33">
        <f>IF(ISNUMBER(SEARCH('Φόρμα Εισαγωγής'!$C$2,E5541)),MAX($D$1:D5540)+1,0)</f>
        <v>0</v>
      </c>
      <c r="H5541" s="6">
        <f t="shared" si="269"/>
        <v>0</v>
      </c>
      <c r="I5541" s="6">
        <f t="shared" si="270"/>
        <v>0</v>
      </c>
      <c r="J5541" s="6">
        <f t="shared" si="271"/>
        <v>0</v>
      </c>
      <c r="L5541" s="4" t="str">
        <f>IFERROR(VLOOKUP(ROWS($L$2:L5541),$B$2:$C$1996,2,0),"")</f>
        <v/>
      </c>
      <c r="N5541" s="2" t="str">
        <f>IFERROR(VLOOKUP(ROWS($N$2:N5541),$D$2:$E$1996,2,0),"")</f>
        <v/>
      </c>
    </row>
    <row r="5542" spans="2:14">
      <c r="B5542" s="32">
        <f>IF(ISNUMBER(SEARCH('Φόρμα Εισαγωγής'!$B$2,C5542)),MAX($B$1:B5541)+1,0)</f>
        <v>0</v>
      </c>
      <c r="D5542" s="33">
        <f>IF(ISNUMBER(SEARCH('Φόρμα Εισαγωγής'!$C$2,E5542)),MAX($D$1:D5541)+1,0)</f>
        <v>0</v>
      </c>
      <c r="H5542" s="6">
        <f t="shared" si="269"/>
        <v>0</v>
      </c>
      <c r="I5542" s="6">
        <f t="shared" si="270"/>
        <v>0</v>
      </c>
      <c r="J5542" s="6">
        <f t="shared" si="271"/>
        <v>0</v>
      </c>
      <c r="L5542" s="4" t="str">
        <f>IFERROR(VLOOKUP(ROWS($L$2:L5542),$B$2:$C$1996,2,0),"")</f>
        <v/>
      </c>
      <c r="N5542" s="2" t="str">
        <f>IFERROR(VLOOKUP(ROWS($N$2:N5542),$D$2:$E$1996,2,0),"")</f>
        <v/>
      </c>
    </row>
    <row r="5543" spans="2:14">
      <c r="B5543" s="32">
        <f>IF(ISNUMBER(SEARCH('Φόρμα Εισαγωγής'!$B$2,C5543)),MAX($B$1:B5542)+1,0)</f>
        <v>0</v>
      </c>
      <c r="D5543" s="33">
        <f>IF(ISNUMBER(SEARCH('Φόρμα Εισαγωγής'!$C$2,E5543)),MAX($D$1:D5542)+1,0)</f>
        <v>0</v>
      </c>
      <c r="H5543" s="6">
        <f t="shared" si="269"/>
        <v>0</v>
      </c>
      <c r="I5543" s="6">
        <f t="shared" si="270"/>
        <v>0</v>
      </c>
      <c r="J5543" s="6">
        <f t="shared" si="271"/>
        <v>0</v>
      </c>
      <c r="L5543" s="4" t="str">
        <f>IFERROR(VLOOKUP(ROWS($L$2:L5543),$B$2:$C$1996,2,0),"")</f>
        <v/>
      </c>
      <c r="N5543" s="2" t="str">
        <f>IFERROR(VLOOKUP(ROWS($N$2:N5543),$D$2:$E$1996,2,0),"")</f>
        <v/>
      </c>
    </row>
    <row r="5544" spans="2:14">
      <c r="B5544" s="32">
        <f>IF(ISNUMBER(SEARCH('Φόρμα Εισαγωγής'!$B$2,C5544)),MAX($B$1:B5543)+1,0)</f>
        <v>0</v>
      </c>
      <c r="D5544" s="33">
        <f>IF(ISNUMBER(SEARCH('Φόρμα Εισαγωγής'!$C$2,E5544)),MAX($D$1:D5543)+1,0)</f>
        <v>0</v>
      </c>
      <c r="H5544" s="6">
        <f t="shared" si="269"/>
        <v>0</v>
      </c>
      <c r="I5544" s="6">
        <f t="shared" si="270"/>
        <v>0</v>
      </c>
      <c r="J5544" s="6">
        <f t="shared" si="271"/>
        <v>0</v>
      </c>
      <c r="L5544" s="4" t="str">
        <f>IFERROR(VLOOKUP(ROWS($L$2:L5544),$B$2:$C$1996,2,0),"")</f>
        <v/>
      </c>
      <c r="N5544" s="2" t="str">
        <f>IFERROR(VLOOKUP(ROWS($N$2:N5544),$D$2:$E$1996,2,0),"")</f>
        <v/>
      </c>
    </row>
    <row r="5545" spans="2:14">
      <c r="B5545" s="32">
        <f>IF(ISNUMBER(SEARCH('Φόρμα Εισαγωγής'!$B$2,C5545)),MAX($B$1:B5544)+1,0)</f>
        <v>0</v>
      </c>
      <c r="D5545" s="33">
        <f>IF(ISNUMBER(SEARCH('Φόρμα Εισαγωγής'!$C$2,E5545)),MAX($D$1:D5544)+1,0)</f>
        <v>0</v>
      </c>
      <c r="H5545" s="6">
        <f t="shared" si="269"/>
        <v>0</v>
      </c>
      <c r="I5545" s="6">
        <f t="shared" si="270"/>
        <v>0</v>
      </c>
      <c r="J5545" s="6">
        <f t="shared" si="271"/>
        <v>0</v>
      </c>
      <c r="L5545" s="4" t="str">
        <f>IFERROR(VLOOKUP(ROWS($L$2:L5545),$B$2:$C$1996,2,0),"")</f>
        <v/>
      </c>
      <c r="N5545" s="2" t="str">
        <f>IFERROR(VLOOKUP(ROWS($N$2:N5545),$D$2:$E$1996,2,0),"")</f>
        <v/>
      </c>
    </row>
    <row r="5546" spans="2:14">
      <c r="B5546" s="32">
        <f>IF(ISNUMBER(SEARCH('Φόρμα Εισαγωγής'!$B$2,C5546)),MAX($B$1:B5545)+1,0)</f>
        <v>0</v>
      </c>
      <c r="D5546" s="33">
        <f>IF(ISNUMBER(SEARCH('Φόρμα Εισαγωγής'!$C$2,E5546)),MAX($D$1:D5545)+1,0)</f>
        <v>0</v>
      </c>
      <c r="H5546" s="6">
        <f t="shared" si="269"/>
        <v>0</v>
      </c>
      <c r="I5546" s="6">
        <f t="shared" si="270"/>
        <v>0</v>
      </c>
      <c r="J5546" s="6">
        <f t="shared" si="271"/>
        <v>0</v>
      </c>
      <c r="L5546" s="4" t="str">
        <f>IFERROR(VLOOKUP(ROWS($L$2:L5546),$B$2:$C$1996,2,0),"")</f>
        <v/>
      </c>
      <c r="N5546" s="2" t="str">
        <f>IFERROR(VLOOKUP(ROWS($N$2:N5546),$D$2:$E$1996,2,0),"")</f>
        <v/>
      </c>
    </row>
    <row r="5547" spans="2:14">
      <c r="B5547" s="32">
        <f>IF(ISNUMBER(SEARCH('Φόρμα Εισαγωγής'!$B$2,C5547)),MAX($B$1:B5546)+1,0)</f>
        <v>0</v>
      </c>
      <c r="D5547" s="33">
        <f>IF(ISNUMBER(SEARCH('Φόρμα Εισαγωγής'!$C$2,E5547)),MAX($D$1:D5546)+1,0)</f>
        <v>0</v>
      </c>
      <c r="H5547" s="6">
        <f t="shared" si="269"/>
        <v>0</v>
      </c>
      <c r="I5547" s="6">
        <f t="shared" si="270"/>
        <v>0</v>
      </c>
      <c r="J5547" s="6">
        <f t="shared" si="271"/>
        <v>0</v>
      </c>
      <c r="L5547" s="4" t="str">
        <f>IFERROR(VLOOKUP(ROWS($L$2:L5547),$B$2:$C$1996,2,0),"")</f>
        <v/>
      </c>
      <c r="N5547" s="2" t="str">
        <f>IFERROR(VLOOKUP(ROWS($N$2:N5547),$D$2:$E$1996,2,0),"")</f>
        <v/>
      </c>
    </row>
    <row r="5548" spans="2:14">
      <c r="B5548" s="32">
        <f>IF(ISNUMBER(SEARCH('Φόρμα Εισαγωγής'!$B$2,C5548)),MAX($B$1:B5547)+1,0)</f>
        <v>0</v>
      </c>
      <c r="D5548" s="33">
        <f>IF(ISNUMBER(SEARCH('Φόρμα Εισαγωγής'!$C$2,E5548)),MAX($D$1:D5547)+1,0)</f>
        <v>0</v>
      </c>
      <c r="H5548" s="6">
        <f t="shared" si="269"/>
        <v>0</v>
      </c>
      <c r="I5548" s="6">
        <f t="shared" si="270"/>
        <v>0</v>
      </c>
      <c r="J5548" s="6">
        <f t="shared" si="271"/>
        <v>0</v>
      </c>
      <c r="L5548" s="4" t="str">
        <f>IFERROR(VLOOKUP(ROWS($L$2:L5548),$B$2:$C$1996,2,0),"")</f>
        <v/>
      </c>
      <c r="N5548" s="2" t="str">
        <f>IFERROR(VLOOKUP(ROWS($N$2:N5548),$D$2:$E$1996,2,0),"")</f>
        <v/>
      </c>
    </row>
    <row r="5549" spans="2:14">
      <c r="B5549" s="32">
        <f>IF(ISNUMBER(SEARCH('Φόρμα Εισαγωγής'!$B$2,C5549)),MAX($B$1:B5548)+1,0)</f>
        <v>0</v>
      </c>
      <c r="D5549" s="33">
        <f>IF(ISNUMBER(SEARCH('Φόρμα Εισαγωγής'!$C$2,E5549)),MAX($D$1:D5548)+1,0)</f>
        <v>0</v>
      </c>
      <c r="H5549" s="6">
        <f t="shared" si="269"/>
        <v>0</v>
      </c>
      <c r="I5549" s="6">
        <f t="shared" si="270"/>
        <v>0</v>
      </c>
      <c r="J5549" s="6">
        <f t="shared" si="271"/>
        <v>0</v>
      </c>
      <c r="L5549" s="4" t="str">
        <f>IFERROR(VLOOKUP(ROWS($L$2:L5549),$B$2:$C$1996,2,0),"")</f>
        <v/>
      </c>
      <c r="N5549" s="2" t="str">
        <f>IFERROR(VLOOKUP(ROWS($N$2:N5549),$D$2:$E$1996,2,0),"")</f>
        <v/>
      </c>
    </row>
    <row r="5550" spans="2:14">
      <c r="B5550" s="32">
        <f>IF(ISNUMBER(SEARCH('Φόρμα Εισαγωγής'!$B$2,C5550)),MAX($B$1:B5549)+1,0)</f>
        <v>0</v>
      </c>
      <c r="D5550" s="33">
        <f>IF(ISNUMBER(SEARCH('Φόρμα Εισαγωγής'!$C$2,E5550)),MAX($D$1:D5549)+1,0)</f>
        <v>0</v>
      </c>
      <c r="H5550" s="6">
        <f t="shared" si="269"/>
        <v>0</v>
      </c>
      <c r="I5550" s="6">
        <f t="shared" si="270"/>
        <v>0</v>
      </c>
      <c r="J5550" s="6">
        <f t="shared" si="271"/>
        <v>0</v>
      </c>
      <c r="L5550" s="4" t="str">
        <f>IFERROR(VLOOKUP(ROWS($L$2:L5550),$B$2:$C$1996,2,0),"")</f>
        <v/>
      </c>
      <c r="N5550" s="2" t="str">
        <f>IFERROR(VLOOKUP(ROWS($N$2:N5550),$D$2:$E$1996,2,0),"")</f>
        <v/>
      </c>
    </row>
    <row r="5551" spans="2:14">
      <c r="B5551" s="32">
        <f>IF(ISNUMBER(SEARCH('Φόρμα Εισαγωγής'!$B$2,C5551)),MAX($B$1:B5550)+1,0)</f>
        <v>0</v>
      </c>
      <c r="D5551" s="33">
        <f>IF(ISNUMBER(SEARCH('Φόρμα Εισαγωγής'!$C$2,E5551)),MAX($D$1:D5550)+1,0)</f>
        <v>0</v>
      </c>
      <c r="H5551" s="6">
        <f t="shared" si="269"/>
        <v>0</v>
      </c>
      <c r="I5551" s="6">
        <f t="shared" si="270"/>
        <v>0</v>
      </c>
      <c r="J5551" s="6">
        <f t="shared" si="271"/>
        <v>0</v>
      </c>
      <c r="L5551" s="4" t="str">
        <f>IFERROR(VLOOKUP(ROWS($L$2:L5551),$B$2:$C$1996,2,0),"")</f>
        <v/>
      </c>
      <c r="N5551" s="2" t="str">
        <f>IFERROR(VLOOKUP(ROWS($N$2:N5551),$D$2:$E$1996,2,0),"")</f>
        <v/>
      </c>
    </row>
    <row r="5552" spans="2:14">
      <c r="B5552" s="32">
        <f>IF(ISNUMBER(SEARCH('Φόρμα Εισαγωγής'!$B$2,C5552)),MAX($B$1:B5551)+1,0)</f>
        <v>0</v>
      </c>
      <c r="D5552" s="33">
        <f>IF(ISNUMBER(SEARCH('Φόρμα Εισαγωγής'!$C$2,E5552)),MAX($D$1:D5551)+1,0)</f>
        <v>0</v>
      </c>
      <c r="H5552" s="6">
        <f t="shared" si="269"/>
        <v>0</v>
      </c>
      <c r="I5552" s="6">
        <f t="shared" si="270"/>
        <v>0</v>
      </c>
      <c r="J5552" s="6">
        <f t="shared" si="271"/>
        <v>0</v>
      </c>
      <c r="L5552" s="4" t="str">
        <f>IFERROR(VLOOKUP(ROWS($L$2:L5552),$B$2:$C$1996,2,0),"")</f>
        <v/>
      </c>
      <c r="N5552" s="2" t="str">
        <f>IFERROR(VLOOKUP(ROWS($N$2:N5552),$D$2:$E$1996,2,0),"")</f>
        <v/>
      </c>
    </row>
    <row r="5553" spans="2:14">
      <c r="B5553" s="32">
        <f>IF(ISNUMBER(SEARCH('Φόρμα Εισαγωγής'!$B$2,C5553)),MAX($B$1:B5552)+1,0)</f>
        <v>0</v>
      </c>
      <c r="D5553" s="33">
        <f>IF(ISNUMBER(SEARCH('Φόρμα Εισαγωγής'!$C$2,E5553)),MAX($D$1:D5552)+1,0)</f>
        <v>0</v>
      </c>
      <c r="H5553" s="6">
        <f t="shared" si="269"/>
        <v>0</v>
      </c>
      <c r="I5553" s="6">
        <f t="shared" si="270"/>
        <v>0</v>
      </c>
      <c r="J5553" s="6">
        <f t="shared" si="271"/>
        <v>0</v>
      </c>
      <c r="L5553" s="4" t="str">
        <f>IFERROR(VLOOKUP(ROWS($L$2:L5553),$B$2:$C$1996,2,0),"")</f>
        <v/>
      </c>
      <c r="N5553" s="2" t="str">
        <f>IFERROR(VLOOKUP(ROWS($N$2:N5553),$D$2:$E$1996,2,0),"")</f>
        <v/>
      </c>
    </row>
    <row r="5554" spans="2:14">
      <c r="B5554" s="32">
        <f>IF(ISNUMBER(SEARCH('Φόρμα Εισαγωγής'!$B$2,C5554)),MAX($B$1:B5553)+1,0)</f>
        <v>0</v>
      </c>
      <c r="D5554" s="33">
        <f>IF(ISNUMBER(SEARCH('Φόρμα Εισαγωγής'!$C$2,E5554)),MAX($D$1:D5553)+1,0)</f>
        <v>0</v>
      </c>
      <c r="H5554" s="6">
        <f t="shared" si="269"/>
        <v>0</v>
      </c>
      <c r="I5554" s="6">
        <f t="shared" si="270"/>
        <v>0</v>
      </c>
      <c r="J5554" s="6">
        <f t="shared" si="271"/>
        <v>0</v>
      </c>
      <c r="L5554" s="4" t="str">
        <f>IFERROR(VLOOKUP(ROWS($L$2:L5554),$B$2:$C$1996,2,0),"")</f>
        <v/>
      </c>
      <c r="N5554" s="2" t="str">
        <f>IFERROR(VLOOKUP(ROWS($N$2:N5554),$D$2:$E$1996,2,0),"")</f>
        <v/>
      </c>
    </row>
    <row r="5555" spans="2:14">
      <c r="B5555" s="32">
        <f>IF(ISNUMBER(SEARCH('Φόρμα Εισαγωγής'!$B$2,C5555)),MAX($B$1:B5554)+1,0)</f>
        <v>0</v>
      </c>
      <c r="D5555" s="33">
        <f>IF(ISNUMBER(SEARCH('Φόρμα Εισαγωγής'!$C$2,E5555)),MAX($D$1:D5554)+1,0)</f>
        <v>0</v>
      </c>
      <c r="H5555" s="6">
        <f t="shared" si="269"/>
        <v>0</v>
      </c>
      <c r="I5555" s="6">
        <f t="shared" si="270"/>
        <v>0</v>
      </c>
      <c r="J5555" s="6">
        <f t="shared" si="271"/>
        <v>0</v>
      </c>
      <c r="L5555" s="4" t="str">
        <f>IFERROR(VLOOKUP(ROWS($L$2:L5555),$B$2:$C$1996,2,0),"")</f>
        <v/>
      </c>
      <c r="N5555" s="2" t="str">
        <f>IFERROR(VLOOKUP(ROWS($N$2:N5555),$D$2:$E$1996,2,0),"")</f>
        <v/>
      </c>
    </row>
    <row r="5556" spans="2:14">
      <c r="B5556" s="32">
        <f>IF(ISNUMBER(SEARCH('Φόρμα Εισαγωγής'!$B$2,C5556)),MAX($B$1:B5555)+1,0)</f>
        <v>0</v>
      </c>
      <c r="D5556" s="33">
        <f>IF(ISNUMBER(SEARCH('Φόρμα Εισαγωγής'!$C$2,E5556)),MAX($D$1:D5555)+1,0)</f>
        <v>0</v>
      </c>
      <c r="H5556" s="6">
        <f t="shared" si="269"/>
        <v>0</v>
      </c>
      <c r="I5556" s="6">
        <f t="shared" si="270"/>
        <v>0</v>
      </c>
      <c r="J5556" s="6">
        <f t="shared" si="271"/>
        <v>0</v>
      </c>
      <c r="L5556" s="4" t="str">
        <f>IFERROR(VLOOKUP(ROWS($L$2:L5556),$B$2:$C$1996,2,0),"")</f>
        <v/>
      </c>
      <c r="N5556" s="2" t="str">
        <f>IFERROR(VLOOKUP(ROWS($N$2:N5556),$D$2:$E$1996,2,0),"")</f>
        <v/>
      </c>
    </row>
    <row r="5557" spans="2:14">
      <c r="B5557" s="32">
        <f>IF(ISNUMBER(SEARCH('Φόρμα Εισαγωγής'!$B$2,C5557)),MAX($B$1:B5556)+1,0)</f>
        <v>0</v>
      </c>
      <c r="D5557" s="33">
        <f>IF(ISNUMBER(SEARCH('Φόρμα Εισαγωγής'!$C$2,E5557)),MAX($D$1:D5556)+1,0)</f>
        <v>0</v>
      </c>
      <c r="H5557" s="6">
        <f t="shared" si="269"/>
        <v>0</v>
      </c>
      <c r="I5557" s="6">
        <f t="shared" si="270"/>
        <v>0</v>
      </c>
      <c r="J5557" s="6">
        <f t="shared" si="271"/>
        <v>0</v>
      </c>
      <c r="L5557" s="4" t="str">
        <f>IFERROR(VLOOKUP(ROWS($L$2:L5557),$B$2:$C$1996,2,0),"")</f>
        <v/>
      </c>
      <c r="N5557" s="2" t="str">
        <f>IFERROR(VLOOKUP(ROWS($N$2:N5557),$D$2:$E$1996,2,0),"")</f>
        <v/>
      </c>
    </row>
    <row r="5558" spans="2:14">
      <c r="B5558" s="32">
        <f>IF(ISNUMBER(SEARCH('Φόρμα Εισαγωγής'!$B$2,C5558)),MAX($B$1:B5557)+1,0)</f>
        <v>0</v>
      </c>
      <c r="D5558" s="33">
        <f>IF(ISNUMBER(SEARCH('Φόρμα Εισαγωγής'!$C$2,E5558)),MAX($D$1:D5557)+1,0)</f>
        <v>0</v>
      </c>
      <c r="H5558" s="6">
        <f t="shared" si="269"/>
        <v>0</v>
      </c>
      <c r="I5558" s="6">
        <f t="shared" si="270"/>
        <v>0</v>
      </c>
      <c r="J5558" s="6">
        <f t="shared" si="271"/>
        <v>0</v>
      </c>
      <c r="L5558" s="4" t="str">
        <f>IFERROR(VLOOKUP(ROWS($L$2:L5558),$B$2:$C$1996,2,0),"")</f>
        <v/>
      </c>
      <c r="N5558" s="2" t="str">
        <f>IFERROR(VLOOKUP(ROWS($N$2:N5558),$D$2:$E$1996,2,0),"")</f>
        <v/>
      </c>
    </row>
    <row r="5559" spans="2:14">
      <c r="B5559" s="32">
        <f>IF(ISNUMBER(SEARCH('Φόρμα Εισαγωγής'!$B$2,C5559)),MAX($B$1:B5558)+1,0)</f>
        <v>0</v>
      </c>
      <c r="D5559" s="33">
        <f>IF(ISNUMBER(SEARCH('Φόρμα Εισαγωγής'!$C$2,E5559)),MAX($D$1:D5558)+1,0)</f>
        <v>0</v>
      </c>
      <c r="H5559" s="6">
        <f t="shared" si="269"/>
        <v>0</v>
      </c>
      <c r="I5559" s="6">
        <f t="shared" si="270"/>
        <v>0</v>
      </c>
      <c r="J5559" s="6">
        <f t="shared" si="271"/>
        <v>0</v>
      </c>
      <c r="L5559" s="4" t="str">
        <f>IFERROR(VLOOKUP(ROWS($L$2:L5559),$B$2:$C$1996,2,0),"")</f>
        <v/>
      </c>
      <c r="N5559" s="2" t="str">
        <f>IFERROR(VLOOKUP(ROWS($N$2:N5559),$D$2:$E$1996,2,0),"")</f>
        <v/>
      </c>
    </row>
    <row r="5560" spans="2:14">
      <c r="B5560" s="32">
        <f>IF(ISNUMBER(SEARCH('Φόρμα Εισαγωγής'!$B$2,C5560)),MAX($B$1:B5559)+1,0)</f>
        <v>0</v>
      </c>
      <c r="D5560" s="33">
        <f>IF(ISNUMBER(SEARCH('Φόρμα Εισαγωγής'!$C$2,E5560)),MAX($D$1:D5559)+1,0)</f>
        <v>0</v>
      </c>
      <c r="H5560" s="6">
        <f t="shared" si="269"/>
        <v>0</v>
      </c>
      <c r="I5560" s="6">
        <f t="shared" si="270"/>
        <v>0</v>
      </c>
      <c r="J5560" s="6">
        <f t="shared" si="271"/>
        <v>0</v>
      </c>
      <c r="L5560" s="4" t="str">
        <f>IFERROR(VLOOKUP(ROWS($L$2:L5560),$B$2:$C$1996,2,0),"")</f>
        <v/>
      </c>
      <c r="N5560" s="2" t="str">
        <f>IFERROR(VLOOKUP(ROWS($N$2:N5560),$D$2:$E$1996,2,0),"")</f>
        <v/>
      </c>
    </row>
    <row r="5561" spans="2:14">
      <c r="B5561" s="32">
        <f>IF(ISNUMBER(SEARCH('Φόρμα Εισαγωγής'!$B$2,C5561)),MAX($B$1:B5560)+1,0)</f>
        <v>0</v>
      </c>
      <c r="D5561" s="33">
        <f>IF(ISNUMBER(SEARCH('Φόρμα Εισαγωγής'!$C$2,E5561)),MAX($D$1:D5560)+1,0)</f>
        <v>0</v>
      </c>
      <c r="H5561" s="6">
        <f t="shared" si="269"/>
        <v>0</v>
      </c>
      <c r="I5561" s="6">
        <f t="shared" si="270"/>
        <v>0</v>
      </c>
      <c r="J5561" s="6">
        <f t="shared" si="271"/>
        <v>0</v>
      </c>
      <c r="L5561" s="4" t="str">
        <f>IFERROR(VLOOKUP(ROWS($L$2:L5561),$B$2:$C$1996,2,0),"")</f>
        <v/>
      </c>
      <c r="N5561" s="2" t="str">
        <f>IFERROR(VLOOKUP(ROWS($N$2:N5561),$D$2:$E$1996,2,0),"")</f>
        <v/>
      </c>
    </row>
    <row r="5562" spans="2:14">
      <c r="B5562" s="32">
        <f>IF(ISNUMBER(SEARCH('Φόρμα Εισαγωγής'!$B$2,C5562)),MAX($B$1:B5561)+1,0)</f>
        <v>0</v>
      </c>
      <c r="D5562" s="33">
        <f>IF(ISNUMBER(SEARCH('Φόρμα Εισαγωγής'!$C$2,E5562)),MAX($D$1:D5561)+1,0)</f>
        <v>0</v>
      </c>
      <c r="H5562" s="6">
        <f t="shared" si="269"/>
        <v>0</v>
      </c>
      <c r="I5562" s="6">
        <f t="shared" si="270"/>
        <v>0</v>
      </c>
      <c r="J5562" s="6">
        <f t="shared" si="271"/>
        <v>0</v>
      </c>
      <c r="L5562" s="4" t="str">
        <f>IFERROR(VLOOKUP(ROWS($L$2:L5562),$B$2:$C$1996,2,0),"")</f>
        <v/>
      </c>
      <c r="N5562" s="2" t="str">
        <f>IFERROR(VLOOKUP(ROWS($N$2:N5562),$D$2:$E$1996,2,0),"")</f>
        <v/>
      </c>
    </row>
    <row r="5563" spans="2:14">
      <c r="B5563" s="32">
        <f>IF(ISNUMBER(SEARCH('Φόρμα Εισαγωγής'!$B$2,C5563)),MAX($B$1:B5562)+1,0)</f>
        <v>0</v>
      </c>
      <c r="D5563" s="33">
        <f>IF(ISNUMBER(SEARCH('Φόρμα Εισαγωγής'!$C$2,E5563)),MAX($D$1:D5562)+1,0)</f>
        <v>0</v>
      </c>
      <c r="H5563" s="6">
        <f t="shared" si="269"/>
        <v>0</v>
      </c>
      <c r="I5563" s="6">
        <f t="shared" si="270"/>
        <v>0</v>
      </c>
      <c r="J5563" s="6">
        <f t="shared" si="271"/>
        <v>0</v>
      </c>
      <c r="L5563" s="4" t="str">
        <f>IFERROR(VLOOKUP(ROWS($L$2:L5563),$B$2:$C$1996,2,0),"")</f>
        <v/>
      </c>
      <c r="N5563" s="2" t="str">
        <f>IFERROR(VLOOKUP(ROWS($N$2:N5563),$D$2:$E$1996,2,0),"")</f>
        <v/>
      </c>
    </row>
    <row r="5564" spans="2:14">
      <c r="B5564" s="32">
        <f>IF(ISNUMBER(SEARCH('Φόρμα Εισαγωγής'!$B$2,C5564)),MAX($B$1:B5563)+1,0)</f>
        <v>0</v>
      </c>
      <c r="D5564" s="33">
        <f>IF(ISNUMBER(SEARCH('Φόρμα Εισαγωγής'!$C$2,E5564)),MAX($D$1:D5563)+1,0)</f>
        <v>0</v>
      </c>
      <c r="H5564" s="6">
        <f t="shared" si="269"/>
        <v>0</v>
      </c>
      <c r="I5564" s="6">
        <f t="shared" si="270"/>
        <v>0</v>
      </c>
      <c r="J5564" s="6">
        <f t="shared" si="271"/>
        <v>0</v>
      </c>
      <c r="L5564" s="4" t="str">
        <f>IFERROR(VLOOKUP(ROWS($L$2:L5564),$B$2:$C$1996,2,0),"")</f>
        <v/>
      </c>
      <c r="N5564" s="2" t="str">
        <f>IFERROR(VLOOKUP(ROWS($N$2:N5564),$D$2:$E$1996,2,0),"")</f>
        <v/>
      </c>
    </row>
    <row r="5565" spans="2:14">
      <c r="B5565" s="32">
        <f>IF(ISNUMBER(SEARCH('Φόρμα Εισαγωγής'!$B$2,C5565)),MAX($B$1:B5564)+1,0)</f>
        <v>0</v>
      </c>
      <c r="D5565" s="33">
        <f>IF(ISNUMBER(SEARCH('Φόρμα Εισαγωγής'!$C$2,E5565)),MAX($D$1:D5564)+1,0)</f>
        <v>0</v>
      </c>
      <c r="H5565" s="6">
        <f t="shared" si="269"/>
        <v>0</v>
      </c>
      <c r="I5565" s="6">
        <f t="shared" si="270"/>
        <v>0</v>
      </c>
      <c r="J5565" s="6">
        <f t="shared" si="271"/>
        <v>0</v>
      </c>
      <c r="L5565" s="4" t="str">
        <f>IFERROR(VLOOKUP(ROWS($L$2:L5565),$B$2:$C$1996,2,0),"")</f>
        <v/>
      </c>
      <c r="N5565" s="2" t="str">
        <f>IFERROR(VLOOKUP(ROWS($N$2:N5565),$D$2:$E$1996,2,0),"")</f>
        <v/>
      </c>
    </row>
    <row r="5566" spans="2:14">
      <c r="B5566" s="32">
        <f>IF(ISNUMBER(SEARCH('Φόρμα Εισαγωγής'!$B$2,C5566)),MAX($B$1:B5565)+1,0)</f>
        <v>0</v>
      </c>
      <c r="D5566" s="33">
        <f>IF(ISNUMBER(SEARCH('Φόρμα Εισαγωγής'!$C$2,E5566)),MAX($D$1:D5565)+1,0)</f>
        <v>0</v>
      </c>
      <c r="H5566" s="6">
        <f t="shared" si="269"/>
        <v>0</v>
      </c>
      <c r="I5566" s="6">
        <f t="shared" si="270"/>
        <v>0</v>
      </c>
      <c r="J5566" s="6">
        <f t="shared" si="271"/>
        <v>0</v>
      </c>
      <c r="L5566" s="4" t="str">
        <f>IFERROR(VLOOKUP(ROWS($L$2:L5566),$B$2:$C$1996,2,0),"")</f>
        <v/>
      </c>
      <c r="N5566" s="2" t="str">
        <f>IFERROR(VLOOKUP(ROWS($N$2:N5566),$D$2:$E$1996,2,0),"")</f>
        <v/>
      </c>
    </row>
    <row r="5567" spans="2:14">
      <c r="B5567" s="32">
        <f>IF(ISNUMBER(SEARCH('Φόρμα Εισαγωγής'!$B$2,C5567)),MAX($B$1:B5566)+1,0)</f>
        <v>0</v>
      </c>
      <c r="D5567" s="33">
        <f>IF(ISNUMBER(SEARCH('Φόρμα Εισαγωγής'!$C$2,E5567)),MAX($D$1:D5566)+1,0)</f>
        <v>0</v>
      </c>
      <c r="H5567" s="6">
        <f t="shared" si="269"/>
        <v>0</v>
      </c>
      <c r="I5567" s="6">
        <f t="shared" si="270"/>
        <v>0</v>
      </c>
      <c r="J5567" s="6">
        <f t="shared" si="271"/>
        <v>0</v>
      </c>
      <c r="L5567" s="4" t="str">
        <f>IFERROR(VLOOKUP(ROWS($L$2:L5567),$B$2:$C$1996,2,0),"")</f>
        <v/>
      </c>
      <c r="N5567" s="2" t="str">
        <f>IFERROR(VLOOKUP(ROWS($N$2:N5567),$D$2:$E$1996,2,0),"")</f>
        <v/>
      </c>
    </row>
    <row r="5568" spans="2:14">
      <c r="B5568" s="32">
        <f>IF(ISNUMBER(SEARCH('Φόρμα Εισαγωγής'!$B$2,C5568)),MAX($B$1:B5567)+1,0)</f>
        <v>0</v>
      </c>
      <c r="D5568" s="33">
        <f>IF(ISNUMBER(SEARCH('Φόρμα Εισαγωγής'!$C$2,E5568)),MAX($D$1:D5567)+1,0)</f>
        <v>0</v>
      </c>
      <c r="H5568" s="6">
        <f t="shared" ref="H5568:H5631" si="272">G5568+(G5568*0.24)</f>
        <v>0</v>
      </c>
      <c r="I5568" s="6">
        <f t="shared" ref="I5568:I5631" si="273">F5568*A5568</f>
        <v>0</v>
      </c>
      <c r="J5568" s="6">
        <f t="shared" ref="J5568:J5631" si="274">H5568*A5568</f>
        <v>0</v>
      </c>
      <c r="L5568" s="4" t="str">
        <f>IFERROR(VLOOKUP(ROWS($L$2:L5568),$B$2:$C$1996,2,0),"")</f>
        <v/>
      </c>
      <c r="N5568" s="2" t="str">
        <f>IFERROR(VLOOKUP(ROWS($N$2:N5568),$D$2:$E$1996,2,0),"")</f>
        <v/>
      </c>
    </row>
    <row r="5569" spans="2:14">
      <c r="B5569" s="32">
        <f>IF(ISNUMBER(SEARCH('Φόρμα Εισαγωγής'!$B$2,C5569)),MAX($B$1:B5568)+1,0)</f>
        <v>0</v>
      </c>
      <c r="D5569" s="33">
        <f>IF(ISNUMBER(SEARCH('Φόρμα Εισαγωγής'!$C$2,E5569)),MAX($D$1:D5568)+1,0)</f>
        <v>0</v>
      </c>
      <c r="H5569" s="6">
        <f t="shared" si="272"/>
        <v>0</v>
      </c>
      <c r="I5569" s="6">
        <f t="shared" si="273"/>
        <v>0</v>
      </c>
      <c r="J5569" s="6">
        <f t="shared" si="274"/>
        <v>0</v>
      </c>
      <c r="L5569" s="4" t="str">
        <f>IFERROR(VLOOKUP(ROWS($L$2:L5569),$B$2:$C$1996,2,0),"")</f>
        <v/>
      </c>
      <c r="N5569" s="2" t="str">
        <f>IFERROR(VLOOKUP(ROWS($N$2:N5569),$D$2:$E$1996,2,0),"")</f>
        <v/>
      </c>
    </row>
    <row r="5570" spans="2:14">
      <c r="B5570" s="32">
        <f>IF(ISNUMBER(SEARCH('Φόρμα Εισαγωγής'!$B$2,C5570)),MAX($B$1:B5569)+1,0)</f>
        <v>0</v>
      </c>
      <c r="D5570" s="33">
        <f>IF(ISNUMBER(SEARCH('Φόρμα Εισαγωγής'!$C$2,E5570)),MAX($D$1:D5569)+1,0)</f>
        <v>0</v>
      </c>
      <c r="H5570" s="6">
        <f t="shared" si="272"/>
        <v>0</v>
      </c>
      <c r="I5570" s="6">
        <f t="shared" si="273"/>
        <v>0</v>
      </c>
      <c r="J5570" s="6">
        <f t="shared" si="274"/>
        <v>0</v>
      </c>
      <c r="L5570" s="4" t="str">
        <f>IFERROR(VLOOKUP(ROWS($L$2:L5570),$B$2:$C$1996,2,0),"")</f>
        <v/>
      </c>
      <c r="N5570" s="2" t="str">
        <f>IFERROR(VLOOKUP(ROWS($N$2:N5570),$D$2:$E$1996,2,0),"")</f>
        <v/>
      </c>
    </row>
    <row r="5571" spans="2:14">
      <c r="B5571" s="32">
        <f>IF(ISNUMBER(SEARCH('Φόρμα Εισαγωγής'!$B$2,C5571)),MAX($B$1:B5570)+1,0)</f>
        <v>0</v>
      </c>
      <c r="D5571" s="33">
        <f>IF(ISNUMBER(SEARCH('Φόρμα Εισαγωγής'!$C$2,E5571)),MAX($D$1:D5570)+1,0)</f>
        <v>0</v>
      </c>
      <c r="H5571" s="6">
        <f t="shared" si="272"/>
        <v>0</v>
      </c>
      <c r="I5571" s="6">
        <f t="shared" si="273"/>
        <v>0</v>
      </c>
      <c r="J5571" s="6">
        <f t="shared" si="274"/>
        <v>0</v>
      </c>
      <c r="L5571" s="4" t="str">
        <f>IFERROR(VLOOKUP(ROWS($L$2:L5571),$B$2:$C$1996,2,0),"")</f>
        <v/>
      </c>
      <c r="N5571" s="2" t="str">
        <f>IFERROR(VLOOKUP(ROWS($N$2:N5571),$D$2:$E$1996,2,0),"")</f>
        <v/>
      </c>
    </row>
    <row r="5572" spans="2:14">
      <c r="B5572" s="32">
        <f>IF(ISNUMBER(SEARCH('Φόρμα Εισαγωγής'!$B$2,C5572)),MAX($B$1:B5571)+1,0)</f>
        <v>0</v>
      </c>
      <c r="D5572" s="33">
        <f>IF(ISNUMBER(SEARCH('Φόρμα Εισαγωγής'!$C$2,E5572)),MAX($D$1:D5571)+1,0)</f>
        <v>0</v>
      </c>
      <c r="H5572" s="6">
        <f t="shared" si="272"/>
        <v>0</v>
      </c>
      <c r="I5572" s="6">
        <f t="shared" si="273"/>
        <v>0</v>
      </c>
      <c r="J5572" s="6">
        <f t="shared" si="274"/>
        <v>0</v>
      </c>
      <c r="L5572" s="4" t="str">
        <f>IFERROR(VLOOKUP(ROWS($L$2:L5572),$B$2:$C$1996,2,0),"")</f>
        <v/>
      </c>
      <c r="N5572" s="2" t="str">
        <f>IFERROR(VLOOKUP(ROWS($N$2:N5572),$D$2:$E$1996,2,0),"")</f>
        <v/>
      </c>
    </row>
    <row r="5573" spans="2:14">
      <c r="B5573" s="32">
        <f>IF(ISNUMBER(SEARCH('Φόρμα Εισαγωγής'!$B$2,C5573)),MAX($B$1:B5572)+1,0)</f>
        <v>0</v>
      </c>
      <c r="D5573" s="33">
        <f>IF(ISNUMBER(SEARCH('Φόρμα Εισαγωγής'!$C$2,E5573)),MAX($D$1:D5572)+1,0)</f>
        <v>0</v>
      </c>
      <c r="H5573" s="6">
        <f t="shared" si="272"/>
        <v>0</v>
      </c>
      <c r="I5573" s="6">
        <f t="shared" si="273"/>
        <v>0</v>
      </c>
      <c r="J5573" s="6">
        <f t="shared" si="274"/>
        <v>0</v>
      </c>
      <c r="L5573" s="4" t="str">
        <f>IFERROR(VLOOKUP(ROWS($L$2:L5573),$B$2:$C$1996,2,0),"")</f>
        <v/>
      </c>
      <c r="N5573" s="2" t="str">
        <f>IFERROR(VLOOKUP(ROWS($N$2:N5573),$D$2:$E$1996,2,0),"")</f>
        <v/>
      </c>
    </row>
    <row r="5574" spans="2:14">
      <c r="B5574" s="32">
        <f>IF(ISNUMBER(SEARCH('Φόρμα Εισαγωγής'!$B$2,C5574)),MAX($B$1:B5573)+1,0)</f>
        <v>0</v>
      </c>
      <c r="D5574" s="33">
        <f>IF(ISNUMBER(SEARCH('Φόρμα Εισαγωγής'!$C$2,E5574)),MAX($D$1:D5573)+1,0)</f>
        <v>0</v>
      </c>
      <c r="H5574" s="6">
        <f t="shared" si="272"/>
        <v>0</v>
      </c>
      <c r="I5574" s="6">
        <f t="shared" si="273"/>
        <v>0</v>
      </c>
      <c r="J5574" s="6">
        <f t="shared" si="274"/>
        <v>0</v>
      </c>
      <c r="L5574" s="4" t="str">
        <f>IFERROR(VLOOKUP(ROWS($L$2:L5574),$B$2:$C$1996,2,0),"")</f>
        <v/>
      </c>
      <c r="N5574" s="2" t="str">
        <f>IFERROR(VLOOKUP(ROWS($N$2:N5574),$D$2:$E$1996,2,0),"")</f>
        <v/>
      </c>
    </row>
    <row r="5575" spans="2:14">
      <c r="B5575" s="32">
        <f>IF(ISNUMBER(SEARCH('Φόρμα Εισαγωγής'!$B$2,C5575)),MAX($B$1:B5574)+1,0)</f>
        <v>0</v>
      </c>
      <c r="D5575" s="33">
        <f>IF(ISNUMBER(SEARCH('Φόρμα Εισαγωγής'!$C$2,E5575)),MAX($D$1:D5574)+1,0)</f>
        <v>0</v>
      </c>
      <c r="H5575" s="6">
        <f t="shared" si="272"/>
        <v>0</v>
      </c>
      <c r="I5575" s="6">
        <f t="shared" si="273"/>
        <v>0</v>
      </c>
      <c r="J5575" s="6">
        <f t="shared" si="274"/>
        <v>0</v>
      </c>
      <c r="L5575" s="4" t="str">
        <f>IFERROR(VLOOKUP(ROWS($L$2:L5575),$B$2:$C$1996,2,0),"")</f>
        <v/>
      </c>
      <c r="N5575" s="2" t="str">
        <f>IFERROR(VLOOKUP(ROWS($N$2:N5575),$D$2:$E$1996,2,0),"")</f>
        <v/>
      </c>
    </row>
    <row r="5576" spans="2:14">
      <c r="B5576" s="32">
        <f>IF(ISNUMBER(SEARCH('Φόρμα Εισαγωγής'!$B$2,C5576)),MAX($B$1:B5575)+1,0)</f>
        <v>0</v>
      </c>
      <c r="D5576" s="33">
        <f>IF(ISNUMBER(SEARCH('Φόρμα Εισαγωγής'!$C$2,E5576)),MAX($D$1:D5575)+1,0)</f>
        <v>0</v>
      </c>
      <c r="H5576" s="6">
        <f t="shared" si="272"/>
        <v>0</v>
      </c>
      <c r="I5576" s="6">
        <f t="shared" si="273"/>
        <v>0</v>
      </c>
      <c r="J5576" s="6">
        <f t="shared" si="274"/>
        <v>0</v>
      </c>
      <c r="L5576" s="4" t="str">
        <f>IFERROR(VLOOKUP(ROWS($L$2:L5576),$B$2:$C$1996,2,0),"")</f>
        <v/>
      </c>
      <c r="N5576" s="2" t="str">
        <f>IFERROR(VLOOKUP(ROWS($N$2:N5576),$D$2:$E$1996,2,0),"")</f>
        <v/>
      </c>
    </row>
    <row r="5577" spans="2:14">
      <c r="B5577" s="32">
        <f>IF(ISNUMBER(SEARCH('Φόρμα Εισαγωγής'!$B$2,C5577)),MAX($B$1:B5576)+1,0)</f>
        <v>0</v>
      </c>
      <c r="D5577" s="33">
        <f>IF(ISNUMBER(SEARCH('Φόρμα Εισαγωγής'!$C$2,E5577)),MAX($D$1:D5576)+1,0)</f>
        <v>0</v>
      </c>
      <c r="H5577" s="6">
        <f t="shared" si="272"/>
        <v>0</v>
      </c>
      <c r="I5577" s="6">
        <f t="shared" si="273"/>
        <v>0</v>
      </c>
      <c r="J5577" s="6">
        <f t="shared" si="274"/>
        <v>0</v>
      </c>
      <c r="L5577" s="4" t="str">
        <f>IFERROR(VLOOKUP(ROWS($L$2:L5577),$B$2:$C$1996,2,0),"")</f>
        <v/>
      </c>
      <c r="N5577" s="2" t="str">
        <f>IFERROR(VLOOKUP(ROWS($N$2:N5577),$D$2:$E$1996,2,0),"")</f>
        <v/>
      </c>
    </row>
    <row r="5578" spans="2:14">
      <c r="B5578" s="32">
        <f>IF(ISNUMBER(SEARCH('Φόρμα Εισαγωγής'!$B$2,C5578)),MAX($B$1:B5577)+1,0)</f>
        <v>0</v>
      </c>
      <c r="D5578" s="33">
        <f>IF(ISNUMBER(SEARCH('Φόρμα Εισαγωγής'!$C$2,E5578)),MAX($D$1:D5577)+1,0)</f>
        <v>0</v>
      </c>
      <c r="H5578" s="6">
        <f t="shared" si="272"/>
        <v>0</v>
      </c>
      <c r="I5578" s="6">
        <f t="shared" si="273"/>
        <v>0</v>
      </c>
      <c r="J5578" s="6">
        <f t="shared" si="274"/>
        <v>0</v>
      </c>
      <c r="L5578" s="4" t="str">
        <f>IFERROR(VLOOKUP(ROWS($L$2:L5578),$B$2:$C$1996,2,0),"")</f>
        <v/>
      </c>
      <c r="N5578" s="2" t="str">
        <f>IFERROR(VLOOKUP(ROWS($N$2:N5578),$D$2:$E$1996,2,0),"")</f>
        <v/>
      </c>
    </row>
    <row r="5579" spans="2:14">
      <c r="B5579" s="32">
        <f>IF(ISNUMBER(SEARCH('Φόρμα Εισαγωγής'!$B$2,C5579)),MAX($B$1:B5578)+1,0)</f>
        <v>0</v>
      </c>
      <c r="D5579" s="33">
        <f>IF(ISNUMBER(SEARCH('Φόρμα Εισαγωγής'!$C$2,E5579)),MAX($D$1:D5578)+1,0)</f>
        <v>0</v>
      </c>
      <c r="H5579" s="6">
        <f t="shared" si="272"/>
        <v>0</v>
      </c>
      <c r="I5579" s="6">
        <f t="shared" si="273"/>
        <v>0</v>
      </c>
      <c r="J5579" s="6">
        <f t="shared" si="274"/>
        <v>0</v>
      </c>
      <c r="L5579" s="4" t="str">
        <f>IFERROR(VLOOKUP(ROWS($L$2:L5579),$B$2:$C$1996,2,0),"")</f>
        <v/>
      </c>
      <c r="N5579" s="2" t="str">
        <f>IFERROR(VLOOKUP(ROWS($N$2:N5579),$D$2:$E$1996,2,0),"")</f>
        <v/>
      </c>
    </row>
    <row r="5580" spans="2:14">
      <c r="B5580" s="32">
        <f>IF(ISNUMBER(SEARCH('Φόρμα Εισαγωγής'!$B$2,C5580)),MAX($B$1:B5579)+1,0)</f>
        <v>0</v>
      </c>
      <c r="D5580" s="33">
        <f>IF(ISNUMBER(SEARCH('Φόρμα Εισαγωγής'!$C$2,E5580)),MAX($D$1:D5579)+1,0)</f>
        <v>0</v>
      </c>
      <c r="H5580" s="6">
        <f t="shared" si="272"/>
        <v>0</v>
      </c>
      <c r="I5580" s="6">
        <f t="shared" si="273"/>
        <v>0</v>
      </c>
      <c r="J5580" s="6">
        <f t="shared" si="274"/>
        <v>0</v>
      </c>
      <c r="L5580" s="4" t="str">
        <f>IFERROR(VLOOKUP(ROWS($L$2:L5580),$B$2:$C$1996,2,0),"")</f>
        <v/>
      </c>
      <c r="N5580" s="2" t="str">
        <f>IFERROR(VLOOKUP(ROWS($N$2:N5580),$D$2:$E$1996,2,0),"")</f>
        <v/>
      </c>
    </row>
    <row r="5581" spans="2:14">
      <c r="B5581" s="32">
        <f>IF(ISNUMBER(SEARCH('Φόρμα Εισαγωγής'!$B$2,C5581)),MAX($B$1:B5580)+1,0)</f>
        <v>0</v>
      </c>
      <c r="D5581" s="33">
        <f>IF(ISNUMBER(SEARCH('Φόρμα Εισαγωγής'!$C$2,E5581)),MAX($D$1:D5580)+1,0)</f>
        <v>0</v>
      </c>
      <c r="H5581" s="6">
        <f t="shared" si="272"/>
        <v>0</v>
      </c>
      <c r="I5581" s="6">
        <f t="shared" si="273"/>
        <v>0</v>
      </c>
      <c r="J5581" s="6">
        <f t="shared" si="274"/>
        <v>0</v>
      </c>
      <c r="L5581" s="4" t="str">
        <f>IFERROR(VLOOKUP(ROWS($L$2:L5581),$B$2:$C$1996,2,0),"")</f>
        <v/>
      </c>
      <c r="N5581" s="2" t="str">
        <f>IFERROR(VLOOKUP(ROWS($N$2:N5581),$D$2:$E$1996,2,0),"")</f>
        <v/>
      </c>
    </row>
    <row r="5582" spans="2:14">
      <c r="B5582" s="32">
        <f>IF(ISNUMBER(SEARCH('Φόρμα Εισαγωγής'!$B$2,C5582)),MAX($B$1:B5581)+1,0)</f>
        <v>0</v>
      </c>
      <c r="D5582" s="33">
        <f>IF(ISNUMBER(SEARCH('Φόρμα Εισαγωγής'!$C$2,E5582)),MAX($D$1:D5581)+1,0)</f>
        <v>0</v>
      </c>
      <c r="H5582" s="6">
        <f t="shared" si="272"/>
        <v>0</v>
      </c>
      <c r="I5582" s="6">
        <f t="shared" si="273"/>
        <v>0</v>
      </c>
      <c r="J5582" s="6">
        <f t="shared" si="274"/>
        <v>0</v>
      </c>
      <c r="L5582" s="4" t="str">
        <f>IFERROR(VLOOKUP(ROWS($L$2:L5582),$B$2:$C$1996,2,0),"")</f>
        <v/>
      </c>
      <c r="N5582" s="2" t="str">
        <f>IFERROR(VLOOKUP(ROWS($N$2:N5582),$D$2:$E$1996,2,0),"")</f>
        <v/>
      </c>
    </row>
    <row r="5583" spans="2:14">
      <c r="B5583" s="32">
        <f>IF(ISNUMBER(SEARCH('Φόρμα Εισαγωγής'!$B$2,C5583)),MAX($B$1:B5582)+1,0)</f>
        <v>0</v>
      </c>
      <c r="D5583" s="33">
        <f>IF(ISNUMBER(SEARCH('Φόρμα Εισαγωγής'!$C$2,E5583)),MAX($D$1:D5582)+1,0)</f>
        <v>0</v>
      </c>
      <c r="H5583" s="6">
        <f t="shared" si="272"/>
        <v>0</v>
      </c>
      <c r="I5583" s="6">
        <f t="shared" si="273"/>
        <v>0</v>
      </c>
      <c r="J5583" s="6">
        <f t="shared" si="274"/>
        <v>0</v>
      </c>
      <c r="L5583" s="4" t="str">
        <f>IFERROR(VLOOKUP(ROWS($L$2:L5583),$B$2:$C$1996,2,0),"")</f>
        <v/>
      </c>
      <c r="N5583" s="2" t="str">
        <f>IFERROR(VLOOKUP(ROWS($N$2:N5583),$D$2:$E$1996,2,0),"")</f>
        <v/>
      </c>
    </row>
    <row r="5584" spans="2:14">
      <c r="B5584" s="32">
        <f>IF(ISNUMBER(SEARCH('Φόρμα Εισαγωγής'!$B$2,C5584)),MAX($B$1:B5583)+1,0)</f>
        <v>0</v>
      </c>
      <c r="D5584" s="33">
        <f>IF(ISNUMBER(SEARCH('Φόρμα Εισαγωγής'!$C$2,E5584)),MAX($D$1:D5583)+1,0)</f>
        <v>0</v>
      </c>
      <c r="H5584" s="6">
        <f t="shared" si="272"/>
        <v>0</v>
      </c>
      <c r="I5584" s="6">
        <f t="shared" si="273"/>
        <v>0</v>
      </c>
      <c r="J5584" s="6">
        <f t="shared" si="274"/>
        <v>0</v>
      </c>
      <c r="L5584" s="4" t="str">
        <f>IFERROR(VLOOKUP(ROWS($L$2:L5584),$B$2:$C$1996,2,0),"")</f>
        <v/>
      </c>
      <c r="N5584" s="2" t="str">
        <f>IFERROR(VLOOKUP(ROWS($N$2:N5584),$D$2:$E$1996,2,0),"")</f>
        <v/>
      </c>
    </row>
    <row r="5585" spans="2:14">
      <c r="B5585" s="32">
        <f>IF(ISNUMBER(SEARCH('Φόρμα Εισαγωγής'!$B$2,C5585)),MAX($B$1:B5584)+1,0)</f>
        <v>0</v>
      </c>
      <c r="D5585" s="33">
        <f>IF(ISNUMBER(SEARCH('Φόρμα Εισαγωγής'!$C$2,E5585)),MAX($D$1:D5584)+1,0)</f>
        <v>0</v>
      </c>
      <c r="H5585" s="6">
        <f t="shared" si="272"/>
        <v>0</v>
      </c>
      <c r="I5585" s="6">
        <f t="shared" si="273"/>
        <v>0</v>
      </c>
      <c r="J5585" s="6">
        <f t="shared" si="274"/>
        <v>0</v>
      </c>
      <c r="L5585" s="4" t="str">
        <f>IFERROR(VLOOKUP(ROWS($L$2:L5585),$B$2:$C$1996,2,0),"")</f>
        <v/>
      </c>
      <c r="N5585" s="2" t="str">
        <f>IFERROR(VLOOKUP(ROWS($N$2:N5585),$D$2:$E$1996,2,0),"")</f>
        <v/>
      </c>
    </row>
    <row r="5586" spans="2:14">
      <c r="B5586" s="32">
        <f>IF(ISNUMBER(SEARCH('Φόρμα Εισαγωγής'!$B$2,C5586)),MAX($B$1:B5585)+1,0)</f>
        <v>0</v>
      </c>
      <c r="D5586" s="33">
        <f>IF(ISNUMBER(SEARCH('Φόρμα Εισαγωγής'!$C$2,E5586)),MAX($D$1:D5585)+1,0)</f>
        <v>0</v>
      </c>
      <c r="H5586" s="6">
        <f t="shared" si="272"/>
        <v>0</v>
      </c>
      <c r="I5586" s="6">
        <f t="shared" si="273"/>
        <v>0</v>
      </c>
      <c r="J5586" s="6">
        <f t="shared" si="274"/>
        <v>0</v>
      </c>
      <c r="L5586" s="4" t="str">
        <f>IFERROR(VLOOKUP(ROWS($L$2:L5586),$B$2:$C$1996,2,0),"")</f>
        <v/>
      </c>
      <c r="N5586" s="2" t="str">
        <f>IFERROR(VLOOKUP(ROWS($N$2:N5586),$D$2:$E$1996,2,0),"")</f>
        <v/>
      </c>
    </row>
    <row r="5587" spans="2:14">
      <c r="B5587" s="32">
        <f>IF(ISNUMBER(SEARCH('Φόρμα Εισαγωγής'!$B$2,C5587)),MAX($B$1:B5586)+1,0)</f>
        <v>0</v>
      </c>
      <c r="D5587" s="33">
        <f>IF(ISNUMBER(SEARCH('Φόρμα Εισαγωγής'!$C$2,E5587)),MAX($D$1:D5586)+1,0)</f>
        <v>0</v>
      </c>
      <c r="H5587" s="6">
        <f t="shared" si="272"/>
        <v>0</v>
      </c>
      <c r="I5587" s="6">
        <f t="shared" si="273"/>
        <v>0</v>
      </c>
      <c r="J5587" s="6">
        <f t="shared" si="274"/>
        <v>0</v>
      </c>
      <c r="L5587" s="4" t="str">
        <f>IFERROR(VLOOKUP(ROWS($L$2:L5587),$B$2:$C$1996,2,0),"")</f>
        <v/>
      </c>
      <c r="N5587" s="2" t="str">
        <f>IFERROR(VLOOKUP(ROWS($N$2:N5587),$D$2:$E$1996,2,0),"")</f>
        <v/>
      </c>
    </row>
    <row r="5588" spans="2:14">
      <c r="B5588" s="32">
        <f>IF(ISNUMBER(SEARCH('Φόρμα Εισαγωγής'!$B$2,C5588)),MAX($B$1:B5587)+1,0)</f>
        <v>0</v>
      </c>
      <c r="D5588" s="33">
        <f>IF(ISNUMBER(SEARCH('Φόρμα Εισαγωγής'!$C$2,E5588)),MAX($D$1:D5587)+1,0)</f>
        <v>0</v>
      </c>
      <c r="H5588" s="6">
        <f t="shared" si="272"/>
        <v>0</v>
      </c>
      <c r="I5588" s="6">
        <f t="shared" si="273"/>
        <v>0</v>
      </c>
      <c r="J5588" s="6">
        <f t="shared" si="274"/>
        <v>0</v>
      </c>
      <c r="L5588" s="4" t="str">
        <f>IFERROR(VLOOKUP(ROWS($L$2:L5588),$B$2:$C$1996,2,0),"")</f>
        <v/>
      </c>
      <c r="N5588" s="2" t="str">
        <f>IFERROR(VLOOKUP(ROWS($N$2:N5588),$D$2:$E$1996,2,0),"")</f>
        <v/>
      </c>
    </row>
    <row r="5589" spans="2:14">
      <c r="B5589" s="32">
        <f>IF(ISNUMBER(SEARCH('Φόρμα Εισαγωγής'!$B$2,C5589)),MAX($B$1:B5588)+1,0)</f>
        <v>0</v>
      </c>
      <c r="D5589" s="33">
        <f>IF(ISNUMBER(SEARCH('Φόρμα Εισαγωγής'!$C$2,E5589)),MAX($D$1:D5588)+1,0)</f>
        <v>0</v>
      </c>
      <c r="H5589" s="6">
        <f t="shared" si="272"/>
        <v>0</v>
      </c>
      <c r="I5589" s="6">
        <f t="shared" si="273"/>
        <v>0</v>
      </c>
      <c r="J5589" s="6">
        <f t="shared" si="274"/>
        <v>0</v>
      </c>
      <c r="L5589" s="4" t="str">
        <f>IFERROR(VLOOKUP(ROWS($L$2:L5589),$B$2:$C$1996,2,0),"")</f>
        <v/>
      </c>
      <c r="N5589" s="2" t="str">
        <f>IFERROR(VLOOKUP(ROWS($N$2:N5589),$D$2:$E$1996,2,0),"")</f>
        <v/>
      </c>
    </row>
    <row r="5590" spans="2:14">
      <c r="B5590" s="32">
        <f>IF(ISNUMBER(SEARCH('Φόρμα Εισαγωγής'!$B$2,C5590)),MAX($B$1:B5589)+1,0)</f>
        <v>0</v>
      </c>
      <c r="D5590" s="33">
        <f>IF(ISNUMBER(SEARCH('Φόρμα Εισαγωγής'!$C$2,E5590)),MAX($D$1:D5589)+1,0)</f>
        <v>0</v>
      </c>
      <c r="H5590" s="6">
        <f t="shared" si="272"/>
        <v>0</v>
      </c>
      <c r="I5590" s="6">
        <f t="shared" si="273"/>
        <v>0</v>
      </c>
      <c r="J5590" s="6">
        <f t="shared" si="274"/>
        <v>0</v>
      </c>
      <c r="L5590" s="4" t="str">
        <f>IFERROR(VLOOKUP(ROWS($L$2:L5590),$B$2:$C$1996,2,0),"")</f>
        <v/>
      </c>
      <c r="N5590" s="2" t="str">
        <f>IFERROR(VLOOKUP(ROWS($N$2:N5590),$D$2:$E$1996,2,0),"")</f>
        <v/>
      </c>
    </row>
    <row r="5591" spans="2:14">
      <c r="B5591" s="32">
        <f>IF(ISNUMBER(SEARCH('Φόρμα Εισαγωγής'!$B$2,C5591)),MAX($B$1:B5590)+1,0)</f>
        <v>0</v>
      </c>
      <c r="D5591" s="33">
        <f>IF(ISNUMBER(SEARCH('Φόρμα Εισαγωγής'!$C$2,E5591)),MAX($D$1:D5590)+1,0)</f>
        <v>0</v>
      </c>
      <c r="H5591" s="6">
        <f t="shared" si="272"/>
        <v>0</v>
      </c>
      <c r="I5591" s="6">
        <f t="shared" si="273"/>
        <v>0</v>
      </c>
      <c r="J5591" s="6">
        <f t="shared" si="274"/>
        <v>0</v>
      </c>
      <c r="L5591" s="4" t="str">
        <f>IFERROR(VLOOKUP(ROWS($L$2:L5591),$B$2:$C$1996,2,0),"")</f>
        <v/>
      </c>
      <c r="N5591" s="2" t="str">
        <f>IFERROR(VLOOKUP(ROWS($N$2:N5591),$D$2:$E$1996,2,0),"")</f>
        <v/>
      </c>
    </row>
    <row r="5592" spans="2:14">
      <c r="B5592" s="32">
        <f>IF(ISNUMBER(SEARCH('Φόρμα Εισαγωγής'!$B$2,C5592)),MAX($B$1:B5591)+1,0)</f>
        <v>0</v>
      </c>
      <c r="D5592" s="33">
        <f>IF(ISNUMBER(SEARCH('Φόρμα Εισαγωγής'!$C$2,E5592)),MAX($D$1:D5591)+1,0)</f>
        <v>0</v>
      </c>
      <c r="H5592" s="6">
        <f t="shared" si="272"/>
        <v>0</v>
      </c>
      <c r="I5592" s="6">
        <f t="shared" si="273"/>
        <v>0</v>
      </c>
      <c r="J5592" s="6">
        <f t="shared" si="274"/>
        <v>0</v>
      </c>
      <c r="L5592" s="4" t="str">
        <f>IFERROR(VLOOKUP(ROWS($L$2:L5592),$B$2:$C$1996,2,0),"")</f>
        <v/>
      </c>
      <c r="N5592" s="2" t="str">
        <f>IFERROR(VLOOKUP(ROWS($N$2:N5592),$D$2:$E$1996,2,0),"")</f>
        <v/>
      </c>
    </row>
    <row r="5593" spans="2:14">
      <c r="B5593" s="32">
        <f>IF(ISNUMBER(SEARCH('Φόρμα Εισαγωγής'!$B$2,C5593)),MAX($B$1:B5592)+1,0)</f>
        <v>0</v>
      </c>
      <c r="D5593" s="33">
        <f>IF(ISNUMBER(SEARCH('Φόρμα Εισαγωγής'!$C$2,E5593)),MAX($D$1:D5592)+1,0)</f>
        <v>0</v>
      </c>
      <c r="H5593" s="6">
        <f t="shared" si="272"/>
        <v>0</v>
      </c>
      <c r="I5593" s="6">
        <f t="shared" si="273"/>
        <v>0</v>
      </c>
      <c r="J5593" s="6">
        <f t="shared" si="274"/>
        <v>0</v>
      </c>
      <c r="L5593" s="4" t="str">
        <f>IFERROR(VLOOKUP(ROWS($L$2:L5593),$B$2:$C$1996,2,0),"")</f>
        <v/>
      </c>
      <c r="N5593" s="2" t="str">
        <f>IFERROR(VLOOKUP(ROWS($N$2:N5593),$D$2:$E$1996,2,0),"")</f>
        <v/>
      </c>
    </row>
    <row r="5594" spans="2:14">
      <c r="B5594" s="32">
        <f>IF(ISNUMBER(SEARCH('Φόρμα Εισαγωγής'!$B$2,C5594)),MAX($B$1:B5593)+1,0)</f>
        <v>0</v>
      </c>
      <c r="D5594" s="33">
        <f>IF(ISNUMBER(SEARCH('Φόρμα Εισαγωγής'!$C$2,E5594)),MAX($D$1:D5593)+1,0)</f>
        <v>0</v>
      </c>
      <c r="H5594" s="6">
        <f t="shared" si="272"/>
        <v>0</v>
      </c>
      <c r="I5594" s="6">
        <f t="shared" si="273"/>
        <v>0</v>
      </c>
      <c r="J5594" s="6">
        <f t="shared" si="274"/>
        <v>0</v>
      </c>
      <c r="L5594" s="4" t="str">
        <f>IFERROR(VLOOKUP(ROWS($L$2:L5594),$B$2:$C$1996,2,0),"")</f>
        <v/>
      </c>
      <c r="N5594" s="2" t="str">
        <f>IFERROR(VLOOKUP(ROWS($N$2:N5594),$D$2:$E$1996,2,0),"")</f>
        <v/>
      </c>
    </row>
    <row r="5595" spans="2:14">
      <c r="B5595" s="32">
        <f>IF(ISNUMBER(SEARCH('Φόρμα Εισαγωγής'!$B$2,C5595)),MAX($B$1:B5594)+1,0)</f>
        <v>0</v>
      </c>
      <c r="D5595" s="33">
        <f>IF(ISNUMBER(SEARCH('Φόρμα Εισαγωγής'!$C$2,E5595)),MAX($D$1:D5594)+1,0)</f>
        <v>0</v>
      </c>
      <c r="H5595" s="6">
        <f t="shared" si="272"/>
        <v>0</v>
      </c>
      <c r="I5595" s="6">
        <f t="shared" si="273"/>
        <v>0</v>
      </c>
      <c r="J5595" s="6">
        <f t="shared" si="274"/>
        <v>0</v>
      </c>
      <c r="L5595" s="4" t="str">
        <f>IFERROR(VLOOKUP(ROWS($L$2:L5595),$B$2:$C$1996,2,0),"")</f>
        <v/>
      </c>
      <c r="N5595" s="2" t="str">
        <f>IFERROR(VLOOKUP(ROWS($N$2:N5595),$D$2:$E$1996,2,0),"")</f>
        <v/>
      </c>
    </row>
    <row r="5596" spans="2:14">
      <c r="B5596" s="32">
        <f>IF(ISNUMBER(SEARCH('Φόρμα Εισαγωγής'!$B$2,C5596)),MAX($B$1:B5595)+1,0)</f>
        <v>0</v>
      </c>
      <c r="D5596" s="33">
        <f>IF(ISNUMBER(SEARCH('Φόρμα Εισαγωγής'!$C$2,E5596)),MAX($D$1:D5595)+1,0)</f>
        <v>0</v>
      </c>
      <c r="H5596" s="6">
        <f t="shared" si="272"/>
        <v>0</v>
      </c>
      <c r="I5596" s="6">
        <f t="shared" si="273"/>
        <v>0</v>
      </c>
      <c r="J5596" s="6">
        <f t="shared" si="274"/>
        <v>0</v>
      </c>
      <c r="L5596" s="4" t="str">
        <f>IFERROR(VLOOKUP(ROWS($L$2:L5596),$B$2:$C$1996,2,0),"")</f>
        <v/>
      </c>
      <c r="N5596" s="2" t="str">
        <f>IFERROR(VLOOKUP(ROWS($N$2:N5596),$D$2:$E$1996,2,0),"")</f>
        <v/>
      </c>
    </row>
    <row r="5597" spans="2:14">
      <c r="B5597" s="32">
        <f>IF(ISNUMBER(SEARCH('Φόρμα Εισαγωγής'!$B$2,C5597)),MAX($B$1:B5596)+1,0)</f>
        <v>0</v>
      </c>
      <c r="D5597" s="33">
        <f>IF(ISNUMBER(SEARCH('Φόρμα Εισαγωγής'!$C$2,E5597)),MAX($D$1:D5596)+1,0)</f>
        <v>0</v>
      </c>
      <c r="H5597" s="6">
        <f t="shared" si="272"/>
        <v>0</v>
      </c>
      <c r="I5597" s="6">
        <f t="shared" si="273"/>
        <v>0</v>
      </c>
      <c r="J5597" s="6">
        <f t="shared" si="274"/>
        <v>0</v>
      </c>
      <c r="L5597" s="4" t="str">
        <f>IFERROR(VLOOKUP(ROWS($L$2:L5597),$B$2:$C$1996,2,0),"")</f>
        <v/>
      </c>
      <c r="N5597" s="2" t="str">
        <f>IFERROR(VLOOKUP(ROWS($N$2:N5597),$D$2:$E$1996,2,0),"")</f>
        <v/>
      </c>
    </row>
    <row r="5598" spans="2:14">
      <c r="B5598" s="32">
        <f>IF(ISNUMBER(SEARCH('Φόρμα Εισαγωγής'!$B$2,C5598)),MAX($B$1:B5597)+1,0)</f>
        <v>0</v>
      </c>
      <c r="D5598" s="33">
        <f>IF(ISNUMBER(SEARCH('Φόρμα Εισαγωγής'!$C$2,E5598)),MAX($D$1:D5597)+1,0)</f>
        <v>0</v>
      </c>
      <c r="H5598" s="6">
        <f t="shared" si="272"/>
        <v>0</v>
      </c>
      <c r="I5598" s="6">
        <f t="shared" si="273"/>
        <v>0</v>
      </c>
      <c r="J5598" s="6">
        <f t="shared" si="274"/>
        <v>0</v>
      </c>
      <c r="L5598" s="4" t="str">
        <f>IFERROR(VLOOKUP(ROWS($L$2:L5598),$B$2:$C$1996,2,0),"")</f>
        <v/>
      </c>
      <c r="N5598" s="2" t="str">
        <f>IFERROR(VLOOKUP(ROWS($N$2:N5598),$D$2:$E$1996,2,0),"")</f>
        <v/>
      </c>
    </row>
    <row r="5599" spans="2:14">
      <c r="B5599" s="32">
        <f>IF(ISNUMBER(SEARCH('Φόρμα Εισαγωγής'!$B$2,C5599)),MAX($B$1:B5598)+1,0)</f>
        <v>0</v>
      </c>
      <c r="D5599" s="33">
        <f>IF(ISNUMBER(SEARCH('Φόρμα Εισαγωγής'!$C$2,E5599)),MAX($D$1:D5598)+1,0)</f>
        <v>0</v>
      </c>
      <c r="H5599" s="6">
        <f t="shared" si="272"/>
        <v>0</v>
      </c>
      <c r="I5599" s="6">
        <f t="shared" si="273"/>
        <v>0</v>
      </c>
      <c r="J5599" s="6">
        <f t="shared" si="274"/>
        <v>0</v>
      </c>
      <c r="L5599" s="4" t="str">
        <f>IFERROR(VLOOKUP(ROWS($L$2:L5599),$B$2:$C$1996,2,0),"")</f>
        <v/>
      </c>
      <c r="N5599" s="2" t="str">
        <f>IFERROR(VLOOKUP(ROWS($N$2:N5599),$D$2:$E$1996,2,0),"")</f>
        <v/>
      </c>
    </row>
    <row r="5600" spans="2:14">
      <c r="B5600" s="32">
        <f>IF(ISNUMBER(SEARCH('Φόρμα Εισαγωγής'!$B$2,C5600)),MAX($B$1:B5599)+1,0)</f>
        <v>0</v>
      </c>
      <c r="D5600" s="33">
        <f>IF(ISNUMBER(SEARCH('Φόρμα Εισαγωγής'!$C$2,E5600)),MAX($D$1:D5599)+1,0)</f>
        <v>0</v>
      </c>
      <c r="H5600" s="6">
        <f t="shared" si="272"/>
        <v>0</v>
      </c>
      <c r="I5600" s="6">
        <f t="shared" si="273"/>
        <v>0</v>
      </c>
      <c r="J5600" s="6">
        <f t="shared" si="274"/>
        <v>0</v>
      </c>
      <c r="L5600" s="4" t="str">
        <f>IFERROR(VLOOKUP(ROWS($L$2:L5600),$B$2:$C$1996,2,0),"")</f>
        <v/>
      </c>
      <c r="N5600" s="2" t="str">
        <f>IFERROR(VLOOKUP(ROWS($N$2:N5600),$D$2:$E$1996,2,0),"")</f>
        <v/>
      </c>
    </row>
    <row r="5601" spans="2:14">
      <c r="B5601" s="32">
        <f>IF(ISNUMBER(SEARCH('Φόρμα Εισαγωγής'!$B$2,C5601)),MAX($B$1:B5600)+1,0)</f>
        <v>0</v>
      </c>
      <c r="D5601" s="33">
        <f>IF(ISNUMBER(SEARCH('Φόρμα Εισαγωγής'!$C$2,E5601)),MAX($D$1:D5600)+1,0)</f>
        <v>0</v>
      </c>
      <c r="H5601" s="6">
        <f t="shared" si="272"/>
        <v>0</v>
      </c>
      <c r="I5601" s="6">
        <f t="shared" si="273"/>
        <v>0</v>
      </c>
      <c r="J5601" s="6">
        <f t="shared" si="274"/>
        <v>0</v>
      </c>
      <c r="L5601" s="4" t="str">
        <f>IFERROR(VLOOKUP(ROWS($L$2:L5601),$B$2:$C$1996,2,0),"")</f>
        <v/>
      </c>
      <c r="N5601" s="2" t="str">
        <f>IFERROR(VLOOKUP(ROWS($N$2:N5601),$D$2:$E$1996,2,0),"")</f>
        <v/>
      </c>
    </row>
    <row r="5602" spans="2:14">
      <c r="B5602" s="32">
        <f>IF(ISNUMBER(SEARCH('Φόρμα Εισαγωγής'!$B$2,C5602)),MAX($B$1:B5601)+1,0)</f>
        <v>0</v>
      </c>
      <c r="D5602" s="33">
        <f>IF(ISNUMBER(SEARCH('Φόρμα Εισαγωγής'!$C$2,E5602)),MAX($D$1:D5601)+1,0)</f>
        <v>0</v>
      </c>
      <c r="H5602" s="6">
        <f t="shared" si="272"/>
        <v>0</v>
      </c>
      <c r="I5602" s="6">
        <f t="shared" si="273"/>
        <v>0</v>
      </c>
      <c r="J5602" s="6">
        <f t="shared" si="274"/>
        <v>0</v>
      </c>
      <c r="L5602" s="4" t="str">
        <f>IFERROR(VLOOKUP(ROWS($L$2:L5602),$B$2:$C$1996,2,0),"")</f>
        <v/>
      </c>
      <c r="N5602" s="2" t="str">
        <f>IFERROR(VLOOKUP(ROWS($N$2:N5602),$D$2:$E$1996,2,0),"")</f>
        <v/>
      </c>
    </row>
    <row r="5603" spans="2:14">
      <c r="B5603" s="32">
        <f>IF(ISNUMBER(SEARCH('Φόρμα Εισαγωγής'!$B$2,C5603)),MAX($B$1:B5602)+1,0)</f>
        <v>0</v>
      </c>
      <c r="D5603" s="33">
        <f>IF(ISNUMBER(SEARCH('Φόρμα Εισαγωγής'!$C$2,E5603)),MAX($D$1:D5602)+1,0)</f>
        <v>0</v>
      </c>
      <c r="H5603" s="6">
        <f t="shared" si="272"/>
        <v>0</v>
      </c>
      <c r="I5603" s="6">
        <f t="shared" si="273"/>
        <v>0</v>
      </c>
      <c r="J5603" s="6">
        <f t="shared" si="274"/>
        <v>0</v>
      </c>
      <c r="L5603" s="4" t="str">
        <f>IFERROR(VLOOKUP(ROWS($L$2:L5603),$B$2:$C$1996,2,0),"")</f>
        <v/>
      </c>
      <c r="N5603" s="2" t="str">
        <f>IFERROR(VLOOKUP(ROWS($N$2:N5603),$D$2:$E$1996,2,0),"")</f>
        <v/>
      </c>
    </row>
    <row r="5604" spans="2:14">
      <c r="B5604" s="32">
        <f>IF(ISNUMBER(SEARCH('Φόρμα Εισαγωγής'!$B$2,C5604)),MAX($B$1:B5603)+1,0)</f>
        <v>0</v>
      </c>
      <c r="D5604" s="33">
        <f>IF(ISNUMBER(SEARCH('Φόρμα Εισαγωγής'!$C$2,E5604)),MAX($D$1:D5603)+1,0)</f>
        <v>0</v>
      </c>
      <c r="H5604" s="6">
        <f t="shared" si="272"/>
        <v>0</v>
      </c>
      <c r="I5604" s="6">
        <f t="shared" si="273"/>
        <v>0</v>
      </c>
      <c r="J5604" s="6">
        <f t="shared" si="274"/>
        <v>0</v>
      </c>
      <c r="L5604" s="4" t="str">
        <f>IFERROR(VLOOKUP(ROWS($L$2:L5604),$B$2:$C$1996,2,0),"")</f>
        <v/>
      </c>
      <c r="N5604" s="2" t="str">
        <f>IFERROR(VLOOKUP(ROWS($N$2:N5604),$D$2:$E$1996,2,0),"")</f>
        <v/>
      </c>
    </row>
    <row r="5605" spans="2:14">
      <c r="B5605" s="32">
        <f>IF(ISNUMBER(SEARCH('Φόρμα Εισαγωγής'!$B$2,C5605)),MAX($B$1:B5604)+1,0)</f>
        <v>0</v>
      </c>
      <c r="D5605" s="33">
        <f>IF(ISNUMBER(SEARCH('Φόρμα Εισαγωγής'!$C$2,E5605)),MAX($D$1:D5604)+1,0)</f>
        <v>0</v>
      </c>
      <c r="H5605" s="6">
        <f t="shared" si="272"/>
        <v>0</v>
      </c>
      <c r="I5605" s="6">
        <f t="shared" si="273"/>
        <v>0</v>
      </c>
      <c r="J5605" s="6">
        <f t="shared" si="274"/>
        <v>0</v>
      </c>
      <c r="L5605" s="4" t="str">
        <f>IFERROR(VLOOKUP(ROWS($L$2:L5605),$B$2:$C$1996,2,0),"")</f>
        <v/>
      </c>
      <c r="N5605" s="2" t="str">
        <f>IFERROR(VLOOKUP(ROWS($N$2:N5605),$D$2:$E$1996,2,0),"")</f>
        <v/>
      </c>
    </row>
    <row r="5606" spans="2:14">
      <c r="B5606" s="32">
        <f>IF(ISNUMBER(SEARCH('Φόρμα Εισαγωγής'!$B$2,C5606)),MAX($B$1:B5605)+1,0)</f>
        <v>0</v>
      </c>
      <c r="D5606" s="33">
        <f>IF(ISNUMBER(SEARCH('Φόρμα Εισαγωγής'!$C$2,E5606)),MAX($D$1:D5605)+1,0)</f>
        <v>0</v>
      </c>
      <c r="H5606" s="6">
        <f t="shared" si="272"/>
        <v>0</v>
      </c>
      <c r="I5606" s="6">
        <f t="shared" si="273"/>
        <v>0</v>
      </c>
      <c r="J5606" s="6">
        <f t="shared" si="274"/>
        <v>0</v>
      </c>
      <c r="L5606" s="4" t="str">
        <f>IFERROR(VLOOKUP(ROWS($L$2:L5606),$B$2:$C$1996,2,0),"")</f>
        <v/>
      </c>
      <c r="N5606" s="2" t="str">
        <f>IFERROR(VLOOKUP(ROWS($N$2:N5606),$D$2:$E$1996,2,0),"")</f>
        <v/>
      </c>
    </row>
    <row r="5607" spans="2:14">
      <c r="B5607" s="32">
        <f>IF(ISNUMBER(SEARCH('Φόρμα Εισαγωγής'!$B$2,C5607)),MAX($B$1:B5606)+1,0)</f>
        <v>0</v>
      </c>
      <c r="D5607" s="33">
        <f>IF(ISNUMBER(SEARCH('Φόρμα Εισαγωγής'!$C$2,E5607)),MAX($D$1:D5606)+1,0)</f>
        <v>0</v>
      </c>
      <c r="H5607" s="6">
        <f t="shared" si="272"/>
        <v>0</v>
      </c>
      <c r="I5607" s="6">
        <f t="shared" si="273"/>
        <v>0</v>
      </c>
      <c r="J5607" s="6">
        <f t="shared" si="274"/>
        <v>0</v>
      </c>
      <c r="L5607" s="4" t="str">
        <f>IFERROR(VLOOKUP(ROWS($L$2:L5607),$B$2:$C$1996,2,0),"")</f>
        <v/>
      </c>
      <c r="N5607" s="2" t="str">
        <f>IFERROR(VLOOKUP(ROWS($N$2:N5607),$D$2:$E$1996,2,0),"")</f>
        <v/>
      </c>
    </row>
    <row r="5608" spans="2:14">
      <c r="B5608" s="32">
        <f>IF(ISNUMBER(SEARCH('Φόρμα Εισαγωγής'!$B$2,C5608)),MAX($B$1:B5607)+1,0)</f>
        <v>0</v>
      </c>
      <c r="D5608" s="33">
        <f>IF(ISNUMBER(SEARCH('Φόρμα Εισαγωγής'!$C$2,E5608)),MAX($D$1:D5607)+1,0)</f>
        <v>0</v>
      </c>
      <c r="H5608" s="6">
        <f t="shared" si="272"/>
        <v>0</v>
      </c>
      <c r="I5608" s="6">
        <f t="shared" si="273"/>
        <v>0</v>
      </c>
      <c r="J5608" s="6">
        <f t="shared" si="274"/>
        <v>0</v>
      </c>
      <c r="L5608" s="4" t="str">
        <f>IFERROR(VLOOKUP(ROWS($L$2:L5608),$B$2:$C$1996,2,0),"")</f>
        <v/>
      </c>
      <c r="N5608" s="2" t="str">
        <f>IFERROR(VLOOKUP(ROWS($N$2:N5608),$D$2:$E$1996,2,0),"")</f>
        <v/>
      </c>
    </row>
    <row r="5609" spans="2:14">
      <c r="B5609" s="32">
        <f>IF(ISNUMBER(SEARCH('Φόρμα Εισαγωγής'!$B$2,C5609)),MAX($B$1:B5608)+1,0)</f>
        <v>0</v>
      </c>
      <c r="D5609" s="33">
        <f>IF(ISNUMBER(SEARCH('Φόρμα Εισαγωγής'!$C$2,E5609)),MAX($D$1:D5608)+1,0)</f>
        <v>0</v>
      </c>
      <c r="H5609" s="6">
        <f t="shared" si="272"/>
        <v>0</v>
      </c>
      <c r="I5609" s="6">
        <f t="shared" si="273"/>
        <v>0</v>
      </c>
      <c r="J5609" s="6">
        <f t="shared" si="274"/>
        <v>0</v>
      </c>
      <c r="L5609" s="4" t="str">
        <f>IFERROR(VLOOKUP(ROWS($L$2:L5609),$B$2:$C$1996,2,0),"")</f>
        <v/>
      </c>
      <c r="N5609" s="2" t="str">
        <f>IFERROR(VLOOKUP(ROWS($N$2:N5609),$D$2:$E$1996,2,0),"")</f>
        <v/>
      </c>
    </row>
    <row r="5610" spans="2:14">
      <c r="B5610" s="32">
        <f>IF(ISNUMBER(SEARCH('Φόρμα Εισαγωγής'!$B$2,C5610)),MAX($B$1:B5609)+1,0)</f>
        <v>0</v>
      </c>
      <c r="D5610" s="33">
        <f>IF(ISNUMBER(SEARCH('Φόρμα Εισαγωγής'!$C$2,E5610)),MAX($D$1:D5609)+1,0)</f>
        <v>0</v>
      </c>
      <c r="H5610" s="6">
        <f t="shared" si="272"/>
        <v>0</v>
      </c>
      <c r="I5610" s="6">
        <f t="shared" si="273"/>
        <v>0</v>
      </c>
      <c r="J5610" s="6">
        <f t="shared" si="274"/>
        <v>0</v>
      </c>
      <c r="L5610" s="4" t="str">
        <f>IFERROR(VLOOKUP(ROWS($L$2:L5610),$B$2:$C$1996,2,0),"")</f>
        <v/>
      </c>
      <c r="N5610" s="2" t="str">
        <f>IFERROR(VLOOKUP(ROWS($N$2:N5610),$D$2:$E$1996,2,0),"")</f>
        <v/>
      </c>
    </row>
    <row r="5611" spans="2:14">
      <c r="B5611" s="32">
        <f>IF(ISNUMBER(SEARCH('Φόρμα Εισαγωγής'!$B$2,C5611)),MAX($B$1:B5610)+1,0)</f>
        <v>0</v>
      </c>
      <c r="D5611" s="33">
        <f>IF(ISNUMBER(SEARCH('Φόρμα Εισαγωγής'!$C$2,E5611)),MAX($D$1:D5610)+1,0)</f>
        <v>0</v>
      </c>
      <c r="H5611" s="6">
        <f t="shared" si="272"/>
        <v>0</v>
      </c>
      <c r="I5611" s="6">
        <f t="shared" si="273"/>
        <v>0</v>
      </c>
      <c r="J5611" s="6">
        <f t="shared" si="274"/>
        <v>0</v>
      </c>
      <c r="L5611" s="4" t="str">
        <f>IFERROR(VLOOKUP(ROWS($L$2:L5611),$B$2:$C$1996,2,0),"")</f>
        <v/>
      </c>
      <c r="N5611" s="2" t="str">
        <f>IFERROR(VLOOKUP(ROWS($N$2:N5611),$D$2:$E$1996,2,0),"")</f>
        <v/>
      </c>
    </row>
    <row r="5612" spans="2:14">
      <c r="B5612" s="32">
        <f>IF(ISNUMBER(SEARCH('Φόρμα Εισαγωγής'!$B$2,C5612)),MAX($B$1:B5611)+1,0)</f>
        <v>0</v>
      </c>
      <c r="D5612" s="33">
        <f>IF(ISNUMBER(SEARCH('Φόρμα Εισαγωγής'!$C$2,E5612)),MAX($D$1:D5611)+1,0)</f>
        <v>0</v>
      </c>
      <c r="H5612" s="6">
        <f t="shared" si="272"/>
        <v>0</v>
      </c>
      <c r="I5612" s="6">
        <f t="shared" si="273"/>
        <v>0</v>
      </c>
      <c r="J5612" s="6">
        <f t="shared" si="274"/>
        <v>0</v>
      </c>
      <c r="L5612" s="4" t="str">
        <f>IFERROR(VLOOKUP(ROWS($L$2:L5612),$B$2:$C$1996,2,0),"")</f>
        <v/>
      </c>
      <c r="N5612" s="2" t="str">
        <f>IFERROR(VLOOKUP(ROWS($N$2:N5612),$D$2:$E$1996,2,0),"")</f>
        <v/>
      </c>
    </row>
    <row r="5613" spans="2:14">
      <c r="B5613" s="32">
        <f>IF(ISNUMBER(SEARCH('Φόρμα Εισαγωγής'!$B$2,C5613)),MAX($B$1:B5612)+1,0)</f>
        <v>0</v>
      </c>
      <c r="D5613" s="33">
        <f>IF(ISNUMBER(SEARCH('Φόρμα Εισαγωγής'!$C$2,E5613)),MAX($D$1:D5612)+1,0)</f>
        <v>0</v>
      </c>
      <c r="H5613" s="6">
        <f t="shared" si="272"/>
        <v>0</v>
      </c>
      <c r="I5613" s="6">
        <f t="shared" si="273"/>
        <v>0</v>
      </c>
      <c r="J5613" s="6">
        <f t="shared" si="274"/>
        <v>0</v>
      </c>
      <c r="L5613" s="4" t="str">
        <f>IFERROR(VLOOKUP(ROWS($L$2:L5613),$B$2:$C$1996,2,0),"")</f>
        <v/>
      </c>
      <c r="N5613" s="2" t="str">
        <f>IFERROR(VLOOKUP(ROWS($N$2:N5613),$D$2:$E$1996,2,0),"")</f>
        <v/>
      </c>
    </row>
    <row r="5614" spans="2:14">
      <c r="B5614" s="32">
        <f>IF(ISNUMBER(SEARCH('Φόρμα Εισαγωγής'!$B$2,C5614)),MAX($B$1:B5613)+1,0)</f>
        <v>0</v>
      </c>
      <c r="D5614" s="33">
        <f>IF(ISNUMBER(SEARCH('Φόρμα Εισαγωγής'!$C$2,E5614)),MAX($D$1:D5613)+1,0)</f>
        <v>0</v>
      </c>
      <c r="H5614" s="6">
        <f t="shared" si="272"/>
        <v>0</v>
      </c>
      <c r="I5614" s="6">
        <f t="shared" si="273"/>
        <v>0</v>
      </c>
      <c r="J5614" s="6">
        <f t="shared" si="274"/>
        <v>0</v>
      </c>
      <c r="L5614" s="4" t="str">
        <f>IFERROR(VLOOKUP(ROWS($L$2:L5614),$B$2:$C$1996,2,0),"")</f>
        <v/>
      </c>
      <c r="N5614" s="2" t="str">
        <f>IFERROR(VLOOKUP(ROWS($N$2:N5614),$D$2:$E$1996,2,0),"")</f>
        <v/>
      </c>
    </row>
    <row r="5615" spans="2:14">
      <c r="B5615" s="32">
        <f>IF(ISNUMBER(SEARCH('Φόρμα Εισαγωγής'!$B$2,C5615)),MAX($B$1:B5614)+1,0)</f>
        <v>0</v>
      </c>
      <c r="D5615" s="33">
        <f>IF(ISNUMBER(SEARCH('Φόρμα Εισαγωγής'!$C$2,E5615)),MAX($D$1:D5614)+1,0)</f>
        <v>0</v>
      </c>
      <c r="H5615" s="6">
        <f t="shared" si="272"/>
        <v>0</v>
      </c>
      <c r="I5615" s="6">
        <f t="shared" si="273"/>
        <v>0</v>
      </c>
      <c r="J5615" s="6">
        <f t="shared" si="274"/>
        <v>0</v>
      </c>
      <c r="L5615" s="4" t="str">
        <f>IFERROR(VLOOKUP(ROWS($L$2:L5615),$B$2:$C$1996,2,0),"")</f>
        <v/>
      </c>
      <c r="N5615" s="2" t="str">
        <f>IFERROR(VLOOKUP(ROWS($N$2:N5615),$D$2:$E$1996,2,0),"")</f>
        <v/>
      </c>
    </row>
    <row r="5616" spans="2:14">
      <c r="B5616" s="32">
        <f>IF(ISNUMBER(SEARCH('Φόρμα Εισαγωγής'!$B$2,C5616)),MAX($B$1:B5615)+1,0)</f>
        <v>0</v>
      </c>
      <c r="D5616" s="33">
        <f>IF(ISNUMBER(SEARCH('Φόρμα Εισαγωγής'!$C$2,E5616)),MAX($D$1:D5615)+1,0)</f>
        <v>0</v>
      </c>
      <c r="H5616" s="6">
        <f t="shared" si="272"/>
        <v>0</v>
      </c>
      <c r="I5616" s="6">
        <f t="shared" si="273"/>
        <v>0</v>
      </c>
      <c r="J5616" s="6">
        <f t="shared" si="274"/>
        <v>0</v>
      </c>
      <c r="L5616" s="4" t="str">
        <f>IFERROR(VLOOKUP(ROWS($L$2:L5616),$B$2:$C$1996,2,0),"")</f>
        <v/>
      </c>
      <c r="N5616" s="2" t="str">
        <f>IFERROR(VLOOKUP(ROWS($N$2:N5616),$D$2:$E$1996,2,0),"")</f>
        <v/>
      </c>
    </row>
    <row r="5617" spans="2:14">
      <c r="B5617" s="32">
        <f>IF(ISNUMBER(SEARCH('Φόρμα Εισαγωγής'!$B$2,C5617)),MAX($B$1:B5616)+1,0)</f>
        <v>0</v>
      </c>
      <c r="D5617" s="33">
        <f>IF(ISNUMBER(SEARCH('Φόρμα Εισαγωγής'!$C$2,E5617)),MAX($D$1:D5616)+1,0)</f>
        <v>0</v>
      </c>
      <c r="H5617" s="6">
        <f t="shared" si="272"/>
        <v>0</v>
      </c>
      <c r="I5617" s="6">
        <f t="shared" si="273"/>
        <v>0</v>
      </c>
      <c r="J5617" s="6">
        <f t="shared" si="274"/>
        <v>0</v>
      </c>
      <c r="L5617" s="4" t="str">
        <f>IFERROR(VLOOKUP(ROWS($L$2:L5617),$B$2:$C$1996,2,0),"")</f>
        <v/>
      </c>
      <c r="N5617" s="2" t="str">
        <f>IFERROR(VLOOKUP(ROWS($N$2:N5617),$D$2:$E$1996,2,0),"")</f>
        <v/>
      </c>
    </row>
    <row r="5618" spans="2:14">
      <c r="B5618" s="32">
        <f>IF(ISNUMBER(SEARCH('Φόρμα Εισαγωγής'!$B$2,C5618)),MAX($B$1:B5617)+1,0)</f>
        <v>0</v>
      </c>
      <c r="D5618" s="33">
        <f>IF(ISNUMBER(SEARCH('Φόρμα Εισαγωγής'!$C$2,E5618)),MAX($D$1:D5617)+1,0)</f>
        <v>0</v>
      </c>
      <c r="H5618" s="6">
        <f t="shared" si="272"/>
        <v>0</v>
      </c>
      <c r="I5618" s="6">
        <f t="shared" si="273"/>
        <v>0</v>
      </c>
      <c r="J5618" s="6">
        <f t="shared" si="274"/>
        <v>0</v>
      </c>
      <c r="L5618" s="4" t="str">
        <f>IFERROR(VLOOKUP(ROWS($L$2:L5618),$B$2:$C$1996,2,0),"")</f>
        <v/>
      </c>
      <c r="N5618" s="2" t="str">
        <f>IFERROR(VLOOKUP(ROWS($N$2:N5618),$D$2:$E$1996,2,0),"")</f>
        <v/>
      </c>
    </row>
    <row r="5619" spans="2:14">
      <c r="B5619" s="32">
        <f>IF(ISNUMBER(SEARCH('Φόρμα Εισαγωγής'!$B$2,C5619)),MAX($B$1:B5618)+1,0)</f>
        <v>0</v>
      </c>
      <c r="D5619" s="33">
        <f>IF(ISNUMBER(SEARCH('Φόρμα Εισαγωγής'!$C$2,E5619)),MAX($D$1:D5618)+1,0)</f>
        <v>0</v>
      </c>
      <c r="H5619" s="6">
        <f t="shared" si="272"/>
        <v>0</v>
      </c>
      <c r="I5619" s="6">
        <f t="shared" si="273"/>
        <v>0</v>
      </c>
      <c r="J5619" s="6">
        <f t="shared" si="274"/>
        <v>0</v>
      </c>
      <c r="L5619" s="4" t="str">
        <f>IFERROR(VLOOKUP(ROWS($L$2:L5619),$B$2:$C$1996,2,0),"")</f>
        <v/>
      </c>
      <c r="N5619" s="2" t="str">
        <f>IFERROR(VLOOKUP(ROWS($N$2:N5619),$D$2:$E$1996,2,0),"")</f>
        <v/>
      </c>
    </row>
    <row r="5620" spans="2:14">
      <c r="B5620" s="32">
        <f>IF(ISNUMBER(SEARCH('Φόρμα Εισαγωγής'!$B$2,C5620)),MAX($B$1:B5619)+1,0)</f>
        <v>0</v>
      </c>
      <c r="D5620" s="33">
        <f>IF(ISNUMBER(SEARCH('Φόρμα Εισαγωγής'!$C$2,E5620)),MAX($D$1:D5619)+1,0)</f>
        <v>0</v>
      </c>
      <c r="H5620" s="6">
        <f t="shared" si="272"/>
        <v>0</v>
      </c>
      <c r="I5620" s="6">
        <f t="shared" si="273"/>
        <v>0</v>
      </c>
      <c r="J5620" s="6">
        <f t="shared" si="274"/>
        <v>0</v>
      </c>
      <c r="L5620" s="4" t="str">
        <f>IFERROR(VLOOKUP(ROWS($L$2:L5620),$B$2:$C$1996,2,0),"")</f>
        <v/>
      </c>
      <c r="N5620" s="2" t="str">
        <f>IFERROR(VLOOKUP(ROWS($N$2:N5620),$D$2:$E$1996,2,0),"")</f>
        <v/>
      </c>
    </row>
    <row r="5621" spans="2:14">
      <c r="B5621" s="32">
        <f>IF(ISNUMBER(SEARCH('Φόρμα Εισαγωγής'!$B$2,C5621)),MAX($B$1:B5620)+1,0)</f>
        <v>0</v>
      </c>
      <c r="D5621" s="33">
        <f>IF(ISNUMBER(SEARCH('Φόρμα Εισαγωγής'!$C$2,E5621)),MAX($D$1:D5620)+1,0)</f>
        <v>0</v>
      </c>
      <c r="H5621" s="6">
        <f t="shared" si="272"/>
        <v>0</v>
      </c>
      <c r="I5621" s="6">
        <f t="shared" si="273"/>
        <v>0</v>
      </c>
      <c r="J5621" s="6">
        <f t="shared" si="274"/>
        <v>0</v>
      </c>
      <c r="L5621" s="4" t="str">
        <f>IFERROR(VLOOKUP(ROWS($L$2:L5621),$B$2:$C$1996,2,0),"")</f>
        <v/>
      </c>
      <c r="N5621" s="2" t="str">
        <f>IFERROR(VLOOKUP(ROWS($N$2:N5621),$D$2:$E$1996,2,0),"")</f>
        <v/>
      </c>
    </row>
    <row r="5622" spans="2:14">
      <c r="B5622" s="32">
        <f>IF(ISNUMBER(SEARCH('Φόρμα Εισαγωγής'!$B$2,C5622)),MAX($B$1:B5621)+1,0)</f>
        <v>0</v>
      </c>
      <c r="D5622" s="33">
        <f>IF(ISNUMBER(SEARCH('Φόρμα Εισαγωγής'!$C$2,E5622)),MAX($D$1:D5621)+1,0)</f>
        <v>0</v>
      </c>
      <c r="H5622" s="6">
        <f t="shared" si="272"/>
        <v>0</v>
      </c>
      <c r="I5622" s="6">
        <f t="shared" si="273"/>
        <v>0</v>
      </c>
      <c r="J5622" s="6">
        <f t="shared" si="274"/>
        <v>0</v>
      </c>
      <c r="L5622" s="4" t="str">
        <f>IFERROR(VLOOKUP(ROWS($L$2:L5622),$B$2:$C$1996,2,0),"")</f>
        <v/>
      </c>
      <c r="N5622" s="2" t="str">
        <f>IFERROR(VLOOKUP(ROWS($N$2:N5622),$D$2:$E$1996,2,0),"")</f>
        <v/>
      </c>
    </row>
    <row r="5623" spans="2:14">
      <c r="B5623" s="32">
        <f>IF(ISNUMBER(SEARCH('Φόρμα Εισαγωγής'!$B$2,C5623)),MAX($B$1:B5622)+1,0)</f>
        <v>0</v>
      </c>
      <c r="D5623" s="33">
        <f>IF(ISNUMBER(SEARCH('Φόρμα Εισαγωγής'!$C$2,E5623)),MAX($D$1:D5622)+1,0)</f>
        <v>0</v>
      </c>
      <c r="H5623" s="6">
        <f t="shared" si="272"/>
        <v>0</v>
      </c>
      <c r="I5623" s="6">
        <f t="shared" si="273"/>
        <v>0</v>
      </c>
      <c r="J5623" s="6">
        <f t="shared" si="274"/>
        <v>0</v>
      </c>
      <c r="L5623" s="4" t="str">
        <f>IFERROR(VLOOKUP(ROWS($L$2:L5623),$B$2:$C$1996,2,0),"")</f>
        <v/>
      </c>
      <c r="N5623" s="2" t="str">
        <f>IFERROR(VLOOKUP(ROWS($N$2:N5623),$D$2:$E$1996,2,0),"")</f>
        <v/>
      </c>
    </row>
    <row r="5624" spans="2:14">
      <c r="B5624" s="32">
        <f>IF(ISNUMBER(SEARCH('Φόρμα Εισαγωγής'!$B$2,C5624)),MAX($B$1:B5623)+1,0)</f>
        <v>0</v>
      </c>
      <c r="D5624" s="33">
        <f>IF(ISNUMBER(SEARCH('Φόρμα Εισαγωγής'!$C$2,E5624)),MAX($D$1:D5623)+1,0)</f>
        <v>0</v>
      </c>
      <c r="H5624" s="6">
        <f t="shared" si="272"/>
        <v>0</v>
      </c>
      <c r="I5624" s="6">
        <f t="shared" si="273"/>
        <v>0</v>
      </c>
      <c r="J5624" s="6">
        <f t="shared" si="274"/>
        <v>0</v>
      </c>
      <c r="L5624" s="4" t="str">
        <f>IFERROR(VLOOKUP(ROWS($L$2:L5624),$B$2:$C$1996,2,0),"")</f>
        <v/>
      </c>
      <c r="N5624" s="2" t="str">
        <f>IFERROR(VLOOKUP(ROWS($N$2:N5624),$D$2:$E$1996,2,0),"")</f>
        <v/>
      </c>
    </row>
    <row r="5625" spans="2:14">
      <c r="B5625" s="32">
        <f>IF(ISNUMBER(SEARCH('Φόρμα Εισαγωγής'!$B$2,C5625)),MAX($B$1:B5624)+1,0)</f>
        <v>0</v>
      </c>
      <c r="D5625" s="33">
        <f>IF(ISNUMBER(SEARCH('Φόρμα Εισαγωγής'!$C$2,E5625)),MAX($D$1:D5624)+1,0)</f>
        <v>0</v>
      </c>
      <c r="H5625" s="6">
        <f t="shared" si="272"/>
        <v>0</v>
      </c>
      <c r="I5625" s="6">
        <f t="shared" si="273"/>
        <v>0</v>
      </c>
      <c r="J5625" s="6">
        <f t="shared" si="274"/>
        <v>0</v>
      </c>
      <c r="L5625" s="4" t="str">
        <f>IFERROR(VLOOKUP(ROWS($L$2:L5625),$B$2:$C$1996,2,0),"")</f>
        <v/>
      </c>
      <c r="N5625" s="2" t="str">
        <f>IFERROR(VLOOKUP(ROWS($N$2:N5625),$D$2:$E$1996,2,0),"")</f>
        <v/>
      </c>
    </row>
    <row r="5626" spans="2:14">
      <c r="B5626" s="32">
        <f>IF(ISNUMBER(SEARCH('Φόρμα Εισαγωγής'!$B$2,C5626)),MAX($B$1:B5625)+1,0)</f>
        <v>0</v>
      </c>
      <c r="D5626" s="33">
        <f>IF(ISNUMBER(SEARCH('Φόρμα Εισαγωγής'!$C$2,E5626)),MAX($D$1:D5625)+1,0)</f>
        <v>0</v>
      </c>
      <c r="H5626" s="6">
        <f t="shared" si="272"/>
        <v>0</v>
      </c>
      <c r="I5626" s="6">
        <f t="shared" si="273"/>
        <v>0</v>
      </c>
      <c r="J5626" s="6">
        <f t="shared" si="274"/>
        <v>0</v>
      </c>
      <c r="L5626" s="4" t="str">
        <f>IFERROR(VLOOKUP(ROWS($L$2:L5626),$B$2:$C$1996,2,0),"")</f>
        <v/>
      </c>
      <c r="N5626" s="2" t="str">
        <f>IFERROR(VLOOKUP(ROWS($N$2:N5626),$D$2:$E$1996,2,0),"")</f>
        <v/>
      </c>
    </row>
    <row r="5627" spans="2:14">
      <c r="B5627" s="32">
        <f>IF(ISNUMBER(SEARCH('Φόρμα Εισαγωγής'!$B$2,C5627)),MAX($B$1:B5626)+1,0)</f>
        <v>0</v>
      </c>
      <c r="D5627" s="33">
        <f>IF(ISNUMBER(SEARCH('Φόρμα Εισαγωγής'!$C$2,E5627)),MAX($D$1:D5626)+1,0)</f>
        <v>0</v>
      </c>
      <c r="H5627" s="6">
        <f t="shared" si="272"/>
        <v>0</v>
      </c>
      <c r="I5627" s="6">
        <f t="shared" si="273"/>
        <v>0</v>
      </c>
      <c r="J5627" s="6">
        <f t="shared" si="274"/>
        <v>0</v>
      </c>
      <c r="L5627" s="4" t="str">
        <f>IFERROR(VLOOKUP(ROWS($L$2:L5627),$B$2:$C$1996,2,0),"")</f>
        <v/>
      </c>
      <c r="N5627" s="2" t="str">
        <f>IFERROR(VLOOKUP(ROWS($N$2:N5627),$D$2:$E$1996,2,0),"")</f>
        <v/>
      </c>
    </row>
    <row r="5628" spans="2:14">
      <c r="B5628" s="32">
        <f>IF(ISNUMBER(SEARCH('Φόρμα Εισαγωγής'!$B$2,C5628)),MAX($B$1:B5627)+1,0)</f>
        <v>0</v>
      </c>
      <c r="D5628" s="33">
        <f>IF(ISNUMBER(SEARCH('Φόρμα Εισαγωγής'!$C$2,E5628)),MAX($D$1:D5627)+1,0)</f>
        <v>0</v>
      </c>
      <c r="H5628" s="6">
        <f t="shared" si="272"/>
        <v>0</v>
      </c>
      <c r="I5628" s="6">
        <f t="shared" si="273"/>
        <v>0</v>
      </c>
      <c r="J5628" s="6">
        <f t="shared" si="274"/>
        <v>0</v>
      </c>
      <c r="L5628" s="4" t="str">
        <f>IFERROR(VLOOKUP(ROWS($L$2:L5628),$B$2:$C$1996,2,0),"")</f>
        <v/>
      </c>
      <c r="N5628" s="2" t="str">
        <f>IFERROR(VLOOKUP(ROWS($N$2:N5628),$D$2:$E$1996,2,0),"")</f>
        <v/>
      </c>
    </row>
    <row r="5629" spans="2:14">
      <c r="B5629" s="32">
        <f>IF(ISNUMBER(SEARCH('Φόρμα Εισαγωγής'!$B$2,C5629)),MAX($B$1:B5628)+1,0)</f>
        <v>0</v>
      </c>
      <c r="D5629" s="33">
        <f>IF(ISNUMBER(SEARCH('Φόρμα Εισαγωγής'!$C$2,E5629)),MAX($D$1:D5628)+1,0)</f>
        <v>0</v>
      </c>
      <c r="H5629" s="6">
        <f t="shared" si="272"/>
        <v>0</v>
      </c>
      <c r="I5629" s="6">
        <f t="shared" si="273"/>
        <v>0</v>
      </c>
      <c r="J5629" s="6">
        <f t="shared" si="274"/>
        <v>0</v>
      </c>
      <c r="L5629" s="4" t="str">
        <f>IFERROR(VLOOKUP(ROWS($L$2:L5629),$B$2:$C$1996,2,0),"")</f>
        <v/>
      </c>
      <c r="N5629" s="2" t="str">
        <f>IFERROR(VLOOKUP(ROWS($N$2:N5629),$D$2:$E$1996,2,0),"")</f>
        <v/>
      </c>
    </row>
    <row r="5630" spans="2:14">
      <c r="B5630" s="32">
        <f>IF(ISNUMBER(SEARCH('Φόρμα Εισαγωγής'!$B$2,C5630)),MAX($B$1:B5629)+1,0)</f>
        <v>0</v>
      </c>
      <c r="D5630" s="33">
        <f>IF(ISNUMBER(SEARCH('Φόρμα Εισαγωγής'!$C$2,E5630)),MAX($D$1:D5629)+1,0)</f>
        <v>0</v>
      </c>
      <c r="H5630" s="6">
        <f t="shared" si="272"/>
        <v>0</v>
      </c>
      <c r="I5630" s="6">
        <f t="shared" si="273"/>
        <v>0</v>
      </c>
      <c r="J5630" s="6">
        <f t="shared" si="274"/>
        <v>0</v>
      </c>
      <c r="L5630" s="4" t="str">
        <f>IFERROR(VLOOKUP(ROWS($L$2:L5630),$B$2:$C$1996,2,0),"")</f>
        <v/>
      </c>
      <c r="N5630" s="2" t="str">
        <f>IFERROR(VLOOKUP(ROWS($N$2:N5630),$D$2:$E$1996,2,0),"")</f>
        <v/>
      </c>
    </row>
    <row r="5631" spans="2:14">
      <c r="B5631" s="32">
        <f>IF(ISNUMBER(SEARCH('Φόρμα Εισαγωγής'!$B$2,C5631)),MAX($B$1:B5630)+1,0)</f>
        <v>0</v>
      </c>
      <c r="D5631" s="33">
        <f>IF(ISNUMBER(SEARCH('Φόρμα Εισαγωγής'!$C$2,E5631)),MAX($D$1:D5630)+1,0)</f>
        <v>0</v>
      </c>
      <c r="H5631" s="6">
        <f t="shared" si="272"/>
        <v>0</v>
      </c>
      <c r="I5631" s="6">
        <f t="shared" si="273"/>
        <v>0</v>
      </c>
      <c r="J5631" s="6">
        <f t="shared" si="274"/>
        <v>0</v>
      </c>
      <c r="L5631" s="4" t="str">
        <f>IFERROR(VLOOKUP(ROWS($L$2:L5631),$B$2:$C$1996,2,0),"")</f>
        <v/>
      </c>
      <c r="N5631" s="2" t="str">
        <f>IFERROR(VLOOKUP(ROWS($N$2:N5631),$D$2:$E$1996,2,0),"")</f>
        <v/>
      </c>
    </row>
    <row r="5632" spans="2:14">
      <c r="B5632" s="32">
        <f>IF(ISNUMBER(SEARCH('Φόρμα Εισαγωγής'!$B$2,C5632)),MAX($B$1:B5631)+1,0)</f>
        <v>0</v>
      </c>
      <c r="D5632" s="33">
        <f>IF(ISNUMBER(SEARCH('Φόρμα Εισαγωγής'!$C$2,E5632)),MAX($D$1:D5631)+1,0)</f>
        <v>0</v>
      </c>
      <c r="H5632" s="6">
        <f t="shared" ref="H5632:H5695" si="275">G5632+(G5632*0.24)</f>
        <v>0</v>
      </c>
      <c r="I5632" s="6">
        <f t="shared" ref="I5632:I5695" si="276">F5632*A5632</f>
        <v>0</v>
      </c>
      <c r="J5632" s="6">
        <f t="shared" ref="J5632:J5695" si="277">H5632*A5632</f>
        <v>0</v>
      </c>
      <c r="L5632" s="4" t="str">
        <f>IFERROR(VLOOKUP(ROWS($L$2:L5632),$B$2:$C$1996,2,0),"")</f>
        <v/>
      </c>
      <c r="N5632" s="2" t="str">
        <f>IFERROR(VLOOKUP(ROWS($N$2:N5632),$D$2:$E$1996,2,0),"")</f>
        <v/>
      </c>
    </row>
    <row r="5633" spans="2:14">
      <c r="B5633" s="32">
        <f>IF(ISNUMBER(SEARCH('Φόρμα Εισαγωγής'!$B$2,C5633)),MAX($B$1:B5632)+1,0)</f>
        <v>0</v>
      </c>
      <c r="D5633" s="33">
        <f>IF(ISNUMBER(SEARCH('Φόρμα Εισαγωγής'!$C$2,E5633)),MAX($D$1:D5632)+1,0)</f>
        <v>0</v>
      </c>
      <c r="H5633" s="6">
        <f t="shared" si="275"/>
        <v>0</v>
      </c>
      <c r="I5633" s="6">
        <f t="shared" si="276"/>
        <v>0</v>
      </c>
      <c r="J5633" s="6">
        <f t="shared" si="277"/>
        <v>0</v>
      </c>
      <c r="L5633" s="4" t="str">
        <f>IFERROR(VLOOKUP(ROWS($L$2:L5633),$B$2:$C$1996,2,0),"")</f>
        <v/>
      </c>
      <c r="N5633" s="2" t="str">
        <f>IFERROR(VLOOKUP(ROWS($N$2:N5633),$D$2:$E$1996,2,0),"")</f>
        <v/>
      </c>
    </row>
    <row r="5634" spans="2:14">
      <c r="B5634" s="32">
        <f>IF(ISNUMBER(SEARCH('Φόρμα Εισαγωγής'!$B$2,C5634)),MAX($B$1:B5633)+1,0)</f>
        <v>0</v>
      </c>
      <c r="D5634" s="33">
        <f>IF(ISNUMBER(SEARCH('Φόρμα Εισαγωγής'!$C$2,E5634)),MAX($D$1:D5633)+1,0)</f>
        <v>0</v>
      </c>
      <c r="H5634" s="6">
        <f t="shared" si="275"/>
        <v>0</v>
      </c>
      <c r="I5634" s="6">
        <f t="shared" si="276"/>
        <v>0</v>
      </c>
      <c r="J5634" s="6">
        <f t="shared" si="277"/>
        <v>0</v>
      </c>
      <c r="L5634" s="4" t="str">
        <f>IFERROR(VLOOKUP(ROWS($L$2:L5634),$B$2:$C$1996,2,0),"")</f>
        <v/>
      </c>
      <c r="N5634" s="2" t="str">
        <f>IFERROR(VLOOKUP(ROWS($N$2:N5634),$D$2:$E$1996,2,0),"")</f>
        <v/>
      </c>
    </row>
    <row r="5635" spans="2:14">
      <c r="B5635" s="32">
        <f>IF(ISNUMBER(SEARCH('Φόρμα Εισαγωγής'!$B$2,C5635)),MAX($B$1:B5634)+1,0)</f>
        <v>0</v>
      </c>
      <c r="D5635" s="33">
        <f>IF(ISNUMBER(SEARCH('Φόρμα Εισαγωγής'!$C$2,E5635)),MAX($D$1:D5634)+1,0)</f>
        <v>0</v>
      </c>
      <c r="H5635" s="6">
        <f t="shared" si="275"/>
        <v>0</v>
      </c>
      <c r="I5635" s="6">
        <f t="shared" si="276"/>
        <v>0</v>
      </c>
      <c r="J5635" s="6">
        <f t="shared" si="277"/>
        <v>0</v>
      </c>
      <c r="L5635" s="4" t="str">
        <f>IFERROR(VLOOKUP(ROWS($L$2:L5635),$B$2:$C$1996,2,0),"")</f>
        <v/>
      </c>
      <c r="N5635" s="2" t="str">
        <f>IFERROR(VLOOKUP(ROWS($N$2:N5635),$D$2:$E$1996,2,0),"")</f>
        <v/>
      </c>
    </row>
    <row r="5636" spans="2:14">
      <c r="B5636" s="32">
        <f>IF(ISNUMBER(SEARCH('Φόρμα Εισαγωγής'!$B$2,C5636)),MAX($B$1:B5635)+1,0)</f>
        <v>0</v>
      </c>
      <c r="D5636" s="33">
        <f>IF(ISNUMBER(SEARCH('Φόρμα Εισαγωγής'!$C$2,E5636)),MAX($D$1:D5635)+1,0)</f>
        <v>0</v>
      </c>
      <c r="H5636" s="6">
        <f t="shared" si="275"/>
        <v>0</v>
      </c>
      <c r="I5636" s="6">
        <f t="shared" si="276"/>
        <v>0</v>
      </c>
      <c r="J5636" s="6">
        <f t="shared" si="277"/>
        <v>0</v>
      </c>
      <c r="L5636" s="4" t="str">
        <f>IFERROR(VLOOKUP(ROWS($L$2:L5636),$B$2:$C$1996,2,0),"")</f>
        <v/>
      </c>
      <c r="N5636" s="2" t="str">
        <f>IFERROR(VLOOKUP(ROWS($N$2:N5636),$D$2:$E$1996,2,0),"")</f>
        <v/>
      </c>
    </row>
    <row r="5637" spans="2:14">
      <c r="B5637" s="32">
        <f>IF(ISNUMBER(SEARCH('Φόρμα Εισαγωγής'!$B$2,C5637)),MAX($B$1:B5636)+1,0)</f>
        <v>0</v>
      </c>
      <c r="D5637" s="33">
        <f>IF(ISNUMBER(SEARCH('Φόρμα Εισαγωγής'!$C$2,E5637)),MAX($D$1:D5636)+1,0)</f>
        <v>0</v>
      </c>
      <c r="H5637" s="6">
        <f t="shared" si="275"/>
        <v>0</v>
      </c>
      <c r="I5637" s="6">
        <f t="shared" si="276"/>
        <v>0</v>
      </c>
      <c r="J5637" s="6">
        <f t="shared" si="277"/>
        <v>0</v>
      </c>
      <c r="L5637" s="4" t="str">
        <f>IFERROR(VLOOKUP(ROWS($L$2:L5637),$B$2:$C$1996,2,0),"")</f>
        <v/>
      </c>
      <c r="N5637" s="2" t="str">
        <f>IFERROR(VLOOKUP(ROWS($N$2:N5637),$D$2:$E$1996,2,0),"")</f>
        <v/>
      </c>
    </row>
    <row r="5638" spans="2:14">
      <c r="B5638" s="32">
        <f>IF(ISNUMBER(SEARCH('Φόρμα Εισαγωγής'!$B$2,C5638)),MAX($B$1:B5637)+1,0)</f>
        <v>0</v>
      </c>
      <c r="D5638" s="33">
        <f>IF(ISNUMBER(SEARCH('Φόρμα Εισαγωγής'!$C$2,E5638)),MAX($D$1:D5637)+1,0)</f>
        <v>0</v>
      </c>
      <c r="H5638" s="6">
        <f t="shared" si="275"/>
        <v>0</v>
      </c>
      <c r="I5638" s="6">
        <f t="shared" si="276"/>
        <v>0</v>
      </c>
      <c r="J5638" s="6">
        <f t="shared" si="277"/>
        <v>0</v>
      </c>
      <c r="L5638" s="4" t="str">
        <f>IFERROR(VLOOKUP(ROWS($L$2:L5638),$B$2:$C$1996,2,0),"")</f>
        <v/>
      </c>
      <c r="N5638" s="2" t="str">
        <f>IFERROR(VLOOKUP(ROWS($N$2:N5638),$D$2:$E$1996,2,0),"")</f>
        <v/>
      </c>
    </row>
    <row r="5639" spans="2:14">
      <c r="B5639" s="32">
        <f>IF(ISNUMBER(SEARCH('Φόρμα Εισαγωγής'!$B$2,C5639)),MAX($B$1:B5638)+1,0)</f>
        <v>0</v>
      </c>
      <c r="D5639" s="33">
        <f>IF(ISNUMBER(SEARCH('Φόρμα Εισαγωγής'!$C$2,E5639)),MAX($D$1:D5638)+1,0)</f>
        <v>0</v>
      </c>
      <c r="H5639" s="6">
        <f t="shared" si="275"/>
        <v>0</v>
      </c>
      <c r="I5639" s="6">
        <f t="shared" si="276"/>
        <v>0</v>
      </c>
      <c r="J5639" s="6">
        <f t="shared" si="277"/>
        <v>0</v>
      </c>
      <c r="L5639" s="4" t="str">
        <f>IFERROR(VLOOKUP(ROWS($L$2:L5639),$B$2:$C$1996,2,0),"")</f>
        <v/>
      </c>
      <c r="N5639" s="2" t="str">
        <f>IFERROR(VLOOKUP(ROWS($N$2:N5639),$D$2:$E$1996,2,0),"")</f>
        <v/>
      </c>
    </row>
    <row r="5640" spans="2:14">
      <c r="B5640" s="32">
        <f>IF(ISNUMBER(SEARCH('Φόρμα Εισαγωγής'!$B$2,C5640)),MAX($B$1:B5639)+1,0)</f>
        <v>0</v>
      </c>
      <c r="D5640" s="33">
        <f>IF(ISNUMBER(SEARCH('Φόρμα Εισαγωγής'!$C$2,E5640)),MAX($D$1:D5639)+1,0)</f>
        <v>0</v>
      </c>
      <c r="H5640" s="6">
        <f t="shared" si="275"/>
        <v>0</v>
      </c>
      <c r="I5640" s="6">
        <f t="shared" si="276"/>
        <v>0</v>
      </c>
      <c r="J5640" s="6">
        <f t="shared" si="277"/>
        <v>0</v>
      </c>
      <c r="L5640" s="4" t="str">
        <f>IFERROR(VLOOKUP(ROWS($L$2:L5640),$B$2:$C$1996,2,0),"")</f>
        <v/>
      </c>
      <c r="N5640" s="2" t="str">
        <f>IFERROR(VLOOKUP(ROWS($N$2:N5640),$D$2:$E$1996,2,0),"")</f>
        <v/>
      </c>
    </row>
    <row r="5641" spans="2:14">
      <c r="B5641" s="32">
        <f>IF(ISNUMBER(SEARCH('Φόρμα Εισαγωγής'!$B$2,C5641)),MAX($B$1:B5640)+1,0)</f>
        <v>0</v>
      </c>
      <c r="D5641" s="33">
        <f>IF(ISNUMBER(SEARCH('Φόρμα Εισαγωγής'!$C$2,E5641)),MAX($D$1:D5640)+1,0)</f>
        <v>0</v>
      </c>
      <c r="H5641" s="6">
        <f t="shared" si="275"/>
        <v>0</v>
      </c>
      <c r="I5641" s="6">
        <f t="shared" si="276"/>
        <v>0</v>
      </c>
      <c r="J5641" s="6">
        <f t="shared" si="277"/>
        <v>0</v>
      </c>
      <c r="L5641" s="4" t="str">
        <f>IFERROR(VLOOKUP(ROWS($L$2:L5641),$B$2:$C$1996,2,0),"")</f>
        <v/>
      </c>
      <c r="N5641" s="2" t="str">
        <f>IFERROR(VLOOKUP(ROWS($N$2:N5641),$D$2:$E$1996,2,0),"")</f>
        <v/>
      </c>
    </row>
    <row r="5642" spans="2:14">
      <c r="B5642" s="32">
        <f>IF(ISNUMBER(SEARCH('Φόρμα Εισαγωγής'!$B$2,C5642)),MAX($B$1:B5641)+1,0)</f>
        <v>0</v>
      </c>
      <c r="D5642" s="33">
        <f>IF(ISNUMBER(SEARCH('Φόρμα Εισαγωγής'!$C$2,E5642)),MAX($D$1:D5641)+1,0)</f>
        <v>0</v>
      </c>
      <c r="H5642" s="6">
        <f t="shared" si="275"/>
        <v>0</v>
      </c>
      <c r="I5642" s="6">
        <f t="shared" si="276"/>
        <v>0</v>
      </c>
      <c r="J5642" s="6">
        <f t="shared" si="277"/>
        <v>0</v>
      </c>
      <c r="L5642" s="4" t="str">
        <f>IFERROR(VLOOKUP(ROWS($L$2:L5642),$B$2:$C$1996,2,0),"")</f>
        <v/>
      </c>
      <c r="N5642" s="2" t="str">
        <f>IFERROR(VLOOKUP(ROWS($N$2:N5642),$D$2:$E$1996,2,0),"")</f>
        <v/>
      </c>
    </row>
    <row r="5643" spans="2:14">
      <c r="B5643" s="32">
        <f>IF(ISNUMBER(SEARCH('Φόρμα Εισαγωγής'!$B$2,C5643)),MAX($B$1:B5642)+1,0)</f>
        <v>0</v>
      </c>
      <c r="D5643" s="33">
        <f>IF(ISNUMBER(SEARCH('Φόρμα Εισαγωγής'!$C$2,E5643)),MAX($D$1:D5642)+1,0)</f>
        <v>0</v>
      </c>
      <c r="H5643" s="6">
        <f t="shared" si="275"/>
        <v>0</v>
      </c>
      <c r="I5643" s="6">
        <f t="shared" si="276"/>
        <v>0</v>
      </c>
      <c r="J5643" s="6">
        <f t="shared" si="277"/>
        <v>0</v>
      </c>
      <c r="L5643" s="4" t="str">
        <f>IFERROR(VLOOKUP(ROWS($L$2:L5643),$B$2:$C$1996,2,0),"")</f>
        <v/>
      </c>
      <c r="N5643" s="2" t="str">
        <f>IFERROR(VLOOKUP(ROWS($N$2:N5643),$D$2:$E$1996,2,0),"")</f>
        <v/>
      </c>
    </row>
    <row r="5644" spans="2:14">
      <c r="B5644" s="32">
        <f>IF(ISNUMBER(SEARCH('Φόρμα Εισαγωγής'!$B$2,C5644)),MAX($B$1:B5643)+1,0)</f>
        <v>0</v>
      </c>
      <c r="D5644" s="33">
        <f>IF(ISNUMBER(SEARCH('Φόρμα Εισαγωγής'!$C$2,E5644)),MAX($D$1:D5643)+1,0)</f>
        <v>0</v>
      </c>
      <c r="H5644" s="6">
        <f t="shared" si="275"/>
        <v>0</v>
      </c>
      <c r="I5644" s="6">
        <f t="shared" si="276"/>
        <v>0</v>
      </c>
      <c r="J5644" s="6">
        <f t="shared" si="277"/>
        <v>0</v>
      </c>
      <c r="L5644" s="4" t="str">
        <f>IFERROR(VLOOKUP(ROWS($L$2:L5644),$B$2:$C$1996,2,0),"")</f>
        <v/>
      </c>
      <c r="N5644" s="2" t="str">
        <f>IFERROR(VLOOKUP(ROWS($N$2:N5644),$D$2:$E$1996,2,0),"")</f>
        <v/>
      </c>
    </row>
    <row r="5645" spans="2:14">
      <c r="B5645" s="32">
        <f>IF(ISNUMBER(SEARCH('Φόρμα Εισαγωγής'!$B$2,C5645)),MAX($B$1:B5644)+1,0)</f>
        <v>0</v>
      </c>
      <c r="D5645" s="33">
        <f>IF(ISNUMBER(SEARCH('Φόρμα Εισαγωγής'!$C$2,E5645)),MAX($D$1:D5644)+1,0)</f>
        <v>0</v>
      </c>
      <c r="H5645" s="6">
        <f t="shared" si="275"/>
        <v>0</v>
      </c>
      <c r="I5645" s="6">
        <f t="shared" si="276"/>
        <v>0</v>
      </c>
      <c r="J5645" s="6">
        <f t="shared" si="277"/>
        <v>0</v>
      </c>
      <c r="L5645" s="4" t="str">
        <f>IFERROR(VLOOKUP(ROWS($L$2:L5645),$B$2:$C$1996,2,0),"")</f>
        <v/>
      </c>
      <c r="N5645" s="2" t="str">
        <f>IFERROR(VLOOKUP(ROWS($N$2:N5645),$D$2:$E$1996,2,0),"")</f>
        <v/>
      </c>
    </row>
    <row r="5646" spans="2:14">
      <c r="B5646" s="32">
        <f>IF(ISNUMBER(SEARCH('Φόρμα Εισαγωγής'!$B$2,C5646)),MAX($B$1:B5645)+1,0)</f>
        <v>0</v>
      </c>
      <c r="D5646" s="33">
        <f>IF(ISNUMBER(SEARCH('Φόρμα Εισαγωγής'!$C$2,E5646)),MAX($D$1:D5645)+1,0)</f>
        <v>0</v>
      </c>
      <c r="H5646" s="6">
        <f t="shared" si="275"/>
        <v>0</v>
      </c>
      <c r="I5646" s="6">
        <f t="shared" si="276"/>
        <v>0</v>
      </c>
      <c r="J5646" s="6">
        <f t="shared" si="277"/>
        <v>0</v>
      </c>
      <c r="L5646" s="4" t="str">
        <f>IFERROR(VLOOKUP(ROWS($L$2:L5646),$B$2:$C$1996,2,0),"")</f>
        <v/>
      </c>
      <c r="N5646" s="2" t="str">
        <f>IFERROR(VLOOKUP(ROWS($N$2:N5646),$D$2:$E$1996,2,0),"")</f>
        <v/>
      </c>
    </row>
    <row r="5647" spans="2:14">
      <c r="B5647" s="32">
        <f>IF(ISNUMBER(SEARCH('Φόρμα Εισαγωγής'!$B$2,C5647)),MAX($B$1:B5646)+1,0)</f>
        <v>0</v>
      </c>
      <c r="D5647" s="33">
        <f>IF(ISNUMBER(SEARCH('Φόρμα Εισαγωγής'!$C$2,E5647)),MAX($D$1:D5646)+1,0)</f>
        <v>0</v>
      </c>
      <c r="H5647" s="6">
        <f t="shared" si="275"/>
        <v>0</v>
      </c>
      <c r="I5647" s="6">
        <f t="shared" si="276"/>
        <v>0</v>
      </c>
      <c r="J5647" s="6">
        <f t="shared" si="277"/>
        <v>0</v>
      </c>
      <c r="L5647" s="4" t="str">
        <f>IFERROR(VLOOKUP(ROWS($L$2:L5647),$B$2:$C$1996,2,0),"")</f>
        <v/>
      </c>
      <c r="N5647" s="2" t="str">
        <f>IFERROR(VLOOKUP(ROWS($N$2:N5647),$D$2:$E$1996,2,0),"")</f>
        <v/>
      </c>
    </row>
    <row r="5648" spans="2:14">
      <c r="B5648" s="32">
        <f>IF(ISNUMBER(SEARCH('Φόρμα Εισαγωγής'!$B$2,C5648)),MAX($B$1:B5647)+1,0)</f>
        <v>0</v>
      </c>
      <c r="D5648" s="33">
        <f>IF(ISNUMBER(SEARCH('Φόρμα Εισαγωγής'!$C$2,E5648)),MAX($D$1:D5647)+1,0)</f>
        <v>0</v>
      </c>
      <c r="H5648" s="6">
        <f t="shared" si="275"/>
        <v>0</v>
      </c>
      <c r="I5648" s="6">
        <f t="shared" si="276"/>
        <v>0</v>
      </c>
      <c r="J5648" s="6">
        <f t="shared" si="277"/>
        <v>0</v>
      </c>
      <c r="L5648" s="4" t="str">
        <f>IFERROR(VLOOKUP(ROWS($L$2:L5648),$B$2:$C$1996,2,0),"")</f>
        <v/>
      </c>
      <c r="N5648" s="2" t="str">
        <f>IFERROR(VLOOKUP(ROWS($N$2:N5648),$D$2:$E$1996,2,0),"")</f>
        <v/>
      </c>
    </row>
    <row r="5649" spans="2:14">
      <c r="B5649" s="32">
        <f>IF(ISNUMBER(SEARCH('Φόρμα Εισαγωγής'!$B$2,C5649)),MAX($B$1:B5648)+1,0)</f>
        <v>0</v>
      </c>
      <c r="D5649" s="33">
        <f>IF(ISNUMBER(SEARCH('Φόρμα Εισαγωγής'!$C$2,E5649)),MAX($D$1:D5648)+1,0)</f>
        <v>0</v>
      </c>
      <c r="H5649" s="6">
        <f t="shared" si="275"/>
        <v>0</v>
      </c>
      <c r="I5649" s="6">
        <f t="shared" si="276"/>
        <v>0</v>
      </c>
      <c r="J5649" s="6">
        <f t="shared" si="277"/>
        <v>0</v>
      </c>
      <c r="L5649" s="4" t="str">
        <f>IFERROR(VLOOKUP(ROWS($L$2:L5649),$B$2:$C$1996,2,0),"")</f>
        <v/>
      </c>
      <c r="N5649" s="2" t="str">
        <f>IFERROR(VLOOKUP(ROWS($N$2:N5649),$D$2:$E$1996,2,0),"")</f>
        <v/>
      </c>
    </row>
    <row r="5650" spans="2:14">
      <c r="B5650" s="32">
        <f>IF(ISNUMBER(SEARCH('Φόρμα Εισαγωγής'!$B$2,C5650)),MAX($B$1:B5649)+1,0)</f>
        <v>0</v>
      </c>
      <c r="D5650" s="33">
        <f>IF(ISNUMBER(SEARCH('Φόρμα Εισαγωγής'!$C$2,E5650)),MAX($D$1:D5649)+1,0)</f>
        <v>0</v>
      </c>
      <c r="H5650" s="6">
        <f t="shared" si="275"/>
        <v>0</v>
      </c>
      <c r="I5650" s="6">
        <f t="shared" si="276"/>
        <v>0</v>
      </c>
      <c r="J5650" s="6">
        <f t="shared" si="277"/>
        <v>0</v>
      </c>
      <c r="L5650" s="4" t="str">
        <f>IFERROR(VLOOKUP(ROWS($L$2:L5650),$B$2:$C$1996,2,0),"")</f>
        <v/>
      </c>
      <c r="N5650" s="2" t="str">
        <f>IFERROR(VLOOKUP(ROWS($N$2:N5650),$D$2:$E$1996,2,0),"")</f>
        <v/>
      </c>
    </row>
    <row r="5651" spans="2:14">
      <c r="B5651" s="32">
        <f>IF(ISNUMBER(SEARCH('Φόρμα Εισαγωγής'!$B$2,C5651)),MAX($B$1:B5650)+1,0)</f>
        <v>0</v>
      </c>
      <c r="D5651" s="33">
        <f>IF(ISNUMBER(SEARCH('Φόρμα Εισαγωγής'!$C$2,E5651)),MAX($D$1:D5650)+1,0)</f>
        <v>0</v>
      </c>
      <c r="H5651" s="6">
        <f t="shared" si="275"/>
        <v>0</v>
      </c>
      <c r="I5651" s="6">
        <f t="shared" si="276"/>
        <v>0</v>
      </c>
      <c r="J5651" s="6">
        <f t="shared" si="277"/>
        <v>0</v>
      </c>
      <c r="L5651" s="4" t="str">
        <f>IFERROR(VLOOKUP(ROWS($L$2:L5651),$B$2:$C$1996,2,0),"")</f>
        <v/>
      </c>
      <c r="N5651" s="2" t="str">
        <f>IFERROR(VLOOKUP(ROWS($N$2:N5651),$D$2:$E$1996,2,0),"")</f>
        <v/>
      </c>
    </row>
    <row r="5652" spans="2:14">
      <c r="B5652" s="32">
        <f>IF(ISNUMBER(SEARCH('Φόρμα Εισαγωγής'!$B$2,C5652)),MAX($B$1:B5651)+1,0)</f>
        <v>0</v>
      </c>
      <c r="D5652" s="33">
        <f>IF(ISNUMBER(SEARCH('Φόρμα Εισαγωγής'!$C$2,E5652)),MAX($D$1:D5651)+1,0)</f>
        <v>0</v>
      </c>
      <c r="H5652" s="6">
        <f t="shared" si="275"/>
        <v>0</v>
      </c>
      <c r="I5652" s="6">
        <f t="shared" si="276"/>
        <v>0</v>
      </c>
      <c r="J5652" s="6">
        <f t="shared" si="277"/>
        <v>0</v>
      </c>
      <c r="L5652" s="4" t="str">
        <f>IFERROR(VLOOKUP(ROWS($L$2:L5652),$B$2:$C$1996,2,0),"")</f>
        <v/>
      </c>
      <c r="N5652" s="2" t="str">
        <f>IFERROR(VLOOKUP(ROWS($N$2:N5652),$D$2:$E$1996,2,0),"")</f>
        <v/>
      </c>
    </row>
    <row r="5653" spans="2:14">
      <c r="B5653" s="32">
        <f>IF(ISNUMBER(SEARCH('Φόρμα Εισαγωγής'!$B$2,C5653)),MAX($B$1:B5652)+1,0)</f>
        <v>0</v>
      </c>
      <c r="D5653" s="33">
        <f>IF(ISNUMBER(SEARCH('Φόρμα Εισαγωγής'!$C$2,E5653)),MAX($D$1:D5652)+1,0)</f>
        <v>0</v>
      </c>
      <c r="H5653" s="6">
        <f t="shared" si="275"/>
        <v>0</v>
      </c>
      <c r="I5653" s="6">
        <f t="shared" si="276"/>
        <v>0</v>
      </c>
      <c r="J5653" s="6">
        <f t="shared" si="277"/>
        <v>0</v>
      </c>
      <c r="L5653" s="4" t="str">
        <f>IFERROR(VLOOKUP(ROWS($L$2:L5653),$B$2:$C$1996,2,0),"")</f>
        <v/>
      </c>
      <c r="N5653" s="2" t="str">
        <f>IFERROR(VLOOKUP(ROWS($N$2:N5653),$D$2:$E$1996,2,0),"")</f>
        <v/>
      </c>
    </row>
    <row r="5654" spans="2:14">
      <c r="B5654" s="32">
        <f>IF(ISNUMBER(SEARCH('Φόρμα Εισαγωγής'!$B$2,C5654)),MAX($B$1:B5653)+1,0)</f>
        <v>0</v>
      </c>
      <c r="D5654" s="33">
        <f>IF(ISNUMBER(SEARCH('Φόρμα Εισαγωγής'!$C$2,E5654)),MAX($D$1:D5653)+1,0)</f>
        <v>0</v>
      </c>
      <c r="H5654" s="6">
        <f t="shared" si="275"/>
        <v>0</v>
      </c>
      <c r="I5654" s="6">
        <f t="shared" si="276"/>
        <v>0</v>
      </c>
      <c r="J5654" s="6">
        <f t="shared" si="277"/>
        <v>0</v>
      </c>
      <c r="L5654" s="4" t="str">
        <f>IFERROR(VLOOKUP(ROWS($L$2:L5654),$B$2:$C$1996,2,0),"")</f>
        <v/>
      </c>
      <c r="N5654" s="2" t="str">
        <f>IFERROR(VLOOKUP(ROWS($N$2:N5654),$D$2:$E$1996,2,0),"")</f>
        <v/>
      </c>
    </row>
    <row r="5655" spans="2:14">
      <c r="B5655" s="32">
        <f>IF(ISNUMBER(SEARCH('Φόρμα Εισαγωγής'!$B$2,C5655)),MAX($B$1:B5654)+1,0)</f>
        <v>0</v>
      </c>
      <c r="D5655" s="33">
        <f>IF(ISNUMBER(SEARCH('Φόρμα Εισαγωγής'!$C$2,E5655)),MAX($D$1:D5654)+1,0)</f>
        <v>0</v>
      </c>
      <c r="H5655" s="6">
        <f t="shared" si="275"/>
        <v>0</v>
      </c>
      <c r="I5655" s="6">
        <f t="shared" si="276"/>
        <v>0</v>
      </c>
      <c r="J5655" s="6">
        <f t="shared" si="277"/>
        <v>0</v>
      </c>
      <c r="L5655" s="4" t="str">
        <f>IFERROR(VLOOKUP(ROWS($L$2:L5655),$B$2:$C$1996,2,0),"")</f>
        <v/>
      </c>
      <c r="N5655" s="2" t="str">
        <f>IFERROR(VLOOKUP(ROWS($N$2:N5655),$D$2:$E$1996,2,0),"")</f>
        <v/>
      </c>
    </row>
    <row r="5656" spans="2:14">
      <c r="B5656" s="32">
        <f>IF(ISNUMBER(SEARCH('Φόρμα Εισαγωγής'!$B$2,C5656)),MAX($B$1:B5655)+1,0)</f>
        <v>0</v>
      </c>
      <c r="D5656" s="33">
        <f>IF(ISNUMBER(SEARCH('Φόρμα Εισαγωγής'!$C$2,E5656)),MAX($D$1:D5655)+1,0)</f>
        <v>0</v>
      </c>
      <c r="H5656" s="6">
        <f t="shared" si="275"/>
        <v>0</v>
      </c>
      <c r="I5656" s="6">
        <f t="shared" si="276"/>
        <v>0</v>
      </c>
      <c r="J5656" s="6">
        <f t="shared" si="277"/>
        <v>0</v>
      </c>
      <c r="L5656" s="4" t="str">
        <f>IFERROR(VLOOKUP(ROWS($L$2:L5656),$B$2:$C$1996,2,0),"")</f>
        <v/>
      </c>
      <c r="N5656" s="2" t="str">
        <f>IFERROR(VLOOKUP(ROWS($N$2:N5656),$D$2:$E$1996,2,0),"")</f>
        <v/>
      </c>
    </row>
    <row r="5657" spans="2:14">
      <c r="B5657" s="32">
        <f>IF(ISNUMBER(SEARCH('Φόρμα Εισαγωγής'!$B$2,C5657)),MAX($B$1:B5656)+1,0)</f>
        <v>0</v>
      </c>
      <c r="D5657" s="33">
        <f>IF(ISNUMBER(SEARCH('Φόρμα Εισαγωγής'!$C$2,E5657)),MAX($D$1:D5656)+1,0)</f>
        <v>0</v>
      </c>
      <c r="H5657" s="6">
        <f t="shared" si="275"/>
        <v>0</v>
      </c>
      <c r="I5657" s="6">
        <f t="shared" si="276"/>
        <v>0</v>
      </c>
      <c r="J5657" s="6">
        <f t="shared" si="277"/>
        <v>0</v>
      </c>
      <c r="L5657" s="4" t="str">
        <f>IFERROR(VLOOKUP(ROWS($L$2:L5657),$B$2:$C$1996,2,0),"")</f>
        <v/>
      </c>
      <c r="N5657" s="2" t="str">
        <f>IFERROR(VLOOKUP(ROWS($N$2:N5657),$D$2:$E$1996,2,0),"")</f>
        <v/>
      </c>
    </row>
    <row r="5658" spans="2:14">
      <c r="B5658" s="32">
        <f>IF(ISNUMBER(SEARCH('Φόρμα Εισαγωγής'!$B$2,C5658)),MAX($B$1:B5657)+1,0)</f>
        <v>0</v>
      </c>
      <c r="D5658" s="33">
        <f>IF(ISNUMBER(SEARCH('Φόρμα Εισαγωγής'!$C$2,E5658)),MAX($D$1:D5657)+1,0)</f>
        <v>0</v>
      </c>
      <c r="H5658" s="6">
        <f t="shared" si="275"/>
        <v>0</v>
      </c>
      <c r="I5658" s="6">
        <f t="shared" si="276"/>
        <v>0</v>
      </c>
      <c r="J5658" s="6">
        <f t="shared" si="277"/>
        <v>0</v>
      </c>
      <c r="L5658" s="4" t="str">
        <f>IFERROR(VLOOKUP(ROWS($L$2:L5658),$B$2:$C$1996,2,0),"")</f>
        <v/>
      </c>
      <c r="N5658" s="2" t="str">
        <f>IFERROR(VLOOKUP(ROWS($N$2:N5658),$D$2:$E$1996,2,0),"")</f>
        <v/>
      </c>
    </row>
    <row r="5659" spans="2:14">
      <c r="B5659" s="32">
        <f>IF(ISNUMBER(SEARCH('Φόρμα Εισαγωγής'!$B$2,C5659)),MAX($B$1:B5658)+1,0)</f>
        <v>0</v>
      </c>
      <c r="D5659" s="33">
        <f>IF(ISNUMBER(SEARCH('Φόρμα Εισαγωγής'!$C$2,E5659)),MAX($D$1:D5658)+1,0)</f>
        <v>0</v>
      </c>
      <c r="H5659" s="6">
        <f t="shared" si="275"/>
        <v>0</v>
      </c>
      <c r="I5659" s="6">
        <f t="shared" si="276"/>
        <v>0</v>
      </c>
      <c r="J5659" s="6">
        <f t="shared" si="277"/>
        <v>0</v>
      </c>
      <c r="L5659" s="4" t="str">
        <f>IFERROR(VLOOKUP(ROWS($L$2:L5659),$B$2:$C$1996,2,0),"")</f>
        <v/>
      </c>
      <c r="N5659" s="2" t="str">
        <f>IFERROR(VLOOKUP(ROWS($N$2:N5659),$D$2:$E$1996,2,0),"")</f>
        <v/>
      </c>
    </row>
    <row r="5660" spans="2:14">
      <c r="B5660" s="32">
        <f>IF(ISNUMBER(SEARCH('Φόρμα Εισαγωγής'!$B$2,C5660)),MAX($B$1:B5659)+1,0)</f>
        <v>0</v>
      </c>
      <c r="D5660" s="33">
        <f>IF(ISNUMBER(SEARCH('Φόρμα Εισαγωγής'!$C$2,E5660)),MAX($D$1:D5659)+1,0)</f>
        <v>0</v>
      </c>
      <c r="H5660" s="6">
        <f t="shared" si="275"/>
        <v>0</v>
      </c>
      <c r="I5660" s="6">
        <f t="shared" si="276"/>
        <v>0</v>
      </c>
      <c r="J5660" s="6">
        <f t="shared" si="277"/>
        <v>0</v>
      </c>
      <c r="L5660" s="4" t="str">
        <f>IFERROR(VLOOKUP(ROWS($L$2:L5660),$B$2:$C$1996,2,0),"")</f>
        <v/>
      </c>
      <c r="N5660" s="2" t="str">
        <f>IFERROR(VLOOKUP(ROWS($N$2:N5660),$D$2:$E$1996,2,0),"")</f>
        <v/>
      </c>
    </row>
    <row r="5661" spans="2:14">
      <c r="B5661" s="32">
        <f>IF(ISNUMBER(SEARCH('Φόρμα Εισαγωγής'!$B$2,C5661)),MAX($B$1:B5660)+1,0)</f>
        <v>0</v>
      </c>
      <c r="D5661" s="33">
        <f>IF(ISNUMBER(SEARCH('Φόρμα Εισαγωγής'!$C$2,E5661)),MAX($D$1:D5660)+1,0)</f>
        <v>0</v>
      </c>
      <c r="H5661" s="6">
        <f t="shared" si="275"/>
        <v>0</v>
      </c>
      <c r="I5661" s="6">
        <f t="shared" si="276"/>
        <v>0</v>
      </c>
      <c r="J5661" s="6">
        <f t="shared" si="277"/>
        <v>0</v>
      </c>
      <c r="L5661" s="4" t="str">
        <f>IFERROR(VLOOKUP(ROWS($L$2:L5661),$B$2:$C$1996,2,0),"")</f>
        <v/>
      </c>
      <c r="N5661" s="2" t="str">
        <f>IFERROR(VLOOKUP(ROWS($N$2:N5661),$D$2:$E$1996,2,0),"")</f>
        <v/>
      </c>
    </row>
    <row r="5662" spans="2:14">
      <c r="B5662" s="32">
        <f>IF(ISNUMBER(SEARCH('Φόρμα Εισαγωγής'!$B$2,C5662)),MAX($B$1:B5661)+1,0)</f>
        <v>0</v>
      </c>
      <c r="D5662" s="33">
        <f>IF(ISNUMBER(SEARCH('Φόρμα Εισαγωγής'!$C$2,E5662)),MAX($D$1:D5661)+1,0)</f>
        <v>0</v>
      </c>
      <c r="H5662" s="6">
        <f t="shared" si="275"/>
        <v>0</v>
      </c>
      <c r="I5662" s="6">
        <f t="shared" si="276"/>
        <v>0</v>
      </c>
      <c r="J5662" s="6">
        <f t="shared" si="277"/>
        <v>0</v>
      </c>
      <c r="L5662" s="4" t="str">
        <f>IFERROR(VLOOKUP(ROWS($L$2:L5662),$B$2:$C$1996,2,0),"")</f>
        <v/>
      </c>
      <c r="N5662" s="2" t="str">
        <f>IFERROR(VLOOKUP(ROWS($N$2:N5662),$D$2:$E$1996,2,0),"")</f>
        <v/>
      </c>
    </row>
    <row r="5663" spans="2:14">
      <c r="B5663" s="32">
        <f>IF(ISNUMBER(SEARCH('Φόρμα Εισαγωγής'!$B$2,C5663)),MAX($B$1:B5662)+1,0)</f>
        <v>0</v>
      </c>
      <c r="D5663" s="33">
        <f>IF(ISNUMBER(SEARCH('Φόρμα Εισαγωγής'!$C$2,E5663)),MAX($D$1:D5662)+1,0)</f>
        <v>0</v>
      </c>
      <c r="H5663" s="6">
        <f t="shared" si="275"/>
        <v>0</v>
      </c>
      <c r="I5663" s="6">
        <f t="shared" si="276"/>
        <v>0</v>
      </c>
      <c r="J5663" s="6">
        <f t="shared" si="277"/>
        <v>0</v>
      </c>
      <c r="L5663" s="4" t="str">
        <f>IFERROR(VLOOKUP(ROWS($L$2:L5663),$B$2:$C$1996,2,0),"")</f>
        <v/>
      </c>
      <c r="N5663" s="2" t="str">
        <f>IFERROR(VLOOKUP(ROWS($N$2:N5663),$D$2:$E$1996,2,0),"")</f>
        <v/>
      </c>
    </row>
    <row r="5664" spans="2:14">
      <c r="B5664" s="32">
        <f>IF(ISNUMBER(SEARCH('Φόρμα Εισαγωγής'!$B$2,C5664)),MAX($B$1:B5663)+1,0)</f>
        <v>0</v>
      </c>
      <c r="D5664" s="33">
        <f>IF(ISNUMBER(SEARCH('Φόρμα Εισαγωγής'!$C$2,E5664)),MAX($D$1:D5663)+1,0)</f>
        <v>0</v>
      </c>
      <c r="H5664" s="6">
        <f t="shared" si="275"/>
        <v>0</v>
      </c>
      <c r="I5664" s="6">
        <f t="shared" si="276"/>
        <v>0</v>
      </c>
      <c r="J5664" s="6">
        <f t="shared" si="277"/>
        <v>0</v>
      </c>
      <c r="L5664" s="4" t="str">
        <f>IFERROR(VLOOKUP(ROWS($L$2:L5664),$B$2:$C$1996,2,0),"")</f>
        <v/>
      </c>
      <c r="N5664" s="2" t="str">
        <f>IFERROR(VLOOKUP(ROWS($N$2:N5664),$D$2:$E$1996,2,0),"")</f>
        <v/>
      </c>
    </row>
    <row r="5665" spans="2:14">
      <c r="B5665" s="32">
        <f>IF(ISNUMBER(SEARCH('Φόρμα Εισαγωγής'!$B$2,C5665)),MAX($B$1:B5664)+1,0)</f>
        <v>0</v>
      </c>
      <c r="D5665" s="33">
        <f>IF(ISNUMBER(SEARCH('Φόρμα Εισαγωγής'!$C$2,E5665)),MAX($D$1:D5664)+1,0)</f>
        <v>0</v>
      </c>
      <c r="H5665" s="6">
        <f t="shared" si="275"/>
        <v>0</v>
      </c>
      <c r="I5665" s="6">
        <f t="shared" si="276"/>
        <v>0</v>
      </c>
      <c r="J5665" s="6">
        <f t="shared" si="277"/>
        <v>0</v>
      </c>
      <c r="L5665" s="4" t="str">
        <f>IFERROR(VLOOKUP(ROWS($L$2:L5665),$B$2:$C$1996,2,0),"")</f>
        <v/>
      </c>
      <c r="N5665" s="2" t="str">
        <f>IFERROR(VLOOKUP(ROWS($N$2:N5665),$D$2:$E$1996,2,0),"")</f>
        <v/>
      </c>
    </row>
    <row r="5666" spans="2:14">
      <c r="B5666" s="32">
        <f>IF(ISNUMBER(SEARCH('Φόρμα Εισαγωγής'!$B$2,C5666)),MAX($B$1:B5665)+1,0)</f>
        <v>0</v>
      </c>
      <c r="D5666" s="33">
        <f>IF(ISNUMBER(SEARCH('Φόρμα Εισαγωγής'!$C$2,E5666)),MAX($D$1:D5665)+1,0)</f>
        <v>0</v>
      </c>
      <c r="H5666" s="6">
        <f t="shared" si="275"/>
        <v>0</v>
      </c>
      <c r="I5666" s="6">
        <f t="shared" si="276"/>
        <v>0</v>
      </c>
      <c r="J5666" s="6">
        <f t="shared" si="277"/>
        <v>0</v>
      </c>
      <c r="L5666" s="4" t="str">
        <f>IFERROR(VLOOKUP(ROWS($L$2:L5666),$B$2:$C$1996,2,0),"")</f>
        <v/>
      </c>
      <c r="N5666" s="2" t="str">
        <f>IFERROR(VLOOKUP(ROWS($N$2:N5666),$D$2:$E$1996,2,0),"")</f>
        <v/>
      </c>
    </row>
    <row r="5667" spans="2:14">
      <c r="B5667" s="32">
        <f>IF(ISNUMBER(SEARCH('Φόρμα Εισαγωγής'!$B$2,C5667)),MAX($B$1:B5666)+1,0)</f>
        <v>0</v>
      </c>
      <c r="D5667" s="33">
        <f>IF(ISNUMBER(SEARCH('Φόρμα Εισαγωγής'!$C$2,E5667)),MAX($D$1:D5666)+1,0)</f>
        <v>0</v>
      </c>
      <c r="H5667" s="6">
        <f t="shared" si="275"/>
        <v>0</v>
      </c>
      <c r="I5667" s="6">
        <f t="shared" si="276"/>
        <v>0</v>
      </c>
      <c r="J5667" s="6">
        <f t="shared" si="277"/>
        <v>0</v>
      </c>
      <c r="L5667" s="4" t="str">
        <f>IFERROR(VLOOKUP(ROWS($L$2:L5667),$B$2:$C$1996,2,0),"")</f>
        <v/>
      </c>
      <c r="N5667" s="2" t="str">
        <f>IFERROR(VLOOKUP(ROWS($N$2:N5667),$D$2:$E$1996,2,0),"")</f>
        <v/>
      </c>
    </row>
    <row r="5668" spans="2:14">
      <c r="B5668" s="32">
        <f>IF(ISNUMBER(SEARCH('Φόρμα Εισαγωγής'!$B$2,C5668)),MAX($B$1:B5667)+1,0)</f>
        <v>0</v>
      </c>
      <c r="D5668" s="33">
        <f>IF(ISNUMBER(SEARCH('Φόρμα Εισαγωγής'!$C$2,E5668)),MAX($D$1:D5667)+1,0)</f>
        <v>0</v>
      </c>
      <c r="H5668" s="6">
        <f t="shared" si="275"/>
        <v>0</v>
      </c>
      <c r="I5668" s="6">
        <f t="shared" si="276"/>
        <v>0</v>
      </c>
      <c r="J5668" s="6">
        <f t="shared" si="277"/>
        <v>0</v>
      </c>
      <c r="L5668" s="4" t="str">
        <f>IFERROR(VLOOKUP(ROWS($L$2:L5668),$B$2:$C$1996,2,0),"")</f>
        <v/>
      </c>
      <c r="N5668" s="2" t="str">
        <f>IFERROR(VLOOKUP(ROWS($N$2:N5668),$D$2:$E$1996,2,0),"")</f>
        <v/>
      </c>
    </row>
    <row r="5669" spans="2:14">
      <c r="B5669" s="32">
        <f>IF(ISNUMBER(SEARCH('Φόρμα Εισαγωγής'!$B$2,C5669)),MAX($B$1:B5668)+1,0)</f>
        <v>0</v>
      </c>
      <c r="D5669" s="33">
        <f>IF(ISNUMBER(SEARCH('Φόρμα Εισαγωγής'!$C$2,E5669)),MAX($D$1:D5668)+1,0)</f>
        <v>0</v>
      </c>
      <c r="H5669" s="6">
        <f t="shared" si="275"/>
        <v>0</v>
      </c>
      <c r="I5669" s="6">
        <f t="shared" si="276"/>
        <v>0</v>
      </c>
      <c r="J5669" s="6">
        <f t="shared" si="277"/>
        <v>0</v>
      </c>
      <c r="L5669" s="4" t="str">
        <f>IFERROR(VLOOKUP(ROWS($L$2:L5669),$B$2:$C$1996,2,0),"")</f>
        <v/>
      </c>
      <c r="N5669" s="2" t="str">
        <f>IFERROR(VLOOKUP(ROWS($N$2:N5669),$D$2:$E$1996,2,0),"")</f>
        <v/>
      </c>
    </row>
    <row r="5670" spans="2:14">
      <c r="B5670" s="32">
        <f>IF(ISNUMBER(SEARCH('Φόρμα Εισαγωγής'!$B$2,C5670)),MAX($B$1:B5669)+1,0)</f>
        <v>0</v>
      </c>
      <c r="D5670" s="33">
        <f>IF(ISNUMBER(SEARCH('Φόρμα Εισαγωγής'!$C$2,E5670)),MAX($D$1:D5669)+1,0)</f>
        <v>0</v>
      </c>
      <c r="H5670" s="6">
        <f t="shared" si="275"/>
        <v>0</v>
      </c>
      <c r="I5670" s="6">
        <f t="shared" si="276"/>
        <v>0</v>
      </c>
      <c r="J5670" s="6">
        <f t="shared" si="277"/>
        <v>0</v>
      </c>
      <c r="L5670" s="4" t="str">
        <f>IFERROR(VLOOKUP(ROWS($L$2:L5670),$B$2:$C$1996,2,0),"")</f>
        <v/>
      </c>
      <c r="N5670" s="2" t="str">
        <f>IFERROR(VLOOKUP(ROWS($N$2:N5670),$D$2:$E$1996,2,0),"")</f>
        <v/>
      </c>
    </row>
    <row r="5671" spans="2:14">
      <c r="B5671" s="32">
        <f>IF(ISNUMBER(SEARCH('Φόρμα Εισαγωγής'!$B$2,C5671)),MAX($B$1:B5670)+1,0)</f>
        <v>0</v>
      </c>
      <c r="D5671" s="33">
        <f>IF(ISNUMBER(SEARCH('Φόρμα Εισαγωγής'!$C$2,E5671)),MAX($D$1:D5670)+1,0)</f>
        <v>0</v>
      </c>
      <c r="H5671" s="6">
        <f t="shared" si="275"/>
        <v>0</v>
      </c>
      <c r="I5671" s="6">
        <f t="shared" si="276"/>
        <v>0</v>
      </c>
      <c r="J5671" s="6">
        <f t="shared" si="277"/>
        <v>0</v>
      </c>
      <c r="L5671" s="4" t="str">
        <f>IFERROR(VLOOKUP(ROWS($L$2:L5671),$B$2:$C$1996,2,0),"")</f>
        <v/>
      </c>
      <c r="N5671" s="2" t="str">
        <f>IFERROR(VLOOKUP(ROWS($N$2:N5671),$D$2:$E$1996,2,0),"")</f>
        <v/>
      </c>
    </row>
    <row r="5672" spans="2:14">
      <c r="B5672" s="32">
        <f>IF(ISNUMBER(SEARCH('Φόρμα Εισαγωγής'!$B$2,C5672)),MAX($B$1:B5671)+1,0)</f>
        <v>0</v>
      </c>
      <c r="D5672" s="33">
        <f>IF(ISNUMBER(SEARCH('Φόρμα Εισαγωγής'!$C$2,E5672)),MAX($D$1:D5671)+1,0)</f>
        <v>0</v>
      </c>
      <c r="H5672" s="6">
        <f t="shared" si="275"/>
        <v>0</v>
      </c>
      <c r="I5672" s="6">
        <f t="shared" si="276"/>
        <v>0</v>
      </c>
      <c r="J5672" s="6">
        <f t="shared" si="277"/>
        <v>0</v>
      </c>
      <c r="L5672" s="4" t="str">
        <f>IFERROR(VLOOKUP(ROWS($L$2:L5672),$B$2:$C$1996,2,0),"")</f>
        <v/>
      </c>
      <c r="N5672" s="2" t="str">
        <f>IFERROR(VLOOKUP(ROWS($N$2:N5672),$D$2:$E$1996,2,0),"")</f>
        <v/>
      </c>
    </row>
    <row r="5673" spans="2:14">
      <c r="B5673" s="32">
        <f>IF(ISNUMBER(SEARCH('Φόρμα Εισαγωγής'!$B$2,C5673)),MAX($B$1:B5672)+1,0)</f>
        <v>0</v>
      </c>
      <c r="D5673" s="33">
        <f>IF(ISNUMBER(SEARCH('Φόρμα Εισαγωγής'!$C$2,E5673)),MAX($D$1:D5672)+1,0)</f>
        <v>0</v>
      </c>
      <c r="H5673" s="6">
        <f t="shared" si="275"/>
        <v>0</v>
      </c>
      <c r="I5673" s="6">
        <f t="shared" si="276"/>
        <v>0</v>
      </c>
      <c r="J5673" s="6">
        <f t="shared" si="277"/>
        <v>0</v>
      </c>
      <c r="L5673" s="4" t="str">
        <f>IFERROR(VLOOKUP(ROWS($L$2:L5673),$B$2:$C$1996,2,0),"")</f>
        <v/>
      </c>
      <c r="N5673" s="2" t="str">
        <f>IFERROR(VLOOKUP(ROWS($N$2:N5673),$D$2:$E$1996,2,0),"")</f>
        <v/>
      </c>
    </row>
    <row r="5674" spans="2:14">
      <c r="B5674" s="32">
        <f>IF(ISNUMBER(SEARCH('Φόρμα Εισαγωγής'!$B$2,C5674)),MAX($B$1:B5673)+1,0)</f>
        <v>0</v>
      </c>
      <c r="D5674" s="33">
        <f>IF(ISNUMBER(SEARCH('Φόρμα Εισαγωγής'!$C$2,E5674)),MAX($D$1:D5673)+1,0)</f>
        <v>0</v>
      </c>
      <c r="H5674" s="6">
        <f t="shared" si="275"/>
        <v>0</v>
      </c>
      <c r="I5674" s="6">
        <f t="shared" si="276"/>
        <v>0</v>
      </c>
      <c r="J5674" s="6">
        <f t="shared" si="277"/>
        <v>0</v>
      </c>
      <c r="L5674" s="4" t="str">
        <f>IFERROR(VLOOKUP(ROWS($L$2:L5674),$B$2:$C$1996,2,0),"")</f>
        <v/>
      </c>
      <c r="N5674" s="2" t="str">
        <f>IFERROR(VLOOKUP(ROWS($N$2:N5674),$D$2:$E$1996,2,0),"")</f>
        <v/>
      </c>
    </row>
    <row r="5675" spans="2:14">
      <c r="B5675" s="32">
        <f>IF(ISNUMBER(SEARCH('Φόρμα Εισαγωγής'!$B$2,C5675)),MAX($B$1:B5674)+1,0)</f>
        <v>0</v>
      </c>
      <c r="D5675" s="33">
        <f>IF(ISNUMBER(SEARCH('Φόρμα Εισαγωγής'!$C$2,E5675)),MAX($D$1:D5674)+1,0)</f>
        <v>0</v>
      </c>
      <c r="H5675" s="6">
        <f t="shared" si="275"/>
        <v>0</v>
      </c>
      <c r="I5675" s="6">
        <f t="shared" si="276"/>
        <v>0</v>
      </c>
      <c r="J5675" s="6">
        <f t="shared" si="277"/>
        <v>0</v>
      </c>
      <c r="L5675" s="4" t="str">
        <f>IFERROR(VLOOKUP(ROWS($L$2:L5675),$B$2:$C$1996,2,0),"")</f>
        <v/>
      </c>
      <c r="N5675" s="2" t="str">
        <f>IFERROR(VLOOKUP(ROWS($N$2:N5675),$D$2:$E$1996,2,0),"")</f>
        <v/>
      </c>
    </row>
    <row r="5676" spans="2:14">
      <c r="B5676" s="32">
        <f>IF(ISNUMBER(SEARCH('Φόρμα Εισαγωγής'!$B$2,C5676)),MAX($B$1:B5675)+1,0)</f>
        <v>0</v>
      </c>
      <c r="D5676" s="33">
        <f>IF(ISNUMBER(SEARCH('Φόρμα Εισαγωγής'!$C$2,E5676)),MAX($D$1:D5675)+1,0)</f>
        <v>0</v>
      </c>
      <c r="H5676" s="6">
        <f t="shared" si="275"/>
        <v>0</v>
      </c>
      <c r="I5676" s="6">
        <f t="shared" si="276"/>
        <v>0</v>
      </c>
      <c r="J5676" s="6">
        <f t="shared" si="277"/>
        <v>0</v>
      </c>
      <c r="L5676" s="4" t="str">
        <f>IFERROR(VLOOKUP(ROWS($L$2:L5676),$B$2:$C$1996,2,0),"")</f>
        <v/>
      </c>
      <c r="N5676" s="2" t="str">
        <f>IFERROR(VLOOKUP(ROWS($N$2:N5676),$D$2:$E$1996,2,0),"")</f>
        <v/>
      </c>
    </row>
    <row r="5677" spans="2:14">
      <c r="B5677" s="32">
        <f>IF(ISNUMBER(SEARCH('Φόρμα Εισαγωγής'!$B$2,C5677)),MAX($B$1:B5676)+1,0)</f>
        <v>0</v>
      </c>
      <c r="D5677" s="33">
        <f>IF(ISNUMBER(SEARCH('Φόρμα Εισαγωγής'!$C$2,E5677)),MAX($D$1:D5676)+1,0)</f>
        <v>0</v>
      </c>
      <c r="H5677" s="6">
        <f t="shared" si="275"/>
        <v>0</v>
      </c>
      <c r="I5677" s="6">
        <f t="shared" si="276"/>
        <v>0</v>
      </c>
      <c r="J5677" s="6">
        <f t="shared" si="277"/>
        <v>0</v>
      </c>
      <c r="L5677" s="4" t="str">
        <f>IFERROR(VLOOKUP(ROWS($L$2:L5677),$B$2:$C$1996,2,0),"")</f>
        <v/>
      </c>
      <c r="N5677" s="2" t="str">
        <f>IFERROR(VLOOKUP(ROWS($N$2:N5677),$D$2:$E$1996,2,0),"")</f>
        <v/>
      </c>
    </row>
    <row r="5678" spans="2:14">
      <c r="B5678" s="32">
        <f>IF(ISNUMBER(SEARCH('Φόρμα Εισαγωγής'!$B$2,C5678)),MAX($B$1:B5677)+1,0)</f>
        <v>0</v>
      </c>
      <c r="D5678" s="33">
        <f>IF(ISNUMBER(SEARCH('Φόρμα Εισαγωγής'!$C$2,E5678)),MAX($D$1:D5677)+1,0)</f>
        <v>0</v>
      </c>
      <c r="H5678" s="6">
        <f t="shared" si="275"/>
        <v>0</v>
      </c>
      <c r="I5678" s="6">
        <f t="shared" si="276"/>
        <v>0</v>
      </c>
      <c r="J5678" s="6">
        <f t="shared" si="277"/>
        <v>0</v>
      </c>
      <c r="L5678" s="4" t="str">
        <f>IFERROR(VLOOKUP(ROWS($L$2:L5678),$B$2:$C$1996,2,0),"")</f>
        <v/>
      </c>
      <c r="N5678" s="2" t="str">
        <f>IFERROR(VLOOKUP(ROWS($N$2:N5678),$D$2:$E$1996,2,0),"")</f>
        <v/>
      </c>
    </row>
    <row r="5679" spans="2:14">
      <c r="B5679" s="32">
        <f>IF(ISNUMBER(SEARCH('Φόρμα Εισαγωγής'!$B$2,C5679)),MAX($B$1:B5678)+1,0)</f>
        <v>0</v>
      </c>
      <c r="D5679" s="33">
        <f>IF(ISNUMBER(SEARCH('Φόρμα Εισαγωγής'!$C$2,E5679)),MAX($D$1:D5678)+1,0)</f>
        <v>0</v>
      </c>
      <c r="H5679" s="6">
        <f t="shared" si="275"/>
        <v>0</v>
      </c>
      <c r="I5679" s="6">
        <f t="shared" si="276"/>
        <v>0</v>
      </c>
      <c r="J5679" s="6">
        <f t="shared" si="277"/>
        <v>0</v>
      </c>
      <c r="L5679" s="4" t="str">
        <f>IFERROR(VLOOKUP(ROWS($L$2:L5679),$B$2:$C$1996,2,0),"")</f>
        <v/>
      </c>
      <c r="N5679" s="2" t="str">
        <f>IFERROR(VLOOKUP(ROWS($N$2:N5679),$D$2:$E$1996,2,0),"")</f>
        <v/>
      </c>
    </row>
    <row r="5680" spans="2:14">
      <c r="B5680" s="32">
        <f>IF(ISNUMBER(SEARCH('Φόρμα Εισαγωγής'!$B$2,C5680)),MAX($B$1:B5679)+1,0)</f>
        <v>0</v>
      </c>
      <c r="D5680" s="33">
        <f>IF(ISNUMBER(SEARCH('Φόρμα Εισαγωγής'!$C$2,E5680)),MAX($D$1:D5679)+1,0)</f>
        <v>0</v>
      </c>
      <c r="H5680" s="6">
        <f t="shared" si="275"/>
        <v>0</v>
      </c>
      <c r="I5680" s="6">
        <f t="shared" si="276"/>
        <v>0</v>
      </c>
      <c r="J5680" s="6">
        <f t="shared" si="277"/>
        <v>0</v>
      </c>
      <c r="L5680" s="4" t="str">
        <f>IFERROR(VLOOKUP(ROWS($L$2:L5680),$B$2:$C$1996,2,0),"")</f>
        <v/>
      </c>
      <c r="N5680" s="2" t="str">
        <f>IFERROR(VLOOKUP(ROWS($N$2:N5680),$D$2:$E$1996,2,0),"")</f>
        <v/>
      </c>
    </row>
    <row r="5681" spans="2:14">
      <c r="B5681" s="32">
        <f>IF(ISNUMBER(SEARCH('Φόρμα Εισαγωγής'!$B$2,C5681)),MAX($B$1:B5680)+1,0)</f>
        <v>0</v>
      </c>
      <c r="D5681" s="33">
        <f>IF(ISNUMBER(SEARCH('Φόρμα Εισαγωγής'!$C$2,E5681)),MAX($D$1:D5680)+1,0)</f>
        <v>0</v>
      </c>
      <c r="H5681" s="6">
        <f t="shared" si="275"/>
        <v>0</v>
      </c>
      <c r="I5681" s="6">
        <f t="shared" si="276"/>
        <v>0</v>
      </c>
      <c r="J5681" s="6">
        <f t="shared" si="277"/>
        <v>0</v>
      </c>
      <c r="L5681" s="4" t="str">
        <f>IFERROR(VLOOKUP(ROWS($L$2:L5681),$B$2:$C$1996,2,0),"")</f>
        <v/>
      </c>
      <c r="N5681" s="2" t="str">
        <f>IFERROR(VLOOKUP(ROWS($N$2:N5681),$D$2:$E$1996,2,0),"")</f>
        <v/>
      </c>
    </row>
    <row r="5682" spans="2:14">
      <c r="B5682" s="32">
        <f>IF(ISNUMBER(SEARCH('Φόρμα Εισαγωγής'!$B$2,C5682)),MAX($B$1:B5681)+1,0)</f>
        <v>0</v>
      </c>
      <c r="D5682" s="33">
        <f>IF(ISNUMBER(SEARCH('Φόρμα Εισαγωγής'!$C$2,E5682)),MAX($D$1:D5681)+1,0)</f>
        <v>0</v>
      </c>
      <c r="H5682" s="6">
        <f t="shared" si="275"/>
        <v>0</v>
      </c>
      <c r="I5682" s="6">
        <f t="shared" si="276"/>
        <v>0</v>
      </c>
      <c r="J5682" s="6">
        <f t="shared" si="277"/>
        <v>0</v>
      </c>
      <c r="L5682" s="4" t="str">
        <f>IFERROR(VLOOKUP(ROWS($L$2:L5682),$B$2:$C$1996,2,0),"")</f>
        <v/>
      </c>
      <c r="N5682" s="2" t="str">
        <f>IFERROR(VLOOKUP(ROWS($N$2:N5682),$D$2:$E$1996,2,0),"")</f>
        <v/>
      </c>
    </row>
    <row r="5683" spans="2:14">
      <c r="B5683" s="32">
        <f>IF(ISNUMBER(SEARCH('Φόρμα Εισαγωγής'!$B$2,C5683)),MAX($B$1:B5682)+1,0)</f>
        <v>0</v>
      </c>
      <c r="D5683" s="33">
        <f>IF(ISNUMBER(SEARCH('Φόρμα Εισαγωγής'!$C$2,E5683)),MAX($D$1:D5682)+1,0)</f>
        <v>0</v>
      </c>
      <c r="H5683" s="6">
        <f t="shared" si="275"/>
        <v>0</v>
      </c>
      <c r="I5683" s="6">
        <f t="shared" si="276"/>
        <v>0</v>
      </c>
      <c r="J5683" s="6">
        <f t="shared" si="277"/>
        <v>0</v>
      </c>
      <c r="L5683" s="4" t="str">
        <f>IFERROR(VLOOKUP(ROWS($L$2:L5683),$B$2:$C$1996,2,0),"")</f>
        <v/>
      </c>
      <c r="N5683" s="2" t="str">
        <f>IFERROR(VLOOKUP(ROWS($N$2:N5683),$D$2:$E$1996,2,0),"")</f>
        <v/>
      </c>
    </row>
    <row r="5684" spans="2:14">
      <c r="B5684" s="32">
        <f>IF(ISNUMBER(SEARCH('Φόρμα Εισαγωγής'!$B$2,C5684)),MAX($B$1:B5683)+1,0)</f>
        <v>0</v>
      </c>
      <c r="D5684" s="33">
        <f>IF(ISNUMBER(SEARCH('Φόρμα Εισαγωγής'!$C$2,E5684)),MAX($D$1:D5683)+1,0)</f>
        <v>0</v>
      </c>
      <c r="H5684" s="6">
        <f t="shared" si="275"/>
        <v>0</v>
      </c>
      <c r="I5684" s="6">
        <f t="shared" si="276"/>
        <v>0</v>
      </c>
      <c r="J5684" s="6">
        <f t="shared" si="277"/>
        <v>0</v>
      </c>
      <c r="L5684" s="4" t="str">
        <f>IFERROR(VLOOKUP(ROWS($L$2:L5684),$B$2:$C$1996,2,0),"")</f>
        <v/>
      </c>
      <c r="N5684" s="2" t="str">
        <f>IFERROR(VLOOKUP(ROWS($N$2:N5684),$D$2:$E$1996,2,0),"")</f>
        <v/>
      </c>
    </row>
    <row r="5685" spans="2:14">
      <c r="B5685" s="32">
        <f>IF(ISNUMBER(SEARCH('Φόρμα Εισαγωγής'!$B$2,C5685)),MAX($B$1:B5684)+1,0)</f>
        <v>0</v>
      </c>
      <c r="D5685" s="33">
        <f>IF(ISNUMBER(SEARCH('Φόρμα Εισαγωγής'!$C$2,E5685)),MAX($D$1:D5684)+1,0)</f>
        <v>0</v>
      </c>
      <c r="H5685" s="6">
        <f t="shared" si="275"/>
        <v>0</v>
      </c>
      <c r="I5685" s="6">
        <f t="shared" si="276"/>
        <v>0</v>
      </c>
      <c r="J5685" s="6">
        <f t="shared" si="277"/>
        <v>0</v>
      </c>
      <c r="L5685" s="4" t="str">
        <f>IFERROR(VLOOKUP(ROWS($L$2:L5685),$B$2:$C$1996,2,0),"")</f>
        <v/>
      </c>
      <c r="N5685" s="2" t="str">
        <f>IFERROR(VLOOKUP(ROWS($N$2:N5685),$D$2:$E$1996,2,0),"")</f>
        <v/>
      </c>
    </row>
    <row r="5686" spans="2:14">
      <c r="B5686" s="32">
        <f>IF(ISNUMBER(SEARCH('Φόρμα Εισαγωγής'!$B$2,C5686)),MAX($B$1:B5685)+1,0)</f>
        <v>0</v>
      </c>
      <c r="D5686" s="33">
        <f>IF(ISNUMBER(SEARCH('Φόρμα Εισαγωγής'!$C$2,E5686)),MAX($D$1:D5685)+1,0)</f>
        <v>0</v>
      </c>
      <c r="H5686" s="6">
        <f t="shared" si="275"/>
        <v>0</v>
      </c>
      <c r="I5686" s="6">
        <f t="shared" si="276"/>
        <v>0</v>
      </c>
      <c r="J5686" s="6">
        <f t="shared" si="277"/>
        <v>0</v>
      </c>
      <c r="L5686" s="4" t="str">
        <f>IFERROR(VLOOKUP(ROWS($L$2:L5686),$B$2:$C$1996,2,0),"")</f>
        <v/>
      </c>
      <c r="N5686" s="2" t="str">
        <f>IFERROR(VLOOKUP(ROWS($N$2:N5686),$D$2:$E$1996,2,0),"")</f>
        <v/>
      </c>
    </row>
    <row r="5687" spans="2:14">
      <c r="B5687" s="32">
        <f>IF(ISNUMBER(SEARCH('Φόρμα Εισαγωγής'!$B$2,C5687)),MAX($B$1:B5686)+1,0)</f>
        <v>0</v>
      </c>
      <c r="D5687" s="33">
        <f>IF(ISNUMBER(SEARCH('Φόρμα Εισαγωγής'!$C$2,E5687)),MAX($D$1:D5686)+1,0)</f>
        <v>0</v>
      </c>
      <c r="H5687" s="6">
        <f t="shared" si="275"/>
        <v>0</v>
      </c>
      <c r="I5687" s="6">
        <f t="shared" si="276"/>
        <v>0</v>
      </c>
      <c r="J5687" s="6">
        <f t="shared" si="277"/>
        <v>0</v>
      </c>
      <c r="L5687" s="4" t="str">
        <f>IFERROR(VLOOKUP(ROWS($L$2:L5687),$B$2:$C$1996,2,0),"")</f>
        <v/>
      </c>
      <c r="N5687" s="2" t="str">
        <f>IFERROR(VLOOKUP(ROWS($N$2:N5687),$D$2:$E$1996,2,0),"")</f>
        <v/>
      </c>
    </row>
    <row r="5688" spans="2:14">
      <c r="B5688" s="32">
        <f>IF(ISNUMBER(SEARCH('Φόρμα Εισαγωγής'!$B$2,C5688)),MAX($B$1:B5687)+1,0)</f>
        <v>0</v>
      </c>
      <c r="D5688" s="33">
        <f>IF(ISNUMBER(SEARCH('Φόρμα Εισαγωγής'!$C$2,E5688)),MAX($D$1:D5687)+1,0)</f>
        <v>0</v>
      </c>
      <c r="H5688" s="6">
        <f t="shared" si="275"/>
        <v>0</v>
      </c>
      <c r="I5688" s="6">
        <f t="shared" si="276"/>
        <v>0</v>
      </c>
      <c r="J5688" s="6">
        <f t="shared" si="277"/>
        <v>0</v>
      </c>
      <c r="L5688" s="4" t="str">
        <f>IFERROR(VLOOKUP(ROWS($L$2:L5688),$B$2:$C$1996,2,0),"")</f>
        <v/>
      </c>
      <c r="N5688" s="2" t="str">
        <f>IFERROR(VLOOKUP(ROWS($N$2:N5688),$D$2:$E$1996,2,0),"")</f>
        <v/>
      </c>
    </row>
    <row r="5689" spans="2:14">
      <c r="B5689" s="32">
        <f>IF(ISNUMBER(SEARCH('Φόρμα Εισαγωγής'!$B$2,C5689)),MAX($B$1:B5688)+1,0)</f>
        <v>0</v>
      </c>
      <c r="D5689" s="33">
        <f>IF(ISNUMBER(SEARCH('Φόρμα Εισαγωγής'!$C$2,E5689)),MAX($D$1:D5688)+1,0)</f>
        <v>0</v>
      </c>
      <c r="H5689" s="6">
        <f t="shared" si="275"/>
        <v>0</v>
      </c>
      <c r="I5689" s="6">
        <f t="shared" si="276"/>
        <v>0</v>
      </c>
      <c r="J5689" s="6">
        <f t="shared" si="277"/>
        <v>0</v>
      </c>
      <c r="L5689" s="4" t="str">
        <f>IFERROR(VLOOKUP(ROWS($L$2:L5689),$B$2:$C$1996,2,0),"")</f>
        <v/>
      </c>
      <c r="N5689" s="2" t="str">
        <f>IFERROR(VLOOKUP(ROWS($N$2:N5689),$D$2:$E$1996,2,0),"")</f>
        <v/>
      </c>
    </row>
    <row r="5690" spans="2:14">
      <c r="B5690" s="32">
        <f>IF(ISNUMBER(SEARCH('Φόρμα Εισαγωγής'!$B$2,C5690)),MAX($B$1:B5689)+1,0)</f>
        <v>0</v>
      </c>
      <c r="D5690" s="33">
        <f>IF(ISNUMBER(SEARCH('Φόρμα Εισαγωγής'!$C$2,E5690)),MAX($D$1:D5689)+1,0)</f>
        <v>0</v>
      </c>
      <c r="H5690" s="6">
        <f t="shared" si="275"/>
        <v>0</v>
      </c>
      <c r="I5690" s="6">
        <f t="shared" si="276"/>
        <v>0</v>
      </c>
      <c r="J5690" s="6">
        <f t="shared" si="277"/>
        <v>0</v>
      </c>
      <c r="L5690" s="4" t="str">
        <f>IFERROR(VLOOKUP(ROWS($L$2:L5690),$B$2:$C$1996,2,0),"")</f>
        <v/>
      </c>
      <c r="N5690" s="2" t="str">
        <f>IFERROR(VLOOKUP(ROWS($N$2:N5690),$D$2:$E$1996,2,0),"")</f>
        <v/>
      </c>
    </row>
    <row r="5691" spans="2:14">
      <c r="B5691" s="32">
        <f>IF(ISNUMBER(SEARCH('Φόρμα Εισαγωγής'!$B$2,C5691)),MAX($B$1:B5690)+1,0)</f>
        <v>0</v>
      </c>
      <c r="D5691" s="33">
        <f>IF(ISNUMBER(SEARCH('Φόρμα Εισαγωγής'!$C$2,E5691)),MAX($D$1:D5690)+1,0)</f>
        <v>0</v>
      </c>
      <c r="H5691" s="6">
        <f t="shared" si="275"/>
        <v>0</v>
      </c>
      <c r="I5691" s="6">
        <f t="shared" si="276"/>
        <v>0</v>
      </c>
      <c r="J5691" s="6">
        <f t="shared" si="277"/>
        <v>0</v>
      </c>
      <c r="L5691" s="4" t="str">
        <f>IFERROR(VLOOKUP(ROWS($L$2:L5691),$B$2:$C$1996,2,0),"")</f>
        <v/>
      </c>
      <c r="N5691" s="2" t="str">
        <f>IFERROR(VLOOKUP(ROWS($N$2:N5691),$D$2:$E$1996,2,0),"")</f>
        <v/>
      </c>
    </row>
    <row r="5692" spans="2:14">
      <c r="B5692" s="32">
        <f>IF(ISNUMBER(SEARCH('Φόρμα Εισαγωγής'!$B$2,C5692)),MAX($B$1:B5691)+1,0)</f>
        <v>0</v>
      </c>
      <c r="D5692" s="33">
        <f>IF(ISNUMBER(SEARCH('Φόρμα Εισαγωγής'!$C$2,E5692)),MAX($D$1:D5691)+1,0)</f>
        <v>0</v>
      </c>
      <c r="H5692" s="6">
        <f t="shared" si="275"/>
        <v>0</v>
      </c>
      <c r="I5692" s="6">
        <f t="shared" si="276"/>
        <v>0</v>
      </c>
      <c r="J5692" s="6">
        <f t="shared" si="277"/>
        <v>0</v>
      </c>
      <c r="L5692" s="4" t="str">
        <f>IFERROR(VLOOKUP(ROWS($L$2:L5692),$B$2:$C$1996,2,0),"")</f>
        <v/>
      </c>
      <c r="N5692" s="2" t="str">
        <f>IFERROR(VLOOKUP(ROWS($N$2:N5692),$D$2:$E$1996,2,0),"")</f>
        <v/>
      </c>
    </row>
    <row r="5693" spans="2:14">
      <c r="B5693" s="32">
        <f>IF(ISNUMBER(SEARCH('Φόρμα Εισαγωγής'!$B$2,C5693)),MAX($B$1:B5692)+1,0)</f>
        <v>0</v>
      </c>
      <c r="D5693" s="33">
        <f>IF(ISNUMBER(SEARCH('Φόρμα Εισαγωγής'!$C$2,E5693)),MAX($D$1:D5692)+1,0)</f>
        <v>0</v>
      </c>
      <c r="H5693" s="6">
        <f t="shared" si="275"/>
        <v>0</v>
      </c>
      <c r="I5693" s="6">
        <f t="shared" si="276"/>
        <v>0</v>
      </c>
      <c r="J5693" s="6">
        <f t="shared" si="277"/>
        <v>0</v>
      </c>
      <c r="L5693" s="4" t="str">
        <f>IFERROR(VLOOKUP(ROWS($L$2:L5693),$B$2:$C$1996,2,0),"")</f>
        <v/>
      </c>
      <c r="N5693" s="2" t="str">
        <f>IFERROR(VLOOKUP(ROWS($N$2:N5693),$D$2:$E$1996,2,0),"")</f>
        <v/>
      </c>
    </row>
    <row r="5694" spans="2:14">
      <c r="B5694" s="32">
        <f>IF(ISNUMBER(SEARCH('Φόρμα Εισαγωγής'!$B$2,C5694)),MAX($B$1:B5693)+1,0)</f>
        <v>0</v>
      </c>
      <c r="D5694" s="33">
        <f>IF(ISNUMBER(SEARCH('Φόρμα Εισαγωγής'!$C$2,E5694)),MAX($D$1:D5693)+1,0)</f>
        <v>0</v>
      </c>
      <c r="H5694" s="6">
        <f t="shared" si="275"/>
        <v>0</v>
      </c>
      <c r="I5694" s="6">
        <f t="shared" si="276"/>
        <v>0</v>
      </c>
      <c r="J5694" s="6">
        <f t="shared" si="277"/>
        <v>0</v>
      </c>
      <c r="L5694" s="4" t="str">
        <f>IFERROR(VLOOKUP(ROWS($L$2:L5694),$B$2:$C$1996,2,0),"")</f>
        <v/>
      </c>
      <c r="N5694" s="2" t="str">
        <f>IFERROR(VLOOKUP(ROWS($N$2:N5694),$D$2:$E$1996,2,0),"")</f>
        <v/>
      </c>
    </row>
    <row r="5695" spans="2:14">
      <c r="B5695" s="32">
        <f>IF(ISNUMBER(SEARCH('Φόρμα Εισαγωγής'!$B$2,C5695)),MAX($B$1:B5694)+1,0)</f>
        <v>0</v>
      </c>
      <c r="D5695" s="33">
        <f>IF(ISNUMBER(SEARCH('Φόρμα Εισαγωγής'!$C$2,E5695)),MAX($D$1:D5694)+1,0)</f>
        <v>0</v>
      </c>
      <c r="H5695" s="6">
        <f t="shared" si="275"/>
        <v>0</v>
      </c>
      <c r="I5695" s="6">
        <f t="shared" si="276"/>
        <v>0</v>
      </c>
      <c r="J5695" s="6">
        <f t="shared" si="277"/>
        <v>0</v>
      </c>
      <c r="L5695" s="4" t="str">
        <f>IFERROR(VLOOKUP(ROWS($L$2:L5695),$B$2:$C$1996,2,0),"")</f>
        <v/>
      </c>
      <c r="N5695" s="2" t="str">
        <f>IFERROR(VLOOKUP(ROWS($N$2:N5695),$D$2:$E$1996,2,0),"")</f>
        <v/>
      </c>
    </row>
    <row r="5696" spans="2:14">
      <c r="B5696" s="32">
        <f>IF(ISNUMBER(SEARCH('Φόρμα Εισαγωγής'!$B$2,C5696)),MAX($B$1:B5695)+1,0)</f>
        <v>0</v>
      </c>
      <c r="D5696" s="33">
        <f>IF(ISNUMBER(SEARCH('Φόρμα Εισαγωγής'!$C$2,E5696)),MAX($D$1:D5695)+1,0)</f>
        <v>0</v>
      </c>
      <c r="H5696" s="6">
        <f t="shared" ref="H5696:H5759" si="278">G5696+(G5696*0.24)</f>
        <v>0</v>
      </c>
      <c r="I5696" s="6">
        <f t="shared" ref="I5696:I5759" si="279">F5696*A5696</f>
        <v>0</v>
      </c>
      <c r="J5696" s="6">
        <f t="shared" ref="J5696:J5759" si="280">H5696*A5696</f>
        <v>0</v>
      </c>
      <c r="L5696" s="4" t="str">
        <f>IFERROR(VLOOKUP(ROWS($L$2:L5696),$B$2:$C$1996,2,0),"")</f>
        <v/>
      </c>
      <c r="N5696" s="2" t="str">
        <f>IFERROR(VLOOKUP(ROWS($N$2:N5696),$D$2:$E$1996,2,0),"")</f>
        <v/>
      </c>
    </row>
    <row r="5697" spans="2:14">
      <c r="B5697" s="32">
        <f>IF(ISNUMBER(SEARCH('Φόρμα Εισαγωγής'!$B$2,C5697)),MAX($B$1:B5696)+1,0)</f>
        <v>0</v>
      </c>
      <c r="D5697" s="33">
        <f>IF(ISNUMBER(SEARCH('Φόρμα Εισαγωγής'!$C$2,E5697)),MAX($D$1:D5696)+1,0)</f>
        <v>0</v>
      </c>
      <c r="H5697" s="6">
        <f t="shared" si="278"/>
        <v>0</v>
      </c>
      <c r="I5697" s="6">
        <f t="shared" si="279"/>
        <v>0</v>
      </c>
      <c r="J5697" s="6">
        <f t="shared" si="280"/>
        <v>0</v>
      </c>
      <c r="L5697" s="4" t="str">
        <f>IFERROR(VLOOKUP(ROWS($L$2:L5697),$B$2:$C$1996,2,0),"")</f>
        <v/>
      </c>
      <c r="N5697" s="2" t="str">
        <f>IFERROR(VLOOKUP(ROWS($N$2:N5697),$D$2:$E$1996,2,0),"")</f>
        <v/>
      </c>
    </row>
    <row r="5698" spans="2:14">
      <c r="B5698" s="32">
        <f>IF(ISNUMBER(SEARCH('Φόρμα Εισαγωγής'!$B$2,C5698)),MAX($B$1:B5697)+1,0)</f>
        <v>0</v>
      </c>
      <c r="D5698" s="33">
        <f>IF(ISNUMBER(SEARCH('Φόρμα Εισαγωγής'!$C$2,E5698)),MAX($D$1:D5697)+1,0)</f>
        <v>0</v>
      </c>
      <c r="H5698" s="6">
        <f t="shared" si="278"/>
        <v>0</v>
      </c>
      <c r="I5698" s="6">
        <f t="shared" si="279"/>
        <v>0</v>
      </c>
      <c r="J5698" s="6">
        <f t="shared" si="280"/>
        <v>0</v>
      </c>
      <c r="L5698" s="4" t="str">
        <f>IFERROR(VLOOKUP(ROWS($L$2:L5698),$B$2:$C$1996,2,0),"")</f>
        <v/>
      </c>
      <c r="N5698" s="2" t="str">
        <f>IFERROR(VLOOKUP(ROWS($N$2:N5698),$D$2:$E$1996,2,0),"")</f>
        <v/>
      </c>
    </row>
    <row r="5699" spans="2:14">
      <c r="B5699" s="32">
        <f>IF(ISNUMBER(SEARCH('Φόρμα Εισαγωγής'!$B$2,C5699)),MAX($B$1:B5698)+1,0)</f>
        <v>0</v>
      </c>
      <c r="D5699" s="33">
        <f>IF(ISNUMBER(SEARCH('Φόρμα Εισαγωγής'!$C$2,E5699)),MAX($D$1:D5698)+1,0)</f>
        <v>0</v>
      </c>
      <c r="H5699" s="6">
        <f t="shared" si="278"/>
        <v>0</v>
      </c>
      <c r="I5699" s="6">
        <f t="shared" si="279"/>
        <v>0</v>
      </c>
      <c r="J5699" s="6">
        <f t="shared" si="280"/>
        <v>0</v>
      </c>
      <c r="L5699" s="4" t="str">
        <f>IFERROR(VLOOKUP(ROWS($L$2:L5699),$B$2:$C$1996,2,0),"")</f>
        <v/>
      </c>
      <c r="N5699" s="2" t="str">
        <f>IFERROR(VLOOKUP(ROWS($N$2:N5699),$D$2:$E$1996,2,0),"")</f>
        <v/>
      </c>
    </row>
    <row r="5700" spans="2:14">
      <c r="B5700" s="32">
        <f>IF(ISNUMBER(SEARCH('Φόρμα Εισαγωγής'!$B$2,C5700)),MAX($B$1:B5699)+1,0)</f>
        <v>0</v>
      </c>
      <c r="D5700" s="33">
        <f>IF(ISNUMBER(SEARCH('Φόρμα Εισαγωγής'!$C$2,E5700)),MAX($D$1:D5699)+1,0)</f>
        <v>0</v>
      </c>
      <c r="H5700" s="6">
        <f t="shared" si="278"/>
        <v>0</v>
      </c>
      <c r="I5700" s="6">
        <f t="shared" si="279"/>
        <v>0</v>
      </c>
      <c r="J5700" s="6">
        <f t="shared" si="280"/>
        <v>0</v>
      </c>
      <c r="L5700" s="4" t="str">
        <f>IFERROR(VLOOKUP(ROWS($L$2:L5700),$B$2:$C$1996,2,0),"")</f>
        <v/>
      </c>
      <c r="N5700" s="2" t="str">
        <f>IFERROR(VLOOKUP(ROWS($N$2:N5700),$D$2:$E$1996,2,0),"")</f>
        <v/>
      </c>
    </row>
    <row r="5701" spans="2:14">
      <c r="B5701" s="32">
        <f>IF(ISNUMBER(SEARCH('Φόρμα Εισαγωγής'!$B$2,C5701)),MAX($B$1:B5700)+1,0)</f>
        <v>0</v>
      </c>
      <c r="D5701" s="33">
        <f>IF(ISNUMBER(SEARCH('Φόρμα Εισαγωγής'!$C$2,E5701)),MAX($D$1:D5700)+1,0)</f>
        <v>0</v>
      </c>
      <c r="H5701" s="6">
        <f t="shared" si="278"/>
        <v>0</v>
      </c>
      <c r="I5701" s="6">
        <f t="shared" si="279"/>
        <v>0</v>
      </c>
      <c r="J5701" s="6">
        <f t="shared" si="280"/>
        <v>0</v>
      </c>
      <c r="L5701" s="4" t="str">
        <f>IFERROR(VLOOKUP(ROWS($L$2:L5701),$B$2:$C$1996,2,0),"")</f>
        <v/>
      </c>
      <c r="N5701" s="2" t="str">
        <f>IFERROR(VLOOKUP(ROWS($N$2:N5701),$D$2:$E$1996,2,0),"")</f>
        <v/>
      </c>
    </row>
    <row r="5702" spans="2:14">
      <c r="B5702" s="32">
        <f>IF(ISNUMBER(SEARCH('Φόρμα Εισαγωγής'!$B$2,C5702)),MAX($B$1:B5701)+1,0)</f>
        <v>0</v>
      </c>
      <c r="D5702" s="33">
        <f>IF(ISNUMBER(SEARCH('Φόρμα Εισαγωγής'!$C$2,E5702)),MAX($D$1:D5701)+1,0)</f>
        <v>0</v>
      </c>
      <c r="H5702" s="6">
        <f t="shared" si="278"/>
        <v>0</v>
      </c>
      <c r="I5702" s="6">
        <f t="shared" si="279"/>
        <v>0</v>
      </c>
      <c r="J5702" s="6">
        <f t="shared" si="280"/>
        <v>0</v>
      </c>
      <c r="L5702" s="4" t="str">
        <f>IFERROR(VLOOKUP(ROWS($L$2:L5702),$B$2:$C$1996,2,0),"")</f>
        <v/>
      </c>
      <c r="N5702" s="2" t="str">
        <f>IFERROR(VLOOKUP(ROWS($N$2:N5702),$D$2:$E$1996,2,0),"")</f>
        <v/>
      </c>
    </row>
    <row r="5703" spans="2:14">
      <c r="B5703" s="32">
        <f>IF(ISNUMBER(SEARCH('Φόρμα Εισαγωγής'!$B$2,C5703)),MAX($B$1:B5702)+1,0)</f>
        <v>0</v>
      </c>
      <c r="D5703" s="33">
        <f>IF(ISNUMBER(SEARCH('Φόρμα Εισαγωγής'!$C$2,E5703)),MAX($D$1:D5702)+1,0)</f>
        <v>0</v>
      </c>
      <c r="H5703" s="6">
        <f t="shared" si="278"/>
        <v>0</v>
      </c>
      <c r="I5703" s="6">
        <f t="shared" si="279"/>
        <v>0</v>
      </c>
      <c r="J5703" s="6">
        <f t="shared" si="280"/>
        <v>0</v>
      </c>
      <c r="L5703" s="4" t="str">
        <f>IFERROR(VLOOKUP(ROWS($L$2:L5703),$B$2:$C$1996,2,0),"")</f>
        <v/>
      </c>
      <c r="N5703" s="2" t="str">
        <f>IFERROR(VLOOKUP(ROWS($N$2:N5703),$D$2:$E$1996,2,0),"")</f>
        <v/>
      </c>
    </row>
    <row r="5704" spans="2:14">
      <c r="B5704" s="32">
        <f>IF(ISNUMBER(SEARCH('Φόρμα Εισαγωγής'!$B$2,C5704)),MAX($B$1:B5703)+1,0)</f>
        <v>0</v>
      </c>
      <c r="D5704" s="33">
        <f>IF(ISNUMBER(SEARCH('Φόρμα Εισαγωγής'!$C$2,E5704)),MAX($D$1:D5703)+1,0)</f>
        <v>0</v>
      </c>
      <c r="H5704" s="6">
        <f t="shared" si="278"/>
        <v>0</v>
      </c>
      <c r="I5704" s="6">
        <f t="shared" si="279"/>
        <v>0</v>
      </c>
      <c r="J5704" s="6">
        <f t="shared" si="280"/>
        <v>0</v>
      </c>
      <c r="L5704" s="4" t="str">
        <f>IFERROR(VLOOKUP(ROWS($L$2:L5704),$B$2:$C$1996,2,0),"")</f>
        <v/>
      </c>
      <c r="N5704" s="2" t="str">
        <f>IFERROR(VLOOKUP(ROWS($N$2:N5704),$D$2:$E$1996,2,0),"")</f>
        <v/>
      </c>
    </row>
    <row r="5705" spans="2:14">
      <c r="B5705" s="32">
        <f>IF(ISNUMBER(SEARCH('Φόρμα Εισαγωγής'!$B$2,C5705)),MAX($B$1:B5704)+1,0)</f>
        <v>0</v>
      </c>
      <c r="D5705" s="33">
        <f>IF(ISNUMBER(SEARCH('Φόρμα Εισαγωγής'!$C$2,E5705)),MAX($D$1:D5704)+1,0)</f>
        <v>0</v>
      </c>
      <c r="H5705" s="6">
        <f t="shared" si="278"/>
        <v>0</v>
      </c>
      <c r="I5705" s="6">
        <f t="shared" si="279"/>
        <v>0</v>
      </c>
      <c r="J5705" s="6">
        <f t="shared" si="280"/>
        <v>0</v>
      </c>
      <c r="L5705" s="4" t="str">
        <f>IFERROR(VLOOKUP(ROWS($L$2:L5705),$B$2:$C$1996,2,0),"")</f>
        <v/>
      </c>
      <c r="N5705" s="2" t="str">
        <f>IFERROR(VLOOKUP(ROWS($N$2:N5705),$D$2:$E$1996,2,0),"")</f>
        <v/>
      </c>
    </row>
    <row r="5706" spans="2:14">
      <c r="B5706" s="32">
        <f>IF(ISNUMBER(SEARCH('Φόρμα Εισαγωγής'!$B$2,C5706)),MAX($B$1:B5705)+1,0)</f>
        <v>0</v>
      </c>
      <c r="D5706" s="33">
        <f>IF(ISNUMBER(SEARCH('Φόρμα Εισαγωγής'!$C$2,E5706)),MAX($D$1:D5705)+1,0)</f>
        <v>0</v>
      </c>
      <c r="H5706" s="6">
        <f t="shared" si="278"/>
        <v>0</v>
      </c>
      <c r="I5706" s="6">
        <f t="shared" si="279"/>
        <v>0</v>
      </c>
      <c r="J5706" s="6">
        <f t="shared" si="280"/>
        <v>0</v>
      </c>
      <c r="L5706" s="4" t="str">
        <f>IFERROR(VLOOKUP(ROWS($L$2:L5706),$B$2:$C$1996,2,0),"")</f>
        <v/>
      </c>
      <c r="N5706" s="2" t="str">
        <f>IFERROR(VLOOKUP(ROWS($N$2:N5706),$D$2:$E$1996,2,0),"")</f>
        <v/>
      </c>
    </row>
    <row r="5707" spans="2:14">
      <c r="B5707" s="32">
        <f>IF(ISNUMBER(SEARCH('Φόρμα Εισαγωγής'!$B$2,C5707)),MAX($B$1:B5706)+1,0)</f>
        <v>0</v>
      </c>
      <c r="D5707" s="33">
        <f>IF(ISNUMBER(SEARCH('Φόρμα Εισαγωγής'!$C$2,E5707)),MAX($D$1:D5706)+1,0)</f>
        <v>0</v>
      </c>
      <c r="H5707" s="6">
        <f t="shared" si="278"/>
        <v>0</v>
      </c>
      <c r="I5707" s="6">
        <f t="shared" si="279"/>
        <v>0</v>
      </c>
      <c r="J5707" s="6">
        <f t="shared" si="280"/>
        <v>0</v>
      </c>
      <c r="L5707" s="4" t="str">
        <f>IFERROR(VLOOKUP(ROWS($L$2:L5707),$B$2:$C$1996,2,0),"")</f>
        <v/>
      </c>
      <c r="N5707" s="2" t="str">
        <f>IFERROR(VLOOKUP(ROWS($N$2:N5707),$D$2:$E$1996,2,0),"")</f>
        <v/>
      </c>
    </row>
    <row r="5708" spans="2:14">
      <c r="B5708" s="32">
        <f>IF(ISNUMBER(SEARCH('Φόρμα Εισαγωγής'!$B$2,C5708)),MAX($B$1:B5707)+1,0)</f>
        <v>0</v>
      </c>
      <c r="D5708" s="33">
        <f>IF(ISNUMBER(SEARCH('Φόρμα Εισαγωγής'!$C$2,E5708)),MAX($D$1:D5707)+1,0)</f>
        <v>0</v>
      </c>
      <c r="H5708" s="6">
        <f t="shared" si="278"/>
        <v>0</v>
      </c>
      <c r="I5708" s="6">
        <f t="shared" si="279"/>
        <v>0</v>
      </c>
      <c r="J5708" s="6">
        <f t="shared" si="280"/>
        <v>0</v>
      </c>
      <c r="L5708" s="4" t="str">
        <f>IFERROR(VLOOKUP(ROWS($L$2:L5708),$B$2:$C$1996,2,0),"")</f>
        <v/>
      </c>
      <c r="N5708" s="2" t="str">
        <f>IFERROR(VLOOKUP(ROWS($N$2:N5708),$D$2:$E$1996,2,0),"")</f>
        <v/>
      </c>
    </row>
    <row r="5709" spans="2:14">
      <c r="B5709" s="32">
        <f>IF(ISNUMBER(SEARCH('Φόρμα Εισαγωγής'!$B$2,C5709)),MAX($B$1:B5708)+1,0)</f>
        <v>0</v>
      </c>
      <c r="D5709" s="33">
        <f>IF(ISNUMBER(SEARCH('Φόρμα Εισαγωγής'!$C$2,E5709)),MAX($D$1:D5708)+1,0)</f>
        <v>0</v>
      </c>
      <c r="H5709" s="6">
        <f t="shared" si="278"/>
        <v>0</v>
      </c>
      <c r="I5709" s="6">
        <f t="shared" si="279"/>
        <v>0</v>
      </c>
      <c r="J5709" s="6">
        <f t="shared" si="280"/>
        <v>0</v>
      </c>
      <c r="L5709" s="4" t="str">
        <f>IFERROR(VLOOKUP(ROWS($L$2:L5709),$B$2:$C$1996,2,0),"")</f>
        <v/>
      </c>
      <c r="N5709" s="2" t="str">
        <f>IFERROR(VLOOKUP(ROWS($N$2:N5709),$D$2:$E$1996,2,0),"")</f>
        <v/>
      </c>
    </row>
    <row r="5710" spans="2:14">
      <c r="B5710" s="32">
        <f>IF(ISNUMBER(SEARCH('Φόρμα Εισαγωγής'!$B$2,C5710)),MAX($B$1:B5709)+1,0)</f>
        <v>0</v>
      </c>
      <c r="D5710" s="33">
        <f>IF(ISNUMBER(SEARCH('Φόρμα Εισαγωγής'!$C$2,E5710)),MAX($D$1:D5709)+1,0)</f>
        <v>0</v>
      </c>
      <c r="H5710" s="6">
        <f t="shared" si="278"/>
        <v>0</v>
      </c>
      <c r="I5710" s="6">
        <f t="shared" si="279"/>
        <v>0</v>
      </c>
      <c r="J5710" s="6">
        <f t="shared" si="280"/>
        <v>0</v>
      </c>
      <c r="L5710" s="4" t="str">
        <f>IFERROR(VLOOKUP(ROWS($L$2:L5710),$B$2:$C$1996,2,0),"")</f>
        <v/>
      </c>
      <c r="N5710" s="2" t="str">
        <f>IFERROR(VLOOKUP(ROWS($N$2:N5710),$D$2:$E$1996,2,0),"")</f>
        <v/>
      </c>
    </row>
    <row r="5711" spans="2:14">
      <c r="B5711" s="32">
        <f>IF(ISNUMBER(SEARCH('Φόρμα Εισαγωγής'!$B$2,C5711)),MAX($B$1:B5710)+1,0)</f>
        <v>0</v>
      </c>
      <c r="D5711" s="33">
        <f>IF(ISNUMBER(SEARCH('Φόρμα Εισαγωγής'!$C$2,E5711)),MAX($D$1:D5710)+1,0)</f>
        <v>0</v>
      </c>
      <c r="H5711" s="6">
        <f t="shared" si="278"/>
        <v>0</v>
      </c>
      <c r="I5711" s="6">
        <f t="shared" si="279"/>
        <v>0</v>
      </c>
      <c r="J5711" s="6">
        <f t="shared" si="280"/>
        <v>0</v>
      </c>
      <c r="L5711" s="4" t="str">
        <f>IFERROR(VLOOKUP(ROWS($L$2:L5711),$B$2:$C$1996,2,0),"")</f>
        <v/>
      </c>
      <c r="N5711" s="2" t="str">
        <f>IFERROR(VLOOKUP(ROWS($N$2:N5711),$D$2:$E$1996,2,0),"")</f>
        <v/>
      </c>
    </row>
    <row r="5712" spans="2:14">
      <c r="B5712" s="32">
        <f>IF(ISNUMBER(SEARCH('Φόρμα Εισαγωγής'!$B$2,C5712)),MAX($B$1:B5711)+1,0)</f>
        <v>0</v>
      </c>
      <c r="D5712" s="33">
        <f>IF(ISNUMBER(SEARCH('Φόρμα Εισαγωγής'!$C$2,E5712)),MAX($D$1:D5711)+1,0)</f>
        <v>0</v>
      </c>
      <c r="H5712" s="6">
        <f t="shared" si="278"/>
        <v>0</v>
      </c>
      <c r="I5712" s="6">
        <f t="shared" si="279"/>
        <v>0</v>
      </c>
      <c r="J5712" s="6">
        <f t="shared" si="280"/>
        <v>0</v>
      </c>
      <c r="L5712" s="4" t="str">
        <f>IFERROR(VLOOKUP(ROWS($L$2:L5712),$B$2:$C$1996,2,0),"")</f>
        <v/>
      </c>
      <c r="N5712" s="2" t="str">
        <f>IFERROR(VLOOKUP(ROWS($N$2:N5712),$D$2:$E$1996,2,0),"")</f>
        <v/>
      </c>
    </row>
    <row r="5713" spans="2:14">
      <c r="B5713" s="32">
        <f>IF(ISNUMBER(SEARCH('Φόρμα Εισαγωγής'!$B$2,C5713)),MAX($B$1:B5712)+1,0)</f>
        <v>0</v>
      </c>
      <c r="D5713" s="33">
        <f>IF(ISNUMBER(SEARCH('Φόρμα Εισαγωγής'!$C$2,E5713)),MAX($D$1:D5712)+1,0)</f>
        <v>0</v>
      </c>
      <c r="H5713" s="6">
        <f t="shared" si="278"/>
        <v>0</v>
      </c>
      <c r="I5713" s="6">
        <f t="shared" si="279"/>
        <v>0</v>
      </c>
      <c r="J5713" s="6">
        <f t="shared" si="280"/>
        <v>0</v>
      </c>
      <c r="L5713" s="4" t="str">
        <f>IFERROR(VLOOKUP(ROWS($L$2:L5713),$B$2:$C$1996,2,0),"")</f>
        <v/>
      </c>
      <c r="N5713" s="2" t="str">
        <f>IFERROR(VLOOKUP(ROWS($N$2:N5713),$D$2:$E$1996,2,0),"")</f>
        <v/>
      </c>
    </row>
    <row r="5714" spans="2:14">
      <c r="B5714" s="32">
        <f>IF(ISNUMBER(SEARCH('Φόρμα Εισαγωγής'!$B$2,C5714)),MAX($B$1:B5713)+1,0)</f>
        <v>0</v>
      </c>
      <c r="D5714" s="33">
        <f>IF(ISNUMBER(SEARCH('Φόρμα Εισαγωγής'!$C$2,E5714)),MAX($D$1:D5713)+1,0)</f>
        <v>0</v>
      </c>
      <c r="H5714" s="6">
        <f t="shared" si="278"/>
        <v>0</v>
      </c>
      <c r="I5714" s="6">
        <f t="shared" si="279"/>
        <v>0</v>
      </c>
      <c r="J5714" s="6">
        <f t="shared" si="280"/>
        <v>0</v>
      </c>
      <c r="L5714" s="4" t="str">
        <f>IFERROR(VLOOKUP(ROWS($L$2:L5714),$B$2:$C$1996,2,0),"")</f>
        <v/>
      </c>
      <c r="N5714" s="2" t="str">
        <f>IFERROR(VLOOKUP(ROWS($N$2:N5714),$D$2:$E$1996,2,0),"")</f>
        <v/>
      </c>
    </row>
    <row r="5715" spans="2:14">
      <c r="B5715" s="32">
        <f>IF(ISNUMBER(SEARCH('Φόρμα Εισαγωγής'!$B$2,C5715)),MAX($B$1:B5714)+1,0)</f>
        <v>0</v>
      </c>
      <c r="D5715" s="33">
        <f>IF(ISNUMBER(SEARCH('Φόρμα Εισαγωγής'!$C$2,E5715)),MAX($D$1:D5714)+1,0)</f>
        <v>0</v>
      </c>
      <c r="H5715" s="6">
        <f t="shared" si="278"/>
        <v>0</v>
      </c>
      <c r="I5715" s="6">
        <f t="shared" si="279"/>
        <v>0</v>
      </c>
      <c r="J5715" s="6">
        <f t="shared" si="280"/>
        <v>0</v>
      </c>
      <c r="L5715" s="4" t="str">
        <f>IFERROR(VLOOKUP(ROWS($L$2:L5715),$B$2:$C$1996,2,0),"")</f>
        <v/>
      </c>
      <c r="N5715" s="2" t="str">
        <f>IFERROR(VLOOKUP(ROWS($N$2:N5715),$D$2:$E$1996,2,0),"")</f>
        <v/>
      </c>
    </row>
    <row r="5716" spans="2:14">
      <c r="B5716" s="32">
        <f>IF(ISNUMBER(SEARCH('Φόρμα Εισαγωγής'!$B$2,C5716)),MAX($B$1:B5715)+1,0)</f>
        <v>0</v>
      </c>
      <c r="D5716" s="33">
        <f>IF(ISNUMBER(SEARCH('Φόρμα Εισαγωγής'!$C$2,E5716)),MAX($D$1:D5715)+1,0)</f>
        <v>0</v>
      </c>
      <c r="H5716" s="6">
        <f t="shared" si="278"/>
        <v>0</v>
      </c>
      <c r="I5716" s="6">
        <f t="shared" si="279"/>
        <v>0</v>
      </c>
      <c r="J5716" s="6">
        <f t="shared" si="280"/>
        <v>0</v>
      </c>
      <c r="L5716" s="4" t="str">
        <f>IFERROR(VLOOKUP(ROWS($L$2:L5716),$B$2:$C$1996,2,0),"")</f>
        <v/>
      </c>
      <c r="N5716" s="2" t="str">
        <f>IFERROR(VLOOKUP(ROWS($N$2:N5716),$D$2:$E$1996,2,0),"")</f>
        <v/>
      </c>
    </row>
    <row r="5717" spans="2:14">
      <c r="B5717" s="32">
        <f>IF(ISNUMBER(SEARCH('Φόρμα Εισαγωγής'!$B$2,C5717)),MAX($B$1:B5716)+1,0)</f>
        <v>0</v>
      </c>
      <c r="D5717" s="33">
        <f>IF(ISNUMBER(SEARCH('Φόρμα Εισαγωγής'!$C$2,E5717)),MAX($D$1:D5716)+1,0)</f>
        <v>0</v>
      </c>
      <c r="H5717" s="6">
        <f t="shared" si="278"/>
        <v>0</v>
      </c>
      <c r="I5717" s="6">
        <f t="shared" si="279"/>
        <v>0</v>
      </c>
      <c r="J5717" s="6">
        <f t="shared" si="280"/>
        <v>0</v>
      </c>
      <c r="L5717" s="4" t="str">
        <f>IFERROR(VLOOKUP(ROWS($L$2:L5717),$B$2:$C$1996,2,0),"")</f>
        <v/>
      </c>
      <c r="N5717" s="2" t="str">
        <f>IFERROR(VLOOKUP(ROWS($N$2:N5717),$D$2:$E$1996,2,0),"")</f>
        <v/>
      </c>
    </row>
    <row r="5718" spans="2:14">
      <c r="B5718" s="32">
        <f>IF(ISNUMBER(SEARCH('Φόρμα Εισαγωγής'!$B$2,C5718)),MAX($B$1:B5717)+1,0)</f>
        <v>0</v>
      </c>
      <c r="D5718" s="33">
        <f>IF(ISNUMBER(SEARCH('Φόρμα Εισαγωγής'!$C$2,E5718)),MAX($D$1:D5717)+1,0)</f>
        <v>0</v>
      </c>
      <c r="H5718" s="6">
        <f t="shared" si="278"/>
        <v>0</v>
      </c>
      <c r="I5718" s="6">
        <f t="shared" si="279"/>
        <v>0</v>
      </c>
      <c r="J5718" s="6">
        <f t="shared" si="280"/>
        <v>0</v>
      </c>
      <c r="L5718" s="4" t="str">
        <f>IFERROR(VLOOKUP(ROWS($L$2:L5718),$B$2:$C$1996,2,0),"")</f>
        <v/>
      </c>
      <c r="N5718" s="2" t="str">
        <f>IFERROR(VLOOKUP(ROWS($N$2:N5718),$D$2:$E$1996,2,0),"")</f>
        <v/>
      </c>
    </row>
    <row r="5719" spans="2:14">
      <c r="B5719" s="32">
        <f>IF(ISNUMBER(SEARCH('Φόρμα Εισαγωγής'!$B$2,C5719)),MAX($B$1:B5718)+1,0)</f>
        <v>0</v>
      </c>
      <c r="D5719" s="33">
        <f>IF(ISNUMBER(SEARCH('Φόρμα Εισαγωγής'!$C$2,E5719)),MAX($D$1:D5718)+1,0)</f>
        <v>0</v>
      </c>
      <c r="H5719" s="6">
        <f t="shared" si="278"/>
        <v>0</v>
      </c>
      <c r="I5719" s="6">
        <f t="shared" si="279"/>
        <v>0</v>
      </c>
      <c r="J5719" s="6">
        <f t="shared" si="280"/>
        <v>0</v>
      </c>
      <c r="L5719" s="4" t="str">
        <f>IFERROR(VLOOKUP(ROWS($L$2:L5719),$B$2:$C$1996,2,0),"")</f>
        <v/>
      </c>
      <c r="N5719" s="2" t="str">
        <f>IFERROR(VLOOKUP(ROWS($N$2:N5719),$D$2:$E$1996,2,0),"")</f>
        <v/>
      </c>
    </row>
    <row r="5720" spans="2:14">
      <c r="B5720" s="32">
        <f>IF(ISNUMBER(SEARCH('Φόρμα Εισαγωγής'!$B$2,C5720)),MAX($B$1:B5719)+1,0)</f>
        <v>0</v>
      </c>
      <c r="D5720" s="33">
        <f>IF(ISNUMBER(SEARCH('Φόρμα Εισαγωγής'!$C$2,E5720)),MAX($D$1:D5719)+1,0)</f>
        <v>0</v>
      </c>
      <c r="H5720" s="6">
        <f t="shared" si="278"/>
        <v>0</v>
      </c>
      <c r="I5720" s="6">
        <f t="shared" si="279"/>
        <v>0</v>
      </c>
      <c r="J5720" s="6">
        <f t="shared" si="280"/>
        <v>0</v>
      </c>
      <c r="L5720" s="4" t="str">
        <f>IFERROR(VLOOKUP(ROWS($L$2:L5720),$B$2:$C$1996,2,0),"")</f>
        <v/>
      </c>
      <c r="N5720" s="2" t="str">
        <f>IFERROR(VLOOKUP(ROWS($N$2:N5720),$D$2:$E$1996,2,0),"")</f>
        <v/>
      </c>
    </row>
    <row r="5721" spans="2:14">
      <c r="B5721" s="32">
        <f>IF(ISNUMBER(SEARCH('Φόρμα Εισαγωγής'!$B$2,C5721)),MAX($B$1:B5720)+1,0)</f>
        <v>0</v>
      </c>
      <c r="D5721" s="33">
        <f>IF(ISNUMBER(SEARCH('Φόρμα Εισαγωγής'!$C$2,E5721)),MAX($D$1:D5720)+1,0)</f>
        <v>0</v>
      </c>
      <c r="H5721" s="6">
        <f t="shared" si="278"/>
        <v>0</v>
      </c>
      <c r="I5721" s="6">
        <f t="shared" si="279"/>
        <v>0</v>
      </c>
      <c r="J5721" s="6">
        <f t="shared" si="280"/>
        <v>0</v>
      </c>
      <c r="L5721" s="4" t="str">
        <f>IFERROR(VLOOKUP(ROWS($L$2:L5721),$B$2:$C$1996,2,0),"")</f>
        <v/>
      </c>
      <c r="N5721" s="2" t="str">
        <f>IFERROR(VLOOKUP(ROWS($N$2:N5721),$D$2:$E$1996,2,0),"")</f>
        <v/>
      </c>
    </row>
    <row r="5722" spans="2:14">
      <c r="B5722" s="32">
        <f>IF(ISNUMBER(SEARCH('Φόρμα Εισαγωγής'!$B$2,C5722)),MAX($B$1:B5721)+1,0)</f>
        <v>0</v>
      </c>
      <c r="D5722" s="33">
        <f>IF(ISNUMBER(SEARCH('Φόρμα Εισαγωγής'!$C$2,E5722)),MAX($D$1:D5721)+1,0)</f>
        <v>0</v>
      </c>
      <c r="H5722" s="6">
        <f t="shared" si="278"/>
        <v>0</v>
      </c>
      <c r="I5722" s="6">
        <f t="shared" si="279"/>
        <v>0</v>
      </c>
      <c r="J5722" s="6">
        <f t="shared" si="280"/>
        <v>0</v>
      </c>
      <c r="L5722" s="4" t="str">
        <f>IFERROR(VLOOKUP(ROWS($L$2:L5722),$B$2:$C$1996,2,0),"")</f>
        <v/>
      </c>
      <c r="N5722" s="2" t="str">
        <f>IFERROR(VLOOKUP(ROWS($N$2:N5722),$D$2:$E$1996,2,0),"")</f>
        <v/>
      </c>
    </row>
    <row r="5723" spans="2:14">
      <c r="B5723" s="32">
        <f>IF(ISNUMBER(SEARCH('Φόρμα Εισαγωγής'!$B$2,C5723)),MAX($B$1:B5722)+1,0)</f>
        <v>0</v>
      </c>
      <c r="D5723" s="33">
        <f>IF(ISNUMBER(SEARCH('Φόρμα Εισαγωγής'!$C$2,E5723)),MAX($D$1:D5722)+1,0)</f>
        <v>0</v>
      </c>
      <c r="H5723" s="6">
        <f t="shared" si="278"/>
        <v>0</v>
      </c>
      <c r="I5723" s="6">
        <f t="shared" si="279"/>
        <v>0</v>
      </c>
      <c r="J5723" s="6">
        <f t="shared" si="280"/>
        <v>0</v>
      </c>
      <c r="L5723" s="4" t="str">
        <f>IFERROR(VLOOKUP(ROWS($L$2:L5723),$B$2:$C$1996,2,0),"")</f>
        <v/>
      </c>
      <c r="N5723" s="2" t="str">
        <f>IFERROR(VLOOKUP(ROWS($N$2:N5723),$D$2:$E$1996,2,0),"")</f>
        <v/>
      </c>
    </row>
    <row r="5724" spans="2:14">
      <c r="B5724" s="32">
        <f>IF(ISNUMBER(SEARCH('Φόρμα Εισαγωγής'!$B$2,C5724)),MAX($B$1:B5723)+1,0)</f>
        <v>0</v>
      </c>
      <c r="D5724" s="33">
        <f>IF(ISNUMBER(SEARCH('Φόρμα Εισαγωγής'!$C$2,E5724)),MAX($D$1:D5723)+1,0)</f>
        <v>0</v>
      </c>
      <c r="H5724" s="6">
        <f t="shared" si="278"/>
        <v>0</v>
      </c>
      <c r="I5724" s="6">
        <f t="shared" si="279"/>
        <v>0</v>
      </c>
      <c r="J5724" s="6">
        <f t="shared" si="280"/>
        <v>0</v>
      </c>
      <c r="L5724" s="4" t="str">
        <f>IFERROR(VLOOKUP(ROWS($L$2:L5724),$B$2:$C$1996,2,0),"")</f>
        <v/>
      </c>
      <c r="N5724" s="2" t="str">
        <f>IFERROR(VLOOKUP(ROWS($N$2:N5724),$D$2:$E$1996,2,0),"")</f>
        <v/>
      </c>
    </row>
    <row r="5725" spans="2:14">
      <c r="B5725" s="32">
        <f>IF(ISNUMBER(SEARCH('Φόρμα Εισαγωγής'!$B$2,C5725)),MAX($B$1:B5724)+1,0)</f>
        <v>0</v>
      </c>
      <c r="D5725" s="33">
        <f>IF(ISNUMBER(SEARCH('Φόρμα Εισαγωγής'!$C$2,E5725)),MAX($D$1:D5724)+1,0)</f>
        <v>0</v>
      </c>
      <c r="H5725" s="6">
        <f t="shared" si="278"/>
        <v>0</v>
      </c>
      <c r="I5725" s="6">
        <f t="shared" si="279"/>
        <v>0</v>
      </c>
      <c r="J5725" s="6">
        <f t="shared" si="280"/>
        <v>0</v>
      </c>
      <c r="L5725" s="4" t="str">
        <f>IFERROR(VLOOKUP(ROWS($L$2:L5725),$B$2:$C$1996,2,0),"")</f>
        <v/>
      </c>
      <c r="N5725" s="2" t="str">
        <f>IFERROR(VLOOKUP(ROWS($N$2:N5725),$D$2:$E$1996,2,0),"")</f>
        <v/>
      </c>
    </row>
    <row r="5726" spans="2:14">
      <c r="B5726" s="32">
        <f>IF(ISNUMBER(SEARCH('Φόρμα Εισαγωγής'!$B$2,C5726)),MAX($B$1:B5725)+1,0)</f>
        <v>0</v>
      </c>
      <c r="D5726" s="33">
        <f>IF(ISNUMBER(SEARCH('Φόρμα Εισαγωγής'!$C$2,E5726)),MAX($D$1:D5725)+1,0)</f>
        <v>0</v>
      </c>
      <c r="H5726" s="6">
        <f t="shared" si="278"/>
        <v>0</v>
      </c>
      <c r="I5726" s="6">
        <f t="shared" si="279"/>
        <v>0</v>
      </c>
      <c r="J5726" s="6">
        <f t="shared" si="280"/>
        <v>0</v>
      </c>
      <c r="L5726" s="4" t="str">
        <f>IFERROR(VLOOKUP(ROWS($L$2:L5726),$B$2:$C$1996,2,0),"")</f>
        <v/>
      </c>
      <c r="N5726" s="2" t="str">
        <f>IFERROR(VLOOKUP(ROWS($N$2:N5726),$D$2:$E$1996,2,0),"")</f>
        <v/>
      </c>
    </row>
    <row r="5727" spans="2:14">
      <c r="B5727" s="32">
        <f>IF(ISNUMBER(SEARCH('Φόρμα Εισαγωγής'!$B$2,C5727)),MAX($B$1:B5726)+1,0)</f>
        <v>0</v>
      </c>
      <c r="D5727" s="33">
        <f>IF(ISNUMBER(SEARCH('Φόρμα Εισαγωγής'!$C$2,E5727)),MAX($D$1:D5726)+1,0)</f>
        <v>0</v>
      </c>
      <c r="H5727" s="6">
        <f t="shared" si="278"/>
        <v>0</v>
      </c>
      <c r="I5727" s="6">
        <f t="shared" si="279"/>
        <v>0</v>
      </c>
      <c r="J5727" s="6">
        <f t="shared" si="280"/>
        <v>0</v>
      </c>
      <c r="L5727" s="4" t="str">
        <f>IFERROR(VLOOKUP(ROWS($L$2:L5727),$B$2:$C$1996,2,0),"")</f>
        <v/>
      </c>
      <c r="N5727" s="2" t="str">
        <f>IFERROR(VLOOKUP(ROWS($N$2:N5727),$D$2:$E$1996,2,0),"")</f>
        <v/>
      </c>
    </row>
    <row r="5728" spans="2:14">
      <c r="B5728" s="32">
        <f>IF(ISNUMBER(SEARCH('Φόρμα Εισαγωγής'!$B$2,C5728)),MAX($B$1:B5727)+1,0)</f>
        <v>0</v>
      </c>
      <c r="D5728" s="33">
        <f>IF(ISNUMBER(SEARCH('Φόρμα Εισαγωγής'!$C$2,E5728)),MAX($D$1:D5727)+1,0)</f>
        <v>0</v>
      </c>
      <c r="H5728" s="6">
        <f t="shared" si="278"/>
        <v>0</v>
      </c>
      <c r="I5728" s="6">
        <f t="shared" si="279"/>
        <v>0</v>
      </c>
      <c r="J5728" s="6">
        <f t="shared" si="280"/>
        <v>0</v>
      </c>
      <c r="L5728" s="4" t="str">
        <f>IFERROR(VLOOKUP(ROWS($L$2:L5728),$B$2:$C$1996,2,0),"")</f>
        <v/>
      </c>
      <c r="N5728" s="2" t="str">
        <f>IFERROR(VLOOKUP(ROWS($N$2:N5728),$D$2:$E$1996,2,0),"")</f>
        <v/>
      </c>
    </row>
    <row r="5729" spans="2:14">
      <c r="B5729" s="32">
        <f>IF(ISNUMBER(SEARCH('Φόρμα Εισαγωγής'!$B$2,C5729)),MAX($B$1:B5728)+1,0)</f>
        <v>0</v>
      </c>
      <c r="D5729" s="33">
        <f>IF(ISNUMBER(SEARCH('Φόρμα Εισαγωγής'!$C$2,E5729)),MAX($D$1:D5728)+1,0)</f>
        <v>0</v>
      </c>
      <c r="H5729" s="6">
        <f t="shared" si="278"/>
        <v>0</v>
      </c>
      <c r="I5729" s="6">
        <f t="shared" si="279"/>
        <v>0</v>
      </c>
      <c r="J5729" s="6">
        <f t="shared" si="280"/>
        <v>0</v>
      </c>
      <c r="L5729" s="4" t="str">
        <f>IFERROR(VLOOKUP(ROWS($L$2:L5729),$B$2:$C$1996,2,0),"")</f>
        <v/>
      </c>
      <c r="N5729" s="2" t="str">
        <f>IFERROR(VLOOKUP(ROWS($N$2:N5729),$D$2:$E$1996,2,0),"")</f>
        <v/>
      </c>
    </row>
    <row r="5730" spans="2:14">
      <c r="B5730" s="32">
        <f>IF(ISNUMBER(SEARCH('Φόρμα Εισαγωγής'!$B$2,C5730)),MAX($B$1:B5729)+1,0)</f>
        <v>0</v>
      </c>
      <c r="D5730" s="33">
        <f>IF(ISNUMBER(SEARCH('Φόρμα Εισαγωγής'!$C$2,E5730)),MAX($D$1:D5729)+1,0)</f>
        <v>0</v>
      </c>
      <c r="H5730" s="6">
        <f t="shared" si="278"/>
        <v>0</v>
      </c>
      <c r="I5730" s="6">
        <f t="shared" si="279"/>
        <v>0</v>
      </c>
      <c r="J5730" s="6">
        <f t="shared" si="280"/>
        <v>0</v>
      </c>
      <c r="L5730" s="4" t="str">
        <f>IFERROR(VLOOKUP(ROWS($L$2:L5730),$B$2:$C$1996,2,0),"")</f>
        <v/>
      </c>
      <c r="N5730" s="2" t="str">
        <f>IFERROR(VLOOKUP(ROWS($N$2:N5730),$D$2:$E$1996,2,0),"")</f>
        <v/>
      </c>
    </row>
    <row r="5731" spans="2:14">
      <c r="B5731" s="32">
        <f>IF(ISNUMBER(SEARCH('Φόρμα Εισαγωγής'!$B$2,C5731)),MAX($B$1:B5730)+1,0)</f>
        <v>0</v>
      </c>
      <c r="D5731" s="33">
        <f>IF(ISNUMBER(SEARCH('Φόρμα Εισαγωγής'!$C$2,E5731)),MAX($D$1:D5730)+1,0)</f>
        <v>0</v>
      </c>
      <c r="H5731" s="6">
        <f t="shared" si="278"/>
        <v>0</v>
      </c>
      <c r="I5731" s="6">
        <f t="shared" si="279"/>
        <v>0</v>
      </c>
      <c r="J5731" s="6">
        <f t="shared" si="280"/>
        <v>0</v>
      </c>
      <c r="L5731" s="4" t="str">
        <f>IFERROR(VLOOKUP(ROWS($L$2:L5731),$B$2:$C$1996,2,0),"")</f>
        <v/>
      </c>
      <c r="N5731" s="2" t="str">
        <f>IFERROR(VLOOKUP(ROWS($N$2:N5731),$D$2:$E$1996,2,0),"")</f>
        <v/>
      </c>
    </row>
    <row r="5732" spans="2:14">
      <c r="B5732" s="32">
        <f>IF(ISNUMBER(SEARCH('Φόρμα Εισαγωγής'!$B$2,C5732)),MAX($B$1:B5731)+1,0)</f>
        <v>0</v>
      </c>
      <c r="D5732" s="33">
        <f>IF(ISNUMBER(SEARCH('Φόρμα Εισαγωγής'!$C$2,E5732)),MAX($D$1:D5731)+1,0)</f>
        <v>0</v>
      </c>
      <c r="H5732" s="6">
        <f t="shared" si="278"/>
        <v>0</v>
      </c>
      <c r="I5732" s="6">
        <f t="shared" si="279"/>
        <v>0</v>
      </c>
      <c r="J5732" s="6">
        <f t="shared" si="280"/>
        <v>0</v>
      </c>
      <c r="L5732" s="4" t="str">
        <f>IFERROR(VLOOKUP(ROWS($L$2:L5732),$B$2:$C$1996,2,0),"")</f>
        <v/>
      </c>
      <c r="N5732" s="2" t="str">
        <f>IFERROR(VLOOKUP(ROWS($N$2:N5732),$D$2:$E$1996,2,0),"")</f>
        <v/>
      </c>
    </row>
    <row r="5733" spans="2:14">
      <c r="B5733" s="32">
        <f>IF(ISNUMBER(SEARCH('Φόρμα Εισαγωγής'!$B$2,C5733)),MAX($B$1:B5732)+1,0)</f>
        <v>0</v>
      </c>
      <c r="D5733" s="33">
        <f>IF(ISNUMBER(SEARCH('Φόρμα Εισαγωγής'!$C$2,E5733)),MAX($D$1:D5732)+1,0)</f>
        <v>0</v>
      </c>
      <c r="H5733" s="6">
        <f t="shared" si="278"/>
        <v>0</v>
      </c>
      <c r="I5733" s="6">
        <f t="shared" si="279"/>
        <v>0</v>
      </c>
      <c r="J5733" s="6">
        <f t="shared" si="280"/>
        <v>0</v>
      </c>
      <c r="L5733" s="4" t="str">
        <f>IFERROR(VLOOKUP(ROWS($L$2:L5733),$B$2:$C$1996,2,0),"")</f>
        <v/>
      </c>
      <c r="N5733" s="2" t="str">
        <f>IFERROR(VLOOKUP(ROWS($N$2:N5733),$D$2:$E$1996,2,0),"")</f>
        <v/>
      </c>
    </row>
    <row r="5734" spans="2:14">
      <c r="B5734" s="32">
        <f>IF(ISNUMBER(SEARCH('Φόρμα Εισαγωγής'!$B$2,C5734)),MAX($B$1:B5733)+1,0)</f>
        <v>0</v>
      </c>
      <c r="D5734" s="33">
        <f>IF(ISNUMBER(SEARCH('Φόρμα Εισαγωγής'!$C$2,E5734)),MAX($D$1:D5733)+1,0)</f>
        <v>0</v>
      </c>
      <c r="H5734" s="6">
        <f t="shared" si="278"/>
        <v>0</v>
      </c>
      <c r="I5734" s="6">
        <f t="shared" si="279"/>
        <v>0</v>
      </c>
      <c r="J5734" s="6">
        <f t="shared" si="280"/>
        <v>0</v>
      </c>
      <c r="L5734" s="4" t="str">
        <f>IFERROR(VLOOKUP(ROWS($L$2:L5734),$B$2:$C$1996,2,0),"")</f>
        <v/>
      </c>
      <c r="N5734" s="2" t="str">
        <f>IFERROR(VLOOKUP(ROWS($N$2:N5734),$D$2:$E$1996,2,0),"")</f>
        <v/>
      </c>
    </row>
    <row r="5735" spans="2:14">
      <c r="B5735" s="32">
        <f>IF(ISNUMBER(SEARCH('Φόρμα Εισαγωγής'!$B$2,C5735)),MAX($B$1:B5734)+1,0)</f>
        <v>0</v>
      </c>
      <c r="D5735" s="33">
        <f>IF(ISNUMBER(SEARCH('Φόρμα Εισαγωγής'!$C$2,E5735)),MAX($D$1:D5734)+1,0)</f>
        <v>0</v>
      </c>
      <c r="H5735" s="6">
        <f t="shared" si="278"/>
        <v>0</v>
      </c>
      <c r="I5735" s="6">
        <f t="shared" si="279"/>
        <v>0</v>
      </c>
      <c r="J5735" s="6">
        <f t="shared" si="280"/>
        <v>0</v>
      </c>
      <c r="L5735" s="4" t="str">
        <f>IFERROR(VLOOKUP(ROWS($L$2:L5735),$B$2:$C$1996,2,0),"")</f>
        <v/>
      </c>
      <c r="N5735" s="2" t="str">
        <f>IFERROR(VLOOKUP(ROWS($N$2:N5735),$D$2:$E$1996,2,0),"")</f>
        <v/>
      </c>
    </row>
    <row r="5736" spans="2:14">
      <c r="B5736" s="32">
        <f>IF(ISNUMBER(SEARCH('Φόρμα Εισαγωγής'!$B$2,C5736)),MAX($B$1:B5735)+1,0)</f>
        <v>0</v>
      </c>
      <c r="D5736" s="33">
        <f>IF(ISNUMBER(SEARCH('Φόρμα Εισαγωγής'!$C$2,E5736)),MAX($D$1:D5735)+1,0)</f>
        <v>0</v>
      </c>
      <c r="H5736" s="6">
        <f t="shared" si="278"/>
        <v>0</v>
      </c>
      <c r="I5736" s="6">
        <f t="shared" si="279"/>
        <v>0</v>
      </c>
      <c r="J5736" s="6">
        <f t="shared" si="280"/>
        <v>0</v>
      </c>
      <c r="L5736" s="4" t="str">
        <f>IFERROR(VLOOKUP(ROWS($L$2:L5736),$B$2:$C$1996,2,0),"")</f>
        <v/>
      </c>
      <c r="N5736" s="2" t="str">
        <f>IFERROR(VLOOKUP(ROWS($N$2:N5736),$D$2:$E$1996,2,0),"")</f>
        <v/>
      </c>
    </row>
    <row r="5737" spans="2:14">
      <c r="B5737" s="32">
        <f>IF(ISNUMBER(SEARCH('Φόρμα Εισαγωγής'!$B$2,C5737)),MAX($B$1:B5736)+1,0)</f>
        <v>0</v>
      </c>
      <c r="D5737" s="33">
        <f>IF(ISNUMBER(SEARCH('Φόρμα Εισαγωγής'!$C$2,E5737)),MAX($D$1:D5736)+1,0)</f>
        <v>0</v>
      </c>
      <c r="H5737" s="6">
        <f t="shared" si="278"/>
        <v>0</v>
      </c>
      <c r="I5737" s="6">
        <f t="shared" si="279"/>
        <v>0</v>
      </c>
      <c r="J5737" s="6">
        <f t="shared" si="280"/>
        <v>0</v>
      </c>
      <c r="L5737" s="4" t="str">
        <f>IFERROR(VLOOKUP(ROWS($L$2:L5737),$B$2:$C$1996,2,0),"")</f>
        <v/>
      </c>
      <c r="N5737" s="2" t="str">
        <f>IFERROR(VLOOKUP(ROWS($N$2:N5737),$D$2:$E$1996,2,0),"")</f>
        <v/>
      </c>
    </row>
    <row r="5738" spans="2:14">
      <c r="B5738" s="32">
        <f>IF(ISNUMBER(SEARCH('Φόρμα Εισαγωγής'!$B$2,C5738)),MAX($B$1:B5737)+1,0)</f>
        <v>0</v>
      </c>
      <c r="D5738" s="33">
        <f>IF(ISNUMBER(SEARCH('Φόρμα Εισαγωγής'!$C$2,E5738)),MAX($D$1:D5737)+1,0)</f>
        <v>0</v>
      </c>
      <c r="H5738" s="6">
        <f t="shared" si="278"/>
        <v>0</v>
      </c>
      <c r="I5738" s="6">
        <f t="shared" si="279"/>
        <v>0</v>
      </c>
      <c r="J5738" s="6">
        <f t="shared" si="280"/>
        <v>0</v>
      </c>
      <c r="L5738" s="4" t="str">
        <f>IFERROR(VLOOKUP(ROWS($L$2:L5738),$B$2:$C$1996,2,0),"")</f>
        <v/>
      </c>
      <c r="N5738" s="2" t="str">
        <f>IFERROR(VLOOKUP(ROWS($N$2:N5738),$D$2:$E$1996,2,0),"")</f>
        <v/>
      </c>
    </row>
    <row r="5739" spans="2:14">
      <c r="B5739" s="32">
        <f>IF(ISNUMBER(SEARCH('Φόρμα Εισαγωγής'!$B$2,C5739)),MAX($B$1:B5738)+1,0)</f>
        <v>0</v>
      </c>
      <c r="D5739" s="33">
        <f>IF(ISNUMBER(SEARCH('Φόρμα Εισαγωγής'!$C$2,E5739)),MAX($D$1:D5738)+1,0)</f>
        <v>0</v>
      </c>
      <c r="H5739" s="6">
        <f t="shared" si="278"/>
        <v>0</v>
      </c>
      <c r="I5739" s="6">
        <f t="shared" si="279"/>
        <v>0</v>
      </c>
      <c r="J5739" s="6">
        <f t="shared" si="280"/>
        <v>0</v>
      </c>
      <c r="L5739" s="4" t="str">
        <f>IFERROR(VLOOKUP(ROWS($L$2:L5739),$B$2:$C$1996,2,0),"")</f>
        <v/>
      </c>
      <c r="N5739" s="2" t="str">
        <f>IFERROR(VLOOKUP(ROWS($N$2:N5739),$D$2:$E$1996,2,0),"")</f>
        <v/>
      </c>
    </row>
    <row r="5740" spans="2:14">
      <c r="B5740" s="32">
        <f>IF(ISNUMBER(SEARCH('Φόρμα Εισαγωγής'!$B$2,C5740)),MAX($B$1:B5739)+1,0)</f>
        <v>0</v>
      </c>
      <c r="D5740" s="33">
        <f>IF(ISNUMBER(SEARCH('Φόρμα Εισαγωγής'!$C$2,E5740)),MAX($D$1:D5739)+1,0)</f>
        <v>0</v>
      </c>
      <c r="H5740" s="6">
        <f t="shared" si="278"/>
        <v>0</v>
      </c>
      <c r="I5740" s="6">
        <f t="shared" si="279"/>
        <v>0</v>
      </c>
      <c r="J5740" s="6">
        <f t="shared" si="280"/>
        <v>0</v>
      </c>
      <c r="L5740" s="4" t="str">
        <f>IFERROR(VLOOKUP(ROWS($L$2:L5740),$B$2:$C$1996,2,0),"")</f>
        <v/>
      </c>
      <c r="N5740" s="2" t="str">
        <f>IFERROR(VLOOKUP(ROWS($N$2:N5740),$D$2:$E$1996,2,0),"")</f>
        <v/>
      </c>
    </row>
    <row r="5741" spans="2:14">
      <c r="B5741" s="32">
        <f>IF(ISNUMBER(SEARCH('Φόρμα Εισαγωγής'!$B$2,C5741)),MAX($B$1:B5740)+1,0)</f>
        <v>0</v>
      </c>
      <c r="D5741" s="33">
        <f>IF(ISNUMBER(SEARCH('Φόρμα Εισαγωγής'!$C$2,E5741)),MAX($D$1:D5740)+1,0)</f>
        <v>0</v>
      </c>
      <c r="H5741" s="6">
        <f t="shared" si="278"/>
        <v>0</v>
      </c>
      <c r="I5741" s="6">
        <f t="shared" si="279"/>
        <v>0</v>
      </c>
      <c r="J5741" s="6">
        <f t="shared" si="280"/>
        <v>0</v>
      </c>
      <c r="L5741" s="4" t="str">
        <f>IFERROR(VLOOKUP(ROWS($L$2:L5741),$B$2:$C$1996,2,0),"")</f>
        <v/>
      </c>
      <c r="N5741" s="2" t="str">
        <f>IFERROR(VLOOKUP(ROWS($N$2:N5741),$D$2:$E$1996,2,0),"")</f>
        <v/>
      </c>
    </row>
    <row r="5742" spans="2:14">
      <c r="B5742" s="32">
        <f>IF(ISNUMBER(SEARCH('Φόρμα Εισαγωγής'!$B$2,C5742)),MAX($B$1:B5741)+1,0)</f>
        <v>0</v>
      </c>
      <c r="D5742" s="33">
        <f>IF(ISNUMBER(SEARCH('Φόρμα Εισαγωγής'!$C$2,E5742)),MAX($D$1:D5741)+1,0)</f>
        <v>0</v>
      </c>
      <c r="H5742" s="6">
        <f t="shared" si="278"/>
        <v>0</v>
      </c>
      <c r="I5742" s="6">
        <f t="shared" si="279"/>
        <v>0</v>
      </c>
      <c r="J5742" s="6">
        <f t="shared" si="280"/>
        <v>0</v>
      </c>
      <c r="L5742" s="4" t="str">
        <f>IFERROR(VLOOKUP(ROWS($L$2:L5742),$B$2:$C$1996,2,0),"")</f>
        <v/>
      </c>
      <c r="N5742" s="2" t="str">
        <f>IFERROR(VLOOKUP(ROWS($N$2:N5742),$D$2:$E$1996,2,0),"")</f>
        <v/>
      </c>
    </row>
    <row r="5743" spans="2:14">
      <c r="B5743" s="32">
        <f>IF(ISNUMBER(SEARCH('Φόρμα Εισαγωγής'!$B$2,C5743)),MAX($B$1:B5742)+1,0)</f>
        <v>0</v>
      </c>
      <c r="D5743" s="33">
        <f>IF(ISNUMBER(SEARCH('Φόρμα Εισαγωγής'!$C$2,E5743)),MAX($D$1:D5742)+1,0)</f>
        <v>0</v>
      </c>
      <c r="H5743" s="6">
        <f t="shared" si="278"/>
        <v>0</v>
      </c>
      <c r="I5743" s="6">
        <f t="shared" si="279"/>
        <v>0</v>
      </c>
      <c r="J5743" s="6">
        <f t="shared" si="280"/>
        <v>0</v>
      </c>
      <c r="L5743" s="4" t="str">
        <f>IFERROR(VLOOKUP(ROWS($L$2:L5743),$B$2:$C$1996,2,0),"")</f>
        <v/>
      </c>
      <c r="N5743" s="2" t="str">
        <f>IFERROR(VLOOKUP(ROWS($N$2:N5743),$D$2:$E$1996,2,0),"")</f>
        <v/>
      </c>
    </row>
    <row r="5744" spans="2:14">
      <c r="B5744" s="32">
        <f>IF(ISNUMBER(SEARCH('Φόρμα Εισαγωγής'!$B$2,C5744)),MAX($B$1:B5743)+1,0)</f>
        <v>0</v>
      </c>
      <c r="D5744" s="33">
        <f>IF(ISNUMBER(SEARCH('Φόρμα Εισαγωγής'!$C$2,E5744)),MAX($D$1:D5743)+1,0)</f>
        <v>0</v>
      </c>
      <c r="H5744" s="6">
        <f t="shared" si="278"/>
        <v>0</v>
      </c>
      <c r="I5744" s="6">
        <f t="shared" si="279"/>
        <v>0</v>
      </c>
      <c r="J5744" s="6">
        <f t="shared" si="280"/>
        <v>0</v>
      </c>
      <c r="L5744" s="4" t="str">
        <f>IFERROR(VLOOKUP(ROWS($L$2:L5744),$B$2:$C$1996,2,0),"")</f>
        <v/>
      </c>
      <c r="N5744" s="2" t="str">
        <f>IFERROR(VLOOKUP(ROWS($N$2:N5744),$D$2:$E$1996,2,0),"")</f>
        <v/>
      </c>
    </row>
    <row r="5745" spans="2:14">
      <c r="B5745" s="32">
        <f>IF(ISNUMBER(SEARCH('Φόρμα Εισαγωγής'!$B$2,C5745)),MAX($B$1:B5744)+1,0)</f>
        <v>0</v>
      </c>
      <c r="D5745" s="33">
        <f>IF(ISNUMBER(SEARCH('Φόρμα Εισαγωγής'!$C$2,E5745)),MAX($D$1:D5744)+1,0)</f>
        <v>0</v>
      </c>
      <c r="H5745" s="6">
        <f t="shared" si="278"/>
        <v>0</v>
      </c>
      <c r="I5745" s="6">
        <f t="shared" si="279"/>
        <v>0</v>
      </c>
      <c r="J5745" s="6">
        <f t="shared" si="280"/>
        <v>0</v>
      </c>
      <c r="L5745" s="4" t="str">
        <f>IFERROR(VLOOKUP(ROWS($L$2:L5745),$B$2:$C$1996,2,0),"")</f>
        <v/>
      </c>
      <c r="N5745" s="2" t="str">
        <f>IFERROR(VLOOKUP(ROWS($N$2:N5745),$D$2:$E$1996,2,0),"")</f>
        <v/>
      </c>
    </row>
    <row r="5746" spans="2:14">
      <c r="B5746" s="32">
        <f>IF(ISNUMBER(SEARCH('Φόρμα Εισαγωγής'!$B$2,C5746)),MAX($B$1:B5745)+1,0)</f>
        <v>0</v>
      </c>
      <c r="D5746" s="33">
        <f>IF(ISNUMBER(SEARCH('Φόρμα Εισαγωγής'!$C$2,E5746)),MAX($D$1:D5745)+1,0)</f>
        <v>0</v>
      </c>
      <c r="H5746" s="6">
        <f t="shared" si="278"/>
        <v>0</v>
      </c>
      <c r="I5746" s="6">
        <f t="shared" si="279"/>
        <v>0</v>
      </c>
      <c r="J5746" s="6">
        <f t="shared" si="280"/>
        <v>0</v>
      </c>
      <c r="L5746" s="4" t="str">
        <f>IFERROR(VLOOKUP(ROWS($L$2:L5746),$B$2:$C$1996,2,0),"")</f>
        <v/>
      </c>
      <c r="N5746" s="2" t="str">
        <f>IFERROR(VLOOKUP(ROWS($N$2:N5746),$D$2:$E$1996,2,0),"")</f>
        <v/>
      </c>
    </row>
    <row r="5747" spans="2:14">
      <c r="B5747" s="32">
        <f>IF(ISNUMBER(SEARCH('Φόρμα Εισαγωγής'!$B$2,C5747)),MAX($B$1:B5746)+1,0)</f>
        <v>0</v>
      </c>
      <c r="D5747" s="33">
        <f>IF(ISNUMBER(SEARCH('Φόρμα Εισαγωγής'!$C$2,E5747)),MAX($D$1:D5746)+1,0)</f>
        <v>0</v>
      </c>
      <c r="H5747" s="6">
        <f t="shared" si="278"/>
        <v>0</v>
      </c>
      <c r="I5747" s="6">
        <f t="shared" si="279"/>
        <v>0</v>
      </c>
      <c r="J5747" s="6">
        <f t="shared" si="280"/>
        <v>0</v>
      </c>
      <c r="L5747" s="4" t="str">
        <f>IFERROR(VLOOKUP(ROWS($L$2:L5747),$B$2:$C$1996,2,0),"")</f>
        <v/>
      </c>
      <c r="N5747" s="2" t="str">
        <f>IFERROR(VLOOKUP(ROWS($N$2:N5747),$D$2:$E$1996,2,0),"")</f>
        <v/>
      </c>
    </row>
    <row r="5748" spans="2:14">
      <c r="B5748" s="32">
        <f>IF(ISNUMBER(SEARCH('Φόρμα Εισαγωγής'!$B$2,C5748)),MAX($B$1:B5747)+1,0)</f>
        <v>0</v>
      </c>
      <c r="D5748" s="33">
        <f>IF(ISNUMBER(SEARCH('Φόρμα Εισαγωγής'!$C$2,E5748)),MAX($D$1:D5747)+1,0)</f>
        <v>0</v>
      </c>
      <c r="H5748" s="6">
        <f t="shared" si="278"/>
        <v>0</v>
      </c>
      <c r="I5748" s="6">
        <f t="shared" si="279"/>
        <v>0</v>
      </c>
      <c r="J5748" s="6">
        <f t="shared" si="280"/>
        <v>0</v>
      </c>
      <c r="L5748" s="4" t="str">
        <f>IFERROR(VLOOKUP(ROWS($L$2:L5748),$B$2:$C$1996,2,0),"")</f>
        <v/>
      </c>
      <c r="N5748" s="2" t="str">
        <f>IFERROR(VLOOKUP(ROWS($N$2:N5748),$D$2:$E$1996,2,0),"")</f>
        <v/>
      </c>
    </row>
    <row r="5749" spans="2:14">
      <c r="B5749" s="32">
        <f>IF(ISNUMBER(SEARCH('Φόρμα Εισαγωγής'!$B$2,C5749)),MAX($B$1:B5748)+1,0)</f>
        <v>0</v>
      </c>
      <c r="D5749" s="33">
        <f>IF(ISNUMBER(SEARCH('Φόρμα Εισαγωγής'!$C$2,E5749)),MAX($D$1:D5748)+1,0)</f>
        <v>0</v>
      </c>
      <c r="H5749" s="6">
        <f t="shared" si="278"/>
        <v>0</v>
      </c>
      <c r="I5749" s="6">
        <f t="shared" si="279"/>
        <v>0</v>
      </c>
      <c r="J5749" s="6">
        <f t="shared" si="280"/>
        <v>0</v>
      </c>
      <c r="L5749" s="4" t="str">
        <f>IFERROR(VLOOKUP(ROWS($L$2:L5749),$B$2:$C$1996,2,0),"")</f>
        <v/>
      </c>
      <c r="N5749" s="2" t="str">
        <f>IFERROR(VLOOKUP(ROWS($N$2:N5749),$D$2:$E$1996,2,0),"")</f>
        <v/>
      </c>
    </row>
    <row r="5750" spans="2:14">
      <c r="B5750" s="32">
        <f>IF(ISNUMBER(SEARCH('Φόρμα Εισαγωγής'!$B$2,C5750)),MAX($B$1:B5749)+1,0)</f>
        <v>0</v>
      </c>
      <c r="D5750" s="33">
        <f>IF(ISNUMBER(SEARCH('Φόρμα Εισαγωγής'!$C$2,E5750)),MAX($D$1:D5749)+1,0)</f>
        <v>0</v>
      </c>
      <c r="H5750" s="6">
        <f t="shared" si="278"/>
        <v>0</v>
      </c>
      <c r="I5750" s="6">
        <f t="shared" si="279"/>
        <v>0</v>
      </c>
      <c r="J5750" s="6">
        <f t="shared" si="280"/>
        <v>0</v>
      </c>
      <c r="L5750" s="4" t="str">
        <f>IFERROR(VLOOKUP(ROWS($L$2:L5750),$B$2:$C$1996,2,0),"")</f>
        <v/>
      </c>
      <c r="N5750" s="2" t="str">
        <f>IFERROR(VLOOKUP(ROWS($N$2:N5750),$D$2:$E$1996,2,0),"")</f>
        <v/>
      </c>
    </row>
    <row r="5751" spans="2:14">
      <c r="B5751" s="32">
        <f>IF(ISNUMBER(SEARCH('Φόρμα Εισαγωγής'!$B$2,C5751)),MAX($B$1:B5750)+1,0)</f>
        <v>0</v>
      </c>
      <c r="D5751" s="33">
        <f>IF(ISNUMBER(SEARCH('Φόρμα Εισαγωγής'!$C$2,E5751)),MAX($D$1:D5750)+1,0)</f>
        <v>0</v>
      </c>
      <c r="H5751" s="6">
        <f t="shared" si="278"/>
        <v>0</v>
      </c>
      <c r="I5751" s="6">
        <f t="shared" si="279"/>
        <v>0</v>
      </c>
      <c r="J5751" s="6">
        <f t="shared" si="280"/>
        <v>0</v>
      </c>
      <c r="L5751" s="4" t="str">
        <f>IFERROR(VLOOKUP(ROWS($L$2:L5751),$B$2:$C$1996,2,0),"")</f>
        <v/>
      </c>
      <c r="N5751" s="2" t="str">
        <f>IFERROR(VLOOKUP(ROWS($N$2:N5751),$D$2:$E$1996,2,0),"")</f>
        <v/>
      </c>
    </row>
    <row r="5752" spans="2:14">
      <c r="B5752" s="32">
        <f>IF(ISNUMBER(SEARCH('Φόρμα Εισαγωγής'!$B$2,C5752)),MAX($B$1:B5751)+1,0)</f>
        <v>0</v>
      </c>
      <c r="D5752" s="33">
        <f>IF(ISNUMBER(SEARCH('Φόρμα Εισαγωγής'!$C$2,E5752)),MAX($D$1:D5751)+1,0)</f>
        <v>0</v>
      </c>
      <c r="H5752" s="6">
        <f t="shared" si="278"/>
        <v>0</v>
      </c>
      <c r="I5752" s="6">
        <f t="shared" si="279"/>
        <v>0</v>
      </c>
      <c r="J5752" s="6">
        <f t="shared" si="280"/>
        <v>0</v>
      </c>
      <c r="L5752" s="4" t="str">
        <f>IFERROR(VLOOKUP(ROWS($L$2:L5752),$B$2:$C$1996,2,0),"")</f>
        <v/>
      </c>
      <c r="N5752" s="2" t="str">
        <f>IFERROR(VLOOKUP(ROWS($N$2:N5752),$D$2:$E$1996,2,0),"")</f>
        <v/>
      </c>
    </row>
    <row r="5753" spans="2:14">
      <c r="B5753" s="32">
        <f>IF(ISNUMBER(SEARCH('Φόρμα Εισαγωγής'!$B$2,C5753)),MAX($B$1:B5752)+1,0)</f>
        <v>0</v>
      </c>
      <c r="D5753" s="33">
        <f>IF(ISNUMBER(SEARCH('Φόρμα Εισαγωγής'!$C$2,E5753)),MAX($D$1:D5752)+1,0)</f>
        <v>0</v>
      </c>
      <c r="H5753" s="6">
        <f t="shared" si="278"/>
        <v>0</v>
      </c>
      <c r="I5753" s="6">
        <f t="shared" si="279"/>
        <v>0</v>
      </c>
      <c r="J5753" s="6">
        <f t="shared" si="280"/>
        <v>0</v>
      </c>
      <c r="L5753" s="4" t="str">
        <f>IFERROR(VLOOKUP(ROWS($L$2:L5753),$B$2:$C$1996,2,0),"")</f>
        <v/>
      </c>
      <c r="N5753" s="2" t="str">
        <f>IFERROR(VLOOKUP(ROWS($N$2:N5753),$D$2:$E$1996,2,0),"")</f>
        <v/>
      </c>
    </row>
    <row r="5754" spans="2:14">
      <c r="B5754" s="32">
        <f>IF(ISNUMBER(SEARCH('Φόρμα Εισαγωγής'!$B$2,C5754)),MAX($B$1:B5753)+1,0)</f>
        <v>0</v>
      </c>
      <c r="D5754" s="33">
        <f>IF(ISNUMBER(SEARCH('Φόρμα Εισαγωγής'!$C$2,E5754)),MAX($D$1:D5753)+1,0)</f>
        <v>0</v>
      </c>
      <c r="H5754" s="6">
        <f t="shared" si="278"/>
        <v>0</v>
      </c>
      <c r="I5754" s="6">
        <f t="shared" si="279"/>
        <v>0</v>
      </c>
      <c r="J5754" s="6">
        <f t="shared" si="280"/>
        <v>0</v>
      </c>
      <c r="L5754" s="4" t="str">
        <f>IFERROR(VLOOKUP(ROWS($L$2:L5754),$B$2:$C$1996,2,0),"")</f>
        <v/>
      </c>
      <c r="N5754" s="2" t="str">
        <f>IFERROR(VLOOKUP(ROWS($N$2:N5754),$D$2:$E$1996,2,0),"")</f>
        <v/>
      </c>
    </row>
    <row r="5755" spans="2:14">
      <c r="B5755" s="32">
        <f>IF(ISNUMBER(SEARCH('Φόρμα Εισαγωγής'!$B$2,C5755)),MAX($B$1:B5754)+1,0)</f>
        <v>0</v>
      </c>
      <c r="D5755" s="33">
        <f>IF(ISNUMBER(SEARCH('Φόρμα Εισαγωγής'!$C$2,E5755)),MAX($D$1:D5754)+1,0)</f>
        <v>0</v>
      </c>
      <c r="H5755" s="6">
        <f t="shared" si="278"/>
        <v>0</v>
      </c>
      <c r="I5755" s="6">
        <f t="shared" si="279"/>
        <v>0</v>
      </c>
      <c r="J5755" s="6">
        <f t="shared" si="280"/>
        <v>0</v>
      </c>
      <c r="L5755" s="4" t="str">
        <f>IFERROR(VLOOKUP(ROWS($L$2:L5755),$B$2:$C$1996,2,0),"")</f>
        <v/>
      </c>
      <c r="N5755" s="2" t="str">
        <f>IFERROR(VLOOKUP(ROWS($N$2:N5755),$D$2:$E$1996,2,0),"")</f>
        <v/>
      </c>
    </row>
    <row r="5756" spans="2:14">
      <c r="B5756" s="32">
        <f>IF(ISNUMBER(SEARCH('Φόρμα Εισαγωγής'!$B$2,C5756)),MAX($B$1:B5755)+1,0)</f>
        <v>0</v>
      </c>
      <c r="D5756" s="33">
        <f>IF(ISNUMBER(SEARCH('Φόρμα Εισαγωγής'!$C$2,E5756)),MAX($D$1:D5755)+1,0)</f>
        <v>0</v>
      </c>
      <c r="H5756" s="6">
        <f t="shared" si="278"/>
        <v>0</v>
      </c>
      <c r="I5756" s="6">
        <f t="shared" si="279"/>
        <v>0</v>
      </c>
      <c r="J5756" s="6">
        <f t="shared" si="280"/>
        <v>0</v>
      </c>
      <c r="L5756" s="4" t="str">
        <f>IFERROR(VLOOKUP(ROWS($L$2:L5756),$B$2:$C$1996,2,0),"")</f>
        <v/>
      </c>
      <c r="N5756" s="2" t="str">
        <f>IFERROR(VLOOKUP(ROWS($N$2:N5756),$D$2:$E$1996,2,0),"")</f>
        <v/>
      </c>
    </row>
    <row r="5757" spans="2:14">
      <c r="B5757" s="32">
        <f>IF(ISNUMBER(SEARCH('Φόρμα Εισαγωγής'!$B$2,C5757)),MAX($B$1:B5756)+1,0)</f>
        <v>0</v>
      </c>
      <c r="D5757" s="33">
        <f>IF(ISNUMBER(SEARCH('Φόρμα Εισαγωγής'!$C$2,E5757)),MAX($D$1:D5756)+1,0)</f>
        <v>0</v>
      </c>
      <c r="H5757" s="6">
        <f t="shared" si="278"/>
        <v>0</v>
      </c>
      <c r="I5757" s="6">
        <f t="shared" si="279"/>
        <v>0</v>
      </c>
      <c r="J5757" s="6">
        <f t="shared" si="280"/>
        <v>0</v>
      </c>
      <c r="L5757" s="4" t="str">
        <f>IFERROR(VLOOKUP(ROWS($L$2:L5757),$B$2:$C$1996,2,0),"")</f>
        <v/>
      </c>
      <c r="N5757" s="2" t="str">
        <f>IFERROR(VLOOKUP(ROWS($N$2:N5757),$D$2:$E$1996,2,0),"")</f>
        <v/>
      </c>
    </row>
    <row r="5758" spans="2:14">
      <c r="B5758" s="32">
        <f>IF(ISNUMBER(SEARCH('Φόρμα Εισαγωγής'!$B$2,C5758)),MAX($B$1:B5757)+1,0)</f>
        <v>0</v>
      </c>
      <c r="D5758" s="33">
        <f>IF(ISNUMBER(SEARCH('Φόρμα Εισαγωγής'!$C$2,E5758)),MAX($D$1:D5757)+1,0)</f>
        <v>0</v>
      </c>
      <c r="H5758" s="6">
        <f t="shared" si="278"/>
        <v>0</v>
      </c>
      <c r="I5758" s="6">
        <f t="shared" si="279"/>
        <v>0</v>
      </c>
      <c r="J5758" s="6">
        <f t="shared" si="280"/>
        <v>0</v>
      </c>
      <c r="L5758" s="4" t="str">
        <f>IFERROR(VLOOKUP(ROWS($L$2:L5758),$B$2:$C$1996,2,0),"")</f>
        <v/>
      </c>
      <c r="N5758" s="2" t="str">
        <f>IFERROR(VLOOKUP(ROWS($N$2:N5758),$D$2:$E$1996,2,0),"")</f>
        <v/>
      </c>
    </row>
    <row r="5759" spans="2:14">
      <c r="B5759" s="32">
        <f>IF(ISNUMBER(SEARCH('Φόρμα Εισαγωγής'!$B$2,C5759)),MAX($B$1:B5758)+1,0)</f>
        <v>0</v>
      </c>
      <c r="D5759" s="33">
        <f>IF(ISNUMBER(SEARCH('Φόρμα Εισαγωγής'!$C$2,E5759)),MAX($D$1:D5758)+1,0)</f>
        <v>0</v>
      </c>
      <c r="H5759" s="6">
        <f t="shared" si="278"/>
        <v>0</v>
      </c>
      <c r="I5759" s="6">
        <f t="shared" si="279"/>
        <v>0</v>
      </c>
      <c r="J5759" s="6">
        <f t="shared" si="280"/>
        <v>0</v>
      </c>
      <c r="L5759" s="4" t="str">
        <f>IFERROR(VLOOKUP(ROWS($L$2:L5759),$B$2:$C$1996,2,0),"")</f>
        <v/>
      </c>
      <c r="N5759" s="2" t="str">
        <f>IFERROR(VLOOKUP(ROWS($N$2:N5759),$D$2:$E$1996,2,0),"")</f>
        <v/>
      </c>
    </row>
    <row r="5760" spans="2:14">
      <c r="B5760" s="32">
        <f>IF(ISNUMBER(SEARCH('Φόρμα Εισαγωγής'!$B$2,C5760)),MAX($B$1:B5759)+1,0)</f>
        <v>0</v>
      </c>
      <c r="D5760" s="33">
        <f>IF(ISNUMBER(SEARCH('Φόρμα Εισαγωγής'!$C$2,E5760)),MAX($D$1:D5759)+1,0)</f>
        <v>0</v>
      </c>
      <c r="H5760" s="6">
        <f t="shared" ref="H5760:H5823" si="281">G5760+(G5760*0.24)</f>
        <v>0</v>
      </c>
      <c r="I5760" s="6">
        <f t="shared" ref="I5760:I5823" si="282">F5760*A5760</f>
        <v>0</v>
      </c>
      <c r="J5760" s="6">
        <f t="shared" ref="J5760:J5823" si="283">H5760*A5760</f>
        <v>0</v>
      </c>
      <c r="L5760" s="4" t="str">
        <f>IFERROR(VLOOKUP(ROWS($L$2:L5760),$B$2:$C$1996,2,0),"")</f>
        <v/>
      </c>
      <c r="N5760" s="2" t="str">
        <f>IFERROR(VLOOKUP(ROWS($N$2:N5760),$D$2:$E$1996,2,0),"")</f>
        <v/>
      </c>
    </row>
    <row r="5761" spans="2:14">
      <c r="B5761" s="32">
        <f>IF(ISNUMBER(SEARCH('Φόρμα Εισαγωγής'!$B$2,C5761)),MAX($B$1:B5760)+1,0)</f>
        <v>0</v>
      </c>
      <c r="D5761" s="33">
        <f>IF(ISNUMBER(SEARCH('Φόρμα Εισαγωγής'!$C$2,E5761)),MAX($D$1:D5760)+1,0)</f>
        <v>0</v>
      </c>
      <c r="H5761" s="6">
        <f t="shared" si="281"/>
        <v>0</v>
      </c>
      <c r="I5761" s="6">
        <f t="shared" si="282"/>
        <v>0</v>
      </c>
      <c r="J5761" s="6">
        <f t="shared" si="283"/>
        <v>0</v>
      </c>
      <c r="L5761" s="4" t="str">
        <f>IFERROR(VLOOKUP(ROWS($L$2:L5761),$B$2:$C$1996,2,0),"")</f>
        <v/>
      </c>
      <c r="N5761" s="2" t="str">
        <f>IFERROR(VLOOKUP(ROWS($N$2:N5761),$D$2:$E$1996,2,0),"")</f>
        <v/>
      </c>
    </row>
    <row r="5762" spans="2:14">
      <c r="B5762" s="32">
        <f>IF(ISNUMBER(SEARCH('Φόρμα Εισαγωγής'!$B$2,C5762)),MAX($B$1:B5761)+1,0)</f>
        <v>0</v>
      </c>
      <c r="D5762" s="33">
        <f>IF(ISNUMBER(SEARCH('Φόρμα Εισαγωγής'!$C$2,E5762)),MAX($D$1:D5761)+1,0)</f>
        <v>0</v>
      </c>
      <c r="H5762" s="6">
        <f t="shared" si="281"/>
        <v>0</v>
      </c>
      <c r="I5762" s="6">
        <f t="shared" si="282"/>
        <v>0</v>
      </c>
      <c r="J5762" s="6">
        <f t="shared" si="283"/>
        <v>0</v>
      </c>
      <c r="L5762" s="4" t="str">
        <f>IFERROR(VLOOKUP(ROWS($L$2:L5762),$B$2:$C$1996,2,0),"")</f>
        <v/>
      </c>
      <c r="N5762" s="2" t="str">
        <f>IFERROR(VLOOKUP(ROWS($N$2:N5762),$D$2:$E$1996,2,0),"")</f>
        <v/>
      </c>
    </row>
    <row r="5763" spans="2:14">
      <c r="B5763" s="32">
        <f>IF(ISNUMBER(SEARCH('Φόρμα Εισαγωγής'!$B$2,C5763)),MAX($B$1:B5762)+1,0)</f>
        <v>0</v>
      </c>
      <c r="D5763" s="33">
        <f>IF(ISNUMBER(SEARCH('Φόρμα Εισαγωγής'!$C$2,E5763)),MAX($D$1:D5762)+1,0)</f>
        <v>0</v>
      </c>
      <c r="H5763" s="6">
        <f t="shared" si="281"/>
        <v>0</v>
      </c>
      <c r="I5763" s="6">
        <f t="shared" si="282"/>
        <v>0</v>
      </c>
      <c r="J5763" s="6">
        <f t="shared" si="283"/>
        <v>0</v>
      </c>
      <c r="L5763" s="4" t="str">
        <f>IFERROR(VLOOKUP(ROWS($L$2:L5763),$B$2:$C$1996,2,0),"")</f>
        <v/>
      </c>
      <c r="N5763" s="2" t="str">
        <f>IFERROR(VLOOKUP(ROWS($N$2:N5763),$D$2:$E$1996,2,0),"")</f>
        <v/>
      </c>
    </row>
    <row r="5764" spans="2:14">
      <c r="B5764" s="32">
        <f>IF(ISNUMBER(SEARCH('Φόρμα Εισαγωγής'!$B$2,C5764)),MAX($B$1:B5763)+1,0)</f>
        <v>0</v>
      </c>
      <c r="D5764" s="33">
        <f>IF(ISNUMBER(SEARCH('Φόρμα Εισαγωγής'!$C$2,E5764)),MAX($D$1:D5763)+1,0)</f>
        <v>0</v>
      </c>
      <c r="H5764" s="6">
        <f t="shared" si="281"/>
        <v>0</v>
      </c>
      <c r="I5764" s="6">
        <f t="shared" si="282"/>
        <v>0</v>
      </c>
      <c r="J5764" s="6">
        <f t="shared" si="283"/>
        <v>0</v>
      </c>
      <c r="L5764" s="4" t="str">
        <f>IFERROR(VLOOKUP(ROWS($L$2:L5764),$B$2:$C$1996,2,0),"")</f>
        <v/>
      </c>
      <c r="N5764" s="2" t="str">
        <f>IFERROR(VLOOKUP(ROWS($N$2:N5764),$D$2:$E$1996,2,0),"")</f>
        <v/>
      </c>
    </row>
    <row r="5765" spans="2:14">
      <c r="B5765" s="32">
        <f>IF(ISNUMBER(SEARCH('Φόρμα Εισαγωγής'!$B$2,C5765)),MAX($B$1:B5764)+1,0)</f>
        <v>0</v>
      </c>
      <c r="D5765" s="33">
        <f>IF(ISNUMBER(SEARCH('Φόρμα Εισαγωγής'!$C$2,E5765)),MAX($D$1:D5764)+1,0)</f>
        <v>0</v>
      </c>
      <c r="H5765" s="6">
        <f t="shared" si="281"/>
        <v>0</v>
      </c>
      <c r="I5765" s="6">
        <f t="shared" si="282"/>
        <v>0</v>
      </c>
      <c r="J5765" s="6">
        <f t="shared" si="283"/>
        <v>0</v>
      </c>
      <c r="L5765" s="4" t="str">
        <f>IFERROR(VLOOKUP(ROWS($L$2:L5765),$B$2:$C$1996,2,0),"")</f>
        <v/>
      </c>
      <c r="N5765" s="2" t="str">
        <f>IFERROR(VLOOKUP(ROWS($N$2:N5765),$D$2:$E$1996,2,0),"")</f>
        <v/>
      </c>
    </row>
    <row r="5766" spans="2:14">
      <c r="B5766" s="32">
        <f>IF(ISNUMBER(SEARCH('Φόρμα Εισαγωγής'!$B$2,C5766)),MAX($B$1:B5765)+1,0)</f>
        <v>0</v>
      </c>
      <c r="D5766" s="33">
        <f>IF(ISNUMBER(SEARCH('Φόρμα Εισαγωγής'!$C$2,E5766)),MAX($D$1:D5765)+1,0)</f>
        <v>0</v>
      </c>
      <c r="H5766" s="6">
        <f t="shared" si="281"/>
        <v>0</v>
      </c>
      <c r="I5766" s="6">
        <f t="shared" si="282"/>
        <v>0</v>
      </c>
      <c r="J5766" s="6">
        <f t="shared" si="283"/>
        <v>0</v>
      </c>
      <c r="L5766" s="4" t="str">
        <f>IFERROR(VLOOKUP(ROWS($L$2:L5766),$B$2:$C$1996,2,0),"")</f>
        <v/>
      </c>
      <c r="N5766" s="2" t="str">
        <f>IFERROR(VLOOKUP(ROWS($N$2:N5766),$D$2:$E$1996,2,0),"")</f>
        <v/>
      </c>
    </row>
    <row r="5767" spans="2:14">
      <c r="B5767" s="32">
        <f>IF(ISNUMBER(SEARCH('Φόρμα Εισαγωγής'!$B$2,C5767)),MAX($B$1:B5766)+1,0)</f>
        <v>0</v>
      </c>
      <c r="D5767" s="33">
        <f>IF(ISNUMBER(SEARCH('Φόρμα Εισαγωγής'!$C$2,E5767)),MAX($D$1:D5766)+1,0)</f>
        <v>0</v>
      </c>
      <c r="H5767" s="6">
        <f t="shared" si="281"/>
        <v>0</v>
      </c>
      <c r="I5767" s="6">
        <f t="shared" si="282"/>
        <v>0</v>
      </c>
      <c r="J5767" s="6">
        <f t="shared" si="283"/>
        <v>0</v>
      </c>
      <c r="L5767" s="4" t="str">
        <f>IFERROR(VLOOKUP(ROWS($L$2:L5767),$B$2:$C$1996,2,0),"")</f>
        <v/>
      </c>
      <c r="N5767" s="2" t="str">
        <f>IFERROR(VLOOKUP(ROWS($N$2:N5767),$D$2:$E$1996,2,0),"")</f>
        <v/>
      </c>
    </row>
    <row r="5768" spans="2:14">
      <c r="B5768" s="32">
        <f>IF(ISNUMBER(SEARCH('Φόρμα Εισαγωγής'!$B$2,C5768)),MAX($B$1:B5767)+1,0)</f>
        <v>0</v>
      </c>
      <c r="D5768" s="33">
        <f>IF(ISNUMBER(SEARCH('Φόρμα Εισαγωγής'!$C$2,E5768)),MAX($D$1:D5767)+1,0)</f>
        <v>0</v>
      </c>
      <c r="H5768" s="6">
        <f t="shared" si="281"/>
        <v>0</v>
      </c>
      <c r="I5768" s="6">
        <f t="shared" si="282"/>
        <v>0</v>
      </c>
      <c r="J5768" s="6">
        <f t="shared" si="283"/>
        <v>0</v>
      </c>
      <c r="L5768" s="4" t="str">
        <f>IFERROR(VLOOKUP(ROWS($L$2:L5768),$B$2:$C$1996,2,0),"")</f>
        <v/>
      </c>
      <c r="N5768" s="2" t="str">
        <f>IFERROR(VLOOKUP(ROWS($N$2:N5768),$D$2:$E$1996,2,0),"")</f>
        <v/>
      </c>
    </row>
    <row r="5769" spans="2:14">
      <c r="B5769" s="32">
        <f>IF(ISNUMBER(SEARCH('Φόρμα Εισαγωγής'!$B$2,C5769)),MAX($B$1:B5768)+1,0)</f>
        <v>0</v>
      </c>
      <c r="D5769" s="33">
        <f>IF(ISNUMBER(SEARCH('Φόρμα Εισαγωγής'!$C$2,E5769)),MAX($D$1:D5768)+1,0)</f>
        <v>0</v>
      </c>
      <c r="H5769" s="6">
        <f t="shared" si="281"/>
        <v>0</v>
      </c>
      <c r="I5769" s="6">
        <f t="shared" si="282"/>
        <v>0</v>
      </c>
      <c r="J5769" s="6">
        <f t="shared" si="283"/>
        <v>0</v>
      </c>
      <c r="L5769" s="4" t="str">
        <f>IFERROR(VLOOKUP(ROWS($L$2:L5769),$B$2:$C$1996,2,0),"")</f>
        <v/>
      </c>
      <c r="N5769" s="2" t="str">
        <f>IFERROR(VLOOKUP(ROWS($N$2:N5769),$D$2:$E$1996,2,0),"")</f>
        <v/>
      </c>
    </row>
    <row r="5770" spans="2:14">
      <c r="B5770" s="32">
        <f>IF(ISNUMBER(SEARCH('Φόρμα Εισαγωγής'!$B$2,C5770)),MAX($B$1:B5769)+1,0)</f>
        <v>0</v>
      </c>
      <c r="D5770" s="33">
        <f>IF(ISNUMBER(SEARCH('Φόρμα Εισαγωγής'!$C$2,E5770)),MAX($D$1:D5769)+1,0)</f>
        <v>0</v>
      </c>
      <c r="H5770" s="6">
        <f t="shared" si="281"/>
        <v>0</v>
      </c>
      <c r="I5770" s="6">
        <f t="shared" si="282"/>
        <v>0</v>
      </c>
      <c r="J5770" s="6">
        <f t="shared" si="283"/>
        <v>0</v>
      </c>
      <c r="L5770" s="4" t="str">
        <f>IFERROR(VLOOKUP(ROWS($L$2:L5770),$B$2:$C$1996,2,0),"")</f>
        <v/>
      </c>
      <c r="N5770" s="2" t="str">
        <f>IFERROR(VLOOKUP(ROWS($N$2:N5770),$D$2:$E$1996,2,0),"")</f>
        <v/>
      </c>
    </row>
    <row r="5771" spans="2:14">
      <c r="B5771" s="32">
        <f>IF(ISNUMBER(SEARCH('Φόρμα Εισαγωγής'!$B$2,C5771)),MAX($B$1:B5770)+1,0)</f>
        <v>0</v>
      </c>
      <c r="D5771" s="33">
        <f>IF(ISNUMBER(SEARCH('Φόρμα Εισαγωγής'!$C$2,E5771)),MAX($D$1:D5770)+1,0)</f>
        <v>0</v>
      </c>
      <c r="H5771" s="6">
        <f t="shared" si="281"/>
        <v>0</v>
      </c>
      <c r="I5771" s="6">
        <f t="shared" si="282"/>
        <v>0</v>
      </c>
      <c r="J5771" s="6">
        <f t="shared" si="283"/>
        <v>0</v>
      </c>
      <c r="L5771" s="4" t="str">
        <f>IFERROR(VLOOKUP(ROWS($L$2:L5771),$B$2:$C$1996,2,0),"")</f>
        <v/>
      </c>
      <c r="N5771" s="2" t="str">
        <f>IFERROR(VLOOKUP(ROWS($N$2:N5771),$D$2:$E$1996,2,0),"")</f>
        <v/>
      </c>
    </row>
    <row r="5772" spans="2:14">
      <c r="B5772" s="32">
        <f>IF(ISNUMBER(SEARCH('Φόρμα Εισαγωγής'!$B$2,C5772)),MAX($B$1:B5771)+1,0)</f>
        <v>0</v>
      </c>
      <c r="D5772" s="33">
        <f>IF(ISNUMBER(SEARCH('Φόρμα Εισαγωγής'!$C$2,E5772)),MAX($D$1:D5771)+1,0)</f>
        <v>0</v>
      </c>
      <c r="H5772" s="6">
        <f t="shared" si="281"/>
        <v>0</v>
      </c>
      <c r="I5772" s="6">
        <f t="shared" si="282"/>
        <v>0</v>
      </c>
      <c r="J5772" s="6">
        <f t="shared" si="283"/>
        <v>0</v>
      </c>
      <c r="L5772" s="4" t="str">
        <f>IFERROR(VLOOKUP(ROWS($L$2:L5772),$B$2:$C$1996,2,0),"")</f>
        <v/>
      </c>
      <c r="N5772" s="2" t="str">
        <f>IFERROR(VLOOKUP(ROWS($N$2:N5772),$D$2:$E$1996,2,0),"")</f>
        <v/>
      </c>
    </row>
    <row r="5773" spans="2:14">
      <c r="B5773" s="32">
        <f>IF(ISNUMBER(SEARCH('Φόρμα Εισαγωγής'!$B$2,C5773)),MAX($B$1:B5772)+1,0)</f>
        <v>0</v>
      </c>
      <c r="D5773" s="33">
        <f>IF(ISNUMBER(SEARCH('Φόρμα Εισαγωγής'!$C$2,E5773)),MAX($D$1:D5772)+1,0)</f>
        <v>0</v>
      </c>
      <c r="H5773" s="6">
        <f t="shared" si="281"/>
        <v>0</v>
      </c>
      <c r="I5773" s="6">
        <f t="shared" si="282"/>
        <v>0</v>
      </c>
      <c r="J5773" s="6">
        <f t="shared" si="283"/>
        <v>0</v>
      </c>
      <c r="L5773" s="4" t="str">
        <f>IFERROR(VLOOKUP(ROWS($L$2:L5773),$B$2:$C$1996,2,0),"")</f>
        <v/>
      </c>
      <c r="N5773" s="2" t="str">
        <f>IFERROR(VLOOKUP(ROWS($N$2:N5773),$D$2:$E$1996,2,0),"")</f>
        <v/>
      </c>
    </row>
    <row r="5774" spans="2:14">
      <c r="B5774" s="32">
        <f>IF(ISNUMBER(SEARCH('Φόρμα Εισαγωγής'!$B$2,C5774)),MAX($B$1:B5773)+1,0)</f>
        <v>0</v>
      </c>
      <c r="D5774" s="33">
        <f>IF(ISNUMBER(SEARCH('Φόρμα Εισαγωγής'!$C$2,E5774)),MAX($D$1:D5773)+1,0)</f>
        <v>0</v>
      </c>
      <c r="H5774" s="6">
        <f t="shared" si="281"/>
        <v>0</v>
      </c>
      <c r="I5774" s="6">
        <f t="shared" si="282"/>
        <v>0</v>
      </c>
      <c r="J5774" s="6">
        <f t="shared" si="283"/>
        <v>0</v>
      </c>
      <c r="L5774" s="4" t="str">
        <f>IFERROR(VLOOKUP(ROWS($L$2:L5774),$B$2:$C$1996,2,0),"")</f>
        <v/>
      </c>
      <c r="N5774" s="2" t="str">
        <f>IFERROR(VLOOKUP(ROWS($N$2:N5774),$D$2:$E$1996,2,0),"")</f>
        <v/>
      </c>
    </row>
    <row r="5775" spans="2:14">
      <c r="B5775" s="32">
        <f>IF(ISNUMBER(SEARCH('Φόρμα Εισαγωγής'!$B$2,C5775)),MAX($B$1:B5774)+1,0)</f>
        <v>0</v>
      </c>
      <c r="D5775" s="33">
        <f>IF(ISNUMBER(SEARCH('Φόρμα Εισαγωγής'!$C$2,E5775)),MAX($D$1:D5774)+1,0)</f>
        <v>0</v>
      </c>
      <c r="H5775" s="6">
        <f t="shared" si="281"/>
        <v>0</v>
      </c>
      <c r="I5775" s="6">
        <f t="shared" si="282"/>
        <v>0</v>
      </c>
      <c r="J5775" s="6">
        <f t="shared" si="283"/>
        <v>0</v>
      </c>
      <c r="L5775" s="4" t="str">
        <f>IFERROR(VLOOKUP(ROWS($L$2:L5775),$B$2:$C$1996,2,0),"")</f>
        <v/>
      </c>
      <c r="N5775" s="2" t="str">
        <f>IFERROR(VLOOKUP(ROWS($N$2:N5775),$D$2:$E$1996,2,0),"")</f>
        <v/>
      </c>
    </row>
    <row r="5776" spans="2:14">
      <c r="B5776" s="32">
        <f>IF(ISNUMBER(SEARCH('Φόρμα Εισαγωγής'!$B$2,C5776)),MAX($B$1:B5775)+1,0)</f>
        <v>0</v>
      </c>
      <c r="D5776" s="33">
        <f>IF(ISNUMBER(SEARCH('Φόρμα Εισαγωγής'!$C$2,E5776)),MAX($D$1:D5775)+1,0)</f>
        <v>0</v>
      </c>
      <c r="H5776" s="6">
        <f t="shared" si="281"/>
        <v>0</v>
      </c>
      <c r="I5776" s="6">
        <f t="shared" si="282"/>
        <v>0</v>
      </c>
      <c r="J5776" s="6">
        <f t="shared" si="283"/>
        <v>0</v>
      </c>
      <c r="L5776" s="4" t="str">
        <f>IFERROR(VLOOKUP(ROWS($L$2:L5776),$B$2:$C$1996,2,0),"")</f>
        <v/>
      </c>
      <c r="N5776" s="2" t="str">
        <f>IFERROR(VLOOKUP(ROWS($N$2:N5776),$D$2:$E$1996,2,0),"")</f>
        <v/>
      </c>
    </row>
    <row r="5777" spans="2:14">
      <c r="B5777" s="32">
        <f>IF(ISNUMBER(SEARCH('Φόρμα Εισαγωγής'!$B$2,C5777)),MAX($B$1:B5776)+1,0)</f>
        <v>0</v>
      </c>
      <c r="D5777" s="33">
        <f>IF(ISNUMBER(SEARCH('Φόρμα Εισαγωγής'!$C$2,E5777)),MAX($D$1:D5776)+1,0)</f>
        <v>0</v>
      </c>
      <c r="H5777" s="6">
        <f t="shared" si="281"/>
        <v>0</v>
      </c>
      <c r="I5777" s="6">
        <f t="shared" si="282"/>
        <v>0</v>
      </c>
      <c r="J5777" s="6">
        <f t="shared" si="283"/>
        <v>0</v>
      </c>
      <c r="L5777" s="4" t="str">
        <f>IFERROR(VLOOKUP(ROWS($L$2:L5777),$B$2:$C$1996,2,0),"")</f>
        <v/>
      </c>
      <c r="N5777" s="2" t="str">
        <f>IFERROR(VLOOKUP(ROWS($N$2:N5777),$D$2:$E$1996,2,0),"")</f>
        <v/>
      </c>
    </row>
    <row r="5778" spans="2:14">
      <c r="B5778" s="32">
        <f>IF(ISNUMBER(SEARCH('Φόρμα Εισαγωγής'!$B$2,C5778)),MAX($B$1:B5777)+1,0)</f>
        <v>0</v>
      </c>
      <c r="D5778" s="33">
        <f>IF(ISNUMBER(SEARCH('Φόρμα Εισαγωγής'!$C$2,E5778)),MAX($D$1:D5777)+1,0)</f>
        <v>0</v>
      </c>
      <c r="H5778" s="6">
        <f t="shared" si="281"/>
        <v>0</v>
      </c>
      <c r="I5778" s="6">
        <f t="shared" si="282"/>
        <v>0</v>
      </c>
      <c r="J5778" s="6">
        <f t="shared" si="283"/>
        <v>0</v>
      </c>
      <c r="L5778" s="4" t="str">
        <f>IFERROR(VLOOKUP(ROWS($L$2:L5778),$B$2:$C$1996,2,0),"")</f>
        <v/>
      </c>
      <c r="N5778" s="2" t="str">
        <f>IFERROR(VLOOKUP(ROWS($N$2:N5778),$D$2:$E$1996,2,0),"")</f>
        <v/>
      </c>
    </row>
    <row r="5779" spans="2:14">
      <c r="B5779" s="32">
        <f>IF(ISNUMBER(SEARCH('Φόρμα Εισαγωγής'!$B$2,C5779)),MAX($B$1:B5778)+1,0)</f>
        <v>0</v>
      </c>
      <c r="D5779" s="33">
        <f>IF(ISNUMBER(SEARCH('Φόρμα Εισαγωγής'!$C$2,E5779)),MAX($D$1:D5778)+1,0)</f>
        <v>0</v>
      </c>
      <c r="H5779" s="6">
        <f t="shared" si="281"/>
        <v>0</v>
      </c>
      <c r="I5779" s="6">
        <f t="shared" si="282"/>
        <v>0</v>
      </c>
      <c r="J5779" s="6">
        <f t="shared" si="283"/>
        <v>0</v>
      </c>
      <c r="L5779" s="4" t="str">
        <f>IFERROR(VLOOKUP(ROWS($L$2:L5779),$B$2:$C$1996,2,0),"")</f>
        <v/>
      </c>
      <c r="N5779" s="2" t="str">
        <f>IFERROR(VLOOKUP(ROWS($N$2:N5779),$D$2:$E$1996,2,0),"")</f>
        <v/>
      </c>
    </row>
    <row r="5780" spans="2:14">
      <c r="B5780" s="32">
        <f>IF(ISNUMBER(SEARCH('Φόρμα Εισαγωγής'!$B$2,C5780)),MAX($B$1:B5779)+1,0)</f>
        <v>0</v>
      </c>
      <c r="D5780" s="33">
        <f>IF(ISNUMBER(SEARCH('Φόρμα Εισαγωγής'!$C$2,E5780)),MAX($D$1:D5779)+1,0)</f>
        <v>0</v>
      </c>
      <c r="H5780" s="6">
        <f t="shared" si="281"/>
        <v>0</v>
      </c>
      <c r="I5780" s="6">
        <f t="shared" si="282"/>
        <v>0</v>
      </c>
      <c r="J5780" s="6">
        <f t="shared" si="283"/>
        <v>0</v>
      </c>
      <c r="L5780" s="4" t="str">
        <f>IFERROR(VLOOKUP(ROWS($L$2:L5780),$B$2:$C$1996,2,0),"")</f>
        <v/>
      </c>
      <c r="N5780" s="2" t="str">
        <f>IFERROR(VLOOKUP(ROWS($N$2:N5780),$D$2:$E$1996,2,0),"")</f>
        <v/>
      </c>
    </row>
    <row r="5781" spans="2:14">
      <c r="B5781" s="32">
        <f>IF(ISNUMBER(SEARCH('Φόρμα Εισαγωγής'!$B$2,C5781)),MAX($B$1:B5780)+1,0)</f>
        <v>0</v>
      </c>
      <c r="D5781" s="33">
        <f>IF(ISNUMBER(SEARCH('Φόρμα Εισαγωγής'!$C$2,E5781)),MAX($D$1:D5780)+1,0)</f>
        <v>0</v>
      </c>
      <c r="H5781" s="6">
        <f t="shared" si="281"/>
        <v>0</v>
      </c>
      <c r="I5781" s="6">
        <f t="shared" si="282"/>
        <v>0</v>
      </c>
      <c r="J5781" s="6">
        <f t="shared" si="283"/>
        <v>0</v>
      </c>
      <c r="L5781" s="4" t="str">
        <f>IFERROR(VLOOKUP(ROWS($L$2:L5781),$B$2:$C$1996,2,0),"")</f>
        <v/>
      </c>
      <c r="N5781" s="2" t="str">
        <f>IFERROR(VLOOKUP(ROWS($N$2:N5781),$D$2:$E$1996,2,0),"")</f>
        <v/>
      </c>
    </row>
    <row r="5782" spans="2:14">
      <c r="B5782" s="32">
        <f>IF(ISNUMBER(SEARCH('Φόρμα Εισαγωγής'!$B$2,C5782)),MAX($B$1:B5781)+1,0)</f>
        <v>0</v>
      </c>
      <c r="D5782" s="33">
        <f>IF(ISNUMBER(SEARCH('Φόρμα Εισαγωγής'!$C$2,E5782)),MAX($D$1:D5781)+1,0)</f>
        <v>0</v>
      </c>
      <c r="H5782" s="6">
        <f t="shared" si="281"/>
        <v>0</v>
      </c>
      <c r="I5782" s="6">
        <f t="shared" si="282"/>
        <v>0</v>
      </c>
      <c r="J5782" s="6">
        <f t="shared" si="283"/>
        <v>0</v>
      </c>
      <c r="L5782" s="4" t="str">
        <f>IFERROR(VLOOKUP(ROWS($L$2:L5782),$B$2:$C$1996,2,0),"")</f>
        <v/>
      </c>
      <c r="N5782" s="2" t="str">
        <f>IFERROR(VLOOKUP(ROWS($N$2:N5782),$D$2:$E$1996,2,0),"")</f>
        <v/>
      </c>
    </row>
    <row r="5783" spans="2:14">
      <c r="B5783" s="32">
        <f>IF(ISNUMBER(SEARCH('Φόρμα Εισαγωγής'!$B$2,C5783)),MAX($B$1:B5782)+1,0)</f>
        <v>0</v>
      </c>
      <c r="D5783" s="33">
        <f>IF(ISNUMBER(SEARCH('Φόρμα Εισαγωγής'!$C$2,E5783)),MAX($D$1:D5782)+1,0)</f>
        <v>0</v>
      </c>
      <c r="H5783" s="6">
        <f t="shared" si="281"/>
        <v>0</v>
      </c>
      <c r="I5783" s="6">
        <f t="shared" si="282"/>
        <v>0</v>
      </c>
      <c r="J5783" s="6">
        <f t="shared" si="283"/>
        <v>0</v>
      </c>
      <c r="L5783" s="4" t="str">
        <f>IFERROR(VLOOKUP(ROWS($L$2:L5783),$B$2:$C$1996,2,0),"")</f>
        <v/>
      </c>
      <c r="N5783" s="2" t="str">
        <f>IFERROR(VLOOKUP(ROWS($N$2:N5783),$D$2:$E$1996,2,0),"")</f>
        <v/>
      </c>
    </row>
    <row r="5784" spans="2:14">
      <c r="B5784" s="32">
        <f>IF(ISNUMBER(SEARCH('Φόρμα Εισαγωγής'!$B$2,C5784)),MAX($B$1:B5783)+1,0)</f>
        <v>0</v>
      </c>
      <c r="D5784" s="33">
        <f>IF(ISNUMBER(SEARCH('Φόρμα Εισαγωγής'!$C$2,E5784)),MAX($D$1:D5783)+1,0)</f>
        <v>0</v>
      </c>
      <c r="H5784" s="6">
        <f t="shared" si="281"/>
        <v>0</v>
      </c>
      <c r="I5784" s="6">
        <f t="shared" si="282"/>
        <v>0</v>
      </c>
      <c r="J5784" s="6">
        <f t="shared" si="283"/>
        <v>0</v>
      </c>
      <c r="L5784" s="4" t="str">
        <f>IFERROR(VLOOKUP(ROWS($L$2:L5784),$B$2:$C$1996,2,0),"")</f>
        <v/>
      </c>
      <c r="N5784" s="2" t="str">
        <f>IFERROR(VLOOKUP(ROWS($N$2:N5784),$D$2:$E$1996,2,0),"")</f>
        <v/>
      </c>
    </row>
    <row r="5785" spans="2:14">
      <c r="B5785" s="32">
        <f>IF(ISNUMBER(SEARCH('Φόρμα Εισαγωγής'!$B$2,C5785)),MAX($B$1:B5784)+1,0)</f>
        <v>0</v>
      </c>
      <c r="D5785" s="33">
        <f>IF(ISNUMBER(SEARCH('Φόρμα Εισαγωγής'!$C$2,E5785)),MAX($D$1:D5784)+1,0)</f>
        <v>0</v>
      </c>
      <c r="H5785" s="6">
        <f t="shared" si="281"/>
        <v>0</v>
      </c>
      <c r="I5785" s="6">
        <f t="shared" si="282"/>
        <v>0</v>
      </c>
      <c r="J5785" s="6">
        <f t="shared" si="283"/>
        <v>0</v>
      </c>
      <c r="L5785" s="4" t="str">
        <f>IFERROR(VLOOKUP(ROWS($L$2:L5785),$B$2:$C$1996,2,0),"")</f>
        <v/>
      </c>
      <c r="N5785" s="2" t="str">
        <f>IFERROR(VLOOKUP(ROWS($N$2:N5785),$D$2:$E$1996,2,0),"")</f>
        <v/>
      </c>
    </row>
    <row r="5786" spans="2:14">
      <c r="B5786" s="32">
        <f>IF(ISNUMBER(SEARCH('Φόρμα Εισαγωγής'!$B$2,C5786)),MAX($B$1:B5785)+1,0)</f>
        <v>0</v>
      </c>
      <c r="D5786" s="33">
        <f>IF(ISNUMBER(SEARCH('Φόρμα Εισαγωγής'!$C$2,E5786)),MAX($D$1:D5785)+1,0)</f>
        <v>0</v>
      </c>
      <c r="H5786" s="6">
        <f t="shared" si="281"/>
        <v>0</v>
      </c>
      <c r="I5786" s="6">
        <f t="shared" si="282"/>
        <v>0</v>
      </c>
      <c r="J5786" s="6">
        <f t="shared" si="283"/>
        <v>0</v>
      </c>
      <c r="L5786" s="4" t="str">
        <f>IFERROR(VLOOKUP(ROWS($L$2:L5786),$B$2:$C$1996,2,0),"")</f>
        <v/>
      </c>
      <c r="N5786" s="2" t="str">
        <f>IFERROR(VLOOKUP(ROWS($N$2:N5786),$D$2:$E$1996,2,0),"")</f>
        <v/>
      </c>
    </row>
    <row r="5787" spans="2:14">
      <c r="B5787" s="32">
        <f>IF(ISNUMBER(SEARCH('Φόρμα Εισαγωγής'!$B$2,C5787)),MAX($B$1:B5786)+1,0)</f>
        <v>0</v>
      </c>
      <c r="D5787" s="33">
        <f>IF(ISNUMBER(SEARCH('Φόρμα Εισαγωγής'!$C$2,E5787)),MAX($D$1:D5786)+1,0)</f>
        <v>0</v>
      </c>
      <c r="H5787" s="6">
        <f t="shared" si="281"/>
        <v>0</v>
      </c>
      <c r="I5787" s="6">
        <f t="shared" si="282"/>
        <v>0</v>
      </c>
      <c r="J5787" s="6">
        <f t="shared" si="283"/>
        <v>0</v>
      </c>
      <c r="L5787" s="4" t="str">
        <f>IFERROR(VLOOKUP(ROWS($L$2:L5787),$B$2:$C$1996,2,0),"")</f>
        <v/>
      </c>
      <c r="N5787" s="2" t="str">
        <f>IFERROR(VLOOKUP(ROWS($N$2:N5787),$D$2:$E$1996,2,0),"")</f>
        <v/>
      </c>
    </row>
    <row r="5788" spans="2:14">
      <c r="B5788" s="32">
        <f>IF(ISNUMBER(SEARCH('Φόρμα Εισαγωγής'!$B$2,C5788)),MAX($B$1:B5787)+1,0)</f>
        <v>0</v>
      </c>
      <c r="D5788" s="33">
        <f>IF(ISNUMBER(SEARCH('Φόρμα Εισαγωγής'!$C$2,E5788)),MAX($D$1:D5787)+1,0)</f>
        <v>0</v>
      </c>
      <c r="H5788" s="6">
        <f t="shared" si="281"/>
        <v>0</v>
      </c>
      <c r="I5788" s="6">
        <f t="shared" si="282"/>
        <v>0</v>
      </c>
      <c r="J5788" s="6">
        <f t="shared" si="283"/>
        <v>0</v>
      </c>
      <c r="L5788" s="4" t="str">
        <f>IFERROR(VLOOKUP(ROWS($L$2:L5788),$B$2:$C$1996,2,0),"")</f>
        <v/>
      </c>
      <c r="N5788" s="2" t="str">
        <f>IFERROR(VLOOKUP(ROWS($N$2:N5788),$D$2:$E$1996,2,0),"")</f>
        <v/>
      </c>
    </row>
    <row r="5789" spans="2:14">
      <c r="B5789" s="32">
        <f>IF(ISNUMBER(SEARCH('Φόρμα Εισαγωγής'!$B$2,C5789)),MAX($B$1:B5788)+1,0)</f>
        <v>0</v>
      </c>
      <c r="D5789" s="33">
        <f>IF(ISNUMBER(SEARCH('Φόρμα Εισαγωγής'!$C$2,E5789)),MAX($D$1:D5788)+1,0)</f>
        <v>0</v>
      </c>
      <c r="H5789" s="6">
        <f t="shared" si="281"/>
        <v>0</v>
      </c>
      <c r="I5789" s="6">
        <f t="shared" si="282"/>
        <v>0</v>
      </c>
      <c r="J5789" s="6">
        <f t="shared" si="283"/>
        <v>0</v>
      </c>
      <c r="L5789" s="4" t="str">
        <f>IFERROR(VLOOKUP(ROWS($L$2:L5789),$B$2:$C$1996,2,0),"")</f>
        <v/>
      </c>
      <c r="N5789" s="2" t="str">
        <f>IFERROR(VLOOKUP(ROWS($N$2:N5789),$D$2:$E$1996,2,0),"")</f>
        <v/>
      </c>
    </row>
    <row r="5790" spans="2:14">
      <c r="B5790" s="32">
        <f>IF(ISNUMBER(SEARCH('Φόρμα Εισαγωγής'!$B$2,C5790)),MAX($B$1:B5789)+1,0)</f>
        <v>0</v>
      </c>
      <c r="D5790" s="33">
        <f>IF(ISNUMBER(SEARCH('Φόρμα Εισαγωγής'!$C$2,E5790)),MAX($D$1:D5789)+1,0)</f>
        <v>0</v>
      </c>
      <c r="H5790" s="6">
        <f t="shared" si="281"/>
        <v>0</v>
      </c>
      <c r="I5790" s="6">
        <f t="shared" si="282"/>
        <v>0</v>
      </c>
      <c r="J5790" s="6">
        <f t="shared" si="283"/>
        <v>0</v>
      </c>
      <c r="L5790" s="4" t="str">
        <f>IFERROR(VLOOKUP(ROWS($L$2:L5790),$B$2:$C$1996,2,0),"")</f>
        <v/>
      </c>
      <c r="N5790" s="2" t="str">
        <f>IFERROR(VLOOKUP(ROWS($N$2:N5790),$D$2:$E$1996,2,0),"")</f>
        <v/>
      </c>
    </row>
    <row r="5791" spans="2:14">
      <c r="B5791" s="32">
        <f>IF(ISNUMBER(SEARCH('Φόρμα Εισαγωγής'!$B$2,C5791)),MAX($B$1:B5790)+1,0)</f>
        <v>0</v>
      </c>
      <c r="D5791" s="33">
        <f>IF(ISNUMBER(SEARCH('Φόρμα Εισαγωγής'!$C$2,E5791)),MAX($D$1:D5790)+1,0)</f>
        <v>0</v>
      </c>
      <c r="H5791" s="6">
        <f t="shared" si="281"/>
        <v>0</v>
      </c>
      <c r="I5791" s="6">
        <f t="shared" si="282"/>
        <v>0</v>
      </c>
      <c r="J5791" s="6">
        <f t="shared" si="283"/>
        <v>0</v>
      </c>
      <c r="L5791" s="4" t="str">
        <f>IFERROR(VLOOKUP(ROWS($L$2:L5791),$B$2:$C$1996,2,0),"")</f>
        <v/>
      </c>
      <c r="N5791" s="2" t="str">
        <f>IFERROR(VLOOKUP(ROWS($N$2:N5791),$D$2:$E$1996,2,0),"")</f>
        <v/>
      </c>
    </row>
    <row r="5792" spans="2:14">
      <c r="B5792" s="32">
        <f>IF(ISNUMBER(SEARCH('Φόρμα Εισαγωγής'!$B$2,C5792)),MAX($B$1:B5791)+1,0)</f>
        <v>0</v>
      </c>
      <c r="D5792" s="33">
        <f>IF(ISNUMBER(SEARCH('Φόρμα Εισαγωγής'!$C$2,E5792)),MAX($D$1:D5791)+1,0)</f>
        <v>0</v>
      </c>
      <c r="H5792" s="6">
        <f t="shared" si="281"/>
        <v>0</v>
      </c>
      <c r="I5792" s="6">
        <f t="shared" si="282"/>
        <v>0</v>
      </c>
      <c r="J5792" s="6">
        <f t="shared" si="283"/>
        <v>0</v>
      </c>
      <c r="L5792" s="4" t="str">
        <f>IFERROR(VLOOKUP(ROWS($L$2:L5792),$B$2:$C$1996,2,0),"")</f>
        <v/>
      </c>
      <c r="N5792" s="2" t="str">
        <f>IFERROR(VLOOKUP(ROWS($N$2:N5792),$D$2:$E$1996,2,0),"")</f>
        <v/>
      </c>
    </row>
    <row r="5793" spans="2:14">
      <c r="B5793" s="32">
        <f>IF(ISNUMBER(SEARCH('Φόρμα Εισαγωγής'!$B$2,C5793)),MAX($B$1:B5792)+1,0)</f>
        <v>0</v>
      </c>
      <c r="D5793" s="33">
        <f>IF(ISNUMBER(SEARCH('Φόρμα Εισαγωγής'!$C$2,E5793)),MAX($D$1:D5792)+1,0)</f>
        <v>0</v>
      </c>
      <c r="H5793" s="6">
        <f t="shared" si="281"/>
        <v>0</v>
      </c>
      <c r="I5793" s="6">
        <f t="shared" si="282"/>
        <v>0</v>
      </c>
      <c r="J5793" s="6">
        <f t="shared" si="283"/>
        <v>0</v>
      </c>
      <c r="L5793" s="4" t="str">
        <f>IFERROR(VLOOKUP(ROWS($L$2:L5793),$B$2:$C$1996,2,0),"")</f>
        <v/>
      </c>
      <c r="N5793" s="2" t="str">
        <f>IFERROR(VLOOKUP(ROWS($N$2:N5793),$D$2:$E$1996,2,0),"")</f>
        <v/>
      </c>
    </row>
    <row r="5794" spans="2:14">
      <c r="B5794" s="32">
        <f>IF(ISNUMBER(SEARCH('Φόρμα Εισαγωγής'!$B$2,C5794)),MAX($B$1:B5793)+1,0)</f>
        <v>0</v>
      </c>
      <c r="D5794" s="33">
        <f>IF(ISNUMBER(SEARCH('Φόρμα Εισαγωγής'!$C$2,E5794)),MAX($D$1:D5793)+1,0)</f>
        <v>0</v>
      </c>
      <c r="H5794" s="6">
        <f t="shared" si="281"/>
        <v>0</v>
      </c>
      <c r="I5794" s="6">
        <f t="shared" si="282"/>
        <v>0</v>
      </c>
      <c r="J5794" s="6">
        <f t="shared" si="283"/>
        <v>0</v>
      </c>
      <c r="L5794" s="4" t="str">
        <f>IFERROR(VLOOKUP(ROWS($L$2:L5794),$B$2:$C$1996,2,0),"")</f>
        <v/>
      </c>
      <c r="N5794" s="2" t="str">
        <f>IFERROR(VLOOKUP(ROWS($N$2:N5794),$D$2:$E$1996,2,0),"")</f>
        <v/>
      </c>
    </row>
    <row r="5795" spans="2:14">
      <c r="B5795" s="32">
        <f>IF(ISNUMBER(SEARCH('Φόρμα Εισαγωγής'!$B$2,C5795)),MAX($B$1:B5794)+1,0)</f>
        <v>0</v>
      </c>
      <c r="D5795" s="33">
        <f>IF(ISNUMBER(SEARCH('Φόρμα Εισαγωγής'!$C$2,E5795)),MAX($D$1:D5794)+1,0)</f>
        <v>0</v>
      </c>
      <c r="H5795" s="6">
        <f t="shared" si="281"/>
        <v>0</v>
      </c>
      <c r="I5795" s="6">
        <f t="shared" si="282"/>
        <v>0</v>
      </c>
      <c r="J5795" s="6">
        <f t="shared" si="283"/>
        <v>0</v>
      </c>
      <c r="L5795" s="4" t="str">
        <f>IFERROR(VLOOKUP(ROWS($L$2:L5795),$B$2:$C$1996,2,0),"")</f>
        <v/>
      </c>
      <c r="N5795" s="2" t="str">
        <f>IFERROR(VLOOKUP(ROWS($N$2:N5795),$D$2:$E$1996,2,0),"")</f>
        <v/>
      </c>
    </row>
    <row r="5796" spans="2:14">
      <c r="B5796" s="32">
        <f>IF(ISNUMBER(SEARCH('Φόρμα Εισαγωγής'!$B$2,C5796)),MAX($B$1:B5795)+1,0)</f>
        <v>0</v>
      </c>
      <c r="D5796" s="33">
        <f>IF(ISNUMBER(SEARCH('Φόρμα Εισαγωγής'!$C$2,E5796)),MAX($D$1:D5795)+1,0)</f>
        <v>0</v>
      </c>
      <c r="H5796" s="6">
        <f t="shared" si="281"/>
        <v>0</v>
      </c>
      <c r="I5796" s="6">
        <f t="shared" si="282"/>
        <v>0</v>
      </c>
      <c r="J5796" s="6">
        <f t="shared" si="283"/>
        <v>0</v>
      </c>
      <c r="L5796" s="4" t="str">
        <f>IFERROR(VLOOKUP(ROWS($L$2:L5796),$B$2:$C$1996,2,0),"")</f>
        <v/>
      </c>
      <c r="N5796" s="2" t="str">
        <f>IFERROR(VLOOKUP(ROWS($N$2:N5796),$D$2:$E$1996,2,0),"")</f>
        <v/>
      </c>
    </row>
    <row r="5797" spans="2:14">
      <c r="B5797" s="32">
        <f>IF(ISNUMBER(SEARCH('Φόρμα Εισαγωγής'!$B$2,C5797)),MAX($B$1:B5796)+1,0)</f>
        <v>0</v>
      </c>
      <c r="D5797" s="33">
        <f>IF(ISNUMBER(SEARCH('Φόρμα Εισαγωγής'!$C$2,E5797)),MAX($D$1:D5796)+1,0)</f>
        <v>0</v>
      </c>
      <c r="H5797" s="6">
        <f t="shared" si="281"/>
        <v>0</v>
      </c>
      <c r="I5797" s="6">
        <f t="shared" si="282"/>
        <v>0</v>
      </c>
      <c r="J5797" s="6">
        <f t="shared" si="283"/>
        <v>0</v>
      </c>
      <c r="L5797" s="4" t="str">
        <f>IFERROR(VLOOKUP(ROWS($L$2:L5797),$B$2:$C$1996,2,0),"")</f>
        <v/>
      </c>
      <c r="N5797" s="2" t="str">
        <f>IFERROR(VLOOKUP(ROWS($N$2:N5797),$D$2:$E$1996,2,0),"")</f>
        <v/>
      </c>
    </row>
    <row r="5798" spans="2:14">
      <c r="B5798" s="32">
        <f>IF(ISNUMBER(SEARCH('Φόρμα Εισαγωγής'!$B$2,C5798)),MAX($B$1:B5797)+1,0)</f>
        <v>0</v>
      </c>
      <c r="D5798" s="33">
        <f>IF(ISNUMBER(SEARCH('Φόρμα Εισαγωγής'!$C$2,E5798)),MAX($D$1:D5797)+1,0)</f>
        <v>0</v>
      </c>
      <c r="H5798" s="6">
        <f t="shared" si="281"/>
        <v>0</v>
      </c>
      <c r="I5798" s="6">
        <f t="shared" si="282"/>
        <v>0</v>
      </c>
      <c r="J5798" s="6">
        <f t="shared" si="283"/>
        <v>0</v>
      </c>
      <c r="L5798" s="4" t="str">
        <f>IFERROR(VLOOKUP(ROWS($L$2:L5798),$B$2:$C$1996,2,0),"")</f>
        <v/>
      </c>
      <c r="N5798" s="2" t="str">
        <f>IFERROR(VLOOKUP(ROWS($N$2:N5798),$D$2:$E$1996,2,0),"")</f>
        <v/>
      </c>
    </row>
    <row r="5799" spans="2:14">
      <c r="B5799" s="32">
        <f>IF(ISNUMBER(SEARCH('Φόρμα Εισαγωγής'!$B$2,C5799)),MAX($B$1:B5798)+1,0)</f>
        <v>0</v>
      </c>
      <c r="D5799" s="33">
        <f>IF(ISNUMBER(SEARCH('Φόρμα Εισαγωγής'!$C$2,E5799)),MAX($D$1:D5798)+1,0)</f>
        <v>0</v>
      </c>
      <c r="H5799" s="6">
        <f t="shared" si="281"/>
        <v>0</v>
      </c>
      <c r="I5799" s="6">
        <f t="shared" si="282"/>
        <v>0</v>
      </c>
      <c r="J5799" s="6">
        <f t="shared" si="283"/>
        <v>0</v>
      </c>
      <c r="L5799" s="4" t="str">
        <f>IFERROR(VLOOKUP(ROWS($L$2:L5799),$B$2:$C$1996,2,0),"")</f>
        <v/>
      </c>
      <c r="N5799" s="2" t="str">
        <f>IFERROR(VLOOKUP(ROWS($N$2:N5799),$D$2:$E$1996,2,0),"")</f>
        <v/>
      </c>
    </row>
    <row r="5800" spans="2:14">
      <c r="B5800" s="32">
        <f>IF(ISNUMBER(SEARCH('Φόρμα Εισαγωγής'!$B$2,C5800)),MAX($B$1:B5799)+1,0)</f>
        <v>0</v>
      </c>
      <c r="D5800" s="33">
        <f>IF(ISNUMBER(SEARCH('Φόρμα Εισαγωγής'!$C$2,E5800)),MAX($D$1:D5799)+1,0)</f>
        <v>0</v>
      </c>
      <c r="H5800" s="6">
        <f t="shared" si="281"/>
        <v>0</v>
      </c>
      <c r="I5800" s="6">
        <f t="shared" si="282"/>
        <v>0</v>
      </c>
      <c r="J5800" s="6">
        <f t="shared" si="283"/>
        <v>0</v>
      </c>
      <c r="L5800" s="4" t="str">
        <f>IFERROR(VLOOKUP(ROWS($L$2:L5800),$B$2:$C$1996,2,0),"")</f>
        <v/>
      </c>
      <c r="N5800" s="2" t="str">
        <f>IFERROR(VLOOKUP(ROWS($N$2:N5800),$D$2:$E$1996,2,0),"")</f>
        <v/>
      </c>
    </row>
    <row r="5801" spans="2:14">
      <c r="B5801" s="32">
        <f>IF(ISNUMBER(SEARCH('Φόρμα Εισαγωγής'!$B$2,C5801)),MAX($B$1:B5800)+1,0)</f>
        <v>0</v>
      </c>
      <c r="D5801" s="33">
        <f>IF(ISNUMBER(SEARCH('Φόρμα Εισαγωγής'!$C$2,E5801)),MAX($D$1:D5800)+1,0)</f>
        <v>0</v>
      </c>
      <c r="H5801" s="6">
        <f t="shared" si="281"/>
        <v>0</v>
      </c>
      <c r="I5801" s="6">
        <f t="shared" si="282"/>
        <v>0</v>
      </c>
      <c r="J5801" s="6">
        <f t="shared" si="283"/>
        <v>0</v>
      </c>
      <c r="L5801" s="4" t="str">
        <f>IFERROR(VLOOKUP(ROWS($L$2:L5801),$B$2:$C$1996,2,0),"")</f>
        <v/>
      </c>
      <c r="N5801" s="2" t="str">
        <f>IFERROR(VLOOKUP(ROWS($N$2:N5801),$D$2:$E$1996,2,0),"")</f>
        <v/>
      </c>
    </row>
    <row r="5802" spans="2:14">
      <c r="B5802" s="32">
        <f>IF(ISNUMBER(SEARCH('Φόρμα Εισαγωγής'!$B$2,C5802)),MAX($B$1:B5801)+1,0)</f>
        <v>0</v>
      </c>
      <c r="D5802" s="33">
        <f>IF(ISNUMBER(SEARCH('Φόρμα Εισαγωγής'!$C$2,E5802)),MAX($D$1:D5801)+1,0)</f>
        <v>0</v>
      </c>
      <c r="H5802" s="6">
        <f t="shared" si="281"/>
        <v>0</v>
      </c>
      <c r="I5802" s="6">
        <f t="shared" si="282"/>
        <v>0</v>
      </c>
      <c r="J5802" s="6">
        <f t="shared" si="283"/>
        <v>0</v>
      </c>
      <c r="L5802" s="4" t="str">
        <f>IFERROR(VLOOKUP(ROWS($L$2:L5802),$B$2:$C$1996,2,0),"")</f>
        <v/>
      </c>
      <c r="N5802" s="2" t="str">
        <f>IFERROR(VLOOKUP(ROWS($N$2:N5802),$D$2:$E$1996,2,0),"")</f>
        <v/>
      </c>
    </row>
    <row r="5803" spans="2:14">
      <c r="B5803" s="32">
        <f>IF(ISNUMBER(SEARCH('Φόρμα Εισαγωγής'!$B$2,C5803)),MAX($B$1:B5802)+1,0)</f>
        <v>0</v>
      </c>
      <c r="D5803" s="33">
        <f>IF(ISNUMBER(SEARCH('Φόρμα Εισαγωγής'!$C$2,E5803)),MAX($D$1:D5802)+1,0)</f>
        <v>0</v>
      </c>
      <c r="H5803" s="6">
        <f t="shared" si="281"/>
        <v>0</v>
      </c>
      <c r="I5803" s="6">
        <f t="shared" si="282"/>
        <v>0</v>
      </c>
      <c r="J5803" s="6">
        <f t="shared" si="283"/>
        <v>0</v>
      </c>
      <c r="L5803" s="4" t="str">
        <f>IFERROR(VLOOKUP(ROWS($L$2:L5803),$B$2:$C$1996,2,0),"")</f>
        <v/>
      </c>
      <c r="N5803" s="2" t="str">
        <f>IFERROR(VLOOKUP(ROWS($N$2:N5803),$D$2:$E$1996,2,0),"")</f>
        <v/>
      </c>
    </row>
    <row r="5804" spans="2:14">
      <c r="B5804" s="32">
        <f>IF(ISNUMBER(SEARCH('Φόρμα Εισαγωγής'!$B$2,C5804)),MAX($B$1:B5803)+1,0)</f>
        <v>0</v>
      </c>
      <c r="D5804" s="33">
        <f>IF(ISNUMBER(SEARCH('Φόρμα Εισαγωγής'!$C$2,E5804)),MAX($D$1:D5803)+1,0)</f>
        <v>0</v>
      </c>
      <c r="H5804" s="6">
        <f t="shared" si="281"/>
        <v>0</v>
      </c>
      <c r="I5804" s="6">
        <f t="shared" si="282"/>
        <v>0</v>
      </c>
      <c r="J5804" s="6">
        <f t="shared" si="283"/>
        <v>0</v>
      </c>
      <c r="L5804" s="4" t="str">
        <f>IFERROR(VLOOKUP(ROWS($L$2:L5804),$B$2:$C$1996,2,0),"")</f>
        <v/>
      </c>
      <c r="N5804" s="2" t="str">
        <f>IFERROR(VLOOKUP(ROWS($N$2:N5804),$D$2:$E$1996,2,0),"")</f>
        <v/>
      </c>
    </row>
    <row r="5805" spans="2:14">
      <c r="B5805" s="32">
        <f>IF(ISNUMBER(SEARCH('Φόρμα Εισαγωγής'!$B$2,C5805)),MAX($B$1:B5804)+1,0)</f>
        <v>0</v>
      </c>
      <c r="D5805" s="33">
        <f>IF(ISNUMBER(SEARCH('Φόρμα Εισαγωγής'!$C$2,E5805)),MAX($D$1:D5804)+1,0)</f>
        <v>0</v>
      </c>
      <c r="H5805" s="6">
        <f t="shared" si="281"/>
        <v>0</v>
      </c>
      <c r="I5805" s="6">
        <f t="shared" si="282"/>
        <v>0</v>
      </c>
      <c r="J5805" s="6">
        <f t="shared" si="283"/>
        <v>0</v>
      </c>
      <c r="L5805" s="4" t="str">
        <f>IFERROR(VLOOKUP(ROWS($L$2:L5805),$B$2:$C$1996,2,0),"")</f>
        <v/>
      </c>
      <c r="N5805" s="2" t="str">
        <f>IFERROR(VLOOKUP(ROWS($N$2:N5805),$D$2:$E$1996,2,0),"")</f>
        <v/>
      </c>
    </row>
    <row r="5806" spans="2:14">
      <c r="B5806" s="32">
        <f>IF(ISNUMBER(SEARCH('Φόρμα Εισαγωγής'!$B$2,C5806)),MAX($B$1:B5805)+1,0)</f>
        <v>0</v>
      </c>
      <c r="D5806" s="33">
        <f>IF(ISNUMBER(SEARCH('Φόρμα Εισαγωγής'!$C$2,E5806)),MAX($D$1:D5805)+1,0)</f>
        <v>0</v>
      </c>
      <c r="H5806" s="6">
        <f t="shared" si="281"/>
        <v>0</v>
      </c>
      <c r="I5806" s="6">
        <f t="shared" si="282"/>
        <v>0</v>
      </c>
      <c r="J5806" s="6">
        <f t="shared" si="283"/>
        <v>0</v>
      </c>
      <c r="L5806" s="4" t="str">
        <f>IFERROR(VLOOKUP(ROWS($L$2:L5806),$B$2:$C$1996,2,0),"")</f>
        <v/>
      </c>
      <c r="N5806" s="2" t="str">
        <f>IFERROR(VLOOKUP(ROWS($N$2:N5806),$D$2:$E$1996,2,0),"")</f>
        <v/>
      </c>
    </row>
    <row r="5807" spans="2:14">
      <c r="B5807" s="32">
        <f>IF(ISNUMBER(SEARCH('Φόρμα Εισαγωγής'!$B$2,C5807)),MAX($B$1:B5806)+1,0)</f>
        <v>0</v>
      </c>
      <c r="D5807" s="33">
        <f>IF(ISNUMBER(SEARCH('Φόρμα Εισαγωγής'!$C$2,E5807)),MAX($D$1:D5806)+1,0)</f>
        <v>0</v>
      </c>
      <c r="H5807" s="6">
        <f t="shared" si="281"/>
        <v>0</v>
      </c>
      <c r="I5807" s="6">
        <f t="shared" si="282"/>
        <v>0</v>
      </c>
      <c r="J5807" s="6">
        <f t="shared" si="283"/>
        <v>0</v>
      </c>
      <c r="L5807" s="4" t="str">
        <f>IFERROR(VLOOKUP(ROWS($L$2:L5807),$B$2:$C$1996,2,0),"")</f>
        <v/>
      </c>
      <c r="N5807" s="2" t="str">
        <f>IFERROR(VLOOKUP(ROWS($N$2:N5807),$D$2:$E$1996,2,0),"")</f>
        <v/>
      </c>
    </row>
    <row r="5808" spans="2:14">
      <c r="B5808" s="32">
        <f>IF(ISNUMBER(SEARCH('Φόρμα Εισαγωγής'!$B$2,C5808)),MAX($B$1:B5807)+1,0)</f>
        <v>0</v>
      </c>
      <c r="D5808" s="33">
        <f>IF(ISNUMBER(SEARCH('Φόρμα Εισαγωγής'!$C$2,E5808)),MAX($D$1:D5807)+1,0)</f>
        <v>0</v>
      </c>
      <c r="H5808" s="6">
        <f t="shared" si="281"/>
        <v>0</v>
      </c>
      <c r="I5808" s="6">
        <f t="shared" si="282"/>
        <v>0</v>
      </c>
      <c r="J5808" s="6">
        <f t="shared" si="283"/>
        <v>0</v>
      </c>
      <c r="L5808" s="4" t="str">
        <f>IFERROR(VLOOKUP(ROWS($L$2:L5808),$B$2:$C$1996,2,0),"")</f>
        <v/>
      </c>
      <c r="N5808" s="2" t="str">
        <f>IFERROR(VLOOKUP(ROWS($N$2:N5808),$D$2:$E$1996,2,0),"")</f>
        <v/>
      </c>
    </row>
    <row r="5809" spans="2:14">
      <c r="B5809" s="32">
        <f>IF(ISNUMBER(SEARCH('Φόρμα Εισαγωγής'!$B$2,C5809)),MAX($B$1:B5808)+1,0)</f>
        <v>0</v>
      </c>
      <c r="D5809" s="33">
        <f>IF(ISNUMBER(SEARCH('Φόρμα Εισαγωγής'!$C$2,E5809)),MAX($D$1:D5808)+1,0)</f>
        <v>0</v>
      </c>
      <c r="H5809" s="6">
        <f t="shared" si="281"/>
        <v>0</v>
      </c>
      <c r="I5809" s="6">
        <f t="shared" si="282"/>
        <v>0</v>
      </c>
      <c r="J5809" s="6">
        <f t="shared" si="283"/>
        <v>0</v>
      </c>
      <c r="L5809" s="4" t="str">
        <f>IFERROR(VLOOKUP(ROWS($L$2:L5809),$B$2:$C$1996,2,0),"")</f>
        <v/>
      </c>
      <c r="N5809" s="2" t="str">
        <f>IFERROR(VLOOKUP(ROWS($N$2:N5809),$D$2:$E$1996,2,0),"")</f>
        <v/>
      </c>
    </row>
    <row r="5810" spans="2:14">
      <c r="B5810" s="32">
        <f>IF(ISNUMBER(SEARCH('Φόρμα Εισαγωγής'!$B$2,C5810)),MAX($B$1:B5809)+1,0)</f>
        <v>0</v>
      </c>
      <c r="D5810" s="33">
        <f>IF(ISNUMBER(SEARCH('Φόρμα Εισαγωγής'!$C$2,E5810)),MAX($D$1:D5809)+1,0)</f>
        <v>0</v>
      </c>
      <c r="H5810" s="6">
        <f t="shared" si="281"/>
        <v>0</v>
      </c>
      <c r="I5810" s="6">
        <f t="shared" si="282"/>
        <v>0</v>
      </c>
      <c r="J5810" s="6">
        <f t="shared" si="283"/>
        <v>0</v>
      </c>
      <c r="L5810" s="4" t="str">
        <f>IFERROR(VLOOKUP(ROWS($L$2:L5810),$B$2:$C$1996,2,0),"")</f>
        <v/>
      </c>
      <c r="N5810" s="2" t="str">
        <f>IFERROR(VLOOKUP(ROWS($N$2:N5810),$D$2:$E$1996,2,0),"")</f>
        <v/>
      </c>
    </row>
    <row r="5811" spans="2:14">
      <c r="B5811" s="32">
        <f>IF(ISNUMBER(SEARCH('Φόρμα Εισαγωγής'!$B$2,C5811)),MAX($B$1:B5810)+1,0)</f>
        <v>0</v>
      </c>
      <c r="D5811" s="33">
        <f>IF(ISNUMBER(SEARCH('Φόρμα Εισαγωγής'!$C$2,E5811)),MAX($D$1:D5810)+1,0)</f>
        <v>0</v>
      </c>
      <c r="H5811" s="6">
        <f t="shared" si="281"/>
        <v>0</v>
      </c>
      <c r="I5811" s="6">
        <f t="shared" si="282"/>
        <v>0</v>
      </c>
      <c r="J5811" s="6">
        <f t="shared" si="283"/>
        <v>0</v>
      </c>
      <c r="L5811" s="4" t="str">
        <f>IFERROR(VLOOKUP(ROWS($L$2:L5811),$B$2:$C$1996,2,0),"")</f>
        <v/>
      </c>
      <c r="N5811" s="2" t="str">
        <f>IFERROR(VLOOKUP(ROWS($N$2:N5811),$D$2:$E$1996,2,0),"")</f>
        <v/>
      </c>
    </row>
    <row r="5812" spans="2:14">
      <c r="B5812" s="32">
        <f>IF(ISNUMBER(SEARCH('Φόρμα Εισαγωγής'!$B$2,C5812)),MAX($B$1:B5811)+1,0)</f>
        <v>0</v>
      </c>
      <c r="D5812" s="33">
        <f>IF(ISNUMBER(SEARCH('Φόρμα Εισαγωγής'!$C$2,E5812)),MAX($D$1:D5811)+1,0)</f>
        <v>0</v>
      </c>
      <c r="H5812" s="6">
        <f t="shared" si="281"/>
        <v>0</v>
      </c>
      <c r="I5812" s="6">
        <f t="shared" si="282"/>
        <v>0</v>
      </c>
      <c r="J5812" s="6">
        <f t="shared" si="283"/>
        <v>0</v>
      </c>
      <c r="L5812" s="4" t="str">
        <f>IFERROR(VLOOKUP(ROWS($L$2:L5812),$B$2:$C$1996,2,0),"")</f>
        <v/>
      </c>
      <c r="N5812" s="2" t="str">
        <f>IFERROR(VLOOKUP(ROWS($N$2:N5812),$D$2:$E$1996,2,0),"")</f>
        <v/>
      </c>
    </row>
    <row r="5813" spans="2:14">
      <c r="B5813" s="32">
        <f>IF(ISNUMBER(SEARCH('Φόρμα Εισαγωγής'!$B$2,C5813)),MAX($B$1:B5812)+1,0)</f>
        <v>0</v>
      </c>
      <c r="D5813" s="33">
        <f>IF(ISNUMBER(SEARCH('Φόρμα Εισαγωγής'!$C$2,E5813)),MAX($D$1:D5812)+1,0)</f>
        <v>0</v>
      </c>
      <c r="H5813" s="6">
        <f t="shared" si="281"/>
        <v>0</v>
      </c>
      <c r="I5813" s="6">
        <f t="shared" si="282"/>
        <v>0</v>
      </c>
      <c r="J5813" s="6">
        <f t="shared" si="283"/>
        <v>0</v>
      </c>
      <c r="L5813" s="4" t="str">
        <f>IFERROR(VLOOKUP(ROWS($L$2:L5813),$B$2:$C$1996,2,0),"")</f>
        <v/>
      </c>
      <c r="N5813" s="2" t="str">
        <f>IFERROR(VLOOKUP(ROWS($N$2:N5813),$D$2:$E$1996,2,0),"")</f>
        <v/>
      </c>
    </row>
    <row r="5814" spans="2:14">
      <c r="B5814" s="32">
        <f>IF(ISNUMBER(SEARCH('Φόρμα Εισαγωγής'!$B$2,C5814)),MAX($B$1:B5813)+1,0)</f>
        <v>0</v>
      </c>
      <c r="D5814" s="33">
        <f>IF(ISNUMBER(SEARCH('Φόρμα Εισαγωγής'!$C$2,E5814)),MAX($D$1:D5813)+1,0)</f>
        <v>0</v>
      </c>
      <c r="H5814" s="6">
        <f t="shared" si="281"/>
        <v>0</v>
      </c>
      <c r="I5814" s="6">
        <f t="shared" si="282"/>
        <v>0</v>
      </c>
      <c r="J5814" s="6">
        <f t="shared" si="283"/>
        <v>0</v>
      </c>
      <c r="L5814" s="4" t="str">
        <f>IFERROR(VLOOKUP(ROWS($L$2:L5814),$B$2:$C$1996,2,0),"")</f>
        <v/>
      </c>
      <c r="N5814" s="2" t="str">
        <f>IFERROR(VLOOKUP(ROWS($N$2:N5814),$D$2:$E$1996,2,0),"")</f>
        <v/>
      </c>
    </row>
    <row r="5815" spans="2:14">
      <c r="B5815" s="32">
        <f>IF(ISNUMBER(SEARCH('Φόρμα Εισαγωγής'!$B$2,C5815)),MAX($B$1:B5814)+1,0)</f>
        <v>0</v>
      </c>
      <c r="D5815" s="33">
        <f>IF(ISNUMBER(SEARCH('Φόρμα Εισαγωγής'!$C$2,E5815)),MAX($D$1:D5814)+1,0)</f>
        <v>0</v>
      </c>
      <c r="H5815" s="6">
        <f t="shared" si="281"/>
        <v>0</v>
      </c>
      <c r="I5815" s="6">
        <f t="shared" si="282"/>
        <v>0</v>
      </c>
      <c r="J5815" s="6">
        <f t="shared" si="283"/>
        <v>0</v>
      </c>
      <c r="L5815" s="4" t="str">
        <f>IFERROR(VLOOKUP(ROWS($L$2:L5815),$B$2:$C$1996,2,0),"")</f>
        <v/>
      </c>
      <c r="N5815" s="2" t="str">
        <f>IFERROR(VLOOKUP(ROWS($N$2:N5815),$D$2:$E$1996,2,0),"")</f>
        <v/>
      </c>
    </row>
    <row r="5816" spans="2:14">
      <c r="B5816" s="32">
        <f>IF(ISNUMBER(SEARCH('Φόρμα Εισαγωγής'!$B$2,C5816)),MAX($B$1:B5815)+1,0)</f>
        <v>0</v>
      </c>
      <c r="D5816" s="33">
        <f>IF(ISNUMBER(SEARCH('Φόρμα Εισαγωγής'!$C$2,E5816)),MAX($D$1:D5815)+1,0)</f>
        <v>0</v>
      </c>
      <c r="H5816" s="6">
        <f t="shared" si="281"/>
        <v>0</v>
      </c>
      <c r="I5816" s="6">
        <f t="shared" si="282"/>
        <v>0</v>
      </c>
      <c r="J5816" s="6">
        <f t="shared" si="283"/>
        <v>0</v>
      </c>
      <c r="L5816" s="4" t="str">
        <f>IFERROR(VLOOKUP(ROWS($L$2:L5816),$B$2:$C$1996,2,0),"")</f>
        <v/>
      </c>
      <c r="N5816" s="2" t="str">
        <f>IFERROR(VLOOKUP(ROWS($N$2:N5816),$D$2:$E$1996,2,0),"")</f>
        <v/>
      </c>
    </row>
    <row r="5817" spans="2:14">
      <c r="B5817" s="32">
        <f>IF(ISNUMBER(SEARCH('Φόρμα Εισαγωγής'!$B$2,C5817)),MAX($B$1:B5816)+1,0)</f>
        <v>0</v>
      </c>
      <c r="D5817" s="33">
        <f>IF(ISNUMBER(SEARCH('Φόρμα Εισαγωγής'!$C$2,E5817)),MAX($D$1:D5816)+1,0)</f>
        <v>0</v>
      </c>
      <c r="H5817" s="6">
        <f t="shared" si="281"/>
        <v>0</v>
      </c>
      <c r="I5817" s="6">
        <f t="shared" si="282"/>
        <v>0</v>
      </c>
      <c r="J5817" s="6">
        <f t="shared" si="283"/>
        <v>0</v>
      </c>
      <c r="L5817" s="4" t="str">
        <f>IFERROR(VLOOKUP(ROWS($L$2:L5817),$B$2:$C$1996,2,0),"")</f>
        <v/>
      </c>
      <c r="N5817" s="2" t="str">
        <f>IFERROR(VLOOKUP(ROWS($N$2:N5817),$D$2:$E$1996,2,0),"")</f>
        <v/>
      </c>
    </row>
    <row r="5818" spans="2:14">
      <c r="B5818" s="32">
        <f>IF(ISNUMBER(SEARCH('Φόρμα Εισαγωγής'!$B$2,C5818)),MAX($B$1:B5817)+1,0)</f>
        <v>0</v>
      </c>
      <c r="D5818" s="33">
        <f>IF(ISNUMBER(SEARCH('Φόρμα Εισαγωγής'!$C$2,E5818)),MAX($D$1:D5817)+1,0)</f>
        <v>0</v>
      </c>
      <c r="H5818" s="6">
        <f t="shared" si="281"/>
        <v>0</v>
      </c>
      <c r="I5818" s="6">
        <f t="shared" si="282"/>
        <v>0</v>
      </c>
      <c r="J5818" s="6">
        <f t="shared" si="283"/>
        <v>0</v>
      </c>
      <c r="L5818" s="4" t="str">
        <f>IFERROR(VLOOKUP(ROWS($L$2:L5818),$B$2:$C$1996,2,0),"")</f>
        <v/>
      </c>
      <c r="N5818" s="2" t="str">
        <f>IFERROR(VLOOKUP(ROWS($N$2:N5818),$D$2:$E$1996,2,0),"")</f>
        <v/>
      </c>
    </row>
    <row r="5819" spans="2:14">
      <c r="B5819" s="32">
        <f>IF(ISNUMBER(SEARCH('Φόρμα Εισαγωγής'!$B$2,C5819)),MAX($B$1:B5818)+1,0)</f>
        <v>0</v>
      </c>
      <c r="D5819" s="33">
        <f>IF(ISNUMBER(SEARCH('Φόρμα Εισαγωγής'!$C$2,E5819)),MAX($D$1:D5818)+1,0)</f>
        <v>0</v>
      </c>
      <c r="H5819" s="6">
        <f t="shared" si="281"/>
        <v>0</v>
      </c>
      <c r="I5819" s="6">
        <f t="shared" si="282"/>
        <v>0</v>
      </c>
      <c r="J5819" s="6">
        <f t="shared" si="283"/>
        <v>0</v>
      </c>
      <c r="L5819" s="4" t="str">
        <f>IFERROR(VLOOKUP(ROWS($L$2:L5819),$B$2:$C$1996,2,0),"")</f>
        <v/>
      </c>
      <c r="N5819" s="2" t="str">
        <f>IFERROR(VLOOKUP(ROWS($N$2:N5819),$D$2:$E$1996,2,0),"")</f>
        <v/>
      </c>
    </row>
    <row r="5820" spans="2:14">
      <c r="B5820" s="32">
        <f>IF(ISNUMBER(SEARCH('Φόρμα Εισαγωγής'!$B$2,C5820)),MAX($B$1:B5819)+1,0)</f>
        <v>0</v>
      </c>
      <c r="D5820" s="33">
        <f>IF(ISNUMBER(SEARCH('Φόρμα Εισαγωγής'!$C$2,E5820)),MAX($D$1:D5819)+1,0)</f>
        <v>0</v>
      </c>
      <c r="H5820" s="6">
        <f t="shared" si="281"/>
        <v>0</v>
      </c>
      <c r="I5820" s="6">
        <f t="shared" si="282"/>
        <v>0</v>
      </c>
      <c r="J5820" s="6">
        <f t="shared" si="283"/>
        <v>0</v>
      </c>
      <c r="L5820" s="4" t="str">
        <f>IFERROR(VLOOKUP(ROWS($L$2:L5820),$B$2:$C$1996,2,0),"")</f>
        <v/>
      </c>
      <c r="N5820" s="2" t="str">
        <f>IFERROR(VLOOKUP(ROWS($N$2:N5820),$D$2:$E$1996,2,0),"")</f>
        <v/>
      </c>
    </row>
    <row r="5821" spans="2:14">
      <c r="B5821" s="32">
        <f>IF(ISNUMBER(SEARCH('Φόρμα Εισαγωγής'!$B$2,C5821)),MAX($B$1:B5820)+1,0)</f>
        <v>0</v>
      </c>
      <c r="D5821" s="33">
        <f>IF(ISNUMBER(SEARCH('Φόρμα Εισαγωγής'!$C$2,E5821)),MAX($D$1:D5820)+1,0)</f>
        <v>0</v>
      </c>
      <c r="H5821" s="6">
        <f t="shared" si="281"/>
        <v>0</v>
      </c>
      <c r="I5821" s="6">
        <f t="shared" si="282"/>
        <v>0</v>
      </c>
      <c r="J5821" s="6">
        <f t="shared" si="283"/>
        <v>0</v>
      </c>
      <c r="L5821" s="4" t="str">
        <f>IFERROR(VLOOKUP(ROWS($L$2:L5821),$B$2:$C$1996,2,0),"")</f>
        <v/>
      </c>
      <c r="N5821" s="2" t="str">
        <f>IFERROR(VLOOKUP(ROWS($N$2:N5821),$D$2:$E$1996,2,0),"")</f>
        <v/>
      </c>
    </row>
    <row r="5822" spans="2:14">
      <c r="B5822" s="32">
        <f>IF(ISNUMBER(SEARCH('Φόρμα Εισαγωγής'!$B$2,C5822)),MAX($B$1:B5821)+1,0)</f>
        <v>0</v>
      </c>
      <c r="D5822" s="33">
        <f>IF(ISNUMBER(SEARCH('Φόρμα Εισαγωγής'!$C$2,E5822)),MAX($D$1:D5821)+1,0)</f>
        <v>0</v>
      </c>
      <c r="H5822" s="6">
        <f t="shared" si="281"/>
        <v>0</v>
      </c>
      <c r="I5822" s="6">
        <f t="shared" si="282"/>
        <v>0</v>
      </c>
      <c r="J5822" s="6">
        <f t="shared" si="283"/>
        <v>0</v>
      </c>
      <c r="L5822" s="4" t="str">
        <f>IFERROR(VLOOKUP(ROWS($L$2:L5822),$B$2:$C$1996,2,0),"")</f>
        <v/>
      </c>
      <c r="N5822" s="2" t="str">
        <f>IFERROR(VLOOKUP(ROWS($N$2:N5822),$D$2:$E$1996,2,0),"")</f>
        <v/>
      </c>
    </row>
    <row r="5823" spans="2:14">
      <c r="B5823" s="32">
        <f>IF(ISNUMBER(SEARCH('Φόρμα Εισαγωγής'!$B$2,C5823)),MAX($B$1:B5822)+1,0)</f>
        <v>0</v>
      </c>
      <c r="D5823" s="33">
        <f>IF(ISNUMBER(SEARCH('Φόρμα Εισαγωγής'!$C$2,E5823)),MAX($D$1:D5822)+1,0)</f>
        <v>0</v>
      </c>
      <c r="H5823" s="6">
        <f t="shared" si="281"/>
        <v>0</v>
      </c>
      <c r="I5823" s="6">
        <f t="shared" si="282"/>
        <v>0</v>
      </c>
      <c r="J5823" s="6">
        <f t="shared" si="283"/>
        <v>0</v>
      </c>
      <c r="L5823" s="4" t="str">
        <f>IFERROR(VLOOKUP(ROWS($L$2:L5823),$B$2:$C$1996,2,0),"")</f>
        <v/>
      </c>
      <c r="N5823" s="2" t="str">
        <f>IFERROR(VLOOKUP(ROWS($N$2:N5823),$D$2:$E$1996,2,0),"")</f>
        <v/>
      </c>
    </row>
    <row r="5824" spans="2:14">
      <c r="B5824" s="32">
        <f>IF(ISNUMBER(SEARCH('Φόρμα Εισαγωγής'!$B$2,C5824)),MAX($B$1:B5823)+1,0)</f>
        <v>0</v>
      </c>
      <c r="D5824" s="33">
        <f>IF(ISNUMBER(SEARCH('Φόρμα Εισαγωγής'!$C$2,E5824)),MAX($D$1:D5823)+1,0)</f>
        <v>0</v>
      </c>
      <c r="H5824" s="6">
        <f t="shared" ref="H5824:H5887" si="284">G5824+(G5824*0.24)</f>
        <v>0</v>
      </c>
      <c r="I5824" s="6">
        <f t="shared" ref="I5824:I5887" si="285">F5824*A5824</f>
        <v>0</v>
      </c>
      <c r="J5824" s="6">
        <f t="shared" ref="J5824:J5887" si="286">H5824*A5824</f>
        <v>0</v>
      </c>
      <c r="L5824" s="4" t="str">
        <f>IFERROR(VLOOKUP(ROWS($L$2:L5824),$B$2:$C$1996,2,0),"")</f>
        <v/>
      </c>
      <c r="N5824" s="2" t="str">
        <f>IFERROR(VLOOKUP(ROWS($N$2:N5824),$D$2:$E$1996,2,0),"")</f>
        <v/>
      </c>
    </row>
    <row r="5825" spans="2:14">
      <c r="B5825" s="32">
        <f>IF(ISNUMBER(SEARCH('Φόρμα Εισαγωγής'!$B$2,C5825)),MAX($B$1:B5824)+1,0)</f>
        <v>0</v>
      </c>
      <c r="D5825" s="33">
        <f>IF(ISNUMBER(SEARCH('Φόρμα Εισαγωγής'!$C$2,E5825)),MAX($D$1:D5824)+1,0)</f>
        <v>0</v>
      </c>
      <c r="H5825" s="6">
        <f t="shared" si="284"/>
        <v>0</v>
      </c>
      <c r="I5825" s="6">
        <f t="shared" si="285"/>
        <v>0</v>
      </c>
      <c r="J5825" s="6">
        <f t="shared" si="286"/>
        <v>0</v>
      </c>
      <c r="L5825" s="4" t="str">
        <f>IFERROR(VLOOKUP(ROWS($L$2:L5825),$B$2:$C$1996,2,0),"")</f>
        <v/>
      </c>
      <c r="N5825" s="2" t="str">
        <f>IFERROR(VLOOKUP(ROWS($N$2:N5825),$D$2:$E$1996,2,0),"")</f>
        <v/>
      </c>
    </row>
    <row r="5826" spans="2:14">
      <c r="B5826" s="32">
        <f>IF(ISNUMBER(SEARCH('Φόρμα Εισαγωγής'!$B$2,C5826)),MAX($B$1:B5825)+1,0)</f>
        <v>0</v>
      </c>
      <c r="D5826" s="33">
        <f>IF(ISNUMBER(SEARCH('Φόρμα Εισαγωγής'!$C$2,E5826)),MAX($D$1:D5825)+1,0)</f>
        <v>0</v>
      </c>
      <c r="H5826" s="6">
        <f t="shared" si="284"/>
        <v>0</v>
      </c>
      <c r="I5826" s="6">
        <f t="shared" si="285"/>
        <v>0</v>
      </c>
      <c r="J5826" s="6">
        <f t="shared" si="286"/>
        <v>0</v>
      </c>
      <c r="L5826" s="4" t="str">
        <f>IFERROR(VLOOKUP(ROWS($L$2:L5826),$B$2:$C$1996,2,0),"")</f>
        <v/>
      </c>
      <c r="N5826" s="2" t="str">
        <f>IFERROR(VLOOKUP(ROWS($N$2:N5826),$D$2:$E$1996,2,0),"")</f>
        <v/>
      </c>
    </row>
    <row r="5827" spans="2:14">
      <c r="B5827" s="32">
        <f>IF(ISNUMBER(SEARCH('Φόρμα Εισαγωγής'!$B$2,C5827)),MAX($B$1:B5826)+1,0)</f>
        <v>0</v>
      </c>
      <c r="D5827" s="33">
        <f>IF(ISNUMBER(SEARCH('Φόρμα Εισαγωγής'!$C$2,E5827)),MAX($D$1:D5826)+1,0)</f>
        <v>0</v>
      </c>
      <c r="H5827" s="6">
        <f t="shared" si="284"/>
        <v>0</v>
      </c>
      <c r="I5827" s="6">
        <f t="shared" si="285"/>
        <v>0</v>
      </c>
      <c r="J5827" s="6">
        <f t="shared" si="286"/>
        <v>0</v>
      </c>
      <c r="L5827" s="4" t="str">
        <f>IFERROR(VLOOKUP(ROWS($L$2:L5827),$B$2:$C$1996,2,0),"")</f>
        <v/>
      </c>
      <c r="N5827" s="2" t="str">
        <f>IFERROR(VLOOKUP(ROWS($N$2:N5827),$D$2:$E$1996,2,0),"")</f>
        <v/>
      </c>
    </row>
    <row r="5828" spans="2:14">
      <c r="B5828" s="32">
        <f>IF(ISNUMBER(SEARCH('Φόρμα Εισαγωγής'!$B$2,C5828)),MAX($B$1:B5827)+1,0)</f>
        <v>0</v>
      </c>
      <c r="D5828" s="33">
        <f>IF(ISNUMBER(SEARCH('Φόρμα Εισαγωγής'!$C$2,E5828)),MAX($D$1:D5827)+1,0)</f>
        <v>0</v>
      </c>
      <c r="H5828" s="6">
        <f t="shared" si="284"/>
        <v>0</v>
      </c>
      <c r="I5828" s="6">
        <f t="shared" si="285"/>
        <v>0</v>
      </c>
      <c r="J5828" s="6">
        <f t="shared" si="286"/>
        <v>0</v>
      </c>
      <c r="L5828" s="4" t="str">
        <f>IFERROR(VLOOKUP(ROWS($L$2:L5828),$B$2:$C$1996,2,0),"")</f>
        <v/>
      </c>
      <c r="N5828" s="2" t="str">
        <f>IFERROR(VLOOKUP(ROWS($N$2:N5828),$D$2:$E$1996,2,0),"")</f>
        <v/>
      </c>
    </row>
    <row r="5829" spans="2:14">
      <c r="B5829" s="32">
        <f>IF(ISNUMBER(SEARCH('Φόρμα Εισαγωγής'!$B$2,C5829)),MAX($B$1:B5828)+1,0)</f>
        <v>0</v>
      </c>
      <c r="D5829" s="33">
        <f>IF(ISNUMBER(SEARCH('Φόρμα Εισαγωγής'!$C$2,E5829)),MAX($D$1:D5828)+1,0)</f>
        <v>0</v>
      </c>
      <c r="H5829" s="6">
        <f t="shared" si="284"/>
        <v>0</v>
      </c>
      <c r="I5829" s="6">
        <f t="shared" si="285"/>
        <v>0</v>
      </c>
      <c r="J5829" s="6">
        <f t="shared" si="286"/>
        <v>0</v>
      </c>
      <c r="L5829" s="4" t="str">
        <f>IFERROR(VLOOKUP(ROWS($L$2:L5829),$B$2:$C$1996,2,0),"")</f>
        <v/>
      </c>
      <c r="N5829" s="2" t="str">
        <f>IFERROR(VLOOKUP(ROWS($N$2:N5829),$D$2:$E$1996,2,0),"")</f>
        <v/>
      </c>
    </row>
    <row r="5830" spans="2:14">
      <c r="B5830" s="32">
        <f>IF(ISNUMBER(SEARCH('Φόρμα Εισαγωγής'!$B$2,C5830)),MAX($B$1:B5829)+1,0)</f>
        <v>0</v>
      </c>
      <c r="D5830" s="33">
        <f>IF(ISNUMBER(SEARCH('Φόρμα Εισαγωγής'!$C$2,E5830)),MAX($D$1:D5829)+1,0)</f>
        <v>0</v>
      </c>
      <c r="H5830" s="6">
        <f t="shared" si="284"/>
        <v>0</v>
      </c>
      <c r="I5830" s="6">
        <f t="shared" si="285"/>
        <v>0</v>
      </c>
      <c r="J5830" s="6">
        <f t="shared" si="286"/>
        <v>0</v>
      </c>
      <c r="L5830" s="4" t="str">
        <f>IFERROR(VLOOKUP(ROWS($L$2:L5830),$B$2:$C$1996,2,0),"")</f>
        <v/>
      </c>
      <c r="N5830" s="2" t="str">
        <f>IFERROR(VLOOKUP(ROWS($N$2:N5830),$D$2:$E$1996,2,0),"")</f>
        <v/>
      </c>
    </row>
    <row r="5831" spans="2:14">
      <c r="B5831" s="32">
        <f>IF(ISNUMBER(SEARCH('Φόρμα Εισαγωγής'!$B$2,C5831)),MAX($B$1:B5830)+1,0)</f>
        <v>0</v>
      </c>
      <c r="D5831" s="33">
        <f>IF(ISNUMBER(SEARCH('Φόρμα Εισαγωγής'!$C$2,E5831)),MAX($D$1:D5830)+1,0)</f>
        <v>0</v>
      </c>
      <c r="H5831" s="6">
        <f t="shared" si="284"/>
        <v>0</v>
      </c>
      <c r="I5831" s="6">
        <f t="shared" si="285"/>
        <v>0</v>
      </c>
      <c r="J5831" s="6">
        <f t="shared" si="286"/>
        <v>0</v>
      </c>
      <c r="L5831" s="4" t="str">
        <f>IFERROR(VLOOKUP(ROWS($L$2:L5831),$B$2:$C$1996,2,0),"")</f>
        <v/>
      </c>
      <c r="N5831" s="2" t="str">
        <f>IFERROR(VLOOKUP(ROWS($N$2:N5831),$D$2:$E$1996,2,0),"")</f>
        <v/>
      </c>
    </row>
    <row r="5832" spans="2:14">
      <c r="B5832" s="32">
        <f>IF(ISNUMBER(SEARCH('Φόρμα Εισαγωγής'!$B$2,C5832)),MAX($B$1:B5831)+1,0)</f>
        <v>0</v>
      </c>
      <c r="D5832" s="33">
        <f>IF(ISNUMBER(SEARCH('Φόρμα Εισαγωγής'!$C$2,E5832)),MAX($D$1:D5831)+1,0)</f>
        <v>0</v>
      </c>
      <c r="H5832" s="6">
        <f t="shared" si="284"/>
        <v>0</v>
      </c>
      <c r="I5832" s="6">
        <f t="shared" si="285"/>
        <v>0</v>
      </c>
      <c r="J5832" s="6">
        <f t="shared" si="286"/>
        <v>0</v>
      </c>
      <c r="L5832" s="4" t="str">
        <f>IFERROR(VLOOKUP(ROWS($L$2:L5832),$B$2:$C$1996,2,0),"")</f>
        <v/>
      </c>
      <c r="N5832" s="2" t="str">
        <f>IFERROR(VLOOKUP(ROWS($N$2:N5832),$D$2:$E$1996,2,0),"")</f>
        <v/>
      </c>
    </row>
    <row r="5833" spans="2:14">
      <c r="B5833" s="32">
        <f>IF(ISNUMBER(SEARCH('Φόρμα Εισαγωγής'!$B$2,C5833)),MAX($B$1:B5832)+1,0)</f>
        <v>0</v>
      </c>
      <c r="D5833" s="33">
        <f>IF(ISNUMBER(SEARCH('Φόρμα Εισαγωγής'!$C$2,E5833)),MAX($D$1:D5832)+1,0)</f>
        <v>0</v>
      </c>
      <c r="H5833" s="6">
        <f t="shared" si="284"/>
        <v>0</v>
      </c>
      <c r="I5833" s="6">
        <f t="shared" si="285"/>
        <v>0</v>
      </c>
      <c r="J5833" s="6">
        <f t="shared" si="286"/>
        <v>0</v>
      </c>
      <c r="L5833" s="4" t="str">
        <f>IFERROR(VLOOKUP(ROWS($L$2:L5833),$B$2:$C$1996,2,0),"")</f>
        <v/>
      </c>
      <c r="N5833" s="2" t="str">
        <f>IFERROR(VLOOKUP(ROWS($N$2:N5833),$D$2:$E$1996,2,0),"")</f>
        <v/>
      </c>
    </row>
    <row r="5834" spans="2:14">
      <c r="B5834" s="32">
        <f>IF(ISNUMBER(SEARCH('Φόρμα Εισαγωγής'!$B$2,C5834)),MAX($B$1:B5833)+1,0)</f>
        <v>0</v>
      </c>
      <c r="D5834" s="33">
        <f>IF(ISNUMBER(SEARCH('Φόρμα Εισαγωγής'!$C$2,E5834)),MAX($D$1:D5833)+1,0)</f>
        <v>0</v>
      </c>
      <c r="H5834" s="6">
        <f t="shared" si="284"/>
        <v>0</v>
      </c>
      <c r="I5834" s="6">
        <f t="shared" si="285"/>
        <v>0</v>
      </c>
      <c r="J5834" s="6">
        <f t="shared" si="286"/>
        <v>0</v>
      </c>
      <c r="L5834" s="4" t="str">
        <f>IFERROR(VLOOKUP(ROWS($L$2:L5834),$B$2:$C$1996,2,0),"")</f>
        <v/>
      </c>
      <c r="N5834" s="2" t="str">
        <f>IFERROR(VLOOKUP(ROWS($N$2:N5834),$D$2:$E$1996,2,0),"")</f>
        <v/>
      </c>
    </row>
    <row r="5835" spans="2:14">
      <c r="B5835" s="32">
        <f>IF(ISNUMBER(SEARCH('Φόρμα Εισαγωγής'!$B$2,C5835)),MAX($B$1:B5834)+1,0)</f>
        <v>0</v>
      </c>
      <c r="D5835" s="33">
        <f>IF(ISNUMBER(SEARCH('Φόρμα Εισαγωγής'!$C$2,E5835)),MAX($D$1:D5834)+1,0)</f>
        <v>0</v>
      </c>
      <c r="H5835" s="6">
        <f t="shared" si="284"/>
        <v>0</v>
      </c>
      <c r="I5835" s="6">
        <f t="shared" si="285"/>
        <v>0</v>
      </c>
      <c r="J5835" s="6">
        <f t="shared" si="286"/>
        <v>0</v>
      </c>
      <c r="L5835" s="4" t="str">
        <f>IFERROR(VLOOKUP(ROWS($L$2:L5835),$B$2:$C$1996,2,0),"")</f>
        <v/>
      </c>
      <c r="N5835" s="2" t="str">
        <f>IFERROR(VLOOKUP(ROWS($N$2:N5835),$D$2:$E$1996,2,0),"")</f>
        <v/>
      </c>
    </row>
    <row r="5836" spans="2:14">
      <c r="B5836" s="32">
        <f>IF(ISNUMBER(SEARCH('Φόρμα Εισαγωγής'!$B$2,C5836)),MAX($B$1:B5835)+1,0)</f>
        <v>0</v>
      </c>
      <c r="D5836" s="33">
        <f>IF(ISNUMBER(SEARCH('Φόρμα Εισαγωγής'!$C$2,E5836)),MAX($D$1:D5835)+1,0)</f>
        <v>0</v>
      </c>
      <c r="H5836" s="6">
        <f t="shared" si="284"/>
        <v>0</v>
      </c>
      <c r="I5836" s="6">
        <f t="shared" si="285"/>
        <v>0</v>
      </c>
      <c r="J5836" s="6">
        <f t="shared" si="286"/>
        <v>0</v>
      </c>
      <c r="L5836" s="4" t="str">
        <f>IFERROR(VLOOKUP(ROWS($L$2:L5836),$B$2:$C$1996,2,0),"")</f>
        <v/>
      </c>
      <c r="N5836" s="2" t="str">
        <f>IFERROR(VLOOKUP(ROWS($N$2:N5836),$D$2:$E$1996,2,0),"")</f>
        <v/>
      </c>
    </row>
    <row r="5837" spans="2:14">
      <c r="B5837" s="32">
        <f>IF(ISNUMBER(SEARCH('Φόρμα Εισαγωγής'!$B$2,C5837)),MAX($B$1:B5836)+1,0)</f>
        <v>0</v>
      </c>
      <c r="D5837" s="33">
        <f>IF(ISNUMBER(SEARCH('Φόρμα Εισαγωγής'!$C$2,E5837)),MAX($D$1:D5836)+1,0)</f>
        <v>0</v>
      </c>
      <c r="H5837" s="6">
        <f t="shared" si="284"/>
        <v>0</v>
      </c>
      <c r="I5837" s="6">
        <f t="shared" si="285"/>
        <v>0</v>
      </c>
      <c r="J5837" s="6">
        <f t="shared" si="286"/>
        <v>0</v>
      </c>
      <c r="L5837" s="4" t="str">
        <f>IFERROR(VLOOKUP(ROWS($L$2:L5837),$B$2:$C$1996,2,0),"")</f>
        <v/>
      </c>
      <c r="N5837" s="2" t="str">
        <f>IFERROR(VLOOKUP(ROWS($N$2:N5837),$D$2:$E$1996,2,0),"")</f>
        <v/>
      </c>
    </row>
    <row r="5838" spans="2:14">
      <c r="B5838" s="32">
        <f>IF(ISNUMBER(SEARCH('Φόρμα Εισαγωγής'!$B$2,C5838)),MAX($B$1:B5837)+1,0)</f>
        <v>0</v>
      </c>
      <c r="D5838" s="33">
        <f>IF(ISNUMBER(SEARCH('Φόρμα Εισαγωγής'!$C$2,E5838)),MAX($D$1:D5837)+1,0)</f>
        <v>0</v>
      </c>
      <c r="H5838" s="6">
        <f t="shared" si="284"/>
        <v>0</v>
      </c>
      <c r="I5838" s="6">
        <f t="shared" si="285"/>
        <v>0</v>
      </c>
      <c r="J5838" s="6">
        <f t="shared" si="286"/>
        <v>0</v>
      </c>
      <c r="L5838" s="4" t="str">
        <f>IFERROR(VLOOKUP(ROWS($L$2:L5838),$B$2:$C$1996,2,0),"")</f>
        <v/>
      </c>
      <c r="N5838" s="2" t="str">
        <f>IFERROR(VLOOKUP(ROWS($N$2:N5838),$D$2:$E$1996,2,0),"")</f>
        <v/>
      </c>
    </row>
    <row r="5839" spans="2:14">
      <c r="B5839" s="32">
        <f>IF(ISNUMBER(SEARCH('Φόρμα Εισαγωγής'!$B$2,C5839)),MAX($B$1:B5838)+1,0)</f>
        <v>0</v>
      </c>
      <c r="D5839" s="33">
        <f>IF(ISNUMBER(SEARCH('Φόρμα Εισαγωγής'!$C$2,E5839)),MAX($D$1:D5838)+1,0)</f>
        <v>0</v>
      </c>
      <c r="H5839" s="6">
        <f t="shared" si="284"/>
        <v>0</v>
      </c>
      <c r="I5839" s="6">
        <f t="shared" si="285"/>
        <v>0</v>
      </c>
      <c r="J5839" s="6">
        <f t="shared" si="286"/>
        <v>0</v>
      </c>
      <c r="L5839" s="4" t="str">
        <f>IFERROR(VLOOKUP(ROWS($L$2:L5839),$B$2:$C$1996,2,0),"")</f>
        <v/>
      </c>
      <c r="N5839" s="2" t="str">
        <f>IFERROR(VLOOKUP(ROWS($N$2:N5839),$D$2:$E$1996,2,0),"")</f>
        <v/>
      </c>
    </row>
    <row r="5840" spans="2:14">
      <c r="B5840" s="32">
        <f>IF(ISNUMBER(SEARCH('Φόρμα Εισαγωγής'!$B$2,C5840)),MAX($B$1:B5839)+1,0)</f>
        <v>0</v>
      </c>
      <c r="D5840" s="33">
        <f>IF(ISNUMBER(SEARCH('Φόρμα Εισαγωγής'!$C$2,E5840)),MAX($D$1:D5839)+1,0)</f>
        <v>0</v>
      </c>
      <c r="H5840" s="6">
        <f t="shared" si="284"/>
        <v>0</v>
      </c>
      <c r="I5840" s="6">
        <f t="shared" si="285"/>
        <v>0</v>
      </c>
      <c r="J5840" s="6">
        <f t="shared" si="286"/>
        <v>0</v>
      </c>
      <c r="L5840" s="4" t="str">
        <f>IFERROR(VLOOKUP(ROWS($L$2:L5840),$B$2:$C$1996,2,0),"")</f>
        <v/>
      </c>
      <c r="N5840" s="2" t="str">
        <f>IFERROR(VLOOKUP(ROWS($N$2:N5840),$D$2:$E$1996,2,0),"")</f>
        <v/>
      </c>
    </row>
    <row r="5841" spans="2:14">
      <c r="B5841" s="32">
        <f>IF(ISNUMBER(SEARCH('Φόρμα Εισαγωγής'!$B$2,C5841)),MAX($B$1:B5840)+1,0)</f>
        <v>0</v>
      </c>
      <c r="D5841" s="33">
        <f>IF(ISNUMBER(SEARCH('Φόρμα Εισαγωγής'!$C$2,E5841)),MAX($D$1:D5840)+1,0)</f>
        <v>0</v>
      </c>
      <c r="H5841" s="6">
        <f t="shared" si="284"/>
        <v>0</v>
      </c>
      <c r="I5841" s="6">
        <f t="shared" si="285"/>
        <v>0</v>
      </c>
      <c r="J5841" s="6">
        <f t="shared" si="286"/>
        <v>0</v>
      </c>
      <c r="L5841" s="4" t="str">
        <f>IFERROR(VLOOKUP(ROWS($L$2:L5841),$B$2:$C$1996,2,0),"")</f>
        <v/>
      </c>
      <c r="N5841" s="2" t="str">
        <f>IFERROR(VLOOKUP(ROWS($N$2:N5841),$D$2:$E$1996,2,0),"")</f>
        <v/>
      </c>
    </row>
    <row r="5842" spans="2:14">
      <c r="B5842" s="32">
        <f>IF(ISNUMBER(SEARCH('Φόρμα Εισαγωγής'!$B$2,C5842)),MAX($B$1:B5841)+1,0)</f>
        <v>0</v>
      </c>
      <c r="D5842" s="33">
        <f>IF(ISNUMBER(SEARCH('Φόρμα Εισαγωγής'!$C$2,E5842)),MAX($D$1:D5841)+1,0)</f>
        <v>0</v>
      </c>
      <c r="H5842" s="6">
        <f t="shared" si="284"/>
        <v>0</v>
      </c>
      <c r="I5842" s="6">
        <f t="shared" si="285"/>
        <v>0</v>
      </c>
      <c r="J5842" s="6">
        <f t="shared" si="286"/>
        <v>0</v>
      </c>
      <c r="L5842" s="4" t="str">
        <f>IFERROR(VLOOKUP(ROWS($L$2:L5842),$B$2:$C$1996,2,0),"")</f>
        <v/>
      </c>
      <c r="N5842" s="2" t="str">
        <f>IFERROR(VLOOKUP(ROWS($N$2:N5842),$D$2:$E$1996,2,0),"")</f>
        <v/>
      </c>
    </row>
    <row r="5843" spans="2:14">
      <c r="B5843" s="32">
        <f>IF(ISNUMBER(SEARCH('Φόρμα Εισαγωγής'!$B$2,C5843)),MAX($B$1:B5842)+1,0)</f>
        <v>0</v>
      </c>
      <c r="D5843" s="33">
        <f>IF(ISNUMBER(SEARCH('Φόρμα Εισαγωγής'!$C$2,E5843)),MAX($D$1:D5842)+1,0)</f>
        <v>0</v>
      </c>
      <c r="H5843" s="6">
        <f t="shared" si="284"/>
        <v>0</v>
      </c>
      <c r="I5843" s="6">
        <f t="shared" si="285"/>
        <v>0</v>
      </c>
      <c r="J5843" s="6">
        <f t="shared" si="286"/>
        <v>0</v>
      </c>
      <c r="L5843" s="4" t="str">
        <f>IFERROR(VLOOKUP(ROWS($L$2:L5843),$B$2:$C$1996,2,0),"")</f>
        <v/>
      </c>
      <c r="N5843" s="2" t="str">
        <f>IFERROR(VLOOKUP(ROWS($N$2:N5843),$D$2:$E$1996,2,0),"")</f>
        <v/>
      </c>
    </row>
    <row r="5844" spans="2:14">
      <c r="B5844" s="32">
        <f>IF(ISNUMBER(SEARCH('Φόρμα Εισαγωγής'!$B$2,C5844)),MAX($B$1:B5843)+1,0)</f>
        <v>0</v>
      </c>
      <c r="D5844" s="33">
        <f>IF(ISNUMBER(SEARCH('Φόρμα Εισαγωγής'!$C$2,E5844)),MAX($D$1:D5843)+1,0)</f>
        <v>0</v>
      </c>
      <c r="H5844" s="6">
        <f t="shared" si="284"/>
        <v>0</v>
      </c>
      <c r="I5844" s="6">
        <f t="shared" si="285"/>
        <v>0</v>
      </c>
      <c r="J5844" s="6">
        <f t="shared" si="286"/>
        <v>0</v>
      </c>
      <c r="L5844" s="4" t="str">
        <f>IFERROR(VLOOKUP(ROWS($L$2:L5844),$B$2:$C$1996,2,0),"")</f>
        <v/>
      </c>
      <c r="N5844" s="2" t="str">
        <f>IFERROR(VLOOKUP(ROWS($N$2:N5844),$D$2:$E$1996,2,0),"")</f>
        <v/>
      </c>
    </row>
    <row r="5845" spans="2:14">
      <c r="B5845" s="32">
        <f>IF(ISNUMBER(SEARCH('Φόρμα Εισαγωγής'!$B$2,C5845)),MAX($B$1:B5844)+1,0)</f>
        <v>0</v>
      </c>
      <c r="D5845" s="33">
        <f>IF(ISNUMBER(SEARCH('Φόρμα Εισαγωγής'!$C$2,E5845)),MAX($D$1:D5844)+1,0)</f>
        <v>0</v>
      </c>
      <c r="H5845" s="6">
        <f t="shared" si="284"/>
        <v>0</v>
      </c>
      <c r="I5845" s="6">
        <f t="shared" si="285"/>
        <v>0</v>
      </c>
      <c r="J5845" s="6">
        <f t="shared" si="286"/>
        <v>0</v>
      </c>
      <c r="L5845" s="4" t="str">
        <f>IFERROR(VLOOKUP(ROWS($L$2:L5845),$B$2:$C$1996,2,0),"")</f>
        <v/>
      </c>
      <c r="N5845" s="2" t="str">
        <f>IFERROR(VLOOKUP(ROWS($N$2:N5845),$D$2:$E$1996,2,0),"")</f>
        <v/>
      </c>
    </row>
    <row r="5846" spans="2:14">
      <c r="B5846" s="32">
        <f>IF(ISNUMBER(SEARCH('Φόρμα Εισαγωγής'!$B$2,C5846)),MAX($B$1:B5845)+1,0)</f>
        <v>0</v>
      </c>
      <c r="D5846" s="33">
        <f>IF(ISNUMBER(SEARCH('Φόρμα Εισαγωγής'!$C$2,E5846)),MAX($D$1:D5845)+1,0)</f>
        <v>0</v>
      </c>
      <c r="H5846" s="6">
        <f t="shared" si="284"/>
        <v>0</v>
      </c>
      <c r="I5846" s="6">
        <f t="shared" si="285"/>
        <v>0</v>
      </c>
      <c r="J5846" s="6">
        <f t="shared" si="286"/>
        <v>0</v>
      </c>
      <c r="L5846" s="4" t="str">
        <f>IFERROR(VLOOKUP(ROWS($L$2:L5846),$B$2:$C$1996,2,0),"")</f>
        <v/>
      </c>
      <c r="N5846" s="2" t="str">
        <f>IFERROR(VLOOKUP(ROWS($N$2:N5846),$D$2:$E$1996,2,0),"")</f>
        <v/>
      </c>
    </row>
    <row r="5847" spans="2:14">
      <c r="B5847" s="32">
        <f>IF(ISNUMBER(SEARCH('Φόρμα Εισαγωγής'!$B$2,C5847)),MAX($B$1:B5846)+1,0)</f>
        <v>0</v>
      </c>
      <c r="D5847" s="33">
        <f>IF(ISNUMBER(SEARCH('Φόρμα Εισαγωγής'!$C$2,E5847)),MAX($D$1:D5846)+1,0)</f>
        <v>0</v>
      </c>
      <c r="H5847" s="6">
        <f t="shared" si="284"/>
        <v>0</v>
      </c>
      <c r="I5847" s="6">
        <f t="shared" si="285"/>
        <v>0</v>
      </c>
      <c r="J5847" s="6">
        <f t="shared" si="286"/>
        <v>0</v>
      </c>
      <c r="L5847" s="4" t="str">
        <f>IFERROR(VLOOKUP(ROWS($L$2:L5847),$B$2:$C$1996,2,0),"")</f>
        <v/>
      </c>
      <c r="N5847" s="2" t="str">
        <f>IFERROR(VLOOKUP(ROWS($N$2:N5847),$D$2:$E$1996,2,0),"")</f>
        <v/>
      </c>
    </row>
    <row r="5848" spans="2:14">
      <c r="B5848" s="32">
        <f>IF(ISNUMBER(SEARCH('Φόρμα Εισαγωγής'!$B$2,C5848)),MAX($B$1:B5847)+1,0)</f>
        <v>0</v>
      </c>
      <c r="D5848" s="33">
        <f>IF(ISNUMBER(SEARCH('Φόρμα Εισαγωγής'!$C$2,E5848)),MAX($D$1:D5847)+1,0)</f>
        <v>0</v>
      </c>
      <c r="H5848" s="6">
        <f t="shared" si="284"/>
        <v>0</v>
      </c>
      <c r="I5848" s="6">
        <f t="shared" si="285"/>
        <v>0</v>
      </c>
      <c r="J5848" s="6">
        <f t="shared" si="286"/>
        <v>0</v>
      </c>
      <c r="L5848" s="4" t="str">
        <f>IFERROR(VLOOKUP(ROWS($L$2:L5848),$B$2:$C$1996,2,0),"")</f>
        <v/>
      </c>
      <c r="N5848" s="2" t="str">
        <f>IFERROR(VLOOKUP(ROWS($N$2:N5848),$D$2:$E$1996,2,0),"")</f>
        <v/>
      </c>
    </row>
    <row r="5849" spans="2:14">
      <c r="B5849" s="32">
        <f>IF(ISNUMBER(SEARCH('Φόρμα Εισαγωγής'!$B$2,C5849)),MAX($B$1:B5848)+1,0)</f>
        <v>0</v>
      </c>
      <c r="D5849" s="33">
        <f>IF(ISNUMBER(SEARCH('Φόρμα Εισαγωγής'!$C$2,E5849)),MAX($D$1:D5848)+1,0)</f>
        <v>0</v>
      </c>
      <c r="H5849" s="6">
        <f t="shared" si="284"/>
        <v>0</v>
      </c>
      <c r="I5849" s="6">
        <f t="shared" si="285"/>
        <v>0</v>
      </c>
      <c r="J5849" s="6">
        <f t="shared" si="286"/>
        <v>0</v>
      </c>
      <c r="L5849" s="4" t="str">
        <f>IFERROR(VLOOKUP(ROWS($L$2:L5849),$B$2:$C$1996,2,0),"")</f>
        <v/>
      </c>
      <c r="N5849" s="2" t="str">
        <f>IFERROR(VLOOKUP(ROWS($N$2:N5849),$D$2:$E$1996,2,0),"")</f>
        <v/>
      </c>
    </row>
    <row r="5850" spans="2:14">
      <c r="B5850" s="32">
        <f>IF(ISNUMBER(SEARCH('Φόρμα Εισαγωγής'!$B$2,C5850)),MAX($B$1:B5849)+1,0)</f>
        <v>0</v>
      </c>
      <c r="D5850" s="33">
        <f>IF(ISNUMBER(SEARCH('Φόρμα Εισαγωγής'!$C$2,E5850)),MAX($D$1:D5849)+1,0)</f>
        <v>0</v>
      </c>
      <c r="H5850" s="6">
        <f t="shared" si="284"/>
        <v>0</v>
      </c>
      <c r="I5850" s="6">
        <f t="shared" si="285"/>
        <v>0</v>
      </c>
      <c r="J5850" s="6">
        <f t="shared" si="286"/>
        <v>0</v>
      </c>
      <c r="L5850" s="4" t="str">
        <f>IFERROR(VLOOKUP(ROWS($L$2:L5850),$B$2:$C$1996,2,0),"")</f>
        <v/>
      </c>
      <c r="N5850" s="2" t="str">
        <f>IFERROR(VLOOKUP(ROWS($N$2:N5850),$D$2:$E$1996,2,0),"")</f>
        <v/>
      </c>
    </row>
    <row r="5851" spans="2:14">
      <c r="B5851" s="32">
        <f>IF(ISNUMBER(SEARCH('Φόρμα Εισαγωγής'!$B$2,C5851)),MAX($B$1:B5850)+1,0)</f>
        <v>0</v>
      </c>
      <c r="D5851" s="33">
        <f>IF(ISNUMBER(SEARCH('Φόρμα Εισαγωγής'!$C$2,E5851)),MAX($D$1:D5850)+1,0)</f>
        <v>0</v>
      </c>
      <c r="H5851" s="6">
        <f t="shared" si="284"/>
        <v>0</v>
      </c>
      <c r="I5851" s="6">
        <f t="shared" si="285"/>
        <v>0</v>
      </c>
      <c r="J5851" s="6">
        <f t="shared" si="286"/>
        <v>0</v>
      </c>
      <c r="L5851" s="4" t="str">
        <f>IFERROR(VLOOKUP(ROWS($L$2:L5851),$B$2:$C$1996,2,0),"")</f>
        <v/>
      </c>
      <c r="N5851" s="2" t="str">
        <f>IFERROR(VLOOKUP(ROWS($N$2:N5851),$D$2:$E$1996,2,0),"")</f>
        <v/>
      </c>
    </row>
    <row r="5852" spans="2:14">
      <c r="B5852" s="32">
        <f>IF(ISNUMBER(SEARCH('Φόρμα Εισαγωγής'!$B$2,C5852)),MAX($B$1:B5851)+1,0)</f>
        <v>0</v>
      </c>
      <c r="D5852" s="33">
        <f>IF(ISNUMBER(SEARCH('Φόρμα Εισαγωγής'!$C$2,E5852)),MAX($D$1:D5851)+1,0)</f>
        <v>0</v>
      </c>
      <c r="H5852" s="6">
        <f t="shared" si="284"/>
        <v>0</v>
      </c>
      <c r="I5852" s="6">
        <f t="shared" si="285"/>
        <v>0</v>
      </c>
      <c r="J5852" s="6">
        <f t="shared" si="286"/>
        <v>0</v>
      </c>
      <c r="L5852" s="4" t="str">
        <f>IFERROR(VLOOKUP(ROWS($L$2:L5852),$B$2:$C$1996,2,0),"")</f>
        <v/>
      </c>
      <c r="N5852" s="2" t="str">
        <f>IFERROR(VLOOKUP(ROWS($N$2:N5852),$D$2:$E$1996,2,0),"")</f>
        <v/>
      </c>
    </row>
    <row r="5853" spans="2:14">
      <c r="B5853" s="32">
        <f>IF(ISNUMBER(SEARCH('Φόρμα Εισαγωγής'!$B$2,C5853)),MAX($B$1:B5852)+1,0)</f>
        <v>0</v>
      </c>
      <c r="D5853" s="33">
        <f>IF(ISNUMBER(SEARCH('Φόρμα Εισαγωγής'!$C$2,E5853)),MAX($D$1:D5852)+1,0)</f>
        <v>0</v>
      </c>
      <c r="H5853" s="6">
        <f t="shared" si="284"/>
        <v>0</v>
      </c>
      <c r="I5853" s="6">
        <f t="shared" si="285"/>
        <v>0</v>
      </c>
      <c r="J5853" s="6">
        <f t="shared" si="286"/>
        <v>0</v>
      </c>
      <c r="L5853" s="4" t="str">
        <f>IFERROR(VLOOKUP(ROWS($L$2:L5853),$B$2:$C$1996,2,0),"")</f>
        <v/>
      </c>
      <c r="N5853" s="2" t="str">
        <f>IFERROR(VLOOKUP(ROWS($N$2:N5853),$D$2:$E$1996,2,0),"")</f>
        <v/>
      </c>
    </row>
    <row r="5854" spans="2:14">
      <c r="B5854" s="32">
        <f>IF(ISNUMBER(SEARCH('Φόρμα Εισαγωγής'!$B$2,C5854)),MAX($B$1:B5853)+1,0)</f>
        <v>0</v>
      </c>
      <c r="D5854" s="33">
        <f>IF(ISNUMBER(SEARCH('Φόρμα Εισαγωγής'!$C$2,E5854)),MAX($D$1:D5853)+1,0)</f>
        <v>0</v>
      </c>
      <c r="H5854" s="6">
        <f t="shared" si="284"/>
        <v>0</v>
      </c>
      <c r="I5854" s="6">
        <f t="shared" si="285"/>
        <v>0</v>
      </c>
      <c r="J5854" s="6">
        <f t="shared" si="286"/>
        <v>0</v>
      </c>
      <c r="L5854" s="4" t="str">
        <f>IFERROR(VLOOKUP(ROWS($L$2:L5854),$B$2:$C$1996,2,0),"")</f>
        <v/>
      </c>
      <c r="N5854" s="2" t="str">
        <f>IFERROR(VLOOKUP(ROWS($N$2:N5854),$D$2:$E$1996,2,0),"")</f>
        <v/>
      </c>
    </row>
    <row r="5855" spans="2:14">
      <c r="B5855" s="32">
        <f>IF(ISNUMBER(SEARCH('Φόρμα Εισαγωγής'!$B$2,C5855)),MAX($B$1:B5854)+1,0)</f>
        <v>0</v>
      </c>
      <c r="D5855" s="33">
        <f>IF(ISNUMBER(SEARCH('Φόρμα Εισαγωγής'!$C$2,E5855)),MAX($D$1:D5854)+1,0)</f>
        <v>0</v>
      </c>
      <c r="H5855" s="6">
        <f t="shared" si="284"/>
        <v>0</v>
      </c>
      <c r="I5855" s="6">
        <f t="shared" si="285"/>
        <v>0</v>
      </c>
      <c r="J5855" s="6">
        <f t="shared" si="286"/>
        <v>0</v>
      </c>
      <c r="L5855" s="4" t="str">
        <f>IFERROR(VLOOKUP(ROWS($L$2:L5855),$B$2:$C$1996,2,0),"")</f>
        <v/>
      </c>
      <c r="N5855" s="2" t="str">
        <f>IFERROR(VLOOKUP(ROWS($N$2:N5855),$D$2:$E$1996,2,0),"")</f>
        <v/>
      </c>
    </row>
    <row r="5856" spans="2:14">
      <c r="B5856" s="32">
        <f>IF(ISNUMBER(SEARCH('Φόρμα Εισαγωγής'!$B$2,C5856)),MAX($B$1:B5855)+1,0)</f>
        <v>0</v>
      </c>
      <c r="D5856" s="33">
        <f>IF(ISNUMBER(SEARCH('Φόρμα Εισαγωγής'!$C$2,E5856)),MAX($D$1:D5855)+1,0)</f>
        <v>0</v>
      </c>
      <c r="H5856" s="6">
        <f t="shared" si="284"/>
        <v>0</v>
      </c>
      <c r="I5856" s="6">
        <f t="shared" si="285"/>
        <v>0</v>
      </c>
      <c r="J5856" s="6">
        <f t="shared" si="286"/>
        <v>0</v>
      </c>
      <c r="L5856" s="4" t="str">
        <f>IFERROR(VLOOKUP(ROWS($L$2:L5856),$B$2:$C$1996,2,0),"")</f>
        <v/>
      </c>
      <c r="N5856" s="2" t="str">
        <f>IFERROR(VLOOKUP(ROWS($N$2:N5856),$D$2:$E$1996,2,0),"")</f>
        <v/>
      </c>
    </row>
    <row r="5857" spans="2:14">
      <c r="B5857" s="32">
        <f>IF(ISNUMBER(SEARCH('Φόρμα Εισαγωγής'!$B$2,C5857)),MAX($B$1:B5856)+1,0)</f>
        <v>0</v>
      </c>
      <c r="D5857" s="33">
        <f>IF(ISNUMBER(SEARCH('Φόρμα Εισαγωγής'!$C$2,E5857)),MAX($D$1:D5856)+1,0)</f>
        <v>0</v>
      </c>
      <c r="H5857" s="6">
        <f t="shared" si="284"/>
        <v>0</v>
      </c>
      <c r="I5857" s="6">
        <f t="shared" si="285"/>
        <v>0</v>
      </c>
      <c r="J5857" s="6">
        <f t="shared" si="286"/>
        <v>0</v>
      </c>
      <c r="L5857" s="4" t="str">
        <f>IFERROR(VLOOKUP(ROWS($L$2:L5857),$B$2:$C$1996,2,0),"")</f>
        <v/>
      </c>
      <c r="N5857" s="2" t="str">
        <f>IFERROR(VLOOKUP(ROWS($N$2:N5857),$D$2:$E$1996,2,0),"")</f>
        <v/>
      </c>
    </row>
    <row r="5858" spans="2:14">
      <c r="B5858" s="32">
        <f>IF(ISNUMBER(SEARCH('Φόρμα Εισαγωγής'!$B$2,C5858)),MAX($B$1:B5857)+1,0)</f>
        <v>0</v>
      </c>
      <c r="D5858" s="33">
        <f>IF(ISNUMBER(SEARCH('Φόρμα Εισαγωγής'!$C$2,E5858)),MAX($D$1:D5857)+1,0)</f>
        <v>0</v>
      </c>
      <c r="H5858" s="6">
        <f t="shared" si="284"/>
        <v>0</v>
      </c>
      <c r="I5858" s="6">
        <f t="shared" si="285"/>
        <v>0</v>
      </c>
      <c r="J5858" s="6">
        <f t="shared" si="286"/>
        <v>0</v>
      </c>
      <c r="L5858" s="4" t="str">
        <f>IFERROR(VLOOKUP(ROWS($L$2:L5858),$B$2:$C$1996,2,0),"")</f>
        <v/>
      </c>
      <c r="N5858" s="2" t="str">
        <f>IFERROR(VLOOKUP(ROWS($N$2:N5858),$D$2:$E$1996,2,0),"")</f>
        <v/>
      </c>
    </row>
    <row r="5859" spans="2:14">
      <c r="B5859" s="32">
        <f>IF(ISNUMBER(SEARCH('Φόρμα Εισαγωγής'!$B$2,C5859)),MAX($B$1:B5858)+1,0)</f>
        <v>0</v>
      </c>
      <c r="D5859" s="33">
        <f>IF(ISNUMBER(SEARCH('Φόρμα Εισαγωγής'!$C$2,E5859)),MAX($D$1:D5858)+1,0)</f>
        <v>0</v>
      </c>
      <c r="H5859" s="6">
        <f t="shared" si="284"/>
        <v>0</v>
      </c>
      <c r="I5859" s="6">
        <f t="shared" si="285"/>
        <v>0</v>
      </c>
      <c r="J5859" s="6">
        <f t="shared" si="286"/>
        <v>0</v>
      </c>
      <c r="L5859" s="4" t="str">
        <f>IFERROR(VLOOKUP(ROWS($L$2:L5859),$B$2:$C$1996,2,0),"")</f>
        <v/>
      </c>
      <c r="N5859" s="2" t="str">
        <f>IFERROR(VLOOKUP(ROWS($N$2:N5859),$D$2:$E$1996,2,0),"")</f>
        <v/>
      </c>
    </row>
    <row r="5860" spans="2:14">
      <c r="B5860" s="32">
        <f>IF(ISNUMBER(SEARCH('Φόρμα Εισαγωγής'!$B$2,C5860)),MAX($B$1:B5859)+1,0)</f>
        <v>0</v>
      </c>
      <c r="D5860" s="33">
        <f>IF(ISNUMBER(SEARCH('Φόρμα Εισαγωγής'!$C$2,E5860)),MAX($D$1:D5859)+1,0)</f>
        <v>0</v>
      </c>
      <c r="H5860" s="6">
        <f t="shared" si="284"/>
        <v>0</v>
      </c>
      <c r="I5860" s="6">
        <f t="shared" si="285"/>
        <v>0</v>
      </c>
      <c r="J5860" s="6">
        <f t="shared" si="286"/>
        <v>0</v>
      </c>
      <c r="L5860" s="4" t="str">
        <f>IFERROR(VLOOKUP(ROWS($L$2:L5860),$B$2:$C$1996,2,0),"")</f>
        <v/>
      </c>
      <c r="N5860" s="2" t="str">
        <f>IFERROR(VLOOKUP(ROWS($N$2:N5860),$D$2:$E$1996,2,0),"")</f>
        <v/>
      </c>
    </row>
    <row r="5861" spans="2:14">
      <c r="B5861" s="32">
        <f>IF(ISNUMBER(SEARCH('Φόρμα Εισαγωγής'!$B$2,C5861)),MAX($B$1:B5860)+1,0)</f>
        <v>0</v>
      </c>
      <c r="D5861" s="33">
        <f>IF(ISNUMBER(SEARCH('Φόρμα Εισαγωγής'!$C$2,E5861)),MAX($D$1:D5860)+1,0)</f>
        <v>0</v>
      </c>
      <c r="H5861" s="6">
        <f t="shared" si="284"/>
        <v>0</v>
      </c>
      <c r="I5861" s="6">
        <f t="shared" si="285"/>
        <v>0</v>
      </c>
      <c r="J5861" s="6">
        <f t="shared" si="286"/>
        <v>0</v>
      </c>
      <c r="L5861" s="4" t="str">
        <f>IFERROR(VLOOKUP(ROWS($L$2:L5861),$B$2:$C$1996,2,0),"")</f>
        <v/>
      </c>
      <c r="N5861" s="2" t="str">
        <f>IFERROR(VLOOKUP(ROWS($N$2:N5861),$D$2:$E$1996,2,0),"")</f>
        <v/>
      </c>
    </row>
    <row r="5862" spans="2:14">
      <c r="B5862" s="32">
        <f>IF(ISNUMBER(SEARCH('Φόρμα Εισαγωγής'!$B$2,C5862)),MAX($B$1:B5861)+1,0)</f>
        <v>0</v>
      </c>
      <c r="D5862" s="33">
        <f>IF(ISNUMBER(SEARCH('Φόρμα Εισαγωγής'!$C$2,E5862)),MAX($D$1:D5861)+1,0)</f>
        <v>0</v>
      </c>
      <c r="H5862" s="6">
        <f t="shared" si="284"/>
        <v>0</v>
      </c>
      <c r="I5862" s="6">
        <f t="shared" si="285"/>
        <v>0</v>
      </c>
      <c r="J5862" s="6">
        <f t="shared" si="286"/>
        <v>0</v>
      </c>
      <c r="L5862" s="4" t="str">
        <f>IFERROR(VLOOKUP(ROWS($L$2:L5862),$B$2:$C$1996,2,0),"")</f>
        <v/>
      </c>
      <c r="N5862" s="2" t="str">
        <f>IFERROR(VLOOKUP(ROWS($N$2:N5862),$D$2:$E$1996,2,0),"")</f>
        <v/>
      </c>
    </row>
    <row r="5863" spans="2:14">
      <c r="B5863" s="32">
        <f>IF(ISNUMBER(SEARCH('Φόρμα Εισαγωγής'!$B$2,C5863)),MAX($B$1:B5862)+1,0)</f>
        <v>0</v>
      </c>
      <c r="D5863" s="33">
        <f>IF(ISNUMBER(SEARCH('Φόρμα Εισαγωγής'!$C$2,E5863)),MAX($D$1:D5862)+1,0)</f>
        <v>0</v>
      </c>
      <c r="H5863" s="6">
        <f t="shared" si="284"/>
        <v>0</v>
      </c>
      <c r="I5863" s="6">
        <f t="shared" si="285"/>
        <v>0</v>
      </c>
      <c r="J5863" s="6">
        <f t="shared" si="286"/>
        <v>0</v>
      </c>
      <c r="L5863" s="4" t="str">
        <f>IFERROR(VLOOKUP(ROWS($L$2:L5863),$B$2:$C$1996,2,0),"")</f>
        <v/>
      </c>
      <c r="N5863" s="2" t="str">
        <f>IFERROR(VLOOKUP(ROWS($N$2:N5863),$D$2:$E$1996,2,0),"")</f>
        <v/>
      </c>
    </row>
    <row r="5864" spans="2:14">
      <c r="B5864" s="32">
        <f>IF(ISNUMBER(SEARCH('Φόρμα Εισαγωγής'!$B$2,C5864)),MAX($B$1:B5863)+1,0)</f>
        <v>0</v>
      </c>
      <c r="D5864" s="33">
        <f>IF(ISNUMBER(SEARCH('Φόρμα Εισαγωγής'!$C$2,E5864)),MAX($D$1:D5863)+1,0)</f>
        <v>0</v>
      </c>
      <c r="H5864" s="6">
        <f t="shared" si="284"/>
        <v>0</v>
      </c>
      <c r="I5864" s="6">
        <f t="shared" si="285"/>
        <v>0</v>
      </c>
      <c r="J5864" s="6">
        <f t="shared" si="286"/>
        <v>0</v>
      </c>
      <c r="L5864" s="4" t="str">
        <f>IFERROR(VLOOKUP(ROWS($L$2:L5864),$B$2:$C$1996,2,0),"")</f>
        <v/>
      </c>
      <c r="N5864" s="2" t="str">
        <f>IFERROR(VLOOKUP(ROWS($N$2:N5864),$D$2:$E$1996,2,0),"")</f>
        <v/>
      </c>
    </row>
    <row r="5865" spans="2:14">
      <c r="B5865" s="32">
        <f>IF(ISNUMBER(SEARCH('Φόρμα Εισαγωγής'!$B$2,C5865)),MAX($B$1:B5864)+1,0)</f>
        <v>0</v>
      </c>
      <c r="D5865" s="33">
        <f>IF(ISNUMBER(SEARCH('Φόρμα Εισαγωγής'!$C$2,E5865)),MAX($D$1:D5864)+1,0)</f>
        <v>0</v>
      </c>
      <c r="H5865" s="6">
        <f t="shared" si="284"/>
        <v>0</v>
      </c>
      <c r="I5865" s="6">
        <f t="shared" si="285"/>
        <v>0</v>
      </c>
      <c r="J5865" s="6">
        <f t="shared" si="286"/>
        <v>0</v>
      </c>
      <c r="L5865" s="4" t="str">
        <f>IFERROR(VLOOKUP(ROWS($L$2:L5865),$B$2:$C$1996,2,0),"")</f>
        <v/>
      </c>
      <c r="N5865" s="2" t="str">
        <f>IFERROR(VLOOKUP(ROWS($N$2:N5865),$D$2:$E$1996,2,0),"")</f>
        <v/>
      </c>
    </row>
    <row r="5866" spans="2:14">
      <c r="B5866" s="32">
        <f>IF(ISNUMBER(SEARCH('Φόρμα Εισαγωγής'!$B$2,C5866)),MAX($B$1:B5865)+1,0)</f>
        <v>0</v>
      </c>
      <c r="D5866" s="33">
        <f>IF(ISNUMBER(SEARCH('Φόρμα Εισαγωγής'!$C$2,E5866)),MAX($D$1:D5865)+1,0)</f>
        <v>0</v>
      </c>
      <c r="H5866" s="6">
        <f t="shared" si="284"/>
        <v>0</v>
      </c>
      <c r="I5866" s="6">
        <f t="shared" si="285"/>
        <v>0</v>
      </c>
      <c r="J5866" s="6">
        <f t="shared" si="286"/>
        <v>0</v>
      </c>
      <c r="L5866" s="4" t="str">
        <f>IFERROR(VLOOKUP(ROWS($L$2:L5866),$B$2:$C$1996,2,0),"")</f>
        <v/>
      </c>
      <c r="N5866" s="2" t="str">
        <f>IFERROR(VLOOKUP(ROWS($N$2:N5866),$D$2:$E$1996,2,0),"")</f>
        <v/>
      </c>
    </row>
    <row r="5867" spans="2:14">
      <c r="B5867" s="32">
        <f>IF(ISNUMBER(SEARCH('Φόρμα Εισαγωγής'!$B$2,C5867)),MAX($B$1:B5866)+1,0)</f>
        <v>0</v>
      </c>
      <c r="D5867" s="33">
        <f>IF(ISNUMBER(SEARCH('Φόρμα Εισαγωγής'!$C$2,E5867)),MAX($D$1:D5866)+1,0)</f>
        <v>0</v>
      </c>
      <c r="H5867" s="6">
        <f t="shared" si="284"/>
        <v>0</v>
      </c>
      <c r="I5867" s="6">
        <f t="shared" si="285"/>
        <v>0</v>
      </c>
      <c r="J5867" s="6">
        <f t="shared" si="286"/>
        <v>0</v>
      </c>
      <c r="L5867" s="4" t="str">
        <f>IFERROR(VLOOKUP(ROWS($L$2:L5867),$B$2:$C$1996,2,0),"")</f>
        <v/>
      </c>
      <c r="N5867" s="2" t="str">
        <f>IFERROR(VLOOKUP(ROWS($N$2:N5867),$D$2:$E$1996,2,0),"")</f>
        <v/>
      </c>
    </row>
    <row r="5868" spans="2:14">
      <c r="B5868" s="32">
        <f>IF(ISNUMBER(SEARCH('Φόρμα Εισαγωγής'!$B$2,C5868)),MAX($B$1:B5867)+1,0)</f>
        <v>0</v>
      </c>
      <c r="D5868" s="33">
        <f>IF(ISNUMBER(SEARCH('Φόρμα Εισαγωγής'!$C$2,E5868)),MAX($D$1:D5867)+1,0)</f>
        <v>0</v>
      </c>
      <c r="H5868" s="6">
        <f t="shared" si="284"/>
        <v>0</v>
      </c>
      <c r="I5868" s="6">
        <f t="shared" si="285"/>
        <v>0</v>
      </c>
      <c r="J5868" s="6">
        <f t="shared" si="286"/>
        <v>0</v>
      </c>
      <c r="L5868" s="4" t="str">
        <f>IFERROR(VLOOKUP(ROWS($L$2:L5868),$B$2:$C$1996,2,0),"")</f>
        <v/>
      </c>
      <c r="N5868" s="2" t="str">
        <f>IFERROR(VLOOKUP(ROWS($N$2:N5868),$D$2:$E$1996,2,0),"")</f>
        <v/>
      </c>
    </row>
    <row r="5869" spans="2:14">
      <c r="B5869" s="32">
        <f>IF(ISNUMBER(SEARCH('Φόρμα Εισαγωγής'!$B$2,C5869)),MAX($B$1:B5868)+1,0)</f>
        <v>0</v>
      </c>
      <c r="D5869" s="33">
        <f>IF(ISNUMBER(SEARCH('Φόρμα Εισαγωγής'!$C$2,E5869)),MAX($D$1:D5868)+1,0)</f>
        <v>0</v>
      </c>
      <c r="H5869" s="6">
        <f t="shared" si="284"/>
        <v>0</v>
      </c>
      <c r="I5869" s="6">
        <f t="shared" si="285"/>
        <v>0</v>
      </c>
      <c r="J5869" s="6">
        <f t="shared" si="286"/>
        <v>0</v>
      </c>
      <c r="L5869" s="4" t="str">
        <f>IFERROR(VLOOKUP(ROWS($L$2:L5869),$B$2:$C$1996,2,0),"")</f>
        <v/>
      </c>
      <c r="N5869" s="2" t="str">
        <f>IFERROR(VLOOKUP(ROWS($N$2:N5869),$D$2:$E$1996,2,0),"")</f>
        <v/>
      </c>
    </row>
    <row r="5870" spans="2:14">
      <c r="B5870" s="32">
        <f>IF(ISNUMBER(SEARCH('Φόρμα Εισαγωγής'!$B$2,C5870)),MAX($B$1:B5869)+1,0)</f>
        <v>0</v>
      </c>
      <c r="D5870" s="33">
        <f>IF(ISNUMBER(SEARCH('Φόρμα Εισαγωγής'!$C$2,E5870)),MAX($D$1:D5869)+1,0)</f>
        <v>0</v>
      </c>
      <c r="H5870" s="6">
        <f t="shared" si="284"/>
        <v>0</v>
      </c>
      <c r="I5870" s="6">
        <f t="shared" si="285"/>
        <v>0</v>
      </c>
      <c r="J5870" s="6">
        <f t="shared" si="286"/>
        <v>0</v>
      </c>
      <c r="L5870" s="4" t="str">
        <f>IFERROR(VLOOKUP(ROWS($L$2:L5870),$B$2:$C$1996,2,0),"")</f>
        <v/>
      </c>
      <c r="N5870" s="2" t="str">
        <f>IFERROR(VLOOKUP(ROWS($N$2:N5870),$D$2:$E$1996,2,0),"")</f>
        <v/>
      </c>
    </row>
    <row r="5871" spans="2:14">
      <c r="B5871" s="32">
        <f>IF(ISNUMBER(SEARCH('Φόρμα Εισαγωγής'!$B$2,C5871)),MAX($B$1:B5870)+1,0)</f>
        <v>0</v>
      </c>
      <c r="D5871" s="33">
        <f>IF(ISNUMBER(SEARCH('Φόρμα Εισαγωγής'!$C$2,E5871)),MAX($D$1:D5870)+1,0)</f>
        <v>0</v>
      </c>
      <c r="H5871" s="6">
        <f t="shared" si="284"/>
        <v>0</v>
      </c>
      <c r="I5871" s="6">
        <f t="shared" si="285"/>
        <v>0</v>
      </c>
      <c r="J5871" s="6">
        <f t="shared" si="286"/>
        <v>0</v>
      </c>
      <c r="L5871" s="4" t="str">
        <f>IFERROR(VLOOKUP(ROWS($L$2:L5871),$B$2:$C$1996,2,0),"")</f>
        <v/>
      </c>
      <c r="N5871" s="2" t="str">
        <f>IFERROR(VLOOKUP(ROWS($N$2:N5871),$D$2:$E$1996,2,0),"")</f>
        <v/>
      </c>
    </row>
    <row r="5872" spans="2:14">
      <c r="B5872" s="32">
        <f>IF(ISNUMBER(SEARCH('Φόρμα Εισαγωγής'!$B$2,C5872)),MAX($B$1:B5871)+1,0)</f>
        <v>0</v>
      </c>
      <c r="D5872" s="33">
        <f>IF(ISNUMBER(SEARCH('Φόρμα Εισαγωγής'!$C$2,E5872)),MAX($D$1:D5871)+1,0)</f>
        <v>0</v>
      </c>
      <c r="H5872" s="6">
        <f t="shared" si="284"/>
        <v>0</v>
      </c>
      <c r="I5872" s="6">
        <f t="shared" si="285"/>
        <v>0</v>
      </c>
      <c r="J5872" s="6">
        <f t="shared" si="286"/>
        <v>0</v>
      </c>
      <c r="L5872" s="4" t="str">
        <f>IFERROR(VLOOKUP(ROWS($L$2:L5872),$B$2:$C$1996,2,0),"")</f>
        <v/>
      </c>
      <c r="N5872" s="2" t="str">
        <f>IFERROR(VLOOKUP(ROWS($N$2:N5872),$D$2:$E$1996,2,0),"")</f>
        <v/>
      </c>
    </row>
    <row r="5873" spans="2:14">
      <c r="B5873" s="32">
        <f>IF(ISNUMBER(SEARCH('Φόρμα Εισαγωγής'!$B$2,C5873)),MAX($B$1:B5872)+1,0)</f>
        <v>0</v>
      </c>
      <c r="D5873" s="33">
        <f>IF(ISNUMBER(SEARCH('Φόρμα Εισαγωγής'!$C$2,E5873)),MAX($D$1:D5872)+1,0)</f>
        <v>0</v>
      </c>
      <c r="H5873" s="6">
        <f t="shared" si="284"/>
        <v>0</v>
      </c>
      <c r="I5873" s="6">
        <f t="shared" si="285"/>
        <v>0</v>
      </c>
      <c r="J5873" s="6">
        <f t="shared" si="286"/>
        <v>0</v>
      </c>
      <c r="L5873" s="4" t="str">
        <f>IFERROR(VLOOKUP(ROWS($L$2:L5873),$B$2:$C$1996,2,0),"")</f>
        <v/>
      </c>
      <c r="N5873" s="2" t="str">
        <f>IFERROR(VLOOKUP(ROWS($N$2:N5873),$D$2:$E$1996,2,0),"")</f>
        <v/>
      </c>
    </row>
    <row r="5874" spans="2:14">
      <c r="B5874" s="32">
        <f>IF(ISNUMBER(SEARCH('Φόρμα Εισαγωγής'!$B$2,C5874)),MAX($B$1:B5873)+1,0)</f>
        <v>0</v>
      </c>
      <c r="D5874" s="33">
        <f>IF(ISNUMBER(SEARCH('Φόρμα Εισαγωγής'!$C$2,E5874)),MAX($D$1:D5873)+1,0)</f>
        <v>0</v>
      </c>
      <c r="H5874" s="6">
        <f t="shared" si="284"/>
        <v>0</v>
      </c>
      <c r="I5874" s="6">
        <f t="shared" si="285"/>
        <v>0</v>
      </c>
      <c r="J5874" s="6">
        <f t="shared" si="286"/>
        <v>0</v>
      </c>
      <c r="L5874" s="4" t="str">
        <f>IFERROR(VLOOKUP(ROWS($L$2:L5874),$B$2:$C$1996,2,0),"")</f>
        <v/>
      </c>
      <c r="N5874" s="2" t="str">
        <f>IFERROR(VLOOKUP(ROWS($N$2:N5874),$D$2:$E$1996,2,0),"")</f>
        <v/>
      </c>
    </row>
    <row r="5875" spans="2:14">
      <c r="B5875" s="32">
        <f>IF(ISNUMBER(SEARCH('Φόρμα Εισαγωγής'!$B$2,C5875)),MAX($B$1:B5874)+1,0)</f>
        <v>0</v>
      </c>
      <c r="D5875" s="33">
        <f>IF(ISNUMBER(SEARCH('Φόρμα Εισαγωγής'!$C$2,E5875)),MAX($D$1:D5874)+1,0)</f>
        <v>0</v>
      </c>
      <c r="H5875" s="6">
        <f t="shared" si="284"/>
        <v>0</v>
      </c>
      <c r="I5875" s="6">
        <f t="shared" si="285"/>
        <v>0</v>
      </c>
      <c r="J5875" s="6">
        <f t="shared" si="286"/>
        <v>0</v>
      </c>
      <c r="L5875" s="4" t="str">
        <f>IFERROR(VLOOKUP(ROWS($L$2:L5875),$B$2:$C$1996,2,0),"")</f>
        <v/>
      </c>
      <c r="N5875" s="2" t="str">
        <f>IFERROR(VLOOKUP(ROWS($N$2:N5875),$D$2:$E$1996,2,0),"")</f>
        <v/>
      </c>
    </row>
    <row r="5876" spans="2:14">
      <c r="B5876" s="32">
        <f>IF(ISNUMBER(SEARCH('Φόρμα Εισαγωγής'!$B$2,C5876)),MAX($B$1:B5875)+1,0)</f>
        <v>0</v>
      </c>
      <c r="D5876" s="33">
        <f>IF(ISNUMBER(SEARCH('Φόρμα Εισαγωγής'!$C$2,E5876)),MAX($D$1:D5875)+1,0)</f>
        <v>0</v>
      </c>
      <c r="H5876" s="6">
        <f t="shared" si="284"/>
        <v>0</v>
      </c>
      <c r="I5876" s="6">
        <f t="shared" si="285"/>
        <v>0</v>
      </c>
      <c r="J5876" s="6">
        <f t="shared" si="286"/>
        <v>0</v>
      </c>
      <c r="L5876" s="4" t="str">
        <f>IFERROR(VLOOKUP(ROWS($L$2:L5876),$B$2:$C$1996,2,0),"")</f>
        <v/>
      </c>
      <c r="N5876" s="2" t="str">
        <f>IFERROR(VLOOKUP(ROWS($N$2:N5876),$D$2:$E$1996,2,0),"")</f>
        <v/>
      </c>
    </row>
    <row r="5877" spans="2:14">
      <c r="B5877" s="32">
        <f>IF(ISNUMBER(SEARCH('Φόρμα Εισαγωγής'!$B$2,C5877)),MAX($B$1:B5876)+1,0)</f>
        <v>0</v>
      </c>
      <c r="D5877" s="33">
        <f>IF(ISNUMBER(SEARCH('Φόρμα Εισαγωγής'!$C$2,E5877)),MAX($D$1:D5876)+1,0)</f>
        <v>0</v>
      </c>
      <c r="H5877" s="6">
        <f t="shared" si="284"/>
        <v>0</v>
      </c>
      <c r="I5877" s="6">
        <f t="shared" si="285"/>
        <v>0</v>
      </c>
      <c r="J5877" s="6">
        <f t="shared" si="286"/>
        <v>0</v>
      </c>
      <c r="L5877" s="4" t="str">
        <f>IFERROR(VLOOKUP(ROWS($L$2:L5877),$B$2:$C$1996,2,0),"")</f>
        <v/>
      </c>
      <c r="N5877" s="2" t="str">
        <f>IFERROR(VLOOKUP(ROWS($N$2:N5877),$D$2:$E$1996,2,0),"")</f>
        <v/>
      </c>
    </row>
    <row r="5878" spans="2:14">
      <c r="B5878" s="32">
        <f>IF(ISNUMBER(SEARCH('Φόρμα Εισαγωγής'!$B$2,C5878)),MAX($B$1:B5877)+1,0)</f>
        <v>0</v>
      </c>
      <c r="D5878" s="33">
        <f>IF(ISNUMBER(SEARCH('Φόρμα Εισαγωγής'!$C$2,E5878)),MAX($D$1:D5877)+1,0)</f>
        <v>0</v>
      </c>
      <c r="H5878" s="6">
        <f t="shared" si="284"/>
        <v>0</v>
      </c>
      <c r="I5878" s="6">
        <f t="shared" si="285"/>
        <v>0</v>
      </c>
      <c r="J5878" s="6">
        <f t="shared" si="286"/>
        <v>0</v>
      </c>
      <c r="L5878" s="4" t="str">
        <f>IFERROR(VLOOKUP(ROWS($L$2:L5878),$B$2:$C$1996,2,0),"")</f>
        <v/>
      </c>
      <c r="N5878" s="2" t="str">
        <f>IFERROR(VLOOKUP(ROWS($N$2:N5878),$D$2:$E$1996,2,0),"")</f>
        <v/>
      </c>
    </row>
    <row r="5879" spans="2:14">
      <c r="B5879" s="32">
        <f>IF(ISNUMBER(SEARCH('Φόρμα Εισαγωγής'!$B$2,C5879)),MAX($B$1:B5878)+1,0)</f>
        <v>0</v>
      </c>
      <c r="D5879" s="33">
        <f>IF(ISNUMBER(SEARCH('Φόρμα Εισαγωγής'!$C$2,E5879)),MAX($D$1:D5878)+1,0)</f>
        <v>0</v>
      </c>
      <c r="H5879" s="6">
        <f t="shared" si="284"/>
        <v>0</v>
      </c>
      <c r="I5879" s="6">
        <f t="shared" si="285"/>
        <v>0</v>
      </c>
      <c r="J5879" s="6">
        <f t="shared" si="286"/>
        <v>0</v>
      </c>
      <c r="L5879" s="4" t="str">
        <f>IFERROR(VLOOKUP(ROWS($L$2:L5879),$B$2:$C$1996,2,0),"")</f>
        <v/>
      </c>
      <c r="N5879" s="2" t="str">
        <f>IFERROR(VLOOKUP(ROWS($N$2:N5879),$D$2:$E$1996,2,0),"")</f>
        <v/>
      </c>
    </row>
    <row r="5880" spans="2:14">
      <c r="B5880" s="32">
        <f>IF(ISNUMBER(SEARCH('Φόρμα Εισαγωγής'!$B$2,C5880)),MAX($B$1:B5879)+1,0)</f>
        <v>0</v>
      </c>
      <c r="D5880" s="33">
        <f>IF(ISNUMBER(SEARCH('Φόρμα Εισαγωγής'!$C$2,E5880)),MAX($D$1:D5879)+1,0)</f>
        <v>0</v>
      </c>
      <c r="H5880" s="6">
        <f t="shared" si="284"/>
        <v>0</v>
      </c>
      <c r="I5880" s="6">
        <f t="shared" si="285"/>
        <v>0</v>
      </c>
      <c r="J5880" s="6">
        <f t="shared" si="286"/>
        <v>0</v>
      </c>
      <c r="L5880" s="4" t="str">
        <f>IFERROR(VLOOKUP(ROWS($L$2:L5880),$B$2:$C$1996,2,0),"")</f>
        <v/>
      </c>
      <c r="N5880" s="2" t="str">
        <f>IFERROR(VLOOKUP(ROWS($N$2:N5880),$D$2:$E$1996,2,0),"")</f>
        <v/>
      </c>
    </row>
    <row r="5881" spans="2:14">
      <c r="B5881" s="32">
        <f>IF(ISNUMBER(SEARCH('Φόρμα Εισαγωγής'!$B$2,C5881)),MAX($B$1:B5880)+1,0)</f>
        <v>0</v>
      </c>
      <c r="D5881" s="33">
        <f>IF(ISNUMBER(SEARCH('Φόρμα Εισαγωγής'!$C$2,E5881)),MAX($D$1:D5880)+1,0)</f>
        <v>0</v>
      </c>
      <c r="H5881" s="6">
        <f t="shared" si="284"/>
        <v>0</v>
      </c>
      <c r="I5881" s="6">
        <f t="shared" si="285"/>
        <v>0</v>
      </c>
      <c r="J5881" s="6">
        <f t="shared" si="286"/>
        <v>0</v>
      </c>
      <c r="L5881" s="4" t="str">
        <f>IFERROR(VLOOKUP(ROWS($L$2:L5881),$B$2:$C$1996,2,0),"")</f>
        <v/>
      </c>
      <c r="N5881" s="2" t="str">
        <f>IFERROR(VLOOKUP(ROWS($N$2:N5881),$D$2:$E$1996,2,0),"")</f>
        <v/>
      </c>
    </row>
    <row r="5882" spans="2:14">
      <c r="B5882" s="32">
        <f>IF(ISNUMBER(SEARCH('Φόρμα Εισαγωγής'!$B$2,C5882)),MAX($B$1:B5881)+1,0)</f>
        <v>0</v>
      </c>
      <c r="D5882" s="33">
        <f>IF(ISNUMBER(SEARCH('Φόρμα Εισαγωγής'!$C$2,E5882)),MAX($D$1:D5881)+1,0)</f>
        <v>0</v>
      </c>
      <c r="H5882" s="6">
        <f t="shared" si="284"/>
        <v>0</v>
      </c>
      <c r="I5882" s="6">
        <f t="shared" si="285"/>
        <v>0</v>
      </c>
      <c r="J5882" s="6">
        <f t="shared" si="286"/>
        <v>0</v>
      </c>
      <c r="L5882" s="4" t="str">
        <f>IFERROR(VLOOKUP(ROWS($L$2:L5882),$B$2:$C$1996,2,0),"")</f>
        <v/>
      </c>
      <c r="N5882" s="2" t="str">
        <f>IFERROR(VLOOKUP(ROWS($N$2:N5882),$D$2:$E$1996,2,0),"")</f>
        <v/>
      </c>
    </row>
    <row r="5883" spans="2:14">
      <c r="B5883" s="32">
        <f>IF(ISNUMBER(SEARCH('Φόρμα Εισαγωγής'!$B$2,C5883)),MAX($B$1:B5882)+1,0)</f>
        <v>0</v>
      </c>
      <c r="D5883" s="33">
        <f>IF(ISNUMBER(SEARCH('Φόρμα Εισαγωγής'!$C$2,E5883)),MAX($D$1:D5882)+1,0)</f>
        <v>0</v>
      </c>
      <c r="H5883" s="6">
        <f t="shared" si="284"/>
        <v>0</v>
      </c>
      <c r="I5883" s="6">
        <f t="shared" si="285"/>
        <v>0</v>
      </c>
      <c r="J5883" s="6">
        <f t="shared" si="286"/>
        <v>0</v>
      </c>
      <c r="L5883" s="4" t="str">
        <f>IFERROR(VLOOKUP(ROWS($L$2:L5883),$B$2:$C$1996,2,0),"")</f>
        <v/>
      </c>
      <c r="N5883" s="2" t="str">
        <f>IFERROR(VLOOKUP(ROWS($N$2:N5883),$D$2:$E$1996,2,0),"")</f>
        <v/>
      </c>
    </row>
    <row r="5884" spans="2:14">
      <c r="B5884" s="32">
        <f>IF(ISNUMBER(SEARCH('Φόρμα Εισαγωγής'!$B$2,C5884)),MAX($B$1:B5883)+1,0)</f>
        <v>0</v>
      </c>
      <c r="D5884" s="33">
        <f>IF(ISNUMBER(SEARCH('Φόρμα Εισαγωγής'!$C$2,E5884)),MAX($D$1:D5883)+1,0)</f>
        <v>0</v>
      </c>
      <c r="H5884" s="6">
        <f t="shared" si="284"/>
        <v>0</v>
      </c>
      <c r="I5884" s="6">
        <f t="shared" si="285"/>
        <v>0</v>
      </c>
      <c r="J5884" s="6">
        <f t="shared" si="286"/>
        <v>0</v>
      </c>
      <c r="L5884" s="4" t="str">
        <f>IFERROR(VLOOKUP(ROWS($L$2:L5884),$B$2:$C$1996,2,0),"")</f>
        <v/>
      </c>
      <c r="N5884" s="2" t="str">
        <f>IFERROR(VLOOKUP(ROWS($N$2:N5884),$D$2:$E$1996,2,0),"")</f>
        <v/>
      </c>
    </row>
    <row r="5885" spans="2:14">
      <c r="B5885" s="32">
        <f>IF(ISNUMBER(SEARCH('Φόρμα Εισαγωγής'!$B$2,C5885)),MAX($B$1:B5884)+1,0)</f>
        <v>0</v>
      </c>
      <c r="D5885" s="33">
        <f>IF(ISNUMBER(SEARCH('Φόρμα Εισαγωγής'!$C$2,E5885)),MAX($D$1:D5884)+1,0)</f>
        <v>0</v>
      </c>
      <c r="H5885" s="6">
        <f t="shared" si="284"/>
        <v>0</v>
      </c>
      <c r="I5885" s="6">
        <f t="shared" si="285"/>
        <v>0</v>
      </c>
      <c r="J5885" s="6">
        <f t="shared" si="286"/>
        <v>0</v>
      </c>
      <c r="L5885" s="4" t="str">
        <f>IFERROR(VLOOKUP(ROWS($L$2:L5885),$B$2:$C$1996,2,0),"")</f>
        <v/>
      </c>
      <c r="N5885" s="2" t="str">
        <f>IFERROR(VLOOKUP(ROWS($N$2:N5885),$D$2:$E$1996,2,0),"")</f>
        <v/>
      </c>
    </row>
    <row r="5886" spans="2:14">
      <c r="B5886" s="32">
        <f>IF(ISNUMBER(SEARCH('Φόρμα Εισαγωγής'!$B$2,C5886)),MAX($B$1:B5885)+1,0)</f>
        <v>0</v>
      </c>
      <c r="D5886" s="33">
        <f>IF(ISNUMBER(SEARCH('Φόρμα Εισαγωγής'!$C$2,E5886)),MAX($D$1:D5885)+1,0)</f>
        <v>0</v>
      </c>
      <c r="H5886" s="6">
        <f t="shared" si="284"/>
        <v>0</v>
      </c>
      <c r="I5886" s="6">
        <f t="shared" si="285"/>
        <v>0</v>
      </c>
      <c r="J5886" s="6">
        <f t="shared" si="286"/>
        <v>0</v>
      </c>
      <c r="L5886" s="4" t="str">
        <f>IFERROR(VLOOKUP(ROWS($L$2:L5886),$B$2:$C$1996,2,0),"")</f>
        <v/>
      </c>
      <c r="N5886" s="2" t="str">
        <f>IFERROR(VLOOKUP(ROWS($N$2:N5886),$D$2:$E$1996,2,0),"")</f>
        <v/>
      </c>
    </row>
    <row r="5887" spans="2:14">
      <c r="B5887" s="32">
        <f>IF(ISNUMBER(SEARCH('Φόρμα Εισαγωγής'!$B$2,C5887)),MAX($B$1:B5886)+1,0)</f>
        <v>0</v>
      </c>
      <c r="D5887" s="33">
        <f>IF(ISNUMBER(SEARCH('Φόρμα Εισαγωγής'!$C$2,E5887)),MAX($D$1:D5886)+1,0)</f>
        <v>0</v>
      </c>
      <c r="H5887" s="6">
        <f t="shared" si="284"/>
        <v>0</v>
      </c>
      <c r="I5887" s="6">
        <f t="shared" si="285"/>
        <v>0</v>
      </c>
      <c r="J5887" s="6">
        <f t="shared" si="286"/>
        <v>0</v>
      </c>
      <c r="L5887" s="4" t="str">
        <f>IFERROR(VLOOKUP(ROWS($L$2:L5887),$B$2:$C$1996,2,0),"")</f>
        <v/>
      </c>
      <c r="N5887" s="2" t="str">
        <f>IFERROR(VLOOKUP(ROWS($N$2:N5887),$D$2:$E$1996,2,0),"")</f>
        <v/>
      </c>
    </row>
    <row r="5888" spans="2:14">
      <c r="B5888" s="32">
        <f>IF(ISNUMBER(SEARCH('Φόρμα Εισαγωγής'!$B$2,C5888)),MAX($B$1:B5887)+1,0)</f>
        <v>0</v>
      </c>
      <c r="D5888" s="33">
        <f>IF(ISNUMBER(SEARCH('Φόρμα Εισαγωγής'!$C$2,E5888)),MAX($D$1:D5887)+1,0)</f>
        <v>0</v>
      </c>
      <c r="H5888" s="6">
        <f t="shared" ref="H5888:H5951" si="287">G5888+(G5888*0.24)</f>
        <v>0</v>
      </c>
      <c r="I5888" s="6">
        <f t="shared" ref="I5888:I5951" si="288">F5888*A5888</f>
        <v>0</v>
      </c>
      <c r="J5888" s="6">
        <f t="shared" ref="J5888:J5951" si="289">H5888*A5888</f>
        <v>0</v>
      </c>
      <c r="L5888" s="4" t="str">
        <f>IFERROR(VLOOKUP(ROWS($L$2:L5888),$B$2:$C$1996,2,0),"")</f>
        <v/>
      </c>
      <c r="N5888" s="2" t="str">
        <f>IFERROR(VLOOKUP(ROWS($N$2:N5888),$D$2:$E$1996,2,0),"")</f>
        <v/>
      </c>
    </row>
    <row r="5889" spans="2:14">
      <c r="B5889" s="32">
        <f>IF(ISNUMBER(SEARCH('Φόρμα Εισαγωγής'!$B$2,C5889)),MAX($B$1:B5888)+1,0)</f>
        <v>0</v>
      </c>
      <c r="D5889" s="33">
        <f>IF(ISNUMBER(SEARCH('Φόρμα Εισαγωγής'!$C$2,E5889)),MAX($D$1:D5888)+1,0)</f>
        <v>0</v>
      </c>
      <c r="H5889" s="6">
        <f t="shared" si="287"/>
        <v>0</v>
      </c>
      <c r="I5889" s="6">
        <f t="shared" si="288"/>
        <v>0</v>
      </c>
      <c r="J5889" s="6">
        <f t="shared" si="289"/>
        <v>0</v>
      </c>
      <c r="L5889" s="4" t="str">
        <f>IFERROR(VLOOKUP(ROWS($L$2:L5889),$B$2:$C$1996,2,0),"")</f>
        <v/>
      </c>
      <c r="N5889" s="2" t="str">
        <f>IFERROR(VLOOKUP(ROWS($N$2:N5889),$D$2:$E$1996,2,0),"")</f>
        <v/>
      </c>
    </row>
    <row r="5890" spans="2:14">
      <c r="B5890" s="32">
        <f>IF(ISNUMBER(SEARCH('Φόρμα Εισαγωγής'!$B$2,C5890)),MAX($B$1:B5889)+1,0)</f>
        <v>0</v>
      </c>
      <c r="D5890" s="33">
        <f>IF(ISNUMBER(SEARCH('Φόρμα Εισαγωγής'!$C$2,E5890)),MAX($D$1:D5889)+1,0)</f>
        <v>0</v>
      </c>
      <c r="H5890" s="6">
        <f t="shared" si="287"/>
        <v>0</v>
      </c>
      <c r="I5890" s="6">
        <f t="shared" si="288"/>
        <v>0</v>
      </c>
      <c r="J5890" s="6">
        <f t="shared" si="289"/>
        <v>0</v>
      </c>
      <c r="L5890" s="4" t="str">
        <f>IFERROR(VLOOKUP(ROWS($L$2:L5890),$B$2:$C$1996,2,0),"")</f>
        <v/>
      </c>
      <c r="N5890" s="2" t="str">
        <f>IFERROR(VLOOKUP(ROWS($N$2:N5890),$D$2:$E$1996,2,0),"")</f>
        <v/>
      </c>
    </row>
    <row r="5891" spans="2:14">
      <c r="B5891" s="32">
        <f>IF(ISNUMBER(SEARCH('Φόρμα Εισαγωγής'!$B$2,C5891)),MAX($B$1:B5890)+1,0)</f>
        <v>0</v>
      </c>
      <c r="D5891" s="33">
        <f>IF(ISNUMBER(SEARCH('Φόρμα Εισαγωγής'!$C$2,E5891)),MAX($D$1:D5890)+1,0)</f>
        <v>0</v>
      </c>
      <c r="H5891" s="6">
        <f t="shared" si="287"/>
        <v>0</v>
      </c>
      <c r="I5891" s="6">
        <f t="shared" si="288"/>
        <v>0</v>
      </c>
      <c r="J5891" s="6">
        <f t="shared" si="289"/>
        <v>0</v>
      </c>
      <c r="L5891" s="4" t="str">
        <f>IFERROR(VLOOKUP(ROWS($L$2:L5891),$B$2:$C$1996,2,0),"")</f>
        <v/>
      </c>
      <c r="N5891" s="2" t="str">
        <f>IFERROR(VLOOKUP(ROWS($N$2:N5891),$D$2:$E$1996,2,0),"")</f>
        <v/>
      </c>
    </row>
    <row r="5892" spans="2:14">
      <c r="B5892" s="32">
        <f>IF(ISNUMBER(SEARCH('Φόρμα Εισαγωγής'!$B$2,C5892)),MAX($B$1:B5891)+1,0)</f>
        <v>0</v>
      </c>
      <c r="D5892" s="33">
        <f>IF(ISNUMBER(SEARCH('Φόρμα Εισαγωγής'!$C$2,E5892)),MAX($D$1:D5891)+1,0)</f>
        <v>0</v>
      </c>
      <c r="H5892" s="6">
        <f t="shared" si="287"/>
        <v>0</v>
      </c>
      <c r="I5892" s="6">
        <f t="shared" si="288"/>
        <v>0</v>
      </c>
      <c r="J5892" s="6">
        <f t="shared" si="289"/>
        <v>0</v>
      </c>
      <c r="L5892" s="4" t="str">
        <f>IFERROR(VLOOKUP(ROWS($L$2:L5892),$B$2:$C$1996,2,0),"")</f>
        <v/>
      </c>
      <c r="N5892" s="2" t="str">
        <f>IFERROR(VLOOKUP(ROWS($N$2:N5892),$D$2:$E$1996,2,0),"")</f>
        <v/>
      </c>
    </row>
    <row r="5893" spans="2:14">
      <c r="B5893" s="32">
        <f>IF(ISNUMBER(SEARCH('Φόρμα Εισαγωγής'!$B$2,C5893)),MAX($B$1:B5892)+1,0)</f>
        <v>0</v>
      </c>
      <c r="D5893" s="33">
        <f>IF(ISNUMBER(SEARCH('Φόρμα Εισαγωγής'!$C$2,E5893)),MAX($D$1:D5892)+1,0)</f>
        <v>0</v>
      </c>
      <c r="H5893" s="6">
        <f t="shared" si="287"/>
        <v>0</v>
      </c>
      <c r="I5893" s="6">
        <f t="shared" si="288"/>
        <v>0</v>
      </c>
      <c r="J5893" s="6">
        <f t="shared" si="289"/>
        <v>0</v>
      </c>
      <c r="L5893" s="4" t="str">
        <f>IFERROR(VLOOKUP(ROWS($L$2:L5893),$B$2:$C$1996,2,0),"")</f>
        <v/>
      </c>
      <c r="N5893" s="2" t="str">
        <f>IFERROR(VLOOKUP(ROWS($N$2:N5893),$D$2:$E$1996,2,0),"")</f>
        <v/>
      </c>
    </row>
    <row r="5894" spans="2:14">
      <c r="B5894" s="32">
        <f>IF(ISNUMBER(SEARCH('Φόρμα Εισαγωγής'!$B$2,C5894)),MAX($B$1:B5893)+1,0)</f>
        <v>0</v>
      </c>
      <c r="D5894" s="33">
        <f>IF(ISNUMBER(SEARCH('Φόρμα Εισαγωγής'!$C$2,E5894)),MAX($D$1:D5893)+1,0)</f>
        <v>0</v>
      </c>
      <c r="H5894" s="6">
        <f t="shared" si="287"/>
        <v>0</v>
      </c>
      <c r="I5894" s="6">
        <f t="shared" si="288"/>
        <v>0</v>
      </c>
      <c r="J5894" s="6">
        <f t="shared" si="289"/>
        <v>0</v>
      </c>
      <c r="L5894" s="4" t="str">
        <f>IFERROR(VLOOKUP(ROWS($L$2:L5894),$B$2:$C$1996,2,0),"")</f>
        <v/>
      </c>
      <c r="N5894" s="2" t="str">
        <f>IFERROR(VLOOKUP(ROWS($N$2:N5894),$D$2:$E$1996,2,0),"")</f>
        <v/>
      </c>
    </row>
    <row r="5895" spans="2:14">
      <c r="B5895" s="32">
        <f>IF(ISNUMBER(SEARCH('Φόρμα Εισαγωγής'!$B$2,C5895)),MAX($B$1:B5894)+1,0)</f>
        <v>0</v>
      </c>
      <c r="D5895" s="33">
        <f>IF(ISNUMBER(SEARCH('Φόρμα Εισαγωγής'!$C$2,E5895)),MAX($D$1:D5894)+1,0)</f>
        <v>0</v>
      </c>
      <c r="H5895" s="6">
        <f t="shared" si="287"/>
        <v>0</v>
      </c>
      <c r="I5895" s="6">
        <f t="shared" si="288"/>
        <v>0</v>
      </c>
      <c r="J5895" s="6">
        <f t="shared" si="289"/>
        <v>0</v>
      </c>
      <c r="L5895" s="4" t="str">
        <f>IFERROR(VLOOKUP(ROWS($L$2:L5895),$B$2:$C$1996,2,0),"")</f>
        <v/>
      </c>
      <c r="N5895" s="2" t="str">
        <f>IFERROR(VLOOKUP(ROWS($N$2:N5895),$D$2:$E$1996,2,0),"")</f>
        <v/>
      </c>
    </row>
    <row r="5896" spans="2:14">
      <c r="B5896" s="32">
        <f>IF(ISNUMBER(SEARCH('Φόρμα Εισαγωγής'!$B$2,C5896)),MAX($B$1:B5895)+1,0)</f>
        <v>0</v>
      </c>
      <c r="D5896" s="33">
        <f>IF(ISNUMBER(SEARCH('Φόρμα Εισαγωγής'!$C$2,E5896)),MAX($D$1:D5895)+1,0)</f>
        <v>0</v>
      </c>
      <c r="H5896" s="6">
        <f t="shared" si="287"/>
        <v>0</v>
      </c>
      <c r="I5896" s="6">
        <f t="shared" si="288"/>
        <v>0</v>
      </c>
      <c r="J5896" s="6">
        <f t="shared" si="289"/>
        <v>0</v>
      </c>
      <c r="L5896" s="4" t="str">
        <f>IFERROR(VLOOKUP(ROWS($L$2:L5896),$B$2:$C$1996,2,0),"")</f>
        <v/>
      </c>
      <c r="N5896" s="2" t="str">
        <f>IFERROR(VLOOKUP(ROWS($N$2:N5896),$D$2:$E$1996,2,0),"")</f>
        <v/>
      </c>
    </row>
    <row r="5897" spans="2:14">
      <c r="B5897" s="32">
        <f>IF(ISNUMBER(SEARCH('Φόρμα Εισαγωγής'!$B$2,C5897)),MAX($B$1:B5896)+1,0)</f>
        <v>0</v>
      </c>
      <c r="D5897" s="33">
        <f>IF(ISNUMBER(SEARCH('Φόρμα Εισαγωγής'!$C$2,E5897)),MAX($D$1:D5896)+1,0)</f>
        <v>0</v>
      </c>
      <c r="H5897" s="6">
        <f t="shared" si="287"/>
        <v>0</v>
      </c>
      <c r="I5897" s="6">
        <f t="shared" si="288"/>
        <v>0</v>
      </c>
      <c r="J5897" s="6">
        <f t="shared" si="289"/>
        <v>0</v>
      </c>
      <c r="L5897" s="4" t="str">
        <f>IFERROR(VLOOKUP(ROWS($L$2:L5897),$B$2:$C$1996,2,0),"")</f>
        <v/>
      </c>
      <c r="N5897" s="2" t="str">
        <f>IFERROR(VLOOKUP(ROWS($N$2:N5897),$D$2:$E$1996,2,0),"")</f>
        <v/>
      </c>
    </row>
    <row r="5898" spans="2:14">
      <c r="B5898" s="32">
        <f>IF(ISNUMBER(SEARCH('Φόρμα Εισαγωγής'!$B$2,C5898)),MAX($B$1:B5897)+1,0)</f>
        <v>0</v>
      </c>
      <c r="D5898" s="33">
        <f>IF(ISNUMBER(SEARCH('Φόρμα Εισαγωγής'!$C$2,E5898)),MAX($D$1:D5897)+1,0)</f>
        <v>0</v>
      </c>
      <c r="H5898" s="6">
        <f t="shared" si="287"/>
        <v>0</v>
      </c>
      <c r="I5898" s="6">
        <f t="shared" si="288"/>
        <v>0</v>
      </c>
      <c r="J5898" s="6">
        <f t="shared" si="289"/>
        <v>0</v>
      </c>
      <c r="L5898" s="4" t="str">
        <f>IFERROR(VLOOKUP(ROWS($L$2:L5898),$B$2:$C$1996,2,0),"")</f>
        <v/>
      </c>
      <c r="N5898" s="2" t="str">
        <f>IFERROR(VLOOKUP(ROWS($N$2:N5898),$D$2:$E$1996,2,0),"")</f>
        <v/>
      </c>
    </row>
    <row r="5899" spans="2:14">
      <c r="B5899" s="32">
        <f>IF(ISNUMBER(SEARCH('Φόρμα Εισαγωγής'!$B$2,C5899)),MAX($B$1:B5898)+1,0)</f>
        <v>0</v>
      </c>
      <c r="D5899" s="33">
        <f>IF(ISNUMBER(SEARCH('Φόρμα Εισαγωγής'!$C$2,E5899)),MAX($D$1:D5898)+1,0)</f>
        <v>0</v>
      </c>
      <c r="H5899" s="6">
        <f t="shared" si="287"/>
        <v>0</v>
      </c>
      <c r="I5899" s="6">
        <f t="shared" si="288"/>
        <v>0</v>
      </c>
      <c r="J5899" s="6">
        <f t="shared" si="289"/>
        <v>0</v>
      </c>
      <c r="L5899" s="4" t="str">
        <f>IFERROR(VLOOKUP(ROWS($L$2:L5899),$B$2:$C$1996,2,0),"")</f>
        <v/>
      </c>
      <c r="N5899" s="2" t="str">
        <f>IFERROR(VLOOKUP(ROWS($N$2:N5899),$D$2:$E$1996,2,0),"")</f>
        <v/>
      </c>
    </row>
    <row r="5900" spans="2:14">
      <c r="B5900" s="32">
        <f>IF(ISNUMBER(SEARCH('Φόρμα Εισαγωγής'!$B$2,C5900)),MAX($B$1:B5899)+1,0)</f>
        <v>0</v>
      </c>
      <c r="D5900" s="33">
        <f>IF(ISNUMBER(SEARCH('Φόρμα Εισαγωγής'!$C$2,E5900)),MAX($D$1:D5899)+1,0)</f>
        <v>0</v>
      </c>
      <c r="H5900" s="6">
        <f t="shared" si="287"/>
        <v>0</v>
      </c>
      <c r="I5900" s="6">
        <f t="shared" si="288"/>
        <v>0</v>
      </c>
      <c r="J5900" s="6">
        <f t="shared" si="289"/>
        <v>0</v>
      </c>
      <c r="L5900" s="4" t="str">
        <f>IFERROR(VLOOKUP(ROWS($L$2:L5900),$B$2:$C$1996,2,0),"")</f>
        <v/>
      </c>
      <c r="N5900" s="2" t="str">
        <f>IFERROR(VLOOKUP(ROWS($N$2:N5900),$D$2:$E$1996,2,0),"")</f>
        <v/>
      </c>
    </row>
    <row r="5901" spans="2:14">
      <c r="B5901" s="32">
        <f>IF(ISNUMBER(SEARCH('Φόρμα Εισαγωγής'!$B$2,C5901)),MAX($B$1:B5900)+1,0)</f>
        <v>0</v>
      </c>
      <c r="D5901" s="33">
        <f>IF(ISNUMBER(SEARCH('Φόρμα Εισαγωγής'!$C$2,E5901)),MAX($D$1:D5900)+1,0)</f>
        <v>0</v>
      </c>
      <c r="H5901" s="6">
        <f t="shared" si="287"/>
        <v>0</v>
      </c>
      <c r="I5901" s="6">
        <f t="shared" si="288"/>
        <v>0</v>
      </c>
      <c r="J5901" s="6">
        <f t="shared" si="289"/>
        <v>0</v>
      </c>
      <c r="L5901" s="4" t="str">
        <f>IFERROR(VLOOKUP(ROWS($L$2:L5901),$B$2:$C$1996,2,0),"")</f>
        <v/>
      </c>
      <c r="N5901" s="2" t="str">
        <f>IFERROR(VLOOKUP(ROWS($N$2:N5901),$D$2:$E$1996,2,0),"")</f>
        <v/>
      </c>
    </row>
    <row r="5902" spans="2:14">
      <c r="B5902" s="32">
        <f>IF(ISNUMBER(SEARCH('Φόρμα Εισαγωγής'!$B$2,C5902)),MAX($B$1:B5901)+1,0)</f>
        <v>0</v>
      </c>
      <c r="D5902" s="33">
        <f>IF(ISNUMBER(SEARCH('Φόρμα Εισαγωγής'!$C$2,E5902)),MAX($D$1:D5901)+1,0)</f>
        <v>0</v>
      </c>
      <c r="H5902" s="6">
        <f t="shared" si="287"/>
        <v>0</v>
      </c>
      <c r="I5902" s="6">
        <f t="shared" si="288"/>
        <v>0</v>
      </c>
      <c r="J5902" s="6">
        <f t="shared" si="289"/>
        <v>0</v>
      </c>
      <c r="L5902" s="4" t="str">
        <f>IFERROR(VLOOKUP(ROWS($L$2:L5902),$B$2:$C$1996,2,0),"")</f>
        <v/>
      </c>
      <c r="N5902" s="2" t="str">
        <f>IFERROR(VLOOKUP(ROWS($N$2:N5902),$D$2:$E$1996,2,0),"")</f>
        <v/>
      </c>
    </row>
    <row r="5903" spans="2:14">
      <c r="B5903" s="32">
        <f>IF(ISNUMBER(SEARCH('Φόρμα Εισαγωγής'!$B$2,C5903)),MAX($B$1:B5902)+1,0)</f>
        <v>0</v>
      </c>
      <c r="D5903" s="33">
        <f>IF(ISNUMBER(SEARCH('Φόρμα Εισαγωγής'!$C$2,E5903)),MAX($D$1:D5902)+1,0)</f>
        <v>0</v>
      </c>
      <c r="H5903" s="6">
        <f t="shared" si="287"/>
        <v>0</v>
      </c>
      <c r="I5903" s="6">
        <f t="shared" si="288"/>
        <v>0</v>
      </c>
      <c r="J5903" s="6">
        <f t="shared" si="289"/>
        <v>0</v>
      </c>
      <c r="L5903" s="4" t="str">
        <f>IFERROR(VLOOKUP(ROWS($L$2:L5903),$B$2:$C$1996,2,0),"")</f>
        <v/>
      </c>
      <c r="N5903" s="2" t="str">
        <f>IFERROR(VLOOKUP(ROWS($N$2:N5903),$D$2:$E$1996,2,0),"")</f>
        <v/>
      </c>
    </row>
    <row r="5904" spans="2:14">
      <c r="B5904" s="32">
        <f>IF(ISNUMBER(SEARCH('Φόρμα Εισαγωγής'!$B$2,C5904)),MAX($B$1:B5903)+1,0)</f>
        <v>0</v>
      </c>
      <c r="D5904" s="33">
        <f>IF(ISNUMBER(SEARCH('Φόρμα Εισαγωγής'!$C$2,E5904)),MAX($D$1:D5903)+1,0)</f>
        <v>0</v>
      </c>
      <c r="H5904" s="6">
        <f t="shared" si="287"/>
        <v>0</v>
      </c>
      <c r="I5904" s="6">
        <f t="shared" si="288"/>
        <v>0</v>
      </c>
      <c r="J5904" s="6">
        <f t="shared" si="289"/>
        <v>0</v>
      </c>
      <c r="L5904" s="4" t="str">
        <f>IFERROR(VLOOKUP(ROWS($L$2:L5904),$B$2:$C$1996,2,0),"")</f>
        <v/>
      </c>
      <c r="N5904" s="2" t="str">
        <f>IFERROR(VLOOKUP(ROWS($N$2:N5904),$D$2:$E$1996,2,0),"")</f>
        <v/>
      </c>
    </row>
    <row r="5905" spans="2:14">
      <c r="B5905" s="32">
        <f>IF(ISNUMBER(SEARCH('Φόρμα Εισαγωγής'!$B$2,C5905)),MAX($B$1:B5904)+1,0)</f>
        <v>0</v>
      </c>
      <c r="D5905" s="33">
        <f>IF(ISNUMBER(SEARCH('Φόρμα Εισαγωγής'!$C$2,E5905)),MAX($D$1:D5904)+1,0)</f>
        <v>0</v>
      </c>
      <c r="H5905" s="6">
        <f t="shared" si="287"/>
        <v>0</v>
      </c>
      <c r="I5905" s="6">
        <f t="shared" si="288"/>
        <v>0</v>
      </c>
      <c r="J5905" s="6">
        <f t="shared" si="289"/>
        <v>0</v>
      </c>
      <c r="L5905" s="4" t="str">
        <f>IFERROR(VLOOKUP(ROWS($L$2:L5905),$B$2:$C$1996,2,0),"")</f>
        <v/>
      </c>
      <c r="N5905" s="2" t="str">
        <f>IFERROR(VLOOKUP(ROWS($N$2:N5905),$D$2:$E$1996,2,0),"")</f>
        <v/>
      </c>
    </row>
    <row r="5906" spans="2:14">
      <c r="B5906" s="32">
        <f>IF(ISNUMBER(SEARCH('Φόρμα Εισαγωγής'!$B$2,C5906)),MAX($B$1:B5905)+1,0)</f>
        <v>0</v>
      </c>
      <c r="D5906" s="33">
        <f>IF(ISNUMBER(SEARCH('Φόρμα Εισαγωγής'!$C$2,E5906)),MAX($D$1:D5905)+1,0)</f>
        <v>0</v>
      </c>
      <c r="H5906" s="6">
        <f t="shared" si="287"/>
        <v>0</v>
      </c>
      <c r="I5906" s="6">
        <f t="shared" si="288"/>
        <v>0</v>
      </c>
      <c r="J5906" s="6">
        <f t="shared" si="289"/>
        <v>0</v>
      </c>
      <c r="L5906" s="4" t="str">
        <f>IFERROR(VLOOKUP(ROWS($L$2:L5906),$B$2:$C$1996,2,0),"")</f>
        <v/>
      </c>
      <c r="N5906" s="2" t="str">
        <f>IFERROR(VLOOKUP(ROWS($N$2:N5906),$D$2:$E$1996,2,0),"")</f>
        <v/>
      </c>
    </row>
    <row r="5907" spans="2:14">
      <c r="B5907" s="32">
        <f>IF(ISNUMBER(SEARCH('Φόρμα Εισαγωγής'!$B$2,C5907)),MAX($B$1:B5906)+1,0)</f>
        <v>0</v>
      </c>
      <c r="D5907" s="33">
        <f>IF(ISNUMBER(SEARCH('Φόρμα Εισαγωγής'!$C$2,E5907)),MAX($D$1:D5906)+1,0)</f>
        <v>0</v>
      </c>
      <c r="H5907" s="6">
        <f t="shared" si="287"/>
        <v>0</v>
      </c>
      <c r="I5907" s="6">
        <f t="shared" si="288"/>
        <v>0</v>
      </c>
      <c r="J5907" s="6">
        <f t="shared" si="289"/>
        <v>0</v>
      </c>
      <c r="L5907" s="4" t="str">
        <f>IFERROR(VLOOKUP(ROWS($L$2:L5907),$B$2:$C$1996,2,0),"")</f>
        <v/>
      </c>
      <c r="N5907" s="2" t="str">
        <f>IFERROR(VLOOKUP(ROWS($N$2:N5907),$D$2:$E$1996,2,0),"")</f>
        <v/>
      </c>
    </row>
    <row r="5908" spans="2:14">
      <c r="B5908" s="32">
        <f>IF(ISNUMBER(SEARCH('Φόρμα Εισαγωγής'!$B$2,C5908)),MAX($B$1:B5907)+1,0)</f>
        <v>0</v>
      </c>
      <c r="D5908" s="33">
        <f>IF(ISNUMBER(SEARCH('Φόρμα Εισαγωγής'!$C$2,E5908)),MAX($D$1:D5907)+1,0)</f>
        <v>0</v>
      </c>
      <c r="H5908" s="6">
        <f t="shared" si="287"/>
        <v>0</v>
      </c>
      <c r="I5908" s="6">
        <f t="shared" si="288"/>
        <v>0</v>
      </c>
      <c r="J5908" s="6">
        <f t="shared" si="289"/>
        <v>0</v>
      </c>
      <c r="L5908" s="4" t="str">
        <f>IFERROR(VLOOKUP(ROWS($L$2:L5908),$B$2:$C$1996,2,0),"")</f>
        <v/>
      </c>
      <c r="N5908" s="2" t="str">
        <f>IFERROR(VLOOKUP(ROWS($N$2:N5908),$D$2:$E$1996,2,0),"")</f>
        <v/>
      </c>
    </row>
    <row r="5909" spans="2:14">
      <c r="B5909" s="32">
        <f>IF(ISNUMBER(SEARCH('Φόρμα Εισαγωγής'!$B$2,C5909)),MAX($B$1:B5908)+1,0)</f>
        <v>0</v>
      </c>
      <c r="D5909" s="33">
        <f>IF(ISNUMBER(SEARCH('Φόρμα Εισαγωγής'!$C$2,E5909)),MAX($D$1:D5908)+1,0)</f>
        <v>0</v>
      </c>
      <c r="H5909" s="6">
        <f t="shared" si="287"/>
        <v>0</v>
      </c>
      <c r="I5909" s="6">
        <f t="shared" si="288"/>
        <v>0</v>
      </c>
      <c r="J5909" s="6">
        <f t="shared" si="289"/>
        <v>0</v>
      </c>
      <c r="L5909" s="4" t="str">
        <f>IFERROR(VLOOKUP(ROWS($L$2:L5909),$B$2:$C$1996,2,0),"")</f>
        <v/>
      </c>
      <c r="N5909" s="2" t="str">
        <f>IFERROR(VLOOKUP(ROWS($N$2:N5909),$D$2:$E$1996,2,0),"")</f>
        <v/>
      </c>
    </row>
    <row r="5910" spans="2:14">
      <c r="B5910" s="32">
        <f>IF(ISNUMBER(SEARCH('Φόρμα Εισαγωγής'!$B$2,C5910)),MAX($B$1:B5909)+1,0)</f>
        <v>0</v>
      </c>
      <c r="D5910" s="33">
        <f>IF(ISNUMBER(SEARCH('Φόρμα Εισαγωγής'!$C$2,E5910)),MAX($D$1:D5909)+1,0)</f>
        <v>0</v>
      </c>
      <c r="H5910" s="6">
        <f t="shared" si="287"/>
        <v>0</v>
      </c>
      <c r="I5910" s="6">
        <f t="shared" si="288"/>
        <v>0</v>
      </c>
      <c r="J5910" s="6">
        <f t="shared" si="289"/>
        <v>0</v>
      </c>
      <c r="L5910" s="4" t="str">
        <f>IFERROR(VLOOKUP(ROWS($L$2:L5910),$B$2:$C$1996,2,0),"")</f>
        <v/>
      </c>
      <c r="N5910" s="2" t="str">
        <f>IFERROR(VLOOKUP(ROWS($N$2:N5910),$D$2:$E$1996,2,0),"")</f>
        <v/>
      </c>
    </row>
    <row r="5911" spans="2:14">
      <c r="B5911" s="32">
        <f>IF(ISNUMBER(SEARCH('Φόρμα Εισαγωγής'!$B$2,C5911)),MAX($B$1:B5910)+1,0)</f>
        <v>0</v>
      </c>
      <c r="D5911" s="33">
        <f>IF(ISNUMBER(SEARCH('Φόρμα Εισαγωγής'!$C$2,E5911)),MAX($D$1:D5910)+1,0)</f>
        <v>0</v>
      </c>
      <c r="H5911" s="6">
        <f t="shared" si="287"/>
        <v>0</v>
      </c>
      <c r="I5911" s="6">
        <f t="shared" si="288"/>
        <v>0</v>
      </c>
      <c r="J5911" s="6">
        <f t="shared" si="289"/>
        <v>0</v>
      </c>
      <c r="L5911" s="4" t="str">
        <f>IFERROR(VLOOKUP(ROWS($L$2:L5911),$B$2:$C$1996,2,0),"")</f>
        <v/>
      </c>
      <c r="N5911" s="2" t="str">
        <f>IFERROR(VLOOKUP(ROWS($N$2:N5911),$D$2:$E$1996,2,0),"")</f>
        <v/>
      </c>
    </row>
    <row r="5912" spans="2:14">
      <c r="B5912" s="32">
        <f>IF(ISNUMBER(SEARCH('Φόρμα Εισαγωγής'!$B$2,C5912)),MAX($B$1:B5911)+1,0)</f>
        <v>0</v>
      </c>
      <c r="D5912" s="33">
        <f>IF(ISNUMBER(SEARCH('Φόρμα Εισαγωγής'!$C$2,E5912)),MAX($D$1:D5911)+1,0)</f>
        <v>0</v>
      </c>
      <c r="H5912" s="6">
        <f t="shared" si="287"/>
        <v>0</v>
      </c>
      <c r="I5912" s="6">
        <f t="shared" si="288"/>
        <v>0</v>
      </c>
      <c r="J5912" s="6">
        <f t="shared" si="289"/>
        <v>0</v>
      </c>
      <c r="L5912" s="4" t="str">
        <f>IFERROR(VLOOKUP(ROWS($L$2:L5912),$B$2:$C$1996,2,0),"")</f>
        <v/>
      </c>
      <c r="N5912" s="2" t="str">
        <f>IFERROR(VLOOKUP(ROWS($N$2:N5912),$D$2:$E$1996,2,0),"")</f>
        <v/>
      </c>
    </row>
    <row r="5913" spans="2:14">
      <c r="B5913" s="32">
        <f>IF(ISNUMBER(SEARCH('Φόρμα Εισαγωγής'!$B$2,C5913)),MAX($B$1:B5912)+1,0)</f>
        <v>0</v>
      </c>
      <c r="D5913" s="33">
        <f>IF(ISNUMBER(SEARCH('Φόρμα Εισαγωγής'!$C$2,E5913)),MAX($D$1:D5912)+1,0)</f>
        <v>0</v>
      </c>
      <c r="H5913" s="6">
        <f t="shared" si="287"/>
        <v>0</v>
      </c>
      <c r="I5913" s="6">
        <f t="shared" si="288"/>
        <v>0</v>
      </c>
      <c r="J5913" s="6">
        <f t="shared" si="289"/>
        <v>0</v>
      </c>
      <c r="L5913" s="4" t="str">
        <f>IFERROR(VLOOKUP(ROWS($L$2:L5913),$B$2:$C$1996,2,0),"")</f>
        <v/>
      </c>
      <c r="N5913" s="2" t="str">
        <f>IFERROR(VLOOKUP(ROWS($N$2:N5913),$D$2:$E$1996,2,0),"")</f>
        <v/>
      </c>
    </row>
    <row r="5914" spans="2:14">
      <c r="B5914" s="32">
        <f>IF(ISNUMBER(SEARCH('Φόρμα Εισαγωγής'!$B$2,C5914)),MAX($B$1:B5913)+1,0)</f>
        <v>0</v>
      </c>
      <c r="D5914" s="33">
        <f>IF(ISNUMBER(SEARCH('Φόρμα Εισαγωγής'!$C$2,E5914)),MAX($D$1:D5913)+1,0)</f>
        <v>0</v>
      </c>
      <c r="H5914" s="6">
        <f t="shared" si="287"/>
        <v>0</v>
      </c>
      <c r="I5914" s="6">
        <f t="shared" si="288"/>
        <v>0</v>
      </c>
      <c r="J5914" s="6">
        <f t="shared" si="289"/>
        <v>0</v>
      </c>
      <c r="L5914" s="4" t="str">
        <f>IFERROR(VLOOKUP(ROWS($L$2:L5914),$B$2:$C$1996,2,0),"")</f>
        <v/>
      </c>
      <c r="N5914" s="2" t="str">
        <f>IFERROR(VLOOKUP(ROWS($N$2:N5914),$D$2:$E$1996,2,0),"")</f>
        <v/>
      </c>
    </row>
    <row r="5915" spans="2:14">
      <c r="B5915" s="32">
        <f>IF(ISNUMBER(SEARCH('Φόρμα Εισαγωγής'!$B$2,C5915)),MAX($B$1:B5914)+1,0)</f>
        <v>0</v>
      </c>
      <c r="D5915" s="33">
        <f>IF(ISNUMBER(SEARCH('Φόρμα Εισαγωγής'!$C$2,E5915)),MAX($D$1:D5914)+1,0)</f>
        <v>0</v>
      </c>
      <c r="H5915" s="6">
        <f t="shared" si="287"/>
        <v>0</v>
      </c>
      <c r="I5915" s="6">
        <f t="shared" si="288"/>
        <v>0</v>
      </c>
      <c r="J5915" s="6">
        <f t="shared" si="289"/>
        <v>0</v>
      </c>
      <c r="L5915" s="4" t="str">
        <f>IFERROR(VLOOKUP(ROWS($L$2:L5915),$B$2:$C$1996,2,0),"")</f>
        <v/>
      </c>
      <c r="N5915" s="2" t="str">
        <f>IFERROR(VLOOKUP(ROWS($N$2:N5915),$D$2:$E$1996,2,0),"")</f>
        <v/>
      </c>
    </row>
    <row r="5916" spans="2:14">
      <c r="B5916" s="32">
        <f>IF(ISNUMBER(SEARCH('Φόρμα Εισαγωγής'!$B$2,C5916)),MAX($B$1:B5915)+1,0)</f>
        <v>0</v>
      </c>
      <c r="D5916" s="33">
        <f>IF(ISNUMBER(SEARCH('Φόρμα Εισαγωγής'!$C$2,E5916)),MAX($D$1:D5915)+1,0)</f>
        <v>0</v>
      </c>
      <c r="H5916" s="6">
        <f t="shared" si="287"/>
        <v>0</v>
      </c>
      <c r="I5916" s="6">
        <f t="shared" si="288"/>
        <v>0</v>
      </c>
      <c r="J5916" s="6">
        <f t="shared" si="289"/>
        <v>0</v>
      </c>
      <c r="L5916" s="4" t="str">
        <f>IFERROR(VLOOKUP(ROWS($L$2:L5916),$B$2:$C$1996,2,0),"")</f>
        <v/>
      </c>
      <c r="N5916" s="2" t="str">
        <f>IFERROR(VLOOKUP(ROWS($N$2:N5916),$D$2:$E$1996,2,0),"")</f>
        <v/>
      </c>
    </row>
    <row r="5917" spans="2:14">
      <c r="B5917" s="32">
        <f>IF(ISNUMBER(SEARCH('Φόρμα Εισαγωγής'!$B$2,C5917)),MAX($B$1:B5916)+1,0)</f>
        <v>0</v>
      </c>
      <c r="D5917" s="33">
        <f>IF(ISNUMBER(SEARCH('Φόρμα Εισαγωγής'!$C$2,E5917)),MAX($D$1:D5916)+1,0)</f>
        <v>0</v>
      </c>
      <c r="H5917" s="6">
        <f t="shared" si="287"/>
        <v>0</v>
      </c>
      <c r="I5917" s="6">
        <f t="shared" si="288"/>
        <v>0</v>
      </c>
      <c r="J5917" s="6">
        <f t="shared" si="289"/>
        <v>0</v>
      </c>
      <c r="L5917" s="4" t="str">
        <f>IFERROR(VLOOKUP(ROWS($L$2:L5917),$B$2:$C$1996,2,0),"")</f>
        <v/>
      </c>
      <c r="N5917" s="2" t="str">
        <f>IFERROR(VLOOKUP(ROWS($N$2:N5917),$D$2:$E$1996,2,0),"")</f>
        <v/>
      </c>
    </row>
    <row r="5918" spans="2:14">
      <c r="B5918" s="32">
        <f>IF(ISNUMBER(SEARCH('Φόρμα Εισαγωγής'!$B$2,C5918)),MAX($B$1:B5917)+1,0)</f>
        <v>0</v>
      </c>
      <c r="D5918" s="33">
        <f>IF(ISNUMBER(SEARCH('Φόρμα Εισαγωγής'!$C$2,E5918)),MAX($D$1:D5917)+1,0)</f>
        <v>0</v>
      </c>
      <c r="H5918" s="6">
        <f t="shared" si="287"/>
        <v>0</v>
      </c>
      <c r="I5918" s="6">
        <f t="shared" si="288"/>
        <v>0</v>
      </c>
      <c r="J5918" s="6">
        <f t="shared" si="289"/>
        <v>0</v>
      </c>
      <c r="L5918" s="4" t="str">
        <f>IFERROR(VLOOKUP(ROWS($L$2:L5918),$B$2:$C$1996,2,0),"")</f>
        <v/>
      </c>
      <c r="N5918" s="2" t="str">
        <f>IFERROR(VLOOKUP(ROWS($N$2:N5918),$D$2:$E$1996,2,0),"")</f>
        <v/>
      </c>
    </row>
    <row r="5919" spans="2:14">
      <c r="B5919" s="32">
        <f>IF(ISNUMBER(SEARCH('Φόρμα Εισαγωγής'!$B$2,C5919)),MAX($B$1:B5918)+1,0)</f>
        <v>0</v>
      </c>
      <c r="D5919" s="33">
        <f>IF(ISNUMBER(SEARCH('Φόρμα Εισαγωγής'!$C$2,E5919)),MAX($D$1:D5918)+1,0)</f>
        <v>0</v>
      </c>
      <c r="H5919" s="6">
        <f t="shared" si="287"/>
        <v>0</v>
      </c>
      <c r="I5919" s="6">
        <f t="shared" si="288"/>
        <v>0</v>
      </c>
      <c r="J5919" s="6">
        <f t="shared" si="289"/>
        <v>0</v>
      </c>
      <c r="L5919" s="4" t="str">
        <f>IFERROR(VLOOKUP(ROWS($L$2:L5919),$B$2:$C$1996,2,0),"")</f>
        <v/>
      </c>
      <c r="N5919" s="2" t="str">
        <f>IFERROR(VLOOKUP(ROWS($N$2:N5919),$D$2:$E$1996,2,0),"")</f>
        <v/>
      </c>
    </row>
    <row r="5920" spans="2:14">
      <c r="B5920" s="32">
        <f>IF(ISNUMBER(SEARCH('Φόρμα Εισαγωγής'!$B$2,C5920)),MAX($B$1:B5919)+1,0)</f>
        <v>0</v>
      </c>
      <c r="D5920" s="33">
        <f>IF(ISNUMBER(SEARCH('Φόρμα Εισαγωγής'!$C$2,E5920)),MAX($D$1:D5919)+1,0)</f>
        <v>0</v>
      </c>
      <c r="H5920" s="6">
        <f t="shared" si="287"/>
        <v>0</v>
      </c>
      <c r="I5920" s="6">
        <f t="shared" si="288"/>
        <v>0</v>
      </c>
      <c r="J5920" s="6">
        <f t="shared" si="289"/>
        <v>0</v>
      </c>
      <c r="L5920" s="4" t="str">
        <f>IFERROR(VLOOKUP(ROWS($L$2:L5920),$B$2:$C$1996,2,0),"")</f>
        <v/>
      </c>
      <c r="N5920" s="2" t="str">
        <f>IFERROR(VLOOKUP(ROWS($N$2:N5920),$D$2:$E$1996,2,0),"")</f>
        <v/>
      </c>
    </row>
    <row r="5921" spans="2:14">
      <c r="B5921" s="32">
        <f>IF(ISNUMBER(SEARCH('Φόρμα Εισαγωγής'!$B$2,C5921)),MAX($B$1:B5920)+1,0)</f>
        <v>0</v>
      </c>
      <c r="D5921" s="33">
        <f>IF(ISNUMBER(SEARCH('Φόρμα Εισαγωγής'!$C$2,E5921)),MAX($D$1:D5920)+1,0)</f>
        <v>0</v>
      </c>
      <c r="H5921" s="6">
        <f t="shared" si="287"/>
        <v>0</v>
      </c>
      <c r="I5921" s="6">
        <f t="shared" si="288"/>
        <v>0</v>
      </c>
      <c r="J5921" s="6">
        <f t="shared" si="289"/>
        <v>0</v>
      </c>
      <c r="L5921" s="4" t="str">
        <f>IFERROR(VLOOKUP(ROWS($L$2:L5921),$B$2:$C$1996,2,0),"")</f>
        <v/>
      </c>
      <c r="N5921" s="2" t="str">
        <f>IFERROR(VLOOKUP(ROWS($N$2:N5921),$D$2:$E$1996,2,0),"")</f>
        <v/>
      </c>
    </row>
    <row r="5922" spans="2:14">
      <c r="B5922" s="32">
        <f>IF(ISNUMBER(SEARCH('Φόρμα Εισαγωγής'!$B$2,C5922)),MAX($B$1:B5921)+1,0)</f>
        <v>0</v>
      </c>
      <c r="D5922" s="33">
        <f>IF(ISNUMBER(SEARCH('Φόρμα Εισαγωγής'!$C$2,E5922)),MAX($D$1:D5921)+1,0)</f>
        <v>0</v>
      </c>
      <c r="H5922" s="6">
        <f t="shared" si="287"/>
        <v>0</v>
      </c>
      <c r="I5922" s="6">
        <f t="shared" si="288"/>
        <v>0</v>
      </c>
      <c r="J5922" s="6">
        <f t="shared" si="289"/>
        <v>0</v>
      </c>
      <c r="L5922" s="4" t="str">
        <f>IFERROR(VLOOKUP(ROWS($L$2:L5922),$B$2:$C$1996,2,0),"")</f>
        <v/>
      </c>
      <c r="N5922" s="2" t="str">
        <f>IFERROR(VLOOKUP(ROWS($N$2:N5922),$D$2:$E$1996,2,0),"")</f>
        <v/>
      </c>
    </row>
    <row r="5923" spans="2:14">
      <c r="B5923" s="32">
        <f>IF(ISNUMBER(SEARCH('Φόρμα Εισαγωγής'!$B$2,C5923)),MAX($B$1:B5922)+1,0)</f>
        <v>0</v>
      </c>
      <c r="D5923" s="33">
        <f>IF(ISNUMBER(SEARCH('Φόρμα Εισαγωγής'!$C$2,E5923)),MAX($D$1:D5922)+1,0)</f>
        <v>0</v>
      </c>
      <c r="H5923" s="6">
        <f t="shared" si="287"/>
        <v>0</v>
      </c>
      <c r="I5923" s="6">
        <f t="shared" si="288"/>
        <v>0</v>
      </c>
      <c r="J5923" s="6">
        <f t="shared" si="289"/>
        <v>0</v>
      </c>
      <c r="L5923" s="4" t="str">
        <f>IFERROR(VLOOKUP(ROWS($L$2:L5923),$B$2:$C$1996,2,0),"")</f>
        <v/>
      </c>
      <c r="N5923" s="2" t="str">
        <f>IFERROR(VLOOKUP(ROWS($N$2:N5923),$D$2:$E$1996,2,0),"")</f>
        <v/>
      </c>
    </row>
    <row r="5924" spans="2:14">
      <c r="B5924" s="32">
        <f>IF(ISNUMBER(SEARCH('Φόρμα Εισαγωγής'!$B$2,C5924)),MAX($B$1:B5923)+1,0)</f>
        <v>0</v>
      </c>
      <c r="D5924" s="33">
        <f>IF(ISNUMBER(SEARCH('Φόρμα Εισαγωγής'!$C$2,E5924)),MAX($D$1:D5923)+1,0)</f>
        <v>0</v>
      </c>
      <c r="H5924" s="6">
        <f t="shared" si="287"/>
        <v>0</v>
      </c>
      <c r="I5924" s="6">
        <f t="shared" si="288"/>
        <v>0</v>
      </c>
      <c r="J5924" s="6">
        <f t="shared" si="289"/>
        <v>0</v>
      </c>
      <c r="L5924" s="4" t="str">
        <f>IFERROR(VLOOKUP(ROWS($L$2:L5924),$B$2:$C$1996,2,0),"")</f>
        <v/>
      </c>
      <c r="N5924" s="2" t="str">
        <f>IFERROR(VLOOKUP(ROWS($N$2:N5924),$D$2:$E$1996,2,0),"")</f>
        <v/>
      </c>
    </row>
    <row r="5925" spans="2:14">
      <c r="B5925" s="32">
        <f>IF(ISNUMBER(SEARCH('Φόρμα Εισαγωγής'!$B$2,C5925)),MAX($B$1:B5924)+1,0)</f>
        <v>0</v>
      </c>
      <c r="D5925" s="33">
        <f>IF(ISNUMBER(SEARCH('Φόρμα Εισαγωγής'!$C$2,E5925)),MAX($D$1:D5924)+1,0)</f>
        <v>0</v>
      </c>
      <c r="H5925" s="6">
        <f t="shared" si="287"/>
        <v>0</v>
      </c>
      <c r="I5925" s="6">
        <f t="shared" si="288"/>
        <v>0</v>
      </c>
      <c r="J5925" s="6">
        <f t="shared" si="289"/>
        <v>0</v>
      </c>
      <c r="L5925" s="4" t="str">
        <f>IFERROR(VLOOKUP(ROWS($L$2:L5925),$B$2:$C$1996,2,0),"")</f>
        <v/>
      </c>
      <c r="N5925" s="2" t="str">
        <f>IFERROR(VLOOKUP(ROWS($N$2:N5925),$D$2:$E$1996,2,0),"")</f>
        <v/>
      </c>
    </row>
    <row r="5926" spans="2:14">
      <c r="B5926" s="32">
        <f>IF(ISNUMBER(SEARCH('Φόρμα Εισαγωγής'!$B$2,C5926)),MAX($B$1:B5925)+1,0)</f>
        <v>0</v>
      </c>
      <c r="D5926" s="33">
        <f>IF(ISNUMBER(SEARCH('Φόρμα Εισαγωγής'!$C$2,E5926)),MAX($D$1:D5925)+1,0)</f>
        <v>0</v>
      </c>
      <c r="H5926" s="6">
        <f t="shared" si="287"/>
        <v>0</v>
      </c>
      <c r="I5926" s="6">
        <f t="shared" si="288"/>
        <v>0</v>
      </c>
      <c r="J5926" s="6">
        <f t="shared" si="289"/>
        <v>0</v>
      </c>
      <c r="L5926" s="4" t="str">
        <f>IFERROR(VLOOKUP(ROWS($L$2:L5926),$B$2:$C$1996,2,0),"")</f>
        <v/>
      </c>
      <c r="N5926" s="2" t="str">
        <f>IFERROR(VLOOKUP(ROWS($N$2:N5926),$D$2:$E$1996,2,0),"")</f>
        <v/>
      </c>
    </row>
    <row r="5927" spans="2:14">
      <c r="B5927" s="32">
        <f>IF(ISNUMBER(SEARCH('Φόρμα Εισαγωγής'!$B$2,C5927)),MAX($B$1:B5926)+1,0)</f>
        <v>0</v>
      </c>
      <c r="D5927" s="33">
        <f>IF(ISNUMBER(SEARCH('Φόρμα Εισαγωγής'!$C$2,E5927)),MAX($D$1:D5926)+1,0)</f>
        <v>0</v>
      </c>
      <c r="H5927" s="6">
        <f t="shared" si="287"/>
        <v>0</v>
      </c>
      <c r="I5927" s="6">
        <f t="shared" si="288"/>
        <v>0</v>
      </c>
      <c r="J5927" s="6">
        <f t="shared" si="289"/>
        <v>0</v>
      </c>
      <c r="L5927" s="4" t="str">
        <f>IFERROR(VLOOKUP(ROWS($L$2:L5927),$B$2:$C$1996,2,0),"")</f>
        <v/>
      </c>
      <c r="N5927" s="2" t="str">
        <f>IFERROR(VLOOKUP(ROWS($N$2:N5927),$D$2:$E$1996,2,0),"")</f>
        <v/>
      </c>
    </row>
    <row r="5928" spans="2:14">
      <c r="B5928" s="32">
        <f>IF(ISNUMBER(SEARCH('Φόρμα Εισαγωγής'!$B$2,C5928)),MAX($B$1:B5927)+1,0)</f>
        <v>0</v>
      </c>
      <c r="D5928" s="33">
        <f>IF(ISNUMBER(SEARCH('Φόρμα Εισαγωγής'!$C$2,E5928)),MAX($D$1:D5927)+1,0)</f>
        <v>0</v>
      </c>
      <c r="H5928" s="6">
        <f t="shared" si="287"/>
        <v>0</v>
      </c>
      <c r="I5928" s="6">
        <f t="shared" si="288"/>
        <v>0</v>
      </c>
      <c r="J5928" s="6">
        <f t="shared" si="289"/>
        <v>0</v>
      </c>
      <c r="L5928" s="4" t="str">
        <f>IFERROR(VLOOKUP(ROWS($L$2:L5928),$B$2:$C$1996,2,0),"")</f>
        <v/>
      </c>
      <c r="N5928" s="2" t="str">
        <f>IFERROR(VLOOKUP(ROWS($N$2:N5928),$D$2:$E$1996,2,0),"")</f>
        <v/>
      </c>
    </row>
    <row r="5929" spans="2:14">
      <c r="B5929" s="32">
        <f>IF(ISNUMBER(SEARCH('Φόρμα Εισαγωγής'!$B$2,C5929)),MAX($B$1:B5928)+1,0)</f>
        <v>0</v>
      </c>
      <c r="D5929" s="33">
        <f>IF(ISNUMBER(SEARCH('Φόρμα Εισαγωγής'!$C$2,E5929)),MAX($D$1:D5928)+1,0)</f>
        <v>0</v>
      </c>
      <c r="H5929" s="6">
        <f t="shared" si="287"/>
        <v>0</v>
      </c>
      <c r="I5929" s="6">
        <f t="shared" si="288"/>
        <v>0</v>
      </c>
      <c r="J5929" s="6">
        <f t="shared" si="289"/>
        <v>0</v>
      </c>
      <c r="L5929" s="4" t="str">
        <f>IFERROR(VLOOKUP(ROWS($L$2:L5929),$B$2:$C$1996,2,0),"")</f>
        <v/>
      </c>
      <c r="N5929" s="2" t="str">
        <f>IFERROR(VLOOKUP(ROWS($N$2:N5929),$D$2:$E$1996,2,0),"")</f>
        <v/>
      </c>
    </row>
    <row r="5930" spans="2:14">
      <c r="B5930" s="32">
        <f>IF(ISNUMBER(SEARCH('Φόρμα Εισαγωγής'!$B$2,C5930)),MAX($B$1:B5929)+1,0)</f>
        <v>0</v>
      </c>
      <c r="D5930" s="33">
        <f>IF(ISNUMBER(SEARCH('Φόρμα Εισαγωγής'!$C$2,E5930)),MAX($D$1:D5929)+1,0)</f>
        <v>0</v>
      </c>
      <c r="H5930" s="6">
        <f t="shared" si="287"/>
        <v>0</v>
      </c>
      <c r="I5930" s="6">
        <f t="shared" si="288"/>
        <v>0</v>
      </c>
      <c r="J5930" s="6">
        <f t="shared" si="289"/>
        <v>0</v>
      </c>
      <c r="L5930" s="4" t="str">
        <f>IFERROR(VLOOKUP(ROWS($L$2:L5930),$B$2:$C$1996,2,0),"")</f>
        <v/>
      </c>
      <c r="N5930" s="2" t="str">
        <f>IFERROR(VLOOKUP(ROWS($N$2:N5930),$D$2:$E$1996,2,0),"")</f>
        <v/>
      </c>
    </row>
    <row r="5931" spans="2:14">
      <c r="B5931" s="32">
        <f>IF(ISNUMBER(SEARCH('Φόρμα Εισαγωγής'!$B$2,C5931)),MAX($B$1:B5930)+1,0)</f>
        <v>0</v>
      </c>
      <c r="D5931" s="33">
        <f>IF(ISNUMBER(SEARCH('Φόρμα Εισαγωγής'!$C$2,E5931)),MAX($D$1:D5930)+1,0)</f>
        <v>0</v>
      </c>
      <c r="H5931" s="6">
        <f t="shared" si="287"/>
        <v>0</v>
      </c>
      <c r="I5931" s="6">
        <f t="shared" si="288"/>
        <v>0</v>
      </c>
      <c r="J5931" s="6">
        <f t="shared" si="289"/>
        <v>0</v>
      </c>
      <c r="L5931" s="4" t="str">
        <f>IFERROR(VLOOKUP(ROWS($L$2:L5931),$B$2:$C$1996,2,0),"")</f>
        <v/>
      </c>
      <c r="N5931" s="2" t="str">
        <f>IFERROR(VLOOKUP(ROWS($N$2:N5931),$D$2:$E$1996,2,0),"")</f>
        <v/>
      </c>
    </row>
    <row r="5932" spans="2:14">
      <c r="B5932" s="32">
        <f>IF(ISNUMBER(SEARCH('Φόρμα Εισαγωγής'!$B$2,C5932)),MAX($B$1:B5931)+1,0)</f>
        <v>0</v>
      </c>
      <c r="D5932" s="33">
        <f>IF(ISNUMBER(SEARCH('Φόρμα Εισαγωγής'!$C$2,E5932)),MAX($D$1:D5931)+1,0)</f>
        <v>0</v>
      </c>
      <c r="H5932" s="6">
        <f t="shared" si="287"/>
        <v>0</v>
      </c>
      <c r="I5932" s="6">
        <f t="shared" si="288"/>
        <v>0</v>
      </c>
      <c r="J5932" s="6">
        <f t="shared" si="289"/>
        <v>0</v>
      </c>
      <c r="L5932" s="4" t="str">
        <f>IFERROR(VLOOKUP(ROWS($L$2:L5932),$B$2:$C$1996,2,0),"")</f>
        <v/>
      </c>
      <c r="N5932" s="2" t="str">
        <f>IFERROR(VLOOKUP(ROWS($N$2:N5932),$D$2:$E$1996,2,0),"")</f>
        <v/>
      </c>
    </row>
    <row r="5933" spans="2:14">
      <c r="B5933" s="32">
        <f>IF(ISNUMBER(SEARCH('Φόρμα Εισαγωγής'!$B$2,C5933)),MAX($B$1:B5932)+1,0)</f>
        <v>0</v>
      </c>
      <c r="D5933" s="33">
        <f>IF(ISNUMBER(SEARCH('Φόρμα Εισαγωγής'!$C$2,E5933)),MAX($D$1:D5932)+1,0)</f>
        <v>0</v>
      </c>
      <c r="H5933" s="6">
        <f t="shared" si="287"/>
        <v>0</v>
      </c>
      <c r="I5933" s="6">
        <f t="shared" si="288"/>
        <v>0</v>
      </c>
      <c r="J5933" s="6">
        <f t="shared" si="289"/>
        <v>0</v>
      </c>
      <c r="L5933" s="4" t="str">
        <f>IFERROR(VLOOKUP(ROWS($L$2:L5933),$B$2:$C$1996,2,0),"")</f>
        <v/>
      </c>
      <c r="N5933" s="2" t="str">
        <f>IFERROR(VLOOKUP(ROWS($N$2:N5933),$D$2:$E$1996,2,0),"")</f>
        <v/>
      </c>
    </row>
    <row r="5934" spans="2:14">
      <c r="B5934" s="32">
        <f>IF(ISNUMBER(SEARCH('Φόρμα Εισαγωγής'!$B$2,C5934)),MAX($B$1:B5933)+1,0)</f>
        <v>0</v>
      </c>
      <c r="D5934" s="33">
        <f>IF(ISNUMBER(SEARCH('Φόρμα Εισαγωγής'!$C$2,E5934)),MAX($D$1:D5933)+1,0)</f>
        <v>0</v>
      </c>
      <c r="H5934" s="6">
        <f t="shared" si="287"/>
        <v>0</v>
      </c>
      <c r="I5934" s="6">
        <f t="shared" si="288"/>
        <v>0</v>
      </c>
      <c r="J5934" s="6">
        <f t="shared" si="289"/>
        <v>0</v>
      </c>
      <c r="L5934" s="4" t="str">
        <f>IFERROR(VLOOKUP(ROWS($L$2:L5934),$B$2:$C$1996,2,0),"")</f>
        <v/>
      </c>
      <c r="N5934" s="2" t="str">
        <f>IFERROR(VLOOKUP(ROWS($N$2:N5934),$D$2:$E$1996,2,0),"")</f>
        <v/>
      </c>
    </row>
    <row r="5935" spans="2:14">
      <c r="B5935" s="32">
        <f>IF(ISNUMBER(SEARCH('Φόρμα Εισαγωγής'!$B$2,C5935)),MAX($B$1:B5934)+1,0)</f>
        <v>0</v>
      </c>
      <c r="D5935" s="33">
        <f>IF(ISNUMBER(SEARCH('Φόρμα Εισαγωγής'!$C$2,E5935)),MAX($D$1:D5934)+1,0)</f>
        <v>0</v>
      </c>
      <c r="H5935" s="6">
        <f t="shared" si="287"/>
        <v>0</v>
      </c>
      <c r="I5935" s="6">
        <f t="shared" si="288"/>
        <v>0</v>
      </c>
      <c r="J5935" s="6">
        <f t="shared" si="289"/>
        <v>0</v>
      </c>
      <c r="L5935" s="4" t="str">
        <f>IFERROR(VLOOKUP(ROWS($L$2:L5935),$B$2:$C$1996,2,0),"")</f>
        <v/>
      </c>
      <c r="N5935" s="2" t="str">
        <f>IFERROR(VLOOKUP(ROWS($N$2:N5935),$D$2:$E$1996,2,0),"")</f>
        <v/>
      </c>
    </row>
    <row r="5936" spans="2:14">
      <c r="B5936" s="32">
        <f>IF(ISNUMBER(SEARCH('Φόρμα Εισαγωγής'!$B$2,C5936)),MAX($B$1:B5935)+1,0)</f>
        <v>0</v>
      </c>
      <c r="D5936" s="33">
        <f>IF(ISNUMBER(SEARCH('Φόρμα Εισαγωγής'!$C$2,E5936)),MAX($D$1:D5935)+1,0)</f>
        <v>0</v>
      </c>
      <c r="H5936" s="6">
        <f t="shared" si="287"/>
        <v>0</v>
      </c>
      <c r="I5936" s="6">
        <f t="shared" si="288"/>
        <v>0</v>
      </c>
      <c r="J5936" s="6">
        <f t="shared" si="289"/>
        <v>0</v>
      </c>
      <c r="L5936" s="4" t="str">
        <f>IFERROR(VLOOKUP(ROWS($L$2:L5936),$B$2:$C$1996,2,0),"")</f>
        <v/>
      </c>
      <c r="N5936" s="2" t="str">
        <f>IFERROR(VLOOKUP(ROWS($N$2:N5936),$D$2:$E$1996,2,0),"")</f>
        <v/>
      </c>
    </row>
    <row r="5937" spans="2:14">
      <c r="B5937" s="32">
        <f>IF(ISNUMBER(SEARCH('Φόρμα Εισαγωγής'!$B$2,C5937)),MAX($B$1:B5936)+1,0)</f>
        <v>0</v>
      </c>
      <c r="D5937" s="33">
        <f>IF(ISNUMBER(SEARCH('Φόρμα Εισαγωγής'!$C$2,E5937)),MAX($D$1:D5936)+1,0)</f>
        <v>0</v>
      </c>
      <c r="H5937" s="6">
        <f t="shared" si="287"/>
        <v>0</v>
      </c>
      <c r="I5937" s="6">
        <f t="shared" si="288"/>
        <v>0</v>
      </c>
      <c r="J5937" s="6">
        <f t="shared" si="289"/>
        <v>0</v>
      </c>
      <c r="L5937" s="4" t="str">
        <f>IFERROR(VLOOKUP(ROWS($L$2:L5937),$B$2:$C$1996,2,0),"")</f>
        <v/>
      </c>
      <c r="N5937" s="2" t="str">
        <f>IFERROR(VLOOKUP(ROWS($N$2:N5937),$D$2:$E$1996,2,0),"")</f>
        <v/>
      </c>
    </row>
    <row r="5938" spans="2:14">
      <c r="B5938" s="32">
        <f>IF(ISNUMBER(SEARCH('Φόρμα Εισαγωγής'!$B$2,C5938)),MAX($B$1:B5937)+1,0)</f>
        <v>0</v>
      </c>
      <c r="D5938" s="33">
        <f>IF(ISNUMBER(SEARCH('Φόρμα Εισαγωγής'!$C$2,E5938)),MAX($D$1:D5937)+1,0)</f>
        <v>0</v>
      </c>
      <c r="H5938" s="6">
        <f t="shared" si="287"/>
        <v>0</v>
      </c>
      <c r="I5938" s="6">
        <f t="shared" si="288"/>
        <v>0</v>
      </c>
      <c r="J5938" s="6">
        <f t="shared" si="289"/>
        <v>0</v>
      </c>
      <c r="L5938" s="4" t="str">
        <f>IFERROR(VLOOKUP(ROWS($L$2:L5938),$B$2:$C$1996,2,0),"")</f>
        <v/>
      </c>
      <c r="N5938" s="2" t="str">
        <f>IFERROR(VLOOKUP(ROWS($N$2:N5938),$D$2:$E$1996,2,0),"")</f>
        <v/>
      </c>
    </row>
    <row r="5939" spans="2:14">
      <c r="B5939" s="32">
        <f>IF(ISNUMBER(SEARCH('Φόρμα Εισαγωγής'!$B$2,C5939)),MAX($B$1:B5938)+1,0)</f>
        <v>0</v>
      </c>
      <c r="D5939" s="33">
        <f>IF(ISNUMBER(SEARCH('Φόρμα Εισαγωγής'!$C$2,E5939)),MAX($D$1:D5938)+1,0)</f>
        <v>0</v>
      </c>
      <c r="H5939" s="6">
        <f t="shared" si="287"/>
        <v>0</v>
      </c>
      <c r="I5939" s="6">
        <f t="shared" si="288"/>
        <v>0</v>
      </c>
      <c r="J5939" s="6">
        <f t="shared" si="289"/>
        <v>0</v>
      </c>
      <c r="L5939" s="4" t="str">
        <f>IFERROR(VLOOKUP(ROWS($L$2:L5939),$B$2:$C$1996,2,0),"")</f>
        <v/>
      </c>
      <c r="N5939" s="2" t="str">
        <f>IFERROR(VLOOKUP(ROWS($N$2:N5939),$D$2:$E$1996,2,0),"")</f>
        <v/>
      </c>
    </row>
    <row r="5940" spans="2:14">
      <c r="B5940" s="32">
        <f>IF(ISNUMBER(SEARCH('Φόρμα Εισαγωγής'!$B$2,C5940)),MAX($B$1:B5939)+1,0)</f>
        <v>0</v>
      </c>
      <c r="D5940" s="33">
        <f>IF(ISNUMBER(SEARCH('Φόρμα Εισαγωγής'!$C$2,E5940)),MAX($D$1:D5939)+1,0)</f>
        <v>0</v>
      </c>
      <c r="H5940" s="6">
        <f t="shared" si="287"/>
        <v>0</v>
      </c>
      <c r="I5940" s="6">
        <f t="shared" si="288"/>
        <v>0</v>
      </c>
      <c r="J5940" s="6">
        <f t="shared" si="289"/>
        <v>0</v>
      </c>
      <c r="L5940" s="4" t="str">
        <f>IFERROR(VLOOKUP(ROWS($L$2:L5940),$B$2:$C$1996,2,0),"")</f>
        <v/>
      </c>
      <c r="N5940" s="2" t="str">
        <f>IFERROR(VLOOKUP(ROWS($N$2:N5940),$D$2:$E$1996,2,0),"")</f>
        <v/>
      </c>
    </row>
    <row r="5941" spans="2:14">
      <c r="B5941" s="32">
        <f>IF(ISNUMBER(SEARCH('Φόρμα Εισαγωγής'!$B$2,C5941)),MAX($B$1:B5940)+1,0)</f>
        <v>0</v>
      </c>
      <c r="D5941" s="33">
        <f>IF(ISNUMBER(SEARCH('Φόρμα Εισαγωγής'!$C$2,E5941)),MAX($D$1:D5940)+1,0)</f>
        <v>0</v>
      </c>
      <c r="H5941" s="6">
        <f t="shared" si="287"/>
        <v>0</v>
      </c>
      <c r="I5941" s="6">
        <f t="shared" si="288"/>
        <v>0</v>
      </c>
      <c r="J5941" s="6">
        <f t="shared" si="289"/>
        <v>0</v>
      </c>
      <c r="L5941" s="4" t="str">
        <f>IFERROR(VLOOKUP(ROWS($L$2:L5941),$B$2:$C$1996,2,0),"")</f>
        <v/>
      </c>
      <c r="N5941" s="2" t="str">
        <f>IFERROR(VLOOKUP(ROWS($N$2:N5941),$D$2:$E$1996,2,0),"")</f>
        <v/>
      </c>
    </row>
    <row r="5942" spans="2:14">
      <c r="B5942" s="32">
        <f>IF(ISNUMBER(SEARCH('Φόρμα Εισαγωγής'!$B$2,C5942)),MAX($B$1:B5941)+1,0)</f>
        <v>0</v>
      </c>
      <c r="D5942" s="33">
        <f>IF(ISNUMBER(SEARCH('Φόρμα Εισαγωγής'!$C$2,E5942)),MAX($D$1:D5941)+1,0)</f>
        <v>0</v>
      </c>
      <c r="H5942" s="6">
        <f t="shared" si="287"/>
        <v>0</v>
      </c>
      <c r="I5942" s="6">
        <f t="shared" si="288"/>
        <v>0</v>
      </c>
      <c r="J5942" s="6">
        <f t="shared" si="289"/>
        <v>0</v>
      </c>
      <c r="L5942" s="4" t="str">
        <f>IFERROR(VLOOKUP(ROWS($L$2:L5942),$B$2:$C$1996,2,0),"")</f>
        <v/>
      </c>
      <c r="N5942" s="2" t="str">
        <f>IFERROR(VLOOKUP(ROWS($N$2:N5942),$D$2:$E$1996,2,0),"")</f>
        <v/>
      </c>
    </row>
    <row r="5943" spans="2:14">
      <c r="B5943" s="32">
        <f>IF(ISNUMBER(SEARCH('Φόρμα Εισαγωγής'!$B$2,C5943)),MAX($B$1:B5942)+1,0)</f>
        <v>0</v>
      </c>
      <c r="D5943" s="33">
        <f>IF(ISNUMBER(SEARCH('Φόρμα Εισαγωγής'!$C$2,E5943)),MAX($D$1:D5942)+1,0)</f>
        <v>0</v>
      </c>
      <c r="H5943" s="6">
        <f t="shared" si="287"/>
        <v>0</v>
      </c>
      <c r="I5943" s="6">
        <f t="shared" si="288"/>
        <v>0</v>
      </c>
      <c r="J5943" s="6">
        <f t="shared" si="289"/>
        <v>0</v>
      </c>
      <c r="L5943" s="4" t="str">
        <f>IFERROR(VLOOKUP(ROWS($L$2:L5943),$B$2:$C$1996,2,0),"")</f>
        <v/>
      </c>
      <c r="N5943" s="2" t="str">
        <f>IFERROR(VLOOKUP(ROWS($N$2:N5943),$D$2:$E$1996,2,0),"")</f>
        <v/>
      </c>
    </row>
    <row r="5944" spans="2:14">
      <c r="B5944" s="32">
        <f>IF(ISNUMBER(SEARCH('Φόρμα Εισαγωγής'!$B$2,C5944)),MAX($B$1:B5943)+1,0)</f>
        <v>0</v>
      </c>
      <c r="D5944" s="33">
        <f>IF(ISNUMBER(SEARCH('Φόρμα Εισαγωγής'!$C$2,E5944)),MAX($D$1:D5943)+1,0)</f>
        <v>0</v>
      </c>
      <c r="H5944" s="6">
        <f t="shared" si="287"/>
        <v>0</v>
      </c>
      <c r="I5944" s="6">
        <f t="shared" si="288"/>
        <v>0</v>
      </c>
      <c r="J5944" s="6">
        <f t="shared" si="289"/>
        <v>0</v>
      </c>
      <c r="L5944" s="4" t="str">
        <f>IFERROR(VLOOKUP(ROWS($L$2:L5944),$B$2:$C$1996,2,0),"")</f>
        <v/>
      </c>
      <c r="N5944" s="2" t="str">
        <f>IFERROR(VLOOKUP(ROWS($N$2:N5944),$D$2:$E$1996,2,0),"")</f>
        <v/>
      </c>
    </row>
    <row r="5945" spans="2:14">
      <c r="B5945" s="32">
        <f>IF(ISNUMBER(SEARCH('Φόρμα Εισαγωγής'!$B$2,C5945)),MAX($B$1:B5944)+1,0)</f>
        <v>0</v>
      </c>
      <c r="D5945" s="33">
        <f>IF(ISNUMBER(SEARCH('Φόρμα Εισαγωγής'!$C$2,E5945)),MAX($D$1:D5944)+1,0)</f>
        <v>0</v>
      </c>
      <c r="H5945" s="6">
        <f t="shared" si="287"/>
        <v>0</v>
      </c>
      <c r="I5945" s="6">
        <f t="shared" si="288"/>
        <v>0</v>
      </c>
      <c r="J5945" s="6">
        <f t="shared" si="289"/>
        <v>0</v>
      </c>
      <c r="L5945" s="4" t="str">
        <f>IFERROR(VLOOKUP(ROWS($L$2:L5945),$B$2:$C$1996,2,0),"")</f>
        <v/>
      </c>
      <c r="N5945" s="2" t="str">
        <f>IFERROR(VLOOKUP(ROWS($N$2:N5945),$D$2:$E$1996,2,0),"")</f>
        <v/>
      </c>
    </row>
    <row r="5946" spans="2:14">
      <c r="B5946" s="32">
        <f>IF(ISNUMBER(SEARCH('Φόρμα Εισαγωγής'!$B$2,C5946)),MAX($B$1:B5945)+1,0)</f>
        <v>0</v>
      </c>
      <c r="D5946" s="33">
        <f>IF(ISNUMBER(SEARCH('Φόρμα Εισαγωγής'!$C$2,E5946)),MAX($D$1:D5945)+1,0)</f>
        <v>0</v>
      </c>
      <c r="H5946" s="6">
        <f t="shared" si="287"/>
        <v>0</v>
      </c>
      <c r="I5946" s="6">
        <f t="shared" si="288"/>
        <v>0</v>
      </c>
      <c r="J5946" s="6">
        <f t="shared" si="289"/>
        <v>0</v>
      </c>
      <c r="L5946" s="4" t="str">
        <f>IFERROR(VLOOKUP(ROWS($L$2:L5946),$B$2:$C$1996,2,0),"")</f>
        <v/>
      </c>
      <c r="N5946" s="2" t="str">
        <f>IFERROR(VLOOKUP(ROWS($N$2:N5946),$D$2:$E$1996,2,0),"")</f>
        <v/>
      </c>
    </row>
    <row r="5947" spans="2:14">
      <c r="B5947" s="32">
        <f>IF(ISNUMBER(SEARCH('Φόρμα Εισαγωγής'!$B$2,C5947)),MAX($B$1:B5946)+1,0)</f>
        <v>0</v>
      </c>
      <c r="D5947" s="33">
        <f>IF(ISNUMBER(SEARCH('Φόρμα Εισαγωγής'!$C$2,E5947)),MAX($D$1:D5946)+1,0)</f>
        <v>0</v>
      </c>
      <c r="H5947" s="6">
        <f t="shared" si="287"/>
        <v>0</v>
      </c>
      <c r="I5947" s="6">
        <f t="shared" si="288"/>
        <v>0</v>
      </c>
      <c r="J5947" s="6">
        <f t="shared" si="289"/>
        <v>0</v>
      </c>
      <c r="L5947" s="4" t="str">
        <f>IFERROR(VLOOKUP(ROWS($L$2:L5947),$B$2:$C$1996,2,0),"")</f>
        <v/>
      </c>
      <c r="N5947" s="2" t="str">
        <f>IFERROR(VLOOKUP(ROWS($N$2:N5947),$D$2:$E$1996,2,0),"")</f>
        <v/>
      </c>
    </row>
    <row r="5948" spans="2:14">
      <c r="B5948" s="32">
        <f>IF(ISNUMBER(SEARCH('Φόρμα Εισαγωγής'!$B$2,C5948)),MAX($B$1:B5947)+1,0)</f>
        <v>0</v>
      </c>
      <c r="D5948" s="33">
        <f>IF(ISNUMBER(SEARCH('Φόρμα Εισαγωγής'!$C$2,E5948)),MAX($D$1:D5947)+1,0)</f>
        <v>0</v>
      </c>
      <c r="H5948" s="6">
        <f t="shared" si="287"/>
        <v>0</v>
      </c>
      <c r="I5948" s="6">
        <f t="shared" si="288"/>
        <v>0</v>
      </c>
      <c r="J5948" s="6">
        <f t="shared" si="289"/>
        <v>0</v>
      </c>
      <c r="L5948" s="4" t="str">
        <f>IFERROR(VLOOKUP(ROWS($L$2:L5948),$B$2:$C$1996,2,0),"")</f>
        <v/>
      </c>
      <c r="N5948" s="2" t="str">
        <f>IFERROR(VLOOKUP(ROWS($N$2:N5948),$D$2:$E$1996,2,0),"")</f>
        <v/>
      </c>
    </row>
    <row r="5949" spans="2:14">
      <c r="B5949" s="32">
        <f>IF(ISNUMBER(SEARCH('Φόρμα Εισαγωγής'!$B$2,C5949)),MAX($B$1:B5948)+1,0)</f>
        <v>0</v>
      </c>
      <c r="D5949" s="33">
        <f>IF(ISNUMBER(SEARCH('Φόρμα Εισαγωγής'!$C$2,E5949)),MAX($D$1:D5948)+1,0)</f>
        <v>0</v>
      </c>
      <c r="H5949" s="6">
        <f t="shared" si="287"/>
        <v>0</v>
      </c>
      <c r="I5949" s="6">
        <f t="shared" si="288"/>
        <v>0</v>
      </c>
      <c r="J5949" s="6">
        <f t="shared" si="289"/>
        <v>0</v>
      </c>
      <c r="L5949" s="4" t="str">
        <f>IFERROR(VLOOKUP(ROWS($L$2:L5949),$B$2:$C$1996,2,0),"")</f>
        <v/>
      </c>
      <c r="N5949" s="2" t="str">
        <f>IFERROR(VLOOKUP(ROWS($N$2:N5949),$D$2:$E$1996,2,0),"")</f>
        <v/>
      </c>
    </row>
    <row r="5950" spans="2:14">
      <c r="B5950" s="32">
        <f>IF(ISNUMBER(SEARCH('Φόρμα Εισαγωγής'!$B$2,C5950)),MAX($B$1:B5949)+1,0)</f>
        <v>0</v>
      </c>
      <c r="D5950" s="33">
        <f>IF(ISNUMBER(SEARCH('Φόρμα Εισαγωγής'!$C$2,E5950)),MAX($D$1:D5949)+1,0)</f>
        <v>0</v>
      </c>
      <c r="H5950" s="6">
        <f t="shared" si="287"/>
        <v>0</v>
      </c>
      <c r="I5950" s="6">
        <f t="shared" si="288"/>
        <v>0</v>
      </c>
      <c r="J5950" s="6">
        <f t="shared" si="289"/>
        <v>0</v>
      </c>
      <c r="L5950" s="4" t="str">
        <f>IFERROR(VLOOKUP(ROWS($L$2:L5950),$B$2:$C$1996,2,0),"")</f>
        <v/>
      </c>
      <c r="N5950" s="2" t="str">
        <f>IFERROR(VLOOKUP(ROWS($N$2:N5950),$D$2:$E$1996,2,0),"")</f>
        <v/>
      </c>
    </row>
    <row r="5951" spans="2:14">
      <c r="B5951" s="32">
        <f>IF(ISNUMBER(SEARCH('Φόρμα Εισαγωγής'!$B$2,C5951)),MAX($B$1:B5950)+1,0)</f>
        <v>0</v>
      </c>
      <c r="D5951" s="33">
        <f>IF(ISNUMBER(SEARCH('Φόρμα Εισαγωγής'!$C$2,E5951)),MAX($D$1:D5950)+1,0)</f>
        <v>0</v>
      </c>
      <c r="H5951" s="6">
        <f t="shared" si="287"/>
        <v>0</v>
      </c>
      <c r="I5951" s="6">
        <f t="shared" si="288"/>
        <v>0</v>
      </c>
      <c r="J5951" s="6">
        <f t="shared" si="289"/>
        <v>0</v>
      </c>
      <c r="L5951" s="4" t="str">
        <f>IFERROR(VLOOKUP(ROWS($L$2:L5951),$B$2:$C$1996,2,0),"")</f>
        <v/>
      </c>
      <c r="N5951" s="2" t="str">
        <f>IFERROR(VLOOKUP(ROWS($N$2:N5951),$D$2:$E$1996,2,0),"")</f>
        <v/>
      </c>
    </row>
    <row r="5952" spans="2:14">
      <c r="B5952" s="32">
        <f>IF(ISNUMBER(SEARCH('Φόρμα Εισαγωγής'!$B$2,C5952)),MAX($B$1:B5951)+1,0)</f>
        <v>0</v>
      </c>
      <c r="D5952" s="33">
        <f>IF(ISNUMBER(SEARCH('Φόρμα Εισαγωγής'!$C$2,E5952)),MAX($D$1:D5951)+1,0)</f>
        <v>0</v>
      </c>
      <c r="H5952" s="6">
        <f t="shared" ref="H5952:H6015" si="290">G5952+(G5952*0.24)</f>
        <v>0</v>
      </c>
      <c r="I5952" s="6">
        <f t="shared" ref="I5952:I6015" si="291">F5952*A5952</f>
        <v>0</v>
      </c>
      <c r="J5952" s="6">
        <f t="shared" ref="J5952:J6015" si="292">H5952*A5952</f>
        <v>0</v>
      </c>
      <c r="L5952" s="4" t="str">
        <f>IFERROR(VLOOKUP(ROWS($L$2:L5952),$B$2:$C$1996,2,0),"")</f>
        <v/>
      </c>
      <c r="N5952" s="2" t="str">
        <f>IFERROR(VLOOKUP(ROWS($N$2:N5952),$D$2:$E$1996,2,0),"")</f>
        <v/>
      </c>
    </row>
    <row r="5953" spans="2:14">
      <c r="B5953" s="32">
        <f>IF(ISNUMBER(SEARCH('Φόρμα Εισαγωγής'!$B$2,C5953)),MAX($B$1:B5952)+1,0)</f>
        <v>0</v>
      </c>
      <c r="D5953" s="33">
        <f>IF(ISNUMBER(SEARCH('Φόρμα Εισαγωγής'!$C$2,E5953)),MAX($D$1:D5952)+1,0)</f>
        <v>0</v>
      </c>
      <c r="H5953" s="6">
        <f t="shared" si="290"/>
        <v>0</v>
      </c>
      <c r="I5953" s="6">
        <f t="shared" si="291"/>
        <v>0</v>
      </c>
      <c r="J5953" s="6">
        <f t="shared" si="292"/>
        <v>0</v>
      </c>
      <c r="L5953" s="4" t="str">
        <f>IFERROR(VLOOKUP(ROWS($L$2:L5953),$B$2:$C$1996,2,0),"")</f>
        <v/>
      </c>
      <c r="N5953" s="2" t="str">
        <f>IFERROR(VLOOKUP(ROWS($N$2:N5953),$D$2:$E$1996,2,0),"")</f>
        <v/>
      </c>
    </row>
    <row r="5954" spans="2:14">
      <c r="B5954" s="32">
        <f>IF(ISNUMBER(SEARCH('Φόρμα Εισαγωγής'!$B$2,C5954)),MAX($B$1:B5953)+1,0)</f>
        <v>0</v>
      </c>
      <c r="D5954" s="33">
        <f>IF(ISNUMBER(SEARCH('Φόρμα Εισαγωγής'!$C$2,E5954)),MAX($D$1:D5953)+1,0)</f>
        <v>0</v>
      </c>
      <c r="H5954" s="6">
        <f t="shared" si="290"/>
        <v>0</v>
      </c>
      <c r="I5954" s="6">
        <f t="shared" si="291"/>
        <v>0</v>
      </c>
      <c r="J5954" s="6">
        <f t="shared" si="292"/>
        <v>0</v>
      </c>
      <c r="L5954" s="4" t="str">
        <f>IFERROR(VLOOKUP(ROWS($L$2:L5954),$B$2:$C$1996,2,0),"")</f>
        <v/>
      </c>
      <c r="N5954" s="2" t="str">
        <f>IFERROR(VLOOKUP(ROWS($N$2:N5954),$D$2:$E$1996,2,0),"")</f>
        <v/>
      </c>
    </row>
    <row r="5955" spans="2:14">
      <c r="B5955" s="32">
        <f>IF(ISNUMBER(SEARCH('Φόρμα Εισαγωγής'!$B$2,C5955)),MAX($B$1:B5954)+1,0)</f>
        <v>0</v>
      </c>
      <c r="D5955" s="33">
        <f>IF(ISNUMBER(SEARCH('Φόρμα Εισαγωγής'!$C$2,E5955)),MAX($D$1:D5954)+1,0)</f>
        <v>0</v>
      </c>
      <c r="H5955" s="6">
        <f t="shared" si="290"/>
        <v>0</v>
      </c>
      <c r="I5955" s="6">
        <f t="shared" si="291"/>
        <v>0</v>
      </c>
      <c r="J5955" s="6">
        <f t="shared" si="292"/>
        <v>0</v>
      </c>
      <c r="L5955" s="4" t="str">
        <f>IFERROR(VLOOKUP(ROWS($L$2:L5955),$B$2:$C$1996,2,0),"")</f>
        <v/>
      </c>
      <c r="N5955" s="2" t="str">
        <f>IFERROR(VLOOKUP(ROWS($N$2:N5955),$D$2:$E$1996,2,0),"")</f>
        <v/>
      </c>
    </row>
    <row r="5956" spans="2:14">
      <c r="B5956" s="32">
        <f>IF(ISNUMBER(SEARCH('Φόρμα Εισαγωγής'!$B$2,C5956)),MAX($B$1:B5955)+1,0)</f>
        <v>0</v>
      </c>
      <c r="D5956" s="33">
        <f>IF(ISNUMBER(SEARCH('Φόρμα Εισαγωγής'!$C$2,E5956)),MAX($D$1:D5955)+1,0)</f>
        <v>0</v>
      </c>
      <c r="H5956" s="6">
        <f t="shared" si="290"/>
        <v>0</v>
      </c>
      <c r="I5956" s="6">
        <f t="shared" si="291"/>
        <v>0</v>
      </c>
      <c r="J5956" s="6">
        <f t="shared" si="292"/>
        <v>0</v>
      </c>
      <c r="L5956" s="4" t="str">
        <f>IFERROR(VLOOKUP(ROWS($L$2:L5956),$B$2:$C$1996,2,0),"")</f>
        <v/>
      </c>
      <c r="N5956" s="2" t="str">
        <f>IFERROR(VLOOKUP(ROWS($N$2:N5956),$D$2:$E$1996,2,0),"")</f>
        <v/>
      </c>
    </row>
    <row r="5957" spans="2:14">
      <c r="B5957" s="32">
        <f>IF(ISNUMBER(SEARCH('Φόρμα Εισαγωγής'!$B$2,C5957)),MAX($B$1:B5956)+1,0)</f>
        <v>0</v>
      </c>
      <c r="D5957" s="33">
        <f>IF(ISNUMBER(SEARCH('Φόρμα Εισαγωγής'!$C$2,E5957)),MAX($D$1:D5956)+1,0)</f>
        <v>0</v>
      </c>
      <c r="H5957" s="6">
        <f t="shared" si="290"/>
        <v>0</v>
      </c>
      <c r="I5957" s="6">
        <f t="shared" si="291"/>
        <v>0</v>
      </c>
      <c r="J5957" s="6">
        <f t="shared" si="292"/>
        <v>0</v>
      </c>
      <c r="L5957" s="4" t="str">
        <f>IFERROR(VLOOKUP(ROWS($L$2:L5957),$B$2:$C$1996,2,0),"")</f>
        <v/>
      </c>
      <c r="N5957" s="2" t="str">
        <f>IFERROR(VLOOKUP(ROWS($N$2:N5957),$D$2:$E$1996,2,0),"")</f>
        <v/>
      </c>
    </row>
    <row r="5958" spans="2:14">
      <c r="B5958" s="32">
        <f>IF(ISNUMBER(SEARCH('Φόρμα Εισαγωγής'!$B$2,C5958)),MAX($B$1:B5957)+1,0)</f>
        <v>0</v>
      </c>
      <c r="D5958" s="33">
        <f>IF(ISNUMBER(SEARCH('Φόρμα Εισαγωγής'!$C$2,E5958)),MAX($D$1:D5957)+1,0)</f>
        <v>0</v>
      </c>
      <c r="H5958" s="6">
        <f t="shared" si="290"/>
        <v>0</v>
      </c>
      <c r="I5958" s="6">
        <f t="shared" si="291"/>
        <v>0</v>
      </c>
      <c r="J5958" s="6">
        <f t="shared" si="292"/>
        <v>0</v>
      </c>
      <c r="L5958" s="4" t="str">
        <f>IFERROR(VLOOKUP(ROWS($L$2:L5958),$B$2:$C$1996,2,0),"")</f>
        <v/>
      </c>
      <c r="N5958" s="2" t="str">
        <f>IFERROR(VLOOKUP(ROWS($N$2:N5958),$D$2:$E$1996,2,0),"")</f>
        <v/>
      </c>
    </row>
    <row r="5959" spans="2:14">
      <c r="B5959" s="32">
        <f>IF(ISNUMBER(SEARCH('Φόρμα Εισαγωγής'!$B$2,C5959)),MAX($B$1:B5958)+1,0)</f>
        <v>0</v>
      </c>
      <c r="D5959" s="33">
        <f>IF(ISNUMBER(SEARCH('Φόρμα Εισαγωγής'!$C$2,E5959)),MAX($D$1:D5958)+1,0)</f>
        <v>0</v>
      </c>
      <c r="H5959" s="6">
        <f t="shared" si="290"/>
        <v>0</v>
      </c>
      <c r="I5959" s="6">
        <f t="shared" si="291"/>
        <v>0</v>
      </c>
      <c r="J5959" s="6">
        <f t="shared" si="292"/>
        <v>0</v>
      </c>
      <c r="L5959" s="4" t="str">
        <f>IFERROR(VLOOKUP(ROWS($L$2:L5959),$B$2:$C$1996,2,0),"")</f>
        <v/>
      </c>
      <c r="N5959" s="2" t="str">
        <f>IFERROR(VLOOKUP(ROWS($N$2:N5959),$D$2:$E$1996,2,0),"")</f>
        <v/>
      </c>
    </row>
    <row r="5960" spans="2:14">
      <c r="B5960" s="32">
        <f>IF(ISNUMBER(SEARCH('Φόρμα Εισαγωγής'!$B$2,C5960)),MAX($B$1:B5959)+1,0)</f>
        <v>0</v>
      </c>
      <c r="D5960" s="33">
        <f>IF(ISNUMBER(SEARCH('Φόρμα Εισαγωγής'!$C$2,E5960)),MAX($D$1:D5959)+1,0)</f>
        <v>0</v>
      </c>
      <c r="H5960" s="6">
        <f t="shared" si="290"/>
        <v>0</v>
      </c>
      <c r="I5960" s="6">
        <f t="shared" si="291"/>
        <v>0</v>
      </c>
      <c r="J5960" s="6">
        <f t="shared" si="292"/>
        <v>0</v>
      </c>
      <c r="L5960" s="4" t="str">
        <f>IFERROR(VLOOKUP(ROWS($L$2:L5960),$B$2:$C$1996,2,0),"")</f>
        <v/>
      </c>
      <c r="N5960" s="2" t="str">
        <f>IFERROR(VLOOKUP(ROWS($N$2:N5960),$D$2:$E$1996,2,0),"")</f>
        <v/>
      </c>
    </row>
    <row r="5961" spans="2:14">
      <c r="B5961" s="32">
        <f>IF(ISNUMBER(SEARCH('Φόρμα Εισαγωγής'!$B$2,C5961)),MAX($B$1:B5960)+1,0)</f>
        <v>0</v>
      </c>
      <c r="D5961" s="33">
        <f>IF(ISNUMBER(SEARCH('Φόρμα Εισαγωγής'!$C$2,E5961)),MAX($D$1:D5960)+1,0)</f>
        <v>0</v>
      </c>
      <c r="H5961" s="6">
        <f t="shared" si="290"/>
        <v>0</v>
      </c>
      <c r="I5961" s="6">
        <f t="shared" si="291"/>
        <v>0</v>
      </c>
      <c r="J5961" s="6">
        <f t="shared" si="292"/>
        <v>0</v>
      </c>
      <c r="L5961" s="4" t="str">
        <f>IFERROR(VLOOKUP(ROWS($L$2:L5961),$B$2:$C$1996,2,0),"")</f>
        <v/>
      </c>
      <c r="N5961" s="2" t="str">
        <f>IFERROR(VLOOKUP(ROWS($N$2:N5961),$D$2:$E$1996,2,0),"")</f>
        <v/>
      </c>
    </row>
    <row r="5962" spans="2:14">
      <c r="B5962" s="32">
        <f>IF(ISNUMBER(SEARCH('Φόρμα Εισαγωγής'!$B$2,C5962)),MAX($B$1:B5961)+1,0)</f>
        <v>0</v>
      </c>
      <c r="D5962" s="33">
        <f>IF(ISNUMBER(SEARCH('Φόρμα Εισαγωγής'!$C$2,E5962)),MAX($D$1:D5961)+1,0)</f>
        <v>0</v>
      </c>
      <c r="H5962" s="6">
        <f t="shared" si="290"/>
        <v>0</v>
      </c>
      <c r="I5962" s="6">
        <f t="shared" si="291"/>
        <v>0</v>
      </c>
      <c r="J5962" s="6">
        <f t="shared" si="292"/>
        <v>0</v>
      </c>
      <c r="L5962" s="4" t="str">
        <f>IFERROR(VLOOKUP(ROWS($L$2:L5962),$B$2:$C$1996,2,0),"")</f>
        <v/>
      </c>
      <c r="N5962" s="2" t="str">
        <f>IFERROR(VLOOKUP(ROWS($N$2:N5962),$D$2:$E$1996,2,0),"")</f>
        <v/>
      </c>
    </row>
    <row r="5963" spans="2:14">
      <c r="B5963" s="32">
        <f>IF(ISNUMBER(SEARCH('Φόρμα Εισαγωγής'!$B$2,C5963)),MAX($B$1:B5962)+1,0)</f>
        <v>0</v>
      </c>
      <c r="D5963" s="33">
        <f>IF(ISNUMBER(SEARCH('Φόρμα Εισαγωγής'!$C$2,E5963)),MAX($D$1:D5962)+1,0)</f>
        <v>0</v>
      </c>
      <c r="H5963" s="6">
        <f t="shared" si="290"/>
        <v>0</v>
      </c>
      <c r="I5963" s="6">
        <f t="shared" si="291"/>
        <v>0</v>
      </c>
      <c r="J5963" s="6">
        <f t="shared" si="292"/>
        <v>0</v>
      </c>
      <c r="L5963" s="4" t="str">
        <f>IFERROR(VLOOKUP(ROWS($L$2:L5963),$B$2:$C$1996,2,0),"")</f>
        <v/>
      </c>
      <c r="N5963" s="2" t="str">
        <f>IFERROR(VLOOKUP(ROWS($N$2:N5963),$D$2:$E$1996,2,0),"")</f>
        <v/>
      </c>
    </row>
    <row r="5964" spans="2:14">
      <c r="B5964" s="32">
        <f>IF(ISNUMBER(SEARCH('Φόρμα Εισαγωγής'!$B$2,C5964)),MAX($B$1:B5963)+1,0)</f>
        <v>0</v>
      </c>
      <c r="D5964" s="33">
        <f>IF(ISNUMBER(SEARCH('Φόρμα Εισαγωγής'!$C$2,E5964)),MAX($D$1:D5963)+1,0)</f>
        <v>0</v>
      </c>
      <c r="H5964" s="6">
        <f t="shared" si="290"/>
        <v>0</v>
      </c>
      <c r="I5964" s="6">
        <f t="shared" si="291"/>
        <v>0</v>
      </c>
      <c r="J5964" s="6">
        <f t="shared" si="292"/>
        <v>0</v>
      </c>
      <c r="L5964" s="4" t="str">
        <f>IFERROR(VLOOKUP(ROWS($L$2:L5964),$B$2:$C$1996,2,0),"")</f>
        <v/>
      </c>
      <c r="N5964" s="2" t="str">
        <f>IFERROR(VLOOKUP(ROWS($N$2:N5964),$D$2:$E$1996,2,0),"")</f>
        <v/>
      </c>
    </row>
    <row r="5965" spans="2:14">
      <c r="B5965" s="32">
        <f>IF(ISNUMBER(SEARCH('Φόρμα Εισαγωγής'!$B$2,C5965)),MAX($B$1:B5964)+1,0)</f>
        <v>0</v>
      </c>
      <c r="D5965" s="33">
        <f>IF(ISNUMBER(SEARCH('Φόρμα Εισαγωγής'!$C$2,E5965)),MAX($D$1:D5964)+1,0)</f>
        <v>0</v>
      </c>
      <c r="H5965" s="6">
        <f t="shared" si="290"/>
        <v>0</v>
      </c>
      <c r="I5965" s="6">
        <f t="shared" si="291"/>
        <v>0</v>
      </c>
      <c r="J5965" s="6">
        <f t="shared" si="292"/>
        <v>0</v>
      </c>
      <c r="L5965" s="4" t="str">
        <f>IFERROR(VLOOKUP(ROWS($L$2:L5965),$B$2:$C$1996,2,0),"")</f>
        <v/>
      </c>
      <c r="N5965" s="2" t="str">
        <f>IFERROR(VLOOKUP(ROWS($N$2:N5965),$D$2:$E$1996,2,0),"")</f>
        <v/>
      </c>
    </row>
    <row r="5966" spans="2:14">
      <c r="B5966" s="32">
        <f>IF(ISNUMBER(SEARCH('Φόρμα Εισαγωγής'!$B$2,C5966)),MAX($B$1:B5965)+1,0)</f>
        <v>0</v>
      </c>
      <c r="D5966" s="33">
        <f>IF(ISNUMBER(SEARCH('Φόρμα Εισαγωγής'!$C$2,E5966)),MAX($D$1:D5965)+1,0)</f>
        <v>0</v>
      </c>
      <c r="H5966" s="6">
        <f t="shared" si="290"/>
        <v>0</v>
      </c>
      <c r="I5966" s="6">
        <f t="shared" si="291"/>
        <v>0</v>
      </c>
      <c r="J5966" s="6">
        <f t="shared" si="292"/>
        <v>0</v>
      </c>
      <c r="L5966" s="4" t="str">
        <f>IFERROR(VLOOKUP(ROWS($L$2:L5966),$B$2:$C$1996,2,0),"")</f>
        <v/>
      </c>
      <c r="N5966" s="2" t="str">
        <f>IFERROR(VLOOKUP(ROWS($N$2:N5966),$D$2:$E$1996,2,0),"")</f>
        <v/>
      </c>
    </row>
    <row r="5967" spans="2:14">
      <c r="B5967" s="32">
        <f>IF(ISNUMBER(SEARCH('Φόρμα Εισαγωγής'!$B$2,C5967)),MAX($B$1:B5966)+1,0)</f>
        <v>0</v>
      </c>
      <c r="D5967" s="33">
        <f>IF(ISNUMBER(SEARCH('Φόρμα Εισαγωγής'!$C$2,E5967)),MAX($D$1:D5966)+1,0)</f>
        <v>0</v>
      </c>
      <c r="H5967" s="6">
        <f t="shared" si="290"/>
        <v>0</v>
      </c>
      <c r="I5967" s="6">
        <f t="shared" si="291"/>
        <v>0</v>
      </c>
      <c r="J5967" s="6">
        <f t="shared" si="292"/>
        <v>0</v>
      </c>
      <c r="L5967" s="4" t="str">
        <f>IFERROR(VLOOKUP(ROWS($L$2:L5967),$B$2:$C$1996,2,0),"")</f>
        <v/>
      </c>
      <c r="N5967" s="2" t="str">
        <f>IFERROR(VLOOKUP(ROWS($N$2:N5967),$D$2:$E$1996,2,0),"")</f>
        <v/>
      </c>
    </row>
    <row r="5968" spans="2:14">
      <c r="B5968" s="32">
        <f>IF(ISNUMBER(SEARCH('Φόρμα Εισαγωγής'!$B$2,C5968)),MAX($B$1:B5967)+1,0)</f>
        <v>0</v>
      </c>
      <c r="D5968" s="33">
        <f>IF(ISNUMBER(SEARCH('Φόρμα Εισαγωγής'!$C$2,E5968)),MAX($D$1:D5967)+1,0)</f>
        <v>0</v>
      </c>
      <c r="H5968" s="6">
        <f t="shared" si="290"/>
        <v>0</v>
      </c>
      <c r="I5968" s="6">
        <f t="shared" si="291"/>
        <v>0</v>
      </c>
      <c r="J5968" s="6">
        <f t="shared" si="292"/>
        <v>0</v>
      </c>
      <c r="L5968" s="4" t="str">
        <f>IFERROR(VLOOKUP(ROWS($L$2:L5968),$B$2:$C$1996,2,0),"")</f>
        <v/>
      </c>
      <c r="N5968" s="2" t="str">
        <f>IFERROR(VLOOKUP(ROWS($N$2:N5968),$D$2:$E$1996,2,0),"")</f>
        <v/>
      </c>
    </row>
    <row r="5969" spans="2:14">
      <c r="B5969" s="32">
        <f>IF(ISNUMBER(SEARCH('Φόρμα Εισαγωγής'!$B$2,C5969)),MAX($B$1:B5968)+1,0)</f>
        <v>0</v>
      </c>
      <c r="D5969" s="33">
        <f>IF(ISNUMBER(SEARCH('Φόρμα Εισαγωγής'!$C$2,E5969)),MAX($D$1:D5968)+1,0)</f>
        <v>0</v>
      </c>
      <c r="H5969" s="6">
        <f t="shared" si="290"/>
        <v>0</v>
      </c>
      <c r="I5969" s="6">
        <f t="shared" si="291"/>
        <v>0</v>
      </c>
      <c r="J5969" s="6">
        <f t="shared" si="292"/>
        <v>0</v>
      </c>
      <c r="L5969" s="4" t="str">
        <f>IFERROR(VLOOKUP(ROWS($L$2:L5969),$B$2:$C$1996,2,0),"")</f>
        <v/>
      </c>
      <c r="N5969" s="2" t="str">
        <f>IFERROR(VLOOKUP(ROWS($N$2:N5969),$D$2:$E$1996,2,0),"")</f>
        <v/>
      </c>
    </row>
    <row r="5970" spans="2:14">
      <c r="B5970" s="32">
        <f>IF(ISNUMBER(SEARCH('Φόρμα Εισαγωγής'!$B$2,C5970)),MAX($B$1:B5969)+1,0)</f>
        <v>0</v>
      </c>
      <c r="D5970" s="33">
        <f>IF(ISNUMBER(SEARCH('Φόρμα Εισαγωγής'!$C$2,E5970)),MAX($D$1:D5969)+1,0)</f>
        <v>0</v>
      </c>
      <c r="H5970" s="6">
        <f t="shared" si="290"/>
        <v>0</v>
      </c>
      <c r="I5970" s="6">
        <f t="shared" si="291"/>
        <v>0</v>
      </c>
      <c r="J5970" s="6">
        <f t="shared" si="292"/>
        <v>0</v>
      </c>
      <c r="L5970" s="4" t="str">
        <f>IFERROR(VLOOKUP(ROWS($L$2:L5970),$B$2:$C$1996,2,0),"")</f>
        <v/>
      </c>
      <c r="N5970" s="2" t="str">
        <f>IFERROR(VLOOKUP(ROWS($N$2:N5970),$D$2:$E$1996,2,0),"")</f>
        <v/>
      </c>
    </row>
    <row r="5971" spans="2:14">
      <c r="B5971" s="32">
        <f>IF(ISNUMBER(SEARCH('Φόρμα Εισαγωγής'!$B$2,C5971)),MAX($B$1:B5970)+1,0)</f>
        <v>0</v>
      </c>
      <c r="D5971" s="33">
        <f>IF(ISNUMBER(SEARCH('Φόρμα Εισαγωγής'!$C$2,E5971)),MAX($D$1:D5970)+1,0)</f>
        <v>0</v>
      </c>
      <c r="H5971" s="6">
        <f t="shared" si="290"/>
        <v>0</v>
      </c>
      <c r="I5971" s="6">
        <f t="shared" si="291"/>
        <v>0</v>
      </c>
      <c r="J5971" s="6">
        <f t="shared" si="292"/>
        <v>0</v>
      </c>
      <c r="L5971" s="4" t="str">
        <f>IFERROR(VLOOKUP(ROWS($L$2:L5971),$B$2:$C$1996,2,0),"")</f>
        <v/>
      </c>
      <c r="N5971" s="2" t="str">
        <f>IFERROR(VLOOKUP(ROWS($N$2:N5971),$D$2:$E$1996,2,0),"")</f>
        <v/>
      </c>
    </row>
    <row r="5972" spans="2:14">
      <c r="B5972" s="32">
        <f>IF(ISNUMBER(SEARCH('Φόρμα Εισαγωγής'!$B$2,C5972)),MAX($B$1:B5971)+1,0)</f>
        <v>0</v>
      </c>
      <c r="D5972" s="33">
        <f>IF(ISNUMBER(SEARCH('Φόρμα Εισαγωγής'!$C$2,E5972)),MAX($D$1:D5971)+1,0)</f>
        <v>0</v>
      </c>
      <c r="H5972" s="6">
        <f t="shared" si="290"/>
        <v>0</v>
      </c>
      <c r="I5972" s="6">
        <f t="shared" si="291"/>
        <v>0</v>
      </c>
      <c r="J5972" s="6">
        <f t="shared" si="292"/>
        <v>0</v>
      </c>
      <c r="L5972" s="4" t="str">
        <f>IFERROR(VLOOKUP(ROWS($L$2:L5972),$B$2:$C$1996,2,0),"")</f>
        <v/>
      </c>
      <c r="N5972" s="2" t="str">
        <f>IFERROR(VLOOKUP(ROWS($N$2:N5972),$D$2:$E$1996,2,0),"")</f>
        <v/>
      </c>
    </row>
    <row r="5973" spans="2:14">
      <c r="B5973" s="32">
        <f>IF(ISNUMBER(SEARCH('Φόρμα Εισαγωγής'!$B$2,C5973)),MAX($B$1:B5972)+1,0)</f>
        <v>0</v>
      </c>
      <c r="D5973" s="33">
        <f>IF(ISNUMBER(SEARCH('Φόρμα Εισαγωγής'!$C$2,E5973)),MAX($D$1:D5972)+1,0)</f>
        <v>0</v>
      </c>
      <c r="H5973" s="6">
        <f t="shared" si="290"/>
        <v>0</v>
      </c>
      <c r="I5973" s="6">
        <f t="shared" si="291"/>
        <v>0</v>
      </c>
      <c r="J5973" s="6">
        <f t="shared" si="292"/>
        <v>0</v>
      </c>
      <c r="L5973" s="4" t="str">
        <f>IFERROR(VLOOKUP(ROWS($L$2:L5973),$B$2:$C$1996,2,0),"")</f>
        <v/>
      </c>
      <c r="N5973" s="2" t="str">
        <f>IFERROR(VLOOKUP(ROWS($N$2:N5973),$D$2:$E$1996,2,0),"")</f>
        <v/>
      </c>
    </row>
    <row r="5974" spans="2:14">
      <c r="B5974" s="32">
        <f>IF(ISNUMBER(SEARCH('Φόρμα Εισαγωγής'!$B$2,C5974)),MAX($B$1:B5973)+1,0)</f>
        <v>0</v>
      </c>
      <c r="D5974" s="33">
        <f>IF(ISNUMBER(SEARCH('Φόρμα Εισαγωγής'!$C$2,E5974)),MAX($D$1:D5973)+1,0)</f>
        <v>0</v>
      </c>
      <c r="H5974" s="6">
        <f t="shared" si="290"/>
        <v>0</v>
      </c>
      <c r="I5974" s="6">
        <f t="shared" si="291"/>
        <v>0</v>
      </c>
      <c r="J5974" s="6">
        <f t="shared" si="292"/>
        <v>0</v>
      </c>
      <c r="L5974" s="4" t="str">
        <f>IFERROR(VLOOKUP(ROWS($L$2:L5974),$B$2:$C$1996,2,0),"")</f>
        <v/>
      </c>
      <c r="N5974" s="2" t="str">
        <f>IFERROR(VLOOKUP(ROWS($N$2:N5974),$D$2:$E$1996,2,0),"")</f>
        <v/>
      </c>
    </row>
    <row r="5975" spans="2:14">
      <c r="B5975" s="32">
        <f>IF(ISNUMBER(SEARCH('Φόρμα Εισαγωγής'!$B$2,C5975)),MAX($B$1:B5974)+1,0)</f>
        <v>0</v>
      </c>
      <c r="D5975" s="33">
        <f>IF(ISNUMBER(SEARCH('Φόρμα Εισαγωγής'!$C$2,E5975)),MAX($D$1:D5974)+1,0)</f>
        <v>0</v>
      </c>
      <c r="H5975" s="6">
        <f t="shared" si="290"/>
        <v>0</v>
      </c>
      <c r="I5975" s="6">
        <f t="shared" si="291"/>
        <v>0</v>
      </c>
      <c r="J5975" s="6">
        <f t="shared" si="292"/>
        <v>0</v>
      </c>
      <c r="L5975" s="4" t="str">
        <f>IFERROR(VLOOKUP(ROWS($L$2:L5975),$B$2:$C$1996,2,0),"")</f>
        <v/>
      </c>
      <c r="N5975" s="2" t="str">
        <f>IFERROR(VLOOKUP(ROWS($N$2:N5975),$D$2:$E$1996,2,0),"")</f>
        <v/>
      </c>
    </row>
    <row r="5976" spans="2:14">
      <c r="B5976" s="32">
        <f>IF(ISNUMBER(SEARCH('Φόρμα Εισαγωγής'!$B$2,C5976)),MAX($B$1:B5975)+1,0)</f>
        <v>0</v>
      </c>
      <c r="D5976" s="33">
        <f>IF(ISNUMBER(SEARCH('Φόρμα Εισαγωγής'!$C$2,E5976)),MAX($D$1:D5975)+1,0)</f>
        <v>0</v>
      </c>
      <c r="H5976" s="6">
        <f t="shared" si="290"/>
        <v>0</v>
      </c>
      <c r="I5976" s="6">
        <f t="shared" si="291"/>
        <v>0</v>
      </c>
      <c r="J5976" s="6">
        <f t="shared" si="292"/>
        <v>0</v>
      </c>
      <c r="L5976" s="4" t="str">
        <f>IFERROR(VLOOKUP(ROWS($L$2:L5976),$B$2:$C$1996,2,0),"")</f>
        <v/>
      </c>
      <c r="N5976" s="2" t="str">
        <f>IFERROR(VLOOKUP(ROWS($N$2:N5976),$D$2:$E$1996,2,0),"")</f>
        <v/>
      </c>
    </row>
    <row r="5977" spans="2:14">
      <c r="B5977" s="32">
        <f>IF(ISNUMBER(SEARCH('Φόρμα Εισαγωγής'!$B$2,C5977)),MAX($B$1:B5976)+1,0)</f>
        <v>0</v>
      </c>
      <c r="D5977" s="33">
        <f>IF(ISNUMBER(SEARCH('Φόρμα Εισαγωγής'!$C$2,E5977)),MAX($D$1:D5976)+1,0)</f>
        <v>0</v>
      </c>
      <c r="H5977" s="6">
        <f t="shared" si="290"/>
        <v>0</v>
      </c>
      <c r="I5977" s="6">
        <f t="shared" si="291"/>
        <v>0</v>
      </c>
      <c r="J5977" s="6">
        <f t="shared" si="292"/>
        <v>0</v>
      </c>
      <c r="L5977" s="4" t="str">
        <f>IFERROR(VLOOKUP(ROWS($L$2:L5977),$B$2:$C$1996,2,0),"")</f>
        <v/>
      </c>
      <c r="N5977" s="2" t="str">
        <f>IFERROR(VLOOKUP(ROWS($N$2:N5977),$D$2:$E$1996,2,0),"")</f>
        <v/>
      </c>
    </row>
    <row r="5978" spans="2:14">
      <c r="B5978" s="32">
        <f>IF(ISNUMBER(SEARCH('Φόρμα Εισαγωγής'!$B$2,C5978)),MAX($B$1:B5977)+1,0)</f>
        <v>0</v>
      </c>
      <c r="D5978" s="33">
        <f>IF(ISNUMBER(SEARCH('Φόρμα Εισαγωγής'!$C$2,E5978)),MAX($D$1:D5977)+1,0)</f>
        <v>0</v>
      </c>
      <c r="H5978" s="6">
        <f t="shared" si="290"/>
        <v>0</v>
      </c>
      <c r="I5978" s="6">
        <f t="shared" si="291"/>
        <v>0</v>
      </c>
      <c r="J5978" s="6">
        <f t="shared" si="292"/>
        <v>0</v>
      </c>
      <c r="L5978" s="4" t="str">
        <f>IFERROR(VLOOKUP(ROWS($L$2:L5978),$B$2:$C$1996,2,0),"")</f>
        <v/>
      </c>
      <c r="N5978" s="2" t="str">
        <f>IFERROR(VLOOKUP(ROWS($N$2:N5978),$D$2:$E$1996,2,0),"")</f>
        <v/>
      </c>
    </row>
    <row r="5979" spans="2:14">
      <c r="B5979" s="32">
        <f>IF(ISNUMBER(SEARCH('Φόρμα Εισαγωγής'!$B$2,C5979)),MAX($B$1:B5978)+1,0)</f>
        <v>0</v>
      </c>
      <c r="D5979" s="33">
        <f>IF(ISNUMBER(SEARCH('Φόρμα Εισαγωγής'!$C$2,E5979)),MAX($D$1:D5978)+1,0)</f>
        <v>0</v>
      </c>
      <c r="H5979" s="6">
        <f t="shared" si="290"/>
        <v>0</v>
      </c>
      <c r="I5979" s="6">
        <f t="shared" si="291"/>
        <v>0</v>
      </c>
      <c r="J5979" s="6">
        <f t="shared" si="292"/>
        <v>0</v>
      </c>
      <c r="L5979" s="4" t="str">
        <f>IFERROR(VLOOKUP(ROWS($L$2:L5979),$B$2:$C$1996,2,0),"")</f>
        <v/>
      </c>
      <c r="N5979" s="2" t="str">
        <f>IFERROR(VLOOKUP(ROWS($N$2:N5979),$D$2:$E$1996,2,0),"")</f>
        <v/>
      </c>
    </row>
    <row r="5980" spans="2:14">
      <c r="B5980" s="32">
        <f>IF(ISNUMBER(SEARCH('Φόρμα Εισαγωγής'!$B$2,C5980)),MAX($B$1:B5979)+1,0)</f>
        <v>0</v>
      </c>
      <c r="D5980" s="33">
        <f>IF(ISNUMBER(SEARCH('Φόρμα Εισαγωγής'!$C$2,E5980)),MAX($D$1:D5979)+1,0)</f>
        <v>0</v>
      </c>
      <c r="H5980" s="6">
        <f t="shared" si="290"/>
        <v>0</v>
      </c>
      <c r="I5980" s="6">
        <f t="shared" si="291"/>
        <v>0</v>
      </c>
      <c r="J5980" s="6">
        <f t="shared" si="292"/>
        <v>0</v>
      </c>
      <c r="L5980" s="4" t="str">
        <f>IFERROR(VLOOKUP(ROWS($L$2:L5980),$B$2:$C$1996,2,0),"")</f>
        <v/>
      </c>
      <c r="N5980" s="2" t="str">
        <f>IFERROR(VLOOKUP(ROWS($N$2:N5980),$D$2:$E$1996,2,0),"")</f>
        <v/>
      </c>
    </row>
    <row r="5981" spans="2:14">
      <c r="B5981" s="32">
        <f>IF(ISNUMBER(SEARCH('Φόρμα Εισαγωγής'!$B$2,C5981)),MAX($B$1:B5980)+1,0)</f>
        <v>0</v>
      </c>
      <c r="D5981" s="33">
        <f>IF(ISNUMBER(SEARCH('Φόρμα Εισαγωγής'!$C$2,E5981)),MAX($D$1:D5980)+1,0)</f>
        <v>0</v>
      </c>
      <c r="H5981" s="6">
        <f t="shared" si="290"/>
        <v>0</v>
      </c>
      <c r="I5981" s="6">
        <f t="shared" si="291"/>
        <v>0</v>
      </c>
      <c r="J5981" s="6">
        <f t="shared" si="292"/>
        <v>0</v>
      </c>
      <c r="L5981" s="4" t="str">
        <f>IFERROR(VLOOKUP(ROWS($L$2:L5981),$B$2:$C$1996,2,0),"")</f>
        <v/>
      </c>
      <c r="N5981" s="2" t="str">
        <f>IFERROR(VLOOKUP(ROWS($N$2:N5981),$D$2:$E$1996,2,0),"")</f>
        <v/>
      </c>
    </row>
    <row r="5982" spans="2:14">
      <c r="B5982" s="32">
        <f>IF(ISNUMBER(SEARCH('Φόρμα Εισαγωγής'!$B$2,C5982)),MAX($B$1:B5981)+1,0)</f>
        <v>0</v>
      </c>
      <c r="D5982" s="33">
        <f>IF(ISNUMBER(SEARCH('Φόρμα Εισαγωγής'!$C$2,E5982)),MAX($D$1:D5981)+1,0)</f>
        <v>0</v>
      </c>
      <c r="H5982" s="6">
        <f t="shared" si="290"/>
        <v>0</v>
      </c>
      <c r="I5982" s="6">
        <f t="shared" si="291"/>
        <v>0</v>
      </c>
      <c r="J5982" s="6">
        <f t="shared" si="292"/>
        <v>0</v>
      </c>
      <c r="L5982" s="4" t="str">
        <f>IFERROR(VLOOKUP(ROWS($L$2:L5982),$B$2:$C$1996,2,0),"")</f>
        <v/>
      </c>
      <c r="N5982" s="2" t="str">
        <f>IFERROR(VLOOKUP(ROWS($N$2:N5982),$D$2:$E$1996,2,0),"")</f>
        <v/>
      </c>
    </row>
    <row r="5983" spans="2:14">
      <c r="B5983" s="32">
        <f>IF(ISNUMBER(SEARCH('Φόρμα Εισαγωγής'!$B$2,C5983)),MAX($B$1:B5982)+1,0)</f>
        <v>0</v>
      </c>
      <c r="D5983" s="33">
        <f>IF(ISNUMBER(SEARCH('Φόρμα Εισαγωγής'!$C$2,E5983)),MAX($D$1:D5982)+1,0)</f>
        <v>0</v>
      </c>
      <c r="H5983" s="6">
        <f t="shared" si="290"/>
        <v>0</v>
      </c>
      <c r="I5983" s="6">
        <f t="shared" si="291"/>
        <v>0</v>
      </c>
      <c r="J5983" s="6">
        <f t="shared" si="292"/>
        <v>0</v>
      </c>
      <c r="L5983" s="4" t="str">
        <f>IFERROR(VLOOKUP(ROWS($L$2:L5983),$B$2:$C$1996,2,0),"")</f>
        <v/>
      </c>
      <c r="N5983" s="2" t="str">
        <f>IFERROR(VLOOKUP(ROWS($N$2:N5983),$D$2:$E$1996,2,0),"")</f>
        <v/>
      </c>
    </row>
    <row r="5984" spans="2:14">
      <c r="B5984" s="32">
        <f>IF(ISNUMBER(SEARCH('Φόρμα Εισαγωγής'!$B$2,C5984)),MAX($B$1:B5983)+1,0)</f>
        <v>0</v>
      </c>
      <c r="D5984" s="33">
        <f>IF(ISNUMBER(SEARCH('Φόρμα Εισαγωγής'!$C$2,E5984)),MAX($D$1:D5983)+1,0)</f>
        <v>0</v>
      </c>
      <c r="H5984" s="6">
        <f t="shared" si="290"/>
        <v>0</v>
      </c>
      <c r="I5984" s="6">
        <f t="shared" si="291"/>
        <v>0</v>
      </c>
      <c r="J5984" s="6">
        <f t="shared" si="292"/>
        <v>0</v>
      </c>
      <c r="L5984" s="4" t="str">
        <f>IFERROR(VLOOKUP(ROWS($L$2:L5984),$B$2:$C$1996,2,0),"")</f>
        <v/>
      </c>
      <c r="N5984" s="2" t="str">
        <f>IFERROR(VLOOKUP(ROWS($N$2:N5984),$D$2:$E$1996,2,0),"")</f>
        <v/>
      </c>
    </row>
    <row r="5985" spans="2:14">
      <c r="B5985" s="32">
        <f>IF(ISNUMBER(SEARCH('Φόρμα Εισαγωγής'!$B$2,C5985)),MAX($B$1:B5984)+1,0)</f>
        <v>0</v>
      </c>
      <c r="D5985" s="33">
        <f>IF(ISNUMBER(SEARCH('Φόρμα Εισαγωγής'!$C$2,E5985)),MAX($D$1:D5984)+1,0)</f>
        <v>0</v>
      </c>
      <c r="H5985" s="6">
        <f t="shared" si="290"/>
        <v>0</v>
      </c>
      <c r="I5985" s="6">
        <f t="shared" si="291"/>
        <v>0</v>
      </c>
      <c r="J5985" s="6">
        <f t="shared" si="292"/>
        <v>0</v>
      </c>
      <c r="L5985" s="4" t="str">
        <f>IFERROR(VLOOKUP(ROWS($L$2:L5985),$B$2:$C$1996,2,0),"")</f>
        <v/>
      </c>
      <c r="N5985" s="2" t="str">
        <f>IFERROR(VLOOKUP(ROWS($N$2:N5985),$D$2:$E$1996,2,0),"")</f>
        <v/>
      </c>
    </row>
    <row r="5986" spans="2:14">
      <c r="B5986" s="32">
        <f>IF(ISNUMBER(SEARCH('Φόρμα Εισαγωγής'!$B$2,C5986)),MAX($B$1:B5985)+1,0)</f>
        <v>0</v>
      </c>
      <c r="D5986" s="33">
        <f>IF(ISNUMBER(SEARCH('Φόρμα Εισαγωγής'!$C$2,E5986)),MAX($D$1:D5985)+1,0)</f>
        <v>0</v>
      </c>
      <c r="H5986" s="6">
        <f t="shared" si="290"/>
        <v>0</v>
      </c>
      <c r="I5986" s="6">
        <f t="shared" si="291"/>
        <v>0</v>
      </c>
      <c r="J5986" s="6">
        <f t="shared" si="292"/>
        <v>0</v>
      </c>
      <c r="L5986" s="4" t="str">
        <f>IFERROR(VLOOKUP(ROWS($L$2:L5986),$B$2:$C$1996,2,0),"")</f>
        <v/>
      </c>
      <c r="N5986" s="2" t="str">
        <f>IFERROR(VLOOKUP(ROWS($N$2:N5986),$D$2:$E$1996,2,0),"")</f>
        <v/>
      </c>
    </row>
    <row r="5987" spans="2:14">
      <c r="B5987" s="32">
        <f>IF(ISNUMBER(SEARCH('Φόρμα Εισαγωγής'!$B$2,C5987)),MAX($B$1:B5986)+1,0)</f>
        <v>0</v>
      </c>
      <c r="D5987" s="33">
        <f>IF(ISNUMBER(SEARCH('Φόρμα Εισαγωγής'!$C$2,E5987)),MAX($D$1:D5986)+1,0)</f>
        <v>0</v>
      </c>
      <c r="H5987" s="6">
        <f t="shared" si="290"/>
        <v>0</v>
      </c>
      <c r="I5987" s="6">
        <f t="shared" si="291"/>
        <v>0</v>
      </c>
      <c r="J5987" s="6">
        <f t="shared" si="292"/>
        <v>0</v>
      </c>
      <c r="L5987" s="4" t="str">
        <f>IFERROR(VLOOKUP(ROWS($L$2:L5987),$B$2:$C$1996,2,0),"")</f>
        <v/>
      </c>
      <c r="N5987" s="2" t="str">
        <f>IFERROR(VLOOKUP(ROWS($N$2:N5987),$D$2:$E$1996,2,0),"")</f>
        <v/>
      </c>
    </row>
    <row r="5988" spans="2:14">
      <c r="B5988" s="32">
        <f>IF(ISNUMBER(SEARCH('Φόρμα Εισαγωγής'!$B$2,C5988)),MAX($B$1:B5987)+1,0)</f>
        <v>0</v>
      </c>
      <c r="D5988" s="33">
        <f>IF(ISNUMBER(SEARCH('Φόρμα Εισαγωγής'!$C$2,E5988)),MAX($D$1:D5987)+1,0)</f>
        <v>0</v>
      </c>
      <c r="H5988" s="6">
        <f t="shared" si="290"/>
        <v>0</v>
      </c>
      <c r="I5988" s="6">
        <f t="shared" si="291"/>
        <v>0</v>
      </c>
      <c r="J5988" s="6">
        <f t="shared" si="292"/>
        <v>0</v>
      </c>
      <c r="L5988" s="4" t="str">
        <f>IFERROR(VLOOKUP(ROWS($L$2:L5988),$B$2:$C$1996,2,0),"")</f>
        <v/>
      </c>
      <c r="N5988" s="2" t="str">
        <f>IFERROR(VLOOKUP(ROWS($N$2:N5988),$D$2:$E$1996,2,0),"")</f>
        <v/>
      </c>
    </row>
    <row r="5989" spans="2:14">
      <c r="B5989" s="32">
        <f>IF(ISNUMBER(SEARCH('Φόρμα Εισαγωγής'!$B$2,C5989)),MAX($B$1:B5988)+1,0)</f>
        <v>0</v>
      </c>
      <c r="D5989" s="33">
        <f>IF(ISNUMBER(SEARCH('Φόρμα Εισαγωγής'!$C$2,E5989)),MAX($D$1:D5988)+1,0)</f>
        <v>0</v>
      </c>
      <c r="H5989" s="6">
        <f t="shared" si="290"/>
        <v>0</v>
      </c>
      <c r="I5989" s="6">
        <f t="shared" si="291"/>
        <v>0</v>
      </c>
      <c r="J5989" s="6">
        <f t="shared" si="292"/>
        <v>0</v>
      </c>
      <c r="L5989" s="4" t="str">
        <f>IFERROR(VLOOKUP(ROWS($L$2:L5989),$B$2:$C$1996,2,0),"")</f>
        <v/>
      </c>
      <c r="N5989" s="2" t="str">
        <f>IFERROR(VLOOKUP(ROWS($N$2:N5989),$D$2:$E$1996,2,0),"")</f>
        <v/>
      </c>
    </row>
    <row r="5990" spans="2:14">
      <c r="B5990" s="32">
        <f>IF(ISNUMBER(SEARCH('Φόρμα Εισαγωγής'!$B$2,C5990)),MAX($B$1:B5989)+1,0)</f>
        <v>0</v>
      </c>
      <c r="D5990" s="33">
        <f>IF(ISNUMBER(SEARCH('Φόρμα Εισαγωγής'!$C$2,E5990)),MAX($D$1:D5989)+1,0)</f>
        <v>0</v>
      </c>
      <c r="H5990" s="6">
        <f t="shared" si="290"/>
        <v>0</v>
      </c>
      <c r="I5990" s="6">
        <f t="shared" si="291"/>
        <v>0</v>
      </c>
      <c r="J5990" s="6">
        <f t="shared" si="292"/>
        <v>0</v>
      </c>
      <c r="L5990" s="4" t="str">
        <f>IFERROR(VLOOKUP(ROWS($L$2:L5990),$B$2:$C$1996,2,0),"")</f>
        <v/>
      </c>
      <c r="N5990" s="2" t="str">
        <f>IFERROR(VLOOKUP(ROWS($N$2:N5990),$D$2:$E$1996,2,0),"")</f>
        <v/>
      </c>
    </row>
    <row r="5991" spans="2:14">
      <c r="B5991" s="32">
        <f>IF(ISNUMBER(SEARCH('Φόρμα Εισαγωγής'!$B$2,C5991)),MAX($B$1:B5990)+1,0)</f>
        <v>0</v>
      </c>
      <c r="D5991" s="33">
        <f>IF(ISNUMBER(SEARCH('Φόρμα Εισαγωγής'!$C$2,E5991)),MAX($D$1:D5990)+1,0)</f>
        <v>0</v>
      </c>
      <c r="H5991" s="6">
        <f t="shared" si="290"/>
        <v>0</v>
      </c>
      <c r="I5991" s="6">
        <f t="shared" si="291"/>
        <v>0</v>
      </c>
      <c r="J5991" s="6">
        <f t="shared" si="292"/>
        <v>0</v>
      </c>
      <c r="L5991" s="4" t="str">
        <f>IFERROR(VLOOKUP(ROWS($L$2:L5991),$B$2:$C$1996,2,0),"")</f>
        <v/>
      </c>
      <c r="N5991" s="2" t="str">
        <f>IFERROR(VLOOKUP(ROWS($N$2:N5991),$D$2:$E$1996,2,0),"")</f>
        <v/>
      </c>
    </row>
    <row r="5992" spans="2:14">
      <c r="B5992" s="32">
        <f>IF(ISNUMBER(SEARCH('Φόρμα Εισαγωγής'!$B$2,C5992)),MAX($B$1:B5991)+1,0)</f>
        <v>0</v>
      </c>
      <c r="D5992" s="33">
        <f>IF(ISNUMBER(SEARCH('Φόρμα Εισαγωγής'!$C$2,E5992)),MAX($D$1:D5991)+1,0)</f>
        <v>0</v>
      </c>
      <c r="H5992" s="6">
        <f t="shared" si="290"/>
        <v>0</v>
      </c>
      <c r="I5992" s="6">
        <f t="shared" si="291"/>
        <v>0</v>
      </c>
      <c r="J5992" s="6">
        <f t="shared" si="292"/>
        <v>0</v>
      </c>
      <c r="L5992" s="4" t="str">
        <f>IFERROR(VLOOKUP(ROWS($L$2:L5992),$B$2:$C$1996,2,0),"")</f>
        <v/>
      </c>
      <c r="N5992" s="2" t="str">
        <f>IFERROR(VLOOKUP(ROWS($N$2:N5992),$D$2:$E$1996,2,0),"")</f>
        <v/>
      </c>
    </row>
    <row r="5993" spans="2:14">
      <c r="B5993" s="32">
        <f>IF(ISNUMBER(SEARCH('Φόρμα Εισαγωγής'!$B$2,C5993)),MAX($B$1:B5992)+1,0)</f>
        <v>0</v>
      </c>
      <c r="D5993" s="33">
        <f>IF(ISNUMBER(SEARCH('Φόρμα Εισαγωγής'!$C$2,E5993)),MAX($D$1:D5992)+1,0)</f>
        <v>0</v>
      </c>
      <c r="H5993" s="6">
        <f t="shared" si="290"/>
        <v>0</v>
      </c>
      <c r="I5993" s="6">
        <f t="shared" si="291"/>
        <v>0</v>
      </c>
      <c r="J5993" s="6">
        <f t="shared" si="292"/>
        <v>0</v>
      </c>
      <c r="L5993" s="4" t="str">
        <f>IFERROR(VLOOKUP(ROWS($L$2:L5993),$B$2:$C$1996,2,0),"")</f>
        <v/>
      </c>
      <c r="N5993" s="2" t="str">
        <f>IFERROR(VLOOKUP(ROWS($N$2:N5993),$D$2:$E$1996,2,0),"")</f>
        <v/>
      </c>
    </row>
    <row r="5994" spans="2:14">
      <c r="B5994" s="32">
        <f>IF(ISNUMBER(SEARCH('Φόρμα Εισαγωγής'!$B$2,C5994)),MAX($B$1:B5993)+1,0)</f>
        <v>0</v>
      </c>
      <c r="D5994" s="33">
        <f>IF(ISNUMBER(SEARCH('Φόρμα Εισαγωγής'!$C$2,E5994)),MAX($D$1:D5993)+1,0)</f>
        <v>0</v>
      </c>
      <c r="H5994" s="6">
        <f t="shared" si="290"/>
        <v>0</v>
      </c>
      <c r="I5994" s="6">
        <f t="shared" si="291"/>
        <v>0</v>
      </c>
      <c r="J5994" s="6">
        <f t="shared" si="292"/>
        <v>0</v>
      </c>
      <c r="L5994" s="4" t="str">
        <f>IFERROR(VLOOKUP(ROWS($L$2:L5994),$B$2:$C$1996,2,0),"")</f>
        <v/>
      </c>
      <c r="N5994" s="2" t="str">
        <f>IFERROR(VLOOKUP(ROWS($N$2:N5994),$D$2:$E$1996,2,0),"")</f>
        <v/>
      </c>
    </row>
    <row r="5995" spans="2:14">
      <c r="B5995" s="32">
        <f>IF(ISNUMBER(SEARCH('Φόρμα Εισαγωγής'!$B$2,C5995)),MAX($B$1:B5994)+1,0)</f>
        <v>0</v>
      </c>
      <c r="D5995" s="33">
        <f>IF(ISNUMBER(SEARCH('Φόρμα Εισαγωγής'!$C$2,E5995)),MAX($D$1:D5994)+1,0)</f>
        <v>0</v>
      </c>
      <c r="H5995" s="6">
        <f t="shared" si="290"/>
        <v>0</v>
      </c>
      <c r="I5995" s="6">
        <f t="shared" si="291"/>
        <v>0</v>
      </c>
      <c r="J5995" s="6">
        <f t="shared" si="292"/>
        <v>0</v>
      </c>
      <c r="L5995" s="4" t="str">
        <f>IFERROR(VLOOKUP(ROWS($L$2:L5995),$B$2:$C$1996,2,0),"")</f>
        <v/>
      </c>
      <c r="N5995" s="2" t="str">
        <f>IFERROR(VLOOKUP(ROWS($N$2:N5995),$D$2:$E$1996,2,0),"")</f>
        <v/>
      </c>
    </row>
    <row r="5996" spans="2:14">
      <c r="B5996" s="32">
        <f>IF(ISNUMBER(SEARCH('Φόρμα Εισαγωγής'!$B$2,C5996)),MAX($B$1:B5995)+1,0)</f>
        <v>0</v>
      </c>
      <c r="D5996" s="33">
        <f>IF(ISNUMBER(SEARCH('Φόρμα Εισαγωγής'!$C$2,E5996)),MAX($D$1:D5995)+1,0)</f>
        <v>0</v>
      </c>
      <c r="H5996" s="6">
        <f t="shared" si="290"/>
        <v>0</v>
      </c>
      <c r="I5996" s="6">
        <f t="shared" si="291"/>
        <v>0</v>
      </c>
      <c r="J5996" s="6">
        <f t="shared" si="292"/>
        <v>0</v>
      </c>
      <c r="L5996" s="4" t="str">
        <f>IFERROR(VLOOKUP(ROWS($L$2:L5996),$B$2:$C$1996,2,0),"")</f>
        <v/>
      </c>
      <c r="N5996" s="2" t="str">
        <f>IFERROR(VLOOKUP(ROWS($N$2:N5996),$D$2:$E$1996,2,0),"")</f>
        <v/>
      </c>
    </row>
    <row r="5997" spans="2:14">
      <c r="B5997" s="32">
        <f>IF(ISNUMBER(SEARCH('Φόρμα Εισαγωγής'!$B$2,C5997)),MAX($B$1:B5996)+1,0)</f>
        <v>0</v>
      </c>
      <c r="D5997" s="33">
        <f>IF(ISNUMBER(SEARCH('Φόρμα Εισαγωγής'!$C$2,E5997)),MAX($D$1:D5996)+1,0)</f>
        <v>0</v>
      </c>
      <c r="H5997" s="6">
        <f t="shared" si="290"/>
        <v>0</v>
      </c>
      <c r="I5997" s="6">
        <f t="shared" si="291"/>
        <v>0</v>
      </c>
      <c r="J5997" s="6">
        <f t="shared" si="292"/>
        <v>0</v>
      </c>
      <c r="L5997" s="4" t="str">
        <f>IFERROR(VLOOKUP(ROWS($L$2:L5997),$B$2:$C$1996,2,0),"")</f>
        <v/>
      </c>
      <c r="N5997" s="2" t="str">
        <f>IFERROR(VLOOKUP(ROWS($N$2:N5997),$D$2:$E$1996,2,0),"")</f>
        <v/>
      </c>
    </row>
    <row r="5998" spans="2:14">
      <c r="B5998" s="32">
        <f>IF(ISNUMBER(SEARCH('Φόρμα Εισαγωγής'!$B$2,C5998)),MAX($B$1:B5997)+1,0)</f>
        <v>0</v>
      </c>
      <c r="D5998" s="33">
        <f>IF(ISNUMBER(SEARCH('Φόρμα Εισαγωγής'!$C$2,E5998)),MAX($D$1:D5997)+1,0)</f>
        <v>0</v>
      </c>
      <c r="H5998" s="6">
        <f t="shared" si="290"/>
        <v>0</v>
      </c>
      <c r="I5998" s="6">
        <f t="shared" si="291"/>
        <v>0</v>
      </c>
      <c r="J5998" s="6">
        <f t="shared" si="292"/>
        <v>0</v>
      </c>
      <c r="L5998" s="4" t="str">
        <f>IFERROR(VLOOKUP(ROWS($L$2:L5998),$B$2:$C$1996,2,0),"")</f>
        <v/>
      </c>
      <c r="N5998" s="2" t="str">
        <f>IFERROR(VLOOKUP(ROWS($N$2:N5998),$D$2:$E$1996,2,0),"")</f>
        <v/>
      </c>
    </row>
    <row r="5999" spans="2:14">
      <c r="B5999" s="32">
        <f>IF(ISNUMBER(SEARCH('Φόρμα Εισαγωγής'!$B$2,C5999)),MAX($B$1:B5998)+1,0)</f>
        <v>0</v>
      </c>
      <c r="D5999" s="33">
        <f>IF(ISNUMBER(SEARCH('Φόρμα Εισαγωγής'!$C$2,E5999)),MAX($D$1:D5998)+1,0)</f>
        <v>0</v>
      </c>
      <c r="H5999" s="6">
        <f t="shared" si="290"/>
        <v>0</v>
      </c>
      <c r="I5999" s="6">
        <f t="shared" si="291"/>
        <v>0</v>
      </c>
      <c r="J5999" s="6">
        <f t="shared" si="292"/>
        <v>0</v>
      </c>
      <c r="L5999" s="4" t="str">
        <f>IFERROR(VLOOKUP(ROWS($L$2:L5999),$B$2:$C$1996,2,0),"")</f>
        <v/>
      </c>
      <c r="N5999" s="2" t="str">
        <f>IFERROR(VLOOKUP(ROWS($N$2:N5999),$D$2:$E$1996,2,0),"")</f>
        <v/>
      </c>
    </row>
    <row r="6000" spans="2:14">
      <c r="B6000" s="32">
        <f>IF(ISNUMBER(SEARCH('Φόρμα Εισαγωγής'!$B$2,C6000)),MAX($B$1:B5999)+1,0)</f>
        <v>0</v>
      </c>
      <c r="D6000" s="33">
        <f>IF(ISNUMBER(SEARCH('Φόρμα Εισαγωγής'!$C$2,E6000)),MAX($D$1:D5999)+1,0)</f>
        <v>0</v>
      </c>
      <c r="H6000" s="6">
        <f t="shared" si="290"/>
        <v>0</v>
      </c>
      <c r="I6000" s="6">
        <f t="shared" si="291"/>
        <v>0</v>
      </c>
      <c r="J6000" s="6">
        <f t="shared" si="292"/>
        <v>0</v>
      </c>
      <c r="L6000" s="4" t="str">
        <f>IFERROR(VLOOKUP(ROWS($L$2:L6000),$B$2:$C$1996,2,0),"")</f>
        <v/>
      </c>
      <c r="N6000" s="2" t="str">
        <f>IFERROR(VLOOKUP(ROWS($N$2:N6000),$D$2:$E$1996,2,0),"")</f>
        <v/>
      </c>
    </row>
    <row r="6001" spans="2:14">
      <c r="B6001" s="32">
        <f>IF(ISNUMBER(SEARCH('Φόρμα Εισαγωγής'!$B$2,C6001)),MAX($B$1:B6000)+1,0)</f>
        <v>0</v>
      </c>
      <c r="D6001" s="33">
        <f>IF(ISNUMBER(SEARCH('Φόρμα Εισαγωγής'!$C$2,E6001)),MAX($D$1:D6000)+1,0)</f>
        <v>0</v>
      </c>
      <c r="H6001" s="6">
        <f t="shared" si="290"/>
        <v>0</v>
      </c>
      <c r="I6001" s="6">
        <f t="shared" si="291"/>
        <v>0</v>
      </c>
      <c r="J6001" s="6">
        <f t="shared" si="292"/>
        <v>0</v>
      </c>
      <c r="L6001" s="4" t="str">
        <f>IFERROR(VLOOKUP(ROWS($L$2:L6001),$B$2:$C$1996,2,0),"")</f>
        <v/>
      </c>
      <c r="N6001" s="2" t="str">
        <f>IFERROR(VLOOKUP(ROWS($N$2:N6001),$D$2:$E$1996,2,0),"")</f>
        <v/>
      </c>
    </row>
    <row r="6002" spans="2:14">
      <c r="B6002" s="32">
        <f>IF(ISNUMBER(SEARCH('Φόρμα Εισαγωγής'!$B$2,C6002)),MAX($B$1:B6001)+1,0)</f>
        <v>0</v>
      </c>
      <c r="D6002" s="33">
        <f>IF(ISNUMBER(SEARCH('Φόρμα Εισαγωγής'!$C$2,E6002)),MAX($D$1:D6001)+1,0)</f>
        <v>0</v>
      </c>
      <c r="H6002" s="6">
        <f t="shared" si="290"/>
        <v>0</v>
      </c>
      <c r="I6002" s="6">
        <f t="shared" si="291"/>
        <v>0</v>
      </c>
      <c r="J6002" s="6">
        <f t="shared" si="292"/>
        <v>0</v>
      </c>
      <c r="L6002" s="4" t="str">
        <f>IFERROR(VLOOKUP(ROWS($L$2:L6002),$B$2:$C$1996,2,0),"")</f>
        <v/>
      </c>
      <c r="N6002" s="2" t="str">
        <f>IFERROR(VLOOKUP(ROWS($N$2:N6002),$D$2:$E$1996,2,0),"")</f>
        <v/>
      </c>
    </row>
    <row r="6003" spans="2:14">
      <c r="B6003" s="32">
        <f>IF(ISNUMBER(SEARCH('Φόρμα Εισαγωγής'!$B$2,C6003)),MAX($B$1:B6002)+1,0)</f>
        <v>0</v>
      </c>
      <c r="D6003" s="33">
        <f>IF(ISNUMBER(SEARCH('Φόρμα Εισαγωγής'!$C$2,E6003)),MAX($D$1:D6002)+1,0)</f>
        <v>0</v>
      </c>
      <c r="H6003" s="6">
        <f t="shared" si="290"/>
        <v>0</v>
      </c>
      <c r="I6003" s="6">
        <f t="shared" si="291"/>
        <v>0</v>
      </c>
      <c r="J6003" s="6">
        <f t="shared" si="292"/>
        <v>0</v>
      </c>
      <c r="L6003" s="4" t="str">
        <f>IFERROR(VLOOKUP(ROWS($L$2:L6003),$B$2:$C$1996,2,0),"")</f>
        <v/>
      </c>
      <c r="N6003" s="2" t="str">
        <f>IFERROR(VLOOKUP(ROWS($N$2:N6003),$D$2:$E$1996,2,0),"")</f>
        <v/>
      </c>
    </row>
    <row r="6004" spans="2:14">
      <c r="B6004" s="32">
        <f>IF(ISNUMBER(SEARCH('Φόρμα Εισαγωγής'!$B$2,C6004)),MAX($B$1:B6003)+1,0)</f>
        <v>0</v>
      </c>
      <c r="D6004" s="33">
        <f>IF(ISNUMBER(SEARCH('Φόρμα Εισαγωγής'!$C$2,E6004)),MAX($D$1:D6003)+1,0)</f>
        <v>0</v>
      </c>
      <c r="H6004" s="6">
        <f t="shared" si="290"/>
        <v>0</v>
      </c>
      <c r="I6004" s="6">
        <f t="shared" si="291"/>
        <v>0</v>
      </c>
      <c r="J6004" s="6">
        <f t="shared" si="292"/>
        <v>0</v>
      </c>
      <c r="L6004" s="4" t="str">
        <f>IFERROR(VLOOKUP(ROWS($L$2:L6004),$B$2:$C$1996,2,0),"")</f>
        <v/>
      </c>
      <c r="N6004" s="2" t="str">
        <f>IFERROR(VLOOKUP(ROWS($N$2:N6004),$D$2:$E$1996,2,0),"")</f>
        <v/>
      </c>
    </row>
    <row r="6005" spans="2:14">
      <c r="B6005" s="32">
        <f>IF(ISNUMBER(SEARCH('Φόρμα Εισαγωγής'!$B$2,C6005)),MAX($B$1:B6004)+1,0)</f>
        <v>0</v>
      </c>
      <c r="D6005" s="33">
        <f>IF(ISNUMBER(SEARCH('Φόρμα Εισαγωγής'!$C$2,E6005)),MAX($D$1:D6004)+1,0)</f>
        <v>0</v>
      </c>
      <c r="H6005" s="6">
        <f t="shared" si="290"/>
        <v>0</v>
      </c>
      <c r="I6005" s="6">
        <f t="shared" si="291"/>
        <v>0</v>
      </c>
      <c r="J6005" s="6">
        <f t="shared" si="292"/>
        <v>0</v>
      </c>
      <c r="L6005" s="4" t="str">
        <f>IFERROR(VLOOKUP(ROWS($L$2:L6005),$B$2:$C$1996,2,0),"")</f>
        <v/>
      </c>
      <c r="N6005" s="2" t="str">
        <f>IFERROR(VLOOKUP(ROWS($N$2:N6005),$D$2:$E$1996,2,0),"")</f>
        <v/>
      </c>
    </row>
    <row r="6006" spans="2:14">
      <c r="B6006" s="32">
        <f>IF(ISNUMBER(SEARCH('Φόρμα Εισαγωγής'!$B$2,C6006)),MAX($B$1:B6005)+1,0)</f>
        <v>0</v>
      </c>
      <c r="D6006" s="33">
        <f>IF(ISNUMBER(SEARCH('Φόρμα Εισαγωγής'!$C$2,E6006)),MAX($D$1:D6005)+1,0)</f>
        <v>0</v>
      </c>
      <c r="H6006" s="6">
        <f t="shared" si="290"/>
        <v>0</v>
      </c>
      <c r="I6006" s="6">
        <f t="shared" si="291"/>
        <v>0</v>
      </c>
      <c r="J6006" s="6">
        <f t="shared" si="292"/>
        <v>0</v>
      </c>
      <c r="L6006" s="4" t="str">
        <f>IFERROR(VLOOKUP(ROWS($L$2:L6006),$B$2:$C$1996,2,0),"")</f>
        <v/>
      </c>
      <c r="N6006" s="2" t="str">
        <f>IFERROR(VLOOKUP(ROWS($N$2:N6006),$D$2:$E$1996,2,0),"")</f>
        <v/>
      </c>
    </row>
    <row r="6007" spans="2:14">
      <c r="B6007" s="32">
        <f>IF(ISNUMBER(SEARCH('Φόρμα Εισαγωγής'!$B$2,C6007)),MAX($B$1:B6006)+1,0)</f>
        <v>0</v>
      </c>
      <c r="D6007" s="33">
        <f>IF(ISNUMBER(SEARCH('Φόρμα Εισαγωγής'!$C$2,E6007)),MAX($D$1:D6006)+1,0)</f>
        <v>0</v>
      </c>
      <c r="H6007" s="6">
        <f t="shared" si="290"/>
        <v>0</v>
      </c>
      <c r="I6007" s="6">
        <f t="shared" si="291"/>
        <v>0</v>
      </c>
      <c r="J6007" s="6">
        <f t="shared" si="292"/>
        <v>0</v>
      </c>
      <c r="L6007" s="4" t="str">
        <f>IFERROR(VLOOKUP(ROWS($L$2:L6007),$B$2:$C$1996,2,0),"")</f>
        <v/>
      </c>
      <c r="N6007" s="2" t="str">
        <f>IFERROR(VLOOKUP(ROWS($N$2:N6007),$D$2:$E$1996,2,0),"")</f>
        <v/>
      </c>
    </row>
    <row r="6008" spans="2:14">
      <c r="B6008" s="32">
        <f>IF(ISNUMBER(SEARCH('Φόρμα Εισαγωγής'!$B$2,C6008)),MAX($B$1:B6007)+1,0)</f>
        <v>0</v>
      </c>
      <c r="D6008" s="33">
        <f>IF(ISNUMBER(SEARCH('Φόρμα Εισαγωγής'!$C$2,E6008)),MAX($D$1:D6007)+1,0)</f>
        <v>0</v>
      </c>
      <c r="H6008" s="6">
        <f t="shared" si="290"/>
        <v>0</v>
      </c>
      <c r="I6008" s="6">
        <f t="shared" si="291"/>
        <v>0</v>
      </c>
      <c r="J6008" s="6">
        <f t="shared" si="292"/>
        <v>0</v>
      </c>
      <c r="L6008" s="4" t="str">
        <f>IFERROR(VLOOKUP(ROWS($L$2:L6008),$B$2:$C$1996,2,0),"")</f>
        <v/>
      </c>
      <c r="N6008" s="2" t="str">
        <f>IFERROR(VLOOKUP(ROWS($N$2:N6008),$D$2:$E$1996,2,0),"")</f>
        <v/>
      </c>
    </row>
    <row r="6009" spans="2:14">
      <c r="B6009" s="32">
        <f>IF(ISNUMBER(SEARCH('Φόρμα Εισαγωγής'!$B$2,C6009)),MAX($B$1:B6008)+1,0)</f>
        <v>0</v>
      </c>
      <c r="D6009" s="33">
        <f>IF(ISNUMBER(SEARCH('Φόρμα Εισαγωγής'!$C$2,E6009)),MAX($D$1:D6008)+1,0)</f>
        <v>0</v>
      </c>
      <c r="H6009" s="6">
        <f t="shared" si="290"/>
        <v>0</v>
      </c>
      <c r="I6009" s="6">
        <f t="shared" si="291"/>
        <v>0</v>
      </c>
      <c r="J6009" s="6">
        <f t="shared" si="292"/>
        <v>0</v>
      </c>
      <c r="L6009" s="4" t="str">
        <f>IFERROR(VLOOKUP(ROWS($L$2:L6009),$B$2:$C$1996,2,0),"")</f>
        <v/>
      </c>
      <c r="N6009" s="2" t="str">
        <f>IFERROR(VLOOKUP(ROWS($N$2:N6009),$D$2:$E$1996,2,0),"")</f>
        <v/>
      </c>
    </row>
    <row r="6010" spans="2:14">
      <c r="B6010" s="32">
        <f>IF(ISNUMBER(SEARCH('Φόρμα Εισαγωγής'!$B$2,C6010)),MAX($B$1:B6009)+1,0)</f>
        <v>0</v>
      </c>
      <c r="D6010" s="33">
        <f>IF(ISNUMBER(SEARCH('Φόρμα Εισαγωγής'!$C$2,E6010)),MAX($D$1:D6009)+1,0)</f>
        <v>0</v>
      </c>
      <c r="H6010" s="6">
        <f t="shared" si="290"/>
        <v>0</v>
      </c>
      <c r="I6010" s="6">
        <f t="shared" si="291"/>
        <v>0</v>
      </c>
      <c r="J6010" s="6">
        <f t="shared" si="292"/>
        <v>0</v>
      </c>
      <c r="L6010" s="4" t="str">
        <f>IFERROR(VLOOKUP(ROWS($L$2:L6010),$B$2:$C$1996,2,0),"")</f>
        <v/>
      </c>
      <c r="N6010" s="2" t="str">
        <f>IFERROR(VLOOKUP(ROWS($N$2:N6010),$D$2:$E$1996,2,0),"")</f>
        <v/>
      </c>
    </row>
    <row r="6011" spans="2:14">
      <c r="B6011" s="32">
        <f>IF(ISNUMBER(SEARCH('Φόρμα Εισαγωγής'!$B$2,C6011)),MAX($B$1:B6010)+1,0)</f>
        <v>0</v>
      </c>
      <c r="D6011" s="33">
        <f>IF(ISNUMBER(SEARCH('Φόρμα Εισαγωγής'!$C$2,E6011)),MAX($D$1:D6010)+1,0)</f>
        <v>0</v>
      </c>
      <c r="H6011" s="6">
        <f t="shared" si="290"/>
        <v>0</v>
      </c>
      <c r="I6011" s="6">
        <f t="shared" si="291"/>
        <v>0</v>
      </c>
      <c r="J6011" s="6">
        <f t="shared" si="292"/>
        <v>0</v>
      </c>
      <c r="L6011" s="4" t="str">
        <f>IFERROR(VLOOKUP(ROWS($L$2:L6011),$B$2:$C$1996,2,0),"")</f>
        <v/>
      </c>
      <c r="N6011" s="2" t="str">
        <f>IFERROR(VLOOKUP(ROWS($N$2:N6011),$D$2:$E$1996,2,0),"")</f>
        <v/>
      </c>
    </row>
    <row r="6012" spans="2:14">
      <c r="B6012" s="32">
        <f>IF(ISNUMBER(SEARCH('Φόρμα Εισαγωγής'!$B$2,C6012)),MAX($B$1:B6011)+1,0)</f>
        <v>0</v>
      </c>
      <c r="D6012" s="33">
        <f>IF(ISNUMBER(SEARCH('Φόρμα Εισαγωγής'!$C$2,E6012)),MAX($D$1:D6011)+1,0)</f>
        <v>0</v>
      </c>
      <c r="H6012" s="6">
        <f t="shared" si="290"/>
        <v>0</v>
      </c>
      <c r="I6012" s="6">
        <f t="shared" si="291"/>
        <v>0</v>
      </c>
      <c r="J6012" s="6">
        <f t="shared" si="292"/>
        <v>0</v>
      </c>
      <c r="L6012" s="4" t="str">
        <f>IFERROR(VLOOKUP(ROWS($L$2:L6012),$B$2:$C$1996,2,0),"")</f>
        <v/>
      </c>
      <c r="N6012" s="2" t="str">
        <f>IFERROR(VLOOKUP(ROWS($N$2:N6012),$D$2:$E$1996,2,0),"")</f>
        <v/>
      </c>
    </row>
    <row r="6013" spans="2:14">
      <c r="B6013" s="32">
        <f>IF(ISNUMBER(SEARCH('Φόρμα Εισαγωγής'!$B$2,C6013)),MAX($B$1:B6012)+1,0)</f>
        <v>0</v>
      </c>
      <c r="D6013" s="33">
        <f>IF(ISNUMBER(SEARCH('Φόρμα Εισαγωγής'!$C$2,E6013)),MAX($D$1:D6012)+1,0)</f>
        <v>0</v>
      </c>
      <c r="H6013" s="6">
        <f t="shared" si="290"/>
        <v>0</v>
      </c>
      <c r="I6013" s="6">
        <f t="shared" si="291"/>
        <v>0</v>
      </c>
      <c r="J6013" s="6">
        <f t="shared" si="292"/>
        <v>0</v>
      </c>
      <c r="L6013" s="4" t="str">
        <f>IFERROR(VLOOKUP(ROWS($L$2:L6013),$B$2:$C$1996,2,0),"")</f>
        <v/>
      </c>
      <c r="N6013" s="2" t="str">
        <f>IFERROR(VLOOKUP(ROWS($N$2:N6013),$D$2:$E$1996,2,0),"")</f>
        <v/>
      </c>
    </row>
    <row r="6014" spans="2:14">
      <c r="B6014" s="32">
        <f>IF(ISNUMBER(SEARCH('Φόρμα Εισαγωγής'!$B$2,C6014)),MAX($B$1:B6013)+1,0)</f>
        <v>0</v>
      </c>
      <c r="D6014" s="33">
        <f>IF(ISNUMBER(SEARCH('Φόρμα Εισαγωγής'!$C$2,E6014)),MAX($D$1:D6013)+1,0)</f>
        <v>0</v>
      </c>
      <c r="H6014" s="6">
        <f t="shared" si="290"/>
        <v>0</v>
      </c>
      <c r="I6014" s="6">
        <f t="shared" si="291"/>
        <v>0</v>
      </c>
      <c r="J6014" s="6">
        <f t="shared" si="292"/>
        <v>0</v>
      </c>
      <c r="L6014" s="4" t="str">
        <f>IFERROR(VLOOKUP(ROWS($L$2:L6014),$B$2:$C$1996,2,0),"")</f>
        <v/>
      </c>
      <c r="N6014" s="2" t="str">
        <f>IFERROR(VLOOKUP(ROWS($N$2:N6014),$D$2:$E$1996,2,0),"")</f>
        <v/>
      </c>
    </row>
    <row r="6015" spans="2:14">
      <c r="B6015" s="32">
        <f>IF(ISNUMBER(SEARCH('Φόρμα Εισαγωγής'!$B$2,C6015)),MAX($B$1:B6014)+1,0)</f>
        <v>0</v>
      </c>
      <c r="D6015" s="33">
        <f>IF(ISNUMBER(SEARCH('Φόρμα Εισαγωγής'!$C$2,E6015)),MAX($D$1:D6014)+1,0)</f>
        <v>0</v>
      </c>
      <c r="H6015" s="6">
        <f t="shared" si="290"/>
        <v>0</v>
      </c>
      <c r="I6015" s="6">
        <f t="shared" si="291"/>
        <v>0</v>
      </c>
      <c r="J6015" s="6">
        <f t="shared" si="292"/>
        <v>0</v>
      </c>
      <c r="L6015" s="4" t="str">
        <f>IFERROR(VLOOKUP(ROWS($L$2:L6015),$B$2:$C$1996,2,0),"")</f>
        <v/>
      </c>
      <c r="N6015" s="2" t="str">
        <f>IFERROR(VLOOKUP(ROWS($N$2:N6015),$D$2:$E$1996,2,0),"")</f>
        <v/>
      </c>
    </row>
    <row r="6016" spans="2:14">
      <c r="B6016" s="32">
        <f>IF(ISNUMBER(SEARCH('Φόρμα Εισαγωγής'!$B$2,C6016)),MAX($B$1:B6015)+1,0)</f>
        <v>0</v>
      </c>
      <c r="D6016" s="33">
        <f>IF(ISNUMBER(SEARCH('Φόρμα Εισαγωγής'!$C$2,E6016)),MAX($D$1:D6015)+1,0)</f>
        <v>0</v>
      </c>
      <c r="H6016" s="6">
        <f t="shared" ref="H6016:H6079" si="293">G6016+(G6016*0.24)</f>
        <v>0</v>
      </c>
      <c r="I6016" s="6">
        <f t="shared" ref="I6016:I6079" si="294">F6016*A6016</f>
        <v>0</v>
      </c>
      <c r="J6016" s="6">
        <f t="shared" ref="J6016:J6079" si="295">H6016*A6016</f>
        <v>0</v>
      </c>
      <c r="L6016" s="4" t="str">
        <f>IFERROR(VLOOKUP(ROWS($L$2:L6016),$B$2:$C$1996,2,0),"")</f>
        <v/>
      </c>
      <c r="N6016" s="2" t="str">
        <f>IFERROR(VLOOKUP(ROWS($N$2:N6016),$D$2:$E$1996,2,0),"")</f>
        <v/>
      </c>
    </row>
    <row r="6017" spans="2:14">
      <c r="B6017" s="32">
        <f>IF(ISNUMBER(SEARCH('Φόρμα Εισαγωγής'!$B$2,C6017)),MAX($B$1:B6016)+1,0)</f>
        <v>0</v>
      </c>
      <c r="D6017" s="33">
        <f>IF(ISNUMBER(SEARCH('Φόρμα Εισαγωγής'!$C$2,E6017)),MAX($D$1:D6016)+1,0)</f>
        <v>0</v>
      </c>
      <c r="H6017" s="6">
        <f t="shared" si="293"/>
        <v>0</v>
      </c>
      <c r="I6017" s="6">
        <f t="shared" si="294"/>
        <v>0</v>
      </c>
      <c r="J6017" s="6">
        <f t="shared" si="295"/>
        <v>0</v>
      </c>
      <c r="L6017" s="4" t="str">
        <f>IFERROR(VLOOKUP(ROWS($L$2:L6017),$B$2:$C$1996,2,0),"")</f>
        <v/>
      </c>
      <c r="N6017" s="2" t="str">
        <f>IFERROR(VLOOKUP(ROWS($N$2:N6017),$D$2:$E$1996,2,0),"")</f>
        <v/>
      </c>
    </row>
    <row r="6018" spans="2:14">
      <c r="B6018" s="32">
        <f>IF(ISNUMBER(SEARCH('Φόρμα Εισαγωγής'!$B$2,C6018)),MAX($B$1:B6017)+1,0)</f>
        <v>0</v>
      </c>
      <c r="D6018" s="33">
        <f>IF(ISNUMBER(SEARCH('Φόρμα Εισαγωγής'!$C$2,E6018)),MAX($D$1:D6017)+1,0)</f>
        <v>0</v>
      </c>
      <c r="H6018" s="6">
        <f t="shared" si="293"/>
        <v>0</v>
      </c>
      <c r="I6018" s="6">
        <f t="shared" si="294"/>
        <v>0</v>
      </c>
      <c r="J6018" s="6">
        <f t="shared" si="295"/>
        <v>0</v>
      </c>
      <c r="L6018" s="4" t="str">
        <f>IFERROR(VLOOKUP(ROWS($L$2:L6018),$B$2:$C$1996,2,0),"")</f>
        <v/>
      </c>
      <c r="N6018" s="2" t="str">
        <f>IFERROR(VLOOKUP(ROWS($N$2:N6018),$D$2:$E$1996,2,0),"")</f>
        <v/>
      </c>
    </row>
    <row r="6019" spans="2:14">
      <c r="B6019" s="32">
        <f>IF(ISNUMBER(SEARCH('Φόρμα Εισαγωγής'!$B$2,C6019)),MAX($B$1:B6018)+1,0)</f>
        <v>0</v>
      </c>
      <c r="D6019" s="33">
        <f>IF(ISNUMBER(SEARCH('Φόρμα Εισαγωγής'!$C$2,E6019)),MAX($D$1:D6018)+1,0)</f>
        <v>0</v>
      </c>
      <c r="H6019" s="6">
        <f t="shared" si="293"/>
        <v>0</v>
      </c>
      <c r="I6019" s="6">
        <f t="shared" si="294"/>
        <v>0</v>
      </c>
      <c r="J6019" s="6">
        <f t="shared" si="295"/>
        <v>0</v>
      </c>
      <c r="L6019" s="4" t="str">
        <f>IFERROR(VLOOKUP(ROWS($L$2:L6019),$B$2:$C$1996,2,0),"")</f>
        <v/>
      </c>
      <c r="N6019" s="2" t="str">
        <f>IFERROR(VLOOKUP(ROWS($N$2:N6019),$D$2:$E$1996,2,0),"")</f>
        <v/>
      </c>
    </row>
    <row r="6020" spans="2:14">
      <c r="B6020" s="32">
        <f>IF(ISNUMBER(SEARCH('Φόρμα Εισαγωγής'!$B$2,C6020)),MAX($B$1:B6019)+1,0)</f>
        <v>0</v>
      </c>
      <c r="D6020" s="33">
        <f>IF(ISNUMBER(SEARCH('Φόρμα Εισαγωγής'!$C$2,E6020)),MAX($D$1:D6019)+1,0)</f>
        <v>0</v>
      </c>
      <c r="H6020" s="6">
        <f t="shared" si="293"/>
        <v>0</v>
      </c>
      <c r="I6020" s="6">
        <f t="shared" si="294"/>
        <v>0</v>
      </c>
      <c r="J6020" s="6">
        <f t="shared" si="295"/>
        <v>0</v>
      </c>
      <c r="L6020" s="4" t="str">
        <f>IFERROR(VLOOKUP(ROWS($L$2:L6020),$B$2:$C$1996,2,0),"")</f>
        <v/>
      </c>
      <c r="N6020" s="2" t="str">
        <f>IFERROR(VLOOKUP(ROWS($N$2:N6020),$D$2:$E$1996,2,0),"")</f>
        <v/>
      </c>
    </row>
    <row r="6021" spans="2:14">
      <c r="B6021" s="32">
        <f>IF(ISNUMBER(SEARCH('Φόρμα Εισαγωγής'!$B$2,C6021)),MAX($B$1:B6020)+1,0)</f>
        <v>0</v>
      </c>
      <c r="D6021" s="33">
        <f>IF(ISNUMBER(SEARCH('Φόρμα Εισαγωγής'!$C$2,E6021)),MAX($D$1:D6020)+1,0)</f>
        <v>0</v>
      </c>
      <c r="H6021" s="6">
        <f t="shared" si="293"/>
        <v>0</v>
      </c>
      <c r="I6021" s="6">
        <f t="shared" si="294"/>
        <v>0</v>
      </c>
      <c r="J6021" s="6">
        <f t="shared" si="295"/>
        <v>0</v>
      </c>
      <c r="L6021" s="4" t="str">
        <f>IFERROR(VLOOKUP(ROWS($L$2:L6021),$B$2:$C$1996,2,0),"")</f>
        <v/>
      </c>
      <c r="N6021" s="2" t="str">
        <f>IFERROR(VLOOKUP(ROWS($N$2:N6021),$D$2:$E$1996,2,0),"")</f>
        <v/>
      </c>
    </row>
    <row r="6022" spans="2:14">
      <c r="B6022" s="32">
        <f>IF(ISNUMBER(SEARCH('Φόρμα Εισαγωγής'!$B$2,C6022)),MAX($B$1:B6021)+1,0)</f>
        <v>0</v>
      </c>
      <c r="D6022" s="33">
        <f>IF(ISNUMBER(SEARCH('Φόρμα Εισαγωγής'!$C$2,E6022)),MAX($D$1:D6021)+1,0)</f>
        <v>0</v>
      </c>
      <c r="H6022" s="6">
        <f t="shared" si="293"/>
        <v>0</v>
      </c>
      <c r="I6022" s="6">
        <f t="shared" si="294"/>
        <v>0</v>
      </c>
      <c r="J6022" s="6">
        <f t="shared" si="295"/>
        <v>0</v>
      </c>
      <c r="L6022" s="4" t="str">
        <f>IFERROR(VLOOKUP(ROWS($L$2:L6022),$B$2:$C$1996,2,0),"")</f>
        <v/>
      </c>
      <c r="N6022" s="2" t="str">
        <f>IFERROR(VLOOKUP(ROWS($N$2:N6022),$D$2:$E$1996,2,0),"")</f>
        <v/>
      </c>
    </row>
    <row r="6023" spans="2:14">
      <c r="B6023" s="32">
        <f>IF(ISNUMBER(SEARCH('Φόρμα Εισαγωγής'!$B$2,C6023)),MAX($B$1:B6022)+1,0)</f>
        <v>0</v>
      </c>
      <c r="D6023" s="33">
        <f>IF(ISNUMBER(SEARCH('Φόρμα Εισαγωγής'!$C$2,E6023)),MAX($D$1:D6022)+1,0)</f>
        <v>0</v>
      </c>
      <c r="H6023" s="6">
        <f t="shared" si="293"/>
        <v>0</v>
      </c>
      <c r="I6023" s="6">
        <f t="shared" si="294"/>
        <v>0</v>
      </c>
      <c r="J6023" s="6">
        <f t="shared" si="295"/>
        <v>0</v>
      </c>
      <c r="L6023" s="4" t="str">
        <f>IFERROR(VLOOKUP(ROWS($L$2:L6023),$B$2:$C$1996,2,0),"")</f>
        <v/>
      </c>
      <c r="N6023" s="2" t="str">
        <f>IFERROR(VLOOKUP(ROWS($N$2:N6023),$D$2:$E$1996,2,0),"")</f>
        <v/>
      </c>
    </row>
    <row r="6024" spans="2:14">
      <c r="B6024" s="32">
        <f>IF(ISNUMBER(SEARCH('Φόρμα Εισαγωγής'!$B$2,C6024)),MAX($B$1:B6023)+1,0)</f>
        <v>0</v>
      </c>
      <c r="D6024" s="33">
        <f>IF(ISNUMBER(SEARCH('Φόρμα Εισαγωγής'!$C$2,E6024)),MAX($D$1:D6023)+1,0)</f>
        <v>0</v>
      </c>
      <c r="H6024" s="6">
        <f t="shared" si="293"/>
        <v>0</v>
      </c>
      <c r="I6024" s="6">
        <f t="shared" si="294"/>
        <v>0</v>
      </c>
      <c r="J6024" s="6">
        <f t="shared" si="295"/>
        <v>0</v>
      </c>
      <c r="L6024" s="4" t="str">
        <f>IFERROR(VLOOKUP(ROWS($L$2:L6024),$B$2:$C$1996,2,0),"")</f>
        <v/>
      </c>
      <c r="N6024" s="2" t="str">
        <f>IFERROR(VLOOKUP(ROWS($N$2:N6024),$D$2:$E$1996,2,0),"")</f>
        <v/>
      </c>
    </row>
    <row r="6025" spans="2:14">
      <c r="B6025" s="32">
        <f>IF(ISNUMBER(SEARCH('Φόρμα Εισαγωγής'!$B$2,C6025)),MAX($B$1:B6024)+1,0)</f>
        <v>0</v>
      </c>
      <c r="D6025" s="33">
        <f>IF(ISNUMBER(SEARCH('Φόρμα Εισαγωγής'!$C$2,E6025)),MAX($D$1:D6024)+1,0)</f>
        <v>0</v>
      </c>
      <c r="H6025" s="6">
        <f t="shared" si="293"/>
        <v>0</v>
      </c>
      <c r="I6025" s="6">
        <f t="shared" si="294"/>
        <v>0</v>
      </c>
      <c r="J6025" s="6">
        <f t="shared" si="295"/>
        <v>0</v>
      </c>
      <c r="L6025" s="4" t="str">
        <f>IFERROR(VLOOKUP(ROWS($L$2:L6025),$B$2:$C$1996,2,0),"")</f>
        <v/>
      </c>
      <c r="N6025" s="2" t="str">
        <f>IFERROR(VLOOKUP(ROWS($N$2:N6025),$D$2:$E$1996,2,0),"")</f>
        <v/>
      </c>
    </row>
    <row r="6026" spans="2:14">
      <c r="B6026" s="32">
        <f>IF(ISNUMBER(SEARCH('Φόρμα Εισαγωγής'!$B$2,C6026)),MAX($B$1:B6025)+1,0)</f>
        <v>0</v>
      </c>
      <c r="D6026" s="33">
        <f>IF(ISNUMBER(SEARCH('Φόρμα Εισαγωγής'!$C$2,E6026)),MAX($D$1:D6025)+1,0)</f>
        <v>0</v>
      </c>
      <c r="H6026" s="6">
        <f t="shared" si="293"/>
        <v>0</v>
      </c>
      <c r="I6026" s="6">
        <f t="shared" si="294"/>
        <v>0</v>
      </c>
      <c r="J6026" s="6">
        <f t="shared" si="295"/>
        <v>0</v>
      </c>
      <c r="L6026" s="4" t="str">
        <f>IFERROR(VLOOKUP(ROWS($L$2:L6026),$B$2:$C$1996,2,0),"")</f>
        <v/>
      </c>
      <c r="N6026" s="2" t="str">
        <f>IFERROR(VLOOKUP(ROWS($N$2:N6026),$D$2:$E$1996,2,0),"")</f>
        <v/>
      </c>
    </row>
    <row r="6027" spans="2:14">
      <c r="B6027" s="32">
        <f>IF(ISNUMBER(SEARCH('Φόρμα Εισαγωγής'!$B$2,C6027)),MAX($B$1:B6026)+1,0)</f>
        <v>0</v>
      </c>
      <c r="D6027" s="33">
        <f>IF(ISNUMBER(SEARCH('Φόρμα Εισαγωγής'!$C$2,E6027)),MAX($D$1:D6026)+1,0)</f>
        <v>0</v>
      </c>
      <c r="H6027" s="6">
        <f t="shared" si="293"/>
        <v>0</v>
      </c>
      <c r="I6027" s="6">
        <f t="shared" si="294"/>
        <v>0</v>
      </c>
      <c r="J6027" s="6">
        <f t="shared" si="295"/>
        <v>0</v>
      </c>
      <c r="L6027" s="4" t="str">
        <f>IFERROR(VLOOKUP(ROWS($L$2:L6027),$B$2:$C$1996,2,0),"")</f>
        <v/>
      </c>
      <c r="N6027" s="2" t="str">
        <f>IFERROR(VLOOKUP(ROWS($N$2:N6027),$D$2:$E$1996,2,0),"")</f>
        <v/>
      </c>
    </row>
    <row r="6028" spans="2:14">
      <c r="B6028" s="32">
        <f>IF(ISNUMBER(SEARCH('Φόρμα Εισαγωγής'!$B$2,C6028)),MAX($B$1:B6027)+1,0)</f>
        <v>0</v>
      </c>
      <c r="D6028" s="33">
        <f>IF(ISNUMBER(SEARCH('Φόρμα Εισαγωγής'!$C$2,E6028)),MAX($D$1:D6027)+1,0)</f>
        <v>0</v>
      </c>
      <c r="H6028" s="6">
        <f t="shared" si="293"/>
        <v>0</v>
      </c>
      <c r="I6028" s="6">
        <f t="shared" si="294"/>
        <v>0</v>
      </c>
      <c r="J6028" s="6">
        <f t="shared" si="295"/>
        <v>0</v>
      </c>
      <c r="L6028" s="4" t="str">
        <f>IFERROR(VLOOKUP(ROWS($L$2:L6028),$B$2:$C$1996,2,0),"")</f>
        <v/>
      </c>
      <c r="N6028" s="2" t="str">
        <f>IFERROR(VLOOKUP(ROWS($N$2:N6028),$D$2:$E$1996,2,0),"")</f>
        <v/>
      </c>
    </row>
    <row r="6029" spans="2:14">
      <c r="B6029" s="32">
        <f>IF(ISNUMBER(SEARCH('Φόρμα Εισαγωγής'!$B$2,C6029)),MAX($B$1:B6028)+1,0)</f>
        <v>0</v>
      </c>
      <c r="D6029" s="33">
        <f>IF(ISNUMBER(SEARCH('Φόρμα Εισαγωγής'!$C$2,E6029)),MAX($D$1:D6028)+1,0)</f>
        <v>0</v>
      </c>
      <c r="H6029" s="6">
        <f t="shared" si="293"/>
        <v>0</v>
      </c>
      <c r="I6029" s="6">
        <f t="shared" si="294"/>
        <v>0</v>
      </c>
      <c r="J6029" s="6">
        <f t="shared" si="295"/>
        <v>0</v>
      </c>
      <c r="L6029" s="4" t="str">
        <f>IFERROR(VLOOKUP(ROWS($L$2:L6029),$B$2:$C$1996,2,0),"")</f>
        <v/>
      </c>
      <c r="N6029" s="2" t="str">
        <f>IFERROR(VLOOKUP(ROWS($N$2:N6029),$D$2:$E$1996,2,0),"")</f>
        <v/>
      </c>
    </row>
    <row r="6030" spans="2:14">
      <c r="B6030" s="32">
        <f>IF(ISNUMBER(SEARCH('Φόρμα Εισαγωγής'!$B$2,C6030)),MAX($B$1:B6029)+1,0)</f>
        <v>0</v>
      </c>
      <c r="D6030" s="33">
        <f>IF(ISNUMBER(SEARCH('Φόρμα Εισαγωγής'!$C$2,E6030)),MAX($D$1:D6029)+1,0)</f>
        <v>0</v>
      </c>
      <c r="H6030" s="6">
        <f t="shared" si="293"/>
        <v>0</v>
      </c>
      <c r="I6030" s="6">
        <f t="shared" si="294"/>
        <v>0</v>
      </c>
      <c r="J6030" s="6">
        <f t="shared" si="295"/>
        <v>0</v>
      </c>
      <c r="L6030" s="4" t="str">
        <f>IFERROR(VLOOKUP(ROWS($L$2:L6030),$B$2:$C$1996,2,0),"")</f>
        <v/>
      </c>
      <c r="N6030" s="2" t="str">
        <f>IFERROR(VLOOKUP(ROWS($N$2:N6030),$D$2:$E$1996,2,0),"")</f>
        <v/>
      </c>
    </row>
    <row r="6031" spans="2:14">
      <c r="B6031" s="32">
        <f>IF(ISNUMBER(SEARCH('Φόρμα Εισαγωγής'!$B$2,C6031)),MAX($B$1:B6030)+1,0)</f>
        <v>0</v>
      </c>
      <c r="D6031" s="33">
        <f>IF(ISNUMBER(SEARCH('Φόρμα Εισαγωγής'!$C$2,E6031)),MAX($D$1:D6030)+1,0)</f>
        <v>0</v>
      </c>
      <c r="H6031" s="6">
        <f t="shared" si="293"/>
        <v>0</v>
      </c>
      <c r="I6031" s="6">
        <f t="shared" si="294"/>
        <v>0</v>
      </c>
      <c r="J6031" s="6">
        <f t="shared" si="295"/>
        <v>0</v>
      </c>
      <c r="L6031" s="4" t="str">
        <f>IFERROR(VLOOKUP(ROWS($L$2:L6031),$B$2:$C$1996,2,0),"")</f>
        <v/>
      </c>
      <c r="N6031" s="2" t="str">
        <f>IFERROR(VLOOKUP(ROWS($N$2:N6031),$D$2:$E$1996,2,0),"")</f>
        <v/>
      </c>
    </row>
    <row r="6032" spans="2:14">
      <c r="B6032" s="32">
        <f>IF(ISNUMBER(SEARCH('Φόρμα Εισαγωγής'!$B$2,C6032)),MAX($B$1:B6031)+1,0)</f>
        <v>0</v>
      </c>
      <c r="D6032" s="33">
        <f>IF(ISNUMBER(SEARCH('Φόρμα Εισαγωγής'!$C$2,E6032)),MAX($D$1:D6031)+1,0)</f>
        <v>0</v>
      </c>
      <c r="H6032" s="6">
        <f t="shared" si="293"/>
        <v>0</v>
      </c>
      <c r="I6032" s="6">
        <f t="shared" si="294"/>
        <v>0</v>
      </c>
      <c r="J6032" s="6">
        <f t="shared" si="295"/>
        <v>0</v>
      </c>
      <c r="L6032" s="4" t="str">
        <f>IFERROR(VLOOKUP(ROWS($L$2:L6032),$B$2:$C$1996,2,0),"")</f>
        <v/>
      </c>
      <c r="N6032" s="2" t="str">
        <f>IFERROR(VLOOKUP(ROWS($N$2:N6032),$D$2:$E$1996,2,0),"")</f>
        <v/>
      </c>
    </row>
    <row r="6033" spans="2:14">
      <c r="B6033" s="32">
        <f>IF(ISNUMBER(SEARCH('Φόρμα Εισαγωγής'!$B$2,C6033)),MAX($B$1:B6032)+1,0)</f>
        <v>0</v>
      </c>
      <c r="D6033" s="33">
        <f>IF(ISNUMBER(SEARCH('Φόρμα Εισαγωγής'!$C$2,E6033)),MAX($D$1:D6032)+1,0)</f>
        <v>0</v>
      </c>
      <c r="H6033" s="6">
        <f t="shared" si="293"/>
        <v>0</v>
      </c>
      <c r="I6033" s="6">
        <f t="shared" si="294"/>
        <v>0</v>
      </c>
      <c r="J6033" s="6">
        <f t="shared" si="295"/>
        <v>0</v>
      </c>
      <c r="L6033" s="4" t="str">
        <f>IFERROR(VLOOKUP(ROWS($L$2:L6033),$B$2:$C$1996,2,0),"")</f>
        <v/>
      </c>
      <c r="N6033" s="2" t="str">
        <f>IFERROR(VLOOKUP(ROWS($N$2:N6033),$D$2:$E$1996,2,0),"")</f>
        <v/>
      </c>
    </row>
    <row r="6034" spans="2:14">
      <c r="B6034" s="32">
        <f>IF(ISNUMBER(SEARCH('Φόρμα Εισαγωγής'!$B$2,C6034)),MAX($B$1:B6033)+1,0)</f>
        <v>0</v>
      </c>
      <c r="D6034" s="33">
        <f>IF(ISNUMBER(SEARCH('Φόρμα Εισαγωγής'!$C$2,E6034)),MAX($D$1:D6033)+1,0)</f>
        <v>0</v>
      </c>
      <c r="H6034" s="6">
        <f t="shared" si="293"/>
        <v>0</v>
      </c>
      <c r="I6034" s="6">
        <f t="shared" si="294"/>
        <v>0</v>
      </c>
      <c r="J6034" s="6">
        <f t="shared" si="295"/>
        <v>0</v>
      </c>
      <c r="L6034" s="4" t="str">
        <f>IFERROR(VLOOKUP(ROWS($L$2:L6034),$B$2:$C$1996,2,0),"")</f>
        <v/>
      </c>
      <c r="N6034" s="2" t="str">
        <f>IFERROR(VLOOKUP(ROWS($N$2:N6034),$D$2:$E$1996,2,0),"")</f>
        <v/>
      </c>
    </row>
    <row r="6035" spans="2:14">
      <c r="B6035" s="32">
        <f>IF(ISNUMBER(SEARCH('Φόρμα Εισαγωγής'!$B$2,C6035)),MAX($B$1:B6034)+1,0)</f>
        <v>0</v>
      </c>
      <c r="D6035" s="33">
        <f>IF(ISNUMBER(SEARCH('Φόρμα Εισαγωγής'!$C$2,E6035)),MAX($D$1:D6034)+1,0)</f>
        <v>0</v>
      </c>
      <c r="H6035" s="6">
        <f t="shared" si="293"/>
        <v>0</v>
      </c>
      <c r="I6035" s="6">
        <f t="shared" si="294"/>
        <v>0</v>
      </c>
      <c r="J6035" s="6">
        <f t="shared" si="295"/>
        <v>0</v>
      </c>
      <c r="L6035" s="4" t="str">
        <f>IFERROR(VLOOKUP(ROWS($L$2:L6035),$B$2:$C$1996,2,0),"")</f>
        <v/>
      </c>
      <c r="N6035" s="2" t="str">
        <f>IFERROR(VLOOKUP(ROWS($N$2:N6035),$D$2:$E$1996,2,0),"")</f>
        <v/>
      </c>
    </row>
    <row r="6036" spans="2:14">
      <c r="B6036" s="32">
        <f>IF(ISNUMBER(SEARCH('Φόρμα Εισαγωγής'!$B$2,C6036)),MAX($B$1:B6035)+1,0)</f>
        <v>0</v>
      </c>
      <c r="D6036" s="33">
        <f>IF(ISNUMBER(SEARCH('Φόρμα Εισαγωγής'!$C$2,E6036)),MAX($D$1:D6035)+1,0)</f>
        <v>0</v>
      </c>
      <c r="H6036" s="6">
        <f t="shared" si="293"/>
        <v>0</v>
      </c>
      <c r="I6036" s="6">
        <f t="shared" si="294"/>
        <v>0</v>
      </c>
      <c r="J6036" s="6">
        <f t="shared" si="295"/>
        <v>0</v>
      </c>
      <c r="L6036" s="4" t="str">
        <f>IFERROR(VLOOKUP(ROWS($L$2:L6036),$B$2:$C$1996,2,0),"")</f>
        <v/>
      </c>
      <c r="N6036" s="2" t="str">
        <f>IFERROR(VLOOKUP(ROWS($N$2:N6036),$D$2:$E$1996,2,0),"")</f>
        <v/>
      </c>
    </row>
    <row r="6037" spans="2:14">
      <c r="B6037" s="32">
        <f>IF(ISNUMBER(SEARCH('Φόρμα Εισαγωγής'!$B$2,C6037)),MAX($B$1:B6036)+1,0)</f>
        <v>0</v>
      </c>
      <c r="D6037" s="33">
        <f>IF(ISNUMBER(SEARCH('Φόρμα Εισαγωγής'!$C$2,E6037)),MAX($D$1:D6036)+1,0)</f>
        <v>0</v>
      </c>
      <c r="H6037" s="6">
        <f t="shared" si="293"/>
        <v>0</v>
      </c>
      <c r="I6037" s="6">
        <f t="shared" si="294"/>
        <v>0</v>
      </c>
      <c r="J6037" s="6">
        <f t="shared" si="295"/>
        <v>0</v>
      </c>
      <c r="L6037" s="4" t="str">
        <f>IFERROR(VLOOKUP(ROWS($L$2:L6037),$B$2:$C$1996,2,0),"")</f>
        <v/>
      </c>
      <c r="N6037" s="2" t="str">
        <f>IFERROR(VLOOKUP(ROWS($N$2:N6037),$D$2:$E$1996,2,0),"")</f>
        <v/>
      </c>
    </row>
    <row r="6038" spans="2:14">
      <c r="B6038" s="32">
        <f>IF(ISNUMBER(SEARCH('Φόρμα Εισαγωγής'!$B$2,C6038)),MAX($B$1:B6037)+1,0)</f>
        <v>0</v>
      </c>
      <c r="D6038" s="33">
        <f>IF(ISNUMBER(SEARCH('Φόρμα Εισαγωγής'!$C$2,E6038)),MAX($D$1:D6037)+1,0)</f>
        <v>0</v>
      </c>
      <c r="H6038" s="6">
        <f t="shared" si="293"/>
        <v>0</v>
      </c>
      <c r="I6038" s="6">
        <f t="shared" si="294"/>
        <v>0</v>
      </c>
      <c r="J6038" s="6">
        <f t="shared" si="295"/>
        <v>0</v>
      </c>
      <c r="L6038" s="4" t="str">
        <f>IFERROR(VLOOKUP(ROWS($L$2:L6038),$B$2:$C$1996,2,0),"")</f>
        <v/>
      </c>
      <c r="N6038" s="2" t="str">
        <f>IFERROR(VLOOKUP(ROWS($N$2:N6038),$D$2:$E$1996,2,0),"")</f>
        <v/>
      </c>
    </row>
    <row r="6039" spans="2:14">
      <c r="B6039" s="32">
        <f>IF(ISNUMBER(SEARCH('Φόρμα Εισαγωγής'!$B$2,C6039)),MAX($B$1:B6038)+1,0)</f>
        <v>0</v>
      </c>
      <c r="D6039" s="33">
        <f>IF(ISNUMBER(SEARCH('Φόρμα Εισαγωγής'!$C$2,E6039)),MAX($D$1:D6038)+1,0)</f>
        <v>0</v>
      </c>
      <c r="H6039" s="6">
        <f t="shared" si="293"/>
        <v>0</v>
      </c>
      <c r="I6039" s="6">
        <f t="shared" si="294"/>
        <v>0</v>
      </c>
      <c r="J6039" s="6">
        <f t="shared" si="295"/>
        <v>0</v>
      </c>
      <c r="L6039" s="4" t="str">
        <f>IFERROR(VLOOKUP(ROWS($L$2:L6039),$B$2:$C$1996,2,0),"")</f>
        <v/>
      </c>
      <c r="N6039" s="2" t="str">
        <f>IFERROR(VLOOKUP(ROWS($N$2:N6039),$D$2:$E$1996,2,0),"")</f>
        <v/>
      </c>
    </row>
    <row r="6040" spans="2:14">
      <c r="B6040" s="32">
        <f>IF(ISNUMBER(SEARCH('Φόρμα Εισαγωγής'!$B$2,C6040)),MAX($B$1:B6039)+1,0)</f>
        <v>0</v>
      </c>
      <c r="D6040" s="33">
        <f>IF(ISNUMBER(SEARCH('Φόρμα Εισαγωγής'!$C$2,E6040)),MAX($D$1:D6039)+1,0)</f>
        <v>0</v>
      </c>
      <c r="H6040" s="6">
        <f t="shared" si="293"/>
        <v>0</v>
      </c>
      <c r="I6040" s="6">
        <f t="shared" si="294"/>
        <v>0</v>
      </c>
      <c r="J6040" s="6">
        <f t="shared" si="295"/>
        <v>0</v>
      </c>
      <c r="L6040" s="4" t="str">
        <f>IFERROR(VLOOKUP(ROWS($L$2:L6040),$B$2:$C$1996,2,0),"")</f>
        <v/>
      </c>
      <c r="N6040" s="2" t="str">
        <f>IFERROR(VLOOKUP(ROWS($N$2:N6040),$D$2:$E$1996,2,0),"")</f>
        <v/>
      </c>
    </row>
    <row r="6041" spans="2:14">
      <c r="B6041" s="32">
        <f>IF(ISNUMBER(SEARCH('Φόρμα Εισαγωγής'!$B$2,C6041)),MAX($B$1:B6040)+1,0)</f>
        <v>0</v>
      </c>
      <c r="D6041" s="33">
        <f>IF(ISNUMBER(SEARCH('Φόρμα Εισαγωγής'!$C$2,E6041)),MAX($D$1:D6040)+1,0)</f>
        <v>0</v>
      </c>
      <c r="H6041" s="6">
        <f t="shared" si="293"/>
        <v>0</v>
      </c>
      <c r="I6041" s="6">
        <f t="shared" si="294"/>
        <v>0</v>
      </c>
      <c r="J6041" s="6">
        <f t="shared" si="295"/>
        <v>0</v>
      </c>
      <c r="L6041" s="4" t="str">
        <f>IFERROR(VLOOKUP(ROWS($L$2:L6041),$B$2:$C$1996,2,0),"")</f>
        <v/>
      </c>
      <c r="N6041" s="2" t="str">
        <f>IFERROR(VLOOKUP(ROWS($N$2:N6041),$D$2:$E$1996,2,0),"")</f>
        <v/>
      </c>
    </row>
    <row r="6042" spans="2:14">
      <c r="B6042" s="32">
        <f>IF(ISNUMBER(SEARCH('Φόρμα Εισαγωγής'!$B$2,C6042)),MAX($B$1:B6041)+1,0)</f>
        <v>0</v>
      </c>
      <c r="D6042" s="33">
        <f>IF(ISNUMBER(SEARCH('Φόρμα Εισαγωγής'!$C$2,E6042)),MAX($D$1:D6041)+1,0)</f>
        <v>0</v>
      </c>
      <c r="H6042" s="6">
        <f t="shared" si="293"/>
        <v>0</v>
      </c>
      <c r="I6042" s="6">
        <f t="shared" si="294"/>
        <v>0</v>
      </c>
      <c r="J6042" s="6">
        <f t="shared" si="295"/>
        <v>0</v>
      </c>
      <c r="L6042" s="4" t="str">
        <f>IFERROR(VLOOKUP(ROWS($L$2:L6042),$B$2:$C$1996,2,0),"")</f>
        <v/>
      </c>
      <c r="N6042" s="2" t="str">
        <f>IFERROR(VLOOKUP(ROWS($N$2:N6042),$D$2:$E$1996,2,0),"")</f>
        <v/>
      </c>
    </row>
    <row r="6043" spans="2:14">
      <c r="B6043" s="32">
        <f>IF(ISNUMBER(SEARCH('Φόρμα Εισαγωγής'!$B$2,C6043)),MAX($B$1:B6042)+1,0)</f>
        <v>0</v>
      </c>
      <c r="D6043" s="33">
        <f>IF(ISNUMBER(SEARCH('Φόρμα Εισαγωγής'!$C$2,E6043)),MAX($D$1:D6042)+1,0)</f>
        <v>0</v>
      </c>
      <c r="H6043" s="6">
        <f t="shared" si="293"/>
        <v>0</v>
      </c>
      <c r="I6043" s="6">
        <f t="shared" si="294"/>
        <v>0</v>
      </c>
      <c r="J6043" s="6">
        <f t="shared" si="295"/>
        <v>0</v>
      </c>
      <c r="L6043" s="4" t="str">
        <f>IFERROR(VLOOKUP(ROWS($L$2:L6043),$B$2:$C$1996,2,0),"")</f>
        <v/>
      </c>
      <c r="N6043" s="2" t="str">
        <f>IFERROR(VLOOKUP(ROWS($N$2:N6043),$D$2:$E$1996,2,0),"")</f>
        <v/>
      </c>
    </row>
    <row r="6044" spans="2:14">
      <c r="B6044" s="32">
        <f>IF(ISNUMBER(SEARCH('Φόρμα Εισαγωγής'!$B$2,C6044)),MAX($B$1:B6043)+1,0)</f>
        <v>0</v>
      </c>
      <c r="D6044" s="33">
        <f>IF(ISNUMBER(SEARCH('Φόρμα Εισαγωγής'!$C$2,E6044)),MAX($D$1:D6043)+1,0)</f>
        <v>0</v>
      </c>
      <c r="H6044" s="6">
        <f t="shared" si="293"/>
        <v>0</v>
      </c>
      <c r="I6044" s="6">
        <f t="shared" si="294"/>
        <v>0</v>
      </c>
      <c r="J6044" s="6">
        <f t="shared" si="295"/>
        <v>0</v>
      </c>
      <c r="L6044" s="4" t="str">
        <f>IFERROR(VLOOKUP(ROWS($L$2:L6044),$B$2:$C$1996,2,0),"")</f>
        <v/>
      </c>
      <c r="N6044" s="2" t="str">
        <f>IFERROR(VLOOKUP(ROWS($N$2:N6044),$D$2:$E$1996,2,0),"")</f>
        <v/>
      </c>
    </row>
    <row r="6045" spans="2:14">
      <c r="B6045" s="32">
        <f>IF(ISNUMBER(SEARCH('Φόρμα Εισαγωγής'!$B$2,C6045)),MAX($B$1:B6044)+1,0)</f>
        <v>0</v>
      </c>
      <c r="D6045" s="33">
        <f>IF(ISNUMBER(SEARCH('Φόρμα Εισαγωγής'!$C$2,E6045)),MAX($D$1:D6044)+1,0)</f>
        <v>0</v>
      </c>
      <c r="H6045" s="6">
        <f t="shared" si="293"/>
        <v>0</v>
      </c>
      <c r="I6045" s="6">
        <f t="shared" si="294"/>
        <v>0</v>
      </c>
      <c r="J6045" s="6">
        <f t="shared" si="295"/>
        <v>0</v>
      </c>
      <c r="L6045" s="4" t="str">
        <f>IFERROR(VLOOKUP(ROWS($L$2:L6045),$B$2:$C$1996,2,0),"")</f>
        <v/>
      </c>
      <c r="N6045" s="2" t="str">
        <f>IFERROR(VLOOKUP(ROWS($N$2:N6045),$D$2:$E$1996,2,0),"")</f>
        <v/>
      </c>
    </row>
    <row r="6046" spans="2:14">
      <c r="B6046" s="32">
        <f>IF(ISNUMBER(SEARCH('Φόρμα Εισαγωγής'!$B$2,C6046)),MAX($B$1:B6045)+1,0)</f>
        <v>0</v>
      </c>
      <c r="D6046" s="33">
        <f>IF(ISNUMBER(SEARCH('Φόρμα Εισαγωγής'!$C$2,E6046)),MAX($D$1:D6045)+1,0)</f>
        <v>0</v>
      </c>
      <c r="H6046" s="6">
        <f t="shared" si="293"/>
        <v>0</v>
      </c>
      <c r="I6046" s="6">
        <f t="shared" si="294"/>
        <v>0</v>
      </c>
      <c r="J6046" s="6">
        <f t="shared" si="295"/>
        <v>0</v>
      </c>
      <c r="L6046" s="4" t="str">
        <f>IFERROR(VLOOKUP(ROWS($L$2:L6046),$B$2:$C$1996,2,0),"")</f>
        <v/>
      </c>
      <c r="N6046" s="2" t="str">
        <f>IFERROR(VLOOKUP(ROWS($N$2:N6046),$D$2:$E$1996,2,0),"")</f>
        <v/>
      </c>
    </row>
    <row r="6047" spans="2:14">
      <c r="B6047" s="32">
        <f>IF(ISNUMBER(SEARCH('Φόρμα Εισαγωγής'!$B$2,C6047)),MAX($B$1:B6046)+1,0)</f>
        <v>0</v>
      </c>
      <c r="D6047" s="33">
        <f>IF(ISNUMBER(SEARCH('Φόρμα Εισαγωγής'!$C$2,E6047)),MAX($D$1:D6046)+1,0)</f>
        <v>0</v>
      </c>
      <c r="H6047" s="6">
        <f t="shared" si="293"/>
        <v>0</v>
      </c>
      <c r="I6047" s="6">
        <f t="shared" si="294"/>
        <v>0</v>
      </c>
      <c r="J6047" s="6">
        <f t="shared" si="295"/>
        <v>0</v>
      </c>
      <c r="L6047" s="4" t="str">
        <f>IFERROR(VLOOKUP(ROWS($L$2:L6047),$B$2:$C$1996,2,0),"")</f>
        <v/>
      </c>
      <c r="N6047" s="2" t="str">
        <f>IFERROR(VLOOKUP(ROWS($N$2:N6047),$D$2:$E$1996,2,0),"")</f>
        <v/>
      </c>
    </row>
    <row r="6048" spans="2:14">
      <c r="B6048" s="32">
        <f>IF(ISNUMBER(SEARCH('Φόρμα Εισαγωγής'!$B$2,C6048)),MAX($B$1:B6047)+1,0)</f>
        <v>0</v>
      </c>
      <c r="D6048" s="33">
        <f>IF(ISNUMBER(SEARCH('Φόρμα Εισαγωγής'!$C$2,E6048)),MAX($D$1:D6047)+1,0)</f>
        <v>0</v>
      </c>
      <c r="H6048" s="6">
        <f t="shared" si="293"/>
        <v>0</v>
      </c>
      <c r="I6048" s="6">
        <f t="shared" si="294"/>
        <v>0</v>
      </c>
      <c r="J6048" s="6">
        <f t="shared" si="295"/>
        <v>0</v>
      </c>
      <c r="L6048" s="4" t="str">
        <f>IFERROR(VLOOKUP(ROWS($L$2:L6048),$B$2:$C$1996,2,0),"")</f>
        <v/>
      </c>
      <c r="N6048" s="2" t="str">
        <f>IFERROR(VLOOKUP(ROWS($N$2:N6048),$D$2:$E$1996,2,0),"")</f>
        <v/>
      </c>
    </row>
    <row r="6049" spans="2:14">
      <c r="B6049" s="32">
        <f>IF(ISNUMBER(SEARCH('Φόρμα Εισαγωγής'!$B$2,C6049)),MAX($B$1:B6048)+1,0)</f>
        <v>0</v>
      </c>
      <c r="D6049" s="33">
        <f>IF(ISNUMBER(SEARCH('Φόρμα Εισαγωγής'!$C$2,E6049)),MAX($D$1:D6048)+1,0)</f>
        <v>0</v>
      </c>
      <c r="H6049" s="6">
        <f t="shared" si="293"/>
        <v>0</v>
      </c>
      <c r="I6049" s="6">
        <f t="shared" si="294"/>
        <v>0</v>
      </c>
      <c r="J6049" s="6">
        <f t="shared" si="295"/>
        <v>0</v>
      </c>
      <c r="L6049" s="4" t="str">
        <f>IFERROR(VLOOKUP(ROWS($L$2:L6049),$B$2:$C$1996,2,0),"")</f>
        <v/>
      </c>
      <c r="N6049" s="2" t="str">
        <f>IFERROR(VLOOKUP(ROWS($N$2:N6049),$D$2:$E$1996,2,0),"")</f>
        <v/>
      </c>
    </row>
    <row r="6050" spans="2:14">
      <c r="B6050" s="32">
        <f>IF(ISNUMBER(SEARCH('Φόρμα Εισαγωγής'!$B$2,C6050)),MAX($B$1:B6049)+1,0)</f>
        <v>0</v>
      </c>
      <c r="D6050" s="33">
        <f>IF(ISNUMBER(SEARCH('Φόρμα Εισαγωγής'!$C$2,E6050)),MAX($D$1:D6049)+1,0)</f>
        <v>0</v>
      </c>
      <c r="H6050" s="6">
        <f t="shared" si="293"/>
        <v>0</v>
      </c>
      <c r="I6050" s="6">
        <f t="shared" si="294"/>
        <v>0</v>
      </c>
      <c r="J6050" s="6">
        <f t="shared" si="295"/>
        <v>0</v>
      </c>
      <c r="L6050" s="4" t="str">
        <f>IFERROR(VLOOKUP(ROWS($L$2:L6050),$B$2:$C$1996,2,0),"")</f>
        <v/>
      </c>
      <c r="N6050" s="2" t="str">
        <f>IFERROR(VLOOKUP(ROWS($N$2:N6050),$D$2:$E$1996,2,0),"")</f>
        <v/>
      </c>
    </row>
    <row r="6051" spans="2:14">
      <c r="B6051" s="32">
        <f>IF(ISNUMBER(SEARCH('Φόρμα Εισαγωγής'!$B$2,C6051)),MAX($B$1:B6050)+1,0)</f>
        <v>0</v>
      </c>
      <c r="D6051" s="33">
        <f>IF(ISNUMBER(SEARCH('Φόρμα Εισαγωγής'!$C$2,E6051)),MAX($D$1:D6050)+1,0)</f>
        <v>0</v>
      </c>
      <c r="H6051" s="6">
        <f t="shared" si="293"/>
        <v>0</v>
      </c>
      <c r="I6051" s="6">
        <f t="shared" si="294"/>
        <v>0</v>
      </c>
      <c r="J6051" s="6">
        <f t="shared" si="295"/>
        <v>0</v>
      </c>
      <c r="L6051" s="4" t="str">
        <f>IFERROR(VLOOKUP(ROWS($L$2:L6051),$B$2:$C$1996,2,0),"")</f>
        <v/>
      </c>
      <c r="N6051" s="2" t="str">
        <f>IFERROR(VLOOKUP(ROWS($N$2:N6051),$D$2:$E$1996,2,0),"")</f>
        <v/>
      </c>
    </row>
    <row r="6052" spans="2:14">
      <c r="B6052" s="32">
        <f>IF(ISNUMBER(SEARCH('Φόρμα Εισαγωγής'!$B$2,C6052)),MAX($B$1:B6051)+1,0)</f>
        <v>0</v>
      </c>
      <c r="D6052" s="33">
        <f>IF(ISNUMBER(SEARCH('Φόρμα Εισαγωγής'!$C$2,E6052)),MAX($D$1:D6051)+1,0)</f>
        <v>0</v>
      </c>
      <c r="H6052" s="6">
        <f t="shared" si="293"/>
        <v>0</v>
      </c>
      <c r="I6052" s="6">
        <f t="shared" si="294"/>
        <v>0</v>
      </c>
      <c r="J6052" s="6">
        <f t="shared" si="295"/>
        <v>0</v>
      </c>
      <c r="L6052" s="4" t="str">
        <f>IFERROR(VLOOKUP(ROWS($L$2:L6052),$B$2:$C$1996,2,0),"")</f>
        <v/>
      </c>
      <c r="N6052" s="2" t="str">
        <f>IFERROR(VLOOKUP(ROWS($N$2:N6052),$D$2:$E$1996,2,0),"")</f>
        <v/>
      </c>
    </row>
    <row r="6053" spans="2:14">
      <c r="B6053" s="32">
        <f>IF(ISNUMBER(SEARCH('Φόρμα Εισαγωγής'!$B$2,C6053)),MAX($B$1:B6052)+1,0)</f>
        <v>0</v>
      </c>
      <c r="D6053" s="33">
        <f>IF(ISNUMBER(SEARCH('Φόρμα Εισαγωγής'!$C$2,E6053)),MAX($D$1:D6052)+1,0)</f>
        <v>0</v>
      </c>
      <c r="H6053" s="6">
        <f t="shared" si="293"/>
        <v>0</v>
      </c>
      <c r="I6053" s="6">
        <f t="shared" si="294"/>
        <v>0</v>
      </c>
      <c r="J6053" s="6">
        <f t="shared" si="295"/>
        <v>0</v>
      </c>
      <c r="L6053" s="4" t="str">
        <f>IFERROR(VLOOKUP(ROWS($L$2:L6053),$B$2:$C$1996,2,0),"")</f>
        <v/>
      </c>
      <c r="N6053" s="2" t="str">
        <f>IFERROR(VLOOKUP(ROWS($N$2:N6053),$D$2:$E$1996,2,0),"")</f>
        <v/>
      </c>
    </row>
    <row r="6054" spans="2:14">
      <c r="B6054" s="32">
        <f>IF(ISNUMBER(SEARCH('Φόρμα Εισαγωγής'!$B$2,C6054)),MAX($B$1:B6053)+1,0)</f>
        <v>0</v>
      </c>
      <c r="D6054" s="33">
        <f>IF(ISNUMBER(SEARCH('Φόρμα Εισαγωγής'!$C$2,E6054)),MAX($D$1:D6053)+1,0)</f>
        <v>0</v>
      </c>
      <c r="H6054" s="6">
        <f t="shared" si="293"/>
        <v>0</v>
      </c>
      <c r="I6054" s="6">
        <f t="shared" si="294"/>
        <v>0</v>
      </c>
      <c r="J6054" s="6">
        <f t="shared" si="295"/>
        <v>0</v>
      </c>
      <c r="L6054" s="4" t="str">
        <f>IFERROR(VLOOKUP(ROWS($L$2:L6054),$B$2:$C$1996,2,0),"")</f>
        <v/>
      </c>
      <c r="N6054" s="2" t="str">
        <f>IFERROR(VLOOKUP(ROWS($N$2:N6054),$D$2:$E$1996,2,0),"")</f>
        <v/>
      </c>
    </row>
    <row r="6055" spans="2:14">
      <c r="B6055" s="32">
        <f>IF(ISNUMBER(SEARCH('Φόρμα Εισαγωγής'!$B$2,C6055)),MAX($B$1:B6054)+1,0)</f>
        <v>0</v>
      </c>
      <c r="D6055" s="33">
        <f>IF(ISNUMBER(SEARCH('Φόρμα Εισαγωγής'!$C$2,E6055)),MAX($D$1:D6054)+1,0)</f>
        <v>0</v>
      </c>
      <c r="H6055" s="6">
        <f t="shared" si="293"/>
        <v>0</v>
      </c>
      <c r="I6055" s="6">
        <f t="shared" si="294"/>
        <v>0</v>
      </c>
      <c r="J6055" s="6">
        <f t="shared" si="295"/>
        <v>0</v>
      </c>
      <c r="L6055" s="4" t="str">
        <f>IFERROR(VLOOKUP(ROWS($L$2:L6055),$B$2:$C$1996,2,0),"")</f>
        <v/>
      </c>
      <c r="N6055" s="2" t="str">
        <f>IFERROR(VLOOKUP(ROWS($N$2:N6055),$D$2:$E$1996,2,0),"")</f>
        <v/>
      </c>
    </row>
    <row r="6056" spans="2:14">
      <c r="B6056" s="32">
        <f>IF(ISNUMBER(SEARCH('Φόρμα Εισαγωγής'!$B$2,C6056)),MAX($B$1:B6055)+1,0)</f>
        <v>0</v>
      </c>
      <c r="D6056" s="33">
        <f>IF(ISNUMBER(SEARCH('Φόρμα Εισαγωγής'!$C$2,E6056)),MAX($D$1:D6055)+1,0)</f>
        <v>0</v>
      </c>
      <c r="H6056" s="6">
        <f t="shared" si="293"/>
        <v>0</v>
      </c>
      <c r="I6056" s="6">
        <f t="shared" si="294"/>
        <v>0</v>
      </c>
      <c r="J6056" s="6">
        <f t="shared" si="295"/>
        <v>0</v>
      </c>
      <c r="L6056" s="4" t="str">
        <f>IFERROR(VLOOKUP(ROWS($L$2:L6056),$B$2:$C$1996,2,0),"")</f>
        <v/>
      </c>
      <c r="N6056" s="2" t="str">
        <f>IFERROR(VLOOKUP(ROWS($N$2:N6056),$D$2:$E$1996,2,0),"")</f>
        <v/>
      </c>
    </row>
    <row r="6057" spans="2:14">
      <c r="B6057" s="32">
        <f>IF(ISNUMBER(SEARCH('Φόρμα Εισαγωγής'!$B$2,C6057)),MAX($B$1:B6056)+1,0)</f>
        <v>0</v>
      </c>
      <c r="D6057" s="33">
        <f>IF(ISNUMBER(SEARCH('Φόρμα Εισαγωγής'!$C$2,E6057)),MAX($D$1:D6056)+1,0)</f>
        <v>0</v>
      </c>
      <c r="H6057" s="6">
        <f t="shared" si="293"/>
        <v>0</v>
      </c>
      <c r="I6057" s="6">
        <f t="shared" si="294"/>
        <v>0</v>
      </c>
      <c r="J6057" s="6">
        <f t="shared" si="295"/>
        <v>0</v>
      </c>
      <c r="L6057" s="4" t="str">
        <f>IFERROR(VLOOKUP(ROWS($L$2:L6057),$B$2:$C$1996,2,0),"")</f>
        <v/>
      </c>
      <c r="N6057" s="2" t="str">
        <f>IFERROR(VLOOKUP(ROWS($N$2:N6057),$D$2:$E$1996,2,0),"")</f>
        <v/>
      </c>
    </row>
    <row r="6058" spans="2:14">
      <c r="B6058" s="32">
        <f>IF(ISNUMBER(SEARCH('Φόρμα Εισαγωγής'!$B$2,C6058)),MAX($B$1:B6057)+1,0)</f>
        <v>0</v>
      </c>
      <c r="D6058" s="33">
        <f>IF(ISNUMBER(SEARCH('Φόρμα Εισαγωγής'!$C$2,E6058)),MAX($D$1:D6057)+1,0)</f>
        <v>0</v>
      </c>
      <c r="H6058" s="6">
        <f t="shared" si="293"/>
        <v>0</v>
      </c>
      <c r="I6058" s="6">
        <f t="shared" si="294"/>
        <v>0</v>
      </c>
      <c r="J6058" s="6">
        <f t="shared" si="295"/>
        <v>0</v>
      </c>
      <c r="L6058" s="4" t="str">
        <f>IFERROR(VLOOKUP(ROWS($L$2:L6058),$B$2:$C$1996,2,0),"")</f>
        <v/>
      </c>
      <c r="N6058" s="2" t="str">
        <f>IFERROR(VLOOKUP(ROWS($N$2:N6058),$D$2:$E$1996,2,0),"")</f>
        <v/>
      </c>
    </row>
    <row r="6059" spans="2:14">
      <c r="B6059" s="32">
        <f>IF(ISNUMBER(SEARCH('Φόρμα Εισαγωγής'!$B$2,C6059)),MAX($B$1:B6058)+1,0)</f>
        <v>0</v>
      </c>
      <c r="D6059" s="33">
        <f>IF(ISNUMBER(SEARCH('Φόρμα Εισαγωγής'!$C$2,E6059)),MAX($D$1:D6058)+1,0)</f>
        <v>0</v>
      </c>
      <c r="H6059" s="6">
        <f t="shared" si="293"/>
        <v>0</v>
      </c>
      <c r="I6059" s="6">
        <f t="shared" si="294"/>
        <v>0</v>
      </c>
      <c r="J6059" s="6">
        <f t="shared" si="295"/>
        <v>0</v>
      </c>
      <c r="L6059" s="4" t="str">
        <f>IFERROR(VLOOKUP(ROWS($L$2:L6059),$B$2:$C$1996,2,0),"")</f>
        <v/>
      </c>
      <c r="N6059" s="2" t="str">
        <f>IFERROR(VLOOKUP(ROWS($N$2:N6059),$D$2:$E$1996,2,0),"")</f>
        <v/>
      </c>
    </row>
    <row r="6060" spans="2:14">
      <c r="B6060" s="32">
        <f>IF(ISNUMBER(SEARCH('Φόρμα Εισαγωγής'!$B$2,C6060)),MAX($B$1:B6059)+1,0)</f>
        <v>0</v>
      </c>
      <c r="D6060" s="33">
        <f>IF(ISNUMBER(SEARCH('Φόρμα Εισαγωγής'!$C$2,E6060)),MAX($D$1:D6059)+1,0)</f>
        <v>0</v>
      </c>
      <c r="H6060" s="6">
        <f t="shared" si="293"/>
        <v>0</v>
      </c>
      <c r="I6060" s="6">
        <f t="shared" si="294"/>
        <v>0</v>
      </c>
      <c r="J6060" s="6">
        <f t="shared" si="295"/>
        <v>0</v>
      </c>
      <c r="L6060" s="4" t="str">
        <f>IFERROR(VLOOKUP(ROWS($L$2:L6060),$B$2:$C$1996,2,0),"")</f>
        <v/>
      </c>
      <c r="N6060" s="2" t="str">
        <f>IFERROR(VLOOKUP(ROWS($N$2:N6060),$D$2:$E$1996,2,0),"")</f>
        <v/>
      </c>
    </row>
    <row r="6061" spans="2:14">
      <c r="B6061" s="32">
        <f>IF(ISNUMBER(SEARCH('Φόρμα Εισαγωγής'!$B$2,C6061)),MAX($B$1:B6060)+1,0)</f>
        <v>0</v>
      </c>
      <c r="D6061" s="33">
        <f>IF(ISNUMBER(SEARCH('Φόρμα Εισαγωγής'!$C$2,E6061)),MAX($D$1:D6060)+1,0)</f>
        <v>0</v>
      </c>
      <c r="H6061" s="6">
        <f t="shared" si="293"/>
        <v>0</v>
      </c>
      <c r="I6061" s="6">
        <f t="shared" si="294"/>
        <v>0</v>
      </c>
      <c r="J6061" s="6">
        <f t="shared" si="295"/>
        <v>0</v>
      </c>
      <c r="L6061" s="4" t="str">
        <f>IFERROR(VLOOKUP(ROWS($L$2:L6061),$B$2:$C$1996,2,0),"")</f>
        <v/>
      </c>
      <c r="N6061" s="2" t="str">
        <f>IFERROR(VLOOKUP(ROWS($N$2:N6061),$D$2:$E$1996,2,0),"")</f>
        <v/>
      </c>
    </row>
    <row r="6062" spans="2:14">
      <c r="B6062" s="32">
        <f>IF(ISNUMBER(SEARCH('Φόρμα Εισαγωγής'!$B$2,C6062)),MAX($B$1:B6061)+1,0)</f>
        <v>0</v>
      </c>
      <c r="D6062" s="33">
        <f>IF(ISNUMBER(SEARCH('Φόρμα Εισαγωγής'!$C$2,E6062)),MAX($D$1:D6061)+1,0)</f>
        <v>0</v>
      </c>
      <c r="H6062" s="6">
        <f t="shared" si="293"/>
        <v>0</v>
      </c>
      <c r="I6062" s="6">
        <f t="shared" si="294"/>
        <v>0</v>
      </c>
      <c r="J6062" s="6">
        <f t="shared" si="295"/>
        <v>0</v>
      </c>
      <c r="L6062" s="4" t="str">
        <f>IFERROR(VLOOKUP(ROWS($L$2:L6062),$B$2:$C$1996,2,0),"")</f>
        <v/>
      </c>
      <c r="N6062" s="2" t="str">
        <f>IFERROR(VLOOKUP(ROWS($N$2:N6062),$D$2:$E$1996,2,0),"")</f>
        <v/>
      </c>
    </row>
    <row r="6063" spans="2:14">
      <c r="B6063" s="32">
        <f>IF(ISNUMBER(SEARCH('Φόρμα Εισαγωγής'!$B$2,C6063)),MAX($B$1:B6062)+1,0)</f>
        <v>0</v>
      </c>
      <c r="D6063" s="33">
        <f>IF(ISNUMBER(SEARCH('Φόρμα Εισαγωγής'!$C$2,E6063)),MAX($D$1:D6062)+1,0)</f>
        <v>0</v>
      </c>
      <c r="H6063" s="6">
        <f t="shared" si="293"/>
        <v>0</v>
      </c>
      <c r="I6063" s="6">
        <f t="shared" si="294"/>
        <v>0</v>
      </c>
      <c r="J6063" s="6">
        <f t="shared" si="295"/>
        <v>0</v>
      </c>
      <c r="L6063" s="4" t="str">
        <f>IFERROR(VLOOKUP(ROWS($L$2:L6063),$B$2:$C$1996,2,0),"")</f>
        <v/>
      </c>
      <c r="N6063" s="2" t="str">
        <f>IFERROR(VLOOKUP(ROWS($N$2:N6063),$D$2:$E$1996,2,0),"")</f>
        <v/>
      </c>
    </row>
    <row r="6064" spans="2:14">
      <c r="B6064" s="32">
        <f>IF(ISNUMBER(SEARCH('Φόρμα Εισαγωγής'!$B$2,C6064)),MAX($B$1:B6063)+1,0)</f>
        <v>0</v>
      </c>
      <c r="D6064" s="33">
        <f>IF(ISNUMBER(SEARCH('Φόρμα Εισαγωγής'!$C$2,E6064)),MAX($D$1:D6063)+1,0)</f>
        <v>0</v>
      </c>
      <c r="H6064" s="6">
        <f t="shared" si="293"/>
        <v>0</v>
      </c>
      <c r="I6064" s="6">
        <f t="shared" si="294"/>
        <v>0</v>
      </c>
      <c r="J6064" s="6">
        <f t="shared" si="295"/>
        <v>0</v>
      </c>
      <c r="L6064" s="4" t="str">
        <f>IFERROR(VLOOKUP(ROWS($L$2:L6064),$B$2:$C$1996,2,0),"")</f>
        <v/>
      </c>
      <c r="N6064" s="2" t="str">
        <f>IFERROR(VLOOKUP(ROWS($N$2:N6064),$D$2:$E$1996,2,0),"")</f>
        <v/>
      </c>
    </row>
    <row r="6065" spans="2:14">
      <c r="B6065" s="32">
        <f>IF(ISNUMBER(SEARCH('Φόρμα Εισαγωγής'!$B$2,C6065)),MAX($B$1:B6064)+1,0)</f>
        <v>0</v>
      </c>
      <c r="D6065" s="33">
        <f>IF(ISNUMBER(SEARCH('Φόρμα Εισαγωγής'!$C$2,E6065)),MAX($D$1:D6064)+1,0)</f>
        <v>0</v>
      </c>
      <c r="H6065" s="6">
        <f t="shared" si="293"/>
        <v>0</v>
      </c>
      <c r="I6065" s="6">
        <f t="shared" si="294"/>
        <v>0</v>
      </c>
      <c r="J6065" s="6">
        <f t="shared" si="295"/>
        <v>0</v>
      </c>
      <c r="L6065" s="4" t="str">
        <f>IFERROR(VLOOKUP(ROWS($L$2:L6065),$B$2:$C$1996,2,0),"")</f>
        <v/>
      </c>
      <c r="N6065" s="2" t="str">
        <f>IFERROR(VLOOKUP(ROWS($N$2:N6065),$D$2:$E$1996,2,0),"")</f>
        <v/>
      </c>
    </row>
    <row r="6066" spans="2:14">
      <c r="B6066" s="32">
        <f>IF(ISNUMBER(SEARCH('Φόρμα Εισαγωγής'!$B$2,C6066)),MAX($B$1:B6065)+1,0)</f>
        <v>0</v>
      </c>
      <c r="D6066" s="33">
        <f>IF(ISNUMBER(SEARCH('Φόρμα Εισαγωγής'!$C$2,E6066)),MAX($D$1:D6065)+1,0)</f>
        <v>0</v>
      </c>
      <c r="H6066" s="6">
        <f t="shared" si="293"/>
        <v>0</v>
      </c>
      <c r="I6066" s="6">
        <f t="shared" si="294"/>
        <v>0</v>
      </c>
      <c r="J6066" s="6">
        <f t="shared" si="295"/>
        <v>0</v>
      </c>
      <c r="L6066" s="4" t="str">
        <f>IFERROR(VLOOKUP(ROWS($L$2:L6066),$B$2:$C$1996,2,0),"")</f>
        <v/>
      </c>
      <c r="N6066" s="2" t="str">
        <f>IFERROR(VLOOKUP(ROWS($N$2:N6066),$D$2:$E$1996,2,0),"")</f>
        <v/>
      </c>
    </row>
    <row r="6067" spans="2:14">
      <c r="B6067" s="32">
        <f>IF(ISNUMBER(SEARCH('Φόρμα Εισαγωγής'!$B$2,C6067)),MAX($B$1:B6066)+1,0)</f>
        <v>0</v>
      </c>
      <c r="D6067" s="33">
        <f>IF(ISNUMBER(SEARCH('Φόρμα Εισαγωγής'!$C$2,E6067)),MAX($D$1:D6066)+1,0)</f>
        <v>0</v>
      </c>
      <c r="H6067" s="6">
        <f t="shared" si="293"/>
        <v>0</v>
      </c>
      <c r="I6067" s="6">
        <f t="shared" si="294"/>
        <v>0</v>
      </c>
      <c r="J6067" s="6">
        <f t="shared" si="295"/>
        <v>0</v>
      </c>
      <c r="L6067" s="4" t="str">
        <f>IFERROR(VLOOKUP(ROWS($L$2:L6067),$B$2:$C$1996,2,0),"")</f>
        <v/>
      </c>
      <c r="N6067" s="2" t="str">
        <f>IFERROR(VLOOKUP(ROWS($N$2:N6067),$D$2:$E$1996,2,0),"")</f>
        <v/>
      </c>
    </row>
    <row r="6068" spans="2:14">
      <c r="B6068" s="32">
        <f>IF(ISNUMBER(SEARCH('Φόρμα Εισαγωγής'!$B$2,C6068)),MAX($B$1:B6067)+1,0)</f>
        <v>0</v>
      </c>
      <c r="D6068" s="33">
        <f>IF(ISNUMBER(SEARCH('Φόρμα Εισαγωγής'!$C$2,E6068)),MAX($D$1:D6067)+1,0)</f>
        <v>0</v>
      </c>
      <c r="H6068" s="6">
        <f t="shared" si="293"/>
        <v>0</v>
      </c>
      <c r="I6068" s="6">
        <f t="shared" si="294"/>
        <v>0</v>
      </c>
      <c r="J6068" s="6">
        <f t="shared" si="295"/>
        <v>0</v>
      </c>
      <c r="L6068" s="4" t="str">
        <f>IFERROR(VLOOKUP(ROWS($L$2:L6068),$B$2:$C$1996,2,0),"")</f>
        <v/>
      </c>
      <c r="N6068" s="2" t="str">
        <f>IFERROR(VLOOKUP(ROWS($N$2:N6068),$D$2:$E$1996,2,0),"")</f>
        <v/>
      </c>
    </row>
    <row r="6069" spans="2:14">
      <c r="B6069" s="32">
        <f>IF(ISNUMBER(SEARCH('Φόρμα Εισαγωγής'!$B$2,C6069)),MAX($B$1:B6068)+1,0)</f>
        <v>0</v>
      </c>
      <c r="D6069" s="33">
        <f>IF(ISNUMBER(SEARCH('Φόρμα Εισαγωγής'!$C$2,E6069)),MAX($D$1:D6068)+1,0)</f>
        <v>0</v>
      </c>
      <c r="H6069" s="6">
        <f t="shared" si="293"/>
        <v>0</v>
      </c>
      <c r="I6069" s="6">
        <f t="shared" si="294"/>
        <v>0</v>
      </c>
      <c r="J6069" s="6">
        <f t="shared" si="295"/>
        <v>0</v>
      </c>
      <c r="L6069" s="4" t="str">
        <f>IFERROR(VLOOKUP(ROWS($L$2:L6069),$B$2:$C$1996,2,0),"")</f>
        <v/>
      </c>
      <c r="N6069" s="2" t="str">
        <f>IFERROR(VLOOKUP(ROWS($N$2:N6069),$D$2:$E$1996,2,0),"")</f>
        <v/>
      </c>
    </row>
    <row r="6070" spans="2:14">
      <c r="B6070" s="32">
        <f>IF(ISNUMBER(SEARCH('Φόρμα Εισαγωγής'!$B$2,C6070)),MAX($B$1:B6069)+1,0)</f>
        <v>0</v>
      </c>
      <c r="D6070" s="33">
        <f>IF(ISNUMBER(SEARCH('Φόρμα Εισαγωγής'!$C$2,E6070)),MAX($D$1:D6069)+1,0)</f>
        <v>0</v>
      </c>
      <c r="H6070" s="6">
        <f t="shared" si="293"/>
        <v>0</v>
      </c>
      <c r="I6070" s="6">
        <f t="shared" si="294"/>
        <v>0</v>
      </c>
      <c r="J6070" s="6">
        <f t="shared" si="295"/>
        <v>0</v>
      </c>
      <c r="L6070" s="4" t="str">
        <f>IFERROR(VLOOKUP(ROWS($L$2:L6070),$B$2:$C$1996,2,0),"")</f>
        <v/>
      </c>
      <c r="N6070" s="2" t="str">
        <f>IFERROR(VLOOKUP(ROWS($N$2:N6070),$D$2:$E$1996,2,0),"")</f>
        <v/>
      </c>
    </row>
    <row r="6071" spans="2:14">
      <c r="B6071" s="32">
        <f>IF(ISNUMBER(SEARCH('Φόρμα Εισαγωγής'!$B$2,C6071)),MAX($B$1:B6070)+1,0)</f>
        <v>0</v>
      </c>
      <c r="D6071" s="33">
        <f>IF(ISNUMBER(SEARCH('Φόρμα Εισαγωγής'!$C$2,E6071)),MAX($D$1:D6070)+1,0)</f>
        <v>0</v>
      </c>
      <c r="H6071" s="6">
        <f t="shared" si="293"/>
        <v>0</v>
      </c>
      <c r="I6071" s="6">
        <f t="shared" si="294"/>
        <v>0</v>
      </c>
      <c r="J6071" s="6">
        <f t="shared" si="295"/>
        <v>0</v>
      </c>
      <c r="L6071" s="4" t="str">
        <f>IFERROR(VLOOKUP(ROWS($L$2:L6071),$B$2:$C$1996,2,0),"")</f>
        <v/>
      </c>
      <c r="N6071" s="2" t="str">
        <f>IFERROR(VLOOKUP(ROWS($N$2:N6071),$D$2:$E$1996,2,0),"")</f>
        <v/>
      </c>
    </row>
    <row r="6072" spans="2:14">
      <c r="B6072" s="32">
        <f>IF(ISNUMBER(SEARCH('Φόρμα Εισαγωγής'!$B$2,C6072)),MAX($B$1:B6071)+1,0)</f>
        <v>0</v>
      </c>
      <c r="D6072" s="33">
        <f>IF(ISNUMBER(SEARCH('Φόρμα Εισαγωγής'!$C$2,E6072)),MAX($D$1:D6071)+1,0)</f>
        <v>0</v>
      </c>
      <c r="H6072" s="6">
        <f t="shared" si="293"/>
        <v>0</v>
      </c>
      <c r="I6072" s="6">
        <f t="shared" si="294"/>
        <v>0</v>
      </c>
      <c r="J6072" s="6">
        <f t="shared" si="295"/>
        <v>0</v>
      </c>
      <c r="L6072" s="4" t="str">
        <f>IFERROR(VLOOKUP(ROWS($L$2:L6072),$B$2:$C$1996,2,0),"")</f>
        <v/>
      </c>
      <c r="N6072" s="2" t="str">
        <f>IFERROR(VLOOKUP(ROWS($N$2:N6072),$D$2:$E$1996,2,0),"")</f>
        <v/>
      </c>
    </row>
    <row r="6073" spans="2:14">
      <c r="B6073" s="32">
        <f>IF(ISNUMBER(SEARCH('Φόρμα Εισαγωγής'!$B$2,C6073)),MAX($B$1:B6072)+1,0)</f>
        <v>0</v>
      </c>
      <c r="D6073" s="33">
        <f>IF(ISNUMBER(SEARCH('Φόρμα Εισαγωγής'!$C$2,E6073)),MAX($D$1:D6072)+1,0)</f>
        <v>0</v>
      </c>
      <c r="H6073" s="6">
        <f t="shared" si="293"/>
        <v>0</v>
      </c>
      <c r="I6073" s="6">
        <f t="shared" si="294"/>
        <v>0</v>
      </c>
      <c r="J6073" s="6">
        <f t="shared" si="295"/>
        <v>0</v>
      </c>
      <c r="L6073" s="4" t="str">
        <f>IFERROR(VLOOKUP(ROWS($L$2:L6073),$B$2:$C$1996,2,0),"")</f>
        <v/>
      </c>
      <c r="N6073" s="2" t="str">
        <f>IFERROR(VLOOKUP(ROWS($N$2:N6073),$D$2:$E$1996,2,0),"")</f>
        <v/>
      </c>
    </row>
    <row r="6074" spans="2:14">
      <c r="B6074" s="32">
        <f>IF(ISNUMBER(SEARCH('Φόρμα Εισαγωγής'!$B$2,C6074)),MAX($B$1:B6073)+1,0)</f>
        <v>0</v>
      </c>
      <c r="D6074" s="33">
        <f>IF(ISNUMBER(SEARCH('Φόρμα Εισαγωγής'!$C$2,E6074)),MAX($D$1:D6073)+1,0)</f>
        <v>0</v>
      </c>
      <c r="H6074" s="6">
        <f t="shared" si="293"/>
        <v>0</v>
      </c>
      <c r="I6074" s="6">
        <f t="shared" si="294"/>
        <v>0</v>
      </c>
      <c r="J6074" s="6">
        <f t="shared" si="295"/>
        <v>0</v>
      </c>
      <c r="L6074" s="4" t="str">
        <f>IFERROR(VLOOKUP(ROWS($L$2:L6074),$B$2:$C$1996,2,0),"")</f>
        <v/>
      </c>
      <c r="N6074" s="2" t="str">
        <f>IFERROR(VLOOKUP(ROWS($N$2:N6074),$D$2:$E$1996,2,0),"")</f>
        <v/>
      </c>
    </row>
    <row r="6075" spans="2:14">
      <c r="B6075" s="32">
        <f>IF(ISNUMBER(SEARCH('Φόρμα Εισαγωγής'!$B$2,C6075)),MAX($B$1:B6074)+1,0)</f>
        <v>0</v>
      </c>
      <c r="D6075" s="33">
        <f>IF(ISNUMBER(SEARCH('Φόρμα Εισαγωγής'!$C$2,E6075)),MAX($D$1:D6074)+1,0)</f>
        <v>0</v>
      </c>
      <c r="H6075" s="6">
        <f t="shared" si="293"/>
        <v>0</v>
      </c>
      <c r="I6075" s="6">
        <f t="shared" si="294"/>
        <v>0</v>
      </c>
      <c r="J6075" s="6">
        <f t="shared" si="295"/>
        <v>0</v>
      </c>
      <c r="L6075" s="4" t="str">
        <f>IFERROR(VLOOKUP(ROWS($L$2:L6075),$B$2:$C$1996,2,0),"")</f>
        <v/>
      </c>
      <c r="N6075" s="2" t="str">
        <f>IFERROR(VLOOKUP(ROWS($N$2:N6075),$D$2:$E$1996,2,0),"")</f>
        <v/>
      </c>
    </row>
    <row r="6076" spans="2:14">
      <c r="B6076" s="32">
        <f>IF(ISNUMBER(SEARCH('Φόρμα Εισαγωγής'!$B$2,C6076)),MAX($B$1:B6075)+1,0)</f>
        <v>0</v>
      </c>
      <c r="D6076" s="33">
        <f>IF(ISNUMBER(SEARCH('Φόρμα Εισαγωγής'!$C$2,E6076)),MAX($D$1:D6075)+1,0)</f>
        <v>0</v>
      </c>
      <c r="H6076" s="6">
        <f t="shared" si="293"/>
        <v>0</v>
      </c>
      <c r="I6076" s="6">
        <f t="shared" si="294"/>
        <v>0</v>
      </c>
      <c r="J6076" s="6">
        <f t="shared" si="295"/>
        <v>0</v>
      </c>
      <c r="L6076" s="4" t="str">
        <f>IFERROR(VLOOKUP(ROWS($L$2:L6076),$B$2:$C$1996,2,0),"")</f>
        <v/>
      </c>
      <c r="N6076" s="2" t="str">
        <f>IFERROR(VLOOKUP(ROWS($N$2:N6076),$D$2:$E$1996,2,0),"")</f>
        <v/>
      </c>
    </row>
    <row r="6077" spans="2:14">
      <c r="B6077" s="32">
        <f>IF(ISNUMBER(SEARCH('Φόρμα Εισαγωγής'!$B$2,C6077)),MAX($B$1:B6076)+1,0)</f>
        <v>0</v>
      </c>
      <c r="D6077" s="33">
        <f>IF(ISNUMBER(SEARCH('Φόρμα Εισαγωγής'!$C$2,E6077)),MAX($D$1:D6076)+1,0)</f>
        <v>0</v>
      </c>
      <c r="H6077" s="6">
        <f t="shared" si="293"/>
        <v>0</v>
      </c>
      <c r="I6077" s="6">
        <f t="shared" si="294"/>
        <v>0</v>
      </c>
      <c r="J6077" s="6">
        <f t="shared" si="295"/>
        <v>0</v>
      </c>
      <c r="L6077" s="4" t="str">
        <f>IFERROR(VLOOKUP(ROWS($L$2:L6077),$B$2:$C$1996,2,0),"")</f>
        <v/>
      </c>
      <c r="N6077" s="2" t="str">
        <f>IFERROR(VLOOKUP(ROWS($N$2:N6077),$D$2:$E$1996,2,0),"")</f>
        <v/>
      </c>
    </row>
    <row r="6078" spans="2:14">
      <c r="B6078" s="32">
        <f>IF(ISNUMBER(SEARCH('Φόρμα Εισαγωγής'!$B$2,C6078)),MAX($B$1:B6077)+1,0)</f>
        <v>0</v>
      </c>
      <c r="D6078" s="33">
        <f>IF(ISNUMBER(SEARCH('Φόρμα Εισαγωγής'!$C$2,E6078)),MAX($D$1:D6077)+1,0)</f>
        <v>0</v>
      </c>
      <c r="H6078" s="6">
        <f t="shared" si="293"/>
        <v>0</v>
      </c>
      <c r="I6078" s="6">
        <f t="shared" si="294"/>
        <v>0</v>
      </c>
      <c r="J6078" s="6">
        <f t="shared" si="295"/>
        <v>0</v>
      </c>
      <c r="L6078" s="4" t="str">
        <f>IFERROR(VLOOKUP(ROWS($L$2:L6078),$B$2:$C$1996,2,0),"")</f>
        <v/>
      </c>
      <c r="N6078" s="2" t="str">
        <f>IFERROR(VLOOKUP(ROWS($N$2:N6078),$D$2:$E$1996,2,0),"")</f>
        <v/>
      </c>
    </row>
    <row r="6079" spans="2:14">
      <c r="B6079" s="32">
        <f>IF(ISNUMBER(SEARCH('Φόρμα Εισαγωγής'!$B$2,C6079)),MAX($B$1:B6078)+1,0)</f>
        <v>0</v>
      </c>
      <c r="D6079" s="33">
        <f>IF(ISNUMBER(SEARCH('Φόρμα Εισαγωγής'!$C$2,E6079)),MAX($D$1:D6078)+1,0)</f>
        <v>0</v>
      </c>
      <c r="H6079" s="6">
        <f t="shared" si="293"/>
        <v>0</v>
      </c>
      <c r="I6079" s="6">
        <f t="shared" si="294"/>
        <v>0</v>
      </c>
      <c r="J6079" s="6">
        <f t="shared" si="295"/>
        <v>0</v>
      </c>
      <c r="L6079" s="4" t="str">
        <f>IFERROR(VLOOKUP(ROWS($L$2:L6079),$B$2:$C$1996,2,0),"")</f>
        <v/>
      </c>
      <c r="N6079" s="2" t="str">
        <f>IFERROR(VLOOKUP(ROWS($N$2:N6079),$D$2:$E$1996,2,0),"")</f>
        <v/>
      </c>
    </row>
    <row r="6080" spans="2:14">
      <c r="B6080" s="32">
        <f>IF(ISNUMBER(SEARCH('Φόρμα Εισαγωγής'!$B$2,C6080)),MAX($B$1:B6079)+1,0)</f>
        <v>0</v>
      </c>
      <c r="D6080" s="33">
        <f>IF(ISNUMBER(SEARCH('Φόρμα Εισαγωγής'!$C$2,E6080)),MAX($D$1:D6079)+1,0)</f>
        <v>0</v>
      </c>
      <c r="H6080" s="6">
        <f t="shared" ref="H6080:H6143" si="296">G6080+(G6080*0.24)</f>
        <v>0</v>
      </c>
      <c r="I6080" s="6">
        <f t="shared" ref="I6080:I6143" si="297">F6080*A6080</f>
        <v>0</v>
      </c>
      <c r="J6080" s="6">
        <f t="shared" ref="J6080:J6143" si="298">H6080*A6080</f>
        <v>0</v>
      </c>
      <c r="L6080" s="4" t="str">
        <f>IFERROR(VLOOKUP(ROWS($L$2:L6080),$B$2:$C$1996,2,0),"")</f>
        <v/>
      </c>
      <c r="N6080" s="2" t="str">
        <f>IFERROR(VLOOKUP(ROWS($N$2:N6080),$D$2:$E$1996,2,0),"")</f>
        <v/>
      </c>
    </row>
    <row r="6081" spans="2:14">
      <c r="B6081" s="32">
        <f>IF(ISNUMBER(SEARCH('Φόρμα Εισαγωγής'!$B$2,C6081)),MAX($B$1:B6080)+1,0)</f>
        <v>0</v>
      </c>
      <c r="D6081" s="33">
        <f>IF(ISNUMBER(SEARCH('Φόρμα Εισαγωγής'!$C$2,E6081)),MAX($D$1:D6080)+1,0)</f>
        <v>0</v>
      </c>
      <c r="H6081" s="6">
        <f t="shared" si="296"/>
        <v>0</v>
      </c>
      <c r="I6081" s="6">
        <f t="shared" si="297"/>
        <v>0</v>
      </c>
      <c r="J6081" s="6">
        <f t="shared" si="298"/>
        <v>0</v>
      </c>
      <c r="L6081" s="4" t="str">
        <f>IFERROR(VLOOKUP(ROWS($L$2:L6081),$B$2:$C$1996,2,0),"")</f>
        <v/>
      </c>
      <c r="N6081" s="2" t="str">
        <f>IFERROR(VLOOKUP(ROWS($N$2:N6081),$D$2:$E$1996,2,0),"")</f>
        <v/>
      </c>
    </row>
    <row r="6082" spans="2:14">
      <c r="B6082" s="32">
        <f>IF(ISNUMBER(SEARCH('Φόρμα Εισαγωγής'!$B$2,C6082)),MAX($B$1:B6081)+1,0)</f>
        <v>0</v>
      </c>
      <c r="D6082" s="33">
        <f>IF(ISNUMBER(SEARCH('Φόρμα Εισαγωγής'!$C$2,E6082)),MAX($D$1:D6081)+1,0)</f>
        <v>0</v>
      </c>
      <c r="H6082" s="6">
        <f t="shared" si="296"/>
        <v>0</v>
      </c>
      <c r="I6082" s="6">
        <f t="shared" si="297"/>
        <v>0</v>
      </c>
      <c r="J6082" s="6">
        <f t="shared" si="298"/>
        <v>0</v>
      </c>
      <c r="L6082" s="4" t="str">
        <f>IFERROR(VLOOKUP(ROWS($L$2:L6082),$B$2:$C$1996,2,0),"")</f>
        <v/>
      </c>
      <c r="N6082" s="2" t="str">
        <f>IFERROR(VLOOKUP(ROWS($N$2:N6082),$D$2:$E$1996,2,0),"")</f>
        <v/>
      </c>
    </row>
    <row r="6083" spans="2:14">
      <c r="B6083" s="32">
        <f>IF(ISNUMBER(SEARCH('Φόρμα Εισαγωγής'!$B$2,C6083)),MAX($B$1:B6082)+1,0)</f>
        <v>0</v>
      </c>
      <c r="D6083" s="33">
        <f>IF(ISNUMBER(SEARCH('Φόρμα Εισαγωγής'!$C$2,E6083)),MAX($D$1:D6082)+1,0)</f>
        <v>0</v>
      </c>
      <c r="H6083" s="6">
        <f t="shared" si="296"/>
        <v>0</v>
      </c>
      <c r="I6083" s="6">
        <f t="shared" si="297"/>
        <v>0</v>
      </c>
      <c r="J6083" s="6">
        <f t="shared" si="298"/>
        <v>0</v>
      </c>
      <c r="L6083" s="4" t="str">
        <f>IFERROR(VLOOKUP(ROWS($L$2:L6083),$B$2:$C$1996,2,0),"")</f>
        <v/>
      </c>
      <c r="N6083" s="2" t="str">
        <f>IFERROR(VLOOKUP(ROWS($N$2:N6083),$D$2:$E$1996,2,0),"")</f>
        <v/>
      </c>
    </row>
    <row r="6084" spans="2:14">
      <c r="B6084" s="32">
        <f>IF(ISNUMBER(SEARCH('Φόρμα Εισαγωγής'!$B$2,C6084)),MAX($B$1:B6083)+1,0)</f>
        <v>0</v>
      </c>
      <c r="D6084" s="33">
        <f>IF(ISNUMBER(SEARCH('Φόρμα Εισαγωγής'!$C$2,E6084)),MAX($D$1:D6083)+1,0)</f>
        <v>0</v>
      </c>
      <c r="H6084" s="6">
        <f t="shared" si="296"/>
        <v>0</v>
      </c>
      <c r="I6084" s="6">
        <f t="shared" si="297"/>
        <v>0</v>
      </c>
      <c r="J6084" s="6">
        <f t="shared" si="298"/>
        <v>0</v>
      </c>
      <c r="L6084" s="4" t="str">
        <f>IFERROR(VLOOKUP(ROWS($L$2:L6084),$B$2:$C$1996,2,0),"")</f>
        <v/>
      </c>
      <c r="N6084" s="2" t="str">
        <f>IFERROR(VLOOKUP(ROWS($N$2:N6084),$D$2:$E$1996,2,0),"")</f>
        <v/>
      </c>
    </row>
    <row r="6085" spans="2:14">
      <c r="B6085" s="32">
        <f>IF(ISNUMBER(SEARCH('Φόρμα Εισαγωγής'!$B$2,C6085)),MAX($B$1:B6084)+1,0)</f>
        <v>0</v>
      </c>
      <c r="D6085" s="33">
        <f>IF(ISNUMBER(SEARCH('Φόρμα Εισαγωγής'!$C$2,E6085)),MAX($D$1:D6084)+1,0)</f>
        <v>0</v>
      </c>
      <c r="H6085" s="6">
        <f t="shared" si="296"/>
        <v>0</v>
      </c>
      <c r="I6085" s="6">
        <f t="shared" si="297"/>
        <v>0</v>
      </c>
      <c r="J6085" s="6">
        <f t="shared" si="298"/>
        <v>0</v>
      </c>
      <c r="L6085" s="4" t="str">
        <f>IFERROR(VLOOKUP(ROWS($L$2:L6085),$B$2:$C$1996,2,0),"")</f>
        <v/>
      </c>
      <c r="N6085" s="2" t="str">
        <f>IFERROR(VLOOKUP(ROWS($N$2:N6085),$D$2:$E$1996,2,0),"")</f>
        <v/>
      </c>
    </row>
    <row r="6086" spans="2:14">
      <c r="B6086" s="32">
        <f>IF(ISNUMBER(SEARCH('Φόρμα Εισαγωγής'!$B$2,C6086)),MAX($B$1:B6085)+1,0)</f>
        <v>0</v>
      </c>
      <c r="D6086" s="33">
        <f>IF(ISNUMBER(SEARCH('Φόρμα Εισαγωγής'!$C$2,E6086)),MAX($D$1:D6085)+1,0)</f>
        <v>0</v>
      </c>
      <c r="H6086" s="6">
        <f t="shared" si="296"/>
        <v>0</v>
      </c>
      <c r="I6086" s="6">
        <f t="shared" si="297"/>
        <v>0</v>
      </c>
      <c r="J6086" s="6">
        <f t="shared" si="298"/>
        <v>0</v>
      </c>
      <c r="L6086" s="4" t="str">
        <f>IFERROR(VLOOKUP(ROWS($L$2:L6086),$B$2:$C$1996,2,0),"")</f>
        <v/>
      </c>
      <c r="N6086" s="2" t="str">
        <f>IFERROR(VLOOKUP(ROWS($N$2:N6086),$D$2:$E$1996,2,0),"")</f>
        <v/>
      </c>
    </row>
    <row r="6087" spans="2:14">
      <c r="B6087" s="32">
        <f>IF(ISNUMBER(SEARCH('Φόρμα Εισαγωγής'!$B$2,C6087)),MAX($B$1:B6086)+1,0)</f>
        <v>0</v>
      </c>
      <c r="D6087" s="33">
        <f>IF(ISNUMBER(SEARCH('Φόρμα Εισαγωγής'!$C$2,E6087)),MAX($D$1:D6086)+1,0)</f>
        <v>0</v>
      </c>
      <c r="H6087" s="6">
        <f t="shared" si="296"/>
        <v>0</v>
      </c>
      <c r="I6087" s="6">
        <f t="shared" si="297"/>
        <v>0</v>
      </c>
      <c r="J6087" s="6">
        <f t="shared" si="298"/>
        <v>0</v>
      </c>
      <c r="L6087" s="4" t="str">
        <f>IFERROR(VLOOKUP(ROWS($L$2:L6087),$B$2:$C$1996,2,0),"")</f>
        <v/>
      </c>
      <c r="N6087" s="2" t="str">
        <f>IFERROR(VLOOKUP(ROWS($N$2:N6087),$D$2:$E$1996,2,0),"")</f>
        <v/>
      </c>
    </row>
    <row r="6088" spans="2:14">
      <c r="B6088" s="32">
        <f>IF(ISNUMBER(SEARCH('Φόρμα Εισαγωγής'!$B$2,C6088)),MAX($B$1:B6087)+1,0)</f>
        <v>0</v>
      </c>
      <c r="D6088" s="33">
        <f>IF(ISNUMBER(SEARCH('Φόρμα Εισαγωγής'!$C$2,E6088)),MAX($D$1:D6087)+1,0)</f>
        <v>0</v>
      </c>
      <c r="H6088" s="6">
        <f t="shared" si="296"/>
        <v>0</v>
      </c>
      <c r="I6088" s="6">
        <f t="shared" si="297"/>
        <v>0</v>
      </c>
      <c r="J6088" s="6">
        <f t="shared" si="298"/>
        <v>0</v>
      </c>
      <c r="L6088" s="4" t="str">
        <f>IFERROR(VLOOKUP(ROWS($L$2:L6088),$B$2:$C$1996,2,0),"")</f>
        <v/>
      </c>
      <c r="N6088" s="2" t="str">
        <f>IFERROR(VLOOKUP(ROWS($N$2:N6088),$D$2:$E$1996,2,0),"")</f>
        <v/>
      </c>
    </row>
    <row r="6089" spans="2:14">
      <c r="B6089" s="32">
        <f>IF(ISNUMBER(SEARCH('Φόρμα Εισαγωγής'!$B$2,C6089)),MAX($B$1:B6088)+1,0)</f>
        <v>0</v>
      </c>
      <c r="D6089" s="33">
        <f>IF(ISNUMBER(SEARCH('Φόρμα Εισαγωγής'!$C$2,E6089)),MAX($D$1:D6088)+1,0)</f>
        <v>0</v>
      </c>
      <c r="H6089" s="6">
        <f t="shared" si="296"/>
        <v>0</v>
      </c>
      <c r="I6089" s="6">
        <f t="shared" si="297"/>
        <v>0</v>
      </c>
      <c r="J6089" s="6">
        <f t="shared" si="298"/>
        <v>0</v>
      </c>
      <c r="L6089" s="4" t="str">
        <f>IFERROR(VLOOKUP(ROWS($L$2:L6089),$B$2:$C$1996,2,0),"")</f>
        <v/>
      </c>
      <c r="N6089" s="2" t="str">
        <f>IFERROR(VLOOKUP(ROWS($N$2:N6089),$D$2:$E$1996,2,0),"")</f>
        <v/>
      </c>
    </row>
    <row r="6090" spans="2:14">
      <c r="B6090" s="32">
        <f>IF(ISNUMBER(SEARCH('Φόρμα Εισαγωγής'!$B$2,C6090)),MAX($B$1:B6089)+1,0)</f>
        <v>0</v>
      </c>
      <c r="D6090" s="33">
        <f>IF(ISNUMBER(SEARCH('Φόρμα Εισαγωγής'!$C$2,E6090)),MAX($D$1:D6089)+1,0)</f>
        <v>0</v>
      </c>
      <c r="H6090" s="6">
        <f t="shared" si="296"/>
        <v>0</v>
      </c>
      <c r="I6090" s="6">
        <f t="shared" si="297"/>
        <v>0</v>
      </c>
      <c r="J6090" s="6">
        <f t="shared" si="298"/>
        <v>0</v>
      </c>
      <c r="L6090" s="4" t="str">
        <f>IFERROR(VLOOKUP(ROWS($L$2:L6090),$B$2:$C$1996,2,0),"")</f>
        <v/>
      </c>
      <c r="N6090" s="2" t="str">
        <f>IFERROR(VLOOKUP(ROWS($N$2:N6090),$D$2:$E$1996,2,0),"")</f>
        <v/>
      </c>
    </row>
    <row r="6091" spans="2:14">
      <c r="B6091" s="32">
        <f>IF(ISNUMBER(SEARCH('Φόρμα Εισαγωγής'!$B$2,C6091)),MAX($B$1:B6090)+1,0)</f>
        <v>0</v>
      </c>
      <c r="D6091" s="33">
        <f>IF(ISNUMBER(SEARCH('Φόρμα Εισαγωγής'!$C$2,E6091)),MAX($D$1:D6090)+1,0)</f>
        <v>0</v>
      </c>
      <c r="H6091" s="6">
        <f t="shared" si="296"/>
        <v>0</v>
      </c>
      <c r="I6091" s="6">
        <f t="shared" si="297"/>
        <v>0</v>
      </c>
      <c r="J6091" s="6">
        <f t="shared" si="298"/>
        <v>0</v>
      </c>
      <c r="L6091" s="4" t="str">
        <f>IFERROR(VLOOKUP(ROWS($L$2:L6091),$B$2:$C$1996,2,0),"")</f>
        <v/>
      </c>
      <c r="N6091" s="2" t="str">
        <f>IFERROR(VLOOKUP(ROWS($N$2:N6091),$D$2:$E$1996,2,0),"")</f>
        <v/>
      </c>
    </row>
    <row r="6092" spans="2:14">
      <c r="B6092" s="32">
        <f>IF(ISNUMBER(SEARCH('Φόρμα Εισαγωγής'!$B$2,C6092)),MAX($B$1:B6091)+1,0)</f>
        <v>0</v>
      </c>
      <c r="D6092" s="33">
        <f>IF(ISNUMBER(SEARCH('Φόρμα Εισαγωγής'!$C$2,E6092)),MAX($D$1:D6091)+1,0)</f>
        <v>0</v>
      </c>
      <c r="H6092" s="6">
        <f t="shared" si="296"/>
        <v>0</v>
      </c>
      <c r="I6092" s="6">
        <f t="shared" si="297"/>
        <v>0</v>
      </c>
      <c r="J6092" s="6">
        <f t="shared" si="298"/>
        <v>0</v>
      </c>
      <c r="L6092" s="4" t="str">
        <f>IFERROR(VLOOKUP(ROWS($L$2:L6092),$B$2:$C$1996,2,0),"")</f>
        <v/>
      </c>
      <c r="N6092" s="2" t="str">
        <f>IFERROR(VLOOKUP(ROWS($N$2:N6092),$D$2:$E$1996,2,0),"")</f>
        <v/>
      </c>
    </row>
    <row r="6093" spans="2:14">
      <c r="B6093" s="32">
        <f>IF(ISNUMBER(SEARCH('Φόρμα Εισαγωγής'!$B$2,C6093)),MAX($B$1:B6092)+1,0)</f>
        <v>0</v>
      </c>
      <c r="D6093" s="33">
        <f>IF(ISNUMBER(SEARCH('Φόρμα Εισαγωγής'!$C$2,E6093)),MAX($D$1:D6092)+1,0)</f>
        <v>0</v>
      </c>
      <c r="H6093" s="6">
        <f t="shared" si="296"/>
        <v>0</v>
      </c>
      <c r="I6093" s="6">
        <f t="shared" si="297"/>
        <v>0</v>
      </c>
      <c r="J6093" s="6">
        <f t="shared" si="298"/>
        <v>0</v>
      </c>
      <c r="L6093" s="4" t="str">
        <f>IFERROR(VLOOKUP(ROWS($L$2:L6093),$B$2:$C$1996,2,0),"")</f>
        <v/>
      </c>
      <c r="N6093" s="2" t="str">
        <f>IFERROR(VLOOKUP(ROWS($N$2:N6093),$D$2:$E$1996,2,0),"")</f>
        <v/>
      </c>
    </row>
    <row r="6094" spans="2:14">
      <c r="B6094" s="32">
        <f>IF(ISNUMBER(SEARCH('Φόρμα Εισαγωγής'!$B$2,C6094)),MAX($B$1:B6093)+1,0)</f>
        <v>0</v>
      </c>
      <c r="D6094" s="33">
        <f>IF(ISNUMBER(SEARCH('Φόρμα Εισαγωγής'!$C$2,E6094)),MAX($D$1:D6093)+1,0)</f>
        <v>0</v>
      </c>
      <c r="H6094" s="6">
        <f t="shared" si="296"/>
        <v>0</v>
      </c>
      <c r="I6094" s="6">
        <f t="shared" si="297"/>
        <v>0</v>
      </c>
      <c r="J6094" s="6">
        <f t="shared" si="298"/>
        <v>0</v>
      </c>
      <c r="L6094" s="4" t="str">
        <f>IFERROR(VLOOKUP(ROWS($L$2:L6094),$B$2:$C$1996,2,0),"")</f>
        <v/>
      </c>
      <c r="N6094" s="2" t="str">
        <f>IFERROR(VLOOKUP(ROWS($N$2:N6094),$D$2:$E$1996,2,0),"")</f>
        <v/>
      </c>
    </row>
    <row r="6095" spans="2:14">
      <c r="B6095" s="32">
        <f>IF(ISNUMBER(SEARCH('Φόρμα Εισαγωγής'!$B$2,C6095)),MAX($B$1:B6094)+1,0)</f>
        <v>0</v>
      </c>
      <c r="D6095" s="33">
        <f>IF(ISNUMBER(SEARCH('Φόρμα Εισαγωγής'!$C$2,E6095)),MAX($D$1:D6094)+1,0)</f>
        <v>0</v>
      </c>
      <c r="H6095" s="6">
        <f t="shared" si="296"/>
        <v>0</v>
      </c>
      <c r="I6095" s="6">
        <f t="shared" si="297"/>
        <v>0</v>
      </c>
      <c r="J6095" s="6">
        <f t="shared" si="298"/>
        <v>0</v>
      </c>
      <c r="L6095" s="4" t="str">
        <f>IFERROR(VLOOKUP(ROWS($L$2:L6095),$B$2:$C$1996,2,0),"")</f>
        <v/>
      </c>
      <c r="N6095" s="2" t="str">
        <f>IFERROR(VLOOKUP(ROWS($N$2:N6095),$D$2:$E$1996,2,0),"")</f>
        <v/>
      </c>
    </row>
    <row r="6096" spans="2:14">
      <c r="B6096" s="32">
        <f>IF(ISNUMBER(SEARCH('Φόρμα Εισαγωγής'!$B$2,C6096)),MAX($B$1:B6095)+1,0)</f>
        <v>0</v>
      </c>
      <c r="D6096" s="33">
        <f>IF(ISNUMBER(SEARCH('Φόρμα Εισαγωγής'!$C$2,E6096)),MAX($D$1:D6095)+1,0)</f>
        <v>0</v>
      </c>
      <c r="H6096" s="6">
        <f t="shared" si="296"/>
        <v>0</v>
      </c>
      <c r="I6096" s="6">
        <f t="shared" si="297"/>
        <v>0</v>
      </c>
      <c r="J6096" s="6">
        <f t="shared" si="298"/>
        <v>0</v>
      </c>
      <c r="L6096" s="4" t="str">
        <f>IFERROR(VLOOKUP(ROWS($L$2:L6096),$B$2:$C$1996,2,0),"")</f>
        <v/>
      </c>
      <c r="N6096" s="2" t="str">
        <f>IFERROR(VLOOKUP(ROWS($N$2:N6096),$D$2:$E$1996,2,0),"")</f>
        <v/>
      </c>
    </row>
    <row r="6097" spans="2:14">
      <c r="B6097" s="32">
        <f>IF(ISNUMBER(SEARCH('Φόρμα Εισαγωγής'!$B$2,C6097)),MAX($B$1:B6096)+1,0)</f>
        <v>0</v>
      </c>
      <c r="D6097" s="33">
        <f>IF(ISNUMBER(SEARCH('Φόρμα Εισαγωγής'!$C$2,E6097)),MAX($D$1:D6096)+1,0)</f>
        <v>0</v>
      </c>
      <c r="H6097" s="6">
        <f t="shared" si="296"/>
        <v>0</v>
      </c>
      <c r="I6097" s="6">
        <f t="shared" si="297"/>
        <v>0</v>
      </c>
      <c r="J6097" s="6">
        <f t="shared" si="298"/>
        <v>0</v>
      </c>
      <c r="L6097" s="4" t="str">
        <f>IFERROR(VLOOKUP(ROWS($L$2:L6097),$B$2:$C$1996,2,0),"")</f>
        <v/>
      </c>
      <c r="N6097" s="2" t="str">
        <f>IFERROR(VLOOKUP(ROWS($N$2:N6097),$D$2:$E$1996,2,0),"")</f>
        <v/>
      </c>
    </row>
    <row r="6098" spans="2:14">
      <c r="B6098" s="32">
        <f>IF(ISNUMBER(SEARCH('Φόρμα Εισαγωγής'!$B$2,C6098)),MAX($B$1:B6097)+1,0)</f>
        <v>0</v>
      </c>
      <c r="D6098" s="33">
        <f>IF(ISNUMBER(SEARCH('Φόρμα Εισαγωγής'!$C$2,E6098)),MAX($D$1:D6097)+1,0)</f>
        <v>0</v>
      </c>
      <c r="H6098" s="6">
        <f t="shared" si="296"/>
        <v>0</v>
      </c>
      <c r="I6098" s="6">
        <f t="shared" si="297"/>
        <v>0</v>
      </c>
      <c r="J6098" s="6">
        <f t="shared" si="298"/>
        <v>0</v>
      </c>
      <c r="L6098" s="4" t="str">
        <f>IFERROR(VLOOKUP(ROWS($L$2:L6098),$B$2:$C$1996,2,0),"")</f>
        <v/>
      </c>
      <c r="N6098" s="2" t="str">
        <f>IFERROR(VLOOKUP(ROWS($N$2:N6098),$D$2:$E$1996,2,0),"")</f>
        <v/>
      </c>
    </row>
    <row r="6099" spans="2:14">
      <c r="B6099" s="32">
        <f>IF(ISNUMBER(SEARCH('Φόρμα Εισαγωγής'!$B$2,C6099)),MAX($B$1:B6098)+1,0)</f>
        <v>0</v>
      </c>
      <c r="D6099" s="33">
        <f>IF(ISNUMBER(SEARCH('Φόρμα Εισαγωγής'!$C$2,E6099)),MAX($D$1:D6098)+1,0)</f>
        <v>0</v>
      </c>
      <c r="H6099" s="6">
        <f t="shared" si="296"/>
        <v>0</v>
      </c>
      <c r="I6099" s="6">
        <f t="shared" si="297"/>
        <v>0</v>
      </c>
      <c r="J6099" s="6">
        <f t="shared" si="298"/>
        <v>0</v>
      </c>
      <c r="L6099" s="4" t="str">
        <f>IFERROR(VLOOKUP(ROWS($L$2:L6099),$B$2:$C$1996,2,0),"")</f>
        <v/>
      </c>
      <c r="N6099" s="2" t="str">
        <f>IFERROR(VLOOKUP(ROWS($N$2:N6099),$D$2:$E$1996,2,0),"")</f>
        <v/>
      </c>
    </row>
    <row r="6100" spans="2:14">
      <c r="B6100" s="32">
        <f>IF(ISNUMBER(SEARCH('Φόρμα Εισαγωγής'!$B$2,C6100)),MAX($B$1:B6099)+1,0)</f>
        <v>0</v>
      </c>
      <c r="D6100" s="33">
        <f>IF(ISNUMBER(SEARCH('Φόρμα Εισαγωγής'!$C$2,E6100)),MAX($D$1:D6099)+1,0)</f>
        <v>0</v>
      </c>
      <c r="H6100" s="6">
        <f t="shared" si="296"/>
        <v>0</v>
      </c>
      <c r="I6100" s="6">
        <f t="shared" si="297"/>
        <v>0</v>
      </c>
      <c r="J6100" s="6">
        <f t="shared" si="298"/>
        <v>0</v>
      </c>
      <c r="L6100" s="4" t="str">
        <f>IFERROR(VLOOKUP(ROWS($L$2:L6100),$B$2:$C$1996,2,0),"")</f>
        <v/>
      </c>
      <c r="N6100" s="2" t="str">
        <f>IFERROR(VLOOKUP(ROWS($N$2:N6100),$D$2:$E$1996,2,0),"")</f>
        <v/>
      </c>
    </row>
    <row r="6101" spans="2:14">
      <c r="B6101" s="32">
        <f>IF(ISNUMBER(SEARCH('Φόρμα Εισαγωγής'!$B$2,C6101)),MAX($B$1:B6100)+1,0)</f>
        <v>0</v>
      </c>
      <c r="D6101" s="33">
        <f>IF(ISNUMBER(SEARCH('Φόρμα Εισαγωγής'!$C$2,E6101)),MAX($D$1:D6100)+1,0)</f>
        <v>0</v>
      </c>
      <c r="H6101" s="6">
        <f t="shared" si="296"/>
        <v>0</v>
      </c>
      <c r="I6101" s="6">
        <f t="shared" si="297"/>
        <v>0</v>
      </c>
      <c r="J6101" s="6">
        <f t="shared" si="298"/>
        <v>0</v>
      </c>
      <c r="L6101" s="4" t="str">
        <f>IFERROR(VLOOKUP(ROWS($L$2:L6101),$B$2:$C$1996,2,0),"")</f>
        <v/>
      </c>
      <c r="N6101" s="2" t="str">
        <f>IFERROR(VLOOKUP(ROWS($N$2:N6101),$D$2:$E$1996,2,0),"")</f>
        <v/>
      </c>
    </row>
    <row r="6102" spans="2:14">
      <c r="B6102" s="32">
        <f>IF(ISNUMBER(SEARCH('Φόρμα Εισαγωγής'!$B$2,C6102)),MAX($B$1:B6101)+1,0)</f>
        <v>0</v>
      </c>
      <c r="D6102" s="33">
        <f>IF(ISNUMBER(SEARCH('Φόρμα Εισαγωγής'!$C$2,E6102)),MAX($D$1:D6101)+1,0)</f>
        <v>0</v>
      </c>
      <c r="H6102" s="6">
        <f t="shared" si="296"/>
        <v>0</v>
      </c>
      <c r="I6102" s="6">
        <f t="shared" si="297"/>
        <v>0</v>
      </c>
      <c r="J6102" s="6">
        <f t="shared" si="298"/>
        <v>0</v>
      </c>
      <c r="L6102" s="4" t="str">
        <f>IFERROR(VLOOKUP(ROWS($L$2:L6102),$B$2:$C$1996,2,0),"")</f>
        <v/>
      </c>
      <c r="N6102" s="2" t="str">
        <f>IFERROR(VLOOKUP(ROWS($N$2:N6102),$D$2:$E$1996,2,0),"")</f>
        <v/>
      </c>
    </row>
    <row r="6103" spans="2:14">
      <c r="B6103" s="32">
        <f>IF(ISNUMBER(SEARCH('Φόρμα Εισαγωγής'!$B$2,C6103)),MAX($B$1:B6102)+1,0)</f>
        <v>0</v>
      </c>
      <c r="D6103" s="33">
        <f>IF(ISNUMBER(SEARCH('Φόρμα Εισαγωγής'!$C$2,E6103)),MAX($D$1:D6102)+1,0)</f>
        <v>0</v>
      </c>
      <c r="H6103" s="6">
        <f t="shared" si="296"/>
        <v>0</v>
      </c>
      <c r="I6103" s="6">
        <f t="shared" si="297"/>
        <v>0</v>
      </c>
      <c r="J6103" s="6">
        <f t="shared" si="298"/>
        <v>0</v>
      </c>
      <c r="L6103" s="4" t="str">
        <f>IFERROR(VLOOKUP(ROWS($L$2:L6103),$B$2:$C$1996,2,0),"")</f>
        <v/>
      </c>
      <c r="N6103" s="2" t="str">
        <f>IFERROR(VLOOKUP(ROWS($N$2:N6103),$D$2:$E$1996,2,0),"")</f>
        <v/>
      </c>
    </row>
    <row r="6104" spans="2:14">
      <c r="B6104" s="32">
        <f>IF(ISNUMBER(SEARCH('Φόρμα Εισαγωγής'!$B$2,C6104)),MAX($B$1:B6103)+1,0)</f>
        <v>0</v>
      </c>
      <c r="D6104" s="33">
        <f>IF(ISNUMBER(SEARCH('Φόρμα Εισαγωγής'!$C$2,E6104)),MAX($D$1:D6103)+1,0)</f>
        <v>0</v>
      </c>
      <c r="H6104" s="6">
        <f t="shared" si="296"/>
        <v>0</v>
      </c>
      <c r="I6104" s="6">
        <f t="shared" si="297"/>
        <v>0</v>
      </c>
      <c r="J6104" s="6">
        <f t="shared" si="298"/>
        <v>0</v>
      </c>
      <c r="L6104" s="4" t="str">
        <f>IFERROR(VLOOKUP(ROWS($L$2:L6104),$B$2:$C$1996,2,0),"")</f>
        <v/>
      </c>
      <c r="N6104" s="2" t="str">
        <f>IFERROR(VLOOKUP(ROWS($N$2:N6104),$D$2:$E$1996,2,0),"")</f>
        <v/>
      </c>
    </row>
    <row r="6105" spans="2:14">
      <c r="B6105" s="32">
        <f>IF(ISNUMBER(SEARCH('Φόρμα Εισαγωγής'!$B$2,C6105)),MAX($B$1:B6104)+1,0)</f>
        <v>0</v>
      </c>
      <c r="D6105" s="33">
        <f>IF(ISNUMBER(SEARCH('Φόρμα Εισαγωγής'!$C$2,E6105)),MAX($D$1:D6104)+1,0)</f>
        <v>0</v>
      </c>
      <c r="H6105" s="6">
        <f t="shared" si="296"/>
        <v>0</v>
      </c>
      <c r="I6105" s="6">
        <f t="shared" si="297"/>
        <v>0</v>
      </c>
      <c r="J6105" s="6">
        <f t="shared" si="298"/>
        <v>0</v>
      </c>
      <c r="L6105" s="4" t="str">
        <f>IFERROR(VLOOKUP(ROWS($L$2:L6105),$B$2:$C$1996,2,0),"")</f>
        <v/>
      </c>
      <c r="N6105" s="2" t="str">
        <f>IFERROR(VLOOKUP(ROWS($N$2:N6105),$D$2:$E$1996,2,0),"")</f>
        <v/>
      </c>
    </row>
    <row r="6106" spans="2:14">
      <c r="B6106" s="32">
        <f>IF(ISNUMBER(SEARCH('Φόρμα Εισαγωγής'!$B$2,C6106)),MAX($B$1:B6105)+1,0)</f>
        <v>0</v>
      </c>
      <c r="D6106" s="33">
        <f>IF(ISNUMBER(SEARCH('Φόρμα Εισαγωγής'!$C$2,E6106)),MAX($D$1:D6105)+1,0)</f>
        <v>0</v>
      </c>
      <c r="H6106" s="6">
        <f t="shared" si="296"/>
        <v>0</v>
      </c>
      <c r="I6106" s="6">
        <f t="shared" si="297"/>
        <v>0</v>
      </c>
      <c r="J6106" s="6">
        <f t="shared" si="298"/>
        <v>0</v>
      </c>
      <c r="L6106" s="4" t="str">
        <f>IFERROR(VLOOKUP(ROWS($L$2:L6106),$B$2:$C$1996,2,0),"")</f>
        <v/>
      </c>
      <c r="N6106" s="2" t="str">
        <f>IFERROR(VLOOKUP(ROWS($N$2:N6106),$D$2:$E$1996,2,0),"")</f>
        <v/>
      </c>
    </row>
    <row r="6107" spans="2:14">
      <c r="B6107" s="32">
        <f>IF(ISNUMBER(SEARCH('Φόρμα Εισαγωγής'!$B$2,C6107)),MAX($B$1:B6106)+1,0)</f>
        <v>0</v>
      </c>
      <c r="D6107" s="33">
        <f>IF(ISNUMBER(SEARCH('Φόρμα Εισαγωγής'!$C$2,E6107)),MAX($D$1:D6106)+1,0)</f>
        <v>0</v>
      </c>
      <c r="H6107" s="6">
        <f t="shared" si="296"/>
        <v>0</v>
      </c>
      <c r="I6107" s="6">
        <f t="shared" si="297"/>
        <v>0</v>
      </c>
      <c r="J6107" s="6">
        <f t="shared" si="298"/>
        <v>0</v>
      </c>
      <c r="L6107" s="4" t="str">
        <f>IFERROR(VLOOKUP(ROWS($L$2:L6107),$B$2:$C$1996,2,0),"")</f>
        <v/>
      </c>
      <c r="N6107" s="2" t="str">
        <f>IFERROR(VLOOKUP(ROWS($N$2:N6107),$D$2:$E$1996,2,0),"")</f>
        <v/>
      </c>
    </row>
    <row r="6108" spans="2:14">
      <c r="B6108" s="32">
        <f>IF(ISNUMBER(SEARCH('Φόρμα Εισαγωγής'!$B$2,C6108)),MAX($B$1:B6107)+1,0)</f>
        <v>0</v>
      </c>
      <c r="D6108" s="33">
        <f>IF(ISNUMBER(SEARCH('Φόρμα Εισαγωγής'!$C$2,E6108)),MAX($D$1:D6107)+1,0)</f>
        <v>0</v>
      </c>
      <c r="H6108" s="6">
        <f t="shared" si="296"/>
        <v>0</v>
      </c>
      <c r="I6108" s="6">
        <f t="shared" si="297"/>
        <v>0</v>
      </c>
      <c r="J6108" s="6">
        <f t="shared" si="298"/>
        <v>0</v>
      </c>
      <c r="L6108" s="4" t="str">
        <f>IFERROR(VLOOKUP(ROWS($L$2:L6108),$B$2:$C$1996,2,0),"")</f>
        <v/>
      </c>
      <c r="N6108" s="2" t="str">
        <f>IFERROR(VLOOKUP(ROWS($N$2:N6108),$D$2:$E$1996,2,0),"")</f>
        <v/>
      </c>
    </row>
    <row r="6109" spans="2:14">
      <c r="B6109" s="32">
        <f>IF(ISNUMBER(SEARCH('Φόρμα Εισαγωγής'!$B$2,C6109)),MAX($B$1:B6108)+1,0)</f>
        <v>0</v>
      </c>
      <c r="D6109" s="33">
        <f>IF(ISNUMBER(SEARCH('Φόρμα Εισαγωγής'!$C$2,E6109)),MAX($D$1:D6108)+1,0)</f>
        <v>0</v>
      </c>
      <c r="H6109" s="6">
        <f t="shared" si="296"/>
        <v>0</v>
      </c>
      <c r="I6109" s="6">
        <f t="shared" si="297"/>
        <v>0</v>
      </c>
      <c r="J6109" s="6">
        <f t="shared" si="298"/>
        <v>0</v>
      </c>
      <c r="L6109" s="4" t="str">
        <f>IFERROR(VLOOKUP(ROWS($L$2:L6109),$B$2:$C$1996,2,0),"")</f>
        <v/>
      </c>
      <c r="N6109" s="2" t="str">
        <f>IFERROR(VLOOKUP(ROWS($N$2:N6109),$D$2:$E$1996,2,0),"")</f>
        <v/>
      </c>
    </row>
    <row r="6110" spans="2:14">
      <c r="B6110" s="32">
        <f>IF(ISNUMBER(SEARCH('Φόρμα Εισαγωγής'!$B$2,C6110)),MAX($B$1:B6109)+1,0)</f>
        <v>0</v>
      </c>
      <c r="D6110" s="33">
        <f>IF(ISNUMBER(SEARCH('Φόρμα Εισαγωγής'!$C$2,E6110)),MAX($D$1:D6109)+1,0)</f>
        <v>0</v>
      </c>
      <c r="H6110" s="6">
        <f t="shared" si="296"/>
        <v>0</v>
      </c>
      <c r="I6110" s="6">
        <f t="shared" si="297"/>
        <v>0</v>
      </c>
      <c r="J6110" s="6">
        <f t="shared" si="298"/>
        <v>0</v>
      </c>
      <c r="L6110" s="4" t="str">
        <f>IFERROR(VLOOKUP(ROWS($L$2:L6110),$B$2:$C$1996,2,0),"")</f>
        <v/>
      </c>
      <c r="N6110" s="2" t="str">
        <f>IFERROR(VLOOKUP(ROWS($N$2:N6110),$D$2:$E$1996,2,0),"")</f>
        <v/>
      </c>
    </row>
    <row r="6111" spans="2:14">
      <c r="B6111" s="32">
        <f>IF(ISNUMBER(SEARCH('Φόρμα Εισαγωγής'!$B$2,C6111)),MAX($B$1:B6110)+1,0)</f>
        <v>0</v>
      </c>
      <c r="D6111" s="33">
        <f>IF(ISNUMBER(SEARCH('Φόρμα Εισαγωγής'!$C$2,E6111)),MAX($D$1:D6110)+1,0)</f>
        <v>0</v>
      </c>
      <c r="H6111" s="6">
        <f t="shared" si="296"/>
        <v>0</v>
      </c>
      <c r="I6111" s="6">
        <f t="shared" si="297"/>
        <v>0</v>
      </c>
      <c r="J6111" s="6">
        <f t="shared" si="298"/>
        <v>0</v>
      </c>
      <c r="L6111" s="4" t="str">
        <f>IFERROR(VLOOKUP(ROWS($L$2:L6111),$B$2:$C$1996,2,0),"")</f>
        <v/>
      </c>
      <c r="N6111" s="2" t="str">
        <f>IFERROR(VLOOKUP(ROWS($N$2:N6111),$D$2:$E$1996,2,0),"")</f>
        <v/>
      </c>
    </row>
    <row r="6112" spans="2:14">
      <c r="B6112" s="32">
        <f>IF(ISNUMBER(SEARCH('Φόρμα Εισαγωγής'!$B$2,C6112)),MAX($B$1:B6111)+1,0)</f>
        <v>0</v>
      </c>
      <c r="D6112" s="33">
        <f>IF(ISNUMBER(SEARCH('Φόρμα Εισαγωγής'!$C$2,E6112)),MAX($D$1:D6111)+1,0)</f>
        <v>0</v>
      </c>
      <c r="H6112" s="6">
        <f t="shared" si="296"/>
        <v>0</v>
      </c>
      <c r="I6112" s="6">
        <f t="shared" si="297"/>
        <v>0</v>
      </c>
      <c r="J6112" s="6">
        <f t="shared" si="298"/>
        <v>0</v>
      </c>
      <c r="L6112" s="4" t="str">
        <f>IFERROR(VLOOKUP(ROWS($L$2:L6112),$B$2:$C$1996,2,0),"")</f>
        <v/>
      </c>
      <c r="N6112" s="2" t="str">
        <f>IFERROR(VLOOKUP(ROWS($N$2:N6112),$D$2:$E$1996,2,0),"")</f>
        <v/>
      </c>
    </row>
    <row r="6113" spans="2:14">
      <c r="B6113" s="32">
        <f>IF(ISNUMBER(SEARCH('Φόρμα Εισαγωγής'!$B$2,C6113)),MAX($B$1:B6112)+1,0)</f>
        <v>0</v>
      </c>
      <c r="D6113" s="33">
        <f>IF(ISNUMBER(SEARCH('Φόρμα Εισαγωγής'!$C$2,E6113)),MAX($D$1:D6112)+1,0)</f>
        <v>0</v>
      </c>
      <c r="H6113" s="6">
        <f t="shared" si="296"/>
        <v>0</v>
      </c>
      <c r="I6113" s="6">
        <f t="shared" si="297"/>
        <v>0</v>
      </c>
      <c r="J6113" s="6">
        <f t="shared" si="298"/>
        <v>0</v>
      </c>
      <c r="L6113" s="4" t="str">
        <f>IFERROR(VLOOKUP(ROWS($L$2:L6113),$B$2:$C$1996,2,0),"")</f>
        <v/>
      </c>
      <c r="N6113" s="2" t="str">
        <f>IFERROR(VLOOKUP(ROWS($N$2:N6113),$D$2:$E$1996,2,0),"")</f>
        <v/>
      </c>
    </row>
    <row r="6114" spans="2:14">
      <c r="B6114" s="32">
        <f>IF(ISNUMBER(SEARCH('Φόρμα Εισαγωγής'!$B$2,C6114)),MAX($B$1:B6113)+1,0)</f>
        <v>0</v>
      </c>
      <c r="D6114" s="33">
        <f>IF(ISNUMBER(SEARCH('Φόρμα Εισαγωγής'!$C$2,E6114)),MAX($D$1:D6113)+1,0)</f>
        <v>0</v>
      </c>
      <c r="H6114" s="6">
        <f t="shared" si="296"/>
        <v>0</v>
      </c>
      <c r="I6114" s="6">
        <f t="shared" si="297"/>
        <v>0</v>
      </c>
      <c r="J6114" s="6">
        <f t="shared" si="298"/>
        <v>0</v>
      </c>
      <c r="L6114" s="4" t="str">
        <f>IFERROR(VLOOKUP(ROWS($L$2:L6114),$B$2:$C$1996,2,0),"")</f>
        <v/>
      </c>
      <c r="N6114" s="2" t="str">
        <f>IFERROR(VLOOKUP(ROWS($N$2:N6114),$D$2:$E$1996,2,0),"")</f>
        <v/>
      </c>
    </row>
    <row r="6115" spans="2:14">
      <c r="B6115" s="32">
        <f>IF(ISNUMBER(SEARCH('Φόρμα Εισαγωγής'!$B$2,C6115)),MAX($B$1:B6114)+1,0)</f>
        <v>0</v>
      </c>
      <c r="D6115" s="33">
        <f>IF(ISNUMBER(SEARCH('Φόρμα Εισαγωγής'!$C$2,E6115)),MAX($D$1:D6114)+1,0)</f>
        <v>0</v>
      </c>
      <c r="H6115" s="6">
        <f t="shared" si="296"/>
        <v>0</v>
      </c>
      <c r="I6115" s="6">
        <f t="shared" si="297"/>
        <v>0</v>
      </c>
      <c r="J6115" s="6">
        <f t="shared" si="298"/>
        <v>0</v>
      </c>
      <c r="L6115" s="4" t="str">
        <f>IFERROR(VLOOKUP(ROWS($L$2:L6115),$B$2:$C$1996,2,0),"")</f>
        <v/>
      </c>
      <c r="N6115" s="2" t="str">
        <f>IFERROR(VLOOKUP(ROWS($N$2:N6115),$D$2:$E$1996,2,0),"")</f>
        <v/>
      </c>
    </row>
    <row r="6116" spans="2:14">
      <c r="B6116" s="32">
        <f>IF(ISNUMBER(SEARCH('Φόρμα Εισαγωγής'!$B$2,C6116)),MAX($B$1:B6115)+1,0)</f>
        <v>0</v>
      </c>
      <c r="D6116" s="33">
        <f>IF(ISNUMBER(SEARCH('Φόρμα Εισαγωγής'!$C$2,E6116)),MAX($D$1:D6115)+1,0)</f>
        <v>0</v>
      </c>
      <c r="H6116" s="6">
        <f t="shared" si="296"/>
        <v>0</v>
      </c>
      <c r="I6116" s="6">
        <f t="shared" si="297"/>
        <v>0</v>
      </c>
      <c r="J6116" s="6">
        <f t="shared" si="298"/>
        <v>0</v>
      </c>
      <c r="L6116" s="4" t="str">
        <f>IFERROR(VLOOKUP(ROWS($L$2:L6116),$B$2:$C$1996,2,0),"")</f>
        <v/>
      </c>
      <c r="N6116" s="2" t="str">
        <f>IFERROR(VLOOKUP(ROWS($N$2:N6116),$D$2:$E$1996,2,0),"")</f>
        <v/>
      </c>
    </row>
    <row r="6117" spans="2:14">
      <c r="B6117" s="32">
        <f>IF(ISNUMBER(SEARCH('Φόρμα Εισαγωγής'!$B$2,C6117)),MAX($B$1:B6116)+1,0)</f>
        <v>0</v>
      </c>
      <c r="D6117" s="33">
        <f>IF(ISNUMBER(SEARCH('Φόρμα Εισαγωγής'!$C$2,E6117)),MAX($D$1:D6116)+1,0)</f>
        <v>0</v>
      </c>
      <c r="H6117" s="6">
        <f t="shared" si="296"/>
        <v>0</v>
      </c>
      <c r="I6117" s="6">
        <f t="shared" si="297"/>
        <v>0</v>
      </c>
      <c r="J6117" s="6">
        <f t="shared" si="298"/>
        <v>0</v>
      </c>
      <c r="L6117" s="4" t="str">
        <f>IFERROR(VLOOKUP(ROWS($L$2:L6117),$B$2:$C$1996,2,0),"")</f>
        <v/>
      </c>
      <c r="N6117" s="2" t="str">
        <f>IFERROR(VLOOKUP(ROWS($N$2:N6117),$D$2:$E$1996,2,0),"")</f>
        <v/>
      </c>
    </row>
    <row r="6118" spans="2:14">
      <c r="B6118" s="32">
        <f>IF(ISNUMBER(SEARCH('Φόρμα Εισαγωγής'!$B$2,C6118)),MAX($B$1:B6117)+1,0)</f>
        <v>0</v>
      </c>
      <c r="D6118" s="33">
        <f>IF(ISNUMBER(SEARCH('Φόρμα Εισαγωγής'!$C$2,E6118)),MAX($D$1:D6117)+1,0)</f>
        <v>0</v>
      </c>
      <c r="H6118" s="6">
        <f t="shared" si="296"/>
        <v>0</v>
      </c>
      <c r="I6118" s="6">
        <f t="shared" si="297"/>
        <v>0</v>
      </c>
      <c r="J6118" s="6">
        <f t="shared" si="298"/>
        <v>0</v>
      </c>
      <c r="L6118" s="4" t="str">
        <f>IFERROR(VLOOKUP(ROWS($L$2:L6118),$B$2:$C$1996,2,0),"")</f>
        <v/>
      </c>
      <c r="N6118" s="2" t="str">
        <f>IFERROR(VLOOKUP(ROWS($N$2:N6118),$D$2:$E$1996,2,0),"")</f>
        <v/>
      </c>
    </row>
    <row r="6119" spans="2:14">
      <c r="B6119" s="32">
        <f>IF(ISNUMBER(SEARCH('Φόρμα Εισαγωγής'!$B$2,C6119)),MAX($B$1:B6118)+1,0)</f>
        <v>0</v>
      </c>
      <c r="D6119" s="33">
        <f>IF(ISNUMBER(SEARCH('Φόρμα Εισαγωγής'!$C$2,E6119)),MAX($D$1:D6118)+1,0)</f>
        <v>0</v>
      </c>
      <c r="H6119" s="6">
        <f t="shared" si="296"/>
        <v>0</v>
      </c>
      <c r="I6119" s="6">
        <f t="shared" si="297"/>
        <v>0</v>
      </c>
      <c r="J6119" s="6">
        <f t="shared" si="298"/>
        <v>0</v>
      </c>
      <c r="L6119" s="4" t="str">
        <f>IFERROR(VLOOKUP(ROWS($L$2:L6119),$B$2:$C$1996,2,0),"")</f>
        <v/>
      </c>
      <c r="N6119" s="2" t="str">
        <f>IFERROR(VLOOKUP(ROWS($N$2:N6119),$D$2:$E$1996,2,0),"")</f>
        <v/>
      </c>
    </row>
    <row r="6120" spans="2:14">
      <c r="B6120" s="32">
        <f>IF(ISNUMBER(SEARCH('Φόρμα Εισαγωγής'!$B$2,C6120)),MAX($B$1:B6119)+1,0)</f>
        <v>0</v>
      </c>
      <c r="D6120" s="33">
        <f>IF(ISNUMBER(SEARCH('Φόρμα Εισαγωγής'!$C$2,E6120)),MAX($D$1:D6119)+1,0)</f>
        <v>0</v>
      </c>
      <c r="H6120" s="6">
        <f t="shared" si="296"/>
        <v>0</v>
      </c>
      <c r="I6120" s="6">
        <f t="shared" si="297"/>
        <v>0</v>
      </c>
      <c r="J6120" s="6">
        <f t="shared" si="298"/>
        <v>0</v>
      </c>
      <c r="L6120" s="4" t="str">
        <f>IFERROR(VLOOKUP(ROWS($L$2:L6120),$B$2:$C$1996,2,0),"")</f>
        <v/>
      </c>
      <c r="N6120" s="2" t="str">
        <f>IFERROR(VLOOKUP(ROWS($N$2:N6120),$D$2:$E$1996,2,0),"")</f>
        <v/>
      </c>
    </row>
    <row r="6121" spans="2:14">
      <c r="B6121" s="32">
        <f>IF(ISNUMBER(SEARCH('Φόρμα Εισαγωγής'!$B$2,C6121)),MAX($B$1:B6120)+1,0)</f>
        <v>0</v>
      </c>
      <c r="D6121" s="33">
        <f>IF(ISNUMBER(SEARCH('Φόρμα Εισαγωγής'!$C$2,E6121)),MAX($D$1:D6120)+1,0)</f>
        <v>0</v>
      </c>
      <c r="H6121" s="6">
        <f t="shared" si="296"/>
        <v>0</v>
      </c>
      <c r="I6121" s="6">
        <f t="shared" si="297"/>
        <v>0</v>
      </c>
      <c r="J6121" s="6">
        <f t="shared" si="298"/>
        <v>0</v>
      </c>
      <c r="L6121" s="4" t="str">
        <f>IFERROR(VLOOKUP(ROWS($L$2:L6121),$B$2:$C$1996,2,0),"")</f>
        <v/>
      </c>
      <c r="N6121" s="2" t="str">
        <f>IFERROR(VLOOKUP(ROWS($N$2:N6121),$D$2:$E$1996,2,0),"")</f>
        <v/>
      </c>
    </row>
    <row r="6122" spans="2:14">
      <c r="B6122" s="32">
        <f>IF(ISNUMBER(SEARCH('Φόρμα Εισαγωγής'!$B$2,C6122)),MAX($B$1:B6121)+1,0)</f>
        <v>0</v>
      </c>
      <c r="D6122" s="33">
        <f>IF(ISNUMBER(SEARCH('Φόρμα Εισαγωγής'!$C$2,E6122)),MAX($D$1:D6121)+1,0)</f>
        <v>0</v>
      </c>
      <c r="H6122" s="6">
        <f t="shared" si="296"/>
        <v>0</v>
      </c>
      <c r="I6122" s="6">
        <f t="shared" si="297"/>
        <v>0</v>
      </c>
      <c r="J6122" s="6">
        <f t="shared" si="298"/>
        <v>0</v>
      </c>
      <c r="L6122" s="4" t="str">
        <f>IFERROR(VLOOKUP(ROWS($L$2:L6122),$B$2:$C$1996,2,0),"")</f>
        <v/>
      </c>
      <c r="N6122" s="2" t="str">
        <f>IFERROR(VLOOKUP(ROWS($N$2:N6122),$D$2:$E$1996,2,0),"")</f>
        <v/>
      </c>
    </row>
    <row r="6123" spans="2:14">
      <c r="B6123" s="32">
        <f>IF(ISNUMBER(SEARCH('Φόρμα Εισαγωγής'!$B$2,C6123)),MAX($B$1:B6122)+1,0)</f>
        <v>0</v>
      </c>
      <c r="D6123" s="33">
        <f>IF(ISNUMBER(SEARCH('Φόρμα Εισαγωγής'!$C$2,E6123)),MAX($D$1:D6122)+1,0)</f>
        <v>0</v>
      </c>
      <c r="H6123" s="6">
        <f t="shared" si="296"/>
        <v>0</v>
      </c>
      <c r="I6123" s="6">
        <f t="shared" si="297"/>
        <v>0</v>
      </c>
      <c r="J6123" s="6">
        <f t="shared" si="298"/>
        <v>0</v>
      </c>
      <c r="L6123" s="4" t="str">
        <f>IFERROR(VLOOKUP(ROWS($L$2:L6123),$B$2:$C$1996,2,0),"")</f>
        <v/>
      </c>
      <c r="N6123" s="2" t="str">
        <f>IFERROR(VLOOKUP(ROWS($N$2:N6123),$D$2:$E$1996,2,0),"")</f>
        <v/>
      </c>
    </row>
    <row r="6124" spans="2:14">
      <c r="B6124" s="32">
        <f>IF(ISNUMBER(SEARCH('Φόρμα Εισαγωγής'!$B$2,C6124)),MAX($B$1:B6123)+1,0)</f>
        <v>0</v>
      </c>
      <c r="D6124" s="33">
        <f>IF(ISNUMBER(SEARCH('Φόρμα Εισαγωγής'!$C$2,E6124)),MAX($D$1:D6123)+1,0)</f>
        <v>0</v>
      </c>
      <c r="H6124" s="6">
        <f t="shared" si="296"/>
        <v>0</v>
      </c>
      <c r="I6124" s="6">
        <f t="shared" si="297"/>
        <v>0</v>
      </c>
      <c r="J6124" s="6">
        <f t="shared" si="298"/>
        <v>0</v>
      </c>
      <c r="L6124" s="4" t="str">
        <f>IFERROR(VLOOKUP(ROWS($L$2:L6124),$B$2:$C$1996,2,0),"")</f>
        <v/>
      </c>
      <c r="N6124" s="2" t="str">
        <f>IFERROR(VLOOKUP(ROWS($N$2:N6124),$D$2:$E$1996,2,0),"")</f>
        <v/>
      </c>
    </row>
    <row r="6125" spans="2:14">
      <c r="B6125" s="32">
        <f>IF(ISNUMBER(SEARCH('Φόρμα Εισαγωγής'!$B$2,C6125)),MAX($B$1:B6124)+1,0)</f>
        <v>0</v>
      </c>
      <c r="D6125" s="33">
        <f>IF(ISNUMBER(SEARCH('Φόρμα Εισαγωγής'!$C$2,E6125)),MAX($D$1:D6124)+1,0)</f>
        <v>0</v>
      </c>
      <c r="H6125" s="6">
        <f t="shared" si="296"/>
        <v>0</v>
      </c>
      <c r="I6125" s="6">
        <f t="shared" si="297"/>
        <v>0</v>
      </c>
      <c r="J6125" s="6">
        <f t="shared" si="298"/>
        <v>0</v>
      </c>
      <c r="L6125" s="4" t="str">
        <f>IFERROR(VLOOKUP(ROWS($L$2:L6125),$B$2:$C$1996,2,0),"")</f>
        <v/>
      </c>
      <c r="N6125" s="2" t="str">
        <f>IFERROR(VLOOKUP(ROWS($N$2:N6125),$D$2:$E$1996,2,0),"")</f>
        <v/>
      </c>
    </row>
    <row r="6126" spans="2:14">
      <c r="B6126" s="32">
        <f>IF(ISNUMBER(SEARCH('Φόρμα Εισαγωγής'!$B$2,C6126)),MAX($B$1:B6125)+1,0)</f>
        <v>0</v>
      </c>
      <c r="D6126" s="33">
        <f>IF(ISNUMBER(SEARCH('Φόρμα Εισαγωγής'!$C$2,E6126)),MAX($D$1:D6125)+1,0)</f>
        <v>0</v>
      </c>
      <c r="H6126" s="6">
        <f t="shared" si="296"/>
        <v>0</v>
      </c>
      <c r="I6126" s="6">
        <f t="shared" si="297"/>
        <v>0</v>
      </c>
      <c r="J6126" s="6">
        <f t="shared" si="298"/>
        <v>0</v>
      </c>
      <c r="L6126" s="4" t="str">
        <f>IFERROR(VLOOKUP(ROWS($L$2:L6126),$B$2:$C$1996,2,0),"")</f>
        <v/>
      </c>
      <c r="N6126" s="2" t="str">
        <f>IFERROR(VLOOKUP(ROWS($N$2:N6126),$D$2:$E$1996,2,0),"")</f>
        <v/>
      </c>
    </row>
    <row r="6127" spans="2:14">
      <c r="B6127" s="32">
        <f>IF(ISNUMBER(SEARCH('Φόρμα Εισαγωγής'!$B$2,C6127)),MAX($B$1:B6126)+1,0)</f>
        <v>0</v>
      </c>
      <c r="D6127" s="33">
        <f>IF(ISNUMBER(SEARCH('Φόρμα Εισαγωγής'!$C$2,E6127)),MAX($D$1:D6126)+1,0)</f>
        <v>0</v>
      </c>
      <c r="H6127" s="6">
        <f t="shared" si="296"/>
        <v>0</v>
      </c>
      <c r="I6127" s="6">
        <f t="shared" si="297"/>
        <v>0</v>
      </c>
      <c r="J6127" s="6">
        <f t="shared" si="298"/>
        <v>0</v>
      </c>
      <c r="L6127" s="4" t="str">
        <f>IFERROR(VLOOKUP(ROWS($L$2:L6127),$B$2:$C$1996,2,0),"")</f>
        <v/>
      </c>
      <c r="N6127" s="2" t="str">
        <f>IFERROR(VLOOKUP(ROWS($N$2:N6127),$D$2:$E$1996,2,0),"")</f>
        <v/>
      </c>
    </row>
    <row r="6128" spans="2:14">
      <c r="B6128" s="32">
        <f>IF(ISNUMBER(SEARCH('Φόρμα Εισαγωγής'!$B$2,C6128)),MAX($B$1:B6127)+1,0)</f>
        <v>0</v>
      </c>
      <c r="D6128" s="33">
        <f>IF(ISNUMBER(SEARCH('Φόρμα Εισαγωγής'!$C$2,E6128)),MAX($D$1:D6127)+1,0)</f>
        <v>0</v>
      </c>
      <c r="H6128" s="6">
        <f t="shared" si="296"/>
        <v>0</v>
      </c>
      <c r="I6128" s="6">
        <f t="shared" si="297"/>
        <v>0</v>
      </c>
      <c r="J6128" s="6">
        <f t="shared" si="298"/>
        <v>0</v>
      </c>
      <c r="L6128" s="4" t="str">
        <f>IFERROR(VLOOKUP(ROWS($L$2:L6128),$B$2:$C$1996,2,0),"")</f>
        <v/>
      </c>
      <c r="N6128" s="2" t="str">
        <f>IFERROR(VLOOKUP(ROWS($N$2:N6128),$D$2:$E$1996,2,0),"")</f>
        <v/>
      </c>
    </row>
    <row r="6129" spans="2:14">
      <c r="B6129" s="32">
        <f>IF(ISNUMBER(SEARCH('Φόρμα Εισαγωγής'!$B$2,C6129)),MAX($B$1:B6128)+1,0)</f>
        <v>0</v>
      </c>
      <c r="D6129" s="33">
        <f>IF(ISNUMBER(SEARCH('Φόρμα Εισαγωγής'!$C$2,E6129)),MAX($D$1:D6128)+1,0)</f>
        <v>0</v>
      </c>
      <c r="H6129" s="6">
        <f t="shared" si="296"/>
        <v>0</v>
      </c>
      <c r="I6129" s="6">
        <f t="shared" si="297"/>
        <v>0</v>
      </c>
      <c r="J6129" s="6">
        <f t="shared" si="298"/>
        <v>0</v>
      </c>
      <c r="L6129" s="4" t="str">
        <f>IFERROR(VLOOKUP(ROWS($L$2:L6129),$B$2:$C$1996,2,0),"")</f>
        <v/>
      </c>
      <c r="N6129" s="2" t="str">
        <f>IFERROR(VLOOKUP(ROWS($N$2:N6129),$D$2:$E$1996,2,0),"")</f>
        <v/>
      </c>
    </row>
    <row r="6130" spans="2:14">
      <c r="B6130" s="32">
        <f>IF(ISNUMBER(SEARCH('Φόρμα Εισαγωγής'!$B$2,C6130)),MAX($B$1:B6129)+1,0)</f>
        <v>0</v>
      </c>
      <c r="D6130" s="33">
        <f>IF(ISNUMBER(SEARCH('Φόρμα Εισαγωγής'!$C$2,E6130)),MAX($D$1:D6129)+1,0)</f>
        <v>0</v>
      </c>
      <c r="H6130" s="6">
        <f t="shared" si="296"/>
        <v>0</v>
      </c>
      <c r="I6130" s="6">
        <f t="shared" si="297"/>
        <v>0</v>
      </c>
      <c r="J6130" s="6">
        <f t="shared" si="298"/>
        <v>0</v>
      </c>
      <c r="L6130" s="4" t="str">
        <f>IFERROR(VLOOKUP(ROWS($L$2:L6130),$B$2:$C$1996,2,0),"")</f>
        <v/>
      </c>
      <c r="N6130" s="2" t="str">
        <f>IFERROR(VLOOKUP(ROWS($N$2:N6130),$D$2:$E$1996,2,0),"")</f>
        <v/>
      </c>
    </row>
    <row r="6131" spans="2:14">
      <c r="B6131" s="32">
        <f>IF(ISNUMBER(SEARCH('Φόρμα Εισαγωγής'!$B$2,C6131)),MAX($B$1:B6130)+1,0)</f>
        <v>0</v>
      </c>
      <c r="D6131" s="33">
        <f>IF(ISNUMBER(SEARCH('Φόρμα Εισαγωγής'!$C$2,E6131)),MAX($D$1:D6130)+1,0)</f>
        <v>0</v>
      </c>
      <c r="H6131" s="6">
        <f t="shared" si="296"/>
        <v>0</v>
      </c>
      <c r="I6131" s="6">
        <f t="shared" si="297"/>
        <v>0</v>
      </c>
      <c r="J6131" s="6">
        <f t="shared" si="298"/>
        <v>0</v>
      </c>
      <c r="L6131" s="4" t="str">
        <f>IFERROR(VLOOKUP(ROWS($L$2:L6131),$B$2:$C$1996,2,0),"")</f>
        <v/>
      </c>
      <c r="N6131" s="2" t="str">
        <f>IFERROR(VLOOKUP(ROWS($N$2:N6131),$D$2:$E$1996,2,0),"")</f>
        <v/>
      </c>
    </row>
    <row r="6132" spans="2:14">
      <c r="B6132" s="32">
        <f>IF(ISNUMBER(SEARCH('Φόρμα Εισαγωγής'!$B$2,C6132)),MAX($B$1:B6131)+1,0)</f>
        <v>0</v>
      </c>
      <c r="D6132" s="33">
        <f>IF(ISNUMBER(SEARCH('Φόρμα Εισαγωγής'!$C$2,E6132)),MAX($D$1:D6131)+1,0)</f>
        <v>0</v>
      </c>
      <c r="H6132" s="6">
        <f t="shared" si="296"/>
        <v>0</v>
      </c>
      <c r="I6132" s="6">
        <f t="shared" si="297"/>
        <v>0</v>
      </c>
      <c r="J6132" s="6">
        <f t="shared" si="298"/>
        <v>0</v>
      </c>
      <c r="L6132" s="4" t="str">
        <f>IFERROR(VLOOKUP(ROWS($L$2:L6132),$B$2:$C$1996,2,0),"")</f>
        <v/>
      </c>
      <c r="N6132" s="2" t="str">
        <f>IFERROR(VLOOKUP(ROWS($N$2:N6132),$D$2:$E$1996,2,0),"")</f>
        <v/>
      </c>
    </row>
    <row r="6133" spans="2:14">
      <c r="B6133" s="32">
        <f>IF(ISNUMBER(SEARCH('Φόρμα Εισαγωγής'!$B$2,C6133)),MAX($B$1:B6132)+1,0)</f>
        <v>0</v>
      </c>
      <c r="D6133" s="33">
        <f>IF(ISNUMBER(SEARCH('Φόρμα Εισαγωγής'!$C$2,E6133)),MAX($D$1:D6132)+1,0)</f>
        <v>0</v>
      </c>
      <c r="H6133" s="6">
        <f t="shared" si="296"/>
        <v>0</v>
      </c>
      <c r="I6133" s="6">
        <f t="shared" si="297"/>
        <v>0</v>
      </c>
      <c r="J6133" s="6">
        <f t="shared" si="298"/>
        <v>0</v>
      </c>
      <c r="L6133" s="4" t="str">
        <f>IFERROR(VLOOKUP(ROWS($L$2:L6133),$B$2:$C$1996,2,0),"")</f>
        <v/>
      </c>
      <c r="N6133" s="2" t="str">
        <f>IFERROR(VLOOKUP(ROWS($N$2:N6133),$D$2:$E$1996,2,0),"")</f>
        <v/>
      </c>
    </row>
    <row r="6134" spans="2:14">
      <c r="B6134" s="32">
        <f>IF(ISNUMBER(SEARCH('Φόρμα Εισαγωγής'!$B$2,C6134)),MAX($B$1:B6133)+1,0)</f>
        <v>0</v>
      </c>
      <c r="D6134" s="33">
        <f>IF(ISNUMBER(SEARCH('Φόρμα Εισαγωγής'!$C$2,E6134)),MAX($D$1:D6133)+1,0)</f>
        <v>0</v>
      </c>
      <c r="H6134" s="6">
        <f t="shared" si="296"/>
        <v>0</v>
      </c>
      <c r="I6134" s="6">
        <f t="shared" si="297"/>
        <v>0</v>
      </c>
      <c r="J6134" s="6">
        <f t="shared" si="298"/>
        <v>0</v>
      </c>
      <c r="L6134" s="4" t="str">
        <f>IFERROR(VLOOKUP(ROWS($L$2:L6134),$B$2:$C$1996,2,0),"")</f>
        <v/>
      </c>
      <c r="N6134" s="2" t="str">
        <f>IFERROR(VLOOKUP(ROWS($N$2:N6134),$D$2:$E$1996,2,0),"")</f>
        <v/>
      </c>
    </row>
    <row r="6135" spans="2:14">
      <c r="B6135" s="32">
        <f>IF(ISNUMBER(SEARCH('Φόρμα Εισαγωγής'!$B$2,C6135)),MAX($B$1:B6134)+1,0)</f>
        <v>0</v>
      </c>
      <c r="D6135" s="33">
        <f>IF(ISNUMBER(SEARCH('Φόρμα Εισαγωγής'!$C$2,E6135)),MAX($D$1:D6134)+1,0)</f>
        <v>0</v>
      </c>
      <c r="H6135" s="6">
        <f t="shared" si="296"/>
        <v>0</v>
      </c>
      <c r="I6135" s="6">
        <f t="shared" si="297"/>
        <v>0</v>
      </c>
      <c r="J6135" s="6">
        <f t="shared" si="298"/>
        <v>0</v>
      </c>
      <c r="L6135" s="4" t="str">
        <f>IFERROR(VLOOKUP(ROWS($L$2:L6135),$B$2:$C$1996,2,0),"")</f>
        <v/>
      </c>
      <c r="N6135" s="2" t="str">
        <f>IFERROR(VLOOKUP(ROWS($N$2:N6135),$D$2:$E$1996,2,0),"")</f>
        <v/>
      </c>
    </row>
    <row r="6136" spans="2:14">
      <c r="B6136" s="32">
        <f>IF(ISNUMBER(SEARCH('Φόρμα Εισαγωγής'!$B$2,C6136)),MAX($B$1:B6135)+1,0)</f>
        <v>0</v>
      </c>
      <c r="D6136" s="33">
        <f>IF(ISNUMBER(SEARCH('Φόρμα Εισαγωγής'!$C$2,E6136)),MAX($D$1:D6135)+1,0)</f>
        <v>0</v>
      </c>
      <c r="H6136" s="6">
        <f t="shared" si="296"/>
        <v>0</v>
      </c>
      <c r="I6136" s="6">
        <f t="shared" si="297"/>
        <v>0</v>
      </c>
      <c r="J6136" s="6">
        <f t="shared" si="298"/>
        <v>0</v>
      </c>
      <c r="L6136" s="4" t="str">
        <f>IFERROR(VLOOKUP(ROWS($L$2:L6136),$B$2:$C$1996,2,0),"")</f>
        <v/>
      </c>
      <c r="N6136" s="2" t="str">
        <f>IFERROR(VLOOKUP(ROWS($N$2:N6136),$D$2:$E$1996,2,0),"")</f>
        <v/>
      </c>
    </row>
    <row r="6137" spans="2:14">
      <c r="B6137" s="32">
        <f>IF(ISNUMBER(SEARCH('Φόρμα Εισαγωγής'!$B$2,C6137)),MAX($B$1:B6136)+1,0)</f>
        <v>0</v>
      </c>
      <c r="D6137" s="33">
        <f>IF(ISNUMBER(SEARCH('Φόρμα Εισαγωγής'!$C$2,E6137)),MAX($D$1:D6136)+1,0)</f>
        <v>0</v>
      </c>
      <c r="H6137" s="6">
        <f t="shared" si="296"/>
        <v>0</v>
      </c>
      <c r="I6137" s="6">
        <f t="shared" si="297"/>
        <v>0</v>
      </c>
      <c r="J6137" s="6">
        <f t="shared" si="298"/>
        <v>0</v>
      </c>
      <c r="L6137" s="4" t="str">
        <f>IFERROR(VLOOKUP(ROWS($L$2:L6137),$B$2:$C$1996,2,0),"")</f>
        <v/>
      </c>
      <c r="N6137" s="2" t="str">
        <f>IFERROR(VLOOKUP(ROWS($N$2:N6137),$D$2:$E$1996,2,0),"")</f>
        <v/>
      </c>
    </row>
    <row r="6138" spans="2:14">
      <c r="B6138" s="32">
        <f>IF(ISNUMBER(SEARCH('Φόρμα Εισαγωγής'!$B$2,C6138)),MAX($B$1:B6137)+1,0)</f>
        <v>0</v>
      </c>
      <c r="D6138" s="33">
        <f>IF(ISNUMBER(SEARCH('Φόρμα Εισαγωγής'!$C$2,E6138)),MAX($D$1:D6137)+1,0)</f>
        <v>0</v>
      </c>
      <c r="H6138" s="6">
        <f t="shared" si="296"/>
        <v>0</v>
      </c>
      <c r="I6138" s="6">
        <f t="shared" si="297"/>
        <v>0</v>
      </c>
      <c r="J6138" s="6">
        <f t="shared" si="298"/>
        <v>0</v>
      </c>
      <c r="L6138" s="4" t="str">
        <f>IFERROR(VLOOKUP(ROWS($L$2:L6138),$B$2:$C$1996,2,0),"")</f>
        <v/>
      </c>
      <c r="N6138" s="2" t="str">
        <f>IFERROR(VLOOKUP(ROWS($N$2:N6138),$D$2:$E$1996,2,0),"")</f>
        <v/>
      </c>
    </row>
    <row r="6139" spans="2:14">
      <c r="B6139" s="32">
        <f>IF(ISNUMBER(SEARCH('Φόρμα Εισαγωγής'!$B$2,C6139)),MAX($B$1:B6138)+1,0)</f>
        <v>0</v>
      </c>
      <c r="D6139" s="33">
        <f>IF(ISNUMBER(SEARCH('Φόρμα Εισαγωγής'!$C$2,E6139)),MAX($D$1:D6138)+1,0)</f>
        <v>0</v>
      </c>
      <c r="H6139" s="6">
        <f t="shared" si="296"/>
        <v>0</v>
      </c>
      <c r="I6139" s="6">
        <f t="shared" si="297"/>
        <v>0</v>
      </c>
      <c r="J6139" s="6">
        <f t="shared" si="298"/>
        <v>0</v>
      </c>
      <c r="L6139" s="4" t="str">
        <f>IFERROR(VLOOKUP(ROWS($L$2:L6139),$B$2:$C$1996,2,0),"")</f>
        <v/>
      </c>
      <c r="N6139" s="2" t="str">
        <f>IFERROR(VLOOKUP(ROWS($N$2:N6139),$D$2:$E$1996,2,0),"")</f>
        <v/>
      </c>
    </row>
    <row r="6140" spans="2:14">
      <c r="B6140" s="32">
        <f>IF(ISNUMBER(SEARCH('Φόρμα Εισαγωγής'!$B$2,C6140)),MAX($B$1:B6139)+1,0)</f>
        <v>0</v>
      </c>
      <c r="D6140" s="33">
        <f>IF(ISNUMBER(SEARCH('Φόρμα Εισαγωγής'!$C$2,E6140)),MAX($D$1:D6139)+1,0)</f>
        <v>0</v>
      </c>
      <c r="H6140" s="6">
        <f t="shared" si="296"/>
        <v>0</v>
      </c>
      <c r="I6140" s="6">
        <f t="shared" si="297"/>
        <v>0</v>
      </c>
      <c r="J6140" s="6">
        <f t="shared" si="298"/>
        <v>0</v>
      </c>
      <c r="L6140" s="4" t="str">
        <f>IFERROR(VLOOKUP(ROWS($L$2:L6140),$B$2:$C$1996,2,0),"")</f>
        <v/>
      </c>
      <c r="N6140" s="2" t="str">
        <f>IFERROR(VLOOKUP(ROWS($N$2:N6140),$D$2:$E$1996,2,0),"")</f>
        <v/>
      </c>
    </row>
    <row r="6141" spans="2:14">
      <c r="B6141" s="32">
        <f>IF(ISNUMBER(SEARCH('Φόρμα Εισαγωγής'!$B$2,C6141)),MAX($B$1:B6140)+1,0)</f>
        <v>0</v>
      </c>
      <c r="D6141" s="33">
        <f>IF(ISNUMBER(SEARCH('Φόρμα Εισαγωγής'!$C$2,E6141)),MAX($D$1:D6140)+1,0)</f>
        <v>0</v>
      </c>
      <c r="H6141" s="6">
        <f t="shared" si="296"/>
        <v>0</v>
      </c>
      <c r="I6141" s="6">
        <f t="shared" si="297"/>
        <v>0</v>
      </c>
      <c r="J6141" s="6">
        <f t="shared" si="298"/>
        <v>0</v>
      </c>
      <c r="L6141" s="4" t="str">
        <f>IFERROR(VLOOKUP(ROWS($L$2:L6141),$B$2:$C$1996,2,0),"")</f>
        <v/>
      </c>
      <c r="N6141" s="2" t="str">
        <f>IFERROR(VLOOKUP(ROWS($N$2:N6141),$D$2:$E$1996,2,0),"")</f>
        <v/>
      </c>
    </row>
    <row r="6142" spans="2:14">
      <c r="B6142" s="32">
        <f>IF(ISNUMBER(SEARCH('Φόρμα Εισαγωγής'!$B$2,C6142)),MAX($B$1:B6141)+1,0)</f>
        <v>0</v>
      </c>
      <c r="D6142" s="33">
        <f>IF(ISNUMBER(SEARCH('Φόρμα Εισαγωγής'!$C$2,E6142)),MAX($D$1:D6141)+1,0)</f>
        <v>0</v>
      </c>
      <c r="H6142" s="6">
        <f t="shared" si="296"/>
        <v>0</v>
      </c>
      <c r="I6142" s="6">
        <f t="shared" si="297"/>
        <v>0</v>
      </c>
      <c r="J6142" s="6">
        <f t="shared" si="298"/>
        <v>0</v>
      </c>
      <c r="L6142" s="4" t="str">
        <f>IFERROR(VLOOKUP(ROWS($L$2:L6142),$B$2:$C$1996,2,0),"")</f>
        <v/>
      </c>
      <c r="N6142" s="2" t="str">
        <f>IFERROR(VLOOKUP(ROWS($N$2:N6142),$D$2:$E$1996,2,0),"")</f>
        <v/>
      </c>
    </row>
    <row r="6143" spans="2:14">
      <c r="B6143" s="32">
        <f>IF(ISNUMBER(SEARCH('Φόρμα Εισαγωγής'!$B$2,C6143)),MAX($B$1:B6142)+1,0)</f>
        <v>0</v>
      </c>
      <c r="D6143" s="33">
        <f>IF(ISNUMBER(SEARCH('Φόρμα Εισαγωγής'!$C$2,E6143)),MAX($D$1:D6142)+1,0)</f>
        <v>0</v>
      </c>
      <c r="H6143" s="6">
        <f t="shared" si="296"/>
        <v>0</v>
      </c>
      <c r="I6143" s="6">
        <f t="shared" si="297"/>
        <v>0</v>
      </c>
      <c r="J6143" s="6">
        <f t="shared" si="298"/>
        <v>0</v>
      </c>
      <c r="L6143" s="4" t="str">
        <f>IFERROR(VLOOKUP(ROWS($L$2:L6143),$B$2:$C$1996,2,0),"")</f>
        <v/>
      </c>
      <c r="N6143" s="2" t="str">
        <f>IFERROR(VLOOKUP(ROWS($N$2:N6143),$D$2:$E$1996,2,0),"")</f>
        <v/>
      </c>
    </row>
    <row r="6144" spans="2:14">
      <c r="B6144" s="32">
        <f>IF(ISNUMBER(SEARCH('Φόρμα Εισαγωγής'!$B$2,C6144)),MAX($B$1:B6143)+1,0)</f>
        <v>0</v>
      </c>
      <c r="D6144" s="33">
        <f>IF(ISNUMBER(SEARCH('Φόρμα Εισαγωγής'!$C$2,E6144)),MAX($D$1:D6143)+1,0)</f>
        <v>0</v>
      </c>
      <c r="H6144" s="6">
        <f t="shared" ref="H6144:H6207" si="299">G6144+(G6144*0.24)</f>
        <v>0</v>
      </c>
      <c r="I6144" s="6">
        <f t="shared" ref="I6144:I6207" si="300">F6144*A6144</f>
        <v>0</v>
      </c>
      <c r="J6144" s="6">
        <f t="shared" ref="J6144:J6207" si="301">H6144*A6144</f>
        <v>0</v>
      </c>
      <c r="L6144" s="4" t="str">
        <f>IFERROR(VLOOKUP(ROWS($L$2:L6144),$B$2:$C$1996,2,0),"")</f>
        <v/>
      </c>
      <c r="N6144" s="2" t="str">
        <f>IFERROR(VLOOKUP(ROWS($N$2:N6144),$D$2:$E$1996,2,0),"")</f>
        <v/>
      </c>
    </row>
    <row r="6145" spans="2:14">
      <c r="B6145" s="32">
        <f>IF(ISNUMBER(SEARCH('Φόρμα Εισαγωγής'!$B$2,C6145)),MAX($B$1:B6144)+1,0)</f>
        <v>0</v>
      </c>
      <c r="D6145" s="33">
        <f>IF(ISNUMBER(SEARCH('Φόρμα Εισαγωγής'!$C$2,E6145)),MAX($D$1:D6144)+1,0)</f>
        <v>0</v>
      </c>
      <c r="H6145" s="6">
        <f t="shared" si="299"/>
        <v>0</v>
      </c>
      <c r="I6145" s="6">
        <f t="shared" si="300"/>
        <v>0</v>
      </c>
      <c r="J6145" s="6">
        <f t="shared" si="301"/>
        <v>0</v>
      </c>
      <c r="L6145" s="4" t="str">
        <f>IFERROR(VLOOKUP(ROWS($L$2:L6145),$B$2:$C$1996,2,0),"")</f>
        <v/>
      </c>
      <c r="N6145" s="2" t="str">
        <f>IFERROR(VLOOKUP(ROWS($N$2:N6145),$D$2:$E$1996,2,0),"")</f>
        <v/>
      </c>
    </row>
    <row r="6146" spans="2:14">
      <c r="B6146" s="32">
        <f>IF(ISNUMBER(SEARCH('Φόρμα Εισαγωγής'!$B$2,C6146)),MAX($B$1:B6145)+1,0)</f>
        <v>0</v>
      </c>
      <c r="D6146" s="33">
        <f>IF(ISNUMBER(SEARCH('Φόρμα Εισαγωγής'!$C$2,E6146)),MAX($D$1:D6145)+1,0)</f>
        <v>0</v>
      </c>
      <c r="H6146" s="6">
        <f t="shared" si="299"/>
        <v>0</v>
      </c>
      <c r="I6146" s="6">
        <f t="shared" si="300"/>
        <v>0</v>
      </c>
      <c r="J6146" s="6">
        <f t="shared" si="301"/>
        <v>0</v>
      </c>
      <c r="L6146" s="4" t="str">
        <f>IFERROR(VLOOKUP(ROWS($L$2:L6146),$B$2:$C$1996,2,0),"")</f>
        <v/>
      </c>
      <c r="N6146" s="2" t="str">
        <f>IFERROR(VLOOKUP(ROWS($N$2:N6146),$D$2:$E$1996,2,0),"")</f>
        <v/>
      </c>
    </row>
    <row r="6147" spans="2:14">
      <c r="B6147" s="32">
        <f>IF(ISNUMBER(SEARCH('Φόρμα Εισαγωγής'!$B$2,C6147)),MAX($B$1:B6146)+1,0)</f>
        <v>0</v>
      </c>
      <c r="D6147" s="33">
        <f>IF(ISNUMBER(SEARCH('Φόρμα Εισαγωγής'!$C$2,E6147)),MAX($D$1:D6146)+1,0)</f>
        <v>0</v>
      </c>
      <c r="H6147" s="6">
        <f t="shared" si="299"/>
        <v>0</v>
      </c>
      <c r="I6147" s="6">
        <f t="shared" si="300"/>
        <v>0</v>
      </c>
      <c r="J6147" s="6">
        <f t="shared" si="301"/>
        <v>0</v>
      </c>
      <c r="L6147" s="4" t="str">
        <f>IFERROR(VLOOKUP(ROWS($L$2:L6147),$B$2:$C$1996,2,0),"")</f>
        <v/>
      </c>
      <c r="N6147" s="2" t="str">
        <f>IFERROR(VLOOKUP(ROWS($N$2:N6147),$D$2:$E$1996,2,0),"")</f>
        <v/>
      </c>
    </row>
    <row r="6148" spans="2:14">
      <c r="B6148" s="32">
        <f>IF(ISNUMBER(SEARCH('Φόρμα Εισαγωγής'!$B$2,C6148)),MAX($B$1:B6147)+1,0)</f>
        <v>0</v>
      </c>
      <c r="D6148" s="33">
        <f>IF(ISNUMBER(SEARCH('Φόρμα Εισαγωγής'!$C$2,E6148)),MAX($D$1:D6147)+1,0)</f>
        <v>0</v>
      </c>
      <c r="H6148" s="6">
        <f t="shared" si="299"/>
        <v>0</v>
      </c>
      <c r="I6148" s="6">
        <f t="shared" si="300"/>
        <v>0</v>
      </c>
      <c r="J6148" s="6">
        <f t="shared" si="301"/>
        <v>0</v>
      </c>
      <c r="L6148" s="4" t="str">
        <f>IFERROR(VLOOKUP(ROWS($L$2:L6148),$B$2:$C$1996,2,0),"")</f>
        <v/>
      </c>
      <c r="N6148" s="2" t="str">
        <f>IFERROR(VLOOKUP(ROWS($N$2:N6148),$D$2:$E$1996,2,0),"")</f>
        <v/>
      </c>
    </row>
    <row r="6149" spans="2:14">
      <c r="B6149" s="32">
        <f>IF(ISNUMBER(SEARCH('Φόρμα Εισαγωγής'!$B$2,C6149)),MAX($B$1:B6148)+1,0)</f>
        <v>0</v>
      </c>
      <c r="D6149" s="33">
        <f>IF(ISNUMBER(SEARCH('Φόρμα Εισαγωγής'!$C$2,E6149)),MAX($D$1:D6148)+1,0)</f>
        <v>0</v>
      </c>
      <c r="H6149" s="6">
        <f t="shared" si="299"/>
        <v>0</v>
      </c>
      <c r="I6149" s="6">
        <f t="shared" si="300"/>
        <v>0</v>
      </c>
      <c r="J6149" s="6">
        <f t="shared" si="301"/>
        <v>0</v>
      </c>
      <c r="L6149" s="4" t="str">
        <f>IFERROR(VLOOKUP(ROWS($L$2:L6149),$B$2:$C$1996,2,0),"")</f>
        <v/>
      </c>
      <c r="N6149" s="2" t="str">
        <f>IFERROR(VLOOKUP(ROWS($N$2:N6149),$D$2:$E$1996,2,0),"")</f>
        <v/>
      </c>
    </row>
    <row r="6150" spans="2:14">
      <c r="B6150" s="32">
        <f>IF(ISNUMBER(SEARCH('Φόρμα Εισαγωγής'!$B$2,C6150)),MAX($B$1:B6149)+1,0)</f>
        <v>0</v>
      </c>
      <c r="D6150" s="33">
        <f>IF(ISNUMBER(SEARCH('Φόρμα Εισαγωγής'!$C$2,E6150)),MAX($D$1:D6149)+1,0)</f>
        <v>0</v>
      </c>
      <c r="H6150" s="6">
        <f t="shared" si="299"/>
        <v>0</v>
      </c>
      <c r="I6150" s="6">
        <f t="shared" si="300"/>
        <v>0</v>
      </c>
      <c r="J6150" s="6">
        <f t="shared" si="301"/>
        <v>0</v>
      </c>
      <c r="L6150" s="4" t="str">
        <f>IFERROR(VLOOKUP(ROWS($L$2:L6150),$B$2:$C$1996,2,0),"")</f>
        <v/>
      </c>
      <c r="N6150" s="2" t="str">
        <f>IFERROR(VLOOKUP(ROWS($N$2:N6150),$D$2:$E$1996,2,0),"")</f>
        <v/>
      </c>
    </row>
    <row r="6151" spans="2:14">
      <c r="B6151" s="32">
        <f>IF(ISNUMBER(SEARCH('Φόρμα Εισαγωγής'!$B$2,C6151)),MAX($B$1:B6150)+1,0)</f>
        <v>0</v>
      </c>
      <c r="D6151" s="33">
        <f>IF(ISNUMBER(SEARCH('Φόρμα Εισαγωγής'!$C$2,E6151)),MAX($D$1:D6150)+1,0)</f>
        <v>0</v>
      </c>
      <c r="H6151" s="6">
        <f t="shared" si="299"/>
        <v>0</v>
      </c>
      <c r="I6151" s="6">
        <f t="shared" si="300"/>
        <v>0</v>
      </c>
      <c r="J6151" s="6">
        <f t="shared" si="301"/>
        <v>0</v>
      </c>
      <c r="L6151" s="4" t="str">
        <f>IFERROR(VLOOKUP(ROWS($L$2:L6151),$B$2:$C$1996,2,0),"")</f>
        <v/>
      </c>
      <c r="N6151" s="2" t="str">
        <f>IFERROR(VLOOKUP(ROWS($N$2:N6151),$D$2:$E$1996,2,0),"")</f>
        <v/>
      </c>
    </row>
    <row r="6152" spans="2:14">
      <c r="B6152" s="32">
        <f>IF(ISNUMBER(SEARCH('Φόρμα Εισαγωγής'!$B$2,C6152)),MAX($B$1:B6151)+1,0)</f>
        <v>0</v>
      </c>
      <c r="D6152" s="33">
        <f>IF(ISNUMBER(SEARCH('Φόρμα Εισαγωγής'!$C$2,E6152)),MAX($D$1:D6151)+1,0)</f>
        <v>0</v>
      </c>
      <c r="H6152" s="6">
        <f t="shared" si="299"/>
        <v>0</v>
      </c>
      <c r="I6152" s="6">
        <f t="shared" si="300"/>
        <v>0</v>
      </c>
      <c r="J6152" s="6">
        <f t="shared" si="301"/>
        <v>0</v>
      </c>
      <c r="L6152" s="4" t="str">
        <f>IFERROR(VLOOKUP(ROWS($L$2:L6152),$B$2:$C$1996,2,0),"")</f>
        <v/>
      </c>
      <c r="N6152" s="2" t="str">
        <f>IFERROR(VLOOKUP(ROWS($N$2:N6152),$D$2:$E$1996,2,0),"")</f>
        <v/>
      </c>
    </row>
    <row r="6153" spans="2:14">
      <c r="B6153" s="32">
        <f>IF(ISNUMBER(SEARCH('Φόρμα Εισαγωγής'!$B$2,C6153)),MAX($B$1:B6152)+1,0)</f>
        <v>0</v>
      </c>
      <c r="D6153" s="33">
        <f>IF(ISNUMBER(SEARCH('Φόρμα Εισαγωγής'!$C$2,E6153)),MAX($D$1:D6152)+1,0)</f>
        <v>0</v>
      </c>
      <c r="H6153" s="6">
        <f t="shared" si="299"/>
        <v>0</v>
      </c>
      <c r="I6153" s="6">
        <f t="shared" si="300"/>
        <v>0</v>
      </c>
      <c r="J6153" s="6">
        <f t="shared" si="301"/>
        <v>0</v>
      </c>
      <c r="L6153" s="4" t="str">
        <f>IFERROR(VLOOKUP(ROWS($L$2:L6153),$B$2:$C$1996,2,0),"")</f>
        <v/>
      </c>
      <c r="N6153" s="2" t="str">
        <f>IFERROR(VLOOKUP(ROWS($N$2:N6153),$D$2:$E$1996,2,0),"")</f>
        <v/>
      </c>
    </row>
    <row r="6154" spans="2:14">
      <c r="B6154" s="32">
        <f>IF(ISNUMBER(SEARCH('Φόρμα Εισαγωγής'!$B$2,C6154)),MAX($B$1:B6153)+1,0)</f>
        <v>0</v>
      </c>
      <c r="D6154" s="33">
        <f>IF(ISNUMBER(SEARCH('Φόρμα Εισαγωγής'!$C$2,E6154)),MAX($D$1:D6153)+1,0)</f>
        <v>0</v>
      </c>
      <c r="H6154" s="6">
        <f t="shared" si="299"/>
        <v>0</v>
      </c>
      <c r="I6154" s="6">
        <f t="shared" si="300"/>
        <v>0</v>
      </c>
      <c r="J6154" s="6">
        <f t="shared" si="301"/>
        <v>0</v>
      </c>
      <c r="L6154" s="4" t="str">
        <f>IFERROR(VLOOKUP(ROWS($L$2:L6154),$B$2:$C$1996,2,0),"")</f>
        <v/>
      </c>
      <c r="N6154" s="2" t="str">
        <f>IFERROR(VLOOKUP(ROWS($N$2:N6154),$D$2:$E$1996,2,0),"")</f>
        <v/>
      </c>
    </row>
    <row r="6155" spans="2:14">
      <c r="B6155" s="32">
        <f>IF(ISNUMBER(SEARCH('Φόρμα Εισαγωγής'!$B$2,C6155)),MAX($B$1:B6154)+1,0)</f>
        <v>0</v>
      </c>
      <c r="D6155" s="33">
        <f>IF(ISNUMBER(SEARCH('Φόρμα Εισαγωγής'!$C$2,E6155)),MAX($D$1:D6154)+1,0)</f>
        <v>0</v>
      </c>
      <c r="H6155" s="6">
        <f t="shared" si="299"/>
        <v>0</v>
      </c>
      <c r="I6155" s="6">
        <f t="shared" si="300"/>
        <v>0</v>
      </c>
      <c r="J6155" s="6">
        <f t="shared" si="301"/>
        <v>0</v>
      </c>
      <c r="L6155" s="4" t="str">
        <f>IFERROR(VLOOKUP(ROWS($L$2:L6155),$B$2:$C$1996,2,0),"")</f>
        <v/>
      </c>
      <c r="N6155" s="2" t="str">
        <f>IFERROR(VLOOKUP(ROWS($N$2:N6155),$D$2:$E$1996,2,0),"")</f>
        <v/>
      </c>
    </row>
    <row r="6156" spans="2:14">
      <c r="B6156" s="32">
        <f>IF(ISNUMBER(SEARCH('Φόρμα Εισαγωγής'!$B$2,C6156)),MAX($B$1:B6155)+1,0)</f>
        <v>0</v>
      </c>
      <c r="D6156" s="33">
        <f>IF(ISNUMBER(SEARCH('Φόρμα Εισαγωγής'!$C$2,E6156)),MAX($D$1:D6155)+1,0)</f>
        <v>0</v>
      </c>
      <c r="H6156" s="6">
        <f t="shared" si="299"/>
        <v>0</v>
      </c>
      <c r="I6156" s="6">
        <f t="shared" si="300"/>
        <v>0</v>
      </c>
      <c r="J6156" s="6">
        <f t="shared" si="301"/>
        <v>0</v>
      </c>
      <c r="L6156" s="4" t="str">
        <f>IFERROR(VLOOKUP(ROWS($L$2:L6156),$B$2:$C$1996,2,0),"")</f>
        <v/>
      </c>
      <c r="N6156" s="2" t="str">
        <f>IFERROR(VLOOKUP(ROWS($N$2:N6156),$D$2:$E$1996,2,0),"")</f>
        <v/>
      </c>
    </row>
    <row r="6157" spans="2:14">
      <c r="B6157" s="32">
        <f>IF(ISNUMBER(SEARCH('Φόρμα Εισαγωγής'!$B$2,C6157)),MAX($B$1:B6156)+1,0)</f>
        <v>0</v>
      </c>
      <c r="D6157" s="33">
        <f>IF(ISNUMBER(SEARCH('Φόρμα Εισαγωγής'!$C$2,E6157)),MAX($D$1:D6156)+1,0)</f>
        <v>0</v>
      </c>
      <c r="H6157" s="6">
        <f t="shared" si="299"/>
        <v>0</v>
      </c>
      <c r="I6157" s="6">
        <f t="shared" si="300"/>
        <v>0</v>
      </c>
      <c r="J6157" s="6">
        <f t="shared" si="301"/>
        <v>0</v>
      </c>
      <c r="L6157" s="4" t="str">
        <f>IFERROR(VLOOKUP(ROWS($L$2:L6157),$B$2:$C$1996,2,0),"")</f>
        <v/>
      </c>
      <c r="N6157" s="2" t="str">
        <f>IFERROR(VLOOKUP(ROWS($N$2:N6157),$D$2:$E$1996,2,0),"")</f>
        <v/>
      </c>
    </row>
    <row r="6158" spans="2:14">
      <c r="B6158" s="32">
        <f>IF(ISNUMBER(SEARCH('Φόρμα Εισαγωγής'!$B$2,C6158)),MAX($B$1:B6157)+1,0)</f>
        <v>0</v>
      </c>
      <c r="D6158" s="33">
        <f>IF(ISNUMBER(SEARCH('Φόρμα Εισαγωγής'!$C$2,E6158)),MAX($D$1:D6157)+1,0)</f>
        <v>0</v>
      </c>
      <c r="H6158" s="6">
        <f t="shared" si="299"/>
        <v>0</v>
      </c>
      <c r="I6158" s="6">
        <f t="shared" si="300"/>
        <v>0</v>
      </c>
      <c r="J6158" s="6">
        <f t="shared" si="301"/>
        <v>0</v>
      </c>
      <c r="L6158" s="4" t="str">
        <f>IFERROR(VLOOKUP(ROWS($L$2:L6158),$B$2:$C$1996,2,0),"")</f>
        <v/>
      </c>
      <c r="N6158" s="2" t="str">
        <f>IFERROR(VLOOKUP(ROWS($N$2:N6158),$D$2:$E$1996,2,0),"")</f>
        <v/>
      </c>
    </row>
    <row r="6159" spans="2:14">
      <c r="B6159" s="32">
        <f>IF(ISNUMBER(SEARCH('Φόρμα Εισαγωγής'!$B$2,C6159)),MAX($B$1:B6158)+1,0)</f>
        <v>0</v>
      </c>
      <c r="D6159" s="33">
        <f>IF(ISNUMBER(SEARCH('Φόρμα Εισαγωγής'!$C$2,E6159)),MAX($D$1:D6158)+1,0)</f>
        <v>0</v>
      </c>
      <c r="H6159" s="6">
        <f t="shared" si="299"/>
        <v>0</v>
      </c>
      <c r="I6159" s="6">
        <f t="shared" si="300"/>
        <v>0</v>
      </c>
      <c r="J6159" s="6">
        <f t="shared" si="301"/>
        <v>0</v>
      </c>
      <c r="L6159" s="4" t="str">
        <f>IFERROR(VLOOKUP(ROWS($L$2:L6159),$B$2:$C$1996,2,0),"")</f>
        <v/>
      </c>
      <c r="N6159" s="2" t="str">
        <f>IFERROR(VLOOKUP(ROWS($N$2:N6159),$D$2:$E$1996,2,0),"")</f>
        <v/>
      </c>
    </row>
    <row r="6160" spans="2:14">
      <c r="B6160" s="32">
        <f>IF(ISNUMBER(SEARCH('Φόρμα Εισαγωγής'!$B$2,C6160)),MAX($B$1:B6159)+1,0)</f>
        <v>0</v>
      </c>
      <c r="D6160" s="33">
        <f>IF(ISNUMBER(SEARCH('Φόρμα Εισαγωγής'!$C$2,E6160)),MAX($D$1:D6159)+1,0)</f>
        <v>0</v>
      </c>
      <c r="H6160" s="6">
        <f t="shared" si="299"/>
        <v>0</v>
      </c>
      <c r="I6160" s="6">
        <f t="shared" si="300"/>
        <v>0</v>
      </c>
      <c r="J6160" s="6">
        <f t="shared" si="301"/>
        <v>0</v>
      </c>
      <c r="L6160" s="4" t="str">
        <f>IFERROR(VLOOKUP(ROWS($L$2:L6160),$B$2:$C$1996,2,0),"")</f>
        <v/>
      </c>
      <c r="N6160" s="2" t="str">
        <f>IFERROR(VLOOKUP(ROWS($N$2:N6160),$D$2:$E$1996,2,0),"")</f>
        <v/>
      </c>
    </row>
    <row r="6161" spans="2:14">
      <c r="B6161" s="32">
        <f>IF(ISNUMBER(SEARCH('Φόρμα Εισαγωγής'!$B$2,C6161)),MAX($B$1:B6160)+1,0)</f>
        <v>0</v>
      </c>
      <c r="D6161" s="33">
        <f>IF(ISNUMBER(SEARCH('Φόρμα Εισαγωγής'!$C$2,E6161)),MAX($D$1:D6160)+1,0)</f>
        <v>0</v>
      </c>
      <c r="H6161" s="6">
        <f t="shared" si="299"/>
        <v>0</v>
      </c>
      <c r="I6161" s="6">
        <f t="shared" si="300"/>
        <v>0</v>
      </c>
      <c r="J6161" s="6">
        <f t="shared" si="301"/>
        <v>0</v>
      </c>
      <c r="L6161" s="4" t="str">
        <f>IFERROR(VLOOKUP(ROWS($L$2:L6161),$B$2:$C$1996,2,0),"")</f>
        <v/>
      </c>
      <c r="N6161" s="2" t="str">
        <f>IFERROR(VLOOKUP(ROWS($N$2:N6161),$D$2:$E$1996,2,0),"")</f>
        <v/>
      </c>
    </row>
    <row r="6162" spans="2:14">
      <c r="B6162" s="32">
        <f>IF(ISNUMBER(SEARCH('Φόρμα Εισαγωγής'!$B$2,C6162)),MAX($B$1:B6161)+1,0)</f>
        <v>0</v>
      </c>
      <c r="D6162" s="33">
        <f>IF(ISNUMBER(SEARCH('Φόρμα Εισαγωγής'!$C$2,E6162)),MAX($D$1:D6161)+1,0)</f>
        <v>0</v>
      </c>
      <c r="H6162" s="6">
        <f t="shared" si="299"/>
        <v>0</v>
      </c>
      <c r="I6162" s="6">
        <f t="shared" si="300"/>
        <v>0</v>
      </c>
      <c r="J6162" s="6">
        <f t="shared" si="301"/>
        <v>0</v>
      </c>
      <c r="L6162" s="4" t="str">
        <f>IFERROR(VLOOKUP(ROWS($L$2:L6162),$B$2:$C$1996,2,0),"")</f>
        <v/>
      </c>
      <c r="N6162" s="2" t="str">
        <f>IFERROR(VLOOKUP(ROWS($N$2:N6162),$D$2:$E$1996,2,0),"")</f>
        <v/>
      </c>
    </row>
    <row r="6163" spans="2:14">
      <c r="B6163" s="32">
        <f>IF(ISNUMBER(SEARCH('Φόρμα Εισαγωγής'!$B$2,C6163)),MAX($B$1:B6162)+1,0)</f>
        <v>0</v>
      </c>
      <c r="D6163" s="33">
        <f>IF(ISNUMBER(SEARCH('Φόρμα Εισαγωγής'!$C$2,E6163)),MAX($D$1:D6162)+1,0)</f>
        <v>0</v>
      </c>
      <c r="H6163" s="6">
        <f t="shared" si="299"/>
        <v>0</v>
      </c>
      <c r="I6163" s="6">
        <f t="shared" si="300"/>
        <v>0</v>
      </c>
      <c r="J6163" s="6">
        <f t="shared" si="301"/>
        <v>0</v>
      </c>
      <c r="L6163" s="4" t="str">
        <f>IFERROR(VLOOKUP(ROWS($L$2:L6163),$B$2:$C$1996,2,0),"")</f>
        <v/>
      </c>
      <c r="N6163" s="2" t="str">
        <f>IFERROR(VLOOKUP(ROWS($N$2:N6163),$D$2:$E$1996,2,0),"")</f>
        <v/>
      </c>
    </row>
    <row r="6164" spans="2:14">
      <c r="B6164" s="32">
        <f>IF(ISNUMBER(SEARCH('Φόρμα Εισαγωγής'!$B$2,C6164)),MAX($B$1:B6163)+1,0)</f>
        <v>0</v>
      </c>
      <c r="D6164" s="33">
        <f>IF(ISNUMBER(SEARCH('Φόρμα Εισαγωγής'!$C$2,E6164)),MAX($D$1:D6163)+1,0)</f>
        <v>0</v>
      </c>
      <c r="H6164" s="6">
        <f t="shared" si="299"/>
        <v>0</v>
      </c>
      <c r="I6164" s="6">
        <f t="shared" si="300"/>
        <v>0</v>
      </c>
      <c r="J6164" s="6">
        <f t="shared" si="301"/>
        <v>0</v>
      </c>
      <c r="L6164" s="4" t="str">
        <f>IFERROR(VLOOKUP(ROWS($L$2:L6164),$B$2:$C$1996,2,0),"")</f>
        <v/>
      </c>
      <c r="N6164" s="2" t="str">
        <f>IFERROR(VLOOKUP(ROWS($N$2:N6164),$D$2:$E$1996,2,0),"")</f>
        <v/>
      </c>
    </row>
    <row r="6165" spans="2:14">
      <c r="B6165" s="32">
        <f>IF(ISNUMBER(SEARCH('Φόρμα Εισαγωγής'!$B$2,C6165)),MAX($B$1:B6164)+1,0)</f>
        <v>0</v>
      </c>
      <c r="D6165" s="33">
        <f>IF(ISNUMBER(SEARCH('Φόρμα Εισαγωγής'!$C$2,E6165)),MAX($D$1:D6164)+1,0)</f>
        <v>0</v>
      </c>
      <c r="H6165" s="6">
        <f t="shared" si="299"/>
        <v>0</v>
      </c>
      <c r="I6165" s="6">
        <f t="shared" si="300"/>
        <v>0</v>
      </c>
      <c r="J6165" s="6">
        <f t="shared" si="301"/>
        <v>0</v>
      </c>
      <c r="L6165" s="4" t="str">
        <f>IFERROR(VLOOKUP(ROWS($L$2:L6165),$B$2:$C$1996,2,0),"")</f>
        <v/>
      </c>
      <c r="N6165" s="2" t="str">
        <f>IFERROR(VLOOKUP(ROWS($N$2:N6165),$D$2:$E$1996,2,0),"")</f>
        <v/>
      </c>
    </row>
    <row r="6166" spans="2:14">
      <c r="B6166" s="32">
        <f>IF(ISNUMBER(SEARCH('Φόρμα Εισαγωγής'!$B$2,C6166)),MAX($B$1:B6165)+1,0)</f>
        <v>0</v>
      </c>
      <c r="D6166" s="33">
        <f>IF(ISNUMBER(SEARCH('Φόρμα Εισαγωγής'!$C$2,E6166)),MAX($D$1:D6165)+1,0)</f>
        <v>0</v>
      </c>
      <c r="H6166" s="6">
        <f t="shared" si="299"/>
        <v>0</v>
      </c>
      <c r="I6166" s="6">
        <f t="shared" si="300"/>
        <v>0</v>
      </c>
      <c r="J6166" s="6">
        <f t="shared" si="301"/>
        <v>0</v>
      </c>
      <c r="L6166" s="4" t="str">
        <f>IFERROR(VLOOKUP(ROWS($L$2:L6166),$B$2:$C$1996,2,0),"")</f>
        <v/>
      </c>
      <c r="N6166" s="2" t="str">
        <f>IFERROR(VLOOKUP(ROWS($N$2:N6166),$D$2:$E$1996,2,0),"")</f>
        <v/>
      </c>
    </row>
    <row r="6167" spans="2:14">
      <c r="B6167" s="32">
        <f>IF(ISNUMBER(SEARCH('Φόρμα Εισαγωγής'!$B$2,C6167)),MAX($B$1:B6166)+1,0)</f>
        <v>0</v>
      </c>
      <c r="D6167" s="33">
        <f>IF(ISNUMBER(SEARCH('Φόρμα Εισαγωγής'!$C$2,E6167)),MAX($D$1:D6166)+1,0)</f>
        <v>0</v>
      </c>
      <c r="H6167" s="6">
        <f t="shared" si="299"/>
        <v>0</v>
      </c>
      <c r="I6167" s="6">
        <f t="shared" si="300"/>
        <v>0</v>
      </c>
      <c r="J6167" s="6">
        <f t="shared" si="301"/>
        <v>0</v>
      </c>
      <c r="L6167" s="4" t="str">
        <f>IFERROR(VLOOKUP(ROWS($L$2:L6167),$B$2:$C$1996,2,0),"")</f>
        <v/>
      </c>
      <c r="N6167" s="2" t="str">
        <f>IFERROR(VLOOKUP(ROWS($N$2:N6167),$D$2:$E$1996,2,0),"")</f>
        <v/>
      </c>
    </row>
    <row r="6168" spans="2:14">
      <c r="B6168" s="32">
        <f>IF(ISNUMBER(SEARCH('Φόρμα Εισαγωγής'!$B$2,C6168)),MAX($B$1:B6167)+1,0)</f>
        <v>0</v>
      </c>
      <c r="D6168" s="33">
        <f>IF(ISNUMBER(SEARCH('Φόρμα Εισαγωγής'!$C$2,E6168)),MAX($D$1:D6167)+1,0)</f>
        <v>0</v>
      </c>
      <c r="H6168" s="6">
        <f t="shared" si="299"/>
        <v>0</v>
      </c>
      <c r="I6168" s="6">
        <f t="shared" si="300"/>
        <v>0</v>
      </c>
      <c r="J6168" s="6">
        <f t="shared" si="301"/>
        <v>0</v>
      </c>
      <c r="L6168" s="4" t="str">
        <f>IFERROR(VLOOKUP(ROWS($L$2:L6168),$B$2:$C$1996,2,0),"")</f>
        <v/>
      </c>
      <c r="N6168" s="2" t="str">
        <f>IFERROR(VLOOKUP(ROWS($N$2:N6168),$D$2:$E$1996,2,0),"")</f>
        <v/>
      </c>
    </row>
    <row r="6169" spans="2:14">
      <c r="B6169" s="32">
        <f>IF(ISNUMBER(SEARCH('Φόρμα Εισαγωγής'!$B$2,C6169)),MAX($B$1:B6168)+1,0)</f>
        <v>0</v>
      </c>
      <c r="D6169" s="33">
        <f>IF(ISNUMBER(SEARCH('Φόρμα Εισαγωγής'!$C$2,E6169)),MAX($D$1:D6168)+1,0)</f>
        <v>0</v>
      </c>
      <c r="H6169" s="6">
        <f t="shared" si="299"/>
        <v>0</v>
      </c>
      <c r="I6169" s="6">
        <f t="shared" si="300"/>
        <v>0</v>
      </c>
      <c r="J6169" s="6">
        <f t="shared" si="301"/>
        <v>0</v>
      </c>
      <c r="L6169" s="4" t="str">
        <f>IFERROR(VLOOKUP(ROWS($L$2:L6169),$B$2:$C$1996,2,0),"")</f>
        <v/>
      </c>
      <c r="N6169" s="2" t="str">
        <f>IFERROR(VLOOKUP(ROWS($N$2:N6169),$D$2:$E$1996,2,0),"")</f>
        <v/>
      </c>
    </row>
    <row r="6170" spans="2:14">
      <c r="B6170" s="32">
        <f>IF(ISNUMBER(SEARCH('Φόρμα Εισαγωγής'!$B$2,C6170)),MAX($B$1:B6169)+1,0)</f>
        <v>0</v>
      </c>
      <c r="D6170" s="33">
        <f>IF(ISNUMBER(SEARCH('Φόρμα Εισαγωγής'!$C$2,E6170)),MAX($D$1:D6169)+1,0)</f>
        <v>0</v>
      </c>
      <c r="H6170" s="6">
        <f t="shared" si="299"/>
        <v>0</v>
      </c>
      <c r="I6170" s="6">
        <f t="shared" si="300"/>
        <v>0</v>
      </c>
      <c r="J6170" s="6">
        <f t="shared" si="301"/>
        <v>0</v>
      </c>
      <c r="L6170" s="4" t="str">
        <f>IFERROR(VLOOKUP(ROWS($L$2:L6170),$B$2:$C$1996,2,0),"")</f>
        <v/>
      </c>
      <c r="N6170" s="2" t="str">
        <f>IFERROR(VLOOKUP(ROWS($N$2:N6170),$D$2:$E$1996,2,0),"")</f>
        <v/>
      </c>
    </row>
    <row r="6171" spans="2:14">
      <c r="B6171" s="32">
        <f>IF(ISNUMBER(SEARCH('Φόρμα Εισαγωγής'!$B$2,C6171)),MAX($B$1:B6170)+1,0)</f>
        <v>0</v>
      </c>
      <c r="D6171" s="33">
        <f>IF(ISNUMBER(SEARCH('Φόρμα Εισαγωγής'!$C$2,E6171)),MAX($D$1:D6170)+1,0)</f>
        <v>0</v>
      </c>
      <c r="H6171" s="6">
        <f t="shared" si="299"/>
        <v>0</v>
      </c>
      <c r="I6171" s="6">
        <f t="shared" si="300"/>
        <v>0</v>
      </c>
      <c r="J6171" s="6">
        <f t="shared" si="301"/>
        <v>0</v>
      </c>
      <c r="L6171" s="4" t="str">
        <f>IFERROR(VLOOKUP(ROWS($L$2:L6171),$B$2:$C$1996,2,0),"")</f>
        <v/>
      </c>
      <c r="N6171" s="2" t="str">
        <f>IFERROR(VLOOKUP(ROWS($N$2:N6171),$D$2:$E$1996,2,0),"")</f>
        <v/>
      </c>
    </row>
    <row r="6172" spans="2:14">
      <c r="B6172" s="32">
        <f>IF(ISNUMBER(SEARCH('Φόρμα Εισαγωγής'!$B$2,C6172)),MAX($B$1:B6171)+1,0)</f>
        <v>0</v>
      </c>
      <c r="D6172" s="33">
        <f>IF(ISNUMBER(SEARCH('Φόρμα Εισαγωγής'!$C$2,E6172)),MAX($D$1:D6171)+1,0)</f>
        <v>0</v>
      </c>
      <c r="H6172" s="6">
        <f t="shared" si="299"/>
        <v>0</v>
      </c>
      <c r="I6172" s="6">
        <f t="shared" si="300"/>
        <v>0</v>
      </c>
      <c r="J6172" s="6">
        <f t="shared" si="301"/>
        <v>0</v>
      </c>
      <c r="L6172" s="4" t="str">
        <f>IFERROR(VLOOKUP(ROWS($L$2:L6172),$B$2:$C$1996,2,0),"")</f>
        <v/>
      </c>
      <c r="N6172" s="2" t="str">
        <f>IFERROR(VLOOKUP(ROWS($N$2:N6172),$D$2:$E$1996,2,0),"")</f>
        <v/>
      </c>
    </row>
    <row r="6173" spans="2:14">
      <c r="B6173" s="32">
        <f>IF(ISNUMBER(SEARCH('Φόρμα Εισαγωγής'!$B$2,C6173)),MAX($B$1:B6172)+1,0)</f>
        <v>0</v>
      </c>
      <c r="D6173" s="33">
        <f>IF(ISNUMBER(SEARCH('Φόρμα Εισαγωγής'!$C$2,E6173)),MAX($D$1:D6172)+1,0)</f>
        <v>0</v>
      </c>
      <c r="H6173" s="6">
        <f t="shared" si="299"/>
        <v>0</v>
      </c>
      <c r="I6173" s="6">
        <f t="shared" si="300"/>
        <v>0</v>
      </c>
      <c r="J6173" s="6">
        <f t="shared" si="301"/>
        <v>0</v>
      </c>
      <c r="L6173" s="4" t="str">
        <f>IFERROR(VLOOKUP(ROWS($L$2:L6173),$B$2:$C$1996,2,0),"")</f>
        <v/>
      </c>
      <c r="N6173" s="2" t="str">
        <f>IFERROR(VLOOKUP(ROWS($N$2:N6173),$D$2:$E$1996,2,0),"")</f>
        <v/>
      </c>
    </row>
    <row r="6174" spans="2:14">
      <c r="B6174" s="32">
        <f>IF(ISNUMBER(SEARCH('Φόρμα Εισαγωγής'!$B$2,C6174)),MAX($B$1:B6173)+1,0)</f>
        <v>0</v>
      </c>
      <c r="D6174" s="33">
        <f>IF(ISNUMBER(SEARCH('Φόρμα Εισαγωγής'!$C$2,E6174)),MAX($D$1:D6173)+1,0)</f>
        <v>0</v>
      </c>
      <c r="H6174" s="6">
        <f t="shared" si="299"/>
        <v>0</v>
      </c>
      <c r="I6174" s="6">
        <f t="shared" si="300"/>
        <v>0</v>
      </c>
      <c r="J6174" s="6">
        <f t="shared" si="301"/>
        <v>0</v>
      </c>
      <c r="L6174" s="4" t="str">
        <f>IFERROR(VLOOKUP(ROWS($L$2:L6174),$B$2:$C$1996,2,0),"")</f>
        <v/>
      </c>
      <c r="N6174" s="2" t="str">
        <f>IFERROR(VLOOKUP(ROWS($N$2:N6174),$D$2:$E$1996,2,0),"")</f>
        <v/>
      </c>
    </row>
    <row r="6175" spans="2:14">
      <c r="B6175" s="32">
        <f>IF(ISNUMBER(SEARCH('Φόρμα Εισαγωγής'!$B$2,C6175)),MAX($B$1:B6174)+1,0)</f>
        <v>0</v>
      </c>
      <c r="D6175" s="33">
        <f>IF(ISNUMBER(SEARCH('Φόρμα Εισαγωγής'!$C$2,E6175)),MAX($D$1:D6174)+1,0)</f>
        <v>0</v>
      </c>
      <c r="H6175" s="6">
        <f t="shared" si="299"/>
        <v>0</v>
      </c>
      <c r="I6175" s="6">
        <f t="shared" si="300"/>
        <v>0</v>
      </c>
      <c r="J6175" s="6">
        <f t="shared" si="301"/>
        <v>0</v>
      </c>
      <c r="L6175" s="4" t="str">
        <f>IFERROR(VLOOKUP(ROWS($L$2:L6175),$B$2:$C$1996,2,0),"")</f>
        <v/>
      </c>
      <c r="N6175" s="2" t="str">
        <f>IFERROR(VLOOKUP(ROWS($N$2:N6175),$D$2:$E$1996,2,0),"")</f>
        <v/>
      </c>
    </row>
    <row r="6176" spans="2:14">
      <c r="B6176" s="32">
        <f>IF(ISNUMBER(SEARCH('Φόρμα Εισαγωγής'!$B$2,C6176)),MAX($B$1:B6175)+1,0)</f>
        <v>0</v>
      </c>
      <c r="D6176" s="33">
        <f>IF(ISNUMBER(SEARCH('Φόρμα Εισαγωγής'!$C$2,E6176)),MAX($D$1:D6175)+1,0)</f>
        <v>0</v>
      </c>
      <c r="H6176" s="6">
        <f t="shared" si="299"/>
        <v>0</v>
      </c>
      <c r="I6176" s="6">
        <f t="shared" si="300"/>
        <v>0</v>
      </c>
      <c r="J6176" s="6">
        <f t="shared" si="301"/>
        <v>0</v>
      </c>
      <c r="L6176" s="4" t="str">
        <f>IFERROR(VLOOKUP(ROWS($L$2:L6176),$B$2:$C$1996,2,0),"")</f>
        <v/>
      </c>
      <c r="N6176" s="2" t="str">
        <f>IFERROR(VLOOKUP(ROWS($N$2:N6176),$D$2:$E$1996,2,0),"")</f>
        <v/>
      </c>
    </row>
    <row r="6177" spans="2:14">
      <c r="B6177" s="32">
        <f>IF(ISNUMBER(SEARCH('Φόρμα Εισαγωγής'!$B$2,C6177)),MAX($B$1:B6176)+1,0)</f>
        <v>0</v>
      </c>
      <c r="D6177" s="33">
        <f>IF(ISNUMBER(SEARCH('Φόρμα Εισαγωγής'!$C$2,E6177)),MAX($D$1:D6176)+1,0)</f>
        <v>0</v>
      </c>
      <c r="H6177" s="6">
        <f t="shared" si="299"/>
        <v>0</v>
      </c>
      <c r="I6177" s="6">
        <f t="shared" si="300"/>
        <v>0</v>
      </c>
      <c r="J6177" s="6">
        <f t="shared" si="301"/>
        <v>0</v>
      </c>
      <c r="L6177" s="4" t="str">
        <f>IFERROR(VLOOKUP(ROWS($L$2:L6177),$B$2:$C$1996,2,0),"")</f>
        <v/>
      </c>
      <c r="N6177" s="2" t="str">
        <f>IFERROR(VLOOKUP(ROWS($N$2:N6177),$D$2:$E$1996,2,0),"")</f>
        <v/>
      </c>
    </row>
    <row r="6178" spans="2:14">
      <c r="B6178" s="32">
        <f>IF(ISNUMBER(SEARCH('Φόρμα Εισαγωγής'!$B$2,C6178)),MAX($B$1:B6177)+1,0)</f>
        <v>0</v>
      </c>
      <c r="D6178" s="33">
        <f>IF(ISNUMBER(SEARCH('Φόρμα Εισαγωγής'!$C$2,E6178)),MAX($D$1:D6177)+1,0)</f>
        <v>0</v>
      </c>
      <c r="H6178" s="6">
        <f t="shared" si="299"/>
        <v>0</v>
      </c>
      <c r="I6178" s="6">
        <f t="shared" si="300"/>
        <v>0</v>
      </c>
      <c r="J6178" s="6">
        <f t="shared" si="301"/>
        <v>0</v>
      </c>
      <c r="L6178" s="4" t="str">
        <f>IFERROR(VLOOKUP(ROWS($L$2:L6178),$B$2:$C$1996,2,0),"")</f>
        <v/>
      </c>
      <c r="N6178" s="2" t="str">
        <f>IFERROR(VLOOKUP(ROWS($N$2:N6178),$D$2:$E$1996,2,0),"")</f>
        <v/>
      </c>
    </row>
    <row r="6179" spans="2:14">
      <c r="B6179" s="32">
        <f>IF(ISNUMBER(SEARCH('Φόρμα Εισαγωγής'!$B$2,C6179)),MAX($B$1:B6178)+1,0)</f>
        <v>0</v>
      </c>
      <c r="D6179" s="33">
        <f>IF(ISNUMBER(SEARCH('Φόρμα Εισαγωγής'!$C$2,E6179)),MAX($D$1:D6178)+1,0)</f>
        <v>0</v>
      </c>
      <c r="H6179" s="6">
        <f t="shared" si="299"/>
        <v>0</v>
      </c>
      <c r="I6179" s="6">
        <f t="shared" si="300"/>
        <v>0</v>
      </c>
      <c r="J6179" s="6">
        <f t="shared" si="301"/>
        <v>0</v>
      </c>
      <c r="L6179" s="4" t="str">
        <f>IFERROR(VLOOKUP(ROWS($L$2:L6179),$B$2:$C$1996,2,0),"")</f>
        <v/>
      </c>
      <c r="N6179" s="2" t="str">
        <f>IFERROR(VLOOKUP(ROWS($N$2:N6179),$D$2:$E$1996,2,0),"")</f>
        <v/>
      </c>
    </row>
    <row r="6180" spans="2:14">
      <c r="B6180" s="32">
        <f>IF(ISNUMBER(SEARCH('Φόρμα Εισαγωγής'!$B$2,C6180)),MAX($B$1:B6179)+1,0)</f>
        <v>0</v>
      </c>
      <c r="D6180" s="33">
        <f>IF(ISNUMBER(SEARCH('Φόρμα Εισαγωγής'!$C$2,E6180)),MAX($D$1:D6179)+1,0)</f>
        <v>0</v>
      </c>
      <c r="H6180" s="6">
        <f t="shared" si="299"/>
        <v>0</v>
      </c>
      <c r="I6180" s="6">
        <f t="shared" si="300"/>
        <v>0</v>
      </c>
      <c r="J6180" s="6">
        <f t="shared" si="301"/>
        <v>0</v>
      </c>
      <c r="L6180" s="4" t="str">
        <f>IFERROR(VLOOKUP(ROWS($L$2:L6180),$B$2:$C$1996,2,0),"")</f>
        <v/>
      </c>
      <c r="N6180" s="2" t="str">
        <f>IFERROR(VLOOKUP(ROWS($N$2:N6180),$D$2:$E$1996,2,0),"")</f>
        <v/>
      </c>
    </row>
    <row r="6181" spans="2:14">
      <c r="B6181" s="32">
        <f>IF(ISNUMBER(SEARCH('Φόρμα Εισαγωγής'!$B$2,C6181)),MAX($B$1:B6180)+1,0)</f>
        <v>0</v>
      </c>
      <c r="D6181" s="33">
        <f>IF(ISNUMBER(SEARCH('Φόρμα Εισαγωγής'!$C$2,E6181)),MAX($D$1:D6180)+1,0)</f>
        <v>0</v>
      </c>
      <c r="H6181" s="6">
        <f t="shared" si="299"/>
        <v>0</v>
      </c>
      <c r="I6181" s="6">
        <f t="shared" si="300"/>
        <v>0</v>
      </c>
      <c r="J6181" s="6">
        <f t="shared" si="301"/>
        <v>0</v>
      </c>
      <c r="L6181" s="4" t="str">
        <f>IFERROR(VLOOKUP(ROWS($L$2:L6181),$B$2:$C$1996,2,0),"")</f>
        <v/>
      </c>
      <c r="N6181" s="2" t="str">
        <f>IFERROR(VLOOKUP(ROWS($N$2:N6181),$D$2:$E$1996,2,0),"")</f>
        <v/>
      </c>
    </row>
    <row r="6182" spans="2:14">
      <c r="B6182" s="32">
        <f>IF(ISNUMBER(SEARCH('Φόρμα Εισαγωγής'!$B$2,C6182)),MAX($B$1:B6181)+1,0)</f>
        <v>0</v>
      </c>
      <c r="D6182" s="33">
        <f>IF(ISNUMBER(SEARCH('Φόρμα Εισαγωγής'!$C$2,E6182)),MAX($D$1:D6181)+1,0)</f>
        <v>0</v>
      </c>
      <c r="H6182" s="6">
        <f t="shared" si="299"/>
        <v>0</v>
      </c>
      <c r="I6182" s="6">
        <f t="shared" si="300"/>
        <v>0</v>
      </c>
      <c r="J6182" s="6">
        <f t="shared" si="301"/>
        <v>0</v>
      </c>
      <c r="L6182" s="4" t="str">
        <f>IFERROR(VLOOKUP(ROWS($L$2:L6182),$B$2:$C$1996,2,0),"")</f>
        <v/>
      </c>
      <c r="N6182" s="2" t="str">
        <f>IFERROR(VLOOKUP(ROWS($N$2:N6182),$D$2:$E$1996,2,0),"")</f>
        <v/>
      </c>
    </row>
    <row r="6183" spans="2:14">
      <c r="B6183" s="32">
        <f>IF(ISNUMBER(SEARCH('Φόρμα Εισαγωγής'!$B$2,C6183)),MAX($B$1:B6182)+1,0)</f>
        <v>0</v>
      </c>
      <c r="D6183" s="33">
        <f>IF(ISNUMBER(SEARCH('Φόρμα Εισαγωγής'!$C$2,E6183)),MAX($D$1:D6182)+1,0)</f>
        <v>0</v>
      </c>
      <c r="H6183" s="6">
        <f t="shared" si="299"/>
        <v>0</v>
      </c>
      <c r="I6183" s="6">
        <f t="shared" si="300"/>
        <v>0</v>
      </c>
      <c r="J6183" s="6">
        <f t="shared" si="301"/>
        <v>0</v>
      </c>
      <c r="L6183" s="4" t="str">
        <f>IFERROR(VLOOKUP(ROWS($L$2:L6183),$B$2:$C$1996,2,0),"")</f>
        <v/>
      </c>
      <c r="N6183" s="2" t="str">
        <f>IFERROR(VLOOKUP(ROWS($N$2:N6183),$D$2:$E$1996,2,0),"")</f>
        <v/>
      </c>
    </row>
    <row r="6184" spans="2:14">
      <c r="B6184" s="32">
        <f>IF(ISNUMBER(SEARCH('Φόρμα Εισαγωγής'!$B$2,C6184)),MAX($B$1:B6183)+1,0)</f>
        <v>0</v>
      </c>
      <c r="D6184" s="33">
        <f>IF(ISNUMBER(SEARCH('Φόρμα Εισαγωγής'!$C$2,E6184)),MAX($D$1:D6183)+1,0)</f>
        <v>0</v>
      </c>
      <c r="H6184" s="6">
        <f t="shared" si="299"/>
        <v>0</v>
      </c>
      <c r="I6184" s="6">
        <f t="shared" si="300"/>
        <v>0</v>
      </c>
      <c r="J6184" s="6">
        <f t="shared" si="301"/>
        <v>0</v>
      </c>
      <c r="L6184" s="4" t="str">
        <f>IFERROR(VLOOKUP(ROWS($L$2:L6184),$B$2:$C$1996,2,0),"")</f>
        <v/>
      </c>
      <c r="N6184" s="2" t="str">
        <f>IFERROR(VLOOKUP(ROWS($N$2:N6184),$D$2:$E$1996,2,0),"")</f>
        <v/>
      </c>
    </row>
    <row r="6185" spans="2:14">
      <c r="B6185" s="32">
        <f>IF(ISNUMBER(SEARCH('Φόρμα Εισαγωγής'!$B$2,C6185)),MAX($B$1:B6184)+1,0)</f>
        <v>0</v>
      </c>
      <c r="D6185" s="33">
        <f>IF(ISNUMBER(SEARCH('Φόρμα Εισαγωγής'!$C$2,E6185)),MAX($D$1:D6184)+1,0)</f>
        <v>0</v>
      </c>
      <c r="H6185" s="6">
        <f t="shared" si="299"/>
        <v>0</v>
      </c>
      <c r="I6185" s="6">
        <f t="shared" si="300"/>
        <v>0</v>
      </c>
      <c r="J6185" s="6">
        <f t="shared" si="301"/>
        <v>0</v>
      </c>
      <c r="L6185" s="4" t="str">
        <f>IFERROR(VLOOKUP(ROWS($L$2:L6185),$B$2:$C$1996,2,0),"")</f>
        <v/>
      </c>
      <c r="N6185" s="2" t="str">
        <f>IFERROR(VLOOKUP(ROWS($N$2:N6185),$D$2:$E$1996,2,0),"")</f>
        <v/>
      </c>
    </row>
    <row r="6186" spans="2:14">
      <c r="B6186" s="32">
        <f>IF(ISNUMBER(SEARCH('Φόρμα Εισαγωγής'!$B$2,C6186)),MAX($B$1:B6185)+1,0)</f>
        <v>0</v>
      </c>
      <c r="D6186" s="33">
        <f>IF(ISNUMBER(SEARCH('Φόρμα Εισαγωγής'!$C$2,E6186)),MAX($D$1:D6185)+1,0)</f>
        <v>0</v>
      </c>
      <c r="H6186" s="6">
        <f t="shared" si="299"/>
        <v>0</v>
      </c>
      <c r="I6186" s="6">
        <f t="shared" si="300"/>
        <v>0</v>
      </c>
      <c r="J6186" s="6">
        <f t="shared" si="301"/>
        <v>0</v>
      </c>
      <c r="L6186" s="4" t="str">
        <f>IFERROR(VLOOKUP(ROWS($L$2:L6186),$B$2:$C$1996,2,0),"")</f>
        <v/>
      </c>
      <c r="N6186" s="2" t="str">
        <f>IFERROR(VLOOKUP(ROWS($N$2:N6186),$D$2:$E$1996,2,0),"")</f>
        <v/>
      </c>
    </row>
    <row r="6187" spans="2:14">
      <c r="B6187" s="32">
        <f>IF(ISNUMBER(SEARCH('Φόρμα Εισαγωγής'!$B$2,C6187)),MAX($B$1:B6186)+1,0)</f>
        <v>0</v>
      </c>
      <c r="D6187" s="33">
        <f>IF(ISNUMBER(SEARCH('Φόρμα Εισαγωγής'!$C$2,E6187)),MAX($D$1:D6186)+1,0)</f>
        <v>0</v>
      </c>
      <c r="H6187" s="6">
        <f t="shared" si="299"/>
        <v>0</v>
      </c>
      <c r="I6187" s="6">
        <f t="shared" si="300"/>
        <v>0</v>
      </c>
      <c r="J6187" s="6">
        <f t="shared" si="301"/>
        <v>0</v>
      </c>
      <c r="L6187" s="4" t="str">
        <f>IFERROR(VLOOKUP(ROWS($L$2:L6187),$B$2:$C$1996,2,0),"")</f>
        <v/>
      </c>
      <c r="N6187" s="2" t="str">
        <f>IFERROR(VLOOKUP(ROWS($N$2:N6187),$D$2:$E$1996,2,0),"")</f>
        <v/>
      </c>
    </row>
    <row r="6188" spans="2:14">
      <c r="B6188" s="32">
        <f>IF(ISNUMBER(SEARCH('Φόρμα Εισαγωγής'!$B$2,C6188)),MAX($B$1:B6187)+1,0)</f>
        <v>0</v>
      </c>
      <c r="D6188" s="33">
        <f>IF(ISNUMBER(SEARCH('Φόρμα Εισαγωγής'!$C$2,E6188)),MAX($D$1:D6187)+1,0)</f>
        <v>0</v>
      </c>
      <c r="H6188" s="6">
        <f t="shared" si="299"/>
        <v>0</v>
      </c>
      <c r="I6188" s="6">
        <f t="shared" si="300"/>
        <v>0</v>
      </c>
      <c r="J6188" s="6">
        <f t="shared" si="301"/>
        <v>0</v>
      </c>
      <c r="L6188" s="4" t="str">
        <f>IFERROR(VLOOKUP(ROWS($L$2:L6188),$B$2:$C$1996,2,0),"")</f>
        <v/>
      </c>
      <c r="N6188" s="2" t="str">
        <f>IFERROR(VLOOKUP(ROWS($N$2:N6188),$D$2:$E$1996,2,0),"")</f>
        <v/>
      </c>
    </row>
    <row r="6189" spans="2:14">
      <c r="B6189" s="32">
        <f>IF(ISNUMBER(SEARCH('Φόρμα Εισαγωγής'!$B$2,C6189)),MAX($B$1:B6188)+1,0)</f>
        <v>0</v>
      </c>
      <c r="D6189" s="33">
        <f>IF(ISNUMBER(SEARCH('Φόρμα Εισαγωγής'!$C$2,E6189)),MAX($D$1:D6188)+1,0)</f>
        <v>0</v>
      </c>
      <c r="H6189" s="6">
        <f t="shared" si="299"/>
        <v>0</v>
      </c>
      <c r="I6189" s="6">
        <f t="shared" si="300"/>
        <v>0</v>
      </c>
      <c r="J6189" s="6">
        <f t="shared" si="301"/>
        <v>0</v>
      </c>
      <c r="L6189" s="4" t="str">
        <f>IFERROR(VLOOKUP(ROWS($L$2:L6189),$B$2:$C$1996,2,0),"")</f>
        <v/>
      </c>
      <c r="N6189" s="2" t="str">
        <f>IFERROR(VLOOKUP(ROWS($N$2:N6189),$D$2:$E$1996,2,0),"")</f>
        <v/>
      </c>
    </row>
    <row r="6190" spans="2:14">
      <c r="B6190" s="32">
        <f>IF(ISNUMBER(SEARCH('Φόρμα Εισαγωγής'!$B$2,C6190)),MAX($B$1:B6189)+1,0)</f>
        <v>0</v>
      </c>
      <c r="D6190" s="33">
        <f>IF(ISNUMBER(SEARCH('Φόρμα Εισαγωγής'!$C$2,E6190)),MAX($D$1:D6189)+1,0)</f>
        <v>0</v>
      </c>
      <c r="H6190" s="6">
        <f t="shared" si="299"/>
        <v>0</v>
      </c>
      <c r="I6190" s="6">
        <f t="shared" si="300"/>
        <v>0</v>
      </c>
      <c r="J6190" s="6">
        <f t="shared" si="301"/>
        <v>0</v>
      </c>
      <c r="L6190" s="4" t="str">
        <f>IFERROR(VLOOKUP(ROWS($L$2:L6190),$B$2:$C$1996,2,0),"")</f>
        <v/>
      </c>
      <c r="N6190" s="2" t="str">
        <f>IFERROR(VLOOKUP(ROWS($N$2:N6190),$D$2:$E$1996,2,0),"")</f>
        <v/>
      </c>
    </row>
    <row r="6191" spans="2:14">
      <c r="B6191" s="32">
        <f>IF(ISNUMBER(SEARCH('Φόρμα Εισαγωγής'!$B$2,C6191)),MAX($B$1:B6190)+1,0)</f>
        <v>0</v>
      </c>
      <c r="D6191" s="33">
        <f>IF(ISNUMBER(SEARCH('Φόρμα Εισαγωγής'!$C$2,E6191)),MAX($D$1:D6190)+1,0)</f>
        <v>0</v>
      </c>
      <c r="H6191" s="6">
        <f t="shared" si="299"/>
        <v>0</v>
      </c>
      <c r="I6191" s="6">
        <f t="shared" si="300"/>
        <v>0</v>
      </c>
      <c r="J6191" s="6">
        <f t="shared" si="301"/>
        <v>0</v>
      </c>
      <c r="L6191" s="4" t="str">
        <f>IFERROR(VLOOKUP(ROWS($L$2:L6191),$B$2:$C$1996,2,0),"")</f>
        <v/>
      </c>
      <c r="N6191" s="2" t="str">
        <f>IFERROR(VLOOKUP(ROWS($N$2:N6191),$D$2:$E$1996,2,0),"")</f>
        <v/>
      </c>
    </row>
    <row r="6192" spans="2:14">
      <c r="B6192" s="32">
        <f>IF(ISNUMBER(SEARCH('Φόρμα Εισαγωγής'!$B$2,C6192)),MAX($B$1:B6191)+1,0)</f>
        <v>0</v>
      </c>
      <c r="D6192" s="33">
        <f>IF(ISNUMBER(SEARCH('Φόρμα Εισαγωγής'!$C$2,E6192)),MAX($D$1:D6191)+1,0)</f>
        <v>0</v>
      </c>
      <c r="H6192" s="6">
        <f t="shared" si="299"/>
        <v>0</v>
      </c>
      <c r="I6192" s="6">
        <f t="shared" si="300"/>
        <v>0</v>
      </c>
      <c r="J6192" s="6">
        <f t="shared" si="301"/>
        <v>0</v>
      </c>
      <c r="L6192" s="4" t="str">
        <f>IFERROR(VLOOKUP(ROWS($L$2:L6192),$B$2:$C$1996,2,0),"")</f>
        <v/>
      </c>
      <c r="N6192" s="2" t="str">
        <f>IFERROR(VLOOKUP(ROWS($N$2:N6192),$D$2:$E$1996,2,0),"")</f>
        <v/>
      </c>
    </row>
    <row r="6193" spans="2:14">
      <c r="B6193" s="32">
        <f>IF(ISNUMBER(SEARCH('Φόρμα Εισαγωγής'!$B$2,C6193)),MAX($B$1:B6192)+1,0)</f>
        <v>0</v>
      </c>
      <c r="D6193" s="33">
        <f>IF(ISNUMBER(SEARCH('Φόρμα Εισαγωγής'!$C$2,E6193)),MAX($D$1:D6192)+1,0)</f>
        <v>0</v>
      </c>
      <c r="H6193" s="6">
        <f t="shared" si="299"/>
        <v>0</v>
      </c>
      <c r="I6193" s="6">
        <f t="shared" si="300"/>
        <v>0</v>
      </c>
      <c r="J6193" s="6">
        <f t="shared" si="301"/>
        <v>0</v>
      </c>
      <c r="L6193" s="4" t="str">
        <f>IFERROR(VLOOKUP(ROWS($L$2:L6193),$B$2:$C$1996,2,0),"")</f>
        <v/>
      </c>
      <c r="N6193" s="2" t="str">
        <f>IFERROR(VLOOKUP(ROWS($N$2:N6193),$D$2:$E$1996,2,0),"")</f>
        <v/>
      </c>
    </row>
    <row r="6194" spans="2:14">
      <c r="B6194" s="32">
        <f>IF(ISNUMBER(SEARCH('Φόρμα Εισαγωγής'!$B$2,C6194)),MAX($B$1:B6193)+1,0)</f>
        <v>0</v>
      </c>
      <c r="D6194" s="33">
        <f>IF(ISNUMBER(SEARCH('Φόρμα Εισαγωγής'!$C$2,E6194)),MAX($D$1:D6193)+1,0)</f>
        <v>0</v>
      </c>
      <c r="H6194" s="6">
        <f t="shared" si="299"/>
        <v>0</v>
      </c>
      <c r="I6194" s="6">
        <f t="shared" si="300"/>
        <v>0</v>
      </c>
      <c r="J6194" s="6">
        <f t="shared" si="301"/>
        <v>0</v>
      </c>
      <c r="L6194" s="4" t="str">
        <f>IFERROR(VLOOKUP(ROWS($L$2:L6194),$B$2:$C$1996,2,0),"")</f>
        <v/>
      </c>
      <c r="N6194" s="2" t="str">
        <f>IFERROR(VLOOKUP(ROWS($N$2:N6194),$D$2:$E$1996,2,0),"")</f>
        <v/>
      </c>
    </row>
    <row r="6195" spans="2:14">
      <c r="B6195" s="32">
        <f>IF(ISNUMBER(SEARCH('Φόρμα Εισαγωγής'!$B$2,C6195)),MAX($B$1:B6194)+1,0)</f>
        <v>0</v>
      </c>
      <c r="D6195" s="33">
        <f>IF(ISNUMBER(SEARCH('Φόρμα Εισαγωγής'!$C$2,E6195)),MAX($D$1:D6194)+1,0)</f>
        <v>0</v>
      </c>
      <c r="H6195" s="6">
        <f t="shared" si="299"/>
        <v>0</v>
      </c>
      <c r="I6195" s="6">
        <f t="shared" si="300"/>
        <v>0</v>
      </c>
      <c r="J6195" s="6">
        <f t="shared" si="301"/>
        <v>0</v>
      </c>
      <c r="L6195" s="4" t="str">
        <f>IFERROR(VLOOKUP(ROWS($L$2:L6195),$B$2:$C$1996,2,0),"")</f>
        <v/>
      </c>
      <c r="N6195" s="2" t="str">
        <f>IFERROR(VLOOKUP(ROWS($N$2:N6195),$D$2:$E$1996,2,0),"")</f>
        <v/>
      </c>
    </row>
    <row r="6196" spans="2:14">
      <c r="B6196" s="32">
        <f>IF(ISNUMBER(SEARCH('Φόρμα Εισαγωγής'!$B$2,C6196)),MAX($B$1:B6195)+1,0)</f>
        <v>0</v>
      </c>
      <c r="D6196" s="33">
        <f>IF(ISNUMBER(SEARCH('Φόρμα Εισαγωγής'!$C$2,E6196)),MAX($D$1:D6195)+1,0)</f>
        <v>0</v>
      </c>
      <c r="H6196" s="6">
        <f t="shared" si="299"/>
        <v>0</v>
      </c>
      <c r="I6196" s="6">
        <f t="shared" si="300"/>
        <v>0</v>
      </c>
      <c r="J6196" s="6">
        <f t="shared" si="301"/>
        <v>0</v>
      </c>
      <c r="L6196" s="4" t="str">
        <f>IFERROR(VLOOKUP(ROWS($L$2:L6196),$B$2:$C$1996,2,0),"")</f>
        <v/>
      </c>
      <c r="N6196" s="2" t="str">
        <f>IFERROR(VLOOKUP(ROWS($N$2:N6196),$D$2:$E$1996,2,0),"")</f>
        <v/>
      </c>
    </row>
    <row r="6197" spans="2:14">
      <c r="B6197" s="32">
        <f>IF(ISNUMBER(SEARCH('Φόρμα Εισαγωγής'!$B$2,C6197)),MAX($B$1:B6196)+1,0)</f>
        <v>0</v>
      </c>
      <c r="D6197" s="33">
        <f>IF(ISNUMBER(SEARCH('Φόρμα Εισαγωγής'!$C$2,E6197)),MAX($D$1:D6196)+1,0)</f>
        <v>0</v>
      </c>
      <c r="H6197" s="6">
        <f t="shared" si="299"/>
        <v>0</v>
      </c>
      <c r="I6197" s="6">
        <f t="shared" si="300"/>
        <v>0</v>
      </c>
      <c r="J6197" s="6">
        <f t="shared" si="301"/>
        <v>0</v>
      </c>
      <c r="L6197" s="4" t="str">
        <f>IFERROR(VLOOKUP(ROWS($L$2:L6197),$B$2:$C$1996,2,0),"")</f>
        <v/>
      </c>
      <c r="N6197" s="2" t="str">
        <f>IFERROR(VLOOKUP(ROWS($N$2:N6197),$D$2:$E$1996,2,0),"")</f>
        <v/>
      </c>
    </row>
    <row r="6198" spans="2:14">
      <c r="B6198" s="32">
        <f>IF(ISNUMBER(SEARCH('Φόρμα Εισαγωγής'!$B$2,C6198)),MAX($B$1:B6197)+1,0)</f>
        <v>0</v>
      </c>
      <c r="D6198" s="33">
        <f>IF(ISNUMBER(SEARCH('Φόρμα Εισαγωγής'!$C$2,E6198)),MAX($D$1:D6197)+1,0)</f>
        <v>0</v>
      </c>
      <c r="H6198" s="6">
        <f t="shared" si="299"/>
        <v>0</v>
      </c>
      <c r="I6198" s="6">
        <f t="shared" si="300"/>
        <v>0</v>
      </c>
      <c r="J6198" s="6">
        <f t="shared" si="301"/>
        <v>0</v>
      </c>
      <c r="L6198" s="4" t="str">
        <f>IFERROR(VLOOKUP(ROWS($L$2:L6198),$B$2:$C$1996,2,0),"")</f>
        <v/>
      </c>
      <c r="N6198" s="2" t="str">
        <f>IFERROR(VLOOKUP(ROWS($N$2:N6198),$D$2:$E$1996,2,0),"")</f>
        <v/>
      </c>
    </row>
    <row r="6199" spans="2:14">
      <c r="B6199" s="32">
        <f>IF(ISNUMBER(SEARCH('Φόρμα Εισαγωγής'!$B$2,C6199)),MAX($B$1:B6198)+1,0)</f>
        <v>0</v>
      </c>
      <c r="D6199" s="33">
        <f>IF(ISNUMBER(SEARCH('Φόρμα Εισαγωγής'!$C$2,E6199)),MAX($D$1:D6198)+1,0)</f>
        <v>0</v>
      </c>
      <c r="H6199" s="6">
        <f t="shared" si="299"/>
        <v>0</v>
      </c>
      <c r="I6199" s="6">
        <f t="shared" si="300"/>
        <v>0</v>
      </c>
      <c r="J6199" s="6">
        <f t="shared" si="301"/>
        <v>0</v>
      </c>
      <c r="L6199" s="4" t="str">
        <f>IFERROR(VLOOKUP(ROWS($L$2:L6199),$B$2:$C$1996,2,0),"")</f>
        <v/>
      </c>
      <c r="N6199" s="2" t="str">
        <f>IFERROR(VLOOKUP(ROWS($N$2:N6199),$D$2:$E$1996,2,0),"")</f>
        <v/>
      </c>
    </row>
    <row r="6200" spans="2:14">
      <c r="B6200" s="32">
        <f>IF(ISNUMBER(SEARCH('Φόρμα Εισαγωγής'!$B$2,C6200)),MAX($B$1:B6199)+1,0)</f>
        <v>0</v>
      </c>
      <c r="D6200" s="33">
        <f>IF(ISNUMBER(SEARCH('Φόρμα Εισαγωγής'!$C$2,E6200)),MAX($D$1:D6199)+1,0)</f>
        <v>0</v>
      </c>
      <c r="H6200" s="6">
        <f t="shared" si="299"/>
        <v>0</v>
      </c>
      <c r="I6200" s="6">
        <f t="shared" si="300"/>
        <v>0</v>
      </c>
      <c r="J6200" s="6">
        <f t="shared" si="301"/>
        <v>0</v>
      </c>
      <c r="L6200" s="4" t="str">
        <f>IFERROR(VLOOKUP(ROWS($L$2:L6200),$B$2:$C$1996,2,0),"")</f>
        <v/>
      </c>
      <c r="N6200" s="2" t="str">
        <f>IFERROR(VLOOKUP(ROWS($N$2:N6200),$D$2:$E$1996,2,0),"")</f>
        <v/>
      </c>
    </row>
    <row r="6201" spans="2:14">
      <c r="B6201" s="32">
        <f>IF(ISNUMBER(SEARCH('Φόρμα Εισαγωγής'!$B$2,C6201)),MAX($B$1:B6200)+1,0)</f>
        <v>0</v>
      </c>
      <c r="D6201" s="33">
        <f>IF(ISNUMBER(SEARCH('Φόρμα Εισαγωγής'!$C$2,E6201)),MAX($D$1:D6200)+1,0)</f>
        <v>0</v>
      </c>
      <c r="H6201" s="6">
        <f t="shared" si="299"/>
        <v>0</v>
      </c>
      <c r="I6201" s="6">
        <f t="shared" si="300"/>
        <v>0</v>
      </c>
      <c r="J6201" s="6">
        <f t="shared" si="301"/>
        <v>0</v>
      </c>
      <c r="L6201" s="4" t="str">
        <f>IFERROR(VLOOKUP(ROWS($L$2:L6201),$B$2:$C$1996,2,0),"")</f>
        <v/>
      </c>
      <c r="N6201" s="2" t="str">
        <f>IFERROR(VLOOKUP(ROWS($N$2:N6201),$D$2:$E$1996,2,0),"")</f>
        <v/>
      </c>
    </row>
    <row r="6202" spans="2:14">
      <c r="B6202" s="32">
        <f>IF(ISNUMBER(SEARCH('Φόρμα Εισαγωγής'!$B$2,C6202)),MAX($B$1:B6201)+1,0)</f>
        <v>0</v>
      </c>
      <c r="D6202" s="33">
        <f>IF(ISNUMBER(SEARCH('Φόρμα Εισαγωγής'!$C$2,E6202)),MAX($D$1:D6201)+1,0)</f>
        <v>0</v>
      </c>
      <c r="H6202" s="6">
        <f t="shared" si="299"/>
        <v>0</v>
      </c>
      <c r="I6202" s="6">
        <f t="shared" si="300"/>
        <v>0</v>
      </c>
      <c r="J6202" s="6">
        <f t="shared" si="301"/>
        <v>0</v>
      </c>
      <c r="L6202" s="4" t="str">
        <f>IFERROR(VLOOKUP(ROWS($L$2:L6202),$B$2:$C$1996,2,0),"")</f>
        <v/>
      </c>
      <c r="N6202" s="2" t="str">
        <f>IFERROR(VLOOKUP(ROWS($N$2:N6202),$D$2:$E$1996,2,0),"")</f>
        <v/>
      </c>
    </row>
    <row r="6203" spans="2:14">
      <c r="B6203" s="32">
        <f>IF(ISNUMBER(SEARCH('Φόρμα Εισαγωγής'!$B$2,C6203)),MAX($B$1:B6202)+1,0)</f>
        <v>0</v>
      </c>
      <c r="D6203" s="33">
        <f>IF(ISNUMBER(SEARCH('Φόρμα Εισαγωγής'!$C$2,E6203)),MAX($D$1:D6202)+1,0)</f>
        <v>0</v>
      </c>
      <c r="H6203" s="6">
        <f t="shared" si="299"/>
        <v>0</v>
      </c>
      <c r="I6203" s="6">
        <f t="shared" si="300"/>
        <v>0</v>
      </c>
      <c r="J6203" s="6">
        <f t="shared" si="301"/>
        <v>0</v>
      </c>
      <c r="L6203" s="4" t="str">
        <f>IFERROR(VLOOKUP(ROWS($L$2:L6203),$B$2:$C$1996,2,0),"")</f>
        <v/>
      </c>
      <c r="N6203" s="2" t="str">
        <f>IFERROR(VLOOKUP(ROWS($N$2:N6203),$D$2:$E$1996,2,0),"")</f>
        <v/>
      </c>
    </row>
    <row r="6204" spans="2:14">
      <c r="B6204" s="32">
        <f>IF(ISNUMBER(SEARCH('Φόρμα Εισαγωγής'!$B$2,C6204)),MAX($B$1:B6203)+1,0)</f>
        <v>0</v>
      </c>
      <c r="D6204" s="33">
        <f>IF(ISNUMBER(SEARCH('Φόρμα Εισαγωγής'!$C$2,E6204)),MAX($D$1:D6203)+1,0)</f>
        <v>0</v>
      </c>
      <c r="H6204" s="6">
        <f t="shared" si="299"/>
        <v>0</v>
      </c>
      <c r="I6204" s="6">
        <f t="shared" si="300"/>
        <v>0</v>
      </c>
      <c r="J6204" s="6">
        <f t="shared" si="301"/>
        <v>0</v>
      </c>
      <c r="L6204" s="4" t="str">
        <f>IFERROR(VLOOKUP(ROWS($L$2:L6204),$B$2:$C$1996,2,0),"")</f>
        <v/>
      </c>
      <c r="N6204" s="2" t="str">
        <f>IFERROR(VLOOKUP(ROWS($N$2:N6204),$D$2:$E$1996,2,0),"")</f>
        <v/>
      </c>
    </row>
    <row r="6205" spans="2:14">
      <c r="B6205" s="32">
        <f>IF(ISNUMBER(SEARCH('Φόρμα Εισαγωγής'!$B$2,C6205)),MAX($B$1:B6204)+1,0)</f>
        <v>0</v>
      </c>
      <c r="D6205" s="33">
        <f>IF(ISNUMBER(SEARCH('Φόρμα Εισαγωγής'!$C$2,E6205)),MAX($D$1:D6204)+1,0)</f>
        <v>0</v>
      </c>
      <c r="H6205" s="6">
        <f t="shared" si="299"/>
        <v>0</v>
      </c>
      <c r="I6205" s="6">
        <f t="shared" si="300"/>
        <v>0</v>
      </c>
      <c r="J6205" s="6">
        <f t="shared" si="301"/>
        <v>0</v>
      </c>
      <c r="L6205" s="4" t="str">
        <f>IFERROR(VLOOKUP(ROWS($L$2:L6205),$B$2:$C$1996,2,0),"")</f>
        <v/>
      </c>
      <c r="N6205" s="2" t="str">
        <f>IFERROR(VLOOKUP(ROWS($N$2:N6205),$D$2:$E$1996,2,0),"")</f>
        <v/>
      </c>
    </row>
    <row r="6206" spans="2:14">
      <c r="B6206" s="32">
        <f>IF(ISNUMBER(SEARCH('Φόρμα Εισαγωγής'!$B$2,C6206)),MAX($B$1:B6205)+1,0)</f>
        <v>0</v>
      </c>
      <c r="D6206" s="33">
        <f>IF(ISNUMBER(SEARCH('Φόρμα Εισαγωγής'!$C$2,E6206)),MAX($D$1:D6205)+1,0)</f>
        <v>0</v>
      </c>
      <c r="H6206" s="6">
        <f t="shared" si="299"/>
        <v>0</v>
      </c>
      <c r="I6206" s="6">
        <f t="shared" si="300"/>
        <v>0</v>
      </c>
      <c r="J6206" s="6">
        <f t="shared" si="301"/>
        <v>0</v>
      </c>
      <c r="L6206" s="4" t="str">
        <f>IFERROR(VLOOKUP(ROWS($L$2:L6206),$B$2:$C$1996,2,0),"")</f>
        <v/>
      </c>
      <c r="N6206" s="2" t="str">
        <f>IFERROR(VLOOKUP(ROWS($N$2:N6206),$D$2:$E$1996,2,0),"")</f>
        <v/>
      </c>
    </row>
    <row r="6207" spans="2:14">
      <c r="B6207" s="32">
        <f>IF(ISNUMBER(SEARCH('Φόρμα Εισαγωγής'!$B$2,C6207)),MAX($B$1:B6206)+1,0)</f>
        <v>0</v>
      </c>
      <c r="D6207" s="33">
        <f>IF(ISNUMBER(SEARCH('Φόρμα Εισαγωγής'!$C$2,E6207)),MAX($D$1:D6206)+1,0)</f>
        <v>0</v>
      </c>
      <c r="H6207" s="6">
        <f t="shared" si="299"/>
        <v>0</v>
      </c>
      <c r="I6207" s="6">
        <f t="shared" si="300"/>
        <v>0</v>
      </c>
      <c r="J6207" s="6">
        <f t="shared" si="301"/>
        <v>0</v>
      </c>
      <c r="L6207" s="4" t="str">
        <f>IFERROR(VLOOKUP(ROWS($L$2:L6207),$B$2:$C$1996,2,0),"")</f>
        <v/>
      </c>
      <c r="N6207" s="2" t="str">
        <f>IFERROR(VLOOKUP(ROWS($N$2:N6207),$D$2:$E$1996,2,0),"")</f>
        <v/>
      </c>
    </row>
    <row r="6208" spans="2:14">
      <c r="B6208" s="32">
        <f>IF(ISNUMBER(SEARCH('Φόρμα Εισαγωγής'!$B$2,C6208)),MAX($B$1:B6207)+1,0)</f>
        <v>0</v>
      </c>
      <c r="D6208" s="33">
        <f>IF(ISNUMBER(SEARCH('Φόρμα Εισαγωγής'!$C$2,E6208)),MAX($D$1:D6207)+1,0)</f>
        <v>0</v>
      </c>
      <c r="H6208" s="6">
        <f t="shared" ref="H6208:H6271" si="302">G6208+(G6208*0.24)</f>
        <v>0</v>
      </c>
      <c r="I6208" s="6">
        <f t="shared" ref="I6208:I6271" si="303">F6208*A6208</f>
        <v>0</v>
      </c>
      <c r="J6208" s="6">
        <f t="shared" ref="J6208:J6271" si="304">H6208*A6208</f>
        <v>0</v>
      </c>
      <c r="L6208" s="4" t="str">
        <f>IFERROR(VLOOKUP(ROWS($L$2:L6208),$B$2:$C$1996,2,0),"")</f>
        <v/>
      </c>
      <c r="N6208" s="2" t="str">
        <f>IFERROR(VLOOKUP(ROWS($N$2:N6208),$D$2:$E$1996,2,0),"")</f>
        <v/>
      </c>
    </row>
    <row r="6209" spans="2:14">
      <c r="B6209" s="32">
        <f>IF(ISNUMBER(SEARCH('Φόρμα Εισαγωγής'!$B$2,C6209)),MAX($B$1:B6208)+1,0)</f>
        <v>0</v>
      </c>
      <c r="D6209" s="33">
        <f>IF(ISNUMBER(SEARCH('Φόρμα Εισαγωγής'!$C$2,E6209)),MAX($D$1:D6208)+1,0)</f>
        <v>0</v>
      </c>
      <c r="H6209" s="6">
        <f t="shared" si="302"/>
        <v>0</v>
      </c>
      <c r="I6209" s="6">
        <f t="shared" si="303"/>
        <v>0</v>
      </c>
      <c r="J6209" s="6">
        <f t="shared" si="304"/>
        <v>0</v>
      </c>
      <c r="L6209" s="4" t="str">
        <f>IFERROR(VLOOKUP(ROWS($L$2:L6209),$B$2:$C$1996,2,0),"")</f>
        <v/>
      </c>
      <c r="N6209" s="2" t="str">
        <f>IFERROR(VLOOKUP(ROWS($N$2:N6209),$D$2:$E$1996,2,0),"")</f>
        <v/>
      </c>
    </row>
    <row r="6210" spans="2:14">
      <c r="B6210" s="32">
        <f>IF(ISNUMBER(SEARCH('Φόρμα Εισαγωγής'!$B$2,C6210)),MAX($B$1:B6209)+1,0)</f>
        <v>0</v>
      </c>
      <c r="D6210" s="33">
        <f>IF(ISNUMBER(SEARCH('Φόρμα Εισαγωγής'!$C$2,E6210)),MAX($D$1:D6209)+1,0)</f>
        <v>0</v>
      </c>
      <c r="H6210" s="6">
        <f t="shared" si="302"/>
        <v>0</v>
      </c>
      <c r="I6210" s="6">
        <f t="shared" si="303"/>
        <v>0</v>
      </c>
      <c r="J6210" s="6">
        <f t="shared" si="304"/>
        <v>0</v>
      </c>
      <c r="L6210" s="4" t="str">
        <f>IFERROR(VLOOKUP(ROWS($L$2:L6210),$B$2:$C$1996,2,0),"")</f>
        <v/>
      </c>
      <c r="N6210" s="2" t="str">
        <f>IFERROR(VLOOKUP(ROWS($N$2:N6210),$D$2:$E$1996,2,0),"")</f>
        <v/>
      </c>
    </row>
    <row r="6211" spans="2:14">
      <c r="B6211" s="32">
        <f>IF(ISNUMBER(SEARCH('Φόρμα Εισαγωγής'!$B$2,C6211)),MAX($B$1:B6210)+1,0)</f>
        <v>0</v>
      </c>
      <c r="D6211" s="33">
        <f>IF(ISNUMBER(SEARCH('Φόρμα Εισαγωγής'!$C$2,E6211)),MAX($D$1:D6210)+1,0)</f>
        <v>0</v>
      </c>
      <c r="H6211" s="6">
        <f t="shared" si="302"/>
        <v>0</v>
      </c>
      <c r="I6211" s="6">
        <f t="shared" si="303"/>
        <v>0</v>
      </c>
      <c r="J6211" s="6">
        <f t="shared" si="304"/>
        <v>0</v>
      </c>
      <c r="L6211" s="4" t="str">
        <f>IFERROR(VLOOKUP(ROWS($L$2:L6211),$B$2:$C$1996,2,0),"")</f>
        <v/>
      </c>
      <c r="N6211" s="2" t="str">
        <f>IFERROR(VLOOKUP(ROWS($N$2:N6211),$D$2:$E$1996,2,0),"")</f>
        <v/>
      </c>
    </row>
    <row r="6212" spans="2:14">
      <c r="B6212" s="32">
        <f>IF(ISNUMBER(SEARCH('Φόρμα Εισαγωγής'!$B$2,C6212)),MAX($B$1:B6211)+1,0)</f>
        <v>0</v>
      </c>
      <c r="D6212" s="33">
        <f>IF(ISNUMBER(SEARCH('Φόρμα Εισαγωγής'!$C$2,E6212)),MAX($D$1:D6211)+1,0)</f>
        <v>0</v>
      </c>
      <c r="H6212" s="6">
        <f t="shared" si="302"/>
        <v>0</v>
      </c>
      <c r="I6212" s="6">
        <f t="shared" si="303"/>
        <v>0</v>
      </c>
      <c r="J6212" s="6">
        <f t="shared" si="304"/>
        <v>0</v>
      </c>
      <c r="L6212" s="4" t="str">
        <f>IFERROR(VLOOKUP(ROWS($L$2:L6212),$B$2:$C$1996,2,0),"")</f>
        <v/>
      </c>
      <c r="N6212" s="2" t="str">
        <f>IFERROR(VLOOKUP(ROWS($N$2:N6212),$D$2:$E$1996,2,0),"")</f>
        <v/>
      </c>
    </row>
    <row r="6213" spans="2:14">
      <c r="B6213" s="32">
        <f>IF(ISNUMBER(SEARCH('Φόρμα Εισαγωγής'!$B$2,C6213)),MAX($B$1:B6212)+1,0)</f>
        <v>0</v>
      </c>
      <c r="D6213" s="33">
        <f>IF(ISNUMBER(SEARCH('Φόρμα Εισαγωγής'!$C$2,E6213)),MAX($D$1:D6212)+1,0)</f>
        <v>0</v>
      </c>
      <c r="H6213" s="6">
        <f t="shared" si="302"/>
        <v>0</v>
      </c>
      <c r="I6213" s="6">
        <f t="shared" si="303"/>
        <v>0</v>
      </c>
      <c r="J6213" s="6">
        <f t="shared" si="304"/>
        <v>0</v>
      </c>
      <c r="L6213" s="4" t="str">
        <f>IFERROR(VLOOKUP(ROWS($L$2:L6213),$B$2:$C$1996,2,0),"")</f>
        <v/>
      </c>
      <c r="N6213" s="2" t="str">
        <f>IFERROR(VLOOKUP(ROWS($N$2:N6213),$D$2:$E$1996,2,0),"")</f>
        <v/>
      </c>
    </row>
    <row r="6214" spans="2:14">
      <c r="B6214" s="32">
        <f>IF(ISNUMBER(SEARCH('Φόρμα Εισαγωγής'!$B$2,C6214)),MAX($B$1:B6213)+1,0)</f>
        <v>0</v>
      </c>
      <c r="D6214" s="33">
        <f>IF(ISNUMBER(SEARCH('Φόρμα Εισαγωγής'!$C$2,E6214)),MAX($D$1:D6213)+1,0)</f>
        <v>0</v>
      </c>
      <c r="H6214" s="6">
        <f t="shared" si="302"/>
        <v>0</v>
      </c>
      <c r="I6214" s="6">
        <f t="shared" si="303"/>
        <v>0</v>
      </c>
      <c r="J6214" s="6">
        <f t="shared" si="304"/>
        <v>0</v>
      </c>
      <c r="L6214" s="4" t="str">
        <f>IFERROR(VLOOKUP(ROWS($L$2:L6214),$B$2:$C$1996,2,0),"")</f>
        <v/>
      </c>
      <c r="N6214" s="2" t="str">
        <f>IFERROR(VLOOKUP(ROWS($N$2:N6214),$D$2:$E$1996,2,0),"")</f>
        <v/>
      </c>
    </row>
    <row r="6215" spans="2:14">
      <c r="B6215" s="32">
        <f>IF(ISNUMBER(SEARCH('Φόρμα Εισαγωγής'!$B$2,C6215)),MAX($B$1:B6214)+1,0)</f>
        <v>0</v>
      </c>
      <c r="D6215" s="33">
        <f>IF(ISNUMBER(SEARCH('Φόρμα Εισαγωγής'!$C$2,E6215)),MAX($D$1:D6214)+1,0)</f>
        <v>0</v>
      </c>
      <c r="H6215" s="6">
        <f t="shared" si="302"/>
        <v>0</v>
      </c>
      <c r="I6215" s="6">
        <f t="shared" si="303"/>
        <v>0</v>
      </c>
      <c r="J6215" s="6">
        <f t="shared" si="304"/>
        <v>0</v>
      </c>
      <c r="L6215" s="4" t="str">
        <f>IFERROR(VLOOKUP(ROWS($L$2:L6215),$B$2:$C$1996,2,0),"")</f>
        <v/>
      </c>
      <c r="N6215" s="2" t="str">
        <f>IFERROR(VLOOKUP(ROWS($N$2:N6215),$D$2:$E$1996,2,0),"")</f>
        <v/>
      </c>
    </row>
    <row r="6216" spans="2:14">
      <c r="B6216" s="32">
        <f>IF(ISNUMBER(SEARCH('Φόρμα Εισαγωγής'!$B$2,C6216)),MAX($B$1:B6215)+1,0)</f>
        <v>0</v>
      </c>
      <c r="D6216" s="33">
        <f>IF(ISNUMBER(SEARCH('Φόρμα Εισαγωγής'!$C$2,E6216)),MAX($D$1:D6215)+1,0)</f>
        <v>0</v>
      </c>
      <c r="H6216" s="6">
        <f t="shared" si="302"/>
        <v>0</v>
      </c>
      <c r="I6216" s="6">
        <f t="shared" si="303"/>
        <v>0</v>
      </c>
      <c r="J6216" s="6">
        <f t="shared" si="304"/>
        <v>0</v>
      </c>
      <c r="L6216" s="4" t="str">
        <f>IFERROR(VLOOKUP(ROWS($L$2:L6216),$B$2:$C$1996,2,0),"")</f>
        <v/>
      </c>
      <c r="N6216" s="2" t="str">
        <f>IFERROR(VLOOKUP(ROWS($N$2:N6216),$D$2:$E$1996,2,0),"")</f>
        <v/>
      </c>
    </row>
    <row r="6217" spans="2:14">
      <c r="B6217" s="32">
        <f>IF(ISNUMBER(SEARCH('Φόρμα Εισαγωγής'!$B$2,C6217)),MAX($B$1:B6216)+1,0)</f>
        <v>0</v>
      </c>
      <c r="D6217" s="33">
        <f>IF(ISNUMBER(SEARCH('Φόρμα Εισαγωγής'!$C$2,E6217)),MAX($D$1:D6216)+1,0)</f>
        <v>0</v>
      </c>
      <c r="H6217" s="6">
        <f t="shared" si="302"/>
        <v>0</v>
      </c>
      <c r="I6217" s="6">
        <f t="shared" si="303"/>
        <v>0</v>
      </c>
      <c r="J6217" s="6">
        <f t="shared" si="304"/>
        <v>0</v>
      </c>
      <c r="L6217" s="4" t="str">
        <f>IFERROR(VLOOKUP(ROWS($L$2:L6217),$B$2:$C$1996,2,0),"")</f>
        <v/>
      </c>
      <c r="N6217" s="2" t="str">
        <f>IFERROR(VLOOKUP(ROWS($N$2:N6217),$D$2:$E$1996,2,0),"")</f>
        <v/>
      </c>
    </row>
    <row r="6218" spans="2:14">
      <c r="B6218" s="32">
        <f>IF(ISNUMBER(SEARCH('Φόρμα Εισαγωγής'!$B$2,C6218)),MAX($B$1:B6217)+1,0)</f>
        <v>0</v>
      </c>
      <c r="D6218" s="33">
        <f>IF(ISNUMBER(SEARCH('Φόρμα Εισαγωγής'!$C$2,E6218)),MAX($D$1:D6217)+1,0)</f>
        <v>0</v>
      </c>
      <c r="H6218" s="6">
        <f t="shared" si="302"/>
        <v>0</v>
      </c>
      <c r="I6218" s="6">
        <f t="shared" si="303"/>
        <v>0</v>
      </c>
      <c r="J6218" s="6">
        <f t="shared" si="304"/>
        <v>0</v>
      </c>
      <c r="L6218" s="4" t="str">
        <f>IFERROR(VLOOKUP(ROWS($L$2:L6218),$B$2:$C$1996,2,0),"")</f>
        <v/>
      </c>
      <c r="N6218" s="2" t="str">
        <f>IFERROR(VLOOKUP(ROWS($N$2:N6218),$D$2:$E$1996,2,0),"")</f>
        <v/>
      </c>
    </row>
    <row r="6219" spans="2:14">
      <c r="B6219" s="32">
        <f>IF(ISNUMBER(SEARCH('Φόρμα Εισαγωγής'!$B$2,C6219)),MAX($B$1:B6218)+1,0)</f>
        <v>0</v>
      </c>
      <c r="D6219" s="33">
        <f>IF(ISNUMBER(SEARCH('Φόρμα Εισαγωγής'!$C$2,E6219)),MAX($D$1:D6218)+1,0)</f>
        <v>0</v>
      </c>
      <c r="H6219" s="6">
        <f t="shared" si="302"/>
        <v>0</v>
      </c>
      <c r="I6219" s="6">
        <f t="shared" si="303"/>
        <v>0</v>
      </c>
      <c r="J6219" s="6">
        <f t="shared" si="304"/>
        <v>0</v>
      </c>
      <c r="L6219" s="4" t="str">
        <f>IFERROR(VLOOKUP(ROWS($L$2:L6219),$B$2:$C$1996,2,0),"")</f>
        <v/>
      </c>
      <c r="N6219" s="2" t="str">
        <f>IFERROR(VLOOKUP(ROWS($N$2:N6219),$D$2:$E$1996,2,0),"")</f>
        <v/>
      </c>
    </row>
    <row r="6220" spans="2:14">
      <c r="B6220" s="32">
        <f>IF(ISNUMBER(SEARCH('Φόρμα Εισαγωγής'!$B$2,C6220)),MAX($B$1:B6219)+1,0)</f>
        <v>0</v>
      </c>
      <c r="D6220" s="33">
        <f>IF(ISNUMBER(SEARCH('Φόρμα Εισαγωγής'!$C$2,E6220)),MAX($D$1:D6219)+1,0)</f>
        <v>0</v>
      </c>
      <c r="H6220" s="6">
        <f t="shared" si="302"/>
        <v>0</v>
      </c>
      <c r="I6220" s="6">
        <f t="shared" si="303"/>
        <v>0</v>
      </c>
      <c r="J6220" s="6">
        <f t="shared" si="304"/>
        <v>0</v>
      </c>
      <c r="L6220" s="4" t="str">
        <f>IFERROR(VLOOKUP(ROWS($L$2:L6220),$B$2:$C$1996,2,0),"")</f>
        <v/>
      </c>
      <c r="N6220" s="2" t="str">
        <f>IFERROR(VLOOKUP(ROWS($N$2:N6220),$D$2:$E$1996,2,0),"")</f>
        <v/>
      </c>
    </row>
    <row r="6221" spans="2:14">
      <c r="B6221" s="32">
        <f>IF(ISNUMBER(SEARCH('Φόρμα Εισαγωγής'!$B$2,C6221)),MAX($B$1:B6220)+1,0)</f>
        <v>0</v>
      </c>
      <c r="D6221" s="33">
        <f>IF(ISNUMBER(SEARCH('Φόρμα Εισαγωγής'!$C$2,E6221)),MAX($D$1:D6220)+1,0)</f>
        <v>0</v>
      </c>
      <c r="H6221" s="6">
        <f t="shared" si="302"/>
        <v>0</v>
      </c>
      <c r="I6221" s="6">
        <f t="shared" si="303"/>
        <v>0</v>
      </c>
      <c r="J6221" s="6">
        <f t="shared" si="304"/>
        <v>0</v>
      </c>
      <c r="L6221" s="4" t="str">
        <f>IFERROR(VLOOKUP(ROWS($L$2:L6221),$B$2:$C$1996,2,0),"")</f>
        <v/>
      </c>
      <c r="N6221" s="2" t="str">
        <f>IFERROR(VLOOKUP(ROWS($N$2:N6221),$D$2:$E$1996,2,0),"")</f>
        <v/>
      </c>
    </row>
    <row r="6222" spans="2:14">
      <c r="B6222" s="32">
        <f>IF(ISNUMBER(SEARCH('Φόρμα Εισαγωγής'!$B$2,C6222)),MAX($B$1:B6221)+1,0)</f>
        <v>0</v>
      </c>
      <c r="D6222" s="33">
        <f>IF(ISNUMBER(SEARCH('Φόρμα Εισαγωγής'!$C$2,E6222)),MAX($D$1:D6221)+1,0)</f>
        <v>0</v>
      </c>
      <c r="H6222" s="6">
        <f t="shared" si="302"/>
        <v>0</v>
      </c>
      <c r="I6222" s="6">
        <f t="shared" si="303"/>
        <v>0</v>
      </c>
      <c r="J6222" s="6">
        <f t="shared" si="304"/>
        <v>0</v>
      </c>
      <c r="L6222" s="4" t="str">
        <f>IFERROR(VLOOKUP(ROWS($L$2:L6222),$B$2:$C$1996,2,0),"")</f>
        <v/>
      </c>
      <c r="N6222" s="2" t="str">
        <f>IFERROR(VLOOKUP(ROWS($N$2:N6222),$D$2:$E$1996,2,0),"")</f>
        <v/>
      </c>
    </row>
    <row r="6223" spans="2:14">
      <c r="B6223" s="32">
        <f>IF(ISNUMBER(SEARCH('Φόρμα Εισαγωγής'!$B$2,C6223)),MAX($B$1:B6222)+1,0)</f>
        <v>0</v>
      </c>
      <c r="D6223" s="33">
        <f>IF(ISNUMBER(SEARCH('Φόρμα Εισαγωγής'!$C$2,E6223)),MAX($D$1:D6222)+1,0)</f>
        <v>0</v>
      </c>
      <c r="H6223" s="6">
        <f t="shared" si="302"/>
        <v>0</v>
      </c>
      <c r="I6223" s="6">
        <f t="shared" si="303"/>
        <v>0</v>
      </c>
      <c r="J6223" s="6">
        <f t="shared" si="304"/>
        <v>0</v>
      </c>
      <c r="L6223" s="4" t="str">
        <f>IFERROR(VLOOKUP(ROWS($L$2:L6223),$B$2:$C$1996,2,0),"")</f>
        <v/>
      </c>
      <c r="N6223" s="2" t="str">
        <f>IFERROR(VLOOKUP(ROWS($N$2:N6223),$D$2:$E$1996,2,0),"")</f>
        <v/>
      </c>
    </row>
    <row r="6224" spans="2:14">
      <c r="B6224" s="32">
        <f>IF(ISNUMBER(SEARCH('Φόρμα Εισαγωγής'!$B$2,C6224)),MAX($B$1:B6223)+1,0)</f>
        <v>0</v>
      </c>
      <c r="D6224" s="33">
        <f>IF(ISNUMBER(SEARCH('Φόρμα Εισαγωγής'!$C$2,E6224)),MAX($D$1:D6223)+1,0)</f>
        <v>0</v>
      </c>
      <c r="H6224" s="6">
        <f t="shared" si="302"/>
        <v>0</v>
      </c>
      <c r="I6224" s="6">
        <f t="shared" si="303"/>
        <v>0</v>
      </c>
      <c r="J6224" s="6">
        <f t="shared" si="304"/>
        <v>0</v>
      </c>
      <c r="L6224" s="4" t="str">
        <f>IFERROR(VLOOKUP(ROWS($L$2:L6224),$B$2:$C$1996,2,0),"")</f>
        <v/>
      </c>
      <c r="N6224" s="2" t="str">
        <f>IFERROR(VLOOKUP(ROWS($N$2:N6224),$D$2:$E$1996,2,0),"")</f>
        <v/>
      </c>
    </row>
    <row r="6225" spans="2:14">
      <c r="B6225" s="32">
        <f>IF(ISNUMBER(SEARCH('Φόρμα Εισαγωγής'!$B$2,C6225)),MAX($B$1:B6224)+1,0)</f>
        <v>0</v>
      </c>
      <c r="D6225" s="33">
        <f>IF(ISNUMBER(SEARCH('Φόρμα Εισαγωγής'!$C$2,E6225)),MAX($D$1:D6224)+1,0)</f>
        <v>0</v>
      </c>
      <c r="H6225" s="6">
        <f t="shared" si="302"/>
        <v>0</v>
      </c>
      <c r="I6225" s="6">
        <f t="shared" si="303"/>
        <v>0</v>
      </c>
      <c r="J6225" s="6">
        <f t="shared" si="304"/>
        <v>0</v>
      </c>
      <c r="L6225" s="4" t="str">
        <f>IFERROR(VLOOKUP(ROWS($L$2:L6225),$B$2:$C$1996,2,0),"")</f>
        <v/>
      </c>
      <c r="N6225" s="2" t="str">
        <f>IFERROR(VLOOKUP(ROWS($N$2:N6225),$D$2:$E$1996,2,0),"")</f>
        <v/>
      </c>
    </row>
    <row r="6226" spans="2:14">
      <c r="B6226" s="32">
        <f>IF(ISNUMBER(SEARCH('Φόρμα Εισαγωγής'!$B$2,C6226)),MAX($B$1:B6225)+1,0)</f>
        <v>0</v>
      </c>
      <c r="D6226" s="33">
        <f>IF(ISNUMBER(SEARCH('Φόρμα Εισαγωγής'!$C$2,E6226)),MAX($D$1:D6225)+1,0)</f>
        <v>0</v>
      </c>
      <c r="H6226" s="6">
        <f t="shared" si="302"/>
        <v>0</v>
      </c>
      <c r="I6226" s="6">
        <f t="shared" si="303"/>
        <v>0</v>
      </c>
      <c r="J6226" s="6">
        <f t="shared" si="304"/>
        <v>0</v>
      </c>
      <c r="L6226" s="4" t="str">
        <f>IFERROR(VLOOKUP(ROWS($L$2:L6226),$B$2:$C$1996,2,0),"")</f>
        <v/>
      </c>
      <c r="N6226" s="2" t="str">
        <f>IFERROR(VLOOKUP(ROWS($N$2:N6226),$D$2:$E$1996,2,0),"")</f>
        <v/>
      </c>
    </row>
    <row r="6227" spans="2:14">
      <c r="B6227" s="32">
        <f>IF(ISNUMBER(SEARCH('Φόρμα Εισαγωγής'!$B$2,C6227)),MAX($B$1:B6226)+1,0)</f>
        <v>0</v>
      </c>
      <c r="D6227" s="33">
        <f>IF(ISNUMBER(SEARCH('Φόρμα Εισαγωγής'!$C$2,E6227)),MAX($D$1:D6226)+1,0)</f>
        <v>0</v>
      </c>
      <c r="H6227" s="6">
        <f t="shared" si="302"/>
        <v>0</v>
      </c>
      <c r="I6227" s="6">
        <f t="shared" si="303"/>
        <v>0</v>
      </c>
      <c r="J6227" s="6">
        <f t="shared" si="304"/>
        <v>0</v>
      </c>
      <c r="L6227" s="4" t="str">
        <f>IFERROR(VLOOKUP(ROWS($L$2:L6227),$B$2:$C$1996,2,0),"")</f>
        <v/>
      </c>
      <c r="N6227" s="2" t="str">
        <f>IFERROR(VLOOKUP(ROWS($N$2:N6227),$D$2:$E$1996,2,0),"")</f>
        <v/>
      </c>
    </row>
    <row r="6228" spans="2:14">
      <c r="B6228" s="32">
        <f>IF(ISNUMBER(SEARCH('Φόρμα Εισαγωγής'!$B$2,C6228)),MAX($B$1:B6227)+1,0)</f>
        <v>0</v>
      </c>
      <c r="D6228" s="33">
        <f>IF(ISNUMBER(SEARCH('Φόρμα Εισαγωγής'!$C$2,E6228)),MAX($D$1:D6227)+1,0)</f>
        <v>0</v>
      </c>
      <c r="H6228" s="6">
        <f t="shared" si="302"/>
        <v>0</v>
      </c>
      <c r="I6228" s="6">
        <f t="shared" si="303"/>
        <v>0</v>
      </c>
      <c r="J6228" s="6">
        <f t="shared" si="304"/>
        <v>0</v>
      </c>
      <c r="L6228" s="4" t="str">
        <f>IFERROR(VLOOKUP(ROWS($L$2:L6228),$B$2:$C$1996,2,0),"")</f>
        <v/>
      </c>
      <c r="N6228" s="2" t="str">
        <f>IFERROR(VLOOKUP(ROWS($N$2:N6228),$D$2:$E$1996,2,0),"")</f>
        <v/>
      </c>
    </row>
    <row r="6229" spans="2:14">
      <c r="B6229" s="32">
        <f>IF(ISNUMBER(SEARCH('Φόρμα Εισαγωγής'!$B$2,C6229)),MAX($B$1:B6228)+1,0)</f>
        <v>0</v>
      </c>
      <c r="D6229" s="33">
        <f>IF(ISNUMBER(SEARCH('Φόρμα Εισαγωγής'!$C$2,E6229)),MAX($D$1:D6228)+1,0)</f>
        <v>0</v>
      </c>
      <c r="H6229" s="6">
        <f t="shared" si="302"/>
        <v>0</v>
      </c>
      <c r="I6229" s="6">
        <f t="shared" si="303"/>
        <v>0</v>
      </c>
      <c r="J6229" s="6">
        <f t="shared" si="304"/>
        <v>0</v>
      </c>
      <c r="L6229" s="4" t="str">
        <f>IFERROR(VLOOKUP(ROWS($L$2:L6229),$B$2:$C$1996,2,0),"")</f>
        <v/>
      </c>
      <c r="N6229" s="2" t="str">
        <f>IFERROR(VLOOKUP(ROWS($N$2:N6229),$D$2:$E$1996,2,0),"")</f>
        <v/>
      </c>
    </row>
    <row r="6230" spans="2:14">
      <c r="B6230" s="32">
        <f>IF(ISNUMBER(SEARCH('Φόρμα Εισαγωγής'!$B$2,C6230)),MAX($B$1:B6229)+1,0)</f>
        <v>0</v>
      </c>
      <c r="D6230" s="33">
        <f>IF(ISNUMBER(SEARCH('Φόρμα Εισαγωγής'!$C$2,E6230)),MAX($D$1:D6229)+1,0)</f>
        <v>0</v>
      </c>
      <c r="H6230" s="6">
        <f t="shared" si="302"/>
        <v>0</v>
      </c>
      <c r="I6230" s="6">
        <f t="shared" si="303"/>
        <v>0</v>
      </c>
      <c r="J6230" s="6">
        <f t="shared" si="304"/>
        <v>0</v>
      </c>
      <c r="L6230" s="4" t="str">
        <f>IFERROR(VLOOKUP(ROWS($L$2:L6230),$B$2:$C$1996,2,0),"")</f>
        <v/>
      </c>
      <c r="N6230" s="2" t="str">
        <f>IFERROR(VLOOKUP(ROWS($N$2:N6230),$D$2:$E$1996,2,0),"")</f>
        <v/>
      </c>
    </row>
    <row r="6231" spans="2:14">
      <c r="B6231" s="32">
        <f>IF(ISNUMBER(SEARCH('Φόρμα Εισαγωγής'!$B$2,C6231)),MAX($B$1:B6230)+1,0)</f>
        <v>0</v>
      </c>
      <c r="D6231" s="33">
        <f>IF(ISNUMBER(SEARCH('Φόρμα Εισαγωγής'!$C$2,E6231)),MAX($D$1:D6230)+1,0)</f>
        <v>0</v>
      </c>
      <c r="H6231" s="6">
        <f t="shared" si="302"/>
        <v>0</v>
      </c>
      <c r="I6231" s="6">
        <f t="shared" si="303"/>
        <v>0</v>
      </c>
      <c r="J6231" s="6">
        <f t="shared" si="304"/>
        <v>0</v>
      </c>
      <c r="L6231" s="4" t="str">
        <f>IFERROR(VLOOKUP(ROWS($L$2:L6231),$B$2:$C$1996,2,0),"")</f>
        <v/>
      </c>
      <c r="N6231" s="2" t="str">
        <f>IFERROR(VLOOKUP(ROWS($N$2:N6231),$D$2:$E$1996,2,0),"")</f>
        <v/>
      </c>
    </row>
    <row r="6232" spans="2:14">
      <c r="B6232" s="32">
        <f>IF(ISNUMBER(SEARCH('Φόρμα Εισαγωγής'!$B$2,C6232)),MAX($B$1:B6231)+1,0)</f>
        <v>0</v>
      </c>
      <c r="D6232" s="33">
        <f>IF(ISNUMBER(SEARCH('Φόρμα Εισαγωγής'!$C$2,E6232)),MAX($D$1:D6231)+1,0)</f>
        <v>0</v>
      </c>
      <c r="H6232" s="6">
        <f t="shared" si="302"/>
        <v>0</v>
      </c>
      <c r="I6232" s="6">
        <f t="shared" si="303"/>
        <v>0</v>
      </c>
      <c r="J6232" s="6">
        <f t="shared" si="304"/>
        <v>0</v>
      </c>
      <c r="L6232" s="4" t="str">
        <f>IFERROR(VLOOKUP(ROWS($L$2:L6232),$B$2:$C$1996,2,0),"")</f>
        <v/>
      </c>
      <c r="N6232" s="2" t="str">
        <f>IFERROR(VLOOKUP(ROWS($N$2:N6232),$D$2:$E$1996,2,0),"")</f>
        <v/>
      </c>
    </row>
    <row r="6233" spans="2:14">
      <c r="B6233" s="32">
        <f>IF(ISNUMBER(SEARCH('Φόρμα Εισαγωγής'!$B$2,C6233)),MAX($B$1:B6232)+1,0)</f>
        <v>0</v>
      </c>
      <c r="D6233" s="33">
        <f>IF(ISNUMBER(SEARCH('Φόρμα Εισαγωγής'!$C$2,E6233)),MAX($D$1:D6232)+1,0)</f>
        <v>0</v>
      </c>
      <c r="H6233" s="6">
        <f t="shared" si="302"/>
        <v>0</v>
      </c>
      <c r="I6233" s="6">
        <f t="shared" si="303"/>
        <v>0</v>
      </c>
      <c r="J6233" s="6">
        <f t="shared" si="304"/>
        <v>0</v>
      </c>
      <c r="L6233" s="4" t="str">
        <f>IFERROR(VLOOKUP(ROWS($L$2:L6233),$B$2:$C$1996,2,0),"")</f>
        <v/>
      </c>
      <c r="N6233" s="2" t="str">
        <f>IFERROR(VLOOKUP(ROWS($N$2:N6233),$D$2:$E$1996,2,0),"")</f>
        <v/>
      </c>
    </row>
    <row r="6234" spans="2:14">
      <c r="B6234" s="32">
        <f>IF(ISNUMBER(SEARCH('Φόρμα Εισαγωγής'!$B$2,C6234)),MAX($B$1:B6233)+1,0)</f>
        <v>0</v>
      </c>
      <c r="D6234" s="33">
        <f>IF(ISNUMBER(SEARCH('Φόρμα Εισαγωγής'!$C$2,E6234)),MAX($D$1:D6233)+1,0)</f>
        <v>0</v>
      </c>
      <c r="H6234" s="6">
        <f t="shared" si="302"/>
        <v>0</v>
      </c>
      <c r="I6234" s="6">
        <f t="shared" si="303"/>
        <v>0</v>
      </c>
      <c r="J6234" s="6">
        <f t="shared" si="304"/>
        <v>0</v>
      </c>
      <c r="L6234" s="4" t="str">
        <f>IFERROR(VLOOKUP(ROWS($L$2:L6234),$B$2:$C$1996,2,0),"")</f>
        <v/>
      </c>
      <c r="N6234" s="2" t="str">
        <f>IFERROR(VLOOKUP(ROWS($N$2:N6234),$D$2:$E$1996,2,0),"")</f>
        <v/>
      </c>
    </row>
    <row r="6235" spans="2:14">
      <c r="B6235" s="32">
        <f>IF(ISNUMBER(SEARCH('Φόρμα Εισαγωγής'!$B$2,C6235)),MAX($B$1:B6234)+1,0)</f>
        <v>0</v>
      </c>
      <c r="D6235" s="33">
        <f>IF(ISNUMBER(SEARCH('Φόρμα Εισαγωγής'!$C$2,E6235)),MAX($D$1:D6234)+1,0)</f>
        <v>0</v>
      </c>
      <c r="H6235" s="6">
        <f t="shared" si="302"/>
        <v>0</v>
      </c>
      <c r="I6235" s="6">
        <f t="shared" si="303"/>
        <v>0</v>
      </c>
      <c r="J6235" s="6">
        <f t="shared" si="304"/>
        <v>0</v>
      </c>
      <c r="L6235" s="4" t="str">
        <f>IFERROR(VLOOKUP(ROWS($L$2:L6235),$B$2:$C$1996,2,0),"")</f>
        <v/>
      </c>
      <c r="N6235" s="2" t="str">
        <f>IFERROR(VLOOKUP(ROWS($N$2:N6235),$D$2:$E$1996,2,0),"")</f>
        <v/>
      </c>
    </row>
    <row r="6236" spans="2:14">
      <c r="B6236" s="32">
        <f>IF(ISNUMBER(SEARCH('Φόρμα Εισαγωγής'!$B$2,C6236)),MAX($B$1:B6235)+1,0)</f>
        <v>0</v>
      </c>
      <c r="D6236" s="33">
        <f>IF(ISNUMBER(SEARCH('Φόρμα Εισαγωγής'!$C$2,E6236)),MAX($D$1:D6235)+1,0)</f>
        <v>0</v>
      </c>
      <c r="H6236" s="6">
        <f t="shared" si="302"/>
        <v>0</v>
      </c>
      <c r="I6236" s="6">
        <f t="shared" si="303"/>
        <v>0</v>
      </c>
      <c r="J6236" s="6">
        <f t="shared" si="304"/>
        <v>0</v>
      </c>
      <c r="L6236" s="4" t="str">
        <f>IFERROR(VLOOKUP(ROWS($L$2:L6236),$B$2:$C$1996,2,0),"")</f>
        <v/>
      </c>
      <c r="N6236" s="2" t="str">
        <f>IFERROR(VLOOKUP(ROWS($N$2:N6236),$D$2:$E$1996,2,0),"")</f>
        <v/>
      </c>
    </row>
    <row r="6237" spans="2:14">
      <c r="B6237" s="32">
        <f>IF(ISNUMBER(SEARCH('Φόρμα Εισαγωγής'!$B$2,C6237)),MAX($B$1:B6236)+1,0)</f>
        <v>0</v>
      </c>
      <c r="D6237" s="33">
        <f>IF(ISNUMBER(SEARCH('Φόρμα Εισαγωγής'!$C$2,E6237)),MAX($D$1:D6236)+1,0)</f>
        <v>0</v>
      </c>
      <c r="H6237" s="6">
        <f t="shared" si="302"/>
        <v>0</v>
      </c>
      <c r="I6237" s="6">
        <f t="shared" si="303"/>
        <v>0</v>
      </c>
      <c r="J6237" s="6">
        <f t="shared" si="304"/>
        <v>0</v>
      </c>
      <c r="L6237" s="4" t="str">
        <f>IFERROR(VLOOKUP(ROWS($L$2:L6237),$B$2:$C$1996,2,0),"")</f>
        <v/>
      </c>
      <c r="N6237" s="2" t="str">
        <f>IFERROR(VLOOKUP(ROWS($N$2:N6237),$D$2:$E$1996,2,0),"")</f>
        <v/>
      </c>
    </row>
    <row r="6238" spans="2:14">
      <c r="B6238" s="32">
        <f>IF(ISNUMBER(SEARCH('Φόρμα Εισαγωγής'!$B$2,C6238)),MAX($B$1:B6237)+1,0)</f>
        <v>0</v>
      </c>
      <c r="D6238" s="33">
        <f>IF(ISNUMBER(SEARCH('Φόρμα Εισαγωγής'!$C$2,E6238)),MAX($D$1:D6237)+1,0)</f>
        <v>0</v>
      </c>
      <c r="H6238" s="6">
        <f t="shared" si="302"/>
        <v>0</v>
      </c>
      <c r="I6238" s="6">
        <f t="shared" si="303"/>
        <v>0</v>
      </c>
      <c r="J6238" s="6">
        <f t="shared" si="304"/>
        <v>0</v>
      </c>
      <c r="L6238" s="4" t="str">
        <f>IFERROR(VLOOKUP(ROWS($L$2:L6238),$B$2:$C$1996,2,0),"")</f>
        <v/>
      </c>
      <c r="N6238" s="2" t="str">
        <f>IFERROR(VLOOKUP(ROWS($N$2:N6238),$D$2:$E$1996,2,0),"")</f>
        <v/>
      </c>
    </row>
    <row r="6239" spans="2:14">
      <c r="B6239" s="32">
        <f>IF(ISNUMBER(SEARCH('Φόρμα Εισαγωγής'!$B$2,C6239)),MAX($B$1:B6238)+1,0)</f>
        <v>0</v>
      </c>
      <c r="D6239" s="33">
        <f>IF(ISNUMBER(SEARCH('Φόρμα Εισαγωγής'!$C$2,E6239)),MAX($D$1:D6238)+1,0)</f>
        <v>0</v>
      </c>
      <c r="H6239" s="6">
        <f t="shared" si="302"/>
        <v>0</v>
      </c>
      <c r="I6239" s="6">
        <f t="shared" si="303"/>
        <v>0</v>
      </c>
      <c r="J6239" s="6">
        <f t="shared" si="304"/>
        <v>0</v>
      </c>
      <c r="L6239" s="4" t="str">
        <f>IFERROR(VLOOKUP(ROWS($L$2:L6239),$B$2:$C$1996,2,0),"")</f>
        <v/>
      </c>
      <c r="N6239" s="2" t="str">
        <f>IFERROR(VLOOKUP(ROWS($N$2:N6239),$D$2:$E$1996,2,0),"")</f>
        <v/>
      </c>
    </row>
    <row r="6240" spans="2:14">
      <c r="B6240" s="32">
        <f>IF(ISNUMBER(SEARCH('Φόρμα Εισαγωγής'!$B$2,C6240)),MAX($B$1:B6239)+1,0)</f>
        <v>0</v>
      </c>
      <c r="D6240" s="33">
        <f>IF(ISNUMBER(SEARCH('Φόρμα Εισαγωγής'!$C$2,E6240)),MAX($D$1:D6239)+1,0)</f>
        <v>0</v>
      </c>
      <c r="H6240" s="6">
        <f t="shared" si="302"/>
        <v>0</v>
      </c>
      <c r="I6240" s="6">
        <f t="shared" si="303"/>
        <v>0</v>
      </c>
      <c r="J6240" s="6">
        <f t="shared" si="304"/>
        <v>0</v>
      </c>
      <c r="L6240" s="4" t="str">
        <f>IFERROR(VLOOKUP(ROWS($L$2:L6240),$B$2:$C$1996,2,0),"")</f>
        <v/>
      </c>
      <c r="N6240" s="2" t="str">
        <f>IFERROR(VLOOKUP(ROWS($N$2:N6240),$D$2:$E$1996,2,0),"")</f>
        <v/>
      </c>
    </row>
    <row r="6241" spans="2:14">
      <c r="B6241" s="32">
        <f>IF(ISNUMBER(SEARCH('Φόρμα Εισαγωγής'!$B$2,C6241)),MAX($B$1:B6240)+1,0)</f>
        <v>0</v>
      </c>
      <c r="D6241" s="33">
        <f>IF(ISNUMBER(SEARCH('Φόρμα Εισαγωγής'!$C$2,E6241)),MAX($D$1:D6240)+1,0)</f>
        <v>0</v>
      </c>
      <c r="H6241" s="6">
        <f t="shared" si="302"/>
        <v>0</v>
      </c>
      <c r="I6241" s="6">
        <f t="shared" si="303"/>
        <v>0</v>
      </c>
      <c r="J6241" s="6">
        <f t="shared" si="304"/>
        <v>0</v>
      </c>
      <c r="L6241" s="4" t="str">
        <f>IFERROR(VLOOKUP(ROWS($L$2:L6241),$B$2:$C$1996,2,0),"")</f>
        <v/>
      </c>
      <c r="N6241" s="2" t="str">
        <f>IFERROR(VLOOKUP(ROWS($N$2:N6241),$D$2:$E$1996,2,0),"")</f>
        <v/>
      </c>
    </row>
    <row r="6242" spans="2:14">
      <c r="B6242" s="32">
        <f>IF(ISNUMBER(SEARCH('Φόρμα Εισαγωγής'!$B$2,C6242)),MAX($B$1:B6241)+1,0)</f>
        <v>0</v>
      </c>
      <c r="D6242" s="33">
        <f>IF(ISNUMBER(SEARCH('Φόρμα Εισαγωγής'!$C$2,E6242)),MAX($D$1:D6241)+1,0)</f>
        <v>0</v>
      </c>
      <c r="H6242" s="6">
        <f t="shared" si="302"/>
        <v>0</v>
      </c>
      <c r="I6242" s="6">
        <f t="shared" si="303"/>
        <v>0</v>
      </c>
      <c r="J6242" s="6">
        <f t="shared" si="304"/>
        <v>0</v>
      </c>
      <c r="L6242" s="4" t="str">
        <f>IFERROR(VLOOKUP(ROWS($L$2:L6242),$B$2:$C$1996,2,0),"")</f>
        <v/>
      </c>
      <c r="N6242" s="2" t="str">
        <f>IFERROR(VLOOKUP(ROWS($N$2:N6242),$D$2:$E$1996,2,0),"")</f>
        <v/>
      </c>
    </row>
    <row r="6243" spans="2:14">
      <c r="B6243" s="32">
        <f>IF(ISNUMBER(SEARCH('Φόρμα Εισαγωγής'!$B$2,C6243)),MAX($B$1:B6242)+1,0)</f>
        <v>0</v>
      </c>
      <c r="D6243" s="33">
        <f>IF(ISNUMBER(SEARCH('Φόρμα Εισαγωγής'!$C$2,E6243)),MAX($D$1:D6242)+1,0)</f>
        <v>0</v>
      </c>
      <c r="H6243" s="6">
        <f t="shared" si="302"/>
        <v>0</v>
      </c>
      <c r="I6243" s="6">
        <f t="shared" si="303"/>
        <v>0</v>
      </c>
      <c r="J6243" s="6">
        <f t="shared" si="304"/>
        <v>0</v>
      </c>
      <c r="L6243" s="4" t="str">
        <f>IFERROR(VLOOKUP(ROWS($L$2:L6243),$B$2:$C$1996,2,0),"")</f>
        <v/>
      </c>
      <c r="N6243" s="2" t="str">
        <f>IFERROR(VLOOKUP(ROWS($N$2:N6243),$D$2:$E$1996,2,0),"")</f>
        <v/>
      </c>
    </row>
    <row r="6244" spans="2:14">
      <c r="B6244" s="32">
        <f>IF(ISNUMBER(SEARCH('Φόρμα Εισαγωγής'!$B$2,C6244)),MAX($B$1:B6243)+1,0)</f>
        <v>0</v>
      </c>
      <c r="D6244" s="33">
        <f>IF(ISNUMBER(SEARCH('Φόρμα Εισαγωγής'!$C$2,E6244)),MAX($D$1:D6243)+1,0)</f>
        <v>0</v>
      </c>
      <c r="H6244" s="6">
        <f t="shared" si="302"/>
        <v>0</v>
      </c>
      <c r="I6244" s="6">
        <f t="shared" si="303"/>
        <v>0</v>
      </c>
      <c r="J6244" s="6">
        <f t="shared" si="304"/>
        <v>0</v>
      </c>
      <c r="L6244" s="4" t="str">
        <f>IFERROR(VLOOKUP(ROWS($L$2:L6244),$B$2:$C$1996,2,0),"")</f>
        <v/>
      </c>
      <c r="N6244" s="2" t="str">
        <f>IFERROR(VLOOKUP(ROWS($N$2:N6244),$D$2:$E$1996,2,0),"")</f>
        <v/>
      </c>
    </row>
    <row r="6245" spans="2:14">
      <c r="B6245" s="32">
        <f>IF(ISNUMBER(SEARCH('Φόρμα Εισαγωγής'!$B$2,C6245)),MAX($B$1:B6244)+1,0)</f>
        <v>0</v>
      </c>
      <c r="D6245" s="33">
        <f>IF(ISNUMBER(SEARCH('Φόρμα Εισαγωγής'!$C$2,E6245)),MAX($D$1:D6244)+1,0)</f>
        <v>0</v>
      </c>
      <c r="H6245" s="6">
        <f t="shared" si="302"/>
        <v>0</v>
      </c>
      <c r="I6245" s="6">
        <f t="shared" si="303"/>
        <v>0</v>
      </c>
      <c r="J6245" s="6">
        <f t="shared" si="304"/>
        <v>0</v>
      </c>
      <c r="L6245" s="4" t="str">
        <f>IFERROR(VLOOKUP(ROWS($L$2:L6245),$B$2:$C$1996,2,0),"")</f>
        <v/>
      </c>
      <c r="N6245" s="2" t="str">
        <f>IFERROR(VLOOKUP(ROWS($N$2:N6245),$D$2:$E$1996,2,0),"")</f>
        <v/>
      </c>
    </row>
    <row r="6246" spans="2:14">
      <c r="B6246" s="32">
        <f>IF(ISNUMBER(SEARCH('Φόρμα Εισαγωγής'!$B$2,C6246)),MAX($B$1:B6245)+1,0)</f>
        <v>0</v>
      </c>
      <c r="D6246" s="33">
        <f>IF(ISNUMBER(SEARCH('Φόρμα Εισαγωγής'!$C$2,E6246)),MAX($D$1:D6245)+1,0)</f>
        <v>0</v>
      </c>
      <c r="H6246" s="6">
        <f t="shared" si="302"/>
        <v>0</v>
      </c>
      <c r="I6246" s="6">
        <f t="shared" si="303"/>
        <v>0</v>
      </c>
      <c r="J6246" s="6">
        <f t="shared" si="304"/>
        <v>0</v>
      </c>
      <c r="L6246" s="4" t="str">
        <f>IFERROR(VLOOKUP(ROWS($L$2:L6246),$B$2:$C$1996,2,0),"")</f>
        <v/>
      </c>
      <c r="N6246" s="2" t="str">
        <f>IFERROR(VLOOKUP(ROWS($N$2:N6246),$D$2:$E$1996,2,0),"")</f>
        <v/>
      </c>
    </row>
    <row r="6247" spans="2:14">
      <c r="B6247" s="32">
        <f>IF(ISNUMBER(SEARCH('Φόρμα Εισαγωγής'!$B$2,C6247)),MAX($B$1:B6246)+1,0)</f>
        <v>0</v>
      </c>
      <c r="D6247" s="33">
        <f>IF(ISNUMBER(SEARCH('Φόρμα Εισαγωγής'!$C$2,E6247)),MAX($D$1:D6246)+1,0)</f>
        <v>0</v>
      </c>
      <c r="H6247" s="6">
        <f t="shared" si="302"/>
        <v>0</v>
      </c>
      <c r="I6247" s="6">
        <f t="shared" si="303"/>
        <v>0</v>
      </c>
      <c r="J6247" s="6">
        <f t="shared" si="304"/>
        <v>0</v>
      </c>
      <c r="L6247" s="4" t="str">
        <f>IFERROR(VLOOKUP(ROWS($L$2:L6247),$B$2:$C$1996,2,0),"")</f>
        <v/>
      </c>
      <c r="N6247" s="2" t="str">
        <f>IFERROR(VLOOKUP(ROWS($N$2:N6247),$D$2:$E$1996,2,0),"")</f>
        <v/>
      </c>
    </row>
    <row r="6248" spans="2:14">
      <c r="B6248" s="32">
        <f>IF(ISNUMBER(SEARCH('Φόρμα Εισαγωγής'!$B$2,C6248)),MAX($B$1:B6247)+1,0)</f>
        <v>0</v>
      </c>
      <c r="D6248" s="33">
        <f>IF(ISNUMBER(SEARCH('Φόρμα Εισαγωγής'!$C$2,E6248)),MAX($D$1:D6247)+1,0)</f>
        <v>0</v>
      </c>
      <c r="H6248" s="6">
        <f t="shared" si="302"/>
        <v>0</v>
      </c>
      <c r="I6248" s="6">
        <f t="shared" si="303"/>
        <v>0</v>
      </c>
      <c r="J6248" s="6">
        <f t="shared" si="304"/>
        <v>0</v>
      </c>
      <c r="L6248" s="4" t="str">
        <f>IFERROR(VLOOKUP(ROWS($L$2:L6248),$B$2:$C$1996,2,0),"")</f>
        <v/>
      </c>
      <c r="N6248" s="2" t="str">
        <f>IFERROR(VLOOKUP(ROWS($N$2:N6248),$D$2:$E$1996,2,0),"")</f>
        <v/>
      </c>
    </row>
    <row r="6249" spans="2:14">
      <c r="B6249" s="32">
        <f>IF(ISNUMBER(SEARCH('Φόρμα Εισαγωγής'!$B$2,C6249)),MAX($B$1:B6248)+1,0)</f>
        <v>0</v>
      </c>
      <c r="D6249" s="33">
        <f>IF(ISNUMBER(SEARCH('Φόρμα Εισαγωγής'!$C$2,E6249)),MAX($D$1:D6248)+1,0)</f>
        <v>0</v>
      </c>
      <c r="H6249" s="6">
        <f t="shared" si="302"/>
        <v>0</v>
      </c>
      <c r="I6249" s="6">
        <f t="shared" si="303"/>
        <v>0</v>
      </c>
      <c r="J6249" s="6">
        <f t="shared" si="304"/>
        <v>0</v>
      </c>
      <c r="L6249" s="4" t="str">
        <f>IFERROR(VLOOKUP(ROWS($L$2:L6249),$B$2:$C$1996,2,0),"")</f>
        <v/>
      </c>
      <c r="N6249" s="2" t="str">
        <f>IFERROR(VLOOKUP(ROWS($N$2:N6249),$D$2:$E$1996,2,0),"")</f>
        <v/>
      </c>
    </row>
    <row r="6250" spans="2:14">
      <c r="B6250" s="32">
        <f>IF(ISNUMBER(SEARCH('Φόρμα Εισαγωγής'!$B$2,C6250)),MAX($B$1:B6249)+1,0)</f>
        <v>0</v>
      </c>
      <c r="D6250" s="33">
        <f>IF(ISNUMBER(SEARCH('Φόρμα Εισαγωγής'!$C$2,E6250)),MAX($D$1:D6249)+1,0)</f>
        <v>0</v>
      </c>
      <c r="H6250" s="6">
        <f t="shared" si="302"/>
        <v>0</v>
      </c>
      <c r="I6250" s="6">
        <f t="shared" si="303"/>
        <v>0</v>
      </c>
      <c r="J6250" s="6">
        <f t="shared" si="304"/>
        <v>0</v>
      </c>
      <c r="L6250" s="4" t="str">
        <f>IFERROR(VLOOKUP(ROWS($L$2:L6250),$B$2:$C$1996,2,0),"")</f>
        <v/>
      </c>
      <c r="N6250" s="2" t="str">
        <f>IFERROR(VLOOKUP(ROWS($N$2:N6250),$D$2:$E$1996,2,0),"")</f>
        <v/>
      </c>
    </row>
    <row r="6251" spans="2:14">
      <c r="B6251" s="32">
        <f>IF(ISNUMBER(SEARCH('Φόρμα Εισαγωγής'!$B$2,C6251)),MAX($B$1:B6250)+1,0)</f>
        <v>0</v>
      </c>
      <c r="D6251" s="33">
        <f>IF(ISNUMBER(SEARCH('Φόρμα Εισαγωγής'!$C$2,E6251)),MAX($D$1:D6250)+1,0)</f>
        <v>0</v>
      </c>
      <c r="H6251" s="6">
        <f t="shared" si="302"/>
        <v>0</v>
      </c>
      <c r="I6251" s="6">
        <f t="shared" si="303"/>
        <v>0</v>
      </c>
      <c r="J6251" s="6">
        <f t="shared" si="304"/>
        <v>0</v>
      </c>
      <c r="L6251" s="4" t="str">
        <f>IFERROR(VLOOKUP(ROWS($L$2:L6251),$B$2:$C$1996,2,0),"")</f>
        <v/>
      </c>
      <c r="N6251" s="2" t="str">
        <f>IFERROR(VLOOKUP(ROWS($N$2:N6251),$D$2:$E$1996,2,0),"")</f>
        <v/>
      </c>
    </row>
    <row r="6252" spans="2:14">
      <c r="B6252" s="32">
        <f>IF(ISNUMBER(SEARCH('Φόρμα Εισαγωγής'!$B$2,C6252)),MAX($B$1:B6251)+1,0)</f>
        <v>0</v>
      </c>
      <c r="D6252" s="33">
        <f>IF(ISNUMBER(SEARCH('Φόρμα Εισαγωγής'!$C$2,E6252)),MAX($D$1:D6251)+1,0)</f>
        <v>0</v>
      </c>
      <c r="H6252" s="6">
        <f t="shared" si="302"/>
        <v>0</v>
      </c>
      <c r="I6252" s="6">
        <f t="shared" si="303"/>
        <v>0</v>
      </c>
      <c r="J6252" s="6">
        <f t="shared" si="304"/>
        <v>0</v>
      </c>
      <c r="L6252" s="4" t="str">
        <f>IFERROR(VLOOKUP(ROWS($L$2:L6252),$B$2:$C$1996,2,0),"")</f>
        <v/>
      </c>
      <c r="N6252" s="2" t="str">
        <f>IFERROR(VLOOKUP(ROWS($N$2:N6252),$D$2:$E$1996,2,0),"")</f>
        <v/>
      </c>
    </row>
    <row r="6253" spans="2:14">
      <c r="B6253" s="32">
        <f>IF(ISNUMBER(SEARCH('Φόρμα Εισαγωγής'!$B$2,C6253)),MAX($B$1:B6252)+1,0)</f>
        <v>0</v>
      </c>
      <c r="D6253" s="33">
        <f>IF(ISNUMBER(SEARCH('Φόρμα Εισαγωγής'!$C$2,E6253)),MAX($D$1:D6252)+1,0)</f>
        <v>0</v>
      </c>
      <c r="H6253" s="6">
        <f t="shared" si="302"/>
        <v>0</v>
      </c>
      <c r="I6253" s="6">
        <f t="shared" si="303"/>
        <v>0</v>
      </c>
      <c r="J6253" s="6">
        <f t="shared" si="304"/>
        <v>0</v>
      </c>
      <c r="L6253" s="4" t="str">
        <f>IFERROR(VLOOKUP(ROWS($L$2:L6253),$B$2:$C$1996,2,0),"")</f>
        <v/>
      </c>
      <c r="N6253" s="2" t="str">
        <f>IFERROR(VLOOKUP(ROWS($N$2:N6253),$D$2:$E$1996,2,0),"")</f>
        <v/>
      </c>
    </row>
    <row r="6254" spans="2:14">
      <c r="B6254" s="32">
        <f>IF(ISNUMBER(SEARCH('Φόρμα Εισαγωγής'!$B$2,C6254)),MAX($B$1:B6253)+1,0)</f>
        <v>0</v>
      </c>
      <c r="D6254" s="33">
        <f>IF(ISNUMBER(SEARCH('Φόρμα Εισαγωγής'!$C$2,E6254)),MAX($D$1:D6253)+1,0)</f>
        <v>0</v>
      </c>
      <c r="H6254" s="6">
        <f t="shared" si="302"/>
        <v>0</v>
      </c>
      <c r="I6254" s="6">
        <f t="shared" si="303"/>
        <v>0</v>
      </c>
      <c r="J6254" s="6">
        <f t="shared" si="304"/>
        <v>0</v>
      </c>
      <c r="L6254" s="4" t="str">
        <f>IFERROR(VLOOKUP(ROWS($L$2:L6254),$B$2:$C$1996,2,0),"")</f>
        <v/>
      </c>
      <c r="N6254" s="2" t="str">
        <f>IFERROR(VLOOKUP(ROWS($N$2:N6254),$D$2:$E$1996,2,0),"")</f>
        <v/>
      </c>
    </row>
    <row r="6255" spans="2:14">
      <c r="B6255" s="32">
        <f>IF(ISNUMBER(SEARCH('Φόρμα Εισαγωγής'!$B$2,C6255)),MAX($B$1:B6254)+1,0)</f>
        <v>0</v>
      </c>
      <c r="D6255" s="33">
        <f>IF(ISNUMBER(SEARCH('Φόρμα Εισαγωγής'!$C$2,E6255)),MAX($D$1:D6254)+1,0)</f>
        <v>0</v>
      </c>
      <c r="H6255" s="6">
        <f t="shared" si="302"/>
        <v>0</v>
      </c>
      <c r="I6255" s="6">
        <f t="shared" si="303"/>
        <v>0</v>
      </c>
      <c r="J6255" s="6">
        <f t="shared" si="304"/>
        <v>0</v>
      </c>
      <c r="L6255" s="4" t="str">
        <f>IFERROR(VLOOKUP(ROWS($L$2:L6255),$B$2:$C$1996,2,0),"")</f>
        <v/>
      </c>
      <c r="N6255" s="2" t="str">
        <f>IFERROR(VLOOKUP(ROWS($N$2:N6255),$D$2:$E$1996,2,0),"")</f>
        <v/>
      </c>
    </row>
    <row r="6256" spans="2:14">
      <c r="B6256" s="32">
        <f>IF(ISNUMBER(SEARCH('Φόρμα Εισαγωγής'!$B$2,C6256)),MAX($B$1:B6255)+1,0)</f>
        <v>0</v>
      </c>
      <c r="D6256" s="33">
        <f>IF(ISNUMBER(SEARCH('Φόρμα Εισαγωγής'!$C$2,E6256)),MAX($D$1:D6255)+1,0)</f>
        <v>0</v>
      </c>
      <c r="H6256" s="6">
        <f t="shared" si="302"/>
        <v>0</v>
      </c>
      <c r="I6256" s="6">
        <f t="shared" si="303"/>
        <v>0</v>
      </c>
      <c r="J6256" s="6">
        <f t="shared" si="304"/>
        <v>0</v>
      </c>
      <c r="L6256" s="4" t="str">
        <f>IFERROR(VLOOKUP(ROWS($L$2:L6256),$B$2:$C$1996,2,0),"")</f>
        <v/>
      </c>
      <c r="N6256" s="2" t="str">
        <f>IFERROR(VLOOKUP(ROWS($N$2:N6256),$D$2:$E$1996,2,0),"")</f>
        <v/>
      </c>
    </row>
    <row r="6257" spans="2:14">
      <c r="B6257" s="32">
        <f>IF(ISNUMBER(SEARCH('Φόρμα Εισαγωγής'!$B$2,C6257)),MAX($B$1:B6256)+1,0)</f>
        <v>0</v>
      </c>
      <c r="D6257" s="33">
        <f>IF(ISNUMBER(SEARCH('Φόρμα Εισαγωγής'!$C$2,E6257)),MAX($D$1:D6256)+1,0)</f>
        <v>0</v>
      </c>
      <c r="H6257" s="6">
        <f t="shared" si="302"/>
        <v>0</v>
      </c>
      <c r="I6257" s="6">
        <f t="shared" si="303"/>
        <v>0</v>
      </c>
      <c r="J6257" s="6">
        <f t="shared" si="304"/>
        <v>0</v>
      </c>
      <c r="L6257" s="4" t="str">
        <f>IFERROR(VLOOKUP(ROWS($L$2:L6257),$B$2:$C$1996,2,0),"")</f>
        <v/>
      </c>
      <c r="N6257" s="2" t="str">
        <f>IFERROR(VLOOKUP(ROWS($N$2:N6257),$D$2:$E$1996,2,0),"")</f>
        <v/>
      </c>
    </row>
    <row r="6258" spans="2:14">
      <c r="B6258" s="32">
        <f>IF(ISNUMBER(SEARCH('Φόρμα Εισαγωγής'!$B$2,C6258)),MAX($B$1:B6257)+1,0)</f>
        <v>0</v>
      </c>
      <c r="D6258" s="33">
        <f>IF(ISNUMBER(SEARCH('Φόρμα Εισαγωγής'!$C$2,E6258)),MAX($D$1:D6257)+1,0)</f>
        <v>0</v>
      </c>
      <c r="H6258" s="6">
        <f t="shared" si="302"/>
        <v>0</v>
      </c>
      <c r="I6258" s="6">
        <f t="shared" si="303"/>
        <v>0</v>
      </c>
      <c r="J6258" s="6">
        <f t="shared" si="304"/>
        <v>0</v>
      </c>
      <c r="L6258" s="4" t="str">
        <f>IFERROR(VLOOKUP(ROWS($L$2:L6258),$B$2:$C$1996,2,0),"")</f>
        <v/>
      </c>
      <c r="N6258" s="2" t="str">
        <f>IFERROR(VLOOKUP(ROWS($N$2:N6258),$D$2:$E$1996,2,0),"")</f>
        <v/>
      </c>
    </row>
    <row r="6259" spans="2:14">
      <c r="B6259" s="32">
        <f>IF(ISNUMBER(SEARCH('Φόρμα Εισαγωγής'!$B$2,C6259)),MAX($B$1:B6258)+1,0)</f>
        <v>0</v>
      </c>
      <c r="D6259" s="33">
        <f>IF(ISNUMBER(SEARCH('Φόρμα Εισαγωγής'!$C$2,E6259)),MAX($D$1:D6258)+1,0)</f>
        <v>0</v>
      </c>
      <c r="H6259" s="6">
        <f t="shared" si="302"/>
        <v>0</v>
      </c>
      <c r="I6259" s="6">
        <f t="shared" si="303"/>
        <v>0</v>
      </c>
      <c r="J6259" s="6">
        <f t="shared" si="304"/>
        <v>0</v>
      </c>
      <c r="L6259" s="4" t="str">
        <f>IFERROR(VLOOKUP(ROWS($L$2:L6259),$B$2:$C$1996,2,0),"")</f>
        <v/>
      </c>
      <c r="N6259" s="2" t="str">
        <f>IFERROR(VLOOKUP(ROWS($N$2:N6259),$D$2:$E$1996,2,0),"")</f>
        <v/>
      </c>
    </row>
    <row r="6260" spans="2:14">
      <c r="B6260" s="32">
        <f>IF(ISNUMBER(SEARCH('Φόρμα Εισαγωγής'!$B$2,C6260)),MAX($B$1:B6259)+1,0)</f>
        <v>0</v>
      </c>
      <c r="D6260" s="33">
        <f>IF(ISNUMBER(SEARCH('Φόρμα Εισαγωγής'!$C$2,E6260)),MAX($D$1:D6259)+1,0)</f>
        <v>0</v>
      </c>
      <c r="H6260" s="6">
        <f t="shared" si="302"/>
        <v>0</v>
      </c>
      <c r="I6260" s="6">
        <f t="shared" si="303"/>
        <v>0</v>
      </c>
      <c r="J6260" s="6">
        <f t="shared" si="304"/>
        <v>0</v>
      </c>
      <c r="L6260" s="4" t="str">
        <f>IFERROR(VLOOKUP(ROWS($L$2:L6260),$B$2:$C$1996,2,0),"")</f>
        <v/>
      </c>
      <c r="N6260" s="2" t="str">
        <f>IFERROR(VLOOKUP(ROWS($N$2:N6260),$D$2:$E$1996,2,0),"")</f>
        <v/>
      </c>
    </row>
    <row r="6261" spans="2:14">
      <c r="B6261" s="32">
        <f>IF(ISNUMBER(SEARCH('Φόρμα Εισαγωγής'!$B$2,C6261)),MAX($B$1:B6260)+1,0)</f>
        <v>0</v>
      </c>
      <c r="D6261" s="33">
        <f>IF(ISNUMBER(SEARCH('Φόρμα Εισαγωγής'!$C$2,E6261)),MAX($D$1:D6260)+1,0)</f>
        <v>0</v>
      </c>
      <c r="H6261" s="6">
        <f t="shared" si="302"/>
        <v>0</v>
      </c>
      <c r="I6261" s="6">
        <f t="shared" si="303"/>
        <v>0</v>
      </c>
      <c r="J6261" s="6">
        <f t="shared" si="304"/>
        <v>0</v>
      </c>
      <c r="L6261" s="4" t="str">
        <f>IFERROR(VLOOKUP(ROWS($L$2:L6261),$B$2:$C$1996,2,0),"")</f>
        <v/>
      </c>
      <c r="N6261" s="2" t="str">
        <f>IFERROR(VLOOKUP(ROWS($N$2:N6261),$D$2:$E$1996,2,0),"")</f>
        <v/>
      </c>
    </row>
    <row r="6262" spans="2:14">
      <c r="B6262" s="32">
        <f>IF(ISNUMBER(SEARCH('Φόρμα Εισαγωγής'!$B$2,C6262)),MAX($B$1:B6261)+1,0)</f>
        <v>0</v>
      </c>
      <c r="D6262" s="33">
        <f>IF(ISNUMBER(SEARCH('Φόρμα Εισαγωγής'!$C$2,E6262)),MAX($D$1:D6261)+1,0)</f>
        <v>0</v>
      </c>
      <c r="H6262" s="6">
        <f t="shared" si="302"/>
        <v>0</v>
      </c>
      <c r="I6262" s="6">
        <f t="shared" si="303"/>
        <v>0</v>
      </c>
      <c r="J6262" s="6">
        <f t="shared" si="304"/>
        <v>0</v>
      </c>
      <c r="L6262" s="4" t="str">
        <f>IFERROR(VLOOKUP(ROWS($L$2:L6262),$B$2:$C$1996,2,0),"")</f>
        <v/>
      </c>
      <c r="N6262" s="2" t="str">
        <f>IFERROR(VLOOKUP(ROWS($N$2:N6262),$D$2:$E$1996,2,0),"")</f>
        <v/>
      </c>
    </row>
    <row r="6263" spans="2:14">
      <c r="B6263" s="32">
        <f>IF(ISNUMBER(SEARCH('Φόρμα Εισαγωγής'!$B$2,C6263)),MAX($B$1:B6262)+1,0)</f>
        <v>0</v>
      </c>
      <c r="D6263" s="33">
        <f>IF(ISNUMBER(SEARCH('Φόρμα Εισαγωγής'!$C$2,E6263)),MAX($D$1:D6262)+1,0)</f>
        <v>0</v>
      </c>
      <c r="H6263" s="6">
        <f t="shared" si="302"/>
        <v>0</v>
      </c>
      <c r="I6263" s="6">
        <f t="shared" si="303"/>
        <v>0</v>
      </c>
      <c r="J6263" s="6">
        <f t="shared" si="304"/>
        <v>0</v>
      </c>
      <c r="L6263" s="4" t="str">
        <f>IFERROR(VLOOKUP(ROWS($L$2:L6263),$B$2:$C$1996,2,0),"")</f>
        <v/>
      </c>
      <c r="N6263" s="2" t="str">
        <f>IFERROR(VLOOKUP(ROWS($N$2:N6263),$D$2:$E$1996,2,0),"")</f>
        <v/>
      </c>
    </row>
    <row r="6264" spans="2:14">
      <c r="B6264" s="32">
        <f>IF(ISNUMBER(SEARCH('Φόρμα Εισαγωγής'!$B$2,C6264)),MAX($B$1:B6263)+1,0)</f>
        <v>0</v>
      </c>
      <c r="D6264" s="33">
        <f>IF(ISNUMBER(SEARCH('Φόρμα Εισαγωγής'!$C$2,E6264)),MAX($D$1:D6263)+1,0)</f>
        <v>0</v>
      </c>
      <c r="H6264" s="6">
        <f t="shared" si="302"/>
        <v>0</v>
      </c>
      <c r="I6264" s="6">
        <f t="shared" si="303"/>
        <v>0</v>
      </c>
      <c r="J6264" s="6">
        <f t="shared" si="304"/>
        <v>0</v>
      </c>
      <c r="L6264" s="4" t="str">
        <f>IFERROR(VLOOKUP(ROWS($L$2:L6264),$B$2:$C$1996,2,0),"")</f>
        <v/>
      </c>
      <c r="N6264" s="2" t="str">
        <f>IFERROR(VLOOKUP(ROWS($N$2:N6264),$D$2:$E$1996,2,0),"")</f>
        <v/>
      </c>
    </row>
    <row r="6265" spans="2:14">
      <c r="B6265" s="32">
        <f>IF(ISNUMBER(SEARCH('Φόρμα Εισαγωγής'!$B$2,C6265)),MAX($B$1:B6264)+1,0)</f>
        <v>0</v>
      </c>
      <c r="D6265" s="33">
        <f>IF(ISNUMBER(SEARCH('Φόρμα Εισαγωγής'!$C$2,E6265)),MAX($D$1:D6264)+1,0)</f>
        <v>0</v>
      </c>
      <c r="H6265" s="6">
        <f t="shared" si="302"/>
        <v>0</v>
      </c>
      <c r="I6265" s="6">
        <f t="shared" si="303"/>
        <v>0</v>
      </c>
      <c r="J6265" s="6">
        <f t="shared" si="304"/>
        <v>0</v>
      </c>
      <c r="L6265" s="4" t="str">
        <f>IFERROR(VLOOKUP(ROWS($L$2:L6265),$B$2:$C$1996,2,0),"")</f>
        <v/>
      </c>
      <c r="N6265" s="2" t="str">
        <f>IFERROR(VLOOKUP(ROWS($N$2:N6265),$D$2:$E$1996,2,0),"")</f>
        <v/>
      </c>
    </row>
    <row r="6266" spans="2:14">
      <c r="B6266" s="32">
        <f>IF(ISNUMBER(SEARCH('Φόρμα Εισαγωγής'!$B$2,C6266)),MAX($B$1:B6265)+1,0)</f>
        <v>0</v>
      </c>
      <c r="D6266" s="33">
        <f>IF(ISNUMBER(SEARCH('Φόρμα Εισαγωγής'!$C$2,E6266)),MAX($D$1:D6265)+1,0)</f>
        <v>0</v>
      </c>
      <c r="H6266" s="6">
        <f t="shared" si="302"/>
        <v>0</v>
      </c>
      <c r="I6266" s="6">
        <f t="shared" si="303"/>
        <v>0</v>
      </c>
      <c r="J6266" s="6">
        <f t="shared" si="304"/>
        <v>0</v>
      </c>
      <c r="L6266" s="4" t="str">
        <f>IFERROR(VLOOKUP(ROWS($L$2:L6266),$B$2:$C$1996,2,0),"")</f>
        <v/>
      </c>
      <c r="N6266" s="2" t="str">
        <f>IFERROR(VLOOKUP(ROWS($N$2:N6266),$D$2:$E$1996,2,0),"")</f>
        <v/>
      </c>
    </row>
    <row r="6267" spans="2:14">
      <c r="B6267" s="32">
        <f>IF(ISNUMBER(SEARCH('Φόρμα Εισαγωγής'!$B$2,C6267)),MAX($B$1:B6266)+1,0)</f>
        <v>0</v>
      </c>
      <c r="D6267" s="33">
        <f>IF(ISNUMBER(SEARCH('Φόρμα Εισαγωγής'!$C$2,E6267)),MAX($D$1:D6266)+1,0)</f>
        <v>0</v>
      </c>
      <c r="H6267" s="6">
        <f t="shared" si="302"/>
        <v>0</v>
      </c>
      <c r="I6267" s="6">
        <f t="shared" si="303"/>
        <v>0</v>
      </c>
      <c r="J6267" s="6">
        <f t="shared" si="304"/>
        <v>0</v>
      </c>
      <c r="L6267" s="4" t="str">
        <f>IFERROR(VLOOKUP(ROWS($L$2:L6267),$B$2:$C$1996,2,0),"")</f>
        <v/>
      </c>
      <c r="N6267" s="2" t="str">
        <f>IFERROR(VLOOKUP(ROWS($N$2:N6267),$D$2:$E$1996,2,0),"")</f>
        <v/>
      </c>
    </row>
    <row r="6268" spans="2:14">
      <c r="B6268" s="32">
        <f>IF(ISNUMBER(SEARCH('Φόρμα Εισαγωγής'!$B$2,C6268)),MAX($B$1:B6267)+1,0)</f>
        <v>0</v>
      </c>
      <c r="D6268" s="33">
        <f>IF(ISNUMBER(SEARCH('Φόρμα Εισαγωγής'!$C$2,E6268)),MAX($D$1:D6267)+1,0)</f>
        <v>0</v>
      </c>
      <c r="H6268" s="6">
        <f t="shared" si="302"/>
        <v>0</v>
      </c>
      <c r="I6268" s="6">
        <f t="shared" si="303"/>
        <v>0</v>
      </c>
      <c r="J6268" s="6">
        <f t="shared" si="304"/>
        <v>0</v>
      </c>
      <c r="L6268" s="4" t="str">
        <f>IFERROR(VLOOKUP(ROWS($L$2:L6268),$B$2:$C$1996,2,0),"")</f>
        <v/>
      </c>
      <c r="N6268" s="2" t="str">
        <f>IFERROR(VLOOKUP(ROWS($N$2:N6268),$D$2:$E$1996,2,0),"")</f>
        <v/>
      </c>
    </row>
    <row r="6269" spans="2:14">
      <c r="B6269" s="32">
        <f>IF(ISNUMBER(SEARCH('Φόρμα Εισαγωγής'!$B$2,C6269)),MAX($B$1:B6268)+1,0)</f>
        <v>0</v>
      </c>
      <c r="D6269" s="33">
        <f>IF(ISNUMBER(SEARCH('Φόρμα Εισαγωγής'!$C$2,E6269)),MAX($D$1:D6268)+1,0)</f>
        <v>0</v>
      </c>
      <c r="H6269" s="6">
        <f t="shared" si="302"/>
        <v>0</v>
      </c>
      <c r="I6269" s="6">
        <f t="shared" si="303"/>
        <v>0</v>
      </c>
      <c r="J6269" s="6">
        <f t="shared" si="304"/>
        <v>0</v>
      </c>
      <c r="L6269" s="4" t="str">
        <f>IFERROR(VLOOKUP(ROWS($L$2:L6269),$B$2:$C$1996,2,0),"")</f>
        <v/>
      </c>
      <c r="N6269" s="2" t="str">
        <f>IFERROR(VLOOKUP(ROWS($N$2:N6269),$D$2:$E$1996,2,0),"")</f>
        <v/>
      </c>
    </row>
    <row r="6270" spans="2:14">
      <c r="B6270" s="32">
        <f>IF(ISNUMBER(SEARCH('Φόρμα Εισαγωγής'!$B$2,C6270)),MAX($B$1:B6269)+1,0)</f>
        <v>0</v>
      </c>
      <c r="D6270" s="33">
        <f>IF(ISNUMBER(SEARCH('Φόρμα Εισαγωγής'!$C$2,E6270)),MAX($D$1:D6269)+1,0)</f>
        <v>0</v>
      </c>
      <c r="H6270" s="6">
        <f t="shared" si="302"/>
        <v>0</v>
      </c>
      <c r="I6270" s="6">
        <f t="shared" si="303"/>
        <v>0</v>
      </c>
      <c r="J6270" s="6">
        <f t="shared" si="304"/>
        <v>0</v>
      </c>
      <c r="L6270" s="4" t="str">
        <f>IFERROR(VLOOKUP(ROWS($L$2:L6270),$B$2:$C$1996,2,0),"")</f>
        <v/>
      </c>
      <c r="N6270" s="2" t="str">
        <f>IFERROR(VLOOKUP(ROWS($N$2:N6270),$D$2:$E$1996,2,0),"")</f>
        <v/>
      </c>
    </row>
    <row r="6271" spans="2:14">
      <c r="B6271" s="32">
        <f>IF(ISNUMBER(SEARCH('Φόρμα Εισαγωγής'!$B$2,C6271)),MAX($B$1:B6270)+1,0)</f>
        <v>0</v>
      </c>
      <c r="D6271" s="33">
        <f>IF(ISNUMBER(SEARCH('Φόρμα Εισαγωγής'!$C$2,E6271)),MAX($D$1:D6270)+1,0)</f>
        <v>0</v>
      </c>
      <c r="H6271" s="6">
        <f t="shared" si="302"/>
        <v>0</v>
      </c>
      <c r="I6271" s="6">
        <f t="shared" si="303"/>
        <v>0</v>
      </c>
      <c r="J6271" s="6">
        <f t="shared" si="304"/>
        <v>0</v>
      </c>
      <c r="L6271" s="4" t="str">
        <f>IFERROR(VLOOKUP(ROWS($L$2:L6271),$B$2:$C$1996,2,0),"")</f>
        <v/>
      </c>
      <c r="N6271" s="2" t="str">
        <f>IFERROR(VLOOKUP(ROWS($N$2:N6271),$D$2:$E$1996,2,0),"")</f>
        <v/>
      </c>
    </row>
    <row r="6272" spans="2:14">
      <c r="B6272" s="32">
        <f>IF(ISNUMBER(SEARCH('Φόρμα Εισαγωγής'!$B$2,C6272)),MAX($B$1:B6271)+1,0)</f>
        <v>0</v>
      </c>
      <c r="D6272" s="33">
        <f>IF(ISNUMBER(SEARCH('Φόρμα Εισαγωγής'!$C$2,E6272)),MAX($D$1:D6271)+1,0)</f>
        <v>0</v>
      </c>
      <c r="H6272" s="6">
        <f t="shared" ref="H6272:H6335" si="305">G6272+(G6272*0.24)</f>
        <v>0</v>
      </c>
      <c r="I6272" s="6">
        <f t="shared" ref="I6272:I6335" si="306">F6272*A6272</f>
        <v>0</v>
      </c>
      <c r="J6272" s="6">
        <f t="shared" ref="J6272:J6335" si="307">H6272*A6272</f>
        <v>0</v>
      </c>
      <c r="L6272" s="4" t="str">
        <f>IFERROR(VLOOKUP(ROWS($L$2:L6272),$B$2:$C$1996,2,0),"")</f>
        <v/>
      </c>
      <c r="N6272" s="2" t="str">
        <f>IFERROR(VLOOKUP(ROWS($N$2:N6272),$D$2:$E$1996,2,0),"")</f>
        <v/>
      </c>
    </row>
    <row r="6273" spans="2:14">
      <c r="B6273" s="32">
        <f>IF(ISNUMBER(SEARCH('Φόρμα Εισαγωγής'!$B$2,C6273)),MAX($B$1:B6272)+1,0)</f>
        <v>0</v>
      </c>
      <c r="D6273" s="33">
        <f>IF(ISNUMBER(SEARCH('Φόρμα Εισαγωγής'!$C$2,E6273)),MAX($D$1:D6272)+1,0)</f>
        <v>0</v>
      </c>
      <c r="H6273" s="6">
        <f t="shared" si="305"/>
        <v>0</v>
      </c>
      <c r="I6273" s="6">
        <f t="shared" si="306"/>
        <v>0</v>
      </c>
      <c r="J6273" s="6">
        <f t="shared" si="307"/>
        <v>0</v>
      </c>
      <c r="L6273" s="4" t="str">
        <f>IFERROR(VLOOKUP(ROWS($L$2:L6273),$B$2:$C$1996,2,0),"")</f>
        <v/>
      </c>
      <c r="N6273" s="2" t="str">
        <f>IFERROR(VLOOKUP(ROWS($N$2:N6273),$D$2:$E$1996,2,0),"")</f>
        <v/>
      </c>
    </row>
    <row r="6274" spans="2:14">
      <c r="B6274" s="32">
        <f>IF(ISNUMBER(SEARCH('Φόρμα Εισαγωγής'!$B$2,C6274)),MAX($B$1:B6273)+1,0)</f>
        <v>0</v>
      </c>
      <c r="D6274" s="33">
        <f>IF(ISNUMBER(SEARCH('Φόρμα Εισαγωγής'!$C$2,E6274)),MAX($D$1:D6273)+1,0)</f>
        <v>0</v>
      </c>
      <c r="H6274" s="6">
        <f t="shared" si="305"/>
        <v>0</v>
      </c>
      <c r="I6274" s="6">
        <f t="shared" si="306"/>
        <v>0</v>
      </c>
      <c r="J6274" s="6">
        <f t="shared" si="307"/>
        <v>0</v>
      </c>
      <c r="L6274" s="4" t="str">
        <f>IFERROR(VLOOKUP(ROWS($L$2:L6274),$B$2:$C$1996,2,0),"")</f>
        <v/>
      </c>
      <c r="N6274" s="2" t="str">
        <f>IFERROR(VLOOKUP(ROWS($N$2:N6274),$D$2:$E$1996,2,0),"")</f>
        <v/>
      </c>
    </row>
    <row r="6275" spans="2:14">
      <c r="B6275" s="32">
        <f>IF(ISNUMBER(SEARCH('Φόρμα Εισαγωγής'!$B$2,C6275)),MAX($B$1:B6274)+1,0)</f>
        <v>0</v>
      </c>
      <c r="D6275" s="33">
        <f>IF(ISNUMBER(SEARCH('Φόρμα Εισαγωγής'!$C$2,E6275)),MAX($D$1:D6274)+1,0)</f>
        <v>0</v>
      </c>
      <c r="H6275" s="6">
        <f t="shared" si="305"/>
        <v>0</v>
      </c>
      <c r="I6275" s="6">
        <f t="shared" si="306"/>
        <v>0</v>
      </c>
      <c r="J6275" s="6">
        <f t="shared" si="307"/>
        <v>0</v>
      </c>
      <c r="L6275" s="4" t="str">
        <f>IFERROR(VLOOKUP(ROWS($L$2:L6275),$B$2:$C$1996,2,0),"")</f>
        <v/>
      </c>
      <c r="N6275" s="2" t="str">
        <f>IFERROR(VLOOKUP(ROWS($N$2:N6275),$D$2:$E$1996,2,0),"")</f>
        <v/>
      </c>
    </row>
    <row r="6276" spans="2:14">
      <c r="B6276" s="32">
        <f>IF(ISNUMBER(SEARCH('Φόρμα Εισαγωγής'!$B$2,C6276)),MAX($B$1:B6275)+1,0)</f>
        <v>0</v>
      </c>
      <c r="D6276" s="33">
        <f>IF(ISNUMBER(SEARCH('Φόρμα Εισαγωγής'!$C$2,E6276)),MAX($D$1:D6275)+1,0)</f>
        <v>0</v>
      </c>
      <c r="H6276" s="6">
        <f t="shared" si="305"/>
        <v>0</v>
      </c>
      <c r="I6276" s="6">
        <f t="shared" si="306"/>
        <v>0</v>
      </c>
      <c r="J6276" s="6">
        <f t="shared" si="307"/>
        <v>0</v>
      </c>
      <c r="L6276" s="4" t="str">
        <f>IFERROR(VLOOKUP(ROWS($L$2:L6276),$B$2:$C$1996,2,0),"")</f>
        <v/>
      </c>
      <c r="N6276" s="2" t="str">
        <f>IFERROR(VLOOKUP(ROWS($N$2:N6276),$D$2:$E$1996,2,0),"")</f>
        <v/>
      </c>
    </row>
    <row r="6277" spans="2:14">
      <c r="B6277" s="32">
        <f>IF(ISNUMBER(SEARCH('Φόρμα Εισαγωγής'!$B$2,C6277)),MAX($B$1:B6276)+1,0)</f>
        <v>0</v>
      </c>
      <c r="D6277" s="33">
        <f>IF(ISNUMBER(SEARCH('Φόρμα Εισαγωγής'!$C$2,E6277)),MAX($D$1:D6276)+1,0)</f>
        <v>0</v>
      </c>
      <c r="H6277" s="6">
        <f t="shared" si="305"/>
        <v>0</v>
      </c>
      <c r="I6277" s="6">
        <f t="shared" si="306"/>
        <v>0</v>
      </c>
      <c r="J6277" s="6">
        <f t="shared" si="307"/>
        <v>0</v>
      </c>
      <c r="L6277" s="4" t="str">
        <f>IFERROR(VLOOKUP(ROWS($L$2:L6277),$B$2:$C$1996,2,0),"")</f>
        <v/>
      </c>
      <c r="N6277" s="2" t="str">
        <f>IFERROR(VLOOKUP(ROWS($N$2:N6277),$D$2:$E$1996,2,0),"")</f>
        <v/>
      </c>
    </row>
    <row r="6278" spans="2:14">
      <c r="B6278" s="32">
        <f>IF(ISNUMBER(SEARCH('Φόρμα Εισαγωγής'!$B$2,C6278)),MAX($B$1:B6277)+1,0)</f>
        <v>0</v>
      </c>
      <c r="D6278" s="33">
        <f>IF(ISNUMBER(SEARCH('Φόρμα Εισαγωγής'!$C$2,E6278)),MAX($D$1:D6277)+1,0)</f>
        <v>0</v>
      </c>
      <c r="H6278" s="6">
        <f t="shared" si="305"/>
        <v>0</v>
      </c>
      <c r="I6278" s="6">
        <f t="shared" si="306"/>
        <v>0</v>
      </c>
      <c r="J6278" s="6">
        <f t="shared" si="307"/>
        <v>0</v>
      </c>
      <c r="L6278" s="4" t="str">
        <f>IFERROR(VLOOKUP(ROWS($L$2:L6278),$B$2:$C$1996,2,0),"")</f>
        <v/>
      </c>
      <c r="N6278" s="2" t="str">
        <f>IFERROR(VLOOKUP(ROWS($N$2:N6278),$D$2:$E$1996,2,0),"")</f>
        <v/>
      </c>
    </row>
    <row r="6279" spans="2:14">
      <c r="B6279" s="32">
        <f>IF(ISNUMBER(SEARCH('Φόρμα Εισαγωγής'!$B$2,C6279)),MAX($B$1:B6278)+1,0)</f>
        <v>0</v>
      </c>
      <c r="D6279" s="33">
        <f>IF(ISNUMBER(SEARCH('Φόρμα Εισαγωγής'!$C$2,E6279)),MAX($D$1:D6278)+1,0)</f>
        <v>0</v>
      </c>
      <c r="H6279" s="6">
        <f t="shared" si="305"/>
        <v>0</v>
      </c>
      <c r="I6279" s="6">
        <f t="shared" si="306"/>
        <v>0</v>
      </c>
      <c r="J6279" s="6">
        <f t="shared" si="307"/>
        <v>0</v>
      </c>
      <c r="L6279" s="4" t="str">
        <f>IFERROR(VLOOKUP(ROWS($L$2:L6279),$B$2:$C$1996,2,0),"")</f>
        <v/>
      </c>
      <c r="N6279" s="2" t="str">
        <f>IFERROR(VLOOKUP(ROWS($N$2:N6279),$D$2:$E$1996,2,0),"")</f>
        <v/>
      </c>
    </row>
    <row r="6280" spans="2:14">
      <c r="B6280" s="32">
        <f>IF(ISNUMBER(SEARCH('Φόρμα Εισαγωγής'!$B$2,C6280)),MAX($B$1:B6279)+1,0)</f>
        <v>0</v>
      </c>
      <c r="D6280" s="33">
        <f>IF(ISNUMBER(SEARCH('Φόρμα Εισαγωγής'!$C$2,E6280)),MAX($D$1:D6279)+1,0)</f>
        <v>0</v>
      </c>
      <c r="H6280" s="6">
        <f t="shared" si="305"/>
        <v>0</v>
      </c>
      <c r="I6280" s="6">
        <f t="shared" si="306"/>
        <v>0</v>
      </c>
      <c r="J6280" s="6">
        <f t="shared" si="307"/>
        <v>0</v>
      </c>
      <c r="L6280" s="4" t="str">
        <f>IFERROR(VLOOKUP(ROWS($L$2:L6280),$B$2:$C$1996,2,0),"")</f>
        <v/>
      </c>
      <c r="N6280" s="2" t="str">
        <f>IFERROR(VLOOKUP(ROWS($N$2:N6280),$D$2:$E$1996,2,0),"")</f>
        <v/>
      </c>
    </row>
    <row r="6281" spans="2:14">
      <c r="B6281" s="32">
        <f>IF(ISNUMBER(SEARCH('Φόρμα Εισαγωγής'!$B$2,C6281)),MAX($B$1:B6280)+1,0)</f>
        <v>0</v>
      </c>
      <c r="D6281" s="33">
        <f>IF(ISNUMBER(SEARCH('Φόρμα Εισαγωγής'!$C$2,E6281)),MAX($D$1:D6280)+1,0)</f>
        <v>0</v>
      </c>
      <c r="H6281" s="6">
        <f t="shared" si="305"/>
        <v>0</v>
      </c>
      <c r="I6281" s="6">
        <f t="shared" si="306"/>
        <v>0</v>
      </c>
      <c r="J6281" s="6">
        <f t="shared" si="307"/>
        <v>0</v>
      </c>
      <c r="L6281" s="4" t="str">
        <f>IFERROR(VLOOKUP(ROWS($L$2:L6281),$B$2:$C$1996,2,0),"")</f>
        <v/>
      </c>
      <c r="N6281" s="2" t="str">
        <f>IFERROR(VLOOKUP(ROWS($N$2:N6281),$D$2:$E$1996,2,0),"")</f>
        <v/>
      </c>
    </row>
    <row r="6282" spans="2:14">
      <c r="B6282" s="32">
        <f>IF(ISNUMBER(SEARCH('Φόρμα Εισαγωγής'!$B$2,C6282)),MAX($B$1:B6281)+1,0)</f>
        <v>0</v>
      </c>
      <c r="D6282" s="33">
        <f>IF(ISNUMBER(SEARCH('Φόρμα Εισαγωγής'!$C$2,E6282)),MAX($D$1:D6281)+1,0)</f>
        <v>0</v>
      </c>
      <c r="H6282" s="6">
        <f t="shared" si="305"/>
        <v>0</v>
      </c>
      <c r="I6282" s="6">
        <f t="shared" si="306"/>
        <v>0</v>
      </c>
      <c r="J6282" s="6">
        <f t="shared" si="307"/>
        <v>0</v>
      </c>
      <c r="L6282" s="4" t="str">
        <f>IFERROR(VLOOKUP(ROWS($L$2:L6282),$B$2:$C$1996,2,0),"")</f>
        <v/>
      </c>
      <c r="N6282" s="2" t="str">
        <f>IFERROR(VLOOKUP(ROWS($N$2:N6282),$D$2:$E$1996,2,0),"")</f>
        <v/>
      </c>
    </row>
    <row r="6283" spans="2:14">
      <c r="B6283" s="32">
        <f>IF(ISNUMBER(SEARCH('Φόρμα Εισαγωγής'!$B$2,C6283)),MAX($B$1:B6282)+1,0)</f>
        <v>0</v>
      </c>
      <c r="D6283" s="33">
        <f>IF(ISNUMBER(SEARCH('Φόρμα Εισαγωγής'!$C$2,E6283)),MAX($D$1:D6282)+1,0)</f>
        <v>0</v>
      </c>
      <c r="H6283" s="6">
        <f t="shared" si="305"/>
        <v>0</v>
      </c>
      <c r="I6283" s="6">
        <f t="shared" si="306"/>
        <v>0</v>
      </c>
      <c r="J6283" s="6">
        <f t="shared" si="307"/>
        <v>0</v>
      </c>
      <c r="L6283" s="4" t="str">
        <f>IFERROR(VLOOKUP(ROWS($L$2:L6283),$B$2:$C$1996,2,0),"")</f>
        <v/>
      </c>
      <c r="N6283" s="2" t="str">
        <f>IFERROR(VLOOKUP(ROWS($N$2:N6283),$D$2:$E$1996,2,0),"")</f>
        <v/>
      </c>
    </row>
    <row r="6284" spans="2:14">
      <c r="B6284" s="32">
        <f>IF(ISNUMBER(SEARCH('Φόρμα Εισαγωγής'!$B$2,C6284)),MAX($B$1:B6283)+1,0)</f>
        <v>0</v>
      </c>
      <c r="D6284" s="33">
        <f>IF(ISNUMBER(SEARCH('Φόρμα Εισαγωγής'!$C$2,E6284)),MAX($D$1:D6283)+1,0)</f>
        <v>0</v>
      </c>
      <c r="H6284" s="6">
        <f t="shared" si="305"/>
        <v>0</v>
      </c>
      <c r="I6284" s="6">
        <f t="shared" si="306"/>
        <v>0</v>
      </c>
      <c r="J6284" s="6">
        <f t="shared" si="307"/>
        <v>0</v>
      </c>
      <c r="L6284" s="4" t="str">
        <f>IFERROR(VLOOKUP(ROWS($L$2:L6284),$B$2:$C$1996,2,0),"")</f>
        <v/>
      </c>
      <c r="N6284" s="2" t="str">
        <f>IFERROR(VLOOKUP(ROWS($N$2:N6284),$D$2:$E$1996,2,0),"")</f>
        <v/>
      </c>
    </row>
    <row r="6285" spans="2:14">
      <c r="B6285" s="32">
        <f>IF(ISNUMBER(SEARCH('Φόρμα Εισαγωγής'!$B$2,C6285)),MAX($B$1:B6284)+1,0)</f>
        <v>0</v>
      </c>
      <c r="D6285" s="33">
        <f>IF(ISNUMBER(SEARCH('Φόρμα Εισαγωγής'!$C$2,E6285)),MAX($D$1:D6284)+1,0)</f>
        <v>0</v>
      </c>
      <c r="H6285" s="6">
        <f t="shared" si="305"/>
        <v>0</v>
      </c>
      <c r="I6285" s="6">
        <f t="shared" si="306"/>
        <v>0</v>
      </c>
      <c r="J6285" s="6">
        <f t="shared" si="307"/>
        <v>0</v>
      </c>
      <c r="L6285" s="4" t="str">
        <f>IFERROR(VLOOKUP(ROWS($L$2:L6285),$B$2:$C$1996,2,0),"")</f>
        <v/>
      </c>
      <c r="N6285" s="2" t="str">
        <f>IFERROR(VLOOKUP(ROWS($N$2:N6285),$D$2:$E$1996,2,0),"")</f>
        <v/>
      </c>
    </row>
    <row r="6286" spans="2:14">
      <c r="B6286" s="32">
        <f>IF(ISNUMBER(SEARCH('Φόρμα Εισαγωγής'!$B$2,C6286)),MAX($B$1:B6285)+1,0)</f>
        <v>0</v>
      </c>
      <c r="D6286" s="33">
        <f>IF(ISNUMBER(SEARCH('Φόρμα Εισαγωγής'!$C$2,E6286)),MAX($D$1:D6285)+1,0)</f>
        <v>0</v>
      </c>
      <c r="H6286" s="6">
        <f t="shared" si="305"/>
        <v>0</v>
      </c>
      <c r="I6286" s="6">
        <f t="shared" si="306"/>
        <v>0</v>
      </c>
      <c r="J6286" s="6">
        <f t="shared" si="307"/>
        <v>0</v>
      </c>
      <c r="L6286" s="4" t="str">
        <f>IFERROR(VLOOKUP(ROWS($L$2:L6286),$B$2:$C$1996,2,0),"")</f>
        <v/>
      </c>
      <c r="N6286" s="2" t="str">
        <f>IFERROR(VLOOKUP(ROWS($N$2:N6286),$D$2:$E$1996,2,0),"")</f>
        <v/>
      </c>
    </row>
    <row r="6287" spans="2:14">
      <c r="B6287" s="32">
        <f>IF(ISNUMBER(SEARCH('Φόρμα Εισαγωγής'!$B$2,C6287)),MAX($B$1:B6286)+1,0)</f>
        <v>0</v>
      </c>
      <c r="D6287" s="33">
        <f>IF(ISNUMBER(SEARCH('Φόρμα Εισαγωγής'!$C$2,E6287)),MAX($D$1:D6286)+1,0)</f>
        <v>0</v>
      </c>
      <c r="H6287" s="6">
        <f t="shared" si="305"/>
        <v>0</v>
      </c>
      <c r="I6287" s="6">
        <f t="shared" si="306"/>
        <v>0</v>
      </c>
      <c r="J6287" s="6">
        <f t="shared" si="307"/>
        <v>0</v>
      </c>
      <c r="L6287" s="4" t="str">
        <f>IFERROR(VLOOKUP(ROWS($L$2:L6287),$B$2:$C$1996,2,0),"")</f>
        <v/>
      </c>
      <c r="N6287" s="2" t="str">
        <f>IFERROR(VLOOKUP(ROWS($N$2:N6287),$D$2:$E$1996,2,0),"")</f>
        <v/>
      </c>
    </row>
    <row r="6288" spans="2:14">
      <c r="B6288" s="32">
        <f>IF(ISNUMBER(SEARCH('Φόρμα Εισαγωγής'!$B$2,C6288)),MAX($B$1:B6287)+1,0)</f>
        <v>0</v>
      </c>
      <c r="D6288" s="33">
        <f>IF(ISNUMBER(SEARCH('Φόρμα Εισαγωγής'!$C$2,E6288)),MAX($D$1:D6287)+1,0)</f>
        <v>0</v>
      </c>
      <c r="H6288" s="6">
        <f t="shared" si="305"/>
        <v>0</v>
      </c>
      <c r="I6288" s="6">
        <f t="shared" si="306"/>
        <v>0</v>
      </c>
      <c r="J6288" s="6">
        <f t="shared" si="307"/>
        <v>0</v>
      </c>
      <c r="L6288" s="4" t="str">
        <f>IFERROR(VLOOKUP(ROWS($L$2:L6288),$B$2:$C$1996,2,0),"")</f>
        <v/>
      </c>
      <c r="N6288" s="2" t="str">
        <f>IFERROR(VLOOKUP(ROWS($N$2:N6288),$D$2:$E$1996,2,0),"")</f>
        <v/>
      </c>
    </row>
    <row r="6289" spans="2:14">
      <c r="B6289" s="32">
        <f>IF(ISNUMBER(SEARCH('Φόρμα Εισαγωγής'!$B$2,C6289)),MAX($B$1:B6288)+1,0)</f>
        <v>0</v>
      </c>
      <c r="D6289" s="33">
        <f>IF(ISNUMBER(SEARCH('Φόρμα Εισαγωγής'!$C$2,E6289)),MAX($D$1:D6288)+1,0)</f>
        <v>0</v>
      </c>
      <c r="H6289" s="6">
        <f t="shared" si="305"/>
        <v>0</v>
      </c>
      <c r="I6289" s="6">
        <f t="shared" si="306"/>
        <v>0</v>
      </c>
      <c r="J6289" s="6">
        <f t="shared" si="307"/>
        <v>0</v>
      </c>
      <c r="L6289" s="4" t="str">
        <f>IFERROR(VLOOKUP(ROWS($L$2:L6289),$B$2:$C$1996,2,0),"")</f>
        <v/>
      </c>
      <c r="N6289" s="2" t="str">
        <f>IFERROR(VLOOKUP(ROWS($N$2:N6289),$D$2:$E$1996,2,0),"")</f>
        <v/>
      </c>
    </row>
    <row r="6290" spans="2:14">
      <c r="B6290" s="32">
        <f>IF(ISNUMBER(SEARCH('Φόρμα Εισαγωγής'!$B$2,C6290)),MAX($B$1:B6289)+1,0)</f>
        <v>0</v>
      </c>
      <c r="D6290" s="33">
        <f>IF(ISNUMBER(SEARCH('Φόρμα Εισαγωγής'!$C$2,E6290)),MAX($D$1:D6289)+1,0)</f>
        <v>0</v>
      </c>
      <c r="H6290" s="6">
        <f t="shared" si="305"/>
        <v>0</v>
      </c>
      <c r="I6290" s="6">
        <f t="shared" si="306"/>
        <v>0</v>
      </c>
      <c r="J6290" s="6">
        <f t="shared" si="307"/>
        <v>0</v>
      </c>
      <c r="L6290" s="4" t="str">
        <f>IFERROR(VLOOKUP(ROWS($L$2:L6290),$B$2:$C$1996,2,0),"")</f>
        <v/>
      </c>
      <c r="N6290" s="2" t="str">
        <f>IFERROR(VLOOKUP(ROWS($N$2:N6290),$D$2:$E$1996,2,0),"")</f>
        <v/>
      </c>
    </row>
    <row r="6291" spans="2:14">
      <c r="B6291" s="32">
        <f>IF(ISNUMBER(SEARCH('Φόρμα Εισαγωγής'!$B$2,C6291)),MAX($B$1:B6290)+1,0)</f>
        <v>0</v>
      </c>
      <c r="D6291" s="33">
        <f>IF(ISNUMBER(SEARCH('Φόρμα Εισαγωγής'!$C$2,E6291)),MAX($D$1:D6290)+1,0)</f>
        <v>0</v>
      </c>
      <c r="H6291" s="6">
        <f t="shared" si="305"/>
        <v>0</v>
      </c>
      <c r="I6291" s="6">
        <f t="shared" si="306"/>
        <v>0</v>
      </c>
      <c r="J6291" s="6">
        <f t="shared" si="307"/>
        <v>0</v>
      </c>
      <c r="L6291" s="4" t="str">
        <f>IFERROR(VLOOKUP(ROWS($L$2:L6291),$B$2:$C$1996,2,0),"")</f>
        <v/>
      </c>
      <c r="N6291" s="2" t="str">
        <f>IFERROR(VLOOKUP(ROWS($N$2:N6291),$D$2:$E$1996,2,0),"")</f>
        <v/>
      </c>
    </row>
    <row r="6292" spans="2:14">
      <c r="B6292" s="32">
        <f>IF(ISNUMBER(SEARCH('Φόρμα Εισαγωγής'!$B$2,C6292)),MAX($B$1:B6291)+1,0)</f>
        <v>0</v>
      </c>
      <c r="D6292" s="33">
        <f>IF(ISNUMBER(SEARCH('Φόρμα Εισαγωγής'!$C$2,E6292)),MAX($D$1:D6291)+1,0)</f>
        <v>0</v>
      </c>
      <c r="H6292" s="6">
        <f t="shared" si="305"/>
        <v>0</v>
      </c>
      <c r="I6292" s="6">
        <f t="shared" si="306"/>
        <v>0</v>
      </c>
      <c r="J6292" s="6">
        <f t="shared" si="307"/>
        <v>0</v>
      </c>
      <c r="L6292" s="4" t="str">
        <f>IFERROR(VLOOKUP(ROWS($L$2:L6292),$B$2:$C$1996,2,0),"")</f>
        <v/>
      </c>
      <c r="N6292" s="2" t="str">
        <f>IFERROR(VLOOKUP(ROWS($N$2:N6292),$D$2:$E$1996,2,0),"")</f>
        <v/>
      </c>
    </row>
    <row r="6293" spans="2:14">
      <c r="B6293" s="32">
        <f>IF(ISNUMBER(SEARCH('Φόρμα Εισαγωγής'!$B$2,C6293)),MAX($B$1:B6292)+1,0)</f>
        <v>0</v>
      </c>
      <c r="D6293" s="33">
        <f>IF(ISNUMBER(SEARCH('Φόρμα Εισαγωγής'!$C$2,E6293)),MAX($D$1:D6292)+1,0)</f>
        <v>0</v>
      </c>
      <c r="H6293" s="6">
        <f t="shared" si="305"/>
        <v>0</v>
      </c>
      <c r="I6293" s="6">
        <f t="shared" si="306"/>
        <v>0</v>
      </c>
      <c r="J6293" s="6">
        <f t="shared" si="307"/>
        <v>0</v>
      </c>
      <c r="L6293" s="4" t="str">
        <f>IFERROR(VLOOKUP(ROWS($L$2:L6293),$B$2:$C$1996,2,0),"")</f>
        <v/>
      </c>
      <c r="N6293" s="2" t="str">
        <f>IFERROR(VLOOKUP(ROWS($N$2:N6293),$D$2:$E$1996,2,0),"")</f>
        <v/>
      </c>
    </row>
    <row r="6294" spans="2:14">
      <c r="B6294" s="32">
        <f>IF(ISNUMBER(SEARCH('Φόρμα Εισαγωγής'!$B$2,C6294)),MAX($B$1:B6293)+1,0)</f>
        <v>0</v>
      </c>
      <c r="D6294" s="33">
        <f>IF(ISNUMBER(SEARCH('Φόρμα Εισαγωγής'!$C$2,E6294)),MAX($D$1:D6293)+1,0)</f>
        <v>0</v>
      </c>
      <c r="H6294" s="6">
        <f t="shared" si="305"/>
        <v>0</v>
      </c>
      <c r="I6294" s="6">
        <f t="shared" si="306"/>
        <v>0</v>
      </c>
      <c r="J6294" s="6">
        <f t="shared" si="307"/>
        <v>0</v>
      </c>
      <c r="L6294" s="4" t="str">
        <f>IFERROR(VLOOKUP(ROWS($L$2:L6294),$B$2:$C$1996,2,0),"")</f>
        <v/>
      </c>
      <c r="N6294" s="2" t="str">
        <f>IFERROR(VLOOKUP(ROWS($N$2:N6294),$D$2:$E$1996,2,0),"")</f>
        <v/>
      </c>
    </row>
    <row r="6295" spans="2:14">
      <c r="B6295" s="32">
        <f>IF(ISNUMBER(SEARCH('Φόρμα Εισαγωγής'!$B$2,C6295)),MAX($B$1:B6294)+1,0)</f>
        <v>0</v>
      </c>
      <c r="D6295" s="33">
        <f>IF(ISNUMBER(SEARCH('Φόρμα Εισαγωγής'!$C$2,E6295)),MAX($D$1:D6294)+1,0)</f>
        <v>0</v>
      </c>
      <c r="H6295" s="6">
        <f t="shared" si="305"/>
        <v>0</v>
      </c>
      <c r="I6295" s="6">
        <f t="shared" si="306"/>
        <v>0</v>
      </c>
      <c r="J6295" s="6">
        <f t="shared" si="307"/>
        <v>0</v>
      </c>
      <c r="L6295" s="4" t="str">
        <f>IFERROR(VLOOKUP(ROWS($L$2:L6295),$B$2:$C$1996,2,0),"")</f>
        <v/>
      </c>
      <c r="N6295" s="2" t="str">
        <f>IFERROR(VLOOKUP(ROWS($N$2:N6295),$D$2:$E$1996,2,0),"")</f>
        <v/>
      </c>
    </row>
    <row r="6296" spans="2:14">
      <c r="B6296" s="32">
        <f>IF(ISNUMBER(SEARCH('Φόρμα Εισαγωγής'!$B$2,C6296)),MAX($B$1:B6295)+1,0)</f>
        <v>0</v>
      </c>
      <c r="D6296" s="33">
        <f>IF(ISNUMBER(SEARCH('Φόρμα Εισαγωγής'!$C$2,E6296)),MAX($D$1:D6295)+1,0)</f>
        <v>0</v>
      </c>
      <c r="H6296" s="6">
        <f t="shared" si="305"/>
        <v>0</v>
      </c>
      <c r="I6296" s="6">
        <f t="shared" si="306"/>
        <v>0</v>
      </c>
      <c r="J6296" s="6">
        <f t="shared" si="307"/>
        <v>0</v>
      </c>
      <c r="L6296" s="4" t="str">
        <f>IFERROR(VLOOKUP(ROWS($L$2:L6296),$B$2:$C$1996,2,0),"")</f>
        <v/>
      </c>
      <c r="N6296" s="2" t="str">
        <f>IFERROR(VLOOKUP(ROWS($N$2:N6296),$D$2:$E$1996,2,0),"")</f>
        <v/>
      </c>
    </row>
    <row r="6297" spans="2:14">
      <c r="B6297" s="32">
        <f>IF(ISNUMBER(SEARCH('Φόρμα Εισαγωγής'!$B$2,C6297)),MAX($B$1:B6296)+1,0)</f>
        <v>0</v>
      </c>
      <c r="D6297" s="33">
        <f>IF(ISNUMBER(SEARCH('Φόρμα Εισαγωγής'!$C$2,E6297)),MAX($D$1:D6296)+1,0)</f>
        <v>0</v>
      </c>
      <c r="H6297" s="6">
        <f t="shared" si="305"/>
        <v>0</v>
      </c>
      <c r="I6297" s="6">
        <f t="shared" si="306"/>
        <v>0</v>
      </c>
      <c r="J6297" s="6">
        <f t="shared" si="307"/>
        <v>0</v>
      </c>
      <c r="L6297" s="4" t="str">
        <f>IFERROR(VLOOKUP(ROWS($L$2:L6297),$B$2:$C$1996,2,0),"")</f>
        <v/>
      </c>
      <c r="N6297" s="2" t="str">
        <f>IFERROR(VLOOKUP(ROWS($N$2:N6297),$D$2:$E$1996,2,0),"")</f>
        <v/>
      </c>
    </row>
    <row r="6298" spans="2:14">
      <c r="B6298" s="32">
        <f>IF(ISNUMBER(SEARCH('Φόρμα Εισαγωγής'!$B$2,C6298)),MAX($B$1:B6297)+1,0)</f>
        <v>0</v>
      </c>
      <c r="D6298" s="33">
        <f>IF(ISNUMBER(SEARCH('Φόρμα Εισαγωγής'!$C$2,E6298)),MAX($D$1:D6297)+1,0)</f>
        <v>0</v>
      </c>
      <c r="H6298" s="6">
        <f t="shared" si="305"/>
        <v>0</v>
      </c>
      <c r="I6298" s="6">
        <f t="shared" si="306"/>
        <v>0</v>
      </c>
      <c r="J6298" s="6">
        <f t="shared" si="307"/>
        <v>0</v>
      </c>
      <c r="L6298" s="4" t="str">
        <f>IFERROR(VLOOKUP(ROWS($L$2:L6298),$B$2:$C$1996,2,0),"")</f>
        <v/>
      </c>
      <c r="N6298" s="2" t="str">
        <f>IFERROR(VLOOKUP(ROWS($N$2:N6298),$D$2:$E$1996,2,0),"")</f>
        <v/>
      </c>
    </row>
    <row r="6299" spans="2:14">
      <c r="B6299" s="32">
        <f>IF(ISNUMBER(SEARCH('Φόρμα Εισαγωγής'!$B$2,C6299)),MAX($B$1:B6298)+1,0)</f>
        <v>0</v>
      </c>
      <c r="D6299" s="33">
        <f>IF(ISNUMBER(SEARCH('Φόρμα Εισαγωγής'!$C$2,E6299)),MAX($D$1:D6298)+1,0)</f>
        <v>0</v>
      </c>
      <c r="H6299" s="6">
        <f t="shared" si="305"/>
        <v>0</v>
      </c>
      <c r="I6299" s="6">
        <f t="shared" si="306"/>
        <v>0</v>
      </c>
      <c r="J6299" s="6">
        <f t="shared" si="307"/>
        <v>0</v>
      </c>
      <c r="L6299" s="4" t="str">
        <f>IFERROR(VLOOKUP(ROWS($L$2:L6299),$B$2:$C$1996,2,0),"")</f>
        <v/>
      </c>
      <c r="N6299" s="2" t="str">
        <f>IFERROR(VLOOKUP(ROWS($N$2:N6299),$D$2:$E$1996,2,0),"")</f>
        <v/>
      </c>
    </row>
    <row r="6300" spans="2:14">
      <c r="B6300" s="32">
        <f>IF(ISNUMBER(SEARCH('Φόρμα Εισαγωγής'!$B$2,C6300)),MAX($B$1:B6299)+1,0)</f>
        <v>0</v>
      </c>
      <c r="D6300" s="33">
        <f>IF(ISNUMBER(SEARCH('Φόρμα Εισαγωγής'!$C$2,E6300)),MAX($D$1:D6299)+1,0)</f>
        <v>0</v>
      </c>
      <c r="H6300" s="6">
        <f t="shared" si="305"/>
        <v>0</v>
      </c>
      <c r="I6300" s="6">
        <f t="shared" si="306"/>
        <v>0</v>
      </c>
      <c r="J6300" s="6">
        <f t="shared" si="307"/>
        <v>0</v>
      </c>
      <c r="L6300" s="4" t="str">
        <f>IFERROR(VLOOKUP(ROWS($L$2:L6300),$B$2:$C$1996,2,0),"")</f>
        <v/>
      </c>
      <c r="N6300" s="2" t="str">
        <f>IFERROR(VLOOKUP(ROWS($N$2:N6300),$D$2:$E$1996,2,0),"")</f>
        <v/>
      </c>
    </row>
    <row r="6301" spans="2:14">
      <c r="B6301" s="32">
        <f>IF(ISNUMBER(SEARCH('Φόρμα Εισαγωγής'!$B$2,C6301)),MAX($B$1:B6300)+1,0)</f>
        <v>0</v>
      </c>
      <c r="D6301" s="33">
        <f>IF(ISNUMBER(SEARCH('Φόρμα Εισαγωγής'!$C$2,E6301)),MAX($D$1:D6300)+1,0)</f>
        <v>0</v>
      </c>
      <c r="H6301" s="6">
        <f t="shared" si="305"/>
        <v>0</v>
      </c>
      <c r="I6301" s="6">
        <f t="shared" si="306"/>
        <v>0</v>
      </c>
      <c r="J6301" s="6">
        <f t="shared" si="307"/>
        <v>0</v>
      </c>
      <c r="L6301" s="4" t="str">
        <f>IFERROR(VLOOKUP(ROWS($L$2:L6301),$B$2:$C$1996,2,0),"")</f>
        <v/>
      </c>
      <c r="N6301" s="2" t="str">
        <f>IFERROR(VLOOKUP(ROWS($N$2:N6301),$D$2:$E$1996,2,0),"")</f>
        <v/>
      </c>
    </row>
    <row r="6302" spans="2:14">
      <c r="B6302" s="32">
        <f>IF(ISNUMBER(SEARCH('Φόρμα Εισαγωγής'!$B$2,C6302)),MAX($B$1:B6301)+1,0)</f>
        <v>0</v>
      </c>
      <c r="D6302" s="33">
        <f>IF(ISNUMBER(SEARCH('Φόρμα Εισαγωγής'!$C$2,E6302)),MAX($D$1:D6301)+1,0)</f>
        <v>0</v>
      </c>
      <c r="H6302" s="6">
        <f t="shared" si="305"/>
        <v>0</v>
      </c>
      <c r="I6302" s="6">
        <f t="shared" si="306"/>
        <v>0</v>
      </c>
      <c r="J6302" s="6">
        <f t="shared" si="307"/>
        <v>0</v>
      </c>
      <c r="L6302" s="4" t="str">
        <f>IFERROR(VLOOKUP(ROWS($L$2:L6302),$B$2:$C$1996,2,0),"")</f>
        <v/>
      </c>
      <c r="N6302" s="2" t="str">
        <f>IFERROR(VLOOKUP(ROWS($N$2:N6302),$D$2:$E$1996,2,0),"")</f>
        <v/>
      </c>
    </row>
    <row r="6303" spans="2:14">
      <c r="B6303" s="32">
        <f>IF(ISNUMBER(SEARCH('Φόρμα Εισαγωγής'!$B$2,C6303)),MAX($B$1:B6302)+1,0)</f>
        <v>0</v>
      </c>
      <c r="D6303" s="33">
        <f>IF(ISNUMBER(SEARCH('Φόρμα Εισαγωγής'!$C$2,E6303)),MAX($D$1:D6302)+1,0)</f>
        <v>0</v>
      </c>
      <c r="H6303" s="6">
        <f t="shared" si="305"/>
        <v>0</v>
      </c>
      <c r="I6303" s="6">
        <f t="shared" si="306"/>
        <v>0</v>
      </c>
      <c r="J6303" s="6">
        <f t="shared" si="307"/>
        <v>0</v>
      </c>
      <c r="L6303" s="4" t="str">
        <f>IFERROR(VLOOKUP(ROWS($L$2:L6303),$B$2:$C$1996,2,0),"")</f>
        <v/>
      </c>
      <c r="N6303" s="2" t="str">
        <f>IFERROR(VLOOKUP(ROWS($N$2:N6303),$D$2:$E$1996,2,0),"")</f>
        <v/>
      </c>
    </row>
    <row r="6304" spans="2:14">
      <c r="B6304" s="32">
        <f>IF(ISNUMBER(SEARCH('Φόρμα Εισαγωγής'!$B$2,C6304)),MAX($B$1:B6303)+1,0)</f>
        <v>0</v>
      </c>
      <c r="D6304" s="33">
        <f>IF(ISNUMBER(SEARCH('Φόρμα Εισαγωγής'!$C$2,E6304)),MAX($D$1:D6303)+1,0)</f>
        <v>0</v>
      </c>
      <c r="H6304" s="6">
        <f t="shared" si="305"/>
        <v>0</v>
      </c>
      <c r="I6304" s="6">
        <f t="shared" si="306"/>
        <v>0</v>
      </c>
      <c r="J6304" s="6">
        <f t="shared" si="307"/>
        <v>0</v>
      </c>
      <c r="L6304" s="4" t="str">
        <f>IFERROR(VLOOKUP(ROWS($L$2:L6304),$B$2:$C$1996,2,0),"")</f>
        <v/>
      </c>
      <c r="N6304" s="2" t="str">
        <f>IFERROR(VLOOKUP(ROWS($N$2:N6304),$D$2:$E$1996,2,0),"")</f>
        <v/>
      </c>
    </row>
    <row r="6305" spans="2:14">
      <c r="B6305" s="32">
        <f>IF(ISNUMBER(SEARCH('Φόρμα Εισαγωγής'!$B$2,C6305)),MAX($B$1:B6304)+1,0)</f>
        <v>0</v>
      </c>
      <c r="D6305" s="33">
        <f>IF(ISNUMBER(SEARCH('Φόρμα Εισαγωγής'!$C$2,E6305)),MAX($D$1:D6304)+1,0)</f>
        <v>0</v>
      </c>
      <c r="H6305" s="6">
        <f t="shared" si="305"/>
        <v>0</v>
      </c>
      <c r="I6305" s="6">
        <f t="shared" si="306"/>
        <v>0</v>
      </c>
      <c r="J6305" s="6">
        <f t="shared" si="307"/>
        <v>0</v>
      </c>
      <c r="L6305" s="4" t="str">
        <f>IFERROR(VLOOKUP(ROWS($L$2:L6305),$B$2:$C$1996,2,0),"")</f>
        <v/>
      </c>
      <c r="N6305" s="2" t="str">
        <f>IFERROR(VLOOKUP(ROWS($N$2:N6305),$D$2:$E$1996,2,0),"")</f>
        <v/>
      </c>
    </row>
    <row r="6306" spans="2:14">
      <c r="B6306" s="32">
        <f>IF(ISNUMBER(SEARCH('Φόρμα Εισαγωγής'!$B$2,C6306)),MAX($B$1:B6305)+1,0)</f>
        <v>0</v>
      </c>
      <c r="D6306" s="33">
        <f>IF(ISNUMBER(SEARCH('Φόρμα Εισαγωγής'!$C$2,E6306)),MAX($D$1:D6305)+1,0)</f>
        <v>0</v>
      </c>
      <c r="H6306" s="6">
        <f t="shared" si="305"/>
        <v>0</v>
      </c>
      <c r="I6306" s="6">
        <f t="shared" si="306"/>
        <v>0</v>
      </c>
      <c r="J6306" s="6">
        <f t="shared" si="307"/>
        <v>0</v>
      </c>
      <c r="L6306" s="4" t="str">
        <f>IFERROR(VLOOKUP(ROWS($L$2:L6306),$B$2:$C$1996,2,0),"")</f>
        <v/>
      </c>
      <c r="N6306" s="2" t="str">
        <f>IFERROR(VLOOKUP(ROWS($N$2:N6306),$D$2:$E$1996,2,0),"")</f>
        <v/>
      </c>
    </row>
    <row r="6307" spans="2:14">
      <c r="B6307" s="32">
        <f>IF(ISNUMBER(SEARCH('Φόρμα Εισαγωγής'!$B$2,C6307)),MAX($B$1:B6306)+1,0)</f>
        <v>0</v>
      </c>
      <c r="D6307" s="33">
        <f>IF(ISNUMBER(SEARCH('Φόρμα Εισαγωγής'!$C$2,E6307)),MAX($D$1:D6306)+1,0)</f>
        <v>0</v>
      </c>
      <c r="H6307" s="6">
        <f t="shared" si="305"/>
        <v>0</v>
      </c>
      <c r="I6307" s="6">
        <f t="shared" si="306"/>
        <v>0</v>
      </c>
      <c r="J6307" s="6">
        <f t="shared" si="307"/>
        <v>0</v>
      </c>
      <c r="L6307" s="4" t="str">
        <f>IFERROR(VLOOKUP(ROWS($L$2:L6307),$B$2:$C$1996,2,0),"")</f>
        <v/>
      </c>
      <c r="N6307" s="2" t="str">
        <f>IFERROR(VLOOKUP(ROWS($N$2:N6307),$D$2:$E$1996,2,0),"")</f>
        <v/>
      </c>
    </row>
    <row r="6308" spans="2:14">
      <c r="B6308" s="32">
        <f>IF(ISNUMBER(SEARCH('Φόρμα Εισαγωγής'!$B$2,C6308)),MAX($B$1:B6307)+1,0)</f>
        <v>0</v>
      </c>
      <c r="D6308" s="33">
        <f>IF(ISNUMBER(SEARCH('Φόρμα Εισαγωγής'!$C$2,E6308)),MAX($D$1:D6307)+1,0)</f>
        <v>0</v>
      </c>
      <c r="H6308" s="6">
        <f t="shared" si="305"/>
        <v>0</v>
      </c>
      <c r="I6308" s="6">
        <f t="shared" si="306"/>
        <v>0</v>
      </c>
      <c r="J6308" s="6">
        <f t="shared" si="307"/>
        <v>0</v>
      </c>
      <c r="L6308" s="4" t="str">
        <f>IFERROR(VLOOKUP(ROWS($L$2:L6308),$B$2:$C$1996,2,0),"")</f>
        <v/>
      </c>
      <c r="N6308" s="2" t="str">
        <f>IFERROR(VLOOKUP(ROWS($N$2:N6308),$D$2:$E$1996,2,0),"")</f>
        <v/>
      </c>
    </row>
    <row r="6309" spans="2:14">
      <c r="B6309" s="32">
        <f>IF(ISNUMBER(SEARCH('Φόρμα Εισαγωγής'!$B$2,C6309)),MAX($B$1:B6308)+1,0)</f>
        <v>0</v>
      </c>
      <c r="D6309" s="33">
        <f>IF(ISNUMBER(SEARCH('Φόρμα Εισαγωγής'!$C$2,E6309)),MAX($D$1:D6308)+1,0)</f>
        <v>0</v>
      </c>
      <c r="H6309" s="6">
        <f t="shared" si="305"/>
        <v>0</v>
      </c>
      <c r="I6309" s="6">
        <f t="shared" si="306"/>
        <v>0</v>
      </c>
      <c r="J6309" s="6">
        <f t="shared" si="307"/>
        <v>0</v>
      </c>
      <c r="L6309" s="4" t="str">
        <f>IFERROR(VLOOKUP(ROWS($L$2:L6309),$B$2:$C$1996,2,0),"")</f>
        <v/>
      </c>
      <c r="N6309" s="2" t="str">
        <f>IFERROR(VLOOKUP(ROWS($N$2:N6309),$D$2:$E$1996,2,0),"")</f>
        <v/>
      </c>
    </row>
    <row r="6310" spans="2:14">
      <c r="B6310" s="32">
        <f>IF(ISNUMBER(SEARCH('Φόρμα Εισαγωγής'!$B$2,C6310)),MAX($B$1:B6309)+1,0)</f>
        <v>0</v>
      </c>
      <c r="D6310" s="33">
        <f>IF(ISNUMBER(SEARCH('Φόρμα Εισαγωγής'!$C$2,E6310)),MAX($D$1:D6309)+1,0)</f>
        <v>0</v>
      </c>
      <c r="H6310" s="6">
        <f t="shared" si="305"/>
        <v>0</v>
      </c>
      <c r="I6310" s="6">
        <f t="shared" si="306"/>
        <v>0</v>
      </c>
      <c r="J6310" s="6">
        <f t="shared" si="307"/>
        <v>0</v>
      </c>
      <c r="L6310" s="4" t="str">
        <f>IFERROR(VLOOKUP(ROWS($L$2:L6310),$B$2:$C$1996,2,0),"")</f>
        <v/>
      </c>
      <c r="N6310" s="2" t="str">
        <f>IFERROR(VLOOKUP(ROWS($N$2:N6310),$D$2:$E$1996,2,0),"")</f>
        <v/>
      </c>
    </row>
    <row r="6311" spans="2:14">
      <c r="B6311" s="32">
        <f>IF(ISNUMBER(SEARCH('Φόρμα Εισαγωγής'!$B$2,C6311)),MAX($B$1:B6310)+1,0)</f>
        <v>0</v>
      </c>
      <c r="D6311" s="33">
        <f>IF(ISNUMBER(SEARCH('Φόρμα Εισαγωγής'!$C$2,E6311)),MAX($D$1:D6310)+1,0)</f>
        <v>0</v>
      </c>
      <c r="H6311" s="6">
        <f t="shared" si="305"/>
        <v>0</v>
      </c>
      <c r="I6311" s="6">
        <f t="shared" si="306"/>
        <v>0</v>
      </c>
      <c r="J6311" s="6">
        <f t="shared" si="307"/>
        <v>0</v>
      </c>
      <c r="L6311" s="4" t="str">
        <f>IFERROR(VLOOKUP(ROWS($L$2:L6311),$B$2:$C$1996,2,0),"")</f>
        <v/>
      </c>
      <c r="N6311" s="2" t="str">
        <f>IFERROR(VLOOKUP(ROWS($N$2:N6311),$D$2:$E$1996,2,0),"")</f>
        <v/>
      </c>
    </row>
    <row r="6312" spans="2:14">
      <c r="B6312" s="32">
        <f>IF(ISNUMBER(SEARCH('Φόρμα Εισαγωγής'!$B$2,C6312)),MAX($B$1:B6311)+1,0)</f>
        <v>0</v>
      </c>
      <c r="D6312" s="33">
        <f>IF(ISNUMBER(SEARCH('Φόρμα Εισαγωγής'!$C$2,E6312)),MAX($D$1:D6311)+1,0)</f>
        <v>0</v>
      </c>
      <c r="H6312" s="6">
        <f t="shared" si="305"/>
        <v>0</v>
      </c>
      <c r="I6312" s="6">
        <f t="shared" si="306"/>
        <v>0</v>
      </c>
      <c r="J6312" s="6">
        <f t="shared" si="307"/>
        <v>0</v>
      </c>
      <c r="L6312" s="4" t="str">
        <f>IFERROR(VLOOKUP(ROWS($L$2:L6312),$B$2:$C$1996,2,0),"")</f>
        <v/>
      </c>
      <c r="N6312" s="2" t="str">
        <f>IFERROR(VLOOKUP(ROWS($N$2:N6312),$D$2:$E$1996,2,0),"")</f>
        <v/>
      </c>
    </row>
    <row r="6313" spans="2:14">
      <c r="B6313" s="32">
        <f>IF(ISNUMBER(SEARCH('Φόρμα Εισαγωγής'!$B$2,C6313)),MAX($B$1:B6312)+1,0)</f>
        <v>0</v>
      </c>
      <c r="D6313" s="33">
        <f>IF(ISNUMBER(SEARCH('Φόρμα Εισαγωγής'!$C$2,E6313)),MAX($D$1:D6312)+1,0)</f>
        <v>0</v>
      </c>
      <c r="H6313" s="6">
        <f t="shared" si="305"/>
        <v>0</v>
      </c>
      <c r="I6313" s="6">
        <f t="shared" si="306"/>
        <v>0</v>
      </c>
      <c r="J6313" s="6">
        <f t="shared" si="307"/>
        <v>0</v>
      </c>
      <c r="L6313" s="4" t="str">
        <f>IFERROR(VLOOKUP(ROWS($L$2:L6313),$B$2:$C$1996,2,0),"")</f>
        <v/>
      </c>
      <c r="N6313" s="2" t="str">
        <f>IFERROR(VLOOKUP(ROWS($N$2:N6313),$D$2:$E$1996,2,0),"")</f>
        <v/>
      </c>
    </row>
    <row r="6314" spans="2:14">
      <c r="B6314" s="32">
        <f>IF(ISNUMBER(SEARCH('Φόρμα Εισαγωγής'!$B$2,C6314)),MAX($B$1:B6313)+1,0)</f>
        <v>0</v>
      </c>
      <c r="D6314" s="33">
        <f>IF(ISNUMBER(SEARCH('Φόρμα Εισαγωγής'!$C$2,E6314)),MAX($D$1:D6313)+1,0)</f>
        <v>0</v>
      </c>
      <c r="H6314" s="6">
        <f t="shared" si="305"/>
        <v>0</v>
      </c>
      <c r="I6314" s="6">
        <f t="shared" si="306"/>
        <v>0</v>
      </c>
      <c r="J6314" s="6">
        <f t="shared" si="307"/>
        <v>0</v>
      </c>
      <c r="L6314" s="4" t="str">
        <f>IFERROR(VLOOKUP(ROWS($L$2:L6314),$B$2:$C$1996,2,0),"")</f>
        <v/>
      </c>
      <c r="N6314" s="2" t="str">
        <f>IFERROR(VLOOKUP(ROWS($N$2:N6314),$D$2:$E$1996,2,0),"")</f>
        <v/>
      </c>
    </row>
    <row r="6315" spans="2:14">
      <c r="B6315" s="32">
        <f>IF(ISNUMBER(SEARCH('Φόρμα Εισαγωγής'!$B$2,C6315)),MAX($B$1:B6314)+1,0)</f>
        <v>0</v>
      </c>
      <c r="D6315" s="33">
        <f>IF(ISNUMBER(SEARCH('Φόρμα Εισαγωγής'!$C$2,E6315)),MAX($D$1:D6314)+1,0)</f>
        <v>0</v>
      </c>
      <c r="H6315" s="6">
        <f t="shared" si="305"/>
        <v>0</v>
      </c>
      <c r="I6315" s="6">
        <f t="shared" si="306"/>
        <v>0</v>
      </c>
      <c r="J6315" s="6">
        <f t="shared" si="307"/>
        <v>0</v>
      </c>
      <c r="L6315" s="4" t="str">
        <f>IFERROR(VLOOKUP(ROWS($L$2:L6315),$B$2:$C$1996,2,0),"")</f>
        <v/>
      </c>
      <c r="N6315" s="2" t="str">
        <f>IFERROR(VLOOKUP(ROWS($N$2:N6315),$D$2:$E$1996,2,0),"")</f>
        <v/>
      </c>
    </row>
    <row r="6316" spans="2:14">
      <c r="B6316" s="32">
        <f>IF(ISNUMBER(SEARCH('Φόρμα Εισαγωγής'!$B$2,C6316)),MAX($B$1:B6315)+1,0)</f>
        <v>0</v>
      </c>
      <c r="D6316" s="33">
        <f>IF(ISNUMBER(SEARCH('Φόρμα Εισαγωγής'!$C$2,E6316)),MAX($D$1:D6315)+1,0)</f>
        <v>0</v>
      </c>
      <c r="H6316" s="6">
        <f t="shared" si="305"/>
        <v>0</v>
      </c>
      <c r="I6316" s="6">
        <f t="shared" si="306"/>
        <v>0</v>
      </c>
      <c r="J6316" s="6">
        <f t="shared" si="307"/>
        <v>0</v>
      </c>
      <c r="L6316" s="4" t="str">
        <f>IFERROR(VLOOKUP(ROWS($L$2:L6316),$B$2:$C$1996,2,0),"")</f>
        <v/>
      </c>
      <c r="N6316" s="2" t="str">
        <f>IFERROR(VLOOKUP(ROWS($N$2:N6316),$D$2:$E$1996,2,0),"")</f>
        <v/>
      </c>
    </row>
    <row r="6317" spans="2:14">
      <c r="B6317" s="32">
        <f>IF(ISNUMBER(SEARCH('Φόρμα Εισαγωγής'!$B$2,C6317)),MAX($B$1:B6316)+1,0)</f>
        <v>0</v>
      </c>
      <c r="D6317" s="33">
        <f>IF(ISNUMBER(SEARCH('Φόρμα Εισαγωγής'!$C$2,E6317)),MAX($D$1:D6316)+1,0)</f>
        <v>0</v>
      </c>
      <c r="H6317" s="6">
        <f t="shared" si="305"/>
        <v>0</v>
      </c>
      <c r="I6317" s="6">
        <f t="shared" si="306"/>
        <v>0</v>
      </c>
      <c r="J6317" s="6">
        <f t="shared" si="307"/>
        <v>0</v>
      </c>
      <c r="L6317" s="4" t="str">
        <f>IFERROR(VLOOKUP(ROWS($L$2:L6317),$B$2:$C$1996,2,0),"")</f>
        <v/>
      </c>
      <c r="N6317" s="2" t="str">
        <f>IFERROR(VLOOKUP(ROWS($N$2:N6317),$D$2:$E$1996,2,0),"")</f>
        <v/>
      </c>
    </row>
    <row r="6318" spans="2:14">
      <c r="B6318" s="32">
        <f>IF(ISNUMBER(SEARCH('Φόρμα Εισαγωγής'!$B$2,C6318)),MAX($B$1:B6317)+1,0)</f>
        <v>0</v>
      </c>
      <c r="D6318" s="33">
        <f>IF(ISNUMBER(SEARCH('Φόρμα Εισαγωγής'!$C$2,E6318)),MAX($D$1:D6317)+1,0)</f>
        <v>0</v>
      </c>
      <c r="H6318" s="6">
        <f t="shared" si="305"/>
        <v>0</v>
      </c>
      <c r="I6318" s="6">
        <f t="shared" si="306"/>
        <v>0</v>
      </c>
      <c r="J6318" s="6">
        <f t="shared" si="307"/>
        <v>0</v>
      </c>
      <c r="L6318" s="4" t="str">
        <f>IFERROR(VLOOKUP(ROWS($L$2:L6318),$B$2:$C$1996,2,0),"")</f>
        <v/>
      </c>
      <c r="N6318" s="2" t="str">
        <f>IFERROR(VLOOKUP(ROWS($N$2:N6318),$D$2:$E$1996,2,0),"")</f>
        <v/>
      </c>
    </row>
    <row r="6319" spans="2:14">
      <c r="B6319" s="32">
        <f>IF(ISNUMBER(SEARCH('Φόρμα Εισαγωγής'!$B$2,C6319)),MAX($B$1:B6318)+1,0)</f>
        <v>0</v>
      </c>
      <c r="D6319" s="33">
        <f>IF(ISNUMBER(SEARCH('Φόρμα Εισαγωγής'!$C$2,E6319)),MAX($D$1:D6318)+1,0)</f>
        <v>0</v>
      </c>
      <c r="H6319" s="6">
        <f t="shared" si="305"/>
        <v>0</v>
      </c>
      <c r="I6319" s="6">
        <f t="shared" si="306"/>
        <v>0</v>
      </c>
      <c r="J6319" s="6">
        <f t="shared" si="307"/>
        <v>0</v>
      </c>
      <c r="L6319" s="4" t="str">
        <f>IFERROR(VLOOKUP(ROWS($L$2:L6319),$B$2:$C$1996,2,0),"")</f>
        <v/>
      </c>
      <c r="N6319" s="2" t="str">
        <f>IFERROR(VLOOKUP(ROWS($N$2:N6319),$D$2:$E$1996,2,0),"")</f>
        <v/>
      </c>
    </row>
    <row r="6320" spans="2:14">
      <c r="B6320" s="32">
        <f>IF(ISNUMBER(SEARCH('Φόρμα Εισαγωγής'!$B$2,C6320)),MAX($B$1:B6319)+1,0)</f>
        <v>0</v>
      </c>
      <c r="D6320" s="33">
        <f>IF(ISNUMBER(SEARCH('Φόρμα Εισαγωγής'!$C$2,E6320)),MAX($D$1:D6319)+1,0)</f>
        <v>0</v>
      </c>
      <c r="H6320" s="6">
        <f t="shared" si="305"/>
        <v>0</v>
      </c>
      <c r="I6320" s="6">
        <f t="shared" si="306"/>
        <v>0</v>
      </c>
      <c r="J6320" s="6">
        <f t="shared" si="307"/>
        <v>0</v>
      </c>
      <c r="L6320" s="4" t="str">
        <f>IFERROR(VLOOKUP(ROWS($L$2:L6320),$B$2:$C$1996,2,0),"")</f>
        <v/>
      </c>
      <c r="N6320" s="2" t="str">
        <f>IFERROR(VLOOKUP(ROWS($N$2:N6320),$D$2:$E$1996,2,0),"")</f>
        <v/>
      </c>
    </row>
    <row r="6321" spans="2:14">
      <c r="B6321" s="32">
        <f>IF(ISNUMBER(SEARCH('Φόρμα Εισαγωγής'!$B$2,C6321)),MAX($B$1:B6320)+1,0)</f>
        <v>0</v>
      </c>
      <c r="D6321" s="33">
        <f>IF(ISNUMBER(SEARCH('Φόρμα Εισαγωγής'!$C$2,E6321)),MAX($D$1:D6320)+1,0)</f>
        <v>0</v>
      </c>
      <c r="H6321" s="6">
        <f t="shared" si="305"/>
        <v>0</v>
      </c>
      <c r="I6321" s="6">
        <f t="shared" si="306"/>
        <v>0</v>
      </c>
      <c r="J6321" s="6">
        <f t="shared" si="307"/>
        <v>0</v>
      </c>
      <c r="L6321" s="4" t="str">
        <f>IFERROR(VLOOKUP(ROWS($L$2:L6321),$B$2:$C$1996,2,0),"")</f>
        <v/>
      </c>
      <c r="N6321" s="2" t="str">
        <f>IFERROR(VLOOKUP(ROWS($N$2:N6321),$D$2:$E$1996,2,0),"")</f>
        <v/>
      </c>
    </row>
    <row r="6322" spans="2:14">
      <c r="B6322" s="32">
        <f>IF(ISNUMBER(SEARCH('Φόρμα Εισαγωγής'!$B$2,C6322)),MAX($B$1:B6321)+1,0)</f>
        <v>0</v>
      </c>
      <c r="D6322" s="33">
        <f>IF(ISNUMBER(SEARCH('Φόρμα Εισαγωγής'!$C$2,E6322)),MAX($D$1:D6321)+1,0)</f>
        <v>0</v>
      </c>
      <c r="H6322" s="6">
        <f t="shared" si="305"/>
        <v>0</v>
      </c>
      <c r="I6322" s="6">
        <f t="shared" si="306"/>
        <v>0</v>
      </c>
      <c r="J6322" s="6">
        <f t="shared" si="307"/>
        <v>0</v>
      </c>
      <c r="L6322" s="4" t="str">
        <f>IFERROR(VLOOKUP(ROWS($L$2:L6322),$B$2:$C$1996,2,0),"")</f>
        <v/>
      </c>
      <c r="N6322" s="2" t="str">
        <f>IFERROR(VLOOKUP(ROWS($N$2:N6322),$D$2:$E$1996,2,0),"")</f>
        <v/>
      </c>
    </row>
    <row r="6323" spans="2:14">
      <c r="B6323" s="32">
        <f>IF(ISNUMBER(SEARCH('Φόρμα Εισαγωγής'!$B$2,C6323)),MAX($B$1:B6322)+1,0)</f>
        <v>0</v>
      </c>
      <c r="D6323" s="33">
        <f>IF(ISNUMBER(SEARCH('Φόρμα Εισαγωγής'!$C$2,E6323)),MAX($D$1:D6322)+1,0)</f>
        <v>0</v>
      </c>
      <c r="H6323" s="6">
        <f t="shared" si="305"/>
        <v>0</v>
      </c>
      <c r="I6323" s="6">
        <f t="shared" si="306"/>
        <v>0</v>
      </c>
      <c r="J6323" s="6">
        <f t="shared" si="307"/>
        <v>0</v>
      </c>
      <c r="L6323" s="4" t="str">
        <f>IFERROR(VLOOKUP(ROWS($L$2:L6323),$B$2:$C$1996,2,0),"")</f>
        <v/>
      </c>
      <c r="N6323" s="2" t="str">
        <f>IFERROR(VLOOKUP(ROWS($N$2:N6323),$D$2:$E$1996,2,0),"")</f>
        <v/>
      </c>
    </row>
    <row r="6324" spans="2:14">
      <c r="B6324" s="32">
        <f>IF(ISNUMBER(SEARCH('Φόρμα Εισαγωγής'!$B$2,C6324)),MAX($B$1:B6323)+1,0)</f>
        <v>0</v>
      </c>
      <c r="D6324" s="33">
        <f>IF(ISNUMBER(SEARCH('Φόρμα Εισαγωγής'!$C$2,E6324)),MAX($D$1:D6323)+1,0)</f>
        <v>0</v>
      </c>
      <c r="H6324" s="6">
        <f t="shared" si="305"/>
        <v>0</v>
      </c>
      <c r="I6324" s="6">
        <f t="shared" si="306"/>
        <v>0</v>
      </c>
      <c r="J6324" s="6">
        <f t="shared" si="307"/>
        <v>0</v>
      </c>
      <c r="L6324" s="4" t="str">
        <f>IFERROR(VLOOKUP(ROWS($L$2:L6324),$B$2:$C$1996,2,0),"")</f>
        <v/>
      </c>
      <c r="N6324" s="2" t="str">
        <f>IFERROR(VLOOKUP(ROWS($N$2:N6324),$D$2:$E$1996,2,0),"")</f>
        <v/>
      </c>
    </row>
    <row r="6325" spans="2:14">
      <c r="B6325" s="32">
        <f>IF(ISNUMBER(SEARCH('Φόρμα Εισαγωγής'!$B$2,C6325)),MAX($B$1:B6324)+1,0)</f>
        <v>0</v>
      </c>
      <c r="D6325" s="33">
        <f>IF(ISNUMBER(SEARCH('Φόρμα Εισαγωγής'!$C$2,E6325)),MAX($D$1:D6324)+1,0)</f>
        <v>0</v>
      </c>
      <c r="H6325" s="6">
        <f t="shared" si="305"/>
        <v>0</v>
      </c>
      <c r="I6325" s="6">
        <f t="shared" si="306"/>
        <v>0</v>
      </c>
      <c r="J6325" s="6">
        <f t="shared" si="307"/>
        <v>0</v>
      </c>
      <c r="L6325" s="4" t="str">
        <f>IFERROR(VLOOKUP(ROWS($L$2:L6325),$B$2:$C$1996,2,0),"")</f>
        <v/>
      </c>
      <c r="N6325" s="2" t="str">
        <f>IFERROR(VLOOKUP(ROWS($N$2:N6325),$D$2:$E$1996,2,0),"")</f>
        <v/>
      </c>
    </row>
    <row r="6326" spans="2:14">
      <c r="B6326" s="32">
        <f>IF(ISNUMBER(SEARCH('Φόρμα Εισαγωγής'!$B$2,C6326)),MAX($B$1:B6325)+1,0)</f>
        <v>0</v>
      </c>
      <c r="D6326" s="33">
        <f>IF(ISNUMBER(SEARCH('Φόρμα Εισαγωγής'!$C$2,E6326)),MAX($D$1:D6325)+1,0)</f>
        <v>0</v>
      </c>
      <c r="H6326" s="6">
        <f t="shared" si="305"/>
        <v>0</v>
      </c>
      <c r="I6326" s="6">
        <f t="shared" si="306"/>
        <v>0</v>
      </c>
      <c r="J6326" s="6">
        <f t="shared" si="307"/>
        <v>0</v>
      </c>
      <c r="L6326" s="4" t="str">
        <f>IFERROR(VLOOKUP(ROWS($L$2:L6326),$B$2:$C$1996,2,0),"")</f>
        <v/>
      </c>
      <c r="N6326" s="2" t="str">
        <f>IFERROR(VLOOKUP(ROWS($N$2:N6326),$D$2:$E$1996,2,0),"")</f>
        <v/>
      </c>
    </row>
    <row r="6327" spans="2:14">
      <c r="B6327" s="32">
        <f>IF(ISNUMBER(SEARCH('Φόρμα Εισαγωγής'!$B$2,C6327)),MAX($B$1:B6326)+1,0)</f>
        <v>0</v>
      </c>
      <c r="D6327" s="33">
        <f>IF(ISNUMBER(SEARCH('Φόρμα Εισαγωγής'!$C$2,E6327)),MAX($D$1:D6326)+1,0)</f>
        <v>0</v>
      </c>
      <c r="H6327" s="6">
        <f t="shared" si="305"/>
        <v>0</v>
      </c>
      <c r="I6327" s="6">
        <f t="shared" si="306"/>
        <v>0</v>
      </c>
      <c r="J6327" s="6">
        <f t="shared" si="307"/>
        <v>0</v>
      </c>
      <c r="L6327" s="4" t="str">
        <f>IFERROR(VLOOKUP(ROWS($L$2:L6327),$B$2:$C$1996,2,0),"")</f>
        <v/>
      </c>
      <c r="N6327" s="2" t="str">
        <f>IFERROR(VLOOKUP(ROWS($N$2:N6327),$D$2:$E$1996,2,0),"")</f>
        <v/>
      </c>
    </row>
    <row r="6328" spans="2:14">
      <c r="B6328" s="32">
        <f>IF(ISNUMBER(SEARCH('Φόρμα Εισαγωγής'!$B$2,C6328)),MAX($B$1:B6327)+1,0)</f>
        <v>0</v>
      </c>
      <c r="D6328" s="33">
        <f>IF(ISNUMBER(SEARCH('Φόρμα Εισαγωγής'!$C$2,E6328)),MAX($D$1:D6327)+1,0)</f>
        <v>0</v>
      </c>
      <c r="H6328" s="6">
        <f t="shared" si="305"/>
        <v>0</v>
      </c>
      <c r="I6328" s="6">
        <f t="shared" si="306"/>
        <v>0</v>
      </c>
      <c r="J6328" s="6">
        <f t="shared" si="307"/>
        <v>0</v>
      </c>
      <c r="L6328" s="4" t="str">
        <f>IFERROR(VLOOKUP(ROWS($L$2:L6328),$B$2:$C$1996,2,0),"")</f>
        <v/>
      </c>
      <c r="N6328" s="2" t="str">
        <f>IFERROR(VLOOKUP(ROWS($N$2:N6328),$D$2:$E$1996,2,0),"")</f>
        <v/>
      </c>
    </row>
    <row r="6329" spans="2:14">
      <c r="B6329" s="32">
        <f>IF(ISNUMBER(SEARCH('Φόρμα Εισαγωγής'!$B$2,C6329)),MAX($B$1:B6328)+1,0)</f>
        <v>0</v>
      </c>
      <c r="D6329" s="33">
        <f>IF(ISNUMBER(SEARCH('Φόρμα Εισαγωγής'!$C$2,E6329)),MAX($D$1:D6328)+1,0)</f>
        <v>0</v>
      </c>
      <c r="H6329" s="6">
        <f t="shared" si="305"/>
        <v>0</v>
      </c>
      <c r="I6329" s="6">
        <f t="shared" si="306"/>
        <v>0</v>
      </c>
      <c r="J6329" s="6">
        <f t="shared" si="307"/>
        <v>0</v>
      </c>
      <c r="L6329" s="4" t="str">
        <f>IFERROR(VLOOKUP(ROWS($L$2:L6329),$B$2:$C$1996,2,0),"")</f>
        <v/>
      </c>
      <c r="N6329" s="2" t="str">
        <f>IFERROR(VLOOKUP(ROWS($N$2:N6329),$D$2:$E$1996,2,0),"")</f>
        <v/>
      </c>
    </row>
    <row r="6330" spans="2:14">
      <c r="B6330" s="32">
        <f>IF(ISNUMBER(SEARCH('Φόρμα Εισαγωγής'!$B$2,C6330)),MAX($B$1:B6329)+1,0)</f>
        <v>0</v>
      </c>
      <c r="D6330" s="33">
        <f>IF(ISNUMBER(SEARCH('Φόρμα Εισαγωγής'!$C$2,E6330)),MAX($D$1:D6329)+1,0)</f>
        <v>0</v>
      </c>
      <c r="H6330" s="6">
        <f t="shared" si="305"/>
        <v>0</v>
      </c>
      <c r="I6330" s="6">
        <f t="shared" si="306"/>
        <v>0</v>
      </c>
      <c r="J6330" s="6">
        <f t="shared" si="307"/>
        <v>0</v>
      </c>
      <c r="L6330" s="4" t="str">
        <f>IFERROR(VLOOKUP(ROWS($L$2:L6330),$B$2:$C$1996,2,0),"")</f>
        <v/>
      </c>
      <c r="N6330" s="2" t="str">
        <f>IFERROR(VLOOKUP(ROWS($N$2:N6330),$D$2:$E$1996,2,0),"")</f>
        <v/>
      </c>
    </row>
    <row r="6331" spans="2:14">
      <c r="B6331" s="32">
        <f>IF(ISNUMBER(SEARCH('Φόρμα Εισαγωγής'!$B$2,C6331)),MAX($B$1:B6330)+1,0)</f>
        <v>0</v>
      </c>
      <c r="D6331" s="33">
        <f>IF(ISNUMBER(SEARCH('Φόρμα Εισαγωγής'!$C$2,E6331)),MAX($D$1:D6330)+1,0)</f>
        <v>0</v>
      </c>
      <c r="H6331" s="6">
        <f t="shared" si="305"/>
        <v>0</v>
      </c>
      <c r="I6331" s="6">
        <f t="shared" si="306"/>
        <v>0</v>
      </c>
      <c r="J6331" s="6">
        <f t="shared" si="307"/>
        <v>0</v>
      </c>
      <c r="L6331" s="4" t="str">
        <f>IFERROR(VLOOKUP(ROWS($L$2:L6331),$B$2:$C$1996,2,0),"")</f>
        <v/>
      </c>
      <c r="N6331" s="2" t="str">
        <f>IFERROR(VLOOKUP(ROWS($N$2:N6331),$D$2:$E$1996,2,0),"")</f>
        <v/>
      </c>
    </row>
    <row r="6332" spans="2:14">
      <c r="B6332" s="32">
        <f>IF(ISNUMBER(SEARCH('Φόρμα Εισαγωγής'!$B$2,C6332)),MAX($B$1:B6331)+1,0)</f>
        <v>0</v>
      </c>
      <c r="D6332" s="33">
        <f>IF(ISNUMBER(SEARCH('Φόρμα Εισαγωγής'!$C$2,E6332)),MAX($D$1:D6331)+1,0)</f>
        <v>0</v>
      </c>
      <c r="H6332" s="6">
        <f t="shared" si="305"/>
        <v>0</v>
      </c>
      <c r="I6332" s="6">
        <f t="shared" si="306"/>
        <v>0</v>
      </c>
      <c r="J6332" s="6">
        <f t="shared" si="307"/>
        <v>0</v>
      </c>
      <c r="L6332" s="4" t="str">
        <f>IFERROR(VLOOKUP(ROWS($L$2:L6332),$B$2:$C$1996,2,0),"")</f>
        <v/>
      </c>
      <c r="N6332" s="2" t="str">
        <f>IFERROR(VLOOKUP(ROWS($N$2:N6332),$D$2:$E$1996,2,0),"")</f>
        <v/>
      </c>
    </row>
    <row r="6333" spans="2:14">
      <c r="B6333" s="32">
        <f>IF(ISNUMBER(SEARCH('Φόρμα Εισαγωγής'!$B$2,C6333)),MAX($B$1:B6332)+1,0)</f>
        <v>0</v>
      </c>
      <c r="D6333" s="33">
        <f>IF(ISNUMBER(SEARCH('Φόρμα Εισαγωγής'!$C$2,E6333)),MAX($D$1:D6332)+1,0)</f>
        <v>0</v>
      </c>
      <c r="H6333" s="6">
        <f t="shared" si="305"/>
        <v>0</v>
      </c>
      <c r="I6333" s="6">
        <f t="shared" si="306"/>
        <v>0</v>
      </c>
      <c r="J6333" s="6">
        <f t="shared" si="307"/>
        <v>0</v>
      </c>
      <c r="L6333" s="4" t="str">
        <f>IFERROR(VLOOKUP(ROWS($L$2:L6333),$B$2:$C$1996,2,0),"")</f>
        <v/>
      </c>
      <c r="N6333" s="2" t="str">
        <f>IFERROR(VLOOKUP(ROWS($N$2:N6333),$D$2:$E$1996,2,0),"")</f>
        <v/>
      </c>
    </row>
    <row r="6334" spans="2:14">
      <c r="B6334" s="32">
        <f>IF(ISNUMBER(SEARCH('Φόρμα Εισαγωγής'!$B$2,C6334)),MAX($B$1:B6333)+1,0)</f>
        <v>0</v>
      </c>
      <c r="D6334" s="33">
        <f>IF(ISNUMBER(SEARCH('Φόρμα Εισαγωγής'!$C$2,E6334)),MAX($D$1:D6333)+1,0)</f>
        <v>0</v>
      </c>
      <c r="H6334" s="6">
        <f t="shared" si="305"/>
        <v>0</v>
      </c>
      <c r="I6334" s="6">
        <f t="shared" si="306"/>
        <v>0</v>
      </c>
      <c r="J6334" s="6">
        <f t="shared" si="307"/>
        <v>0</v>
      </c>
      <c r="L6334" s="4" t="str">
        <f>IFERROR(VLOOKUP(ROWS($L$2:L6334),$B$2:$C$1996,2,0),"")</f>
        <v/>
      </c>
      <c r="N6334" s="2" t="str">
        <f>IFERROR(VLOOKUP(ROWS($N$2:N6334),$D$2:$E$1996,2,0),"")</f>
        <v/>
      </c>
    </row>
    <row r="6335" spans="2:14">
      <c r="B6335" s="32">
        <f>IF(ISNUMBER(SEARCH('Φόρμα Εισαγωγής'!$B$2,C6335)),MAX($B$1:B6334)+1,0)</f>
        <v>0</v>
      </c>
      <c r="D6335" s="33">
        <f>IF(ISNUMBER(SEARCH('Φόρμα Εισαγωγής'!$C$2,E6335)),MAX($D$1:D6334)+1,0)</f>
        <v>0</v>
      </c>
      <c r="H6335" s="6">
        <f t="shared" si="305"/>
        <v>0</v>
      </c>
      <c r="I6335" s="6">
        <f t="shared" si="306"/>
        <v>0</v>
      </c>
      <c r="J6335" s="6">
        <f t="shared" si="307"/>
        <v>0</v>
      </c>
      <c r="L6335" s="4" t="str">
        <f>IFERROR(VLOOKUP(ROWS($L$2:L6335),$B$2:$C$1996,2,0),"")</f>
        <v/>
      </c>
      <c r="N6335" s="2" t="str">
        <f>IFERROR(VLOOKUP(ROWS($N$2:N6335),$D$2:$E$1996,2,0),"")</f>
        <v/>
      </c>
    </row>
    <row r="6336" spans="2:14">
      <c r="B6336" s="32">
        <f>IF(ISNUMBER(SEARCH('Φόρμα Εισαγωγής'!$B$2,C6336)),MAX($B$1:B6335)+1,0)</f>
        <v>0</v>
      </c>
      <c r="D6336" s="33">
        <f>IF(ISNUMBER(SEARCH('Φόρμα Εισαγωγής'!$C$2,E6336)),MAX($D$1:D6335)+1,0)</f>
        <v>0</v>
      </c>
      <c r="H6336" s="6">
        <f t="shared" ref="H6336:H6399" si="308">G6336+(G6336*0.24)</f>
        <v>0</v>
      </c>
      <c r="I6336" s="6">
        <f t="shared" ref="I6336:I6399" si="309">F6336*A6336</f>
        <v>0</v>
      </c>
      <c r="J6336" s="6">
        <f t="shared" ref="J6336:J6399" si="310">H6336*A6336</f>
        <v>0</v>
      </c>
      <c r="L6336" s="4" t="str">
        <f>IFERROR(VLOOKUP(ROWS($L$2:L6336),$B$2:$C$1996,2,0),"")</f>
        <v/>
      </c>
      <c r="N6336" s="2" t="str">
        <f>IFERROR(VLOOKUP(ROWS($N$2:N6336),$D$2:$E$1996,2,0),"")</f>
        <v/>
      </c>
    </row>
    <row r="6337" spans="2:14">
      <c r="B6337" s="32">
        <f>IF(ISNUMBER(SEARCH('Φόρμα Εισαγωγής'!$B$2,C6337)),MAX($B$1:B6336)+1,0)</f>
        <v>0</v>
      </c>
      <c r="D6337" s="33">
        <f>IF(ISNUMBER(SEARCH('Φόρμα Εισαγωγής'!$C$2,E6337)),MAX($D$1:D6336)+1,0)</f>
        <v>0</v>
      </c>
      <c r="H6337" s="6">
        <f t="shared" si="308"/>
        <v>0</v>
      </c>
      <c r="I6337" s="6">
        <f t="shared" si="309"/>
        <v>0</v>
      </c>
      <c r="J6337" s="6">
        <f t="shared" si="310"/>
        <v>0</v>
      </c>
      <c r="L6337" s="4" t="str">
        <f>IFERROR(VLOOKUP(ROWS($L$2:L6337),$B$2:$C$1996,2,0),"")</f>
        <v/>
      </c>
      <c r="N6337" s="2" t="str">
        <f>IFERROR(VLOOKUP(ROWS($N$2:N6337),$D$2:$E$1996,2,0),"")</f>
        <v/>
      </c>
    </row>
    <row r="6338" spans="2:14">
      <c r="B6338" s="32">
        <f>IF(ISNUMBER(SEARCH('Φόρμα Εισαγωγής'!$B$2,C6338)),MAX($B$1:B6337)+1,0)</f>
        <v>0</v>
      </c>
      <c r="D6338" s="33">
        <f>IF(ISNUMBER(SEARCH('Φόρμα Εισαγωγής'!$C$2,E6338)),MAX($D$1:D6337)+1,0)</f>
        <v>0</v>
      </c>
      <c r="H6338" s="6">
        <f t="shared" si="308"/>
        <v>0</v>
      </c>
      <c r="I6338" s="6">
        <f t="shared" si="309"/>
        <v>0</v>
      </c>
      <c r="J6338" s="6">
        <f t="shared" si="310"/>
        <v>0</v>
      </c>
      <c r="L6338" s="4" t="str">
        <f>IFERROR(VLOOKUP(ROWS($L$2:L6338),$B$2:$C$1996,2,0),"")</f>
        <v/>
      </c>
      <c r="N6338" s="2" t="str">
        <f>IFERROR(VLOOKUP(ROWS($N$2:N6338),$D$2:$E$1996,2,0),"")</f>
        <v/>
      </c>
    </row>
    <row r="6339" spans="2:14">
      <c r="B6339" s="32">
        <f>IF(ISNUMBER(SEARCH('Φόρμα Εισαγωγής'!$B$2,C6339)),MAX($B$1:B6338)+1,0)</f>
        <v>0</v>
      </c>
      <c r="D6339" s="33">
        <f>IF(ISNUMBER(SEARCH('Φόρμα Εισαγωγής'!$C$2,E6339)),MAX($D$1:D6338)+1,0)</f>
        <v>0</v>
      </c>
      <c r="H6339" s="6">
        <f t="shared" si="308"/>
        <v>0</v>
      </c>
      <c r="I6339" s="6">
        <f t="shared" si="309"/>
        <v>0</v>
      </c>
      <c r="J6339" s="6">
        <f t="shared" si="310"/>
        <v>0</v>
      </c>
      <c r="L6339" s="4" t="str">
        <f>IFERROR(VLOOKUP(ROWS($L$2:L6339),$B$2:$C$1996,2,0),"")</f>
        <v/>
      </c>
      <c r="N6339" s="2" t="str">
        <f>IFERROR(VLOOKUP(ROWS($N$2:N6339),$D$2:$E$1996,2,0),"")</f>
        <v/>
      </c>
    </row>
    <row r="6340" spans="2:14">
      <c r="B6340" s="32">
        <f>IF(ISNUMBER(SEARCH('Φόρμα Εισαγωγής'!$B$2,C6340)),MAX($B$1:B6339)+1,0)</f>
        <v>0</v>
      </c>
      <c r="D6340" s="33">
        <f>IF(ISNUMBER(SEARCH('Φόρμα Εισαγωγής'!$C$2,E6340)),MAX($D$1:D6339)+1,0)</f>
        <v>0</v>
      </c>
      <c r="H6340" s="6">
        <f t="shared" si="308"/>
        <v>0</v>
      </c>
      <c r="I6340" s="6">
        <f t="shared" si="309"/>
        <v>0</v>
      </c>
      <c r="J6340" s="6">
        <f t="shared" si="310"/>
        <v>0</v>
      </c>
      <c r="L6340" s="4" t="str">
        <f>IFERROR(VLOOKUP(ROWS($L$2:L6340),$B$2:$C$1996,2,0),"")</f>
        <v/>
      </c>
      <c r="N6340" s="2" t="str">
        <f>IFERROR(VLOOKUP(ROWS($N$2:N6340),$D$2:$E$1996,2,0),"")</f>
        <v/>
      </c>
    </row>
    <row r="6341" spans="2:14">
      <c r="B6341" s="32">
        <f>IF(ISNUMBER(SEARCH('Φόρμα Εισαγωγής'!$B$2,C6341)),MAX($B$1:B6340)+1,0)</f>
        <v>0</v>
      </c>
      <c r="D6341" s="33">
        <f>IF(ISNUMBER(SEARCH('Φόρμα Εισαγωγής'!$C$2,E6341)),MAX($D$1:D6340)+1,0)</f>
        <v>0</v>
      </c>
      <c r="H6341" s="6">
        <f t="shared" si="308"/>
        <v>0</v>
      </c>
      <c r="I6341" s="6">
        <f t="shared" si="309"/>
        <v>0</v>
      </c>
      <c r="J6341" s="6">
        <f t="shared" si="310"/>
        <v>0</v>
      </c>
      <c r="L6341" s="4" t="str">
        <f>IFERROR(VLOOKUP(ROWS($L$2:L6341),$B$2:$C$1996,2,0),"")</f>
        <v/>
      </c>
      <c r="N6341" s="2" t="str">
        <f>IFERROR(VLOOKUP(ROWS($N$2:N6341),$D$2:$E$1996,2,0),"")</f>
        <v/>
      </c>
    </row>
    <row r="6342" spans="2:14">
      <c r="B6342" s="32">
        <f>IF(ISNUMBER(SEARCH('Φόρμα Εισαγωγής'!$B$2,C6342)),MAX($B$1:B6341)+1,0)</f>
        <v>0</v>
      </c>
      <c r="D6342" s="33">
        <f>IF(ISNUMBER(SEARCH('Φόρμα Εισαγωγής'!$C$2,E6342)),MAX($D$1:D6341)+1,0)</f>
        <v>0</v>
      </c>
      <c r="H6342" s="6">
        <f t="shared" si="308"/>
        <v>0</v>
      </c>
      <c r="I6342" s="6">
        <f t="shared" si="309"/>
        <v>0</v>
      </c>
      <c r="J6342" s="6">
        <f t="shared" si="310"/>
        <v>0</v>
      </c>
      <c r="L6342" s="4" t="str">
        <f>IFERROR(VLOOKUP(ROWS($L$2:L6342),$B$2:$C$1996,2,0),"")</f>
        <v/>
      </c>
      <c r="N6342" s="2" t="str">
        <f>IFERROR(VLOOKUP(ROWS($N$2:N6342),$D$2:$E$1996,2,0),"")</f>
        <v/>
      </c>
    </row>
    <row r="6343" spans="2:14">
      <c r="B6343" s="32">
        <f>IF(ISNUMBER(SEARCH('Φόρμα Εισαγωγής'!$B$2,C6343)),MAX($B$1:B6342)+1,0)</f>
        <v>0</v>
      </c>
      <c r="D6343" s="33">
        <f>IF(ISNUMBER(SEARCH('Φόρμα Εισαγωγής'!$C$2,E6343)),MAX($D$1:D6342)+1,0)</f>
        <v>0</v>
      </c>
      <c r="H6343" s="6">
        <f t="shared" si="308"/>
        <v>0</v>
      </c>
      <c r="I6343" s="6">
        <f t="shared" si="309"/>
        <v>0</v>
      </c>
      <c r="J6343" s="6">
        <f t="shared" si="310"/>
        <v>0</v>
      </c>
      <c r="L6343" s="4" t="str">
        <f>IFERROR(VLOOKUP(ROWS($L$2:L6343),$B$2:$C$1996,2,0),"")</f>
        <v/>
      </c>
      <c r="N6343" s="2" t="str">
        <f>IFERROR(VLOOKUP(ROWS($N$2:N6343),$D$2:$E$1996,2,0),"")</f>
        <v/>
      </c>
    </row>
    <row r="6344" spans="2:14">
      <c r="B6344" s="32">
        <f>IF(ISNUMBER(SEARCH('Φόρμα Εισαγωγής'!$B$2,C6344)),MAX($B$1:B6343)+1,0)</f>
        <v>0</v>
      </c>
      <c r="D6344" s="33">
        <f>IF(ISNUMBER(SEARCH('Φόρμα Εισαγωγής'!$C$2,E6344)),MAX($D$1:D6343)+1,0)</f>
        <v>0</v>
      </c>
      <c r="H6344" s="6">
        <f t="shared" si="308"/>
        <v>0</v>
      </c>
      <c r="I6344" s="6">
        <f t="shared" si="309"/>
        <v>0</v>
      </c>
      <c r="J6344" s="6">
        <f t="shared" si="310"/>
        <v>0</v>
      </c>
      <c r="L6344" s="4" t="str">
        <f>IFERROR(VLOOKUP(ROWS($L$2:L6344),$B$2:$C$1996,2,0),"")</f>
        <v/>
      </c>
      <c r="N6344" s="2" t="str">
        <f>IFERROR(VLOOKUP(ROWS($N$2:N6344),$D$2:$E$1996,2,0),"")</f>
        <v/>
      </c>
    </row>
    <row r="6345" spans="2:14">
      <c r="B6345" s="32">
        <f>IF(ISNUMBER(SEARCH('Φόρμα Εισαγωγής'!$B$2,C6345)),MAX($B$1:B6344)+1,0)</f>
        <v>0</v>
      </c>
      <c r="D6345" s="33">
        <f>IF(ISNUMBER(SEARCH('Φόρμα Εισαγωγής'!$C$2,E6345)),MAX($D$1:D6344)+1,0)</f>
        <v>0</v>
      </c>
      <c r="H6345" s="6">
        <f t="shared" si="308"/>
        <v>0</v>
      </c>
      <c r="I6345" s="6">
        <f t="shared" si="309"/>
        <v>0</v>
      </c>
      <c r="J6345" s="6">
        <f t="shared" si="310"/>
        <v>0</v>
      </c>
      <c r="L6345" s="4" t="str">
        <f>IFERROR(VLOOKUP(ROWS($L$2:L6345),$B$2:$C$1996,2,0),"")</f>
        <v/>
      </c>
      <c r="N6345" s="2" t="str">
        <f>IFERROR(VLOOKUP(ROWS($N$2:N6345),$D$2:$E$1996,2,0),"")</f>
        <v/>
      </c>
    </row>
    <row r="6346" spans="2:14">
      <c r="B6346" s="32">
        <f>IF(ISNUMBER(SEARCH('Φόρμα Εισαγωγής'!$B$2,C6346)),MAX($B$1:B6345)+1,0)</f>
        <v>0</v>
      </c>
      <c r="D6346" s="33">
        <f>IF(ISNUMBER(SEARCH('Φόρμα Εισαγωγής'!$C$2,E6346)),MAX($D$1:D6345)+1,0)</f>
        <v>0</v>
      </c>
      <c r="H6346" s="6">
        <f t="shared" si="308"/>
        <v>0</v>
      </c>
      <c r="I6346" s="6">
        <f t="shared" si="309"/>
        <v>0</v>
      </c>
      <c r="J6346" s="6">
        <f t="shared" si="310"/>
        <v>0</v>
      </c>
      <c r="L6346" s="4" t="str">
        <f>IFERROR(VLOOKUP(ROWS($L$2:L6346),$B$2:$C$1996,2,0),"")</f>
        <v/>
      </c>
      <c r="N6346" s="2" t="str">
        <f>IFERROR(VLOOKUP(ROWS($N$2:N6346),$D$2:$E$1996,2,0),"")</f>
        <v/>
      </c>
    </row>
    <row r="6347" spans="2:14">
      <c r="B6347" s="32">
        <f>IF(ISNUMBER(SEARCH('Φόρμα Εισαγωγής'!$B$2,C6347)),MAX($B$1:B6346)+1,0)</f>
        <v>0</v>
      </c>
      <c r="D6347" s="33">
        <f>IF(ISNUMBER(SEARCH('Φόρμα Εισαγωγής'!$C$2,E6347)),MAX($D$1:D6346)+1,0)</f>
        <v>0</v>
      </c>
      <c r="H6347" s="6">
        <f t="shared" si="308"/>
        <v>0</v>
      </c>
      <c r="I6347" s="6">
        <f t="shared" si="309"/>
        <v>0</v>
      </c>
      <c r="J6347" s="6">
        <f t="shared" si="310"/>
        <v>0</v>
      </c>
      <c r="L6347" s="4" t="str">
        <f>IFERROR(VLOOKUP(ROWS($L$2:L6347),$B$2:$C$1996,2,0),"")</f>
        <v/>
      </c>
      <c r="N6347" s="2" t="str">
        <f>IFERROR(VLOOKUP(ROWS($N$2:N6347),$D$2:$E$1996,2,0),"")</f>
        <v/>
      </c>
    </row>
    <row r="6348" spans="2:14">
      <c r="B6348" s="32">
        <f>IF(ISNUMBER(SEARCH('Φόρμα Εισαγωγής'!$B$2,C6348)),MAX($B$1:B6347)+1,0)</f>
        <v>0</v>
      </c>
      <c r="D6348" s="33">
        <f>IF(ISNUMBER(SEARCH('Φόρμα Εισαγωγής'!$C$2,E6348)),MAX($D$1:D6347)+1,0)</f>
        <v>0</v>
      </c>
      <c r="H6348" s="6">
        <f t="shared" si="308"/>
        <v>0</v>
      </c>
      <c r="I6348" s="6">
        <f t="shared" si="309"/>
        <v>0</v>
      </c>
      <c r="J6348" s="6">
        <f t="shared" si="310"/>
        <v>0</v>
      </c>
      <c r="L6348" s="4" t="str">
        <f>IFERROR(VLOOKUP(ROWS($L$2:L6348),$B$2:$C$1996,2,0),"")</f>
        <v/>
      </c>
      <c r="N6348" s="2" t="str">
        <f>IFERROR(VLOOKUP(ROWS($N$2:N6348),$D$2:$E$1996,2,0),"")</f>
        <v/>
      </c>
    </row>
    <row r="6349" spans="2:14">
      <c r="B6349" s="32">
        <f>IF(ISNUMBER(SEARCH('Φόρμα Εισαγωγής'!$B$2,C6349)),MAX($B$1:B6348)+1,0)</f>
        <v>0</v>
      </c>
      <c r="D6349" s="33">
        <f>IF(ISNUMBER(SEARCH('Φόρμα Εισαγωγής'!$C$2,E6349)),MAX($D$1:D6348)+1,0)</f>
        <v>0</v>
      </c>
      <c r="H6349" s="6">
        <f t="shared" si="308"/>
        <v>0</v>
      </c>
      <c r="I6349" s="6">
        <f t="shared" si="309"/>
        <v>0</v>
      </c>
      <c r="J6349" s="6">
        <f t="shared" si="310"/>
        <v>0</v>
      </c>
      <c r="L6349" s="4" t="str">
        <f>IFERROR(VLOOKUP(ROWS($L$2:L6349),$B$2:$C$1996,2,0),"")</f>
        <v/>
      </c>
      <c r="N6349" s="2" t="str">
        <f>IFERROR(VLOOKUP(ROWS($N$2:N6349),$D$2:$E$1996,2,0),"")</f>
        <v/>
      </c>
    </row>
    <row r="6350" spans="2:14">
      <c r="B6350" s="32">
        <f>IF(ISNUMBER(SEARCH('Φόρμα Εισαγωγής'!$B$2,C6350)),MAX($B$1:B6349)+1,0)</f>
        <v>0</v>
      </c>
      <c r="D6350" s="33">
        <f>IF(ISNUMBER(SEARCH('Φόρμα Εισαγωγής'!$C$2,E6350)),MAX($D$1:D6349)+1,0)</f>
        <v>0</v>
      </c>
      <c r="H6350" s="6">
        <f t="shared" si="308"/>
        <v>0</v>
      </c>
      <c r="I6350" s="6">
        <f t="shared" si="309"/>
        <v>0</v>
      </c>
      <c r="J6350" s="6">
        <f t="shared" si="310"/>
        <v>0</v>
      </c>
      <c r="L6350" s="4" t="str">
        <f>IFERROR(VLOOKUP(ROWS($L$2:L6350),$B$2:$C$1996,2,0),"")</f>
        <v/>
      </c>
      <c r="N6350" s="2" t="str">
        <f>IFERROR(VLOOKUP(ROWS($N$2:N6350),$D$2:$E$1996,2,0),"")</f>
        <v/>
      </c>
    </row>
    <row r="6351" spans="2:14">
      <c r="B6351" s="32">
        <f>IF(ISNUMBER(SEARCH('Φόρμα Εισαγωγής'!$B$2,C6351)),MAX($B$1:B6350)+1,0)</f>
        <v>0</v>
      </c>
      <c r="D6351" s="33">
        <f>IF(ISNUMBER(SEARCH('Φόρμα Εισαγωγής'!$C$2,E6351)),MAX($D$1:D6350)+1,0)</f>
        <v>0</v>
      </c>
      <c r="H6351" s="6">
        <f t="shared" si="308"/>
        <v>0</v>
      </c>
      <c r="I6351" s="6">
        <f t="shared" si="309"/>
        <v>0</v>
      </c>
      <c r="J6351" s="6">
        <f t="shared" si="310"/>
        <v>0</v>
      </c>
      <c r="L6351" s="4" t="str">
        <f>IFERROR(VLOOKUP(ROWS($L$2:L6351),$B$2:$C$1996,2,0),"")</f>
        <v/>
      </c>
      <c r="N6351" s="2" t="str">
        <f>IFERROR(VLOOKUP(ROWS($N$2:N6351),$D$2:$E$1996,2,0),"")</f>
        <v/>
      </c>
    </row>
    <row r="6352" spans="2:14">
      <c r="B6352" s="32">
        <f>IF(ISNUMBER(SEARCH('Φόρμα Εισαγωγής'!$B$2,C6352)),MAX($B$1:B6351)+1,0)</f>
        <v>0</v>
      </c>
      <c r="D6352" s="33">
        <f>IF(ISNUMBER(SEARCH('Φόρμα Εισαγωγής'!$C$2,E6352)),MAX($D$1:D6351)+1,0)</f>
        <v>0</v>
      </c>
      <c r="H6352" s="6">
        <f t="shared" si="308"/>
        <v>0</v>
      </c>
      <c r="I6352" s="6">
        <f t="shared" si="309"/>
        <v>0</v>
      </c>
      <c r="J6352" s="6">
        <f t="shared" si="310"/>
        <v>0</v>
      </c>
      <c r="L6352" s="4" t="str">
        <f>IFERROR(VLOOKUP(ROWS($L$2:L6352),$B$2:$C$1996,2,0),"")</f>
        <v/>
      </c>
      <c r="N6352" s="2" t="str">
        <f>IFERROR(VLOOKUP(ROWS($N$2:N6352),$D$2:$E$1996,2,0),"")</f>
        <v/>
      </c>
    </row>
    <row r="6353" spans="2:14">
      <c r="B6353" s="32">
        <f>IF(ISNUMBER(SEARCH('Φόρμα Εισαγωγής'!$B$2,C6353)),MAX($B$1:B6352)+1,0)</f>
        <v>0</v>
      </c>
      <c r="D6353" s="33">
        <f>IF(ISNUMBER(SEARCH('Φόρμα Εισαγωγής'!$C$2,E6353)),MAX($D$1:D6352)+1,0)</f>
        <v>0</v>
      </c>
      <c r="H6353" s="6">
        <f t="shared" si="308"/>
        <v>0</v>
      </c>
      <c r="I6353" s="6">
        <f t="shared" si="309"/>
        <v>0</v>
      </c>
      <c r="J6353" s="6">
        <f t="shared" si="310"/>
        <v>0</v>
      </c>
      <c r="L6353" s="4" t="str">
        <f>IFERROR(VLOOKUP(ROWS($L$2:L6353),$B$2:$C$1996,2,0),"")</f>
        <v/>
      </c>
      <c r="N6353" s="2" t="str">
        <f>IFERROR(VLOOKUP(ROWS($N$2:N6353),$D$2:$E$1996,2,0),"")</f>
        <v/>
      </c>
    </row>
    <row r="6354" spans="2:14">
      <c r="B6354" s="32">
        <f>IF(ISNUMBER(SEARCH('Φόρμα Εισαγωγής'!$B$2,C6354)),MAX($B$1:B6353)+1,0)</f>
        <v>0</v>
      </c>
      <c r="D6354" s="33">
        <f>IF(ISNUMBER(SEARCH('Φόρμα Εισαγωγής'!$C$2,E6354)),MAX($D$1:D6353)+1,0)</f>
        <v>0</v>
      </c>
      <c r="H6354" s="6">
        <f t="shared" si="308"/>
        <v>0</v>
      </c>
      <c r="I6354" s="6">
        <f t="shared" si="309"/>
        <v>0</v>
      </c>
      <c r="J6354" s="6">
        <f t="shared" si="310"/>
        <v>0</v>
      </c>
      <c r="L6354" s="4" t="str">
        <f>IFERROR(VLOOKUP(ROWS($L$2:L6354),$B$2:$C$1996,2,0),"")</f>
        <v/>
      </c>
      <c r="N6354" s="2" t="str">
        <f>IFERROR(VLOOKUP(ROWS($N$2:N6354),$D$2:$E$1996,2,0),"")</f>
        <v/>
      </c>
    </row>
    <row r="6355" spans="2:14">
      <c r="B6355" s="32">
        <f>IF(ISNUMBER(SEARCH('Φόρμα Εισαγωγής'!$B$2,C6355)),MAX($B$1:B6354)+1,0)</f>
        <v>0</v>
      </c>
      <c r="D6355" s="33">
        <f>IF(ISNUMBER(SEARCH('Φόρμα Εισαγωγής'!$C$2,E6355)),MAX($D$1:D6354)+1,0)</f>
        <v>0</v>
      </c>
      <c r="H6355" s="6">
        <f t="shared" si="308"/>
        <v>0</v>
      </c>
      <c r="I6355" s="6">
        <f t="shared" si="309"/>
        <v>0</v>
      </c>
      <c r="J6355" s="6">
        <f t="shared" si="310"/>
        <v>0</v>
      </c>
      <c r="L6355" s="4" t="str">
        <f>IFERROR(VLOOKUP(ROWS($L$2:L6355),$B$2:$C$1996,2,0),"")</f>
        <v/>
      </c>
      <c r="N6355" s="2" t="str">
        <f>IFERROR(VLOOKUP(ROWS($N$2:N6355),$D$2:$E$1996,2,0),"")</f>
        <v/>
      </c>
    </row>
    <row r="6356" spans="2:14">
      <c r="B6356" s="32">
        <f>IF(ISNUMBER(SEARCH('Φόρμα Εισαγωγής'!$B$2,C6356)),MAX($B$1:B6355)+1,0)</f>
        <v>0</v>
      </c>
      <c r="D6356" s="33">
        <f>IF(ISNUMBER(SEARCH('Φόρμα Εισαγωγής'!$C$2,E6356)),MAX($D$1:D6355)+1,0)</f>
        <v>0</v>
      </c>
      <c r="H6356" s="6">
        <f t="shared" si="308"/>
        <v>0</v>
      </c>
      <c r="I6356" s="6">
        <f t="shared" si="309"/>
        <v>0</v>
      </c>
      <c r="J6356" s="6">
        <f t="shared" si="310"/>
        <v>0</v>
      </c>
      <c r="L6356" s="4" t="str">
        <f>IFERROR(VLOOKUP(ROWS($L$2:L6356),$B$2:$C$1996,2,0),"")</f>
        <v/>
      </c>
      <c r="N6356" s="2" t="str">
        <f>IFERROR(VLOOKUP(ROWS($N$2:N6356),$D$2:$E$1996,2,0),"")</f>
        <v/>
      </c>
    </row>
    <row r="6357" spans="2:14">
      <c r="B6357" s="32">
        <f>IF(ISNUMBER(SEARCH('Φόρμα Εισαγωγής'!$B$2,C6357)),MAX($B$1:B6356)+1,0)</f>
        <v>0</v>
      </c>
      <c r="D6357" s="33">
        <f>IF(ISNUMBER(SEARCH('Φόρμα Εισαγωγής'!$C$2,E6357)),MAX($D$1:D6356)+1,0)</f>
        <v>0</v>
      </c>
      <c r="H6357" s="6">
        <f t="shared" si="308"/>
        <v>0</v>
      </c>
      <c r="I6357" s="6">
        <f t="shared" si="309"/>
        <v>0</v>
      </c>
      <c r="J6357" s="6">
        <f t="shared" si="310"/>
        <v>0</v>
      </c>
      <c r="L6357" s="4" t="str">
        <f>IFERROR(VLOOKUP(ROWS($L$2:L6357),$B$2:$C$1996,2,0),"")</f>
        <v/>
      </c>
      <c r="N6357" s="2" t="str">
        <f>IFERROR(VLOOKUP(ROWS($N$2:N6357),$D$2:$E$1996,2,0),"")</f>
        <v/>
      </c>
    </row>
    <row r="6358" spans="2:14">
      <c r="B6358" s="32">
        <f>IF(ISNUMBER(SEARCH('Φόρμα Εισαγωγής'!$B$2,C6358)),MAX($B$1:B6357)+1,0)</f>
        <v>0</v>
      </c>
      <c r="D6358" s="33">
        <f>IF(ISNUMBER(SEARCH('Φόρμα Εισαγωγής'!$C$2,E6358)),MAX($D$1:D6357)+1,0)</f>
        <v>0</v>
      </c>
      <c r="H6358" s="6">
        <f t="shared" si="308"/>
        <v>0</v>
      </c>
      <c r="I6358" s="6">
        <f t="shared" si="309"/>
        <v>0</v>
      </c>
      <c r="J6358" s="6">
        <f t="shared" si="310"/>
        <v>0</v>
      </c>
      <c r="L6358" s="4" t="str">
        <f>IFERROR(VLOOKUP(ROWS($L$2:L6358),$B$2:$C$1996,2,0),"")</f>
        <v/>
      </c>
      <c r="N6358" s="2" t="str">
        <f>IFERROR(VLOOKUP(ROWS($N$2:N6358),$D$2:$E$1996,2,0),"")</f>
        <v/>
      </c>
    </row>
    <row r="6359" spans="2:14">
      <c r="B6359" s="32">
        <f>IF(ISNUMBER(SEARCH('Φόρμα Εισαγωγής'!$B$2,C6359)),MAX($B$1:B6358)+1,0)</f>
        <v>0</v>
      </c>
      <c r="D6359" s="33">
        <f>IF(ISNUMBER(SEARCH('Φόρμα Εισαγωγής'!$C$2,E6359)),MAX($D$1:D6358)+1,0)</f>
        <v>0</v>
      </c>
      <c r="H6359" s="6">
        <f t="shared" si="308"/>
        <v>0</v>
      </c>
      <c r="I6359" s="6">
        <f t="shared" si="309"/>
        <v>0</v>
      </c>
      <c r="J6359" s="6">
        <f t="shared" si="310"/>
        <v>0</v>
      </c>
      <c r="L6359" s="4" t="str">
        <f>IFERROR(VLOOKUP(ROWS($L$2:L6359),$B$2:$C$1996,2,0),"")</f>
        <v/>
      </c>
      <c r="N6359" s="2" t="str">
        <f>IFERROR(VLOOKUP(ROWS($N$2:N6359),$D$2:$E$1996,2,0),"")</f>
        <v/>
      </c>
    </row>
    <row r="6360" spans="2:14">
      <c r="B6360" s="32">
        <f>IF(ISNUMBER(SEARCH('Φόρμα Εισαγωγής'!$B$2,C6360)),MAX($B$1:B6359)+1,0)</f>
        <v>0</v>
      </c>
      <c r="D6360" s="33">
        <f>IF(ISNUMBER(SEARCH('Φόρμα Εισαγωγής'!$C$2,E6360)),MAX($D$1:D6359)+1,0)</f>
        <v>0</v>
      </c>
      <c r="H6360" s="6">
        <f t="shared" si="308"/>
        <v>0</v>
      </c>
      <c r="I6360" s="6">
        <f t="shared" si="309"/>
        <v>0</v>
      </c>
      <c r="J6360" s="6">
        <f t="shared" si="310"/>
        <v>0</v>
      </c>
      <c r="L6360" s="4" t="str">
        <f>IFERROR(VLOOKUP(ROWS($L$2:L6360),$B$2:$C$1996,2,0),"")</f>
        <v/>
      </c>
      <c r="N6360" s="2" t="str">
        <f>IFERROR(VLOOKUP(ROWS($N$2:N6360),$D$2:$E$1996,2,0),"")</f>
        <v/>
      </c>
    </row>
    <row r="6361" spans="2:14">
      <c r="B6361" s="32">
        <f>IF(ISNUMBER(SEARCH('Φόρμα Εισαγωγής'!$B$2,C6361)),MAX($B$1:B6360)+1,0)</f>
        <v>0</v>
      </c>
      <c r="D6361" s="33">
        <f>IF(ISNUMBER(SEARCH('Φόρμα Εισαγωγής'!$C$2,E6361)),MAX($D$1:D6360)+1,0)</f>
        <v>0</v>
      </c>
      <c r="H6361" s="6">
        <f t="shared" si="308"/>
        <v>0</v>
      </c>
      <c r="I6361" s="6">
        <f t="shared" si="309"/>
        <v>0</v>
      </c>
      <c r="J6361" s="6">
        <f t="shared" si="310"/>
        <v>0</v>
      </c>
      <c r="L6361" s="4" t="str">
        <f>IFERROR(VLOOKUP(ROWS($L$2:L6361),$B$2:$C$1996,2,0),"")</f>
        <v/>
      </c>
      <c r="N6361" s="2" t="str">
        <f>IFERROR(VLOOKUP(ROWS($N$2:N6361),$D$2:$E$1996,2,0),"")</f>
        <v/>
      </c>
    </row>
    <row r="6362" spans="2:14">
      <c r="B6362" s="32">
        <f>IF(ISNUMBER(SEARCH('Φόρμα Εισαγωγής'!$B$2,C6362)),MAX($B$1:B6361)+1,0)</f>
        <v>0</v>
      </c>
      <c r="D6362" s="33">
        <f>IF(ISNUMBER(SEARCH('Φόρμα Εισαγωγής'!$C$2,E6362)),MAX($D$1:D6361)+1,0)</f>
        <v>0</v>
      </c>
      <c r="H6362" s="6">
        <f t="shared" si="308"/>
        <v>0</v>
      </c>
      <c r="I6362" s="6">
        <f t="shared" si="309"/>
        <v>0</v>
      </c>
      <c r="J6362" s="6">
        <f t="shared" si="310"/>
        <v>0</v>
      </c>
      <c r="L6362" s="4" t="str">
        <f>IFERROR(VLOOKUP(ROWS($L$2:L6362),$B$2:$C$1996,2,0),"")</f>
        <v/>
      </c>
      <c r="N6362" s="2" t="str">
        <f>IFERROR(VLOOKUP(ROWS($N$2:N6362),$D$2:$E$1996,2,0),"")</f>
        <v/>
      </c>
    </row>
    <row r="6363" spans="2:14">
      <c r="B6363" s="32">
        <f>IF(ISNUMBER(SEARCH('Φόρμα Εισαγωγής'!$B$2,C6363)),MAX($B$1:B6362)+1,0)</f>
        <v>0</v>
      </c>
      <c r="D6363" s="33">
        <f>IF(ISNUMBER(SEARCH('Φόρμα Εισαγωγής'!$C$2,E6363)),MAX($D$1:D6362)+1,0)</f>
        <v>0</v>
      </c>
      <c r="H6363" s="6">
        <f t="shared" si="308"/>
        <v>0</v>
      </c>
      <c r="I6363" s="6">
        <f t="shared" si="309"/>
        <v>0</v>
      </c>
      <c r="J6363" s="6">
        <f t="shared" si="310"/>
        <v>0</v>
      </c>
      <c r="L6363" s="4" t="str">
        <f>IFERROR(VLOOKUP(ROWS($L$2:L6363),$B$2:$C$1996,2,0),"")</f>
        <v/>
      </c>
      <c r="N6363" s="2" t="str">
        <f>IFERROR(VLOOKUP(ROWS($N$2:N6363),$D$2:$E$1996,2,0),"")</f>
        <v/>
      </c>
    </row>
    <row r="6364" spans="2:14">
      <c r="B6364" s="32">
        <f>IF(ISNUMBER(SEARCH('Φόρμα Εισαγωγής'!$B$2,C6364)),MAX($B$1:B6363)+1,0)</f>
        <v>0</v>
      </c>
      <c r="D6364" s="33">
        <f>IF(ISNUMBER(SEARCH('Φόρμα Εισαγωγής'!$C$2,E6364)),MAX($D$1:D6363)+1,0)</f>
        <v>0</v>
      </c>
      <c r="H6364" s="6">
        <f t="shared" si="308"/>
        <v>0</v>
      </c>
      <c r="I6364" s="6">
        <f t="shared" si="309"/>
        <v>0</v>
      </c>
      <c r="J6364" s="6">
        <f t="shared" si="310"/>
        <v>0</v>
      </c>
      <c r="L6364" s="4" t="str">
        <f>IFERROR(VLOOKUP(ROWS($L$2:L6364),$B$2:$C$1996,2,0),"")</f>
        <v/>
      </c>
      <c r="N6364" s="2" t="str">
        <f>IFERROR(VLOOKUP(ROWS($N$2:N6364),$D$2:$E$1996,2,0),"")</f>
        <v/>
      </c>
    </row>
    <row r="6365" spans="2:14">
      <c r="B6365" s="32">
        <f>IF(ISNUMBER(SEARCH('Φόρμα Εισαγωγής'!$B$2,C6365)),MAX($B$1:B6364)+1,0)</f>
        <v>0</v>
      </c>
      <c r="D6365" s="33">
        <f>IF(ISNUMBER(SEARCH('Φόρμα Εισαγωγής'!$C$2,E6365)),MAX($D$1:D6364)+1,0)</f>
        <v>0</v>
      </c>
      <c r="H6365" s="6">
        <f t="shared" si="308"/>
        <v>0</v>
      </c>
      <c r="I6365" s="6">
        <f t="shared" si="309"/>
        <v>0</v>
      </c>
      <c r="J6365" s="6">
        <f t="shared" si="310"/>
        <v>0</v>
      </c>
      <c r="L6365" s="4" t="str">
        <f>IFERROR(VLOOKUP(ROWS($L$2:L6365),$B$2:$C$1996,2,0),"")</f>
        <v/>
      </c>
      <c r="N6365" s="2" t="str">
        <f>IFERROR(VLOOKUP(ROWS($N$2:N6365),$D$2:$E$1996,2,0),"")</f>
        <v/>
      </c>
    </row>
    <row r="6366" spans="2:14">
      <c r="B6366" s="32">
        <f>IF(ISNUMBER(SEARCH('Φόρμα Εισαγωγής'!$B$2,C6366)),MAX($B$1:B6365)+1,0)</f>
        <v>0</v>
      </c>
      <c r="D6366" s="33">
        <f>IF(ISNUMBER(SEARCH('Φόρμα Εισαγωγής'!$C$2,E6366)),MAX($D$1:D6365)+1,0)</f>
        <v>0</v>
      </c>
      <c r="H6366" s="6">
        <f t="shared" si="308"/>
        <v>0</v>
      </c>
      <c r="I6366" s="6">
        <f t="shared" si="309"/>
        <v>0</v>
      </c>
      <c r="J6366" s="6">
        <f t="shared" si="310"/>
        <v>0</v>
      </c>
      <c r="L6366" s="4" t="str">
        <f>IFERROR(VLOOKUP(ROWS($L$2:L6366),$B$2:$C$1996,2,0),"")</f>
        <v/>
      </c>
      <c r="N6366" s="2" t="str">
        <f>IFERROR(VLOOKUP(ROWS($N$2:N6366),$D$2:$E$1996,2,0),"")</f>
        <v/>
      </c>
    </row>
    <row r="6367" spans="2:14">
      <c r="B6367" s="32">
        <f>IF(ISNUMBER(SEARCH('Φόρμα Εισαγωγής'!$B$2,C6367)),MAX($B$1:B6366)+1,0)</f>
        <v>0</v>
      </c>
      <c r="D6367" s="33">
        <f>IF(ISNUMBER(SEARCH('Φόρμα Εισαγωγής'!$C$2,E6367)),MAX($D$1:D6366)+1,0)</f>
        <v>0</v>
      </c>
      <c r="H6367" s="6">
        <f t="shared" si="308"/>
        <v>0</v>
      </c>
      <c r="I6367" s="6">
        <f t="shared" si="309"/>
        <v>0</v>
      </c>
      <c r="J6367" s="6">
        <f t="shared" si="310"/>
        <v>0</v>
      </c>
      <c r="L6367" s="4" t="str">
        <f>IFERROR(VLOOKUP(ROWS($L$2:L6367),$B$2:$C$1996,2,0),"")</f>
        <v/>
      </c>
      <c r="N6367" s="2" t="str">
        <f>IFERROR(VLOOKUP(ROWS($N$2:N6367),$D$2:$E$1996,2,0),"")</f>
        <v/>
      </c>
    </row>
    <row r="6368" spans="2:14">
      <c r="B6368" s="32">
        <f>IF(ISNUMBER(SEARCH('Φόρμα Εισαγωγής'!$B$2,C6368)),MAX($B$1:B6367)+1,0)</f>
        <v>0</v>
      </c>
      <c r="D6368" s="33">
        <f>IF(ISNUMBER(SEARCH('Φόρμα Εισαγωγής'!$C$2,E6368)),MAX($D$1:D6367)+1,0)</f>
        <v>0</v>
      </c>
      <c r="H6368" s="6">
        <f t="shared" si="308"/>
        <v>0</v>
      </c>
      <c r="I6368" s="6">
        <f t="shared" si="309"/>
        <v>0</v>
      </c>
      <c r="J6368" s="6">
        <f t="shared" si="310"/>
        <v>0</v>
      </c>
      <c r="L6368" s="4" t="str">
        <f>IFERROR(VLOOKUP(ROWS($L$2:L6368),$B$2:$C$1996,2,0),"")</f>
        <v/>
      </c>
      <c r="N6368" s="2" t="str">
        <f>IFERROR(VLOOKUP(ROWS($N$2:N6368),$D$2:$E$1996,2,0),"")</f>
        <v/>
      </c>
    </row>
    <row r="6369" spans="2:14">
      <c r="B6369" s="32">
        <f>IF(ISNUMBER(SEARCH('Φόρμα Εισαγωγής'!$B$2,C6369)),MAX($B$1:B6368)+1,0)</f>
        <v>0</v>
      </c>
      <c r="D6369" s="33">
        <f>IF(ISNUMBER(SEARCH('Φόρμα Εισαγωγής'!$C$2,E6369)),MAX($D$1:D6368)+1,0)</f>
        <v>0</v>
      </c>
      <c r="H6369" s="6">
        <f t="shared" si="308"/>
        <v>0</v>
      </c>
      <c r="I6369" s="6">
        <f t="shared" si="309"/>
        <v>0</v>
      </c>
      <c r="J6369" s="6">
        <f t="shared" si="310"/>
        <v>0</v>
      </c>
      <c r="L6369" s="4" t="str">
        <f>IFERROR(VLOOKUP(ROWS($L$2:L6369),$B$2:$C$1996,2,0),"")</f>
        <v/>
      </c>
      <c r="N6369" s="2" t="str">
        <f>IFERROR(VLOOKUP(ROWS($N$2:N6369),$D$2:$E$1996,2,0),"")</f>
        <v/>
      </c>
    </row>
    <row r="6370" spans="2:14">
      <c r="B6370" s="32">
        <f>IF(ISNUMBER(SEARCH('Φόρμα Εισαγωγής'!$B$2,C6370)),MAX($B$1:B6369)+1,0)</f>
        <v>0</v>
      </c>
      <c r="D6370" s="33">
        <f>IF(ISNUMBER(SEARCH('Φόρμα Εισαγωγής'!$C$2,E6370)),MAX($D$1:D6369)+1,0)</f>
        <v>0</v>
      </c>
      <c r="H6370" s="6">
        <f t="shared" si="308"/>
        <v>0</v>
      </c>
      <c r="I6370" s="6">
        <f t="shared" si="309"/>
        <v>0</v>
      </c>
      <c r="J6370" s="6">
        <f t="shared" si="310"/>
        <v>0</v>
      </c>
      <c r="L6370" s="4" t="str">
        <f>IFERROR(VLOOKUP(ROWS($L$2:L6370),$B$2:$C$1996,2,0),"")</f>
        <v/>
      </c>
      <c r="N6370" s="2" t="str">
        <f>IFERROR(VLOOKUP(ROWS($N$2:N6370),$D$2:$E$1996,2,0),"")</f>
        <v/>
      </c>
    </row>
    <row r="6371" spans="2:14">
      <c r="B6371" s="32">
        <f>IF(ISNUMBER(SEARCH('Φόρμα Εισαγωγής'!$B$2,C6371)),MAX($B$1:B6370)+1,0)</f>
        <v>0</v>
      </c>
      <c r="D6371" s="33">
        <f>IF(ISNUMBER(SEARCH('Φόρμα Εισαγωγής'!$C$2,E6371)),MAX($D$1:D6370)+1,0)</f>
        <v>0</v>
      </c>
      <c r="H6371" s="6">
        <f t="shared" si="308"/>
        <v>0</v>
      </c>
      <c r="I6371" s="6">
        <f t="shared" si="309"/>
        <v>0</v>
      </c>
      <c r="J6371" s="6">
        <f t="shared" si="310"/>
        <v>0</v>
      </c>
      <c r="L6371" s="4" t="str">
        <f>IFERROR(VLOOKUP(ROWS($L$2:L6371),$B$2:$C$1996,2,0),"")</f>
        <v/>
      </c>
      <c r="N6371" s="2" t="str">
        <f>IFERROR(VLOOKUP(ROWS($N$2:N6371),$D$2:$E$1996,2,0),"")</f>
        <v/>
      </c>
    </row>
    <row r="6372" spans="2:14">
      <c r="B6372" s="32">
        <f>IF(ISNUMBER(SEARCH('Φόρμα Εισαγωγής'!$B$2,C6372)),MAX($B$1:B6371)+1,0)</f>
        <v>0</v>
      </c>
      <c r="D6372" s="33">
        <f>IF(ISNUMBER(SEARCH('Φόρμα Εισαγωγής'!$C$2,E6372)),MAX($D$1:D6371)+1,0)</f>
        <v>0</v>
      </c>
      <c r="H6372" s="6">
        <f t="shared" si="308"/>
        <v>0</v>
      </c>
      <c r="I6372" s="6">
        <f t="shared" si="309"/>
        <v>0</v>
      </c>
      <c r="J6372" s="6">
        <f t="shared" si="310"/>
        <v>0</v>
      </c>
      <c r="L6372" s="4" t="str">
        <f>IFERROR(VLOOKUP(ROWS($L$2:L6372),$B$2:$C$1996,2,0),"")</f>
        <v/>
      </c>
      <c r="N6372" s="2" t="str">
        <f>IFERROR(VLOOKUP(ROWS($N$2:N6372),$D$2:$E$1996,2,0),"")</f>
        <v/>
      </c>
    </row>
    <row r="6373" spans="2:14">
      <c r="B6373" s="32">
        <f>IF(ISNUMBER(SEARCH('Φόρμα Εισαγωγής'!$B$2,C6373)),MAX($B$1:B6372)+1,0)</f>
        <v>0</v>
      </c>
      <c r="D6373" s="33">
        <f>IF(ISNUMBER(SEARCH('Φόρμα Εισαγωγής'!$C$2,E6373)),MAX($D$1:D6372)+1,0)</f>
        <v>0</v>
      </c>
      <c r="H6373" s="6">
        <f t="shared" si="308"/>
        <v>0</v>
      </c>
      <c r="I6373" s="6">
        <f t="shared" si="309"/>
        <v>0</v>
      </c>
      <c r="J6373" s="6">
        <f t="shared" si="310"/>
        <v>0</v>
      </c>
      <c r="L6373" s="4" t="str">
        <f>IFERROR(VLOOKUP(ROWS($L$2:L6373),$B$2:$C$1996,2,0),"")</f>
        <v/>
      </c>
      <c r="N6373" s="2" t="str">
        <f>IFERROR(VLOOKUP(ROWS($N$2:N6373),$D$2:$E$1996,2,0),"")</f>
        <v/>
      </c>
    </row>
    <row r="6374" spans="2:14">
      <c r="B6374" s="32">
        <f>IF(ISNUMBER(SEARCH('Φόρμα Εισαγωγής'!$B$2,C6374)),MAX($B$1:B6373)+1,0)</f>
        <v>0</v>
      </c>
      <c r="D6374" s="33">
        <f>IF(ISNUMBER(SEARCH('Φόρμα Εισαγωγής'!$C$2,E6374)),MAX($D$1:D6373)+1,0)</f>
        <v>0</v>
      </c>
      <c r="H6374" s="6">
        <f t="shared" si="308"/>
        <v>0</v>
      </c>
      <c r="I6374" s="6">
        <f t="shared" si="309"/>
        <v>0</v>
      </c>
      <c r="J6374" s="6">
        <f t="shared" si="310"/>
        <v>0</v>
      </c>
      <c r="L6374" s="4" t="str">
        <f>IFERROR(VLOOKUP(ROWS($L$2:L6374),$B$2:$C$1996,2,0),"")</f>
        <v/>
      </c>
      <c r="N6374" s="2" t="str">
        <f>IFERROR(VLOOKUP(ROWS($N$2:N6374),$D$2:$E$1996,2,0),"")</f>
        <v/>
      </c>
    </row>
    <row r="6375" spans="2:14">
      <c r="B6375" s="32">
        <f>IF(ISNUMBER(SEARCH('Φόρμα Εισαγωγής'!$B$2,C6375)),MAX($B$1:B6374)+1,0)</f>
        <v>0</v>
      </c>
      <c r="D6375" s="33">
        <f>IF(ISNUMBER(SEARCH('Φόρμα Εισαγωγής'!$C$2,E6375)),MAX($D$1:D6374)+1,0)</f>
        <v>0</v>
      </c>
      <c r="H6375" s="6">
        <f t="shared" si="308"/>
        <v>0</v>
      </c>
      <c r="I6375" s="6">
        <f t="shared" si="309"/>
        <v>0</v>
      </c>
      <c r="J6375" s="6">
        <f t="shared" si="310"/>
        <v>0</v>
      </c>
      <c r="L6375" s="4" t="str">
        <f>IFERROR(VLOOKUP(ROWS($L$2:L6375),$B$2:$C$1996,2,0),"")</f>
        <v/>
      </c>
      <c r="N6375" s="2" t="str">
        <f>IFERROR(VLOOKUP(ROWS($N$2:N6375),$D$2:$E$1996,2,0),"")</f>
        <v/>
      </c>
    </row>
    <row r="6376" spans="2:14">
      <c r="B6376" s="32">
        <f>IF(ISNUMBER(SEARCH('Φόρμα Εισαγωγής'!$B$2,C6376)),MAX($B$1:B6375)+1,0)</f>
        <v>0</v>
      </c>
      <c r="D6376" s="33">
        <f>IF(ISNUMBER(SEARCH('Φόρμα Εισαγωγής'!$C$2,E6376)),MAX($D$1:D6375)+1,0)</f>
        <v>0</v>
      </c>
      <c r="H6376" s="6">
        <f t="shared" si="308"/>
        <v>0</v>
      </c>
      <c r="I6376" s="6">
        <f t="shared" si="309"/>
        <v>0</v>
      </c>
      <c r="J6376" s="6">
        <f t="shared" si="310"/>
        <v>0</v>
      </c>
      <c r="L6376" s="4" t="str">
        <f>IFERROR(VLOOKUP(ROWS($L$2:L6376),$B$2:$C$1996,2,0),"")</f>
        <v/>
      </c>
      <c r="N6376" s="2" t="str">
        <f>IFERROR(VLOOKUP(ROWS($N$2:N6376),$D$2:$E$1996,2,0),"")</f>
        <v/>
      </c>
    </row>
    <row r="6377" spans="2:14">
      <c r="B6377" s="32">
        <f>IF(ISNUMBER(SEARCH('Φόρμα Εισαγωγής'!$B$2,C6377)),MAX($B$1:B6376)+1,0)</f>
        <v>0</v>
      </c>
      <c r="D6377" s="33">
        <f>IF(ISNUMBER(SEARCH('Φόρμα Εισαγωγής'!$C$2,E6377)),MAX($D$1:D6376)+1,0)</f>
        <v>0</v>
      </c>
      <c r="H6377" s="6">
        <f t="shared" si="308"/>
        <v>0</v>
      </c>
      <c r="I6377" s="6">
        <f t="shared" si="309"/>
        <v>0</v>
      </c>
      <c r="J6377" s="6">
        <f t="shared" si="310"/>
        <v>0</v>
      </c>
      <c r="L6377" s="4" t="str">
        <f>IFERROR(VLOOKUP(ROWS($L$2:L6377),$B$2:$C$1996,2,0),"")</f>
        <v/>
      </c>
      <c r="N6377" s="2" t="str">
        <f>IFERROR(VLOOKUP(ROWS($N$2:N6377),$D$2:$E$1996,2,0),"")</f>
        <v/>
      </c>
    </row>
    <row r="6378" spans="2:14">
      <c r="B6378" s="32">
        <f>IF(ISNUMBER(SEARCH('Φόρμα Εισαγωγής'!$B$2,C6378)),MAX($B$1:B6377)+1,0)</f>
        <v>0</v>
      </c>
      <c r="D6378" s="33">
        <f>IF(ISNUMBER(SEARCH('Φόρμα Εισαγωγής'!$C$2,E6378)),MAX($D$1:D6377)+1,0)</f>
        <v>0</v>
      </c>
      <c r="H6378" s="6">
        <f t="shared" si="308"/>
        <v>0</v>
      </c>
      <c r="I6378" s="6">
        <f t="shared" si="309"/>
        <v>0</v>
      </c>
      <c r="J6378" s="6">
        <f t="shared" si="310"/>
        <v>0</v>
      </c>
      <c r="L6378" s="4" t="str">
        <f>IFERROR(VLOOKUP(ROWS($L$2:L6378),$B$2:$C$1996,2,0),"")</f>
        <v/>
      </c>
      <c r="N6378" s="2" t="str">
        <f>IFERROR(VLOOKUP(ROWS($N$2:N6378),$D$2:$E$1996,2,0),"")</f>
        <v/>
      </c>
    </row>
    <row r="6379" spans="2:14">
      <c r="B6379" s="32">
        <f>IF(ISNUMBER(SEARCH('Φόρμα Εισαγωγής'!$B$2,C6379)),MAX($B$1:B6378)+1,0)</f>
        <v>0</v>
      </c>
      <c r="D6379" s="33">
        <f>IF(ISNUMBER(SEARCH('Φόρμα Εισαγωγής'!$C$2,E6379)),MAX($D$1:D6378)+1,0)</f>
        <v>0</v>
      </c>
      <c r="H6379" s="6">
        <f t="shared" si="308"/>
        <v>0</v>
      </c>
      <c r="I6379" s="6">
        <f t="shared" si="309"/>
        <v>0</v>
      </c>
      <c r="J6379" s="6">
        <f t="shared" si="310"/>
        <v>0</v>
      </c>
      <c r="L6379" s="4" t="str">
        <f>IFERROR(VLOOKUP(ROWS($L$2:L6379),$B$2:$C$1996,2,0),"")</f>
        <v/>
      </c>
      <c r="N6379" s="2" t="str">
        <f>IFERROR(VLOOKUP(ROWS($N$2:N6379),$D$2:$E$1996,2,0),"")</f>
        <v/>
      </c>
    </row>
    <row r="6380" spans="2:14">
      <c r="B6380" s="32">
        <f>IF(ISNUMBER(SEARCH('Φόρμα Εισαγωγής'!$B$2,C6380)),MAX($B$1:B6379)+1,0)</f>
        <v>0</v>
      </c>
      <c r="D6380" s="33">
        <f>IF(ISNUMBER(SEARCH('Φόρμα Εισαγωγής'!$C$2,E6380)),MAX($D$1:D6379)+1,0)</f>
        <v>0</v>
      </c>
      <c r="H6380" s="6">
        <f t="shared" si="308"/>
        <v>0</v>
      </c>
      <c r="I6380" s="6">
        <f t="shared" si="309"/>
        <v>0</v>
      </c>
      <c r="J6380" s="6">
        <f t="shared" si="310"/>
        <v>0</v>
      </c>
      <c r="L6380" s="4" t="str">
        <f>IFERROR(VLOOKUP(ROWS($L$2:L6380),$B$2:$C$1996,2,0),"")</f>
        <v/>
      </c>
      <c r="N6380" s="2" t="str">
        <f>IFERROR(VLOOKUP(ROWS($N$2:N6380),$D$2:$E$1996,2,0),"")</f>
        <v/>
      </c>
    </row>
    <row r="6381" spans="2:14">
      <c r="B6381" s="32">
        <f>IF(ISNUMBER(SEARCH('Φόρμα Εισαγωγής'!$B$2,C6381)),MAX($B$1:B6380)+1,0)</f>
        <v>0</v>
      </c>
      <c r="D6381" s="33">
        <f>IF(ISNUMBER(SEARCH('Φόρμα Εισαγωγής'!$C$2,E6381)),MAX($D$1:D6380)+1,0)</f>
        <v>0</v>
      </c>
      <c r="H6381" s="6">
        <f t="shared" si="308"/>
        <v>0</v>
      </c>
      <c r="I6381" s="6">
        <f t="shared" si="309"/>
        <v>0</v>
      </c>
      <c r="J6381" s="6">
        <f t="shared" si="310"/>
        <v>0</v>
      </c>
      <c r="L6381" s="4" t="str">
        <f>IFERROR(VLOOKUP(ROWS($L$2:L6381),$B$2:$C$1996,2,0),"")</f>
        <v/>
      </c>
      <c r="N6381" s="2" t="str">
        <f>IFERROR(VLOOKUP(ROWS($N$2:N6381),$D$2:$E$1996,2,0),"")</f>
        <v/>
      </c>
    </row>
    <row r="6382" spans="2:14">
      <c r="B6382" s="32">
        <f>IF(ISNUMBER(SEARCH('Φόρμα Εισαγωγής'!$B$2,C6382)),MAX($B$1:B6381)+1,0)</f>
        <v>0</v>
      </c>
      <c r="D6382" s="33">
        <f>IF(ISNUMBER(SEARCH('Φόρμα Εισαγωγής'!$C$2,E6382)),MAX($D$1:D6381)+1,0)</f>
        <v>0</v>
      </c>
      <c r="H6382" s="6">
        <f t="shared" si="308"/>
        <v>0</v>
      </c>
      <c r="I6382" s="6">
        <f t="shared" si="309"/>
        <v>0</v>
      </c>
      <c r="J6382" s="6">
        <f t="shared" si="310"/>
        <v>0</v>
      </c>
      <c r="L6382" s="4" t="str">
        <f>IFERROR(VLOOKUP(ROWS($L$2:L6382),$B$2:$C$1996,2,0),"")</f>
        <v/>
      </c>
      <c r="N6382" s="2" t="str">
        <f>IFERROR(VLOOKUP(ROWS($N$2:N6382),$D$2:$E$1996,2,0),"")</f>
        <v/>
      </c>
    </row>
    <row r="6383" spans="2:14">
      <c r="B6383" s="32">
        <f>IF(ISNUMBER(SEARCH('Φόρμα Εισαγωγής'!$B$2,C6383)),MAX($B$1:B6382)+1,0)</f>
        <v>0</v>
      </c>
      <c r="D6383" s="33">
        <f>IF(ISNUMBER(SEARCH('Φόρμα Εισαγωγής'!$C$2,E6383)),MAX($D$1:D6382)+1,0)</f>
        <v>0</v>
      </c>
      <c r="H6383" s="6">
        <f t="shared" si="308"/>
        <v>0</v>
      </c>
      <c r="I6383" s="6">
        <f t="shared" si="309"/>
        <v>0</v>
      </c>
      <c r="J6383" s="6">
        <f t="shared" si="310"/>
        <v>0</v>
      </c>
      <c r="L6383" s="4" t="str">
        <f>IFERROR(VLOOKUP(ROWS($L$2:L6383),$B$2:$C$1996,2,0),"")</f>
        <v/>
      </c>
      <c r="N6383" s="2" t="str">
        <f>IFERROR(VLOOKUP(ROWS($N$2:N6383),$D$2:$E$1996,2,0),"")</f>
        <v/>
      </c>
    </row>
    <row r="6384" spans="2:14">
      <c r="B6384" s="32">
        <f>IF(ISNUMBER(SEARCH('Φόρμα Εισαγωγής'!$B$2,C6384)),MAX($B$1:B6383)+1,0)</f>
        <v>0</v>
      </c>
      <c r="D6384" s="33">
        <f>IF(ISNUMBER(SEARCH('Φόρμα Εισαγωγής'!$C$2,E6384)),MAX($D$1:D6383)+1,0)</f>
        <v>0</v>
      </c>
      <c r="H6384" s="6">
        <f t="shared" si="308"/>
        <v>0</v>
      </c>
      <c r="I6384" s="6">
        <f t="shared" si="309"/>
        <v>0</v>
      </c>
      <c r="J6384" s="6">
        <f t="shared" si="310"/>
        <v>0</v>
      </c>
      <c r="L6384" s="4" t="str">
        <f>IFERROR(VLOOKUP(ROWS($L$2:L6384),$B$2:$C$1996,2,0),"")</f>
        <v/>
      </c>
      <c r="N6384" s="2" t="str">
        <f>IFERROR(VLOOKUP(ROWS($N$2:N6384),$D$2:$E$1996,2,0),"")</f>
        <v/>
      </c>
    </row>
    <row r="6385" spans="2:14">
      <c r="B6385" s="32">
        <f>IF(ISNUMBER(SEARCH('Φόρμα Εισαγωγής'!$B$2,C6385)),MAX($B$1:B6384)+1,0)</f>
        <v>0</v>
      </c>
      <c r="D6385" s="33">
        <f>IF(ISNUMBER(SEARCH('Φόρμα Εισαγωγής'!$C$2,E6385)),MAX($D$1:D6384)+1,0)</f>
        <v>0</v>
      </c>
      <c r="H6385" s="6">
        <f t="shared" si="308"/>
        <v>0</v>
      </c>
      <c r="I6385" s="6">
        <f t="shared" si="309"/>
        <v>0</v>
      </c>
      <c r="J6385" s="6">
        <f t="shared" si="310"/>
        <v>0</v>
      </c>
      <c r="L6385" s="4" t="str">
        <f>IFERROR(VLOOKUP(ROWS($L$2:L6385),$B$2:$C$1996,2,0),"")</f>
        <v/>
      </c>
      <c r="N6385" s="2" t="str">
        <f>IFERROR(VLOOKUP(ROWS($N$2:N6385),$D$2:$E$1996,2,0),"")</f>
        <v/>
      </c>
    </row>
    <row r="6386" spans="2:14">
      <c r="B6386" s="32">
        <f>IF(ISNUMBER(SEARCH('Φόρμα Εισαγωγής'!$B$2,C6386)),MAX($B$1:B6385)+1,0)</f>
        <v>0</v>
      </c>
      <c r="D6386" s="33">
        <f>IF(ISNUMBER(SEARCH('Φόρμα Εισαγωγής'!$C$2,E6386)),MAX($D$1:D6385)+1,0)</f>
        <v>0</v>
      </c>
      <c r="H6386" s="6">
        <f t="shared" si="308"/>
        <v>0</v>
      </c>
      <c r="I6386" s="6">
        <f t="shared" si="309"/>
        <v>0</v>
      </c>
      <c r="J6386" s="6">
        <f t="shared" si="310"/>
        <v>0</v>
      </c>
      <c r="L6386" s="4" t="str">
        <f>IFERROR(VLOOKUP(ROWS($L$2:L6386),$B$2:$C$1996,2,0),"")</f>
        <v/>
      </c>
      <c r="N6386" s="2" t="str">
        <f>IFERROR(VLOOKUP(ROWS($N$2:N6386),$D$2:$E$1996,2,0),"")</f>
        <v/>
      </c>
    </row>
    <row r="6387" spans="2:14">
      <c r="B6387" s="32">
        <f>IF(ISNUMBER(SEARCH('Φόρμα Εισαγωγής'!$B$2,C6387)),MAX($B$1:B6386)+1,0)</f>
        <v>0</v>
      </c>
      <c r="D6387" s="33">
        <f>IF(ISNUMBER(SEARCH('Φόρμα Εισαγωγής'!$C$2,E6387)),MAX($D$1:D6386)+1,0)</f>
        <v>0</v>
      </c>
      <c r="H6387" s="6">
        <f t="shared" si="308"/>
        <v>0</v>
      </c>
      <c r="I6387" s="6">
        <f t="shared" si="309"/>
        <v>0</v>
      </c>
      <c r="J6387" s="6">
        <f t="shared" si="310"/>
        <v>0</v>
      </c>
      <c r="L6387" s="4" t="str">
        <f>IFERROR(VLOOKUP(ROWS($L$2:L6387),$B$2:$C$1996,2,0),"")</f>
        <v/>
      </c>
      <c r="N6387" s="2" t="str">
        <f>IFERROR(VLOOKUP(ROWS($N$2:N6387),$D$2:$E$1996,2,0),"")</f>
        <v/>
      </c>
    </row>
    <row r="6388" spans="2:14">
      <c r="B6388" s="32">
        <f>IF(ISNUMBER(SEARCH('Φόρμα Εισαγωγής'!$B$2,C6388)),MAX($B$1:B6387)+1,0)</f>
        <v>0</v>
      </c>
      <c r="D6388" s="33">
        <f>IF(ISNUMBER(SEARCH('Φόρμα Εισαγωγής'!$C$2,E6388)),MAX($D$1:D6387)+1,0)</f>
        <v>0</v>
      </c>
      <c r="H6388" s="6">
        <f t="shared" si="308"/>
        <v>0</v>
      </c>
      <c r="I6388" s="6">
        <f t="shared" si="309"/>
        <v>0</v>
      </c>
      <c r="J6388" s="6">
        <f t="shared" si="310"/>
        <v>0</v>
      </c>
      <c r="L6388" s="4" t="str">
        <f>IFERROR(VLOOKUP(ROWS($L$2:L6388),$B$2:$C$1996,2,0),"")</f>
        <v/>
      </c>
      <c r="N6388" s="2" t="str">
        <f>IFERROR(VLOOKUP(ROWS($N$2:N6388),$D$2:$E$1996,2,0),"")</f>
        <v/>
      </c>
    </row>
    <row r="6389" spans="2:14">
      <c r="B6389" s="32">
        <f>IF(ISNUMBER(SEARCH('Φόρμα Εισαγωγής'!$B$2,C6389)),MAX($B$1:B6388)+1,0)</f>
        <v>0</v>
      </c>
      <c r="D6389" s="33">
        <f>IF(ISNUMBER(SEARCH('Φόρμα Εισαγωγής'!$C$2,E6389)),MAX($D$1:D6388)+1,0)</f>
        <v>0</v>
      </c>
      <c r="H6389" s="6">
        <f t="shared" si="308"/>
        <v>0</v>
      </c>
      <c r="I6389" s="6">
        <f t="shared" si="309"/>
        <v>0</v>
      </c>
      <c r="J6389" s="6">
        <f t="shared" si="310"/>
        <v>0</v>
      </c>
      <c r="L6389" s="4" t="str">
        <f>IFERROR(VLOOKUP(ROWS($L$2:L6389),$B$2:$C$1996,2,0),"")</f>
        <v/>
      </c>
      <c r="N6389" s="2" t="str">
        <f>IFERROR(VLOOKUP(ROWS($N$2:N6389),$D$2:$E$1996,2,0),"")</f>
        <v/>
      </c>
    </row>
    <row r="6390" spans="2:14">
      <c r="B6390" s="32">
        <f>IF(ISNUMBER(SEARCH('Φόρμα Εισαγωγής'!$B$2,C6390)),MAX($B$1:B6389)+1,0)</f>
        <v>0</v>
      </c>
      <c r="D6390" s="33">
        <f>IF(ISNUMBER(SEARCH('Φόρμα Εισαγωγής'!$C$2,E6390)),MAX($D$1:D6389)+1,0)</f>
        <v>0</v>
      </c>
      <c r="H6390" s="6">
        <f t="shared" si="308"/>
        <v>0</v>
      </c>
      <c r="I6390" s="6">
        <f t="shared" si="309"/>
        <v>0</v>
      </c>
      <c r="J6390" s="6">
        <f t="shared" si="310"/>
        <v>0</v>
      </c>
      <c r="L6390" s="4" t="str">
        <f>IFERROR(VLOOKUP(ROWS($L$2:L6390),$B$2:$C$1996,2,0),"")</f>
        <v/>
      </c>
      <c r="N6390" s="2" t="str">
        <f>IFERROR(VLOOKUP(ROWS($N$2:N6390),$D$2:$E$1996,2,0),"")</f>
        <v/>
      </c>
    </row>
    <row r="6391" spans="2:14">
      <c r="B6391" s="32">
        <f>IF(ISNUMBER(SEARCH('Φόρμα Εισαγωγής'!$B$2,C6391)),MAX($B$1:B6390)+1,0)</f>
        <v>0</v>
      </c>
      <c r="D6391" s="33">
        <f>IF(ISNUMBER(SEARCH('Φόρμα Εισαγωγής'!$C$2,E6391)),MAX($D$1:D6390)+1,0)</f>
        <v>0</v>
      </c>
      <c r="H6391" s="6">
        <f t="shared" si="308"/>
        <v>0</v>
      </c>
      <c r="I6391" s="6">
        <f t="shared" si="309"/>
        <v>0</v>
      </c>
      <c r="J6391" s="6">
        <f t="shared" si="310"/>
        <v>0</v>
      </c>
      <c r="L6391" s="4" t="str">
        <f>IFERROR(VLOOKUP(ROWS($L$2:L6391),$B$2:$C$1996,2,0),"")</f>
        <v/>
      </c>
      <c r="N6391" s="2" t="str">
        <f>IFERROR(VLOOKUP(ROWS($N$2:N6391),$D$2:$E$1996,2,0),"")</f>
        <v/>
      </c>
    </row>
    <row r="6392" spans="2:14">
      <c r="B6392" s="32">
        <f>IF(ISNUMBER(SEARCH('Φόρμα Εισαγωγής'!$B$2,C6392)),MAX($B$1:B6391)+1,0)</f>
        <v>0</v>
      </c>
      <c r="D6392" s="33">
        <f>IF(ISNUMBER(SEARCH('Φόρμα Εισαγωγής'!$C$2,E6392)),MAX($D$1:D6391)+1,0)</f>
        <v>0</v>
      </c>
      <c r="H6392" s="6">
        <f t="shared" si="308"/>
        <v>0</v>
      </c>
      <c r="I6392" s="6">
        <f t="shared" si="309"/>
        <v>0</v>
      </c>
      <c r="J6392" s="6">
        <f t="shared" si="310"/>
        <v>0</v>
      </c>
      <c r="L6392" s="4" t="str">
        <f>IFERROR(VLOOKUP(ROWS($L$2:L6392),$B$2:$C$1996,2,0),"")</f>
        <v/>
      </c>
      <c r="N6392" s="2" t="str">
        <f>IFERROR(VLOOKUP(ROWS($N$2:N6392),$D$2:$E$1996,2,0),"")</f>
        <v/>
      </c>
    </row>
    <row r="6393" spans="2:14">
      <c r="B6393" s="32">
        <f>IF(ISNUMBER(SEARCH('Φόρμα Εισαγωγής'!$B$2,C6393)),MAX($B$1:B6392)+1,0)</f>
        <v>0</v>
      </c>
      <c r="D6393" s="33">
        <f>IF(ISNUMBER(SEARCH('Φόρμα Εισαγωγής'!$C$2,E6393)),MAX($D$1:D6392)+1,0)</f>
        <v>0</v>
      </c>
      <c r="H6393" s="6">
        <f t="shared" si="308"/>
        <v>0</v>
      </c>
      <c r="I6393" s="6">
        <f t="shared" si="309"/>
        <v>0</v>
      </c>
      <c r="J6393" s="6">
        <f t="shared" si="310"/>
        <v>0</v>
      </c>
      <c r="L6393" s="4" t="str">
        <f>IFERROR(VLOOKUP(ROWS($L$2:L6393),$B$2:$C$1996,2,0),"")</f>
        <v/>
      </c>
      <c r="N6393" s="2" t="str">
        <f>IFERROR(VLOOKUP(ROWS($N$2:N6393),$D$2:$E$1996,2,0),"")</f>
        <v/>
      </c>
    </row>
    <row r="6394" spans="2:14">
      <c r="B6394" s="32">
        <f>IF(ISNUMBER(SEARCH('Φόρμα Εισαγωγής'!$B$2,C6394)),MAX($B$1:B6393)+1,0)</f>
        <v>0</v>
      </c>
      <c r="D6394" s="33">
        <f>IF(ISNUMBER(SEARCH('Φόρμα Εισαγωγής'!$C$2,E6394)),MAX($D$1:D6393)+1,0)</f>
        <v>0</v>
      </c>
      <c r="H6394" s="6">
        <f t="shared" si="308"/>
        <v>0</v>
      </c>
      <c r="I6394" s="6">
        <f t="shared" si="309"/>
        <v>0</v>
      </c>
      <c r="J6394" s="6">
        <f t="shared" si="310"/>
        <v>0</v>
      </c>
      <c r="L6394" s="4" t="str">
        <f>IFERROR(VLOOKUP(ROWS($L$2:L6394),$B$2:$C$1996,2,0),"")</f>
        <v/>
      </c>
      <c r="N6394" s="2" t="str">
        <f>IFERROR(VLOOKUP(ROWS($N$2:N6394),$D$2:$E$1996,2,0),"")</f>
        <v/>
      </c>
    </row>
    <row r="6395" spans="2:14">
      <c r="B6395" s="32">
        <f>IF(ISNUMBER(SEARCH('Φόρμα Εισαγωγής'!$B$2,C6395)),MAX($B$1:B6394)+1,0)</f>
        <v>0</v>
      </c>
      <c r="D6395" s="33">
        <f>IF(ISNUMBER(SEARCH('Φόρμα Εισαγωγής'!$C$2,E6395)),MAX($D$1:D6394)+1,0)</f>
        <v>0</v>
      </c>
      <c r="H6395" s="6">
        <f t="shared" si="308"/>
        <v>0</v>
      </c>
      <c r="I6395" s="6">
        <f t="shared" si="309"/>
        <v>0</v>
      </c>
      <c r="J6395" s="6">
        <f t="shared" si="310"/>
        <v>0</v>
      </c>
      <c r="L6395" s="4" t="str">
        <f>IFERROR(VLOOKUP(ROWS($L$2:L6395),$B$2:$C$1996,2,0),"")</f>
        <v/>
      </c>
      <c r="N6395" s="2" t="str">
        <f>IFERROR(VLOOKUP(ROWS($N$2:N6395),$D$2:$E$1996,2,0),"")</f>
        <v/>
      </c>
    </row>
    <row r="6396" spans="2:14">
      <c r="B6396" s="32">
        <f>IF(ISNUMBER(SEARCH('Φόρμα Εισαγωγής'!$B$2,C6396)),MAX($B$1:B6395)+1,0)</f>
        <v>0</v>
      </c>
      <c r="D6396" s="33">
        <f>IF(ISNUMBER(SEARCH('Φόρμα Εισαγωγής'!$C$2,E6396)),MAX($D$1:D6395)+1,0)</f>
        <v>0</v>
      </c>
      <c r="H6396" s="6">
        <f t="shared" si="308"/>
        <v>0</v>
      </c>
      <c r="I6396" s="6">
        <f t="shared" si="309"/>
        <v>0</v>
      </c>
      <c r="J6396" s="6">
        <f t="shared" si="310"/>
        <v>0</v>
      </c>
      <c r="L6396" s="4" t="str">
        <f>IFERROR(VLOOKUP(ROWS($L$2:L6396),$B$2:$C$1996,2,0),"")</f>
        <v/>
      </c>
      <c r="N6396" s="2" t="str">
        <f>IFERROR(VLOOKUP(ROWS($N$2:N6396),$D$2:$E$1996,2,0),"")</f>
        <v/>
      </c>
    </row>
    <row r="6397" spans="2:14">
      <c r="B6397" s="32">
        <f>IF(ISNUMBER(SEARCH('Φόρμα Εισαγωγής'!$B$2,C6397)),MAX($B$1:B6396)+1,0)</f>
        <v>0</v>
      </c>
      <c r="D6397" s="33">
        <f>IF(ISNUMBER(SEARCH('Φόρμα Εισαγωγής'!$C$2,E6397)),MAX($D$1:D6396)+1,0)</f>
        <v>0</v>
      </c>
      <c r="H6397" s="6">
        <f t="shared" si="308"/>
        <v>0</v>
      </c>
      <c r="I6397" s="6">
        <f t="shared" si="309"/>
        <v>0</v>
      </c>
      <c r="J6397" s="6">
        <f t="shared" si="310"/>
        <v>0</v>
      </c>
      <c r="L6397" s="4" t="str">
        <f>IFERROR(VLOOKUP(ROWS($L$2:L6397),$B$2:$C$1996,2,0),"")</f>
        <v/>
      </c>
      <c r="N6397" s="2" t="str">
        <f>IFERROR(VLOOKUP(ROWS($N$2:N6397),$D$2:$E$1996,2,0),"")</f>
        <v/>
      </c>
    </row>
    <row r="6398" spans="2:14">
      <c r="B6398" s="32">
        <f>IF(ISNUMBER(SEARCH('Φόρμα Εισαγωγής'!$B$2,C6398)),MAX($B$1:B6397)+1,0)</f>
        <v>0</v>
      </c>
      <c r="D6398" s="33">
        <f>IF(ISNUMBER(SEARCH('Φόρμα Εισαγωγής'!$C$2,E6398)),MAX($D$1:D6397)+1,0)</f>
        <v>0</v>
      </c>
      <c r="H6398" s="6">
        <f t="shared" si="308"/>
        <v>0</v>
      </c>
      <c r="I6398" s="6">
        <f t="shared" si="309"/>
        <v>0</v>
      </c>
      <c r="J6398" s="6">
        <f t="shared" si="310"/>
        <v>0</v>
      </c>
      <c r="L6398" s="4" t="str">
        <f>IFERROR(VLOOKUP(ROWS($L$2:L6398),$B$2:$C$1996,2,0),"")</f>
        <v/>
      </c>
      <c r="N6398" s="2" t="str">
        <f>IFERROR(VLOOKUP(ROWS($N$2:N6398),$D$2:$E$1996,2,0),"")</f>
        <v/>
      </c>
    </row>
    <row r="6399" spans="2:14">
      <c r="B6399" s="32">
        <f>IF(ISNUMBER(SEARCH('Φόρμα Εισαγωγής'!$B$2,C6399)),MAX($B$1:B6398)+1,0)</f>
        <v>0</v>
      </c>
      <c r="D6399" s="33">
        <f>IF(ISNUMBER(SEARCH('Φόρμα Εισαγωγής'!$C$2,E6399)),MAX($D$1:D6398)+1,0)</f>
        <v>0</v>
      </c>
      <c r="H6399" s="6">
        <f t="shared" si="308"/>
        <v>0</v>
      </c>
      <c r="I6399" s="6">
        <f t="shared" si="309"/>
        <v>0</v>
      </c>
      <c r="J6399" s="6">
        <f t="shared" si="310"/>
        <v>0</v>
      </c>
      <c r="L6399" s="4" t="str">
        <f>IFERROR(VLOOKUP(ROWS($L$2:L6399),$B$2:$C$1996,2,0),"")</f>
        <v/>
      </c>
      <c r="N6399" s="2" t="str">
        <f>IFERROR(VLOOKUP(ROWS($N$2:N6399),$D$2:$E$1996,2,0),"")</f>
        <v/>
      </c>
    </row>
    <row r="6400" spans="2:14">
      <c r="B6400" s="32">
        <f>IF(ISNUMBER(SEARCH('Φόρμα Εισαγωγής'!$B$2,C6400)),MAX($B$1:B6399)+1,0)</f>
        <v>0</v>
      </c>
      <c r="D6400" s="33">
        <f>IF(ISNUMBER(SEARCH('Φόρμα Εισαγωγής'!$C$2,E6400)),MAX($D$1:D6399)+1,0)</f>
        <v>0</v>
      </c>
      <c r="H6400" s="6">
        <f t="shared" ref="H6400:H6463" si="311">G6400+(G6400*0.24)</f>
        <v>0</v>
      </c>
      <c r="I6400" s="6">
        <f t="shared" ref="I6400:I6463" si="312">F6400*A6400</f>
        <v>0</v>
      </c>
      <c r="J6400" s="6">
        <f t="shared" ref="J6400:J6463" si="313">H6400*A6400</f>
        <v>0</v>
      </c>
      <c r="L6400" s="4" t="str">
        <f>IFERROR(VLOOKUP(ROWS($L$2:L6400),$B$2:$C$1996,2,0),"")</f>
        <v/>
      </c>
      <c r="N6400" s="2" t="str">
        <f>IFERROR(VLOOKUP(ROWS($N$2:N6400),$D$2:$E$1996,2,0),"")</f>
        <v/>
      </c>
    </row>
    <row r="6401" spans="2:14">
      <c r="B6401" s="32">
        <f>IF(ISNUMBER(SEARCH('Φόρμα Εισαγωγής'!$B$2,C6401)),MAX($B$1:B6400)+1,0)</f>
        <v>0</v>
      </c>
      <c r="D6401" s="33">
        <f>IF(ISNUMBER(SEARCH('Φόρμα Εισαγωγής'!$C$2,E6401)),MAX($D$1:D6400)+1,0)</f>
        <v>0</v>
      </c>
      <c r="H6401" s="6">
        <f t="shared" si="311"/>
        <v>0</v>
      </c>
      <c r="I6401" s="6">
        <f t="shared" si="312"/>
        <v>0</v>
      </c>
      <c r="J6401" s="6">
        <f t="shared" si="313"/>
        <v>0</v>
      </c>
      <c r="L6401" s="4" t="str">
        <f>IFERROR(VLOOKUP(ROWS($L$2:L6401),$B$2:$C$1996,2,0),"")</f>
        <v/>
      </c>
      <c r="N6401" s="2" t="str">
        <f>IFERROR(VLOOKUP(ROWS($N$2:N6401),$D$2:$E$1996,2,0),"")</f>
        <v/>
      </c>
    </row>
    <row r="6402" spans="2:14">
      <c r="B6402" s="32">
        <f>IF(ISNUMBER(SEARCH('Φόρμα Εισαγωγής'!$B$2,C6402)),MAX($B$1:B6401)+1,0)</f>
        <v>0</v>
      </c>
      <c r="D6402" s="33">
        <f>IF(ISNUMBER(SEARCH('Φόρμα Εισαγωγής'!$C$2,E6402)),MAX($D$1:D6401)+1,0)</f>
        <v>0</v>
      </c>
      <c r="H6402" s="6">
        <f t="shared" si="311"/>
        <v>0</v>
      </c>
      <c r="I6402" s="6">
        <f t="shared" si="312"/>
        <v>0</v>
      </c>
      <c r="J6402" s="6">
        <f t="shared" si="313"/>
        <v>0</v>
      </c>
      <c r="L6402" s="4" t="str">
        <f>IFERROR(VLOOKUP(ROWS($L$2:L6402),$B$2:$C$1996,2,0),"")</f>
        <v/>
      </c>
      <c r="N6402" s="2" t="str">
        <f>IFERROR(VLOOKUP(ROWS($N$2:N6402),$D$2:$E$1996,2,0),"")</f>
        <v/>
      </c>
    </row>
    <row r="6403" spans="2:14">
      <c r="B6403" s="32">
        <f>IF(ISNUMBER(SEARCH('Φόρμα Εισαγωγής'!$B$2,C6403)),MAX($B$1:B6402)+1,0)</f>
        <v>0</v>
      </c>
      <c r="D6403" s="33">
        <f>IF(ISNUMBER(SEARCH('Φόρμα Εισαγωγής'!$C$2,E6403)),MAX($D$1:D6402)+1,0)</f>
        <v>0</v>
      </c>
      <c r="H6403" s="6">
        <f t="shared" si="311"/>
        <v>0</v>
      </c>
      <c r="I6403" s="6">
        <f t="shared" si="312"/>
        <v>0</v>
      </c>
      <c r="J6403" s="6">
        <f t="shared" si="313"/>
        <v>0</v>
      </c>
      <c r="L6403" s="4" t="str">
        <f>IFERROR(VLOOKUP(ROWS($L$2:L6403),$B$2:$C$1996,2,0),"")</f>
        <v/>
      </c>
      <c r="N6403" s="2" t="str">
        <f>IFERROR(VLOOKUP(ROWS($N$2:N6403),$D$2:$E$1996,2,0),"")</f>
        <v/>
      </c>
    </row>
    <row r="6404" spans="2:14">
      <c r="B6404" s="32">
        <f>IF(ISNUMBER(SEARCH('Φόρμα Εισαγωγής'!$B$2,C6404)),MAX($B$1:B6403)+1,0)</f>
        <v>0</v>
      </c>
      <c r="D6404" s="33">
        <f>IF(ISNUMBER(SEARCH('Φόρμα Εισαγωγής'!$C$2,E6404)),MAX($D$1:D6403)+1,0)</f>
        <v>0</v>
      </c>
      <c r="H6404" s="6">
        <f t="shared" si="311"/>
        <v>0</v>
      </c>
      <c r="I6404" s="6">
        <f t="shared" si="312"/>
        <v>0</v>
      </c>
      <c r="J6404" s="6">
        <f t="shared" si="313"/>
        <v>0</v>
      </c>
      <c r="L6404" s="4" t="str">
        <f>IFERROR(VLOOKUP(ROWS($L$2:L6404),$B$2:$C$1996,2,0),"")</f>
        <v/>
      </c>
      <c r="N6404" s="2" t="str">
        <f>IFERROR(VLOOKUP(ROWS($N$2:N6404),$D$2:$E$1996,2,0),"")</f>
        <v/>
      </c>
    </row>
    <row r="6405" spans="2:14">
      <c r="B6405" s="32">
        <f>IF(ISNUMBER(SEARCH('Φόρμα Εισαγωγής'!$B$2,C6405)),MAX($B$1:B6404)+1,0)</f>
        <v>0</v>
      </c>
      <c r="D6405" s="33">
        <f>IF(ISNUMBER(SEARCH('Φόρμα Εισαγωγής'!$C$2,E6405)),MAX($D$1:D6404)+1,0)</f>
        <v>0</v>
      </c>
      <c r="H6405" s="6">
        <f t="shared" si="311"/>
        <v>0</v>
      </c>
      <c r="I6405" s="6">
        <f t="shared" si="312"/>
        <v>0</v>
      </c>
      <c r="J6405" s="6">
        <f t="shared" si="313"/>
        <v>0</v>
      </c>
      <c r="L6405" s="4" t="str">
        <f>IFERROR(VLOOKUP(ROWS($L$2:L6405),$B$2:$C$1996,2,0),"")</f>
        <v/>
      </c>
      <c r="N6405" s="2" t="str">
        <f>IFERROR(VLOOKUP(ROWS($N$2:N6405),$D$2:$E$1996,2,0),"")</f>
        <v/>
      </c>
    </row>
    <row r="6406" spans="2:14">
      <c r="B6406" s="32">
        <f>IF(ISNUMBER(SEARCH('Φόρμα Εισαγωγής'!$B$2,C6406)),MAX($B$1:B6405)+1,0)</f>
        <v>0</v>
      </c>
      <c r="D6406" s="33">
        <f>IF(ISNUMBER(SEARCH('Φόρμα Εισαγωγής'!$C$2,E6406)),MAX($D$1:D6405)+1,0)</f>
        <v>0</v>
      </c>
      <c r="H6406" s="6">
        <f t="shared" si="311"/>
        <v>0</v>
      </c>
      <c r="I6406" s="6">
        <f t="shared" si="312"/>
        <v>0</v>
      </c>
      <c r="J6406" s="6">
        <f t="shared" si="313"/>
        <v>0</v>
      </c>
      <c r="L6406" s="4" t="str">
        <f>IFERROR(VLOOKUP(ROWS($L$2:L6406),$B$2:$C$1996,2,0),"")</f>
        <v/>
      </c>
      <c r="N6406" s="2" t="str">
        <f>IFERROR(VLOOKUP(ROWS($N$2:N6406),$D$2:$E$1996,2,0),"")</f>
        <v/>
      </c>
    </row>
    <row r="6407" spans="2:14">
      <c r="B6407" s="32">
        <f>IF(ISNUMBER(SEARCH('Φόρμα Εισαγωγής'!$B$2,C6407)),MAX($B$1:B6406)+1,0)</f>
        <v>0</v>
      </c>
      <c r="D6407" s="33">
        <f>IF(ISNUMBER(SEARCH('Φόρμα Εισαγωγής'!$C$2,E6407)),MAX($D$1:D6406)+1,0)</f>
        <v>0</v>
      </c>
      <c r="H6407" s="6">
        <f t="shared" si="311"/>
        <v>0</v>
      </c>
      <c r="I6407" s="6">
        <f t="shared" si="312"/>
        <v>0</v>
      </c>
      <c r="J6407" s="6">
        <f t="shared" si="313"/>
        <v>0</v>
      </c>
      <c r="L6407" s="4" t="str">
        <f>IFERROR(VLOOKUP(ROWS($L$2:L6407),$B$2:$C$1996,2,0),"")</f>
        <v/>
      </c>
      <c r="N6407" s="2" t="str">
        <f>IFERROR(VLOOKUP(ROWS($N$2:N6407),$D$2:$E$1996,2,0),"")</f>
        <v/>
      </c>
    </row>
    <row r="6408" spans="2:14">
      <c r="B6408" s="32">
        <f>IF(ISNUMBER(SEARCH('Φόρμα Εισαγωγής'!$B$2,C6408)),MAX($B$1:B6407)+1,0)</f>
        <v>0</v>
      </c>
      <c r="D6408" s="33">
        <f>IF(ISNUMBER(SEARCH('Φόρμα Εισαγωγής'!$C$2,E6408)),MAX($D$1:D6407)+1,0)</f>
        <v>0</v>
      </c>
      <c r="H6408" s="6">
        <f t="shared" si="311"/>
        <v>0</v>
      </c>
      <c r="I6408" s="6">
        <f t="shared" si="312"/>
        <v>0</v>
      </c>
      <c r="J6408" s="6">
        <f t="shared" si="313"/>
        <v>0</v>
      </c>
      <c r="L6408" s="4" t="str">
        <f>IFERROR(VLOOKUP(ROWS($L$2:L6408),$B$2:$C$1996,2,0),"")</f>
        <v/>
      </c>
      <c r="N6408" s="2" t="str">
        <f>IFERROR(VLOOKUP(ROWS($N$2:N6408),$D$2:$E$1996,2,0),"")</f>
        <v/>
      </c>
    </row>
    <row r="6409" spans="2:14">
      <c r="B6409" s="32">
        <f>IF(ISNUMBER(SEARCH('Φόρμα Εισαγωγής'!$B$2,C6409)),MAX($B$1:B6408)+1,0)</f>
        <v>0</v>
      </c>
      <c r="D6409" s="33">
        <f>IF(ISNUMBER(SEARCH('Φόρμα Εισαγωγής'!$C$2,E6409)),MAX($D$1:D6408)+1,0)</f>
        <v>0</v>
      </c>
      <c r="H6409" s="6">
        <f t="shared" si="311"/>
        <v>0</v>
      </c>
      <c r="I6409" s="6">
        <f t="shared" si="312"/>
        <v>0</v>
      </c>
      <c r="J6409" s="6">
        <f t="shared" si="313"/>
        <v>0</v>
      </c>
      <c r="L6409" s="4" t="str">
        <f>IFERROR(VLOOKUP(ROWS($L$2:L6409),$B$2:$C$1996,2,0),"")</f>
        <v/>
      </c>
      <c r="N6409" s="2" t="str">
        <f>IFERROR(VLOOKUP(ROWS($N$2:N6409),$D$2:$E$1996,2,0),"")</f>
        <v/>
      </c>
    </row>
    <row r="6410" spans="2:14">
      <c r="B6410" s="32">
        <f>IF(ISNUMBER(SEARCH('Φόρμα Εισαγωγής'!$B$2,C6410)),MAX($B$1:B6409)+1,0)</f>
        <v>0</v>
      </c>
      <c r="D6410" s="33">
        <f>IF(ISNUMBER(SEARCH('Φόρμα Εισαγωγής'!$C$2,E6410)),MAX($D$1:D6409)+1,0)</f>
        <v>0</v>
      </c>
      <c r="H6410" s="6">
        <f t="shared" si="311"/>
        <v>0</v>
      </c>
      <c r="I6410" s="6">
        <f t="shared" si="312"/>
        <v>0</v>
      </c>
      <c r="J6410" s="6">
        <f t="shared" si="313"/>
        <v>0</v>
      </c>
      <c r="L6410" s="4" t="str">
        <f>IFERROR(VLOOKUP(ROWS($L$2:L6410),$B$2:$C$1996,2,0),"")</f>
        <v/>
      </c>
      <c r="N6410" s="2" t="str">
        <f>IFERROR(VLOOKUP(ROWS($N$2:N6410),$D$2:$E$1996,2,0),"")</f>
        <v/>
      </c>
    </row>
    <row r="6411" spans="2:14">
      <c r="B6411" s="32">
        <f>IF(ISNUMBER(SEARCH('Φόρμα Εισαγωγής'!$B$2,C6411)),MAX($B$1:B6410)+1,0)</f>
        <v>0</v>
      </c>
      <c r="D6411" s="33">
        <f>IF(ISNUMBER(SEARCH('Φόρμα Εισαγωγής'!$C$2,E6411)),MAX($D$1:D6410)+1,0)</f>
        <v>0</v>
      </c>
      <c r="H6411" s="6">
        <f t="shared" si="311"/>
        <v>0</v>
      </c>
      <c r="I6411" s="6">
        <f t="shared" si="312"/>
        <v>0</v>
      </c>
      <c r="J6411" s="6">
        <f t="shared" si="313"/>
        <v>0</v>
      </c>
      <c r="L6411" s="4" t="str">
        <f>IFERROR(VLOOKUP(ROWS($L$2:L6411),$B$2:$C$1996,2,0),"")</f>
        <v/>
      </c>
      <c r="N6411" s="2" t="str">
        <f>IFERROR(VLOOKUP(ROWS($N$2:N6411),$D$2:$E$1996,2,0),"")</f>
        <v/>
      </c>
    </row>
    <row r="6412" spans="2:14">
      <c r="B6412" s="32">
        <f>IF(ISNUMBER(SEARCH('Φόρμα Εισαγωγής'!$B$2,C6412)),MAX($B$1:B6411)+1,0)</f>
        <v>0</v>
      </c>
      <c r="D6412" s="33">
        <f>IF(ISNUMBER(SEARCH('Φόρμα Εισαγωγής'!$C$2,E6412)),MAX($D$1:D6411)+1,0)</f>
        <v>0</v>
      </c>
      <c r="H6412" s="6">
        <f t="shared" si="311"/>
        <v>0</v>
      </c>
      <c r="I6412" s="6">
        <f t="shared" si="312"/>
        <v>0</v>
      </c>
      <c r="J6412" s="6">
        <f t="shared" si="313"/>
        <v>0</v>
      </c>
      <c r="L6412" s="4" t="str">
        <f>IFERROR(VLOOKUP(ROWS($L$2:L6412),$B$2:$C$1996,2,0),"")</f>
        <v/>
      </c>
      <c r="N6412" s="2" t="str">
        <f>IFERROR(VLOOKUP(ROWS($N$2:N6412),$D$2:$E$1996,2,0),"")</f>
        <v/>
      </c>
    </row>
    <row r="6413" spans="2:14">
      <c r="B6413" s="32">
        <f>IF(ISNUMBER(SEARCH('Φόρμα Εισαγωγής'!$B$2,C6413)),MAX($B$1:B6412)+1,0)</f>
        <v>0</v>
      </c>
      <c r="D6413" s="33">
        <f>IF(ISNUMBER(SEARCH('Φόρμα Εισαγωγής'!$C$2,E6413)),MAX($D$1:D6412)+1,0)</f>
        <v>0</v>
      </c>
      <c r="H6413" s="6">
        <f t="shared" si="311"/>
        <v>0</v>
      </c>
      <c r="I6413" s="6">
        <f t="shared" si="312"/>
        <v>0</v>
      </c>
      <c r="J6413" s="6">
        <f t="shared" si="313"/>
        <v>0</v>
      </c>
      <c r="L6413" s="4" t="str">
        <f>IFERROR(VLOOKUP(ROWS($L$2:L6413),$B$2:$C$1996,2,0),"")</f>
        <v/>
      </c>
      <c r="N6413" s="2" t="str">
        <f>IFERROR(VLOOKUP(ROWS($N$2:N6413),$D$2:$E$1996,2,0),"")</f>
        <v/>
      </c>
    </row>
    <row r="6414" spans="2:14">
      <c r="B6414" s="32">
        <f>IF(ISNUMBER(SEARCH('Φόρμα Εισαγωγής'!$B$2,C6414)),MAX($B$1:B6413)+1,0)</f>
        <v>0</v>
      </c>
      <c r="D6414" s="33">
        <f>IF(ISNUMBER(SEARCH('Φόρμα Εισαγωγής'!$C$2,E6414)),MAX($D$1:D6413)+1,0)</f>
        <v>0</v>
      </c>
      <c r="H6414" s="6">
        <f t="shared" si="311"/>
        <v>0</v>
      </c>
      <c r="I6414" s="6">
        <f t="shared" si="312"/>
        <v>0</v>
      </c>
      <c r="J6414" s="6">
        <f t="shared" si="313"/>
        <v>0</v>
      </c>
      <c r="L6414" s="4" t="str">
        <f>IFERROR(VLOOKUP(ROWS($L$2:L6414),$B$2:$C$1996,2,0),"")</f>
        <v/>
      </c>
      <c r="N6414" s="2" t="str">
        <f>IFERROR(VLOOKUP(ROWS($N$2:N6414),$D$2:$E$1996,2,0),"")</f>
        <v/>
      </c>
    </row>
    <row r="6415" spans="2:14">
      <c r="B6415" s="32">
        <f>IF(ISNUMBER(SEARCH('Φόρμα Εισαγωγής'!$B$2,C6415)),MAX($B$1:B6414)+1,0)</f>
        <v>0</v>
      </c>
      <c r="D6415" s="33">
        <f>IF(ISNUMBER(SEARCH('Φόρμα Εισαγωγής'!$C$2,E6415)),MAX($D$1:D6414)+1,0)</f>
        <v>0</v>
      </c>
      <c r="H6415" s="6">
        <f t="shared" si="311"/>
        <v>0</v>
      </c>
      <c r="I6415" s="6">
        <f t="shared" si="312"/>
        <v>0</v>
      </c>
      <c r="J6415" s="6">
        <f t="shared" si="313"/>
        <v>0</v>
      </c>
      <c r="L6415" s="4" t="str">
        <f>IFERROR(VLOOKUP(ROWS($L$2:L6415),$B$2:$C$1996,2,0),"")</f>
        <v/>
      </c>
      <c r="N6415" s="2" t="str">
        <f>IFERROR(VLOOKUP(ROWS($N$2:N6415),$D$2:$E$1996,2,0),"")</f>
        <v/>
      </c>
    </row>
    <row r="6416" spans="2:14">
      <c r="B6416" s="32">
        <f>IF(ISNUMBER(SEARCH('Φόρμα Εισαγωγής'!$B$2,C6416)),MAX($B$1:B6415)+1,0)</f>
        <v>0</v>
      </c>
      <c r="D6416" s="33">
        <f>IF(ISNUMBER(SEARCH('Φόρμα Εισαγωγής'!$C$2,E6416)),MAX($D$1:D6415)+1,0)</f>
        <v>0</v>
      </c>
      <c r="H6416" s="6">
        <f t="shared" si="311"/>
        <v>0</v>
      </c>
      <c r="I6416" s="6">
        <f t="shared" si="312"/>
        <v>0</v>
      </c>
      <c r="J6416" s="6">
        <f t="shared" si="313"/>
        <v>0</v>
      </c>
      <c r="L6416" s="4" t="str">
        <f>IFERROR(VLOOKUP(ROWS($L$2:L6416),$B$2:$C$1996,2,0),"")</f>
        <v/>
      </c>
      <c r="N6416" s="2" t="str">
        <f>IFERROR(VLOOKUP(ROWS($N$2:N6416),$D$2:$E$1996,2,0),"")</f>
        <v/>
      </c>
    </row>
    <row r="6417" spans="2:14">
      <c r="B6417" s="32">
        <f>IF(ISNUMBER(SEARCH('Φόρμα Εισαγωγής'!$B$2,C6417)),MAX($B$1:B6416)+1,0)</f>
        <v>0</v>
      </c>
      <c r="D6417" s="33">
        <f>IF(ISNUMBER(SEARCH('Φόρμα Εισαγωγής'!$C$2,E6417)),MAX($D$1:D6416)+1,0)</f>
        <v>0</v>
      </c>
      <c r="H6417" s="6">
        <f t="shared" si="311"/>
        <v>0</v>
      </c>
      <c r="I6417" s="6">
        <f t="shared" si="312"/>
        <v>0</v>
      </c>
      <c r="J6417" s="6">
        <f t="shared" si="313"/>
        <v>0</v>
      </c>
      <c r="L6417" s="4" t="str">
        <f>IFERROR(VLOOKUP(ROWS($L$2:L6417),$B$2:$C$1996,2,0),"")</f>
        <v/>
      </c>
      <c r="N6417" s="2" t="str">
        <f>IFERROR(VLOOKUP(ROWS($N$2:N6417),$D$2:$E$1996,2,0),"")</f>
        <v/>
      </c>
    </row>
    <row r="6418" spans="2:14">
      <c r="B6418" s="32">
        <f>IF(ISNUMBER(SEARCH('Φόρμα Εισαγωγής'!$B$2,C6418)),MAX($B$1:B6417)+1,0)</f>
        <v>0</v>
      </c>
      <c r="D6418" s="33">
        <f>IF(ISNUMBER(SEARCH('Φόρμα Εισαγωγής'!$C$2,E6418)),MAX($D$1:D6417)+1,0)</f>
        <v>0</v>
      </c>
      <c r="H6418" s="6">
        <f t="shared" si="311"/>
        <v>0</v>
      </c>
      <c r="I6418" s="6">
        <f t="shared" si="312"/>
        <v>0</v>
      </c>
      <c r="J6418" s="6">
        <f t="shared" si="313"/>
        <v>0</v>
      </c>
      <c r="L6418" s="4" t="str">
        <f>IFERROR(VLOOKUP(ROWS($L$2:L6418),$B$2:$C$1996,2,0),"")</f>
        <v/>
      </c>
      <c r="N6418" s="2" t="str">
        <f>IFERROR(VLOOKUP(ROWS($N$2:N6418),$D$2:$E$1996,2,0),"")</f>
        <v/>
      </c>
    </row>
    <row r="6419" spans="2:14">
      <c r="B6419" s="32">
        <f>IF(ISNUMBER(SEARCH('Φόρμα Εισαγωγής'!$B$2,C6419)),MAX($B$1:B6418)+1,0)</f>
        <v>0</v>
      </c>
      <c r="D6419" s="33">
        <f>IF(ISNUMBER(SEARCH('Φόρμα Εισαγωγής'!$C$2,E6419)),MAX($D$1:D6418)+1,0)</f>
        <v>0</v>
      </c>
      <c r="H6419" s="6">
        <f t="shared" si="311"/>
        <v>0</v>
      </c>
      <c r="I6419" s="6">
        <f t="shared" si="312"/>
        <v>0</v>
      </c>
      <c r="J6419" s="6">
        <f t="shared" si="313"/>
        <v>0</v>
      </c>
      <c r="L6419" s="4" t="str">
        <f>IFERROR(VLOOKUP(ROWS($L$2:L6419),$B$2:$C$1996,2,0),"")</f>
        <v/>
      </c>
      <c r="N6419" s="2" t="str">
        <f>IFERROR(VLOOKUP(ROWS($N$2:N6419),$D$2:$E$1996,2,0),"")</f>
        <v/>
      </c>
    </row>
    <row r="6420" spans="2:14">
      <c r="B6420" s="32">
        <f>IF(ISNUMBER(SEARCH('Φόρμα Εισαγωγής'!$B$2,C6420)),MAX($B$1:B6419)+1,0)</f>
        <v>0</v>
      </c>
      <c r="D6420" s="33">
        <f>IF(ISNUMBER(SEARCH('Φόρμα Εισαγωγής'!$C$2,E6420)),MAX($D$1:D6419)+1,0)</f>
        <v>0</v>
      </c>
      <c r="H6420" s="6">
        <f t="shared" si="311"/>
        <v>0</v>
      </c>
      <c r="I6420" s="6">
        <f t="shared" si="312"/>
        <v>0</v>
      </c>
      <c r="J6420" s="6">
        <f t="shared" si="313"/>
        <v>0</v>
      </c>
      <c r="L6420" s="4" t="str">
        <f>IFERROR(VLOOKUP(ROWS($L$2:L6420),$B$2:$C$1996,2,0),"")</f>
        <v/>
      </c>
      <c r="N6420" s="2" t="str">
        <f>IFERROR(VLOOKUP(ROWS($N$2:N6420),$D$2:$E$1996,2,0),"")</f>
        <v/>
      </c>
    </row>
    <row r="6421" spans="2:14">
      <c r="B6421" s="32">
        <f>IF(ISNUMBER(SEARCH('Φόρμα Εισαγωγής'!$B$2,C6421)),MAX($B$1:B6420)+1,0)</f>
        <v>0</v>
      </c>
      <c r="D6421" s="33">
        <f>IF(ISNUMBER(SEARCH('Φόρμα Εισαγωγής'!$C$2,E6421)),MAX($D$1:D6420)+1,0)</f>
        <v>0</v>
      </c>
      <c r="H6421" s="6">
        <f t="shared" si="311"/>
        <v>0</v>
      </c>
      <c r="I6421" s="6">
        <f t="shared" si="312"/>
        <v>0</v>
      </c>
      <c r="J6421" s="6">
        <f t="shared" si="313"/>
        <v>0</v>
      </c>
      <c r="L6421" s="4" t="str">
        <f>IFERROR(VLOOKUP(ROWS($L$2:L6421),$B$2:$C$1996,2,0),"")</f>
        <v/>
      </c>
      <c r="N6421" s="2" t="str">
        <f>IFERROR(VLOOKUP(ROWS($N$2:N6421),$D$2:$E$1996,2,0),"")</f>
        <v/>
      </c>
    </row>
    <row r="6422" spans="2:14">
      <c r="B6422" s="32">
        <f>IF(ISNUMBER(SEARCH('Φόρμα Εισαγωγής'!$B$2,C6422)),MAX($B$1:B6421)+1,0)</f>
        <v>0</v>
      </c>
      <c r="D6422" s="33">
        <f>IF(ISNUMBER(SEARCH('Φόρμα Εισαγωγής'!$C$2,E6422)),MAX($D$1:D6421)+1,0)</f>
        <v>0</v>
      </c>
      <c r="H6422" s="6">
        <f t="shared" si="311"/>
        <v>0</v>
      </c>
      <c r="I6422" s="6">
        <f t="shared" si="312"/>
        <v>0</v>
      </c>
      <c r="J6422" s="6">
        <f t="shared" si="313"/>
        <v>0</v>
      </c>
      <c r="L6422" s="4" t="str">
        <f>IFERROR(VLOOKUP(ROWS($L$2:L6422),$B$2:$C$1996,2,0),"")</f>
        <v/>
      </c>
      <c r="N6422" s="2" t="str">
        <f>IFERROR(VLOOKUP(ROWS($N$2:N6422),$D$2:$E$1996,2,0),"")</f>
        <v/>
      </c>
    </row>
    <row r="6423" spans="2:14">
      <c r="B6423" s="32">
        <f>IF(ISNUMBER(SEARCH('Φόρμα Εισαγωγής'!$B$2,C6423)),MAX($B$1:B6422)+1,0)</f>
        <v>0</v>
      </c>
      <c r="D6423" s="33">
        <f>IF(ISNUMBER(SEARCH('Φόρμα Εισαγωγής'!$C$2,E6423)),MAX($D$1:D6422)+1,0)</f>
        <v>0</v>
      </c>
      <c r="H6423" s="6">
        <f t="shared" si="311"/>
        <v>0</v>
      </c>
      <c r="I6423" s="6">
        <f t="shared" si="312"/>
        <v>0</v>
      </c>
      <c r="J6423" s="6">
        <f t="shared" si="313"/>
        <v>0</v>
      </c>
      <c r="L6423" s="4" t="str">
        <f>IFERROR(VLOOKUP(ROWS($L$2:L6423),$B$2:$C$1996,2,0),"")</f>
        <v/>
      </c>
      <c r="N6423" s="2" t="str">
        <f>IFERROR(VLOOKUP(ROWS($N$2:N6423),$D$2:$E$1996,2,0),"")</f>
        <v/>
      </c>
    </row>
    <row r="6424" spans="2:14">
      <c r="B6424" s="32">
        <f>IF(ISNUMBER(SEARCH('Φόρμα Εισαγωγής'!$B$2,C6424)),MAX($B$1:B6423)+1,0)</f>
        <v>0</v>
      </c>
      <c r="D6424" s="33">
        <f>IF(ISNUMBER(SEARCH('Φόρμα Εισαγωγής'!$C$2,E6424)),MAX($D$1:D6423)+1,0)</f>
        <v>0</v>
      </c>
      <c r="H6424" s="6">
        <f t="shared" si="311"/>
        <v>0</v>
      </c>
      <c r="I6424" s="6">
        <f t="shared" si="312"/>
        <v>0</v>
      </c>
      <c r="J6424" s="6">
        <f t="shared" si="313"/>
        <v>0</v>
      </c>
      <c r="L6424" s="4" t="str">
        <f>IFERROR(VLOOKUP(ROWS($L$2:L6424),$B$2:$C$1996,2,0),"")</f>
        <v/>
      </c>
      <c r="N6424" s="2" t="str">
        <f>IFERROR(VLOOKUP(ROWS($N$2:N6424),$D$2:$E$1996,2,0),"")</f>
        <v/>
      </c>
    </row>
    <row r="6425" spans="2:14">
      <c r="B6425" s="32">
        <f>IF(ISNUMBER(SEARCH('Φόρμα Εισαγωγής'!$B$2,C6425)),MAX($B$1:B6424)+1,0)</f>
        <v>0</v>
      </c>
      <c r="D6425" s="33">
        <f>IF(ISNUMBER(SEARCH('Φόρμα Εισαγωγής'!$C$2,E6425)),MAX($D$1:D6424)+1,0)</f>
        <v>0</v>
      </c>
      <c r="H6425" s="6">
        <f t="shared" si="311"/>
        <v>0</v>
      </c>
      <c r="I6425" s="6">
        <f t="shared" si="312"/>
        <v>0</v>
      </c>
      <c r="J6425" s="6">
        <f t="shared" si="313"/>
        <v>0</v>
      </c>
      <c r="L6425" s="4" t="str">
        <f>IFERROR(VLOOKUP(ROWS($L$2:L6425),$B$2:$C$1996,2,0),"")</f>
        <v/>
      </c>
      <c r="N6425" s="2" t="str">
        <f>IFERROR(VLOOKUP(ROWS($N$2:N6425),$D$2:$E$1996,2,0),"")</f>
        <v/>
      </c>
    </row>
    <row r="6426" spans="2:14">
      <c r="B6426" s="32">
        <f>IF(ISNUMBER(SEARCH('Φόρμα Εισαγωγής'!$B$2,C6426)),MAX($B$1:B6425)+1,0)</f>
        <v>0</v>
      </c>
      <c r="D6426" s="33">
        <f>IF(ISNUMBER(SEARCH('Φόρμα Εισαγωγής'!$C$2,E6426)),MAX($D$1:D6425)+1,0)</f>
        <v>0</v>
      </c>
      <c r="H6426" s="6">
        <f t="shared" si="311"/>
        <v>0</v>
      </c>
      <c r="I6426" s="6">
        <f t="shared" si="312"/>
        <v>0</v>
      </c>
      <c r="J6426" s="6">
        <f t="shared" si="313"/>
        <v>0</v>
      </c>
      <c r="L6426" s="4" t="str">
        <f>IFERROR(VLOOKUP(ROWS($L$2:L6426),$B$2:$C$1996,2,0),"")</f>
        <v/>
      </c>
      <c r="N6426" s="2" t="str">
        <f>IFERROR(VLOOKUP(ROWS($N$2:N6426),$D$2:$E$1996,2,0),"")</f>
        <v/>
      </c>
    </row>
    <row r="6427" spans="2:14">
      <c r="B6427" s="32">
        <f>IF(ISNUMBER(SEARCH('Φόρμα Εισαγωγής'!$B$2,C6427)),MAX($B$1:B6426)+1,0)</f>
        <v>0</v>
      </c>
      <c r="D6427" s="33">
        <f>IF(ISNUMBER(SEARCH('Φόρμα Εισαγωγής'!$C$2,E6427)),MAX($D$1:D6426)+1,0)</f>
        <v>0</v>
      </c>
      <c r="H6427" s="6">
        <f t="shared" si="311"/>
        <v>0</v>
      </c>
      <c r="I6427" s="6">
        <f t="shared" si="312"/>
        <v>0</v>
      </c>
      <c r="J6427" s="6">
        <f t="shared" si="313"/>
        <v>0</v>
      </c>
      <c r="L6427" s="4" t="str">
        <f>IFERROR(VLOOKUP(ROWS($L$2:L6427),$B$2:$C$1996,2,0),"")</f>
        <v/>
      </c>
      <c r="N6427" s="2" t="str">
        <f>IFERROR(VLOOKUP(ROWS($N$2:N6427),$D$2:$E$1996,2,0),"")</f>
        <v/>
      </c>
    </row>
    <row r="6428" spans="2:14">
      <c r="B6428" s="32">
        <f>IF(ISNUMBER(SEARCH('Φόρμα Εισαγωγής'!$B$2,C6428)),MAX($B$1:B6427)+1,0)</f>
        <v>0</v>
      </c>
      <c r="D6428" s="33">
        <f>IF(ISNUMBER(SEARCH('Φόρμα Εισαγωγής'!$C$2,E6428)),MAX($D$1:D6427)+1,0)</f>
        <v>0</v>
      </c>
      <c r="H6428" s="6">
        <f t="shared" si="311"/>
        <v>0</v>
      </c>
      <c r="I6428" s="6">
        <f t="shared" si="312"/>
        <v>0</v>
      </c>
      <c r="J6428" s="6">
        <f t="shared" si="313"/>
        <v>0</v>
      </c>
      <c r="L6428" s="4" t="str">
        <f>IFERROR(VLOOKUP(ROWS($L$2:L6428),$B$2:$C$1996,2,0),"")</f>
        <v/>
      </c>
      <c r="N6428" s="2" t="str">
        <f>IFERROR(VLOOKUP(ROWS($N$2:N6428),$D$2:$E$1996,2,0),"")</f>
        <v/>
      </c>
    </row>
    <row r="6429" spans="2:14">
      <c r="B6429" s="32">
        <f>IF(ISNUMBER(SEARCH('Φόρμα Εισαγωγής'!$B$2,C6429)),MAX($B$1:B6428)+1,0)</f>
        <v>0</v>
      </c>
      <c r="D6429" s="33">
        <f>IF(ISNUMBER(SEARCH('Φόρμα Εισαγωγής'!$C$2,E6429)),MAX($D$1:D6428)+1,0)</f>
        <v>0</v>
      </c>
      <c r="H6429" s="6">
        <f t="shared" si="311"/>
        <v>0</v>
      </c>
      <c r="I6429" s="6">
        <f t="shared" si="312"/>
        <v>0</v>
      </c>
      <c r="J6429" s="6">
        <f t="shared" si="313"/>
        <v>0</v>
      </c>
      <c r="L6429" s="4" t="str">
        <f>IFERROR(VLOOKUP(ROWS($L$2:L6429),$B$2:$C$1996,2,0),"")</f>
        <v/>
      </c>
      <c r="N6429" s="2" t="str">
        <f>IFERROR(VLOOKUP(ROWS($N$2:N6429),$D$2:$E$1996,2,0),"")</f>
        <v/>
      </c>
    </row>
    <row r="6430" spans="2:14">
      <c r="B6430" s="32">
        <f>IF(ISNUMBER(SEARCH('Φόρμα Εισαγωγής'!$B$2,C6430)),MAX($B$1:B6429)+1,0)</f>
        <v>0</v>
      </c>
      <c r="D6430" s="33">
        <f>IF(ISNUMBER(SEARCH('Φόρμα Εισαγωγής'!$C$2,E6430)),MAX($D$1:D6429)+1,0)</f>
        <v>0</v>
      </c>
      <c r="H6430" s="6">
        <f t="shared" si="311"/>
        <v>0</v>
      </c>
      <c r="I6430" s="6">
        <f t="shared" si="312"/>
        <v>0</v>
      </c>
      <c r="J6430" s="6">
        <f t="shared" si="313"/>
        <v>0</v>
      </c>
      <c r="L6430" s="4" t="str">
        <f>IFERROR(VLOOKUP(ROWS($L$2:L6430),$B$2:$C$1996,2,0),"")</f>
        <v/>
      </c>
      <c r="N6430" s="2" t="str">
        <f>IFERROR(VLOOKUP(ROWS($N$2:N6430),$D$2:$E$1996,2,0),"")</f>
        <v/>
      </c>
    </row>
    <row r="6431" spans="2:14">
      <c r="B6431" s="32">
        <f>IF(ISNUMBER(SEARCH('Φόρμα Εισαγωγής'!$B$2,C6431)),MAX($B$1:B6430)+1,0)</f>
        <v>0</v>
      </c>
      <c r="D6431" s="33">
        <f>IF(ISNUMBER(SEARCH('Φόρμα Εισαγωγής'!$C$2,E6431)),MAX($D$1:D6430)+1,0)</f>
        <v>0</v>
      </c>
      <c r="H6431" s="6">
        <f t="shared" si="311"/>
        <v>0</v>
      </c>
      <c r="I6431" s="6">
        <f t="shared" si="312"/>
        <v>0</v>
      </c>
      <c r="J6431" s="6">
        <f t="shared" si="313"/>
        <v>0</v>
      </c>
      <c r="L6431" s="4" t="str">
        <f>IFERROR(VLOOKUP(ROWS($L$2:L6431),$B$2:$C$1996,2,0),"")</f>
        <v/>
      </c>
      <c r="N6431" s="2" t="str">
        <f>IFERROR(VLOOKUP(ROWS($N$2:N6431),$D$2:$E$1996,2,0),"")</f>
        <v/>
      </c>
    </row>
    <row r="6432" spans="2:14">
      <c r="B6432" s="32">
        <f>IF(ISNUMBER(SEARCH('Φόρμα Εισαγωγής'!$B$2,C6432)),MAX($B$1:B6431)+1,0)</f>
        <v>0</v>
      </c>
      <c r="D6432" s="33">
        <f>IF(ISNUMBER(SEARCH('Φόρμα Εισαγωγής'!$C$2,E6432)),MAX($D$1:D6431)+1,0)</f>
        <v>0</v>
      </c>
      <c r="H6432" s="6">
        <f t="shared" si="311"/>
        <v>0</v>
      </c>
      <c r="I6432" s="6">
        <f t="shared" si="312"/>
        <v>0</v>
      </c>
      <c r="J6432" s="6">
        <f t="shared" si="313"/>
        <v>0</v>
      </c>
      <c r="L6432" s="4" t="str">
        <f>IFERROR(VLOOKUP(ROWS($L$2:L6432),$B$2:$C$1996,2,0),"")</f>
        <v/>
      </c>
      <c r="N6432" s="2" t="str">
        <f>IFERROR(VLOOKUP(ROWS($N$2:N6432),$D$2:$E$1996,2,0),"")</f>
        <v/>
      </c>
    </row>
    <row r="6433" spans="2:14">
      <c r="B6433" s="32">
        <f>IF(ISNUMBER(SEARCH('Φόρμα Εισαγωγής'!$B$2,C6433)),MAX($B$1:B6432)+1,0)</f>
        <v>0</v>
      </c>
      <c r="D6433" s="33">
        <f>IF(ISNUMBER(SEARCH('Φόρμα Εισαγωγής'!$C$2,E6433)),MAX($D$1:D6432)+1,0)</f>
        <v>0</v>
      </c>
      <c r="H6433" s="6">
        <f t="shared" si="311"/>
        <v>0</v>
      </c>
      <c r="I6433" s="6">
        <f t="shared" si="312"/>
        <v>0</v>
      </c>
      <c r="J6433" s="6">
        <f t="shared" si="313"/>
        <v>0</v>
      </c>
      <c r="L6433" s="4" t="str">
        <f>IFERROR(VLOOKUP(ROWS($L$2:L6433),$B$2:$C$1996,2,0),"")</f>
        <v/>
      </c>
      <c r="N6433" s="2" t="str">
        <f>IFERROR(VLOOKUP(ROWS($N$2:N6433),$D$2:$E$1996,2,0),"")</f>
        <v/>
      </c>
    </row>
    <row r="6434" spans="2:14">
      <c r="B6434" s="32">
        <f>IF(ISNUMBER(SEARCH('Φόρμα Εισαγωγής'!$B$2,C6434)),MAX($B$1:B6433)+1,0)</f>
        <v>0</v>
      </c>
      <c r="D6434" s="33">
        <f>IF(ISNUMBER(SEARCH('Φόρμα Εισαγωγής'!$C$2,E6434)),MAX($D$1:D6433)+1,0)</f>
        <v>0</v>
      </c>
      <c r="H6434" s="6">
        <f t="shared" si="311"/>
        <v>0</v>
      </c>
      <c r="I6434" s="6">
        <f t="shared" si="312"/>
        <v>0</v>
      </c>
      <c r="J6434" s="6">
        <f t="shared" si="313"/>
        <v>0</v>
      </c>
      <c r="L6434" s="4" t="str">
        <f>IFERROR(VLOOKUP(ROWS($L$2:L6434),$B$2:$C$1996,2,0),"")</f>
        <v/>
      </c>
      <c r="N6434" s="2" t="str">
        <f>IFERROR(VLOOKUP(ROWS($N$2:N6434),$D$2:$E$1996,2,0),"")</f>
        <v/>
      </c>
    </row>
    <row r="6435" spans="2:14">
      <c r="B6435" s="32">
        <f>IF(ISNUMBER(SEARCH('Φόρμα Εισαγωγής'!$B$2,C6435)),MAX($B$1:B6434)+1,0)</f>
        <v>0</v>
      </c>
      <c r="D6435" s="33">
        <f>IF(ISNUMBER(SEARCH('Φόρμα Εισαγωγής'!$C$2,E6435)),MAX($D$1:D6434)+1,0)</f>
        <v>0</v>
      </c>
      <c r="H6435" s="6">
        <f t="shared" si="311"/>
        <v>0</v>
      </c>
      <c r="I6435" s="6">
        <f t="shared" si="312"/>
        <v>0</v>
      </c>
      <c r="J6435" s="6">
        <f t="shared" si="313"/>
        <v>0</v>
      </c>
      <c r="L6435" s="4" t="str">
        <f>IFERROR(VLOOKUP(ROWS($L$2:L6435),$B$2:$C$1996,2,0),"")</f>
        <v/>
      </c>
      <c r="N6435" s="2" t="str">
        <f>IFERROR(VLOOKUP(ROWS($N$2:N6435),$D$2:$E$1996,2,0),"")</f>
        <v/>
      </c>
    </row>
    <row r="6436" spans="2:14">
      <c r="B6436" s="32">
        <f>IF(ISNUMBER(SEARCH('Φόρμα Εισαγωγής'!$B$2,C6436)),MAX($B$1:B6435)+1,0)</f>
        <v>0</v>
      </c>
      <c r="D6436" s="33">
        <f>IF(ISNUMBER(SEARCH('Φόρμα Εισαγωγής'!$C$2,E6436)),MAX($D$1:D6435)+1,0)</f>
        <v>0</v>
      </c>
      <c r="H6436" s="6">
        <f t="shared" si="311"/>
        <v>0</v>
      </c>
      <c r="I6436" s="6">
        <f t="shared" si="312"/>
        <v>0</v>
      </c>
      <c r="J6436" s="6">
        <f t="shared" si="313"/>
        <v>0</v>
      </c>
      <c r="L6436" s="4" t="str">
        <f>IFERROR(VLOOKUP(ROWS($L$2:L6436),$B$2:$C$1996,2,0),"")</f>
        <v/>
      </c>
      <c r="N6436" s="2" t="str">
        <f>IFERROR(VLOOKUP(ROWS($N$2:N6436),$D$2:$E$1996,2,0),"")</f>
        <v/>
      </c>
    </row>
    <row r="6437" spans="2:14">
      <c r="B6437" s="32">
        <f>IF(ISNUMBER(SEARCH('Φόρμα Εισαγωγής'!$B$2,C6437)),MAX($B$1:B6436)+1,0)</f>
        <v>0</v>
      </c>
      <c r="D6437" s="33">
        <f>IF(ISNUMBER(SEARCH('Φόρμα Εισαγωγής'!$C$2,E6437)),MAX($D$1:D6436)+1,0)</f>
        <v>0</v>
      </c>
      <c r="H6437" s="6">
        <f t="shared" si="311"/>
        <v>0</v>
      </c>
      <c r="I6437" s="6">
        <f t="shared" si="312"/>
        <v>0</v>
      </c>
      <c r="J6437" s="6">
        <f t="shared" si="313"/>
        <v>0</v>
      </c>
      <c r="L6437" s="4" t="str">
        <f>IFERROR(VLOOKUP(ROWS($L$2:L6437),$B$2:$C$1996,2,0),"")</f>
        <v/>
      </c>
      <c r="N6437" s="2" t="str">
        <f>IFERROR(VLOOKUP(ROWS($N$2:N6437),$D$2:$E$1996,2,0),"")</f>
        <v/>
      </c>
    </row>
    <row r="6438" spans="2:14">
      <c r="B6438" s="32">
        <f>IF(ISNUMBER(SEARCH('Φόρμα Εισαγωγής'!$B$2,C6438)),MAX($B$1:B6437)+1,0)</f>
        <v>0</v>
      </c>
      <c r="D6438" s="33">
        <f>IF(ISNUMBER(SEARCH('Φόρμα Εισαγωγής'!$C$2,E6438)),MAX($D$1:D6437)+1,0)</f>
        <v>0</v>
      </c>
      <c r="H6438" s="6">
        <f t="shared" si="311"/>
        <v>0</v>
      </c>
      <c r="I6438" s="6">
        <f t="shared" si="312"/>
        <v>0</v>
      </c>
      <c r="J6438" s="6">
        <f t="shared" si="313"/>
        <v>0</v>
      </c>
      <c r="L6438" s="4" t="str">
        <f>IFERROR(VLOOKUP(ROWS($L$2:L6438),$B$2:$C$1996,2,0),"")</f>
        <v/>
      </c>
      <c r="N6438" s="2" t="str">
        <f>IFERROR(VLOOKUP(ROWS($N$2:N6438),$D$2:$E$1996,2,0),"")</f>
        <v/>
      </c>
    </row>
    <row r="6439" spans="2:14">
      <c r="B6439" s="32">
        <f>IF(ISNUMBER(SEARCH('Φόρμα Εισαγωγής'!$B$2,C6439)),MAX($B$1:B6438)+1,0)</f>
        <v>0</v>
      </c>
      <c r="D6439" s="33">
        <f>IF(ISNUMBER(SEARCH('Φόρμα Εισαγωγής'!$C$2,E6439)),MAX($D$1:D6438)+1,0)</f>
        <v>0</v>
      </c>
      <c r="H6439" s="6">
        <f t="shared" si="311"/>
        <v>0</v>
      </c>
      <c r="I6439" s="6">
        <f t="shared" si="312"/>
        <v>0</v>
      </c>
      <c r="J6439" s="6">
        <f t="shared" si="313"/>
        <v>0</v>
      </c>
      <c r="L6439" s="4" t="str">
        <f>IFERROR(VLOOKUP(ROWS($L$2:L6439),$B$2:$C$1996,2,0),"")</f>
        <v/>
      </c>
      <c r="N6439" s="2" t="str">
        <f>IFERROR(VLOOKUP(ROWS($N$2:N6439),$D$2:$E$1996,2,0),"")</f>
        <v/>
      </c>
    </row>
    <row r="6440" spans="2:14">
      <c r="B6440" s="32">
        <f>IF(ISNUMBER(SEARCH('Φόρμα Εισαγωγής'!$B$2,C6440)),MAX($B$1:B6439)+1,0)</f>
        <v>0</v>
      </c>
      <c r="D6440" s="33">
        <f>IF(ISNUMBER(SEARCH('Φόρμα Εισαγωγής'!$C$2,E6440)),MAX($D$1:D6439)+1,0)</f>
        <v>0</v>
      </c>
      <c r="H6440" s="6">
        <f t="shared" si="311"/>
        <v>0</v>
      </c>
      <c r="I6440" s="6">
        <f t="shared" si="312"/>
        <v>0</v>
      </c>
      <c r="J6440" s="6">
        <f t="shared" si="313"/>
        <v>0</v>
      </c>
      <c r="L6440" s="4" t="str">
        <f>IFERROR(VLOOKUP(ROWS($L$2:L6440),$B$2:$C$1996,2,0),"")</f>
        <v/>
      </c>
      <c r="N6440" s="2" t="str">
        <f>IFERROR(VLOOKUP(ROWS($N$2:N6440),$D$2:$E$1996,2,0),"")</f>
        <v/>
      </c>
    </row>
    <row r="6441" spans="2:14">
      <c r="B6441" s="32">
        <f>IF(ISNUMBER(SEARCH('Φόρμα Εισαγωγής'!$B$2,C6441)),MAX($B$1:B6440)+1,0)</f>
        <v>0</v>
      </c>
      <c r="D6441" s="33">
        <f>IF(ISNUMBER(SEARCH('Φόρμα Εισαγωγής'!$C$2,E6441)),MAX($D$1:D6440)+1,0)</f>
        <v>0</v>
      </c>
      <c r="H6441" s="6">
        <f t="shared" si="311"/>
        <v>0</v>
      </c>
      <c r="I6441" s="6">
        <f t="shared" si="312"/>
        <v>0</v>
      </c>
      <c r="J6441" s="6">
        <f t="shared" si="313"/>
        <v>0</v>
      </c>
      <c r="L6441" s="4" t="str">
        <f>IFERROR(VLOOKUP(ROWS($L$2:L6441),$B$2:$C$1996,2,0),"")</f>
        <v/>
      </c>
      <c r="N6441" s="2" t="str">
        <f>IFERROR(VLOOKUP(ROWS($N$2:N6441),$D$2:$E$1996,2,0),"")</f>
        <v/>
      </c>
    </row>
    <row r="6442" spans="2:14">
      <c r="B6442" s="32">
        <f>IF(ISNUMBER(SEARCH('Φόρμα Εισαγωγής'!$B$2,C6442)),MAX($B$1:B6441)+1,0)</f>
        <v>0</v>
      </c>
      <c r="D6442" s="33">
        <f>IF(ISNUMBER(SEARCH('Φόρμα Εισαγωγής'!$C$2,E6442)),MAX($D$1:D6441)+1,0)</f>
        <v>0</v>
      </c>
      <c r="H6442" s="6">
        <f t="shared" si="311"/>
        <v>0</v>
      </c>
      <c r="I6442" s="6">
        <f t="shared" si="312"/>
        <v>0</v>
      </c>
      <c r="J6442" s="6">
        <f t="shared" si="313"/>
        <v>0</v>
      </c>
      <c r="L6442" s="4" t="str">
        <f>IFERROR(VLOOKUP(ROWS($L$2:L6442),$B$2:$C$1996,2,0),"")</f>
        <v/>
      </c>
      <c r="N6442" s="2" t="str">
        <f>IFERROR(VLOOKUP(ROWS($N$2:N6442),$D$2:$E$1996,2,0),"")</f>
        <v/>
      </c>
    </row>
    <row r="6443" spans="2:14">
      <c r="B6443" s="32">
        <f>IF(ISNUMBER(SEARCH('Φόρμα Εισαγωγής'!$B$2,C6443)),MAX($B$1:B6442)+1,0)</f>
        <v>0</v>
      </c>
      <c r="D6443" s="33">
        <f>IF(ISNUMBER(SEARCH('Φόρμα Εισαγωγής'!$C$2,E6443)),MAX($D$1:D6442)+1,0)</f>
        <v>0</v>
      </c>
      <c r="H6443" s="6">
        <f t="shared" si="311"/>
        <v>0</v>
      </c>
      <c r="I6443" s="6">
        <f t="shared" si="312"/>
        <v>0</v>
      </c>
      <c r="J6443" s="6">
        <f t="shared" si="313"/>
        <v>0</v>
      </c>
      <c r="L6443" s="4" t="str">
        <f>IFERROR(VLOOKUP(ROWS($L$2:L6443),$B$2:$C$1996,2,0),"")</f>
        <v/>
      </c>
      <c r="N6443" s="2" t="str">
        <f>IFERROR(VLOOKUP(ROWS($N$2:N6443),$D$2:$E$1996,2,0),"")</f>
        <v/>
      </c>
    </row>
    <row r="6444" spans="2:14">
      <c r="B6444" s="32">
        <f>IF(ISNUMBER(SEARCH('Φόρμα Εισαγωγής'!$B$2,C6444)),MAX($B$1:B6443)+1,0)</f>
        <v>0</v>
      </c>
      <c r="D6444" s="33">
        <f>IF(ISNUMBER(SEARCH('Φόρμα Εισαγωγής'!$C$2,E6444)),MAX($D$1:D6443)+1,0)</f>
        <v>0</v>
      </c>
      <c r="H6444" s="6">
        <f t="shared" si="311"/>
        <v>0</v>
      </c>
      <c r="I6444" s="6">
        <f t="shared" si="312"/>
        <v>0</v>
      </c>
      <c r="J6444" s="6">
        <f t="shared" si="313"/>
        <v>0</v>
      </c>
      <c r="L6444" s="4" t="str">
        <f>IFERROR(VLOOKUP(ROWS($L$2:L6444),$B$2:$C$1996,2,0),"")</f>
        <v/>
      </c>
      <c r="N6444" s="2" t="str">
        <f>IFERROR(VLOOKUP(ROWS($N$2:N6444),$D$2:$E$1996,2,0),"")</f>
        <v/>
      </c>
    </row>
    <row r="6445" spans="2:14">
      <c r="B6445" s="32">
        <f>IF(ISNUMBER(SEARCH('Φόρμα Εισαγωγής'!$B$2,C6445)),MAX($B$1:B6444)+1,0)</f>
        <v>0</v>
      </c>
      <c r="D6445" s="33">
        <f>IF(ISNUMBER(SEARCH('Φόρμα Εισαγωγής'!$C$2,E6445)),MAX($D$1:D6444)+1,0)</f>
        <v>0</v>
      </c>
      <c r="H6445" s="6">
        <f t="shared" si="311"/>
        <v>0</v>
      </c>
      <c r="I6445" s="6">
        <f t="shared" si="312"/>
        <v>0</v>
      </c>
      <c r="J6445" s="6">
        <f t="shared" si="313"/>
        <v>0</v>
      </c>
      <c r="L6445" s="4" t="str">
        <f>IFERROR(VLOOKUP(ROWS($L$2:L6445),$B$2:$C$1996,2,0),"")</f>
        <v/>
      </c>
      <c r="N6445" s="2" t="str">
        <f>IFERROR(VLOOKUP(ROWS($N$2:N6445),$D$2:$E$1996,2,0),"")</f>
        <v/>
      </c>
    </row>
    <row r="6446" spans="2:14">
      <c r="B6446" s="32">
        <f>IF(ISNUMBER(SEARCH('Φόρμα Εισαγωγής'!$B$2,C6446)),MAX($B$1:B6445)+1,0)</f>
        <v>0</v>
      </c>
      <c r="D6446" s="33">
        <f>IF(ISNUMBER(SEARCH('Φόρμα Εισαγωγής'!$C$2,E6446)),MAX($D$1:D6445)+1,0)</f>
        <v>0</v>
      </c>
      <c r="H6446" s="6">
        <f t="shared" si="311"/>
        <v>0</v>
      </c>
      <c r="I6446" s="6">
        <f t="shared" si="312"/>
        <v>0</v>
      </c>
      <c r="J6446" s="6">
        <f t="shared" si="313"/>
        <v>0</v>
      </c>
      <c r="L6446" s="4" t="str">
        <f>IFERROR(VLOOKUP(ROWS($L$2:L6446),$B$2:$C$1996,2,0),"")</f>
        <v/>
      </c>
      <c r="N6446" s="2" t="str">
        <f>IFERROR(VLOOKUP(ROWS($N$2:N6446),$D$2:$E$1996,2,0),"")</f>
        <v/>
      </c>
    </row>
    <row r="6447" spans="2:14">
      <c r="B6447" s="32">
        <f>IF(ISNUMBER(SEARCH('Φόρμα Εισαγωγής'!$B$2,C6447)),MAX($B$1:B6446)+1,0)</f>
        <v>0</v>
      </c>
      <c r="D6447" s="33">
        <f>IF(ISNUMBER(SEARCH('Φόρμα Εισαγωγής'!$C$2,E6447)),MAX($D$1:D6446)+1,0)</f>
        <v>0</v>
      </c>
      <c r="H6447" s="6">
        <f t="shared" si="311"/>
        <v>0</v>
      </c>
      <c r="I6447" s="6">
        <f t="shared" si="312"/>
        <v>0</v>
      </c>
      <c r="J6447" s="6">
        <f t="shared" si="313"/>
        <v>0</v>
      </c>
      <c r="L6447" s="4" t="str">
        <f>IFERROR(VLOOKUP(ROWS($L$2:L6447),$B$2:$C$1996,2,0),"")</f>
        <v/>
      </c>
      <c r="N6447" s="2" t="str">
        <f>IFERROR(VLOOKUP(ROWS($N$2:N6447),$D$2:$E$1996,2,0),"")</f>
        <v/>
      </c>
    </row>
    <row r="6448" spans="2:14">
      <c r="B6448" s="32">
        <f>IF(ISNUMBER(SEARCH('Φόρμα Εισαγωγής'!$B$2,C6448)),MAX($B$1:B6447)+1,0)</f>
        <v>0</v>
      </c>
      <c r="D6448" s="33">
        <f>IF(ISNUMBER(SEARCH('Φόρμα Εισαγωγής'!$C$2,E6448)),MAX($D$1:D6447)+1,0)</f>
        <v>0</v>
      </c>
      <c r="H6448" s="6">
        <f t="shared" si="311"/>
        <v>0</v>
      </c>
      <c r="I6448" s="6">
        <f t="shared" si="312"/>
        <v>0</v>
      </c>
      <c r="J6448" s="6">
        <f t="shared" si="313"/>
        <v>0</v>
      </c>
      <c r="L6448" s="4" t="str">
        <f>IFERROR(VLOOKUP(ROWS($L$2:L6448),$B$2:$C$1996,2,0),"")</f>
        <v/>
      </c>
      <c r="N6448" s="2" t="str">
        <f>IFERROR(VLOOKUP(ROWS($N$2:N6448),$D$2:$E$1996,2,0),"")</f>
        <v/>
      </c>
    </row>
    <row r="6449" spans="2:14">
      <c r="B6449" s="32">
        <f>IF(ISNUMBER(SEARCH('Φόρμα Εισαγωγής'!$B$2,C6449)),MAX($B$1:B6448)+1,0)</f>
        <v>0</v>
      </c>
      <c r="D6449" s="33">
        <f>IF(ISNUMBER(SEARCH('Φόρμα Εισαγωγής'!$C$2,E6449)),MAX($D$1:D6448)+1,0)</f>
        <v>0</v>
      </c>
      <c r="H6449" s="6">
        <f t="shared" si="311"/>
        <v>0</v>
      </c>
      <c r="I6449" s="6">
        <f t="shared" si="312"/>
        <v>0</v>
      </c>
      <c r="J6449" s="6">
        <f t="shared" si="313"/>
        <v>0</v>
      </c>
      <c r="L6449" s="4" t="str">
        <f>IFERROR(VLOOKUP(ROWS($L$2:L6449),$B$2:$C$1996,2,0),"")</f>
        <v/>
      </c>
      <c r="N6449" s="2" t="str">
        <f>IFERROR(VLOOKUP(ROWS($N$2:N6449),$D$2:$E$1996,2,0),"")</f>
        <v/>
      </c>
    </row>
    <row r="6450" spans="2:14">
      <c r="B6450" s="32">
        <f>IF(ISNUMBER(SEARCH('Φόρμα Εισαγωγής'!$B$2,C6450)),MAX($B$1:B6449)+1,0)</f>
        <v>0</v>
      </c>
      <c r="D6450" s="33">
        <f>IF(ISNUMBER(SEARCH('Φόρμα Εισαγωγής'!$C$2,E6450)),MAX($D$1:D6449)+1,0)</f>
        <v>0</v>
      </c>
      <c r="H6450" s="6">
        <f t="shared" si="311"/>
        <v>0</v>
      </c>
      <c r="I6450" s="6">
        <f t="shared" si="312"/>
        <v>0</v>
      </c>
      <c r="J6450" s="6">
        <f t="shared" si="313"/>
        <v>0</v>
      </c>
      <c r="L6450" s="4" t="str">
        <f>IFERROR(VLOOKUP(ROWS($L$2:L6450),$B$2:$C$1996,2,0),"")</f>
        <v/>
      </c>
      <c r="N6450" s="2" t="str">
        <f>IFERROR(VLOOKUP(ROWS($N$2:N6450),$D$2:$E$1996,2,0),"")</f>
        <v/>
      </c>
    </row>
    <row r="6451" spans="2:14">
      <c r="B6451" s="32">
        <f>IF(ISNUMBER(SEARCH('Φόρμα Εισαγωγής'!$B$2,C6451)),MAX($B$1:B6450)+1,0)</f>
        <v>0</v>
      </c>
      <c r="D6451" s="33">
        <f>IF(ISNUMBER(SEARCH('Φόρμα Εισαγωγής'!$C$2,E6451)),MAX($D$1:D6450)+1,0)</f>
        <v>0</v>
      </c>
      <c r="H6451" s="6">
        <f t="shared" si="311"/>
        <v>0</v>
      </c>
      <c r="I6451" s="6">
        <f t="shared" si="312"/>
        <v>0</v>
      </c>
      <c r="J6451" s="6">
        <f t="shared" si="313"/>
        <v>0</v>
      </c>
      <c r="L6451" s="4" t="str">
        <f>IFERROR(VLOOKUP(ROWS($L$2:L6451),$B$2:$C$1996,2,0),"")</f>
        <v/>
      </c>
      <c r="N6451" s="2" t="str">
        <f>IFERROR(VLOOKUP(ROWS($N$2:N6451),$D$2:$E$1996,2,0),"")</f>
        <v/>
      </c>
    </row>
    <row r="6452" spans="2:14">
      <c r="B6452" s="32">
        <f>IF(ISNUMBER(SEARCH('Φόρμα Εισαγωγής'!$B$2,C6452)),MAX($B$1:B6451)+1,0)</f>
        <v>0</v>
      </c>
      <c r="D6452" s="33">
        <f>IF(ISNUMBER(SEARCH('Φόρμα Εισαγωγής'!$C$2,E6452)),MAX($D$1:D6451)+1,0)</f>
        <v>0</v>
      </c>
      <c r="H6452" s="6">
        <f t="shared" si="311"/>
        <v>0</v>
      </c>
      <c r="I6452" s="6">
        <f t="shared" si="312"/>
        <v>0</v>
      </c>
      <c r="J6452" s="6">
        <f t="shared" si="313"/>
        <v>0</v>
      </c>
      <c r="L6452" s="4" t="str">
        <f>IFERROR(VLOOKUP(ROWS($L$2:L6452),$B$2:$C$1996,2,0),"")</f>
        <v/>
      </c>
      <c r="N6452" s="2" t="str">
        <f>IFERROR(VLOOKUP(ROWS($N$2:N6452),$D$2:$E$1996,2,0),"")</f>
        <v/>
      </c>
    </row>
    <row r="6453" spans="2:14">
      <c r="B6453" s="32">
        <f>IF(ISNUMBER(SEARCH('Φόρμα Εισαγωγής'!$B$2,C6453)),MAX($B$1:B6452)+1,0)</f>
        <v>0</v>
      </c>
      <c r="D6453" s="33">
        <f>IF(ISNUMBER(SEARCH('Φόρμα Εισαγωγής'!$C$2,E6453)),MAX($D$1:D6452)+1,0)</f>
        <v>0</v>
      </c>
      <c r="H6453" s="6">
        <f t="shared" si="311"/>
        <v>0</v>
      </c>
      <c r="I6453" s="6">
        <f t="shared" si="312"/>
        <v>0</v>
      </c>
      <c r="J6453" s="6">
        <f t="shared" si="313"/>
        <v>0</v>
      </c>
      <c r="L6453" s="4" t="str">
        <f>IFERROR(VLOOKUP(ROWS($L$2:L6453),$B$2:$C$1996,2,0),"")</f>
        <v/>
      </c>
      <c r="N6453" s="2" t="str">
        <f>IFERROR(VLOOKUP(ROWS($N$2:N6453),$D$2:$E$1996,2,0),"")</f>
        <v/>
      </c>
    </row>
    <row r="6454" spans="2:14">
      <c r="B6454" s="32">
        <f>IF(ISNUMBER(SEARCH('Φόρμα Εισαγωγής'!$B$2,C6454)),MAX($B$1:B6453)+1,0)</f>
        <v>0</v>
      </c>
      <c r="D6454" s="33">
        <f>IF(ISNUMBER(SEARCH('Φόρμα Εισαγωγής'!$C$2,E6454)),MAX($D$1:D6453)+1,0)</f>
        <v>0</v>
      </c>
      <c r="H6454" s="6">
        <f t="shared" si="311"/>
        <v>0</v>
      </c>
      <c r="I6454" s="6">
        <f t="shared" si="312"/>
        <v>0</v>
      </c>
      <c r="J6454" s="6">
        <f t="shared" si="313"/>
        <v>0</v>
      </c>
      <c r="L6454" s="4" t="str">
        <f>IFERROR(VLOOKUP(ROWS($L$2:L6454),$B$2:$C$1996,2,0),"")</f>
        <v/>
      </c>
      <c r="N6454" s="2" t="str">
        <f>IFERROR(VLOOKUP(ROWS($N$2:N6454),$D$2:$E$1996,2,0),"")</f>
        <v/>
      </c>
    </row>
    <row r="6455" spans="2:14">
      <c r="B6455" s="32">
        <f>IF(ISNUMBER(SEARCH('Φόρμα Εισαγωγής'!$B$2,C6455)),MAX($B$1:B6454)+1,0)</f>
        <v>0</v>
      </c>
      <c r="D6455" s="33">
        <f>IF(ISNUMBER(SEARCH('Φόρμα Εισαγωγής'!$C$2,E6455)),MAX($D$1:D6454)+1,0)</f>
        <v>0</v>
      </c>
      <c r="H6455" s="6">
        <f t="shared" si="311"/>
        <v>0</v>
      </c>
      <c r="I6455" s="6">
        <f t="shared" si="312"/>
        <v>0</v>
      </c>
      <c r="J6455" s="6">
        <f t="shared" si="313"/>
        <v>0</v>
      </c>
      <c r="L6455" s="4" t="str">
        <f>IFERROR(VLOOKUP(ROWS($L$2:L6455),$B$2:$C$1996,2,0),"")</f>
        <v/>
      </c>
      <c r="N6455" s="2" t="str">
        <f>IFERROR(VLOOKUP(ROWS($N$2:N6455),$D$2:$E$1996,2,0),"")</f>
        <v/>
      </c>
    </row>
    <row r="6456" spans="2:14">
      <c r="B6456" s="32">
        <f>IF(ISNUMBER(SEARCH('Φόρμα Εισαγωγής'!$B$2,C6456)),MAX($B$1:B6455)+1,0)</f>
        <v>0</v>
      </c>
      <c r="D6456" s="33">
        <f>IF(ISNUMBER(SEARCH('Φόρμα Εισαγωγής'!$C$2,E6456)),MAX($D$1:D6455)+1,0)</f>
        <v>0</v>
      </c>
      <c r="H6456" s="6">
        <f t="shared" si="311"/>
        <v>0</v>
      </c>
      <c r="I6456" s="6">
        <f t="shared" si="312"/>
        <v>0</v>
      </c>
      <c r="J6456" s="6">
        <f t="shared" si="313"/>
        <v>0</v>
      </c>
      <c r="L6456" s="4" t="str">
        <f>IFERROR(VLOOKUP(ROWS($L$2:L6456),$B$2:$C$1996,2,0),"")</f>
        <v/>
      </c>
      <c r="N6456" s="2" t="str">
        <f>IFERROR(VLOOKUP(ROWS($N$2:N6456),$D$2:$E$1996,2,0),"")</f>
        <v/>
      </c>
    </row>
    <row r="6457" spans="2:14">
      <c r="B6457" s="32">
        <f>IF(ISNUMBER(SEARCH('Φόρμα Εισαγωγής'!$B$2,C6457)),MAX($B$1:B6456)+1,0)</f>
        <v>0</v>
      </c>
      <c r="D6457" s="33">
        <f>IF(ISNUMBER(SEARCH('Φόρμα Εισαγωγής'!$C$2,E6457)),MAX($D$1:D6456)+1,0)</f>
        <v>0</v>
      </c>
      <c r="H6457" s="6">
        <f t="shared" si="311"/>
        <v>0</v>
      </c>
      <c r="I6457" s="6">
        <f t="shared" si="312"/>
        <v>0</v>
      </c>
      <c r="J6457" s="6">
        <f t="shared" si="313"/>
        <v>0</v>
      </c>
      <c r="L6457" s="4" t="str">
        <f>IFERROR(VLOOKUP(ROWS($L$2:L6457),$B$2:$C$1996,2,0),"")</f>
        <v/>
      </c>
      <c r="N6457" s="2" t="str">
        <f>IFERROR(VLOOKUP(ROWS($N$2:N6457),$D$2:$E$1996,2,0),"")</f>
        <v/>
      </c>
    </row>
    <row r="6458" spans="2:14">
      <c r="B6458" s="32">
        <f>IF(ISNUMBER(SEARCH('Φόρμα Εισαγωγής'!$B$2,C6458)),MAX($B$1:B6457)+1,0)</f>
        <v>0</v>
      </c>
      <c r="D6458" s="33">
        <f>IF(ISNUMBER(SEARCH('Φόρμα Εισαγωγής'!$C$2,E6458)),MAX($D$1:D6457)+1,0)</f>
        <v>0</v>
      </c>
      <c r="H6458" s="6">
        <f t="shared" si="311"/>
        <v>0</v>
      </c>
      <c r="I6458" s="6">
        <f t="shared" si="312"/>
        <v>0</v>
      </c>
      <c r="J6458" s="6">
        <f t="shared" si="313"/>
        <v>0</v>
      </c>
      <c r="L6458" s="4" t="str">
        <f>IFERROR(VLOOKUP(ROWS($L$2:L6458),$B$2:$C$1996,2,0),"")</f>
        <v/>
      </c>
      <c r="N6458" s="2" t="str">
        <f>IFERROR(VLOOKUP(ROWS($N$2:N6458),$D$2:$E$1996,2,0),"")</f>
        <v/>
      </c>
    </row>
    <row r="6459" spans="2:14">
      <c r="B6459" s="32">
        <f>IF(ISNUMBER(SEARCH('Φόρμα Εισαγωγής'!$B$2,C6459)),MAX($B$1:B6458)+1,0)</f>
        <v>0</v>
      </c>
      <c r="D6459" s="33">
        <f>IF(ISNUMBER(SEARCH('Φόρμα Εισαγωγής'!$C$2,E6459)),MAX($D$1:D6458)+1,0)</f>
        <v>0</v>
      </c>
      <c r="H6459" s="6">
        <f t="shared" si="311"/>
        <v>0</v>
      </c>
      <c r="I6459" s="6">
        <f t="shared" si="312"/>
        <v>0</v>
      </c>
      <c r="J6459" s="6">
        <f t="shared" si="313"/>
        <v>0</v>
      </c>
      <c r="L6459" s="4" t="str">
        <f>IFERROR(VLOOKUP(ROWS($L$2:L6459),$B$2:$C$1996,2,0),"")</f>
        <v/>
      </c>
      <c r="N6459" s="2" t="str">
        <f>IFERROR(VLOOKUP(ROWS($N$2:N6459),$D$2:$E$1996,2,0),"")</f>
        <v/>
      </c>
    </row>
    <row r="6460" spans="2:14">
      <c r="B6460" s="32">
        <f>IF(ISNUMBER(SEARCH('Φόρμα Εισαγωγής'!$B$2,C6460)),MAX($B$1:B6459)+1,0)</f>
        <v>0</v>
      </c>
      <c r="D6460" s="33">
        <f>IF(ISNUMBER(SEARCH('Φόρμα Εισαγωγής'!$C$2,E6460)),MAX($D$1:D6459)+1,0)</f>
        <v>0</v>
      </c>
      <c r="H6460" s="6">
        <f t="shared" si="311"/>
        <v>0</v>
      </c>
      <c r="I6460" s="6">
        <f t="shared" si="312"/>
        <v>0</v>
      </c>
      <c r="J6460" s="6">
        <f t="shared" si="313"/>
        <v>0</v>
      </c>
      <c r="L6460" s="4" t="str">
        <f>IFERROR(VLOOKUP(ROWS($L$2:L6460),$B$2:$C$1996,2,0),"")</f>
        <v/>
      </c>
      <c r="N6460" s="2" t="str">
        <f>IFERROR(VLOOKUP(ROWS($N$2:N6460),$D$2:$E$1996,2,0),"")</f>
        <v/>
      </c>
    </row>
    <row r="6461" spans="2:14">
      <c r="B6461" s="32">
        <f>IF(ISNUMBER(SEARCH('Φόρμα Εισαγωγής'!$B$2,C6461)),MAX($B$1:B6460)+1,0)</f>
        <v>0</v>
      </c>
      <c r="D6461" s="33">
        <f>IF(ISNUMBER(SEARCH('Φόρμα Εισαγωγής'!$C$2,E6461)),MAX($D$1:D6460)+1,0)</f>
        <v>0</v>
      </c>
      <c r="H6461" s="6">
        <f t="shared" si="311"/>
        <v>0</v>
      </c>
      <c r="I6461" s="6">
        <f t="shared" si="312"/>
        <v>0</v>
      </c>
      <c r="J6461" s="6">
        <f t="shared" si="313"/>
        <v>0</v>
      </c>
      <c r="L6461" s="4" t="str">
        <f>IFERROR(VLOOKUP(ROWS($L$2:L6461),$B$2:$C$1996,2,0),"")</f>
        <v/>
      </c>
      <c r="N6461" s="2" t="str">
        <f>IFERROR(VLOOKUP(ROWS($N$2:N6461),$D$2:$E$1996,2,0),"")</f>
        <v/>
      </c>
    </row>
    <row r="6462" spans="2:14">
      <c r="B6462" s="32">
        <f>IF(ISNUMBER(SEARCH('Φόρμα Εισαγωγής'!$B$2,C6462)),MAX($B$1:B6461)+1,0)</f>
        <v>0</v>
      </c>
      <c r="D6462" s="33">
        <f>IF(ISNUMBER(SEARCH('Φόρμα Εισαγωγής'!$C$2,E6462)),MAX($D$1:D6461)+1,0)</f>
        <v>0</v>
      </c>
      <c r="H6462" s="6">
        <f t="shared" si="311"/>
        <v>0</v>
      </c>
      <c r="I6462" s="6">
        <f t="shared" si="312"/>
        <v>0</v>
      </c>
      <c r="J6462" s="6">
        <f t="shared" si="313"/>
        <v>0</v>
      </c>
      <c r="L6462" s="4" t="str">
        <f>IFERROR(VLOOKUP(ROWS($L$2:L6462),$B$2:$C$1996,2,0),"")</f>
        <v/>
      </c>
      <c r="N6462" s="2" t="str">
        <f>IFERROR(VLOOKUP(ROWS($N$2:N6462),$D$2:$E$1996,2,0),"")</f>
        <v/>
      </c>
    </row>
    <row r="6463" spans="2:14">
      <c r="B6463" s="32">
        <f>IF(ISNUMBER(SEARCH('Φόρμα Εισαγωγής'!$B$2,C6463)),MAX($B$1:B6462)+1,0)</f>
        <v>0</v>
      </c>
      <c r="D6463" s="33">
        <f>IF(ISNUMBER(SEARCH('Φόρμα Εισαγωγής'!$C$2,E6463)),MAX($D$1:D6462)+1,0)</f>
        <v>0</v>
      </c>
      <c r="H6463" s="6">
        <f t="shared" si="311"/>
        <v>0</v>
      </c>
      <c r="I6463" s="6">
        <f t="shared" si="312"/>
        <v>0</v>
      </c>
      <c r="J6463" s="6">
        <f t="shared" si="313"/>
        <v>0</v>
      </c>
      <c r="L6463" s="4" t="str">
        <f>IFERROR(VLOOKUP(ROWS($L$2:L6463),$B$2:$C$1996,2,0),"")</f>
        <v/>
      </c>
      <c r="N6463" s="2" t="str">
        <f>IFERROR(VLOOKUP(ROWS($N$2:N6463),$D$2:$E$1996,2,0),"")</f>
        <v/>
      </c>
    </row>
    <row r="6464" spans="2:14">
      <c r="B6464" s="32">
        <f>IF(ISNUMBER(SEARCH('Φόρμα Εισαγωγής'!$B$2,C6464)),MAX($B$1:B6463)+1,0)</f>
        <v>0</v>
      </c>
      <c r="D6464" s="33">
        <f>IF(ISNUMBER(SEARCH('Φόρμα Εισαγωγής'!$C$2,E6464)),MAX($D$1:D6463)+1,0)</f>
        <v>0</v>
      </c>
      <c r="H6464" s="6">
        <f t="shared" ref="H6464:H6527" si="314">G6464+(G6464*0.24)</f>
        <v>0</v>
      </c>
      <c r="I6464" s="6">
        <f t="shared" ref="I6464:I6527" si="315">F6464*A6464</f>
        <v>0</v>
      </c>
      <c r="J6464" s="6">
        <f t="shared" ref="J6464:J6527" si="316">H6464*A6464</f>
        <v>0</v>
      </c>
      <c r="L6464" s="4" t="str">
        <f>IFERROR(VLOOKUP(ROWS($L$2:L6464),$B$2:$C$1996,2,0),"")</f>
        <v/>
      </c>
      <c r="N6464" s="2" t="str">
        <f>IFERROR(VLOOKUP(ROWS($N$2:N6464),$D$2:$E$1996,2,0),"")</f>
        <v/>
      </c>
    </row>
    <row r="6465" spans="2:14">
      <c r="B6465" s="32">
        <f>IF(ISNUMBER(SEARCH('Φόρμα Εισαγωγής'!$B$2,C6465)),MAX($B$1:B6464)+1,0)</f>
        <v>0</v>
      </c>
      <c r="D6465" s="33">
        <f>IF(ISNUMBER(SEARCH('Φόρμα Εισαγωγής'!$C$2,E6465)),MAX($D$1:D6464)+1,0)</f>
        <v>0</v>
      </c>
      <c r="H6465" s="6">
        <f t="shared" si="314"/>
        <v>0</v>
      </c>
      <c r="I6465" s="6">
        <f t="shared" si="315"/>
        <v>0</v>
      </c>
      <c r="J6465" s="6">
        <f t="shared" si="316"/>
        <v>0</v>
      </c>
      <c r="L6465" s="4" t="str">
        <f>IFERROR(VLOOKUP(ROWS($L$2:L6465),$B$2:$C$1996,2,0),"")</f>
        <v/>
      </c>
      <c r="N6465" s="2" t="str">
        <f>IFERROR(VLOOKUP(ROWS($N$2:N6465),$D$2:$E$1996,2,0),"")</f>
        <v/>
      </c>
    </row>
    <row r="6466" spans="2:14">
      <c r="B6466" s="32">
        <f>IF(ISNUMBER(SEARCH('Φόρμα Εισαγωγής'!$B$2,C6466)),MAX($B$1:B6465)+1,0)</f>
        <v>0</v>
      </c>
      <c r="D6466" s="33">
        <f>IF(ISNUMBER(SEARCH('Φόρμα Εισαγωγής'!$C$2,E6466)),MAX($D$1:D6465)+1,0)</f>
        <v>0</v>
      </c>
      <c r="H6466" s="6">
        <f t="shared" si="314"/>
        <v>0</v>
      </c>
      <c r="I6466" s="6">
        <f t="shared" si="315"/>
        <v>0</v>
      </c>
      <c r="J6466" s="6">
        <f t="shared" si="316"/>
        <v>0</v>
      </c>
      <c r="L6466" s="4" t="str">
        <f>IFERROR(VLOOKUP(ROWS($L$2:L6466),$B$2:$C$1996,2,0),"")</f>
        <v/>
      </c>
      <c r="N6466" s="2" t="str">
        <f>IFERROR(VLOOKUP(ROWS($N$2:N6466),$D$2:$E$1996,2,0),"")</f>
        <v/>
      </c>
    </row>
    <row r="6467" spans="2:14">
      <c r="B6467" s="32">
        <f>IF(ISNUMBER(SEARCH('Φόρμα Εισαγωγής'!$B$2,C6467)),MAX($B$1:B6466)+1,0)</f>
        <v>0</v>
      </c>
      <c r="D6467" s="33">
        <f>IF(ISNUMBER(SEARCH('Φόρμα Εισαγωγής'!$C$2,E6467)),MAX($D$1:D6466)+1,0)</f>
        <v>0</v>
      </c>
      <c r="H6467" s="6">
        <f t="shared" si="314"/>
        <v>0</v>
      </c>
      <c r="I6467" s="6">
        <f t="shared" si="315"/>
        <v>0</v>
      </c>
      <c r="J6467" s="6">
        <f t="shared" si="316"/>
        <v>0</v>
      </c>
      <c r="L6467" s="4" t="str">
        <f>IFERROR(VLOOKUP(ROWS($L$2:L6467),$B$2:$C$1996,2,0),"")</f>
        <v/>
      </c>
      <c r="N6467" s="2" t="str">
        <f>IFERROR(VLOOKUP(ROWS($N$2:N6467),$D$2:$E$1996,2,0),"")</f>
        <v/>
      </c>
    </row>
    <row r="6468" spans="2:14">
      <c r="B6468" s="32">
        <f>IF(ISNUMBER(SEARCH('Φόρμα Εισαγωγής'!$B$2,C6468)),MAX($B$1:B6467)+1,0)</f>
        <v>0</v>
      </c>
      <c r="D6468" s="33">
        <f>IF(ISNUMBER(SEARCH('Φόρμα Εισαγωγής'!$C$2,E6468)),MAX($D$1:D6467)+1,0)</f>
        <v>0</v>
      </c>
      <c r="H6468" s="6">
        <f t="shared" si="314"/>
        <v>0</v>
      </c>
      <c r="I6468" s="6">
        <f t="shared" si="315"/>
        <v>0</v>
      </c>
      <c r="J6468" s="6">
        <f t="shared" si="316"/>
        <v>0</v>
      </c>
      <c r="L6468" s="4" t="str">
        <f>IFERROR(VLOOKUP(ROWS($L$2:L6468),$B$2:$C$1996,2,0),"")</f>
        <v/>
      </c>
      <c r="N6468" s="2" t="str">
        <f>IFERROR(VLOOKUP(ROWS($N$2:N6468),$D$2:$E$1996,2,0),"")</f>
        <v/>
      </c>
    </row>
    <row r="6469" spans="2:14">
      <c r="B6469" s="32">
        <f>IF(ISNUMBER(SEARCH('Φόρμα Εισαγωγής'!$B$2,C6469)),MAX($B$1:B6468)+1,0)</f>
        <v>0</v>
      </c>
      <c r="D6469" s="33">
        <f>IF(ISNUMBER(SEARCH('Φόρμα Εισαγωγής'!$C$2,E6469)),MAX($D$1:D6468)+1,0)</f>
        <v>0</v>
      </c>
      <c r="H6469" s="6">
        <f t="shared" si="314"/>
        <v>0</v>
      </c>
      <c r="I6469" s="6">
        <f t="shared" si="315"/>
        <v>0</v>
      </c>
      <c r="J6469" s="6">
        <f t="shared" si="316"/>
        <v>0</v>
      </c>
      <c r="L6469" s="4" t="str">
        <f>IFERROR(VLOOKUP(ROWS($L$2:L6469),$B$2:$C$1996,2,0),"")</f>
        <v/>
      </c>
      <c r="N6469" s="2" t="str">
        <f>IFERROR(VLOOKUP(ROWS($N$2:N6469),$D$2:$E$1996,2,0),"")</f>
        <v/>
      </c>
    </row>
    <row r="6470" spans="2:14">
      <c r="B6470" s="32">
        <f>IF(ISNUMBER(SEARCH('Φόρμα Εισαγωγής'!$B$2,C6470)),MAX($B$1:B6469)+1,0)</f>
        <v>0</v>
      </c>
      <c r="D6470" s="33">
        <f>IF(ISNUMBER(SEARCH('Φόρμα Εισαγωγής'!$C$2,E6470)),MAX($D$1:D6469)+1,0)</f>
        <v>0</v>
      </c>
      <c r="H6470" s="6">
        <f t="shared" si="314"/>
        <v>0</v>
      </c>
      <c r="I6470" s="6">
        <f t="shared" si="315"/>
        <v>0</v>
      </c>
      <c r="J6470" s="6">
        <f t="shared" si="316"/>
        <v>0</v>
      </c>
      <c r="L6470" s="4" t="str">
        <f>IFERROR(VLOOKUP(ROWS($L$2:L6470),$B$2:$C$1996,2,0),"")</f>
        <v/>
      </c>
      <c r="N6470" s="2" t="str">
        <f>IFERROR(VLOOKUP(ROWS($N$2:N6470),$D$2:$E$1996,2,0),"")</f>
        <v/>
      </c>
    </row>
    <row r="6471" spans="2:14">
      <c r="B6471" s="32">
        <f>IF(ISNUMBER(SEARCH('Φόρμα Εισαγωγής'!$B$2,C6471)),MAX($B$1:B6470)+1,0)</f>
        <v>0</v>
      </c>
      <c r="D6471" s="33">
        <f>IF(ISNUMBER(SEARCH('Φόρμα Εισαγωγής'!$C$2,E6471)),MAX($D$1:D6470)+1,0)</f>
        <v>0</v>
      </c>
      <c r="H6471" s="6">
        <f t="shared" si="314"/>
        <v>0</v>
      </c>
      <c r="I6471" s="6">
        <f t="shared" si="315"/>
        <v>0</v>
      </c>
      <c r="J6471" s="6">
        <f t="shared" si="316"/>
        <v>0</v>
      </c>
      <c r="L6471" s="4" t="str">
        <f>IFERROR(VLOOKUP(ROWS($L$2:L6471),$B$2:$C$1996,2,0),"")</f>
        <v/>
      </c>
      <c r="N6471" s="2" t="str">
        <f>IFERROR(VLOOKUP(ROWS($N$2:N6471),$D$2:$E$1996,2,0),"")</f>
        <v/>
      </c>
    </row>
    <row r="6472" spans="2:14">
      <c r="B6472" s="32">
        <f>IF(ISNUMBER(SEARCH('Φόρμα Εισαγωγής'!$B$2,C6472)),MAX($B$1:B6471)+1,0)</f>
        <v>0</v>
      </c>
      <c r="D6472" s="33">
        <f>IF(ISNUMBER(SEARCH('Φόρμα Εισαγωγής'!$C$2,E6472)),MAX($D$1:D6471)+1,0)</f>
        <v>0</v>
      </c>
      <c r="H6472" s="6">
        <f t="shared" si="314"/>
        <v>0</v>
      </c>
      <c r="I6472" s="6">
        <f t="shared" si="315"/>
        <v>0</v>
      </c>
      <c r="J6472" s="6">
        <f t="shared" si="316"/>
        <v>0</v>
      </c>
      <c r="L6472" s="4" t="str">
        <f>IFERROR(VLOOKUP(ROWS($L$2:L6472),$B$2:$C$1996,2,0),"")</f>
        <v/>
      </c>
      <c r="N6472" s="2" t="str">
        <f>IFERROR(VLOOKUP(ROWS($N$2:N6472),$D$2:$E$1996,2,0),"")</f>
        <v/>
      </c>
    </row>
    <row r="6473" spans="2:14">
      <c r="B6473" s="32">
        <f>IF(ISNUMBER(SEARCH('Φόρμα Εισαγωγής'!$B$2,C6473)),MAX($B$1:B6472)+1,0)</f>
        <v>0</v>
      </c>
      <c r="D6473" s="33">
        <f>IF(ISNUMBER(SEARCH('Φόρμα Εισαγωγής'!$C$2,E6473)),MAX($D$1:D6472)+1,0)</f>
        <v>0</v>
      </c>
      <c r="H6473" s="6">
        <f t="shared" si="314"/>
        <v>0</v>
      </c>
      <c r="I6473" s="6">
        <f t="shared" si="315"/>
        <v>0</v>
      </c>
      <c r="J6473" s="6">
        <f t="shared" si="316"/>
        <v>0</v>
      </c>
      <c r="L6473" s="4" t="str">
        <f>IFERROR(VLOOKUP(ROWS($L$2:L6473),$B$2:$C$1996,2,0),"")</f>
        <v/>
      </c>
      <c r="N6473" s="2" t="str">
        <f>IFERROR(VLOOKUP(ROWS($N$2:N6473),$D$2:$E$1996,2,0),"")</f>
        <v/>
      </c>
    </row>
    <row r="6474" spans="2:14">
      <c r="B6474" s="32">
        <f>IF(ISNUMBER(SEARCH('Φόρμα Εισαγωγής'!$B$2,C6474)),MAX($B$1:B6473)+1,0)</f>
        <v>0</v>
      </c>
      <c r="D6474" s="33">
        <f>IF(ISNUMBER(SEARCH('Φόρμα Εισαγωγής'!$C$2,E6474)),MAX($D$1:D6473)+1,0)</f>
        <v>0</v>
      </c>
      <c r="H6474" s="6">
        <f t="shared" si="314"/>
        <v>0</v>
      </c>
      <c r="I6474" s="6">
        <f t="shared" si="315"/>
        <v>0</v>
      </c>
      <c r="J6474" s="6">
        <f t="shared" si="316"/>
        <v>0</v>
      </c>
      <c r="L6474" s="4" t="str">
        <f>IFERROR(VLOOKUP(ROWS($L$2:L6474),$B$2:$C$1996,2,0),"")</f>
        <v/>
      </c>
      <c r="N6474" s="2" t="str">
        <f>IFERROR(VLOOKUP(ROWS($N$2:N6474),$D$2:$E$1996,2,0),"")</f>
        <v/>
      </c>
    </row>
    <row r="6475" spans="2:14">
      <c r="B6475" s="32">
        <f>IF(ISNUMBER(SEARCH('Φόρμα Εισαγωγής'!$B$2,C6475)),MAX($B$1:B6474)+1,0)</f>
        <v>0</v>
      </c>
      <c r="D6475" s="33">
        <f>IF(ISNUMBER(SEARCH('Φόρμα Εισαγωγής'!$C$2,E6475)),MAX($D$1:D6474)+1,0)</f>
        <v>0</v>
      </c>
      <c r="H6475" s="6">
        <f t="shared" si="314"/>
        <v>0</v>
      </c>
      <c r="I6475" s="6">
        <f t="shared" si="315"/>
        <v>0</v>
      </c>
      <c r="J6475" s="6">
        <f t="shared" si="316"/>
        <v>0</v>
      </c>
      <c r="L6475" s="4" t="str">
        <f>IFERROR(VLOOKUP(ROWS($L$2:L6475),$B$2:$C$1996,2,0),"")</f>
        <v/>
      </c>
      <c r="N6475" s="2" t="str">
        <f>IFERROR(VLOOKUP(ROWS($N$2:N6475),$D$2:$E$1996,2,0),"")</f>
        <v/>
      </c>
    </row>
    <row r="6476" spans="2:14">
      <c r="B6476" s="32">
        <f>IF(ISNUMBER(SEARCH('Φόρμα Εισαγωγής'!$B$2,C6476)),MAX($B$1:B6475)+1,0)</f>
        <v>0</v>
      </c>
      <c r="D6476" s="33">
        <f>IF(ISNUMBER(SEARCH('Φόρμα Εισαγωγής'!$C$2,E6476)),MAX($D$1:D6475)+1,0)</f>
        <v>0</v>
      </c>
      <c r="H6476" s="6">
        <f t="shared" si="314"/>
        <v>0</v>
      </c>
      <c r="I6476" s="6">
        <f t="shared" si="315"/>
        <v>0</v>
      </c>
      <c r="J6476" s="6">
        <f t="shared" si="316"/>
        <v>0</v>
      </c>
      <c r="L6476" s="4" t="str">
        <f>IFERROR(VLOOKUP(ROWS($L$2:L6476),$B$2:$C$1996,2,0),"")</f>
        <v/>
      </c>
      <c r="N6476" s="2" t="str">
        <f>IFERROR(VLOOKUP(ROWS($N$2:N6476),$D$2:$E$1996,2,0),"")</f>
        <v/>
      </c>
    </row>
    <row r="6477" spans="2:14">
      <c r="B6477" s="32">
        <f>IF(ISNUMBER(SEARCH('Φόρμα Εισαγωγής'!$B$2,C6477)),MAX($B$1:B6476)+1,0)</f>
        <v>0</v>
      </c>
      <c r="D6477" s="33">
        <f>IF(ISNUMBER(SEARCH('Φόρμα Εισαγωγής'!$C$2,E6477)),MAX($D$1:D6476)+1,0)</f>
        <v>0</v>
      </c>
      <c r="H6477" s="6">
        <f t="shared" si="314"/>
        <v>0</v>
      </c>
      <c r="I6477" s="6">
        <f t="shared" si="315"/>
        <v>0</v>
      </c>
      <c r="J6477" s="6">
        <f t="shared" si="316"/>
        <v>0</v>
      </c>
      <c r="L6477" s="4" t="str">
        <f>IFERROR(VLOOKUP(ROWS($L$2:L6477),$B$2:$C$1996,2,0),"")</f>
        <v/>
      </c>
      <c r="N6477" s="2" t="str">
        <f>IFERROR(VLOOKUP(ROWS($N$2:N6477),$D$2:$E$1996,2,0),"")</f>
        <v/>
      </c>
    </row>
    <row r="6478" spans="2:14">
      <c r="B6478" s="32">
        <f>IF(ISNUMBER(SEARCH('Φόρμα Εισαγωγής'!$B$2,C6478)),MAX($B$1:B6477)+1,0)</f>
        <v>0</v>
      </c>
      <c r="D6478" s="33">
        <f>IF(ISNUMBER(SEARCH('Φόρμα Εισαγωγής'!$C$2,E6478)),MAX($D$1:D6477)+1,0)</f>
        <v>0</v>
      </c>
      <c r="H6478" s="6">
        <f t="shared" si="314"/>
        <v>0</v>
      </c>
      <c r="I6478" s="6">
        <f t="shared" si="315"/>
        <v>0</v>
      </c>
      <c r="J6478" s="6">
        <f t="shared" si="316"/>
        <v>0</v>
      </c>
      <c r="L6478" s="4" t="str">
        <f>IFERROR(VLOOKUP(ROWS($L$2:L6478),$B$2:$C$1996,2,0),"")</f>
        <v/>
      </c>
      <c r="N6478" s="2" t="str">
        <f>IFERROR(VLOOKUP(ROWS($N$2:N6478),$D$2:$E$1996,2,0),"")</f>
        <v/>
      </c>
    </row>
    <row r="6479" spans="2:14">
      <c r="B6479" s="32">
        <f>IF(ISNUMBER(SEARCH('Φόρμα Εισαγωγής'!$B$2,C6479)),MAX($B$1:B6478)+1,0)</f>
        <v>0</v>
      </c>
      <c r="D6479" s="33">
        <f>IF(ISNUMBER(SEARCH('Φόρμα Εισαγωγής'!$C$2,E6479)),MAX($D$1:D6478)+1,0)</f>
        <v>0</v>
      </c>
      <c r="H6479" s="6">
        <f t="shared" si="314"/>
        <v>0</v>
      </c>
      <c r="I6479" s="6">
        <f t="shared" si="315"/>
        <v>0</v>
      </c>
      <c r="J6479" s="6">
        <f t="shared" si="316"/>
        <v>0</v>
      </c>
      <c r="L6479" s="4" t="str">
        <f>IFERROR(VLOOKUP(ROWS($L$2:L6479),$B$2:$C$1996,2,0),"")</f>
        <v/>
      </c>
      <c r="N6479" s="2" t="str">
        <f>IFERROR(VLOOKUP(ROWS($N$2:N6479),$D$2:$E$1996,2,0),"")</f>
        <v/>
      </c>
    </row>
    <row r="6480" spans="2:14">
      <c r="B6480" s="32">
        <f>IF(ISNUMBER(SEARCH('Φόρμα Εισαγωγής'!$B$2,C6480)),MAX($B$1:B6479)+1,0)</f>
        <v>0</v>
      </c>
      <c r="D6480" s="33">
        <f>IF(ISNUMBER(SEARCH('Φόρμα Εισαγωγής'!$C$2,E6480)),MAX($D$1:D6479)+1,0)</f>
        <v>0</v>
      </c>
      <c r="H6480" s="6">
        <f t="shared" si="314"/>
        <v>0</v>
      </c>
      <c r="I6480" s="6">
        <f t="shared" si="315"/>
        <v>0</v>
      </c>
      <c r="J6480" s="6">
        <f t="shared" si="316"/>
        <v>0</v>
      </c>
      <c r="L6480" s="4" t="str">
        <f>IFERROR(VLOOKUP(ROWS($L$2:L6480),$B$2:$C$1996,2,0),"")</f>
        <v/>
      </c>
      <c r="N6480" s="2" t="str">
        <f>IFERROR(VLOOKUP(ROWS($N$2:N6480),$D$2:$E$1996,2,0),"")</f>
        <v/>
      </c>
    </row>
    <row r="6481" spans="2:14">
      <c r="B6481" s="32">
        <f>IF(ISNUMBER(SEARCH('Φόρμα Εισαγωγής'!$B$2,C6481)),MAX($B$1:B6480)+1,0)</f>
        <v>0</v>
      </c>
      <c r="D6481" s="33">
        <f>IF(ISNUMBER(SEARCH('Φόρμα Εισαγωγής'!$C$2,E6481)),MAX($D$1:D6480)+1,0)</f>
        <v>0</v>
      </c>
      <c r="H6481" s="6">
        <f t="shared" si="314"/>
        <v>0</v>
      </c>
      <c r="I6481" s="6">
        <f t="shared" si="315"/>
        <v>0</v>
      </c>
      <c r="J6481" s="6">
        <f t="shared" si="316"/>
        <v>0</v>
      </c>
      <c r="L6481" s="4" t="str">
        <f>IFERROR(VLOOKUP(ROWS($L$2:L6481),$B$2:$C$1996,2,0),"")</f>
        <v/>
      </c>
      <c r="N6481" s="2" t="str">
        <f>IFERROR(VLOOKUP(ROWS($N$2:N6481),$D$2:$E$1996,2,0),"")</f>
        <v/>
      </c>
    </row>
    <row r="6482" spans="2:14">
      <c r="B6482" s="32">
        <f>IF(ISNUMBER(SEARCH('Φόρμα Εισαγωγής'!$B$2,C6482)),MAX($B$1:B6481)+1,0)</f>
        <v>0</v>
      </c>
      <c r="D6482" s="33">
        <f>IF(ISNUMBER(SEARCH('Φόρμα Εισαγωγής'!$C$2,E6482)),MAX($D$1:D6481)+1,0)</f>
        <v>0</v>
      </c>
      <c r="H6482" s="6">
        <f t="shared" si="314"/>
        <v>0</v>
      </c>
      <c r="I6482" s="6">
        <f t="shared" si="315"/>
        <v>0</v>
      </c>
      <c r="J6482" s="6">
        <f t="shared" si="316"/>
        <v>0</v>
      </c>
      <c r="L6482" s="4" t="str">
        <f>IFERROR(VLOOKUP(ROWS($L$2:L6482),$B$2:$C$1996,2,0),"")</f>
        <v/>
      </c>
      <c r="N6482" s="2" t="str">
        <f>IFERROR(VLOOKUP(ROWS($N$2:N6482),$D$2:$E$1996,2,0),"")</f>
        <v/>
      </c>
    </row>
    <row r="6483" spans="2:14">
      <c r="B6483" s="32">
        <f>IF(ISNUMBER(SEARCH('Φόρμα Εισαγωγής'!$B$2,C6483)),MAX($B$1:B6482)+1,0)</f>
        <v>0</v>
      </c>
      <c r="D6483" s="33">
        <f>IF(ISNUMBER(SEARCH('Φόρμα Εισαγωγής'!$C$2,E6483)),MAX($D$1:D6482)+1,0)</f>
        <v>0</v>
      </c>
      <c r="H6483" s="6">
        <f t="shared" si="314"/>
        <v>0</v>
      </c>
      <c r="I6483" s="6">
        <f t="shared" si="315"/>
        <v>0</v>
      </c>
      <c r="J6483" s="6">
        <f t="shared" si="316"/>
        <v>0</v>
      </c>
      <c r="L6483" s="4" t="str">
        <f>IFERROR(VLOOKUP(ROWS($L$2:L6483),$B$2:$C$1996,2,0),"")</f>
        <v/>
      </c>
      <c r="N6483" s="2" t="str">
        <f>IFERROR(VLOOKUP(ROWS($N$2:N6483),$D$2:$E$1996,2,0),"")</f>
        <v/>
      </c>
    </row>
    <row r="6484" spans="2:14">
      <c r="B6484" s="32">
        <f>IF(ISNUMBER(SEARCH('Φόρμα Εισαγωγής'!$B$2,C6484)),MAX($B$1:B6483)+1,0)</f>
        <v>0</v>
      </c>
      <c r="D6484" s="33">
        <f>IF(ISNUMBER(SEARCH('Φόρμα Εισαγωγής'!$C$2,E6484)),MAX($D$1:D6483)+1,0)</f>
        <v>0</v>
      </c>
      <c r="H6484" s="6">
        <f t="shared" si="314"/>
        <v>0</v>
      </c>
      <c r="I6484" s="6">
        <f t="shared" si="315"/>
        <v>0</v>
      </c>
      <c r="J6484" s="6">
        <f t="shared" si="316"/>
        <v>0</v>
      </c>
      <c r="L6484" s="4" t="str">
        <f>IFERROR(VLOOKUP(ROWS($L$2:L6484),$B$2:$C$1996,2,0),"")</f>
        <v/>
      </c>
      <c r="N6484" s="2" t="str">
        <f>IFERROR(VLOOKUP(ROWS($N$2:N6484),$D$2:$E$1996,2,0),"")</f>
        <v/>
      </c>
    </row>
    <row r="6485" spans="2:14">
      <c r="B6485" s="32">
        <f>IF(ISNUMBER(SEARCH('Φόρμα Εισαγωγής'!$B$2,C6485)),MAX($B$1:B6484)+1,0)</f>
        <v>0</v>
      </c>
      <c r="D6485" s="33">
        <f>IF(ISNUMBER(SEARCH('Φόρμα Εισαγωγής'!$C$2,E6485)),MAX($D$1:D6484)+1,0)</f>
        <v>0</v>
      </c>
      <c r="H6485" s="6">
        <f t="shared" si="314"/>
        <v>0</v>
      </c>
      <c r="I6485" s="6">
        <f t="shared" si="315"/>
        <v>0</v>
      </c>
      <c r="J6485" s="6">
        <f t="shared" si="316"/>
        <v>0</v>
      </c>
      <c r="L6485" s="4" t="str">
        <f>IFERROR(VLOOKUP(ROWS($L$2:L6485),$B$2:$C$1996,2,0),"")</f>
        <v/>
      </c>
      <c r="N6485" s="2" t="str">
        <f>IFERROR(VLOOKUP(ROWS($N$2:N6485),$D$2:$E$1996,2,0),"")</f>
        <v/>
      </c>
    </row>
    <row r="6486" spans="2:14">
      <c r="B6486" s="32">
        <f>IF(ISNUMBER(SEARCH('Φόρμα Εισαγωγής'!$B$2,C6486)),MAX($B$1:B6485)+1,0)</f>
        <v>0</v>
      </c>
      <c r="D6486" s="33">
        <f>IF(ISNUMBER(SEARCH('Φόρμα Εισαγωγής'!$C$2,E6486)),MAX($D$1:D6485)+1,0)</f>
        <v>0</v>
      </c>
      <c r="H6486" s="6">
        <f t="shared" si="314"/>
        <v>0</v>
      </c>
      <c r="I6486" s="6">
        <f t="shared" si="315"/>
        <v>0</v>
      </c>
      <c r="J6486" s="6">
        <f t="shared" si="316"/>
        <v>0</v>
      </c>
      <c r="L6486" s="4" t="str">
        <f>IFERROR(VLOOKUP(ROWS($L$2:L6486),$B$2:$C$1996,2,0),"")</f>
        <v/>
      </c>
      <c r="N6486" s="2" t="str">
        <f>IFERROR(VLOOKUP(ROWS($N$2:N6486),$D$2:$E$1996,2,0),"")</f>
        <v/>
      </c>
    </row>
    <row r="6487" spans="2:14">
      <c r="B6487" s="32">
        <f>IF(ISNUMBER(SEARCH('Φόρμα Εισαγωγής'!$B$2,C6487)),MAX($B$1:B6486)+1,0)</f>
        <v>0</v>
      </c>
      <c r="D6487" s="33">
        <f>IF(ISNUMBER(SEARCH('Φόρμα Εισαγωγής'!$C$2,E6487)),MAX($D$1:D6486)+1,0)</f>
        <v>0</v>
      </c>
      <c r="H6487" s="6">
        <f t="shared" si="314"/>
        <v>0</v>
      </c>
      <c r="I6487" s="6">
        <f t="shared" si="315"/>
        <v>0</v>
      </c>
      <c r="J6487" s="6">
        <f t="shared" si="316"/>
        <v>0</v>
      </c>
      <c r="L6487" s="4" t="str">
        <f>IFERROR(VLOOKUP(ROWS($L$2:L6487),$B$2:$C$1996,2,0),"")</f>
        <v/>
      </c>
      <c r="N6487" s="2" t="str">
        <f>IFERROR(VLOOKUP(ROWS($N$2:N6487),$D$2:$E$1996,2,0),"")</f>
        <v/>
      </c>
    </row>
    <row r="6488" spans="2:14">
      <c r="B6488" s="32">
        <f>IF(ISNUMBER(SEARCH('Φόρμα Εισαγωγής'!$B$2,C6488)),MAX($B$1:B6487)+1,0)</f>
        <v>0</v>
      </c>
      <c r="D6488" s="33">
        <f>IF(ISNUMBER(SEARCH('Φόρμα Εισαγωγής'!$C$2,E6488)),MAX($D$1:D6487)+1,0)</f>
        <v>0</v>
      </c>
      <c r="H6488" s="6">
        <f t="shared" si="314"/>
        <v>0</v>
      </c>
      <c r="I6488" s="6">
        <f t="shared" si="315"/>
        <v>0</v>
      </c>
      <c r="J6488" s="6">
        <f t="shared" si="316"/>
        <v>0</v>
      </c>
      <c r="L6488" s="4" t="str">
        <f>IFERROR(VLOOKUP(ROWS($L$2:L6488),$B$2:$C$1996,2,0),"")</f>
        <v/>
      </c>
      <c r="N6488" s="2" t="str">
        <f>IFERROR(VLOOKUP(ROWS($N$2:N6488),$D$2:$E$1996,2,0),"")</f>
        <v/>
      </c>
    </row>
    <row r="6489" spans="2:14">
      <c r="B6489" s="32">
        <f>IF(ISNUMBER(SEARCH('Φόρμα Εισαγωγής'!$B$2,C6489)),MAX($B$1:B6488)+1,0)</f>
        <v>0</v>
      </c>
      <c r="D6489" s="33">
        <f>IF(ISNUMBER(SEARCH('Φόρμα Εισαγωγής'!$C$2,E6489)),MAX($D$1:D6488)+1,0)</f>
        <v>0</v>
      </c>
      <c r="H6489" s="6">
        <f t="shared" si="314"/>
        <v>0</v>
      </c>
      <c r="I6489" s="6">
        <f t="shared" si="315"/>
        <v>0</v>
      </c>
      <c r="J6489" s="6">
        <f t="shared" si="316"/>
        <v>0</v>
      </c>
      <c r="L6489" s="4" t="str">
        <f>IFERROR(VLOOKUP(ROWS($L$2:L6489),$B$2:$C$1996,2,0),"")</f>
        <v/>
      </c>
      <c r="N6489" s="2" t="str">
        <f>IFERROR(VLOOKUP(ROWS($N$2:N6489),$D$2:$E$1996,2,0),"")</f>
        <v/>
      </c>
    </row>
    <row r="6490" spans="2:14">
      <c r="B6490" s="32">
        <f>IF(ISNUMBER(SEARCH('Φόρμα Εισαγωγής'!$B$2,C6490)),MAX($B$1:B6489)+1,0)</f>
        <v>0</v>
      </c>
      <c r="D6490" s="33">
        <f>IF(ISNUMBER(SEARCH('Φόρμα Εισαγωγής'!$C$2,E6490)),MAX($D$1:D6489)+1,0)</f>
        <v>0</v>
      </c>
      <c r="H6490" s="6">
        <f t="shared" si="314"/>
        <v>0</v>
      </c>
      <c r="I6490" s="6">
        <f t="shared" si="315"/>
        <v>0</v>
      </c>
      <c r="J6490" s="6">
        <f t="shared" si="316"/>
        <v>0</v>
      </c>
      <c r="L6490" s="4" t="str">
        <f>IFERROR(VLOOKUP(ROWS($L$2:L6490),$B$2:$C$1996,2,0),"")</f>
        <v/>
      </c>
      <c r="N6490" s="2" t="str">
        <f>IFERROR(VLOOKUP(ROWS($N$2:N6490),$D$2:$E$1996,2,0),"")</f>
        <v/>
      </c>
    </row>
    <row r="6491" spans="2:14">
      <c r="B6491" s="32">
        <f>IF(ISNUMBER(SEARCH('Φόρμα Εισαγωγής'!$B$2,C6491)),MAX($B$1:B6490)+1,0)</f>
        <v>0</v>
      </c>
      <c r="D6491" s="33">
        <f>IF(ISNUMBER(SEARCH('Φόρμα Εισαγωγής'!$C$2,E6491)),MAX($D$1:D6490)+1,0)</f>
        <v>0</v>
      </c>
      <c r="H6491" s="6">
        <f t="shared" si="314"/>
        <v>0</v>
      </c>
      <c r="I6491" s="6">
        <f t="shared" si="315"/>
        <v>0</v>
      </c>
      <c r="J6491" s="6">
        <f t="shared" si="316"/>
        <v>0</v>
      </c>
      <c r="L6491" s="4" t="str">
        <f>IFERROR(VLOOKUP(ROWS($L$2:L6491),$B$2:$C$1996,2,0),"")</f>
        <v/>
      </c>
      <c r="N6491" s="2" t="str">
        <f>IFERROR(VLOOKUP(ROWS($N$2:N6491),$D$2:$E$1996,2,0),"")</f>
        <v/>
      </c>
    </row>
    <row r="6492" spans="2:14">
      <c r="B6492" s="32">
        <f>IF(ISNUMBER(SEARCH('Φόρμα Εισαγωγής'!$B$2,C6492)),MAX($B$1:B6491)+1,0)</f>
        <v>0</v>
      </c>
      <c r="D6492" s="33">
        <f>IF(ISNUMBER(SEARCH('Φόρμα Εισαγωγής'!$C$2,E6492)),MAX($D$1:D6491)+1,0)</f>
        <v>0</v>
      </c>
      <c r="H6492" s="6">
        <f t="shared" si="314"/>
        <v>0</v>
      </c>
      <c r="I6492" s="6">
        <f t="shared" si="315"/>
        <v>0</v>
      </c>
      <c r="J6492" s="6">
        <f t="shared" si="316"/>
        <v>0</v>
      </c>
      <c r="L6492" s="4" t="str">
        <f>IFERROR(VLOOKUP(ROWS($L$2:L6492),$B$2:$C$1996,2,0),"")</f>
        <v/>
      </c>
      <c r="N6492" s="2" t="str">
        <f>IFERROR(VLOOKUP(ROWS($N$2:N6492),$D$2:$E$1996,2,0),"")</f>
        <v/>
      </c>
    </row>
    <row r="6493" spans="2:14">
      <c r="B6493" s="32">
        <f>IF(ISNUMBER(SEARCH('Φόρμα Εισαγωγής'!$B$2,C6493)),MAX($B$1:B6492)+1,0)</f>
        <v>0</v>
      </c>
      <c r="D6493" s="33">
        <f>IF(ISNUMBER(SEARCH('Φόρμα Εισαγωγής'!$C$2,E6493)),MAX($D$1:D6492)+1,0)</f>
        <v>0</v>
      </c>
      <c r="H6493" s="6">
        <f t="shared" si="314"/>
        <v>0</v>
      </c>
      <c r="I6493" s="6">
        <f t="shared" si="315"/>
        <v>0</v>
      </c>
      <c r="J6493" s="6">
        <f t="shared" si="316"/>
        <v>0</v>
      </c>
      <c r="L6493" s="4" t="str">
        <f>IFERROR(VLOOKUP(ROWS($L$2:L6493),$B$2:$C$1996,2,0),"")</f>
        <v/>
      </c>
      <c r="N6493" s="2" t="str">
        <f>IFERROR(VLOOKUP(ROWS($N$2:N6493),$D$2:$E$1996,2,0),"")</f>
        <v/>
      </c>
    </row>
    <row r="6494" spans="2:14">
      <c r="B6494" s="32">
        <f>IF(ISNUMBER(SEARCH('Φόρμα Εισαγωγής'!$B$2,C6494)),MAX($B$1:B6493)+1,0)</f>
        <v>0</v>
      </c>
      <c r="D6494" s="33">
        <f>IF(ISNUMBER(SEARCH('Φόρμα Εισαγωγής'!$C$2,E6494)),MAX($D$1:D6493)+1,0)</f>
        <v>0</v>
      </c>
      <c r="H6494" s="6">
        <f t="shared" si="314"/>
        <v>0</v>
      </c>
      <c r="I6494" s="6">
        <f t="shared" si="315"/>
        <v>0</v>
      </c>
      <c r="J6494" s="6">
        <f t="shared" si="316"/>
        <v>0</v>
      </c>
      <c r="L6494" s="4" t="str">
        <f>IFERROR(VLOOKUP(ROWS($L$2:L6494),$B$2:$C$1996,2,0),"")</f>
        <v/>
      </c>
      <c r="N6494" s="2" t="str">
        <f>IFERROR(VLOOKUP(ROWS($N$2:N6494),$D$2:$E$1996,2,0),"")</f>
        <v/>
      </c>
    </row>
    <row r="6495" spans="2:14">
      <c r="B6495" s="32">
        <f>IF(ISNUMBER(SEARCH('Φόρμα Εισαγωγής'!$B$2,C6495)),MAX($B$1:B6494)+1,0)</f>
        <v>0</v>
      </c>
      <c r="D6495" s="33">
        <f>IF(ISNUMBER(SEARCH('Φόρμα Εισαγωγής'!$C$2,E6495)),MAX($D$1:D6494)+1,0)</f>
        <v>0</v>
      </c>
      <c r="H6495" s="6">
        <f t="shared" si="314"/>
        <v>0</v>
      </c>
      <c r="I6495" s="6">
        <f t="shared" si="315"/>
        <v>0</v>
      </c>
      <c r="J6495" s="6">
        <f t="shared" si="316"/>
        <v>0</v>
      </c>
      <c r="L6495" s="4" t="str">
        <f>IFERROR(VLOOKUP(ROWS($L$2:L6495),$B$2:$C$1996,2,0),"")</f>
        <v/>
      </c>
      <c r="N6495" s="2" t="str">
        <f>IFERROR(VLOOKUP(ROWS($N$2:N6495),$D$2:$E$1996,2,0),"")</f>
        <v/>
      </c>
    </row>
    <row r="6496" spans="2:14">
      <c r="B6496" s="32">
        <f>IF(ISNUMBER(SEARCH('Φόρμα Εισαγωγής'!$B$2,C6496)),MAX($B$1:B6495)+1,0)</f>
        <v>0</v>
      </c>
      <c r="D6496" s="33">
        <f>IF(ISNUMBER(SEARCH('Φόρμα Εισαγωγής'!$C$2,E6496)),MAX($D$1:D6495)+1,0)</f>
        <v>0</v>
      </c>
      <c r="H6496" s="6">
        <f t="shared" si="314"/>
        <v>0</v>
      </c>
      <c r="I6496" s="6">
        <f t="shared" si="315"/>
        <v>0</v>
      </c>
      <c r="J6496" s="6">
        <f t="shared" si="316"/>
        <v>0</v>
      </c>
      <c r="L6496" s="4" t="str">
        <f>IFERROR(VLOOKUP(ROWS($L$2:L6496),$B$2:$C$1996,2,0),"")</f>
        <v/>
      </c>
      <c r="N6496" s="2" t="str">
        <f>IFERROR(VLOOKUP(ROWS($N$2:N6496),$D$2:$E$1996,2,0),"")</f>
        <v/>
      </c>
    </row>
    <row r="6497" spans="2:14">
      <c r="B6497" s="32">
        <f>IF(ISNUMBER(SEARCH('Φόρμα Εισαγωγής'!$B$2,C6497)),MAX($B$1:B6496)+1,0)</f>
        <v>0</v>
      </c>
      <c r="D6497" s="33">
        <f>IF(ISNUMBER(SEARCH('Φόρμα Εισαγωγής'!$C$2,E6497)),MAX($D$1:D6496)+1,0)</f>
        <v>0</v>
      </c>
      <c r="H6497" s="6">
        <f t="shared" si="314"/>
        <v>0</v>
      </c>
      <c r="I6497" s="6">
        <f t="shared" si="315"/>
        <v>0</v>
      </c>
      <c r="J6497" s="6">
        <f t="shared" si="316"/>
        <v>0</v>
      </c>
      <c r="L6497" s="4" t="str">
        <f>IFERROR(VLOOKUP(ROWS($L$2:L6497),$B$2:$C$1996,2,0),"")</f>
        <v/>
      </c>
      <c r="N6497" s="2" t="str">
        <f>IFERROR(VLOOKUP(ROWS($N$2:N6497),$D$2:$E$1996,2,0),"")</f>
        <v/>
      </c>
    </row>
    <row r="6498" spans="2:14">
      <c r="B6498" s="32">
        <f>IF(ISNUMBER(SEARCH('Φόρμα Εισαγωγής'!$B$2,C6498)),MAX($B$1:B6497)+1,0)</f>
        <v>0</v>
      </c>
      <c r="D6498" s="33">
        <f>IF(ISNUMBER(SEARCH('Φόρμα Εισαγωγής'!$C$2,E6498)),MAX($D$1:D6497)+1,0)</f>
        <v>0</v>
      </c>
      <c r="H6498" s="6">
        <f t="shared" si="314"/>
        <v>0</v>
      </c>
      <c r="I6498" s="6">
        <f t="shared" si="315"/>
        <v>0</v>
      </c>
      <c r="J6498" s="6">
        <f t="shared" si="316"/>
        <v>0</v>
      </c>
      <c r="L6498" s="4" t="str">
        <f>IFERROR(VLOOKUP(ROWS($L$2:L6498),$B$2:$C$1996,2,0),"")</f>
        <v/>
      </c>
      <c r="N6498" s="2" t="str">
        <f>IFERROR(VLOOKUP(ROWS($N$2:N6498),$D$2:$E$1996,2,0),"")</f>
        <v/>
      </c>
    </row>
    <row r="6499" spans="2:14">
      <c r="B6499" s="32">
        <f>IF(ISNUMBER(SEARCH('Φόρμα Εισαγωγής'!$B$2,C6499)),MAX($B$1:B6498)+1,0)</f>
        <v>0</v>
      </c>
      <c r="D6499" s="33">
        <f>IF(ISNUMBER(SEARCH('Φόρμα Εισαγωγής'!$C$2,E6499)),MAX($D$1:D6498)+1,0)</f>
        <v>0</v>
      </c>
      <c r="H6499" s="6">
        <f t="shared" si="314"/>
        <v>0</v>
      </c>
      <c r="I6499" s="6">
        <f t="shared" si="315"/>
        <v>0</v>
      </c>
      <c r="J6499" s="6">
        <f t="shared" si="316"/>
        <v>0</v>
      </c>
      <c r="L6499" s="4" t="str">
        <f>IFERROR(VLOOKUP(ROWS($L$2:L6499),$B$2:$C$1996,2,0),"")</f>
        <v/>
      </c>
      <c r="N6499" s="2" t="str">
        <f>IFERROR(VLOOKUP(ROWS($N$2:N6499),$D$2:$E$1996,2,0),"")</f>
        <v/>
      </c>
    </row>
    <row r="6500" spans="2:14">
      <c r="B6500" s="32">
        <f>IF(ISNUMBER(SEARCH('Φόρμα Εισαγωγής'!$B$2,C6500)),MAX($B$1:B6499)+1,0)</f>
        <v>0</v>
      </c>
      <c r="D6500" s="33">
        <f>IF(ISNUMBER(SEARCH('Φόρμα Εισαγωγής'!$C$2,E6500)),MAX($D$1:D6499)+1,0)</f>
        <v>0</v>
      </c>
      <c r="H6500" s="6">
        <f t="shared" si="314"/>
        <v>0</v>
      </c>
      <c r="I6500" s="6">
        <f t="shared" si="315"/>
        <v>0</v>
      </c>
      <c r="J6500" s="6">
        <f t="shared" si="316"/>
        <v>0</v>
      </c>
      <c r="L6500" s="4" t="str">
        <f>IFERROR(VLOOKUP(ROWS($L$2:L6500),$B$2:$C$1996,2,0),"")</f>
        <v/>
      </c>
      <c r="N6500" s="2" t="str">
        <f>IFERROR(VLOOKUP(ROWS($N$2:N6500),$D$2:$E$1996,2,0),"")</f>
        <v/>
      </c>
    </row>
    <row r="6501" spans="2:14">
      <c r="B6501" s="32">
        <f>IF(ISNUMBER(SEARCH('Φόρμα Εισαγωγής'!$B$2,C6501)),MAX($B$1:B6500)+1,0)</f>
        <v>0</v>
      </c>
      <c r="D6501" s="33">
        <f>IF(ISNUMBER(SEARCH('Φόρμα Εισαγωγής'!$C$2,E6501)),MAX($D$1:D6500)+1,0)</f>
        <v>0</v>
      </c>
      <c r="H6501" s="6">
        <f t="shared" si="314"/>
        <v>0</v>
      </c>
      <c r="I6501" s="6">
        <f t="shared" si="315"/>
        <v>0</v>
      </c>
      <c r="J6501" s="6">
        <f t="shared" si="316"/>
        <v>0</v>
      </c>
      <c r="L6501" s="4" t="str">
        <f>IFERROR(VLOOKUP(ROWS($L$2:L6501),$B$2:$C$1996,2,0),"")</f>
        <v/>
      </c>
      <c r="N6501" s="2" t="str">
        <f>IFERROR(VLOOKUP(ROWS($N$2:N6501),$D$2:$E$1996,2,0),"")</f>
        <v/>
      </c>
    </row>
    <row r="6502" spans="2:14">
      <c r="B6502" s="32">
        <f>IF(ISNUMBER(SEARCH('Φόρμα Εισαγωγής'!$B$2,C6502)),MAX($B$1:B6501)+1,0)</f>
        <v>0</v>
      </c>
      <c r="D6502" s="33">
        <f>IF(ISNUMBER(SEARCH('Φόρμα Εισαγωγής'!$C$2,E6502)),MAX($D$1:D6501)+1,0)</f>
        <v>0</v>
      </c>
      <c r="H6502" s="6">
        <f t="shared" si="314"/>
        <v>0</v>
      </c>
      <c r="I6502" s="6">
        <f t="shared" si="315"/>
        <v>0</v>
      </c>
      <c r="J6502" s="6">
        <f t="shared" si="316"/>
        <v>0</v>
      </c>
      <c r="L6502" s="4" t="str">
        <f>IFERROR(VLOOKUP(ROWS($L$2:L6502),$B$2:$C$1996,2,0),"")</f>
        <v/>
      </c>
      <c r="N6502" s="2" t="str">
        <f>IFERROR(VLOOKUP(ROWS($N$2:N6502),$D$2:$E$1996,2,0),"")</f>
        <v/>
      </c>
    </row>
    <row r="6503" spans="2:14">
      <c r="B6503" s="32">
        <f>IF(ISNUMBER(SEARCH('Φόρμα Εισαγωγής'!$B$2,C6503)),MAX($B$1:B6502)+1,0)</f>
        <v>0</v>
      </c>
      <c r="D6503" s="33">
        <f>IF(ISNUMBER(SEARCH('Φόρμα Εισαγωγής'!$C$2,E6503)),MAX($D$1:D6502)+1,0)</f>
        <v>0</v>
      </c>
      <c r="H6503" s="6">
        <f t="shared" si="314"/>
        <v>0</v>
      </c>
      <c r="I6503" s="6">
        <f t="shared" si="315"/>
        <v>0</v>
      </c>
      <c r="J6503" s="6">
        <f t="shared" si="316"/>
        <v>0</v>
      </c>
      <c r="L6503" s="4" t="str">
        <f>IFERROR(VLOOKUP(ROWS($L$2:L6503),$B$2:$C$1996,2,0),"")</f>
        <v/>
      </c>
      <c r="N6503" s="2" t="str">
        <f>IFERROR(VLOOKUP(ROWS($N$2:N6503),$D$2:$E$1996,2,0),"")</f>
        <v/>
      </c>
    </row>
    <row r="6504" spans="2:14">
      <c r="B6504" s="32">
        <f>IF(ISNUMBER(SEARCH('Φόρμα Εισαγωγής'!$B$2,C6504)),MAX($B$1:B6503)+1,0)</f>
        <v>0</v>
      </c>
      <c r="D6504" s="33">
        <f>IF(ISNUMBER(SEARCH('Φόρμα Εισαγωγής'!$C$2,E6504)),MAX($D$1:D6503)+1,0)</f>
        <v>0</v>
      </c>
      <c r="H6504" s="6">
        <f t="shared" si="314"/>
        <v>0</v>
      </c>
      <c r="I6504" s="6">
        <f t="shared" si="315"/>
        <v>0</v>
      </c>
      <c r="J6504" s="6">
        <f t="shared" si="316"/>
        <v>0</v>
      </c>
      <c r="L6504" s="4" t="str">
        <f>IFERROR(VLOOKUP(ROWS($L$2:L6504),$B$2:$C$1996,2,0),"")</f>
        <v/>
      </c>
      <c r="N6504" s="2" t="str">
        <f>IFERROR(VLOOKUP(ROWS($N$2:N6504),$D$2:$E$1996,2,0),"")</f>
        <v/>
      </c>
    </row>
    <row r="6505" spans="2:14">
      <c r="B6505" s="32">
        <f>IF(ISNUMBER(SEARCH('Φόρμα Εισαγωγής'!$B$2,C6505)),MAX($B$1:B6504)+1,0)</f>
        <v>0</v>
      </c>
      <c r="D6505" s="33">
        <f>IF(ISNUMBER(SEARCH('Φόρμα Εισαγωγής'!$C$2,E6505)),MAX($D$1:D6504)+1,0)</f>
        <v>0</v>
      </c>
      <c r="H6505" s="6">
        <f t="shared" si="314"/>
        <v>0</v>
      </c>
      <c r="I6505" s="6">
        <f t="shared" si="315"/>
        <v>0</v>
      </c>
      <c r="J6505" s="6">
        <f t="shared" si="316"/>
        <v>0</v>
      </c>
      <c r="L6505" s="4" t="str">
        <f>IFERROR(VLOOKUP(ROWS($L$2:L6505),$B$2:$C$1996,2,0),"")</f>
        <v/>
      </c>
      <c r="N6505" s="2" t="str">
        <f>IFERROR(VLOOKUP(ROWS($N$2:N6505),$D$2:$E$1996,2,0),"")</f>
        <v/>
      </c>
    </row>
    <row r="6506" spans="2:14">
      <c r="B6506" s="32">
        <f>IF(ISNUMBER(SEARCH('Φόρμα Εισαγωγής'!$B$2,C6506)),MAX($B$1:B6505)+1,0)</f>
        <v>0</v>
      </c>
      <c r="D6506" s="33">
        <f>IF(ISNUMBER(SEARCH('Φόρμα Εισαγωγής'!$C$2,E6506)),MAX($D$1:D6505)+1,0)</f>
        <v>0</v>
      </c>
      <c r="H6506" s="6">
        <f t="shared" si="314"/>
        <v>0</v>
      </c>
      <c r="I6506" s="6">
        <f t="shared" si="315"/>
        <v>0</v>
      </c>
      <c r="J6506" s="6">
        <f t="shared" si="316"/>
        <v>0</v>
      </c>
      <c r="L6506" s="4" t="str">
        <f>IFERROR(VLOOKUP(ROWS($L$2:L6506),$B$2:$C$1996,2,0),"")</f>
        <v/>
      </c>
      <c r="N6506" s="2" t="str">
        <f>IFERROR(VLOOKUP(ROWS($N$2:N6506),$D$2:$E$1996,2,0),"")</f>
        <v/>
      </c>
    </row>
    <row r="6507" spans="2:14">
      <c r="B6507" s="32">
        <f>IF(ISNUMBER(SEARCH('Φόρμα Εισαγωγής'!$B$2,C6507)),MAX($B$1:B6506)+1,0)</f>
        <v>0</v>
      </c>
      <c r="D6507" s="33">
        <f>IF(ISNUMBER(SEARCH('Φόρμα Εισαγωγής'!$C$2,E6507)),MAX($D$1:D6506)+1,0)</f>
        <v>0</v>
      </c>
      <c r="H6507" s="6">
        <f t="shared" si="314"/>
        <v>0</v>
      </c>
      <c r="I6507" s="6">
        <f t="shared" si="315"/>
        <v>0</v>
      </c>
      <c r="J6507" s="6">
        <f t="shared" si="316"/>
        <v>0</v>
      </c>
      <c r="L6507" s="4" t="str">
        <f>IFERROR(VLOOKUP(ROWS($L$2:L6507),$B$2:$C$1996,2,0),"")</f>
        <v/>
      </c>
      <c r="N6507" s="2" t="str">
        <f>IFERROR(VLOOKUP(ROWS($N$2:N6507),$D$2:$E$1996,2,0),"")</f>
        <v/>
      </c>
    </row>
    <row r="6508" spans="2:14">
      <c r="B6508" s="32">
        <f>IF(ISNUMBER(SEARCH('Φόρμα Εισαγωγής'!$B$2,C6508)),MAX($B$1:B6507)+1,0)</f>
        <v>0</v>
      </c>
      <c r="D6508" s="33">
        <f>IF(ISNUMBER(SEARCH('Φόρμα Εισαγωγής'!$C$2,E6508)),MAX($D$1:D6507)+1,0)</f>
        <v>0</v>
      </c>
      <c r="H6508" s="6">
        <f t="shared" si="314"/>
        <v>0</v>
      </c>
      <c r="I6508" s="6">
        <f t="shared" si="315"/>
        <v>0</v>
      </c>
      <c r="J6508" s="6">
        <f t="shared" si="316"/>
        <v>0</v>
      </c>
      <c r="L6508" s="4" t="str">
        <f>IFERROR(VLOOKUP(ROWS($L$2:L6508),$B$2:$C$1996,2,0),"")</f>
        <v/>
      </c>
      <c r="N6508" s="2" t="str">
        <f>IFERROR(VLOOKUP(ROWS($N$2:N6508),$D$2:$E$1996,2,0),"")</f>
        <v/>
      </c>
    </row>
    <row r="6509" spans="2:14">
      <c r="B6509" s="32">
        <f>IF(ISNUMBER(SEARCH('Φόρμα Εισαγωγής'!$B$2,C6509)),MAX($B$1:B6508)+1,0)</f>
        <v>0</v>
      </c>
      <c r="D6509" s="33">
        <f>IF(ISNUMBER(SEARCH('Φόρμα Εισαγωγής'!$C$2,E6509)),MAX($D$1:D6508)+1,0)</f>
        <v>0</v>
      </c>
      <c r="H6509" s="6">
        <f t="shared" si="314"/>
        <v>0</v>
      </c>
      <c r="I6509" s="6">
        <f t="shared" si="315"/>
        <v>0</v>
      </c>
      <c r="J6509" s="6">
        <f t="shared" si="316"/>
        <v>0</v>
      </c>
      <c r="L6509" s="4" t="str">
        <f>IFERROR(VLOOKUP(ROWS($L$2:L6509),$B$2:$C$1996,2,0),"")</f>
        <v/>
      </c>
      <c r="N6509" s="2" t="str">
        <f>IFERROR(VLOOKUP(ROWS($N$2:N6509),$D$2:$E$1996,2,0),"")</f>
        <v/>
      </c>
    </row>
    <row r="6510" spans="2:14">
      <c r="B6510" s="32">
        <f>IF(ISNUMBER(SEARCH('Φόρμα Εισαγωγής'!$B$2,C6510)),MAX($B$1:B6509)+1,0)</f>
        <v>0</v>
      </c>
      <c r="D6510" s="33">
        <f>IF(ISNUMBER(SEARCH('Φόρμα Εισαγωγής'!$C$2,E6510)),MAX($D$1:D6509)+1,0)</f>
        <v>0</v>
      </c>
      <c r="H6510" s="6">
        <f t="shared" si="314"/>
        <v>0</v>
      </c>
      <c r="I6510" s="6">
        <f t="shared" si="315"/>
        <v>0</v>
      </c>
      <c r="J6510" s="6">
        <f t="shared" si="316"/>
        <v>0</v>
      </c>
      <c r="L6510" s="4" t="str">
        <f>IFERROR(VLOOKUP(ROWS($L$2:L6510),$B$2:$C$1996,2,0),"")</f>
        <v/>
      </c>
      <c r="N6510" s="2" t="str">
        <f>IFERROR(VLOOKUP(ROWS($N$2:N6510),$D$2:$E$1996,2,0),"")</f>
        <v/>
      </c>
    </row>
    <row r="6511" spans="2:14">
      <c r="B6511" s="32">
        <f>IF(ISNUMBER(SEARCH('Φόρμα Εισαγωγής'!$B$2,C6511)),MAX($B$1:B6510)+1,0)</f>
        <v>0</v>
      </c>
      <c r="D6511" s="33">
        <f>IF(ISNUMBER(SEARCH('Φόρμα Εισαγωγής'!$C$2,E6511)),MAX($D$1:D6510)+1,0)</f>
        <v>0</v>
      </c>
      <c r="H6511" s="6">
        <f t="shared" si="314"/>
        <v>0</v>
      </c>
      <c r="I6511" s="6">
        <f t="shared" si="315"/>
        <v>0</v>
      </c>
      <c r="J6511" s="6">
        <f t="shared" si="316"/>
        <v>0</v>
      </c>
      <c r="L6511" s="4" t="str">
        <f>IFERROR(VLOOKUP(ROWS($L$2:L6511),$B$2:$C$1996,2,0),"")</f>
        <v/>
      </c>
      <c r="N6511" s="2" t="str">
        <f>IFERROR(VLOOKUP(ROWS($N$2:N6511),$D$2:$E$1996,2,0),"")</f>
        <v/>
      </c>
    </row>
    <row r="6512" spans="2:14">
      <c r="B6512" s="32">
        <f>IF(ISNUMBER(SEARCH('Φόρμα Εισαγωγής'!$B$2,C6512)),MAX($B$1:B6511)+1,0)</f>
        <v>0</v>
      </c>
      <c r="D6512" s="33">
        <f>IF(ISNUMBER(SEARCH('Φόρμα Εισαγωγής'!$C$2,E6512)),MAX($D$1:D6511)+1,0)</f>
        <v>0</v>
      </c>
      <c r="H6512" s="6">
        <f t="shared" si="314"/>
        <v>0</v>
      </c>
      <c r="I6512" s="6">
        <f t="shared" si="315"/>
        <v>0</v>
      </c>
      <c r="J6512" s="6">
        <f t="shared" si="316"/>
        <v>0</v>
      </c>
      <c r="L6512" s="4" t="str">
        <f>IFERROR(VLOOKUP(ROWS($L$2:L6512),$B$2:$C$1996,2,0),"")</f>
        <v/>
      </c>
      <c r="N6512" s="2" t="str">
        <f>IFERROR(VLOOKUP(ROWS($N$2:N6512),$D$2:$E$1996,2,0),"")</f>
        <v/>
      </c>
    </row>
    <row r="6513" spans="2:14">
      <c r="B6513" s="32">
        <f>IF(ISNUMBER(SEARCH('Φόρμα Εισαγωγής'!$B$2,C6513)),MAX($B$1:B6512)+1,0)</f>
        <v>0</v>
      </c>
      <c r="D6513" s="33">
        <f>IF(ISNUMBER(SEARCH('Φόρμα Εισαγωγής'!$C$2,E6513)),MAX($D$1:D6512)+1,0)</f>
        <v>0</v>
      </c>
      <c r="H6513" s="6">
        <f t="shared" si="314"/>
        <v>0</v>
      </c>
      <c r="I6513" s="6">
        <f t="shared" si="315"/>
        <v>0</v>
      </c>
      <c r="J6513" s="6">
        <f t="shared" si="316"/>
        <v>0</v>
      </c>
      <c r="L6513" s="4" t="str">
        <f>IFERROR(VLOOKUP(ROWS($L$2:L6513),$B$2:$C$1996,2,0),"")</f>
        <v/>
      </c>
      <c r="N6513" s="2" t="str">
        <f>IFERROR(VLOOKUP(ROWS($N$2:N6513),$D$2:$E$1996,2,0),"")</f>
        <v/>
      </c>
    </row>
    <row r="6514" spans="2:14">
      <c r="B6514" s="32">
        <f>IF(ISNUMBER(SEARCH('Φόρμα Εισαγωγής'!$B$2,C6514)),MAX($B$1:B6513)+1,0)</f>
        <v>0</v>
      </c>
      <c r="D6514" s="33">
        <f>IF(ISNUMBER(SEARCH('Φόρμα Εισαγωγής'!$C$2,E6514)),MAX($D$1:D6513)+1,0)</f>
        <v>0</v>
      </c>
      <c r="H6514" s="6">
        <f t="shared" si="314"/>
        <v>0</v>
      </c>
      <c r="I6514" s="6">
        <f t="shared" si="315"/>
        <v>0</v>
      </c>
      <c r="J6514" s="6">
        <f t="shared" si="316"/>
        <v>0</v>
      </c>
      <c r="L6514" s="4" t="str">
        <f>IFERROR(VLOOKUP(ROWS($L$2:L6514),$B$2:$C$1996,2,0),"")</f>
        <v/>
      </c>
      <c r="N6514" s="2" t="str">
        <f>IFERROR(VLOOKUP(ROWS($N$2:N6514),$D$2:$E$1996,2,0),"")</f>
        <v/>
      </c>
    </row>
    <row r="6515" spans="2:14">
      <c r="B6515" s="32">
        <f>IF(ISNUMBER(SEARCH('Φόρμα Εισαγωγής'!$B$2,C6515)),MAX($B$1:B6514)+1,0)</f>
        <v>0</v>
      </c>
      <c r="D6515" s="33">
        <f>IF(ISNUMBER(SEARCH('Φόρμα Εισαγωγής'!$C$2,E6515)),MAX($D$1:D6514)+1,0)</f>
        <v>0</v>
      </c>
      <c r="H6515" s="6">
        <f t="shared" si="314"/>
        <v>0</v>
      </c>
      <c r="I6515" s="6">
        <f t="shared" si="315"/>
        <v>0</v>
      </c>
      <c r="J6515" s="6">
        <f t="shared" si="316"/>
        <v>0</v>
      </c>
      <c r="L6515" s="4" t="str">
        <f>IFERROR(VLOOKUP(ROWS($L$2:L6515),$B$2:$C$1996,2,0),"")</f>
        <v/>
      </c>
      <c r="N6515" s="2" t="str">
        <f>IFERROR(VLOOKUP(ROWS($N$2:N6515),$D$2:$E$1996,2,0),"")</f>
        <v/>
      </c>
    </row>
    <row r="6516" spans="2:14">
      <c r="B6516" s="32">
        <f>IF(ISNUMBER(SEARCH('Φόρμα Εισαγωγής'!$B$2,C6516)),MAX($B$1:B6515)+1,0)</f>
        <v>0</v>
      </c>
      <c r="D6516" s="33">
        <f>IF(ISNUMBER(SEARCH('Φόρμα Εισαγωγής'!$C$2,E6516)),MAX($D$1:D6515)+1,0)</f>
        <v>0</v>
      </c>
      <c r="H6516" s="6">
        <f t="shared" si="314"/>
        <v>0</v>
      </c>
      <c r="I6516" s="6">
        <f t="shared" si="315"/>
        <v>0</v>
      </c>
      <c r="J6516" s="6">
        <f t="shared" si="316"/>
        <v>0</v>
      </c>
      <c r="L6516" s="4" t="str">
        <f>IFERROR(VLOOKUP(ROWS($L$2:L6516),$B$2:$C$1996,2,0),"")</f>
        <v/>
      </c>
      <c r="N6516" s="2" t="str">
        <f>IFERROR(VLOOKUP(ROWS($N$2:N6516),$D$2:$E$1996,2,0),"")</f>
        <v/>
      </c>
    </row>
    <row r="6517" spans="2:14">
      <c r="B6517" s="32">
        <f>IF(ISNUMBER(SEARCH('Φόρμα Εισαγωγής'!$B$2,C6517)),MAX($B$1:B6516)+1,0)</f>
        <v>0</v>
      </c>
      <c r="D6517" s="33">
        <f>IF(ISNUMBER(SEARCH('Φόρμα Εισαγωγής'!$C$2,E6517)),MAX($D$1:D6516)+1,0)</f>
        <v>0</v>
      </c>
      <c r="H6517" s="6">
        <f t="shared" si="314"/>
        <v>0</v>
      </c>
      <c r="I6517" s="6">
        <f t="shared" si="315"/>
        <v>0</v>
      </c>
      <c r="J6517" s="6">
        <f t="shared" si="316"/>
        <v>0</v>
      </c>
      <c r="L6517" s="4" t="str">
        <f>IFERROR(VLOOKUP(ROWS($L$2:L6517),$B$2:$C$1996,2,0),"")</f>
        <v/>
      </c>
      <c r="N6517" s="2" t="str">
        <f>IFERROR(VLOOKUP(ROWS($N$2:N6517),$D$2:$E$1996,2,0),"")</f>
        <v/>
      </c>
    </row>
    <row r="6518" spans="2:14">
      <c r="B6518" s="32">
        <f>IF(ISNUMBER(SEARCH('Φόρμα Εισαγωγής'!$B$2,C6518)),MAX($B$1:B6517)+1,0)</f>
        <v>0</v>
      </c>
      <c r="D6518" s="33">
        <f>IF(ISNUMBER(SEARCH('Φόρμα Εισαγωγής'!$C$2,E6518)),MAX($D$1:D6517)+1,0)</f>
        <v>0</v>
      </c>
      <c r="H6518" s="6">
        <f t="shared" si="314"/>
        <v>0</v>
      </c>
      <c r="I6518" s="6">
        <f t="shared" si="315"/>
        <v>0</v>
      </c>
      <c r="J6518" s="6">
        <f t="shared" si="316"/>
        <v>0</v>
      </c>
      <c r="L6518" s="4" t="str">
        <f>IFERROR(VLOOKUP(ROWS($L$2:L6518),$B$2:$C$1996,2,0),"")</f>
        <v/>
      </c>
      <c r="N6518" s="2" t="str">
        <f>IFERROR(VLOOKUP(ROWS($N$2:N6518),$D$2:$E$1996,2,0),"")</f>
        <v/>
      </c>
    </row>
    <row r="6519" spans="2:14">
      <c r="B6519" s="32">
        <f>IF(ISNUMBER(SEARCH('Φόρμα Εισαγωγής'!$B$2,C6519)),MAX($B$1:B6518)+1,0)</f>
        <v>0</v>
      </c>
      <c r="D6519" s="33">
        <f>IF(ISNUMBER(SEARCH('Φόρμα Εισαγωγής'!$C$2,E6519)),MAX($D$1:D6518)+1,0)</f>
        <v>0</v>
      </c>
      <c r="H6519" s="6">
        <f t="shared" si="314"/>
        <v>0</v>
      </c>
      <c r="I6519" s="6">
        <f t="shared" si="315"/>
        <v>0</v>
      </c>
      <c r="J6519" s="6">
        <f t="shared" si="316"/>
        <v>0</v>
      </c>
      <c r="L6519" s="4" t="str">
        <f>IFERROR(VLOOKUP(ROWS($L$2:L6519),$B$2:$C$1996,2,0),"")</f>
        <v/>
      </c>
      <c r="N6519" s="2" t="str">
        <f>IFERROR(VLOOKUP(ROWS($N$2:N6519),$D$2:$E$1996,2,0),"")</f>
        <v/>
      </c>
    </row>
    <row r="6520" spans="2:14">
      <c r="B6520" s="32">
        <f>IF(ISNUMBER(SEARCH('Φόρμα Εισαγωγής'!$B$2,C6520)),MAX($B$1:B6519)+1,0)</f>
        <v>0</v>
      </c>
      <c r="D6520" s="33">
        <f>IF(ISNUMBER(SEARCH('Φόρμα Εισαγωγής'!$C$2,E6520)),MAX($D$1:D6519)+1,0)</f>
        <v>0</v>
      </c>
      <c r="H6520" s="6">
        <f t="shared" si="314"/>
        <v>0</v>
      </c>
      <c r="I6520" s="6">
        <f t="shared" si="315"/>
        <v>0</v>
      </c>
      <c r="J6520" s="6">
        <f t="shared" si="316"/>
        <v>0</v>
      </c>
      <c r="L6520" s="4" t="str">
        <f>IFERROR(VLOOKUP(ROWS($L$2:L6520),$B$2:$C$1996,2,0),"")</f>
        <v/>
      </c>
      <c r="N6520" s="2" t="str">
        <f>IFERROR(VLOOKUP(ROWS($N$2:N6520),$D$2:$E$1996,2,0),"")</f>
        <v/>
      </c>
    </row>
    <row r="6521" spans="2:14">
      <c r="B6521" s="32">
        <f>IF(ISNUMBER(SEARCH('Φόρμα Εισαγωγής'!$B$2,C6521)),MAX($B$1:B6520)+1,0)</f>
        <v>0</v>
      </c>
      <c r="D6521" s="33">
        <f>IF(ISNUMBER(SEARCH('Φόρμα Εισαγωγής'!$C$2,E6521)),MAX($D$1:D6520)+1,0)</f>
        <v>0</v>
      </c>
      <c r="H6521" s="6">
        <f t="shared" si="314"/>
        <v>0</v>
      </c>
      <c r="I6521" s="6">
        <f t="shared" si="315"/>
        <v>0</v>
      </c>
      <c r="J6521" s="6">
        <f t="shared" si="316"/>
        <v>0</v>
      </c>
      <c r="L6521" s="4" t="str">
        <f>IFERROR(VLOOKUP(ROWS($L$2:L6521),$B$2:$C$1996,2,0),"")</f>
        <v/>
      </c>
      <c r="N6521" s="2" t="str">
        <f>IFERROR(VLOOKUP(ROWS($N$2:N6521),$D$2:$E$1996,2,0),"")</f>
        <v/>
      </c>
    </row>
    <row r="6522" spans="2:14">
      <c r="B6522" s="32">
        <f>IF(ISNUMBER(SEARCH('Φόρμα Εισαγωγής'!$B$2,C6522)),MAX($B$1:B6521)+1,0)</f>
        <v>0</v>
      </c>
      <c r="D6522" s="33">
        <f>IF(ISNUMBER(SEARCH('Φόρμα Εισαγωγής'!$C$2,E6522)),MAX($D$1:D6521)+1,0)</f>
        <v>0</v>
      </c>
      <c r="H6522" s="6">
        <f t="shared" si="314"/>
        <v>0</v>
      </c>
      <c r="I6522" s="6">
        <f t="shared" si="315"/>
        <v>0</v>
      </c>
      <c r="J6522" s="6">
        <f t="shared" si="316"/>
        <v>0</v>
      </c>
      <c r="L6522" s="4" t="str">
        <f>IFERROR(VLOOKUP(ROWS($L$2:L6522),$B$2:$C$1996,2,0),"")</f>
        <v/>
      </c>
      <c r="N6522" s="2" t="str">
        <f>IFERROR(VLOOKUP(ROWS($N$2:N6522),$D$2:$E$1996,2,0),"")</f>
        <v/>
      </c>
    </row>
    <row r="6523" spans="2:14">
      <c r="B6523" s="32">
        <f>IF(ISNUMBER(SEARCH('Φόρμα Εισαγωγής'!$B$2,C6523)),MAX($B$1:B6522)+1,0)</f>
        <v>0</v>
      </c>
      <c r="D6523" s="33">
        <f>IF(ISNUMBER(SEARCH('Φόρμα Εισαγωγής'!$C$2,E6523)),MAX($D$1:D6522)+1,0)</f>
        <v>0</v>
      </c>
      <c r="H6523" s="6">
        <f t="shared" si="314"/>
        <v>0</v>
      </c>
      <c r="I6523" s="6">
        <f t="shared" si="315"/>
        <v>0</v>
      </c>
      <c r="J6523" s="6">
        <f t="shared" si="316"/>
        <v>0</v>
      </c>
      <c r="L6523" s="4" t="str">
        <f>IFERROR(VLOOKUP(ROWS($L$2:L6523),$B$2:$C$1996,2,0),"")</f>
        <v/>
      </c>
      <c r="N6523" s="2" t="str">
        <f>IFERROR(VLOOKUP(ROWS($N$2:N6523),$D$2:$E$1996,2,0),"")</f>
        <v/>
      </c>
    </row>
    <row r="6524" spans="2:14">
      <c r="B6524" s="32">
        <f>IF(ISNUMBER(SEARCH('Φόρμα Εισαγωγής'!$B$2,C6524)),MAX($B$1:B6523)+1,0)</f>
        <v>0</v>
      </c>
      <c r="D6524" s="33">
        <f>IF(ISNUMBER(SEARCH('Φόρμα Εισαγωγής'!$C$2,E6524)),MAX($D$1:D6523)+1,0)</f>
        <v>0</v>
      </c>
      <c r="H6524" s="6">
        <f t="shared" si="314"/>
        <v>0</v>
      </c>
      <c r="I6524" s="6">
        <f t="shared" si="315"/>
        <v>0</v>
      </c>
      <c r="J6524" s="6">
        <f t="shared" si="316"/>
        <v>0</v>
      </c>
      <c r="L6524" s="4" t="str">
        <f>IFERROR(VLOOKUP(ROWS($L$2:L6524),$B$2:$C$1996,2,0),"")</f>
        <v/>
      </c>
      <c r="N6524" s="2" t="str">
        <f>IFERROR(VLOOKUP(ROWS($N$2:N6524),$D$2:$E$1996,2,0),"")</f>
        <v/>
      </c>
    </row>
    <row r="6525" spans="2:14">
      <c r="B6525" s="32">
        <f>IF(ISNUMBER(SEARCH('Φόρμα Εισαγωγής'!$B$2,C6525)),MAX($B$1:B6524)+1,0)</f>
        <v>0</v>
      </c>
      <c r="D6525" s="33">
        <f>IF(ISNUMBER(SEARCH('Φόρμα Εισαγωγής'!$C$2,E6525)),MAX($D$1:D6524)+1,0)</f>
        <v>0</v>
      </c>
      <c r="H6525" s="6">
        <f t="shared" si="314"/>
        <v>0</v>
      </c>
      <c r="I6525" s="6">
        <f t="shared" si="315"/>
        <v>0</v>
      </c>
      <c r="J6525" s="6">
        <f t="shared" si="316"/>
        <v>0</v>
      </c>
      <c r="L6525" s="4" t="str">
        <f>IFERROR(VLOOKUP(ROWS($L$2:L6525),$B$2:$C$1996,2,0),"")</f>
        <v/>
      </c>
      <c r="N6525" s="2" t="str">
        <f>IFERROR(VLOOKUP(ROWS($N$2:N6525),$D$2:$E$1996,2,0),"")</f>
        <v/>
      </c>
    </row>
    <row r="6526" spans="2:14">
      <c r="B6526" s="32">
        <f>IF(ISNUMBER(SEARCH('Φόρμα Εισαγωγής'!$B$2,C6526)),MAX($B$1:B6525)+1,0)</f>
        <v>0</v>
      </c>
      <c r="D6526" s="33">
        <f>IF(ISNUMBER(SEARCH('Φόρμα Εισαγωγής'!$C$2,E6526)),MAX($D$1:D6525)+1,0)</f>
        <v>0</v>
      </c>
      <c r="H6526" s="6">
        <f t="shared" si="314"/>
        <v>0</v>
      </c>
      <c r="I6526" s="6">
        <f t="shared" si="315"/>
        <v>0</v>
      </c>
      <c r="J6526" s="6">
        <f t="shared" si="316"/>
        <v>0</v>
      </c>
      <c r="L6526" s="4" t="str">
        <f>IFERROR(VLOOKUP(ROWS($L$2:L6526),$B$2:$C$1996,2,0),"")</f>
        <v/>
      </c>
      <c r="N6526" s="2" t="str">
        <f>IFERROR(VLOOKUP(ROWS($N$2:N6526),$D$2:$E$1996,2,0),"")</f>
        <v/>
      </c>
    </row>
    <row r="6527" spans="2:14">
      <c r="B6527" s="32">
        <f>IF(ISNUMBER(SEARCH('Φόρμα Εισαγωγής'!$B$2,C6527)),MAX($B$1:B6526)+1,0)</f>
        <v>0</v>
      </c>
      <c r="D6527" s="33">
        <f>IF(ISNUMBER(SEARCH('Φόρμα Εισαγωγής'!$C$2,E6527)),MAX($D$1:D6526)+1,0)</f>
        <v>0</v>
      </c>
      <c r="H6527" s="6">
        <f t="shared" si="314"/>
        <v>0</v>
      </c>
      <c r="I6527" s="6">
        <f t="shared" si="315"/>
        <v>0</v>
      </c>
      <c r="J6527" s="6">
        <f t="shared" si="316"/>
        <v>0</v>
      </c>
      <c r="L6527" s="4" t="str">
        <f>IFERROR(VLOOKUP(ROWS($L$2:L6527),$B$2:$C$1996,2,0),"")</f>
        <v/>
      </c>
      <c r="N6527" s="2" t="str">
        <f>IFERROR(VLOOKUP(ROWS($N$2:N6527),$D$2:$E$1996,2,0),"")</f>
        <v/>
      </c>
    </row>
    <row r="6528" spans="2:14">
      <c r="B6528" s="32">
        <f>IF(ISNUMBER(SEARCH('Φόρμα Εισαγωγής'!$B$2,C6528)),MAX($B$1:B6527)+1,0)</f>
        <v>0</v>
      </c>
      <c r="D6528" s="33">
        <f>IF(ISNUMBER(SEARCH('Φόρμα Εισαγωγής'!$C$2,E6528)),MAX($D$1:D6527)+1,0)</f>
        <v>0</v>
      </c>
      <c r="H6528" s="6">
        <f t="shared" ref="H6528:H6591" si="317">G6528+(G6528*0.24)</f>
        <v>0</v>
      </c>
      <c r="I6528" s="6">
        <f t="shared" ref="I6528:I6591" si="318">F6528*A6528</f>
        <v>0</v>
      </c>
      <c r="J6528" s="6">
        <f t="shared" ref="J6528:J6591" si="319">H6528*A6528</f>
        <v>0</v>
      </c>
      <c r="L6528" s="4" t="str">
        <f>IFERROR(VLOOKUP(ROWS($L$2:L6528),$B$2:$C$1996,2,0),"")</f>
        <v/>
      </c>
      <c r="N6528" s="2" t="str">
        <f>IFERROR(VLOOKUP(ROWS($N$2:N6528),$D$2:$E$1996,2,0),"")</f>
        <v/>
      </c>
    </row>
    <row r="6529" spans="2:14">
      <c r="B6529" s="32">
        <f>IF(ISNUMBER(SEARCH('Φόρμα Εισαγωγής'!$B$2,C6529)),MAX($B$1:B6528)+1,0)</f>
        <v>0</v>
      </c>
      <c r="D6529" s="33">
        <f>IF(ISNUMBER(SEARCH('Φόρμα Εισαγωγής'!$C$2,E6529)),MAX($D$1:D6528)+1,0)</f>
        <v>0</v>
      </c>
      <c r="H6529" s="6">
        <f t="shared" si="317"/>
        <v>0</v>
      </c>
      <c r="I6529" s="6">
        <f t="shared" si="318"/>
        <v>0</v>
      </c>
      <c r="J6529" s="6">
        <f t="shared" si="319"/>
        <v>0</v>
      </c>
      <c r="L6529" s="4" t="str">
        <f>IFERROR(VLOOKUP(ROWS($L$2:L6529),$B$2:$C$1996,2,0),"")</f>
        <v/>
      </c>
      <c r="N6529" s="2" t="str">
        <f>IFERROR(VLOOKUP(ROWS($N$2:N6529),$D$2:$E$1996,2,0),"")</f>
        <v/>
      </c>
    </row>
    <row r="6530" spans="2:14">
      <c r="B6530" s="32">
        <f>IF(ISNUMBER(SEARCH('Φόρμα Εισαγωγής'!$B$2,C6530)),MAX($B$1:B6529)+1,0)</f>
        <v>0</v>
      </c>
      <c r="D6530" s="33">
        <f>IF(ISNUMBER(SEARCH('Φόρμα Εισαγωγής'!$C$2,E6530)),MAX($D$1:D6529)+1,0)</f>
        <v>0</v>
      </c>
      <c r="H6530" s="6">
        <f t="shared" si="317"/>
        <v>0</v>
      </c>
      <c r="I6530" s="6">
        <f t="shared" si="318"/>
        <v>0</v>
      </c>
      <c r="J6530" s="6">
        <f t="shared" si="319"/>
        <v>0</v>
      </c>
      <c r="L6530" s="4" t="str">
        <f>IFERROR(VLOOKUP(ROWS($L$2:L6530),$B$2:$C$1996,2,0),"")</f>
        <v/>
      </c>
      <c r="N6530" s="2" t="str">
        <f>IFERROR(VLOOKUP(ROWS($N$2:N6530),$D$2:$E$1996,2,0),"")</f>
        <v/>
      </c>
    </row>
    <row r="6531" spans="2:14">
      <c r="B6531" s="32">
        <f>IF(ISNUMBER(SEARCH('Φόρμα Εισαγωγής'!$B$2,C6531)),MAX($B$1:B6530)+1,0)</f>
        <v>0</v>
      </c>
      <c r="D6531" s="33">
        <f>IF(ISNUMBER(SEARCH('Φόρμα Εισαγωγής'!$C$2,E6531)),MAX($D$1:D6530)+1,0)</f>
        <v>0</v>
      </c>
      <c r="H6531" s="6">
        <f t="shared" si="317"/>
        <v>0</v>
      </c>
      <c r="I6531" s="6">
        <f t="shared" si="318"/>
        <v>0</v>
      </c>
      <c r="J6531" s="6">
        <f t="shared" si="319"/>
        <v>0</v>
      </c>
      <c r="L6531" s="4" t="str">
        <f>IFERROR(VLOOKUP(ROWS($L$2:L6531),$B$2:$C$1996,2,0),"")</f>
        <v/>
      </c>
      <c r="N6531" s="2" t="str">
        <f>IFERROR(VLOOKUP(ROWS($N$2:N6531),$D$2:$E$1996,2,0),"")</f>
        <v/>
      </c>
    </row>
    <row r="6532" spans="2:14">
      <c r="B6532" s="32">
        <f>IF(ISNUMBER(SEARCH('Φόρμα Εισαγωγής'!$B$2,C6532)),MAX($B$1:B6531)+1,0)</f>
        <v>0</v>
      </c>
      <c r="D6532" s="33">
        <f>IF(ISNUMBER(SEARCH('Φόρμα Εισαγωγής'!$C$2,E6532)),MAX($D$1:D6531)+1,0)</f>
        <v>0</v>
      </c>
      <c r="H6532" s="6">
        <f t="shared" si="317"/>
        <v>0</v>
      </c>
      <c r="I6532" s="6">
        <f t="shared" si="318"/>
        <v>0</v>
      </c>
      <c r="J6532" s="6">
        <f t="shared" si="319"/>
        <v>0</v>
      </c>
      <c r="L6532" s="4" t="str">
        <f>IFERROR(VLOOKUP(ROWS($L$2:L6532),$B$2:$C$1996,2,0),"")</f>
        <v/>
      </c>
      <c r="N6532" s="2" t="str">
        <f>IFERROR(VLOOKUP(ROWS($N$2:N6532),$D$2:$E$1996,2,0),"")</f>
        <v/>
      </c>
    </row>
    <row r="6533" spans="2:14">
      <c r="B6533" s="32">
        <f>IF(ISNUMBER(SEARCH('Φόρμα Εισαγωγής'!$B$2,C6533)),MAX($B$1:B6532)+1,0)</f>
        <v>0</v>
      </c>
      <c r="D6533" s="33">
        <f>IF(ISNUMBER(SEARCH('Φόρμα Εισαγωγής'!$C$2,E6533)),MAX($D$1:D6532)+1,0)</f>
        <v>0</v>
      </c>
      <c r="H6533" s="6">
        <f t="shared" si="317"/>
        <v>0</v>
      </c>
      <c r="I6533" s="6">
        <f t="shared" si="318"/>
        <v>0</v>
      </c>
      <c r="J6533" s="6">
        <f t="shared" si="319"/>
        <v>0</v>
      </c>
      <c r="L6533" s="4" t="str">
        <f>IFERROR(VLOOKUP(ROWS($L$2:L6533),$B$2:$C$1996,2,0),"")</f>
        <v/>
      </c>
      <c r="N6533" s="2" t="str">
        <f>IFERROR(VLOOKUP(ROWS($N$2:N6533),$D$2:$E$1996,2,0),"")</f>
        <v/>
      </c>
    </row>
    <row r="6534" spans="2:14">
      <c r="B6534" s="32">
        <f>IF(ISNUMBER(SEARCH('Φόρμα Εισαγωγής'!$B$2,C6534)),MAX($B$1:B6533)+1,0)</f>
        <v>0</v>
      </c>
      <c r="D6534" s="33">
        <f>IF(ISNUMBER(SEARCH('Φόρμα Εισαγωγής'!$C$2,E6534)),MAX($D$1:D6533)+1,0)</f>
        <v>0</v>
      </c>
      <c r="H6534" s="6">
        <f t="shared" si="317"/>
        <v>0</v>
      </c>
      <c r="I6534" s="6">
        <f t="shared" si="318"/>
        <v>0</v>
      </c>
      <c r="J6534" s="6">
        <f t="shared" si="319"/>
        <v>0</v>
      </c>
      <c r="L6534" s="4" t="str">
        <f>IFERROR(VLOOKUP(ROWS($L$2:L6534),$B$2:$C$1996,2,0),"")</f>
        <v/>
      </c>
      <c r="N6534" s="2" t="str">
        <f>IFERROR(VLOOKUP(ROWS($N$2:N6534),$D$2:$E$1996,2,0),"")</f>
        <v/>
      </c>
    </row>
    <row r="6535" spans="2:14">
      <c r="B6535" s="32">
        <f>IF(ISNUMBER(SEARCH('Φόρμα Εισαγωγής'!$B$2,C6535)),MAX($B$1:B6534)+1,0)</f>
        <v>0</v>
      </c>
      <c r="D6535" s="33">
        <f>IF(ISNUMBER(SEARCH('Φόρμα Εισαγωγής'!$C$2,E6535)),MAX($D$1:D6534)+1,0)</f>
        <v>0</v>
      </c>
      <c r="H6535" s="6">
        <f t="shared" si="317"/>
        <v>0</v>
      </c>
      <c r="I6535" s="6">
        <f t="shared" si="318"/>
        <v>0</v>
      </c>
      <c r="J6535" s="6">
        <f t="shared" si="319"/>
        <v>0</v>
      </c>
      <c r="L6535" s="4" t="str">
        <f>IFERROR(VLOOKUP(ROWS($L$2:L6535),$B$2:$C$1996,2,0),"")</f>
        <v/>
      </c>
      <c r="N6535" s="2" t="str">
        <f>IFERROR(VLOOKUP(ROWS($N$2:N6535),$D$2:$E$1996,2,0),"")</f>
        <v/>
      </c>
    </row>
    <row r="6536" spans="2:14">
      <c r="B6536" s="32">
        <f>IF(ISNUMBER(SEARCH('Φόρμα Εισαγωγής'!$B$2,C6536)),MAX($B$1:B6535)+1,0)</f>
        <v>0</v>
      </c>
      <c r="D6536" s="33">
        <f>IF(ISNUMBER(SEARCH('Φόρμα Εισαγωγής'!$C$2,E6536)),MAX($D$1:D6535)+1,0)</f>
        <v>0</v>
      </c>
      <c r="H6536" s="6">
        <f t="shared" si="317"/>
        <v>0</v>
      </c>
      <c r="I6536" s="6">
        <f t="shared" si="318"/>
        <v>0</v>
      </c>
      <c r="J6536" s="6">
        <f t="shared" si="319"/>
        <v>0</v>
      </c>
      <c r="L6536" s="4" t="str">
        <f>IFERROR(VLOOKUP(ROWS($L$2:L6536),$B$2:$C$1996,2,0),"")</f>
        <v/>
      </c>
      <c r="N6536" s="2" t="str">
        <f>IFERROR(VLOOKUP(ROWS($N$2:N6536),$D$2:$E$1996,2,0),"")</f>
        <v/>
      </c>
    </row>
    <row r="6537" spans="2:14">
      <c r="B6537" s="32">
        <f>IF(ISNUMBER(SEARCH('Φόρμα Εισαγωγής'!$B$2,C6537)),MAX($B$1:B6536)+1,0)</f>
        <v>0</v>
      </c>
      <c r="D6537" s="33">
        <f>IF(ISNUMBER(SEARCH('Φόρμα Εισαγωγής'!$C$2,E6537)),MAX($D$1:D6536)+1,0)</f>
        <v>0</v>
      </c>
      <c r="H6537" s="6">
        <f t="shared" si="317"/>
        <v>0</v>
      </c>
      <c r="I6537" s="6">
        <f t="shared" si="318"/>
        <v>0</v>
      </c>
      <c r="J6537" s="6">
        <f t="shared" si="319"/>
        <v>0</v>
      </c>
      <c r="L6537" s="4" t="str">
        <f>IFERROR(VLOOKUP(ROWS($L$2:L6537),$B$2:$C$1996,2,0),"")</f>
        <v/>
      </c>
      <c r="N6537" s="2" t="str">
        <f>IFERROR(VLOOKUP(ROWS($N$2:N6537),$D$2:$E$1996,2,0),"")</f>
        <v/>
      </c>
    </row>
    <row r="6538" spans="2:14">
      <c r="B6538" s="32">
        <f>IF(ISNUMBER(SEARCH('Φόρμα Εισαγωγής'!$B$2,C6538)),MAX($B$1:B6537)+1,0)</f>
        <v>0</v>
      </c>
      <c r="D6538" s="33">
        <f>IF(ISNUMBER(SEARCH('Φόρμα Εισαγωγής'!$C$2,E6538)),MAX($D$1:D6537)+1,0)</f>
        <v>0</v>
      </c>
      <c r="H6538" s="6">
        <f t="shared" si="317"/>
        <v>0</v>
      </c>
      <c r="I6538" s="6">
        <f t="shared" si="318"/>
        <v>0</v>
      </c>
      <c r="J6538" s="6">
        <f t="shared" si="319"/>
        <v>0</v>
      </c>
      <c r="L6538" s="4" t="str">
        <f>IFERROR(VLOOKUP(ROWS($L$2:L6538),$B$2:$C$1996,2,0),"")</f>
        <v/>
      </c>
      <c r="N6538" s="2" t="str">
        <f>IFERROR(VLOOKUP(ROWS($N$2:N6538),$D$2:$E$1996,2,0),"")</f>
        <v/>
      </c>
    </row>
    <row r="6539" spans="2:14">
      <c r="B6539" s="32">
        <f>IF(ISNUMBER(SEARCH('Φόρμα Εισαγωγής'!$B$2,C6539)),MAX($B$1:B6538)+1,0)</f>
        <v>0</v>
      </c>
      <c r="D6539" s="33">
        <f>IF(ISNUMBER(SEARCH('Φόρμα Εισαγωγής'!$C$2,E6539)),MAX($D$1:D6538)+1,0)</f>
        <v>0</v>
      </c>
      <c r="H6539" s="6">
        <f t="shared" si="317"/>
        <v>0</v>
      </c>
      <c r="I6539" s="6">
        <f t="shared" si="318"/>
        <v>0</v>
      </c>
      <c r="J6539" s="6">
        <f t="shared" si="319"/>
        <v>0</v>
      </c>
      <c r="L6539" s="4" t="str">
        <f>IFERROR(VLOOKUP(ROWS($L$2:L6539),$B$2:$C$1996,2,0),"")</f>
        <v/>
      </c>
      <c r="N6539" s="2" t="str">
        <f>IFERROR(VLOOKUP(ROWS($N$2:N6539),$D$2:$E$1996,2,0),"")</f>
        <v/>
      </c>
    </row>
    <row r="6540" spans="2:14">
      <c r="B6540" s="32">
        <f>IF(ISNUMBER(SEARCH('Φόρμα Εισαγωγής'!$B$2,C6540)),MAX($B$1:B6539)+1,0)</f>
        <v>0</v>
      </c>
      <c r="D6540" s="33">
        <f>IF(ISNUMBER(SEARCH('Φόρμα Εισαγωγής'!$C$2,E6540)),MAX($D$1:D6539)+1,0)</f>
        <v>0</v>
      </c>
      <c r="H6540" s="6">
        <f t="shared" si="317"/>
        <v>0</v>
      </c>
      <c r="I6540" s="6">
        <f t="shared" si="318"/>
        <v>0</v>
      </c>
      <c r="J6540" s="6">
        <f t="shared" si="319"/>
        <v>0</v>
      </c>
      <c r="L6540" s="4" t="str">
        <f>IFERROR(VLOOKUP(ROWS($L$2:L6540),$B$2:$C$1996,2,0),"")</f>
        <v/>
      </c>
      <c r="N6540" s="2" t="str">
        <f>IFERROR(VLOOKUP(ROWS($N$2:N6540),$D$2:$E$1996,2,0),"")</f>
        <v/>
      </c>
    </row>
    <row r="6541" spans="2:14">
      <c r="B6541" s="32">
        <f>IF(ISNUMBER(SEARCH('Φόρμα Εισαγωγής'!$B$2,C6541)),MAX($B$1:B6540)+1,0)</f>
        <v>0</v>
      </c>
      <c r="D6541" s="33">
        <f>IF(ISNUMBER(SEARCH('Φόρμα Εισαγωγής'!$C$2,E6541)),MAX($D$1:D6540)+1,0)</f>
        <v>0</v>
      </c>
      <c r="H6541" s="6">
        <f t="shared" si="317"/>
        <v>0</v>
      </c>
      <c r="I6541" s="6">
        <f t="shared" si="318"/>
        <v>0</v>
      </c>
      <c r="J6541" s="6">
        <f t="shared" si="319"/>
        <v>0</v>
      </c>
      <c r="L6541" s="4" t="str">
        <f>IFERROR(VLOOKUP(ROWS($L$2:L6541),$B$2:$C$1996,2,0),"")</f>
        <v/>
      </c>
      <c r="N6541" s="2" t="str">
        <f>IFERROR(VLOOKUP(ROWS($N$2:N6541),$D$2:$E$1996,2,0),"")</f>
        <v/>
      </c>
    </row>
    <row r="6542" spans="2:14">
      <c r="B6542" s="32">
        <f>IF(ISNUMBER(SEARCH('Φόρμα Εισαγωγής'!$B$2,C6542)),MAX($B$1:B6541)+1,0)</f>
        <v>0</v>
      </c>
      <c r="D6542" s="33">
        <f>IF(ISNUMBER(SEARCH('Φόρμα Εισαγωγής'!$C$2,E6542)),MAX($D$1:D6541)+1,0)</f>
        <v>0</v>
      </c>
      <c r="H6542" s="6">
        <f t="shared" si="317"/>
        <v>0</v>
      </c>
      <c r="I6542" s="6">
        <f t="shared" si="318"/>
        <v>0</v>
      </c>
      <c r="J6542" s="6">
        <f t="shared" si="319"/>
        <v>0</v>
      </c>
      <c r="L6542" s="4" t="str">
        <f>IFERROR(VLOOKUP(ROWS($L$2:L6542),$B$2:$C$1996,2,0),"")</f>
        <v/>
      </c>
      <c r="N6542" s="2" t="str">
        <f>IFERROR(VLOOKUP(ROWS($N$2:N6542),$D$2:$E$1996,2,0),"")</f>
        <v/>
      </c>
    </row>
    <row r="6543" spans="2:14">
      <c r="B6543" s="32">
        <f>IF(ISNUMBER(SEARCH('Φόρμα Εισαγωγής'!$B$2,C6543)),MAX($B$1:B6542)+1,0)</f>
        <v>0</v>
      </c>
      <c r="D6543" s="33">
        <f>IF(ISNUMBER(SEARCH('Φόρμα Εισαγωγής'!$C$2,E6543)),MAX($D$1:D6542)+1,0)</f>
        <v>0</v>
      </c>
      <c r="H6543" s="6">
        <f t="shared" si="317"/>
        <v>0</v>
      </c>
      <c r="I6543" s="6">
        <f t="shared" si="318"/>
        <v>0</v>
      </c>
      <c r="J6543" s="6">
        <f t="shared" si="319"/>
        <v>0</v>
      </c>
      <c r="L6543" s="4" t="str">
        <f>IFERROR(VLOOKUP(ROWS($L$2:L6543),$B$2:$C$1996,2,0),"")</f>
        <v/>
      </c>
      <c r="N6543" s="2" t="str">
        <f>IFERROR(VLOOKUP(ROWS($N$2:N6543),$D$2:$E$1996,2,0),"")</f>
        <v/>
      </c>
    </row>
    <row r="6544" spans="2:14">
      <c r="B6544" s="32">
        <f>IF(ISNUMBER(SEARCH('Φόρμα Εισαγωγής'!$B$2,C6544)),MAX($B$1:B6543)+1,0)</f>
        <v>0</v>
      </c>
      <c r="D6544" s="33">
        <f>IF(ISNUMBER(SEARCH('Φόρμα Εισαγωγής'!$C$2,E6544)),MAX($D$1:D6543)+1,0)</f>
        <v>0</v>
      </c>
      <c r="H6544" s="6">
        <f t="shared" si="317"/>
        <v>0</v>
      </c>
      <c r="I6544" s="6">
        <f t="shared" si="318"/>
        <v>0</v>
      </c>
      <c r="J6544" s="6">
        <f t="shared" si="319"/>
        <v>0</v>
      </c>
      <c r="L6544" s="4" t="str">
        <f>IFERROR(VLOOKUP(ROWS($L$2:L6544),$B$2:$C$1996,2,0),"")</f>
        <v/>
      </c>
      <c r="N6544" s="2" t="str">
        <f>IFERROR(VLOOKUP(ROWS($N$2:N6544),$D$2:$E$1996,2,0),"")</f>
        <v/>
      </c>
    </row>
    <row r="6545" spans="2:14">
      <c r="B6545" s="32">
        <f>IF(ISNUMBER(SEARCH('Φόρμα Εισαγωγής'!$B$2,C6545)),MAX($B$1:B6544)+1,0)</f>
        <v>0</v>
      </c>
      <c r="D6545" s="33">
        <f>IF(ISNUMBER(SEARCH('Φόρμα Εισαγωγής'!$C$2,E6545)),MAX($D$1:D6544)+1,0)</f>
        <v>0</v>
      </c>
      <c r="H6545" s="6">
        <f t="shared" si="317"/>
        <v>0</v>
      </c>
      <c r="I6545" s="6">
        <f t="shared" si="318"/>
        <v>0</v>
      </c>
      <c r="J6545" s="6">
        <f t="shared" si="319"/>
        <v>0</v>
      </c>
      <c r="L6545" s="4" t="str">
        <f>IFERROR(VLOOKUP(ROWS($L$2:L6545),$B$2:$C$1996,2,0),"")</f>
        <v/>
      </c>
      <c r="N6545" s="2" t="str">
        <f>IFERROR(VLOOKUP(ROWS($N$2:N6545),$D$2:$E$1996,2,0),"")</f>
        <v/>
      </c>
    </row>
    <row r="6546" spans="2:14">
      <c r="B6546" s="32">
        <f>IF(ISNUMBER(SEARCH('Φόρμα Εισαγωγής'!$B$2,C6546)),MAX($B$1:B6545)+1,0)</f>
        <v>0</v>
      </c>
      <c r="D6546" s="33">
        <f>IF(ISNUMBER(SEARCH('Φόρμα Εισαγωγής'!$C$2,E6546)),MAX($D$1:D6545)+1,0)</f>
        <v>0</v>
      </c>
      <c r="H6546" s="6">
        <f t="shared" si="317"/>
        <v>0</v>
      </c>
      <c r="I6546" s="6">
        <f t="shared" si="318"/>
        <v>0</v>
      </c>
      <c r="J6546" s="6">
        <f t="shared" si="319"/>
        <v>0</v>
      </c>
      <c r="L6546" s="4" t="str">
        <f>IFERROR(VLOOKUP(ROWS($L$2:L6546),$B$2:$C$1996,2,0),"")</f>
        <v/>
      </c>
      <c r="N6546" s="2" t="str">
        <f>IFERROR(VLOOKUP(ROWS($N$2:N6546),$D$2:$E$1996,2,0),"")</f>
        <v/>
      </c>
    </row>
    <row r="6547" spans="2:14">
      <c r="B6547" s="32">
        <f>IF(ISNUMBER(SEARCH('Φόρμα Εισαγωγής'!$B$2,C6547)),MAX($B$1:B6546)+1,0)</f>
        <v>0</v>
      </c>
      <c r="D6547" s="33">
        <f>IF(ISNUMBER(SEARCH('Φόρμα Εισαγωγής'!$C$2,E6547)),MAX($D$1:D6546)+1,0)</f>
        <v>0</v>
      </c>
      <c r="H6547" s="6">
        <f t="shared" si="317"/>
        <v>0</v>
      </c>
      <c r="I6547" s="6">
        <f t="shared" si="318"/>
        <v>0</v>
      </c>
      <c r="J6547" s="6">
        <f t="shared" si="319"/>
        <v>0</v>
      </c>
      <c r="L6547" s="4" t="str">
        <f>IFERROR(VLOOKUP(ROWS($L$2:L6547),$B$2:$C$1996,2,0),"")</f>
        <v/>
      </c>
      <c r="N6547" s="2" t="str">
        <f>IFERROR(VLOOKUP(ROWS($N$2:N6547),$D$2:$E$1996,2,0),"")</f>
        <v/>
      </c>
    </row>
    <row r="6548" spans="2:14">
      <c r="B6548" s="32">
        <f>IF(ISNUMBER(SEARCH('Φόρμα Εισαγωγής'!$B$2,C6548)),MAX($B$1:B6547)+1,0)</f>
        <v>0</v>
      </c>
      <c r="D6548" s="33">
        <f>IF(ISNUMBER(SEARCH('Φόρμα Εισαγωγής'!$C$2,E6548)),MAX($D$1:D6547)+1,0)</f>
        <v>0</v>
      </c>
      <c r="H6548" s="6">
        <f t="shared" si="317"/>
        <v>0</v>
      </c>
      <c r="I6548" s="6">
        <f t="shared" si="318"/>
        <v>0</v>
      </c>
      <c r="J6548" s="6">
        <f t="shared" si="319"/>
        <v>0</v>
      </c>
      <c r="L6548" s="4" t="str">
        <f>IFERROR(VLOOKUP(ROWS($L$2:L6548),$B$2:$C$1996,2,0),"")</f>
        <v/>
      </c>
      <c r="N6548" s="2" t="str">
        <f>IFERROR(VLOOKUP(ROWS($N$2:N6548),$D$2:$E$1996,2,0),"")</f>
        <v/>
      </c>
    </row>
    <row r="6549" spans="2:14">
      <c r="B6549" s="32">
        <f>IF(ISNUMBER(SEARCH('Φόρμα Εισαγωγής'!$B$2,C6549)),MAX($B$1:B6548)+1,0)</f>
        <v>0</v>
      </c>
      <c r="D6549" s="33">
        <f>IF(ISNUMBER(SEARCH('Φόρμα Εισαγωγής'!$C$2,E6549)),MAX($D$1:D6548)+1,0)</f>
        <v>0</v>
      </c>
      <c r="H6549" s="6">
        <f t="shared" si="317"/>
        <v>0</v>
      </c>
      <c r="I6549" s="6">
        <f t="shared" si="318"/>
        <v>0</v>
      </c>
      <c r="J6549" s="6">
        <f t="shared" si="319"/>
        <v>0</v>
      </c>
      <c r="L6549" s="4" t="str">
        <f>IFERROR(VLOOKUP(ROWS($L$2:L6549),$B$2:$C$1996,2,0),"")</f>
        <v/>
      </c>
      <c r="N6549" s="2" t="str">
        <f>IFERROR(VLOOKUP(ROWS($N$2:N6549),$D$2:$E$1996,2,0),"")</f>
        <v/>
      </c>
    </row>
    <row r="6550" spans="2:14">
      <c r="B6550" s="32">
        <f>IF(ISNUMBER(SEARCH('Φόρμα Εισαγωγής'!$B$2,C6550)),MAX($B$1:B6549)+1,0)</f>
        <v>0</v>
      </c>
      <c r="D6550" s="33">
        <f>IF(ISNUMBER(SEARCH('Φόρμα Εισαγωγής'!$C$2,E6550)),MAX($D$1:D6549)+1,0)</f>
        <v>0</v>
      </c>
      <c r="H6550" s="6">
        <f t="shared" si="317"/>
        <v>0</v>
      </c>
      <c r="I6550" s="6">
        <f t="shared" si="318"/>
        <v>0</v>
      </c>
      <c r="J6550" s="6">
        <f t="shared" si="319"/>
        <v>0</v>
      </c>
      <c r="L6550" s="4" t="str">
        <f>IFERROR(VLOOKUP(ROWS($L$2:L6550),$B$2:$C$1996,2,0),"")</f>
        <v/>
      </c>
      <c r="N6550" s="2" t="str">
        <f>IFERROR(VLOOKUP(ROWS($N$2:N6550),$D$2:$E$1996,2,0),"")</f>
        <v/>
      </c>
    </row>
    <row r="6551" spans="2:14">
      <c r="B6551" s="32">
        <f>IF(ISNUMBER(SEARCH('Φόρμα Εισαγωγής'!$B$2,C6551)),MAX($B$1:B6550)+1,0)</f>
        <v>0</v>
      </c>
      <c r="D6551" s="33">
        <f>IF(ISNUMBER(SEARCH('Φόρμα Εισαγωγής'!$C$2,E6551)),MAX($D$1:D6550)+1,0)</f>
        <v>0</v>
      </c>
      <c r="H6551" s="6">
        <f t="shared" si="317"/>
        <v>0</v>
      </c>
      <c r="I6551" s="6">
        <f t="shared" si="318"/>
        <v>0</v>
      </c>
      <c r="J6551" s="6">
        <f t="shared" si="319"/>
        <v>0</v>
      </c>
      <c r="L6551" s="4" t="str">
        <f>IFERROR(VLOOKUP(ROWS($L$2:L6551),$B$2:$C$1996,2,0),"")</f>
        <v/>
      </c>
      <c r="N6551" s="2" t="str">
        <f>IFERROR(VLOOKUP(ROWS($N$2:N6551),$D$2:$E$1996,2,0),"")</f>
        <v/>
      </c>
    </row>
    <row r="6552" spans="2:14">
      <c r="B6552" s="32">
        <f>IF(ISNUMBER(SEARCH('Φόρμα Εισαγωγής'!$B$2,C6552)),MAX($B$1:B6551)+1,0)</f>
        <v>0</v>
      </c>
      <c r="D6552" s="33">
        <f>IF(ISNUMBER(SEARCH('Φόρμα Εισαγωγής'!$C$2,E6552)),MAX($D$1:D6551)+1,0)</f>
        <v>0</v>
      </c>
      <c r="H6552" s="6">
        <f t="shared" si="317"/>
        <v>0</v>
      </c>
      <c r="I6552" s="6">
        <f t="shared" si="318"/>
        <v>0</v>
      </c>
      <c r="J6552" s="6">
        <f t="shared" si="319"/>
        <v>0</v>
      </c>
      <c r="L6552" s="4" t="str">
        <f>IFERROR(VLOOKUP(ROWS($L$2:L6552),$B$2:$C$1996,2,0),"")</f>
        <v/>
      </c>
      <c r="N6552" s="2" t="str">
        <f>IFERROR(VLOOKUP(ROWS($N$2:N6552),$D$2:$E$1996,2,0),"")</f>
        <v/>
      </c>
    </row>
    <row r="6553" spans="2:14">
      <c r="B6553" s="32">
        <f>IF(ISNUMBER(SEARCH('Φόρμα Εισαγωγής'!$B$2,C6553)),MAX($B$1:B6552)+1,0)</f>
        <v>0</v>
      </c>
      <c r="D6553" s="33">
        <f>IF(ISNUMBER(SEARCH('Φόρμα Εισαγωγής'!$C$2,E6553)),MAX($D$1:D6552)+1,0)</f>
        <v>0</v>
      </c>
      <c r="H6553" s="6">
        <f t="shared" si="317"/>
        <v>0</v>
      </c>
      <c r="I6553" s="6">
        <f t="shared" si="318"/>
        <v>0</v>
      </c>
      <c r="J6553" s="6">
        <f t="shared" si="319"/>
        <v>0</v>
      </c>
      <c r="L6553" s="4" t="str">
        <f>IFERROR(VLOOKUP(ROWS($L$2:L6553),$B$2:$C$1996,2,0),"")</f>
        <v/>
      </c>
      <c r="N6553" s="2" t="str">
        <f>IFERROR(VLOOKUP(ROWS($N$2:N6553),$D$2:$E$1996,2,0),"")</f>
        <v/>
      </c>
    </row>
    <row r="6554" spans="2:14">
      <c r="B6554" s="32">
        <f>IF(ISNUMBER(SEARCH('Φόρμα Εισαγωγής'!$B$2,C6554)),MAX($B$1:B6553)+1,0)</f>
        <v>0</v>
      </c>
      <c r="D6554" s="33">
        <f>IF(ISNUMBER(SEARCH('Φόρμα Εισαγωγής'!$C$2,E6554)),MAX($D$1:D6553)+1,0)</f>
        <v>0</v>
      </c>
      <c r="H6554" s="6">
        <f t="shared" si="317"/>
        <v>0</v>
      </c>
      <c r="I6554" s="6">
        <f t="shared" si="318"/>
        <v>0</v>
      </c>
      <c r="J6554" s="6">
        <f t="shared" si="319"/>
        <v>0</v>
      </c>
      <c r="L6554" s="4" t="str">
        <f>IFERROR(VLOOKUP(ROWS($L$2:L6554),$B$2:$C$1996,2,0),"")</f>
        <v/>
      </c>
      <c r="N6554" s="2" t="str">
        <f>IFERROR(VLOOKUP(ROWS($N$2:N6554),$D$2:$E$1996,2,0),"")</f>
        <v/>
      </c>
    </row>
    <row r="6555" spans="2:14">
      <c r="B6555" s="32">
        <f>IF(ISNUMBER(SEARCH('Φόρμα Εισαγωγής'!$B$2,C6555)),MAX($B$1:B6554)+1,0)</f>
        <v>0</v>
      </c>
      <c r="D6555" s="33">
        <f>IF(ISNUMBER(SEARCH('Φόρμα Εισαγωγής'!$C$2,E6555)),MAX($D$1:D6554)+1,0)</f>
        <v>0</v>
      </c>
      <c r="H6555" s="6">
        <f t="shared" si="317"/>
        <v>0</v>
      </c>
      <c r="I6555" s="6">
        <f t="shared" si="318"/>
        <v>0</v>
      </c>
      <c r="J6555" s="6">
        <f t="shared" si="319"/>
        <v>0</v>
      </c>
      <c r="L6555" s="4" t="str">
        <f>IFERROR(VLOOKUP(ROWS($L$2:L6555),$B$2:$C$1996,2,0),"")</f>
        <v/>
      </c>
      <c r="N6555" s="2" t="str">
        <f>IFERROR(VLOOKUP(ROWS($N$2:N6555),$D$2:$E$1996,2,0),"")</f>
        <v/>
      </c>
    </row>
    <row r="6556" spans="2:14">
      <c r="B6556" s="32">
        <f>IF(ISNUMBER(SEARCH('Φόρμα Εισαγωγής'!$B$2,C6556)),MAX($B$1:B6555)+1,0)</f>
        <v>0</v>
      </c>
      <c r="D6556" s="33">
        <f>IF(ISNUMBER(SEARCH('Φόρμα Εισαγωγής'!$C$2,E6556)),MAX($D$1:D6555)+1,0)</f>
        <v>0</v>
      </c>
      <c r="H6556" s="6">
        <f t="shared" si="317"/>
        <v>0</v>
      </c>
      <c r="I6556" s="6">
        <f t="shared" si="318"/>
        <v>0</v>
      </c>
      <c r="J6556" s="6">
        <f t="shared" si="319"/>
        <v>0</v>
      </c>
      <c r="L6556" s="4" t="str">
        <f>IFERROR(VLOOKUP(ROWS($L$2:L6556),$B$2:$C$1996,2,0),"")</f>
        <v/>
      </c>
      <c r="N6556" s="2" t="str">
        <f>IFERROR(VLOOKUP(ROWS($N$2:N6556),$D$2:$E$1996,2,0),"")</f>
        <v/>
      </c>
    </row>
    <row r="6557" spans="2:14">
      <c r="B6557" s="32">
        <f>IF(ISNUMBER(SEARCH('Φόρμα Εισαγωγής'!$B$2,C6557)),MAX($B$1:B6556)+1,0)</f>
        <v>0</v>
      </c>
      <c r="D6557" s="33">
        <f>IF(ISNUMBER(SEARCH('Φόρμα Εισαγωγής'!$C$2,E6557)),MAX($D$1:D6556)+1,0)</f>
        <v>0</v>
      </c>
      <c r="H6557" s="6">
        <f t="shared" si="317"/>
        <v>0</v>
      </c>
      <c r="I6557" s="6">
        <f t="shared" si="318"/>
        <v>0</v>
      </c>
      <c r="J6557" s="6">
        <f t="shared" si="319"/>
        <v>0</v>
      </c>
      <c r="L6557" s="4" t="str">
        <f>IFERROR(VLOOKUP(ROWS($L$2:L6557),$B$2:$C$1996,2,0),"")</f>
        <v/>
      </c>
      <c r="N6557" s="2" t="str">
        <f>IFERROR(VLOOKUP(ROWS($N$2:N6557),$D$2:$E$1996,2,0),"")</f>
        <v/>
      </c>
    </row>
    <row r="6558" spans="2:14">
      <c r="B6558" s="32">
        <f>IF(ISNUMBER(SEARCH('Φόρμα Εισαγωγής'!$B$2,C6558)),MAX($B$1:B6557)+1,0)</f>
        <v>0</v>
      </c>
      <c r="D6558" s="33">
        <f>IF(ISNUMBER(SEARCH('Φόρμα Εισαγωγής'!$C$2,E6558)),MAX($D$1:D6557)+1,0)</f>
        <v>0</v>
      </c>
      <c r="H6558" s="6">
        <f t="shared" si="317"/>
        <v>0</v>
      </c>
      <c r="I6558" s="6">
        <f t="shared" si="318"/>
        <v>0</v>
      </c>
      <c r="J6558" s="6">
        <f t="shared" si="319"/>
        <v>0</v>
      </c>
      <c r="L6558" s="4" t="str">
        <f>IFERROR(VLOOKUP(ROWS($L$2:L6558),$B$2:$C$1996,2,0),"")</f>
        <v/>
      </c>
      <c r="N6558" s="2" t="str">
        <f>IFERROR(VLOOKUP(ROWS($N$2:N6558),$D$2:$E$1996,2,0),"")</f>
        <v/>
      </c>
    </row>
    <row r="6559" spans="2:14">
      <c r="B6559" s="32">
        <f>IF(ISNUMBER(SEARCH('Φόρμα Εισαγωγής'!$B$2,C6559)),MAX($B$1:B6558)+1,0)</f>
        <v>0</v>
      </c>
      <c r="D6559" s="33">
        <f>IF(ISNUMBER(SEARCH('Φόρμα Εισαγωγής'!$C$2,E6559)),MAX($D$1:D6558)+1,0)</f>
        <v>0</v>
      </c>
      <c r="H6559" s="6">
        <f t="shared" si="317"/>
        <v>0</v>
      </c>
      <c r="I6559" s="6">
        <f t="shared" si="318"/>
        <v>0</v>
      </c>
      <c r="J6559" s="6">
        <f t="shared" si="319"/>
        <v>0</v>
      </c>
      <c r="L6559" s="4" t="str">
        <f>IFERROR(VLOOKUP(ROWS($L$2:L6559),$B$2:$C$1996,2,0),"")</f>
        <v/>
      </c>
      <c r="N6559" s="2" t="str">
        <f>IFERROR(VLOOKUP(ROWS($N$2:N6559),$D$2:$E$1996,2,0),"")</f>
        <v/>
      </c>
    </row>
    <row r="6560" spans="2:14">
      <c r="B6560" s="32">
        <f>IF(ISNUMBER(SEARCH('Φόρμα Εισαγωγής'!$B$2,C6560)),MAX($B$1:B6559)+1,0)</f>
        <v>0</v>
      </c>
      <c r="D6560" s="33">
        <f>IF(ISNUMBER(SEARCH('Φόρμα Εισαγωγής'!$C$2,E6560)),MAX($D$1:D6559)+1,0)</f>
        <v>0</v>
      </c>
      <c r="H6560" s="6">
        <f t="shared" si="317"/>
        <v>0</v>
      </c>
      <c r="I6560" s="6">
        <f t="shared" si="318"/>
        <v>0</v>
      </c>
      <c r="J6560" s="6">
        <f t="shared" si="319"/>
        <v>0</v>
      </c>
      <c r="L6560" s="4" t="str">
        <f>IFERROR(VLOOKUP(ROWS($L$2:L6560),$B$2:$C$1996,2,0),"")</f>
        <v/>
      </c>
      <c r="N6560" s="2" t="str">
        <f>IFERROR(VLOOKUP(ROWS($N$2:N6560),$D$2:$E$1996,2,0),"")</f>
        <v/>
      </c>
    </row>
    <row r="6561" spans="2:14">
      <c r="B6561" s="32">
        <f>IF(ISNUMBER(SEARCH('Φόρμα Εισαγωγής'!$B$2,C6561)),MAX($B$1:B6560)+1,0)</f>
        <v>0</v>
      </c>
      <c r="D6561" s="33">
        <f>IF(ISNUMBER(SEARCH('Φόρμα Εισαγωγής'!$C$2,E6561)),MAX($D$1:D6560)+1,0)</f>
        <v>0</v>
      </c>
      <c r="H6561" s="6">
        <f t="shared" si="317"/>
        <v>0</v>
      </c>
      <c r="I6561" s="6">
        <f t="shared" si="318"/>
        <v>0</v>
      </c>
      <c r="J6561" s="6">
        <f t="shared" si="319"/>
        <v>0</v>
      </c>
      <c r="L6561" s="4" t="str">
        <f>IFERROR(VLOOKUP(ROWS($L$2:L6561),$B$2:$C$1996,2,0),"")</f>
        <v/>
      </c>
      <c r="N6561" s="2" t="str">
        <f>IFERROR(VLOOKUP(ROWS($N$2:N6561),$D$2:$E$1996,2,0),"")</f>
        <v/>
      </c>
    </row>
    <row r="6562" spans="2:14">
      <c r="B6562" s="32">
        <f>IF(ISNUMBER(SEARCH('Φόρμα Εισαγωγής'!$B$2,C6562)),MAX($B$1:B6561)+1,0)</f>
        <v>0</v>
      </c>
      <c r="D6562" s="33">
        <f>IF(ISNUMBER(SEARCH('Φόρμα Εισαγωγής'!$C$2,E6562)),MAX($D$1:D6561)+1,0)</f>
        <v>0</v>
      </c>
      <c r="H6562" s="6">
        <f t="shared" si="317"/>
        <v>0</v>
      </c>
      <c r="I6562" s="6">
        <f t="shared" si="318"/>
        <v>0</v>
      </c>
      <c r="J6562" s="6">
        <f t="shared" si="319"/>
        <v>0</v>
      </c>
      <c r="L6562" s="4" t="str">
        <f>IFERROR(VLOOKUP(ROWS($L$2:L6562),$B$2:$C$1996,2,0),"")</f>
        <v/>
      </c>
      <c r="N6562" s="2" t="str">
        <f>IFERROR(VLOOKUP(ROWS($N$2:N6562),$D$2:$E$1996,2,0),"")</f>
        <v/>
      </c>
    </row>
    <row r="6563" spans="2:14">
      <c r="B6563" s="32">
        <f>IF(ISNUMBER(SEARCH('Φόρμα Εισαγωγής'!$B$2,C6563)),MAX($B$1:B6562)+1,0)</f>
        <v>0</v>
      </c>
      <c r="D6563" s="33">
        <f>IF(ISNUMBER(SEARCH('Φόρμα Εισαγωγής'!$C$2,E6563)),MAX($D$1:D6562)+1,0)</f>
        <v>0</v>
      </c>
      <c r="H6563" s="6">
        <f t="shared" si="317"/>
        <v>0</v>
      </c>
      <c r="I6563" s="6">
        <f t="shared" si="318"/>
        <v>0</v>
      </c>
      <c r="J6563" s="6">
        <f t="shared" si="319"/>
        <v>0</v>
      </c>
      <c r="L6563" s="4" t="str">
        <f>IFERROR(VLOOKUP(ROWS($L$2:L6563),$B$2:$C$1996,2,0),"")</f>
        <v/>
      </c>
      <c r="N6563" s="2" t="str">
        <f>IFERROR(VLOOKUP(ROWS($N$2:N6563),$D$2:$E$1996,2,0),"")</f>
        <v/>
      </c>
    </row>
    <row r="6564" spans="2:14">
      <c r="B6564" s="32">
        <f>IF(ISNUMBER(SEARCH('Φόρμα Εισαγωγής'!$B$2,C6564)),MAX($B$1:B6563)+1,0)</f>
        <v>0</v>
      </c>
      <c r="D6564" s="33">
        <f>IF(ISNUMBER(SEARCH('Φόρμα Εισαγωγής'!$C$2,E6564)),MAX($D$1:D6563)+1,0)</f>
        <v>0</v>
      </c>
      <c r="H6564" s="6">
        <f t="shared" si="317"/>
        <v>0</v>
      </c>
      <c r="I6564" s="6">
        <f t="shared" si="318"/>
        <v>0</v>
      </c>
      <c r="J6564" s="6">
        <f t="shared" si="319"/>
        <v>0</v>
      </c>
      <c r="L6564" s="4" t="str">
        <f>IFERROR(VLOOKUP(ROWS($L$2:L6564),$B$2:$C$1996,2,0),"")</f>
        <v/>
      </c>
      <c r="N6564" s="2" t="str">
        <f>IFERROR(VLOOKUP(ROWS($N$2:N6564),$D$2:$E$1996,2,0),"")</f>
        <v/>
      </c>
    </row>
    <row r="6565" spans="2:14">
      <c r="B6565" s="32">
        <f>IF(ISNUMBER(SEARCH('Φόρμα Εισαγωγής'!$B$2,C6565)),MAX($B$1:B6564)+1,0)</f>
        <v>0</v>
      </c>
      <c r="D6565" s="33">
        <f>IF(ISNUMBER(SEARCH('Φόρμα Εισαγωγής'!$C$2,E6565)),MAX($D$1:D6564)+1,0)</f>
        <v>0</v>
      </c>
      <c r="H6565" s="6">
        <f t="shared" si="317"/>
        <v>0</v>
      </c>
      <c r="I6565" s="6">
        <f t="shared" si="318"/>
        <v>0</v>
      </c>
      <c r="J6565" s="6">
        <f t="shared" si="319"/>
        <v>0</v>
      </c>
      <c r="L6565" s="4" t="str">
        <f>IFERROR(VLOOKUP(ROWS($L$2:L6565),$B$2:$C$1996,2,0),"")</f>
        <v/>
      </c>
      <c r="N6565" s="2" t="str">
        <f>IFERROR(VLOOKUP(ROWS($N$2:N6565),$D$2:$E$1996,2,0),"")</f>
        <v/>
      </c>
    </row>
    <row r="6566" spans="2:14">
      <c r="B6566" s="32">
        <f>IF(ISNUMBER(SEARCH('Φόρμα Εισαγωγής'!$B$2,C6566)),MAX($B$1:B6565)+1,0)</f>
        <v>0</v>
      </c>
      <c r="D6566" s="33">
        <f>IF(ISNUMBER(SEARCH('Φόρμα Εισαγωγής'!$C$2,E6566)),MAX($D$1:D6565)+1,0)</f>
        <v>0</v>
      </c>
      <c r="H6566" s="6">
        <f t="shared" si="317"/>
        <v>0</v>
      </c>
      <c r="I6566" s="6">
        <f t="shared" si="318"/>
        <v>0</v>
      </c>
      <c r="J6566" s="6">
        <f t="shared" si="319"/>
        <v>0</v>
      </c>
      <c r="L6566" s="4" t="str">
        <f>IFERROR(VLOOKUP(ROWS($L$2:L6566),$B$2:$C$1996,2,0),"")</f>
        <v/>
      </c>
      <c r="N6566" s="2" t="str">
        <f>IFERROR(VLOOKUP(ROWS($N$2:N6566),$D$2:$E$1996,2,0),"")</f>
        <v/>
      </c>
    </row>
    <row r="6567" spans="2:14">
      <c r="B6567" s="32">
        <f>IF(ISNUMBER(SEARCH('Φόρμα Εισαγωγής'!$B$2,C6567)),MAX($B$1:B6566)+1,0)</f>
        <v>0</v>
      </c>
      <c r="D6567" s="33">
        <f>IF(ISNUMBER(SEARCH('Φόρμα Εισαγωγής'!$C$2,E6567)),MAX($D$1:D6566)+1,0)</f>
        <v>0</v>
      </c>
      <c r="H6567" s="6">
        <f t="shared" si="317"/>
        <v>0</v>
      </c>
      <c r="I6567" s="6">
        <f t="shared" si="318"/>
        <v>0</v>
      </c>
      <c r="J6567" s="6">
        <f t="shared" si="319"/>
        <v>0</v>
      </c>
      <c r="L6567" s="4" t="str">
        <f>IFERROR(VLOOKUP(ROWS($L$2:L6567),$B$2:$C$1996,2,0),"")</f>
        <v/>
      </c>
      <c r="N6567" s="2" t="str">
        <f>IFERROR(VLOOKUP(ROWS($N$2:N6567),$D$2:$E$1996,2,0),"")</f>
        <v/>
      </c>
    </row>
    <row r="6568" spans="2:14">
      <c r="B6568" s="32">
        <f>IF(ISNUMBER(SEARCH('Φόρμα Εισαγωγής'!$B$2,C6568)),MAX($B$1:B6567)+1,0)</f>
        <v>0</v>
      </c>
      <c r="D6568" s="33">
        <f>IF(ISNUMBER(SEARCH('Φόρμα Εισαγωγής'!$C$2,E6568)),MAX($D$1:D6567)+1,0)</f>
        <v>0</v>
      </c>
      <c r="H6568" s="6">
        <f t="shared" si="317"/>
        <v>0</v>
      </c>
      <c r="I6568" s="6">
        <f t="shared" si="318"/>
        <v>0</v>
      </c>
      <c r="J6568" s="6">
        <f t="shared" si="319"/>
        <v>0</v>
      </c>
      <c r="L6568" s="4" t="str">
        <f>IFERROR(VLOOKUP(ROWS($L$2:L6568),$B$2:$C$1996,2,0),"")</f>
        <v/>
      </c>
      <c r="N6568" s="2" t="str">
        <f>IFERROR(VLOOKUP(ROWS($N$2:N6568),$D$2:$E$1996,2,0),"")</f>
        <v/>
      </c>
    </row>
    <row r="6569" spans="2:14">
      <c r="B6569" s="32">
        <f>IF(ISNUMBER(SEARCH('Φόρμα Εισαγωγής'!$B$2,C6569)),MAX($B$1:B6568)+1,0)</f>
        <v>0</v>
      </c>
      <c r="D6569" s="33">
        <f>IF(ISNUMBER(SEARCH('Φόρμα Εισαγωγής'!$C$2,E6569)),MAX($D$1:D6568)+1,0)</f>
        <v>0</v>
      </c>
      <c r="H6569" s="6">
        <f t="shared" si="317"/>
        <v>0</v>
      </c>
      <c r="I6569" s="6">
        <f t="shared" si="318"/>
        <v>0</v>
      </c>
      <c r="J6569" s="6">
        <f t="shared" si="319"/>
        <v>0</v>
      </c>
      <c r="L6569" s="4" t="str">
        <f>IFERROR(VLOOKUP(ROWS($L$2:L6569),$B$2:$C$1996,2,0),"")</f>
        <v/>
      </c>
      <c r="N6569" s="2" t="str">
        <f>IFERROR(VLOOKUP(ROWS($N$2:N6569),$D$2:$E$1996,2,0),"")</f>
        <v/>
      </c>
    </row>
    <row r="6570" spans="2:14">
      <c r="B6570" s="32">
        <f>IF(ISNUMBER(SEARCH('Φόρμα Εισαγωγής'!$B$2,C6570)),MAX($B$1:B6569)+1,0)</f>
        <v>0</v>
      </c>
      <c r="D6570" s="33">
        <f>IF(ISNUMBER(SEARCH('Φόρμα Εισαγωγής'!$C$2,E6570)),MAX($D$1:D6569)+1,0)</f>
        <v>0</v>
      </c>
      <c r="H6570" s="6">
        <f t="shared" si="317"/>
        <v>0</v>
      </c>
      <c r="I6570" s="6">
        <f t="shared" si="318"/>
        <v>0</v>
      </c>
      <c r="J6570" s="6">
        <f t="shared" si="319"/>
        <v>0</v>
      </c>
      <c r="L6570" s="4" t="str">
        <f>IFERROR(VLOOKUP(ROWS($L$2:L6570),$B$2:$C$1996,2,0),"")</f>
        <v/>
      </c>
      <c r="N6570" s="2" t="str">
        <f>IFERROR(VLOOKUP(ROWS($N$2:N6570),$D$2:$E$1996,2,0),"")</f>
        <v/>
      </c>
    </row>
    <row r="6571" spans="2:14">
      <c r="B6571" s="32">
        <f>IF(ISNUMBER(SEARCH('Φόρμα Εισαγωγής'!$B$2,C6571)),MAX($B$1:B6570)+1,0)</f>
        <v>0</v>
      </c>
      <c r="D6571" s="33">
        <f>IF(ISNUMBER(SEARCH('Φόρμα Εισαγωγής'!$C$2,E6571)),MAX($D$1:D6570)+1,0)</f>
        <v>0</v>
      </c>
      <c r="H6571" s="6">
        <f t="shared" si="317"/>
        <v>0</v>
      </c>
      <c r="I6571" s="6">
        <f t="shared" si="318"/>
        <v>0</v>
      </c>
      <c r="J6571" s="6">
        <f t="shared" si="319"/>
        <v>0</v>
      </c>
      <c r="L6571" s="4" t="str">
        <f>IFERROR(VLOOKUP(ROWS($L$2:L6571),$B$2:$C$1996,2,0),"")</f>
        <v/>
      </c>
      <c r="N6571" s="2" t="str">
        <f>IFERROR(VLOOKUP(ROWS($N$2:N6571),$D$2:$E$1996,2,0),"")</f>
        <v/>
      </c>
    </row>
    <row r="6572" spans="2:14">
      <c r="B6572" s="32">
        <f>IF(ISNUMBER(SEARCH('Φόρμα Εισαγωγής'!$B$2,C6572)),MAX($B$1:B6571)+1,0)</f>
        <v>0</v>
      </c>
      <c r="D6572" s="33">
        <f>IF(ISNUMBER(SEARCH('Φόρμα Εισαγωγής'!$C$2,E6572)),MAX($D$1:D6571)+1,0)</f>
        <v>0</v>
      </c>
      <c r="H6572" s="6">
        <f t="shared" si="317"/>
        <v>0</v>
      </c>
      <c r="I6572" s="6">
        <f t="shared" si="318"/>
        <v>0</v>
      </c>
      <c r="J6572" s="6">
        <f t="shared" si="319"/>
        <v>0</v>
      </c>
      <c r="L6572" s="4" t="str">
        <f>IFERROR(VLOOKUP(ROWS($L$2:L6572),$B$2:$C$1996,2,0),"")</f>
        <v/>
      </c>
      <c r="N6572" s="2" t="str">
        <f>IFERROR(VLOOKUP(ROWS($N$2:N6572),$D$2:$E$1996,2,0),"")</f>
        <v/>
      </c>
    </row>
    <row r="6573" spans="2:14">
      <c r="B6573" s="32">
        <f>IF(ISNUMBER(SEARCH('Φόρμα Εισαγωγής'!$B$2,C6573)),MAX($B$1:B6572)+1,0)</f>
        <v>0</v>
      </c>
      <c r="D6573" s="33">
        <f>IF(ISNUMBER(SEARCH('Φόρμα Εισαγωγής'!$C$2,E6573)),MAX($D$1:D6572)+1,0)</f>
        <v>0</v>
      </c>
      <c r="H6573" s="6">
        <f t="shared" si="317"/>
        <v>0</v>
      </c>
      <c r="I6573" s="6">
        <f t="shared" si="318"/>
        <v>0</v>
      </c>
      <c r="J6573" s="6">
        <f t="shared" si="319"/>
        <v>0</v>
      </c>
      <c r="L6573" s="4" t="str">
        <f>IFERROR(VLOOKUP(ROWS($L$2:L6573),$B$2:$C$1996,2,0),"")</f>
        <v/>
      </c>
      <c r="N6573" s="2" t="str">
        <f>IFERROR(VLOOKUP(ROWS($N$2:N6573),$D$2:$E$1996,2,0),"")</f>
        <v/>
      </c>
    </row>
    <row r="6574" spans="2:14">
      <c r="B6574" s="32">
        <f>IF(ISNUMBER(SEARCH('Φόρμα Εισαγωγής'!$B$2,C6574)),MAX($B$1:B6573)+1,0)</f>
        <v>0</v>
      </c>
      <c r="D6574" s="33">
        <f>IF(ISNUMBER(SEARCH('Φόρμα Εισαγωγής'!$C$2,E6574)),MAX($D$1:D6573)+1,0)</f>
        <v>0</v>
      </c>
      <c r="H6574" s="6">
        <f t="shared" si="317"/>
        <v>0</v>
      </c>
      <c r="I6574" s="6">
        <f t="shared" si="318"/>
        <v>0</v>
      </c>
      <c r="J6574" s="6">
        <f t="shared" si="319"/>
        <v>0</v>
      </c>
      <c r="L6574" s="4" t="str">
        <f>IFERROR(VLOOKUP(ROWS($L$2:L6574),$B$2:$C$1996,2,0),"")</f>
        <v/>
      </c>
      <c r="N6574" s="2" t="str">
        <f>IFERROR(VLOOKUP(ROWS($N$2:N6574),$D$2:$E$1996,2,0),"")</f>
        <v/>
      </c>
    </row>
    <row r="6575" spans="2:14">
      <c r="B6575" s="32">
        <f>IF(ISNUMBER(SEARCH('Φόρμα Εισαγωγής'!$B$2,C6575)),MAX($B$1:B6574)+1,0)</f>
        <v>0</v>
      </c>
      <c r="D6575" s="33">
        <f>IF(ISNUMBER(SEARCH('Φόρμα Εισαγωγής'!$C$2,E6575)),MAX($D$1:D6574)+1,0)</f>
        <v>0</v>
      </c>
      <c r="H6575" s="6">
        <f t="shared" si="317"/>
        <v>0</v>
      </c>
      <c r="I6575" s="6">
        <f t="shared" si="318"/>
        <v>0</v>
      </c>
      <c r="J6575" s="6">
        <f t="shared" si="319"/>
        <v>0</v>
      </c>
      <c r="L6575" s="4" t="str">
        <f>IFERROR(VLOOKUP(ROWS($L$2:L6575),$B$2:$C$1996,2,0),"")</f>
        <v/>
      </c>
      <c r="N6575" s="2" t="str">
        <f>IFERROR(VLOOKUP(ROWS($N$2:N6575),$D$2:$E$1996,2,0),"")</f>
        <v/>
      </c>
    </row>
    <row r="6576" spans="2:14">
      <c r="B6576" s="32">
        <f>IF(ISNUMBER(SEARCH('Φόρμα Εισαγωγής'!$B$2,C6576)),MAX($B$1:B6575)+1,0)</f>
        <v>0</v>
      </c>
      <c r="D6576" s="33">
        <f>IF(ISNUMBER(SEARCH('Φόρμα Εισαγωγής'!$C$2,E6576)),MAX($D$1:D6575)+1,0)</f>
        <v>0</v>
      </c>
      <c r="H6576" s="6">
        <f t="shared" si="317"/>
        <v>0</v>
      </c>
      <c r="I6576" s="6">
        <f t="shared" si="318"/>
        <v>0</v>
      </c>
      <c r="J6576" s="6">
        <f t="shared" si="319"/>
        <v>0</v>
      </c>
      <c r="L6576" s="4" t="str">
        <f>IFERROR(VLOOKUP(ROWS($L$2:L6576),$B$2:$C$1996,2,0),"")</f>
        <v/>
      </c>
      <c r="N6576" s="2" t="str">
        <f>IFERROR(VLOOKUP(ROWS($N$2:N6576),$D$2:$E$1996,2,0),"")</f>
        <v/>
      </c>
    </row>
    <row r="6577" spans="2:14">
      <c r="B6577" s="32">
        <f>IF(ISNUMBER(SEARCH('Φόρμα Εισαγωγής'!$B$2,C6577)),MAX($B$1:B6576)+1,0)</f>
        <v>0</v>
      </c>
      <c r="D6577" s="33">
        <f>IF(ISNUMBER(SEARCH('Φόρμα Εισαγωγής'!$C$2,E6577)),MAX($D$1:D6576)+1,0)</f>
        <v>0</v>
      </c>
      <c r="H6577" s="6">
        <f t="shared" si="317"/>
        <v>0</v>
      </c>
      <c r="I6577" s="6">
        <f t="shared" si="318"/>
        <v>0</v>
      </c>
      <c r="J6577" s="6">
        <f t="shared" si="319"/>
        <v>0</v>
      </c>
      <c r="L6577" s="4" t="str">
        <f>IFERROR(VLOOKUP(ROWS($L$2:L6577),$B$2:$C$1996,2,0),"")</f>
        <v/>
      </c>
      <c r="N6577" s="2" t="str">
        <f>IFERROR(VLOOKUP(ROWS($N$2:N6577),$D$2:$E$1996,2,0),"")</f>
        <v/>
      </c>
    </row>
    <row r="6578" spans="2:14">
      <c r="B6578" s="32">
        <f>IF(ISNUMBER(SEARCH('Φόρμα Εισαγωγής'!$B$2,C6578)),MAX($B$1:B6577)+1,0)</f>
        <v>0</v>
      </c>
      <c r="D6578" s="33">
        <f>IF(ISNUMBER(SEARCH('Φόρμα Εισαγωγής'!$C$2,E6578)),MAX($D$1:D6577)+1,0)</f>
        <v>0</v>
      </c>
      <c r="H6578" s="6">
        <f t="shared" si="317"/>
        <v>0</v>
      </c>
      <c r="I6578" s="6">
        <f t="shared" si="318"/>
        <v>0</v>
      </c>
      <c r="J6578" s="6">
        <f t="shared" si="319"/>
        <v>0</v>
      </c>
      <c r="L6578" s="4" t="str">
        <f>IFERROR(VLOOKUP(ROWS($L$2:L6578),$B$2:$C$1996,2,0),"")</f>
        <v/>
      </c>
      <c r="N6578" s="2" t="str">
        <f>IFERROR(VLOOKUP(ROWS($N$2:N6578),$D$2:$E$1996,2,0),"")</f>
        <v/>
      </c>
    </row>
    <row r="6579" spans="2:14">
      <c r="B6579" s="32">
        <f>IF(ISNUMBER(SEARCH('Φόρμα Εισαγωγής'!$B$2,C6579)),MAX($B$1:B6578)+1,0)</f>
        <v>0</v>
      </c>
      <c r="D6579" s="33">
        <f>IF(ISNUMBER(SEARCH('Φόρμα Εισαγωγής'!$C$2,E6579)),MAX($D$1:D6578)+1,0)</f>
        <v>0</v>
      </c>
      <c r="H6579" s="6">
        <f t="shared" si="317"/>
        <v>0</v>
      </c>
      <c r="I6579" s="6">
        <f t="shared" si="318"/>
        <v>0</v>
      </c>
      <c r="J6579" s="6">
        <f t="shared" si="319"/>
        <v>0</v>
      </c>
      <c r="L6579" s="4" t="str">
        <f>IFERROR(VLOOKUP(ROWS($L$2:L6579),$B$2:$C$1996,2,0),"")</f>
        <v/>
      </c>
      <c r="N6579" s="2" t="str">
        <f>IFERROR(VLOOKUP(ROWS($N$2:N6579),$D$2:$E$1996,2,0),"")</f>
        <v/>
      </c>
    </row>
    <row r="6580" spans="2:14">
      <c r="B6580" s="32">
        <f>IF(ISNUMBER(SEARCH('Φόρμα Εισαγωγής'!$B$2,C6580)),MAX($B$1:B6579)+1,0)</f>
        <v>0</v>
      </c>
      <c r="D6580" s="33">
        <f>IF(ISNUMBER(SEARCH('Φόρμα Εισαγωγής'!$C$2,E6580)),MAX($D$1:D6579)+1,0)</f>
        <v>0</v>
      </c>
      <c r="H6580" s="6">
        <f t="shared" si="317"/>
        <v>0</v>
      </c>
      <c r="I6580" s="6">
        <f t="shared" si="318"/>
        <v>0</v>
      </c>
      <c r="J6580" s="6">
        <f t="shared" si="319"/>
        <v>0</v>
      </c>
      <c r="L6580" s="4" t="str">
        <f>IFERROR(VLOOKUP(ROWS($L$2:L6580),$B$2:$C$1996,2,0),"")</f>
        <v/>
      </c>
      <c r="N6580" s="2" t="str">
        <f>IFERROR(VLOOKUP(ROWS($N$2:N6580),$D$2:$E$1996,2,0),"")</f>
        <v/>
      </c>
    </row>
    <row r="6581" spans="2:14">
      <c r="B6581" s="32">
        <f>IF(ISNUMBER(SEARCH('Φόρμα Εισαγωγής'!$B$2,C6581)),MAX($B$1:B6580)+1,0)</f>
        <v>0</v>
      </c>
      <c r="D6581" s="33">
        <f>IF(ISNUMBER(SEARCH('Φόρμα Εισαγωγής'!$C$2,E6581)),MAX($D$1:D6580)+1,0)</f>
        <v>0</v>
      </c>
      <c r="H6581" s="6">
        <f t="shared" si="317"/>
        <v>0</v>
      </c>
      <c r="I6581" s="6">
        <f t="shared" si="318"/>
        <v>0</v>
      </c>
      <c r="J6581" s="6">
        <f t="shared" si="319"/>
        <v>0</v>
      </c>
      <c r="L6581" s="4" t="str">
        <f>IFERROR(VLOOKUP(ROWS($L$2:L6581),$B$2:$C$1996,2,0),"")</f>
        <v/>
      </c>
      <c r="N6581" s="2" t="str">
        <f>IFERROR(VLOOKUP(ROWS($N$2:N6581),$D$2:$E$1996,2,0),"")</f>
        <v/>
      </c>
    </row>
    <row r="6582" spans="2:14">
      <c r="B6582" s="32">
        <f>IF(ISNUMBER(SEARCH('Φόρμα Εισαγωγής'!$B$2,C6582)),MAX($B$1:B6581)+1,0)</f>
        <v>0</v>
      </c>
      <c r="D6582" s="33">
        <f>IF(ISNUMBER(SEARCH('Φόρμα Εισαγωγής'!$C$2,E6582)),MAX($D$1:D6581)+1,0)</f>
        <v>0</v>
      </c>
      <c r="H6582" s="6">
        <f t="shared" si="317"/>
        <v>0</v>
      </c>
      <c r="I6582" s="6">
        <f t="shared" si="318"/>
        <v>0</v>
      </c>
      <c r="J6582" s="6">
        <f t="shared" si="319"/>
        <v>0</v>
      </c>
      <c r="L6582" s="4" t="str">
        <f>IFERROR(VLOOKUP(ROWS($L$2:L6582),$B$2:$C$1996,2,0),"")</f>
        <v/>
      </c>
      <c r="N6582" s="2" t="str">
        <f>IFERROR(VLOOKUP(ROWS($N$2:N6582),$D$2:$E$1996,2,0),"")</f>
        <v/>
      </c>
    </row>
    <row r="6583" spans="2:14">
      <c r="B6583" s="32">
        <f>IF(ISNUMBER(SEARCH('Φόρμα Εισαγωγής'!$B$2,C6583)),MAX($B$1:B6582)+1,0)</f>
        <v>0</v>
      </c>
      <c r="D6583" s="33">
        <f>IF(ISNUMBER(SEARCH('Φόρμα Εισαγωγής'!$C$2,E6583)),MAX($D$1:D6582)+1,0)</f>
        <v>0</v>
      </c>
      <c r="H6583" s="6">
        <f t="shared" si="317"/>
        <v>0</v>
      </c>
      <c r="I6583" s="6">
        <f t="shared" si="318"/>
        <v>0</v>
      </c>
      <c r="J6583" s="6">
        <f t="shared" si="319"/>
        <v>0</v>
      </c>
      <c r="L6583" s="4" t="str">
        <f>IFERROR(VLOOKUP(ROWS($L$2:L6583),$B$2:$C$1996,2,0),"")</f>
        <v/>
      </c>
      <c r="N6583" s="2" t="str">
        <f>IFERROR(VLOOKUP(ROWS($N$2:N6583),$D$2:$E$1996,2,0),"")</f>
        <v/>
      </c>
    </row>
    <row r="6584" spans="2:14">
      <c r="B6584" s="32">
        <f>IF(ISNUMBER(SEARCH('Φόρμα Εισαγωγής'!$B$2,C6584)),MAX($B$1:B6583)+1,0)</f>
        <v>0</v>
      </c>
      <c r="D6584" s="33">
        <f>IF(ISNUMBER(SEARCH('Φόρμα Εισαγωγής'!$C$2,E6584)),MAX($D$1:D6583)+1,0)</f>
        <v>0</v>
      </c>
      <c r="H6584" s="6">
        <f t="shared" si="317"/>
        <v>0</v>
      </c>
      <c r="I6584" s="6">
        <f t="shared" si="318"/>
        <v>0</v>
      </c>
      <c r="J6584" s="6">
        <f t="shared" si="319"/>
        <v>0</v>
      </c>
      <c r="L6584" s="4" t="str">
        <f>IFERROR(VLOOKUP(ROWS($L$2:L6584),$B$2:$C$1996,2,0),"")</f>
        <v/>
      </c>
      <c r="N6584" s="2" t="str">
        <f>IFERROR(VLOOKUP(ROWS($N$2:N6584),$D$2:$E$1996,2,0),"")</f>
        <v/>
      </c>
    </row>
    <row r="6585" spans="2:14">
      <c r="B6585" s="32">
        <f>IF(ISNUMBER(SEARCH('Φόρμα Εισαγωγής'!$B$2,C6585)),MAX($B$1:B6584)+1,0)</f>
        <v>0</v>
      </c>
      <c r="D6585" s="33">
        <f>IF(ISNUMBER(SEARCH('Φόρμα Εισαγωγής'!$C$2,E6585)),MAX($D$1:D6584)+1,0)</f>
        <v>0</v>
      </c>
      <c r="H6585" s="6">
        <f t="shared" si="317"/>
        <v>0</v>
      </c>
      <c r="I6585" s="6">
        <f t="shared" si="318"/>
        <v>0</v>
      </c>
      <c r="J6585" s="6">
        <f t="shared" si="319"/>
        <v>0</v>
      </c>
      <c r="L6585" s="4" t="str">
        <f>IFERROR(VLOOKUP(ROWS($L$2:L6585),$B$2:$C$1996,2,0),"")</f>
        <v/>
      </c>
      <c r="N6585" s="2" t="str">
        <f>IFERROR(VLOOKUP(ROWS($N$2:N6585),$D$2:$E$1996,2,0),"")</f>
        <v/>
      </c>
    </row>
    <row r="6586" spans="2:14">
      <c r="B6586" s="32">
        <f>IF(ISNUMBER(SEARCH('Φόρμα Εισαγωγής'!$B$2,C6586)),MAX($B$1:B6585)+1,0)</f>
        <v>0</v>
      </c>
      <c r="D6586" s="33">
        <f>IF(ISNUMBER(SEARCH('Φόρμα Εισαγωγής'!$C$2,E6586)),MAX($D$1:D6585)+1,0)</f>
        <v>0</v>
      </c>
      <c r="H6586" s="6">
        <f t="shared" si="317"/>
        <v>0</v>
      </c>
      <c r="I6586" s="6">
        <f t="shared" si="318"/>
        <v>0</v>
      </c>
      <c r="J6586" s="6">
        <f t="shared" si="319"/>
        <v>0</v>
      </c>
      <c r="L6586" s="4" t="str">
        <f>IFERROR(VLOOKUP(ROWS($L$2:L6586),$B$2:$C$1996,2,0),"")</f>
        <v/>
      </c>
      <c r="N6586" s="2" t="str">
        <f>IFERROR(VLOOKUP(ROWS($N$2:N6586),$D$2:$E$1996,2,0),"")</f>
        <v/>
      </c>
    </row>
    <row r="6587" spans="2:14">
      <c r="B6587" s="32">
        <f>IF(ISNUMBER(SEARCH('Φόρμα Εισαγωγής'!$B$2,C6587)),MAX($B$1:B6586)+1,0)</f>
        <v>0</v>
      </c>
      <c r="D6587" s="33">
        <f>IF(ISNUMBER(SEARCH('Φόρμα Εισαγωγής'!$C$2,E6587)),MAX($D$1:D6586)+1,0)</f>
        <v>0</v>
      </c>
      <c r="H6587" s="6">
        <f t="shared" si="317"/>
        <v>0</v>
      </c>
      <c r="I6587" s="6">
        <f t="shared" si="318"/>
        <v>0</v>
      </c>
      <c r="J6587" s="6">
        <f t="shared" si="319"/>
        <v>0</v>
      </c>
      <c r="L6587" s="4" t="str">
        <f>IFERROR(VLOOKUP(ROWS($L$2:L6587),$B$2:$C$1996,2,0),"")</f>
        <v/>
      </c>
      <c r="N6587" s="2" t="str">
        <f>IFERROR(VLOOKUP(ROWS($N$2:N6587),$D$2:$E$1996,2,0),"")</f>
        <v/>
      </c>
    </row>
    <row r="6588" spans="2:14">
      <c r="B6588" s="32">
        <f>IF(ISNUMBER(SEARCH('Φόρμα Εισαγωγής'!$B$2,C6588)),MAX($B$1:B6587)+1,0)</f>
        <v>0</v>
      </c>
      <c r="D6588" s="33">
        <f>IF(ISNUMBER(SEARCH('Φόρμα Εισαγωγής'!$C$2,E6588)),MAX($D$1:D6587)+1,0)</f>
        <v>0</v>
      </c>
      <c r="H6588" s="6">
        <f t="shared" si="317"/>
        <v>0</v>
      </c>
      <c r="I6588" s="6">
        <f t="shared" si="318"/>
        <v>0</v>
      </c>
      <c r="J6588" s="6">
        <f t="shared" si="319"/>
        <v>0</v>
      </c>
      <c r="L6588" s="4" t="str">
        <f>IFERROR(VLOOKUP(ROWS($L$2:L6588),$B$2:$C$1996,2,0),"")</f>
        <v/>
      </c>
      <c r="N6588" s="2" t="str">
        <f>IFERROR(VLOOKUP(ROWS($N$2:N6588),$D$2:$E$1996,2,0),"")</f>
        <v/>
      </c>
    </row>
    <row r="6589" spans="2:14">
      <c r="B6589" s="32">
        <f>IF(ISNUMBER(SEARCH('Φόρμα Εισαγωγής'!$B$2,C6589)),MAX($B$1:B6588)+1,0)</f>
        <v>0</v>
      </c>
      <c r="D6589" s="33">
        <f>IF(ISNUMBER(SEARCH('Φόρμα Εισαγωγής'!$C$2,E6589)),MAX($D$1:D6588)+1,0)</f>
        <v>0</v>
      </c>
      <c r="H6589" s="6">
        <f t="shared" si="317"/>
        <v>0</v>
      </c>
      <c r="I6589" s="6">
        <f t="shared" si="318"/>
        <v>0</v>
      </c>
      <c r="J6589" s="6">
        <f t="shared" si="319"/>
        <v>0</v>
      </c>
      <c r="L6589" s="4" t="str">
        <f>IFERROR(VLOOKUP(ROWS($L$2:L6589),$B$2:$C$1996,2,0),"")</f>
        <v/>
      </c>
      <c r="N6589" s="2" t="str">
        <f>IFERROR(VLOOKUP(ROWS($N$2:N6589),$D$2:$E$1996,2,0),"")</f>
        <v/>
      </c>
    </row>
    <row r="6590" spans="2:14">
      <c r="B6590" s="32">
        <f>IF(ISNUMBER(SEARCH('Φόρμα Εισαγωγής'!$B$2,C6590)),MAX($B$1:B6589)+1,0)</f>
        <v>0</v>
      </c>
      <c r="D6590" s="33">
        <f>IF(ISNUMBER(SEARCH('Φόρμα Εισαγωγής'!$C$2,E6590)),MAX($D$1:D6589)+1,0)</f>
        <v>0</v>
      </c>
      <c r="H6590" s="6">
        <f t="shared" si="317"/>
        <v>0</v>
      </c>
      <c r="I6590" s="6">
        <f t="shared" si="318"/>
        <v>0</v>
      </c>
      <c r="J6590" s="6">
        <f t="shared" si="319"/>
        <v>0</v>
      </c>
      <c r="L6590" s="4" t="str">
        <f>IFERROR(VLOOKUP(ROWS($L$2:L6590),$B$2:$C$1996,2,0),"")</f>
        <v/>
      </c>
      <c r="N6590" s="2" t="str">
        <f>IFERROR(VLOOKUP(ROWS($N$2:N6590),$D$2:$E$1996,2,0),"")</f>
        <v/>
      </c>
    </row>
    <row r="6591" spans="2:14">
      <c r="B6591" s="32">
        <f>IF(ISNUMBER(SEARCH('Φόρμα Εισαγωγής'!$B$2,C6591)),MAX($B$1:B6590)+1,0)</f>
        <v>0</v>
      </c>
      <c r="D6591" s="33">
        <f>IF(ISNUMBER(SEARCH('Φόρμα Εισαγωγής'!$C$2,E6591)),MAX($D$1:D6590)+1,0)</f>
        <v>0</v>
      </c>
      <c r="H6591" s="6">
        <f t="shared" si="317"/>
        <v>0</v>
      </c>
      <c r="I6591" s="6">
        <f t="shared" si="318"/>
        <v>0</v>
      </c>
      <c r="J6591" s="6">
        <f t="shared" si="319"/>
        <v>0</v>
      </c>
      <c r="L6591" s="4" t="str">
        <f>IFERROR(VLOOKUP(ROWS($L$2:L6591),$B$2:$C$1996,2,0),"")</f>
        <v/>
      </c>
      <c r="N6591" s="2" t="str">
        <f>IFERROR(VLOOKUP(ROWS($N$2:N6591),$D$2:$E$1996,2,0),"")</f>
        <v/>
      </c>
    </row>
    <row r="6592" spans="2:14">
      <c r="B6592" s="32">
        <f>IF(ISNUMBER(SEARCH('Φόρμα Εισαγωγής'!$B$2,C6592)),MAX($B$1:B6591)+1,0)</f>
        <v>0</v>
      </c>
      <c r="D6592" s="33">
        <f>IF(ISNUMBER(SEARCH('Φόρμα Εισαγωγής'!$C$2,E6592)),MAX($D$1:D6591)+1,0)</f>
        <v>0</v>
      </c>
      <c r="H6592" s="6">
        <f t="shared" ref="H6592:H6655" si="320">G6592+(G6592*0.24)</f>
        <v>0</v>
      </c>
      <c r="I6592" s="6">
        <f t="shared" ref="I6592:I6655" si="321">F6592*A6592</f>
        <v>0</v>
      </c>
      <c r="J6592" s="6">
        <f t="shared" ref="J6592:J6655" si="322">H6592*A6592</f>
        <v>0</v>
      </c>
      <c r="L6592" s="4" t="str">
        <f>IFERROR(VLOOKUP(ROWS($L$2:L6592),$B$2:$C$1996,2,0),"")</f>
        <v/>
      </c>
      <c r="N6592" s="2" t="str">
        <f>IFERROR(VLOOKUP(ROWS($N$2:N6592),$D$2:$E$1996,2,0),"")</f>
        <v/>
      </c>
    </row>
    <row r="6593" spans="2:14">
      <c r="B6593" s="32">
        <f>IF(ISNUMBER(SEARCH('Φόρμα Εισαγωγής'!$B$2,C6593)),MAX($B$1:B6592)+1,0)</f>
        <v>0</v>
      </c>
      <c r="D6593" s="33">
        <f>IF(ISNUMBER(SEARCH('Φόρμα Εισαγωγής'!$C$2,E6593)),MAX($D$1:D6592)+1,0)</f>
        <v>0</v>
      </c>
      <c r="H6593" s="6">
        <f t="shared" si="320"/>
        <v>0</v>
      </c>
      <c r="I6593" s="6">
        <f t="shared" si="321"/>
        <v>0</v>
      </c>
      <c r="J6593" s="6">
        <f t="shared" si="322"/>
        <v>0</v>
      </c>
      <c r="L6593" s="4" t="str">
        <f>IFERROR(VLOOKUP(ROWS($L$2:L6593),$B$2:$C$1996,2,0),"")</f>
        <v/>
      </c>
      <c r="N6593" s="2" t="str">
        <f>IFERROR(VLOOKUP(ROWS($N$2:N6593),$D$2:$E$1996,2,0),"")</f>
        <v/>
      </c>
    </row>
    <row r="6594" spans="2:14">
      <c r="B6594" s="32">
        <f>IF(ISNUMBER(SEARCH('Φόρμα Εισαγωγής'!$B$2,C6594)),MAX($B$1:B6593)+1,0)</f>
        <v>0</v>
      </c>
      <c r="D6594" s="33">
        <f>IF(ISNUMBER(SEARCH('Φόρμα Εισαγωγής'!$C$2,E6594)),MAX($D$1:D6593)+1,0)</f>
        <v>0</v>
      </c>
      <c r="H6594" s="6">
        <f t="shared" si="320"/>
        <v>0</v>
      </c>
      <c r="I6594" s="6">
        <f t="shared" si="321"/>
        <v>0</v>
      </c>
      <c r="J6594" s="6">
        <f t="shared" si="322"/>
        <v>0</v>
      </c>
      <c r="L6594" s="4" t="str">
        <f>IFERROR(VLOOKUP(ROWS($L$2:L6594),$B$2:$C$1996,2,0),"")</f>
        <v/>
      </c>
      <c r="N6594" s="2" t="str">
        <f>IFERROR(VLOOKUP(ROWS($N$2:N6594),$D$2:$E$1996,2,0),"")</f>
        <v/>
      </c>
    </row>
    <row r="6595" spans="2:14">
      <c r="B6595" s="32">
        <f>IF(ISNUMBER(SEARCH('Φόρμα Εισαγωγής'!$B$2,C6595)),MAX($B$1:B6594)+1,0)</f>
        <v>0</v>
      </c>
      <c r="D6595" s="33">
        <f>IF(ISNUMBER(SEARCH('Φόρμα Εισαγωγής'!$C$2,E6595)),MAX($D$1:D6594)+1,0)</f>
        <v>0</v>
      </c>
      <c r="H6595" s="6">
        <f t="shared" si="320"/>
        <v>0</v>
      </c>
      <c r="I6595" s="6">
        <f t="shared" si="321"/>
        <v>0</v>
      </c>
      <c r="J6595" s="6">
        <f t="shared" si="322"/>
        <v>0</v>
      </c>
      <c r="L6595" s="4" t="str">
        <f>IFERROR(VLOOKUP(ROWS($L$2:L6595),$B$2:$C$1996,2,0),"")</f>
        <v/>
      </c>
      <c r="N6595" s="2" t="str">
        <f>IFERROR(VLOOKUP(ROWS($N$2:N6595),$D$2:$E$1996,2,0),"")</f>
        <v/>
      </c>
    </row>
    <row r="6596" spans="2:14">
      <c r="B6596" s="32">
        <f>IF(ISNUMBER(SEARCH('Φόρμα Εισαγωγής'!$B$2,C6596)),MAX($B$1:B6595)+1,0)</f>
        <v>0</v>
      </c>
      <c r="D6596" s="33">
        <f>IF(ISNUMBER(SEARCH('Φόρμα Εισαγωγής'!$C$2,E6596)),MAX($D$1:D6595)+1,0)</f>
        <v>0</v>
      </c>
      <c r="H6596" s="6">
        <f t="shared" si="320"/>
        <v>0</v>
      </c>
      <c r="I6596" s="6">
        <f t="shared" si="321"/>
        <v>0</v>
      </c>
      <c r="J6596" s="6">
        <f t="shared" si="322"/>
        <v>0</v>
      </c>
      <c r="L6596" s="4" t="str">
        <f>IFERROR(VLOOKUP(ROWS($L$2:L6596),$B$2:$C$1996,2,0),"")</f>
        <v/>
      </c>
      <c r="N6596" s="2" t="str">
        <f>IFERROR(VLOOKUP(ROWS($N$2:N6596),$D$2:$E$1996,2,0),"")</f>
        <v/>
      </c>
    </row>
    <row r="6597" spans="2:14">
      <c r="B6597" s="32">
        <f>IF(ISNUMBER(SEARCH('Φόρμα Εισαγωγής'!$B$2,C6597)),MAX($B$1:B6596)+1,0)</f>
        <v>0</v>
      </c>
      <c r="D6597" s="33">
        <f>IF(ISNUMBER(SEARCH('Φόρμα Εισαγωγής'!$C$2,E6597)),MAX($D$1:D6596)+1,0)</f>
        <v>0</v>
      </c>
      <c r="H6597" s="6">
        <f t="shared" si="320"/>
        <v>0</v>
      </c>
      <c r="I6597" s="6">
        <f t="shared" si="321"/>
        <v>0</v>
      </c>
      <c r="J6597" s="6">
        <f t="shared" si="322"/>
        <v>0</v>
      </c>
      <c r="L6597" s="4" t="str">
        <f>IFERROR(VLOOKUP(ROWS($L$2:L6597),$B$2:$C$1996,2,0),"")</f>
        <v/>
      </c>
      <c r="N6597" s="2" t="str">
        <f>IFERROR(VLOOKUP(ROWS($N$2:N6597),$D$2:$E$1996,2,0),"")</f>
        <v/>
      </c>
    </row>
    <row r="6598" spans="2:14">
      <c r="B6598" s="32">
        <f>IF(ISNUMBER(SEARCH('Φόρμα Εισαγωγής'!$B$2,C6598)),MAX($B$1:B6597)+1,0)</f>
        <v>0</v>
      </c>
      <c r="D6598" s="33">
        <f>IF(ISNUMBER(SEARCH('Φόρμα Εισαγωγής'!$C$2,E6598)),MAX($D$1:D6597)+1,0)</f>
        <v>0</v>
      </c>
      <c r="H6598" s="6">
        <f t="shared" si="320"/>
        <v>0</v>
      </c>
      <c r="I6598" s="6">
        <f t="shared" si="321"/>
        <v>0</v>
      </c>
      <c r="J6598" s="6">
        <f t="shared" si="322"/>
        <v>0</v>
      </c>
      <c r="L6598" s="4" t="str">
        <f>IFERROR(VLOOKUP(ROWS($L$2:L6598),$B$2:$C$1996,2,0),"")</f>
        <v/>
      </c>
      <c r="N6598" s="2" t="str">
        <f>IFERROR(VLOOKUP(ROWS($N$2:N6598),$D$2:$E$1996,2,0),"")</f>
        <v/>
      </c>
    </row>
    <row r="6599" spans="2:14">
      <c r="B6599" s="32">
        <f>IF(ISNUMBER(SEARCH('Φόρμα Εισαγωγής'!$B$2,C6599)),MAX($B$1:B6598)+1,0)</f>
        <v>0</v>
      </c>
      <c r="D6599" s="33">
        <f>IF(ISNUMBER(SEARCH('Φόρμα Εισαγωγής'!$C$2,E6599)),MAX($D$1:D6598)+1,0)</f>
        <v>0</v>
      </c>
      <c r="H6599" s="6">
        <f t="shared" si="320"/>
        <v>0</v>
      </c>
      <c r="I6599" s="6">
        <f t="shared" si="321"/>
        <v>0</v>
      </c>
      <c r="J6599" s="6">
        <f t="shared" si="322"/>
        <v>0</v>
      </c>
      <c r="L6599" s="4" t="str">
        <f>IFERROR(VLOOKUP(ROWS($L$2:L6599),$B$2:$C$1996,2,0),"")</f>
        <v/>
      </c>
      <c r="N6599" s="2" t="str">
        <f>IFERROR(VLOOKUP(ROWS($N$2:N6599),$D$2:$E$1996,2,0),"")</f>
        <v/>
      </c>
    </row>
    <row r="6600" spans="2:14">
      <c r="B6600" s="32">
        <f>IF(ISNUMBER(SEARCH('Φόρμα Εισαγωγής'!$B$2,C6600)),MAX($B$1:B6599)+1,0)</f>
        <v>0</v>
      </c>
      <c r="D6600" s="33">
        <f>IF(ISNUMBER(SEARCH('Φόρμα Εισαγωγής'!$C$2,E6600)),MAX($D$1:D6599)+1,0)</f>
        <v>0</v>
      </c>
      <c r="H6600" s="6">
        <f t="shared" si="320"/>
        <v>0</v>
      </c>
      <c r="I6600" s="6">
        <f t="shared" si="321"/>
        <v>0</v>
      </c>
      <c r="J6600" s="6">
        <f t="shared" si="322"/>
        <v>0</v>
      </c>
      <c r="L6600" s="4" t="str">
        <f>IFERROR(VLOOKUP(ROWS($L$2:L6600),$B$2:$C$1996,2,0),"")</f>
        <v/>
      </c>
      <c r="N6600" s="2" t="str">
        <f>IFERROR(VLOOKUP(ROWS($N$2:N6600),$D$2:$E$1996,2,0),"")</f>
        <v/>
      </c>
    </row>
    <row r="6601" spans="2:14">
      <c r="B6601" s="32">
        <f>IF(ISNUMBER(SEARCH('Φόρμα Εισαγωγής'!$B$2,C6601)),MAX($B$1:B6600)+1,0)</f>
        <v>0</v>
      </c>
      <c r="D6601" s="33">
        <f>IF(ISNUMBER(SEARCH('Φόρμα Εισαγωγής'!$C$2,E6601)),MAX($D$1:D6600)+1,0)</f>
        <v>0</v>
      </c>
      <c r="H6601" s="6">
        <f t="shared" si="320"/>
        <v>0</v>
      </c>
      <c r="I6601" s="6">
        <f t="shared" si="321"/>
        <v>0</v>
      </c>
      <c r="J6601" s="6">
        <f t="shared" si="322"/>
        <v>0</v>
      </c>
      <c r="L6601" s="4" t="str">
        <f>IFERROR(VLOOKUP(ROWS($L$2:L6601),$B$2:$C$1996,2,0),"")</f>
        <v/>
      </c>
      <c r="N6601" s="2" t="str">
        <f>IFERROR(VLOOKUP(ROWS($N$2:N6601),$D$2:$E$1996,2,0),"")</f>
        <v/>
      </c>
    </row>
    <row r="6602" spans="2:14">
      <c r="B6602" s="32">
        <f>IF(ISNUMBER(SEARCH('Φόρμα Εισαγωγής'!$B$2,C6602)),MAX($B$1:B6601)+1,0)</f>
        <v>0</v>
      </c>
      <c r="D6602" s="33">
        <f>IF(ISNUMBER(SEARCH('Φόρμα Εισαγωγής'!$C$2,E6602)),MAX($D$1:D6601)+1,0)</f>
        <v>0</v>
      </c>
      <c r="H6602" s="6">
        <f t="shared" si="320"/>
        <v>0</v>
      </c>
      <c r="I6602" s="6">
        <f t="shared" si="321"/>
        <v>0</v>
      </c>
      <c r="J6602" s="6">
        <f t="shared" si="322"/>
        <v>0</v>
      </c>
      <c r="L6602" s="4" t="str">
        <f>IFERROR(VLOOKUP(ROWS($L$2:L6602),$B$2:$C$1996,2,0),"")</f>
        <v/>
      </c>
      <c r="N6602" s="2" t="str">
        <f>IFERROR(VLOOKUP(ROWS($N$2:N6602),$D$2:$E$1996,2,0),"")</f>
        <v/>
      </c>
    </row>
    <row r="6603" spans="2:14">
      <c r="B6603" s="32">
        <f>IF(ISNUMBER(SEARCH('Φόρμα Εισαγωγής'!$B$2,C6603)),MAX($B$1:B6602)+1,0)</f>
        <v>0</v>
      </c>
      <c r="D6603" s="33">
        <f>IF(ISNUMBER(SEARCH('Φόρμα Εισαγωγής'!$C$2,E6603)),MAX($D$1:D6602)+1,0)</f>
        <v>0</v>
      </c>
      <c r="H6603" s="6">
        <f t="shared" si="320"/>
        <v>0</v>
      </c>
      <c r="I6603" s="6">
        <f t="shared" si="321"/>
        <v>0</v>
      </c>
      <c r="J6603" s="6">
        <f t="shared" si="322"/>
        <v>0</v>
      </c>
      <c r="L6603" s="4" t="str">
        <f>IFERROR(VLOOKUP(ROWS($L$2:L6603),$B$2:$C$1996,2,0),"")</f>
        <v/>
      </c>
      <c r="N6603" s="2" t="str">
        <f>IFERROR(VLOOKUP(ROWS($N$2:N6603),$D$2:$E$1996,2,0),"")</f>
        <v/>
      </c>
    </row>
    <row r="6604" spans="2:14">
      <c r="B6604" s="32">
        <f>IF(ISNUMBER(SEARCH('Φόρμα Εισαγωγής'!$B$2,C6604)),MAX($B$1:B6603)+1,0)</f>
        <v>0</v>
      </c>
      <c r="D6604" s="33">
        <f>IF(ISNUMBER(SEARCH('Φόρμα Εισαγωγής'!$C$2,E6604)),MAX($D$1:D6603)+1,0)</f>
        <v>0</v>
      </c>
      <c r="H6604" s="6">
        <f t="shared" si="320"/>
        <v>0</v>
      </c>
      <c r="I6604" s="6">
        <f t="shared" si="321"/>
        <v>0</v>
      </c>
      <c r="J6604" s="6">
        <f t="shared" si="322"/>
        <v>0</v>
      </c>
      <c r="L6604" s="4" t="str">
        <f>IFERROR(VLOOKUP(ROWS($L$2:L6604),$B$2:$C$1996,2,0),"")</f>
        <v/>
      </c>
      <c r="N6604" s="2" t="str">
        <f>IFERROR(VLOOKUP(ROWS($N$2:N6604),$D$2:$E$1996,2,0),"")</f>
        <v/>
      </c>
    </row>
    <row r="6605" spans="2:14">
      <c r="B6605" s="32">
        <f>IF(ISNUMBER(SEARCH('Φόρμα Εισαγωγής'!$B$2,C6605)),MAX($B$1:B6604)+1,0)</f>
        <v>0</v>
      </c>
      <c r="D6605" s="33">
        <f>IF(ISNUMBER(SEARCH('Φόρμα Εισαγωγής'!$C$2,E6605)),MAX($D$1:D6604)+1,0)</f>
        <v>0</v>
      </c>
      <c r="H6605" s="6">
        <f t="shared" si="320"/>
        <v>0</v>
      </c>
      <c r="I6605" s="6">
        <f t="shared" si="321"/>
        <v>0</v>
      </c>
      <c r="J6605" s="6">
        <f t="shared" si="322"/>
        <v>0</v>
      </c>
      <c r="L6605" s="4" t="str">
        <f>IFERROR(VLOOKUP(ROWS($L$2:L6605),$B$2:$C$1996,2,0),"")</f>
        <v/>
      </c>
      <c r="N6605" s="2" t="str">
        <f>IFERROR(VLOOKUP(ROWS($N$2:N6605),$D$2:$E$1996,2,0),"")</f>
        <v/>
      </c>
    </row>
    <row r="6606" spans="2:14">
      <c r="B6606" s="32">
        <f>IF(ISNUMBER(SEARCH('Φόρμα Εισαγωγής'!$B$2,C6606)),MAX($B$1:B6605)+1,0)</f>
        <v>0</v>
      </c>
      <c r="D6606" s="33">
        <f>IF(ISNUMBER(SEARCH('Φόρμα Εισαγωγής'!$C$2,E6606)),MAX($D$1:D6605)+1,0)</f>
        <v>0</v>
      </c>
      <c r="H6606" s="6">
        <f t="shared" si="320"/>
        <v>0</v>
      </c>
      <c r="I6606" s="6">
        <f t="shared" si="321"/>
        <v>0</v>
      </c>
      <c r="J6606" s="6">
        <f t="shared" si="322"/>
        <v>0</v>
      </c>
      <c r="L6606" s="4" t="str">
        <f>IFERROR(VLOOKUP(ROWS($L$2:L6606),$B$2:$C$1996,2,0),"")</f>
        <v/>
      </c>
      <c r="N6606" s="2" t="str">
        <f>IFERROR(VLOOKUP(ROWS($N$2:N6606),$D$2:$E$1996,2,0),"")</f>
        <v/>
      </c>
    </row>
    <row r="6607" spans="2:14">
      <c r="B6607" s="32">
        <f>IF(ISNUMBER(SEARCH('Φόρμα Εισαγωγής'!$B$2,C6607)),MAX($B$1:B6606)+1,0)</f>
        <v>0</v>
      </c>
      <c r="D6607" s="33">
        <f>IF(ISNUMBER(SEARCH('Φόρμα Εισαγωγής'!$C$2,E6607)),MAX($D$1:D6606)+1,0)</f>
        <v>0</v>
      </c>
      <c r="H6607" s="6">
        <f t="shared" si="320"/>
        <v>0</v>
      </c>
      <c r="I6607" s="6">
        <f t="shared" si="321"/>
        <v>0</v>
      </c>
      <c r="J6607" s="6">
        <f t="shared" si="322"/>
        <v>0</v>
      </c>
      <c r="L6607" s="4" t="str">
        <f>IFERROR(VLOOKUP(ROWS($L$2:L6607),$B$2:$C$1996,2,0),"")</f>
        <v/>
      </c>
      <c r="N6607" s="2" t="str">
        <f>IFERROR(VLOOKUP(ROWS($N$2:N6607),$D$2:$E$1996,2,0),"")</f>
        <v/>
      </c>
    </row>
    <row r="6608" spans="2:14">
      <c r="B6608" s="32">
        <f>IF(ISNUMBER(SEARCH('Φόρμα Εισαγωγής'!$B$2,C6608)),MAX($B$1:B6607)+1,0)</f>
        <v>0</v>
      </c>
      <c r="D6608" s="33">
        <f>IF(ISNUMBER(SEARCH('Φόρμα Εισαγωγής'!$C$2,E6608)),MAX($D$1:D6607)+1,0)</f>
        <v>0</v>
      </c>
      <c r="H6608" s="6">
        <f t="shared" si="320"/>
        <v>0</v>
      </c>
      <c r="I6608" s="6">
        <f t="shared" si="321"/>
        <v>0</v>
      </c>
      <c r="J6608" s="6">
        <f t="shared" si="322"/>
        <v>0</v>
      </c>
      <c r="L6608" s="4" t="str">
        <f>IFERROR(VLOOKUP(ROWS($L$2:L6608),$B$2:$C$1996,2,0),"")</f>
        <v/>
      </c>
      <c r="N6608" s="2" t="str">
        <f>IFERROR(VLOOKUP(ROWS($N$2:N6608),$D$2:$E$1996,2,0),"")</f>
        <v/>
      </c>
    </row>
    <row r="6609" spans="2:14">
      <c r="B6609" s="32">
        <f>IF(ISNUMBER(SEARCH('Φόρμα Εισαγωγής'!$B$2,C6609)),MAX($B$1:B6608)+1,0)</f>
        <v>0</v>
      </c>
      <c r="D6609" s="33">
        <f>IF(ISNUMBER(SEARCH('Φόρμα Εισαγωγής'!$C$2,E6609)),MAX($D$1:D6608)+1,0)</f>
        <v>0</v>
      </c>
      <c r="H6609" s="6">
        <f t="shared" si="320"/>
        <v>0</v>
      </c>
      <c r="I6609" s="6">
        <f t="shared" si="321"/>
        <v>0</v>
      </c>
      <c r="J6609" s="6">
        <f t="shared" si="322"/>
        <v>0</v>
      </c>
      <c r="L6609" s="4" t="str">
        <f>IFERROR(VLOOKUP(ROWS($L$2:L6609),$B$2:$C$1996,2,0),"")</f>
        <v/>
      </c>
      <c r="N6609" s="2" t="str">
        <f>IFERROR(VLOOKUP(ROWS($N$2:N6609),$D$2:$E$1996,2,0),"")</f>
        <v/>
      </c>
    </row>
    <row r="6610" spans="2:14">
      <c r="B6610" s="32">
        <f>IF(ISNUMBER(SEARCH('Φόρμα Εισαγωγής'!$B$2,C6610)),MAX($B$1:B6609)+1,0)</f>
        <v>0</v>
      </c>
      <c r="D6610" s="33">
        <f>IF(ISNUMBER(SEARCH('Φόρμα Εισαγωγής'!$C$2,E6610)),MAX($D$1:D6609)+1,0)</f>
        <v>0</v>
      </c>
      <c r="H6610" s="6">
        <f t="shared" si="320"/>
        <v>0</v>
      </c>
      <c r="I6610" s="6">
        <f t="shared" si="321"/>
        <v>0</v>
      </c>
      <c r="J6610" s="6">
        <f t="shared" si="322"/>
        <v>0</v>
      </c>
      <c r="L6610" s="4" t="str">
        <f>IFERROR(VLOOKUP(ROWS($L$2:L6610),$B$2:$C$1996,2,0),"")</f>
        <v/>
      </c>
      <c r="N6610" s="2" t="str">
        <f>IFERROR(VLOOKUP(ROWS($N$2:N6610),$D$2:$E$1996,2,0),"")</f>
        <v/>
      </c>
    </row>
    <row r="6611" spans="2:14">
      <c r="B6611" s="32">
        <f>IF(ISNUMBER(SEARCH('Φόρμα Εισαγωγής'!$B$2,C6611)),MAX($B$1:B6610)+1,0)</f>
        <v>0</v>
      </c>
      <c r="D6611" s="33">
        <f>IF(ISNUMBER(SEARCH('Φόρμα Εισαγωγής'!$C$2,E6611)),MAX($D$1:D6610)+1,0)</f>
        <v>0</v>
      </c>
      <c r="H6611" s="6">
        <f t="shared" si="320"/>
        <v>0</v>
      </c>
      <c r="I6611" s="6">
        <f t="shared" si="321"/>
        <v>0</v>
      </c>
      <c r="J6611" s="6">
        <f t="shared" si="322"/>
        <v>0</v>
      </c>
      <c r="L6611" s="4" t="str">
        <f>IFERROR(VLOOKUP(ROWS($L$2:L6611),$B$2:$C$1996,2,0),"")</f>
        <v/>
      </c>
      <c r="N6611" s="2" t="str">
        <f>IFERROR(VLOOKUP(ROWS($N$2:N6611),$D$2:$E$1996,2,0),"")</f>
        <v/>
      </c>
    </row>
    <row r="6612" spans="2:14">
      <c r="B6612" s="32">
        <f>IF(ISNUMBER(SEARCH('Φόρμα Εισαγωγής'!$B$2,C6612)),MAX($B$1:B6611)+1,0)</f>
        <v>0</v>
      </c>
      <c r="D6612" s="33">
        <f>IF(ISNUMBER(SEARCH('Φόρμα Εισαγωγής'!$C$2,E6612)),MAX($D$1:D6611)+1,0)</f>
        <v>0</v>
      </c>
      <c r="H6612" s="6">
        <f t="shared" si="320"/>
        <v>0</v>
      </c>
      <c r="I6612" s="6">
        <f t="shared" si="321"/>
        <v>0</v>
      </c>
      <c r="J6612" s="6">
        <f t="shared" si="322"/>
        <v>0</v>
      </c>
      <c r="L6612" s="4" t="str">
        <f>IFERROR(VLOOKUP(ROWS($L$2:L6612),$B$2:$C$1996,2,0),"")</f>
        <v/>
      </c>
      <c r="N6612" s="2" t="str">
        <f>IFERROR(VLOOKUP(ROWS($N$2:N6612),$D$2:$E$1996,2,0),"")</f>
        <v/>
      </c>
    </row>
    <row r="6613" spans="2:14">
      <c r="B6613" s="32">
        <f>IF(ISNUMBER(SEARCH('Φόρμα Εισαγωγής'!$B$2,C6613)),MAX($B$1:B6612)+1,0)</f>
        <v>0</v>
      </c>
      <c r="D6613" s="33">
        <f>IF(ISNUMBER(SEARCH('Φόρμα Εισαγωγής'!$C$2,E6613)),MAX($D$1:D6612)+1,0)</f>
        <v>0</v>
      </c>
      <c r="H6613" s="6">
        <f t="shared" si="320"/>
        <v>0</v>
      </c>
      <c r="I6613" s="6">
        <f t="shared" si="321"/>
        <v>0</v>
      </c>
      <c r="J6613" s="6">
        <f t="shared" si="322"/>
        <v>0</v>
      </c>
      <c r="L6613" s="4" t="str">
        <f>IFERROR(VLOOKUP(ROWS($L$2:L6613),$B$2:$C$1996,2,0),"")</f>
        <v/>
      </c>
      <c r="N6613" s="2" t="str">
        <f>IFERROR(VLOOKUP(ROWS($N$2:N6613),$D$2:$E$1996,2,0),"")</f>
        <v/>
      </c>
    </row>
    <row r="6614" spans="2:14">
      <c r="B6614" s="32">
        <f>IF(ISNUMBER(SEARCH('Φόρμα Εισαγωγής'!$B$2,C6614)),MAX($B$1:B6613)+1,0)</f>
        <v>0</v>
      </c>
      <c r="D6614" s="33">
        <f>IF(ISNUMBER(SEARCH('Φόρμα Εισαγωγής'!$C$2,E6614)),MAX($D$1:D6613)+1,0)</f>
        <v>0</v>
      </c>
      <c r="H6614" s="6">
        <f t="shared" si="320"/>
        <v>0</v>
      </c>
      <c r="I6614" s="6">
        <f t="shared" si="321"/>
        <v>0</v>
      </c>
      <c r="J6614" s="6">
        <f t="shared" si="322"/>
        <v>0</v>
      </c>
      <c r="L6614" s="4" t="str">
        <f>IFERROR(VLOOKUP(ROWS($L$2:L6614),$B$2:$C$1996,2,0),"")</f>
        <v/>
      </c>
      <c r="N6614" s="2" t="str">
        <f>IFERROR(VLOOKUP(ROWS($N$2:N6614),$D$2:$E$1996,2,0),"")</f>
        <v/>
      </c>
    </row>
    <row r="6615" spans="2:14">
      <c r="B6615" s="32">
        <f>IF(ISNUMBER(SEARCH('Φόρμα Εισαγωγής'!$B$2,C6615)),MAX($B$1:B6614)+1,0)</f>
        <v>0</v>
      </c>
      <c r="D6615" s="33">
        <f>IF(ISNUMBER(SEARCH('Φόρμα Εισαγωγής'!$C$2,E6615)),MAX($D$1:D6614)+1,0)</f>
        <v>0</v>
      </c>
      <c r="H6615" s="6">
        <f t="shared" si="320"/>
        <v>0</v>
      </c>
      <c r="I6615" s="6">
        <f t="shared" si="321"/>
        <v>0</v>
      </c>
      <c r="J6615" s="6">
        <f t="shared" si="322"/>
        <v>0</v>
      </c>
      <c r="L6615" s="4" t="str">
        <f>IFERROR(VLOOKUP(ROWS($L$2:L6615),$B$2:$C$1996,2,0),"")</f>
        <v/>
      </c>
      <c r="N6615" s="2" t="str">
        <f>IFERROR(VLOOKUP(ROWS($N$2:N6615),$D$2:$E$1996,2,0),"")</f>
        <v/>
      </c>
    </row>
    <row r="6616" spans="2:14">
      <c r="B6616" s="32">
        <f>IF(ISNUMBER(SEARCH('Φόρμα Εισαγωγής'!$B$2,C6616)),MAX($B$1:B6615)+1,0)</f>
        <v>0</v>
      </c>
      <c r="D6616" s="33">
        <f>IF(ISNUMBER(SEARCH('Φόρμα Εισαγωγής'!$C$2,E6616)),MAX($D$1:D6615)+1,0)</f>
        <v>0</v>
      </c>
      <c r="H6616" s="6">
        <f t="shared" si="320"/>
        <v>0</v>
      </c>
      <c r="I6616" s="6">
        <f t="shared" si="321"/>
        <v>0</v>
      </c>
      <c r="J6616" s="6">
        <f t="shared" si="322"/>
        <v>0</v>
      </c>
      <c r="L6616" s="4" t="str">
        <f>IFERROR(VLOOKUP(ROWS($L$2:L6616),$B$2:$C$1996,2,0),"")</f>
        <v/>
      </c>
      <c r="N6616" s="2" t="str">
        <f>IFERROR(VLOOKUP(ROWS($N$2:N6616),$D$2:$E$1996,2,0),"")</f>
        <v/>
      </c>
    </row>
    <row r="6617" spans="2:14">
      <c r="B6617" s="32">
        <f>IF(ISNUMBER(SEARCH('Φόρμα Εισαγωγής'!$B$2,C6617)),MAX($B$1:B6616)+1,0)</f>
        <v>0</v>
      </c>
      <c r="D6617" s="33">
        <f>IF(ISNUMBER(SEARCH('Φόρμα Εισαγωγής'!$C$2,E6617)),MAX($D$1:D6616)+1,0)</f>
        <v>0</v>
      </c>
      <c r="H6617" s="6">
        <f t="shared" si="320"/>
        <v>0</v>
      </c>
      <c r="I6617" s="6">
        <f t="shared" si="321"/>
        <v>0</v>
      </c>
      <c r="J6617" s="6">
        <f t="shared" si="322"/>
        <v>0</v>
      </c>
      <c r="L6617" s="4" t="str">
        <f>IFERROR(VLOOKUP(ROWS($L$2:L6617),$B$2:$C$1996,2,0),"")</f>
        <v/>
      </c>
      <c r="N6617" s="2" t="str">
        <f>IFERROR(VLOOKUP(ROWS($N$2:N6617),$D$2:$E$1996,2,0),"")</f>
        <v/>
      </c>
    </row>
    <row r="6618" spans="2:14">
      <c r="B6618" s="32">
        <f>IF(ISNUMBER(SEARCH('Φόρμα Εισαγωγής'!$B$2,C6618)),MAX($B$1:B6617)+1,0)</f>
        <v>0</v>
      </c>
      <c r="D6618" s="33">
        <f>IF(ISNUMBER(SEARCH('Φόρμα Εισαγωγής'!$C$2,E6618)),MAX($D$1:D6617)+1,0)</f>
        <v>0</v>
      </c>
      <c r="H6618" s="6">
        <f t="shared" si="320"/>
        <v>0</v>
      </c>
      <c r="I6618" s="6">
        <f t="shared" si="321"/>
        <v>0</v>
      </c>
      <c r="J6618" s="6">
        <f t="shared" si="322"/>
        <v>0</v>
      </c>
      <c r="L6618" s="4" t="str">
        <f>IFERROR(VLOOKUP(ROWS($L$2:L6618),$B$2:$C$1996,2,0),"")</f>
        <v/>
      </c>
      <c r="N6618" s="2" t="str">
        <f>IFERROR(VLOOKUP(ROWS($N$2:N6618),$D$2:$E$1996,2,0),"")</f>
        <v/>
      </c>
    </row>
    <row r="6619" spans="2:14">
      <c r="B6619" s="32">
        <f>IF(ISNUMBER(SEARCH('Φόρμα Εισαγωγής'!$B$2,C6619)),MAX($B$1:B6618)+1,0)</f>
        <v>0</v>
      </c>
      <c r="D6619" s="33">
        <f>IF(ISNUMBER(SEARCH('Φόρμα Εισαγωγής'!$C$2,E6619)),MAX($D$1:D6618)+1,0)</f>
        <v>0</v>
      </c>
      <c r="H6619" s="6">
        <f t="shared" si="320"/>
        <v>0</v>
      </c>
      <c r="I6619" s="6">
        <f t="shared" si="321"/>
        <v>0</v>
      </c>
      <c r="J6619" s="6">
        <f t="shared" si="322"/>
        <v>0</v>
      </c>
      <c r="L6619" s="4" t="str">
        <f>IFERROR(VLOOKUP(ROWS($L$2:L6619),$B$2:$C$1996,2,0),"")</f>
        <v/>
      </c>
      <c r="N6619" s="2" t="str">
        <f>IFERROR(VLOOKUP(ROWS($N$2:N6619),$D$2:$E$1996,2,0),"")</f>
        <v/>
      </c>
    </row>
    <row r="6620" spans="2:14">
      <c r="B6620" s="32">
        <f>IF(ISNUMBER(SEARCH('Φόρμα Εισαγωγής'!$B$2,C6620)),MAX($B$1:B6619)+1,0)</f>
        <v>0</v>
      </c>
      <c r="D6620" s="33">
        <f>IF(ISNUMBER(SEARCH('Φόρμα Εισαγωγής'!$C$2,E6620)),MAX($D$1:D6619)+1,0)</f>
        <v>0</v>
      </c>
      <c r="H6620" s="6">
        <f t="shared" si="320"/>
        <v>0</v>
      </c>
      <c r="I6620" s="6">
        <f t="shared" si="321"/>
        <v>0</v>
      </c>
      <c r="J6620" s="6">
        <f t="shared" si="322"/>
        <v>0</v>
      </c>
      <c r="L6620" s="4" t="str">
        <f>IFERROR(VLOOKUP(ROWS($L$2:L6620),$B$2:$C$1996,2,0),"")</f>
        <v/>
      </c>
      <c r="N6620" s="2" t="str">
        <f>IFERROR(VLOOKUP(ROWS($N$2:N6620),$D$2:$E$1996,2,0),"")</f>
        <v/>
      </c>
    </row>
    <row r="6621" spans="2:14">
      <c r="B6621" s="32">
        <f>IF(ISNUMBER(SEARCH('Φόρμα Εισαγωγής'!$B$2,C6621)),MAX($B$1:B6620)+1,0)</f>
        <v>0</v>
      </c>
      <c r="D6621" s="33">
        <f>IF(ISNUMBER(SEARCH('Φόρμα Εισαγωγής'!$C$2,E6621)),MAX($D$1:D6620)+1,0)</f>
        <v>0</v>
      </c>
      <c r="H6621" s="6">
        <f t="shared" si="320"/>
        <v>0</v>
      </c>
      <c r="I6621" s="6">
        <f t="shared" si="321"/>
        <v>0</v>
      </c>
      <c r="J6621" s="6">
        <f t="shared" si="322"/>
        <v>0</v>
      </c>
      <c r="L6621" s="4" t="str">
        <f>IFERROR(VLOOKUP(ROWS($L$2:L6621),$B$2:$C$1996,2,0),"")</f>
        <v/>
      </c>
      <c r="N6621" s="2" t="str">
        <f>IFERROR(VLOOKUP(ROWS($N$2:N6621),$D$2:$E$1996,2,0),"")</f>
        <v/>
      </c>
    </row>
    <row r="6622" spans="2:14">
      <c r="B6622" s="32">
        <f>IF(ISNUMBER(SEARCH('Φόρμα Εισαγωγής'!$B$2,C6622)),MAX($B$1:B6621)+1,0)</f>
        <v>0</v>
      </c>
      <c r="D6622" s="33">
        <f>IF(ISNUMBER(SEARCH('Φόρμα Εισαγωγής'!$C$2,E6622)),MAX($D$1:D6621)+1,0)</f>
        <v>0</v>
      </c>
      <c r="H6622" s="6">
        <f t="shared" si="320"/>
        <v>0</v>
      </c>
      <c r="I6622" s="6">
        <f t="shared" si="321"/>
        <v>0</v>
      </c>
      <c r="J6622" s="6">
        <f t="shared" si="322"/>
        <v>0</v>
      </c>
      <c r="L6622" s="4" t="str">
        <f>IFERROR(VLOOKUP(ROWS($L$2:L6622),$B$2:$C$1996,2,0),"")</f>
        <v/>
      </c>
      <c r="N6622" s="2" t="str">
        <f>IFERROR(VLOOKUP(ROWS($N$2:N6622),$D$2:$E$1996,2,0),"")</f>
        <v/>
      </c>
    </row>
    <row r="6623" spans="2:14">
      <c r="B6623" s="32">
        <f>IF(ISNUMBER(SEARCH('Φόρμα Εισαγωγής'!$B$2,C6623)),MAX($B$1:B6622)+1,0)</f>
        <v>0</v>
      </c>
      <c r="D6623" s="33">
        <f>IF(ISNUMBER(SEARCH('Φόρμα Εισαγωγής'!$C$2,E6623)),MAX($D$1:D6622)+1,0)</f>
        <v>0</v>
      </c>
      <c r="H6623" s="6">
        <f t="shared" si="320"/>
        <v>0</v>
      </c>
      <c r="I6623" s="6">
        <f t="shared" si="321"/>
        <v>0</v>
      </c>
      <c r="J6623" s="6">
        <f t="shared" si="322"/>
        <v>0</v>
      </c>
      <c r="L6623" s="4" t="str">
        <f>IFERROR(VLOOKUP(ROWS($L$2:L6623),$B$2:$C$1996,2,0),"")</f>
        <v/>
      </c>
      <c r="N6623" s="2" t="str">
        <f>IFERROR(VLOOKUP(ROWS($N$2:N6623),$D$2:$E$1996,2,0),"")</f>
        <v/>
      </c>
    </row>
    <row r="6624" spans="2:14">
      <c r="B6624" s="32">
        <f>IF(ISNUMBER(SEARCH('Φόρμα Εισαγωγής'!$B$2,C6624)),MAX($B$1:B6623)+1,0)</f>
        <v>0</v>
      </c>
      <c r="D6624" s="33">
        <f>IF(ISNUMBER(SEARCH('Φόρμα Εισαγωγής'!$C$2,E6624)),MAX($D$1:D6623)+1,0)</f>
        <v>0</v>
      </c>
      <c r="H6624" s="6">
        <f t="shared" si="320"/>
        <v>0</v>
      </c>
      <c r="I6624" s="6">
        <f t="shared" si="321"/>
        <v>0</v>
      </c>
      <c r="J6624" s="6">
        <f t="shared" si="322"/>
        <v>0</v>
      </c>
      <c r="L6624" s="4" t="str">
        <f>IFERROR(VLOOKUP(ROWS($L$2:L6624),$B$2:$C$1996,2,0),"")</f>
        <v/>
      </c>
      <c r="N6624" s="2" t="str">
        <f>IFERROR(VLOOKUP(ROWS($N$2:N6624),$D$2:$E$1996,2,0),"")</f>
        <v/>
      </c>
    </row>
    <row r="6625" spans="2:14">
      <c r="B6625" s="32">
        <f>IF(ISNUMBER(SEARCH('Φόρμα Εισαγωγής'!$B$2,C6625)),MAX($B$1:B6624)+1,0)</f>
        <v>0</v>
      </c>
      <c r="D6625" s="33">
        <f>IF(ISNUMBER(SEARCH('Φόρμα Εισαγωγής'!$C$2,E6625)),MAX($D$1:D6624)+1,0)</f>
        <v>0</v>
      </c>
      <c r="H6625" s="6">
        <f t="shared" si="320"/>
        <v>0</v>
      </c>
      <c r="I6625" s="6">
        <f t="shared" si="321"/>
        <v>0</v>
      </c>
      <c r="J6625" s="6">
        <f t="shared" si="322"/>
        <v>0</v>
      </c>
      <c r="L6625" s="4" t="str">
        <f>IFERROR(VLOOKUP(ROWS($L$2:L6625),$B$2:$C$1996,2,0),"")</f>
        <v/>
      </c>
      <c r="N6625" s="2" t="str">
        <f>IFERROR(VLOOKUP(ROWS($N$2:N6625),$D$2:$E$1996,2,0),"")</f>
        <v/>
      </c>
    </row>
    <row r="6626" spans="2:14">
      <c r="B6626" s="32">
        <f>IF(ISNUMBER(SEARCH('Φόρμα Εισαγωγής'!$B$2,C6626)),MAX($B$1:B6625)+1,0)</f>
        <v>0</v>
      </c>
      <c r="D6626" s="33">
        <f>IF(ISNUMBER(SEARCH('Φόρμα Εισαγωγής'!$C$2,E6626)),MAX($D$1:D6625)+1,0)</f>
        <v>0</v>
      </c>
      <c r="H6626" s="6">
        <f t="shared" si="320"/>
        <v>0</v>
      </c>
      <c r="I6626" s="6">
        <f t="shared" si="321"/>
        <v>0</v>
      </c>
      <c r="J6626" s="6">
        <f t="shared" si="322"/>
        <v>0</v>
      </c>
      <c r="L6626" s="4" t="str">
        <f>IFERROR(VLOOKUP(ROWS($L$2:L6626),$B$2:$C$1996,2,0),"")</f>
        <v/>
      </c>
      <c r="N6626" s="2" t="str">
        <f>IFERROR(VLOOKUP(ROWS($N$2:N6626),$D$2:$E$1996,2,0),"")</f>
        <v/>
      </c>
    </row>
    <row r="6627" spans="2:14">
      <c r="B6627" s="32">
        <f>IF(ISNUMBER(SEARCH('Φόρμα Εισαγωγής'!$B$2,C6627)),MAX($B$1:B6626)+1,0)</f>
        <v>0</v>
      </c>
      <c r="D6627" s="33">
        <f>IF(ISNUMBER(SEARCH('Φόρμα Εισαγωγής'!$C$2,E6627)),MAX($D$1:D6626)+1,0)</f>
        <v>0</v>
      </c>
      <c r="H6627" s="6">
        <f t="shared" si="320"/>
        <v>0</v>
      </c>
      <c r="I6627" s="6">
        <f t="shared" si="321"/>
        <v>0</v>
      </c>
      <c r="J6627" s="6">
        <f t="shared" si="322"/>
        <v>0</v>
      </c>
      <c r="L6627" s="4" t="str">
        <f>IFERROR(VLOOKUP(ROWS($L$2:L6627),$B$2:$C$1996,2,0),"")</f>
        <v/>
      </c>
      <c r="N6627" s="2" t="str">
        <f>IFERROR(VLOOKUP(ROWS($N$2:N6627),$D$2:$E$1996,2,0),"")</f>
        <v/>
      </c>
    </row>
    <row r="6628" spans="2:14">
      <c r="B6628" s="32">
        <f>IF(ISNUMBER(SEARCH('Φόρμα Εισαγωγής'!$B$2,C6628)),MAX($B$1:B6627)+1,0)</f>
        <v>0</v>
      </c>
      <c r="D6628" s="33">
        <f>IF(ISNUMBER(SEARCH('Φόρμα Εισαγωγής'!$C$2,E6628)),MAX($D$1:D6627)+1,0)</f>
        <v>0</v>
      </c>
      <c r="H6628" s="6">
        <f t="shared" si="320"/>
        <v>0</v>
      </c>
      <c r="I6628" s="6">
        <f t="shared" si="321"/>
        <v>0</v>
      </c>
      <c r="J6628" s="6">
        <f t="shared" si="322"/>
        <v>0</v>
      </c>
      <c r="L6628" s="4" t="str">
        <f>IFERROR(VLOOKUP(ROWS($L$2:L6628),$B$2:$C$1996,2,0),"")</f>
        <v/>
      </c>
      <c r="N6628" s="2" t="str">
        <f>IFERROR(VLOOKUP(ROWS($N$2:N6628),$D$2:$E$1996,2,0),"")</f>
        <v/>
      </c>
    </row>
    <row r="6629" spans="2:14">
      <c r="B6629" s="32">
        <f>IF(ISNUMBER(SEARCH('Φόρμα Εισαγωγής'!$B$2,C6629)),MAX($B$1:B6628)+1,0)</f>
        <v>0</v>
      </c>
      <c r="D6629" s="33">
        <f>IF(ISNUMBER(SEARCH('Φόρμα Εισαγωγής'!$C$2,E6629)),MAX($D$1:D6628)+1,0)</f>
        <v>0</v>
      </c>
      <c r="H6629" s="6">
        <f t="shared" si="320"/>
        <v>0</v>
      </c>
      <c r="I6629" s="6">
        <f t="shared" si="321"/>
        <v>0</v>
      </c>
      <c r="J6629" s="6">
        <f t="shared" si="322"/>
        <v>0</v>
      </c>
      <c r="L6629" s="4" t="str">
        <f>IFERROR(VLOOKUP(ROWS($L$2:L6629),$B$2:$C$1996,2,0),"")</f>
        <v/>
      </c>
      <c r="N6629" s="2" t="str">
        <f>IFERROR(VLOOKUP(ROWS($N$2:N6629),$D$2:$E$1996,2,0),"")</f>
        <v/>
      </c>
    </row>
    <row r="6630" spans="2:14">
      <c r="B6630" s="32">
        <f>IF(ISNUMBER(SEARCH('Φόρμα Εισαγωγής'!$B$2,C6630)),MAX($B$1:B6629)+1,0)</f>
        <v>0</v>
      </c>
      <c r="D6630" s="33">
        <f>IF(ISNUMBER(SEARCH('Φόρμα Εισαγωγής'!$C$2,E6630)),MAX($D$1:D6629)+1,0)</f>
        <v>0</v>
      </c>
      <c r="H6630" s="6">
        <f t="shared" si="320"/>
        <v>0</v>
      </c>
      <c r="I6630" s="6">
        <f t="shared" si="321"/>
        <v>0</v>
      </c>
      <c r="J6630" s="6">
        <f t="shared" si="322"/>
        <v>0</v>
      </c>
      <c r="L6630" s="4" t="str">
        <f>IFERROR(VLOOKUP(ROWS($L$2:L6630),$B$2:$C$1996,2,0),"")</f>
        <v/>
      </c>
      <c r="N6630" s="2" t="str">
        <f>IFERROR(VLOOKUP(ROWS($N$2:N6630),$D$2:$E$1996,2,0),"")</f>
        <v/>
      </c>
    </row>
    <row r="6631" spans="2:14">
      <c r="B6631" s="32">
        <f>IF(ISNUMBER(SEARCH('Φόρμα Εισαγωγής'!$B$2,C6631)),MAX($B$1:B6630)+1,0)</f>
        <v>0</v>
      </c>
      <c r="D6631" s="33">
        <f>IF(ISNUMBER(SEARCH('Φόρμα Εισαγωγής'!$C$2,E6631)),MAX($D$1:D6630)+1,0)</f>
        <v>0</v>
      </c>
      <c r="H6631" s="6">
        <f t="shared" si="320"/>
        <v>0</v>
      </c>
      <c r="I6631" s="6">
        <f t="shared" si="321"/>
        <v>0</v>
      </c>
      <c r="J6631" s="6">
        <f t="shared" si="322"/>
        <v>0</v>
      </c>
      <c r="L6631" s="4" t="str">
        <f>IFERROR(VLOOKUP(ROWS($L$2:L6631),$B$2:$C$1996,2,0),"")</f>
        <v/>
      </c>
      <c r="N6631" s="2" t="str">
        <f>IFERROR(VLOOKUP(ROWS($N$2:N6631),$D$2:$E$1996,2,0),"")</f>
        <v/>
      </c>
    </row>
    <row r="6632" spans="2:14">
      <c r="B6632" s="32">
        <f>IF(ISNUMBER(SEARCH('Φόρμα Εισαγωγής'!$B$2,C6632)),MAX($B$1:B6631)+1,0)</f>
        <v>0</v>
      </c>
      <c r="D6632" s="33">
        <f>IF(ISNUMBER(SEARCH('Φόρμα Εισαγωγής'!$C$2,E6632)),MAX($D$1:D6631)+1,0)</f>
        <v>0</v>
      </c>
      <c r="H6632" s="6">
        <f t="shared" si="320"/>
        <v>0</v>
      </c>
      <c r="I6632" s="6">
        <f t="shared" si="321"/>
        <v>0</v>
      </c>
      <c r="J6632" s="6">
        <f t="shared" si="322"/>
        <v>0</v>
      </c>
      <c r="L6632" s="4" t="str">
        <f>IFERROR(VLOOKUP(ROWS($L$2:L6632),$B$2:$C$1996,2,0),"")</f>
        <v/>
      </c>
      <c r="N6632" s="2" t="str">
        <f>IFERROR(VLOOKUP(ROWS($N$2:N6632),$D$2:$E$1996,2,0),"")</f>
        <v/>
      </c>
    </row>
    <row r="6633" spans="2:14">
      <c r="B6633" s="32">
        <f>IF(ISNUMBER(SEARCH('Φόρμα Εισαγωγής'!$B$2,C6633)),MAX($B$1:B6632)+1,0)</f>
        <v>0</v>
      </c>
      <c r="D6633" s="33">
        <f>IF(ISNUMBER(SEARCH('Φόρμα Εισαγωγής'!$C$2,E6633)),MAX($D$1:D6632)+1,0)</f>
        <v>0</v>
      </c>
      <c r="H6633" s="6">
        <f t="shared" si="320"/>
        <v>0</v>
      </c>
      <c r="I6633" s="6">
        <f t="shared" si="321"/>
        <v>0</v>
      </c>
      <c r="J6633" s="6">
        <f t="shared" si="322"/>
        <v>0</v>
      </c>
      <c r="L6633" s="4" t="str">
        <f>IFERROR(VLOOKUP(ROWS($L$2:L6633),$B$2:$C$1996,2,0),"")</f>
        <v/>
      </c>
      <c r="N6633" s="2" t="str">
        <f>IFERROR(VLOOKUP(ROWS($N$2:N6633),$D$2:$E$1996,2,0),"")</f>
        <v/>
      </c>
    </row>
    <row r="6634" spans="2:14">
      <c r="B6634" s="32">
        <f>IF(ISNUMBER(SEARCH('Φόρμα Εισαγωγής'!$B$2,C6634)),MAX($B$1:B6633)+1,0)</f>
        <v>0</v>
      </c>
      <c r="D6634" s="33">
        <f>IF(ISNUMBER(SEARCH('Φόρμα Εισαγωγής'!$C$2,E6634)),MAX($D$1:D6633)+1,0)</f>
        <v>0</v>
      </c>
      <c r="H6634" s="6">
        <f t="shared" si="320"/>
        <v>0</v>
      </c>
      <c r="I6634" s="6">
        <f t="shared" si="321"/>
        <v>0</v>
      </c>
      <c r="J6634" s="6">
        <f t="shared" si="322"/>
        <v>0</v>
      </c>
      <c r="L6634" s="4" t="str">
        <f>IFERROR(VLOOKUP(ROWS($L$2:L6634),$B$2:$C$1996,2,0),"")</f>
        <v/>
      </c>
      <c r="N6634" s="2" t="str">
        <f>IFERROR(VLOOKUP(ROWS($N$2:N6634),$D$2:$E$1996,2,0),"")</f>
        <v/>
      </c>
    </row>
    <row r="6635" spans="2:14">
      <c r="B6635" s="32">
        <f>IF(ISNUMBER(SEARCH('Φόρμα Εισαγωγής'!$B$2,C6635)),MAX($B$1:B6634)+1,0)</f>
        <v>0</v>
      </c>
      <c r="D6635" s="33">
        <f>IF(ISNUMBER(SEARCH('Φόρμα Εισαγωγής'!$C$2,E6635)),MAX($D$1:D6634)+1,0)</f>
        <v>0</v>
      </c>
      <c r="H6635" s="6">
        <f t="shared" si="320"/>
        <v>0</v>
      </c>
      <c r="I6635" s="6">
        <f t="shared" si="321"/>
        <v>0</v>
      </c>
      <c r="J6635" s="6">
        <f t="shared" si="322"/>
        <v>0</v>
      </c>
      <c r="L6635" s="4" t="str">
        <f>IFERROR(VLOOKUP(ROWS($L$2:L6635),$B$2:$C$1996,2,0),"")</f>
        <v/>
      </c>
      <c r="N6635" s="2" t="str">
        <f>IFERROR(VLOOKUP(ROWS($N$2:N6635),$D$2:$E$1996,2,0),"")</f>
        <v/>
      </c>
    </row>
    <row r="6636" spans="2:14">
      <c r="B6636" s="32">
        <f>IF(ISNUMBER(SEARCH('Φόρμα Εισαγωγής'!$B$2,C6636)),MAX($B$1:B6635)+1,0)</f>
        <v>0</v>
      </c>
      <c r="D6636" s="33">
        <f>IF(ISNUMBER(SEARCH('Φόρμα Εισαγωγής'!$C$2,E6636)),MAX($D$1:D6635)+1,0)</f>
        <v>0</v>
      </c>
      <c r="H6636" s="6">
        <f t="shared" si="320"/>
        <v>0</v>
      </c>
      <c r="I6636" s="6">
        <f t="shared" si="321"/>
        <v>0</v>
      </c>
      <c r="J6636" s="6">
        <f t="shared" si="322"/>
        <v>0</v>
      </c>
      <c r="L6636" s="4" t="str">
        <f>IFERROR(VLOOKUP(ROWS($L$2:L6636),$B$2:$C$1996,2,0),"")</f>
        <v/>
      </c>
      <c r="N6636" s="2" t="str">
        <f>IFERROR(VLOOKUP(ROWS($N$2:N6636),$D$2:$E$1996,2,0),"")</f>
        <v/>
      </c>
    </row>
    <row r="6637" spans="2:14">
      <c r="B6637" s="32">
        <f>IF(ISNUMBER(SEARCH('Φόρμα Εισαγωγής'!$B$2,C6637)),MAX($B$1:B6636)+1,0)</f>
        <v>0</v>
      </c>
      <c r="D6637" s="33">
        <f>IF(ISNUMBER(SEARCH('Φόρμα Εισαγωγής'!$C$2,E6637)),MAX($D$1:D6636)+1,0)</f>
        <v>0</v>
      </c>
      <c r="H6637" s="6">
        <f t="shared" si="320"/>
        <v>0</v>
      </c>
      <c r="I6637" s="6">
        <f t="shared" si="321"/>
        <v>0</v>
      </c>
      <c r="J6637" s="6">
        <f t="shared" si="322"/>
        <v>0</v>
      </c>
      <c r="L6637" s="4" t="str">
        <f>IFERROR(VLOOKUP(ROWS($L$2:L6637),$B$2:$C$1996,2,0),"")</f>
        <v/>
      </c>
      <c r="N6637" s="2" t="str">
        <f>IFERROR(VLOOKUP(ROWS($N$2:N6637),$D$2:$E$1996,2,0),"")</f>
        <v/>
      </c>
    </row>
    <row r="6638" spans="2:14">
      <c r="B6638" s="32">
        <f>IF(ISNUMBER(SEARCH('Φόρμα Εισαγωγής'!$B$2,C6638)),MAX($B$1:B6637)+1,0)</f>
        <v>0</v>
      </c>
      <c r="D6638" s="33">
        <f>IF(ISNUMBER(SEARCH('Φόρμα Εισαγωγής'!$C$2,E6638)),MAX($D$1:D6637)+1,0)</f>
        <v>0</v>
      </c>
      <c r="H6638" s="6">
        <f t="shared" si="320"/>
        <v>0</v>
      </c>
      <c r="I6638" s="6">
        <f t="shared" si="321"/>
        <v>0</v>
      </c>
      <c r="J6638" s="6">
        <f t="shared" si="322"/>
        <v>0</v>
      </c>
      <c r="L6638" s="4" t="str">
        <f>IFERROR(VLOOKUP(ROWS($L$2:L6638),$B$2:$C$1996,2,0),"")</f>
        <v/>
      </c>
      <c r="N6638" s="2" t="str">
        <f>IFERROR(VLOOKUP(ROWS($N$2:N6638),$D$2:$E$1996,2,0),"")</f>
        <v/>
      </c>
    </row>
    <row r="6639" spans="2:14">
      <c r="B6639" s="32">
        <f>IF(ISNUMBER(SEARCH('Φόρμα Εισαγωγής'!$B$2,C6639)),MAX($B$1:B6638)+1,0)</f>
        <v>0</v>
      </c>
      <c r="D6639" s="33">
        <f>IF(ISNUMBER(SEARCH('Φόρμα Εισαγωγής'!$C$2,E6639)),MAX($D$1:D6638)+1,0)</f>
        <v>0</v>
      </c>
      <c r="H6639" s="6">
        <f t="shared" si="320"/>
        <v>0</v>
      </c>
      <c r="I6639" s="6">
        <f t="shared" si="321"/>
        <v>0</v>
      </c>
      <c r="J6639" s="6">
        <f t="shared" si="322"/>
        <v>0</v>
      </c>
      <c r="L6639" s="4" t="str">
        <f>IFERROR(VLOOKUP(ROWS($L$2:L6639),$B$2:$C$1996,2,0),"")</f>
        <v/>
      </c>
      <c r="N6639" s="2" t="str">
        <f>IFERROR(VLOOKUP(ROWS($N$2:N6639),$D$2:$E$1996,2,0),"")</f>
        <v/>
      </c>
    </row>
    <row r="6640" spans="2:14">
      <c r="B6640" s="32">
        <f>IF(ISNUMBER(SEARCH('Φόρμα Εισαγωγής'!$B$2,C6640)),MAX($B$1:B6639)+1,0)</f>
        <v>0</v>
      </c>
      <c r="D6640" s="33">
        <f>IF(ISNUMBER(SEARCH('Φόρμα Εισαγωγής'!$C$2,E6640)),MAX($D$1:D6639)+1,0)</f>
        <v>0</v>
      </c>
      <c r="H6640" s="6">
        <f t="shared" si="320"/>
        <v>0</v>
      </c>
      <c r="I6640" s="6">
        <f t="shared" si="321"/>
        <v>0</v>
      </c>
      <c r="J6640" s="6">
        <f t="shared" si="322"/>
        <v>0</v>
      </c>
      <c r="L6640" s="4" t="str">
        <f>IFERROR(VLOOKUP(ROWS($L$2:L6640),$B$2:$C$1996,2,0),"")</f>
        <v/>
      </c>
      <c r="N6640" s="2" t="str">
        <f>IFERROR(VLOOKUP(ROWS($N$2:N6640),$D$2:$E$1996,2,0),"")</f>
        <v/>
      </c>
    </row>
    <row r="6641" spans="2:14">
      <c r="B6641" s="32">
        <f>IF(ISNUMBER(SEARCH('Φόρμα Εισαγωγής'!$B$2,C6641)),MAX($B$1:B6640)+1,0)</f>
        <v>0</v>
      </c>
      <c r="D6641" s="33">
        <f>IF(ISNUMBER(SEARCH('Φόρμα Εισαγωγής'!$C$2,E6641)),MAX($D$1:D6640)+1,0)</f>
        <v>0</v>
      </c>
      <c r="H6641" s="6">
        <f t="shared" si="320"/>
        <v>0</v>
      </c>
      <c r="I6641" s="6">
        <f t="shared" si="321"/>
        <v>0</v>
      </c>
      <c r="J6641" s="6">
        <f t="shared" si="322"/>
        <v>0</v>
      </c>
      <c r="L6641" s="4" t="str">
        <f>IFERROR(VLOOKUP(ROWS($L$2:L6641),$B$2:$C$1996,2,0),"")</f>
        <v/>
      </c>
      <c r="N6641" s="2" t="str">
        <f>IFERROR(VLOOKUP(ROWS($N$2:N6641),$D$2:$E$1996,2,0),"")</f>
        <v/>
      </c>
    </row>
    <row r="6642" spans="2:14">
      <c r="B6642" s="32">
        <f>IF(ISNUMBER(SEARCH('Φόρμα Εισαγωγής'!$B$2,C6642)),MAX($B$1:B6641)+1,0)</f>
        <v>0</v>
      </c>
      <c r="D6642" s="33">
        <f>IF(ISNUMBER(SEARCH('Φόρμα Εισαγωγής'!$C$2,E6642)),MAX($D$1:D6641)+1,0)</f>
        <v>0</v>
      </c>
      <c r="H6642" s="6">
        <f t="shared" si="320"/>
        <v>0</v>
      </c>
      <c r="I6642" s="6">
        <f t="shared" si="321"/>
        <v>0</v>
      </c>
      <c r="J6642" s="6">
        <f t="shared" si="322"/>
        <v>0</v>
      </c>
      <c r="L6642" s="4" t="str">
        <f>IFERROR(VLOOKUP(ROWS($L$2:L6642),$B$2:$C$1996,2,0),"")</f>
        <v/>
      </c>
      <c r="N6642" s="2" t="str">
        <f>IFERROR(VLOOKUP(ROWS($N$2:N6642),$D$2:$E$1996,2,0),"")</f>
        <v/>
      </c>
    </row>
    <row r="6643" spans="2:14">
      <c r="B6643" s="32">
        <f>IF(ISNUMBER(SEARCH('Φόρμα Εισαγωγής'!$B$2,C6643)),MAX($B$1:B6642)+1,0)</f>
        <v>0</v>
      </c>
      <c r="D6643" s="33">
        <f>IF(ISNUMBER(SEARCH('Φόρμα Εισαγωγής'!$C$2,E6643)),MAX($D$1:D6642)+1,0)</f>
        <v>0</v>
      </c>
      <c r="H6643" s="6">
        <f t="shared" si="320"/>
        <v>0</v>
      </c>
      <c r="I6643" s="6">
        <f t="shared" si="321"/>
        <v>0</v>
      </c>
      <c r="J6643" s="6">
        <f t="shared" si="322"/>
        <v>0</v>
      </c>
      <c r="L6643" s="4" t="str">
        <f>IFERROR(VLOOKUP(ROWS($L$2:L6643),$B$2:$C$1996,2,0),"")</f>
        <v/>
      </c>
      <c r="N6643" s="2" t="str">
        <f>IFERROR(VLOOKUP(ROWS($N$2:N6643),$D$2:$E$1996,2,0),"")</f>
        <v/>
      </c>
    </row>
    <row r="6644" spans="2:14">
      <c r="B6644" s="32">
        <f>IF(ISNUMBER(SEARCH('Φόρμα Εισαγωγής'!$B$2,C6644)),MAX($B$1:B6643)+1,0)</f>
        <v>0</v>
      </c>
      <c r="D6644" s="33">
        <f>IF(ISNUMBER(SEARCH('Φόρμα Εισαγωγής'!$C$2,E6644)),MAX($D$1:D6643)+1,0)</f>
        <v>0</v>
      </c>
      <c r="H6644" s="6">
        <f t="shared" si="320"/>
        <v>0</v>
      </c>
      <c r="I6644" s="6">
        <f t="shared" si="321"/>
        <v>0</v>
      </c>
      <c r="J6644" s="6">
        <f t="shared" si="322"/>
        <v>0</v>
      </c>
      <c r="L6644" s="4" t="str">
        <f>IFERROR(VLOOKUP(ROWS($L$2:L6644),$B$2:$C$1996,2,0),"")</f>
        <v/>
      </c>
      <c r="N6644" s="2" t="str">
        <f>IFERROR(VLOOKUP(ROWS($N$2:N6644),$D$2:$E$1996,2,0),"")</f>
        <v/>
      </c>
    </row>
    <row r="6645" spans="2:14">
      <c r="B6645" s="32">
        <f>IF(ISNUMBER(SEARCH('Φόρμα Εισαγωγής'!$B$2,C6645)),MAX($B$1:B6644)+1,0)</f>
        <v>0</v>
      </c>
      <c r="D6645" s="33">
        <f>IF(ISNUMBER(SEARCH('Φόρμα Εισαγωγής'!$C$2,E6645)),MAX($D$1:D6644)+1,0)</f>
        <v>0</v>
      </c>
      <c r="H6645" s="6">
        <f t="shared" si="320"/>
        <v>0</v>
      </c>
      <c r="I6645" s="6">
        <f t="shared" si="321"/>
        <v>0</v>
      </c>
      <c r="J6645" s="6">
        <f t="shared" si="322"/>
        <v>0</v>
      </c>
      <c r="L6645" s="4" t="str">
        <f>IFERROR(VLOOKUP(ROWS($L$2:L6645),$B$2:$C$1996,2,0),"")</f>
        <v/>
      </c>
      <c r="N6645" s="2" t="str">
        <f>IFERROR(VLOOKUP(ROWS($N$2:N6645),$D$2:$E$1996,2,0),"")</f>
        <v/>
      </c>
    </row>
    <row r="6646" spans="2:14">
      <c r="B6646" s="32">
        <f>IF(ISNUMBER(SEARCH('Φόρμα Εισαγωγής'!$B$2,C6646)),MAX($B$1:B6645)+1,0)</f>
        <v>0</v>
      </c>
      <c r="D6646" s="33">
        <f>IF(ISNUMBER(SEARCH('Φόρμα Εισαγωγής'!$C$2,E6646)),MAX($D$1:D6645)+1,0)</f>
        <v>0</v>
      </c>
      <c r="H6646" s="6">
        <f t="shared" si="320"/>
        <v>0</v>
      </c>
      <c r="I6646" s="6">
        <f t="shared" si="321"/>
        <v>0</v>
      </c>
      <c r="J6646" s="6">
        <f t="shared" si="322"/>
        <v>0</v>
      </c>
      <c r="L6646" s="4" t="str">
        <f>IFERROR(VLOOKUP(ROWS($L$2:L6646),$B$2:$C$1996,2,0),"")</f>
        <v/>
      </c>
      <c r="N6646" s="2" t="str">
        <f>IFERROR(VLOOKUP(ROWS($N$2:N6646),$D$2:$E$1996,2,0),"")</f>
        <v/>
      </c>
    </row>
    <row r="6647" spans="2:14">
      <c r="B6647" s="32">
        <f>IF(ISNUMBER(SEARCH('Φόρμα Εισαγωγής'!$B$2,C6647)),MAX($B$1:B6646)+1,0)</f>
        <v>0</v>
      </c>
      <c r="D6647" s="33">
        <f>IF(ISNUMBER(SEARCH('Φόρμα Εισαγωγής'!$C$2,E6647)),MAX($D$1:D6646)+1,0)</f>
        <v>0</v>
      </c>
      <c r="H6647" s="6">
        <f t="shared" si="320"/>
        <v>0</v>
      </c>
      <c r="I6647" s="6">
        <f t="shared" si="321"/>
        <v>0</v>
      </c>
      <c r="J6647" s="6">
        <f t="shared" si="322"/>
        <v>0</v>
      </c>
      <c r="L6647" s="4" t="str">
        <f>IFERROR(VLOOKUP(ROWS($L$2:L6647),$B$2:$C$1996,2,0),"")</f>
        <v/>
      </c>
      <c r="N6647" s="2" t="str">
        <f>IFERROR(VLOOKUP(ROWS($N$2:N6647),$D$2:$E$1996,2,0),"")</f>
        <v/>
      </c>
    </row>
    <row r="6648" spans="2:14">
      <c r="B6648" s="32">
        <f>IF(ISNUMBER(SEARCH('Φόρμα Εισαγωγής'!$B$2,C6648)),MAX($B$1:B6647)+1,0)</f>
        <v>0</v>
      </c>
      <c r="D6648" s="33">
        <f>IF(ISNUMBER(SEARCH('Φόρμα Εισαγωγής'!$C$2,E6648)),MAX($D$1:D6647)+1,0)</f>
        <v>0</v>
      </c>
      <c r="H6648" s="6">
        <f t="shared" si="320"/>
        <v>0</v>
      </c>
      <c r="I6648" s="6">
        <f t="shared" si="321"/>
        <v>0</v>
      </c>
      <c r="J6648" s="6">
        <f t="shared" si="322"/>
        <v>0</v>
      </c>
      <c r="L6648" s="4" t="str">
        <f>IFERROR(VLOOKUP(ROWS($L$2:L6648),$B$2:$C$1996,2,0),"")</f>
        <v/>
      </c>
      <c r="N6648" s="2" t="str">
        <f>IFERROR(VLOOKUP(ROWS($N$2:N6648),$D$2:$E$1996,2,0),"")</f>
        <v/>
      </c>
    </row>
    <row r="6649" spans="2:14">
      <c r="B6649" s="32">
        <f>IF(ISNUMBER(SEARCH('Φόρμα Εισαγωγής'!$B$2,C6649)),MAX($B$1:B6648)+1,0)</f>
        <v>0</v>
      </c>
      <c r="D6649" s="33">
        <f>IF(ISNUMBER(SEARCH('Φόρμα Εισαγωγής'!$C$2,E6649)),MAX($D$1:D6648)+1,0)</f>
        <v>0</v>
      </c>
      <c r="H6649" s="6">
        <f t="shared" si="320"/>
        <v>0</v>
      </c>
      <c r="I6649" s="6">
        <f t="shared" si="321"/>
        <v>0</v>
      </c>
      <c r="J6649" s="6">
        <f t="shared" si="322"/>
        <v>0</v>
      </c>
      <c r="L6649" s="4" t="str">
        <f>IFERROR(VLOOKUP(ROWS($L$2:L6649),$B$2:$C$1996,2,0),"")</f>
        <v/>
      </c>
      <c r="N6649" s="2" t="str">
        <f>IFERROR(VLOOKUP(ROWS($N$2:N6649),$D$2:$E$1996,2,0),"")</f>
        <v/>
      </c>
    </row>
    <row r="6650" spans="2:14">
      <c r="B6650" s="32">
        <f>IF(ISNUMBER(SEARCH('Φόρμα Εισαγωγής'!$B$2,C6650)),MAX($B$1:B6649)+1,0)</f>
        <v>0</v>
      </c>
      <c r="D6650" s="33">
        <f>IF(ISNUMBER(SEARCH('Φόρμα Εισαγωγής'!$C$2,E6650)),MAX($D$1:D6649)+1,0)</f>
        <v>0</v>
      </c>
      <c r="H6650" s="6">
        <f t="shared" si="320"/>
        <v>0</v>
      </c>
      <c r="I6650" s="6">
        <f t="shared" si="321"/>
        <v>0</v>
      </c>
      <c r="J6650" s="6">
        <f t="shared" si="322"/>
        <v>0</v>
      </c>
      <c r="L6650" s="4" t="str">
        <f>IFERROR(VLOOKUP(ROWS($L$2:L6650),$B$2:$C$1996,2,0),"")</f>
        <v/>
      </c>
      <c r="N6650" s="2" t="str">
        <f>IFERROR(VLOOKUP(ROWS($N$2:N6650),$D$2:$E$1996,2,0),"")</f>
        <v/>
      </c>
    </row>
    <row r="6651" spans="2:14">
      <c r="B6651" s="32">
        <f>IF(ISNUMBER(SEARCH('Φόρμα Εισαγωγής'!$B$2,C6651)),MAX($B$1:B6650)+1,0)</f>
        <v>0</v>
      </c>
      <c r="D6651" s="33">
        <f>IF(ISNUMBER(SEARCH('Φόρμα Εισαγωγής'!$C$2,E6651)),MAX($D$1:D6650)+1,0)</f>
        <v>0</v>
      </c>
      <c r="H6651" s="6">
        <f t="shared" si="320"/>
        <v>0</v>
      </c>
      <c r="I6651" s="6">
        <f t="shared" si="321"/>
        <v>0</v>
      </c>
      <c r="J6651" s="6">
        <f t="shared" si="322"/>
        <v>0</v>
      </c>
      <c r="L6651" s="4" t="str">
        <f>IFERROR(VLOOKUP(ROWS($L$2:L6651),$B$2:$C$1996,2,0),"")</f>
        <v/>
      </c>
      <c r="N6651" s="2" t="str">
        <f>IFERROR(VLOOKUP(ROWS($N$2:N6651),$D$2:$E$1996,2,0),"")</f>
        <v/>
      </c>
    </row>
    <row r="6652" spans="2:14">
      <c r="B6652" s="32">
        <f>IF(ISNUMBER(SEARCH('Φόρμα Εισαγωγής'!$B$2,C6652)),MAX($B$1:B6651)+1,0)</f>
        <v>0</v>
      </c>
      <c r="D6652" s="33">
        <f>IF(ISNUMBER(SEARCH('Φόρμα Εισαγωγής'!$C$2,E6652)),MAX($D$1:D6651)+1,0)</f>
        <v>0</v>
      </c>
      <c r="H6652" s="6">
        <f t="shared" si="320"/>
        <v>0</v>
      </c>
      <c r="I6652" s="6">
        <f t="shared" si="321"/>
        <v>0</v>
      </c>
      <c r="J6652" s="6">
        <f t="shared" si="322"/>
        <v>0</v>
      </c>
      <c r="L6652" s="4" t="str">
        <f>IFERROR(VLOOKUP(ROWS($L$2:L6652),$B$2:$C$1996,2,0),"")</f>
        <v/>
      </c>
      <c r="N6652" s="2" t="str">
        <f>IFERROR(VLOOKUP(ROWS($N$2:N6652),$D$2:$E$1996,2,0),"")</f>
        <v/>
      </c>
    </row>
    <row r="6653" spans="2:14">
      <c r="B6653" s="32">
        <f>IF(ISNUMBER(SEARCH('Φόρμα Εισαγωγής'!$B$2,C6653)),MAX($B$1:B6652)+1,0)</f>
        <v>0</v>
      </c>
      <c r="D6653" s="33">
        <f>IF(ISNUMBER(SEARCH('Φόρμα Εισαγωγής'!$C$2,E6653)),MAX($D$1:D6652)+1,0)</f>
        <v>0</v>
      </c>
      <c r="H6653" s="6">
        <f t="shared" si="320"/>
        <v>0</v>
      </c>
      <c r="I6653" s="6">
        <f t="shared" si="321"/>
        <v>0</v>
      </c>
      <c r="J6653" s="6">
        <f t="shared" si="322"/>
        <v>0</v>
      </c>
      <c r="L6653" s="4" t="str">
        <f>IFERROR(VLOOKUP(ROWS($L$2:L6653),$B$2:$C$1996,2,0),"")</f>
        <v/>
      </c>
      <c r="N6653" s="2" t="str">
        <f>IFERROR(VLOOKUP(ROWS($N$2:N6653),$D$2:$E$1996,2,0),"")</f>
        <v/>
      </c>
    </row>
    <row r="6654" spans="2:14">
      <c r="B6654" s="32">
        <f>IF(ISNUMBER(SEARCH('Φόρμα Εισαγωγής'!$B$2,C6654)),MAX($B$1:B6653)+1,0)</f>
        <v>0</v>
      </c>
      <c r="D6654" s="33">
        <f>IF(ISNUMBER(SEARCH('Φόρμα Εισαγωγής'!$C$2,E6654)),MAX($D$1:D6653)+1,0)</f>
        <v>0</v>
      </c>
      <c r="H6654" s="6">
        <f t="shared" si="320"/>
        <v>0</v>
      </c>
      <c r="I6654" s="6">
        <f t="shared" si="321"/>
        <v>0</v>
      </c>
      <c r="J6654" s="6">
        <f t="shared" si="322"/>
        <v>0</v>
      </c>
      <c r="L6654" s="4" t="str">
        <f>IFERROR(VLOOKUP(ROWS($L$2:L6654),$B$2:$C$1996,2,0),"")</f>
        <v/>
      </c>
      <c r="N6654" s="2" t="str">
        <f>IFERROR(VLOOKUP(ROWS($N$2:N6654),$D$2:$E$1996,2,0),"")</f>
        <v/>
      </c>
    </row>
    <row r="6655" spans="2:14">
      <c r="B6655" s="32">
        <f>IF(ISNUMBER(SEARCH('Φόρμα Εισαγωγής'!$B$2,C6655)),MAX($B$1:B6654)+1,0)</f>
        <v>0</v>
      </c>
      <c r="D6655" s="33">
        <f>IF(ISNUMBER(SEARCH('Φόρμα Εισαγωγής'!$C$2,E6655)),MAX($D$1:D6654)+1,0)</f>
        <v>0</v>
      </c>
      <c r="H6655" s="6">
        <f t="shared" si="320"/>
        <v>0</v>
      </c>
      <c r="I6655" s="6">
        <f t="shared" si="321"/>
        <v>0</v>
      </c>
      <c r="J6655" s="6">
        <f t="shared" si="322"/>
        <v>0</v>
      </c>
      <c r="L6655" s="4" t="str">
        <f>IFERROR(VLOOKUP(ROWS($L$2:L6655),$B$2:$C$1996,2,0),"")</f>
        <v/>
      </c>
      <c r="N6655" s="2" t="str">
        <f>IFERROR(VLOOKUP(ROWS($N$2:N6655),$D$2:$E$1996,2,0),"")</f>
        <v/>
      </c>
    </row>
    <row r="6656" spans="2:14">
      <c r="B6656" s="32">
        <f>IF(ISNUMBER(SEARCH('Φόρμα Εισαγωγής'!$B$2,C6656)),MAX($B$1:B6655)+1,0)</f>
        <v>0</v>
      </c>
      <c r="D6656" s="33">
        <f>IF(ISNUMBER(SEARCH('Φόρμα Εισαγωγής'!$C$2,E6656)),MAX($D$1:D6655)+1,0)</f>
        <v>0</v>
      </c>
      <c r="H6656" s="6">
        <f t="shared" ref="H6656:H6719" si="323">G6656+(G6656*0.24)</f>
        <v>0</v>
      </c>
      <c r="I6656" s="6">
        <f t="shared" ref="I6656:I6719" si="324">F6656*A6656</f>
        <v>0</v>
      </c>
      <c r="J6656" s="6">
        <f t="shared" ref="J6656:J6719" si="325">H6656*A6656</f>
        <v>0</v>
      </c>
      <c r="L6656" s="4" t="str">
        <f>IFERROR(VLOOKUP(ROWS($L$2:L6656),$B$2:$C$1996,2,0),"")</f>
        <v/>
      </c>
      <c r="N6656" s="2" t="str">
        <f>IFERROR(VLOOKUP(ROWS($N$2:N6656),$D$2:$E$1996,2,0),"")</f>
        <v/>
      </c>
    </row>
    <row r="6657" spans="2:14">
      <c r="B6657" s="32">
        <f>IF(ISNUMBER(SEARCH('Φόρμα Εισαγωγής'!$B$2,C6657)),MAX($B$1:B6656)+1,0)</f>
        <v>0</v>
      </c>
      <c r="D6657" s="33">
        <f>IF(ISNUMBER(SEARCH('Φόρμα Εισαγωγής'!$C$2,E6657)),MAX($D$1:D6656)+1,0)</f>
        <v>0</v>
      </c>
      <c r="H6657" s="6">
        <f t="shared" si="323"/>
        <v>0</v>
      </c>
      <c r="I6657" s="6">
        <f t="shared" si="324"/>
        <v>0</v>
      </c>
      <c r="J6657" s="6">
        <f t="shared" si="325"/>
        <v>0</v>
      </c>
      <c r="L6657" s="4" t="str">
        <f>IFERROR(VLOOKUP(ROWS($L$2:L6657),$B$2:$C$1996,2,0),"")</f>
        <v/>
      </c>
      <c r="N6657" s="2" t="str">
        <f>IFERROR(VLOOKUP(ROWS($N$2:N6657),$D$2:$E$1996,2,0),"")</f>
        <v/>
      </c>
    </row>
    <row r="6658" spans="2:14">
      <c r="B6658" s="32">
        <f>IF(ISNUMBER(SEARCH('Φόρμα Εισαγωγής'!$B$2,C6658)),MAX($B$1:B6657)+1,0)</f>
        <v>0</v>
      </c>
      <c r="D6658" s="33">
        <f>IF(ISNUMBER(SEARCH('Φόρμα Εισαγωγής'!$C$2,E6658)),MAX($D$1:D6657)+1,0)</f>
        <v>0</v>
      </c>
      <c r="H6658" s="6">
        <f t="shared" si="323"/>
        <v>0</v>
      </c>
      <c r="I6658" s="6">
        <f t="shared" si="324"/>
        <v>0</v>
      </c>
      <c r="J6658" s="6">
        <f t="shared" si="325"/>
        <v>0</v>
      </c>
      <c r="L6658" s="4" t="str">
        <f>IFERROR(VLOOKUP(ROWS($L$2:L6658),$B$2:$C$1996,2,0),"")</f>
        <v/>
      </c>
      <c r="N6658" s="2" t="str">
        <f>IFERROR(VLOOKUP(ROWS($N$2:N6658),$D$2:$E$1996,2,0),"")</f>
        <v/>
      </c>
    </row>
    <row r="6659" spans="2:14">
      <c r="B6659" s="32">
        <f>IF(ISNUMBER(SEARCH('Φόρμα Εισαγωγής'!$B$2,C6659)),MAX($B$1:B6658)+1,0)</f>
        <v>0</v>
      </c>
      <c r="D6659" s="33">
        <f>IF(ISNUMBER(SEARCH('Φόρμα Εισαγωγής'!$C$2,E6659)),MAX($D$1:D6658)+1,0)</f>
        <v>0</v>
      </c>
      <c r="H6659" s="6">
        <f t="shared" si="323"/>
        <v>0</v>
      </c>
      <c r="I6659" s="6">
        <f t="shared" si="324"/>
        <v>0</v>
      </c>
      <c r="J6659" s="6">
        <f t="shared" si="325"/>
        <v>0</v>
      </c>
      <c r="L6659" s="4" t="str">
        <f>IFERROR(VLOOKUP(ROWS($L$2:L6659),$B$2:$C$1996,2,0),"")</f>
        <v/>
      </c>
      <c r="N6659" s="2" t="str">
        <f>IFERROR(VLOOKUP(ROWS($N$2:N6659),$D$2:$E$1996,2,0),"")</f>
        <v/>
      </c>
    </row>
    <row r="6660" spans="2:14">
      <c r="B6660" s="32">
        <f>IF(ISNUMBER(SEARCH('Φόρμα Εισαγωγής'!$B$2,C6660)),MAX($B$1:B6659)+1,0)</f>
        <v>0</v>
      </c>
      <c r="D6660" s="33">
        <f>IF(ISNUMBER(SEARCH('Φόρμα Εισαγωγής'!$C$2,E6660)),MAX($D$1:D6659)+1,0)</f>
        <v>0</v>
      </c>
      <c r="H6660" s="6">
        <f t="shared" si="323"/>
        <v>0</v>
      </c>
      <c r="I6660" s="6">
        <f t="shared" si="324"/>
        <v>0</v>
      </c>
      <c r="J6660" s="6">
        <f t="shared" si="325"/>
        <v>0</v>
      </c>
      <c r="L6660" s="4" t="str">
        <f>IFERROR(VLOOKUP(ROWS($L$2:L6660),$B$2:$C$1996,2,0),"")</f>
        <v/>
      </c>
      <c r="N6660" s="2" t="str">
        <f>IFERROR(VLOOKUP(ROWS($N$2:N6660),$D$2:$E$1996,2,0),"")</f>
        <v/>
      </c>
    </row>
    <row r="6661" spans="2:14">
      <c r="B6661" s="32">
        <f>IF(ISNUMBER(SEARCH('Φόρμα Εισαγωγής'!$B$2,C6661)),MAX($B$1:B6660)+1,0)</f>
        <v>0</v>
      </c>
      <c r="D6661" s="33">
        <f>IF(ISNUMBER(SEARCH('Φόρμα Εισαγωγής'!$C$2,E6661)),MAX($D$1:D6660)+1,0)</f>
        <v>0</v>
      </c>
      <c r="H6661" s="6">
        <f t="shared" si="323"/>
        <v>0</v>
      </c>
      <c r="I6661" s="6">
        <f t="shared" si="324"/>
        <v>0</v>
      </c>
      <c r="J6661" s="6">
        <f t="shared" si="325"/>
        <v>0</v>
      </c>
      <c r="L6661" s="4" t="str">
        <f>IFERROR(VLOOKUP(ROWS($L$2:L6661),$B$2:$C$1996,2,0),"")</f>
        <v/>
      </c>
      <c r="N6661" s="2" t="str">
        <f>IFERROR(VLOOKUP(ROWS($N$2:N6661),$D$2:$E$1996,2,0),"")</f>
        <v/>
      </c>
    </row>
    <row r="6662" spans="2:14">
      <c r="B6662" s="32">
        <f>IF(ISNUMBER(SEARCH('Φόρμα Εισαγωγής'!$B$2,C6662)),MAX($B$1:B6661)+1,0)</f>
        <v>0</v>
      </c>
      <c r="D6662" s="33">
        <f>IF(ISNUMBER(SEARCH('Φόρμα Εισαγωγής'!$C$2,E6662)),MAX($D$1:D6661)+1,0)</f>
        <v>0</v>
      </c>
      <c r="H6662" s="6">
        <f t="shared" si="323"/>
        <v>0</v>
      </c>
      <c r="I6662" s="6">
        <f t="shared" si="324"/>
        <v>0</v>
      </c>
      <c r="J6662" s="6">
        <f t="shared" si="325"/>
        <v>0</v>
      </c>
      <c r="L6662" s="4" t="str">
        <f>IFERROR(VLOOKUP(ROWS($L$2:L6662),$B$2:$C$1996,2,0),"")</f>
        <v/>
      </c>
      <c r="N6662" s="2" t="str">
        <f>IFERROR(VLOOKUP(ROWS($N$2:N6662),$D$2:$E$1996,2,0),"")</f>
        <v/>
      </c>
    </row>
    <row r="6663" spans="2:14">
      <c r="B6663" s="32">
        <f>IF(ISNUMBER(SEARCH('Φόρμα Εισαγωγής'!$B$2,C6663)),MAX($B$1:B6662)+1,0)</f>
        <v>0</v>
      </c>
      <c r="D6663" s="33">
        <f>IF(ISNUMBER(SEARCH('Φόρμα Εισαγωγής'!$C$2,E6663)),MAX($D$1:D6662)+1,0)</f>
        <v>0</v>
      </c>
      <c r="H6663" s="6">
        <f t="shared" si="323"/>
        <v>0</v>
      </c>
      <c r="I6663" s="6">
        <f t="shared" si="324"/>
        <v>0</v>
      </c>
      <c r="J6663" s="6">
        <f t="shared" si="325"/>
        <v>0</v>
      </c>
      <c r="L6663" s="4" t="str">
        <f>IFERROR(VLOOKUP(ROWS($L$2:L6663),$B$2:$C$1996,2,0),"")</f>
        <v/>
      </c>
      <c r="N6663" s="2" t="str">
        <f>IFERROR(VLOOKUP(ROWS($N$2:N6663),$D$2:$E$1996,2,0),"")</f>
        <v/>
      </c>
    </row>
    <row r="6664" spans="2:14">
      <c r="B6664" s="32">
        <f>IF(ISNUMBER(SEARCH('Φόρμα Εισαγωγής'!$B$2,C6664)),MAX($B$1:B6663)+1,0)</f>
        <v>0</v>
      </c>
      <c r="D6664" s="33">
        <f>IF(ISNUMBER(SEARCH('Φόρμα Εισαγωγής'!$C$2,E6664)),MAX($D$1:D6663)+1,0)</f>
        <v>0</v>
      </c>
      <c r="H6664" s="6">
        <f t="shared" si="323"/>
        <v>0</v>
      </c>
      <c r="I6664" s="6">
        <f t="shared" si="324"/>
        <v>0</v>
      </c>
      <c r="J6664" s="6">
        <f t="shared" si="325"/>
        <v>0</v>
      </c>
      <c r="L6664" s="4" t="str">
        <f>IFERROR(VLOOKUP(ROWS($L$2:L6664),$B$2:$C$1996,2,0),"")</f>
        <v/>
      </c>
      <c r="N6664" s="2" t="str">
        <f>IFERROR(VLOOKUP(ROWS($N$2:N6664),$D$2:$E$1996,2,0),"")</f>
        <v/>
      </c>
    </row>
    <row r="6665" spans="2:14">
      <c r="B6665" s="32">
        <f>IF(ISNUMBER(SEARCH('Φόρμα Εισαγωγής'!$B$2,C6665)),MAX($B$1:B6664)+1,0)</f>
        <v>0</v>
      </c>
      <c r="D6665" s="33">
        <f>IF(ISNUMBER(SEARCH('Φόρμα Εισαγωγής'!$C$2,E6665)),MAX($D$1:D6664)+1,0)</f>
        <v>0</v>
      </c>
      <c r="H6665" s="6">
        <f t="shared" si="323"/>
        <v>0</v>
      </c>
      <c r="I6665" s="6">
        <f t="shared" si="324"/>
        <v>0</v>
      </c>
      <c r="J6665" s="6">
        <f t="shared" si="325"/>
        <v>0</v>
      </c>
      <c r="L6665" s="4" t="str">
        <f>IFERROR(VLOOKUP(ROWS($L$2:L6665),$B$2:$C$1996,2,0),"")</f>
        <v/>
      </c>
      <c r="N6665" s="2" t="str">
        <f>IFERROR(VLOOKUP(ROWS($N$2:N6665),$D$2:$E$1996,2,0),"")</f>
        <v/>
      </c>
    </row>
    <row r="6666" spans="2:14">
      <c r="B6666" s="32">
        <f>IF(ISNUMBER(SEARCH('Φόρμα Εισαγωγής'!$B$2,C6666)),MAX($B$1:B6665)+1,0)</f>
        <v>0</v>
      </c>
      <c r="D6666" s="33">
        <f>IF(ISNUMBER(SEARCH('Φόρμα Εισαγωγής'!$C$2,E6666)),MAX($D$1:D6665)+1,0)</f>
        <v>0</v>
      </c>
      <c r="H6666" s="6">
        <f t="shared" si="323"/>
        <v>0</v>
      </c>
      <c r="I6666" s="6">
        <f t="shared" si="324"/>
        <v>0</v>
      </c>
      <c r="J6666" s="6">
        <f t="shared" si="325"/>
        <v>0</v>
      </c>
      <c r="L6666" s="4" t="str">
        <f>IFERROR(VLOOKUP(ROWS($L$2:L6666),$B$2:$C$1996,2,0),"")</f>
        <v/>
      </c>
      <c r="N6666" s="2" t="str">
        <f>IFERROR(VLOOKUP(ROWS($N$2:N6666),$D$2:$E$1996,2,0),"")</f>
        <v/>
      </c>
    </row>
    <row r="6667" spans="2:14">
      <c r="B6667" s="32">
        <f>IF(ISNUMBER(SEARCH('Φόρμα Εισαγωγής'!$B$2,C6667)),MAX($B$1:B6666)+1,0)</f>
        <v>0</v>
      </c>
      <c r="D6667" s="33">
        <f>IF(ISNUMBER(SEARCH('Φόρμα Εισαγωγής'!$C$2,E6667)),MAX($D$1:D6666)+1,0)</f>
        <v>0</v>
      </c>
      <c r="H6667" s="6">
        <f t="shared" si="323"/>
        <v>0</v>
      </c>
      <c r="I6667" s="6">
        <f t="shared" si="324"/>
        <v>0</v>
      </c>
      <c r="J6667" s="6">
        <f t="shared" si="325"/>
        <v>0</v>
      </c>
      <c r="L6667" s="4" t="str">
        <f>IFERROR(VLOOKUP(ROWS($L$2:L6667),$B$2:$C$1996,2,0),"")</f>
        <v/>
      </c>
      <c r="N6667" s="2" t="str">
        <f>IFERROR(VLOOKUP(ROWS($N$2:N6667),$D$2:$E$1996,2,0),"")</f>
        <v/>
      </c>
    </row>
    <row r="6668" spans="2:14">
      <c r="B6668" s="32">
        <f>IF(ISNUMBER(SEARCH('Φόρμα Εισαγωγής'!$B$2,C6668)),MAX($B$1:B6667)+1,0)</f>
        <v>0</v>
      </c>
      <c r="D6668" s="33">
        <f>IF(ISNUMBER(SEARCH('Φόρμα Εισαγωγής'!$C$2,E6668)),MAX($D$1:D6667)+1,0)</f>
        <v>0</v>
      </c>
      <c r="H6668" s="6">
        <f t="shared" si="323"/>
        <v>0</v>
      </c>
      <c r="I6668" s="6">
        <f t="shared" si="324"/>
        <v>0</v>
      </c>
      <c r="J6668" s="6">
        <f t="shared" si="325"/>
        <v>0</v>
      </c>
      <c r="L6668" s="4" t="str">
        <f>IFERROR(VLOOKUP(ROWS($L$2:L6668),$B$2:$C$1996,2,0),"")</f>
        <v/>
      </c>
      <c r="N6668" s="2" t="str">
        <f>IFERROR(VLOOKUP(ROWS($N$2:N6668),$D$2:$E$1996,2,0),"")</f>
        <v/>
      </c>
    </row>
    <row r="6669" spans="2:14">
      <c r="B6669" s="32">
        <f>IF(ISNUMBER(SEARCH('Φόρμα Εισαγωγής'!$B$2,C6669)),MAX($B$1:B6668)+1,0)</f>
        <v>0</v>
      </c>
      <c r="D6669" s="33">
        <f>IF(ISNUMBER(SEARCH('Φόρμα Εισαγωγής'!$C$2,E6669)),MAX($D$1:D6668)+1,0)</f>
        <v>0</v>
      </c>
      <c r="H6669" s="6">
        <f t="shared" si="323"/>
        <v>0</v>
      </c>
      <c r="I6669" s="6">
        <f t="shared" si="324"/>
        <v>0</v>
      </c>
      <c r="J6669" s="6">
        <f t="shared" si="325"/>
        <v>0</v>
      </c>
      <c r="L6669" s="4" t="str">
        <f>IFERROR(VLOOKUP(ROWS($L$2:L6669),$B$2:$C$1996,2,0),"")</f>
        <v/>
      </c>
      <c r="N6669" s="2" t="str">
        <f>IFERROR(VLOOKUP(ROWS($N$2:N6669),$D$2:$E$1996,2,0),"")</f>
        <v/>
      </c>
    </row>
    <row r="6670" spans="2:14">
      <c r="B6670" s="32">
        <f>IF(ISNUMBER(SEARCH('Φόρμα Εισαγωγής'!$B$2,C6670)),MAX($B$1:B6669)+1,0)</f>
        <v>0</v>
      </c>
      <c r="D6670" s="33">
        <f>IF(ISNUMBER(SEARCH('Φόρμα Εισαγωγής'!$C$2,E6670)),MAX($D$1:D6669)+1,0)</f>
        <v>0</v>
      </c>
      <c r="H6670" s="6">
        <f t="shared" si="323"/>
        <v>0</v>
      </c>
      <c r="I6670" s="6">
        <f t="shared" si="324"/>
        <v>0</v>
      </c>
      <c r="J6670" s="6">
        <f t="shared" si="325"/>
        <v>0</v>
      </c>
      <c r="L6670" s="4" t="str">
        <f>IFERROR(VLOOKUP(ROWS($L$2:L6670),$B$2:$C$1996,2,0),"")</f>
        <v/>
      </c>
      <c r="N6670" s="2" t="str">
        <f>IFERROR(VLOOKUP(ROWS($N$2:N6670),$D$2:$E$1996,2,0),"")</f>
        <v/>
      </c>
    </row>
    <row r="6671" spans="2:14">
      <c r="B6671" s="32">
        <f>IF(ISNUMBER(SEARCH('Φόρμα Εισαγωγής'!$B$2,C6671)),MAX($B$1:B6670)+1,0)</f>
        <v>0</v>
      </c>
      <c r="D6671" s="33">
        <f>IF(ISNUMBER(SEARCH('Φόρμα Εισαγωγής'!$C$2,E6671)),MAX($D$1:D6670)+1,0)</f>
        <v>0</v>
      </c>
      <c r="H6671" s="6">
        <f t="shared" si="323"/>
        <v>0</v>
      </c>
      <c r="I6671" s="6">
        <f t="shared" si="324"/>
        <v>0</v>
      </c>
      <c r="J6671" s="6">
        <f t="shared" si="325"/>
        <v>0</v>
      </c>
      <c r="L6671" s="4" t="str">
        <f>IFERROR(VLOOKUP(ROWS($L$2:L6671),$B$2:$C$1996,2,0),"")</f>
        <v/>
      </c>
      <c r="N6671" s="2" t="str">
        <f>IFERROR(VLOOKUP(ROWS($N$2:N6671),$D$2:$E$1996,2,0),"")</f>
        <v/>
      </c>
    </row>
    <row r="6672" spans="2:14">
      <c r="B6672" s="32">
        <f>IF(ISNUMBER(SEARCH('Φόρμα Εισαγωγής'!$B$2,C6672)),MAX($B$1:B6671)+1,0)</f>
        <v>0</v>
      </c>
      <c r="D6672" s="33">
        <f>IF(ISNUMBER(SEARCH('Φόρμα Εισαγωγής'!$C$2,E6672)),MAX($D$1:D6671)+1,0)</f>
        <v>0</v>
      </c>
      <c r="H6672" s="6">
        <f t="shared" si="323"/>
        <v>0</v>
      </c>
      <c r="I6672" s="6">
        <f t="shared" si="324"/>
        <v>0</v>
      </c>
      <c r="J6672" s="6">
        <f t="shared" si="325"/>
        <v>0</v>
      </c>
      <c r="L6672" s="4" t="str">
        <f>IFERROR(VLOOKUP(ROWS($L$2:L6672),$B$2:$C$1996,2,0),"")</f>
        <v/>
      </c>
      <c r="N6672" s="2" t="str">
        <f>IFERROR(VLOOKUP(ROWS($N$2:N6672),$D$2:$E$1996,2,0),"")</f>
        <v/>
      </c>
    </row>
    <row r="6673" spans="2:14">
      <c r="B6673" s="32">
        <f>IF(ISNUMBER(SEARCH('Φόρμα Εισαγωγής'!$B$2,C6673)),MAX($B$1:B6672)+1,0)</f>
        <v>0</v>
      </c>
      <c r="D6673" s="33">
        <f>IF(ISNUMBER(SEARCH('Φόρμα Εισαγωγής'!$C$2,E6673)),MAX($D$1:D6672)+1,0)</f>
        <v>0</v>
      </c>
      <c r="H6673" s="6">
        <f t="shared" si="323"/>
        <v>0</v>
      </c>
      <c r="I6673" s="6">
        <f t="shared" si="324"/>
        <v>0</v>
      </c>
      <c r="J6673" s="6">
        <f t="shared" si="325"/>
        <v>0</v>
      </c>
      <c r="L6673" s="4" t="str">
        <f>IFERROR(VLOOKUP(ROWS($L$2:L6673),$B$2:$C$1996,2,0),"")</f>
        <v/>
      </c>
      <c r="N6673" s="2" t="str">
        <f>IFERROR(VLOOKUP(ROWS($N$2:N6673),$D$2:$E$1996,2,0),"")</f>
        <v/>
      </c>
    </row>
    <row r="6674" spans="2:14">
      <c r="B6674" s="32">
        <f>IF(ISNUMBER(SEARCH('Φόρμα Εισαγωγής'!$B$2,C6674)),MAX($B$1:B6673)+1,0)</f>
        <v>0</v>
      </c>
      <c r="D6674" s="33">
        <f>IF(ISNUMBER(SEARCH('Φόρμα Εισαγωγής'!$C$2,E6674)),MAX($D$1:D6673)+1,0)</f>
        <v>0</v>
      </c>
      <c r="H6674" s="6">
        <f t="shared" si="323"/>
        <v>0</v>
      </c>
      <c r="I6674" s="6">
        <f t="shared" si="324"/>
        <v>0</v>
      </c>
      <c r="J6674" s="6">
        <f t="shared" si="325"/>
        <v>0</v>
      </c>
      <c r="L6674" s="4" t="str">
        <f>IFERROR(VLOOKUP(ROWS($L$2:L6674),$B$2:$C$1996,2,0),"")</f>
        <v/>
      </c>
      <c r="N6674" s="2" t="str">
        <f>IFERROR(VLOOKUP(ROWS($N$2:N6674),$D$2:$E$1996,2,0),"")</f>
        <v/>
      </c>
    </row>
    <row r="6675" spans="2:14">
      <c r="B6675" s="32">
        <f>IF(ISNUMBER(SEARCH('Φόρμα Εισαγωγής'!$B$2,C6675)),MAX($B$1:B6674)+1,0)</f>
        <v>0</v>
      </c>
      <c r="D6675" s="33">
        <f>IF(ISNUMBER(SEARCH('Φόρμα Εισαγωγής'!$C$2,E6675)),MAX($D$1:D6674)+1,0)</f>
        <v>0</v>
      </c>
      <c r="H6675" s="6">
        <f t="shared" si="323"/>
        <v>0</v>
      </c>
      <c r="I6675" s="6">
        <f t="shared" si="324"/>
        <v>0</v>
      </c>
      <c r="J6675" s="6">
        <f t="shared" si="325"/>
        <v>0</v>
      </c>
      <c r="L6675" s="4" t="str">
        <f>IFERROR(VLOOKUP(ROWS($L$2:L6675),$B$2:$C$1996,2,0),"")</f>
        <v/>
      </c>
      <c r="N6675" s="2" t="str">
        <f>IFERROR(VLOOKUP(ROWS($N$2:N6675),$D$2:$E$1996,2,0),"")</f>
        <v/>
      </c>
    </row>
    <row r="6676" spans="2:14">
      <c r="B6676" s="32">
        <f>IF(ISNUMBER(SEARCH('Φόρμα Εισαγωγής'!$B$2,C6676)),MAX($B$1:B6675)+1,0)</f>
        <v>0</v>
      </c>
      <c r="D6676" s="33">
        <f>IF(ISNUMBER(SEARCH('Φόρμα Εισαγωγής'!$C$2,E6676)),MAX($D$1:D6675)+1,0)</f>
        <v>0</v>
      </c>
      <c r="H6676" s="6">
        <f t="shared" si="323"/>
        <v>0</v>
      </c>
      <c r="I6676" s="6">
        <f t="shared" si="324"/>
        <v>0</v>
      </c>
      <c r="J6676" s="6">
        <f t="shared" si="325"/>
        <v>0</v>
      </c>
      <c r="L6676" s="4" t="str">
        <f>IFERROR(VLOOKUP(ROWS($L$2:L6676),$B$2:$C$1996,2,0),"")</f>
        <v/>
      </c>
      <c r="N6676" s="2" t="str">
        <f>IFERROR(VLOOKUP(ROWS($N$2:N6676),$D$2:$E$1996,2,0),"")</f>
        <v/>
      </c>
    </row>
    <row r="6677" spans="2:14">
      <c r="B6677" s="32">
        <f>IF(ISNUMBER(SEARCH('Φόρμα Εισαγωγής'!$B$2,C6677)),MAX($B$1:B6676)+1,0)</f>
        <v>0</v>
      </c>
      <c r="D6677" s="33">
        <f>IF(ISNUMBER(SEARCH('Φόρμα Εισαγωγής'!$C$2,E6677)),MAX($D$1:D6676)+1,0)</f>
        <v>0</v>
      </c>
      <c r="H6677" s="6">
        <f t="shared" si="323"/>
        <v>0</v>
      </c>
      <c r="I6677" s="6">
        <f t="shared" si="324"/>
        <v>0</v>
      </c>
      <c r="J6677" s="6">
        <f t="shared" si="325"/>
        <v>0</v>
      </c>
      <c r="L6677" s="4" t="str">
        <f>IFERROR(VLOOKUP(ROWS($L$2:L6677),$B$2:$C$1996,2,0),"")</f>
        <v/>
      </c>
      <c r="N6677" s="2" t="str">
        <f>IFERROR(VLOOKUP(ROWS($N$2:N6677),$D$2:$E$1996,2,0),"")</f>
        <v/>
      </c>
    </row>
    <row r="6678" spans="2:14">
      <c r="B6678" s="32">
        <f>IF(ISNUMBER(SEARCH('Φόρμα Εισαγωγής'!$B$2,C6678)),MAX($B$1:B6677)+1,0)</f>
        <v>0</v>
      </c>
      <c r="D6678" s="33">
        <f>IF(ISNUMBER(SEARCH('Φόρμα Εισαγωγής'!$C$2,E6678)),MAX($D$1:D6677)+1,0)</f>
        <v>0</v>
      </c>
      <c r="H6678" s="6">
        <f t="shared" si="323"/>
        <v>0</v>
      </c>
      <c r="I6678" s="6">
        <f t="shared" si="324"/>
        <v>0</v>
      </c>
      <c r="J6678" s="6">
        <f t="shared" si="325"/>
        <v>0</v>
      </c>
      <c r="L6678" s="4" t="str">
        <f>IFERROR(VLOOKUP(ROWS($L$2:L6678),$B$2:$C$1996,2,0),"")</f>
        <v/>
      </c>
      <c r="N6678" s="2" t="str">
        <f>IFERROR(VLOOKUP(ROWS($N$2:N6678),$D$2:$E$1996,2,0),"")</f>
        <v/>
      </c>
    </row>
    <row r="6679" spans="2:14">
      <c r="B6679" s="32">
        <f>IF(ISNUMBER(SEARCH('Φόρμα Εισαγωγής'!$B$2,C6679)),MAX($B$1:B6678)+1,0)</f>
        <v>0</v>
      </c>
      <c r="D6679" s="33">
        <f>IF(ISNUMBER(SEARCH('Φόρμα Εισαγωγής'!$C$2,E6679)),MAX($D$1:D6678)+1,0)</f>
        <v>0</v>
      </c>
      <c r="H6679" s="6">
        <f t="shared" si="323"/>
        <v>0</v>
      </c>
      <c r="I6679" s="6">
        <f t="shared" si="324"/>
        <v>0</v>
      </c>
      <c r="J6679" s="6">
        <f t="shared" si="325"/>
        <v>0</v>
      </c>
      <c r="L6679" s="4" t="str">
        <f>IFERROR(VLOOKUP(ROWS($L$2:L6679),$B$2:$C$1996,2,0),"")</f>
        <v/>
      </c>
      <c r="N6679" s="2" t="str">
        <f>IFERROR(VLOOKUP(ROWS($N$2:N6679),$D$2:$E$1996,2,0),"")</f>
        <v/>
      </c>
    </row>
    <row r="6680" spans="2:14">
      <c r="B6680" s="32">
        <f>IF(ISNUMBER(SEARCH('Φόρμα Εισαγωγής'!$B$2,C6680)),MAX($B$1:B6679)+1,0)</f>
        <v>0</v>
      </c>
      <c r="D6680" s="33">
        <f>IF(ISNUMBER(SEARCH('Φόρμα Εισαγωγής'!$C$2,E6680)),MAX($D$1:D6679)+1,0)</f>
        <v>0</v>
      </c>
      <c r="H6680" s="6">
        <f t="shared" si="323"/>
        <v>0</v>
      </c>
      <c r="I6680" s="6">
        <f t="shared" si="324"/>
        <v>0</v>
      </c>
      <c r="J6680" s="6">
        <f t="shared" si="325"/>
        <v>0</v>
      </c>
      <c r="L6680" s="4" t="str">
        <f>IFERROR(VLOOKUP(ROWS($L$2:L6680),$B$2:$C$1996,2,0),"")</f>
        <v/>
      </c>
      <c r="N6680" s="2" t="str">
        <f>IFERROR(VLOOKUP(ROWS($N$2:N6680),$D$2:$E$1996,2,0),"")</f>
        <v/>
      </c>
    </row>
    <row r="6681" spans="2:14">
      <c r="B6681" s="32">
        <f>IF(ISNUMBER(SEARCH('Φόρμα Εισαγωγής'!$B$2,C6681)),MAX($B$1:B6680)+1,0)</f>
        <v>0</v>
      </c>
      <c r="D6681" s="33">
        <f>IF(ISNUMBER(SEARCH('Φόρμα Εισαγωγής'!$C$2,E6681)),MAX($D$1:D6680)+1,0)</f>
        <v>0</v>
      </c>
      <c r="H6681" s="6">
        <f t="shared" si="323"/>
        <v>0</v>
      </c>
      <c r="I6681" s="6">
        <f t="shared" si="324"/>
        <v>0</v>
      </c>
      <c r="J6681" s="6">
        <f t="shared" si="325"/>
        <v>0</v>
      </c>
      <c r="L6681" s="4" t="str">
        <f>IFERROR(VLOOKUP(ROWS($L$2:L6681),$B$2:$C$1996,2,0),"")</f>
        <v/>
      </c>
      <c r="N6681" s="2" t="str">
        <f>IFERROR(VLOOKUP(ROWS($N$2:N6681),$D$2:$E$1996,2,0),"")</f>
        <v/>
      </c>
    </row>
    <row r="6682" spans="2:14">
      <c r="B6682" s="32">
        <f>IF(ISNUMBER(SEARCH('Φόρμα Εισαγωγής'!$B$2,C6682)),MAX($B$1:B6681)+1,0)</f>
        <v>0</v>
      </c>
      <c r="D6682" s="33">
        <f>IF(ISNUMBER(SEARCH('Φόρμα Εισαγωγής'!$C$2,E6682)),MAX($D$1:D6681)+1,0)</f>
        <v>0</v>
      </c>
      <c r="H6682" s="6">
        <f t="shared" si="323"/>
        <v>0</v>
      </c>
      <c r="I6682" s="6">
        <f t="shared" si="324"/>
        <v>0</v>
      </c>
      <c r="J6682" s="6">
        <f t="shared" si="325"/>
        <v>0</v>
      </c>
      <c r="L6682" s="4" t="str">
        <f>IFERROR(VLOOKUP(ROWS($L$2:L6682),$B$2:$C$1996,2,0),"")</f>
        <v/>
      </c>
      <c r="N6682" s="2" t="str">
        <f>IFERROR(VLOOKUP(ROWS($N$2:N6682),$D$2:$E$1996,2,0),"")</f>
        <v/>
      </c>
    </row>
    <row r="6683" spans="2:14">
      <c r="B6683" s="32">
        <f>IF(ISNUMBER(SEARCH('Φόρμα Εισαγωγής'!$B$2,C6683)),MAX($B$1:B6682)+1,0)</f>
        <v>0</v>
      </c>
      <c r="D6683" s="33">
        <f>IF(ISNUMBER(SEARCH('Φόρμα Εισαγωγής'!$C$2,E6683)),MAX($D$1:D6682)+1,0)</f>
        <v>0</v>
      </c>
      <c r="H6683" s="6">
        <f t="shared" si="323"/>
        <v>0</v>
      </c>
      <c r="I6683" s="6">
        <f t="shared" si="324"/>
        <v>0</v>
      </c>
      <c r="J6683" s="6">
        <f t="shared" si="325"/>
        <v>0</v>
      </c>
      <c r="L6683" s="4" t="str">
        <f>IFERROR(VLOOKUP(ROWS($L$2:L6683),$B$2:$C$1996,2,0),"")</f>
        <v/>
      </c>
      <c r="N6683" s="2" t="str">
        <f>IFERROR(VLOOKUP(ROWS($N$2:N6683),$D$2:$E$1996,2,0),"")</f>
        <v/>
      </c>
    </row>
    <row r="6684" spans="2:14">
      <c r="B6684" s="32">
        <f>IF(ISNUMBER(SEARCH('Φόρμα Εισαγωγής'!$B$2,C6684)),MAX($B$1:B6683)+1,0)</f>
        <v>0</v>
      </c>
      <c r="D6684" s="33">
        <f>IF(ISNUMBER(SEARCH('Φόρμα Εισαγωγής'!$C$2,E6684)),MAX($D$1:D6683)+1,0)</f>
        <v>0</v>
      </c>
      <c r="H6684" s="6">
        <f t="shared" si="323"/>
        <v>0</v>
      </c>
      <c r="I6684" s="6">
        <f t="shared" si="324"/>
        <v>0</v>
      </c>
      <c r="J6684" s="6">
        <f t="shared" si="325"/>
        <v>0</v>
      </c>
      <c r="L6684" s="4" t="str">
        <f>IFERROR(VLOOKUP(ROWS($L$2:L6684),$B$2:$C$1996,2,0),"")</f>
        <v/>
      </c>
      <c r="N6684" s="2" t="str">
        <f>IFERROR(VLOOKUP(ROWS($N$2:N6684),$D$2:$E$1996,2,0),"")</f>
        <v/>
      </c>
    </row>
    <row r="6685" spans="2:14">
      <c r="B6685" s="32">
        <f>IF(ISNUMBER(SEARCH('Φόρμα Εισαγωγής'!$B$2,C6685)),MAX($B$1:B6684)+1,0)</f>
        <v>0</v>
      </c>
      <c r="D6685" s="33">
        <f>IF(ISNUMBER(SEARCH('Φόρμα Εισαγωγής'!$C$2,E6685)),MAX($D$1:D6684)+1,0)</f>
        <v>0</v>
      </c>
      <c r="H6685" s="6">
        <f t="shared" si="323"/>
        <v>0</v>
      </c>
      <c r="I6685" s="6">
        <f t="shared" si="324"/>
        <v>0</v>
      </c>
      <c r="J6685" s="6">
        <f t="shared" si="325"/>
        <v>0</v>
      </c>
      <c r="L6685" s="4" t="str">
        <f>IFERROR(VLOOKUP(ROWS($L$2:L6685),$B$2:$C$1996,2,0),"")</f>
        <v/>
      </c>
      <c r="N6685" s="2" t="str">
        <f>IFERROR(VLOOKUP(ROWS($N$2:N6685),$D$2:$E$1996,2,0),"")</f>
        <v/>
      </c>
    </row>
    <row r="6686" spans="2:14">
      <c r="B6686" s="32">
        <f>IF(ISNUMBER(SEARCH('Φόρμα Εισαγωγής'!$B$2,C6686)),MAX($B$1:B6685)+1,0)</f>
        <v>0</v>
      </c>
      <c r="D6686" s="33">
        <f>IF(ISNUMBER(SEARCH('Φόρμα Εισαγωγής'!$C$2,E6686)),MAX($D$1:D6685)+1,0)</f>
        <v>0</v>
      </c>
      <c r="H6686" s="6">
        <f t="shared" si="323"/>
        <v>0</v>
      </c>
      <c r="I6686" s="6">
        <f t="shared" si="324"/>
        <v>0</v>
      </c>
      <c r="J6686" s="6">
        <f t="shared" si="325"/>
        <v>0</v>
      </c>
      <c r="L6686" s="4" t="str">
        <f>IFERROR(VLOOKUP(ROWS($L$2:L6686),$B$2:$C$1996,2,0),"")</f>
        <v/>
      </c>
      <c r="N6686" s="2" t="str">
        <f>IFERROR(VLOOKUP(ROWS($N$2:N6686),$D$2:$E$1996,2,0),"")</f>
        <v/>
      </c>
    </row>
    <row r="6687" spans="2:14">
      <c r="B6687" s="32">
        <f>IF(ISNUMBER(SEARCH('Φόρμα Εισαγωγής'!$B$2,C6687)),MAX($B$1:B6686)+1,0)</f>
        <v>0</v>
      </c>
      <c r="D6687" s="33">
        <f>IF(ISNUMBER(SEARCH('Φόρμα Εισαγωγής'!$C$2,E6687)),MAX($D$1:D6686)+1,0)</f>
        <v>0</v>
      </c>
      <c r="H6687" s="6">
        <f t="shared" si="323"/>
        <v>0</v>
      </c>
      <c r="I6687" s="6">
        <f t="shared" si="324"/>
        <v>0</v>
      </c>
      <c r="J6687" s="6">
        <f t="shared" si="325"/>
        <v>0</v>
      </c>
      <c r="L6687" s="4" t="str">
        <f>IFERROR(VLOOKUP(ROWS($L$2:L6687),$B$2:$C$1996,2,0),"")</f>
        <v/>
      </c>
      <c r="N6687" s="2" t="str">
        <f>IFERROR(VLOOKUP(ROWS($N$2:N6687),$D$2:$E$1996,2,0),"")</f>
        <v/>
      </c>
    </row>
    <row r="6688" spans="2:14">
      <c r="B6688" s="32">
        <f>IF(ISNUMBER(SEARCH('Φόρμα Εισαγωγής'!$B$2,C6688)),MAX($B$1:B6687)+1,0)</f>
        <v>0</v>
      </c>
      <c r="D6688" s="33">
        <f>IF(ISNUMBER(SEARCH('Φόρμα Εισαγωγής'!$C$2,E6688)),MAX($D$1:D6687)+1,0)</f>
        <v>0</v>
      </c>
      <c r="H6688" s="6">
        <f t="shared" si="323"/>
        <v>0</v>
      </c>
      <c r="I6688" s="6">
        <f t="shared" si="324"/>
        <v>0</v>
      </c>
      <c r="J6688" s="6">
        <f t="shared" si="325"/>
        <v>0</v>
      </c>
      <c r="L6688" s="4" t="str">
        <f>IFERROR(VLOOKUP(ROWS($L$2:L6688),$B$2:$C$1996,2,0),"")</f>
        <v/>
      </c>
      <c r="N6688" s="2" t="str">
        <f>IFERROR(VLOOKUP(ROWS($N$2:N6688),$D$2:$E$1996,2,0),"")</f>
        <v/>
      </c>
    </row>
    <row r="6689" spans="2:14">
      <c r="B6689" s="32">
        <f>IF(ISNUMBER(SEARCH('Φόρμα Εισαγωγής'!$B$2,C6689)),MAX($B$1:B6688)+1,0)</f>
        <v>0</v>
      </c>
      <c r="D6689" s="33">
        <f>IF(ISNUMBER(SEARCH('Φόρμα Εισαγωγής'!$C$2,E6689)),MAX($D$1:D6688)+1,0)</f>
        <v>0</v>
      </c>
      <c r="H6689" s="6">
        <f t="shared" si="323"/>
        <v>0</v>
      </c>
      <c r="I6689" s="6">
        <f t="shared" si="324"/>
        <v>0</v>
      </c>
      <c r="J6689" s="6">
        <f t="shared" si="325"/>
        <v>0</v>
      </c>
      <c r="L6689" s="4" t="str">
        <f>IFERROR(VLOOKUP(ROWS($L$2:L6689),$B$2:$C$1996,2,0),"")</f>
        <v/>
      </c>
      <c r="N6689" s="2" t="str">
        <f>IFERROR(VLOOKUP(ROWS($N$2:N6689),$D$2:$E$1996,2,0),"")</f>
        <v/>
      </c>
    </row>
    <row r="6690" spans="2:14">
      <c r="B6690" s="32">
        <f>IF(ISNUMBER(SEARCH('Φόρμα Εισαγωγής'!$B$2,C6690)),MAX($B$1:B6689)+1,0)</f>
        <v>0</v>
      </c>
      <c r="D6690" s="33">
        <f>IF(ISNUMBER(SEARCH('Φόρμα Εισαγωγής'!$C$2,E6690)),MAX($D$1:D6689)+1,0)</f>
        <v>0</v>
      </c>
      <c r="H6690" s="6">
        <f t="shared" si="323"/>
        <v>0</v>
      </c>
      <c r="I6690" s="6">
        <f t="shared" si="324"/>
        <v>0</v>
      </c>
      <c r="J6690" s="6">
        <f t="shared" si="325"/>
        <v>0</v>
      </c>
      <c r="L6690" s="4" t="str">
        <f>IFERROR(VLOOKUP(ROWS($L$2:L6690),$B$2:$C$1996,2,0),"")</f>
        <v/>
      </c>
      <c r="N6690" s="2" t="str">
        <f>IFERROR(VLOOKUP(ROWS($N$2:N6690),$D$2:$E$1996,2,0),"")</f>
        <v/>
      </c>
    </row>
    <row r="6691" spans="2:14">
      <c r="B6691" s="32">
        <f>IF(ISNUMBER(SEARCH('Φόρμα Εισαγωγής'!$B$2,C6691)),MAX($B$1:B6690)+1,0)</f>
        <v>0</v>
      </c>
      <c r="D6691" s="33">
        <f>IF(ISNUMBER(SEARCH('Φόρμα Εισαγωγής'!$C$2,E6691)),MAX($D$1:D6690)+1,0)</f>
        <v>0</v>
      </c>
      <c r="H6691" s="6">
        <f t="shared" si="323"/>
        <v>0</v>
      </c>
      <c r="I6691" s="6">
        <f t="shared" si="324"/>
        <v>0</v>
      </c>
      <c r="J6691" s="6">
        <f t="shared" si="325"/>
        <v>0</v>
      </c>
      <c r="L6691" s="4" t="str">
        <f>IFERROR(VLOOKUP(ROWS($L$2:L6691),$B$2:$C$1996,2,0),"")</f>
        <v/>
      </c>
      <c r="N6691" s="2" t="str">
        <f>IFERROR(VLOOKUP(ROWS($N$2:N6691),$D$2:$E$1996,2,0),"")</f>
        <v/>
      </c>
    </row>
    <row r="6692" spans="2:14">
      <c r="B6692" s="32">
        <f>IF(ISNUMBER(SEARCH('Φόρμα Εισαγωγής'!$B$2,C6692)),MAX($B$1:B6691)+1,0)</f>
        <v>0</v>
      </c>
      <c r="D6692" s="33">
        <f>IF(ISNUMBER(SEARCH('Φόρμα Εισαγωγής'!$C$2,E6692)),MAX($D$1:D6691)+1,0)</f>
        <v>0</v>
      </c>
      <c r="H6692" s="6">
        <f t="shared" si="323"/>
        <v>0</v>
      </c>
      <c r="I6692" s="6">
        <f t="shared" si="324"/>
        <v>0</v>
      </c>
      <c r="J6692" s="6">
        <f t="shared" si="325"/>
        <v>0</v>
      </c>
      <c r="L6692" s="4" t="str">
        <f>IFERROR(VLOOKUP(ROWS($L$2:L6692),$B$2:$C$1996,2,0),"")</f>
        <v/>
      </c>
      <c r="N6692" s="2" t="str">
        <f>IFERROR(VLOOKUP(ROWS($N$2:N6692),$D$2:$E$1996,2,0),"")</f>
        <v/>
      </c>
    </row>
    <row r="6693" spans="2:14">
      <c r="B6693" s="32">
        <f>IF(ISNUMBER(SEARCH('Φόρμα Εισαγωγής'!$B$2,C6693)),MAX($B$1:B6692)+1,0)</f>
        <v>0</v>
      </c>
      <c r="D6693" s="33">
        <f>IF(ISNUMBER(SEARCH('Φόρμα Εισαγωγής'!$C$2,E6693)),MAX($D$1:D6692)+1,0)</f>
        <v>0</v>
      </c>
      <c r="H6693" s="6">
        <f t="shared" si="323"/>
        <v>0</v>
      </c>
      <c r="I6693" s="6">
        <f t="shared" si="324"/>
        <v>0</v>
      </c>
      <c r="J6693" s="6">
        <f t="shared" si="325"/>
        <v>0</v>
      </c>
      <c r="L6693" s="4" t="str">
        <f>IFERROR(VLOOKUP(ROWS($L$2:L6693),$B$2:$C$1996,2,0),"")</f>
        <v/>
      </c>
      <c r="N6693" s="2" t="str">
        <f>IFERROR(VLOOKUP(ROWS($N$2:N6693),$D$2:$E$1996,2,0),"")</f>
        <v/>
      </c>
    </row>
    <row r="6694" spans="2:14">
      <c r="B6694" s="32">
        <f>IF(ISNUMBER(SEARCH('Φόρμα Εισαγωγής'!$B$2,C6694)),MAX($B$1:B6693)+1,0)</f>
        <v>0</v>
      </c>
      <c r="D6694" s="33">
        <f>IF(ISNUMBER(SEARCH('Φόρμα Εισαγωγής'!$C$2,E6694)),MAX($D$1:D6693)+1,0)</f>
        <v>0</v>
      </c>
      <c r="H6694" s="6">
        <f t="shared" si="323"/>
        <v>0</v>
      </c>
      <c r="I6694" s="6">
        <f t="shared" si="324"/>
        <v>0</v>
      </c>
      <c r="J6694" s="6">
        <f t="shared" si="325"/>
        <v>0</v>
      </c>
      <c r="L6694" s="4" t="str">
        <f>IFERROR(VLOOKUP(ROWS($L$2:L6694),$B$2:$C$1996,2,0),"")</f>
        <v/>
      </c>
      <c r="N6694" s="2" t="str">
        <f>IFERROR(VLOOKUP(ROWS($N$2:N6694),$D$2:$E$1996,2,0),"")</f>
        <v/>
      </c>
    </row>
    <row r="6695" spans="2:14">
      <c r="B6695" s="32">
        <f>IF(ISNUMBER(SEARCH('Φόρμα Εισαγωγής'!$B$2,C6695)),MAX($B$1:B6694)+1,0)</f>
        <v>0</v>
      </c>
      <c r="D6695" s="33">
        <f>IF(ISNUMBER(SEARCH('Φόρμα Εισαγωγής'!$C$2,E6695)),MAX($D$1:D6694)+1,0)</f>
        <v>0</v>
      </c>
      <c r="H6695" s="6">
        <f t="shared" si="323"/>
        <v>0</v>
      </c>
      <c r="I6695" s="6">
        <f t="shared" si="324"/>
        <v>0</v>
      </c>
      <c r="J6695" s="6">
        <f t="shared" si="325"/>
        <v>0</v>
      </c>
      <c r="L6695" s="4" t="str">
        <f>IFERROR(VLOOKUP(ROWS($L$2:L6695),$B$2:$C$1996,2,0),"")</f>
        <v/>
      </c>
      <c r="N6695" s="2" t="str">
        <f>IFERROR(VLOOKUP(ROWS($N$2:N6695),$D$2:$E$1996,2,0),"")</f>
        <v/>
      </c>
    </row>
    <row r="6696" spans="2:14">
      <c r="B6696" s="32">
        <f>IF(ISNUMBER(SEARCH('Φόρμα Εισαγωγής'!$B$2,C6696)),MAX($B$1:B6695)+1,0)</f>
        <v>0</v>
      </c>
      <c r="D6696" s="33">
        <f>IF(ISNUMBER(SEARCH('Φόρμα Εισαγωγής'!$C$2,E6696)),MAX($D$1:D6695)+1,0)</f>
        <v>0</v>
      </c>
      <c r="H6696" s="6">
        <f t="shared" si="323"/>
        <v>0</v>
      </c>
      <c r="I6696" s="6">
        <f t="shared" si="324"/>
        <v>0</v>
      </c>
      <c r="J6696" s="6">
        <f t="shared" si="325"/>
        <v>0</v>
      </c>
      <c r="L6696" s="4" t="str">
        <f>IFERROR(VLOOKUP(ROWS($L$2:L6696),$B$2:$C$1996,2,0),"")</f>
        <v/>
      </c>
      <c r="N6696" s="2" t="str">
        <f>IFERROR(VLOOKUP(ROWS($N$2:N6696),$D$2:$E$1996,2,0),"")</f>
        <v/>
      </c>
    </row>
    <row r="6697" spans="2:14">
      <c r="B6697" s="32">
        <f>IF(ISNUMBER(SEARCH('Φόρμα Εισαγωγής'!$B$2,C6697)),MAX($B$1:B6696)+1,0)</f>
        <v>0</v>
      </c>
      <c r="D6697" s="33">
        <f>IF(ISNUMBER(SEARCH('Φόρμα Εισαγωγής'!$C$2,E6697)),MAX($D$1:D6696)+1,0)</f>
        <v>0</v>
      </c>
      <c r="H6697" s="6">
        <f t="shared" si="323"/>
        <v>0</v>
      </c>
      <c r="I6697" s="6">
        <f t="shared" si="324"/>
        <v>0</v>
      </c>
      <c r="J6697" s="6">
        <f t="shared" si="325"/>
        <v>0</v>
      </c>
      <c r="L6697" s="4" t="str">
        <f>IFERROR(VLOOKUP(ROWS($L$2:L6697),$B$2:$C$1996,2,0),"")</f>
        <v/>
      </c>
      <c r="N6697" s="2" t="str">
        <f>IFERROR(VLOOKUP(ROWS($N$2:N6697),$D$2:$E$1996,2,0),"")</f>
        <v/>
      </c>
    </row>
    <row r="6698" spans="2:14">
      <c r="B6698" s="32">
        <f>IF(ISNUMBER(SEARCH('Φόρμα Εισαγωγής'!$B$2,C6698)),MAX($B$1:B6697)+1,0)</f>
        <v>0</v>
      </c>
      <c r="D6698" s="33">
        <f>IF(ISNUMBER(SEARCH('Φόρμα Εισαγωγής'!$C$2,E6698)),MAX($D$1:D6697)+1,0)</f>
        <v>0</v>
      </c>
      <c r="H6698" s="6">
        <f t="shared" si="323"/>
        <v>0</v>
      </c>
      <c r="I6698" s="6">
        <f t="shared" si="324"/>
        <v>0</v>
      </c>
      <c r="J6698" s="6">
        <f t="shared" si="325"/>
        <v>0</v>
      </c>
      <c r="L6698" s="4" t="str">
        <f>IFERROR(VLOOKUP(ROWS($L$2:L6698),$B$2:$C$1996,2,0),"")</f>
        <v/>
      </c>
      <c r="N6698" s="2" t="str">
        <f>IFERROR(VLOOKUP(ROWS($N$2:N6698),$D$2:$E$1996,2,0),"")</f>
        <v/>
      </c>
    </row>
    <row r="6699" spans="2:14">
      <c r="B6699" s="32">
        <f>IF(ISNUMBER(SEARCH('Φόρμα Εισαγωγής'!$B$2,C6699)),MAX($B$1:B6698)+1,0)</f>
        <v>0</v>
      </c>
      <c r="D6699" s="33">
        <f>IF(ISNUMBER(SEARCH('Φόρμα Εισαγωγής'!$C$2,E6699)),MAX($D$1:D6698)+1,0)</f>
        <v>0</v>
      </c>
      <c r="H6699" s="6">
        <f t="shared" si="323"/>
        <v>0</v>
      </c>
      <c r="I6699" s="6">
        <f t="shared" si="324"/>
        <v>0</v>
      </c>
      <c r="J6699" s="6">
        <f t="shared" si="325"/>
        <v>0</v>
      </c>
      <c r="L6699" s="4" t="str">
        <f>IFERROR(VLOOKUP(ROWS($L$2:L6699),$B$2:$C$1996,2,0),"")</f>
        <v/>
      </c>
      <c r="N6699" s="2" t="str">
        <f>IFERROR(VLOOKUP(ROWS($N$2:N6699),$D$2:$E$1996,2,0),"")</f>
        <v/>
      </c>
    </row>
    <row r="6700" spans="2:14">
      <c r="B6700" s="32">
        <f>IF(ISNUMBER(SEARCH('Φόρμα Εισαγωγής'!$B$2,C6700)),MAX($B$1:B6699)+1,0)</f>
        <v>0</v>
      </c>
      <c r="D6700" s="33">
        <f>IF(ISNUMBER(SEARCH('Φόρμα Εισαγωγής'!$C$2,E6700)),MAX($D$1:D6699)+1,0)</f>
        <v>0</v>
      </c>
      <c r="H6700" s="6">
        <f t="shared" si="323"/>
        <v>0</v>
      </c>
      <c r="I6700" s="6">
        <f t="shared" si="324"/>
        <v>0</v>
      </c>
      <c r="J6700" s="6">
        <f t="shared" si="325"/>
        <v>0</v>
      </c>
      <c r="L6700" s="4" t="str">
        <f>IFERROR(VLOOKUP(ROWS($L$2:L6700),$B$2:$C$1996,2,0),"")</f>
        <v/>
      </c>
      <c r="N6700" s="2" t="str">
        <f>IFERROR(VLOOKUP(ROWS($N$2:N6700),$D$2:$E$1996,2,0),"")</f>
        <v/>
      </c>
    </row>
    <row r="6701" spans="2:14">
      <c r="B6701" s="32">
        <f>IF(ISNUMBER(SEARCH('Φόρμα Εισαγωγής'!$B$2,C6701)),MAX($B$1:B6700)+1,0)</f>
        <v>0</v>
      </c>
      <c r="D6701" s="33">
        <f>IF(ISNUMBER(SEARCH('Φόρμα Εισαγωγής'!$C$2,E6701)),MAX($D$1:D6700)+1,0)</f>
        <v>0</v>
      </c>
      <c r="H6701" s="6">
        <f t="shared" si="323"/>
        <v>0</v>
      </c>
      <c r="I6701" s="6">
        <f t="shared" si="324"/>
        <v>0</v>
      </c>
      <c r="J6701" s="6">
        <f t="shared" si="325"/>
        <v>0</v>
      </c>
      <c r="L6701" s="4" t="str">
        <f>IFERROR(VLOOKUP(ROWS($L$2:L6701),$B$2:$C$1996,2,0),"")</f>
        <v/>
      </c>
      <c r="N6701" s="2" t="str">
        <f>IFERROR(VLOOKUP(ROWS($N$2:N6701),$D$2:$E$1996,2,0),"")</f>
        <v/>
      </c>
    </row>
    <row r="6702" spans="2:14">
      <c r="B6702" s="32">
        <f>IF(ISNUMBER(SEARCH('Φόρμα Εισαγωγής'!$B$2,C6702)),MAX($B$1:B6701)+1,0)</f>
        <v>0</v>
      </c>
      <c r="D6702" s="33">
        <f>IF(ISNUMBER(SEARCH('Φόρμα Εισαγωγής'!$C$2,E6702)),MAX($D$1:D6701)+1,0)</f>
        <v>0</v>
      </c>
      <c r="H6702" s="6">
        <f t="shared" si="323"/>
        <v>0</v>
      </c>
      <c r="I6702" s="6">
        <f t="shared" si="324"/>
        <v>0</v>
      </c>
      <c r="J6702" s="6">
        <f t="shared" si="325"/>
        <v>0</v>
      </c>
      <c r="L6702" s="4" t="str">
        <f>IFERROR(VLOOKUP(ROWS($L$2:L6702),$B$2:$C$1996,2,0),"")</f>
        <v/>
      </c>
      <c r="N6702" s="2" t="str">
        <f>IFERROR(VLOOKUP(ROWS($N$2:N6702),$D$2:$E$1996,2,0),"")</f>
        <v/>
      </c>
    </row>
    <row r="6703" spans="2:14">
      <c r="B6703" s="32">
        <f>IF(ISNUMBER(SEARCH('Φόρμα Εισαγωγής'!$B$2,C6703)),MAX($B$1:B6702)+1,0)</f>
        <v>0</v>
      </c>
      <c r="D6703" s="33">
        <f>IF(ISNUMBER(SEARCH('Φόρμα Εισαγωγής'!$C$2,E6703)),MAX($D$1:D6702)+1,0)</f>
        <v>0</v>
      </c>
      <c r="H6703" s="6">
        <f t="shared" si="323"/>
        <v>0</v>
      </c>
      <c r="I6703" s="6">
        <f t="shared" si="324"/>
        <v>0</v>
      </c>
      <c r="J6703" s="6">
        <f t="shared" si="325"/>
        <v>0</v>
      </c>
      <c r="L6703" s="4" t="str">
        <f>IFERROR(VLOOKUP(ROWS($L$2:L6703),$B$2:$C$1996,2,0),"")</f>
        <v/>
      </c>
      <c r="N6703" s="2" t="str">
        <f>IFERROR(VLOOKUP(ROWS($N$2:N6703),$D$2:$E$1996,2,0),"")</f>
        <v/>
      </c>
    </row>
    <row r="6704" spans="2:14">
      <c r="B6704" s="32">
        <f>IF(ISNUMBER(SEARCH('Φόρμα Εισαγωγής'!$B$2,C6704)),MAX($B$1:B6703)+1,0)</f>
        <v>0</v>
      </c>
      <c r="D6704" s="33">
        <f>IF(ISNUMBER(SEARCH('Φόρμα Εισαγωγής'!$C$2,E6704)),MAX($D$1:D6703)+1,0)</f>
        <v>0</v>
      </c>
      <c r="H6704" s="6">
        <f t="shared" si="323"/>
        <v>0</v>
      </c>
      <c r="I6704" s="6">
        <f t="shared" si="324"/>
        <v>0</v>
      </c>
      <c r="J6704" s="6">
        <f t="shared" si="325"/>
        <v>0</v>
      </c>
      <c r="L6704" s="4" t="str">
        <f>IFERROR(VLOOKUP(ROWS($L$2:L6704),$B$2:$C$1996,2,0),"")</f>
        <v/>
      </c>
      <c r="N6704" s="2" t="str">
        <f>IFERROR(VLOOKUP(ROWS($N$2:N6704),$D$2:$E$1996,2,0),"")</f>
        <v/>
      </c>
    </row>
    <row r="6705" spans="2:14">
      <c r="B6705" s="32">
        <f>IF(ISNUMBER(SEARCH('Φόρμα Εισαγωγής'!$B$2,C6705)),MAX($B$1:B6704)+1,0)</f>
        <v>0</v>
      </c>
      <c r="D6705" s="33">
        <f>IF(ISNUMBER(SEARCH('Φόρμα Εισαγωγής'!$C$2,E6705)),MAX($D$1:D6704)+1,0)</f>
        <v>0</v>
      </c>
      <c r="H6705" s="6">
        <f t="shared" si="323"/>
        <v>0</v>
      </c>
      <c r="I6705" s="6">
        <f t="shared" si="324"/>
        <v>0</v>
      </c>
      <c r="J6705" s="6">
        <f t="shared" si="325"/>
        <v>0</v>
      </c>
      <c r="L6705" s="4" t="str">
        <f>IFERROR(VLOOKUP(ROWS($L$2:L6705),$B$2:$C$1996,2,0),"")</f>
        <v/>
      </c>
      <c r="N6705" s="2" t="str">
        <f>IFERROR(VLOOKUP(ROWS($N$2:N6705),$D$2:$E$1996,2,0),"")</f>
        <v/>
      </c>
    </row>
    <row r="6706" spans="2:14">
      <c r="B6706" s="32">
        <f>IF(ISNUMBER(SEARCH('Φόρμα Εισαγωγής'!$B$2,C6706)),MAX($B$1:B6705)+1,0)</f>
        <v>0</v>
      </c>
      <c r="D6706" s="33">
        <f>IF(ISNUMBER(SEARCH('Φόρμα Εισαγωγής'!$C$2,E6706)),MAX($D$1:D6705)+1,0)</f>
        <v>0</v>
      </c>
      <c r="H6706" s="6">
        <f t="shared" si="323"/>
        <v>0</v>
      </c>
      <c r="I6706" s="6">
        <f t="shared" si="324"/>
        <v>0</v>
      </c>
      <c r="J6706" s="6">
        <f t="shared" si="325"/>
        <v>0</v>
      </c>
      <c r="L6706" s="4" t="str">
        <f>IFERROR(VLOOKUP(ROWS($L$2:L6706),$B$2:$C$1996,2,0),"")</f>
        <v/>
      </c>
      <c r="N6706" s="2" t="str">
        <f>IFERROR(VLOOKUP(ROWS($N$2:N6706),$D$2:$E$1996,2,0),"")</f>
        <v/>
      </c>
    </row>
    <row r="6707" spans="2:14">
      <c r="B6707" s="32">
        <f>IF(ISNUMBER(SEARCH('Φόρμα Εισαγωγής'!$B$2,C6707)),MAX($B$1:B6706)+1,0)</f>
        <v>0</v>
      </c>
      <c r="D6707" s="33">
        <f>IF(ISNUMBER(SEARCH('Φόρμα Εισαγωγής'!$C$2,E6707)),MAX($D$1:D6706)+1,0)</f>
        <v>0</v>
      </c>
      <c r="H6707" s="6">
        <f t="shared" si="323"/>
        <v>0</v>
      </c>
      <c r="I6707" s="6">
        <f t="shared" si="324"/>
        <v>0</v>
      </c>
      <c r="J6707" s="6">
        <f t="shared" si="325"/>
        <v>0</v>
      </c>
      <c r="L6707" s="4" t="str">
        <f>IFERROR(VLOOKUP(ROWS($L$2:L6707),$B$2:$C$1996,2,0),"")</f>
        <v/>
      </c>
      <c r="N6707" s="2" t="str">
        <f>IFERROR(VLOOKUP(ROWS($N$2:N6707),$D$2:$E$1996,2,0),"")</f>
        <v/>
      </c>
    </row>
    <row r="6708" spans="2:14">
      <c r="B6708" s="32">
        <f>IF(ISNUMBER(SEARCH('Φόρμα Εισαγωγής'!$B$2,C6708)),MAX($B$1:B6707)+1,0)</f>
        <v>0</v>
      </c>
      <c r="D6708" s="33">
        <f>IF(ISNUMBER(SEARCH('Φόρμα Εισαγωγής'!$C$2,E6708)),MAX($D$1:D6707)+1,0)</f>
        <v>0</v>
      </c>
      <c r="H6708" s="6">
        <f t="shared" si="323"/>
        <v>0</v>
      </c>
      <c r="I6708" s="6">
        <f t="shared" si="324"/>
        <v>0</v>
      </c>
      <c r="J6708" s="6">
        <f t="shared" si="325"/>
        <v>0</v>
      </c>
      <c r="L6708" s="4" t="str">
        <f>IFERROR(VLOOKUP(ROWS($L$2:L6708),$B$2:$C$1996,2,0),"")</f>
        <v/>
      </c>
      <c r="N6708" s="2" t="str">
        <f>IFERROR(VLOOKUP(ROWS($N$2:N6708),$D$2:$E$1996,2,0),"")</f>
        <v/>
      </c>
    </row>
    <row r="6709" spans="2:14">
      <c r="B6709" s="32">
        <f>IF(ISNUMBER(SEARCH('Φόρμα Εισαγωγής'!$B$2,C6709)),MAX($B$1:B6708)+1,0)</f>
        <v>0</v>
      </c>
      <c r="D6709" s="33">
        <f>IF(ISNUMBER(SEARCH('Φόρμα Εισαγωγής'!$C$2,E6709)),MAX($D$1:D6708)+1,0)</f>
        <v>0</v>
      </c>
      <c r="H6709" s="6">
        <f t="shared" si="323"/>
        <v>0</v>
      </c>
      <c r="I6709" s="6">
        <f t="shared" si="324"/>
        <v>0</v>
      </c>
      <c r="J6709" s="6">
        <f t="shared" si="325"/>
        <v>0</v>
      </c>
      <c r="L6709" s="4" t="str">
        <f>IFERROR(VLOOKUP(ROWS($L$2:L6709),$B$2:$C$1996,2,0),"")</f>
        <v/>
      </c>
      <c r="N6709" s="2" t="str">
        <f>IFERROR(VLOOKUP(ROWS($N$2:N6709),$D$2:$E$1996,2,0),"")</f>
        <v/>
      </c>
    </row>
    <row r="6710" spans="2:14">
      <c r="B6710" s="32">
        <f>IF(ISNUMBER(SEARCH('Φόρμα Εισαγωγής'!$B$2,C6710)),MAX($B$1:B6709)+1,0)</f>
        <v>0</v>
      </c>
      <c r="D6710" s="33">
        <f>IF(ISNUMBER(SEARCH('Φόρμα Εισαγωγής'!$C$2,E6710)),MAX($D$1:D6709)+1,0)</f>
        <v>0</v>
      </c>
      <c r="H6710" s="6">
        <f t="shared" si="323"/>
        <v>0</v>
      </c>
      <c r="I6710" s="6">
        <f t="shared" si="324"/>
        <v>0</v>
      </c>
      <c r="J6710" s="6">
        <f t="shared" si="325"/>
        <v>0</v>
      </c>
      <c r="L6710" s="4" t="str">
        <f>IFERROR(VLOOKUP(ROWS($L$2:L6710),$B$2:$C$1996,2,0),"")</f>
        <v/>
      </c>
      <c r="N6710" s="2" t="str">
        <f>IFERROR(VLOOKUP(ROWS($N$2:N6710),$D$2:$E$1996,2,0),"")</f>
        <v/>
      </c>
    </row>
    <row r="6711" spans="2:14">
      <c r="B6711" s="32">
        <f>IF(ISNUMBER(SEARCH('Φόρμα Εισαγωγής'!$B$2,C6711)),MAX($B$1:B6710)+1,0)</f>
        <v>0</v>
      </c>
      <c r="D6711" s="33">
        <f>IF(ISNUMBER(SEARCH('Φόρμα Εισαγωγής'!$C$2,E6711)),MAX($D$1:D6710)+1,0)</f>
        <v>0</v>
      </c>
      <c r="H6711" s="6">
        <f t="shared" si="323"/>
        <v>0</v>
      </c>
      <c r="I6711" s="6">
        <f t="shared" si="324"/>
        <v>0</v>
      </c>
      <c r="J6711" s="6">
        <f t="shared" si="325"/>
        <v>0</v>
      </c>
      <c r="L6711" s="4" t="str">
        <f>IFERROR(VLOOKUP(ROWS($L$2:L6711),$B$2:$C$1996,2,0),"")</f>
        <v/>
      </c>
      <c r="N6711" s="2" t="str">
        <f>IFERROR(VLOOKUP(ROWS($N$2:N6711),$D$2:$E$1996,2,0),"")</f>
        <v/>
      </c>
    </row>
    <row r="6712" spans="2:14">
      <c r="B6712" s="32">
        <f>IF(ISNUMBER(SEARCH('Φόρμα Εισαγωγής'!$B$2,C6712)),MAX($B$1:B6711)+1,0)</f>
        <v>0</v>
      </c>
      <c r="D6712" s="33">
        <f>IF(ISNUMBER(SEARCH('Φόρμα Εισαγωγής'!$C$2,E6712)),MAX($D$1:D6711)+1,0)</f>
        <v>0</v>
      </c>
      <c r="H6712" s="6">
        <f t="shared" si="323"/>
        <v>0</v>
      </c>
      <c r="I6712" s="6">
        <f t="shared" si="324"/>
        <v>0</v>
      </c>
      <c r="J6712" s="6">
        <f t="shared" si="325"/>
        <v>0</v>
      </c>
      <c r="L6712" s="4" t="str">
        <f>IFERROR(VLOOKUP(ROWS($L$2:L6712),$B$2:$C$1996,2,0),"")</f>
        <v/>
      </c>
      <c r="N6712" s="2" t="str">
        <f>IFERROR(VLOOKUP(ROWS($N$2:N6712),$D$2:$E$1996,2,0),"")</f>
        <v/>
      </c>
    </row>
    <row r="6713" spans="2:14">
      <c r="B6713" s="32">
        <f>IF(ISNUMBER(SEARCH('Φόρμα Εισαγωγής'!$B$2,C6713)),MAX($B$1:B6712)+1,0)</f>
        <v>0</v>
      </c>
      <c r="D6713" s="33">
        <f>IF(ISNUMBER(SEARCH('Φόρμα Εισαγωγής'!$C$2,E6713)),MAX($D$1:D6712)+1,0)</f>
        <v>0</v>
      </c>
      <c r="H6713" s="6">
        <f t="shared" si="323"/>
        <v>0</v>
      </c>
      <c r="I6713" s="6">
        <f t="shared" si="324"/>
        <v>0</v>
      </c>
      <c r="J6713" s="6">
        <f t="shared" si="325"/>
        <v>0</v>
      </c>
      <c r="L6713" s="4" t="str">
        <f>IFERROR(VLOOKUP(ROWS($L$2:L6713),$B$2:$C$1996,2,0),"")</f>
        <v/>
      </c>
      <c r="N6713" s="2" t="str">
        <f>IFERROR(VLOOKUP(ROWS($N$2:N6713),$D$2:$E$1996,2,0),"")</f>
        <v/>
      </c>
    </row>
    <row r="6714" spans="2:14">
      <c r="B6714" s="32">
        <f>IF(ISNUMBER(SEARCH('Φόρμα Εισαγωγής'!$B$2,C6714)),MAX($B$1:B6713)+1,0)</f>
        <v>0</v>
      </c>
      <c r="D6714" s="33">
        <f>IF(ISNUMBER(SEARCH('Φόρμα Εισαγωγής'!$C$2,E6714)),MAX($D$1:D6713)+1,0)</f>
        <v>0</v>
      </c>
      <c r="H6714" s="6">
        <f t="shared" si="323"/>
        <v>0</v>
      </c>
      <c r="I6714" s="6">
        <f t="shared" si="324"/>
        <v>0</v>
      </c>
      <c r="J6714" s="6">
        <f t="shared" si="325"/>
        <v>0</v>
      </c>
      <c r="L6714" s="4" t="str">
        <f>IFERROR(VLOOKUP(ROWS($L$2:L6714),$B$2:$C$1996,2,0),"")</f>
        <v/>
      </c>
      <c r="N6714" s="2" t="str">
        <f>IFERROR(VLOOKUP(ROWS($N$2:N6714),$D$2:$E$1996,2,0),"")</f>
        <v/>
      </c>
    </row>
    <row r="6715" spans="2:14">
      <c r="B6715" s="32">
        <f>IF(ISNUMBER(SEARCH('Φόρμα Εισαγωγής'!$B$2,C6715)),MAX($B$1:B6714)+1,0)</f>
        <v>0</v>
      </c>
      <c r="D6715" s="33">
        <f>IF(ISNUMBER(SEARCH('Φόρμα Εισαγωγής'!$C$2,E6715)),MAX($D$1:D6714)+1,0)</f>
        <v>0</v>
      </c>
      <c r="H6715" s="6">
        <f t="shared" si="323"/>
        <v>0</v>
      </c>
      <c r="I6715" s="6">
        <f t="shared" si="324"/>
        <v>0</v>
      </c>
      <c r="J6715" s="6">
        <f t="shared" si="325"/>
        <v>0</v>
      </c>
      <c r="L6715" s="4" t="str">
        <f>IFERROR(VLOOKUP(ROWS($L$2:L6715),$B$2:$C$1996,2,0),"")</f>
        <v/>
      </c>
      <c r="N6715" s="2" t="str">
        <f>IFERROR(VLOOKUP(ROWS($N$2:N6715),$D$2:$E$1996,2,0),"")</f>
        <v/>
      </c>
    </row>
    <row r="6716" spans="2:14">
      <c r="B6716" s="32">
        <f>IF(ISNUMBER(SEARCH('Φόρμα Εισαγωγής'!$B$2,C6716)),MAX($B$1:B6715)+1,0)</f>
        <v>0</v>
      </c>
      <c r="D6716" s="33">
        <f>IF(ISNUMBER(SEARCH('Φόρμα Εισαγωγής'!$C$2,E6716)),MAX($D$1:D6715)+1,0)</f>
        <v>0</v>
      </c>
      <c r="H6716" s="6">
        <f t="shared" si="323"/>
        <v>0</v>
      </c>
      <c r="I6716" s="6">
        <f t="shared" si="324"/>
        <v>0</v>
      </c>
      <c r="J6716" s="6">
        <f t="shared" si="325"/>
        <v>0</v>
      </c>
      <c r="L6716" s="4" t="str">
        <f>IFERROR(VLOOKUP(ROWS($L$2:L6716),$B$2:$C$1996,2,0),"")</f>
        <v/>
      </c>
      <c r="N6716" s="2" t="str">
        <f>IFERROR(VLOOKUP(ROWS($N$2:N6716),$D$2:$E$1996,2,0),"")</f>
        <v/>
      </c>
    </row>
    <row r="6717" spans="2:14">
      <c r="B6717" s="32">
        <f>IF(ISNUMBER(SEARCH('Φόρμα Εισαγωγής'!$B$2,C6717)),MAX($B$1:B6716)+1,0)</f>
        <v>0</v>
      </c>
      <c r="D6717" s="33">
        <f>IF(ISNUMBER(SEARCH('Φόρμα Εισαγωγής'!$C$2,E6717)),MAX($D$1:D6716)+1,0)</f>
        <v>0</v>
      </c>
      <c r="H6717" s="6">
        <f t="shared" si="323"/>
        <v>0</v>
      </c>
      <c r="I6717" s="6">
        <f t="shared" si="324"/>
        <v>0</v>
      </c>
      <c r="J6717" s="6">
        <f t="shared" si="325"/>
        <v>0</v>
      </c>
      <c r="L6717" s="4" t="str">
        <f>IFERROR(VLOOKUP(ROWS($L$2:L6717),$B$2:$C$1996,2,0),"")</f>
        <v/>
      </c>
      <c r="N6717" s="2" t="str">
        <f>IFERROR(VLOOKUP(ROWS($N$2:N6717),$D$2:$E$1996,2,0),"")</f>
        <v/>
      </c>
    </row>
    <row r="6718" spans="2:14">
      <c r="B6718" s="32">
        <f>IF(ISNUMBER(SEARCH('Φόρμα Εισαγωγής'!$B$2,C6718)),MAX($B$1:B6717)+1,0)</f>
        <v>0</v>
      </c>
      <c r="D6718" s="33">
        <f>IF(ISNUMBER(SEARCH('Φόρμα Εισαγωγής'!$C$2,E6718)),MAX($D$1:D6717)+1,0)</f>
        <v>0</v>
      </c>
      <c r="H6718" s="6">
        <f t="shared" si="323"/>
        <v>0</v>
      </c>
      <c r="I6718" s="6">
        <f t="shared" si="324"/>
        <v>0</v>
      </c>
      <c r="J6718" s="6">
        <f t="shared" si="325"/>
        <v>0</v>
      </c>
      <c r="L6718" s="4" t="str">
        <f>IFERROR(VLOOKUP(ROWS($L$2:L6718),$B$2:$C$1996,2,0),"")</f>
        <v/>
      </c>
      <c r="N6718" s="2" t="str">
        <f>IFERROR(VLOOKUP(ROWS($N$2:N6718),$D$2:$E$1996,2,0),"")</f>
        <v/>
      </c>
    </row>
    <row r="6719" spans="2:14">
      <c r="B6719" s="32">
        <f>IF(ISNUMBER(SEARCH('Φόρμα Εισαγωγής'!$B$2,C6719)),MAX($B$1:B6718)+1,0)</f>
        <v>0</v>
      </c>
      <c r="D6719" s="33">
        <f>IF(ISNUMBER(SEARCH('Φόρμα Εισαγωγής'!$C$2,E6719)),MAX($D$1:D6718)+1,0)</f>
        <v>0</v>
      </c>
      <c r="H6719" s="6">
        <f t="shared" si="323"/>
        <v>0</v>
      </c>
      <c r="I6719" s="6">
        <f t="shared" si="324"/>
        <v>0</v>
      </c>
      <c r="J6719" s="6">
        <f t="shared" si="325"/>
        <v>0</v>
      </c>
      <c r="L6719" s="4" t="str">
        <f>IFERROR(VLOOKUP(ROWS($L$2:L6719),$B$2:$C$1996,2,0),"")</f>
        <v/>
      </c>
      <c r="N6719" s="2" t="str">
        <f>IFERROR(VLOOKUP(ROWS($N$2:N6719),$D$2:$E$1996,2,0),"")</f>
        <v/>
      </c>
    </row>
    <row r="6720" spans="2:14">
      <c r="B6720" s="32">
        <f>IF(ISNUMBER(SEARCH('Φόρμα Εισαγωγής'!$B$2,C6720)),MAX($B$1:B6719)+1,0)</f>
        <v>0</v>
      </c>
      <c r="D6720" s="33">
        <f>IF(ISNUMBER(SEARCH('Φόρμα Εισαγωγής'!$C$2,E6720)),MAX($D$1:D6719)+1,0)</f>
        <v>0</v>
      </c>
      <c r="H6720" s="6">
        <f t="shared" ref="H6720:H6783" si="326">G6720+(G6720*0.24)</f>
        <v>0</v>
      </c>
      <c r="I6720" s="6">
        <f t="shared" ref="I6720:I6783" si="327">F6720*A6720</f>
        <v>0</v>
      </c>
      <c r="J6720" s="6">
        <f t="shared" ref="J6720:J6783" si="328">H6720*A6720</f>
        <v>0</v>
      </c>
      <c r="L6720" s="4" t="str">
        <f>IFERROR(VLOOKUP(ROWS($L$2:L6720),$B$2:$C$1996,2,0),"")</f>
        <v/>
      </c>
      <c r="N6720" s="2" t="str">
        <f>IFERROR(VLOOKUP(ROWS($N$2:N6720),$D$2:$E$1996,2,0),"")</f>
        <v/>
      </c>
    </row>
    <row r="6721" spans="2:14">
      <c r="B6721" s="32">
        <f>IF(ISNUMBER(SEARCH('Φόρμα Εισαγωγής'!$B$2,C6721)),MAX($B$1:B6720)+1,0)</f>
        <v>0</v>
      </c>
      <c r="D6721" s="33">
        <f>IF(ISNUMBER(SEARCH('Φόρμα Εισαγωγής'!$C$2,E6721)),MAX($D$1:D6720)+1,0)</f>
        <v>0</v>
      </c>
      <c r="H6721" s="6">
        <f t="shared" si="326"/>
        <v>0</v>
      </c>
      <c r="I6721" s="6">
        <f t="shared" si="327"/>
        <v>0</v>
      </c>
      <c r="J6721" s="6">
        <f t="shared" si="328"/>
        <v>0</v>
      </c>
      <c r="L6721" s="4" t="str">
        <f>IFERROR(VLOOKUP(ROWS($L$2:L6721),$B$2:$C$1996,2,0),"")</f>
        <v/>
      </c>
      <c r="N6721" s="2" t="str">
        <f>IFERROR(VLOOKUP(ROWS($N$2:N6721),$D$2:$E$1996,2,0),"")</f>
        <v/>
      </c>
    </row>
    <row r="6722" spans="2:14">
      <c r="B6722" s="32">
        <f>IF(ISNUMBER(SEARCH('Φόρμα Εισαγωγής'!$B$2,C6722)),MAX($B$1:B6721)+1,0)</f>
        <v>0</v>
      </c>
      <c r="D6722" s="33">
        <f>IF(ISNUMBER(SEARCH('Φόρμα Εισαγωγής'!$C$2,E6722)),MAX($D$1:D6721)+1,0)</f>
        <v>0</v>
      </c>
      <c r="H6722" s="6">
        <f t="shared" si="326"/>
        <v>0</v>
      </c>
      <c r="I6722" s="6">
        <f t="shared" si="327"/>
        <v>0</v>
      </c>
      <c r="J6722" s="6">
        <f t="shared" si="328"/>
        <v>0</v>
      </c>
      <c r="L6722" s="4" t="str">
        <f>IFERROR(VLOOKUP(ROWS($L$2:L6722),$B$2:$C$1996,2,0),"")</f>
        <v/>
      </c>
      <c r="N6722" s="2" t="str">
        <f>IFERROR(VLOOKUP(ROWS($N$2:N6722),$D$2:$E$1996,2,0),"")</f>
        <v/>
      </c>
    </row>
    <row r="6723" spans="2:14">
      <c r="B6723" s="32">
        <f>IF(ISNUMBER(SEARCH('Φόρμα Εισαγωγής'!$B$2,C6723)),MAX($B$1:B6722)+1,0)</f>
        <v>0</v>
      </c>
      <c r="D6723" s="33">
        <f>IF(ISNUMBER(SEARCH('Φόρμα Εισαγωγής'!$C$2,E6723)),MAX($D$1:D6722)+1,0)</f>
        <v>0</v>
      </c>
      <c r="H6723" s="6">
        <f t="shared" si="326"/>
        <v>0</v>
      </c>
      <c r="I6723" s="6">
        <f t="shared" si="327"/>
        <v>0</v>
      </c>
      <c r="J6723" s="6">
        <f t="shared" si="328"/>
        <v>0</v>
      </c>
      <c r="L6723" s="4" t="str">
        <f>IFERROR(VLOOKUP(ROWS($L$2:L6723),$B$2:$C$1996,2,0),"")</f>
        <v/>
      </c>
      <c r="N6723" s="2" t="str">
        <f>IFERROR(VLOOKUP(ROWS($N$2:N6723),$D$2:$E$1996,2,0),"")</f>
        <v/>
      </c>
    </row>
    <row r="6724" spans="2:14">
      <c r="B6724" s="32">
        <f>IF(ISNUMBER(SEARCH('Φόρμα Εισαγωγής'!$B$2,C6724)),MAX($B$1:B6723)+1,0)</f>
        <v>0</v>
      </c>
      <c r="D6724" s="33">
        <f>IF(ISNUMBER(SEARCH('Φόρμα Εισαγωγής'!$C$2,E6724)),MAX($D$1:D6723)+1,0)</f>
        <v>0</v>
      </c>
      <c r="H6724" s="6">
        <f t="shared" si="326"/>
        <v>0</v>
      </c>
      <c r="I6724" s="6">
        <f t="shared" si="327"/>
        <v>0</v>
      </c>
      <c r="J6724" s="6">
        <f t="shared" si="328"/>
        <v>0</v>
      </c>
      <c r="L6724" s="4" t="str">
        <f>IFERROR(VLOOKUP(ROWS($L$2:L6724),$B$2:$C$1996,2,0),"")</f>
        <v/>
      </c>
      <c r="N6724" s="2" t="str">
        <f>IFERROR(VLOOKUP(ROWS($N$2:N6724),$D$2:$E$1996,2,0),"")</f>
        <v/>
      </c>
    </row>
    <row r="6725" spans="2:14">
      <c r="B6725" s="32">
        <f>IF(ISNUMBER(SEARCH('Φόρμα Εισαγωγής'!$B$2,C6725)),MAX($B$1:B6724)+1,0)</f>
        <v>0</v>
      </c>
      <c r="D6725" s="33">
        <f>IF(ISNUMBER(SEARCH('Φόρμα Εισαγωγής'!$C$2,E6725)),MAX($D$1:D6724)+1,0)</f>
        <v>0</v>
      </c>
      <c r="H6725" s="6">
        <f t="shared" si="326"/>
        <v>0</v>
      </c>
      <c r="I6725" s="6">
        <f t="shared" si="327"/>
        <v>0</v>
      </c>
      <c r="J6725" s="6">
        <f t="shared" si="328"/>
        <v>0</v>
      </c>
      <c r="L6725" s="4" t="str">
        <f>IFERROR(VLOOKUP(ROWS($L$2:L6725),$B$2:$C$1996,2,0),"")</f>
        <v/>
      </c>
      <c r="N6725" s="2" t="str">
        <f>IFERROR(VLOOKUP(ROWS($N$2:N6725),$D$2:$E$1996,2,0),"")</f>
        <v/>
      </c>
    </row>
    <row r="6726" spans="2:14">
      <c r="B6726" s="32">
        <f>IF(ISNUMBER(SEARCH('Φόρμα Εισαγωγής'!$B$2,C6726)),MAX($B$1:B6725)+1,0)</f>
        <v>0</v>
      </c>
      <c r="D6726" s="33">
        <f>IF(ISNUMBER(SEARCH('Φόρμα Εισαγωγής'!$C$2,E6726)),MAX($D$1:D6725)+1,0)</f>
        <v>0</v>
      </c>
      <c r="H6726" s="6">
        <f t="shared" si="326"/>
        <v>0</v>
      </c>
      <c r="I6726" s="6">
        <f t="shared" si="327"/>
        <v>0</v>
      </c>
      <c r="J6726" s="6">
        <f t="shared" si="328"/>
        <v>0</v>
      </c>
      <c r="L6726" s="4" t="str">
        <f>IFERROR(VLOOKUP(ROWS($L$2:L6726),$B$2:$C$1996,2,0),"")</f>
        <v/>
      </c>
      <c r="N6726" s="2" t="str">
        <f>IFERROR(VLOOKUP(ROWS($N$2:N6726),$D$2:$E$1996,2,0),"")</f>
        <v/>
      </c>
    </row>
    <row r="6727" spans="2:14">
      <c r="B6727" s="32">
        <f>IF(ISNUMBER(SEARCH('Φόρμα Εισαγωγής'!$B$2,C6727)),MAX($B$1:B6726)+1,0)</f>
        <v>0</v>
      </c>
      <c r="D6727" s="33">
        <f>IF(ISNUMBER(SEARCH('Φόρμα Εισαγωγής'!$C$2,E6727)),MAX($D$1:D6726)+1,0)</f>
        <v>0</v>
      </c>
      <c r="H6727" s="6">
        <f t="shared" si="326"/>
        <v>0</v>
      </c>
      <c r="I6727" s="6">
        <f t="shared" si="327"/>
        <v>0</v>
      </c>
      <c r="J6727" s="6">
        <f t="shared" si="328"/>
        <v>0</v>
      </c>
      <c r="L6727" s="4" t="str">
        <f>IFERROR(VLOOKUP(ROWS($L$2:L6727),$B$2:$C$1996,2,0),"")</f>
        <v/>
      </c>
      <c r="N6727" s="2" t="str">
        <f>IFERROR(VLOOKUP(ROWS($N$2:N6727),$D$2:$E$1996,2,0),"")</f>
        <v/>
      </c>
    </row>
    <row r="6728" spans="2:14">
      <c r="B6728" s="32">
        <f>IF(ISNUMBER(SEARCH('Φόρμα Εισαγωγής'!$B$2,C6728)),MAX($B$1:B6727)+1,0)</f>
        <v>0</v>
      </c>
      <c r="D6728" s="33">
        <f>IF(ISNUMBER(SEARCH('Φόρμα Εισαγωγής'!$C$2,E6728)),MAX($D$1:D6727)+1,0)</f>
        <v>0</v>
      </c>
      <c r="H6728" s="6">
        <f t="shared" si="326"/>
        <v>0</v>
      </c>
      <c r="I6728" s="6">
        <f t="shared" si="327"/>
        <v>0</v>
      </c>
      <c r="J6728" s="6">
        <f t="shared" si="328"/>
        <v>0</v>
      </c>
      <c r="L6728" s="4" t="str">
        <f>IFERROR(VLOOKUP(ROWS($L$2:L6728),$B$2:$C$1996,2,0),"")</f>
        <v/>
      </c>
      <c r="N6728" s="2" t="str">
        <f>IFERROR(VLOOKUP(ROWS($N$2:N6728),$D$2:$E$1996,2,0),"")</f>
        <v/>
      </c>
    </row>
    <row r="6729" spans="2:14">
      <c r="B6729" s="32">
        <f>IF(ISNUMBER(SEARCH('Φόρμα Εισαγωγής'!$B$2,C6729)),MAX($B$1:B6728)+1,0)</f>
        <v>0</v>
      </c>
      <c r="D6729" s="33">
        <f>IF(ISNUMBER(SEARCH('Φόρμα Εισαγωγής'!$C$2,E6729)),MAX($D$1:D6728)+1,0)</f>
        <v>0</v>
      </c>
      <c r="H6729" s="6">
        <f t="shared" si="326"/>
        <v>0</v>
      </c>
      <c r="I6729" s="6">
        <f t="shared" si="327"/>
        <v>0</v>
      </c>
      <c r="J6729" s="6">
        <f t="shared" si="328"/>
        <v>0</v>
      </c>
      <c r="L6729" s="4" t="str">
        <f>IFERROR(VLOOKUP(ROWS($L$2:L6729),$B$2:$C$1996,2,0),"")</f>
        <v/>
      </c>
      <c r="N6729" s="2" t="str">
        <f>IFERROR(VLOOKUP(ROWS($N$2:N6729),$D$2:$E$1996,2,0),"")</f>
        <v/>
      </c>
    </row>
    <row r="6730" spans="2:14">
      <c r="B6730" s="32">
        <f>IF(ISNUMBER(SEARCH('Φόρμα Εισαγωγής'!$B$2,C6730)),MAX($B$1:B6729)+1,0)</f>
        <v>0</v>
      </c>
      <c r="D6730" s="33">
        <f>IF(ISNUMBER(SEARCH('Φόρμα Εισαγωγής'!$C$2,E6730)),MAX($D$1:D6729)+1,0)</f>
        <v>0</v>
      </c>
      <c r="H6730" s="6">
        <f t="shared" si="326"/>
        <v>0</v>
      </c>
      <c r="I6730" s="6">
        <f t="shared" si="327"/>
        <v>0</v>
      </c>
      <c r="J6730" s="6">
        <f t="shared" si="328"/>
        <v>0</v>
      </c>
      <c r="L6730" s="4" t="str">
        <f>IFERROR(VLOOKUP(ROWS($L$2:L6730),$B$2:$C$1996,2,0),"")</f>
        <v/>
      </c>
      <c r="N6730" s="2" t="str">
        <f>IFERROR(VLOOKUP(ROWS($N$2:N6730),$D$2:$E$1996,2,0),"")</f>
        <v/>
      </c>
    </row>
    <row r="6731" spans="2:14">
      <c r="B6731" s="32">
        <f>IF(ISNUMBER(SEARCH('Φόρμα Εισαγωγής'!$B$2,C6731)),MAX($B$1:B6730)+1,0)</f>
        <v>0</v>
      </c>
      <c r="D6731" s="33">
        <f>IF(ISNUMBER(SEARCH('Φόρμα Εισαγωγής'!$C$2,E6731)),MAX($D$1:D6730)+1,0)</f>
        <v>0</v>
      </c>
      <c r="H6731" s="6">
        <f t="shared" si="326"/>
        <v>0</v>
      </c>
      <c r="I6731" s="6">
        <f t="shared" si="327"/>
        <v>0</v>
      </c>
      <c r="J6731" s="6">
        <f t="shared" si="328"/>
        <v>0</v>
      </c>
      <c r="L6731" s="4" t="str">
        <f>IFERROR(VLOOKUP(ROWS($L$2:L6731),$B$2:$C$1996,2,0),"")</f>
        <v/>
      </c>
      <c r="N6731" s="2" t="str">
        <f>IFERROR(VLOOKUP(ROWS($N$2:N6731),$D$2:$E$1996,2,0),"")</f>
        <v/>
      </c>
    </row>
    <row r="6732" spans="2:14">
      <c r="B6732" s="32">
        <f>IF(ISNUMBER(SEARCH('Φόρμα Εισαγωγής'!$B$2,C6732)),MAX($B$1:B6731)+1,0)</f>
        <v>0</v>
      </c>
      <c r="D6732" s="33">
        <f>IF(ISNUMBER(SEARCH('Φόρμα Εισαγωγής'!$C$2,E6732)),MAX($D$1:D6731)+1,0)</f>
        <v>0</v>
      </c>
      <c r="H6732" s="6">
        <f t="shared" si="326"/>
        <v>0</v>
      </c>
      <c r="I6732" s="6">
        <f t="shared" si="327"/>
        <v>0</v>
      </c>
      <c r="J6732" s="6">
        <f t="shared" si="328"/>
        <v>0</v>
      </c>
      <c r="L6732" s="4" t="str">
        <f>IFERROR(VLOOKUP(ROWS($L$2:L6732),$B$2:$C$1996,2,0),"")</f>
        <v/>
      </c>
      <c r="N6732" s="2" t="str">
        <f>IFERROR(VLOOKUP(ROWS($N$2:N6732),$D$2:$E$1996,2,0),"")</f>
        <v/>
      </c>
    </row>
    <row r="6733" spans="2:14">
      <c r="B6733" s="32">
        <f>IF(ISNUMBER(SEARCH('Φόρμα Εισαγωγής'!$B$2,C6733)),MAX($B$1:B6732)+1,0)</f>
        <v>0</v>
      </c>
      <c r="D6733" s="33">
        <f>IF(ISNUMBER(SEARCH('Φόρμα Εισαγωγής'!$C$2,E6733)),MAX($D$1:D6732)+1,0)</f>
        <v>0</v>
      </c>
      <c r="H6733" s="6">
        <f t="shared" si="326"/>
        <v>0</v>
      </c>
      <c r="I6733" s="6">
        <f t="shared" si="327"/>
        <v>0</v>
      </c>
      <c r="J6733" s="6">
        <f t="shared" si="328"/>
        <v>0</v>
      </c>
      <c r="L6733" s="4" t="str">
        <f>IFERROR(VLOOKUP(ROWS($L$2:L6733),$B$2:$C$1996,2,0),"")</f>
        <v/>
      </c>
      <c r="N6733" s="2" t="str">
        <f>IFERROR(VLOOKUP(ROWS($N$2:N6733),$D$2:$E$1996,2,0),"")</f>
        <v/>
      </c>
    </row>
    <row r="6734" spans="2:14">
      <c r="B6734" s="32">
        <f>IF(ISNUMBER(SEARCH('Φόρμα Εισαγωγής'!$B$2,C6734)),MAX($B$1:B6733)+1,0)</f>
        <v>0</v>
      </c>
      <c r="D6734" s="33">
        <f>IF(ISNUMBER(SEARCH('Φόρμα Εισαγωγής'!$C$2,E6734)),MAX($D$1:D6733)+1,0)</f>
        <v>0</v>
      </c>
      <c r="H6734" s="6">
        <f t="shared" si="326"/>
        <v>0</v>
      </c>
      <c r="I6734" s="6">
        <f t="shared" si="327"/>
        <v>0</v>
      </c>
      <c r="J6734" s="6">
        <f t="shared" si="328"/>
        <v>0</v>
      </c>
      <c r="L6734" s="4" t="str">
        <f>IFERROR(VLOOKUP(ROWS($L$2:L6734),$B$2:$C$1996,2,0),"")</f>
        <v/>
      </c>
      <c r="N6734" s="2" t="str">
        <f>IFERROR(VLOOKUP(ROWS($N$2:N6734),$D$2:$E$1996,2,0),"")</f>
        <v/>
      </c>
    </row>
    <row r="6735" spans="2:14">
      <c r="B6735" s="32">
        <f>IF(ISNUMBER(SEARCH('Φόρμα Εισαγωγής'!$B$2,C6735)),MAX($B$1:B6734)+1,0)</f>
        <v>0</v>
      </c>
      <c r="D6735" s="33">
        <f>IF(ISNUMBER(SEARCH('Φόρμα Εισαγωγής'!$C$2,E6735)),MAX($D$1:D6734)+1,0)</f>
        <v>0</v>
      </c>
      <c r="H6735" s="6">
        <f t="shared" si="326"/>
        <v>0</v>
      </c>
      <c r="I6735" s="6">
        <f t="shared" si="327"/>
        <v>0</v>
      </c>
      <c r="J6735" s="6">
        <f t="shared" si="328"/>
        <v>0</v>
      </c>
      <c r="L6735" s="4" t="str">
        <f>IFERROR(VLOOKUP(ROWS($L$2:L6735),$B$2:$C$1996,2,0),"")</f>
        <v/>
      </c>
      <c r="N6735" s="2" t="str">
        <f>IFERROR(VLOOKUP(ROWS($N$2:N6735),$D$2:$E$1996,2,0),"")</f>
        <v/>
      </c>
    </row>
    <row r="6736" spans="2:14">
      <c r="B6736" s="32">
        <f>IF(ISNUMBER(SEARCH('Φόρμα Εισαγωγής'!$B$2,C6736)),MAX($B$1:B6735)+1,0)</f>
        <v>0</v>
      </c>
      <c r="D6736" s="33">
        <f>IF(ISNUMBER(SEARCH('Φόρμα Εισαγωγής'!$C$2,E6736)),MAX($D$1:D6735)+1,0)</f>
        <v>0</v>
      </c>
      <c r="H6736" s="6">
        <f t="shared" si="326"/>
        <v>0</v>
      </c>
      <c r="I6736" s="6">
        <f t="shared" si="327"/>
        <v>0</v>
      </c>
      <c r="J6736" s="6">
        <f t="shared" si="328"/>
        <v>0</v>
      </c>
      <c r="L6736" s="4" t="str">
        <f>IFERROR(VLOOKUP(ROWS($L$2:L6736),$B$2:$C$1996,2,0),"")</f>
        <v/>
      </c>
      <c r="N6736" s="2" t="str">
        <f>IFERROR(VLOOKUP(ROWS($N$2:N6736),$D$2:$E$1996,2,0),"")</f>
        <v/>
      </c>
    </row>
    <row r="6737" spans="2:14">
      <c r="B6737" s="32">
        <f>IF(ISNUMBER(SEARCH('Φόρμα Εισαγωγής'!$B$2,C6737)),MAX($B$1:B6736)+1,0)</f>
        <v>0</v>
      </c>
      <c r="D6737" s="33">
        <f>IF(ISNUMBER(SEARCH('Φόρμα Εισαγωγής'!$C$2,E6737)),MAX($D$1:D6736)+1,0)</f>
        <v>0</v>
      </c>
      <c r="H6737" s="6">
        <f t="shared" si="326"/>
        <v>0</v>
      </c>
      <c r="I6737" s="6">
        <f t="shared" si="327"/>
        <v>0</v>
      </c>
      <c r="J6737" s="6">
        <f t="shared" si="328"/>
        <v>0</v>
      </c>
      <c r="L6737" s="4" t="str">
        <f>IFERROR(VLOOKUP(ROWS($L$2:L6737),$B$2:$C$1996,2,0),"")</f>
        <v/>
      </c>
      <c r="N6737" s="2" t="str">
        <f>IFERROR(VLOOKUP(ROWS($N$2:N6737),$D$2:$E$1996,2,0),"")</f>
        <v/>
      </c>
    </row>
    <row r="6738" spans="2:14">
      <c r="B6738" s="32">
        <f>IF(ISNUMBER(SEARCH('Φόρμα Εισαγωγής'!$B$2,C6738)),MAX($B$1:B6737)+1,0)</f>
        <v>0</v>
      </c>
      <c r="D6738" s="33">
        <f>IF(ISNUMBER(SEARCH('Φόρμα Εισαγωγής'!$C$2,E6738)),MAX($D$1:D6737)+1,0)</f>
        <v>0</v>
      </c>
      <c r="H6738" s="6">
        <f t="shared" si="326"/>
        <v>0</v>
      </c>
      <c r="I6738" s="6">
        <f t="shared" si="327"/>
        <v>0</v>
      </c>
      <c r="J6738" s="6">
        <f t="shared" si="328"/>
        <v>0</v>
      </c>
      <c r="L6738" s="4" t="str">
        <f>IFERROR(VLOOKUP(ROWS($L$2:L6738),$B$2:$C$1996,2,0),"")</f>
        <v/>
      </c>
      <c r="N6738" s="2" t="str">
        <f>IFERROR(VLOOKUP(ROWS($N$2:N6738),$D$2:$E$1996,2,0),"")</f>
        <v/>
      </c>
    </row>
    <row r="6739" spans="2:14">
      <c r="B6739" s="32">
        <f>IF(ISNUMBER(SEARCH('Φόρμα Εισαγωγής'!$B$2,C6739)),MAX($B$1:B6738)+1,0)</f>
        <v>0</v>
      </c>
      <c r="D6739" s="33">
        <f>IF(ISNUMBER(SEARCH('Φόρμα Εισαγωγής'!$C$2,E6739)),MAX($D$1:D6738)+1,0)</f>
        <v>0</v>
      </c>
      <c r="H6739" s="6">
        <f t="shared" si="326"/>
        <v>0</v>
      </c>
      <c r="I6739" s="6">
        <f t="shared" si="327"/>
        <v>0</v>
      </c>
      <c r="J6739" s="6">
        <f t="shared" si="328"/>
        <v>0</v>
      </c>
      <c r="L6739" s="4" t="str">
        <f>IFERROR(VLOOKUP(ROWS($L$2:L6739),$B$2:$C$1996,2,0),"")</f>
        <v/>
      </c>
      <c r="N6739" s="2" t="str">
        <f>IFERROR(VLOOKUP(ROWS($N$2:N6739),$D$2:$E$1996,2,0),"")</f>
        <v/>
      </c>
    </row>
    <row r="6740" spans="2:14">
      <c r="B6740" s="32">
        <f>IF(ISNUMBER(SEARCH('Φόρμα Εισαγωγής'!$B$2,C6740)),MAX($B$1:B6739)+1,0)</f>
        <v>0</v>
      </c>
      <c r="D6740" s="33">
        <f>IF(ISNUMBER(SEARCH('Φόρμα Εισαγωγής'!$C$2,E6740)),MAX($D$1:D6739)+1,0)</f>
        <v>0</v>
      </c>
      <c r="H6740" s="6">
        <f t="shared" si="326"/>
        <v>0</v>
      </c>
      <c r="I6740" s="6">
        <f t="shared" si="327"/>
        <v>0</v>
      </c>
      <c r="J6740" s="6">
        <f t="shared" si="328"/>
        <v>0</v>
      </c>
      <c r="L6740" s="4" t="str">
        <f>IFERROR(VLOOKUP(ROWS($L$2:L6740),$B$2:$C$1996,2,0),"")</f>
        <v/>
      </c>
      <c r="N6740" s="2" t="str">
        <f>IFERROR(VLOOKUP(ROWS($N$2:N6740),$D$2:$E$1996,2,0),"")</f>
        <v/>
      </c>
    </row>
    <row r="6741" spans="2:14">
      <c r="B6741" s="32">
        <f>IF(ISNUMBER(SEARCH('Φόρμα Εισαγωγής'!$B$2,C6741)),MAX($B$1:B6740)+1,0)</f>
        <v>0</v>
      </c>
      <c r="D6741" s="33">
        <f>IF(ISNUMBER(SEARCH('Φόρμα Εισαγωγής'!$C$2,E6741)),MAX($D$1:D6740)+1,0)</f>
        <v>0</v>
      </c>
      <c r="H6741" s="6">
        <f t="shared" si="326"/>
        <v>0</v>
      </c>
      <c r="I6741" s="6">
        <f t="shared" si="327"/>
        <v>0</v>
      </c>
      <c r="J6741" s="6">
        <f t="shared" si="328"/>
        <v>0</v>
      </c>
      <c r="L6741" s="4" t="str">
        <f>IFERROR(VLOOKUP(ROWS($L$2:L6741),$B$2:$C$1996,2,0),"")</f>
        <v/>
      </c>
      <c r="N6741" s="2" t="str">
        <f>IFERROR(VLOOKUP(ROWS($N$2:N6741),$D$2:$E$1996,2,0),"")</f>
        <v/>
      </c>
    </row>
    <row r="6742" spans="2:14">
      <c r="B6742" s="32">
        <f>IF(ISNUMBER(SEARCH('Φόρμα Εισαγωγής'!$B$2,C6742)),MAX($B$1:B6741)+1,0)</f>
        <v>0</v>
      </c>
      <c r="D6742" s="33">
        <f>IF(ISNUMBER(SEARCH('Φόρμα Εισαγωγής'!$C$2,E6742)),MAX($D$1:D6741)+1,0)</f>
        <v>0</v>
      </c>
      <c r="H6742" s="6">
        <f t="shared" si="326"/>
        <v>0</v>
      </c>
      <c r="I6742" s="6">
        <f t="shared" si="327"/>
        <v>0</v>
      </c>
      <c r="J6742" s="6">
        <f t="shared" si="328"/>
        <v>0</v>
      </c>
      <c r="L6742" s="4" t="str">
        <f>IFERROR(VLOOKUP(ROWS($L$2:L6742),$B$2:$C$1996,2,0),"")</f>
        <v/>
      </c>
      <c r="N6742" s="2" t="str">
        <f>IFERROR(VLOOKUP(ROWS($N$2:N6742),$D$2:$E$1996,2,0),"")</f>
        <v/>
      </c>
    </row>
    <row r="6743" spans="2:14">
      <c r="B6743" s="32">
        <f>IF(ISNUMBER(SEARCH('Φόρμα Εισαγωγής'!$B$2,C6743)),MAX($B$1:B6742)+1,0)</f>
        <v>0</v>
      </c>
      <c r="D6743" s="33">
        <f>IF(ISNUMBER(SEARCH('Φόρμα Εισαγωγής'!$C$2,E6743)),MAX($D$1:D6742)+1,0)</f>
        <v>0</v>
      </c>
      <c r="H6743" s="6">
        <f t="shared" si="326"/>
        <v>0</v>
      </c>
      <c r="I6743" s="6">
        <f t="shared" si="327"/>
        <v>0</v>
      </c>
      <c r="J6743" s="6">
        <f t="shared" si="328"/>
        <v>0</v>
      </c>
      <c r="L6743" s="4" t="str">
        <f>IFERROR(VLOOKUP(ROWS($L$2:L6743),$B$2:$C$1996,2,0),"")</f>
        <v/>
      </c>
      <c r="N6743" s="2" t="str">
        <f>IFERROR(VLOOKUP(ROWS($N$2:N6743),$D$2:$E$1996,2,0),"")</f>
        <v/>
      </c>
    </row>
    <row r="6744" spans="2:14">
      <c r="B6744" s="32">
        <f>IF(ISNUMBER(SEARCH('Φόρμα Εισαγωγής'!$B$2,C6744)),MAX($B$1:B6743)+1,0)</f>
        <v>0</v>
      </c>
      <c r="D6744" s="33">
        <f>IF(ISNUMBER(SEARCH('Φόρμα Εισαγωγής'!$C$2,E6744)),MAX($D$1:D6743)+1,0)</f>
        <v>0</v>
      </c>
      <c r="H6744" s="6">
        <f t="shared" si="326"/>
        <v>0</v>
      </c>
      <c r="I6744" s="6">
        <f t="shared" si="327"/>
        <v>0</v>
      </c>
      <c r="J6744" s="6">
        <f t="shared" si="328"/>
        <v>0</v>
      </c>
      <c r="L6744" s="4" t="str">
        <f>IFERROR(VLOOKUP(ROWS($L$2:L6744),$B$2:$C$1996,2,0),"")</f>
        <v/>
      </c>
      <c r="N6744" s="2" t="str">
        <f>IFERROR(VLOOKUP(ROWS($N$2:N6744),$D$2:$E$1996,2,0),"")</f>
        <v/>
      </c>
    </row>
    <row r="6745" spans="2:14">
      <c r="B6745" s="32">
        <f>IF(ISNUMBER(SEARCH('Φόρμα Εισαγωγής'!$B$2,C6745)),MAX($B$1:B6744)+1,0)</f>
        <v>0</v>
      </c>
      <c r="D6745" s="33">
        <f>IF(ISNUMBER(SEARCH('Φόρμα Εισαγωγής'!$C$2,E6745)),MAX($D$1:D6744)+1,0)</f>
        <v>0</v>
      </c>
      <c r="H6745" s="6">
        <f t="shared" si="326"/>
        <v>0</v>
      </c>
      <c r="I6745" s="6">
        <f t="shared" si="327"/>
        <v>0</v>
      </c>
      <c r="J6745" s="6">
        <f t="shared" si="328"/>
        <v>0</v>
      </c>
      <c r="L6745" s="4" t="str">
        <f>IFERROR(VLOOKUP(ROWS($L$2:L6745),$B$2:$C$1996,2,0),"")</f>
        <v/>
      </c>
      <c r="N6745" s="2" t="str">
        <f>IFERROR(VLOOKUP(ROWS($N$2:N6745),$D$2:$E$1996,2,0),"")</f>
        <v/>
      </c>
    </row>
    <row r="6746" spans="2:14">
      <c r="B6746" s="32">
        <f>IF(ISNUMBER(SEARCH('Φόρμα Εισαγωγής'!$B$2,C6746)),MAX($B$1:B6745)+1,0)</f>
        <v>0</v>
      </c>
      <c r="D6746" s="33">
        <f>IF(ISNUMBER(SEARCH('Φόρμα Εισαγωγής'!$C$2,E6746)),MAX($D$1:D6745)+1,0)</f>
        <v>0</v>
      </c>
      <c r="H6746" s="6">
        <f t="shared" si="326"/>
        <v>0</v>
      </c>
      <c r="I6746" s="6">
        <f t="shared" si="327"/>
        <v>0</v>
      </c>
      <c r="J6746" s="6">
        <f t="shared" si="328"/>
        <v>0</v>
      </c>
      <c r="L6746" s="4" t="str">
        <f>IFERROR(VLOOKUP(ROWS($L$2:L6746),$B$2:$C$1996,2,0),"")</f>
        <v/>
      </c>
      <c r="N6746" s="2" t="str">
        <f>IFERROR(VLOOKUP(ROWS($N$2:N6746),$D$2:$E$1996,2,0),"")</f>
        <v/>
      </c>
    </row>
    <row r="6747" spans="2:14">
      <c r="B6747" s="32">
        <f>IF(ISNUMBER(SEARCH('Φόρμα Εισαγωγής'!$B$2,C6747)),MAX($B$1:B6746)+1,0)</f>
        <v>0</v>
      </c>
      <c r="D6747" s="33">
        <f>IF(ISNUMBER(SEARCH('Φόρμα Εισαγωγής'!$C$2,E6747)),MAX($D$1:D6746)+1,0)</f>
        <v>0</v>
      </c>
      <c r="H6747" s="6">
        <f t="shared" si="326"/>
        <v>0</v>
      </c>
      <c r="I6747" s="6">
        <f t="shared" si="327"/>
        <v>0</v>
      </c>
      <c r="J6747" s="6">
        <f t="shared" si="328"/>
        <v>0</v>
      </c>
      <c r="L6747" s="4" t="str">
        <f>IFERROR(VLOOKUP(ROWS($L$2:L6747),$B$2:$C$1996,2,0),"")</f>
        <v/>
      </c>
      <c r="N6747" s="2" t="str">
        <f>IFERROR(VLOOKUP(ROWS($N$2:N6747),$D$2:$E$1996,2,0),"")</f>
        <v/>
      </c>
    </row>
    <row r="6748" spans="2:14">
      <c r="B6748" s="32">
        <f>IF(ISNUMBER(SEARCH('Φόρμα Εισαγωγής'!$B$2,C6748)),MAX($B$1:B6747)+1,0)</f>
        <v>0</v>
      </c>
      <c r="D6748" s="33">
        <f>IF(ISNUMBER(SEARCH('Φόρμα Εισαγωγής'!$C$2,E6748)),MAX($D$1:D6747)+1,0)</f>
        <v>0</v>
      </c>
      <c r="H6748" s="6">
        <f t="shared" si="326"/>
        <v>0</v>
      </c>
      <c r="I6748" s="6">
        <f t="shared" si="327"/>
        <v>0</v>
      </c>
      <c r="J6748" s="6">
        <f t="shared" si="328"/>
        <v>0</v>
      </c>
      <c r="L6748" s="4" t="str">
        <f>IFERROR(VLOOKUP(ROWS($L$2:L6748),$B$2:$C$1996,2,0),"")</f>
        <v/>
      </c>
      <c r="N6748" s="2" t="str">
        <f>IFERROR(VLOOKUP(ROWS($N$2:N6748),$D$2:$E$1996,2,0),"")</f>
        <v/>
      </c>
    </row>
    <row r="6749" spans="2:14">
      <c r="B6749" s="32">
        <f>IF(ISNUMBER(SEARCH('Φόρμα Εισαγωγής'!$B$2,C6749)),MAX($B$1:B6748)+1,0)</f>
        <v>0</v>
      </c>
      <c r="D6749" s="33">
        <f>IF(ISNUMBER(SEARCH('Φόρμα Εισαγωγής'!$C$2,E6749)),MAX($D$1:D6748)+1,0)</f>
        <v>0</v>
      </c>
      <c r="H6749" s="6">
        <f t="shared" si="326"/>
        <v>0</v>
      </c>
      <c r="I6749" s="6">
        <f t="shared" si="327"/>
        <v>0</v>
      </c>
      <c r="J6749" s="6">
        <f t="shared" si="328"/>
        <v>0</v>
      </c>
      <c r="L6749" s="4" t="str">
        <f>IFERROR(VLOOKUP(ROWS($L$2:L6749),$B$2:$C$1996,2,0),"")</f>
        <v/>
      </c>
      <c r="N6749" s="2" t="str">
        <f>IFERROR(VLOOKUP(ROWS($N$2:N6749),$D$2:$E$1996,2,0),"")</f>
        <v/>
      </c>
    </row>
    <row r="6750" spans="2:14">
      <c r="B6750" s="32">
        <f>IF(ISNUMBER(SEARCH('Φόρμα Εισαγωγής'!$B$2,C6750)),MAX($B$1:B6749)+1,0)</f>
        <v>0</v>
      </c>
      <c r="D6750" s="33">
        <f>IF(ISNUMBER(SEARCH('Φόρμα Εισαγωγής'!$C$2,E6750)),MAX($D$1:D6749)+1,0)</f>
        <v>0</v>
      </c>
      <c r="H6750" s="6">
        <f t="shared" si="326"/>
        <v>0</v>
      </c>
      <c r="I6750" s="6">
        <f t="shared" si="327"/>
        <v>0</v>
      </c>
      <c r="J6750" s="6">
        <f t="shared" si="328"/>
        <v>0</v>
      </c>
      <c r="L6750" s="4" t="str">
        <f>IFERROR(VLOOKUP(ROWS($L$2:L6750),$B$2:$C$1996,2,0),"")</f>
        <v/>
      </c>
      <c r="N6750" s="2" t="str">
        <f>IFERROR(VLOOKUP(ROWS($N$2:N6750),$D$2:$E$1996,2,0),"")</f>
        <v/>
      </c>
    </row>
    <row r="6751" spans="2:14">
      <c r="B6751" s="32">
        <f>IF(ISNUMBER(SEARCH('Φόρμα Εισαγωγής'!$B$2,C6751)),MAX($B$1:B6750)+1,0)</f>
        <v>0</v>
      </c>
      <c r="D6751" s="33">
        <f>IF(ISNUMBER(SEARCH('Φόρμα Εισαγωγής'!$C$2,E6751)),MAX($D$1:D6750)+1,0)</f>
        <v>0</v>
      </c>
      <c r="H6751" s="6">
        <f t="shared" si="326"/>
        <v>0</v>
      </c>
      <c r="I6751" s="6">
        <f t="shared" si="327"/>
        <v>0</v>
      </c>
      <c r="J6751" s="6">
        <f t="shared" si="328"/>
        <v>0</v>
      </c>
      <c r="L6751" s="4" t="str">
        <f>IFERROR(VLOOKUP(ROWS($L$2:L6751),$B$2:$C$1996,2,0),"")</f>
        <v/>
      </c>
      <c r="N6751" s="2" t="str">
        <f>IFERROR(VLOOKUP(ROWS($N$2:N6751),$D$2:$E$1996,2,0),"")</f>
        <v/>
      </c>
    </row>
    <row r="6752" spans="2:14">
      <c r="B6752" s="32">
        <f>IF(ISNUMBER(SEARCH('Φόρμα Εισαγωγής'!$B$2,C6752)),MAX($B$1:B6751)+1,0)</f>
        <v>0</v>
      </c>
      <c r="D6752" s="33">
        <f>IF(ISNUMBER(SEARCH('Φόρμα Εισαγωγής'!$C$2,E6752)),MAX($D$1:D6751)+1,0)</f>
        <v>0</v>
      </c>
      <c r="H6752" s="6">
        <f t="shared" si="326"/>
        <v>0</v>
      </c>
      <c r="I6752" s="6">
        <f t="shared" si="327"/>
        <v>0</v>
      </c>
      <c r="J6752" s="6">
        <f t="shared" si="328"/>
        <v>0</v>
      </c>
      <c r="L6752" s="4" t="str">
        <f>IFERROR(VLOOKUP(ROWS($L$2:L6752),$B$2:$C$1996,2,0),"")</f>
        <v/>
      </c>
      <c r="N6752" s="2" t="str">
        <f>IFERROR(VLOOKUP(ROWS($N$2:N6752),$D$2:$E$1996,2,0),"")</f>
        <v/>
      </c>
    </row>
    <row r="6753" spans="2:14">
      <c r="B6753" s="32">
        <f>IF(ISNUMBER(SEARCH('Φόρμα Εισαγωγής'!$B$2,C6753)),MAX($B$1:B6752)+1,0)</f>
        <v>0</v>
      </c>
      <c r="D6753" s="33">
        <f>IF(ISNUMBER(SEARCH('Φόρμα Εισαγωγής'!$C$2,E6753)),MAX($D$1:D6752)+1,0)</f>
        <v>0</v>
      </c>
      <c r="H6753" s="6">
        <f t="shared" si="326"/>
        <v>0</v>
      </c>
      <c r="I6753" s="6">
        <f t="shared" si="327"/>
        <v>0</v>
      </c>
      <c r="J6753" s="6">
        <f t="shared" si="328"/>
        <v>0</v>
      </c>
      <c r="L6753" s="4" t="str">
        <f>IFERROR(VLOOKUP(ROWS($L$2:L6753),$B$2:$C$1996,2,0),"")</f>
        <v/>
      </c>
      <c r="N6753" s="2" t="str">
        <f>IFERROR(VLOOKUP(ROWS($N$2:N6753),$D$2:$E$1996,2,0),"")</f>
        <v/>
      </c>
    </row>
    <row r="6754" spans="2:14">
      <c r="B6754" s="32">
        <f>IF(ISNUMBER(SEARCH('Φόρμα Εισαγωγής'!$B$2,C6754)),MAX($B$1:B6753)+1,0)</f>
        <v>0</v>
      </c>
      <c r="D6754" s="33">
        <f>IF(ISNUMBER(SEARCH('Φόρμα Εισαγωγής'!$C$2,E6754)),MAX($D$1:D6753)+1,0)</f>
        <v>0</v>
      </c>
      <c r="H6754" s="6">
        <f t="shared" si="326"/>
        <v>0</v>
      </c>
      <c r="I6754" s="6">
        <f t="shared" si="327"/>
        <v>0</v>
      </c>
      <c r="J6754" s="6">
        <f t="shared" si="328"/>
        <v>0</v>
      </c>
      <c r="L6754" s="4" t="str">
        <f>IFERROR(VLOOKUP(ROWS($L$2:L6754),$B$2:$C$1996,2,0),"")</f>
        <v/>
      </c>
      <c r="N6754" s="2" t="str">
        <f>IFERROR(VLOOKUP(ROWS($N$2:N6754),$D$2:$E$1996,2,0),"")</f>
        <v/>
      </c>
    </row>
    <row r="6755" spans="2:14">
      <c r="B6755" s="32">
        <f>IF(ISNUMBER(SEARCH('Φόρμα Εισαγωγής'!$B$2,C6755)),MAX($B$1:B6754)+1,0)</f>
        <v>0</v>
      </c>
      <c r="D6755" s="33">
        <f>IF(ISNUMBER(SEARCH('Φόρμα Εισαγωγής'!$C$2,E6755)),MAX($D$1:D6754)+1,0)</f>
        <v>0</v>
      </c>
      <c r="H6755" s="6">
        <f t="shared" si="326"/>
        <v>0</v>
      </c>
      <c r="I6755" s="6">
        <f t="shared" si="327"/>
        <v>0</v>
      </c>
      <c r="J6755" s="6">
        <f t="shared" si="328"/>
        <v>0</v>
      </c>
      <c r="L6755" s="4" t="str">
        <f>IFERROR(VLOOKUP(ROWS($L$2:L6755),$B$2:$C$1996,2,0),"")</f>
        <v/>
      </c>
      <c r="N6755" s="2" t="str">
        <f>IFERROR(VLOOKUP(ROWS($N$2:N6755),$D$2:$E$1996,2,0),"")</f>
        <v/>
      </c>
    </row>
    <row r="6756" spans="2:14">
      <c r="B6756" s="32">
        <f>IF(ISNUMBER(SEARCH('Φόρμα Εισαγωγής'!$B$2,C6756)),MAX($B$1:B6755)+1,0)</f>
        <v>0</v>
      </c>
      <c r="D6756" s="33">
        <f>IF(ISNUMBER(SEARCH('Φόρμα Εισαγωγής'!$C$2,E6756)),MAX($D$1:D6755)+1,0)</f>
        <v>0</v>
      </c>
      <c r="H6756" s="6">
        <f t="shared" si="326"/>
        <v>0</v>
      </c>
      <c r="I6756" s="6">
        <f t="shared" si="327"/>
        <v>0</v>
      </c>
      <c r="J6756" s="6">
        <f t="shared" si="328"/>
        <v>0</v>
      </c>
      <c r="L6756" s="4" t="str">
        <f>IFERROR(VLOOKUP(ROWS($L$2:L6756),$B$2:$C$1996,2,0),"")</f>
        <v/>
      </c>
      <c r="N6756" s="2" t="str">
        <f>IFERROR(VLOOKUP(ROWS($N$2:N6756),$D$2:$E$1996,2,0),"")</f>
        <v/>
      </c>
    </row>
    <row r="6757" spans="2:14">
      <c r="B6757" s="32">
        <f>IF(ISNUMBER(SEARCH('Φόρμα Εισαγωγής'!$B$2,C6757)),MAX($B$1:B6756)+1,0)</f>
        <v>0</v>
      </c>
      <c r="D6757" s="33">
        <f>IF(ISNUMBER(SEARCH('Φόρμα Εισαγωγής'!$C$2,E6757)),MAX($D$1:D6756)+1,0)</f>
        <v>0</v>
      </c>
      <c r="H6757" s="6">
        <f t="shared" si="326"/>
        <v>0</v>
      </c>
      <c r="I6757" s="6">
        <f t="shared" si="327"/>
        <v>0</v>
      </c>
      <c r="J6757" s="6">
        <f t="shared" si="328"/>
        <v>0</v>
      </c>
      <c r="L6757" s="4" t="str">
        <f>IFERROR(VLOOKUP(ROWS($L$2:L6757),$B$2:$C$1996,2,0),"")</f>
        <v/>
      </c>
      <c r="N6757" s="2" t="str">
        <f>IFERROR(VLOOKUP(ROWS($N$2:N6757),$D$2:$E$1996,2,0),"")</f>
        <v/>
      </c>
    </row>
    <row r="6758" spans="2:14">
      <c r="B6758" s="32">
        <f>IF(ISNUMBER(SEARCH('Φόρμα Εισαγωγής'!$B$2,C6758)),MAX($B$1:B6757)+1,0)</f>
        <v>0</v>
      </c>
      <c r="D6758" s="33">
        <f>IF(ISNUMBER(SEARCH('Φόρμα Εισαγωγής'!$C$2,E6758)),MAX($D$1:D6757)+1,0)</f>
        <v>0</v>
      </c>
      <c r="H6758" s="6">
        <f t="shared" si="326"/>
        <v>0</v>
      </c>
      <c r="I6758" s="6">
        <f t="shared" si="327"/>
        <v>0</v>
      </c>
      <c r="J6758" s="6">
        <f t="shared" si="328"/>
        <v>0</v>
      </c>
      <c r="L6758" s="4" t="str">
        <f>IFERROR(VLOOKUP(ROWS($L$2:L6758),$B$2:$C$1996,2,0),"")</f>
        <v/>
      </c>
      <c r="N6758" s="2" t="str">
        <f>IFERROR(VLOOKUP(ROWS($N$2:N6758),$D$2:$E$1996,2,0),"")</f>
        <v/>
      </c>
    </row>
    <row r="6759" spans="2:14">
      <c r="B6759" s="32">
        <f>IF(ISNUMBER(SEARCH('Φόρμα Εισαγωγής'!$B$2,C6759)),MAX($B$1:B6758)+1,0)</f>
        <v>0</v>
      </c>
      <c r="D6759" s="33">
        <f>IF(ISNUMBER(SEARCH('Φόρμα Εισαγωγής'!$C$2,E6759)),MAX($D$1:D6758)+1,0)</f>
        <v>0</v>
      </c>
      <c r="H6759" s="6">
        <f t="shared" si="326"/>
        <v>0</v>
      </c>
      <c r="I6759" s="6">
        <f t="shared" si="327"/>
        <v>0</v>
      </c>
      <c r="J6759" s="6">
        <f t="shared" si="328"/>
        <v>0</v>
      </c>
      <c r="L6759" s="4" t="str">
        <f>IFERROR(VLOOKUP(ROWS($L$2:L6759),$B$2:$C$1996,2,0),"")</f>
        <v/>
      </c>
      <c r="N6759" s="2" t="str">
        <f>IFERROR(VLOOKUP(ROWS($N$2:N6759),$D$2:$E$1996,2,0),"")</f>
        <v/>
      </c>
    </row>
    <row r="6760" spans="2:14">
      <c r="B6760" s="32">
        <f>IF(ISNUMBER(SEARCH('Φόρμα Εισαγωγής'!$B$2,C6760)),MAX($B$1:B6759)+1,0)</f>
        <v>0</v>
      </c>
      <c r="D6760" s="33">
        <f>IF(ISNUMBER(SEARCH('Φόρμα Εισαγωγής'!$C$2,E6760)),MAX($D$1:D6759)+1,0)</f>
        <v>0</v>
      </c>
      <c r="H6760" s="6">
        <f t="shared" si="326"/>
        <v>0</v>
      </c>
      <c r="I6760" s="6">
        <f t="shared" si="327"/>
        <v>0</v>
      </c>
      <c r="J6760" s="6">
        <f t="shared" si="328"/>
        <v>0</v>
      </c>
      <c r="L6760" s="4" t="str">
        <f>IFERROR(VLOOKUP(ROWS($L$2:L6760),$B$2:$C$1996,2,0),"")</f>
        <v/>
      </c>
      <c r="N6760" s="2" t="str">
        <f>IFERROR(VLOOKUP(ROWS($N$2:N6760),$D$2:$E$1996,2,0),"")</f>
        <v/>
      </c>
    </row>
    <row r="6761" spans="2:14">
      <c r="B6761" s="32">
        <f>IF(ISNUMBER(SEARCH('Φόρμα Εισαγωγής'!$B$2,C6761)),MAX($B$1:B6760)+1,0)</f>
        <v>0</v>
      </c>
      <c r="D6761" s="33">
        <f>IF(ISNUMBER(SEARCH('Φόρμα Εισαγωγής'!$C$2,E6761)),MAX($D$1:D6760)+1,0)</f>
        <v>0</v>
      </c>
      <c r="H6761" s="6">
        <f t="shared" si="326"/>
        <v>0</v>
      </c>
      <c r="I6761" s="6">
        <f t="shared" si="327"/>
        <v>0</v>
      </c>
      <c r="J6761" s="6">
        <f t="shared" si="328"/>
        <v>0</v>
      </c>
      <c r="L6761" s="4" t="str">
        <f>IFERROR(VLOOKUP(ROWS($L$2:L6761),$B$2:$C$1996,2,0),"")</f>
        <v/>
      </c>
      <c r="N6761" s="2" t="str">
        <f>IFERROR(VLOOKUP(ROWS($N$2:N6761),$D$2:$E$1996,2,0),"")</f>
        <v/>
      </c>
    </row>
    <row r="6762" spans="2:14">
      <c r="B6762" s="32">
        <f>IF(ISNUMBER(SEARCH('Φόρμα Εισαγωγής'!$B$2,C6762)),MAX($B$1:B6761)+1,0)</f>
        <v>0</v>
      </c>
      <c r="D6762" s="33">
        <f>IF(ISNUMBER(SEARCH('Φόρμα Εισαγωγής'!$C$2,E6762)),MAX($D$1:D6761)+1,0)</f>
        <v>0</v>
      </c>
      <c r="H6762" s="6">
        <f t="shared" si="326"/>
        <v>0</v>
      </c>
      <c r="I6762" s="6">
        <f t="shared" si="327"/>
        <v>0</v>
      </c>
      <c r="J6762" s="6">
        <f t="shared" si="328"/>
        <v>0</v>
      </c>
      <c r="L6762" s="4" t="str">
        <f>IFERROR(VLOOKUP(ROWS($L$2:L6762),$B$2:$C$1996,2,0),"")</f>
        <v/>
      </c>
      <c r="N6762" s="2" t="str">
        <f>IFERROR(VLOOKUP(ROWS($N$2:N6762),$D$2:$E$1996,2,0),"")</f>
        <v/>
      </c>
    </row>
    <row r="6763" spans="2:14">
      <c r="B6763" s="32">
        <f>IF(ISNUMBER(SEARCH('Φόρμα Εισαγωγής'!$B$2,C6763)),MAX($B$1:B6762)+1,0)</f>
        <v>0</v>
      </c>
      <c r="D6763" s="33">
        <f>IF(ISNUMBER(SEARCH('Φόρμα Εισαγωγής'!$C$2,E6763)),MAX($D$1:D6762)+1,0)</f>
        <v>0</v>
      </c>
      <c r="H6763" s="6">
        <f t="shared" si="326"/>
        <v>0</v>
      </c>
      <c r="I6763" s="6">
        <f t="shared" si="327"/>
        <v>0</v>
      </c>
      <c r="J6763" s="6">
        <f t="shared" si="328"/>
        <v>0</v>
      </c>
      <c r="L6763" s="4" t="str">
        <f>IFERROR(VLOOKUP(ROWS($L$2:L6763),$B$2:$C$1996,2,0),"")</f>
        <v/>
      </c>
      <c r="N6763" s="2" t="str">
        <f>IFERROR(VLOOKUP(ROWS($N$2:N6763),$D$2:$E$1996,2,0),"")</f>
        <v/>
      </c>
    </row>
    <row r="6764" spans="2:14">
      <c r="B6764" s="32">
        <f>IF(ISNUMBER(SEARCH('Φόρμα Εισαγωγής'!$B$2,C6764)),MAX($B$1:B6763)+1,0)</f>
        <v>0</v>
      </c>
      <c r="D6764" s="33">
        <f>IF(ISNUMBER(SEARCH('Φόρμα Εισαγωγής'!$C$2,E6764)),MAX($D$1:D6763)+1,0)</f>
        <v>0</v>
      </c>
      <c r="H6764" s="6">
        <f t="shared" si="326"/>
        <v>0</v>
      </c>
      <c r="I6764" s="6">
        <f t="shared" si="327"/>
        <v>0</v>
      </c>
      <c r="J6764" s="6">
        <f t="shared" si="328"/>
        <v>0</v>
      </c>
      <c r="L6764" s="4" t="str">
        <f>IFERROR(VLOOKUP(ROWS($L$2:L6764),$B$2:$C$1996,2,0),"")</f>
        <v/>
      </c>
      <c r="N6764" s="2" t="str">
        <f>IFERROR(VLOOKUP(ROWS($N$2:N6764),$D$2:$E$1996,2,0),"")</f>
        <v/>
      </c>
    </row>
    <row r="6765" spans="2:14">
      <c r="B6765" s="32">
        <f>IF(ISNUMBER(SEARCH('Φόρμα Εισαγωγής'!$B$2,C6765)),MAX($B$1:B6764)+1,0)</f>
        <v>0</v>
      </c>
      <c r="D6765" s="33">
        <f>IF(ISNUMBER(SEARCH('Φόρμα Εισαγωγής'!$C$2,E6765)),MAX($D$1:D6764)+1,0)</f>
        <v>0</v>
      </c>
      <c r="H6765" s="6">
        <f t="shared" si="326"/>
        <v>0</v>
      </c>
      <c r="I6765" s="6">
        <f t="shared" si="327"/>
        <v>0</v>
      </c>
      <c r="J6765" s="6">
        <f t="shared" si="328"/>
        <v>0</v>
      </c>
      <c r="L6765" s="4" t="str">
        <f>IFERROR(VLOOKUP(ROWS($L$2:L6765),$B$2:$C$1996,2,0),"")</f>
        <v/>
      </c>
      <c r="N6765" s="2" t="str">
        <f>IFERROR(VLOOKUP(ROWS($N$2:N6765),$D$2:$E$1996,2,0),"")</f>
        <v/>
      </c>
    </row>
    <row r="6766" spans="2:14">
      <c r="B6766" s="32">
        <f>IF(ISNUMBER(SEARCH('Φόρμα Εισαγωγής'!$B$2,C6766)),MAX($B$1:B6765)+1,0)</f>
        <v>0</v>
      </c>
      <c r="D6766" s="33">
        <f>IF(ISNUMBER(SEARCH('Φόρμα Εισαγωγής'!$C$2,E6766)),MAX($D$1:D6765)+1,0)</f>
        <v>0</v>
      </c>
      <c r="H6766" s="6">
        <f t="shared" si="326"/>
        <v>0</v>
      </c>
      <c r="I6766" s="6">
        <f t="shared" si="327"/>
        <v>0</v>
      </c>
      <c r="J6766" s="6">
        <f t="shared" si="328"/>
        <v>0</v>
      </c>
      <c r="L6766" s="4" t="str">
        <f>IFERROR(VLOOKUP(ROWS($L$2:L6766),$B$2:$C$1996,2,0),"")</f>
        <v/>
      </c>
      <c r="N6766" s="2" t="str">
        <f>IFERROR(VLOOKUP(ROWS($N$2:N6766),$D$2:$E$1996,2,0),"")</f>
        <v/>
      </c>
    </row>
    <row r="6767" spans="2:14">
      <c r="B6767" s="32">
        <f>IF(ISNUMBER(SEARCH('Φόρμα Εισαγωγής'!$B$2,C6767)),MAX($B$1:B6766)+1,0)</f>
        <v>0</v>
      </c>
      <c r="D6767" s="33">
        <f>IF(ISNUMBER(SEARCH('Φόρμα Εισαγωγής'!$C$2,E6767)),MAX($D$1:D6766)+1,0)</f>
        <v>0</v>
      </c>
      <c r="H6767" s="6">
        <f t="shared" si="326"/>
        <v>0</v>
      </c>
      <c r="I6767" s="6">
        <f t="shared" si="327"/>
        <v>0</v>
      </c>
      <c r="J6767" s="6">
        <f t="shared" si="328"/>
        <v>0</v>
      </c>
      <c r="L6767" s="4" t="str">
        <f>IFERROR(VLOOKUP(ROWS($L$2:L6767),$B$2:$C$1996,2,0),"")</f>
        <v/>
      </c>
      <c r="N6767" s="2" t="str">
        <f>IFERROR(VLOOKUP(ROWS($N$2:N6767),$D$2:$E$1996,2,0),"")</f>
        <v/>
      </c>
    </row>
    <row r="6768" spans="2:14">
      <c r="B6768" s="32">
        <f>IF(ISNUMBER(SEARCH('Φόρμα Εισαγωγής'!$B$2,C6768)),MAX($B$1:B6767)+1,0)</f>
        <v>0</v>
      </c>
      <c r="D6768" s="33">
        <f>IF(ISNUMBER(SEARCH('Φόρμα Εισαγωγής'!$C$2,E6768)),MAX($D$1:D6767)+1,0)</f>
        <v>0</v>
      </c>
      <c r="H6768" s="6">
        <f t="shared" si="326"/>
        <v>0</v>
      </c>
      <c r="I6768" s="6">
        <f t="shared" si="327"/>
        <v>0</v>
      </c>
      <c r="J6768" s="6">
        <f t="shared" si="328"/>
        <v>0</v>
      </c>
      <c r="L6768" s="4" t="str">
        <f>IFERROR(VLOOKUP(ROWS($L$2:L6768),$B$2:$C$1996,2,0),"")</f>
        <v/>
      </c>
      <c r="N6768" s="2" t="str">
        <f>IFERROR(VLOOKUP(ROWS($N$2:N6768),$D$2:$E$1996,2,0),"")</f>
        <v/>
      </c>
    </row>
    <row r="6769" spans="2:14">
      <c r="B6769" s="32">
        <f>IF(ISNUMBER(SEARCH('Φόρμα Εισαγωγής'!$B$2,C6769)),MAX($B$1:B6768)+1,0)</f>
        <v>0</v>
      </c>
      <c r="D6769" s="33">
        <f>IF(ISNUMBER(SEARCH('Φόρμα Εισαγωγής'!$C$2,E6769)),MAX($D$1:D6768)+1,0)</f>
        <v>0</v>
      </c>
      <c r="H6769" s="6">
        <f t="shared" si="326"/>
        <v>0</v>
      </c>
      <c r="I6769" s="6">
        <f t="shared" si="327"/>
        <v>0</v>
      </c>
      <c r="J6769" s="6">
        <f t="shared" si="328"/>
        <v>0</v>
      </c>
      <c r="L6769" s="4" t="str">
        <f>IFERROR(VLOOKUP(ROWS($L$2:L6769),$B$2:$C$1996,2,0),"")</f>
        <v/>
      </c>
      <c r="N6769" s="2" t="str">
        <f>IFERROR(VLOOKUP(ROWS($N$2:N6769),$D$2:$E$1996,2,0),"")</f>
        <v/>
      </c>
    </row>
    <row r="6770" spans="2:14">
      <c r="B6770" s="32">
        <f>IF(ISNUMBER(SEARCH('Φόρμα Εισαγωγής'!$B$2,C6770)),MAX($B$1:B6769)+1,0)</f>
        <v>0</v>
      </c>
      <c r="D6770" s="33">
        <f>IF(ISNUMBER(SEARCH('Φόρμα Εισαγωγής'!$C$2,E6770)),MAX($D$1:D6769)+1,0)</f>
        <v>0</v>
      </c>
      <c r="H6770" s="6">
        <f t="shared" si="326"/>
        <v>0</v>
      </c>
      <c r="I6770" s="6">
        <f t="shared" si="327"/>
        <v>0</v>
      </c>
      <c r="J6770" s="6">
        <f t="shared" si="328"/>
        <v>0</v>
      </c>
      <c r="L6770" s="4" t="str">
        <f>IFERROR(VLOOKUP(ROWS($L$2:L6770),$B$2:$C$1996,2,0),"")</f>
        <v/>
      </c>
      <c r="N6770" s="2" t="str">
        <f>IFERROR(VLOOKUP(ROWS($N$2:N6770),$D$2:$E$1996,2,0),"")</f>
        <v/>
      </c>
    </row>
    <row r="6771" spans="2:14">
      <c r="B6771" s="32">
        <f>IF(ISNUMBER(SEARCH('Φόρμα Εισαγωγής'!$B$2,C6771)),MAX($B$1:B6770)+1,0)</f>
        <v>0</v>
      </c>
      <c r="D6771" s="33">
        <f>IF(ISNUMBER(SEARCH('Φόρμα Εισαγωγής'!$C$2,E6771)),MAX($D$1:D6770)+1,0)</f>
        <v>0</v>
      </c>
      <c r="H6771" s="6">
        <f t="shared" si="326"/>
        <v>0</v>
      </c>
      <c r="I6771" s="6">
        <f t="shared" si="327"/>
        <v>0</v>
      </c>
      <c r="J6771" s="6">
        <f t="shared" si="328"/>
        <v>0</v>
      </c>
      <c r="L6771" s="4" t="str">
        <f>IFERROR(VLOOKUP(ROWS($L$2:L6771),$B$2:$C$1996,2,0),"")</f>
        <v/>
      </c>
      <c r="N6771" s="2" t="str">
        <f>IFERROR(VLOOKUP(ROWS($N$2:N6771),$D$2:$E$1996,2,0),"")</f>
        <v/>
      </c>
    </row>
    <row r="6772" spans="2:14">
      <c r="B6772" s="32">
        <f>IF(ISNUMBER(SEARCH('Φόρμα Εισαγωγής'!$B$2,C6772)),MAX($B$1:B6771)+1,0)</f>
        <v>0</v>
      </c>
      <c r="D6772" s="33">
        <f>IF(ISNUMBER(SEARCH('Φόρμα Εισαγωγής'!$C$2,E6772)),MAX($D$1:D6771)+1,0)</f>
        <v>0</v>
      </c>
      <c r="H6772" s="6">
        <f t="shared" si="326"/>
        <v>0</v>
      </c>
      <c r="I6772" s="6">
        <f t="shared" si="327"/>
        <v>0</v>
      </c>
      <c r="J6772" s="6">
        <f t="shared" si="328"/>
        <v>0</v>
      </c>
      <c r="L6772" s="4" t="str">
        <f>IFERROR(VLOOKUP(ROWS($L$2:L6772),$B$2:$C$1996,2,0),"")</f>
        <v/>
      </c>
      <c r="N6772" s="2" t="str">
        <f>IFERROR(VLOOKUP(ROWS($N$2:N6772),$D$2:$E$1996,2,0),"")</f>
        <v/>
      </c>
    </row>
    <row r="6773" spans="2:14">
      <c r="B6773" s="32">
        <f>IF(ISNUMBER(SEARCH('Φόρμα Εισαγωγής'!$B$2,C6773)),MAX($B$1:B6772)+1,0)</f>
        <v>0</v>
      </c>
      <c r="D6773" s="33">
        <f>IF(ISNUMBER(SEARCH('Φόρμα Εισαγωγής'!$C$2,E6773)),MAX($D$1:D6772)+1,0)</f>
        <v>0</v>
      </c>
      <c r="H6773" s="6">
        <f t="shared" si="326"/>
        <v>0</v>
      </c>
      <c r="I6773" s="6">
        <f t="shared" si="327"/>
        <v>0</v>
      </c>
      <c r="J6773" s="6">
        <f t="shared" si="328"/>
        <v>0</v>
      </c>
      <c r="L6773" s="4" t="str">
        <f>IFERROR(VLOOKUP(ROWS($L$2:L6773),$B$2:$C$1996,2,0),"")</f>
        <v/>
      </c>
      <c r="N6773" s="2" t="str">
        <f>IFERROR(VLOOKUP(ROWS($N$2:N6773),$D$2:$E$1996,2,0),"")</f>
        <v/>
      </c>
    </row>
    <row r="6774" spans="2:14">
      <c r="B6774" s="32">
        <f>IF(ISNUMBER(SEARCH('Φόρμα Εισαγωγής'!$B$2,C6774)),MAX($B$1:B6773)+1,0)</f>
        <v>0</v>
      </c>
      <c r="D6774" s="33">
        <f>IF(ISNUMBER(SEARCH('Φόρμα Εισαγωγής'!$C$2,E6774)),MAX($D$1:D6773)+1,0)</f>
        <v>0</v>
      </c>
      <c r="H6774" s="6">
        <f t="shared" si="326"/>
        <v>0</v>
      </c>
      <c r="I6774" s="6">
        <f t="shared" si="327"/>
        <v>0</v>
      </c>
      <c r="J6774" s="6">
        <f t="shared" si="328"/>
        <v>0</v>
      </c>
      <c r="L6774" s="4" t="str">
        <f>IFERROR(VLOOKUP(ROWS($L$2:L6774),$B$2:$C$1996,2,0),"")</f>
        <v/>
      </c>
      <c r="N6774" s="2" t="str">
        <f>IFERROR(VLOOKUP(ROWS($N$2:N6774),$D$2:$E$1996,2,0),"")</f>
        <v/>
      </c>
    </row>
    <row r="6775" spans="2:14">
      <c r="B6775" s="32">
        <f>IF(ISNUMBER(SEARCH('Φόρμα Εισαγωγής'!$B$2,C6775)),MAX($B$1:B6774)+1,0)</f>
        <v>0</v>
      </c>
      <c r="D6775" s="33">
        <f>IF(ISNUMBER(SEARCH('Φόρμα Εισαγωγής'!$C$2,E6775)),MAX($D$1:D6774)+1,0)</f>
        <v>0</v>
      </c>
      <c r="H6775" s="6">
        <f t="shared" si="326"/>
        <v>0</v>
      </c>
      <c r="I6775" s="6">
        <f t="shared" si="327"/>
        <v>0</v>
      </c>
      <c r="J6775" s="6">
        <f t="shared" si="328"/>
        <v>0</v>
      </c>
      <c r="L6775" s="4" t="str">
        <f>IFERROR(VLOOKUP(ROWS($L$2:L6775),$B$2:$C$1996,2,0),"")</f>
        <v/>
      </c>
      <c r="N6775" s="2" t="str">
        <f>IFERROR(VLOOKUP(ROWS($N$2:N6775),$D$2:$E$1996,2,0),"")</f>
        <v/>
      </c>
    </row>
    <row r="6776" spans="2:14">
      <c r="B6776" s="32">
        <f>IF(ISNUMBER(SEARCH('Φόρμα Εισαγωγής'!$B$2,C6776)),MAX($B$1:B6775)+1,0)</f>
        <v>0</v>
      </c>
      <c r="D6776" s="33">
        <f>IF(ISNUMBER(SEARCH('Φόρμα Εισαγωγής'!$C$2,E6776)),MAX($D$1:D6775)+1,0)</f>
        <v>0</v>
      </c>
      <c r="H6776" s="6">
        <f t="shared" si="326"/>
        <v>0</v>
      </c>
      <c r="I6776" s="6">
        <f t="shared" si="327"/>
        <v>0</v>
      </c>
      <c r="J6776" s="6">
        <f t="shared" si="328"/>
        <v>0</v>
      </c>
      <c r="L6776" s="4" t="str">
        <f>IFERROR(VLOOKUP(ROWS($L$2:L6776),$B$2:$C$1996,2,0),"")</f>
        <v/>
      </c>
      <c r="N6776" s="2" t="str">
        <f>IFERROR(VLOOKUP(ROWS($N$2:N6776),$D$2:$E$1996,2,0),"")</f>
        <v/>
      </c>
    </row>
    <row r="6777" spans="2:14">
      <c r="B6777" s="32">
        <f>IF(ISNUMBER(SEARCH('Φόρμα Εισαγωγής'!$B$2,C6777)),MAX($B$1:B6776)+1,0)</f>
        <v>0</v>
      </c>
      <c r="D6777" s="33">
        <f>IF(ISNUMBER(SEARCH('Φόρμα Εισαγωγής'!$C$2,E6777)),MAX($D$1:D6776)+1,0)</f>
        <v>0</v>
      </c>
      <c r="H6777" s="6">
        <f t="shared" si="326"/>
        <v>0</v>
      </c>
      <c r="I6777" s="6">
        <f t="shared" si="327"/>
        <v>0</v>
      </c>
      <c r="J6777" s="6">
        <f t="shared" si="328"/>
        <v>0</v>
      </c>
      <c r="L6777" s="4" t="str">
        <f>IFERROR(VLOOKUP(ROWS($L$2:L6777),$B$2:$C$1996,2,0),"")</f>
        <v/>
      </c>
      <c r="N6777" s="2" t="str">
        <f>IFERROR(VLOOKUP(ROWS($N$2:N6777),$D$2:$E$1996,2,0),"")</f>
        <v/>
      </c>
    </row>
    <row r="6778" spans="2:14">
      <c r="B6778" s="32">
        <f>IF(ISNUMBER(SEARCH('Φόρμα Εισαγωγής'!$B$2,C6778)),MAX($B$1:B6777)+1,0)</f>
        <v>0</v>
      </c>
      <c r="D6778" s="33">
        <f>IF(ISNUMBER(SEARCH('Φόρμα Εισαγωγής'!$C$2,E6778)),MAX($D$1:D6777)+1,0)</f>
        <v>0</v>
      </c>
      <c r="H6778" s="6">
        <f t="shared" si="326"/>
        <v>0</v>
      </c>
      <c r="I6778" s="6">
        <f t="shared" si="327"/>
        <v>0</v>
      </c>
      <c r="J6778" s="6">
        <f t="shared" si="328"/>
        <v>0</v>
      </c>
      <c r="L6778" s="4" t="str">
        <f>IFERROR(VLOOKUP(ROWS($L$2:L6778),$B$2:$C$1996,2,0),"")</f>
        <v/>
      </c>
      <c r="N6778" s="2" t="str">
        <f>IFERROR(VLOOKUP(ROWS($N$2:N6778),$D$2:$E$1996,2,0),"")</f>
        <v/>
      </c>
    </row>
    <row r="6779" spans="2:14">
      <c r="B6779" s="32">
        <f>IF(ISNUMBER(SEARCH('Φόρμα Εισαγωγής'!$B$2,C6779)),MAX($B$1:B6778)+1,0)</f>
        <v>0</v>
      </c>
      <c r="D6779" s="33">
        <f>IF(ISNUMBER(SEARCH('Φόρμα Εισαγωγής'!$C$2,E6779)),MAX($D$1:D6778)+1,0)</f>
        <v>0</v>
      </c>
      <c r="H6779" s="6">
        <f t="shared" si="326"/>
        <v>0</v>
      </c>
      <c r="I6779" s="6">
        <f t="shared" si="327"/>
        <v>0</v>
      </c>
      <c r="J6779" s="6">
        <f t="shared" si="328"/>
        <v>0</v>
      </c>
      <c r="L6779" s="4" t="str">
        <f>IFERROR(VLOOKUP(ROWS($L$2:L6779),$B$2:$C$1996,2,0),"")</f>
        <v/>
      </c>
      <c r="N6779" s="2" t="str">
        <f>IFERROR(VLOOKUP(ROWS($N$2:N6779),$D$2:$E$1996,2,0),"")</f>
        <v/>
      </c>
    </row>
    <row r="6780" spans="2:14">
      <c r="B6780" s="32">
        <f>IF(ISNUMBER(SEARCH('Φόρμα Εισαγωγής'!$B$2,C6780)),MAX($B$1:B6779)+1,0)</f>
        <v>0</v>
      </c>
      <c r="D6780" s="33">
        <f>IF(ISNUMBER(SEARCH('Φόρμα Εισαγωγής'!$C$2,E6780)),MAX($D$1:D6779)+1,0)</f>
        <v>0</v>
      </c>
      <c r="H6780" s="6">
        <f t="shared" si="326"/>
        <v>0</v>
      </c>
      <c r="I6780" s="6">
        <f t="shared" si="327"/>
        <v>0</v>
      </c>
      <c r="J6780" s="6">
        <f t="shared" si="328"/>
        <v>0</v>
      </c>
      <c r="L6780" s="4" t="str">
        <f>IFERROR(VLOOKUP(ROWS($L$2:L6780),$B$2:$C$1996,2,0),"")</f>
        <v/>
      </c>
      <c r="N6780" s="2" t="str">
        <f>IFERROR(VLOOKUP(ROWS($N$2:N6780),$D$2:$E$1996,2,0),"")</f>
        <v/>
      </c>
    </row>
    <row r="6781" spans="2:14">
      <c r="B6781" s="32">
        <f>IF(ISNUMBER(SEARCH('Φόρμα Εισαγωγής'!$B$2,C6781)),MAX($B$1:B6780)+1,0)</f>
        <v>0</v>
      </c>
      <c r="D6781" s="33">
        <f>IF(ISNUMBER(SEARCH('Φόρμα Εισαγωγής'!$C$2,E6781)),MAX($D$1:D6780)+1,0)</f>
        <v>0</v>
      </c>
      <c r="H6781" s="6">
        <f t="shared" si="326"/>
        <v>0</v>
      </c>
      <c r="I6781" s="6">
        <f t="shared" si="327"/>
        <v>0</v>
      </c>
      <c r="J6781" s="6">
        <f t="shared" si="328"/>
        <v>0</v>
      </c>
      <c r="L6781" s="4" t="str">
        <f>IFERROR(VLOOKUP(ROWS($L$2:L6781),$B$2:$C$1996,2,0),"")</f>
        <v/>
      </c>
      <c r="N6781" s="2" t="str">
        <f>IFERROR(VLOOKUP(ROWS($N$2:N6781),$D$2:$E$1996,2,0),"")</f>
        <v/>
      </c>
    </row>
    <row r="6782" spans="2:14">
      <c r="B6782" s="32">
        <f>IF(ISNUMBER(SEARCH('Φόρμα Εισαγωγής'!$B$2,C6782)),MAX($B$1:B6781)+1,0)</f>
        <v>0</v>
      </c>
      <c r="D6782" s="33">
        <f>IF(ISNUMBER(SEARCH('Φόρμα Εισαγωγής'!$C$2,E6782)),MAX($D$1:D6781)+1,0)</f>
        <v>0</v>
      </c>
      <c r="H6782" s="6">
        <f t="shared" si="326"/>
        <v>0</v>
      </c>
      <c r="I6782" s="6">
        <f t="shared" si="327"/>
        <v>0</v>
      </c>
      <c r="J6782" s="6">
        <f t="shared" si="328"/>
        <v>0</v>
      </c>
      <c r="L6782" s="4" t="str">
        <f>IFERROR(VLOOKUP(ROWS($L$2:L6782),$B$2:$C$1996,2,0),"")</f>
        <v/>
      </c>
      <c r="N6782" s="2" t="str">
        <f>IFERROR(VLOOKUP(ROWS($N$2:N6782),$D$2:$E$1996,2,0),"")</f>
        <v/>
      </c>
    </row>
    <row r="6783" spans="2:14">
      <c r="B6783" s="32">
        <f>IF(ISNUMBER(SEARCH('Φόρμα Εισαγωγής'!$B$2,C6783)),MAX($B$1:B6782)+1,0)</f>
        <v>0</v>
      </c>
      <c r="D6783" s="33">
        <f>IF(ISNUMBER(SEARCH('Φόρμα Εισαγωγής'!$C$2,E6783)),MAX($D$1:D6782)+1,0)</f>
        <v>0</v>
      </c>
      <c r="H6783" s="6">
        <f t="shared" si="326"/>
        <v>0</v>
      </c>
      <c r="I6783" s="6">
        <f t="shared" si="327"/>
        <v>0</v>
      </c>
      <c r="J6783" s="6">
        <f t="shared" si="328"/>
        <v>0</v>
      </c>
      <c r="L6783" s="4" t="str">
        <f>IFERROR(VLOOKUP(ROWS($L$2:L6783),$B$2:$C$1996,2,0),"")</f>
        <v/>
      </c>
      <c r="N6783" s="2" t="str">
        <f>IFERROR(VLOOKUP(ROWS($N$2:N6783),$D$2:$E$1996,2,0),"")</f>
        <v/>
      </c>
    </row>
    <row r="6784" spans="2:14">
      <c r="B6784" s="32">
        <f>IF(ISNUMBER(SEARCH('Φόρμα Εισαγωγής'!$B$2,C6784)),MAX($B$1:B6783)+1,0)</f>
        <v>0</v>
      </c>
      <c r="D6784" s="33">
        <f>IF(ISNUMBER(SEARCH('Φόρμα Εισαγωγής'!$C$2,E6784)),MAX($D$1:D6783)+1,0)</f>
        <v>0</v>
      </c>
      <c r="H6784" s="6">
        <f t="shared" ref="H6784:H6847" si="329">G6784+(G6784*0.24)</f>
        <v>0</v>
      </c>
      <c r="I6784" s="6">
        <f t="shared" ref="I6784:I6847" si="330">F6784*A6784</f>
        <v>0</v>
      </c>
      <c r="J6784" s="6">
        <f t="shared" ref="J6784:J6847" si="331">H6784*A6784</f>
        <v>0</v>
      </c>
      <c r="L6784" s="4" t="str">
        <f>IFERROR(VLOOKUP(ROWS($L$2:L6784),$B$2:$C$1996,2,0),"")</f>
        <v/>
      </c>
      <c r="N6784" s="2" t="str">
        <f>IFERROR(VLOOKUP(ROWS($N$2:N6784),$D$2:$E$1996,2,0),"")</f>
        <v/>
      </c>
    </row>
    <row r="6785" spans="2:14">
      <c r="B6785" s="32">
        <f>IF(ISNUMBER(SEARCH('Φόρμα Εισαγωγής'!$B$2,C6785)),MAX($B$1:B6784)+1,0)</f>
        <v>0</v>
      </c>
      <c r="D6785" s="33">
        <f>IF(ISNUMBER(SEARCH('Φόρμα Εισαγωγής'!$C$2,E6785)),MAX($D$1:D6784)+1,0)</f>
        <v>0</v>
      </c>
      <c r="H6785" s="6">
        <f t="shared" si="329"/>
        <v>0</v>
      </c>
      <c r="I6785" s="6">
        <f t="shared" si="330"/>
        <v>0</v>
      </c>
      <c r="J6785" s="6">
        <f t="shared" si="331"/>
        <v>0</v>
      </c>
      <c r="L6785" s="4" t="str">
        <f>IFERROR(VLOOKUP(ROWS($L$2:L6785),$B$2:$C$1996,2,0),"")</f>
        <v/>
      </c>
      <c r="N6785" s="2" t="str">
        <f>IFERROR(VLOOKUP(ROWS($N$2:N6785),$D$2:$E$1996,2,0),"")</f>
        <v/>
      </c>
    </row>
    <row r="6786" spans="2:14">
      <c r="B6786" s="32">
        <f>IF(ISNUMBER(SEARCH('Φόρμα Εισαγωγής'!$B$2,C6786)),MAX($B$1:B6785)+1,0)</f>
        <v>0</v>
      </c>
      <c r="D6786" s="33">
        <f>IF(ISNUMBER(SEARCH('Φόρμα Εισαγωγής'!$C$2,E6786)),MAX($D$1:D6785)+1,0)</f>
        <v>0</v>
      </c>
      <c r="H6786" s="6">
        <f t="shared" si="329"/>
        <v>0</v>
      </c>
      <c r="I6786" s="6">
        <f t="shared" si="330"/>
        <v>0</v>
      </c>
      <c r="J6786" s="6">
        <f t="shared" si="331"/>
        <v>0</v>
      </c>
      <c r="L6786" s="4" t="str">
        <f>IFERROR(VLOOKUP(ROWS($L$2:L6786),$B$2:$C$1996,2,0),"")</f>
        <v/>
      </c>
      <c r="N6786" s="2" t="str">
        <f>IFERROR(VLOOKUP(ROWS($N$2:N6786),$D$2:$E$1996,2,0),"")</f>
        <v/>
      </c>
    </row>
    <row r="6787" spans="2:14">
      <c r="B6787" s="32">
        <f>IF(ISNUMBER(SEARCH('Φόρμα Εισαγωγής'!$B$2,C6787)),MAX($B$1:B6786)+1,0)</f>
        <v>0</v>
      </c>
      <c r="D6787" s="33">
        <f>IF(ISNUMBER(SEARCH('Φόρμα Εισαγωγής'!$C$2,E6787)),MAX($D$1:D6786)+1,0)</f>
        <v>0</v>
      </c>
      <c r="H6787" s="6">
        <f t="shared" si="329"/>
        <v>0</v>
      </c>
      <c r="I6787" s="6">
        <f t="shared" si="330"/>
        <v>0</v>
      </c>
      <c r="J6787" s="6">
        <f t="shared" si="331"/>
        <v>0</v>
      </c>
      <c r="L6787" s="4" t="str">
        <f>IFERROR(VLOOKUP(ROWS($L$2:L6787),$B$2:$C$1996,2,0),"")</f>
        <v/>
      </c>
      <c r="N6787" s="2" t="str">
        <f>IFERROR(VLOOKUP(ROWS($N$2:N6787),$D$2:$E$1996,2,0),"")</f>
        <v/>
      </c>
    </row>
    <row r="6788" spans="2:14">
      <c r="B6788" s="32">
        <f>IF(ISNUMBER(SEARCH('Φόρμα Εισαγωγής'!$B$2,C6788)),MAX($B$1:B6787)+1,0)</f>
        <v>0</v>
      </c>
      <c r="D6788" s="33">
        <f>IF(ISNUMBER(SEARCH('Φόρμα Εισαγωγής'!$C$2,E6788)),MAX($D$1:D6787)+1,0)</f>
        <v>0</v>
      </c>
      <c r="H6788" s="6">
        <f t="shared" si="329"/>
        <v>0</v>
      </c>
      <c r="I6788" s="6">
        <f t="shared" si="330"/>
        <v>0</v>
      </c>
      <c r="J6788" s="6">
        <f t="shared" si="331"/>
        <v>0</v>
      </c>
      <c r="L6788" s="4" t="str">
        <f>IFERROR(VLOOKUP(ROWS($L$2:L6788),$B$2:$C$1996,2,0),"")</f>
        <v/>
      </c>
      <c r="N6788" s="2" t="str">
        <f>IFERROR(VLOOKUP(ROWS($N$2:N6788),$D$2:$E$1996,2,0),"")</f>
        <v/>
      </c>
    </row>
    <row r="6789" spans="2:14">
      <c r="B6789" s="32">
        <f>IF(ISNUMBER(SEARCH('Φόρμα Εισαγωγής'!$B$2,C6789)),MAX($B$1:B6788)+1,0)</f>
        <v>0</v>
      </c>
      <c r="D6789" s="33">
        <f>IF(ISNUMBER(SEARCH('Φόρμα Εισαγωγής'!$C$2,E6789)),MAX($D$1:D6788)+1,0)</f>
        <v>0</v>
      </c>
      <c r="H6789" s="6">
        <f t="shared" si="329"/>
        <v>0</v>
      </c>
      <c r="I6789" s="6">
        <f t="shared" si="330"/>
        <v>0</v>
      </c>
      <c r="J6789" s="6">
        <f t="shared" si="331"/>
        <v>0</v>
      </c>
      <c r="L6789" s="4" t="str">
        <f>IFERROR(VLOOKUP(ROWS($L$2:L6789),$B$2:$C$1996,2,0),"")</f>
        <v/>
      </c>
      <c r="N6789" s="2" t="str">
        <f>IFERROR(VLOOKUP(ROWS($N$2:N6789),$D$2:$E$1996,2,0),"")</f>
        <v/>
      </c>
    </row>
    <row r="6790" spans="2:14">
      <c r="B6790" s="32">
        <f>IF(ISNUMBER(SEARCH('Φόρμα Εισαγωγής'!$B$2,C6790)),MAX($B$1:B6789)+1,0)</f>
        <v>0</v>
      </c>
      <c r="D6790" s="33">
        <f>IF(ISNUMBER(SEARCH('Φόρμα Εισαγωγής'!$C$2,E6790)),MAX($D$1:D6789)+1,0)</f>
        <v>0</v>
      </c>
      <c r="H6790" s="6">
        <f t="shared" si="329"/>
        <v>0</v>
      </c>
      <c r="I6790" s="6">
        <f t="shared" si="330"/>
        <v>0</v>
      </c>
      <c r="J6790" s="6">
        <f t="shared" si="331"/>
        <v>0</v>
      </c>
      <c r="L6790" s="4" t="str">
        <f>IFERROR(VLOOKUP(ROWS($L$2:L6790),$B$2:$C$1996,2,0),"")</f>
        <v/>
      </c>
      <c r="N6790" s="2" t="str">
        <f>IFERROR(VLOOKUP(ROWS($N$2:N6790),$D$2:$E$1996,2,0),"")</f>
        <v/>
      </c>
    </row>
    <row r="6791" spans="2:14">
      <c r="B6791" s="32">
        <f>IF(ISNUMBER(SEARCH('Φόρμα Εισαγωγής'!$B$2,C6791)),MAX($B$1:B6790)+1,0)</f>
        <v>0</v>
      </c>
      <c r="D6791" s="33">
        <f>IF(ISNUMBER(SEARCH('Φόρμα Εισαγωγής'!$C$2,E6791)),MAX($D$1:D6790)+1,0)</f>
        <v>0</v>
      </c>
      <c r="H6791" s="6">
        <f t="shared" si="329"/>
        <v>0</v>
      </c>
      <c r="I6791" s="6">
        <f t="shared" si="330"/>
        <v>0</v>
      </c>
      <c r="J6791" s="6">
        <f t="shared" si="331"/>
        <v>0</v>
      </c>
      <c r="L6791" s="4" t="str">
        <f>IFERROR(VLOOKUP(ROWS($L$2:L6791),$B$2:$C$1996,2,0),"")</f>
        <v/>
      </c>
      <c r="N6791" s="2" t="str">
        <f>IFERROR(VLOOKUP(ROWS($N$2:N6791),$D$2:$E$1996,2,0),"")</f>
        <v/>
      </c>
    </row>
    <row r="6792" spans="2:14">
      <c r="B6792" s="32">
        <f>IF(ISNUMBER(SEARCH('Φόρμα Εισαγωγής'!$B$2,C6792)),MAX($B$1:B6791)+1,0)</f>
        <v>0</v>
      </c>
      <c r="D6792" s="33">
        <f>IF(ISNUMBER(SEARCH('Φόρμα Εισαγωγής'!$C$2,E6792)),MAX($D$1:D6791)+1,0)</f>
        <v>0</v>
      </c>
      <c r="H6792" s="6">
        <f t="shared" si="329"/>
        <v>0</v>
      </c>
      <c r="I6792" s="6">
        <f t="shared" si="330"/>
        <v>0</v>
      </c>
      <c r="J6792" s="6">
        <f t="shared" si="331"/>
        <v>0</v>
      </c>
      <c r="L6792" s="4" t="str">
        <f>IFERROR(VLOOKUP(ROWS($L$2:L6792),$B$2:$C$1996,2,0),"")</f>
        <v/>
      </c>
      <c r="N6792" s="2" t="str">
        <f>IFERROR(VLOOKUP(ROWS($N$2:N6792),$D$2:$E$1996,2,0),"")</f>
        <v/>
      </c>
    </row>
    <row r="6793" spans="2:14">
      <c r="B6793" s="32">
        <f>IF(ISNUMBER(SEARCH('Φόρμα Εισαγωγής'!$B$2,C6793)),MAX($B$1:B6792)+1,0)</f>
        <v>0</v>
      </c>
      <c r="D6793" s="33">
        <f>IF(ISNUMBER(SEARCH('Φόρμα Εισαγωγής'!$C$2,E6793)),MAX($D$1:D6792)+1,0)</f>
        <v>0</v>
      </c>
      <c r="H6793" s="6">
        <f t="shared" si="329"/>
        <v>0</v>
      </c>
      <c r="I6793" s="6">
        <f t="shared" si="330"/>
        <v>0</v>
      </c>
      <c r="J6793" s="6">
        <f t="shared" si="331"/>
        <v>0</v>
      </c>
      <c r="L6793" s="4" t="str">
        <f>IFERROR(VLOOKUP(ROWS($L$2:L6793),$B$2:$C$1996,2,0),"")</f>
        <v/>
      </c>
      <c r="N6793" s="2" t="str">
        <f>IFERROR(VLOOKUP(ROWS($N$2:N6793),$D$2:$E$1996,2,0),"")</f>
        <v/>
      </c>
    </row>
    <row r="6794" spans="2:14">
      <c r="B6794" s="32">
        <f>IF(ISNUMBER(SEARCH('Φόρμα Εισαγωγής'!$B$2,C6794)),MAX($B$1:B6793)+1,0)</f>
        <v>0</v>
      </c>
      <c r="D6794" s="33">
        <f>IF(ISNUMBER(SEARCH('Φόρμα Εισαγωγής'!$C$2,E6794)),MAX($D$1:D6793)+1,0)</f>
        <v>0</v>
      </c>
      <c r="H6794" s="6">
        <f t="shared" si="329"/>
        <v>0</v>
      </c>
      <c r="I6794" s="6">
        <f t="shared" si="330"/>
        <v>0</v>
      </c>
      <c r="J6794" s="6">
        <f t="shared" si="331"/>
        <v>0</v>
      </c>
      <c r="L6794" s="4" t="str">
        <f>IFERROR(VLOOKUP(ROWS($L$2:L6794),$B$2:$C$1996,2,0),"")</f>
        <v/>
      </c>
      <c r="N6794" s="2" t="str">
        <f>IFERROR(VLOOKUP(ROWS($N$2:N6794),$D$2:$E$1996,2,0),"")</f>
        <v/>
      </c>
    </row>
    <row r="6795" spans="2:14">
      <c r="B6795" s="32">
        <f>IF(ISNUMBER(SEARCH('Φόρμα Εισαγωγής'!$B$2,C6795)),MAX($B$1:B6794)+1,0)</f>
        <v>0</v>
      </c>
      <c r="D6795" s="33">
        <f>IF(ISNUMBER(SEARCH('Φόρμα Εισαγωγής'!$C$2,E6795)),MAX($D$1:D6794)+1,0)</f>
        <v>0</v>
      </c>
      <c r="H6795" s="6">
        <f t="shared" si="329"/>
        <v>0</v>
      </c>
      <c r="I6795" s="6">
        <f t="shared" si="330"/>
        <v>0</v>
      </c>
      <c r="J6795" s="6">
        <f t="shared" si="331"/>
        <v>0</v>
      </c>
      <c r="L6795" s="4" t="str">
        <f>IFERROR(VLOOKUP(ROWS($L$2:L6795),$B$2:$C$1996,2,0),"")</f>
        <v/>
      </c>
      <c r="N6795" s="2" t="str">
        <f>IFERROR(VLOOKUP(ROWS($N$2:N6795),$D$2:$E$1996,2,0),"")</f>
        <v/>
      </c>
    </row>
    <row r="6796" spans="2:14">
      <c r="B6796" s="32">
        <f>IF(ISNUMBER(SEARCH('Φόρμα Εισαγωγής'!$B$2,C6796)),MAX($B$1:B6795)+1,0)</f>
        <v>0</v>
      </c>
      <c r="D6796" s="33">
        <f>IF(ISNUMBER(SEARCH('Φόρμα Εισαγωγής'!$C$2,E6796)),MAX($D$1:D6795)+1,0)</f>
        <v>0</v>
      </c>
      <c r="H6796" s="6">
        <f t="shared" si="329"/>
        <v>0</v>
      </c>
      <c r="I6796" s="6">
        <f t="shared" si="330"/>
        <v>0</v>
      </c>
      <c r="J6796" s="6">
        <f t="shared" si="331"/>
        <v>0</v>
      </c>
      <c r="L6796" s="4" t="str">
        <f>IFERROR(VLOOKUP(ROWS($L$2:L6796),$B$2:$C$1996,2,0),"")</f>
        <v/>
      </c>
      <c r="N6796" s="2" t="str">
        <f>IFERROR(VLOOKUP(ROWS($N$2:N6796),$D$2:$E$1996,2,0),"")</f>
        <v/>
      </c>
    </row>
    <row r="6797" spans="2:14">
      <c r="B6797" s="32">
        <f>IF(ISNUMBER(SEARCH('Φόρμα Εισαγωγής'!$B$2,C6797)),MAX($B$1:B6796)+1,0)</f>
        <v>0</v>
      </c>
      <c r="D6797" s="33">
        <f>IF(ISNUMBER(SEARCH('Φόρμα Εισαγωγής'!$C$2,E6797)),MAX($D$1:D6796)+1,0)</f>
        <v>0</v>
      </c>
      <c r="H6797" s="6">
        <f t="shared" si="329"/>
        <v>0</v>
      </c>
      <c r="I6797" s="6">
        <f t="shared" si="330"/>
        <v>0</v>
      </c>
      <c r="J6797" s="6">
        <f t="shared" si="331"/>
        <v>0</v>
      </c>
      <c r="L6797" s="4" t="str">
        <f>IFERROR(VLOOKUP(ROWS($L$2:L6797),$B$2:$C$1996,2,0),"")</f>
        <v/>
      </c>
      <c r="N6797" s="2" t="str">
        <f>IFERROR(VLOOKUP(ROWS($N$2:N6797),$D$2:$E$1996,2,0),"")</f>
        <v/>
      </c>
    </row>
    <row r="6798" spans="2:14">
      <c r="B6798" s="32">
        <f>IF(ISNUMBER(SEARCH('Φόρμα Εισαγωγής'!$B$2,C6798)),MAX($B$1:B6797)+1,0)</f>
        <v>0</v>
      </c>
      <c r="D6798" s="33">
        <f>IF(ISNUMBER(SEARCH('Φόρμα Εισαγωγής'!$C$2,E6798)),MAX($D$1:D6797)+1,0)</f>
        <v>0</v>
      </c>
      <c r="H6798" s="6">
        <f t="shared" si="329"/>
        <v>0</v>
      </c>
      <c r="I6798" s="6">
        <f t="shared" si="330"/>
        <v>0</v>
      </c>
      <c r="J6798" s="6">
        <f t="shared" si="331"/>
        <v>0</v>
      </c>
      <c r="L6798" s="4" t="str">
        <f>IFERROR(VLOOKUP(ROWS($L$2:L6798),$B$2:$C$1996,2,0),"")</f>
        <v/>
      </c>
      <c r="N6798" s="2" t="str">
        <f>IFERROR(VLOOKUP(ROWS($N$2:N6798),$D$2:$E$1996,2,0),"")</f>
        <v/>
      </c>
    </row>
    <row r="6799" spans="2:14">
      <c r="B6799" s="32">
        <f>IF(ISNUMBER(SEARCH('Φόρμα Εισαγωγής'!$B$2,C6799)),MAX($B$1:B6798)+1,0)</f>
        <v>0</v>
      </c>
      <c r="D6799" s="33">
        <f>IF(ISNUMBER(SEARCH('Φόρμα Εισαγωγής'!$C$2,E6799)),MAX($D$1:D6798)+1,0)</f>
        <v>0</v>
      </c>
      <c r="H6799" s="6">
        <f t="shared" si="329"/>
        <v>0</v>
      </c>
      <c r="I6799" s="6">
        <f t="shared" si="330"/>
        <v>0</v>
      </c>
      <c r="J6799" s="6">
        <f t="shared" si="331"/>
        <v>0</v>
      </c>
      <c r="L6799" s="4" t="str">
        <f>IFERROR(VLOOKUP(ROWS($L$2:L6799),$B$2:$C$1996,2,0),"")</f>
        <v/>
      </c>
      <c r="N6799" s="2" t="str">
        <f>IFERROR(VLOOKUP(ROWS($N$2:N6799),$D$2:$E$1996,2,0),"")</f>
        <v/>
      </c>
    </row>
    <row r="6800" spans="2:14">
      <c r="B6800" s="32">
        <f>IF(ISNUMBER(SEARCH('Φόρμα Εισαγωγής'!$B$2,C6800)),MAX($B$1:B6799)+1,0)</f>
        <v>0</v>
      </c>
      <c r="D6800" s="33">
        <f>IF(ISNUMBER(SEARCH('Φόρμα Εισαγωγής'!$C$2,E6800)),MAX($D$1:D6799)+1,0)</f>
        <v>0</v>
      </c>
      <c r="H6800" s="6">
        <f t="shared" si="329"/>
        <v>0</v>
      </c>
      <c r="I6800" s="6">
        <f t="shared" si="330"/>
        <v>0</v>
      </c>
      <c r="J6800" s="6">
        <f t="shared" si="331"/>
        <v>0</v>
      </c>
      <c r="L6800" s="4" t="str">
        <f>IFERROR(VLOOKUP(ROWS($L$2:L6800),$B$2:$C$1996,2,0),"")</f>
        <v/>
      </c>
      <c r="N6800" s="2" t="str">
        <f>IFERROR(VLOOKUP(ROWS($N$2:N6800),$D$2:$E$1996,2,0),"")</f>
        <v/>
      </c>
    </row>
    <row r="6801" spans="2:14">
      <c r="B6801" s="32">
        <f>IF(ISNUMBER(SEARCH('Φόρμα Εισαγωγής'!$B$2,C6801)),MAX($B$1:B6800)+1,0)</f>
        <v>0</v>
      </c>
      <c r="D6801" s="33">
        <f>IF(ISNUMBER(SEARCH('Φόρμα Εισαγωγής'!$C$2,E6801)),MAX($D$1:D6800)+1,0)</f>
        <v>0</v>
      </c>
      <c r="H6801" s="6">
        <f t="shared" si="329"/>
        <v>0</v>
      </c>
      <c r="I6801" s="6">
        <f t="shared" si="330"/>
        <v>0</v>
      </c>
      <c r="J6801" s="6">
        <f t="shared" si="331"/>
        <v>0</v>
      </c>
      <c r="L6801" s="4" t="str">
        <f>IFERROR(VLOOKUP(ROWS($L$2:L6801),$B$2:$C$1996,2,0),"")</f>
        <v/>
      </c>
      <c r="N6801" s="2" t="str">
        <f>IFERROR(VLOOKUP(ROWS($N$2:N6801),$D$2:$E$1996,2,0),"")</f>
        <v/>
      </c>
    </row>
    <row r="6802" spans="2:14">
      <c r="B6802" s="32">
        <f>IF(ISNUMBER(SEARCH('Φόρμα Εισαγωγής'!$B$2,C6802)),MAX($B$1:B6801)+1,0)</f>
        <v>0</v>
      </c>
      <c r="D6802" s="33">
        <f>IF(ISNUMBER(SEARCH('Φόρμα Εισαγωγής'!$C$2,E6802)),MAX($D$1:D6801)+1,0)</f>
        <v>0</v>
      </c>
      <c r="H6802" s="6">
        <f t="shared" si="329"/>
        <v>0</v>
      </c>
      <c r="I6802" s="6">
        <f t="shared" si="330"/>
        <v>0</v>
      </c>
      <c r="J6802" s="6">
        <f t="shared" si="331"/>
        <v>0</v>
      </c>
      <c r="L6802" s="4" t="str">
        <f>IFERROR(VLOOKUP(ROWS($L$2:L6802),$B$2:$C$1996,2,0),"")</f>
        <v/>
      </c>
      <c r="N6802" s="2" t="str">
        <f>IFERROR(VLOOKUP(ROWS($N$2:N6802),$D$2:$E$1996,2,0),"")</f>
        <v/>
      </c>
    </row>
    <row r="6803" spans="2:14">
      <c r="B6803" s="32">
        <f>IF(ISNUMBER(SEARCH('Φόρμα Εισαγωγής'!$B$2,C6803)),MAX($B$1:B6802)+1,0)</f>
        <v>0</v>
      </c>
      <c r="D6803" s="33">
        <f>IF(ISNUMBER(SEARCH('Φόρμα Εισαγωγής'!$C$2,E6803)),MAX($D$1:D6802)+1,0)</f>
        <v>0</v>
      </c>
      <c r="H6803" s="6">
        <f t="shared" si="329"/>
        <v>0</v>
      </c>
      <c r="I6803" s="6">
        <f t="shared" si="330"/>
        <v>0</v>
      </c>
      <c r="J6803" s="6">
        <f t="shared" si="331"/>
        <v>0</v>
      </c>
      <c r="L6803" s="4" t="str">
        <f>IFERROR(VLOOKUP(ROWS($L$2:L6803),$B$2:$C$1996,2,0),"")</f>
        <v/>
      </c>
      <c r="N6803" s="2" t="str">
        <f>IFERROR(VLOOKUP(ROWS($N$2:N6803),$D$2:$E$1996,2,0),"")</f>
        <v/>
      </c>
    </row>
    <row r="6804" spans="2:14">
      <c r="B6804" s="32">
        <f>IF(ISNUMBER(SEARCH('Φόρμα Εισαγωγής'!$B$2,C6804)),MAX($B$1:B6803)+1,0)</f>
        <v>0</v>
      </c>
      <c r="D6804" s="33">
        <f>IF(ISNUMBER(SEARCH('Φόρμα Εισαγωγής'!$C$2,E6804)),MAX($D$1:D6803)+1,0)</f>
        <v>0</v>
      </c>
      <c r="H6804" s="6">
        <f t="shared" si="329"/>
        <v>0</v>
      </c>
      <c r="I6804" s="6">
        <f t="shared" si="330"/>
        <v>0</v>
      </c>
      <c r="J6804" s="6">
        <f t="shared" si="331"/>
        <v>0</v>
      </c>
      <c r="L6804" s="4" t="str">
        <f>IFERROR(VLOOKUP(ROWS($L$2:L6804),$B$2:$C$1996,2,0),"")</f>
        <v/>
      </c>
      <c r="N6804" s="2" t="str">
        <f>IFERROR(VLOOKUP(ROWS($N$2:N6804),$D$2:$E$1996,2,0),"")</f>
        <v/>
      </c>
    </row>
    <row r="6805" spans="2:14">
      <c r="B6805" s="32">
        <f>IF(ISNUMBER(SEARCH('Φόρμα Εισαγωγής'!$B$2,C6805)),MAX($B$1:B6804)+1,0)</f>
        <v>0</v>
      </c>
      <c r="D6805" s="33">
        <f>IF(ISNUMBER(SEARCH('Φόρμα Εισαγωγής'!$C$2,E6805)),MAX($D$1:D6804)+1,0)</f>
        <v>0</v>
      </c>
      <c r="H6805" s="6">
        <f t="shared" si="329"/>
        <v>0</v>
      </c>
      <c r="I6805" s="6">
        <f t="shared" si="330"/>
        <v>0</v>
      </c>
      <c r="J6805" s="6">
        <f t="shared" si="331"/>
        <v>0</v>
      </c>
      <c r="L6805" s="4" t="str">
        <f>IFERROR(VLOOKUP(ROWS($L$2:L6805),$B$2:$C$1996,2,0),"")</f>
        <v/>
      </c>
      <c r="N6805" s="2" t="str">
        <f>IFERROR(VLOOKUP(ROWS($N$2:N6805),$D$2:$E$1996,2,0),"")</f>
        <v/>
      </c>
    </row>
    <row r="6806" spans="2:14">
      <c r="B6806" s="32">
        <f>IF(ISNUMBER(SEARCH('Φόρμα Εισαγωγής'!$B$2,C6806)),MAX($B$1:B6805)+1,0)</f>
        <v>0</v>
      </c>
      <c r="D6806" s="33">
        <f>IF(ISNUMBER(SEARCH('Φόρμα Εισαγωγής'!$C$2,E6806)),MAX($D$1:D6805)+1,0)</f>
        <v>0</v>
      </c>
      <c r="H6806" s="6">
        <f t="shared" si="329"/>
        <v>0</v>
      </c>
      <c r="I6806" s="6">
        <f t="shared" si="330"/>
        <v>0</v>
      </c>
      <c r="J6806" s="6">
        <f t="shared" si="331"/>
        <v>0</v>
      </c>
      <c r="L6806" s="4" t="str">
        <f>IFERROR(VLOOKUP(ROWS($L$2:L6806),$B$2:$C$1996,2,0),"")</f>
        <v/>
      </c>
      <c r="N6806" s="2" t="str">
        <f>IFERROR(VLOOKUP(ROWS($N$2:N6806),$D$2:$E$1996,2,0),"")</f>
        <v/>
      </c>
    </row>
    <row r="6807" spans="2:14">
      <c r="B6807" s="32">
        <f>IF(ISNUMBER(SEARCH('Φόρμα Εισαγωγής'!$B$2,C6807)),MAX($B$1:B6806)+1,0)</f>
        <v>0</v>
      </c>
      <c r="D6807" s="33">
        <f>IF(ISNUMBER(SEARCH('Φόρμα Εισαγωγής'!$C$2,E6807)),MAX($D$1:D6806)+1,0)</f>
        <v>0</v>
      </c>
      <c r="H6807" s="6">
        <f t="shared" si="329"/>
        <v>0</v>
      </c>
      <c r="I6807" s="6">
        <f t="shared" si="330"/>
        <v>0</v>
      </c>
      <c r="J6807" s="6">
        <f t="shared" si="331"/>
        <v>0</v>
      </c>
      <c r="L6807" s="4" t="str">
        <f>IFERROR(VLOOKUP(ROWS($L$2:L6807),$B$2:$C$1996,2,0),"")</f>
        <v/>
      </c>
      <c r="N6807" s="2" t="str">
        <f>IFERROR(VLOOKUP(ROWS($N$2:N6807),$D$2:$E$1996,2,0),"")</f>
        <v/>
      </c>
    </row>
    <row r="6808" spans="2:14">
      <c r="B6808" s="32">
        <f>IF(ISNUMBER(SEARCH('Φόρμα Εισαγωγής'!$B$2,C6808)),MAX($B$1:B6807)+1,0)</f>
        <v>0</v>
      </c>
      <c r="D6808" s="33">
        <f>IF(ISNUMBER(SEARCH('Φόρμα Εισαγωγής'!$C$2,E6808)),MAX($D$1:D6807)+1,0)</f>
        <v>0</v>
      </c>
      <c r="H6808" s="6">
        <f t="shared" si="329"/>
        <v>0</v>
      </c>
      <c r="I6808" s="6">
        <f t="shared" si="330"/>
        <v>0</v>
      </c>
      <c r="J6808" s="6">
        <f t="shared" si="331"/>
        <v>0</v>
      </c>
      <c r="L6808" s="4" t="str">
        <f>IFERROR(VLOOKUP(ROWS($L$2:L6808),$B$2:$C$1996,2,0),"")</f>
        <v/>
      </c>
      <c r="N6808" s="2" t="str">
        <f>IFERROR(VLOOKUP(ROWS($N$2:N6808),$D$2:$E$1996,2,0),"")</f>
        <v/>
      </c>
    </row>
    <row r="6809" spans="2:14">
      <c r="B6809" s="32">
        <f>IF(ISNUMBER(SEARCH('Φόρμα Εισαγωγής'!$B$2,C6809)),MAX($B$1:B6808)+1,0)</f>
        <v>0</v>
      </c>
      <c r="D6809" s="33">
        <f>IF(ISNUMBER(SEARCH('Φόρμα Εισαγωγής'!$C$2,E6809)),MAX($D$1:D6808)+1,0)</f>
        <v>0</v>
      </c>
      <c r="H6809" s="6">
        <f t="shared" si="329"/>
        <v>0</v>
      </c>
      <c r="I6809" s="6">
        <f t="shared" si="330"/>
        <v>0</v>
      </c>
      <c r="J6809" s="6">
        <f t="shared" si="331"/>
        <v>0</v>
      </c>
      <c r="L6809" s="4" t="str">
        <f>IFERROR(VLOOKUP(ROWS($L$2:L6809),$B$2:$C$1996,2,0),"")</f>
        <v/>
      </c>
      <c r="N6809" s="2" t="str">
        <f>IFERROR(VLOOKUP(ROWS($N$2:N6809),$D$2:$E$1996,2,0),"")</f>
        <v/>
      </c>
    </row>
    <row r="6810" spans="2:14">
      <c r="B6810" s="32">
        <f>IF(ISNUMBER(SEARCH('Φόρμα Εισαγωγής'!$B$2,C6810)),MAX($B$1:B6809)+1,0)</f>
        <v>0</v>
      </c>
      <c r="D6810" s="33">
        <f>IF(ISNUMBER(SEARCH('Φόρμα Εισαγωγής'!$C$2,E6810)),MAX($D$1:D6809)+1,0)</f>
        <v>0</v>
      </c>
      <c r="H6810" s="6">
        <f t="shared" si="329"/>
        <v>0</v>
      </c>
      <c r="I6810" s="6">
        <f t="shared" si="330"/>
        <v>0</v>
      </c>
      <c r="J6810" s="6">
        <f t="shared" si="331"/>
        <v>0</v>
      </c>
      <c r="L6810" s="4" t="str">
        <f>IFERROR(VLOOKUP(ROWS($L$2:L6810),$B$2:$C$1996,2,0),"")</f>
        <v/>
      </c>
      <c r="N6810" s="2" t="str">
        <f>IFERROR(VLOOKUP(ROWS($N$2:N6810),$D$2:$E$1996,2,0),"")</f>
        <v/>
      </c>
    </row>
    <row r="6811" spans="2:14">
      <c r="B6811" s="32">
        <f>IF(ISNUMBER(SEARCH('Φόρμα Εισαγωγής'!$B$2,C6811)),MAX($B$1:B6810)+1,0)</f>
        <v>0</v>
      </c>
      <c r="D6811" s="33">
        <f>IF(ISNUMBER(SEARCH('Φόρμα Εισαγωγής'!$C$2,E6811)),MAX($D$1:D6810)+1,0)</f>
        <v>0</v>
      </c>
      <c r="H6811" s="6">
        <f t="shared" si="329"/>
        <v>0</v>
      </c>
      <c r="I6811" s="6">
        <f t="shared" si="330"/>
        <v>0</v>
      </c>
      <c r="J6811" s="6">
        <f t="shared" si="331"/>
        <v>0</v>
      </c>
      <c r="L6811" s="4" t="str">
        <f>IFERROR(VLOOKUP(ROWS($L$2:L6811),$B$2:$C$1996,2,0),"")</f>
        <v/>
      </c>
      <c r="N6811" s="2" t="str">
        <f>IFERROR(VLOOKUP(ROWS($N$2:N6811),$D$2:$E$1996,2,0),"")</f>
        <v/>
      </c>
    </row>
    <row r="6812" spans="2:14">
      <c r="B6812" s="32">
        <f>IF(ISNUMBER(SEARCH('Φόρμα Εισαγωγής'!$B$2,C6812)),MAX($B$1:B6811)+1,0)</f>
        <v>0</v>
      </c>
      <c r="D6812" s="33">
        <f>IF(ISNUMBER(SEARCH('Φόρμα Εισαγωγής'!$C$2,E6812)),MAX($D$1:D6811)+1,0)</f>
        <v>0</v>
      </c>
      <c r="H6812" s="6">
        <f t="shared" si="329"/>
        <v>0</v>
      </c>
      <c r="I6812" s="6">
        <f t="shared" si="330"/>
        <v>0</v>
      </c>
      <c r="J6812" s="6">
        <f t="shared" si="331"/>
        <v>0</v>
      </c>
      <c r="L6812" s="4" t="str">
        <f>IFERROR(VLOOKUP(ROWS($L$2:L6812),$B$2:$C$1996,2,0),"")</f>
        <v/>
      </c>
      <c r="N6812" s="2" t="str">
        <f>IFERROR(VLOOKUP(ROWS($N$2:N6812),$D$2:$E$1996,2,0),"")</f>
        <v/>
      </c>
    </row>
    <row r="6813" spans="2:14">
      <c r="B6813" s="32">
        <f>IF(ISNUMBER(SEARCH('Φόρμα Εισαγωγής'!$B$2,C6813)),MAX($B$1:B6812)+1,0)</f>
        <v>0</v>
      </c>
      <c r="D6813" s="33">
        <f>IF(ISNUMBER(SEARCH('Φόρμα Εισαγωγής'!$C$2,E6813)),MAX($D$1:D6812)+1,0)</f>
        <v>0</v>
      </c>
      <c r="H6813" s="6">
        <f t="shared" si="329"/>
        <v>0</v>
      </c>
      <c r="I6813" s="6">
        <f t="shared" si="330"/>
        <v>0</v>
      </c>
      <c r="J6813" s="6">
        <f t="shared" si="331"/>
        <v>0</v>
      </c>
      <c r="L6813" s="4" t="str">
        <f>IFERROR(VLOOKUP(ROWS($L$2:L6813),$B$2:$C$1996,2,0),"")</f>
        <v/>
      </c>
      <c r="N6813" s="2" t="str">
        <f>IFERROR(VLOOKUP(ROWS($N$2:N6813),$D$2:$E$1996,2,0),"")</f>
        <v/>
      </c>
    </row>
    <row r="6814" spans="2:14">
      <c r="B6814" s="32">
        <f>IF(ISNUMBER(SEARCH('Φόρμα Εισαγωγής'!$B$2,C6814)),MAX($B$1:B6813)+1,0)</f>
        <v>0</v>
      </c>
      <c r="D6814" s="33">
        <f>IF(ISNUMBER(SEARCH('Φόρμα Εισαγωγής'!$C$2,E6814)),MAX($D$1:D6813)+1,0)</f>
        <v>0</v>
      </c>
      <c r="H6814" s="6">
        <f t="shared" si="329"/>
        <v>0</v>
      </c>
      <c r="I6814" s="6">
        <f t="shared" si="330"/>
        <v>0</v>
      </c>
      <c r="J6814" s="6">
        <f t="shared" si="331"/>
        <v>0</v>
      </c>
      <c r="L6814" s="4" t="str">
        <f>IFERROR(VLOOKUP(ROWS($L$2:L6814),$B$2:$C$1996,2,0),"")</f>
        <v/>
      </c>
      <c r="N6814" s="2" t="str">
        <f>IFERROR(VLOOKUP(ROWS($N$2:N6814),$D$2:$E$1996,2,0),"")</f>
        <v/>
      </c>
    </row>
    <row r="6815" spans="2:14">
      <c r="B6815" s="32">
        <f>IF(ISNUMBER(SEARCH('Φόρμα Εισαγωγής'!$B$2,C6815)),MAX($B$1:B6814)+1,0)</f>
        <v>0</v>
      </c>
      <c r="D6815" s="33">
        <f>IF(ISNUMBER(SEARCH('Φόρμα Εισαγωγής'!$C$2,E6815)),MAX($D$1:D6814)+1,0)</f>
        <v>0</v>
      </c>
      <c r="H6815" s="6">
        <f t="shared" si="329"/>
        <v>0</v>
      </c>
      <c r="I6815" s="6">
        <f t="shared" si="330"/>
        <v>0</v>
      </c>
      <c r="J6815" s="6">
        <f t="shared" si="331"/>
        <v>0</v>
      </c>
      <c r="L6815" s="4" t="str">
        <f>IFERROR(VLOOKUP(ROWS($L$2:L6815),$B$2:$C$1996,2,0),"")</f>
        <v/>
      </c>
      <c r="N6815" s="2" t="str">
        <f>IFERROR(VLOOKUP(ROWS($N$2:N6815),$D$2:$E$1996,2,0),"")</f>
        <v/>
      </c>
    </row>
    <row r="6816" spans="2:14">
      <c r="B6816" s="32">
        <f>IF(ISNUMBER(SEARCH('Φόρμα Εισαγωγής'!$B$2,C6816)),MAX($B$1:B6815)+1,0)</f>
        <v>0</v>
      </c>
      <c r="D6816" s="33">
        <f>IF(ISNUMBER(SEARCH('Φόρμα Εισαγωγής'!$C$2,E6816)),MAX($D$1:D6815)+1,0)</f>
        <v>0</v>
      </c>
      <c r="H6816" s="6">
        <f t="shared" si="329"/>
        <v>0</v>
      </c>
      <c r="I6816" s="6">
        <f t="shared" si="330"/>
        <v>0</v>
      </c>
      <c r="J6816" s="6">
        <f t="shared" si="331"/>
        <v>0</v>
      </c>
      <c r="L6816" s="4" t="str">
        <f>IFERROR(VLOOKUP(ROWS($L$2:L6816),$B$2:$C$1996,2,0),"")</f>
        <v/>
      </c>
      <c r="N6816" s="2" t="str">
        <f>IFERROR(VLOOKUP(ROWS($N$2:N6816),$D$2:$E$1996,2,0),"")</f>
        <v/>
      </c>
    </row>
    <row r="6817" spans="2:14">
      <c r="B6817" s="32">
        <f>IF(ISNUMBER(SEARCH('Φόρμα Εισαγωγής'!$B$2,C6817)),MAX($B$1:B6816)+1,0)</f>
        <v>0</v>
      </c>
      <c r="D6817" s="33">
        <f>IF(ISNUMBER(SEARCH('Φόρμα Εισαγωγής'!$C$2,E6817)),MAX($D$1:D6816)+1,0)</f>
        <v>0</v>
      </c>
      <c r="H6817" s="6">
        <f t="shared" si="329"/>
        <v>0</v>
      </c>
      <c r="I6817" s="6">
        <f t="shared" si="330"/>
        <v>0</v>
      </c>
      <c r="J6817" s="6">
        <f t="shared" si="331"/>
        <v>0</v>
      </c>
      <c r="L6817" s="4" t="str">
        <f>IFERROR(VLOOKUP(ROWS($L$2:L6817),$B$2:$C$1996,2,0),"")</f>
        <v/>
      </c>
      <c r="N6817" s="2" t="str">
        <f>IFERROR(VLOOKUP(ROWS($N$2:N6817),$D$2:$E$1996,2,0),"")</f>
        <v/>
      </c>
    </row>
    <row r="6818" spans="2:14">
      <c r="B6818" s="32">
        <f>IF(ISNUMBER(SEARCH('Φόρμα Εισαγωγής'!$B$2,C6818)),MAX($B$1:B6817)+1,0)</f>
        <v>0</v>
      </c>
      <c r="D6818" s="33">
        <f>IF(ISNUMBER(SEARCH('Φόρμα Εισαγωγής'!$C$2,E6818)),MAX($D$1:D6817)+1,0)</f>
        <v>0</v>
      </c>
      <c r="H6818" s="6">
        <f t="shared" si="329"/>
        <v>0</v>
      </c>
      <c r="I6818" s="6">
        <f t="shared" si="330"/>
        <v>0</v>
      </c>
      <c r="J6818" s="6">
        <f t="shared" si="331"/>
        <v>0</v>
      </c>
      <c r="L6818" s="4" t="str">
        <f>IFERROR(VLOOKUP(ROWS($L$2:L6818),$B$2:$C$1996,2,0),"")</f>
        <v/>
      </c>
      <c r="N6818" s="2" t="str">
        <f>IFERROR(VLOOKUP(ROWS($N$2:N6818),$D$2:$E$1996,2,0),"")</f>
        <v/>
      </c>
    </row>
    <row r="6819" spans="2:14">
      <c r="B6819" s="32">
        <f>IF(ISNUMBER(SEARCH('Φόρμα Εισαγωγής'!$B$2,C6819)),MAX($B$1:B6818)+1,0)</f>
        <v>0</v>
      </c>
      <c r="D6819" s="33">
        <f>IF(ISNUMBER(SEARCH('Φόρμα Εισαγωγής'!$C$2,E6819)),MAX($D$1:D6818)+1,0)</f>
        <v>0</v>
      </c>
      <c r="H6819" s="6">
        <f t="shared" si="329"/>
        <v>0</v>
      </c>
      <c r="I6819" s="6">
        <f t="shared" si="330"/>
        <v>0</v>
      </c>
      <c r="J6819" s="6">
        <f t="shared" si="331"/>
        <v>0</v>
      </c>
      <c r="L6819" s="4" t="str">
        <f>IFERROR(VLOOKUP(ROWS($L$2:L6819),$B$2:$C$1996,2,0),"")</f>
        <v/>
      </c>
      <c r="N6819" s="2" t="str">
        <f>IFERROR(VLOOKUP(ROWS($N$2:N6819),$D$2:$E$1996,2,0),"")</f>
        <v/>
      </c>
    </row>
    <row r="6820" spans="2:14">
      <c r="B6820" s="32">
        <f>IF(ISNUMBER(SEARCH('Φόρμα Εισαγωγής'!$B$2,C6820)),MAX($B$1:B6819)+1,0)</f>
        <v>0</v>
      </c>
      <c r="D6820" s="33">
        <f>IF(ISNUMBER(SEARCH('Φόρμα Εισαγωγής'!$C$2,E6820)),MAX($D$1:D6819)+1,0)</f>
        <v>0</v>
      </c>
      <c r="H6820" s="6">
        <f t="shared" si="329"/>
        <v>0</v>
      </c>
      <c r="I6820" s="6">
        <f t="shared" si="330"/>
        <v>0</v>
      </c>
      <c r="J6820" s="6">
        <f t="shared" si="331"/>
        <v>0</v>
      </c>
      <c r="L6820" s="4" t="str">
        <f>IFERROR(VLOOKUP(ROWS($L$2:L6820),$B$2:$C$1996,2,0),"")</f>
        <v/>
      </c>
      <c r="N6820" s="2" t="str">
        <f>IFERROR(VLOOKUP(ROWS($N$2:N6820),$D$2:$E$1996,2,0),"")</f>
        <v/>
      </c>
    </row>
    <row r="6821" spans="2:14">
      <c r="B6821" s="32">
        <f>IF(ISNUMBER(SEARCH('Φόρμα Εισαγωγής'!$B$2,C6821)),MAX($B$1:B6820)+1,0)</f>
        <v>0</v>
      </c>
      <c r="D6821" s="33">
        <f>IF(ISNUMBER(SEARCH('Φόρμα Εισαγωγής'!$C$2,E6821)),MAX($D$1:D6820)+1,0)</f>
        <v>0</v>
      </c>
      <c r="H6821" s="6">
        <f t="shared" si="329"/>
        <v>0</v>
      </c>
      <c r="I6821" s="6">
        <f t="shared" si="330"/>
        <v>0</v>
      </c>
      <c r="J6821" s="6">
        <f t="shared" si="331"/>
        <v>0</v>
      </c>
      <c r="L6821" s="4" t="str">
        <f>IFERROR(VLOOKUP(ROWS($L$2:L6821),$B$2:$C$1996,2,0),"")</f>
        <v/>
      </c>
      <c r="N6821" s="2" t="str">
        <f>IFERROR(VLOOKUP(ROWS($N$2:N6821),$D$2:$E$1996,2,0),"")</f>
        <v/>
      </c>
    </row>
    <row r="6822" spans="2:14">
      <c r="B6822" s="32">
        <f>IF(ISNUMBER(SEARCH('Φόρμα Εισαγωγής'!$B$2,C6822)),MAX($B$1:B6821)+1,0)</f>
        <v>0</v>
      </c>
      <c r="D6822" s="33">
        <f>IF(ISNUMBER(SEARCH('Φόρμα Εισαγωγής'!$C$2,E6822)),MAX($D$1:D6821)+1,0)</f>
        <v>0</v>
      </c>
      <c r="H6822" s="6">
        <f t="shared" si="329"/>
        <v>0</v>
      </c>
      <c r="I6822" s="6">
        <f t="shared" si="330"/>
        <v>0</v>
      </c>
      <c r="J6822" s="6">
        <f t="shared" si="331"/>
        <v>0</v>
      </c>
      <c r="L6822" s="4" t="str">
        <f>IFERROR(VLOOKUP(ROWS($L$2:L6822),$B$2:$C$1996,2,0),"")</f>
        <v/>
      </c>
      <c r="N6822" s="2" t="str">
        <f>IFERROR(VLOOKUP(ROWS($N$2:N6822),$D$2:$E$1996,2,0),"")</f>
        <v/>
      </c>
    </row>
    <row r="6823" spans="2:14">
      <c r="B6823" s="32">
        <f>IF(ISNUMBER(SEARCH('Φόρμα Εισαγωγής'!$B$2,C6823)),MAX($B$1:B6822)+1,0)</f>
        <v>0</v>
      </c>
      <c r="D6823" s="33">
        <f>IF(ISNUMBER(SEARCH('Φόρμα Εισαγωγής'!$C$2,E6823)),MAX($D$1:D6822)+1,0)</f>
        <v>0</v>
      </c>
      <c r="H6823" s="6">
        <f t="shared" si="329"/>
        <v>0</v>
      </c>
      <c r="I6823" s="6">
        <f t="shared" si="330"/>
        <v>0</v>
      </c>
      <c r="J6823" s="6">
        <f t="shared" si="331"/>
        <v>0</v>
      </c>
      <c r="L6823" s="4" t="str">
        <f>IFERROR(VLOOKUP(ROWS($L$2:L6823),$B$2:$C$1996,2,0),"")</f>
        <v/>
      </c>
      <c r="N6823" s="2" t="str">
        <f>IFERROR(VLOOKUP(ROWS($N$2:N6823),$D$2:$E$1996,2,0),"")</f>
        <v/>
      </c>
    </row>
    <row r="6824" spans="2:14">
      <c r="B6824" s="32">
        <f>IF(ISNUMBER(SEARCH('Φόρμα Εισαγωγής'!$B$2,C6824)),MAX($B$1:B6823)+1,0)</f>
        <v>0</v>
      </c>
      <c r="D6824" s="33">
        <f>IF(ISNUMBER(SEARCH('Φόρμα Εισαγωγής'!$C$2,E6824)),MAX($D$1:D6823)+1,0)</f>
        <v>0</v>
      </c>
      <c r="H6824" s="6">
        <f t="shared" si="329"/>
        <v>0</v>
      </c>
      <c r="I6824" s="6">
        <f t="shared" si="330"/>
        <v>0</v>
      </c>
      <c r="J6824" s="6">
        <f t="shared" si="331"/>
        <v>0</v>
      </c>
      <c r="L6824" s="4" t="str">
        <f>IFERROR(VLOOKUP(ROWS($L$2:L6824),$B$2:$C$1996,2,0),"")</f>
        <v/>
      </c>
      <c r="N6824" s="2" t="str">
        <f>IFERROR(VLOOKUP(ROWS($N$2:N6824),$D$2:$E$1996,2,0),"")</f>
        <v/>
      </c>
    </row>
    <row r="6825" spans="2:14">
      <c r="B6825" s="32">
        <f>IF(ISNUMBER(SEARCH('Φόρμα Εισαγωγής'!$B$2,C6825)),MAX($B$1:B6824)+1,0)</f>
        <v>0</v>
      </c>
      <c r="D6825" s="33">
        <f>IF(ISNUMBER(SEARCH('Φόρμα Εισαγωγής'!$C$2,E6825)),MAX($D$1:D6824)+1,0)</f>
        <v>0</v>
      </c>
      <c r="H6825" s="6">
        <f t="shared" si="329"/>
        <v>0</v>
      </c>
      <c r="I6825" s="6">
        <f t="shared" si="330"/>
        <v>0</v>
      </c>
      <c r="J6825" s="6">
        <f t="shared" si="331"/>
        <v>0</v>
      </c>
      <c r="L6825" s="4" t="str">
        <f>IFERROR(VLOOKUP(ROWS($L$2:L6825),$B$2:$C$1996,2,0),"")</f>
        <v/>
      </c>
      <c r="N6825" s="2" t="str">
        <f>IFERROR(VLOOKUP(ROWS($N$2:N6825),$D$2:$E$1996,2,0),"")</f>
        <v/>
      </c>
    </row>
    <row r="6826" spans="2:14">
      <c r="B6826" s="32">
        <f>IF(ISNUMBER(SEARCH('Φόρμα Εισαγωγής'!$B$2,C6826)),MAX($B$1:B6825)+1,0)</f>
        <v>0</v>
      </c>
      <c r="D6826" s="33">
        <f>IF(ISNUMBER(SEARCH('Φόρμα Εισαγωγής'!$C$2,E6826)),MAX($D$1:D6825)+1,0)</f>
        <v>0</v>
      </c>
      <c r="H6826" s="6">
        <f t="shared" si="329"/>
        <v>0</v>
      </c>
      <c r="I6826" s="6">
        <f t="shared" si="330"/>
        <v>0</v>
      </c>
      <c r="J6826" s="6">
        <f t="shared" si="331"/>
        <v>0</v>
      </c>
      <c r="L6826" s="4" t="str">
        <f>IFERROR(VLOOKUP(ROWS($L$2:L6826),$B$2:$C$1996,2,0),"")</f>
        <v/>
      </c>
      <c r="N6826" s="2" t="str">
        <f>IFERROR(VLOOKUP(ROWS($N$2:N6826),$D$2:$E$1996,2,0),"")</f>
        <v/>
      </c>
    </row>
    <row r="6827" spans="2:14">
      <c r="B6827" s="32">
        <f>IF(ISNUMBER(SEARCH('Φόρμα Εισαγωγής'!$B$2,C6827)),MAX($B$1:B6826)+1,0)</f>
        <v>0</v>
      </c>
      <c r="D6827" s="33">
        <f>IF(ISNUMBER(SEARCH('Φόρμα Εισαγωγής'!$C$2,E6827)),MAX($D$1:D6826)+1,0)</f>
        <v>0</v>
      </c>
      <c r="H6827" s="6">
        <f t="shared" si="329"/>
        <v>0</v>
      </c>
      <c r="I6827" s="6">
        <f t="shared" si="330"/>
        <v>0</v>
      </c>
      <c r="J6827" s="6">
        <f t="shared" si="331"/>
        <v>0</v>
      </c>
      <c r="L6827" s="4" t="str">
        <f>IFERROR(VLOOKUP(ROWS($L$2:L6827),$B$2:$C$1996,2,0),"")</f>
        <v/>
      </c>
      <c r="N6827" s="2" t="str">
        <f>IFERROR(VLOOKUP(ROWS($N$2:N6827),$D$2:$E$1996,2,0),"")</f>
        <v/>
      </c>
    </row>
    <row r="6828" spans="2:14">
      <c r="B6828" s="32">
        <f>IF(ISNUMBER(SEARCH('Φόρμα Εισαγωγής'!$B$2,C6828)),MAX($B$1:B6827)+1,0)</f>
        <v>0</v>
      </c>
      <c r="D6828" s="33">
        <f>IF(ISNUMBER(SEARCH('Φόρμα Εισαγωγής'!$C$2,E6828)),MAX($D$1:D6827)+1,0)</f>
        <v>0</v>
      </c>
      <c r="H6828" s="6">
        <f t="shared" si="329"/>
        <v>0</v>
      </c>
      <c r="I6828" s="6">
        <f t="shared" si="330"/>
        <v>0</v>
      </c>
      <c r="J6828" s="6">
        <f t="shared" si="331"/>
        <v>0</v>
      </c>
      <c r="L6828" s="4" t="str">
        <f>IFERROR(VLOOKUP(ROWS($L$2:L6828),$B$2:$C$1996,2,0),"")</f>
        <v/>
      </c>
      <c r="N6828" s="2" t="str">
        <f>IFERROR(VLOOKUP(ROWS($N$2:N6828),$D$2:$E$1996,2,0),"")</f>
        <v/>
      </c>
    </row>
    <row r="6829" spans="2:14">
      <c r="B6829" s="32">
        <f>IF(ISNUMBER(SEARCH('Φόρμα Εισαγωγής'!$B$2,C6829)),MAX($B$1:B6828)+1,0)</f>
        <v>0</v>
      </c>
      <c r="D6829" s="33">
        <f>IF(ISNUMBER(SEARCH('Φόρμα Εισαγωγής'!$C$2,E6829)),MAX($D$1:D6828)+1,0)</f>
        <v>0</v>
      </c>
      <c r="H6829" s="6">
        <f t="shared" si="329"/>
        <v>0</v>
      </c>
      <c r="I6829" s="6">
        <f t="shared" si="330"/>
        <v>0</v>
      </c>
      <c r="J6829" s="6">
        <f t="shared" si="331"/>
        <v>0</v>
      </c>
      <c r="L6829" s="4" t="str">
        <f>IFERROR(VLOOKUP(ROWS($L$2:L6829),$B$2:$C$1996,2,0),"")</f>
        <v/>
      </c>
      <c r="N6829" s="2" t="str">
        <f>IFERROR(VLOOKUP(ROWS($N$2:N6829),$D$2:$E$1996,2,0),"")</f>
        <v/>
      </c>
    </row>
    <row r="6830" spans="2:14">
      <c r="B6830" s="32">
        <f>IF(ISNUMBER(SEARCH('Φόρμα Εισαγωγής'!$B$2,C6830)),MAX($B$1:B6829)+1,0)</f>
        <v>0</v>
      </c>
      <c r="D6830" s="33">
        <f>IF(ISNUMBER(SEARCH('Φόρμα Εισαγωγής'!$C$2,E6830)),MAX($D$1:D6829)+1,0)</f>
        <v>0</v>
      </c>
      <c r="H6830" s="6">
        <f t="shared" si="329"/>
        <v>0</v>
      </c>
      <c r="I6830" s="6">
        <f t="shared" si="330"/>
        <v>0</v>
      </c>
      <c r="J6830" s="6">
        <f t="shared" si="331"/>
        <v>0</v>
      </c>
      <c r="L6830" s="4" t="str">
        <f>IFERROR(VLOOKUP(ROWS($L$2:L6830),$B$2:$C$1996,2,0),"")</f>
        <v/>
      </c>
      <c r="N6830" s="2" t="str">
        <f>IFERROR(VLOOKUP(ROWS($N$2:N6830),$D$2:$E$1996,2,0),"")</f>
        <v/>
      </c>
    </row>
    <row r="6831" spans="2:14">
      <c r="B6831" s="32">
        <f>IF(ISNUMBER(SEARCH('Φόρμα Εισαγωγής'!$B$2,C6831)),MAX($B$1:B6830)+1,0)</f>
        <v>0</v>
      </c>
      <c r="D6831" s="33">
        <f>IF(ISNUMBER(SEARCH('Φόρμα Εισαγωγής'!$C$2,E6831)),MAX($D$1:D6830)+1,0)</f>
        <v>0</v>
      </c>
      <c r="H6831" s="6">
        <f t="shared" si="329"/>
        <v>0</v>
      </c>
      <c r="I6831" s="6">
        <f t="shared" si="330"/>
        <v>0</v>
      </c>
      <c r="J6831" s="6">
        <f t="shared" si="331"/>
        <v>0</v>
      </c>
      <c r="L6831" s="4" t="str">
        <f>IFERROR(VLOOKUP(ROWS($L$2:L6831),$B$2:$C$1996,2,0),"")</f>
        <v/>
      </c>
      <c r="N6831" s="2" t="str">
        <f>IFERROR(VLOOKUP(ROWS($N$2:N6831),$D$2:$E$1996,2,0),"")</f>
        <v/>
      </c>
    </row>
    <row r="6832" spans="2:14">
      <c r="B6832" s="32">
        <f>IF(ISNUMBER(SEARCH('Φόρμα Εισαγωγής'!$B$2,C6832)),MAX($B$1:B6831)+1,0)</f>
        <v>0</v>
      </c>
      <c r="D6832" s="33">
        <f>IF(ISNUMBER(SEARCH('Φόρμα Εισαγωγής'!$C$2,E6832)),MAX($D$1:D6831)+1,0)</f>
        <v>0</v>
      </c>
      <c r="H6832" s="6">
        <f t="shared" si="329"/>
        <v>0</v>
      </c>
      <c r="I6832" s="6">
        <f t="shared" si="330"/>
        <v>0</v>
      </c>
      <c r="J6832" s="6">
        <f t="shared" si="331"/>
        <v>0</v>
      </c>
      <c r="L6832" s="4" t="str">
        <f>IFERROR(VLOOKUP(ROWS($L$2:L6832),$B$2:$C$1996,2,0),"")</f>
        <v/>
      </c>
      <c r="N6832" s="2" t="str">
        <f>IFERROR(VLOOKUP(ROWS($N$2:N6832),$D$2:$E$1996,2,0),"")</f>
        <v/>
      </c>
    </row>
    <row r="6833" spans="2:14">
      <c r="B6833" s="32">
        <f>IF(ISNUMBER(SEARCH('Φόρμα Εισαγωγής'!$B$2,C6833)),MAX($B$1:B6832)+1,0)</f>
        <v>0</v>
      </c>
      <c r="D6833" s="33">
        <f>IF(ISNUMBER(SEARCH('Φόρμα Εισαγωγής'!$C$2,E6833)),MAX($D$1:D6832)+1,0)</f>
        <v>0</v>
      </c>
      <c r="H6833" s="6">
        <f t="shared" si="329"/>
        <v>0</v>
      </c>
      <c r="I6833" s="6">
        <f t="shared" si="330"/>
        <v>0</v>
      </c>
      <c r="J6833" s="6">
        <f t="shared" si="331"/>
        <v>0</v>
      </c>
      <c r="L6833" s="4" t="str">
        <f>IFERROR(VLOOKUP(ROWS($L$2:L6833),$B$2:$C$1996,2,0),"")</f>
        <v/>
      </c>
      <c r="N6833" s="2" t="str">
        <f>IFERROR(VLOOKUP(ROWS($N$2:N6833),$D$2:$E$1996,2,0),"")</f>
        <v/>
      </c>
    </row>
    <row r="6834" spans="2:14">
      <c r="B6834" s="32">
        <f>IF(ISNUMBER(SEARCH('Φόρμα Εισαγωγής'!$B$2,C6834)),MAX($B$1:B6833)+1,0)</f>
        <v>0</v>
      </c>
      <c r="D6834" s="33">
        <f>IF(ISNUMBER(SEARCH('Φόρμα Εισαγωγής'!$C$2,E6834)),MAX($D$1:D6833)+1,0)</f>
        <v>0</v>
      </c>
      <c r="H6834" s="6">
        <f t="shared" si="329"/>
        <v>0</v>
      </c>
      <c r="I6834" s="6">
        <f t="shared" si="330"/>
        <v>0</v>
      </c>
      <c r="J6834" s="6">
        <f t="shared" si="331"/>
        <v>0</v>
      </c>
      <c r="L6834" s="4" t="str">
        <f>IFERROR(VLOOKUP(ROWS($L$2:L6834),$B$2:$C$1996,2,0),"")</f>
        <v/>
      </c>
      <c r="N6834" s="2" t="str">
        <f>IFERROR(VLOOKUP(ROWS($N$2:N6834),$D$2:$E$1996,2,0),"")</f>
        <v/>
      </c>
    </row>
    <row r="6835" spans="2:14">
      <c r="B6835" s="32">
        <f>IF(ISNUMBER(SEARCH('Φόρμα Εισαγωγής'!$B$2,C6835)),MAX($B$1:B6834)+1,0)</f>
        <v>0</v>
      </c>
      <c r="D6835" s="33">
        <f>IF(ISNUMBER(SEARCH('Φόρμα Εισαγωγής'!$C$2,E6835)),MAX($D$1:D6834)+1,0)</f>
        <v>0</v>
      </c>
      <c r="H6835" s="6">
        <f t="shared" si="329"/>
        <v>0</v>
      </c>
      <c r="I6835" s="6">
        <f t="shared" si="330"/>
        <v>0</v>
      </c>
      <c r="J6835" s="6">
        <f t="shared" si="331"/>
        <v>0</v>
      </c>
      <c r="L6835" s="4" t="str">
        <f>IFERROR(VLOOKUP(ROWS($L$2:L6835),$B$2:$C$1996,2,0),"")</f>
        <v/>
      </c>
      <c r="N6835" s="2" t="str">
        <f>IFERROR(VLOOKUP(ROWS($N$2:N6835),$D$2:$E$1996,2,0),"")</f>
        <v/>
      </c>
    </row>
    <row r="6836" spans="2:14">
      <c r="B6836" s="32">
        <f>IF(ISNUMBER(SEARCH('Φόρμα Εισαγωγής'!$B$2,C6836)),MAX($B$1:B6835)+1,0)</f>
        <v>0</v>
      </c>
      <c r="D6836" s="33">
        <f>IF(ISNUMBER(SEARCH('Φόρμα Εισαγωγής'!$C$2,E6836)),MAX($D$1:D6835)+1,0)</f>
        <v>0</v>
      </c>
      <c r="H6836" s="6">
        <f t="shared" si="329"/>
        <v>0</v>
      </c>
      <c r="I6836" s="6">
        <f t="shared" si="330"/>
        <v>0</v>
      </c>
      <c r="J6836" s="6">
        <f t="shared" si="331"/>
        <v>0</v>
      </c>
      <c r="L6836" s="4" t="str">
        <f>IFERROR(VLOOKUP(ROWS($L$2:L6836),$B$2:$C$1996,2,0),"")</f>
        <v/>
      </c>
      <c r="N6836" s="2" t="str">
        <f>IFERROR(VLOOKUP(ROWS($N$2:N6836),$D$2:$E$1996,2,0),"")</f>
        <v/>
      </c>
    </row>
    <row r="6837" spans="2:14">
      <c r="B6837" s="32">
        <f>IF(ISNUMBER(SEARCH('Φόρμα Εισαγωγής'!$B$2,C6837)),MAX($B$1:B6836)+1,0)</f>
        <v>0</v>
      </c>
      <c r="D6837" s="33">
        <f>IF(ISNUMBER(SEARCH('Φόρμα Εισαγωγής'!$C$2,E6837)),MAX($D$1:D6836)+1,0)</f>
        <v>0</v>
      </c>
      <c r="H6837" s="6">
        <f t="shared" si="329"/>
        <v>0</v>
      </c>
      <c r="I6837" s="6">
        <f t="shared" si="330"/>
        <v>0</v>
      </c>
      <c r="J6837" s="6">
        <f t="shared" si="331"/>
        <v>0</v>
      </c>
      <c r="L6837" s="4" t="str">
        <f>IFERROR(VLOOKUP(ROWS($L$2:L6837),$B$2:$C$1996,2,0),"")</f>
        <v/>
      </c>
      <c r="N6837" s="2" t="str">
        <f>IFERROR(VLOOKUP(ROWS($N$2:N6837),$D$2:$E$1996,2,0),"")</f>
        <v/>
      </c>
    </row>
    <row r="6838" spans="2:14">
      <c r="B6838" s="32">
        <f>IF(ISNUMBER(SEARCH('Φόρμα Εισαγωγής'!$B$2,C6838)),MAX($B$1:B6837)+1,0)</f>
        <v>0</v>
      </c>
      <c r="D6838" s="33">
        <f>IF(ISNUMBER(SEARCH('Φόρμα Εισαγωγής'!$C$2,E6838)),MAX($D$1:D6837)+1,0)</f>
        <v>0</v>
      </c>
      <c r="H6838" s="6">
        <f t="shared" si="329"/>
        <v>0</v>
      </c>
      <c r="I6838" s="6">
        <f t="shared" si="330"/>
        <v>0</v>
      </c>
      <c r="J6838" s="6">
        <f t="shared" si="331"/>
        <v>0</v>
      </c>
      <c r="L6838" s="4" t="str">
        <f>IFERROR(VLOOKUP(ROWS($L$2:L6838),$B$2:$C$1996,2,0),"")</f>
        <v/>
      </c>
      <c r="N6838" s="2" t="str">
        <f>IFERROR(VLOOKUP(ROWS($N$2:N6838),$D$2:$E$1996,2,0),"")</f>
        <v/>
      </c>
    </row>
    <row r="6839" spans="2:14">
      <c r="B6839" s="32">
        <f>IF(ISNUMBER(SEARCH('Φόρμα Εισαγωγής'!$B$2,C6839)),MAX($B$1:B6838)+1,0)</f>
        <v>0</v>
      </c>
      <c r="D6839" s="33">
        <f>IF(ISNUMBER(SEARCH('Φόρμα Εισαγωγής'!$C$2,E6839)),MAX($D$1:D6838)+1,0)</f>
        <v>0</v>
      </c>
      <c r="H6839" s="6">
        <f t="shared" si="329"/>
        <v>0</v>
      </c>
      <c r="I6839" s="6">
        <f t="shared" si="330"/>
        <v>0</v>
      </c>
      <c r="J6839" s="6">
        <f t="shared" si="331"/>
        <v>0</v>
      </c>
      <c r="L6839" s="4" t="str">
        <f>IFERROR(VLOOKUP(ROWS($L$2:L6839),$B$2:$C$1996,2,0),"")</f>
        <v/>
      </c>
      <c r="N6839" s="2" t="str">
        <f>IFERROR(VLOOKUP(ROWS($N$2:N6839),$D$2:$E$1996,2,0),"")</f>
        <v/>
      </c>
    </row>
    <row r="6840" spans="2:14">
      <c r="B6840" s="32">
        <f>IF(ISNUMBER(SEARCH('Φόρμα Εισαγωγής'!$B$2,C6840)),MAX($B$1:B6839)+1,0)</f>
        <v>0</v>
      </c>
      <c r="D6840" s="33">
        <f>IF(ISNUMBER(SEARCH('Φόρμα Εισαγωγής'!$C$2,E6840)),MAX($D$1:D6839)+1,0)</f>
        <v>0</v>
      </c>
      <c r="H6840" s="6">
        <f t="shared" si="329"/>
        <v>0</v>
      </c>
      <c r="I6840" s="6">
        <f t="shared" si="330"/>
        <v>0</v>
      </c>
      <c r="J6840" s="6">
        <f t="shared" si="331"/>
        <v>0</v>
      </c>
      <c r="L6840" s="4" t="str">
        <f>IFERROR(VLOOKUP(ROWS($L$2:L6840),$B$2:$C$1996,2,0),"")</f>
        <v/>
      </c>
      <c r="N6840" s="2" t="str">
        <f>IFERROR(VLOOKUP(ROWS($N$2:N6840),$D$2:$E$1996,2,0),"")</f>
        <v/>
      </c>
    </row>
    <row r="6841" spans="2:14">
      <c r="B6841" s="32">
        <f>IF(ISNUMBER(SEARCH('Φόρμα Εισαγωγής'!$B$2,C6841)),MAX($B$1:B6840)+1,0)</f>
        <v>0</v>
      </c>
      <c r="D6841" s="33">
        <f>IF(ISNUMBER(SEARCH('Φόρμα Εισαγωγής'!$C$2,E6841)),MAX($D$1:D6840)+1,0)</f>
        <v>0</v>
      </c>
      <c r="H6841" s="6">
        <f t="shared" si="329"/>
        <v>0</v>
      </c>
      <c r="I6841" s="6">
        <f t="shared" si="330"/>
        <v>0</v>
      </c>
      <c r="J6841" s="6">
        <f t="shared" si="331"/>
        <v>0</v>
      </c>
      <c r="L6841" s="4" t="str">
        <f>IFERROR(VLOOKUP(ROWS($L$2:L6841),$B$2:$C$1996,2,0),"")</f>
        <v/>
      </c>
      <c r="N6841" s="2" t="str">
        <f>IFERROR(VLOOKUP(ROWS($N$2:N6841),$D$2:$E$1996,2,0),"")</f>
        <v/>
      </c>
    </row>
    <row r="6842" spans="2:14">
      <c r="B6842" s="32">
        <f>IF(ISNUMBER(SEARCH('Φόρμα Εισαγωγής'!$B$2,C6842)),MAX($B$1:B6841)+1,0)</f>
        <v>0</v>
      </c>
      <c r="D6842" s="33">
        <f>IF(ISNUMBER(SEARCH('Φόρμα Εισαγωγής'!$C$2,E6842)),MAX($D$1:D6841)+1,0)</f>
        <v>0</v>
      </c>
      <c r="H6842" s="6">
        <f t="shared" si="329"/>
        <v>0</v>
      </c>
      <c r="I6842" s="6">
        <f t="shared" si="330"/>
        <v>0</v>
      </c>
      <c r="J6842" s="6">
        <f t="shared" si="331"/>
        <v>0</v>
      </c>
      <c r="L6842" s="4" t="str">
        <f>IFERROR(VLOOKUP(ROWS($L$2:L6842),$B$2:$C$1996,2,0),"")</f>
        <v/>
      </c>
      <c r="N6842" s="2" t="str">
        <f>IFERROR(VLOOKUP(ROWS($N$2:N6842),$D$2:$E$1996,2,0),"")</f>
        <v/>
      </c>
    </row>
    <row r="6843" spans="2:14">
      <c r="B6843" s="32">
        <f>IF(ISNUMBER(SEARCH('Φόρμα Εισαγωγής'!$B$2,C6843)),MAX($B$1:B6842)+1,0)</f>
        <v>0</v>
      </c>
      <c r="D6843" s="33">
        <f>IF(ISNUMBER(SEARCH('Φόρμα Εισαγωγής'!$C$2,E6843)),MAX($D$1:D6842)+1,0)</f>
        <v>0</v>
      </c>
      <c r="H6843" s="6">
        <f t="shared" si="329"/>
        <v>0</v>
      </c>
      <c r="I6843" s="6">
        <f t="shared" si="330"/>
        <v>0</v>
      </c>
      <c r="J6843" s="6">
        <f t="shared" si="331"/>
        <v>0</v>
      </c>
      <c r="L6843" s="4" t="str">
        <f>IFERROR(VLOOKUP(ROWS($L$2:L6843),$B$2:$C$1996,2,0),"")</f>
        <v/>
      </c>
      <c r="N6843" s="2" t="str">
        <f>IFERROR(VLOOKUP(ROWS($N$2:N6843),$D$2:$E$1996,2,0),"")</f>
        <v/>
      </c>
    </row>
    <row r="6844" spans="2:14">
      <c r="B6844" s="32">
        <f>IF(ISNUMBER(SEARCH('Φόρμα Εισαγωγής'!$B$2,C6844)),MAX($B$1:B6843)+1,0)</f>
        <v>0</v>
      </c>
      <c r="D6844" s="33">
        <f>IF(ISNUMBER(SEARCH('Φόρμα Εισαγωγής'!$C$2,E6844)),MAX($D$1:D6843)+1,0)</f>
        <v>0</v>
      </c>
      <c r="H6844" s="6">
        <f t="shared" si="329"/>
        <v>0</v>
      </c>
      <c r="I6844" s="6">
        <f t="shared" si="330"/>
        <v>0</v>
      </c>
      <c r="J6844" s="6">
        <f t="shared" si="331"/>
        <v>0</v>
      </c>
      <c r="L6844" s="4" t="str">
        <f>IFERROR(VLOOKUP(ROWS($L$2:L6844),$B$2:$C$1996,2,0),"")</f>
        <v/>
      </c>
      <c r="N6844" s="2" t="str">
        <f>IFERROR(VLOOKUP(ROWS($N$2:N6844),$D$2:$E$1996,2,0),"")</f>
        <v/>
      </c>
    </row>
    <row r="6845" spans="2:14">
      <c r="B6845" s="32">
        <f>IF(ISNUMBER(SEARCH('Φόρμα Εισαγωγής'!$B$2,C6845)),MAX($B$1:B6844)+1,0)</f>
        <v>0</v>
      </c>
      <c r="D6845" s="33">
        <f>IF(ISNUMBER(SEARCH('Φόρμα Εισαγωγής'!$C$2,E6845)),MAX($D$1:D6844)+1,0)</f>
        <v>0</v>
      </c>
      <c r="H6845" s="6">
        <f t="shared" si="329"/>
        <v>0</v>
      </c>
      <c r="I6845" s="6">
        <f t="shared" si="330"/>
        <v>0</v>
      </c>
      <c r="J6845" s="6">
        <f t="shared" si="331"/>
        <v>0</v>
      </c>
      <c r="L6845" s="4" t="str">
        <f>IFERROR(VLOOKUP(ROWS($L$2:L6845),$B$2:$C$1996,2,0),"")</f>
        <v/>
      </c>
      <c r="N6845" s="2" t="str">
        <f>IFERROR(VLOOKUP(ROWS($N$2:N6845),$D$2:$E$1996,2,0),"")</f>
        <v/>
      </c>
    </row>
    <row r="6846" spans="2:14">
      <c r="B6846" s="32">
        <f>IF(ISNUMBER(SEARCH('Φόρμα Εισαγωγής'!$B$2,C6846)),MAX($B$1:B6845)+1,0)</f>
        <v>0</v>
      </c>
      <c r="D6846" s="33">
        <f>IF(ISNUMBER(SEARCH('Φόρμα Εισαγωγής'!$C$2,E6846)),MAX($D$1:D6845)+1,0)</f>
        <v>0</v>
      </c>
      <c r="H6846" s="6">
        <f t="shared" si="329"/>
        <v>0</v>
      </c>
      <c r="I6846" s="6">
        <f t="shared" si="330"/>
        <v>0</v>
      </c>
      <c r="J6846" s="6">
        <f t="shared" si="331"/>
        <v>0</v>
      </c>
      <c r="L6846" s="4" t="str">
        <f>IFERROR(VLOOKUP(ROWS($L$2:L6846),$B$2:$C$1996,2,0),"")</f>
        <v/>
      </c>
      <c r="N6846" s="2" t="str">
        <f>IFERROR(VLOOKUP(ROWS($N$2:N6846),$D$2:$E$1996,2,0),"")</f>
        <v/>
      </c>
    </row>
    <row r="6847" spans="2:14">
      <c r="B6847" s="32">
        <f>IF(ISNUMBER(SEARCH('Φόρμα Εισαγωγής'!$B$2,C6847)),MAX($B$1:B6846)+1,0)</f>
        <v>0</v>
      </c>
      <c r="D6847" s="33">
        <f>IF(ISNUMBER(SEARCH('Φόρμα Εισαγωγής'!$C$2,E6847)),MAX($D$1:D6846)+1,0)</f>
        <v>0</v>
      </c>
      <c r="H6847" s="6">
        <f t="shared" si="329"/>
        <v>0</v>
      </c>
      <c r="I6847" s="6">
        <f t="shared" si="330"/>
        <v>0</v>
      </c>
      <c r="J6847" s="6">
        <f t="shared" si="331"/>
        <v>0</v>
      </c>
      <c r="L6847" s="4" t="str">
        <f>IFERROR(VLOOKUP(ROWS($L$2:L6847),$B$2:$C$1996,2,0),"")</f>
        <v/>
      </c>
      <c r="N6847" s="2" t="str">
        <f>IFERROR(VLOOKUP(ROWS($N$2:N6847),$D$2:$E$1996,2,0),"")</f>
        <v/>
      </c>
    </row>
    <row r="6848" spans="2:14">
      <c r="B6848" s="32">
        <f>IF(ISNUMBER(SEARCH('Φόρμα Εισαγωγής'!$B$2,C6848)),MAX($B$1:B6847)+1,0)</f>
        <v>0</v>
      </c>
      <c r="D6848" s="33">
        <f>IF(ISNUMBER(SEARCH('Φόρμα Εισαγωγής'!$C$2,E6848)),MAX($D$1:D6847)+1,0)</f>
        <v>0</v>
      </c>
      <c r="H6848" s="6">
        <f t="shared" ref="H6848:H6911" si="332">G6848+(G6848*0.24)</f>
        <v>0</v>
      </c>
      <c r="I6848" s="6">
        <f t="shared" ref="I6848:I6911" si="333">F6848*A6848</f>
        <v>0</v>
      </c>
      <c r="J6848" s="6">
        <f t="shared" ref="J6848:J6911" si="334">H6848*A6848</f>
        <v>0</v>
      </c>
      <c r="L6848" s="4" t="str">
        <f>IFERROR(VLOOKUP(ROWS($L$2:L6848),$B$2:$C$1996,2,0),"")</f>
        <v/>
      </c>
      <c r="N6848" s="2" t="str">
        <f>IFERROR(VLOOKUP(ROWS($N$2:N6848),$D$2:$E$1996,2,0),"")</f>
        <v/>
      </c>
    </row>
    <row r="6849" spans="2:14">
      <c r="B6849" s="32">
        <f>IF(ISNUMBER(SEARCH('Φόρμα Εισαγωγής'!$B$2,C6849)),MAX($B$1:B6848)+1,0)</f>
        <v>0</v>
      </c>
      <c r="D6849" s="33">
        <f>IF(ISNUMBER(SEARCH('Φόρμα Εισαγωγής'!$C$2,E6849)),MAX($D$1:D6848)+1,0)</f>
        <v>0</v>
      </c>
      <c r="H6849" s="6">
        <f t="shared" si="332"/>
        <v>0</v>
      </c>
      <c r="I6849" s="6">
        <f t="shared" si="333"/>
        <v>0</v>
      </c>
      <c r="J6849" s="6">
        <f t="shared" si="334"/>
        <v>0</v>
      </c>
      <c r="L6849" s="4" t="str">
        <f>IFERROR(VLOOKUP(ROWS($L$2:L6849),$B$2:$C$1996,2,0),"")</f>
        <v/>
      </c>
      <c r="N6849" s="2" t="str">
        <f>IFERROR(VLOOKUP(ROWS($N$2:N6849),$D$2:$E$1996,2,0),"")</f>
        <v/>
      </c>
    </row>
    <row r="6850" spans="2:14">
      <c r="B6850" s="32">
        <f>IF(ISNUMBER(SEARCH('Φόρμα Εισαγωγής'!$B$2,C6850)),MAX($B$1:B6849)+1,0)</f>
        <v>0</v>
      </c>
      <c r="D6850" s="33">
        <f>IF(ISNUMBER(SEARCH('Φόρμα Εισαγωγής'!$C$2,E6850)),MAX($D$1:D6849)+1,0)</f>
        <v>0</v>
      </c>
      <c r="H6850" s="6">
        <f t="shared" si="332"/>
        <v>0</v>
      </c>
      <c r="I6850" s="6">
        <f t="shared" si="333"/>
        <v>0</v>
      </c>
      <c r="J6850" s="6">
        <f t="shared" si="334"/>
        <v>0</v>
      </c>
      <c r="L6850" s="4" t="str">
        <f>IFERROR(VLOOKUP(ROWS($L$2:L6850),$B$2:$C$1996,2,0),"")</f>
        <v/>
      </c>
      <c r="N6850" s="2" t="str">
        <f>IFERROR(VLOOKUP(ROWS($N$2:N6850),$D$2:$E$1996,2,0),"")</f>
        <v/>
      </c>
    </row>
    <row r="6851" spans="2:14">
      <c r="B6851" s="32">
        <f>IF(ISNUMBER(SEARCH('Φόρμα Εισαγωγής'!$B$2,C6851)),MAX($B$1:B6850)+1,0)</f>
        <v>0</v>
      </c>
      <c r="D6851" s="33">
        <f>IF(ISNUMBER(SEARCH('Φόρμα Εισαγωγής'!$C$2,E6851)),MAX($D$1:D6850)+1,0)</f>
        <v>0</v>
      </c>
      <c r="H6851" s="6">
        <f t="shared" si="332"/>
        <v>0</v>
      </c>
      <c r="I6851" s="6">
        <f t="shared" si="333"/>
        <v>0</v>
      </c>
      <c r="J6851" s="6">
        <f t="shared" si="334"/>
        <v>0</v>
      </c>
      <c r="L6851" s="4" t="str">
        <f>IFERROR(VLOOKUP(ROWS($L$2:L6851),$B$2:$C$1996,2,0),"")</f>
        <v/>
      </c>
      <c r="N6851" s="2" t="str">
        <f>IFERROR(VLOOKUP(ROWS($N$2:N6851),$D$2:$E$1996,2,0),"")</f>
        <v/>
      </c>
    </row>
    <row r="6852" spans="2:14">
      <c r="B6852" s="32">
        <f>IF(ISNUMBER(SEARCH('Φόρμα Εισαγωγής'!$B$2,C6852)),MAX($B$1:B6851)+1,0)</f>
        <v>0</v>
      </c>
      <c r="D6852" s="33">
        <f>IF(ISNUMBER(SEARCH('Φόρμα Εισαγωγής'!$C$2,E6852)),MAX($D$1:D6851)+1,0)</f>
        <v>0</v>
      </c>
      <c r="H6852" s="6">
        <f t="shared" si="332"/>
        <v>0</v>
      </c>
      <c r="I6852" s="6">
        <f t="shared" si="333"/>
        <v>0</v>
      </c>
      <c r="J6852" s="6">
        <f t="shared" si="334"/>
        <v>0</v>
      </c>
      <c r="L6852" s="4" t="str">
        <f>IFERROR(VLOOKUP(ROWS($L$2:L6852),$B$2:$C$1996,2,0),"")</f>
        <v/>
      </c>
      <c r="N6852" s="2" t="str">
        <f>IFERROR(VLOOKUP(ROWS($N$2:N6852),$D$2:$E$1996,2,0),"")</f>
        <v/>
      </c>
    </row>
    <row r="6853" spans="2:14">
      <c r="B6853" s="32">
        <f>IF(ISNUMBER(SEARCH('Φόρμα Εισαγωγής'!$B$2,C6853)),MAX($B$1:B6852)+1,0)</f>
        <v>0</v>
      </c>
      <c r="D6853" s="33">
        <f>IF(ISNUMBER(SEARCH('Φόρμα Εισαγωγής'!$C$2,E6853)),MAX($D$1:D6852)+1,0)</f>
        <v>0</v>
      </c>
      <c r="H6853" s="6">
        <f t="shared" si="332"/>
        <v>0</v>
      </c>
      <c r="I6853" s="6">
        <f t="shared" si="333"/>
        <v>0</v>
      </c>
      <c r="J6853" s="6">
        <f t="shared" si="334"/>
        <v>0</v>
      </c>
      <c r="L6853" s="4" t="str">
        <f>IFERROR(VLOOKUP(ROWS($L$2:L6853),$B$2:$C$1996,2,0),"")</f>
        <v/>
      </c>
      <c r="N6853" s="2" t="str">
        <f>IFERROR(VLOOKUP(ROWS($N$2:N6853),$D$2:$E$1996,2,0),"")</f>
        <v/>
      </c>
    </row>
    <row r="6854" spans="2:14">
      <c r="B6854" s="32">
        <f>IF(ISNUMBER(SEARCH('Φόρμα Εισαγωγής'!$B$2,C6854)),MAX($B$1:B6853)+1,0)</f>
        <v>0</v>
      </c>
      <c r="D6854" s="33">
        <f>IF(ISNUMBER(SEARCH('Φόρμα Εισαγωγής'!$C$2,E6854)),MAX($D$1:D6853)+1,0)</f>
        <v>0</v>
      </c>
      <c r="H6854" s="6">
        <f t="shared" si="332"/>
        <v>0</v>
      </c>
      <c r="I6854" s="6">
        <f t="shared" si="333"/>
        <v>0</v>
      </c>
      <c r="J6854" s="6">
        <f t="shared" si="334"/>
        <v>0</v>
      </c>
      <c r="L6854" s="4" t="str">
        <f>IFERROR(VLOOKUP(ROWS($L$2:L6854),$B$2:$C$1996,2,0),"")</f>
        <v/>
      </c>
      <c r="N6854" s="2" t="str">
        <f>IFERROR(VLOOKUP(ROWS($N$2:N6854),$D$2:$E$1996,2,0),"")</f>
        <v/>
      </c>
    </row>
    <row r="6855" spans="2:14">
      <c r="B6855" s="32">
        <f>IF(ISNUMBER(SEARCH('Φόρμα Εισαγωγής'!$B$2,C6855)),MAX($B$1:B6854)+1,0)</f>
        <v>0</v>
      </c>
      <c r="D6855" s="33">
        <f>IF(ISNUMBER(SEARCH('Φόρμα Εισαγωγής'!$C$2,E6855)),MAX($D$1:D6854)+1,0)</f>
        <v>0</v>
      </c>
      <c r="H6855" s="6">
        <f t="shared" si="332"/>
        <v>0</v>
      </c>
      <c r="I6855" s="6">
        <f t="shared" si="333"/>
        <v>0</v>
      </c>
      <c r="J6855" s="6">
        <f t="shared" si="334"/>
        <v>0</v>
      </c>
      <c r="L6855" s="4" t="str">
        <f>IFERROR(VLOOKUP(ROWS($L$2:L6855),$B$2:$C$1996,2,0),"")</f>
        <v/>
      </c>
      <c r="N6855" s="2" t="str">
        <f>IFERROR(VLOOKUP(ROWS($N$2:N6855),$D$2:$E$1996,2,0),"")</f>
        <v/>
      </c>
    </row>
    <row r="6856" spans="2:14">
      <c r="B6856" s="32">
        <f>IF(ISNUMBER(SEARCH('Φόρμα Εισαγωγής'!$B$2,C6856)),MAX($B$1:B6855)+1,0)</f>
        <v>0</v>
      </c>
      <c r="D6856" s="33">
        <f>IF(ISNUMBER(SEARCH('Φόρμα Εισαγωγής'!$C$2,E6856)),MAX($D$1:D6855)+1,0)</f>
        <v>0</v>
      </c>
      <c r="H6856" s="6">
        <f t="shared" si="332"/>
        <v>0</v>
      </c>
      <c r="I6856" s="6">
        <f t="shared" si="333"/>
        <v>0</v>
      </c>
      <c r="J6856" s="6">
        <f t="shared" si="334"/>
        <v>0</v>
      </c>
      <c r="L6856" s="4" t="str">
        <f>IFERROR(VLOOKUP(ROWS($L$2:L6856),$B$2:$C$1996,2,0),"")</f>
        <v/>
      </c>
      <c r="N6856" s="2" t="str">
        <f>IFERROR(VLOOKUP(ROWS($N$2:N6856),$D$2:$E$1996,2,0),"")</f>
        <v/>
      </c>
    </row>
    <row r="6857" spans="2:14">
      <c r="B6857" s="32">
        <f>IF(ISNUMBER(SEARCH('Φόρμα Εισαγωγής'!$B$2,C6857)),MAX($B$1:B6856)+1,0)</f>
        <v>0</v>
      </c>
      <c r="D6857" s="33">
        <f>IF(ISNUMBER(SEARCH('Φόρμα Εισαγωγής'!$C$2,E6857)),MAX($D$1:D6856)+1,0)</f>
        <v>0</v>
      </c>
      <c r="H6857" s="6">
        <f t="shared" si="332"/>
        <v>0</v>
      </c>
      <c r="I6857" s="6">
        <f t="shared" si="333"/>
        <v>0</v>
      </c>
      <c r="J6857" s="6">
        <f t="shared" si="334"/>
        <v>0</v>
      </c>
      <c r="L6857" s="4" t="str">
        <f>IFERROR(VLOOKUP(ROWS($L$2:L6857),$B$2:$C$1996,2,0),"")</f>
        <v/>
      </c>
      <c r="N6857" s="2" t="str">
        <f>IFERROR(VLOOKUP(ROWS($N$2:N6857),$D$2:$E$1996,2,0),"")</f>
        <v/>
      </c>
    </row>
    <row r="6858" spans="2:14">
      <c r="B6858" s="32">
        <f>IF(ISNUMBER(SEARCH('Φόρμα Εισαγωγής'!$B$2,C6858)),MAX($B$1:B6857)+1,0)</f>
        <v>0</v>
      </c>
      <c r="D6858" s="33">
        <f>IF(ISNUMBER(SEARCH('Φόρμα Εισαγωγής'!$C$2,E6858)),MAX($D$1:D6857)+1,0)</f>
        <v>0</v>
      </c>
      <c r="H6858" s="6">
        <f t="shared" si="332"/>
        <v>0</v>
      </c>
      <c r="I6858" s="6">
        <f t="shared" si="333"/>
        <v>0</v>
      </c>
      <c r="J6858" s="6">
        <f t="shared" si="334"/>
        <v>0</v>
      </c>
      <c r="L6858" s="4" t="str">
        <f>IFERROR(VLOOKUP(ROWS($L$2:L6858),$B$2:$C$1996,2,0),"")</f>
        <v/>
      </c>
      <c r="N6858" s="2" t="str">
        <f>IFERROR(VLOOKUP(ROWS($N$2:N6858),$D$2:$E$1996,2,0),"")</f>
        <v/>
      </c>
    </row>
    <row r="6859" spans="2:14">
      <c r="B6859" s="32">
        <f>IF(ISNUMBER(SEARCH('Φόρμα Εισαγωγής'!$B$2,C6859)),MAX($B$1:B6858)+1,0)</f>
        <v>0</v>
      </c>
      <c r="D6859" s="33">
        <f>IF(ISNUMBER(SEARCH('Φόρμα Εισαγωγής'!$C$2,E6859)),MAX($D$1:D6858)+1,0)</f>
        <v>0</v>
      </c>
      <c r="H6859" s="6">
        <f t="shared" si="332"/>
        <v>0</v>
      </c>
      <c r="I6859" s="6">
        <f t="shared" si="333"/>
        <v>0</v>
      </c>
      <c r="J6859" s="6">
        <f t="shared" si="334"/>
        <v>0</v>
      </c>
      <c r="L6859" s="4" t="str">
        <f>IFERROR(VLOOKUP(ROWS($L$2:L6859),$B$2:$C$1996,2,0),"")</f>
        <v/>
      </c>
      <c r="N6859" s="2" t="str">
        <f>IFERROR(VLOOKUP(ROWS($N$2:N6859),$D$2:$E$1996,2,0),"")</f>
        <v/>
      </c>
    </row>
    <row r="6860" spans="2:14">
      <c r="B6860" s="32">
        <f>IF(ISNUMBER(SEARCH('Φόρμα Εισαγωγής'!$B$2,C6860)),MAX($B$1:B6859)+1,0)</f>
        <v>0</v>
      </c>
      <c r="D6860" s="33">
        <f>IF(ISNUMBER(SEARCH('Φόρμα Εισαγωγής'!$C$2,E6860)),MAX($D$1:D6859)+1,0)</f>
        <v>0</v>
      </c>
      <c r="H6860" s="6">
        <f t="shared" si="332"/>
        <v>0</v>
      </c>
      <c r="I6860" s="6">
        <f t="shared" si="333"/>
        <v>0</v>
      </c>
      <c r="J6860" s="6">
        <f t="shared" si="334"/>
        <v>0</v>
      </c>
      <c r="L6860" s="4" t="str">
        <f>IFERROR(VLOOKUP(ROWS($L$2:L6860),$B$2:$C$1996,2,0),"")</f>
        <v/>
      </c>
      <c r="N6860" s="2" t="str">
        <f>IFERROR(VLOOKUP(ROWS($N$2:N6860),$D$2:$E$1996,2,0),"")</f>
        <v/>
      </c>
    </row>
    <row r="6861" spans="2:14">
      <c r="B6861" s="32">
        <f>IF(ISNUMBER(SEARCH('Φόρμα Εισαγωγής'!$B$2,C6861)),MAX($B$1:B6860)+1,0)</f>
        <v>0</v>
      </c>
      <c r="D6861" s="33">
        <f>IF(ISNUMBER(SEARCH('Φόρμα Εισαγωγής'!$C$2,E6861)),MAX($D$1:D6860)+1,0)</f>
        <v>0</v>
      </c>
      <c r="H6861" s="6">
        <f t="shared" si="332"/>
        <v>0</v>
      </c>
      <c r="I6861" s="6">
        <f t="shared" si="333"/>
        <v>0</v>
      </c>
      <c r="J6861" s="6">
        <f t="shared" si="334"/>
        <v>0</v>
      </c>
      <c r="L6861" s="4" t="str">
        <f>IFERROR(VLOOKUP(ROWS($L$2:L6861),$B$2:$C$1996,2,0),"")</f>
        <v/>
      </c>
      <c r="N6861" s="2" t="str">
        <f>IFERROR(VLOOKUP(ROWS($N$2:N6861),$D$2:$E$1996,2,0),"")</f>
        <v/>
      </c>
    </row>
    <row r="6862" spans="2:14">
      <c r="B6862" s="32">
        <f>IF(ISNUMBER(SEARCH('Φόρμα Εισαγωγής'!$B$2,C6862)),MAX($B$1:B6861)+1,0)</f>
        <v>0</v>
      </c>
      <c r="D6862" s="33">
        <f>IF(ISNUMBER(SEARCH('Φόρμα Εισαγωγής'!$C$2,E6862)),MAX($D$1:D6861)+1,0)</f>
        <v>0</v>
      </c>
      <c r="H6862" s="6">
        <f t="shared" si="332"/>
        <v>0</v>
      </c>
      <c r="I6862" s="6">
        <f t="shared" si="333"/>
        <v>0</v>
      </c>
      <c r="J6862" s="6">
        <f t="shared" si="334"/>
        <v>0</v>
      </c>
      <c r="L6862" s="4" t="str">
        <f>IFERROR(VLOOKUP(ROWS($L$2:L6862),$B$2:$C$1996,2,0),"")</f>
        <v/>
      </c>
      <c r="N6862" s="2" t="str">
        <f>IFERROR(VLOOKUP(ROWS($N$2:N6862),$D$2:$E$1996,2,0),"")</f>
        <v/>
      </c>
    </row>
    <row r="6863" spans="2:14">
      <c r="B6863" s="32">
        <f>IF(ISNUMBER(SEARCH('Φόρμα Εισαγωγής'!$B$2,C6863)),MAX($B$1:B6862)+1,0)</f>
        <v>0</v>
      </c>
      <c r="D6863" s="33">
        <f>IF(ISNUMBER(SEARCH('Φόρμα Εισαγωγής'!$C$2,E6863)),MAX($D$1:D6862)+1,0)</f>
        <v>0</v>
      </c>
      <c r="H6863" s="6">
        <f t="shared" si="332"/>
        <v>0</v>
      </c>
      <c r="I6863" s="6">
        <f t="shared" si="333"/>
        <v>0</v>
      </c>
      <c r="J6863" s="6">
        <f t="shared" si="334"/>
        <v>0</v>
      </c>
      <c r="L6863" s="4" t="str">
        <f>IFERROR(VLOOKUP(ROWS($L$2:L6863),$B$2:$C$1996,2,0),"")</f>
        <v/>
      </c>
      <c r="N6863" s="2" t="str">
        <f>IFERROR(VLOOKUP(ROWS($N$2:N6863),$D$2:$E$1996,2,0),"")</f>
        <v/>
      </c>
    </row>
    <row r="6864" spans="2:14">
      <c r="B6864" s="32">
        <f>IF(ISNUMBER(SEARCH('Φόρμα Εισαγωγής'!$B$2,C6864)),MAX($B$1:B6863)+1,0)</f>
        <v>0</v>
      </c>
      <c r="D6864" s="33">
        <f>IF(ISNUMBER(SEARCH('Φόρμα Εισαγωγής'!$C$2,E6864)),MAX($D$1:D6863)+1,0)</f>
        <v>0</v>
      </c>
      <c r="H6864" s="6">
        <f t="shared" si="332"/>
        <v>0</v>
      </c>
      <c r="I6864" s="6">
        <f t="shared" si="333"/>
        <v>0</v>
      </c>
      <c r="J6864" s="6">
        <f t="shared" si="334"/>
        <v>0</v>
      </c>
      <c r="L6864" s="4" t="str">
        <f>IFERROR(VLOOKUP(ROWS($L$2:L6864),$B$2:$C$1996,2,0),"")</f>
        <v/>
      </c>
      <c r="N6864" s="2" t="str">
        <f>IFERROR(VLOOKUP(ROWS($N$2:N6864),$D$2:$E$1996,2,0),"")</f>
        <v/>
      </c>
    </row>
    <row r="6865" spans="2:14">
      <c r="B6865" s="32">
        <f>IF(ISNUMBER(SEARCH('Φόρμα Εισαγωγής'!$B$2,C6865)),MAX($B$1:B6864)+1,0)</f>
        <v>0</v>
      </c>
      <c r="D6865" s="33">
        <f>IF(ISNUMBER(SEARCH('Φόρμα Εισαγωγής'!$C$2,E6865)),MAX($D$1:D6864)+1,0)</f>
        <v>0</v>
      </c>
      <c r="H6865" s="6">
        <f t="shared" si="332"/>
        <v>0</v>
      </c>
      <c r="I6865" s="6">
        <f t="shared" si="333"/>
        <v>0</v>
      </c>
      <c r="J6865" s="6">
        <f t="shared" si="334"/>
        <v>0</v>
      </c>
      <c r="L6865" s="4" t="str">
        <f>IFERROR(VLOOKUP(ROWS($L$2:L6865),$B$2:$C$1996,2,0),"")</f>
        <v/>
      </c>
      <c r="N6865" s="2" t="str">
        <f>IFERROR(VLOOKUP(ROWS($N$2:N6865),$D$2:$E$1996,2,0),"")</f>
        <v/>
      </c>
    </row>
    <row r="6866" spans="2:14">
      <c r="B6866" s="32">
        <f>IF(ISNUMBER(SEARCH('Φόρμα Εισαγωγής'!$B$2,C6866)),MAX($B$1:B6865)+1,0)</f>
        <v>0</v>
      </c>
      <c r="D6866" s="33">
        <f>IF(ISNUMBER(SEARCH('Φόρμα Εισαγωγής'!$C$2,E6866)),MAX($D$1:D6865)+1,0)</f>
        <v>0</v>
      </c>
      <c r="H6866" s="6">
        <f t="shared" si="332"/>
        <v>0</v>
      </c>
      <c r="I6866" s="6">
        <f t="shared" si="333"/>
        <v>0</v>
      </c>
      <c r="J6866" s="6">
        <f t="shared" si="334"/>
        <v>0</v>
      </c>
      <c r="L6866" s="4" t="str">
        <f>IFERROR(VLOOKUP(ROWS($L$2:L6866),$B$2:$C$1996,2,0),"")</f>
        <v/>
      </c>
      <c r="N6866" s="2" t="str">
        <f>IFERROR(VLOOKUP(ROWS($N$2:N6866),$D$2:$E$1996,2,0),"")</f>
        <v/>
      </c>
    </row>
    <row r="6867" spans="2:14">
      <c r="B6867" s="32">
        <f>IF(ISNUMBER(SEARCH('Φόρμα Εισαγωγής'!$B$2,C6867)),MAX($B$1:B6866)+1,0)</f>
        <v>0</v>
      </c>
      <c r="D6867" s="33">
        <f>IF(ISNUMBER(SEARCH('Φόρμα Εισαγωγής'!$C$2,E6867)),MAX($D$1:D6866)+1,0)</f>
        <v>0</v>
      </c>
      <c r="H6867" s="6">
        <f t="shared" si="332"/>
        <v>0</v>
      </c>
      <c r="I6867" s="6">
        <f t="shared" si="333"/>
        <v>0</v>
      </c>
      <c r="J6867" s="6">
        <f t="shared" si="334"/>
        <v>0</v>
      </c>
      <c r="L6867" s="4" t="str">
        <f>IFERROR(VLOOKUP(ROWS($L$2:L6867),$B$2:$C$1996,2,0),"")</f>
        <v/>
      </c>
      <c r="N6867" s="2" t="str">
        <f>IFERROR(VLOOKUP(ROWS($N$2:N6867),$D$2:$E$1996,2,0),"")</f>
        <v/>
      </c>
    </row>
    <row r="6868" spans="2:14">
      <c r="B6868" s="32">
        <f>IF(ISNUMBER(SEARCH('Φόρμα Εισαγωγής'!$B$2,C6868)),MAX($B$1:B6867)+1,0)</f>
        <v>0</v>
      </c>
      <c r="D6868" s="33">
        <f>IF(ISNUMBER(SEARCH('Φόρμα Εισαγωγής'!$C$2,E6868)),MAX($D$1:D6867)+1,0)</f>
        <v>0</v>
      </c>
      <c r="H6868" s="6">
        <f t="shared" si="332"/>
        <v>0</v>
      </c>
      <c r="I6868" s="6">
        <f t="shared" si="333"/>
        <v>0</v>
      </c>
      <c r="J6868" s="6">
        <f t="shared" si="334"/>
        <v>0</v>
      </c>
      <c r="L6868" s="4" t="str">
        <f>IFERROR(VLOOKUP(ROWS($L$2:L6868),$B$2:$C$1996,2,0),"")</f>
        <v/>
      </c>
      <c r="N6868" s="2" t="str">
        <f>IFERROR(VLOOKUP(ROWS($N$2:N6868),$D$2:$E$1996,2,0),"")</f>
        <v/>
      </c>
    </row>
    <row r="6869" spans="2:14">
      <c r="B6869" s="32">
        <f>IF(ISNUMBER(SEARCH('Φόρμα Εισαγωγής'!$B$2,C6869)),MAX($B$1:B6868)+1,0)</f>
        <v>0</v>
      </c>
      <c r="D6869" s="33">
        <f>IF(ISNUMBER(SEARCH('Φόρμα Εισαγωγής'!$C$2,E6869)),MAX($D$1:D6868)+1,0)</f>
        <v>0</v>
      </c>
      <c r="H6869" s="6">
        <f t="shared" si="332"/>
        <v>0</v>
      </c>
      <c r="I6869" s="6">
        <f t="shared" si="333"/>
        <v>0</v>
      </c>
      <c r="J6869" s="6">
        <f t="shared" si="334"/>
        <v>0</v>
      </c>
      <c r="L6869" s="4" t="str">
        <f>IFERROR(VLOOKUP(ROWS($L$2:L6869),$B$2:$C$1996,2,0),"")</f>
        <v/>
      </c>
      <c r="N6869" s="2" t="str">
        <f>IFERROR(VLOOKUP(ROWS($N$2:N6869),$D$2:$E$1996,2,0),"")</f>
        <v/>
      </c>
    </row>
    <row r="6870" spans="2:14">
      <c r="B6870" s="32">
        <f>IF(ISNUMBER(SEARCH('Φόρμα Εισαγωγής'!$B$2,C6870)),MAX($B$1:B6869)+1,0)</f>
        <v>0</v>
      </c>
      <c r="D6870" s="33">
        <f>IF(ISNUMBER(SEARCH('Φόρμα Εισαγωγής'!$C$2,E6870)),MAX($D$1:D6869)+1,0)</f>
        <v>0</v>
      </c>
      <c r="H6870" s="6">
        <f t="shared" si="332"/>
        <v>0</v>
      </c>
      <c r="I6870" s="6">
        <f t="shared" si="333"/>
        <v>0</v>
      </c>
      <c r="J6870" s="6">
        <f t="shared" si="334"/>
        <v>0</v>
      </c>
      <c r="L6870" s="4" t="str">
        <f>IFERROR(VLOOKUP(ROWS($L$2:L6870),$B$2:$C$1996,2,0),"")</f>
        <v/>
      </c>
      <c r="N6870" s="2" t="str">
        <f>IFERROR(VLOOKUP(ROWS($N$2:N6870),$D$2:$E$1996,2,0),"")</f>
        <v/>
      </c>
    </row>
    <row r="6871" spans="2:14">
      <c r="B6871" s="32">
        <f>IF(ISNUMBER(SEARCH('Φόρμα Εισαγωγής'!$B$2,C6871)),MAX($B$1:B6870)+1,0)</f>
        <v>0</v>
      </c>
      <c r="D6871" s="33">
        <f>IF(ISNUMBER(SEARCH('Φόρμα Εισαγωγής'!$C$2,E6871)),MAX($D$1:D6870)+1,0)</f>
        <v>0</v>
      </c>
      <c r="H6871" s="6">
        <f t="shared" si="332"/>
        <v>0</v>
      </c>
      <c r="I6871" s="6">
        <f t="shared" si="333"/>
        <v>0</v>
      </c>
      <c r="J6871" s="6">
        <f t="shared" si="334"/>
        <v>0</v>
      </c>
      <c r="L6871" s="4" t="str">
        <f>IFERROR(VLOOKUP(ROWS($L$2:L6871),$B$2:$C$1996,2,0),"")</f>
        <v/>
      </c>
      <c r="N6871" s="2" t="str">
        <f>IFERROR(VLOOKUP(ROWS($N$2:N6871),$D$2:$E$1996,2,0),"")</f>
        <v/>
      </c>
    </row>
    <row r="6872" spans="2:14">
      <c r="B6872" s="32">
        <f>IF(ISNUMBER(SEARCH('Φόρμα Εισαγωγής'!$B$2,C6872)),MAX($B$1:B6871)+1,0)</f>
        <v>0</v>
      </c>
      <c r="D6872" s="33">
        <f>IF(ISNUMBER(SEARCH('Φόρμα Εισαγωγής'!$C$2,E6872)),MAX($D$1:D6871)+1,0)</f>
        <v>0</v>
      </c>
      <c r="H6872" s="6">
        <f t="shared" si="332"/>
        <v>0</v>
      </c>
      <c r="I6872" s="6">
        <f t="shared" si="333"/>
        <v>0</v>
      </c>
      <c r="J6872" s="6">
        <f t="shared" si="334"/>
        <v>0</v>
      </c>
      <c r="L6872" s="4" t="str">
        <f>IFERROR(VLOOKUP(ROWS($L$2:L6872),$B$2:$C$1996,2,0),"")</f>
        <v/>
      </c>
      <c r="N6872" s="2" t="str">
        <f>IFERROR(VLOOKUP(ROWS($N$2:N6872),$D$2:$E$1996,2,0),"")</f>
        <v/>
      </c>
    </row>
    <row r="6873" spans="2:14">
      <c r="B6873" s="32">
        <f>IF(ISNUMBER(SEARCH('Φόρμα Εισαγωγής'!$B$2,C6873)),MAX($B$1:B6872)+1,0)</f>
        <v>0</v>
      </c>
      <c r="D6873" s="33">
        <f>IF(ISNUMBER(SEARCH('Φόρμα Εισαγωγής'!$C$2,E6873)),MAX($D$1:D6872)+1,0)</f>
        <v>0</v>
      </c>
      <c r="H6873" s="6">
        <f t="shared" si="332"/>
        <v>0</v>
      </c>
      <c r="I6873" s="6">
        <f t="shared" si="333"/>
        <v>0</v>
      </c>
      <c r="J6873" s="6">
        <f t="shared" si="334"/>
        <v>0</v>
      </c>
      <c r="L6873" s="4" t="str">
        <f>IFERROR(VLOOKUP(ROWS($L$2:L6873),$B$2:$C$1996,2,0),"")</f>
        <v/>
      </c>
      <c r="N6873" s="2" t="str">
        <f>IFERROR(VLOOKUP(ROWS($N$2:N6873),$D$2:$E$1996,2,0),"")</f>
        <v/>
      </c>
    </row>
    <row r="6874" spans="2:14">
      <c r="B6874" s="32">
        <f>IF(ISNUMBER(SEARCH('Φόρμα Εισαγωγής'!$B$2,C6874)),MAX($B$1:B6873)+1,0)</f>
        <v>0</v>
      </c>
      <c r="D6874" s="33">
        <f>IF(ISNUMBER(SEARCH('Φόρμα Εισαγωγής'!$C$2,E6874)),MAX($D$1:D6873)+1,0)</f>
        <v>0</v>
      </c>
      <c r="H6874" s="6">
        <f t="shared" si="332"/>
        <v>0</v>
      </c>
      <c r="I6874" s="6">
        <f t="shared" si="333"/>
        <v>0</v>
      </c>
      <c r="J6874" s="6">
        <f t="shared" si="334"/>
        <v>0</v>
      </c>
      <c r="L6874" s="4" t="str">
        <f>IFERROR(VLOOKUP(ROWS($L$2:L6874),$B$2:$C$1996,2,0),"")</f>
        <v/>
      </c>
      <c r="N6874" s="2" t="str">
        <f>IFERROR(VLOOKUP(ROWS($N$2:N6874),$D$2:$E$1996,2,0),"")</f>
        <v/>
      </c>
    </row>
    <row r="6875" spans="2:14">
      <c r="B6875" s="32">
        <f>IF(ISNUMBER(SEARCH('Φόρμα Εισαγωγής'!$B$2,C6875)),MAX($B$1:B6874)+1,0)</f>
        <v>0</v>
      </c>
      <c r="D6875" s="33">
        <f>IF(ISNUMBER(SEARCH('Φόρμα Εισαγωγής'!$C$2,E6875)),MAX($D$1:D6874)+1,0)</f>
        <v>0</v>
      </c>
      <c r="H6875" s="6">
        <f t="shared" si="332"/>
        <v>0</v>
      </c>
      <c r="I6875" s="6">
        <f t="shared" si="333"/>
        <v>0</v>
      </c>
      <c r="J6875" s="6">
        <f t="shared" si="334"/>
        <v>0</v>
      </c>
      <c r="L6875" s="4" t="str">
        <f>IFERROR(VLOOKUP(ROWS($L$2:L6875),$B$2:$C$1996,2,0),"")</f>
        <v/>
      </c>
      <c r="N6875" s="2" t="str">
        <f>IFERROR(VLOOKUP(ROWS($N$2:N6875),$D$2:$E$1996,2,0),"")</f>
        <v/>
      </c>
    </row>
    <row r="6876" spans="2:14">
      <c r="B6876" s="32">
        <f>IF(ISNUMBER(SEARCH('Φόρμα Εισαγωγής'!$B$2,C6876)),MAX($B$1:B6875)+1,0)</f>
        <v>0</v>
      </c>
      <c r="D6876" s="33">
        <f>IF(ISNUMBER(SEARCH('Φόρμα Εισαγωγής'!$C$2,E6876)),MAX($D$1:D6875)+1,0)</f>
        <v>0</v>
      </c>
      <c r="H6876" s="6">
        <f t="shared" si="332"/>
        <v>0</v>
      </c>
      <c r="I6876" s="6">
        <f t="shared" si="333"/>
        <v>0</v>
      </c>
      <c r="J6876" s="6">
        <f t="shared" si="334"/>
        <v>0</v>
      </c>
      <c r="L6876" s="4" t="str">
        <f>IFERROR(VLOOKUP(ROWS($L$2:L6876),$B$2:$C$1996,2,0),"")</f>
        <v/>
      </c>
      <c r="N6876" s="2" t="str">
        <f>IFERROR(VLOOKUP(ROWS($N$2:N6876),$D$2:$E$1996,2,0),"")</f>
        <v/>
      </c>
    </row>
    <row r="6877" spans="2:14">
      <c r="B6877" s="32">
        <f>IF(ISNUMBER(SEARCH('Φόρμα Εισαγωγής'!$B$2,C6877)),MAX($B$1:B6876)+1,0)</f>
        <v>0</v>
      </c>
      <c r="D6877" s="33">
        <f>IF(ISNUMBER(SEARCH('Φόρμα Εισαγωγής'!$C$2,E6877)),MAX($D$1:D6876)+1,0)</f>
        <v>0</v>
      </c>
      <c r="H6877" s="6">
        <f t="shared" si="332"/>
        <v>0</v>
      </c>
      <c r="I6877" s="6">
        <f t="shared" si="333"/>
        <v>0</v>
      </c>
      <c r="J6877" s="6">
        <f t="shared" si="334"/>
        <v>0</v>
      </c>
      <c r="L6877" s="4" t="str">
        <f>IFERROR(VLOOKUP(ROWS($L$2:L6877),$B$2:$C$1996,2,0),"")</f>
        <v/>
      </c>
      <c r="N6877" s="2" t="str">
        <f>IFERROR(VLOOKUP(ROWS($N$2:N6877),$D$2:$E$1996,2,0),"")</f>
        <v/>
      </c>
    </row>
    <row r="6878" spans="2:14">
      <c r="B6878" s="32">
        <f>IF(ISNUMBER(SEARCH('Φόρμα Εισαγωγής'!$B$2,C6878)),MAX($B$1:B6877)+1,0)</f>
        <v>0</v>
      </c>
      <c r="D6878" s="33">
        <f>IF(ISNUMBER(SEARCH('Φόρμα Εισαγωγής'!$C$2,E6878)),MAX($D$1:D6877)+1,0)</f>
        <v>0</v>
      </c>
      <c r="H6878" s="6">
        <f t="shared" si="332"/>
        <v>0</v>
      </c>
      <c r="I6878" s="6">
        <f t="shared" si="333"/>
        <v>0</v>
      </c>
      <c r="J6878" s="6">
        <f t="shared" si="334"/>
        <v>0</v>
      </c>
      <c r="L6878" s="4" t="str">
        <f>IFERROR(VLOOKUP(ROWS($L$2:L6878),$B$2:$C$1996,2,0),"")</f>
        <v/>
      </c>
      <c r="N6878" s="2" t="str">
        <f>IFERROR(VLOOKUP(ROWS($N$2:N6878),$D$2:$E$1996,2,0),"")</f>
        <v/>
      </c>
    </row>
    <row r="6879" spans="2:14">
      <c r="B6879" s="32">
        <f>IF(ISNUMBER(SEARCH('Φόρμα Εισαγωγής'!$B$2,C6879)),MAX($B$1:B6878)+1,0)</f>
        <v>0</v>
      </c>
      <c r="D6879" s="33">
        <f>IF(ISNUMBER(SEARCH('Φόρμα Εισαγωγής'!$C$2,E6879)),MAX($D$1:D6878)+1,0)</f>
        <v>0</v>
      </c>
      <c r="H6879" s="6">
        <f t="shared" si="332"/>
        <v>0</v>
      </c>
      <c r="I6879" s="6">
        <f t="shared" si="333"/>
        <v>0</v>
      </c>
      <c r="J6879" s="6">
        <f t="shared" si="334"/>
        <v>0</v>
      </c>
      <c r="L6879" s="4" t="str">
        <f>IFERROR(VLOOKUP(ROWS($L$2:L6879),$B$2:$C$1996,2,0),"")</f>
        <v/>
      </c>
      <c r="N6879" s="2" t="str">
        <f>IFERROR(VLOOKUP(ROWS($N$2:N6879),$D$2:$E$1996,2,0),"")</f>
        <v/>
      </c>
    </row>
    <row r="6880" spans="2:14">
      <c r="B6880" s="32">
        <f>IF(ISNUMBER(SEARCH('Φόρμα Εισαγωγής'!$B$2,C6880)),MAX($B$1:B6879)+1,0)</f>
        <v>0</v>
      </c>
      <c r="D6880" s="33">
        <f>IF(ISNUMBER(SEARCH('Φόρμα Εισαγωγής'!$C$2,E6880)),MAX($D$1:D6879)+1,0)</f>
        <v>0</v>
      </c>
      <c r="H6880" s="6">
        <f t="shared" si="332"/>
        <v>0</v>
      </c>
      <c r="I6880" s="6">
        <f t="shared" si="333"/>
        <v>0</v>
      </c>
      <c r="J6880" s="6">
        <f t="shared" si="334"/>
        <v>0</v>
      </c>
      <c r="L6880" s="4" t="str">
        <f>IFERROR(VLOOKUP(ROWS($L$2:L6880),$B$2:$C$1996,2,0),"")</f>
        <v/>
      </c>
      <c r="N6880" s="2" t="str">
        <f>IFERROR(VLOOKUP(ROWS($N$2:N6880),$D$2:$E$1996,2,0),"")</f>
        <v/>
      </c>
    </row>
    <row r="6881" spans="2:14">
      <c r="B6881" s="32">
        <f>IF(ISNUMBER(SEARCH('Φόρμα Εισαγωγής'!$B$2,C6881)),MAX($B$1:B6880)+1,0)</f>
        <v>0</v>
      </c>
      <c r="D6881" s="33">
        <f>IF(ISNUMBER(SEARCH('Φόρμα Εισαγωγής'!$C$2,E6881)),MAX($D$1:D6880)+1,0)</f>
        <v>0</v>
      </c>
      <c r="H6881" s="6">
        <f t="shared" si="332"/>
        <v>0</v>
      </c>
      <c r="I6881" s="6">
        <f t="shared" si="333"/>
        <v>0</v>
      </c>
      <c r="J6881" s="6">
        <f t="shared" si="334"/>
        <v>0</v>
      </c>
      <c r="L6881" s="4" t="str">
        <f>IFERROR(VLOOKUP(ROWS($L$2:L6881),$B$2:$C$1996,2,0),"")</f>
        <v/>
      </c>
      <c r="N6881" s="2" t="str">
        <f>IFERROR(VLOOKUP(ROWS($N$2:N6881),$D$2:$E$1996,2,0),"")</f>
        <v/>
      </c>
    </row>
    <row r="6882" spans="2:14">
      <c r="B6882" s="32">
        <f>IF(ISNUMBER(SEARCH('Φόρμα Εισαγωγής'!$B$2,C6882)),MAX($B$1:B6881)+1,0)</f>
        <v>0</v>
      </c>
      <c r="D6882" s="33">
        <f>IF(ISNUMBER(SEARCH('Φόρμα Εισαγωγής'!$C$2,E6882)),MAX($D$1:D6881)+1,0)</f>
        <v>0</v>
      </c>
      <c r="H6882" s="6">
        <f t="shared" si="332"/>
        <v>0</v>
      </c>
      <c r="I6882" s="6">
        <f t="shared" si="333"/>
        <v>0</v>
      </c>
      <c r="J6882" s="6">
        <f t="shared" si="334"/>
        <v>0</v>
      </c>
      <c r="L6882" s="4" t="str">
        <f>IFERROR(VLOOKUP(ROWS($L$2:L6882),$B$2:$C$1996,2,0),"")</f>
        <v/>
      </c>
      <c r="N6882" s="2" t="str">
        <f>IFERROR(VLOOKUP(ROWS($N$2:N6882),$D$2:$E$1996,2,0),"")</f>
        <v/>
      </c>
    </row>
    <row r="6883" spans="2:14">
      <c r="B6883" s="32">
        <f>IF(ISNUMBER(SEARCH('Φόρμα Εισαγωγής'!$B$2,C6883)),MAX($B$1:B6882)+1,0)</f>
        <v>0</v>
      </c>
      <c r="D6883" s="33">
        <f>IF(ISNUMBER(SEARCH('Φόρμα Εισαγωγής'!$C$2,E6883)),MAX($D$1:D6882)+1,0)</f>
        <v>0</v>
      </c>
      <c r="H6883" s="6">
        <f t="shared" si="332"/>
        <v>0</v>
      </c>
      <c r="I6883" s="6">
        <f t="shared" si="333"/>
        <v>0</v>
      </c>
      <c r="J6883" s="6">
        <f t="shared" si="334"/>
        <v>0</v>
      </c>
      <c r="L6883" s="4" t="str">
        <f>IFERROR(VLOOKUP(ROWS($L$2:L6883),$B$2:$C$1996,2,0),"")</f>
        <v/>
      </c>
      <c r="N6883" s="2" t="str">
        <f>IFERROR(VLOOKUP(ROWS($N$2:N6883),$D$2:$E$1996,2,0),"")</f>
        <v/>
      </c>
    </row>
    <row r="6884" spans="2:14">
      <c r="B6884" s="32">
        <f>IF(ISNUMBER(SEARCH('Φόρμα Εισαγωγής'!$B$2,C6884)),MAX($B$1:B6883)+1,0)</f>
        <v>0</v>
      </c>
      <c r="D6884" s="33">
        <f>IF(ISNUMBER(SEARCH('Φόρμα Εισαγωγής'!$C$2,E6884)),MAX($D$1:D6883)+1,0)</f>
        <v>0</v>
      </c>
      <c r="H6884" s="6">
        <f t="shared" si="332"/>
        <v>0</v>
      </c>
      <c r="I6884" s="6">
        <f t="shared" si="333"/>
        <v>0</v>
      </c>
      <c r="J6884" s="6">
        <f t="shared" si="334"/>
        <v>0</v>
      </c>
      <c r="L6884" s="4" t="str">
        <f>IFERROR(VLOOKUP(ROWS($L$2:L6884),$B$2:$C$1996,2,0),"")</f>
        <v/>
      </c>
      <c r="N6884" s="2" t="str">
        <f>IFERROR(VLOOKUP(ROWS($N$2:N6884),$D$2:$E$1996,2,0),"")</f>
        <v/>
      </c>
    </row>
    <row r="6885" spans="2:14">
      <c r="B6885" s="32">
        <f>IF(ISNUMBER(SEARCH('Φόρμα Εισαγωγής'!$B$2,C6885)),MAX($B$1:B6884)+1,0)</f>
        <v>0</v>
      </c>
      <c r="D6885" s="33">
        <f>IF(ISNUMBER(SEARCH('Φόρμα Εισαγωγής'!$C$2,E6885)),MAX($D$1:D6884)+1,0)</f>
        <v>0</v>
      </c>
      <c r="H6885" s="6">
        <f t="shared" si="332"/>
        <v>0</v>
      </c>
      <c r="I6885" s="6">
        <f t="shared" si="333"/>
        <v>0</v>
      </c>
      <c r="J6885" s="6">
        <f t="shared" si="334"/>
        <v>0</v>
      </c>
      <c r="L6885" s="4" t="str">
        <f>IFERROR(VLOOKUP(ROWS($L$2:L6885),$B$2:$C$1996,2,0),"")</f>
        <v/>
      </c>
      <c r="N6885" s="2" t="str">
        <f>IFERROR(VLOOKUP(ROWS($N$2:N6885),$D$2:$E$1996,2,0),"")</f>
        <v/>
      </c>
    </row>
    <row r="6886" spans="2:14">
      <c r="B6886" s="32">
        <f>IF(ISNUMBER(SEARCH('Φόρμα Εισαγωγής'!$B$2,C6886)),MAX($B$1:B6885)+1,0)</f>
        <v>0</v>
      </c>
      <c r="D6886" s="33">
        <f>IF(ISNUMBER(SEARCH('Φόρμα Εισαγωγής'!$C$2,E6886)),MAX($D$1:D6885)+1,0)</f>
        <v>0</v>
      </c>
      <c r="H6886" s="6">
        <f t="shared" si="332"/>
        <v>0</v>
      </c>
      <c r="I6886" s="6">
        <f t="shared" si="333"/>
        <v>0</v>
      </c>
      <c r="J6886" s="6">
        <f t="shared" si="334"/>
        <v>0</v>
      </c>
      <c r="L6886" s="4" t="str">
        <f>IFERROR(VLOOKUP(ROWS($L$2:L6886),$B$2:$C$1996,2,0),"")</f>
        <v/>
      </c>
      <c r="N6886" s="2" t="str">
        <f>IFERROR(VLOOKUP(ROWS($N$2:N6886),$D$2:$E$1996,2,0),"")</f>
        <v/>
      </c>
    </row>
    <row r="6887" spans="2:14">
      <c r="B6887" s="32">
        <f>IF(ISNUMBER(SEARCH('Φόρμα Εισαγωγής'!$B$2,C6887)),MAX($B$1:B6886)+1,0)</f>
        <v>0</v>
      </c>
      <c r="D6887" s="33">
        <f>IF(ISNUMBER(SEARCH('Φόρμα Εισαγωγής'!$C$2,E6887)),MAX($D$1:D6886)+1,0)</f>
        <v>0</v>
      </c>
      <c r="H6887" s="6">
        <f t="shared" si="332"/>
        <v>0</v>
      </c>
      <c r="I6887" s="6">
        <f t="shared" si="333"/>
        <v>0</v>
      </c>
      <c r="J6887" s="6">
        <f t="shared" si="334"/>
        <v>0</v>
      </c>
      <c r="L6887" s="4" t="str">
        <f>IFERROR(VLOOKUP(ROWS($L$2:L6887),$B$2:$C$1996,2,0),"")</f>
        <v/>
      </c>
      <c r="N6887" s="2" t="str">
        <f>IFERROR(VLOOKUP(ROWS($N$2:N6887),$D$2:$E$1996,2,0),"")</f>
        <v/>
      </c>
    </row>
    <row r="6888" spans="2:14">
      <c r="B6888" s="32">
        <f>IF(ISNUMBER(SEARCH('Φόρμα Εισαγωγής'!$B$2,C6888)),MAX($B$1:B6887)+1,0)</f>
        <v>0</v>
      </c>
      <c r="D6888" s="33">
        <f>IF(ISNUMBER(SEARCH('Φόρμα Εισαγωγής'!$C$2,E6888)),MAX($D$1:D6887)+1,0)</f>
        <v>0</v>
      </c>
      <c r="H6888" s="6">
        <f t="shared" si="332"/>
        <v>0</v>
      </c>
      <c r="I6888" s="6">
        <f t="shared" si="333"/>
        <v>0</v>
      </c>
      <c r="J6888" s="6">
        <f t="shared" si="334"/>
        <v>0</v>
      </c>
      <c r="L6888" s="4" t="str">
        <f>IFERROR(VLOOKUP(ROWS($L$2:L6888),$B$2:$C$1996,2,0),"")</f>
        <v/>
      </c>
      <c r="N6888" s="2" t="str">
        <f>IFERROR(VLOOKUP(ROWS($N$2:N6888),$D$2:$E$1996,2,0),"")</f>
        <v/>
      </c>
    </row>
    <row r="6889" spans="2:14">
      <c r="B6889" s="32">
        <f>IF(ISNUMBER(SEARCH('Φόρμα Εισαγωγής'!$B$2,C6889)),MAX($B$1:B6888)+1,0)</f>
        <v>0</v>
      </c>
      <c r="D6889" s="33">
        <f>IF(ISNUMBER(SEARCH('Φόρμα Εισαγωγής'!$C$2,E6889)),MAX($D$1:D6888)+1,0)</f>
        <v>0</v>
      </c>
      <c r="H6889" s="6">
        <f t="shared" si="332"/>
        <v>0</v>
      </c>
      <c r="I6889" s="6">
        <f t="shared" si="333"/>
        <v>0</v>
      </c>
      <c r="J6889" s="6">
        <f t="shared" si="334"/>
        <v>0</v>
      </c>
      <c r="L6889" s="4" t="str">
        <f>IFERROR(VLOOKUP(ROWS($L$2:L6889),$B$2:$C$1996,2,0),"")</f>
        <v/>
      </c>
      <c r="N6889" s="2" t="str">
        <f>IFERROR(VLOOKUP(ROWS($N$2:N6889),$D$2:$E$1996,2,0),"")</f>
        <v/>
      </c>
    </row>
    <row r="6890" spans="2:14">
      <c r="B6890" s="32">
        <f>IF(ISNUMBER(SEARCH('Φόρμα Εισαγωγής'!$B$2,C6890)),MAX($B$1:B6889)+1,0)</f>
        <v>0</v>
      </c>
      <c r="D6890" s="33">
        <f>IF(ISNUMBER(SEARCH('Φόρμα Εισαγωγής'!$C$2,E6890)),MAX($D$1:D6889)+1,0)</f>
        <v>0</v>
      </c>
      <c r="H6890" s="6">
        <f t="shared" si="332"/>
        <v>0</v>
      </c>
      <c r="I6890" s="6">
        <f t="shared" si="333"/>
        <v>0</v>
      </c>
      <c r="J6890" s="6">
        <f t="shared" si="334"/>
        <v>0</v>
      </c>
      <c r="L6890" s="4" t="str">
        <f>IFERROR(VLOOKUP(ROWS($L$2:L6890),$B$2:$C$1996,2,0),"")</f>
        <v/>
      </c>
      <c r="N6890" s="2" t="str">
        <f>IFERROR(VLOOKUP(ROWS($N$2:N6890),$D$2:$E$1996,2,0),"")</f>
        <v/>
      </c>
    </row>
    <row r="6891" spans="2:14">
      <c r="B6891" s="32">
        <f>IF(ISNUMBER(SEARCH('Φόρμα Εισαγωγής'!$B$2,C6891)),MAX($B$1:B6890)+1,0)</f>
        <v>0</v>
      </c>
      <c r="D6891" s="33">
        <f>IF(ISNUMBER(SEARCH('Φόρμα Εισαγωγής'!$C$2,E6891)),MAX($D$1:D6890)+1,0)</f>
        <v>0</v>
      </c>
      <c r="H6891" s="6">
        <f t="shared" si="332"/>
        <v>0</v>
      </c>
      <c r="I6891" s="6">
        <f t="shared" si="333"/>
        <v>0</v>
      </c>
      <c r="J6891" s="6">
        <f t="shared" si="334"/>
        <v>0</v>
      </c>
      <c r="L6891" s="4" t="str">
        <f>IFERROR(VLOOKUP(ROWS($L$2:L6891),$B$2:$C$1996,2,0),"")</f>
        <v/>
      </c>
      <c r="N6891" s="2" t="str">
        <f>IFERROR(VLOOKUP(ROWS($N$2:N6891),$D$2:$E$1996,2,0),"")</f>
        <v/>
      </c>
    </row>
    <row r="6892" spans="2:14">
      <c r="B6892" s="32">
        <f>IF(ISNUMBER(SEARCH('Φόρμα Εισαγωγής'!$B$2,C6892)),MAX($B$1:B6891)+1,0)</f>
        <v>0</v>
      </c>
      <c r="D6892" s="33">
        <f>IF(ISNUMBER(SEARCH('Φόρμα Εισαγωγής'!$C$2,E6892)),MAX($D$1:D6891)+1,0)</f>
        <v>0</v>
      </c>
      <c r="H6892" s="6">
        <f t="shared" si="332"/>
        <v>0</v>
      </c>
      <c r="I6892" s="6">
        <f t="shared" si="333"/>
        <v>0</v>
      </c>
      <c r="J6892" s="6">
        <f t="shared" si="334"/>
        <v>0</v>
      </c>
      <c r="L6892" s="4" t="str">
        <f>IFERROR(VLOOKUP(ROWS($L$2:L6892),$B$2:$C$1996,2,0),"")</f>
        <v/>
      </c>
      <c r="N6892" s="2" t="str">
        <f>IFERROR(VLOOKUP(ROWS($N$2:N6892),$D$2:$E$1996,2,0),"")</f>
        <v/>
      </c>
    </row>
    <row r="6893" spans="2:14">
      <c r="B6893" s="32">
        <f>IF(ISNUMBER(SEARCH('Φόρμα Εισαγωγής'!$B$2,C6893)),MAX($B$1:B6892)+1,0)</f>
        <v>0</v>
      </c>
      <c r="D6893" s="33">
        <f>IF(ISNUMBER(SEARCH('Φόρμα Εισαγωγής'!$C$2,E6893)),MAX($D$1:D6892)+1,0)</f>
        <v>0</v>
      </c>
      <c r="H6893" s="6">
        <f t="shared" si="332"/>
        <v>0</v>
      </c>
      <c r="I6893" s="6">
        <f t="shared" si="333"/>
        <v>0</v>
      </c>
      <c r="J6893" s="6">
        <f t="shared" si="334"/>
        <v>0</v>
      </c>
      <c r="L6893" s="4" t="str">
        <f>IFERROR(VLOOKUP(ROWS($L$2:L6893),$B$2:$C$1996,2,0),"")</f>
        <v/>
      </c>
      <c r="N6893" s="2" t="str">
        <f>IFERROR(VLOOKUP(ROWS($N$2:N6893),$D$2:$E$1996,2,0),"")</f>
        <v/>
      </c>
    </row>
    <row r="6894" spans="2:14">
      <c r="B6894" s="32">
        <f>IF(ISNUMBER(SEARCH('Φόρμα Εισαγωγής'!$B$2,C6894)),MAX($B$1:B6893)+1,0)</f>
        <v>0</v>
      </c>
      <c r="D6894" s="33">
        <f>IF(ISNUMBER(SEARCH('Φόρμα Εισαγωγής'!$C$2,E6894)),MAX($D$1:D6893)+1,0)</f>
        <v>0</v>
      </c>
      <c r="H6894" s="6">
        <f t="shared" si="332"/>
        <v>0</v>
      </c>
      <c r="I6894" s="6">
        <f t="shared" si="333"/>
        <v>0</v>
      </c>
      <c r="J6894" s="6">
        <f t="shared" si="334"/>
        <v>0</v>
      </c>
      <c r="L6894" s="4" t="str">
        <f>IFERROR(VLOOKUP(ROWS($L$2:L6894),$B$2:$C$1996,2,0),"")</f>
        <v/>
      </c>
      <c r="N6894" s="2" t="str">
        <f>IFERROR(VLOOKUP(ROWS($N$2:N6894),$D$2:$E$1996,2,0),"")</f>
        <v/>
      </c>
    </row>
    <row r="6895" spans="2:14">
      <c r="B6895" s="32">
        <f>IF(ISNUMBER(SEARCH('Φόρμα Εισαγωγής'!$B$2,C6895)),MAX($B$1:B6894)+1,0)</f>
        <v>0</v>
      </c>
      <c r="D6895" s="33">
        <f>IF(ISNUMBER(SEARCH('Φόρμα Εισαγωγής'!$C$2,E6895)),MAX($D$1:D6894)+1,0)</f>
        <v>0</v>
      </c>
      <c r="H6895" s="6">
        <f t="shared" si="332"/>
        <v>0</v>
      </c>
      <c r="I6895" s="6">
        <f t="shared" si="333"/>
        <v>0</v>
      </c>
      <c r="J6895" s="6">
        <f t="shared" si="334"/>
        <v>0</v>
      </c>
      <c r="L6895" s="4" t="str">
        <f>IFERROR(VLOOKUP(ROWS($L$2:L6895),$B$2:$C$1996,2,0),"")</f>
        <v/>
      </c>
      <c r="N6895" s="2" t="str">
        <f>IFERROR(VLOOKUP(ROWS($N$2:N6895),$D$2:$E$1996,2,0),"")</f>
        <v/>
      </c>
    </row>
    <row r="6896" spans="2:14">
      <c r="B6896" s="32">
        <f>IF(ISNUMBER(SEARCH('Φόρμα Εισαγωγής'!$B$2,C6896)),MAX($B$1:B6895)+1,0)</f>
        <v>0</v>
      </c>
      <c r="D6896" s="33">
        <f>IF(ISNUMBER(SEARCH('Φόρμα Εισαγωγής'!$C$2,E6896)),MAX($D$1:D6895)+1,0)</f>
        <v>0</v>
      </c>
      <c r="H6896" s="6">
        <f t="shared" si="332"/>
        <v>0</v>
      </c>
      <c r="I6896" s="6">
        <f t="shared" si="333"/>
        <v>0</v>
      </c>
      <c r="J6896" s="6">
        <f t="shared" si="334"/>
        <v>0</v>
      </c>
      <c r="L6896" s="4" t="str">
        <f>IFERROR(VLOOKUP(ROWS($L$2:L6896),$B$2:$C$1996,2,0),"")</f>
        <v/>
      </c>
      <c r="N6896" s="2" t="str">
        <f>IFERROR(VLOOKUP(ROWS($N$2:N6896),$D$2:$E$1996,2,0),"")</f>
        <v/>
      </c>
    </row>
    <row r="6897" spans="2:14">
      <c r="B6897" s="32">
        <f>IF(ISNUMBER(SEARCH('Φόρμα Εισαγωγής'!$B$2,C6897)),MAX($B$1:B6896)+1,0)</f>
        <v>0</v>
      </c>
      <c r="D6897" s="33">
        <f>IF(ISNUMBER(SEARCH('Φόρμα Εισαγωγής'!$C$2,E6897)),MAX($D$1:D6896)+1,0)</f>
        <v>0</v>
      </c>
      <c r="H6897" s="6">
        <f t="shared" si="332"/>
        <v>0</v>
      </c>
      <c r="I6897" s="6">
        <f t="shared" si="333"/>
        <v>0</v>
      </c>
      <c r="J6897" s="6">
        <f t="shared" si="334"/>
        <v>0</v>
      </c>
      <c r="L6897" s="4" t="str">
        <f>IFERROR(VLOOKUP(ROWS($L$2:L6897),$B$2:$C$1996,2,0),"")</f>
        <v/>
      </c>
      <c r="N6897" s="2" t="str">
        <f>IFERROR(VLOOKUP(ROWS($N$2:N6897),$D$2:$E$1996,2,0),"")</f>
        <v/>
      </c>
    </row>
    <row r="6898" spans="2:14">
      <c r="B6898" s="32">
        <f>IF(ISNUMBER(SEARCH('Φόρμα Εισαγωγής'!$B$2,C6898)),MAX($B$1:B6897)+1,0)</f>
        <v>0</v>
      </c>
      <c r="D6898" s="33">
        <f>IF(ISNUMBER(SEARCH('Φόρμα Εισαγωγής'!$C$2,E6898)),MAX($D$1:D6897)+1,0)</f>
        <v>0</v>
      </c>
      <c r="H6898" s="6">
        <f t="shared" si="332"/>
        <v>0</v>
      </c>
      <c r="I6898" s="6">
        <f t="shared" si="333"/>
        <v>0</v>
      </c>
      <c r="J6898" s="6">
        <f t="shared" si="334"/>
        <v>0</v>
      </c>
      <c r="L6898" s="4" t="str">
        <f>IFERROR(VLOOKUP(ROWS($L$2:L6898),$B$2:$C$1996,2,0),"")</f>
        <v/>
      </c>
      <c r="N6898" s="2" t="str">
        <f>IFERROR(VLOOKUP(ROWS($N$2:N6898),$D$2:$E$1996,2,0),"")</f>
        <v/>
      </c>
    </row>
    <row r="6899" spans="2:14">
      <c r="B6899" s="32">
        <f>IF(ISNUMBER(SEARCH('Φόρμα Εισαγωγής'!$B$2,C6899)),MAX($B$1:B6898)+1,0)</f>
        <v>0</v>
      </c>
      <c r="D6899" s="33">
        <f>IF(ISNUMBER(SEARCH('Φόρμα Εισαγωγής'!$C$2,E6899)),MAX($D$1:D6898)+1,0)</f>
        <v>0</v>
      </c>
      <c r="H6899" s="6">
        <f t="shared" si="332"/>
        <v>0</v>
      </c>
      <c r="I6899" s="6">
        <f t="shared" si="333"/>
        <v>0</v>
      </c>
      <c r="J6899" s="6">
        <f t="shared" si="334"/>
        <v>0</v>
      </c>
      <c r="L6899" s="4" t="str">
        <f>IFERROR(VLOOKUP(ROWS($L$2:L6899),$B$2:$C$1996,2,0),"")</f>
        <v/>
      </c>
      <c r="N6899" s="2" t="str">
        <f>IFERROR(VLOOKUP(ROWS($N$2:N6899),$D$2:$E$1996,2,0),"")</f>
        <v/>
      </c>
    </row>
    <row r="6900" spans="2:14">
      <c r="B6900" s="32">
        <f>IF(ISNUMBER(SEARCH('Φόρμα Εισαγωγής'!$B$2,C6900)),MAX($B$1:B6899)+1,0)</f>
        <v>0</v>
      </c>
      <c r="D6900" s="33">
        <f>IF(ISNUMBER(SEARCH('Φόρμα Εισαγωγής'!$C$2,E6900)),MAX($D$1:D6899)+1,0)</f>
        <v>0</v>
      </c>
      <c r="H6900" s="6">
        <f t="shared" si="332"/>
        <v>0</v>
      </c>
      <c r="I6900" s="6">
        <f t="shared" si="333"/>
        <v>0</v>
      </c>
      <c r="J6900" s="6">
        <f t="shared" si="334"/>
        <v>0</v>
      </c>
      <c r="L6900" s="4" t="str">
        <f>IFERROR(VLOOKUP(ROWS($L$2:L6900),$B$2:$C$1996,2,0),"")</f>
        <v/>
      </c>
      <c r="N6900" s="2" t="str">
        <f>IFERROR(VLOOKUP(ROWS($N$2:N6900),$D$2:$E$1996,2,0),"")</f>
        <v/>
      </c>
    </row>
    <row r="6901" spans="2:14">
      <c r="B6901" s="32">
        <f>IF(ISNUMBER(SEARCH('Φόρμα Εισαγωγής'!$B$2,C6901)),MAX($B$1:B6900)+1,0)</f>
        <v>0</v>
      </c>
      <c r="D6901" s="33">
        <f>IF(ISNUMBER(SEARCH('Φόρμα Εισαγωγής'!$C$2,E6901)),MAX($D$1:D6900)+1,0)</f>
        <v>0</v>
      </c>
      <c r="H6901" s="6">
        <f t="shared" si="332"/>
        <v>0</v>
      </c>
      <c r="I6901" s="6">
        <f t="shared" si="333"/>
        <v>0</v>
      </c>
      <c r="J6901" s="6">
        <f t="shared" si="334"/>
        <v>0</v>
      </c>
      <c r="L6901" s="4" t="str">
        <f>IFERROR(VLOOKUP(ROWS($L$2:L6901),$B$2:$C$1996,2,0),"")</f>
        <v/>
      </c>
      <c r="N6901" s="2" t="str">
        <f>IFERROR(VLOOKUP(ROWS($N$2:N6901),$D$2:$E$1996,2,0),"")</f>
        <v/>
      </c>
    </row>
    <row r="6902" spans="2:14">
      <c r="B6902" s="32">
        <f>IF(ISNUMBER(SEARCH('Φόρμα Εισαγωγής'!$B$2,C6902)),MAX($B$1:B6901)+1,0)</f>
        <v>0</v>
      </c>
      <c r="D6902" s="33">
        <f>IF(ISNUMBER(SEARCH('Φόρμα Εισαγωγής'!$C$2,E6902)),MAX($D$1:D6901)+1,0)</f>
        <v>0</v>
      </c>
      <c r="H6902" s="6">
        <f t="shared" si="332"/>
        <v>0</v>
      </c>
      <c r="I6902" s="6">
        <f t="shared" si="333"/>
        <v>0</v>
      </c>
      <c r="J6902" s="6">
        <f t="shared" si="334"/>
        <v>0</v>
      </c>
      <c r="L6902" s="4" t="str">
        <f>IFERROR(VLOOKUP(ROWS($L$2:L6902),$B$2:$C$1996,2,0),"")</f>
        <v/>
      </c>
      <c r="N6902" s="2" t="str">
        <f>IFERROR(VLOOKUP(ROWS($N$2:N6902),$D$2:$E$1996,2,0),"")</f>
        <v/>
      </c>
    </row>
    <row r="6903" spans="2:14">
      <c r="B6903" s="32">
        <f>IF(ISNUMBER(SEARCH('Φόρμα Εισαγωγής'!$B$2,C6903)),MAX($B$1:B6902)+1,0)</f>
        <v>0</v>
      </c>
      <c r="D6903" s="33">
        <f>IF(ISNUMBER(SEARCH('Φόρμα Εισαγωγής'!$C$2,E6903)),MAX($D$1:D6902)+1,0)</f>
        <v>0</v>
      </c>
      <c r="H6903" s="6">
        <f t="shared" si="332"/>
        <v>0</v>
      </c>
      <c r="I6903" s="6">
        <f t="shared" si="333"/>
        <v>0</v>
      </c>
      <c r="J6903" s="6">
        <f t="shared" si="334"/>
        <v>0</v>
      </c>
      <c r="L6903" s="4" t="str">
        <f>IFERROR(VLOOKUP(ROWS($L$2:L6903),$B$2:$C$1996,2,0),"")</f>
        <v/>
      </c>
      <c r="N6903" s="2" t="str">
        <f>IFERROR(VLOOKUP(ROWS($N$2:N6903),$D$2:$E$1996,2,0),"")</f>
        <v/>
      </c>
    </row>
    <row r="6904" spans="2:14">
      <c r="B6904" s="32">
        <f>IF(ISNUMBER(SEARCH('Φόρμα Εισαγωγής'!$B$2,C6904)),MAX($B$1:B6903)+1,0)</f>
        <v>0</v>
      </c>
      <c r="D6904" s="33">
        <f>IF(ISNUMBER(SEARCH('Φόρμα Εισαγωγής'!$C$2,E6904)),MAX($D$1:D6903)+1,0)</f>
        <v>0</v>
      </c>
      <c r="H6904" s="6">
        <f t="shared" si="332"/>
        <v>0</v>
      </c>
      <c r="I6904" s="6">
        <f t="shared" si="333"/>
        <v>0</v>
      </c>
      <c r="J6904" s="6">
        <f t="shared" si="334"/>
        <v>0</v>
      </c>
      <c r="L6904" s="4" t="str">
        <f>IFERROR(VLOOKUP(ROWS($L$2:L6904),$B$2:$C$1996,2,0),"")</f>
        <v/>
      </c>
      <c r="N6904" s="2" t="str">
        <f>IFERROR(VLOOKUP(ROWS($N$2:N6904),$D$2:$E$1996,2,0),"")</f>
        <v/>
      </c>
    </row>
    <row r="6905" spans="2:14">
      <c r="B6905" s="32">
        <f>IF(ISNUMBER(SEARCH('Φόρμα Εισαγωγής'!$B$2,C6905)),MAX($B$1:B6904)+1,0)</f>
        <v>0</v>
      </c>
      <c r="D6905" s="33">
        <f>IF(ISNUMBER(SEARCH('Φόρμα Εισαγωγής'!$C$2,E6905)),MAX($D$1:D6904)+1,0)</f>
        <v>0</v>
      </c>
      <c r="H6905" s="6">
        <f t="shared" si="332"/>
        <v>0</v>
      </c>
      <c r="I6905" s="6">
        <f t="shared" si="333"/>
        <v>0</v>
      </c>
      <c r="J6905" s="6">
        <f t="shared" si="334"/>
        <v>0</v>
      </c>
      <c r="L6905" s="4" t="str">
        <f>IFERROR(VLOOKUP(ROWS($L$2:L6905),$B$2:$C$1996,2,0),"")</f>
        <v/>
      </c>
      <c r="N6905" s="2" t="str">
        <f>IFERROR(VLOOKUP(ROWS($N$2:N6905),$D$2:$E$1996,2,0),"")</f>
        <v/>
      </c>
    </row>
    <row r="6906" spans="2:14">
      <c r="B6906" s="32">
        <f>IF(ISNUMBER(SEARCH('Φόρμα Εισαγωγής'!$B$2,C6906)),MAX($B$1:B6905)+1,0)</f>
        <v>0</v>
      </c>
      <c r="D6906" s="33">
        <f>IF(ISNUMBER(SEARCH('Φόρμα Εισαγωγής'!$C$2,E6906)),MAX($D$1:D6905)+1,0)</f>
        <v>0</v>
      </c>
      <c r="H6906" s="6">
        <f t="shared" si="332"/>
        <v>0</v>
      </c>
      <c r="I6906" s="6">
        <f t="shared" si="333"/>
        <v>0</v>
      </c>
      <c r="J6906" s="6">
        <f t="shared" si="334"/>
        <v>0</v>
      </c>
      <c r="L6906" s="4" t="str">
        <f>IFERROR(VLOOKUP(ROWS($L$2:L6906),$B$2:$C$1996,2,0),"")</f>
        <v/>
      </c>
      <c r="N6906" s="2" t="str">
        <f>IFERROR(VLOOKUP(ROWS($N$2:N6906),$D$2:$E$1996,2,0),"")</f>
        <v/>
      </c>
    </row>
    <row r="6907" spans="2:14">
      <c r="B6907" s="32">
        <f>IF(ISNUMBER(SEARCH('Φόρμα Εισαγωγής'!$B$2,C6907)),MAX($B$1:B6906)+1,0)</f>
        <v>0</v>
      </c>
      <c r="D6907" s="33">
        <f>IF(ISNUMBER(SEARCH('Φόρμα Εισαγωγής'!$C$2,E6907)),MAX($D$1:D6906)+1,0)</f>
        <v>0</v>
      </c>
      <c r="H6907" s="6">
        <f t="shared" si="332"/>
        <v>0</v>
      </c>
      <c r="I6907" s="6">
        <f t="shared" si="333"/>
        <v>0</v>
      </c>
      <c r="J6907" s="6">
        <f t="shared" si="334"/>
        <v>0</v>
      </c>
      <c r="L6907" s="4" t="str">
        <f>IFERROR(VLOOKUP(ROWS($L$2:L6907),$B$2:$C$1996,2,0),"")</f>
        <v/>
      </c>
      <c r="N6907" s="2" t="str">
        <f>IFERROR(VLOOKUP(ROWS($N$2:N6907),$D$2:$E$1996,2,0),"")</f>
        <v/>
      </c>
    </row>
    <row r="6908" spans="2:14">
      <c r="B6908" s="32">
        <f>IF(ISNUMBER(SEARCH('Φόρμα Εισαγωγής'!$B$2,C6908)),MAX($B$1:B6907)+1,0)</f>
        <v>0</v>
      </c>
      <c r="D6908" s="33">
        <f>IF(ISNUMBER(SEARCH('Φόρμα Εισαγωγής'!$C$2,E6908)),MAX($D$1:D6907)+1,0)</f>
        <v>0</v>
      </c>
      <c r="H6908" s="6">
        <f t="shared" si="332"/>
        <v>0</v>
      </c>
      <c r="I6908" s="6">
        <f t="shared" si="333"/>
        <v>0</v>
      </c>
      <c r="J6908" s="6">
        <f t="shared" si="334"/>
        <v>0</v>
      </c>
      <c r="L6908" s="4" t="str">
        <f>IFERROR(VLOOKUP(ROWS($L$2:L6908),$B$2:$C$1996,2,0),"")</f>
        <v/>
      </c>
      <c r="N6908" s="2" t="str">
        <f>IFERROR(VLOOKUP(ROWS($N$2:N6908),$D$2:$E$1996,2,0),"")</f>
        <v/>
      </c>
    </row>
    <row r="6909" spans="2:14">
      <c r="B6909" s="32">
        <f>IF(ISNUMBER(SEARCH('Φόρμα Εισαγωγής'!$B$2,C6909)),MAX($B$1:B6908)+1,0)</f>
        <v>0</v>
      </c>
      <c r="D6909" s="33">
        <f>IF(ISNUMBER(SEARCH('Φόρμα Εισαγωγής'!$C$2,E6909)),MAX($D$1:D6908)+1,0)</f>
        <v>0</v>
      </c>
      <c r="H6909" s="6">
        <f t="shared" si="332"/>
        <v>0</v>
      </c>
      <c r="I6909" s="6">
        <f t="shared" si="333"/>
        <v>0</v>
      </c>
      <c r="J6909" s="6">
        <f t="shared" si="334"/>
        <v>0</v>
      </c>
      <c r="L6909" s="4" t="str">
        <f>IFERROR(VLOOKUP(ROWS($L$2:L6909),$B$2:$C$1996,2,0),"")</f>
        <v/>
      </c>
      <c r="N6909" s="2" t="str">
        <f>IFERROR(VLOOKUP(ROWS($N$2:N6909),$D$2:$E$1996,2,0),"")</f>
        <v/>
      </c>
    </row>
    <row r="6910" spans="2:14">
      <c r="B6910" s="32">
        <f>IF(ISNUMBER(SEARCH('Φόρμα Εισαγωγής'!$B$2,C6910)),MAX($B$1:B6909)+1,0)</f>
        <v>0</v>
      </c>
      <c r="D6910" s="33">
        <f>IF(ISNUMBER(SEARCH('Φόρμα Εισαγωγής'!$C$2,E6910)),MAX($D$1:D6909)+1,0)</f>
        <v>0</v>
      </c>
      <c r="H6910" s="6">
        <f t="shared" si="332"/>
        <v>0</v>
      </c>
      <c r="I6910" s="6">
        <f t="shared" si="333"/>
        <v>0</v>
      </c>
      <c r="J6910" s="6">
        <f t="shared" si="334"/>
        <v>0</v>
      </c>
      <c r="L6910" s="4" t="str">
        <f>IFERROR(VLOOKUP(ROWS($L$2:L6910),$B$2:$C$1996,2,0),"")</f>
        <v/>
      </c>
      <c r="N6910" s="2" t="str">
        <f>IFERROR(VLOOKUP(ROWS($N$2:N6910),$D$2:$E$1996,2,0),"")</f>
        <v/>
      </c>
    </row>
    <row r="6911" spans="2:14">
      <c r="B6911" s="32">
        <f>IF(ISNUMBER(SEARCH('Φόρμα Εισαγωγής'!$B$2,C6911)),MAX($B$1:B6910)+1,0)</f>
        <v>0</v>
      </c>
      <c r="D6911" s="33">
        <f>IF(ISNUMBER(SEARCH('Φόρμα Εισαγωγής'!$C$2,E6911)),MAX($D$1:D6910)+1,0)</f>
        <v>0</v>
      </c>
      <c r="H6911" s="6">
        <f t="shared" si="332"/>
        <v>0</v>
      </c>
      <c r="I6911" s="6">
        <f t="shared" si="333"/>
        <v>0</v>
      </c>
      <c r="J6911" s="6">
        <f t="shared" si="334"/>
        <v>0</v>
      </c>
      <c r="L6911" s="4" t="str">
        <f>IFERROR(VLOOKUP(ROWS($L$2:L6911),$B$2:$C$1996,2,0),"")</f>
        <v/>
      </c>
      <c r="N6911" s="2" t="str">
        <f>IFERROR(VLOOKUP(ROWS($N$2:N6911),$D$2:$E$1996,2,0),"")</f>
        <v/>
      </c>
    </row>
    <row r="6912" spans="2:14">
      <c r="B6912" s="32">
        <f>IF(ISNUMBER(SEARCH('Φόρμα Εισαγωγής'!$B$2,C6912)),MAX($B$1:B6911)+1,0)</f>
        <v>0</v>
      </c>
      <c r="D6912" s="33">
        <f>IF(ISNUMBER(SEARCH('Φόρμα Εισαγωγής'!$C$2,E6912)),MAX($D$1:D6911)+1,0)</f>
        <v>0</v>
      </c>
      <c r="H6912" s="6">
        <f t="shared" ref="H6912:H6975" si="335">G6912+(G6912*0.24)</f>
        <v>0</v>
      </c>
      <c r="I6912" s="6">
        <f t="shared" ref="I6912:I6975" si="336">F6912*A6912</f>
        <v>0</v>
      </c>
      <c r="J6912" s="6">
        <f t="shared" ref="J6912:J6975" si="337">H6912*A6912</f>
        <v>0</v>
      </c>
      <c r="L6912" s="4" t="str">
        <f>IFERROR(VLOOKUP(ROWS($L$2:L6912),$B$2:$C$1996,2,0),"")</f>
        <v/>
      </c>
      <c r="N6912" s="2" t="str">
        <f>IFERROR(VLOOKUP(ROWS($N$2:N6912),$D$2:$E$1996,2,0),"")</f>
        <v/>
      </c>
    </row>
    <row r="6913" spans="2:14">
      <c r="B6913" s="32">
        <f>IF(ISNUMBER(SEARCH('Φόρμα Εισαγωγής'!$B$2,C6913)),MAX($B$1:B6912)+1,0)</f>
        <v>0</v>
      </c>
      <c r="D6913" s="33">
        <f>IF(ISNUMBER(SEARCH('Φόρμα Εισαγωγής'!$C$2,E6913)),MAX($D$1:D6912)+1,0)</f>
        <v>0</v>
      </c>
      <c r="H6913" s="6">
        <f t="shared" si="335"/>
        <v>0</v>
      </c>
      <c r="I6913" s="6">
        <f t="shared" si="336"/>
        <v>0</v>
      </c>
      <c r="J6913" s="6">
        <f t="shared" si="337"/>
        <v>0</v>
      </c>
      <c r="L6913" s="4" t="str">
        <f>IFERROR(VLOOKUP(ROWS($L$2:L6913),$B$2:$C$1996,2,0),"")</f>
        <v/>
      </c>
      <c r="N6913" s="2" t="str">
        <f>IFERROR(VLOOKUP(ROWS($N$2:N6913),$D$2:$E$1996,2,0),"")</f>
        <v/>
      </c>
    </row>
    <row r="6914" spans="2:14">
      <c r="B6914" s="32">
        <f>IF(ISNUMBER(SEARCH('Φόρμα Εισαγωγής'!$B$2,C6914)),MAX($B$1:B6913)+1,0)</f>
        <v>0</v>
      </c>
      <c r="D6914" s="33">
        <f>IF(ISNUMBER(SEARCH('Φόρμα Εισαγωγής'!$C$2,E6914)),MAX($D$1:D6913)+1,0)</f>
        <v>0</v>
      </c>
      <c r="H6914" s="6">
        <f t="shared" si="335"/>
        <v>0</v>
      </c>
      <c r="I6914" s="6">
        <f t="shared" si="336"/>
        <v>0</v>
      </c>
      <c r="J6914" s="6">
        <f t="shared" si="337"/>
        <v>0</v>
      </c>
      <c r="L6914" s="4" t="str">
        <f>IFERROR(VLOOKUP(ROWS($L$2:L6914),$B$2:$C$1996,2,0),"")</f>
        <v/>
      </c>
      <c r="N6914" s="2" t="str">
        <f>IFERROR(VLOOKUP(ROWS($N$2:N6914),$D$2:$E$1996,2,0),"")</f>
        <v/>
      </c>
    </row>
    <row r="6915" spans="2:14">
      <c r="B6915" s="32">
        <f>IF(ISNUMBER(SEARCH('Φόρμα Εισαγωγής'!$B$2,C6915)),MAX($B$1:B6914)+1,0)</f>
        <v>0</v>
      </c>
      <c r="D6915" s="33">
        <f>IF(ISNUMBER(SEARCH('Φόρμα Εισαγωγής'!$C$2,E6915)),MAX($D$1:D6914)+1,0)</f>
        <v>0</v>
      </c>
      <c r="H6915" s="6">
        <f t="shared" si="335"/>
        <v>0</v>
      </c>
      <c r="I6915" s="6">
        <f t="shared" si="336"/>
        <v>0</v>
      </c>
      <c r="J6915" s="6">
        <f t="shared" si="337"/>
        <v>0</v>
      </c>
      <c r="L6915" s="4" t="str">
        <f>IFERROR(VLOOKUP(ROWS($L$2:L6915),$B$2:$C$1996,2,0),"")</f>
        <v/>
      </c>
      <c r="N6915" s="2" t="str">
        <f>IFERROR(VLOOKUP(ROWS($N$2:N6915),$D$2:$E$1996,2,0),"")</f>
        <v/>
      </c>
    </row>
    <row r="6916" spans="2:14">
      <c r="B6916" s="32">
        <f>IF(ISNUMBER(SEARCH('Φόρμα Εισαγωγής'!$B$2,C6916)),MAX($B$1:B6915)+1,0)</f>
        <v>0</v>
      </c>
      <c r="D6916" s="33">
        <f>IF(ISNUMBER(SEARCH('Φόρμα Εισαγωγής'!$C$2,E6916)),MAX($D$1:D6915)+1,0)</f>
        <v>0</v>
      </c>
      <c r="H6916" s="6">
        <f t="shared" si="335"/>
        <v>0</v>
      </c>
      <c r="I6916" s="6">
        <f t="shared" si="336"/>
        <v>0</v>
      </c>
      <c r="J6916" s="6">
        <f t="shared" si="337"/>
        <v>0</v>
      </c>
      <c r="L6916" s="4" t="str">
        <f>IFERROR(VLOOKUP(ROWS($L$2:L6916),$B$2:$C$1996,2,0),"")</f>
        <v/>
      </c>
      <c r="N6916" s="2" t="str">
        <f>IFERROR(VLOOKUP(ROWS($N$2:N6916),$D$2:$E$1996,2,0),"")</f>
        <v/>
      </c>
    </row>
    <row r="6917" spans="2:14">
      <c r="B6917" s="32">
        <f>IF(ISNUMBER(SEARCH('Φόρμα Εισαγωγής'!$B$2,C6917)),MAX($B$1:B6916)+1,0)</f>
        <v>0</v>
      </c>
      <c r="D6917" s="33">
        <f>IF(ISNUMBER(SEARCH('Φόρμα Εισαγωγής'!$C$2,E6917)),MAX($D$1:D6916)+1,0)</f>
        <v>0</v>
      </c>
      <c r="H6917" s="6">
        <f t="shared" si="335"/>
        <v>0</v>
      </c>
      <c r="I6917" s="6">
        <f t="shared" si="336"/>
        <v>0</v>
      </c>
      <c r="J6917" s="6">
        <f t="shared" si="337"/>
        <v>0</v>
      </c>
      <c r="L6917" s="4" t="str">
        <f>IFERROR(VLOOKUP(ROWS($L$2:L6917),$B$2:$C$1996,2,0),"")</f>
        <v/>
      </c>
      <c r="N6917" s="2" t="str">
        <f>IFERROR(VLOOKUP(ROWS($N$2:N6917),$D$2:$E$1996,2,0),"")</f>
        <v/>
      </c>
    </row>
    <row r="6918" spans="2:14">
      <c r="B6918" s="32">
        <f>IF(ISNUMBER(SEARCH('Φόρμα Εισαγωγής'!$B$2,C6918)),MAX($B$1:B6917)+1,0)</f>
        <v>0</v>
      </c>
      <c r="D6918" s="33">
        <f>IF(ISNUMBER(SEARCH('Φόρμα Εισαγωγής'!$C$2,E6918)),MAX($D$1:D6917)+1,0)</f>
        <v>0</v>
      </c>
      <c r="H6918" s="6">
        <f t="shared" si="335"/>
        <v>0</v>
      </c>
      <c r="I6918" s="6">
        <f t="shared" si="336"/>
        <v>0</v>
      </c>
      <c r="J6918" s="6">
        <f t="shared" si="337"/>
        <v>0</v>
      </c>
      <c r="L6918" s="4" t="str">
        <f>IFERROR(VLOOKUP(ROWS($L$2:L6918),$B$2:$C$1996,2,0),"")</f>
        <v/>
      </c>
      <c r="N6918" s="2" t="str">
        <f>IFERROR(VLOOKUP(ROWS($N$2:N6918),$D$2:$E$1996,2,0),"")</f>
        <v/>
      </c>
    </row>
    <row r="6919" spans="2:14">
      <c r="B6919" s="32">
        <f>IF(ISNUMBER(SEARCH('Φόρμα Εισαγωγής'!$B$2,C6919)),MAX($B$1:B6918)+1,0)</f>
        <v>0</v>
      </c>
      <c r="D6919" s="33">
        <f>IF(ISNUMBER(SEARCH('Φόρμα Εισαγωγής'!$C$2,E6919)),MAX($D$1:D6918)+1,0)</f>
        <v>0</v>
      </c>
      <c r="H6919" s="6">
        <f t="shared" si="335"/>
        <v>0</v>
      </c>
      <c r="I6919" s="6">
        <f t="shared" si="336"/>
        <v>0</v>
      </c>
      <c r="J6919" s="6">
        <f t="shared" si="337"/>
        <v>0</v>
      </c>
      <c r="L6919" s="4" t="str">
        <f>IFERROR(VLOOKUP(ROWS($L$2:L6919),$B$2:$C$1996,2,0),"")</f>
        <v/>
      </c>
      <c r="N6919" s="2" t="str">
        <f>IFERROR(VLOOKUP(ROWS($N$2:N6919),$D$2:$E$1996,2,0),"")</f>
        <v/>
      </c>
    </row>
    <row r="6920" spans="2:14">
      <c r="B6920" s="32">
        <f>IF(ISNUMBER(SEARCH('Φόρμα Εισαγωγής'!$B$2,C6920)),MAX($B$1:B6919)+1,0)</f>
        <v>0</v>
      </c>
      <c r="D6920" s="33">
        <f>IF(ISNUMBER(SEARCH('Φόρμα Εισαγωγής'!$C$2,E6920)),MAX($D$1:D6919)+1,0)</f>
        <v>0</v>
      </c>
      <c r="H6920" s="6">
        <f t="shared" si="335"/>
        <v>0</v>
      </c>
      <c r="I6920" s="6">
        <f t="shared" si="336"/>
        <v>0</v>
      </c>
      <c r="J6920" s="6">
        <f t="shared" si="337"/>
        <v>0</v>
      </c>
      <c r="L6920" s="4" t="str">
        <f>IFERROR(VLOOKUP(ROWS($L$2:L6920),$B$2:$C$1996,2,0),"")</f>
        <v/>
      </c>
      <c r="N6920" s="2" t="str">
        <f>IFERROR(VLOOKUP(ROWS($N$2:N6920),$D$2:$E$1996,2,0),"")</f>
        <v/>
      </c>
    </row>
    <row r="6921" spans="2:14">
      <c r="B6921" s="32">
        <f>IF(ISNUMBER(SEARCH('Φόρμα Εισαγωγής'!$B$2,C6921)),MAX($B$1:B6920)+1,0)</f>
        <v>0</v>
      </c>
      <c r="D6921" s="33">
        <f>IF(ISNUMBER(SEARCH('Φόρμα Εισαγωγής'!$C$2,E6921)),MAX($D$1:D6920)+1,0)</f>
        <v>0</v>
      </c>
      <c r="H6921" s="6">
        <f t="shared" si="335"/>
        <v>0</v>
      </c>
      <c r="I6921" s="6">
        <f t="shared" si="336"/>
        <v>0</v>
      </c>
      <c r="J6921" s="6">
        <f t="shared" si="337"/>
        <v>0</v>
      </c>
      <c r="L6921" s="4" t="str">
        <f>IFERROR(VLOOKUP(ROWS($L$2:L6921),$B$2:$C$1996,2,0),"")</f>
        <v/>
      </c>
      <c r="N6921" s="2" t="str">
        <f>IFERROR(VLOOKUP(ROWS($N$2:N6921),$D$2:$E$1996,2,0),"")</f>
        <v/>
      </c>
    </row>
    <row r="6922" spans="2:14">
      <c r="B6922" s="32">
        <f>IF(ISNUMBER(SEARCH('Φόρμα Εισαγωγής'!$B$2,C6922)),MAX($B$1:B6921)+1,0)</f>
        <v>0</v>
      </c>
      <c r="D6922" s="33">
        <f>IF(ISNUMBER(SEARCH('Φόρμα Εισαγωγής'!$C$2,E6922)),MAX($D$1:D6921)+1,0)</f>
        <v>0</v>
      </c>
      <c r="H6922" s="6">
        <f t="shared" si="335"/>
        <v>0</v>
      </c>
      <c r="I6922" s="6">
        <f t="shared" si="336"/>
        <v>0</v>
      </c>
      <c r="J6922" s="6">
        <f t="shared" si="337"/>
        <v>0</v>
      </c>
      <c r="L6922" s="4" t="str">
        <f>IFERROR(VLOOKUP(ROWS($L$2:L6922),$B$2:$C$1996,2,0),"")</f>
        <v/>
      </c>
      <c r="N6922" s="2" t="str">
        <f>IFERROR(VLOOKUP(ROWS($N$2:N6922),$D$2:$E$1996,2,0),"")</f>
        <v/>
      </c>
    </row>
    <row r="6923" spans="2:14">
      <c r="B6923" s="32">
        <f>IF(ISNUMBER(SEARCH('Φόρμα Εισαγωγής'!$B$2,C6923)),MAX($B$1:B6922)+1,0)</f>
        <v>0</v>
      </c>
      <c r="D6923" s="33">
        <f>IF(ISNUMBER(SEARCH('Φόρμα Εισαγωγής'!$C$2,E6923)),MAX($D$1:D6922)+1,0)</f>
        <v>0</v>
      </c>
      <c r="H6923" s="6">
        <f t="shared" si="335"/>
        <v>0</v>
      </c>
      <c r="I6923" s="6">
        <f t="shared" si="336"/>
        <v>0</v>
      </c>
      <c r="J6923" s="6">
        <f t="shared" si="337"/>
        <v>0</v>
      </c>
      <c r="L6923" s="4" t="str">
        <f>IFERROR(VLOOKUP(ROWS($L$2:L6923),$B$2:$C$1996,2,0),"")</f>
        <v/>
      </c>
      <c r="N6923" s="2" t="str">
        <f>IFERROR(VLOOKUP(ROWS($N$2:N6923),$D$2:$E$1996,2,0),"")</f>
        <v/>
      </c>
    </row>
    <row r="6924" spans="2:14">
      <c r="B6924" s="32">
        <f>IF(ISNUMBER(SEARCH('Φόρμα Εισαγωγής'!$B$2,C6924)),MAX($B$1:B6923)+1,0)</f>
        <v>0</v>
      </c>
      <c r="D6924" s="33">
        <f>IF(ISNUMBER(SEARCH('Φόρμα Εισαγωγής'!$C$2,E6924)),MAX($D$1:D6923)+1,0)</f>
        <v>0</v>
      </c>
      <c r="H6924" s="6">
        <f t="shared" si="335"/>
        <v>0</v>
      </c>
      <c r="I6924" s="6">
        <f t="shared" si="336"/>
        <v>0</v>
      </c>
      <c r="J6924" s="6">
        <f t="shared" si="337"/>
        <v>0</v>
      </c>
      <c r="L6924" s="4" t="str">
        <f>IFERROR(VLOOKUP(ROWS($L$2:L6924),$B$2:$C$1996,2,0),"")</f>
        <v/>
      </c>
      <c r="N6924" s="2" t="str">
        <f>IFERROR(VLOOKUP(ROWS($N$2:N6924),$D$2:$E$1996,2,0),"")</f>
        <v/>
      </c>
    </row>
    <row r="6925" spans="2:14">
      <c r="B6925" s="32">
        <f>IF(ISNUMBER(SEARCH('Φόρμα Εισαγωγής'!$B$2,C6925)),MAX($B$1:B6924)+1,0)</f>
        <v>0</v>
      </c>
      <c r="D6925" s="33">
        <f>IF(ISNUMBER(SEARCH('Φόρμα Εισαγωγής'!$C$2,E6925)),MAX($D$1:D6924)+1,0)</f>
        <v>0</v>
      </c>
      <c r="H6925" s="6">
        <f t="shared" si="335"/>
        <v>0</v>
      </c>
      <c r="I6925" s="6">
        <f t="shared" si="336"/>
        <v>0</v>
      </c>
      <c r="J6925" s="6">
        <f t="shared" si="337"/>
        <v>0</v>
      </c>
      <c r="L6925" s="4" t="str">
        <f>IFERROR(VLOOKUP(ROWS($L$2:L6925),$B$2:$C$1996,2,0),"")</f>
        <v/>
      </c>
      <c r="N6925" s="2" t="str">
        <f>IFERROR(VLOOKUP(ROWS($N$2:N6925),$D$2:$E$1996,2,0),"")</f>
        <v/>
      </c>
    </row>
    <row r="6926" spans="2:14">
      <c r="B6926" s="32">
        <f>IF(ISNUMBER(SEARCH('Φόρμα Εισαγωγής'!$B$2,C6926)),MAX($B$1:B6925)+1,0)</f>
        <v>0</v>
      </c>
      <c r="D6926" s="33">
        <f>IF(ISNUMBER(SEARCH('Φόρμα Εισαγωγής'!$C$2,E6926)),MAX($D$1:D6925)+1,0)</f>
        <v>0</v>
      </c>
      <c r="H6926" s="6">
        <f t="shared" si="335"/>
        <v>0</v>
      </c>
      <c r="I6926" s="6">
        <f t="shared" si="336"/>
        <v>0</v>
      </c>
      <c r="J6926" s="6">
        <f t="shared" si="337"/>
        <v>0</v>
      </c>
      <c r="L6926" s="4" t="str">
        <f>IFERROR(VLOOKUP(ROWS($L$2:L6926),$B$2:$C$1996,2,0),"")</f>
        <v/>
      </c>
      <c r="N6926" s="2" t="str">
        <f>IFERROR(VLOOKUP(ROWS($N$2:N6926),$D$2:$E$1996,2,0),"")</f>
        <v/>
      </c>
    </row>
    <row r="6927" spans="2:14">
      <c r="B6927" s="32">
        <f>IF(ISNUMBER(SEARCH('Φόρμα Εισαγωγής'!$B$2,C6927)),MAX($B$1:B6926)+1,0)</f>
        <v>0</v>
      </c>
      <c r="D6927" s="33">
        <f>IF(ISNUMBER(SEARCH('Φόρμα Εισαγωγής'!$C$2,E6927)),MAX($D$1:D6926)+1,0)</f>
        <v>0</v>
      </c>
      <c r="H6927" s="6">
        <f t="shared" si="335"/>
        <v>0</v>
      </c>
      <c r="I6927" s="6">
        <f t="shared" si="336"/>
        <v>0</v>
      </c>
      <c r="J6927" s="6">
        <f t="shared" si="337"/>
        <v>0</v>
      </c>
      <c r="L6927" s="4" t="str">
        <f>IFERROR(VLOOKUP(ROWS($L$2:L6927),$B$2:$C$1996,2,0),"")</f>
        <v/>
      </c>
      <c r="N6927" s="2" t="str">
        <f>IFERROR(VLOOKUP(ROWS($N$2:N6927),$D$2:$E$1996,2,0),"")</f>
        <v/>
      </c>
    </row>
    <row r="6928" spans="2:14">
      <c r="B6928" s="32">
        <f>IF(ISNUMBER(SEARCH('Φόρμα Εισαγωγής'!$B$2,C6928)),MAX($B$1:B6927)+1,0)</f>
        <v>0</v>
      </c>
      <c r="D6928" s="33">
        <f>IF(ISNUMBER(SEARCH('Φόρμα Εισαγωγής'!$C$2,E6928)),MAX($D$1:D6927)+1,0)</f>
        <v>0</v>
      </c>
      <c r="H6928" s="6">
        <f t="shared" si="335"/>
        <v>0</v>
      </c>
      <c r="I6928" s="6">
        <f t="shared" si="336"/>
        <v>0</v>
      </c>
      <c r="J6928" s="6">
        <f t="shared" si="337"/>
        <v>0</v>
      </c>
      <c r="L6928" s="4" t="str">
        <f>IFERROR(VLOOKUP(ROWS($L$2:L6928),$B$2:$C$1996,2,0),"")</f>
        <v/>
      </c>
      <c r="N6928" s="2" t="str">
        <f>IFERROR(VLOOKUP(ROWS($N$2:N6928),$D$2:$E$1996,2,0),"")</f>
        <v/>
      </c>
    </row>
    <row r="6929" spans="2:14">
      <c r="B6929" s="32">
        <f>IF(ISNUMBER(SEARCH('Φόρμα Εισαγωγής'!$B$2,C6929)),MAX($B$1:B6928)+1,0)</f>
        <v>0</v>
      </c>
      <c r="D6929" s="33">
        <f>IF(ISNUMBER(SEARCH('Φόρμα Εισαγωγής'!$C$2,E6929)),MAX($D$1:D6928)+1,0)</f>
        <v>0</v>
      </c>
      <c r="H6929" s="6">
        <f t="shared" si="335"/>
        <v>0</v>
      </c>
      <c r="I6929" s="6">
        <f t="shared" si="336"/>
        <v>0</v>
      </c>
      <c r="J6929" s="6">
        <f t="shared" si="337"/>
        <v>0</v>
      </c>
      <c r="L6929" s="4" t="str">
        <f>IFERROR(VLOOKUP(ROWS($L$2:L6929),$B$2:$C$1996,2,0),"")</f>
        <v/>
      </c>
      <c r="N6929" s="2" t="str">
        <f>IFERROR(VLOOKUP(ROWS($N$2:N6929),$D$2:$E$1996,2,0),"")</f>
        <v/>
      </c>
    </row>
    <row r="6930" spans="2:14">
      <c r="B6930" s="32">
        <f>IF(ISNUMBER(SEARCH('Φόρμα Εισαγωγής'!$B$2,C6930)),MAX($B$1:B6929)+1,0)</f>
        <v>0</v>
      </c>
      <c r="D6930" s="33">
        <f>IF(ISNUMBER(SEARCH('Φόρμα Εισαγωγής'!$C$2,E6930)),MAX($D$1:D6929)+1,0)</f>
        <v>0</v>
      </c>
      <c r="H6930" s="6">
        <f t="shared" si="335"/>
        <v>0</v>
      </c>
      <c r="I6930" s="6">
        <f t="shared" si="336"/>
        <v>0</v>
      </c>
      <c r="J6930" s="6">
        <f t="shared" si="337"/>
        <v>0</v>
      </c>
      <c r="L6930" s="4" t="str">
        <f>IFERROR(VLOOKUP(ROWS($L$2:L6930),$B$2:$C$1996,2,0),"")</f>
        <v/>
      </c>
      <c r="N6930" s="2" t="str">
        <f>IFERROR(VLOOKUP(ROWS($N$2:N6930),$D$2:$E$1996,2,0),"")</f>
        <v/>
      </c>
    </row>
    <row r="6931" spans="2:14">
      <c r="B6931" s="32">
        <f>IF(ISNUMBER(SEARCH('Φόρμα Εισαγωγής'!$B$2,C6931)),MAX($B$1:B6930)+1,0)</f>
        <v>0</v>
      </c>
      <c r="D6931" s="33">
        <f>IF(ISNUMBER(SEARCH('Φόρμα Εισαγωγής'!$C$2,E6931)),MAX($D$1:D6930)+1,0)</f>
        <v>0</v>
      </c>
      <c r="H6931" s="6">
        <f t="shared" si="335"/>
        <v>0</v>
      </c>
      <c r="I6931" s="6">
        <f t="shared" si="336"/>
        <v>0</v>
      </c>
      <c r="J6931" s="6">
        <f t="shared" si="337"/>
        <v>0</v>
      </c>
      <c r="L6931" s="4" t="str">
        <f>IFERROR(VLOOKUP(ROWS($L$2:L6931),$B$2:$C$1996,2,0),"")</f>
        <v/>
      </c>
      <c r="N6931" s="2" t="str">
        <f>IFERROR(VLOOKUP(ROWS($N$2:N6931),$D$2:$E$1996,2,0),"")</f>
        <v/>
      </c>
    </row>
    <row r="6932" spans="2:14">
      <c r="B6932" s="32">
        <f>IF(ISNUMBER(SEARCH('Φόρμα Εισαγωγής'!$B$2,C6932)),MAX($B$1:B6931)+1,0)</f>
        <v>0</v>
      </c>
      <c r="D6932" s="33">
        <f>IF(ISNUMBER(SEARCH('Φόρμα Εισαγωγής'!$C$2,E6932)),MAX($D$1:D6931)+1,0)</f>
        <v>0</v>
      </c>
      <c r="H6932" s="6">
        <f t="shared" si="335"/>
        <v>0</v>
      </c>
      <c r="I6932" s="6">
        <f t="shared" si="336"/>
        <v>0</v>
      </c>
      <c r="J6932" s="6">
        <f t="shared" si="337"/>
        <v>0</v>
      </c>
      <c r="L6932" s="4" t="str">
        <f>IFERROR(VLOOKUP(ROWS($L$2:L6932),$B$2:$C$1996,2,0),"")</f>
        <v/>
      </c>
      <c r="N6932" s="2" t="str">
        <f>IFERROR(VLOOKUP(ROWS($N$2:N6932),$D$2:$E$1996,2,0),"")</f>
        <v/>
      </c>
    </row>
    <row r="6933" spans="2:14">
      <c r="B6933" s="32">
        <f>IF(ISNUMBER(SEARCH('Φόρμα Εισαγωγής'!$B$2,C6933)),MAX($B$1:B6932)+1,0)</f>
        <v>0</v>
      </c>
      <c r="D6933" s="33">
        <f>IF(ISNUMBER(SEARCH('Φόρμα Εισαγωγής'!$C$2,E6933)),MAX($D$1:D6932)+1,0)</f>
        <v>0</v>
      </c>
      <c r="H6933" s="6">
        <f t="shared" si="335"/>
        <v>0</v>
      </c>
      <c r="I6933" s="6">
        <f t="shared" si="336"/>
        <v>0</v>
      </c>
      <c r="J6933" s="6">
        <f t="shared" si="337"/>
        <v>0</v>
      </c>
      <c r="L6933" s="4" t="str">
        <f>IFERROR(VLOOKUP(ROWS($L$2:L6933),$B$2:$C$1996,2,0),"")</f>
        <v/>
      </c>
      <c r="N6933" s="2" t="str">
        <f>IFERROR(VLOOKUP(ROWS($N$2:N6933),$D$2:$E$1996,2,0),"")</f>
        <v/>
      </c>
    </row>
    <row r="6934" spans="2:14">
      <c r="B6934" s="32">
        <f>IF(ISNUMBER(SEARCH('Φόρμα Εισαγωγής'!$B$2,C6934)),MAX($B$1:B6933)+1,0)</f>
        <v>0</v>
      </c>
      <c r="D6934" s="33">
        <f>IF(ISNUMBER(SEARCH('Φόρμα Εισαγωγής'!$C$2,E6934)),MAX($D$1:D6933)+1,0)</f>
        <v>0</v>
      </c>
      <c r="H6934" s="6">
        <f t="shared" si="335"/>
        <v>0</v>
      </c>
      <c r="I6934" s="6">
        <f t="shared" si="336"/>
        <v>0</v>
      </c>
      <c r="J6934" s="6">
        <f t="shared" si="337"/>
        <v>0</v>
      </c>
      <c r="L6934" s="4" t="str">
        <f>IFERROR(VLOOKUP(ROWS($L$2:L6934),$B$2:$C$1996,2,0),"")</f>
        <v/>
      </c>
      <c r="N6934" s="2" t="str">
        <f>IFERROR(VLOOKUP(ROWS($N$2:N6934),$D$2:$E$1996,2,0),"")</f>
        <v/>
      </c>
    </row>
    <row r="6935" spans="2:14">
      <c r="B6935" s="32">
        <f>IF(ISNUMBER(SEARCH('Φόρμα Εισαγωγής'!$B$2,C6935)),MAX($B$1:B6934)+1,0)</f>
        <v>0</v>
      </c>
      <c r="D6935" s="33">
        <f>IF(ISNUMBER(SEARCH('Φόρμα Εισαγωγής'!$C$2,E6935)),MAX($D$1:D6934)+1,0)</f>
        <v>0</v>
      </c>
      <c r="H6935" s="6">
        <f t="shared" si="335"/>
        <v>0</v>
      </c>
      <c r="I6935" s="6">
        <f t="shared" si="336"/>
        <v>0</v>
      </c>
      <c r="J6935" s="6">
        <f t="shared" si="337"/>
        <v>0</v>
      </c>
      <c r="L6935" s="4" t="str">
        <f>IFERROR(VLOOKUP(ROWS($L$2:L6935),$B$2:$C$1996,2,0),"")</f>
        <v/>
      </c>
      <c r="N6935" s="2" t="str">
        <f>IFERROR(VLOOKUP(ROWS($N$2:N6935),$D$2:$E$1996,2,0),"")</f>
        <v/>
      </c>
    </row>
    <row r="6936" spans="2:14">
      <c r="B6936" s="32">
        <f>IF(ISNUMBER(SEARCH('Φόρμα Εισαγωγής'!$B$2,C6936)),MAX($B$1:B6935)+1,0)</f>
        <v>0</v>
      </c>
      <c r="D6936" s="33">
        <f>IF(ISNUMBER(SEARCH('Φόρμα Εισαγωγής'!$C$2,E6936)),MAX($D$1:D6935)+1,0)</f>
        <v>0</v>
      </c>
      <c r="H6936" s="6">
        <f t="shared" si="335"/>
        <v>0</v>
      </c>
      <c r="I6936" s="6">
        <f t="shared" si="336"/>
        <v>0</v>
      </c>
      <c r="J6936" s="6">
        <f t="shared" si="337"/>
        <v>0</v>
      </c>
      <c r="L6936" s="4" t="str">
        <f>IFERROR(VLOOKUP(ROWS($L$2:L6936),$B$2:$C$1996,2,0),"")</f>
        <v/>
      </c>
      <c r="N6936" s="2" t="str">
        <f>IFERROR(VLOOKUP(ROWS($N$2:N6936),$D$2:$E$1996,2,0),"")</f>
        <v/>
      </c>
    </row>
    <row r="6937" spans="2:14">
      <c r="B6937" s="32">
        <f>IF(ISNUMBER(SEARCH('Φόρμα Εισαγωγής'!$B$2,C6937)),MAX($B$1:B6936)+1,0)</f>
        <v>0</v>
      </c>
      <c r="D6937" s="33">
        <f>IF(ISNUMBER(SEARCH('Φόρμα Εισαγωγής'!$C$2,E6937)),MAX($D$1:D6936)+1,0)</f>
        <v>0</v>
      </c>
      <c r="H6937" s="6">
        <f t="shared" si="335"/>
        <v>0</v>
      </c>
      <c r="I6937" s="6">
        <f t="shared" si="336"/>
        <v>0</v>
      </c>
      <c r="J6937" s="6">
        <f t="shared" si="337"/>
        <v>0</v>
      </c>
      <c r="L6937" s="4" t="str">
        <f>IFERROR(VLOOKUP(ROWS($L$2:L6937),$B$2:$C$1996,2,0),"")</f>
        <v/>
      </c>
      <c r="N6937" s="2" t="str">
        <f>IFERROR(VLOOKUP(ROWS($N$2:N6937),$D$2:$E$1996,2,0),"")</f>
        <v/>
      </c>
    </row>
    <row r="6938" spans="2:14">
      <c r="B6938" s="32">
        <f>IF(ISNUMBER(SEARCH('Φόρμα Εισαγωγής'!$B$2,C6938)),MAX($B$1:B6937)+1,0)</f>
        <v>0</v>
      </c>
      <c r="D6938" s="33">
        <f>IF(ISNUMBER(SEARCH('Φόρμα Εισαγωγής'!$C$2,E6938)),MAX($D$1:D6937)+1,0)</f>
        <v>0</v>
      </c>
      <c r="H6938" s="6">
        <f t="shared" si="335"/>
        <v>0</v>
      </c>
      <c r="I6938" s="6">
        <f t="shared" si="336"/>
        <v>0</v>
      </c>
      <c r="J6938" s="6">
        <f t="shared" si="337"/>
        <v>0</v>
      </c>
      <c r="L6938" s="4" t="str">
        <f>IFERROR(VLOOKUP(ROWS($L$2:L6938),$B$2:$C$1996,2,0),"")</f>
        <v/>
      </c>
      <c r="N6938" s="2" t="str">
        <f>IFERROR(VLOOKUP(ROWS($N$2:N6938),$D$2:$E$1996,2,0),"")</f>
        <v/>
      </c>
    </row>
    <row r="6939" spans="2:14">
      <c r="B6939" s="32">
        <f>IF(ISNUMBER(SEARCH('Φόρμα Εισαγωγής'!$B$2,C6939)),MAX($B$1:B6938)+1,0)</f>
        <v>0</v>
      </c>
      <c r="D6939" s="33">
        <f>IF(ISNUMBER(SEARCH('Φόρμα Εισαγωγής'!$C$2,E6939)),MAX($D$1:D6938)+1,0)</f>
        <v>0</v>
      </c>
      <c r="H6939" s="6">
        <f t="shared" si="335"/>
        <v>0</v>
      </c>
      <c r="I6939" s="6">
        <f t="shared" si="336"/>
        <v>0</v>
      </c>
      <c r="J6939" s="6">
        <f t="shared" si="337"/>
        <v>0</v>
      </c>
      <c r="L6939" s="4" t="str">
        <f>IFERROR(VLOOKUP(ROWS($L$2:L6939),$B$2:$C$1996,2,0),"")</f>
        <v/>
      </c>
      <c r="N6939" s="2" t="str">
        <f>IFERROR(VLOOKUP(ROWS($N$2:N6939),$D$2:$E$1996,2,0),"")</f>
        <v/>
      </c>
    </row>
    <row r="6940" spans="2:14">
      <c r="B6940" s="32">
        <f>IF(ISNUMBER(SEARCH('Φόρμα Εισαγωγής'!$B$2,C6940)),MAX($B$1:B6939)+1,0)</f>
        <v>0</v>
      </c>
      <c r="D6940" s="33">
        <f>IF(ISNUMBER(SEARCH('Φόρμα Εισαγωγής'!$C$2,E6940)),MAX($D$1:D6939)+1,0)</f>
        <v>0</v>
      </c>
      <c r="H6940" s="6">
        <f t="shared" si="335"/>
        <v>0</v>
      </c>
      <c r="I6940" s="6">
        <f t="shared" si="336"/>
        <v>0</v>
      </c>
      <c r="J6940" s="6">
        <f t="shared" si="337"/>
        <v>0</v>
      </c>
      <c r="L6940" s="4" t="str">
        <f>IFERROR(VLOOKUP(ROWS($L$2:L6940),$B$2:$C$1996,2,0),"")</f>
        <v/>
      </c>
      <c r="N6940" s="2" t="str">
        <f>IFERROR(VLOOKUP(ROWS($N$2:N6940),$D$2:$E$1996,2,0),"")</f>
        <v/>
      </c>
    </row>
    <row r="6941" spans="2:14">
      <c r="B6941" s="32">
        <f>IF(ISNUMBER(SEARCH('Φόρμα Εισαγωγής'!$B$2,C6941)),MAX($B$1:B6940)+1,0)</f>
        <v>0</v>
      </c>
      <c r="D6941" s="33">
        <f>IF(ISNUMBER(SEARCH('Φόρμα Εισαγωγής'!$C$2,E6941)),MAX($D$1:D6940)+1,0)</f>
        <v>0</v>
      </c>
      <c r="H6941" s="6">
        <f t="shared" si="335"/>
        <v>0</v>
      </c>
      <c r="I6941" s="6">
        <f t="shared" si="336"/>
        <v>0</v>
      </c>
      <c r="J6941" s="6">
        <f t="shared" si="337"/>
        <v>0</v>
      </c>
      <c r="L6941" s="4" t="str">
        <f>IFERROR(VLOOKUP(ROWS($L$2:L6941),$B$2:$C$1996,2,0),"")</f>
        <v/>
      </c>
      <c r="N6941" s="2" t="str">
        <f>IFERROR(VLOOKUP(ROWS($N$2:N6941),$D$2:$E$1996,2,0),"")</f>
        <v/>
      </c>
    </row>
    <row r="6942" spans="2:14">
      <c r="B6942" s="32">
        <f>IF(ISNUMBER(SEARCH('Φόρμα Εισαγωγής'!$B$2,C6942)),MAX($B$1:B6941)+1,0)</f>
        <v>0</v>
      </c>
      <c r="D6942" s="33">
        <f>IF(ISNUMBER(SEARCH('Φόρμα Εισαγωγής'!$C$2,E6942)),MAX($D$1:D6941)+1,0)</f>
        <v>0</v>
      </c>
      <c r="H6942" s="6">
        <f t="shared" si="335"/>
        <v>0</v>
      </c>
      <c r="I6942" s="6">
        <f t="shared" si="336"/>
        <v>0</v>
      </c>
      <c r="J6942" s="6">
        <f t="shared" si="337"/>
        <v>0</v>
      </c>
      <c r="L6942" s="4" t="str">
        <f>IFERROR(VLOOKUP(ROWS($L$2:L6942),$B$2:$C$1996,2,0),"")</f>
        <v/>
      </c>
      <c r="N6942" s="2" t="str">
        <f>IFERROR(VLOOKUP(ROWS($N$2:N6942),$D$2:$E$1996,2,0),"")</f>
        <v/>
      </c>
    </row>
    <row r="6943" spans="2:14">
      <c r="B6943" s="32">
        <f>IF(ISNUMBER(SEARCH('Φόρμα Εισαγωγής'!$B$2,C6943)),MAX($B$1:B6942)+1,0)</f>
        <v>0</v>
      </c>
      <c r="D6943" s="33">
        <f>IF(ISNUMBER(SEARCH('Φόρμα Εισαγωγής'!$C$2,E6943)),MAX($D$1:D6942)+1,0)</f>
        <v>0</v>
      </c>
      <c r="H6943" s="6">
        <f t="shared" si="335"/>
        <v>0</v>
      </c>
      <c r="I6943" s="6">
        <f t="shared" si="336"/>
        <v>0</v>
      </c>
      <c r="J6943" s="6">
        <f t="shared" si="337"/>
        <v>0</v>
      </c>
      <c r="L6943" s="4" t="str">
        <f>IFERROR(VLOOKUP(ROWS($L$2:L6943),$B$2:$C$1996,2,0),"")</f>
        <v/>
      </c>
      <c r="N6943" s="2" t="str">
        <f>IFERROR(VLOOKUP(ROWS($N$2:N6943),$D$2:$E$1996,2,0),"")</f>
        <v/>
      </c>
    </row>
    <row r="6944" spans="2:14">
      <c r="B6944" s="32">
        <f>IF(ISNUMBER(SEARCH('Φόρμα Εισαγωγής'!$B$2,C6944)),MAX($B$1:B6943)+1,0)</f>
        <v>0</v>
      </c>
      <c r="D6944" s="33">
        <f>IF(ISNUMBER(SEARCH('Φόρμα Εισαγωγής'!$C$2,E6944)),MAX($D$1:D6943)+1,0)</f>
        <v>0</v>
      </c>
      <c r="H6944" s="6">
        <f t="shared" si="335"/>
        <v>0</v>
      </c>
      <c r="I6944" s="6">
        <f t="shared" si="336"/>
        <v>0</v>
      </c>
      <c r="J6944" s="6">
        <f t="shared" si="337"/>
        <v>0</v>
      </c>
      <c r="L6944" s="4" t="str">
        <f>IFERROR(VLOOKUP(ROWS($L$2:L6944),$B$2:$C$1996,2,0),"")</f>
        <v/>
      </c>
      <c r="N6944" s="2" t="str">
        <f>IFERROR(VLOOKUP(ROWS($N$2:N6944),$D$2:$E$1996,2,0),"")</f>
        <v/>
      </c>
    </row>
    <row r="6945" spans="2:14">
      <c r="B6945" s="32">
        <f>IF(ISNUMBER(SEARCH('Φόρμα Εισαγωγής'!$B$2,C6945)),MAX($B$1:B6944)+1,0)</f>
        <v>0</v>
      </c>
      <c r="D6945" s="33">
        <f>IF(ISNUMBER(SEARCH('Φόρμα Εισαγωγής'!$C$2,E6945)),MAX($D$1:D6944)+1,0)</f>
        <v>0</v>
      </c>
      <c r="H6945" s="6">
        <f t="shared" si="335"/>
        <v>0</v>
      </c>
      <c r="I6945" s="6">
        <f t="shared" si="336"/>
        <v>0</v>
      </c>
      <c r="J6945" s="6">
        <f t="shared" si="337"/>
        <v>0</v>
      </c>
      <c r="L6945" s="4" t="str">
        <f>IFERROR(VLOOKUP(ROWS($L$2:L6945),$B$2:$C$1996,2,0),"")</f>
        <v/>
      </c>
      <c r="N6945" s="2" t="str">
        <f>IFERROR(VLOOKUP(ROWS($N$2:N6945),$D$2:$E$1996,2,0),"")</f>
        <v/>
      </c>
    </row>
    <row r="6946" spans="2:14">
      <c r="B6946" s="32">
        <f>IF(ISNUMBER(SEARCH('Φόρμα Εισαγωγής'!$B$2,C6946)),MAX($B$1:B6945)+1,0)</f>
        <v>0</v>
      </c>
      <c r="D6946" s="33">
        <f>IF(ISNUMBER(SEARCH('Φόρμα Εισαγωγής'!$C$2,E6946)),MAX($D$1:D6945)+1,0)</f>
        <v>0</v>
      </c>
      <c r="H6946" s="6">
        <f t="shared" si="335"/>
        <v>0</v>
      </c>
      <c r="I6946" s="6">
        <f t="shared" si="336"/>
        <v>0</v>
      </c>
      <c r="J6946" s="6">
        <f t="shared" si="337"/>
        <v>0</v>
      </c>
      <c r="L6946" s="4" t="str">
        <f>IFERROR(VLOOKUP(ROWS($L$2:L6946),$B$2:$C$1996,2,0),"")</f>
        <v/>
      </c>
      <c r="N6946" s="2" t="str">
        <f>IFERROR(VLOOKUP(ROWS($N$2:N6946),$D$2:$E$1996,2,0),"")</f>
        <v/>
      </c>
    </row>
    <row r="6947" spans="2:14">
      <c r="B6947" s="32">
        <f>IF(ISNUMBER(SEARCH('Φόρμα Εισαγωγής'!$B$2,C6947)),MAX($B$1:B6946)+1,0)</f>
        <v>0</v>
      </c>
      <c r="D6947" s="33">
        <f>IF(ISNUMBER(SEARCH('Φόρμα Εισαγωγής'!$C$2,E6947)),MAX($D$1:D6946)+1,0)</f>
        <v>0</v>
      </c>
      <c r="H6947" s="6">
        <f t="shared" si="335"/>
        <v>0</v>
      </c>
      <c r="I6947" s="6">
        <f t="shared" si="336"/>
        <v>0</v>
      </c>
      <c r="J6947" s="6">
        <f t="shared" si="337"/>
        <v>0</v>
      </c>
      <c r="L6947" s="4" t="str">
        <f>IFERROR(VLOOKUP(ROWS($L$2:L6947),$B$2:$C$1996,2,0),"")</f>
        <v/>
      </c>
      <c r="N6947" s="2" t="str">
        <f>IFERROR(VLOOKUP(ROWS($N$2:N6947),$D$2:$E$1996,2,0),"")</f>
        <v/>
      </c>
    </row>
    <row r="6948" spans="2:14">
      <c r="B6948" s="32">
        <f>IF(ISNUMBER(SEARCH('Φόρμα Εισαγωγής'!$B$2,C6948)),MAX($B$1:B6947)+1,0)</f>
        <v>0</v>
      </c>
      <c r="D6948" s="33">
        <f>IF(ISNUMBER(SEARCH('Φόρμα Εισαγωγής'!$C$2,E6948)),MAX($D$1:D6947)+1,0)</f>
        <v>0</v>
      </c>
      <c r="H6948" s="6">
        <f t="shared" si="335"/>
        <v>0</v>
      </c>
      <c r="I6948" s="6">
        <f t="shared" si="336"/>
        <v>0</v>
      </c>
      <c r="J6948" s="6">
        <f t="shared" si="337"/>
        <v>0</v>
      </c>
      <c r="L6948" s="4" t="str">
        <f>IFERROR(VLOOKUP(ROWS($L$2:L6948),$B$2:$C$1996,2,0),"")</f>
        <v/>
      </c>
      <c r="N6948" s="2" t="str">
        <f>IFERROR(VLOOKUP(ROWS($N$2:N6948),$D$2:$E$1996,2,0),"")</f>
        <v/>
      </c>
    </row>
    <row r="6949" spans="2:14">
      <c r="B6949" s="32">
        <f>IF(ISNUMBER(SEARCH('Φόρμα Εισαγωγής'!$B$2,C6949)),MAX($B$1:B6948)+1,0)</f>
        <v>0</v>
      </c>
      <c r="D6949" s="33">
        <f>IF(ISNUMBER(SEARCH('Φόρμα Εισαγωγής'!$C$2,E6949)),MAX($D$1:D6948)+1,0)</f>
        <v>0</v>
      </c>
      <c r="H6949" s="6">
        <f t="shared" si="335"/>
        <v>0</v>
      </c>
      <c r="I6949" s="6">
        <f t="shared" si="336"/>
        <v>0</v>
      </c>
      <c r="J6949" s="6">
        <f t="shared" si="337"/>
        <v>0</v>
      </c>
      <c r="L6949" s="4" t="str">
        <f>IFERROR(VLOOKUP(ROWS($L$2:L6949),$B$2:$C$1996,2,0),"")</f>
        <v/>
      </c>
      <c r="N6949" s="2" t="str">
        <f>IFERROR(VLOOKUP(ROWS($N$2:N6949),$D$2:$E$1996,2,0),"")</f>
        <v/>
      </c>
    </row>
    <row r="6950" spans="2:14">
      <c r="B6950" s="32">
        <f>IF(ISNUMBER(SEARCH('Φόρμα Εισαγωγής'!$B$2,C6950)),MAX($B$1:B6949)+1,0)</f>
        <v>0</v>
      </c>
      <c r="D6950" s="33">
        <f>IF(ISNUMBER(SEARCH('Φόρμα Εισαγωγής'!$C$2,E6950)),MAX($D$1:D6949)+1,0)</f>
        <v>0</v>
      </c>
      <c r="H6950" s="6">
        <f t="shared" si="335"/>
        <v>0</v>
      </c>
      <c r="I6950" s="6">
        <f t="shared" si="336"/>
        <v>0</v>
      </c>
      <c r="J6950" s="6">
        <f t="shared" si="337"/>
        <v>0</v>
      </c>
      <c r="L6950" s="4" t="str">
        <f>IFERROR(VLOOKUP(ROWS($L$2:L6950),$B$2:$C$1996,2,0),"")</f>
        <v/>
      </c>
      <c r="N6950" s="2" t="str">
        <f>IFERROR(VLOOKUP(ROWS($N$2:N6950),$D$2:$E$1996,2,0),"")</f>
        <v/>
      </c>
    </row>
    <row r="6951" spans="2:14">
      <c r="B6951" s="32">
        <f>IF(ISNUMBER(SEARCH('Φόρμα Εισαγωγής'!$B$2,C6951)),MAX($B$1:B6950)+1,0)</f>
        <v>0</v>
      </c>
      <c r="D6951" s="33">
        <f>IF(ISNUMBER(SEARCH('Φόρμα Εισαγωγής'!$C$2,E6951)),MAX($D$1:D6950)+1,0)</f>
        <v>0</v>
      </c>
      <c r="H6951" s="6">
        <f t="shared" si="335"/>
        <v>0</v>
      </c>
      <c r="I6951" s="6">
        <f t="shared" si="336"/>
        <v>0</v>
      </c>
      <c r="J6951" s="6">
        <f t="shared" si="337"/>
        <v>0</v>
      </c>
      <c r="L6951" s="4" t="str">
        <f>IFERROR(VLOOKUP(ROWS($L$2:L6951),$B$2:$C$1996,2,0),"")</f>
        <v/>
      </c>
      <c r="N6951" s="2" t="str">
        <f>IFERROR(VLOOKUP(ROWS($N$2:N6951),$D$2:$E$1996,2,0),"")</f>
        <v/>
      </c>
    </row>
    <row r="6952" spans="2:14">
      <c r="B6952" s="32">
        <f>IF(ISNUMBER(SEARCH('Φόρμα Εισαγωγής'!$B$2,C6952)),MAX($B$1:B6951)+1,0)</f>
        <v>0</v>
      </c>
      <c r="D6952" s="33">
        <f>IF(ISNUMBER(SEARCH('Φόρμα Εισαγωγής'!$C$2,E6952)),MAX($D$1:D6951)+1,0)</f>
        <v>0</v>
      </c>
      <c r="H6952" s="6">
        <f t="shared" si="335"/>
        <v>0</v>
      </c>
      <c r="I6952" s="6">
        <f t="shared" si="336"/>
        <v>0</v>
      </c>
      <c r="J6952" s="6">
        <f t="shared" si="337"/>
        <v>0</v>
      </c>
      <c r="L6952" s="4" t="str">
        <f>IFERROR(VLOOKUP(ROWS($L$2:L6952),$B$2:$C$1996,2,0),"")</f>
        <v/>
      </c>
      <c r="N6952" s="2" t="str">
        <f>IFERROR(VLOOKUP(ROWS($N$2:N6952),$D$2:$E$1996,2,0),"")</f>
        <v/>
      </c>
    </row>
    <row r="6953" spans="2:14">
      <c r="B6953" s="32">
        <f>IF(ISNUMBER(SEARCH('Φόρμα Εισαγωγής'!$B$2,C6953)),MAX($B$1:B6952)+1,0)</f>
        <v>0</v>
      </c>
      <c r="D6953" s="33">
        <f>IF(ISNUMBER(SEARCH('Φόρμα Εισαγωγής'!$C$2,E6953)),MAX($D$1:D6952)+1,0)</f>
        <v>0</v>
      </c>
      <c r="H6953" s="6">
        <f t="shared" si="335"/>
        <v>0</v>
      </c>
      <c r="I6953" s="6">
        <f t="shared" si="336"/>
        <v>0</v>
      </c>
      <c r="J6953" s="6">
        <f t="shared" si="337"/>
        <v>0</v>
      </c>
      <c r="L6953" s="4" t="str">
        <f>IFERROR(VLOOKUP(ROWS($L$2:L6953),$B$2:$C$1996,2,0),"")</f>
        <v/>
      </c>
      <c r="N6953" s="2" t="str">
        <f>IFERROR(VLOOKUP(ROWS($N$2:N6953),$D$2:$E$1996,2,0),"")</f>
        <v/>
      </c>
    </row>
    <row r="6954" spans="2:14">
      <c r="B6954" s="32">
        <f>IF(ISNUMBER(SEARCH('Φόρμα Εισαγωγής'!$B$2,C6954)),MAX($B$1:B6953)+1,0)</f>
        <v>0</v>
      </c>
      <c r="D6954" s="33">
        <f>IF(ISNUMBER(SEARCH('Φόρμα Εισαγωγής'!$C$2,E6954)),MAX($D$1:D6953)+1,0)</f>
        <v>0</v>
      </c>
      <c r="H6954" s="6">
        <f t="shared" si="335"/>
        <v>0</v>
      </c>
      <c r="I6954" s="6">
        <f t="shared" si="336"/>
        <v>0</v>
      </c>
      <c r="J6954" s="6">
        <f t="shared" si="337"/>
        <v>0</v>
      </c>
      <c r="L6954" s="4" t="str">
        <f>IFERROR(VLOOKUP(ROWS($L$2:L6954),$B$2:$C$1996,2,0),"")</f>
        <v/>
      </c>
      <c r="N6954" s="2" t="str">
        <f>IFERROR(VLOOKUP(ROWS($N$2:N6954),$D$2:$E$1996,2,0),"")</f>
        <v/>
      </c>
    </row>
    <row r="6955" spans="2:14">
      <c r="B6955" s="32">
        <f>IF(ISNUMBER(SEARCH('Φόρμα Εισαγωγής'!$B$2,C6955)),MAX($B$1:B6954)+1,0)</f>
        <v>0</v>
      </c>
      <c r="D6955" s="33">
        <f>IF(ISNUMBER(SEARCH('Φόρμα Εισαγωγής'!$C$2,E6955)),MAX($D$1:D6954)+1,0)</f>
        <v>0</v>
      </c>
      <c r="H6955" s="6">
        <f t="shared" si="335"/>
        <v>0</v>
      </c>
      <c r="I6955" s="6">
        <f t="shared" si="336"/>
        <v>0</v>
      </c>
      <c r="J6955" s="6">
        <f t="shared" si="337"/>
        <v>0</v>
      </c>
      <c r="L6955" s="4" t="str">
        <f>IFERROR(VLOOKUP(ROWS($L$2:L6955),$B$2:$C$1996,2,0),"")</f>
        <v/>
      </c>
      <c r="N6955" s="2" t="str">
        <f>IFERROR(VLOOKUP(ROWS($N$2:N6955),$D$2:$E$1996,2,0),"")</f>
        <v/>
      </c>
    </row>
    <row r="6956" spans="2:14">
      <c r="B6956" s="32">
        <f>IF(ISNUMBER(SEARCH('Φόρμα Εισαγωγής'!$B$2,C6956)),MAX($B$1:B6955)+1,0)</f>
        <v>0</v>
      </c>
      <c r="D6956" s="33">
        <f>IF(ISNUMBER(SEARCH('Φόρμα Εισαγωγής'!$C$2,E6956)),MAX($D$1:D6955)+1,0)</f>
        <v>0</v>
      </c>
      <c r="H6956" s="6">
        <f t="shared" si="335"/>
        <v>0</v>
      </c>
      <c r="I6956" s="6">
        <f t="shared" si="336"/>
        <v>0</v>
      </c>
      <c r="J6956" s="6">
        <f t="shared" si="337"/>
        <v>0</v>
      </c>
      <c r="L6956" s="4" t="str">
        <f>IFERROR(VLOOKUP(ROWS($L$2:L6956),$B$2:$C$1996,2,0),"")</f>
        <v/>
      </c>
      <c r="N6956" s="2" t="str">
        <f>IFERROR(VLOOKUP(ROWS($N$2:N6956),$D$2:$E$1996,2,0),"")</f>
        <v/>
      </c>
    </row>
    <row r="6957" spans="2:14">
      <c r="B6957" s="32">
        <f>IF(ISNUMBER(SEARCH('Φόρμα Εισαγωγής'!$B$2,C6957)),MAX($B$1:B6956)+1,0)</f>
        <v>0</v>
      </c>
      <c r="D6957" s="33">
        <f>IF(ISNUMBER(SEARCH('Φόρμα Εισαγωγής'!$C$2,E6957)),MAX($D$1:D6956)+1,0)</f>
        <v>0</v>
      </c>
      <c r="H6957" s="6">
        <f t="shared" si="335"/>
        <v>0</v>
      </c>
      <c r="I6957" s="6">
        <f t="shared" si="336"/>
        <v>0</v>
      </c>
      <c r="J6957" s="6">
        <f t="shared" si="337"/>
        <v>0</v>
      </c>
      <c r="L6957" s="4" t="str">
        <f>IFERROR(VLOOKUP(ROWS($L$2:L6957),$B$2:$C$1996,2,0),"")</f>
        <v/>
      </c>
      <c r="N6957" s="2" t="str">
        <f>IFERROR(VLOOKUP(ROWS($N$2:N6957),$D$2:$E$1996,2,0),"")</f>
        <v/>
      </c>
    </row>
    <row r="6958" spans="2:14">
      <c r="B6958" s="32">
        <f>IF(ISNUMBER(SEARCH('Φόρμα Εισαγωγής'!$B$2,C6958)),MAX($B$1:B6957)+1,0)</f>
        <v>0</v>
      </c>
      <c r="D6958" s="33">
        <f>IF(ISNUMBER(SEARCH('Φόρμα Εισαγωγής'!$C$2,E6958)),MAX($D$1:D6957)+1,0)</f>
        <v>0</v>
      </c>
      <c r="H6958" s="6">
        <f t="shared" si="335"/>
        <v>0</v>
      </c>
      <c r="I6958" s="6">
        <f t="shared" si="336"/>
        <v>0</v>
      </c>
      <c r="J6958" s="6">
        <f t="shared" si="337"/>
        <v>0</v>
      </c>
      <c r="L6958" s="4" t="str">
        <f>IFERROR(VLOOKUP(ROWS($L$2:L6958),$B$2:$C$1996,2,0),"")</f>
        <v/>
      </c>
      <c r="N6958" s="2" t="str">
        <f>IFERROR(VLOOKUP(ROWS($N$2:N6958),$D$2:$E$1996,2,0),"")</f>
        <v/>
      </c>
    </row>
    <row r="6959" spans="2:14">
      <c r="B6959" s="32">
        <f>IF(ISNUMBER(SEARCH('Φόρμα Εισαγωγής'!$B$2,C6959)),MAX($B$1:B6958)+1,0)</f>
        <v>0</v>
      </c>
      <c r="D6959" s="33">
        <f>IF(ISNUMBER(SEARCH('Φόρμα Εισαγωγής'!$C$2,E6959)),MAX($D$1:D6958)+1,0)</f>
        <v>0</v>
      </c>
      <c r="H6959" s="6">
        <f t="shared" si="335"/>
        <v>0</v>
      </c>
      <c r="I6959" s="6">
        <f t="shared" si="336"/>
        <v>0</v>
      </c>
      <c r="J6959" s="6">
        <f t="shared" si="337"/>
        <v>0</v>
      </c>
      <c r="L6959" s="4" t="str">
        <f>IFERROR(VLOOKUP(ROWS($L$2:L6959),$B$2:$C$1996,2,0),"")</f>
        <v/>
      </c>
      <c r="N6959" s="2" t="str">
        <f>IFERROR(VLOOKUP(ROWS($N$2:N6959),$D$2:$E$1996,2,0),"")</f>
        <v/>
      </c>
    </row>
    <row r="6960" spans="2:14">
      <c r="B6960" s="32">
        <f>IF(ISNUMBER(SEARCH('Φόρμα Εισαγωγής'!$B$2,C6960)),MAX($B$1:B6959)+1,0)</f>
        <v>0</v>
      </c>
      <c r="D6960" s="33">
        <f>IF(ISNUMBER(SEARCH('Φόρμα Εισαγωγής'!$C$2,E6960)),MAX($D$1:D6959)+1,0)</f>
        <v>0</v>
      </c>
      <c r="H6960" s="6">
        <f t="shared" si="335"/>
        <v>0</v>
      </c>
      <c r="I6960" s="6">
        <f t="shared" si="336"/>
        <v>0</v>
      </c>
      <c r="J6960" s="6">
        <f t="shared" si="337"/>
        <v>0</v>
      </c>
      <c r="L6960" s="4" t="str">
        <f>IFERROR(VLOOKUP(ROWS($L$2:L6960),$B$2:$C$1996,2,0),"")</f>
        <v/>
      </c>
      <c r="N6960" s="2" t="str">
        <f>IFERROR(VLOOKUP(ROWS($N$2:N6960),$D$2:$E$1996,2,0),"")</f>
        <v/>
      </c>
    </row>
    <row r="6961" spans="2:14">
      <c r="B6961" s="32">
        <f>IF(ISNUMBER(SEARCH('Φόρμα Εισαγωγής'!$B$2,C6961)),MAX($B$1:B6960)+1,0)</f>
        <v>0</v>
      </c>
      <c r="D6961" s="33">
        <f>IF(ISNUMBER(SEARCH('Φόρμα Εισαγωγής'!$C$2,E6961)),MAX($D$1:D6960)+1,0)</f>
        <v>0</v>
      </c>
      <c r="H6961" s="6">
        <f t="shared" si="335"/>
        <v>0</v>
      </c>
      <c r="I6961" s="6">
        <f t="shared" si="336"/>
        <v>0</v>
      </c>
      <c r="J6961" s="6">
        <f t="shared" si="337"/>
        <v>0</v>
      </c>
      <c r="L6961" s="4" t="str">
        <f>IFERROR(VLOOKUP(ROWS($L$2:L6961),$B$2:$C$1996,2,0),"")</f>
        <v/>
      </c>
      <c r="N6961" s="2" t="str">
        <f>IFERROR(VLOOKUP(ROWS($N$2:N6961),$D$2:$E$1996,2,0),"")</f>
        <v/>
      </c>
    </row>
    <row r="6962" spans="2:14">
      <c r="B6962" s="32">
        <f>IF(ISNUMBER(SEARCH('Φόρμα Εισαγωγής'!$B$2,C6962)),MAX($B$1:B6961)+1,0)</f>
        <v>0</v>
      </c>
      <c r="D6962" s="33">
        <f>IF(ISNUMBER(SEARCH('Φόρμα Εισαγωγής'!$C$2,E6962)),MAX($D$1:D6961)+1,0)</f>
        <v>0</v>
      </c>
      <c r="H6962" s="6">
        <f t="shared" si="335"/>
        <v>0</v>
      </c>
      <c r="I6962" s="6">
        <f t="shared" si="336"/>
        <v>0</v>
      </c>
      <c r="J6962" s="6">
        <f t="shared" si="337"/>
        <v>0</v>
      </c>
      <c r="L6962" s="4" t="str">
        <f>IFERROR(VLOOKUP(ROWS($L$2:L6962),$B$2:$C$1996,2,0),"")</f>
        <v/>
      </c>
      <c r="N6962" s="2" t="str">
        <f>IFERROR(VLOOKUP(ROWS($N$2:N6962),$D$2:$E$1996,2,0),"")</f>
        <v/>
      </c>
    </row>
    <row r="6963" spans="2:14">
      <c r="B6963" s="32">
        <f>IF(ISNUMBER(SEARCH('Φόρμα Εισαγωγής'!$B$2,C6963)),MAX($B$1:B6962)+1,0)</f>
        <v>0</v>
      </c>
      <c r="D6963" s="33">
        <f>IF(ISNUMBER(SEARCH('Φόρμα Εισαγωγής'!$C$2,E6963)),MAX($D$1:D6962)+1,0)</f>
        <v>0</v>
      </c>
      <c r="H6963" s="6">
        <f t="shared" si="335"/>
        <v>0</v>
      </c>
      <c r="I6963" s="6">
        <f t="shared" si="336"/>
        <v>0</v>
      </c>
      <c r="J6963" s="6">
        <f t="shared" si="337"/>
        <v>0</v>
      </c>
      <c r="L6963" s="4" t="str">
        <f>IFERROR(VLOOKUP(ROWS($L$2:L6963),$B$2:$C$1996,2,0),"")</f>
        <v/>
      </c>
      <c r="N6963" s="2" t="str">
        <f>IFERROR(VLOOKUP(ROWS($N$2:N6963),$D$2:$E$1996,2,0),"")</f>
        <v/>
      </c>
    </row>
    <row r="6964" spans="2:14">
      <c r="B6964" s="32">
        <f>IF(ISNUMBER(SEARCH('Φόρμα Εισαγωγής'!$B$2,C6964)),MAX($B$1:B6963)+1,0)</f>
        <v>0</v>
      </c>
      <c r="D6964" s="33">
        <f>IF(ISNUMBER(SEARCH('Φόρμα Εισαγωγής'!$C$2,E6964)),MAX($D$1:D6963)+1,0)</f>
        <v>0</v>
      </c>
      <c r="H6964" s="6">
        <f t="shared" si="335"/>
        <v>0</v>
      </c>
      <c r="I6964" s="6">
        <f t="shared" si="336"/>
        <v>0</v>
      </c>
      <c r="J6964" s="6">
        <f t="shared" si="337"/>
        <v>0</v>
      </c>
      <c r="L6964" s="4" t="str">
        <f>IFERROR(VLOOKUP(ROWS($L$2:L6964),$B$2:$C$1996,2,0),"")</f>
        <v/>
      </c>
      <c r="N6964" s="2" t="str">
        <f>IFERROR(VLOOKUP(ROWS($N$2:N6964),$D$2:$E$1996,2,0),"")</f>
        <v/>
      </c>
    </row>
    <row r="6965" spans="2:14">
      <c r="B6965" s="32">
        <f>IF(ISNUMBER(SEARCH('Φόρμα Εισαγωγής'!$B$2,C6965)),MAX($B$1:B6964)+1,0)</f>
        <v>0</v>
      </c>
      <c r="D6965" s="33">
        <f>IF(ISNUMBER(SEARCH('Φόρμα Εισαγωγής'!$C$2,E6965)),MAX($D$1:D6964)+1,0)</f>
        <v>0</v>
      </c>
      <c r="H6965" s="6">
        <f t="shared" si="335"/>
        <v>0</v>
      </c>
      <c r="I6965" s="6">
        <f t="shared" si="336"/>
        <v>0</v>
      </c>
      <c r="J6965" s="6">
        <f t="shared" si="337"/>
        <v>0</v>
      </c>
      <c r="L6965" s="4" t="str">
        <f>IFERROR(VLOOKUP(ROWS($L$2:L6965),$B$2:$C$1996,2,0),"")</f>
        <v/>
      </c>
      <c r="N6965" s="2" t="str">
        <f>IFERROR(VLOOKUP(ROWS($N$2:N6965),$D$2:$E$1996,2,0),"")</f>
        <v/>
      </c>
    </row>
    <row r="6966" spans="2:14">
      <c r="B6966" s="32">
        <f>IF(ISNUMBER(SEARCH('Φόρμα Εισαγωγής'!$B$2,C6966)),MAX($B$1:B6965)+1,0)</f>
        <v>0</v>
      </c>
      <c r="D6966" s="33">
        <f>IF(ISNUMBER(SEARCH('Φόρμα Εισαγωγής'!$C$2,E6966)),MAX($D$1:D6965)+1,0)</f>
        <v>0</v>
      </c>
      <c r="H6966" s="6">
        <f t="shared" si="335"/>
        <v>0</v>
      </c>
      <c r="I6966" s="6">
        <f t="shared" si="336"/>
        <v>0</v>
      </c>
      <c r="J6966" s="6">
        <f t="shared" si="337"/>
        <v>0</v>
      </c>
      <c r="L6966" s="4" t="str">
        <f>IFERROR(VLOOKUP(ROWS($L$2:L6966),$B$2:$C$1996,2,0),"")</f>
        <v/>
      </c>
      <c r="N6966" s="2" t="str">
        <f>IFERROR(VLOOKUP(ROWS($N$2:N6966),$D$2:$E$1996,2,0),"")</f>
        <v/>
      </c>
    </row>
    <row r="6967" spans="2:14">
      <c r="B6967" s="32">
        <f>IF(ISNUMBER(SEARCH('Φόρμα Εισαγωγής'!$B$2,C6967)),MAX($B$1:B6966)+1,0)</f>
        <v>0</v>
      </c>
      <c r="D6967" s="33">
        <f>IF(ISNUMBER(SEARCH('Φόρμα Εισαγωγής'!$C$2,E6967)),MAX($D$1:D6966)+1,0)</f>
        <v>0</v>
      </c>
      <c r="H6967" s="6">
        <f t="shared" si="335"/>
        <v>0</v>
      </c>
      <c r="I6967" s="6">
        <f t="shared" si="336"/>
        <v>0</v>
      </c>
      <c r="J6967" s="6">
        <f t="shared" si="337"/>
        <v>0</v>
      </c>
      <c r="L6967" s="4" t="str">
        <f>IFERROR(VLOOKUP(ROWS($L$2:L6967),$B$2:$C$1996,2,0),"")</f>
        <v/>
      </c>
      <c r="N6967" s="2" t="str">
        <f>IFERROR(VLOOKUP(ROWS($N$2:N6967),$D$2:$E$1996,2,0),"")</f>
        <v/>
      </c>
    </row>
    <row r="6968" spans="2:14">
      <c r="B6968" s="32">
        <f>IF(ISNUMBER(SEARCH('Φόρμα Εισαγωγής'!$B$2,C6968)),MAX($B$1:B6967)+1,0)</f>
        <v>0</v>
      </c>
      <c r="D6968" s="33">
        <f>IF(ISNUMBER(SEARCH('Φόρμα Εισαγωγής'!$C$2,E6968)),MAX($D$1:D6967)+1,0)</f>
        <v>0</v>
      </c>
      <c r="H6968" s="6">
        <f t="shared" si="335"/>
        <v>0</v>
      </c>
      <c r="I6968" s="6">
        <f t="shared" si="336"/>
        <v>0</v>
      </c>
      <c r="J6968" s="6">
        <f t="shared" si="337"/>
        <v>0</v>
      </c>
      <c r="L6968" s="4" t="str">
        <f>IFERROR(VLOOKUP(ROWS($L$2:L6968),$B$2:$C$1996,2,0),"")</f>
        <v/>
      </c>
      <c r="N6968" s="2" t="str">
        <f>IFERROR(VLOOKUP(ROWS($N$2:N6968),$D$2:$E$1996,2,0),"")</f>
        <v/>
      </c>
    </row>
    <row r="6969" spans="2:14">
      <c r="B6969" s="32">
        <f>IF(ISNUMBER(SEARCH('Φόρμα Εισαγωγής'!$B$2,C6969)),MAX($B$1:B6968)+1,0)</f>
        <v>0</v>
      </c>
      <c r="D6969" s="33">
        <f>IF(ISNUMBER(SEARCH('Φόρμα Εισαγωγής'!$C$2,E6969)),MAX($D$1:D6968)+1,0)</f>
        <v>0</v>
      </c>
      <c r="H6969" s="6">
        <f t="shared" si="335"/>
        <v>0</v>
      </c>
      <c r="I6969" s="6">
        <f t="shared" si="336"/>
        <v>0</v>
      </c>
      <c r="J6969" s="6">
        <f t="shared" si="337"/>
        <v>0</v>
      </c>
      <c r="L6969" s="4" t="str">
        <f>IFERROR(VLOOKUP(ROWS($L$2:L6969),$B$2:$C$1996,2,0),"")</f>
        <v/>
      </c>
      <c r="N6969" s="2" t="str">
        <f>IFERROR(VLOOKUP(ROWS($N$2:N6969),$D$2:$E$1996,2,0),"")</f>
        <v/>
      </c>
    </row>
    <row r="6970" spans="2:14">
      <c r="B6970" s="32">
        <f>IF(ISNUMBER(SEARCH('Φόρμα Εισαγωγής'!$B$2,C6970)),MAX($B$1:B6969)+1,0)</f>
        <v>0</v>
      </c>
      <c r="D6970" s="33">
        <f>IF(ISNUMBER(SEARCH('Φόρμα Εισαγωγής'!$C$2,E6970)),MAX($D$1:D6969)+1,0)</f>
        <v>0</v>
      </c>
      <c r="H6970" s="6">
        <f t="shared" si="335"/>
        <v>0</v>
      </c>
      <c r="I6970" s="6">
        <f t="shared" si="336"/>
        <v>0</v>
      </c>
      <c r="J6970" s="6">
        <f t="shared" si="337"/>
        <v>0</v>
      </c>
      <c r="L6970" s="4" t="str">
        <f>IFERROR(VLOOKUP(ROWS($L$2:L6970),$B$2:$C$1996,2,0),"")</f>
        <v/>
      </c>
      <c r="N6970" s="2" t="str">
        <f>IFERROR(VLOOKUP(ROWS($N$2:N6970),$D$2:$E$1996,2,0),"")</f>
        <v/>
      </c>
    </row>
    <row r="6971" spans="2:14">
      <c r="B6971" s="32">
        <f>IF(ISNUMBER(SEARCH('Φόρμα Εισαγωγής'!$B$2,C6971)),MAX($B$1:B6970)+1,0)</f>
        <v>0</v>
      </c>
      <c r="D6971" s="33">
        <f>IF(ISNUMBER(SEARCH('Φόρμα Εισαγωγής'!$C$2,E6971)),MAX($D$1:D6970)+1,0)</f>
        <v>0</v>
      </c>
      <c r="H6971" s="6">
        <f t="shared" si="335"/>
        <v>0</v>
      </c>
      <c r="I6971" s="6">
        <f t="shared" si="336"/>
        <v>0</v>
      </c>
      <c r="J6971" s="6">
        <f t="shared" si="337"/>
        <v>0</v>
      </c>
      <c r="L6971" s="4" t="str">
        <f>IFERROR(VLOOKUP(ROWS($L$2:L6971),$B$2:$C$1996,2,0),"")</f>
        <v/>
      </c>
      <c r="N6971" s="2" t="str">
        <f>IFERROR(VLOOKUP(ROWS($N$2:N6971),$D$2:$E$1996,2,0),"")</f>
        <v/>
      </c>
    </row>
    <row r="6972" spans="2:14">
      <c r="B6972" s="32">
        <f>IF(ISNUMBER(SEARCH('Φόρμα Εισαγωγής'!$B$2,C6972)),MAX($B$1:B6971)+1,0)</f>
        <v>0</v>
      </c>
      <c r="D6972" s="33">
        <f>IF(ISNUMBER(SEARCH('Φόρμα Εισαγωγής'!$C$2,E6972)),MAX($D$1:D6971)+1,0)</f>
        <v>0</v>
      </c>
      <c r="H6972" s="6">
        <f t="shared" si="335"/>
        <v>0</v>
      </c>
      <c r="I6972" s="6">
        <f t="shared" si="336"/>
        <v>0</v>
      </c>
      <c r="J6972" s="6">
        <f t="shared" si="337"/>
        <v>0</v>
      </c>
      <c r="L6972" s="4" t="str">
        <f>IFERROR(VLOOKUP(ROWS($L$2:L6972),$B$2:$C$1996,2,0),"")</f>
        <v/>
      </c>
      <c r="N6972" s="2" t="str">
        <f>IFERROR(VLOOKUP(ROWS($N$2:N6972),$D$2:$E$1996,2,0),"")</f>
        <v/>
      </c>
    </row>
    <row r="6973" spans="2:14">
      <c r="B6973" s="32">
        <f>IF(ISNUMBER(SEARCH('Φόρμα Εισαγωγής'!$B$2,C6973)),MAX($B$1:B6972)+1,0)</f>
        <v>0</v>
      </c>
      <c r="D6973" s="33">
        <f>IF(ISNUMBER(SEARCH('Φόρμα Εισαγωγής'!$C$2,E6973)),MAX($D$1:D6972)+1,0)</f>
        <v>0</v>
      </c>
      <c r="H6973" s="6">
        <f t="shared" si="335"/>
        <v>0</v>
      </c>
      <c r="I6973" s="6">
        <f t="shared" si="336"/>
        <v>0</v>
      </c>
      <c r="J6973" s="6">
        <f t="shared" si="337"/>
        <v>0</v>
      </c>
      <c r="L6973" s="4" t="str">
        <f>IFERROR(VLOOKUP(ROWS($L$2:L6973),$B$2:$C$1996,2,0),"")</f>
        <v/>
      </c>
      <c r="N6973" s="2" t="str">
        <f>IFERROR(VLOOKUP(ROWS($N$2:N6973),$D$2:$E$1996,2,0),"")</f>
        <v/>
      </c>
    </row>
    <row r="6974" spans="2:14">
      <c r="B6974" s="32">
        <f>IF(ISNUMBER(SEARCH('Φόρμα Εισαγωγής'!$B$2,C6974)),MAX($B$1:B6973)+1,0)</f>
        <v>0</v>
      </c>
      <c r="D6974" s="33">
        <f>IF(ISNUMBER(SEARCH('Φόρμα Εισαγωγής'!$C$2,E6974)),MAX($D$1:D6973)+1,0)</f>
        <v>0</v>
      </c>
      <c r="H6974" s="6">
        <f t="shared" si="335"/>
        <v>0</v>
      </c>
      <c r="I6974" s="6">
        <f t="shared" si="336"/>
        <v>0</v>
      </c>
      <c r="J6974" s="6">
        <f t="shared" si="337"/>
        <v>0</v>
      </c>
      <c r="L6974" s="4" t="str">
        <f>IFERROR(VLOOKUP(ROWS($L$2:L6974),$B$2:$C$1996,2,0),"")</f>
        <v/>
      </c>
      <c r="N6974" s="2" t="str">
        <f>IFERROR(VLOOKUP(ROWS($N$2:N6974),$D$2:$E$1996,2,0),"")</f>
        <v/>
      </c>
    </row>
    <row r="6975" spans="2:14">
      <c r="B6975" s="32">
        <f>IF(ISNUMBER(SEARCH('Φόρμα Εισαγωγής'!$B$2,C6975)),MAX($B$1:B6974)+1,0)</f>
        <v>0</v>
      </c>
      <c r="D6975" s="33">
        <f>IF(ISNUMBER(SEARCH('Φόρμα Εισαγωγής'!$C$2,E6975)),MAX($D$1:D6974)+1,0)</f>
        <v>0</v>
      </c>
      <c r="H6975" s="6">
        <f t="shared" si="335"/>
        <v>0</v>
      </c>
      <c r="I6975" s="6">
        <f t="shared" si="336"/>
        <v>0</v>
      </c>
      <c r="J6975" s="6">
        <f t="shared" si="337"/>
        <v>0</v>
      </c>
      <c r="L6975" s="4" t="str">
        <f>IFERROR(VLOOKUP(ROWS($L$2:L6975),$B$2:$C$1996,2,0),"")</f>
        <v/>
      </c>
      <c r="N6975" s="2" t="str">
        <f>IFERROR(VLOOKUP(ROWS($N$2:N6975),$D$2:$E$1996,2,0),"")</f>
        <v/>
      </c>
    </row>
    <row r="6976" spans="2:14">
      <c r="B6976" s="32">
        <f>IF(ISNUMBER(SEARCH('Φόρμα Εισαγωγής'!$B$2,C6976)),MAX($B$1:B6975)+1,0)</f>
        <v>0</v>
      </c>
      <c r="D6976" s="33">
        <f>IF(ISNUMBER(SEARCH('Φόρμα Εισαγωγής'!$C$2,E6976)),MAX($D$1:D6975)+1,0)</f>
        <v>0</v>
      </c>
      <c r="H6976" s="6">
        <f t="shared" ref="H6976:H7039" si="338">G6976+(G6976*0.24)</f>
        <v>0</v>
      </c>
      <c r="I6976" s="6">
        <f t="shared" ref="I6976:I7039" si="339">F6976*A6976</f>
        <v>0</v>
      </c>
      <c r="J6976" s="6">
        <f t="shared" ref="J6976:J7039" si="340">H6976*A6976</f>
        <v>0</v>
      </c>
      <c r="L6976" s="4" t="str">
        <f>IFERROR(VLOOKUP(ROWS($L$2:L6976),$B$2:$C$1996,2,0),"")</f>
        <v/>
      </c>
      <c r="N6976" s="2" t="str">
        <f>IFERROR(VLOOKUP(ROWS($N$2:N6976),$D$2:$E$1996,2,0),"")</f>
        <v/>
      </c>
    </row>
    <row r="6977" spans="2:14">
      <c r="B6977" s="32">
        <f>IF(ISNUMBER(SEARCH('Φόρμα Εισαγωγής'!$B$2,C6977)),MAX($B$1:B6976)+1,0)</f>
        <v>0</v>
      </c>
      <c r="D6977" s="33">
        <f>IF(ISNUMBER(SEARCH('Φόρμα Εισαγωγής'!$C$2,E6977)),MAX($D$1:D6976)+1,0)</f>
        <v>0</v>
      </c>
      <c r="H6977" s="6">
        <f t="shared" si="338"/>
        <v>0</v>
      </c>
      <c r="I6977" s="6">
        <f t="shared" si="339"/>
        <v>0</v>
      </c>
      <c r="J6977" s="6">
        <f t="shared" si="340"/>
        <v>0</v>
      </c>
      <c r="L6977" s="4" t="str">
        <f>IFERROR(VLOOKUP(ROWS($L$2:L6977),$B$2:$C$1996,2,0),"")</f>
        <v/>
      </c>
      <c r="N6977" s="2" t="str">
        <f>IFERROR(VLOOKUP(ROWS($N$2:N6977),$D$2:$E$1996,2,0),"")</f>
        <v/>
      </c>
    </row>
    <row r="6978" spans="2:14">
      <c r="B6978" s="32">
        <f>IF(ISNUMBER(SEARCH('Φόρμα Εισαγωγής'!$B$2,C6978)),MAX($B$1:B6977)+1,0)</f>
        <v>0</v>
      </c>
      <c r="D6978" s="33">
        <f>IF(ISNUMBER(SEARCH('Φόρμα Εισαγωγής'!$C$2,E6978)),MAX($D$1:D6977)+1,0)</f>
        <v>0</v>
      </c>
      <c r="H6978" s="6">
        <f t="shared" si="338"/>
        <v>0</v>
      </c>
      <c r="I6978" s="6">
        <f t="shared" si="339"/>
        <v>0</v>
      </c>
      <c r="J6978" s="6">
        <f t="shared" si="340"/>
        <v>0</v>
      </c>
      <c r="L6978" s="4" t="str">
        <f>IFERROR(VLOOKUP(ROWS($L$2:L6978),$B$2:$C$1996,2,0),"")</f>
        <v/>
      </c>
      <c r="N6978" s="2" t="str">
        <f>IFERROR(VLOOKUP(ROWS($N$2:N6978),$D$2:$E$1996,2,0),"")</f>
        <v/>
      </c>
    </row>
    <row r="6979" spans="2:14">
      <c r="B6979" s="32">
        <f>IF(ISNUMBER(SEARCH('Φόρμα Εισαγωγής'!$B$2,C6979)),MAX($B$1:B6978)+1,0)</f>
        <v>0</v>
      </c>
      <c r="D6979" s="33">
        <f>IF(ISNUMBER(SEARCH('Φόρμα Εισαγωγής'!$C$2,E6979)),MAX($D$1:D6978)+1,0)</f>
        <v>0</v>
      </c>
      <c r="H6979" s="6">
        <f t="shared" si="338"/>
        <v>0</v>
      </c>
      <c r="I6979" s="6">
        <f t="shared" si="339"/>
        <v>0</v>
      </c>
      <c r="J6979" s="6">
        <f t="shared" si="340"/>
        <v>0</v>
      </c>
      <c r="L6979" s="4" t="str">
        <f>IFERROR(VLOOKUP(ROWS($L$2:L6979),$B$2:$C$1996,2,0),"")</f>
        <v/>
      </c>
      <c r="N6979" s="2" t="str">
        <f>IFERROR(VLOOKUP(ROWS($N$2:N6979),$D$2:$E$1996,2,0),"")</f>
        <v/>
      </c>
    </row>
    <row r="6980" spans="2:14">
      <c r="B6980" s="32">
        <f>IF(ISNUMBER(SEARCH('Φόρμα Εισαγωγής'!$B$2,C6980)),MAX($B$1:B6979)+1,0)</f>
        <v>0</v>
      </c>
      <c r="D6980" s="33">
        <f>IF(ISNUMBER(SEARCH('Φόρμα Εισαγωγής'!$C$2,E6980)),MAX($D$1:D6979)+1,0)</f>
        <v>0</v>
      </c>
      <c r="H6980" s="6">
        <f t="shared" si="338"/>
        <v>0</v>
      </c>
      <c r="I6980" s="6">
        <f t="shared" si="339"/>
        <v>0</v>
      </c>
      <c r="J6980" s="6">
        <f t="shared" si="340"/>
        <v>0</v>
      </c>
      <c r="L6980" s="4" t="str">
        <f>IFERROR(VLOOKUP(ROWS($L$2:L6980),$B$2:$C$1996,2,0),"")</f>
        <v/>
      </c>
      <c r="N6980" s="2" t="str">
        <f>IFERROR(VLOOKUP(ROWS($N$2:N6980),$D$2:$E$1996,2,0),"")</f>
        <v/>
      </c>
    </row>
    <row r="6981" spans="2:14">
      <c r="B6981" s="32">
        <f>IF(ISNUMBER(SEARCH('Φόρμα Εισαγωγής'!$B$2,C6981)),MAX($B$1:B6980)+1,0)</f>
        <v>0</v>
      </c>
      <c r="D6981" s="33">
        <f>IF(ISNUMBER(SEARCH('Φόρμα Εισαγωγής'!$C$2,E6981)),MAX($D$1:D6980)+1,0)</f>
        <v>0</v>
      </c>
      <c r="H6981" s="6">
        <f t="shared" si="338"/>
        <v>0</v>
      </c>
      <c r="I6981" s="6">
        <f t="shared" si="339"/>
        <v>0</v>
      </c>
      <c r="J6981" s="6">
        <f t="shared" si="340"/>
        <v>0</v>
      </c>
      <c r="L6981" s="4" t="str">
        <f>IFERROR(VLOOKUP(ROWS($L$2:L6981),$B$2:$C$1996,2,0),"")</f>
        <v/>
      </c>
      <c r="N6981" s="2" t="str">
        <f>IFERROR(VLOOKUP(ROWS($N$2:N6981),$D$2:$E$1996,2,0),"")</f>
        <v/>
      </c>
    </row>
    <row r="6982" spans="2:14">
      <c r="B6982" s="32">
        <f>IF(ISNUMBER(SEARCH('Φόρμα Εισαγωγής'!$B$2,C6982)),MAX($B$1:B6981)+1,0)</f>
        <v>0</v>
      </c>
      <c r="D6982" s="33">
        <f>IF(ISNUMBER(SEARCH('Φόρμα Εισαγωγής'!$C$2,E6982)),MAX($D$1:D6981)+1,0)</f>
        <v>0</v>
      </c>
      <c r="H6982" s="6">
        <f t="shared" si="338"/>
        <v>0</v>
      </c>
      <c r="I6982" s="6">
        <f t="shared" si="339"/>
        <v>0</v>
      </c>
      <c r="J6982" s="6">
        <f t="shared" si="340"/>
        <v>0</v>
      </c>
      <c r="L6982" s="4" t="str">
        <f>IFERROR(VLOOKUP(ROWS($L$2:L6982),$B$2:$C$1996,2,0),"")</f>
        <v/>
      </c>
      <c r="N6982" s="2" t="str">
        <f>IFERROR(VLOOKUP(ROWS($N$2:N6982),$D$2:$E$1996,2,0),"")</f>
        <v/>
      </c>
    </row>
    <row r="6983" spans="2:14">
      <c r="B6983" s="32">
        <f>IF(ISNUMBER(SEARCH('Φόρμα Εισαγωγής'!$B$2,C6983)),MAX($B$1:B6982)+1,0)</f>
        <v>0</v>
      </c>
      <c r="D6983" s="33">
        <f>IF(ISNUMBER(SEARCH('Φόρμα Εισαγωγής'!$C$2,E6983)),MAX($D$1:D6982)+1,0)</f>
        <v>0</v>
      </c>
      <c r="H6983" s="6">
        <f t="shared" si="338"/>
        <v>0</v>
      </c>
      <c r="I6983" s="6">
        <f t="shared" si="339"/>
        <v>0</v>
      </c>
      <c r="J6983" s="6">
        <f t="shared" si="340"/>
        <v>0</v>
      </c>
      <c r="L6983" s="4" t="str">
        <f>IFERROR(VLOOKUP(ROWS($L$2:L6983),$B$2:$C$1996,2,0),"")</f>
        <v/>
      </c>
      <c r="N6983" s="2" t="str">
        <f>IFERROR(VLOOKUP(ROWS($N$2:N6983),$D$2:$E$1996,2,0),"")</f>
        <v/>
      </c>
    </row>
    <row r="6984" spans="2:14">
      <c r="B6984" s="32">
        <f>IF(ISNUMBER(SEARCH('Φόρμα Εισαγωγής'!$B$2,C6984)),MAX($B$1:B6983)+1,0)</f>
        <v>0</v>
      </c>
      <c r="D6984" s="33">
        <f>IF(ISNUMBER(SEARCH('Φόρμα Εισαγωγής'!$C$2,E6984)),MAX($D$1:D6983)+1,0)</f>
        <v>0</v>
      </c>
      <c r="H6984" s="6">
        <f t="shared" si="338"/>
        <v>0</v>
      </c>
      <c r="I6984" s="6">
        <f t="shared" si="339"/>
        <v>0</v>
      </c>
      <c r="J6984" s="6">
        <f t="shared" si="340"/>
        <v>0</v>
      </c>
      <c r="L6984" s="4" t="str">
        <f>IFERROR(VLOOKUP(ROWS($L$2:L6984),$B$2:$C$1996,2,0),"")</f>
        <v/>
      </c>
      <c r="N6984" s="2" t="str">
        <f>IFERROR(VLOOKUP(ROWS($N$2:N6984),$D$2:$E$1996,2,0),"")</f>
        <v/>
      </c>
    </row>
    <row r="6985" spans="2:14">
      <c r="B6985" s="32">
        <f>IF(ISNUMBER(SEARCH('Φόρμα Εισαγωγής'!$B$2,C6985)),MAX($B$1:B6984)+1,0)</f>
        <v>0</v>
      </c>
      <c r="D6985" s="33">
        <f>IF(ISNUMBER(SEARCH('Φόρμα Εισαγωγής'!$C$2,E6985)),MAX($D$1:D6984)+1,0)</f>
        <v>0</v>
      </c>
      <c r="H6985" s="6">
        <f t="shared" si="338"/>
        <v>0</v>
      </c>
      <c r="I6985" s="6">
        <f t="shared" si="339"/>
        <v>0</v>
      </c>
      <c r="J6985" s="6">
        <f t="shared" si="340"/>
        <v>0</v>
      </c>
      <c r="L6985" s="4" t="str">
        <f>IFERROR(VLOOKUP(ROWS($L$2:L6985),$B$2:$C$1996,2,0),"")</f>
        <v/>
      </c>
      <c r="N6985" s="2" t="str">
        <f>IFERROR(VLOOKUP(ROWS($N$2:N6985),$D$2:$E$1996,2,0),"")</f>
        <v/>
      </c>
    </row>
    <row r="6986" spans="2:14">
      <c r="B6986" s="32">
        <f>IF(ISNUMBER(SEARCH('Φόρμα Εισαγωγής'!$B$2,C6986)),MAX($B$1:B6985)+1,0)</f>
        <v>0</v>
      </c>
      <c r="D6986" s="33">
        <f>IF(ISNUMBER(SEARCH('Φόρμα Εισαγωγής'!$C$2,E6986)),MAX($D$1:D6985)+1,0)</f>
        <v>0</v>
      </c>
      <c r="H6986" s="6">
        <f t="shared" si="338"/>
        <v>0</v>
      </c>
      <c r="I6986" s="6">
        <f t="shared" si="339"/>
        <v>0</v>
      </c>
      <c r="J6986" s="6">
        <f t="shared" si="340"/>
        <v>0</v>
      </c>
      <c r="L6986" s="4" t="str">
        <f>IFERROR(VLOOKUP(ROWS($L$2:L6986),$B$2:$C$1996,2,0),"")</f>
        <v/>
      </c>
      <c r="N6986" s="2" t="str">
        <f>IFERROR(VLOOKUP(ROWS($N$2:N6986),$D$2:$E$1996,2,0),"")</f>
        <v/>
      </c>
    </row>
    <row r="6987" spans="2:14">
      <c r="B6987" s="32">
        <f>IF(ISNUMBER(SEARCH('Φόρμα Εισαγωγής'!$B$2,C6987)),MAX($B$1:B6986)+1,0)</f>
        <v>0</v>
      </c>
      <c r="D6987" s="33">
        <f>IF(ISNUMBER(SEARCH('Φόρμα Εισαγωγής'!$C$2,E6987)),MAX($D$1:D6986)+1,0)</f>
        <v>0</v>
      </c>
      <c r="H6987" s="6">
        <f t="shared" si="338"/>
        <v>0</v>
      </c>
      <c r="I6987" s="6">
        <f t="shared" si="339"/>
        <v>0</v>
      </c>
      <c r="J6987" s="6">
        <f t="shared" si="340"/>
        <v>0</v>
      </c>
      <c r="L6987" s="4" t="str">
        <f>IFERROR(VLOOKUP(ROWS($L$2:L6987),$B$2:$C$1996,2,0),"")</f>
        <v/>
      </c>
      <c r="N6987" s="2" t="str">
        <f>IFERROR(VLOOKUP(ROWS($N$2:N6987),$D$2:$E$1996,2,0),"")</f>
        <v/>
      </c>
    </row>
    <row r="6988" spans="2:14">
      <c r="B6988" s="32">
        <f>IF(ISNUMBER(SEARCH('Φόρμα Εισαγωγής'!$B$2,C6988)),MAX($B$1:B6987)+1,0)</f>
        <v>0</v>
      </c>
      <c r="D6988" s="33">
        <f>IF(ISNUMBER(SEARCH('Φόρμα Εισαγωγής'!$C$2,E6988)),MAX($D$1:D6987)+1,0)</f>
        <v>0</v>
      </c>
      <c r="H6988" s="6">
        <f t="shared" si="338"/>
        <v>0</v>
      </c>
      <c r="I6988" s="6">
        <f t="shared" si="339"/>
        <v>0</v>
      </c>
      <c r="J6988" s="6">
        <f t="shared" si="340"/>
        <v>0</v>
      </c>
      <c r="L6988" s="4" t="str">
        <f>IFERROR(VLOOKUP(ROWS($L$2:L6988),$B$2:$C$1996,2,0),"")</f>
        <v/>
      </c>
      <c r="N6988" s="2" t="str">
        <f>IFERROR(VLOOKUP(ROWS($N$2:N6988),$D$2:$E$1996,2,0),"")</f>
        <v/>
      </c>
    </row>
    <row r="6989" spans="2:14">
      <c r="B6989" s="32">
        <f>IF(ISNUMBER(SEARCH('Φόρμα Εισαγωγής'!$B$2,C6989)),MAX($B$1:B6988)+1,0)</f>
        <v>0</v>
      </c>
      <c r="D6989" s="33">
        <f>IF(ISNUMBER(SEARCH('Φόρμα Εισαγωγής'!$C$2,E6989)),MAX($D$1:D6988)+1,0)</f>
        <v>0</v>
      </c>
      <c r="H6989" s="6">
        <f t="shared" si="338"/>
        <v>0</v>
      </c>
      <c r="I6989" s="6">
        <f t="shared" si="339"/>
        <v>0</v>
      </c>
      <c r="J6989" s="6">
        <f t="shared" si="340"/>
        <v>0</v>
      </c>
      <c r="L6989" s="4" t="str">
        <f>IFERROR(VLOOKUP(ROWS($L$2:L6989),$B$2:$C$1996,2,0),"")</f>
        <v/>
      </c>
      <c r="N6989" s="2" t="str">
        <f>IFERROR(VLOOKUP(ROWS($N$2:N6989),$D$2:$E$1996,2,0),"")</f>
        <v/>
      </c>
    </row>
    <row r="6990" spans="2:14">
      <c r="B6990" s="32">
        <f>IF(ISNUMBER(SEARCH('Φόρμα Εισαγωγής'!$B$2,C6990)),MAX($B$1:B6989)+1,0)</f>
        <v>0</v>
      </c>
      <c r="D6990" s="33">
        <f>IF(ISNUMBER(SEARCH('Φόρμα Εισαγωγής'!$C$2,E6990)),MAX($D$1:D6989)+1,0)</f>
        <v>0</v>
      </c>
      <c r="H6990" s="6">
        <f t="shared" si="338"/>
        <v>0</v>
      </c>
      <c r="I6990" s="6">
        <f t="shared" si="339"/>
        <v>0</v>
      </c>
      <c r="J6990" s="6">
        <f t="shared" si="340"/>
        <v>0</v>
      </c>
      <c r="L6990" s="4" t="str">
        <f>IFERROR(VLOOKUP(ROWS($L$2:L6990),$B$2:$C$1996,2,0),"")</f>
        <v/>
      </c>
      <c r="N6990" s="2" t="str">
        <f>IFERROR(VLOOKUP(ROWS($N$2:N6990),$D$2:$E$1996,2,0),"")</f>
        <v/>
      </c>
    </row>
    <row r="6991" spans="2:14">
      <c r="B6991" s="32">
        <f>IF(ISNUMBER(SEARCH('Φόρμα Εισαγωγής'!$B$2,C6991)),MAX($B$1:B6990)+1,0)</f>
        <v>0</v>
      </c>
      <c r="D6991" s="33">
        <f>IF(ISNUMBER(SEARCH('Φόρμα Εισαγωγής'!$C$2,E6991)),MAX($D$1:D6990)+1,0)</f>
        <v>0</v>
      </c>
      <c r="H6991" s="6">
        <f t="shared" si="338"/>
        <v>0</v>
      </c>
      <c r="I6991" s="6">
        <f t="shared" si="339"/>
        <v>0</v>
      </c>
      <c r="J6991" s="6">
        <f t="shared" si="340"/>
        <v>0</v>
      </c>
      <c r="L6991" s="4" t="str">
        <f>IFERROR(VLOOKUP(ROWS($L$2:L6991),$B$2:$C$1996,2,0),"")</f>
        <v/>
      </c>
      <c r="N6991" s="2" t="str">
        <f>IFERROR(VLOOKUP(ROWS($N$2:N6991),$D$2:$E$1996,2,0),"")</f>
        <v/>
      </c>
    </row>
    <row r="6992" spans="2:14">
      <c r="B6992" s="32">
        <f>IF(ISNUMBER(SEARCH('Φόρμα Εισαγωγής'!$B$2,C6992)),MAX($B$1:B6991)+1,0)</f>
        <v>0</v>
      </c>
      <c r="D6992" s="33">
        <f>IF(ISNUMBER(SEARCH('Φόρμα Εισαγωγής'!$C$2,E6992)),MAX($D$1:D6991)+1,0)</f>
        <v>0</v>
      </c>
      <c r="H6992" s="6">
        <f t="shared" si="338"/>
        <v>0</v>
      </c>
      <c r="I6992" s="6">
        <f t="shared" si="339"/>
        <v>0</v>
      </c>
      <c r="J6992" s="6">
        <f t="shared" si="340"/>
        <v>0</v>
      </c>
      <c r="L6992" s="4" t="str">
        <f>IFERROR(VLOOKUP(ROWS($L$2:L6992),$B$2:$C$1996,2,0),"")</f>
        <v/>
      </c>
      <c r="N6992" s="2" t="str">
        <f>IFERROR(VLOOKUP(ROWS($N$2:N6992),$D$2:$E$1996,2,0),"")</f>
        <v/>
      </c>
    </row>
    <row r="6993" spans="2:14">
      <c r="B6993" s="32">
        <f>IF(ISNUMBER(SEARCH('Φόρμα Εισαγωγής'!$B$2,C6993)),MAX($B$1:B6992)+1,0)</f>
        <v>0</v>
      </c>
      <c r="D6993" s="33">
        <f>IF(ISNUMBER(SEARCH('Φόρμα Εισαγωγής'!$C$2,E6993)),MAX($D$1:D6992)+1,0)</f>
        <v>0</v>
      </c>
      <c r="H6993" s="6">
        <f t="shared" si="338"/>
        <v>0</v>
      </c>
      <c r="I6993" s="6">
        <f t="shared" si="339"/>
        <v>0</v>
      </c>
      <c r="J6993" s="6">
        <f t="shared" si="340"/>
        <v>0</v>
      </c>
      <c r="L6993" s="4" t="str">
        <f>IFERROR(VLOOKUP(ROWS($L$2:L6993),$B$2:$C$1996,2,0),"")</f>
        <v/>
      </c>
      <c r="N6993" s="2" t="str">
        <f>IFERROR(VLOOKUP(ROWS($N$2:N6993),$D$2:$E$1996,2,0),"")</f>
        <v/>
      </c>
    </row>
    <row r="6994" spans="2:14">
      <c r="B6994" s="32">
        <f>IF(ISNUMBER(SEARCH('Φόρμα Εισαγωγής'!$B$2,C6994)),MAX($B$1:B6993)+1,0)</f>
        <v>0</v>
      </c>
      <c r="D6994" s="33">
        <f>IF(ISNUMBER(SEARCH('Φόρμα Εισαγωγής'!$C$2,E6994)),MAX($D$1:D6993)+1,0)</f>
        <v>0</v>
      </c>
      <c r="H6994" s="6">
        <f t="shared" si="338"/>
        <v>0</v>
      </c>
      <c r="I6994" s="6">
        <f t="shared" si="339"/>
        <v>0</v>
      </c>
      <c r="J6994" s="6">
        <f t="shared" si="340"/>
        <v>0</v>
      </c>
      <c r="L6994" s="4" t="str">
        <f>IFERROR(VLOOKUP(ROWS($L$2:L6994),$B$2:$C$1996,2,0),"")</f>
        <v/>
      </c>
      <c r="N6994" s="2" t="str">
        <f>IFERROR(VLOOKUP(ROWS($N$2:N6994),$D$2:$E$1996,2,0),"")</f>
        <v/>
      </c>
    </row>
    <row r="6995" spans="2:14">
      <c r="B6995" s="32">
        <f>IF(ISNUMBER(SEARCH('Φόρμα Εισαγωγής'!$B$2,C6995)),MAX($B$1:B6994)+1,0)</f>
        <v>0</v>
      </c>
      <c r="D6995" s="33">
        <f>IF(ISNUMBER(SEARCH('Φόρμα Εισαγωγής'!$C$2,E6995)),MAX($D$1:D6994)+1,0)</f>
        <v>0</v>
      </c>
      <c r="H6995" s="6">
        <f t="shared" si="338"/>
        <v>0</v>
      </c>
      <c r="I6995" s="6">
        <f t="shared" si="339"/>
        <v>0</v>
      </c>
      <c r="J6995" s="6">
        <f t="shared" si="340"/>
        <v>0</v>
      </c>
      <c r="L6995" s="4" t="str">
        <f>IFERROR(VLOOKUP(ROWS($L$2:L6995),$B$2:$C$1996,2,0),"")</f>
        <v/>
      </c>
      <c r="N6995" s="2" t="str">
        <f>IFERROR(VLOOKUP(ROWS($N$2:N6995),$D$2:$E$1996,2,0),"")</f>
        <v/>
      </c>
    </row>
    <row r="6996" spans="2:14">
      <c r="B6996" s="32">
        <f>IF(ISNUMBER(SEARCH('Φόρμα Εισαγωγής'!$B$2,C6996)),MAX($B$1:B6995)+1,0)</f>
        <v>0</v>
      </c>
      <c r="D6996" s="33">
        <f>IF(ISNUMBER(SEARCH('Φόρμα Εισαγωγής'!$C$2,E6996)),MAX($D$1:D6995)+1,0)</f>
        <v>0</v>
      </c>
      <c r="H6996" s="6">
        <f t="shared" si="338"/>
        <v>0</v>
      </c>
      <c r="I6996" s="6">
        <f t="shared" si="339"/>
        <v>0</v>
      </c>
      <c r="J6996" s="6">
        <f t="shared" si="340"/>
        <v>0</v>
      </c>
      <c r="L6996" s="4" t="str">
        <f>IFERROR(VLOOKUP(ROWS($L$2:L6996),$B$2:$C$1996,2,0),"")</f>
        <v/>
      </c>
      <c r="N6996" s="2" t="str">
        <f>IFERROR(VLOOKUP(ROWS($N$2:N6996),$D$2:$E$1996,2,0),"")</f>
        <v/>
      </c>
    </row>
    <row r="6997" spans="2:14">
      <c r="B6997" s="32">
        <f>IF(ISNUMBER(SEARCH('Φόρμα Εισαγωγής'!$B$2,C6997)),MAX($B$1:B6996)+1,0)</f>
        <v>0</v>
      </c>
      <c r="D6997" s="33">
        <f>IF(ISNUMBER(SEARCH('Φόρμα Εισαγωγής'!$C$2,E6997)),MAX($D$1:D6996)+1,0)</f>
        <v>0</v>
      </c>
      <c r="H6997" s="6">
        <f t="shared" si="338"/>
        <v>0</v>
      </c>
      <c r="I6997" s="6">
        <f t="shared" si="339"/>
        <v>0</v>
      </c>
      <c r="J6997" s="6">
        <f t="shared" si="340"/>
        <v>0</v>
      </c>
      <c r="L6997" s="4" t="str">
        <f>IFERROR(VLOOKUP(ROWS($L$2:L6997),$B$2:$C$1996,2,0),"")</f>
        <v/>
      </c>
      <c r="N6997" s="2" t="str">
        <f>IFERROR(VLOOKUP(ROWS($N$2:N6997),$D$2:$E$1996,2,0),"")</f>
        <v/>
      </c>
    </row>
    <row r="6998" spans="2:14">
      <c r="B6998" s="32">
        <f>IF(ISNUMBER(SEARCH('Φόρμα Εισαγωγής'!$B$2,C6998)),MAX($B$1:B6997)+1,0)</f>
        <v>0</v>
      </c>
      <c r="D6998" s="33">
        <f>IF(ISNUMBER(SEARCH('Φόρμα Εισαγωγής'!$C$2,E6998)),MAX($D$1:D6997)+1,0)</f>
        <v>0</v>
      </c>
      <c r="H6998" s="6">
        <f t="shared" si="338"/>
        <v>0</v>
      </c>
      <c r="I6998" s="6">
        <f t="shared" si="339"/>
        <v>0</v>
      </c>
      <c r="J6998" s="6">
        <f t="shared" si="340"/>
        <v>0</v>
      </c>
      <c r="L6998" s="4" t="str">
        <f>IFERROR(VLOOKUP(ROWS($L$2:L6998),$B$2:$C$1996,2,0),"")</f>
        <v/>
      </c>
      <c r="N6998" s="2" t="str">
        <f>IFERROR(VLOOKUP(ROWS($N$2:N6998),$D$2:$E$1996,2,0),"")</f>
        <v/>
      </c>
    </row>
    <row r="6999" spans="2:14">
      <c r="B6999" s="32">
        <f>IF(ISNUMBER(SEARCH('Φόρμα Εισαγωγής'!$B$2,C6999)),MAX($B$1:B6998)+1,0)</f>
        <v>0</v>
      </c>
      <c r="D6999" s="33">
        <f>IF(ISNUMBER(SEARCH('Φόρμα Εισαγωγής'!$C$2,E6999)),MAX($D$1:D6998)+1,0)</f>
        <v>0</v>
      </c>
      <c r="H6999" s="6">
        <f t="shared" si="338"/>
        <v>0</v>
      </c>
      <c r="I6999" s="6">
        <f t="shared" si="339"/>
        <v>0</v>
      </c>
      <c r="J6999" s="6">
        <f t="shared" si="340"/>
        <v>0</v>
      </c>
      <c r="L6999" s="4" t="str">
        <f>IFERROR(VLOOKUP(ROWS($L$2:L6999),$B$2:$C$1996,2,0),"")</f>
        <v/>
      </c>
      <c r="N6999" s="2" t="str">
        <f>IFERROR(VLOOKUP(ROWS($N$2:N6999),$D$2:$E$1996,2,0),"")</f>
        <v/>
      </c>
    </row>
    <row r="7000" spans="2:14">
      <c r="B7000" s="32">
        <f>IF(ISNUMBER(SEARCH('Φόρμα Εισαγωγής'!$B$2,C7000)),MAX($B$1:B6999)+1,0)</f>
        <v>0</v>
      </c>
      <c r="D7000" s="33">
        <f>IF(ISNUMBER(SEARCH('Φόρμα Εισαγωγής'!$C$2,E7000)),MAX($D$1:D6999)+1,0)</f>
        <v>0</v>
      </c>
      <c r="H7000" s="6">
        <f t="shared" si="338"/>
        <v>0</v>
      </c>
      <c r="I7000" s="6">
        <f t="shared" si="339"/>
        <v>0</v>
      </c>
      <c r="J7000" s="6">
        <f t="shared" si="340"/>
        <v>0</v>
      </c>
      <c r="L7000" s="4" t="str">
        <f>IFERROR(VLOOKUP(ROWS($L$2:L7000),$B$2:$C$1996,2,0),"")</f>
        <v/>
      </c>
      <c r="N7000" s="2" t="str">
        <f>IFERROR(VLOOKUP(ROWS($N$2:N7000),$D$2:$E$1996,2,0),"")</f>
        <v/>
      </c>
    </row>
    <row r="7001" spans="2:14">
      <c r="B7001" s="32">
        <f>IF(ISNUMBER(SEARCH('Φόρμα Εισαγωγής'!$B$2,C7001)),MAX($B$1:B7000)+1,0)</f>
        <v>0</v>
      </c>
      <c r="D7001" s="33">
        <f>IF(ISNUMBER(SEARCH('Φόρμα Εισαγωγής'!$C$2,E7001)),MAX($D$1:D7000)+1,0)</f>
        <v>0</v>
      </c>
      <c r="H7001" s="6">
        <f t="shared" si="338"/>
        <v>0</v>
      </c>
      <c r="I7001" s="6">
        <f t="shared" si="339"/>
        <v>0</v>
      </c>
      <c r="J7001" s="6">
        <f t="shared" si="340"/>
        <v>0</v>
      </c>
      <c r="L7001" s="4" t="str">
        <f>IFERROR(VLOOKUP(ROWS($L$2:L7001),$B$2:$C$1996,2,0),"")</f>
        <v/>
      </c>
      <c r="N7001" s="2" t="str">
        <f>IFERROR(VLOOKUP(ROWS($N$2:N7001),$D$2:$E$1996,2,0),"")</f>
        <v/>
      </c>
    </row>
    <row r="7002" spans="2:14">
      <c r="B7002" s="32">
        <f>IF(ISNUMBER(SEARCH('Φόρμα Εισαγωγής'!$B$2,C7002)),MAX($B$1:B7001)+1,0)</f>
        <v>0</v>
      </c>
      <c r="D7002" s="33">
        <f>IF(ISNUMBER(SEARCH('Φόρμα Εισαγωγής'!$C$2,E7002)),MAX($D$1:D7001)+1,0)</f>
        <v>0</v>
      </c>
      <c r="H7002" s="6">
        <f t="shared" si="338"/>
        <v>0</v>
      </c>
      <c r="I7002" s="6">
        <f t="shared" si="339"/>
        <v>0</v>
      </c>
      <c r="J7002" s="6">
        <f t="shared" si="340"/>
        <v>0</v>
      </c>
      <c r="L7002" s="4" t="str">
        <f>IFERROR(VLOOKUP(ROWS($L$2:L7002),$B$2:$C$1996,2,0),"")</f>
        <v/>
      </c>
      <c r="N7002" s="2" t="str">
        <f>IFERROR(VLOOKUP(ROWS($N$2:N7002),$D$2:$E$1996,2,0),"")</f>
        <v/>
      </c>
    </row>
    <row r="7003" spans="2:14">
      <c r="B7003" s="32">
        <f>IF(ISNUMBER(SEARCH('Φόρμα Εισαγωγής'!$B$2,C7003)),MAX($B$1:B7002)+1,0)</f>
        <v>0</v>
      </c>
      <c r="D7003" s="33">
        <f>IF(ISNUMBER(SEARCH('Φόρμα Εισαγωγής'!$C$2,E7003)),MAX($D$1:D7002)+1,0)</f>
        <v>0</v>
      </c>
      <c r="H7003" s="6">
        <f t="shared" si="338"/>
        <v>0</v>
      </c>
      <c r="I7003" s="6">
        <f t="shared" si="339"/>
        <v>0</v>
      </c>
      <c r="J7003" s="6">
        <f t="shared" si="340"/>
        <v>0</v>
      </c>
      <c r="L7003" s="4" t="str">
        <f>IFERROR(VLOOKUP(ROWS($L$2:L7003),$B$2:$C$1996,2,0),"")</f>
        <v/>
      </c>
      <c r="N7003" s="2" t="str">
        <f>IFERROR(VLOOKUP(ROWS($N$2:N7003),$D$2:$E$1996,2,0),"")</f>
        <v/>
      </c>
    </row>
    <row r="7004" spans="2:14">
      <c r="B7004" s="32">
        <f>IF(ISNUMBER(SEARCH('Φόρμα Εισαγωγής'!$B$2,C7004)),MAX($B$1:B7003)+1,0)</f>
        <v>0</v>
      </c>
      <c r="D7004" s="33">
        <f>IF(ISNUMBER(SEARCH('Φόρμα Εισαγωγής'!$C$2,E7004)),MAX($D$1:D7003)+1,0)</f>
        <v>0</v>
      </c>
      <c r="H7004" s="6">
        <f t="shared" si="338"/>
        <v>0</v>
      </c>
      <c r="I7004" s="6">
        <f t="shared" si="339"/>
        <v>0</v>
      </c>
      <c r="J7004" s="6">
        <f t="shared" si="340"/>
        <v>0</v>
      </c>
      <c r="L7004" s="4" t="str">
        <f>IFERROR(VLOOKUP(ROWS($L$2:L7004),$B$2:$C$1996,2,0),"")</f>
        <v/>
      </c>
      <c r="N7004" s="2" t="str">
        <f>IFERROR(VLOOKUP(ROWS($N$2:N7004),$D$2:$E$1996,2,0),"")</f>
        <v/>
      </c>
    </row>
    <row r="7005" spans="2:14">
      <c r="B7005" s="32">
        <f>IF(ISNUMBER(SEARCH('Φόρμα Εισαγωγής'!$B$2,C7005)),MAX($B$1:B7004)+1,0)</f>
        <v>0</v>
      </c>
      <c r="D7005" s="33">
        <f>IF(ISNUMBER(SEARCH('Φόρμα Εισαγωγής'!$C$2,E7005)),MAX($D$1:D7004)+1,0)</f>
        <v>0</v>
      </c>
      <c r="H7005" s="6">
        <f t="shared" si="338"/>
        <v>0</v>
      </c>
      <c r="I7005" s="6">
        <f t="shared" si="339"/>
        <v>0</v>
      </c>
      <c r="J7005" s="6">
        <f t="shared" si="340"/>
        <v>0</v>
      </c>
      <c r="L7005" s="4" t="str">
        <f>IFERROR(VLOOKUP(ROWS($L$2:L7005),$B$2:$C$1996,2,0),"")</f>
        <v/>
      </c>
      <c r="N7005" s="2" t="str">
        <f>IFERROR(VLOOKUP(ROWS($N$2:N7005),$D$2:$E$1996,2,0),"")</f>
        <v/>
      </c>
    </row>
    <row r="7006" spans="2:14">
      <c r="B7006" s="32">
        <f>IF(ISNUMBER(SEARCH('Φόρμα Εισαγωγής'!$B$2,C7006)),MAX($B$1:B7005)+1,0)</f>
        <v>0</v>
      </c>
      <c r="D7006" s="33">
        <f>IF(ISNUMBER(SEARCH('Φόρμα Εισαγωγής'!$C$2,E7006)),MAX($D$1:D7005)+1,0)</f>
        <v>0</v>
      </c>
      <c r="H7006" s="6">
        <f t="shared" si="338"/>
        <v>0</v>
      </c>
      <c r="I7006" s="6">
        <f t="shared" si="339"/>
        <v>0</v>
      </c>
      <c r="J7006" s="6">
        <f t="shared" si="340"/>
        <v>0</v>
      </c>
      <c r="L7006" s="4" t="str">
        <f>IFERROR(VLOOKUP(ROWS($L$2:L7006),$B$2:$C$1996,2,0),"")</f>
        <v/>
      </c>
      <c r="N7006" s="2" t="str">
        <f>IFERROR(VLOOKUP(ROWS($N$2:N7006),$D$2:$E$1996,2,0),"")</f>
        <v/>
      </c>
    </row>
    <row r="7007" spans="2:14">
      <c r="B7007" s="32">
        <f>IF(ISNUMBER(SEARCH('Φόρμα Εισαγωγής'!$B$2,C7007)),MAX($B$1:B7006)+1,0)</f>
        <v>0</v>
      </c>
      <c r="D7007" s="33">
        <f>IF(ISNUMBER(SEARCH('Φόρμα Εισαγωγής'!$C$2,E7007)),MAX($D$1:D7006)+1,0)</f>
        <v>0</v>
      </c>
      <c r="H7007" s="6">
        <f t="shared" si="338"/>
        <v>0</v>
      </c>
      <c r="I7007" s="6">
        <f t="shared" si="339"/>
        <v>0</v>
      </c>
      <c r="J7007" s="6">
        <f t="shared" si="340"/>
        <v>0</v>
      </c>
      <c r="L7007" s="4" t="str">
        <f>IFERROR(VLOOKUP(ROWS($L$2:L7007),$B$2:$C$1996,2,0),"")</f>
        <v/>
      </c>
      <c r="N7007" s="2" t="str">
        <f>IFERROR(VLOOKUP(ROWS($N$2:N7007),$D$2:$E$1996,2,0),"")</f>
        <v/>
      </c>
    </row>
    <row r="7008" spans="2:14">
      <c r="B7008" s="32">
        <f>IF(ISNUMBER(SEARCH('Φόρμα Εισαγωγής'!$B$2,C7008)),MAX($B$1:B7007)+1,0)</f>
        <v>0</v>
      </c>
      <c r="D7008" s="33">
        <f>IF(ISNUMBER(SEARCH('Φόρμα Εισαγωγής'!$C$2,E7008)),MAX($D$1:D7007)+1,0)</f>
        <v>0</v>
      </c>
      <c r="H7008" s="6">
        <f t="shared" si="338"/>
        <v>0</v>
      </c>
      <c r="I7008" s="6">
        <f t="shared" si="339"/>
        <v>0</v>
      </c>
      <c r="J7008" s="6">
        <f t="shared" si="340"/>
        <v>0</v>
      </c>
      <c r="L7008" s="4" t="str">
        <f>IFERROR(VLOOKUP(ROWS($L$2:L7008),$B$2:$C$1996,2,0),"")</f>
        <v/>
      </c>
      <c r="N7008" s="2" t="str">
        <f>IFERROR(VLOOKUP(ROWS($N$2:N7008),$D$2:$E$1996,2,0),"")</f>
        <v/>
      </c>
    </row>
    <row r="7009" spans="2:14">
      <c r="B7009" s="32">
        <f>IF(ISNUMBER(SEARCH('Φόρμα Εισαγωγής'!$B$2,C7009)),MAX($B$1:B7008)+1,0)</f>
        <v>0</v>
      </c>
      <c r="D7009" s="33">
        <f>IF(ISNUMBER(SEARCH('Φόρμα Εισαγωγής'!$C$2,E7009)),MAX($D$1:D7008)+1,0)</f>
        <v>0</v>
      </c>
      <c r="H7009" s="6">
        <f t="shared" si="338"/>
        <v>0</v>
      </c>
      <c r="I7009" s="6">
        <f t="shared" si="339"/>
        <v>0</v>
      </c>
      <c r="J7009" s="6">
        <f t="shared" si="340"/>
        <v>0</v>
      </c>
      <c r="L7009" s="4" t="str">
        <f>IFERROR(VLOOKUP(ROWS($L$2:L7009),$B$2:$C$1996,2,0),"")</f>
        <v/>
      </c>
      <c r="N7009" s="2" t="str">
        <f>IFERROR(VLOOKUP(ROWS($N$2:N7009),$D$2:$E$1996,2,0),"")</f>
        <v/>
      </c>
    </row>
    <row r="7010" spans="2:14">
      <c r="B7010" s="32">
        <f>IF(ISNUMBER(SEARCH('Φόρμα Εισαγωγής'!$B$2,C7010)),MAX($B$1:B7009)+1,0)</f>
        <v>0</v>
      </c>
      <c r="D7010" s="33">
        <f>IF(ISNUMBER(SEARCH('Φόρμα Εισαγωγής'!$C$2,E7010)),MAX($D$1:D7009)+1,0)</f>
        <v>0</v>
      </c>
      <c r="H7010" s="6">
        <f t="shared" si="338"/>
        <v>0</v>
      </c>
      <c r="I7010" s="6">
        <f t="shared" si="339"/>
        <v>0</v>
      </c>
      <c r="J7010" s="6">
        <f t="shared" si="340"/>
        <v>0</v>
      </c>
      <c r="L7010" s="4" t="str">
        <f>IFERROR(VLOOKUP(ROWS($L$2:L7010),$B$2:$C$1996,2,0),"")</f>
        <v/>
      </c>
      <c r="N7010" s="2" t="str">
        <f>IFERROR(VLOOKUP(ROWS($N$2:N7010),$D$2:$E$1996,2,0),"")</f>
        <v/>
      </c>
    </row>
    <row r="7011" spans="2:14">
      <c r="B7011" s="32">
        <f>IF(ISNUMBER(SEARCH('Φόρμα Εισαγωγής'!$B$2,C7011)),MAX($B$1:B7010)+1,0)</f>
        <v>0</v>
      </c>
      <c r="D7011" s="33">
        <f>IF(ISNUMBER(SEARCH('Φόρμα Εισαγωγής'!$C$2,E7011)),MAX($D$1:D7010)+1,0)</f>
        <v>0</v>
      </c>
      <c r="H7011" s="6">
        <f t="shared" si="338"/>
        <v>0</v>
      </c>
      <c r="I7011" s="6">
        <f t="shared" si="339"/>
        <v>0</v>
      </c>
      <c r="J7011" s="6">
        <f t="shared" si="340"/>
        <v>0</v>
      </c>
      <c r="L7011" s="4" t="str">
        <f>IFERROR(VLOOKUP(ROWS($L$2:L7011),$B$2:$C$1996,2,0),"")</f>
        <v/>
      </c>
      <c r="N7011" s="2" t="str">
        <f>IFERROR(VLOOKUP(ROWS($N$2:N7011),$D$2:$E$1996,2,0),"")</f>
        <v/>
      </c>
    </row>
    <row r="7012" spans="2:14">
      <c r="B7012" s="32">
        <f>IF(ISNUMBER(SEARCH('Φόρμα Εισαγωγής'!$B$2,C7012)),MAX($B$1:B7011)+1,0)</f>
        <v>0</v>
      </c>
      <c r="D7012" s="33">
        <f>IF(ISNUMBER(SEARCH('Φόρμα Εισαγωγής'!$C$2,E7012)),MAX($D$1:D7011)+1,0)</f>
        <v>0</v>
      </c>
      <c r="H7012" s="6">
        <f t="shared" si="338"/>
        <v>0</v>
      </c>
      <c r="I7012" s="6">
        <f t="shared" si="339"/>
        <v>0</v>
      </c>
      <c r="J7012" s="6">
        <f t="shared" si="340"/>
        <v>0</v>
      </c>
      <c r="L7012" s="4" t="str">
        <f>IFERROR(VLOOKUP(ROWS($L$2:L7012),$B$2:$C$1996,2,0),"")</f>
        <v/>
      </c>
      <c r="N7012" s="2" t="str">
        <f>IFERROR(VLOOKUP(ROWS($N$2:N7012),$D$2:$E$1996,2,0),"")</f>
        <v/>
      </c>
    </row>
    <row r="7013" spans="2:14">
      <c r="B7013" s="32">
        <f>IF(ISNUMBER(SEARCH('Φόρμα Εισαγωγής'!$B$2,C7013)),MAX($B$1:B7012)+1,0)</f>
        <v>0</v>
      </c>
      <c r="D7013" s="33">
        <f>IF(ISNUMBER(SEARCH('Φόρμα Εισαγωγής'!$C$2,E7013)),MAX($D$1:D7012)+1,0)</f>
        <v>0</v>
      </c>
      <c r="H7013" s="6">
        <f t="shared" si="338"/>
        <v>0</v>
      </c>
      <c r="I7013" s="6">
        <f t="shared" si="339"/>
        <v>0</v>
      </c>
      <c r="J7013" s="6">
        <f t="shared" si="340"/>
        <v>0</v>
      </c>
      <c r="L7013" s="4" t="str">
        <f>IFERROR(VLOOKUP(ROWS($L$2:L7013),$B$2:$C$1996,2,0),"")</f>
        <v/>
      </c>
      <c r="N7013" s="2" t="str">
        <f>IFERROR(VLOOKUP(ROWS($N$2:N7013),$D$2:$E$1996,2,0),"")</f>
        <v/>
      </c>
    </row>
    <row r="7014" spans="2:14">
      <c r="B7014" s="32">
        <f>IF(ISNUMBER(SEARCH('Φόρμα Εισαγωγής'!$B$2,C7014)),MAX($B$1:B7013)+1,0)</f>
        <v>0</v>
      </c>
      <c r="D7014" s="33">
        <f>IF(ISNUMBER(SEARCH('Φόρμα Εισαγωγής'!$C$2,E7014)),MAX($D$1:D7013)+1,0)</f>
        <v>0</v>
      </c>
      <c r="H7014" s="6">
        <f t="shared" si="338"/>
        <v>0</v>
      </c>
      <c r="I7014" s="6">
        <f t="shared" si="339"/>
        <v>0</v>
      </c>
      <c r="J7014" s="6">
        <f t="shared" si="340"/>
        <v>0</v>
      </c>
      <c r="L7014" s="4" t="str">
        <f>IFERROR(VLOOKUP(ROWS($L$2:L7014),$B$2:$C$1996,2,0),"")</f>
        <v/>
      </c>
      <c r="N7014" s="2" t="str">
        <f>IFERROR(VLOOKUP(ROWS($N$2:N7014),$D$2:$E$1996,2,0),"")</f>
        <v/>
      </c>
    </row>
    <row r="7015" spans="2:14">
      <c r="B7015" s="32">
        <f>IF(ISNUMBER(SEARCH('Φόρμα Εισαγωγής'!$B$2,C7015)),MAX($B$1:B7014)+1,0)</f>
        <v>0</v>
      </c>
      <c r="D7015" s="33">
        <f>IF(ISNUMBER(SEARCH('Φόρμα Εισαγωγής'!$C$2,E7015)),MAX($D$1:D7014)+1,0)</f>
        <v>0</v>
      </c>
      <c r="H7015" s="6">
        <f t="shared" si="338"/>
        <v>0</v>
      </c>
      <c r="I7015" s="6">
        <f t="shared" si="339"/>
        <v>0</v>
      </c>
      <c r="J7015" s="6">
        <f t="shared" si="340"/>
        <v>0</v>
      </c>
      <c r="L7015" s="4" t="str">
        <f>IFERROR(VLOOKUP(ROWS($L$2:L7015),$B$2:$C$1996,2,0),"")</f>
        <v/>
      </c>
      <c r="N7015" s="2" t="str">
        <f>IFERROR(VLOOKUP(ROWS($N$2:N7015),$D$2:$E$1996,2,0),"")</f>
        <v/>
      </c>
    </row>
    <row r="7016" spans="2:14">
      <c r="B7016" s="32">
        <f>IF(ISNUMBER(SEARCH('Φόρμα Εισαγωγής'!$B$2,C7016)),MAX($B$1:B7015)+1,0)</f>
        <v>0</v>
      </c>
      <c r="D7016" s="33">
        <f>IF(ISNUMBER(SEARCH('Φόρμα Εισαγωγής'!$C$2,E7016)),MAX($D$1:D7015)+1,0)</f>
        <v>0</v>
      </c>
      <c r="H7016" s="6">
        <f t="shared" si="338"/>
        <v>0</v>
      </c>
      <c r="I7016" s="6">
        <f t="shared" si="339"/>
        <v>0</v>
      </c>
      <c r="J7016" s="6">
        <f t="shared" si="340"/>
        <v>0</v>
      </c>
      <c r="L7016" s="4" t="str">
        <f>IFERROR(VLOOKUP(ROWS($L$2:L7016),$B$2:$C$1996,2,0),"")</f>
        <v/>
      </c>
      <c r="N7016" s="2" t="str">
        <f>IFERROR(VLOOKUP(ROWS($N$2:N7016),$D$2:$E$1996,2,0),"")</f>
        <v/>
      </c>
    </row>
    <row r="7017" spans="2:14">
      <c r="B7017" s="32">
        <f>IF(ISNUMBER(SEARCH('Φόρμα Εισαγωγής'!$B$2,C7017)),MAX($B$1:B7016)+1,0)</f>
        <v>0</v>
      </c>
      <c r="D7017" s="33">
        <f>IF(ISNUMBER(SEARCH('Φόρμα Εισαγωγής'!$C$2,E7017)),MAX($D$1:D7016)+1,0)</f>
        <v>0</v>
      </c>
      <c r="H7017" s="6">
        <f t="shared" si="338"/>
        <v>0</v>
      </c>
      <c r="I7017" s="6">
        <f t="shared" si="339"/>
        <v>0</v>
      </c>
      <c r="J7017" s="6">
        <f t="shared" si="340"/>
        <v>0</v>
      </c>
      <c r="L7017" s="4" t="str">
        <f>IFERROR(VLOOKUP(ROWS($L$2:L7017),$B$2:$C$1996,2,0),"")</f>
        <v/>
      </c>
      <c r="N7017" s="2" t="str">
        <f>IFERROR(VLOOKUP(ROWS($N$2:N7017),$D$2:$E$1996,2,0),"")</f>
        <v/>
      </c>
    </row>
    <row r="7018" spans="2:14">
      <c r="B7018" s="32">
        <f>IF(ISNUMBER(SEARCH('Φόρμα Εισαγωγής'!$B$2,C7018)),MAX($B$1:B7017)+1,0)</f>
        <v>0</v>
      </c>
      <c r="D7018" s="33">
        <f>IF(ISNUMBER(SEARCH('Φόρμα Εισαγωγής'!$C$2,E7018)),MAX($D$1:D7017)+1,0)</f>
        <v>0</v>
      </c>
      <c r="H7018" s="6">
        <f t="shared" si="338"/>
        <v>0</v>
      </c>
      <c r="I7018" s="6">
        <f t="shared" si="339"/>
        <v>0</v>
      </c>
      <c r="J7018" s="6">
        <f t="shared" si="340"/>
        <v>0</v>
      </c>
      <c r="L7018" s="4" t="str">
        <f>IFERROR(VLOOKUP(ROWS($L$2:L7018),$B$2:$C$1996,2,0),"")</f>
        <v/>
      </c>
      <c r="N7018" s="2" t="str">
        <f>IFERROR(VLOOKUP(ROWS($N$2:N7018),$D$2:$E$1996,2,0),"")</f>
        <v/>
      </c>
    </row>
    <row r="7019" spans="2:14">
      <c r="B7019" s="32">
        <f>IF(ISNUMBER(SEARCH('Φόρμα Εισαγωγής'!$B$2,C7019)),MAX($B$1:B7018)+1,0)</f>
        <v>0</v>
      </c>
      <c r="D7019" s="33">
        <f>IF(ISNUMBER(SEARCH('Φόρμα Εισαγωγής'!$C$2,E7019)),MAX($D$1:D7018)+1,0)</f>
        <v>0</v>
      </c>
      <c r="H7019" s="6">
        <f t="shared" si="338"/>
        <v>0</v>
      </c>
      <c r="I7019" s="6">
        <f t="shared" si="339"/>
        <v>0</v>
      </c>
      <c r="J7019" s="6">
        <f t="shared" si="340"/>
        <v>0</v>
      </c>
      <c r="L7019" s="4" t="str">
        <f>IFERROR(VLOOKUP(ROWS($L$2:L7019),$B$2:$C$1996,2,0),"")</f>
        <v/>
      </c>
      <c r="N7019" s="2" t="str">
        <f>IFERROR(VLOOKUP(ROWS($N$2:N7019),$D$2:$E$1996,2,0),"")</f>
        <v/>
      </c>
    </row>
    <row r="7020" spans="2:14">
      <c r="B7020" s="32">
        <f>IF(ISNUMBER(SEARCH('Φόρμα Εισαγωγής'!$B$2,C7020)),MAX($B$1:B7019)+1,0)</f>
        <v>0</v>
      </c>
      <c r="D7020" s="33">
        <f>IF(ISNUMBER(SEARCH('Φόρμα Εισαγωγής'!$C$2,E7020)),MAX($D$1:D7019)+1,0)</f>
        <v>0</v>
      </c>
      <c r="H7020" s="6">
        <f t="shared" si="338"/>
        <v>0</v>
      </c>
      <c r="I7020" s="6">
        <f t="shared" si="339"/>
        <v>0</v>
      </c>
      <c r="J7020" s="6">
        <f t="shared" si="340"/>
        <v>0</v>
      </c>
      <c r="L7020" s="4" t="str">
        <f>IFERROR(VLOOKUP(ROWS($L$2:L7020),$B$2:$C$1996,2,0),"")</f>
        <v/>
      </c>
      <c r="N7020" s="2" t="str">
        <f>IFERROR(VLOOKUP(ROWS($N$2:N7020),$D$2:$E$1996,2,0),"")</f>
        <v/>
      </c>
    </row>
    <row r="7021" spans="2:14">
      <c r="B7021" s="32">
        <f>IF(ISNUMBER(SEARCH('Φόρμα Εισαγωγής'!$B$2,C7021)),MAX($B$1:B7020)+1,0)</f>
        <v>0</v>
      </c>
      <c r="D7021" s="33">
        <f>IF(ISNUMBER(SEARCH('Φόρμα Εισαγωγής'!$C$2,E7021)),MAX($D$1:D7020)+1,0)</f>
        <v>0</v>
      </c>
      <c r="H7021" s="6">
        <f t="shared" si="338"/>
        <v>0</v>
      </c>
      <c r="I7021" s="6">
        <f t="shared" si="339"/>
        <v>0</v>
      </c>
      <c r="J7021" s="6">
        <f t="shared" si="340"/>
        <v>0</v>
      </c>
      <c r="L7021" s="4" t="str">
        <f>IFERROR(VLOOKUP(ROWS($L$2:L7021),$B$2:$C$1996,2,0),"")</f>
        <v/>
      </c>
      <c r="N7021" s="2" t="str">
        <f>IFERROR(VLOOKUP(ROWS($N$2:N7021),$D$2:$E$1996,2,0),"")</f>
        <v/>
      </c>
    </row>
    <row r="7022" spans="2:14">
      <c r="B7022" s="32">
        <f>IF(ISNUMBER(SEARCH('Φόρμα Εισαγωγής'!$B$2,C7022)),MAX($B$1:B7021)+1,0)</f>
        <v>0</v>
      </c>
      <c r="D7022" s="33">
        <f>IF(ISNUMBER(SEARCH('Φόρμα Εισαγωγής'!$C$2,E7022)),MAX($D$1:D7021)+1,0)</f>
        <v>0</v>
      </c>
      <c r="H7022" s="6">
        <f t="shared" si="338"/>
        <v>0</v>
      </c>
      <c r="I7022" s="6">
        <f t="shared" si="339"/>
        <v>0</v>
      </c>
      <c r="J7022" s="6">
        <f t="shared" si="340"/>
        <v>0</v>
      </c>
      <c r="L7022" s="4" t="str">
        <f>IFERROR(VLOOKUP(ROWS($L$2:L7022),$B$2:$C$1996,2,0),"")</f>
        <v/>
      </c>
      <c r="N7022" s="2" t="str">
        <f>IFERROR(VLOOKUP(ROWS($N$2:N7022),$D$2:$E$1996,2,0),"")</f>
        <v/>
      </c>
    </row>
    <row r="7023" spans="2:14">
      <c r="B7023" s="32">
        <f>IF(ISNUMBER(SEARCH('Φόρμα Εισαγωγής'!$B$2,C7023)),MAX($B$1:B7022)+1,0)</f>
        <v>0</v>
      </c>
      <c r="D7023" s="33">
        <f>IF(ISNUMBER(SEARCH('Φόρμα Εισαγωγής'!$C$2,E7023)),MAX($D$1:D7022)+1,0)</f>
        <v>0</v>
      </c>
      <c r="H7023" s="6">
        <f t="shared" si="338"/>
        <v>0</v>
      </c>
      <c r="I7023" s="6">
        <f t="shared" si="339"/>
        <v>0</v>
      </c>
      <c r="J7023" s="6">
        <f t="shared" si="340"/>
        <v>0</v>
      </c>
      <c r="L7023" s="4" t="str">
        <f>IFERROR(VLOOKUP(ROWS($L$2:L7023),$B$2:$C$1996,2,0),"")</f>
        <v/>
      </c>
      <c r="N7023" s="2" t="str">
        <f>IFERROR(VLOOKUP(ROWS($N$2:N7023),$D$2:$E$1996,2,0),"")</f>
        <v/>
      </c>
    </row>
    <row r="7024" spans="2:14">
      <c r="B7024" s="32">
        <f>IF(ISNUMBER(SEARCH('Φόρμα Εισαγωγής'!$B$2,C7024)),MAX($B$1:B7023)+1,0)</f>
        <v>0</v>
      </c>
      <c r="D7024" s="33">
        <f>IF(ISNUMBER(SEARCH('Φόρμα Εισαγωγής'!$C$2,E7024)),MAX($D$1:D7023)+1,0)</f>
        <v>0</v>
      </c>
      <c r="H7024" s="6">
        <f t="shared" si="338"/>
        <v>0</v>
      </c>
      <c r="I7024" s="6">
        <f t="shared" si="339"/>
        <v>0</v>
      </c>
      <c r="J7024" s="6">
        <f t="shared" si="340"/>
        <v>0</v>
      </c>
      <c r="L7024" s="4" t="str">
        <f>IFERROR(VLOOKUP(ROWS($L$2:L7024),$B$2:$C$1996,2,0),"")</f>
        <v/>
      </c>
      <c r="N7024" s="2" t="str">
        <f>IFERROR(VLOOKUP(ROWS($N$2:N7024),$D$2:$E$1996,2,0),"")</f>
        <v/>
      </c>
    </row>
    <row r="7025" spans="2:14">
      <c r="B7025" s="32">
        <f>IF(ISNUMBER(SEARCH('Φόρμα Εισαγωγής'!$B$2,C7025)),MAX($B$1:B7024)+1,0)</f>
        <v>0</v>
      </c>
      <c r="D7025" s="33">
        <f>IF(ISNUMBER(SEARCH('Φόρμα Εισαγωγής'!$C$2,E7025)),MAX($D$1:D7024)+1,0)</f>
        <v>0</v>
      </c>
      <c r="H7025" s="6">
        <f t="shared" si="338"/>
        <v>0</v>
      </c>
      <c r="I7025" s="6">
        <f t="shared" si="339"/>
        <v>0</v>
      </c>
      <c r="J7025" s="6">
        <f t="shared" si="340"/>
        <v>0</v>
      </c>
      <c r="L7025" s="4" t="str">
        <f>IFERROR(VLOOKUP(ROWS($L$2:L7025),$B$2:$C$1996,2,0),"")</f>
        <v/>
      </c>
      <c r="N7025" s="2" t="str">
        <f>IFERROR(VLOOKUP(ROWS($N$2:N7025),$D$2:$E$1996,2,0),"")</f>
        <v/>
      </c>
    </row>
    <row r="7026" spans="2:14">
      <c r="B7026" s="32">
        <f>IF(ISNUMBER(SEARCH('Φόρμα Εισαγωγής'!$B$2,C7026)),MAX($B$1:B7025)+1,0)</f>
        <v>0</v>
      </c>
      <c r="D7026" s="33">
        <f>IF(ISNUMBER(SEARCH('Φόρμα Εισαγωγής'!$C$2,E7026)),MAX($D$1:D7025)+1,0)</f>
        <v>0</v>
      </c>
      <c r="H7026" s="6">
        <f t="shared" si="338"/>
        <v>0</v>
      </c>
      <c r="I7026" s="6">
        <f t="shared" si="339"/>
        <v>0</v>
      </c>
      <c r="J7026" s="6">
        <f t="shared" si="340"/>
        <v>0</v>
      </c>
      <c r="L7026" s="4" t="str">
        <f>IFERROR(VLOOKUP(ROWS($L$2:L7026),$B$2:$C$1996,2,0),"")</f>
        <v/>
      </c>
      <c r="N7026" s="2" t="str">
        <f>IFERROR(VLOOKUP(ROWS($N$2:N7026),$D$2:$E$1996,2,0),"")</f>
        <v/>
      </c>
    </row>
    <row r="7027" spans="2:14">
      <c r="B7027" s="32">
        <f>IF(ISNUMBER(SEARCH('Φόρμα Εισαγωγής'!$B$2,C7027)),MAX($B$1:B7026)+1,0)</f>
        <v>0</v>
      </c>
      <c r="D7027" s="33">
        <f>IF(ISNUMBER(SEARCH('Φόρμα Εισαγωγής'!$C$2,E7027)),MAX($D$1:D7026)+1,0)</f>
        <v>0</v>
      </c>
      <c r="H7027" s="6">
        <f t="shared" si="338"/>
        <v>0</v>
      </c>
      <c r="I7027" s="6">
        <f t="shared" si="339"/>
        <v>0</v>
      </c>
      <c r="J7027" s="6">
        <f t="shared" si="340"/>
        <v>0</v>
      </c>
      <c r="L7027" s="4" t="str">
        <f>IFERROR(VLOOKUP(ROWS($L$2:L7027),$B$2:$C$1996,2,0),"")</f>
        <v/>
      </c>
      <c r="N7027" s="2" t="str">
        <f>IFERROR(VLOOKUP(ROWS($N$2:N7027),$D$2:$E$1996,2,0),"")</f>
        <v/>
      </c>
    </row>
    <row r="7028" spans="2:14">
      <c r="B7028" s="32">
        <f>IF(ISNUMBER(SEARCH('Φόρμα Εισαγωγής'!$B$2,C7028)),MAX($B$1:B7027)+1,0)</f>
        <v>0</v>
      </c>
      <c r="D7028" s="33">
        <f>IF(ISNUMBER(SEARCH('Φόρμα Εισαγωγής'!$C$2,E7028)),MAX($D$1:D7027)+1,0)</f>
        <v>0</v>
      </c>
      <c r="H7028" s="6">
        <f t="shared" si="338"/>
        <v>0</v>
      </c>
      <c r="I7028" s="6">
        <f t="shared" si="339"/>
        <v>0</v>
      </c>
      <c r="J7028" s="6">
        <f t="shared" si="340"/>
        <v>0</v>
      </c>
      <c r="L7028" s="4" t="str">
        <f>IFERROR(VLOOKUP(ROWS($L$2:L7028),$B$2:$C$1996,2,0),"")</f>
        <v/>
      </c>
      <c r="N7028" s="2" t="str">
        <f>IFERROR(VLOOKUP(ROWS($N$2:N7028),$D$2:$E$1996,2,0),"")</f>
        <v/>
      </c>
    </row>
    <row r="7029" spans="2:14">
      <c r="B7029" s="32">
        <f>IF(ISNUMBER(SEARCH('Φόρμα Εισαγωγής'!$B$2,C7029)),MAX($B$1:B7028)+1,0)</f>
        <v>0</v>
      </c>
      <c r="D7029" s="33">
        <f>IF(ISNUMBER(SEARCH('Φόρμα Εισαγωγής'!$C$2,E7029)),MAX($D$1:D7028)+1,0)</f>
        <v>0</v>
      </c>
      <c r="H7029" s="6">
        <f t="shared" si="338"/>
        <v>0</v>
      </c>
      <c r="I7029" s="6">
        <f t="shared" si="339"/>
        <v>0</v>
      </c>
      <c r="J7029" s="6">
        <f t="shared" si="340"/>
        <v>0</v>
      </c>
      <c r="L7029" s="4" t="str">
        <f>IFERROR(VLOOKUP(ROWS($L$2:L7029),$B$2:$C$1996,2,0),"")</f>
        <v/>
      </c>
      <c r="N7029" s="2" t="str">
        <f>IFERROR(VLOOKUP(ROWS($N$2:N7029),$D$2:$E$1996,2,0),"")</f>
        <v/>
      </c>
    </row>
    <row r="7030" spans="2:14">
      <c r="B7030" s="32">
        <f>IF(ISNUMBER(SEARCH('Φόρμα Εισαγωγής'!$B$2,C7030)),MAX($B$1:B7029)+1,0)</f>
        <v>0</v>
      </c>
      <c r="D7030" s="33">
        <f>IF(ISNUMBER(SEARCH('Φόρμα Εισαγωγής'!$C$2,E7030)),MAX($D$1:D7029)+1,0)</f>
        <v>0</v>
      </c>
      <c r="H7030" s="6">
        <f t="shared" si="338"/>
        <v>0</v>
      </c>
      <c r="I7030" s="6">
        <f t="shared" si="339"/>
        <v>0</v>
      </c>
      <c r="J7030" s="6">
        <f t="shared" si="340"/>
        <v>0</v>
      </c>
      <c r="L7030" s="4" t="str">
        <f>IFERROR(VLOOKUP(ROWS($L$2:L7030),$B$2:$C$1996,2,0),"")</f>
        <v/>
      </c>
      <c r="N7030" s="2" t="str">
        <f>IFERROR(VLOOKUP(ROWS($N$2:N7030),$D$2:$E$1996,2,0),"")</f>
        <v/>
      </c>
    </row>
    <row r="7031" spans="2:14">
      <c r="B7031" s="32">
        <f>IF(ISNUMBER(SEARCH('Φόρμα Εισαγωγής'!$B$2,C7031)),MAX($B$1:B7030)+1,0)</f>
        <v>0</v>
      </c>
      <c r="D7031" s="33">
        <f>IF(ISNUMBER(SEARCH('Φόρμα Εισαγωγής'!$C$2,E7031)),MAX($D$1:D7030)+1,0)</f>
        <v>0</v>
      </c>
      <c r="H7031" s="6">
        <f t="shared" si="338"/>
        <v>0</v>
      </c>
      <c r="I7031" s="6">
        <f t="shared" si="339"/>
        <v>0</v>
      </c>
      <c r="J7031" s="6">
        <f t="shared" si="340"/>
        <v>0</v>
      </c>
      <c r="L7031" s="4" t="str">
        <f>IFERROR(VLOOKUP(ROWS($L$2:L7031),$B$2:$C$1996,2,0),"")</f>
        <v/>
      </c>
      <c r="N7031" s="2" t="str">
        <f>IFERROR(VLOOKUP(ROWS($N$2:N7031),$D$2:$E$1996,2,0),"")</f>
        <v/>
      </c>
    </row>
    <row r="7032" spans="2:14">
      <c r="B7032" s="32">
        <f>IF(ISNUMBER(SEARCH('Φόρμα Εισαγωγής'!$B$2,C7032)),MAX($B$1:B7031)+1,0)</f>
        <v>0</v>
      </c>
      <c r="D7032" s="33">
        <f>IF(ISNUMBER(SEARCH('Φόρμα Εισαγωγής'!$C$2,E7032)),MAX($D$1:D7031)+1,0)</f>
        <v>0</v>
      </c>
      <c r="H7032" s="6">
        <f t="shared" si="338"/>
        <v>0</v>
      </c>
      <c r="I7032" s="6">
        <f t="shared" si="339"/>
        <v>0</v>
      </c>
      <c r="J7032" s="6">
        <f t="shared" si="340"/>
        <v>0</v>
      </c>
      <c r="L7032" s="4" t="str">
        <f>IFERROR(VLOOKUP(ROWS($L$2:L7032),$B$2:$C$1996,2,0),"")</f>
        <v/>
      </c>
      <c r="N7032" s="2" t="str">
        <f>IFERROR(VLOOKUP(ROWS($N$2:N7032),$D$2:$E$1996,2,0),"")</f>
        <v/>
      </c>
    </row>
    <row r="7033" spans="2:14">
      <c r="B7033" s="32">
        <f>IF(ISNUMBER(SEARCH('Φόρμα Εισαγωγής'!$B$2,C7033)),MAX($B$1:B7032)+1,0)</f>
        <v>0</v>
      </c>
      <c r="D7033" s="33">
        <f>IF(ISNUMBER(SEARCH('Φόρμα Εισαγωγής'!$C$2,E7033)),MAX($D$1:D7032)+1,0)</f>
        <v>0</v>
      </c>
      <c r="H7033" s="6">
        <f t="shared" si="338"/>
        <v>0</v>
      </c>
      <c r="I7033" s="6">
        <f t="shared" si="339"/>
        <v>0</v>
      </c>
      <c r="J7033" s="6">
        <f t="shared" si="340"/>
        <v>0</v>
      </c>
      <c r="L7033" s="4" t="str">
        <f>IFERROR(VLOOKUP(ROWS($L$2:L7033),$B$2:$C$1996,2,0),"")</f>
        <v/>
      </c>
      <c r="N7033" s="2" t="str">
        <f>IFERROR(VLOOKUP(ROWS($N$2:N7033),$D$2:$E$1996,2,0),"")</f>
        <v/>
      </c>
    </row>
    <row r="7034" spans="2:14">
      <c r="B7034" s="32">
        <f>IF(ISNUMBER(SEARCH('Φόρμα Εισαγωγής'!$B$2,C7034)),MAX($B$1:B7033)+1,0)</f>
        <v>0</v>
      </c>
      <c r="D7034" s="33">
        <f>IF(ISNUMBER(SEARCH('Φόρμα Εισαγωγής'!$C$2,E7034)),MAX($D$1:D7033)+1,0)</f>
        <v>0</v>
      </c>
      <c r="H7034" s="6">
        <f t="shared" si="338"/>
        <v>0</v>
      </c>
      <c r="I7034" s="6">
        <f t="shared" si="339"/>
        <v>0</v>
      </c>
      <c r="J7034" s="6">
        <f t="shared" si="340"/>
        <v>0</v>
      </c>
      <c r="L7034" s="4" t="str">
        <f>IFERROR(VLOOKUP(ROWS($L$2:L7034),$B$2:$C$1996,2,0),"")</f>
        <v/>
      </c>
      <c r="N7034" s="2" t="str">
        <f>IFERROR(VLOOKUP(ROWS($N$2:N7034),$D$2:$E$1996,2,0),"")</f>
        <v/>
      </c>
    </row>
    <row r="7035" spans="2:14">
      <c r="B7035" s="32">
        <f>IF(ISNUMBER(SEARCH('Φόρμα Εισαγωγής'!$B$2,C7035)),MAX($B$1:B7034)+1,0)</f>
        <v>0</v>
      </c>
      <c r="D7035" s="33">
        <f>IF(ISNUMBER(SEARCH('Φόρμα Εισαγωγής'!$C$2,E7035)),MAX($D$1:D7034)+1,0)</f>
        <v>0</v>
      </c>
      <c r="H7035" s="6">
        <f t="shared" si="338"/>
        <v>0</v>
      </c>
      <c r="I7035" s="6">
        <f t="shared" si="339"/>
        <v>0</v>
      </c>
      <c r="J7035" s="6">
        <f t="shared" si="340"/>
        <v>0</v>
      </c>
      <c r="L7035" s="4" t="str">
        <f>IFERROR(VLOOKUP(ROWS($L$2:L7035),$B$2:$C$1996,2,0),"")</f>
        <v/>
      </c>
      <c r="N7035" s="2" t="str">
        <f>IFERROR(VLOOKUP(ROWS($N$2:N7035),$D$2:$E$1996,2,0),"")</f>
        <v/>
      </c>
    </row>
    <row r="7036" spans="2:14">
      <c r="B7036" s="32">
        <f>IF(ISNUMBER(SEARCH('Φόρμα Εισαγωγής'!$B$2,C7036)),MAX($B$1:B7035)+1,0)</f>
        <v>0</v>
      </c>
      <c r="D7036" s="33">
        <f>IF(ISNUMBER(SEARCH('Φόρμα Εισαγωγής'!$C$2,E7036)),MAX($D$1:D7035)+1,0)</f>
        <v>0</v>
      </c>
      <c r="H7036" s="6">
        <f t="shared" si="338"/>
        <v>0</v>
      </c>
      <c r="I7036" s="6">
        <f t="shared" si="339"/>
        <v>0</v>
      </c>
      <c r="J7036" s="6">
        <f t="shared" si="340"/>
        <v>0</v>
      </c>
      <c r="L7036" s="4" t="str">
        <f>IFERROR(VLOOKUP(ROWS($L$2:L7036),$B$2:$C$1996,2,0),"")</f>
        <v/>
      </c>
      <c r="N7036" s="2" t="str">
        <f>IFERROR(VLOOKUP(ROWS($N$2:N7036),$D$2:$E$1996,2,0),"")</f>
        <v/>
      </c>
    </row>
    <row r="7037" spans="2:14">
      <c r="B7037" s="32">
        <f>IF(ISNUMBER(SEARCH('Φόρμα Εισαγωγής'!$B$2,C7037)),MAX($B$1:B7036)+1,0)</f>
        <v>0</v>
      </c>
      <c r="D7037" s="33">
        <f>IF(ISNUMBER(SEARCH('Φόρμα Εισαγωγής'!$C$2,E7037)),MAX($D$1:D7036)+1,0)</f>
        <v>0</v>
      </c>
      <c r="H7037" s="6">
        <f t="shared" si="338"/>
        <v>0</v>
      </c>
      <c r="I7037" s="6">
        <f t="shared" si="339"/>
        <v>0</v>
      </c>
      <c r="J7037" s="6">
        <f t="shared" si="340"/>
        <v>0</v>
      </c>
      <c r="L7037" s="4" t="str">
        <f>IFERROR(VLOOKUP(ROWS($L$2:L7037),$B$2:$C$1996,2,0),"")</f>
        <v/>
      </c>
      <c r="N7037" s="2" t="str">
        <f>IFERROR(VLOOKUP(ROWS($N$2:N7037),$D$2:$E$1996,2,0),"")</f>
        <v/>
      </c>
    </row>
    <row r="7038" spans="2:14">
      <c r="B7038" s="32">
        <f>IF(ISNUMBER(SEARCH('Φόρμα Εισαγωγής'!$B$2,C7038)),MAX($B$1:B7037)+1,0)</f>
        <v>0</v>
      </c>
      <c r="D7038" s="33">
        <f>IF(ISNUMBER(SEARCH('Φόρμα Εισαγωγής'!$C$2,E7038)),MAX($D$1:D7037)+1,0)</f>
        <v>0</v>
      </c>
      <c r="H7038" s="6">
        <f t="shared" si="338"/>
        <v>0</v>
      </c>
      <c r="I7038" s="6">
        <f t="shared" si="339"/>
        <v>0</v>
      </c>
      <c r="J7038" s="6">
        <f t="shared" si="340"/>
        <v>0</v>
      </c>
      <c r="L7038" s="4" t="str">
        <f>IFERROR(VLOOKUP(ROWS($L$2:L7038),$B$2:$C$1996,2,0),"")</f>
        <v/>
      </c>
      <c r="N7038" s="2" t="str">
        <f>IFERROR(VLOOKUP(ROWS($N$2:N7038),$D$2:$E$1996,2,0),"")</f>
        <v/>
      </c>
    </row>
    <row r="7039" spans="2:14">
      <c r="B7039" s="32">
        <f>IF(ISNUMBER(SEARCH('Φόρμα Εισαγωγής'!$B$2,C7039)),MAX($B$1:B7038)+1,0)</f>
        <v>0</v>
      </c>
      <c r="D7039" s="33">
        <f>IF(ISNUMBER(SEARCH('Φόρμα Εισαγωγής'!$C$2,E7039)),MAX($D$1:D7038)+1,0)</f>
        <v>0</v>
      </c>
      <c r="H7039" s="6">
        <f t="shared" si="338"/>
        <v>0</v>
      </c>
      <c r="I7039" s="6">
        <f t="shared" si="339"/>
        <v>0</v>
      </c>
      <c r="J7039" s="6">
        <f t="shared" si="340"/>
        <v>0</v>
      </c>
      <c r="L7039" s="4" t="str">
        <f>IFERROR(VLOOKUP(ROWS($L$2:L7039),$B$2:$C$1996,2,0),"")</f>
        <v/>
      </c>
      <c r="N7039" s="2" t="str">
        <f>IFERROR(VLOOKUP(ROWS($N$2:N7039),$D$2:$E$1996,2,0),"")</f>
        <v/>
      </c>
    </row>
    <row r="7040" spans="2:14">
      <c r="B7040" s="32">
        <f>IF(ISNUMBER(SEARCH('Φόρμα Εισαγωγής'!$B$2,C7040)),MAX($B$1:B7039)+1,0)</f>
        <v>0</v>
      </c>
      <c r="D7040" s="33">
        <f>IF(ISNUMBER(SEARCH('Φόρμα Εισαγωγής'!$C$2,E7040)),MAX($D$1:D7039)+1,0)</f>
        <v>0</v>
      </c>
      <c r="H7040" s="6">
        <f t="shared" ref="H7040:H7103" si="341">G7040+(G7040*0.24)</f>
        <v>0</v>
      </c>
      <c r="I7040" s="6">
        <f t="shared" ref="I7040:I7103" si="342">F7040*A7040</f>
        <v>0</v>
      </c>
      <c r="J7040" s="6">
        <f t="shared" ref="J7040:J7103" si="343">H7040*A7040</f>
        <v>0</v>
      </c>
      <c r="L7040" s="4" t="str">
        <f>IFERROR(VLOOKUP(ROWS($L$2:L7040),$B$2:$C$1996,2,0),"")</f>
        <v/>
      </c>
      <c r="N7040" s="2" t="str">
        <f>IFERROR(VLOOKUP(ROWS($N$2:N7040),$D$2:$E$1996,2,0),"")</f>
        <v/>
      </c>
    </row>
    <row r="7041" spans="2:14">
      <c r="B7041" s="32">
        <f>IF(ISNUMBER(SEARCH('Φόρμα Εισαγωγής'!$B$2,C7041)),MAX($B$1:B7040)+1,0)</f>
        <v>0</v>
      </c>
      <c r="D7041" s="33">
        <f>IF(ISNUMBER(SEARCH('Φόρμα Εισαγωγής'!$C$2,E7041)),MAX($D$1:D7040)+1,0)</f>
        <v>0</v>
      </c>
      <c r="H7041" s="6">
        <f t="shared" si="341"/>
        <v>0</v>
      </c>
      <c r="I7041" s="6">
        <f t="shared" si="342"/>
        <v>0</v>
      </c>
      <c r="J7041" s="6">
        <f t="shared" si="343"/>
        <v>0</v>
      </c>
      <c r="L7041" s="4" t="str">
        <f>IFERROR(VLOOKUP(ROWS($L$2:L7041),$B$2:$C$1996,2,0),"")</f>
        <v/>
      </c>
      <c r="N7041" s="2" t="str">
        <f>IFERROR(VLOOKUP(ROWS($N$2:N7041),$D$2:$E$1996,2,0),"")</f>
        <v/>
      </c>
    </row>
    <row r="7042" spans="2:14">
      <c r="B7042" s="32">
        <f>IF(ISNUMBER(SEARCH('Φόρμα Εισαγωγής'!$B$2,C7042)),MAX($B$1:B7041)+1,0)</f>
        <v>0</v>
      </c>
      <c r="D7042" s="33">
        <f>IF(ISNUMBER(SEARCH('Φόρμα Εισαγωγής'!$C$2,E7042)),MAX($D$1:D7041)+1,0)</f>
        <v>0</v>
      </c>
      <c r="H7042" s="6">
        <f t="shared" si="341"/>
        <v>0</v>
      </c>
      <c r="I7042" s="6">
        <f t="shared" si="342"/>
        <v>0</v>
      </c>
      <c r="J7042" s="6">
        <f t="shared" si="343"/>
        <v>0</v>
      </c>
      <c r="L7042" s="4" t="str">
        <f>IFERROR(VLOOKUP(ROWS($L$2:L7042),$B$2:$C$1996,2,0),"")</f>
        <v/>
      </c>
      <c r="N7042" s="2" t="str">
        <f>IFERROR(VLOOKUP(ROWS($N$2:N7042),$D$2:$E$1996,2,0),"")</f>
        <v/>
      </c>
    </row>
    <row r="7043" spans="2:14">
      <c r="B7043" s="32">
        <f>IF(ISNUMBER(SEARCH('Φόρμα Εισαγωγής'!$B$2,C7043)),MAX($B$1:B7042)+1,0)</f>
        <v>0</v>
      </c>
      <c r="D7043" s="33">
        <f>IF(ISNUMBER(SEARCH('Φόρμα Εισαγωγής'!$C$2,E7043)),MAX($D$1:D7042)+1,0)</f>
        <v>0</v>
      </c>
      <c r="H7043" s="6">
        <f t="shared" si="341"/>
        <v>0</v>
      </c>
      <c r="I7043" s="6">
        <f t="shared" si="342"/>
        <v>0</v>
      </c>
      <c r="J7043" s="6">
        <f t="shared" si="343"/>
        <v>0</v>
      </c>
      <c r="L7043" s="4" t="str">
        <f>IFERROR(VLOOKUP(ROWS($L$2:L7043),$B$2:$C$1996,2,0),"")</f>
        <v/>
      </c>
      <c r="N7043" s="2" t="str">
        <f>IFERROR(VLOOKUP(ROWS($N$2:N7043),$D$2:$E$1996,2,0),"")</f>
        <v/>
      </c>
    </row>
    <row r="7044" spans="2:14">
      <c r="B7044" s="32">
        <f>IF(ISNUMBER(SEARCH('Φόρμα Εισαγωγής'!$B$2,C7044)),MAX($B$1:B7043)+1,0)</f>
        <v>0</v>
      </c>
      <c r="D7044" s="33">
        <f>IF(ISNUMBER(SEARCH('Φόρμα Εισαγωγής'!$C$2,E7044)),MAX($D$1:D7043)+1,0)</f>
        <v>0</v>
      </c>
      <c r="H7044" s="6">
        <f t="shared" si="341"/>
        <v>0</v>
      </c>
      <c r="I7044" s="6">
        <f t="shared" si="342"/>
        <v>0</v>
      </c>
      <c r="J7044" s="6">
        <f t="shared" si="343"/>
        <v>0</v>
      </c>
      <c r="L7044" s="4" t="str">
        <f>IFERROR(VLOOKUP(ROWS($L$2:L7044),$B$2:$C$1996,2,0),"")</f>
        <v/>
      </c>
      <c r="N7044" s="2" t="str">
        <f>IFERROR(VLOOKUP(ROWS($N$2:N7044),$D$2:$E$1996,2,0),"")</f>
        <v/>
      </c>
    </row>
    <row r="7045" spans="2:14">
      <c r="B7045" s="32">
        <f>IF(ISNUMBER(SEARCH('Φόρμα Εισαγωγής'!$B$2,C7045)),MAX($B$1:B7044)+1,0)</f>
        <v>0</v>
      </c>
      <c r="D7045" s="33">
        <f>IF(ISNUMBER(SEARCH('Φόρμα Εισαγωγής'!$C$2,E7045)),MAX($D$1:D7044)+1,0)</f>
        <v>0</v>
      </c>
      <c r="H7045" s="6">
        <f t="shared" si="341"/>
        <v>0</v>
      </c>
      <c r="I7045" s="6">
        <f t="shared" si="342"/>
        <v>0</v>
      </c>
      <c r="J7045" s="6">
        <f t="shared" si="343"/>
        <v>0</v>
      </c>
      <c r="L7045" s="4" t="str">
        <f>IFERROR(VLOOKUP(ROWS($L$2:L7045),$B$2:$C$1996,2,0),"")</f>
        <v/>
      </c>
      <c r="N7045" s="2" t="str">
        <f>IFERROR(VLOOKUP(ROWS($N$2:N7045),$D$2:$E$1996,2,0),"")</f>
        <v/>
      </c>
    </row>
    <row r="7046" spans="2:14">
      <c r="B7046" s="32">
        <f>IF(ISNUMBER(SEARCH('Φόρμα Εισαγωγής'!$B$2,C7046)),MAX($B$1:B7045)+1,0)</f>
        <v>0</v>
      </c>
      <c r="D7046" s="33">
        <f>IF(ISNUMBER(SEARCH('Φόρμα Εισαγωγής'!$C$2,E7046)),MAX($D$1:D7045)+1,0)</f>
        <v>0</v>
      </c>
      <c r="H7046" s="6">
        <f t="shared" si="341"/>
        <v>0</v>
      </c>
      <c r="I7046" s="6">
        <f t="shared" si="342"/>
        <v>0</v>
      </c>
      <c r="J7046" s="6">
        <f t="shared" si="343"/>
        <v>0</v>
      </c>
      <c r="L7046" s="4" t="str">
        <f>IFERROR(VLOOKUP(ROWS($L$2:L7046),$B$2:$C$1996,2,0),"")</f>
        <v/>
      </c>
      <c r="N7046" s="2" t="str">
        <f>IFERROR(VLOOKUP(ROWS($N$2:N7046),$D$2:$E$1996,2,0),"")</f>
        <v/>
      </c>
    </row>
    <row r="7047" spans="2:14">
      <c r="B7047" s="32">
        <f>IF(ISNUMBER(SEARCH('Φόρμα Εισαγωγής'!$B$2,C7047)),MAX($B$1:B7046)+1,0)</f>
        <v>0</v>
      </c>
      <c r="D7047" s="33">
        <f>IF(ISNUMBER(SEARCH('Φόρμα Εισαγωγής'!$C$2,E7047)),MAX($D$1:D7046)+1,0)</f>
        <v>0</v>
      </c>
      <c r="H7047" s="6">
        <f t="shared" si="341"/>
        <v>0</v>
      </c>
      <c r="I7047" s="6">
        <f t="shared" si="342"/>
        <v>0</v>
      </c>
      <c r="J7047" s="6">
        <f t="shared" si="343"/>
        <v>0</v>
      </c>
      <c r="L7047" s="4" t="str">
        <f>IFERROR(VLOOKUP(ROWS($L$2:L7047),$B$2:$C$1996,2,0),"")</f>
        <v/>
      </c>
      <c r="N7047" s="2" t="str">
        <f>IFERROR(VLOOKUP(ROWS($N$2:N7047),$D$2:$E$1996,2,0),"")</f>
        <v/>
      </c>
    </row>
    <row r="7048" spans="2:14">
      <c r="B7048" s="32">
        <f>IF(ISNUMBER(SEARCH('Φόρμα Εισαγωγής'!$B$2,C7048)),MAX($B$1:B7047)+1,0)</f>
        <v>0</v>
      </c>
      <c r="D7048" s="33">
        <f>IF(ISNUMBER(SEARCH('Φόρμα Εισαγωγής'!$C$2,E7048)),MAX($D$1:D7047)+1,0)</f>
        <v>0</v>
      </c>
      <c r="H7048" s="6">
        <f t="shared" si="341"/>
        <v>0</v>
      </c>
      <c r="I7048" s="6">
        <f t="shared" si="342"/>
        <v>0</v>
      </c>
      <c r="J7048" s="6">
        <f t="shared" si="343"/>
        <v>0</v>
      </c>
      <c r="L7048" s="4" t="str">
        <f>IFERROR(VLOOKUP(ROWS($L$2:L7048),$B$2:$C$1996,2,0),"")</f>
        <v/>
      </c>
      <c r="N7048" s="2" t="str">
        <f>IFERROR(VLOOKUP(ROWS($N$2:N7048),$D$2:$E$1996,2,0),"")</f>
        <v/>
      </c>
    </row>
    <row r="7049" spans="2:14">
      <c r="B7049" s="32">
        <f>IF(ISNUMBER(SEARCH('Φόρμα Εισαγωγής'!$B$2,C7049)),MAX($B$1:B7048)+1,0)</f>
        <v>0</v>
      </c>
      <c r="D7049" s="33">
        <f>IF(ISNUMBER(SEARCH('Φόρμα Εισαγωγής'!$C$2,E7049)),MAX($D$1:D7048)+1,0)</f>
        <v>0</v>
      </c>
      <c r="H7049" s="6">
        <f t="shared" si="341"/>
        <v>0</v>
      </c>
      <c r="I7049" s="6">
        <f t="shared" si="342"/>
        <v>0</v>
      </c>
      <c r="J7049" s="6">
        <f t="shared" si="343"/>
        <v>0</v>
      </c>
      <c r="L7049" s="4" t="str">
        <f>IFERROR(VLOOKUP(ROWS($L$2:L7049),$B$2:$C$1996,2,0),"")</f>
        <v/>
      </c>
      <c r="N7049" s="2" t="str">
        <f>IFERROR(VLOOKUP(ROWS($N$2:N7049),$D$2:$E$1996,2,0),"")</f>
        <v/>
      </c>
    </row>
    <row r="7050" spans="2:14">
      <c r="B7050" s="32">
        <f>IF(ISNUMBER(SEARCH('Φόρμα Εισαγωγής'!$B$2,C7050)),MAX($B$1:B7049)+1,0)</f>
        <v>0</v>
      </c>
      <c r="D7050" s="33">
        <f>IF(ISNUMBER(SEARCH('Φόρμα Εισαγωγής'!$C$2,E7050)),MAX($D$1:D7049)+1,0)</f>
        <v>0</v>
      </c>
      <c r="H7050" s="6">
        <f t="shared" si="341"/>
        <v>0</v>
      </c>
      <c r="I7050" s="6">
        <f t="shared" si="342"/>
        <v>0</v>
      </c>
      <c r="J7050" s="6">
        <f t="shared" si="343"/>
        <v>0</v>
      </c>
      <c r="L7050" s="4" t="str">
        <f>IFERROR(VLOOKUP(ROWS($L$2:L7050),$B$2:$C$1996,2,0),"")</f>
        <v/>
      </c>
      <c r="N7050" s="2" t="str">
        <f>IFERROR(VLOOKUP(ROWS($N$2:N7050),$D$2:$E$1996,2,0),"")</f>
        <v/>
      </c>
    </row>
    <row r="7051" spans="2:14">
      <c r="B7051" s="32">
        <f>IF(ISNUMBER(SEARCH('Φόρμα Εισαγωγής'!$B$2,C7051)),MAX($B$1:B7050)+1,0)</f>
        <v>0</v>
      </c>
      <c r="D7051" s="33">
        <f>IF(ISNUMBER(SEARCH('Φόρμα Εισαγωγής'!$C$2,E7051)),MAX($D$1:D7050)+1,0)</f>
        <v>0</v>
      </c>
      <c r="H7051" s="6">
        <f t="shared" si="341"/>
        <v>0</v>
      </c>
      <c r="I7051" s="6">
        <f t="shared" si="342"/>
        <v>0</v>
      </c>
      <c r="J7051" s="6">
        <f t="shared" si="343"/>
        <v>0</v>
      </c>
      <c r="L7051" s="4" t="str">
        <f>IFERROR(VLOOKUP(ROWS($L$2:L7051),$B$2:$C$1996,2,0),"")</f>
        <v/>
      </c>
      <c r="N7051" s="2" t="str">
        <f>IFERROR(VLOOKUP(ROWS($N$2:N7051),$D$2:$E$1996,2,0),"")</f>
        <v/>
      </c>
    </row>
    <row r="7052" spans="2:14">
      <c r="B7052" s="32">
        <f>IF(ISNUMBER(SEARCH('Φόρμα Εισαγωγής'!$B$2,C7052)),MAX($B$1:B7051)+1,0)</f>
        <v>0</v>
      </c>
      <c r="D7052" s="33">
        <f>IF(ISNUMBER(SEARCH('Φόρμα Εισαγωγής'!$C$2,E7052)),MAX($D$1:D7051)+1,0)</f>
        <v>0</v>
      </c>
      <c r="H7052" s="6">
        <f t="shared" si="341"/>
        <v>0</v>
      </c>
      <c r="I7052" s="6">
        <f t="shared" si="342"/>
        <v>0</v>
      </c>
      <c r="J7052" s="6">
        <f t="shared" si="343"/>
        <v>0</v>
      </c>
      <c r="L7052" s="4" t="str">
        <f>IFERROR(VLOOKUP(ROWS($L$2:L7052),$B$2:$C$1996,2,0),"")</f>
        <v/>
      </c>
      <c r="N7052" s="2" t="str">
        <f>IFERROR(VLOOKUP(ROWS($N$2:N7052),$D$2:$E$1996,2,0),"")</f>
        <v/>
      </c>
    </row>
    <row r="7053" spans="2:14">
      <c r="B7053" s="32">
        <f>IF(ISNUMBER(SEARCH('Φόρμα Εισαγωγής'!$B$2,C7053)),MAX($B$1:B7052)+1,0)</f>
        <v>0</v>
      </c>
      <c r="D7053" s="33">
        <f>IF(ISNUMBER(SEARCH('Φόρμα Εισαγωγής'!$C$2,E7053)),MAX($D$1:D7052)+1,0)</f>
        <v>0</v>
      </c>
      <c r="H7053" s="6">
        <f t="shared" si="341"/>
        <v>0</v>
      </c>
      <c r="I7053" s="6">
        <f t="shared" si="342"/>
        <v>0</v>
      </c>
      <c r="J7053" s="6">
        <f t="shared" si="343"/>
        <v>0</v>
      </c>
      <c r="L7053" s="4" t="str">
        <f>IFERROR(VLOOKUP(ROWS($L$2:L7053),$B$2:$C$1996,2,0),"")</f>
        <v/>
      </c>
      <c r="N7053" s="2" t="str">
        <f>IFERROR(VLOOKUP(ROWS($N$2:N7053),$D$2:$E$1996,2,0),"")</f>
        <v/>
      </c>
    </row>
    <row r="7054" spans="2:14">
      <c r="B7054" s="32">
        <f>IF(ISNUMBER(SEARCH('Φόρμα Εισαγωγής'!$B$2,C7054)),MAX($B$1:B7053)+1,0)</f>
        <v>0</v>
      </c>
      <c r="D7054" s="33">
        <f>IF(ISNUMBER(SEARCH('Φόρμα Εισαγωγής'!$C$2,E7054)),MAX($D$1:D7053)+1,0)</f>
        <v>0</v>
      </c>
      <c r="H7054" s="6">
        <f t="shared" si="341"/>
        <v>0</v>
      </c>
      <c r="I7054" s="6">
        <f t="shared" si="342"/>
        <v>0</v>
      </c>
      <c r="J7054" s="6">
        <f t="shared" si="343"/>
        <v>0</v>
      </c>
      <c r="L7054" s="4" t="str">
        <f>IFERROR(VLOOKUP(ROWS($L$2:L7054),$B$2:$C$1996,2,0),"")</f>
        <v/>
      </c>
      <c r="N7054" s="2" t="str">
        <f>IFERROR(VLOOKUP(ROWS($N$2:N7054),$D$2:$E$1996,2,0),"")</f>
        <v/>
      </c>
    </row>
    <row r="7055" spans="2:14">
      <c r="B7055" s="32">
        <f>IF(ISNUMBER(SEARCH('Φόρμα Εισαγωγής'!$B$2,C7055)),MAX($B$1:B7054)+1,0)</f>
        <v>0</v>
      </c>
      <c r="D7055" s="33">
        <f>IF(ISNUMBER(SEARCH('Φόρμα Εισαγωγής'!$C$2,E7055)),MAX($D$1:D7054)+1,0)</f>
        <v>0</v>
      </c>
      <c r="H7055" s="6">
        <f t="shared" si="341"/>
        <v>0</v>
      </c>
      <c r="I7055" s="6">
        <f t="shared" si="342"/>
        <v>0</v>
      </c>
      <c r="J7055" s="6">
        <f t="shared" si="343"/>
        <v>0</v>
      </c>
      <c r="L7055" s="4" t="str">
        <f>IFERROR(VLOOKUP(ROWS($L$2:L7055),$B$2:$C$1996,2,0),"")</f>
        <v/>
      </c>
      <c r="N7055" s="2" t="str">
        <f>IFERROR(VLOOKUP(ROWS($N$2:N7055),$D$2:$E$1996,2,0),"")</f>
        <v/>
      </c>
    </row>
    <row r="7056" spans="2:14">
      <c r="B7056" s="32">
        <f>IF(ISNUMBER(SEARCH('Φόρμα Εισαγωγής'!$B$2,C7056)),MAX($B$1:B7055)+1,0)</f>
        <v>0</v>
      </c>
      <c r="D7056" s="33">
        <f>IF(ISNUMBER(SEARCH('Φόρμα Εισαγωγής'!$C$2,E7056)),MAX($D$1:D7055)+1,0)</f>
        <v>0</v>
      </c>
      <c r="H7056" s="6">
        <f t="shared" si="341"/>
        <v>0</v>
      </c>
      <c r="I7056" s="6">
        <f t="shared" si="342"/>
        <v>0</v>
      </c>
      <c r="J7056" s="6">
        <f t="shared" si="343"/>
        <v>0</v>
      </c>
      <c r="L7056" s="4" t="str">
        <f>IFERROR(VLOOKUP(ROWS($L$2:L7056),$B$2:$C$1996,2,0),"")</f>
        <v/>
      </c>
      <c r="N7056" s="2" t="str">
        <f>IFERROR(VLOOKUP(ROWS($N$2:N7056),$D$2:$E$1996,2,0),"")</f>
        <v/>
      </c>
    </row>
    <row r="7057" spans="2:14">
      <c r="B7057" s="32">
        <f>IF(ISNUMBER(SEARCH('Φόρμα Εισαγωγής'!$B$2,C7057)),MAX($B$1:B7056)+1,0)</f>
        <v>0</v>
      </c>
      <c r="D7057" s="33">
        <f>IF(ISNUMBER(SEARCH('Φόρμα Εισαγωγής'!$C$2,E7057)),MAX($D$1:D7056)+1,0)</f>
        <v>0</v>
      </c>
      <c r="H7057" s="6">
        <f t="shared" si="341"/>
        <v>0</v>
      </c>
      <c r="I7057" s="6">
        <f t="shared" si="342"/>
        <v>0</v>
      </c>
      <c r="J7057" s="6">
        <f t="shared" si="343"/>
        <v>0</v>
      </c>
      <c r="L7057" s="4" t="str">
        <f>IFERROR(VLOOKUP(ROWS($L$2:L7057),$B$2:$C$1996,2,0),"")</f>
        <v/>
      </c>
      <c r="N7057" s="2" t="str">
        <f>IFERROR(VLOOKUP(ROWS($N$2:N7057),$D$2:$E$1996,2,0),"")</f>
        <v/>
      </c>
    </row>
    <row r="7058" spans="2:14">
      <c r="B7058" s="32">
        <f>IF(ISNUMBER(SEARCH('Φόρμα Εισαγωγής'!$B$2,C7058)),MAX($B$1:B7057)+1,0)</f>
        <v>0</v>
      </c>
      <c r="D7058" s="33">
        <f>IF(ISNUMBER(SEARCH('Φόρμα Εισαγωγής'!$C$2,E7058)),MAX($D$1:D7057)+1,0)</f>
        <v>0</v>
      </c>
      <c r="H7058" s="6">
        <f t="shared" si="341"/>
        <v>0</v>
      </c>
      <c r="I7058" s="6">
        <f t="shared" si="342"/>
        <v>0</v>
      </c>
      <c r="J7058" s="6">
        <f t="shared" si="343"/>
        <v>0</v>
      </c>
      <c r="L7058" s="4" t="str">
        <f>IFERROR(VLOOKUP(ROWS($L$2:L7058),$B$2:$C$1996,2,0),"")</f>
        <v/>
      </c>
      <c r="N7058" s="2" t="str">
        <f>IFERROR(VLOOKUP(ROWS($N$2:N7058),$D$2:$E$1996,2,0),"")</f>
        <v/>
      </c>
    </row>
    <row r="7059" spans="2:14">
      <c r="B7059" s="32">
        <f>IF(ISNUMBER(SEARCH('Φόρμα Εισαγωγής'!$B$2,C7059)),MAX($B$1:B7058)+1,0)</f>
        <v>0</v>
      </c>
      <c r="D7059" s="33">
        <f>IF(ISNUMBER(SEARCH('Φόρμα Εισαγωγής'!$C$2,E7059)),MAX($D$1:D7058)+1,0)</f>
        <v>0</v>
      </c>
      <c r="H7059" s="6">
        <f t="shared" si="341"/>
        <v>0</v>
      </c>
      <c r="I7059" s="6">
        <f t="shared" si="342"/>
        <v>0</v>
      </c>
      <c r="J7059" s="6">
        <f t="shared" si="343"/>
        <v>0</v>
      </c>
      <c r="L7059" s="4" t="str">
        <f>IFERROR(VLOOKUP(ROWS($L$2:L7059),$B$2:$C$1996,2,0),"")</f>
        <v/>
      </c>
      <c r="N7059" s="2" t="str">
        <f>IFERROR(VLOOKUP(ROWS($N$2:N7059),$D$2:$E$1996,2,0),"")</f>
        <v/>
      </c>
    </row>
    <row r="7060" spans="2:14">
      <c r="B7060" s="32">
        <f>IF(ISNUMBER(SEARCH('Φόρμα Εισαγωγής'!$B$2,C7060)),MAX($B$1:B7059)+1,0)</f>
        <v>0</v>
      </c>
      <c r="D7060" s="33">
        <f>IF(ISNUMBER(SEARCH('Φόρμα Εισαγωγής'!$C$2,E7060)),MAX($D$1:D7059)+1,0)</f>
        <v>0</v>
      </c>
      <c r="H7060" s="6">
        <f t="shared" si="341"/>
        <v>0</v>
      </c>
      <c r="I7060" s="6">
        <f t="shared" si="342"/>
        <v>0</v>
      </c>
      <c r="J7060" s="6">
        <f t="shared" si="343"/>
        <v>0</v>
      </c>
      <c r="L7060" s="4" t="str">
        <f>IFERROR(VLOOKUP(ROWS($L$2:L7060),$B$2:$C$1996,2,0),"")</f>
        <v/>
      </c>
      <c r="N7060" s="2" t="str">
        <f>IFERROR(VLOOKUP(ROWS($N$2:N7060),$D$2:$E$1996,2,0),"")</f>
        <v/>
      </c>
    </row>
    <row r="7061" spans="2:14">
      <c r="B7061" s="32">
        <f>IF(ISNUMBER(SEARCH('Φόρμα Εισαγωγής'!$B$2,C7061)),MAX($B$1:B7060)+1,0)</f>
        <v>0</v>
      </c>
      <c r="D7061" s="33">
        <f>IF(ISNUMBER(SEARCH('Φόρμα Εισαγωγής'!$C$2,E7061)),MAX($D$1:D7060)+1,0)</f>
        <v>0</v>
      </c>
      <c r="H7061" s="6">
        <f t="shared" si="341"/>
        <v>0</v>
      </c>
      <c r="I7061" s="6">
        <f t="shared" si="342"/>
        <v>0</v>
      </c>
      <c r="J7061" s="6">
        <f t="shared" si="343"/>
        <v>0</v>
      </c>
      <c r="L7061" s="4" t="str">
        <f>IFERROR(VLOOKUP(ROWS($L$2:L7061),$B$2:$C$1996,2,0),"")</f>
        <v/>
      </c>
      <c r="N7061" s="2" t="str">
        <f>IFERROR(VLOOKUP(ROWS($N$2:N7061),$D$2:$E$1996,2,0),"")</f>
        <v/>
      </c>
    </row>
    <row r="7062" spans="2:14">
      <c r="B7062" s="32">
        <f>IF(ISNUMBER(SEARCH('Φόρμα Εισαγωγής'!$B$2,C7062)),MAX($B$1:B7061)+1,0)</f>
        <v>0</v>
      </c>
      <c r="D7062" s="33">
        <f>IF(ISNUMBER(SEARCH('Φόρμα Εισαγωγής'!$C$2,E7062)),MAX($D$1:D7061)+1,0)</f>
        <v>0</v>
      </c>
      <c r="H7062" s="6">
        <f t="shared" si="341"/>
        <v>0</v>
      </c>
      <c r="I7062" s="6">
        <f t="shared" si="342"/>
        <v>0</v>
      </c>
      <c r="J7062" s="6">
        <f t="shared" si="343"/>
        <v>0</v>
      </c>
      <c r="L7062" s="4" t="str">
        <f>IFERROR(VLOOKUP(ROWS($L$2:L7062),$B$2:$C$1996,2,0),"")</f>
        <v/>
      </c>
      <c r="N7062" s="2" t="str">
        <f>IFERROR(VLOOKUP(ROWS($N$2:N7062),$D$2:$E$1996,2,0),"")</f>
        <v/>
      </c>
    </row>
    <row r="7063" spans="2:14">
      <c r="B7063" s="32">
        <f>IF(ISNUMBER(SEARCH('Φόρμα Εισαγωγής'!$B$2,C7063)),MAX($B$1:B7062)+1,0)</f>
        <v>0</v>
      </c>
      <c r="D7063" s="33">
        <f>IF(ISNUMBER(SEARCH('Φόρμα Εισαγωγής'!$C$2,E7063)),MAX($D$1:D7062)+1,0)</f>
        <v>0</v>
      </c>
      <c r="H7063" s="6">
        <f t="shared" si="341"/>
        <v>0</v>
      </c>
      <c r="I7063" s="6">
        <f t="shared" si="342"/>
        <v>0</v>
      </c>
      <c r="J7063" s="6">
        <f t="shared" si="343"/>
        <v>0</v>
      </c>
      <c r="L7063" s="4" t="str">
        <f>IFERROR(VLOOKUP(ROWS($L$2:L7063),$B$2:$C$1996,2,0),"")</f>
        <v/>
      </c>
      <c r="N7063" s="2" t="str">
        <f>IFERROR(VLOOKUP(ROWS($N$2:N7063),$D$2:$E$1996,2,0),"")</f>
        <v/>
      </c>
    </row>
    <row r="7064" spans="2:14">
      <c r="B7064" s="32">
        <f>IF(ISNUMBER(SEARCH('Φόρμα Εισαγωγής'!$B$2,C7064)),MAX($B$1:B7063)+1,0)</f>
        <v>0</v>
      </c>
      <c r="D7064" s="33">
        <f>IF(ISNUMBER(SEARCH('Φόρμα Εισαγωγής'!$C$2,E7064)),MAX($D$1:D7063)+1,0)</f>
        <v>0</v>
      </c>
      <c r="H7064" s="6">
        <f t="shared" si="341"/>
        <v>0</v>
      </c>
      <c r="I7064" s="6">
        <f t="shared" si="342"/>
        <v>0</v>
      </c>
      <c r="J7064" s="6">
        <f t="shared" si="343"/>
        <v>0</v>
      </c>
      <c r="L7064" s="4" t="str">
        <f>IFERROR(VLOOKUP(ROWS($L$2:L7064),$B$2:$C$1996,2,0),"")</f>
        <v/>
      </c>
      <c r="N7064" s="2" t="str">
        <f>IFERROR(VLOOKUP(ROWS($N$2:N7064),$D$2:$E$1996,2,0),"")</f>
        <v/>
      </c>
    </row>
    <row r="7065" spans="2:14">
      <c r="B7065" s="32">
        <f>IF(ISNUMBER(SEARCH('Φόρμα Εισαγωγής'!$B$2,C7065)),MAX($B$1:B7064)+1,0)</f>
        <v>0</v>
      </c>
      <c r="D7065" s="33">
        <f>IF(ISNUMBER(SEARCH('Φόρμα Εισαγωγής'!$C$2,E7065)),MAX($D$1:D7064)+1,0)</f>
        <v>0</v>
      </c>
      <c r="H7065" s="6">
        <f t="shared" si="341"/>
        <v>0</v>
      </c>
      <c r="I7065" s="6">
        <f t="shared" si="342"/>
        <v>0</v>
      </c>
      <c r="J7065" s="6">
        <f t="shared" si="343"/>
        <v>0</v>
      </c>
      <c r="L7065" s="4" t="str">
        <f>IFERROR(VLOOKUP(ROWS($L$2:L7065),$B$2:$C$1996,2,0),"")</f>
        <v/>
      </c>
      <c r="N7065" s="2" t="str">
        <f>IFERROR(VLOOKUP(ROWS($N$2:N7065),$D$2:$E$1996,2,0),"")</f>
        <v/>
      </c>
    </row>
    <row r="7066" spans="2:14">
      <c r="B7066" s="32">
        <f>IF(ISNUMBER(SEARCH('Φόρμα Εισαγωγής'!$B$2,C7066)),MAX($B$1:B7065)+1,0)</f>
        <v>0</v>
      </c>
      <c r="D7066" s="33">
        <f>IF(ISNUMBER(SEARCH('Φόρμα Εισαγωγής'!$C$2,E7066)),MAX($D$1:D7065)+1,0)</f>
        <v>0</v>
      </c>
      <c r="H7066" s="6">
        <f t="shared" si="341"/>
        <v>0</v>
      </c>
      <c r="I7066" s="6">
        <f t="shared" si="342"/>
        <v>0</v>
      </c>
      <c r="J7066" s="6">
        <f t="shared" si="343"/>
        <v>0</v>
      </c>
      <c r="L7066" s="4" t="str">
        <f>IFERROR(VLOOKUP(ROWS($L$2:L7066),$B$2:$C$1996,2,0),"")</f>
        <v/>
      </c>
      <c r="N7066" s="2" t="str">
        <f>IFERROR(VLOOKUP(ROWS($N$2:N7066),$D$2:$E$1996,2,0),"")</f>
        <v/>
      </c>
    </row>
    <row r="7067" spans="2:14">
      <c r="B7067" s="32">
        <f>IF(ISNUMBER(SEARCH('Φόρμα Εισαγωγής'!$B$2,C7067)),MAX($B$1:B7066)+1,0)</f>
        <v>0</v>
      </c>
      <c r="D7067" s="33">
        <f>IF(ISNUMBER(SEARCH('Φόρμα Εισαγωγής'!$C$2,E7067)),MAX($D$1:D7066)+1,0)</f>
        <v>0</v>
      </c>
      <c r="H7067" s="6">
        <f t="shared" si="341"/>
        <v>0</v>
      </c>
      <c r="I7067" s="6">
        <f t="shared" si="342"/>
        <v>0</v>
      </c>
      <c r="J7067" s="6">
        <f t="shared" si="343"/>
        <v>0</v>
      </c>
      <c r="L7067" s="4" t="str">
        <f>IFERROR(VLOOKUP(ROWS($L$2:L7067),$B$2:$C$1996,2,0),"")</f>
        <v/>
      </c>
      <c r="N7067" s="2" t="str">
        <f>IFERROR(VLOOKUP(ROWS($N$2:N7067),$D$2:$E$1996,2,0),"")</f>
        <v/>
      </c>
    </row>
    <row r="7068" spans="2:14">
      <c r="B7068" s="32">
        <f>IF(ISNUMBER(SEARCH('Φόρμα Εισαγωγής'!$B$2,C7068)),MAX($B$1:B7067)+1,0)</f>
        <v>0</v>
      </c>
      <c r="D7068" s="33">
        <f>IF(ISNUMBER(SEARCH('Φόρμα Εισαγωγής'!$C$2,E7068)),MAX($D$1:D7067)+1,0)</f>
        <v>0</v>
      </c>
      <c r="H7068" s="6">
        <f t="shared" si="341"/>
        <v>0</v>
      </c>
      <c r="I7068" s="6">
        <f t="shared" si="342"/>
        <v>0</v>
      </c>
      <c r="J7068" s="6">
        <f t="shared" si="343"/>
        <v>0</v>
      </c>
      <c r="L7068" s="4" t="str">
        <f>IFERROR(VLOOKUP(ROWS($L$2:L7068),$B$2:$C$1996,2,0),"")</f>
        <v/>
      </c>
      <c r="N7068" s="2" t="str">
        <f>IFERROR(VLOOKUP(ROWS($N$2:N7068),$D$2:$E$1996,2,0),"")</f>
        <v/>
      </c>
    </row>
    <row r="7069" spans="2:14">
      <c r="B7069" s="32">
        <f>IF(ISNUMBER(SEARCH('Φόρμα Εισαγωγής'!$B$2,C7069)),MAX($B$1:B7068)+1,0)</f>
        <v>0</v>
      </c>
      <c r="D7069" s="33">
        <f>IF(ISNUMBER(SEARCH('Φόρμα Εισαγωγής'!$C$2,E7069)),MAX($D$1:D7068)+1,0)</f>
        <v>0</v>
      </c>
      <c r="H7069" s="6">
        <f t="shared" si="341"/>
        <v>0</v>
      </c>
      <c r="I7069" s="6">
        <f t="shared" si="342"/>
        <v>0</v>
      </c>
      <c r="J7069" s="6">
        <f t="shared" si="343"/>
        <v>0</v>
      </c>
      <c r="L7069" s="4" t="str">
        <f>IFERROR(VLOOKUP(ROWS($L$2:L7069),$B$2:$C$1996,2,0),"")</f>
        <v/>
      </c>
      <c r="N7069" s="2" t="str">
        <f>IFERROR(VLOOKUP(ROWS($N$2:N7069),$D$2:$E$1996,2,0),"")</f>
        <v/>
      </c>
    </row>
    <row r="7070" spans="2:14">
      <c r="B7070" s="32">
        <f>IF(ISNUMBER(SEARCH('Φόρμα Εισαγωγής'!$B$2,C7070)),MAX($B$1:B7069)+1,0)</f>
        <v>0</v>
      </c>
      <c r="D7070" s="33">
        <f>IF(ISNUMBER(SEARCH('Φόρμα Εισαγωγής'!$C$2,E7070)),MAX($D$1:D7069)+1,0)</f>
        <v>0</v>
      </c>
      <c r="H7070" s="6">
        <f t="shared" si="341"/>
        <v>0</v>
      </c>
      <c r="I7070" s="6">
        <f t="shared" si="342"/>
        <v>0</v>
      </c>
      <c r="J7070" s="6">
        <f t="shared" si="343"/>
        <v>0</v>
      </c>
      <c r="L7070" s="4" t="str">
        <f>IFERROR(VLOOKUP(ROWS($L$2:L7070),$B$2:$C$1996,2,0),"")</f>
        <v/>
      </c>
      <c r="N7070" s="2" t="str">
        <f>IFERROR(VLOOKUP(ROWS($N$2:N7070),$D$2:$E$1996,2,0),"")</f>
        <v/>
      </c>
    </row>
    <row r="7071" spans="2:14">
      <c r="B7071" s="32">
        <f>IF(ISNUMBER(SEARCH('Φόρμα Εισαγωγής'!$B$2,C7071)),MAX($B$1:B7070)+1,0)</f>
        <v>0</v>
      </c>
      <c r="D7071" s="33">
        <f>IF(ISNUMBER(SEARCH('Φόρμα Εισαγωγής'!$C$2,E7071)),MAX($D$1:D7070)+1,0)</f>
        <v>0</v>
      </c>
      <c r="H7071" s="6">
        <f t="shared" si="341"/>
        <v>0</v>
      </c>
      <c r="I7071" s="6">
        <f t="shared" si="342"/>
        <v>0</v>
      </c>
      <c r="J7071" s="6">
        <f t="shared" si="343"/>
        <v>0</v>
      </c>
      <c r="L7071" s="4" t="str">
        <f>IFERROR(VLOOKUP(ROWS($L$2:L7071),$B$2:$C$1996,2,0),"")</f>
        <v/>
      </c>
      <c r="N7071" s="2" t="str">
        <f>IFERROR(VLOOKUP(ROWS($N$2:N7071),$D$2:$E$1996,2,0),"")</f>
        <v/>
      </c>
    </row>
    <row r="7072" spans="2:14">
      <c r="B7072" s="32">
        <f>IF(ISNUMBER(SEARCH('Φόρμα Εισαγωγής'!$B$2,C7072)),MAX($B$1:B7071)+1,0)</f>
        <v>0</v>
      </c>
      <c r="D7072" s="33">
        <f>IF(ISNUMBER(SEARCH('Φόρμα Εισαγωγής'!$C$2,E7072)),MAX($D$1:D7071)+1,0)</f>
        <v>0</v>
      </c>
      <c r="H7072" s="6">
        <f t="shared" si="341"/>
        <v>0</v>
      </c>
      <c r="I7072" s="6">
        <f t="shared" si="342"/>
        <v>0</v>
      </c>
      <c r="J7072" s="6">
        <f t="shared" si="343"/>
        <v>0</v>
      </c>
      <c r="L7072" s="4" t="str">
        <f>IFERROR(VLOOKUP(ROWS($L$2:L7072),$B$2:$C$1996,2,0),"")</f>
        <v/>
      </c>
      <c r="N7072" s="2" t="str">
        <f>IFERROR(VLOOKUP(ROWS($N$2:N7072),$D$2:$E$1996,2,0),"")</f>
        <v/>
      </c>
    </row>
    <row r="7073" spans="2:14">
      <c r="B7073" s="32">
        <f>IF(ISNUMBER(SEARCH('Φόρμα Εισαγωγής'!$B$2,C7073)),MAX($B$1:B7072)+1,0)</f>
        <v>0</v>
      </c>
      <c r="D7073" s="33">
        <f>IF(ISNUMBER(SEARCH('Φόρμα Εισαγωγής'!$C$2,E7073)),MAX($D$1:D7072)+1,0)</f>
        <v>0</v>
      </c>
      <c r="H7073" s="6">
        <f t="shared" si="341"/>
        <v>0</v>
      </c>
      <c r="I7073" s="6">
        <f t="shared" si="342"/>
        <v>0</v>
      </c>
      <c r="J7073" s="6">
        <f t="shared" si="343"/>
        <v>0</v>
      </c>
      <c r="L7073" s="4" t="str">
        <f>IFERROR(VLOOKUP(ROWS($L$2:L7073),$B$2:$C$1996,2,0),"")</f>
        <v/>
      </c>
      <c r="N7073" s="2" t="str">
        <f>IFERROR(VLOOKUP(ROWS($N$2:N7073),$D$2:$E$1996,2,0),"")</f>
        <v/>
      </c>
    </row>
    <row r="7074" spans="2:14">
      <c r="B7074" s="32">
        <f>IF(ISNUMBER(SEARCH('Φόρμα Εισαγωγής'!$B$2,C7074)),MAX($B$1:B7073)+1,0)</f>
        <v>0</v>
      </c>
      <c r="D7074" s="33">
        <f>IF(ISNUMBER(SEARCH('Φόρμα Εισαγωγής'!$C$2,E7074)),MAX($D$1:D7073)+1,0)</f>
        <v>0</v>
      </c>
      <c r="H7074" s="6">
        <f t="shared" si="341"/>
        <v>0</v>
      </c>
      <c r="I7074" s="6">
        <f t="shared" si="342"/>
        <v>0</v>
      </c>
      <c r="J7074" s="6">
        <f t="shared" si="343"/>
        <v>0</v>
      </c>
      <c r="L7074" s="4" t="str">
        <f>IFERROR(VLOOKUP(ROWS($L$2:L7074),$B$2:$C$1996,2,0),"")</f>
        <v/>
      </c>
      <c r="N7074" s="2" t="str">
        <f>IFERROR(VLOOKUP(ROWS($N$2:N7074),$D$2:$E$1996,2,0),"")</f>
        <v/>
      </c>
    </row>
    <row r="7075" spans="2:14">
      <c r="B7075" s="32">
        <f>IF(ISNUMBER(SEARCH('Φόρμα Εισαγωγής'!$B$2,C7075)),MAX($B$1:B7074)+1,0)</f>
        <v>0</v>
      </c>
      <c r="D7075" s="33">
        <f>IF(ISNUMBER(SEARCH('Φόρμα Εισαγωγής'!$C$2,E7075)),MAX($D$1:D7074)+1,0)</f>
        <v>0</v>
      </c>
      <c r="H7075" s="6">
        <f t="shared" si="341"/>
        <v>0</v>
      </c>
      <c r="I7075" s="6">
        <f t="shared" si="342"/>
        <v>0</v>
      </c>
      <c r="J7075" s="6">
        <f t="shared" si="343"/>
        <v>0</v>
      </c>
      <c r="L7075" s="4" t="str">
        <f>IFERROR(VLOOKUP(ROWS($L$2:L7075),$B$2:$C$1996,2,0),"")</f>
        <v/>
      </c>
      <c r="N7075" s="2" t="str">
        <f>IFERROR(VLOOKUP(ROWS($N$2:N7075),$D$2:$E$1996,2,0),"")</f>
        <v/>
      </c>
    </row>
    <row r="7076" spans="2:14">
      <c r="B7076" s="32">
        <f>IF(ISNUMBER(SEARCH('Φόρμα Εισαγωγής'!$B$2,C7076)),MAX($B$1:B7075)+1,0)</f>
        <v>0</v>
      </c>
      <c r="D7076" s="33">
        <f>IF(ISNUMBER(SEARCH('Φόρμα Εισαγωγής'!$C$2,E7076)),MAX($D$1:D7075)+1,0)</f>
        <v>0</v>
      </c>
      <c r="H7076" s="6">
        <f t="shared" si="341"/>
        <v>0</v>
      </c>
      <c r="I7076" s="6">
        <f t="shared" si="342"/>
        <v>0</v>
      </c>
      <c r="J7076" s="6">
        <f t="shared" si="343"/>
        <v>0</v>
      </c>
      <c r="L7076" s="4" t="str">
        <f>IFERROR(VLOOKUP(ROWS($L$2:L7076),$B$2:$C$1996,2,0),"")</f>
        <v/>
      </c>
      <c r="N7076" s="2" t="str">
        <f>IFERROR(VLOOKUP(ROWS($N$2:N7076),$D$2:$E$1996,2,0),"")</f>
        <v/>
      </c>
    </row>
    <row r="7077" spans="2:14">
      <c r="B7077" s="32">
        <f>IF(ISNUMBER(SEARCH('Φόρμα Εισαγωγής'!$B$2,C7077)),MAX($B$1:B7076)+1,0)</f>
        <v>0</v>
      </c>
      <c r="D7077" s="33">
        <f>IF(ISNUMBER(SEARCH('Φόρμα Εισαγωγής'!$C$2,E7077)),MAX($D$1:D7076)+1,0)</f>
        <v>0</v>
      </c>
      <c r="H7077" s="6">
        <f t="shared" si="341"/>
        <v>0</v>
      </c>
      <c r="I7077" s="6">
        <f t="shared" si="342"/>
        <v>0</v>
      </c>
      <c r="J7077" s="6">
        <f t="shared" si="343"/>
        <v>0</v>
      </c>
      <c r="L7077" s="4" t="str">
        <f>IFERROR(VLOOKUP(ROWS($L$2:L7077),$B$2:$C$1996,2,0),"")</f>
        <v/>
      </c>
      <c r="N7077" s="2" t="str">
        <f>IFERROR(VLOOKUP(ROWS($N$2:N7077),$D$2:$E$1996,2,0),"")</f>
        <v/>
      </c>
    </row>
    <row r="7078" spans="2:14">
      <c r="B7078" s="32">
        <f>IF(ISNUMBER(SEARCH('Φόρμα Εισαγωγής'!$B$2,C7078)),MAX($B$1:B7077)+1,0)</f>
        <v>0</v>
      </c>
      <c r="D7078" s="33">
        <f>IF(ISNUMBER(SEARCH('Φόρμα Εισαγωγής'!$C$2,E7078)),MAX($D$1:D7077)+1,0)</f>
        <v>0</v>
      </c>
      <c r="H7078" s="6">
        <f t="shared" si="341"/>
        <v>0</v>
      </c>
      <c r="I7078" s="6">
        <f t="shared" si="342"/>
        <v>0</v>
      </c>
      <c r="J7078" s="6">
        <f t="shared" si="343"/>
        <v>0</v>
      </c>
      <c r="L7078" s="4" t="str">
        <f>IFERROR(VLOOKUP(ROWS($L$2:L7078),$B$2:$C$1996,2,0),"")</f>
        <v/>
      </c>
      <c r="N7078" s="2" t="str">
        <f>IFERROR(VLOOKUP(ROWS($N$2:N7078),$D$2:$E$1996,2,0),"")</f>
        <v/>
      </c>
    </row>
    <row r="7079" spans="2:14">
      <c r="B7079" s="32">
        <f>IF(ISNUMBER(SEARCH('Φόρμα Εισαγωγής'!$B$2,C7079)),MAX($B$1:B7078)+1,0)</f>
        <v>0</v>
      </c>
      <c r="D7079" s="33">
        <f>IF(ISNUMBER(SEARCH('Φόρμα Εισαγωγής'!$C$2,E7079)),MAX($D$1:D7078)+1,0)</f>
        <v>0</v>
      </c>
      <c r="H7079" s="6">
        <f t="shared" si="341"/>
        <v>0</v>
      </c>
      <c r="I7079" s="6">
        <f t="shared" si="342"/>
        <v>0</v>
      </c>
      <c r="J7079" s="6">
        <f t="shared" si="343"/>
        <v>0</v>
      </c>
      <c r="L7079" s="4" t="str">
        <f>IFERROR(VLOOKUP(ROWS($L$2:L7079),$B$2:$C$1996,2,0),"")</f>
        <v/>
      </c>
      <c r="N7079" s="2" t="str">
        <f>IFERROR(VLOOKUP(ROWS($N$2:N7079),$D$2:$E$1996,2,0),"")</f>
        <v/>
      </c>
    </row>
    <row r="7080" spans="2:14">
      <c r="B7080" s="32">
        <f>IF(ISNUMBER(SEARCH('Φόρμα Εισαγωγής'!$B$2,C7080)),MAX($B$1:B7079)+1,0)</f>
        <v>0</v>
      </c>
      <c r="D7080" s="33">
        <f>IF(ISNUMBER(SEARCH('Φόρμα Εισαγωγής'!$C$2,E7080)),MAX($D$1:D7079)+1,0)</f>
        <v>0</v>
      </c>
      <c r="H7080" s="6">
        <f t="shared" si="341"/>
        <v>0</v>
      </c>
      <c r="I7080" s="6">
        <f t="shared" si="342"/>
        <v>0</v>
      </c>
      <c r="J7080" s="6">
        <f t="shared" si="343"/>
        <v>0</v>
      </c>
      <c r="L7080" s="4" t="str">
        <f>IFERROR(VLOOKUP(ROWS($L$2:L7080),$B$2:$C$1996,2,0),"")</f>
        <v/>
      </c>
      <c r="N7080" s="2" t="str">
        <f>IFERROR(VLOOKUP(ROWS($N$2:N7080),$D$2:$E$1996,2,0),"")</f>
        <v/>
      </c>
    </row>
    <row r="7081" spans="2:14">
      <c r="B7081" s="32">
        <f>IF(ISNUMBER(SEARCH('Φόρμα Εισαγωγής'!$B$2,C7081)),MAX($B$1:B7080)+1,0)</f>
        <v>0</v>
      </c>
      <c r="D7081" s="33">
        <f>IF(ISNUMBER(SEARCH('Φόρμα Εισαγωγής'!$C$2,E7081)),MAX($D$1:D7080)+1,0)</f>
        <v>0</v>
      </c>
      <c r="H7081" s="6">
        <f t="shared" si="341"/>
        <v>0</v>
      </c>
      <c r="I7081" s="6">
        <f t="shared" si="342"/>
        <v>0</v>
      </c>
      <c r="J7081" s="6">
        <f t="shared" si="343"/>
        <v>0</v>
      </c>
      <c r="L7081" s="4" t="str">
        <f>IFERROR(VLOOKUP(ROWS($L$2:L7081),$B$2:$C$1996,2,0),"")</f>
        <v/>
      </c>
      <c r="N7081" s="2" t="str">
        <f>IFERROR(VLOOKUP(ROWS($N$2:N7081),$D$2:$E$1996,2,0),"")</f>
        <v/>
      </c>
    </row>
    <row r="7082" spans="2:14">
      <c r="B7082" s="32">
        <f>IF(ISNUMBER(SEARCH('Φόρμα Εισαγωγής'!$B$2,C7082)),MAX($B$1:B7081)+1,0)</f>
        <v>0</v>
      </c>
      <c r="D7082" s="33">
        <f>IF(ISNUMBER(SEARCH('Φόρμα Εισαγωγής'!$C$2,E7082)),MAX($D$1:D7081)+1,0)</f>
        <v>0</v>
      </c>
      <c r="H7082" s="6">
        <f t="shared" si="341"/>
        <v>0</v>
      </c>
      <c r="I7082" s="6">
        <f t="shared" si="342"/>
        <v>0</v>
      </c>
      <c r="J7082" s="6">
        <f t="shared" si="343"/>
        <v>0</v>
      </c>
      <c r="L7082" s="4" t="str">
        <f>IFERROR(VLOOKUP(ROWS($L$2:L7082),$B$2:$C$1996,2,0),"")</f>
        <v/>
      </c>
      <c r="N7082" s="2" t="str">
        <f>IFERROR(VLOOKUP(ROWS($N$2:N7082),$D$2:$E$1996,2,0),"")</f>
        <v/>
      </c>
    </row>
    <row r="7083" spans="2:14">
      <c r="B7083" s="32">
        <f>IF(ISNUMBER(SEARCH('Φόρμα Εισαγωγής'!$B$2,C7083)),MAX($B$1:B7082)+1,0)</f>
        <v>0</v>
      </c>
      <c r="D7083" s="33">
        <f>IF(ISNUMBER(SEARCH('Φόρμα Εισαγωγής'!$C$2,E7083)),MAX($D$1:D7082)+1,0)</f>
        <v>0</v>
      </c>
      <c r="H7083" s="6">
        <f t="shared" si="341"/>
        <v>0</v>
      </c>
      <c r="I7083" s="6">
        <f t="shared" si="342"/>
        <v>0</v>
      </c>
      <c r="J7083" s="6">
        <f t="shared" si="343"/>
        <v>0</v>
      </c>
      <c r="L7083" s="4" t="str">
        <f>IFERROR(VLOOKUP(ROWS($L$2:L7083),$B$2:$C$1996,2,0),"")</f>
        <v/>
      </c>
      <c r="N7083" s="2" t="str">
        <f>IFERROR(VLOOKUP(ROWS($N$2:N7083),$D$2:$E$1996,2,0),"")</f>
        <v/>
      </c>
    </row>
    <row r="7084" spans="2:14">
      <c r="B7084" s="32">
        <f>IF(ISNUMBER(SEARCH('Φόρμα Εισαγωγής'!$B$2,C7084)),MAX($B$1:B7083)+1,0)</f>
        <v>0</v>
      </c>
      <c r="D7084" s="33">
        <f>IF(ISNUMBER(SEARCH('Φόρμα Εισαγωγής'!$C$2,E7084)),MAX($D$1:D7083)+1,0)</f>
        <v>0</v>
      </c>
      <c r="H7084" s="6">
        <f t="shared" si="341"/>
        <v>0</v>
      </c>
      <c r="I7084" s="6">
        <f t="shared" si="342"/>
        <v>0</v>
      </c>
      <c r="J7084" s="6">
        <f t="shared" si="343"/>
        <v>0</v>
      </c>
      <c r="L7084" s="4" t="str">
        <f>IFERROR(VLOOKUP(ROWS($L$2:L7084),$B$2:$C$1996,2,0),"")</f>
        <v/>
      </c>
      <c r="N7084" s="2" t="str">
        <f>IFERROR(VLOOKUP(ROWS($N$2:N7084),$D$2:$E$1996,2,0),"")</f>
        <v/>
      </c>
    </row>
    <row r="7085" spans="2:14">
      <c r="B7085" s="32">
        <f>IF(ISNUMBER(SEARCH('Φόρμα Εισαγωγής'!$B$2,C7085)),MAX($B$1:B7084)+1,0)</f>
        <v>0</v>
      </c>
      <c r="D7085" s="33">
        <f>IF(ISNUMBER(SEARCH('Φόρμα Εισαγωγής'!$C$2,E7085)),MAX($D$1:D7084)+1,0)</f>
        <v>0</v>
      </c>
      <c r="H7085" s="6">
        <f t="shared" si="341"/>
        <v>0</v>
      </c>
      <c r="I7085" s="6">
        <f t="shared" si="342"/>
        <v>0</v>
      </c>
      <c r="J7085" s="6">
        <f t="shared" si="343"/>
        <v>0</v>
      </c>
      <c r="L7085" s="4" t="str">
        <f>IFERROR(VLOOKUP(ROWS($L$2:L7085),$B$2:$C$1996,2,0),"")</f>
        <v/>
      </c>
      <c r="N7085" s="2" t="str">
        <f>IFERROR(VLOOKUP(ROWS($N$2:N7085),$D$2:$E$1996,2,0),"")</f>
        <v/>
      </c>
    </row>
    <row r="7086" spans="2:14">
      <c r="B7086" s="32">
        <f>IF(ISNUMBER(SEARCH('Φόρμα Εισαγωγής'!$B$2,C7086)),MAX($B$1:B7085)+1,0)</f>
        <v>0</v>
      </c>
      <c r="D7086" s="33">
        <f>IF(ISNUMBER(SEARCH('Φόρμα Εισαγωγής'!$C$2,E7086)),MAX($D$1:D7085)+1,0)</f>
        <v>0</v>
      </c>
      <c r="H7086" s="6">
        <f t="shared" si="341"/>
        <v>0</v>
      </c>
      <c r="I7086" s="6">
        <f t="shared" si="342"/>
        <v>0</v>
      </c>
      <c r="J7086" s="6">
        <f t="shared" si="343"/>
        <v>0</v>
      </c>
      <c r="L7086" s="4" t="str">
        <f>IFERROR(VLOOKUP(ROWS($L$2:L7086),$B$2:$C$1996,2,0),"")</f>
        <v/>
      </c>
      <c r="N7086" s="2" t="str">
        <f>IFERROR(VLOOKUP(ROWS($N$2:N7086),$D$2:$E$1996,2,0),"")</f>
        <v/>
      </c>
    </row>
    <row r="7087" spans="2:14">
      <c r="B7087" s="32">
        <f>IF(ISNUMBER(SEARCH('Φόρμα Εισαγωγής'!$B$2,C7087)),MAX($B$1:B7086)+1,0)</f>
        <v>0</v>
      </c>
      <c r="D7087" s="33">
        <f>IF(ISNUMBER(SEARCH('Φόρμα Εισαγωγής'!$C$2,E7087)),MAX($D$1:D7086)+1,0)</f>
        <v>0</v>
      </c>
      <c r="H7087" s="6">
        <f t="shared" si="341"/>
        <v>0</v>
      </c>
      <c r="I7087" s="6">
        <f t="shared" si="342"/>
        <v>0</v>
      </c>
      <c r="J7087" s="6">
        <f t="shared" si="343"/>
        <v>0</v>
      </c>
      <c r="L7087" s="4" t="str">
        <f>IFERROR(VLOOKUP(ROWS($L$2:L7087),$B$2:$C$1996,2,0),"")</f>
        <v/>
      </c>
      <c r="N7087" s="2" t="str">
        <f>IFERROR(VLOOKUP(ROWS($N$2:N7087),$D$2:$E$1996,2,0),"")</f>
        <v/>
      </c>
    </row>
    <row r="7088" spans="2:14">
      <c r="B7088" s="32">
        <f>IF(ISNUMBER(SEARCH('Φόρμα Εισαγωγής'!$B$2,C7088)),MAX($B$1:B7087)+1,0)</f>
        <v>0</v>
      </c>
      <c r="D7088" s="33">
        <f>IF(ISNUMBER(SEARCH('Φόρμα Εισαγωγής'!$C$2,E7088)),MAX($D$1:D7087)+1,0)</f>
        <v>0</v>
      </c>
      <c r="H7088" s="6">
        <f t="shared" si="341"/>
        <v>0</v>
      </c>
      <c r="I7088" s="6">
        <f t="shared" si="342"/>
        <v>0</v>
      </c>
      <c r="J7088" s="6">
        <f t="shared" si="343"/>
        <v>0</v>
      </c>
      <c r="L7088" s="4" t="str">
        <f>IFERROR(VLOOKUP(ROWS($L$2:L7088),$B$2:$C$1996,2,0),"")</f>
        <v/>
      </c>
      <c r="N7088" s="2" t="str">
        <f>IFERROR(VLOOKUP(ROWS($N$2:N7088),$D$2:$E$1996,2,0),"")</f>
        <v/>
      </c>
    </row>
    <row r="7089" spans="2:14">
      <c r="B7089" s="32">
        <f>IF(ISNUMBER(SEARCH('Φόρμα Εισαγωγής'!$B$2,C7089)),MAX($B$1:B7088)+1,0)</f>
        <v>0</v>
      </c>
      <c r="D7089" s="33">
        <f>IF(ISNUMBER(SEARCH('Φόρμα Εισαγωγής'!$C$2,E7089)),MAX($D$1:D7088)+1,0)</f>
        <v>0</v>
      </c>
      <c r="H7089" s="6">
        <f t="shared" si="341"/>
        <v>0</v>
      </c>
      <c r="I7089" s="6">
        <f t="shared" si="342"/>
        <v>0</v>
      </c>
      <c r="J7089" s="6">
        <f t="shared" si="343"/>
        <v>0</v>
      </c>
      <c r="L7089" s="4" t="str">
        <f>IFERROR(VLOOKUP(ROWS($L$2:L7089),$B$2:$C$1996,2,0),"")</f>
        <v/>
      </c>
      <c r="N7089" s="2" t="str">
        <f>IFERROR(VLOOKUP(ROWS($N$2:N7089),$D$2:$E$1996,2,0),"")</f>
        <v/>
      </c>
    </row>
    <row r="7090" spans="2:14">
      <c r="B7090" s="32">
        <f>IF(ISNUMBER(SEARCH('Φόρμα Εισαγωγής'!$B$2,C7090)),MAX($B$1:B7089)+1,0)</f>
        <v>0</v>
      </c>
      <c r="D7090" s="33">
        <f>IF(ISNUMBER(SEARCH('Φόρμα Εισαγωγής'!$C$2,E7090)),MAX($D$1:D7089)+1,0)</f>
        <v>0</v>
      </c>
      <c r="H7090" s="6">
        <f t="shared" si="341"/>
        <v>0</v>
      </c>
      <c r="I7090" s="6">
        <f t="shared" si="342"/>
        <v>0</v>
      </c>
      <c r="J7090" s="6">
        <f t="shared" si="343"/>
        <v>0</v>
      </c>
      <c r="L7090" s="4" t="str">
        <f>IFERROR(VLOOKUP(ROWS($L$2:L7090),$B$2:$C$1996,2,0),"")</f>
        <v/>
      </c>
      <c r="N7090" s="2" t="str">
        <f>IFERROR(VLOOKUP(ROWS($N$2:N7090),$D$2:$E$1996,2,0),"")</f>
        <v/>
      </c>
    </row>
    <row r="7091" spans="2:14">
      <c r="B7091" s="32">
        <f>IF(ISNUMBER(SEARCH('Φόρμα Εισαγωγής'!$B$2,C7091)),MAX($B$1:B7090)+1,0)</f>
        <v>0</v>
      </c>
      <c r="D7091" s="33">
        <f>IF(ISNUMBER(SEARCH('Φόρμα Εισαγωγής'!$C$2,E7091)),MAX($D$1:D7090)+1,0)</f>
        <v>0</v>
      </c>
      <c r="H7091" s="6">
        <f t="shared" si="341"/>
        <v>0</v>
      </c>
      <c r="I7091" s="6">
        <f t="shared" si="342"/>
        <v>0</v>
      </c>
      <c r="J7091" s="6">
        <f t="shared" si="343"/>
        <v>0</v>
      </c>
      <c r="L7091" s="4" t="str">
        <f>IFERROR(VLOOKUP(ROWS($L$2:L7091),$B$2:$C$1996,2,0),"")</f>
        <v/>
      </c>
      <c r="N7091" s="2" t="str">
        <f>IFERROR(VLOOKUP(ROWS($N$2:N7091),$D$2:$E$1996,2,0),"")</f>
        <v/>
      </c>
    </row>
    <row r="7092" spans="2:14">
      <c r="B7092" s="32">
        <f>IF(ISNUMBER(SEARCH('Φόρμα Εισαγωγής'!$B$2,C7092)),MAX($B$1:B7091)+1,0)</f>
        <v>0</v>
      </c>
      <c r="D7092" s="33">
        <f>IF(ISNUMBER(SEARCH('Φόρμα Εισαγωγής'!$C$2,E7092)),MAX($D$1:D7091)+1,0)</f>
        <v>0</v>
      </c>
      <c r="H7092" s="6">
        <f t="shared" si="341"/>
        <v>0</v>
      </c>
      <c r="I7092" s="6">
        <f t="shared" si="342"/>
        <v>0</v>
      </c>
      <c r="J7092" s="6">
        <f t="shared" si="343"/>
        <v>0</v>
      </c>
      <c r="L7092" s="4" t="str">
        <f>IFERROR(VLOOKUP(ROWS($L$2:L7092),$B$2:$C$1996,2,0),"")</f>
        <v/>
      </c>
      <c r="N7092" s="2" t="str">
        <f>IFERROR(VLOOKUP(ROWS($N$2:N7092),$D$2:$E$1996,2,0),"")</f>
        <v/>
      </c>
    </row>
    <row r="7093" spans="2:14">
      <c r="B7093" s="32">
        <f>IF(ISNUMBER(SEARCH('Φόρμα Εισαγωγής'!$B$2,C7093)),MAX($B$1:B7092)+1,0)</f>
        <v>0</v>
      </c>
      <c r="D7093" s="33">
        <f>IF(ISNUMBER(SEARCH('Φόρμα Εισαγωγής'!$C$2,E7093)),MAX($D$1:D7092)+1,0)</f>
        <v>0</v>
      </c>
      <c r="H7093" s="6">
        <f t="shared" si="341"/>
        <v>0</v>
      </c>
      <c r="I7093" s="6">
        <f t="shared" si="342"/>
        <v>0</v>
      </c>
      <c r="J7093" s="6">
        <f t="shared" si="343"/>
        <v>0</v>
      </c>
      <c r="L7093" s="4" t="str">
        <f>IFERROR(VLOOKUP(ROWS($L$2:L7093),$B$2:$C$1996,2,0),"")</f>
        <v/>
      </c>
      <c r="N7093" s="2" t="str">
        <f>IFERROR(VLOOKUP(ROWS($N$2:N7093),$D$2:$E$1996,2,0),"")</f>
        <v/>
      </c>
    </row>
    <row r="7094" spans="2:14">
      <c r="B7094" s="32">
        <f>IF(ISNUMBER(SEARCH('Φόρμα Εισαγωγής'!$B$2,C7094)),MAX($B$1:B7093)+1,0)</f>
        <v>0</v>
      </c>
      <c r="D7094" s="33">
        <f>IF(ISNUMBER(SEARCH('Φόρμα Εισαγωγής'!$C$2,E7094)),MAX($D$1:D7093)+1,0)</f>
        <v>0</v>
      </c>
      <c r="H7094" s="6">
        <f t="shared" si="341"/>
        <v>0</v>
      </c>
      <c r="I7094" s="6">
        <f t="shared" si="342"/>
        <v>0</v>
      </c>
      <c r="J7094" s="6">
        <f t="shared" si="343"/>
        <v>0</v>
      </c>
      <c r="L7094" s="4" t="str">
        <f>IFERROR(VLOOKUP(ROWS($L$2:L7094),$B$2:$C$1996,2,0),"")</f>
        <v/>
      </c>
      <c r="N7094" s="2" t="str">
        <f>IFERROR(VLOOKUP(ROWS($N$2:N7094),$D$2:$E$1996,2,0),"")</f>
        <v/>
      </c>
    </row>
    <row r="7095" spans="2:14">
      <c r="B7095" s="32">
        <f>IF(ISNUMBER(SEARCH('Φόρμα Εισαγωγής'!$B$2,C7095)),MAX($B$1:B7094)+1,0)</f>
        <v>0</v>
      </c>
      <c r="D7095" s="33">
        <f>IF(ISNUMBER(SEARCH('Φόρμα Εισαγωγής'!$C$2,E7095)),MAX($D$1:D7094)+1,0)</f>
        <v>0</v>
      </c>
      <c r="H7095" s="6">
        <f t="shared" si="341"/>
        <v>0</v>
      </c>
      <c r="I7095" s="6">
        <f t="shared" si="342"/>
        <v>0</v>
      </c>
      <c r="J7095" s="6">
        <f t="shared" si="343"/>
        <v>0</v>
      </c>
      <c r="L7095" s="4" t="str">
        <f>IFERROR(VLOOKUP(ROWS($L$2:L7095),$B$2:$C$1996,2,0),"")</f>
        <v/>
      </c>
      <c r="N7095" s="2" t="str">
        <f>IFERROR(VLOOKUP(ROWS($N$2:N7095),$D$2:$E$1996,2,0),"")</f>
        <v/>
      </c>
    </row>
    <row r="7096" spans="2:14">
      <c r="B7096" s="32">
        <f>IF(ISNUMBER(SEARCH('Φόρμα Εισαγωγής'!$B$2,C7096)),MAX($B$1:B7095)+1,0)</f>
        <v>0</v>
      </c>
      <c r="D7096" s="33">
        <f>IF(ISNUMBER(SEARCH('Φόρμα Εισαγωγής'!$C$2,E7096)),MAX($D$1:D7095)+1,0)</f>
        <v>0</v>
      </c>
      <c r="H7096" s="6">
        <f t="shared" si="341"/>
        <v>0</v>
      </c>
      <c r="I7096" s="6">
        <f t="shared" si="342"/>
        <v>0</v>
      </c>
      <c r="J7096" s="6">
        <f t="shared" si="343"/>
        <v>0</v>
      </c>
      <c r="L7096" s="4" t="str">
        <f>IFERROR(VLOOKUP(ROWS($L$2:L7096),$B$2:$C$1996,2,0),"")</f>
        <v/>
      </c>
      <c r="N7096" s="2" t="str">
        <f>IFERROR(VLOOKUP(ROWS($N$2:N7096),$D$2:$E$1996,2,0),"")</f>
        <v/>
      </c>
    </row>
    <row r="7097" spans="2:14">
      <c r="B7097" s="32">
        <f>IF(ISNUMBER(SEARCH('Φόρμα Εισαγωγής'!$B$2,C7097)),MAX($B$1:B7096)+1,0)</f>
        <v>0</v>
      </c>
      <c r="D7097" s="33">
        <f>IF(ISNUMBER(SEARCH('Φόρμα Εισαγωγής'!$C$2,E7097)),MAX($D$1:D7096)+1,0)</f>
        <v>0</v>
      </c>
      <c r="H7097" s="6">
        <f t="shared" si="341"/>
        <v>0</v>
      </c>
      <c r="I7097" s="6">
        <f t="shared" si="342"/>
        <v>0</v>
      </c>
      <c r="J7097" s="6">
        <f t="shared" si="343"/>
        <v>0</v>
      </c>
      <c r="L7097" s="4" t="str">
        <f>IFERROR(VLOOKUP(ROWS($L$2:L7097),$B$2:$C$1996,2,0),"")</f>
        <v/>
      </c>
      <c r="N7097" s="2" t="str">
        <f>IFERROR(VLOOKUP(ROWS($N$2:N7097),$D$2:$E$1996,2,0),"")</f>
        <v/>
      </c>
    </row>
    <row r="7098" spans="2:14">
      <c r="B7098" s="32">
        <f>IF(ISNUMBER(SEARCH('Φόρμα Εισαγωγής'!$B$2,C7098)),MAX($B$1:B7097)+1,0)</f>
        <v>0</v>
      </c>
      <c r="D7098" s="33">
        <f>IF(ISNUMBER(SEARCH('Φόρμα Εισαγωγής'!$C$2,E7098)),MAX($D$1:D7097)+1,0)</f>
        <v>0</v>
      </c>
      <c r="H7098" s="6">
        <f t="shared" si="341"/>
        <v>0</v>
      </c>
      <c r="I7098" s="6">
        <f t="shared" si="342"/>
        <v>0</v>
      </c>
      <c r="J7098" s="6">
        <f t="shared" si="343"/>
        <v>0</v>
      </c>
      <c r="L7098" s="4" t="str">
        <f>IFERROR(VLOOKUP(ROWS($L$2:L7098),$B$2:$C$1996,2,0),"")</f>
        <v/>
      </c>
      <c r="N7098" s="2" t="str">
        <f>IFERROR(VLOOKUP(ROWS($N$2:N7098),$D$2:$E$1996,2,0),"")</f>
        <v/>
      </c>
    </row>
    <row r="7099" spans="2:14">
      <c r="B7099" s="32">
        <f>IF(ISNUMBER(SEARCH('Φόρμα Εισαγωγής'!$B$2,C7099)),MAX($B$1:B7098)+1,0)</f>
        <v>0</v>
      </c>
      <c r="D7099" s="33">
        <f>IF(ISNUMBER(SEARCH('Φόρμα Εισαγωγής'!$C$2,E7099)),MAX($D$1:D7098)+1,0)</f>
        <v>0</v>
      </c>
      <c r="H7099" s="6">
        <f t="shared" si="341"/>
        <v>0</v>
      </c>
      <c r="I7099" s="6">
        <f t="shared" si="342"/>
        <v>0</v>
      </c>
      <c r="J7099" s="6">
        <f t="shared" si="343"/>
        <v>0</v>
      </c>
      <c r="L7099" s="4" t="str">
        <f>IFERROR(VLOOKUP(ROWS($L$2:L7099),$B$2:$C$1996,2,0),"")</f>
        <v/>
      </c>
      <c r="N7099" s="2" t="str">
        <f>IFERROR(VLOOKUP(ROWS($N$2:N7099),$D$2:$E$1996,2,0),"")</f>
        <v/>
      </c>
    </row>
    <row r="7100" spans="2:14">
      <c r="B7100" s="32">
        <f>IF(ISNUMBER(SEARCH('Φόρμα Εισαγωγής'!$B$2,C7100)),MAX($B$1:B7099)+1,0)</f>
        <v>0</v>
      </c>
      <c r="D7100" s="33">
        <f>IF(ISNUMBER(SEARCH('Φόρμα Εισαγωγής'!$C$2,E7100)),MAX($D$1:D7099)+1,0)</f>
        <v>0</v>
      </c>
      <c r="H7100" s="6">
        <f t="shared" si="341"/>
        <v>0</v>
      </c>
      <c r="I7100" s="6">
        <f t="shared" si="342"/>
        <v>0</v>
      </c>
      <c r="J7100" s="6">
        <f t="shared" si="343"/>
        <v>0</v>
      </c>
      <c r="L7100" s="4" t="str">
        <f>IFERROR(VLOOKUP(ROWS($L$2:L7100),$B$2:$C$1996,2,0),"")</f>
        <v/>
      </c>
      <c r="N7100" s="2" t="str">
        <f>IFERROR(VLOOKUP(ROWS($N$2:N7100),$D$2:$E$1996,2,0),"")</f>
        <v/>
      </c>
    </row>
    <row r="7101" spans="2:14">
      <c r="B7101" s="32">
        <f>IF(ISNUMBER(SEARCH('Φόρμα Εισαγωγής'!$B$2,C7101)),MAX($B$1:B7100)+1,0)</f>
        <v>0</v>
      </c>
      <c r="D7101" s="33">
        <f>IF(ISNUMBER(SEARCH('Φόρμα Εισαγωγής'!$C$2,E7101)),MAX($D$1:D7100)+1,0)</f>
        <v>0</v>
      </c>
      <c r="H7101" s="6">
        <f t="shared" si="341"/>
        <v>0</v>
      </c>
      <c r="I7101" s="6">
        <f t="shared" si="342"/>
        <v>0</v>
      </c>
      <c r="J7101" s="6">
        <f t="shared" si="343"/>
        <v>0</v>
      </c>
      <c r="L7101" s="4" t="str">
        <f>IFERROR(VLOOKUP(ROWS($L$2:L7101),$B$2:$C$1996,2,0),"")</f>
        <v/>
      </c>
      <c r="N7101" s="2" t="str">
        <f>IFERROR(VLOOKUP(ROWS($N$2:N7101),$D$2:$E$1996,2,0),"")</f>
        <v/>
      </c>
    </row>
    <row r="7102" spans="2:14">
      <c r="B7102" s="32">
        <f>IF(ISNUMBER(SEARCH('Φόρμα Εισαγωγής'!$B$2,C7102)),MAX($B$1:B7101)+1,0)</f>
        <v>0</v>
      </c>
      <c r="D7102" s="33">
        <f>IF(ISNUMBER(SEARCH('Φόρμα Εισαγωγής'!$C$2,E7102)),MAX($D$1:D7101)+1,0)</f>
        <v>0</v>
      </c>
      <c r="H7102" s="6">
        <f t="shared" si="341"/>
        <v>0</v>
      </c>
      <c r="I7102" s="6">
        <f t="shared" si="342"/>
        <v>0</v>
      </c>
      <c r="J7102" s="6">
        <f t="shared" si="343"/>
        <v>0</v>
      </c>
      <c r="L7102" s="4" t="str">
        <f>IFERROR(VLOOKUP(ROWS($L$2:L7102),$B$2:$C$1996,2,0),"")</f>
        <v/>
      </c>
      <c r="N7102" s="2" t="str">
        <f>IFERROR(VLOOKUP(ROWS($N$2:N7102),$D$2:$E$1996,2,0),"")</f>
        <v/>
      </c>
    </row>
    <row r="7103" spans="2:14">
      <c r="B7103" s="32">
        <f>IF(ISNUMBER(SEARCH('Φόρμα Εισαγωγής'!$B$2,C7103)),MAX($B$1:B7102)+1,0)</f>
        <v>0</v>
      </c>
      <c r="D7103" s="33">
        <f>IF(ISNUMBER(SEARCH('Φόρμα Εισαγωγής'!$C$2,E7103)),MAX($D$1:D7102)+1,0)</f>
        <v>0</v>
      </c>
      <c r="H7103" s="6">
        <f t="shared" si="341"/>
        <v>0</v>
      </c>
      <c r="I7103" s="6">
        <f t="shared" si="342"/>
        <v>0</v>
      </c>
      <c r="J7103" s="6">
        <f t="shared" si="343"/>
        <v>0</v>
      </c>
      <c r="L7103" s="4" t="str">
        <f>IFERROR(VLOOKUP(ROWS($L$2:L7103),$B$2:$C$1996,2,0),"")</f>
        <v/>
      </c>
      <c r="N7103" s="2" t="str">
        <f>IFERROR(VLOOKUP(ROWS($N$2:N7103),$D$2:$E$1996,2,0),"")</f>
        <v/>
      </c>
    </row>
    <row r="7104" spans="2:14">
      <c r="B7104" s="32">
        <f>IF(ISNUMBER(SEARCH('Φόρμα Εισαγωγής'!$B$2,C7104)),MAX($B$1:B7103)+1,0)</f>
        <v>0</v>
      </c>
      <c r="D7104" s="33">
        <f>IF(ISNUMBER(SEARCH('Φόρμα Εισαγωγής'!$C$2,E7104)),MAX($D$1:D7103)+1,0)</f>
        <v>0</v>
      </c>
      <c r="H7104" s="6">
        <f t="shared" ref="H7104:H7167" si="344">G7104+(G7104*0.24)</f>
        <v>0</v>
      </c>
      <c r="I7104" s="6">
        <f t="shared" ref="I7104:I7167" si="345">F7104*A7104</f>
        <v>0</v>
      </c>
      <c r="J7104" s="6">
        <f t="shared" ref="J7104:J7167" si="346">H7104*A7104</f>
        <v>0</v>
      </c>
      <c r="L7104" s="4" t="str">
        <f>IFERROR(VLOOKUP(ROWS($L$2:L7104),$B$2:$C$1996,2,0),"")</f>
        <v/>
      </c>
      <c r="N7104" s="2" t="str">
        <f>IFERROR(VLOOKUP(ROWS($N$2:N7104),$D$2:$E$1996,2,0),"")</f>
        <v/>
      </c>
    </row>
    <row r="7105" spans="2:14">
      <c r="B7105" s="32">
        <f>IF(ISNUMBER(SEARCH('Φόρμα Εισαγωγής'!$B$2,C7105)),MAX($B$1:B7104)+1,0)</f>
        <v>0</v>
      </c>
      <c r="D7105" s="33">
        <f>IF(ISNUMBER(SEARCH('Φόρμα Εισαγωγής'!$C$2,E7105)),MAX($D$1:D7104)+1,0)</f>
        <v>0</v>
      </c>
      <c r="H7105" s="6">
        <f t="shared" si="344"/>
        <v>0</v>
      </c>
      <c r="I7105" s="6">
        <f t="shared" si="345"/>
        <v>0</v>
      </c>
      <c r="J7105" s="6">
        <f t="shared" si="346"/>
        <v>0</v>
      </c>
      <c r="L7105" s="4" t="str">
        <f>IFERROR(VLOOKUP(ROWS($L$2:L7105),$B$2:$C$1996,2,0),"")</f>
        <v/>
      </c>
      <c r="N7105" s="2" t="str">
        <f>IFERROR(VLOOKUP(ROWS($N$2:N7105),$D$2:$E$1996,2,0),"")</f>
        <v/>
      </c>
    </row>
    <row r="7106" spans="2:14">
      <c r="B7106" s="32">
        <f>IF(ISNUMBER(SEARCH('Φόρμα Εισαγωγής'!$B$2,C7106)),MAX($B$1:B7105)+1,0)</f>
        <v>0</v>
      </c>
      <c r="D7106" s="33">
        <f>IF(ISNUMBER(SEARCH('Φόρμα Εισαγωγής'!$C$2,E7106)),MAX($D$1:D7105)+1,0)</f>
        <v>0</v>
      </c>
      <c r="H7106" s="6">
        <f t="shared" si="344"/>
        <v>0</v>
      </c>
      <c r="I7106" s="6">
        <f t="shared" si="345"/>
        <v>0</v>
      </c>
      <c r="J7106" s="6">
        <f t="shared" si="346"/>
        <v>0</v>
      </c>
      <c r="L7106" s="4" t="str">
        <f>IFERROR(VLOOKUP(ROWS($L$2:L7106),$B$2:$C$1996,2,0),"")</f>
        <v/>
      </c>
      <c r="N7106" s="2" t="str">
        <f>IFERROR(VLOOKUP(ROWS($N$2:N7106),$D$2:$E$1996,2,0),"")</f>
        <v/>
      </c>
    </row>
    <row r="7107" spans="2:14">
      <c r="B7107" s="32">
        <f>IF(ISNUMBER(SEARCH('Φόρμα Εισαγωγής'!$B$2,C7107)),MAX($B$1:B7106)+1,0)</f>
        <v>0</v>
      </c>
      <c r="D7107" s="33">
        <f>IF(ISNUMBER(SEARCH('Φόρμα Εισαγωγής'!$C$2,E7107)),MAX($D$1:D7106)+1,0)</f>
        <v>0</v>
      </c>
      <c r="H7107" s="6">
        <f t="shared" si="344"/>
        <v>0</v>
      </c>
      <c r="I7107" s="6">
        <f t="shared" si="345"/>
        <v>0</v>
      </c>
      <c r="J7107" s="6">
        <f t="shared" si="346"/>
        <v>0</v>
      </c>
      <c r="L7107" s="4" t="str">
        <f>IFERROR(VLOOKUP(ROWS($L$2:L7107),$B$2:$C$1996,2,0),"")</f>
        <v/>
      </c>
      <c r="N7107" s="2" t="str">
        <f>IFERROR(VLOOKUP(ROWS($N$2:N7107),$D$2:$E$1996,2,0),"")</f>
        <v/>
      </c>
    </row>
    <row r="7108" spans="2:14">
      <c r="B7108" s="32">
        <f>IF(ISNUMBER(SEARCH('Φόρμα Εισαγωγής'!$B$2,C7108)),MAX($B$1:B7107)+1,0)</f>
        <v>0</v>
      </c>
      <c r="D7108" s="33">
        <f>IF(ISNUMBER(SEARCH('Φόρμα Εισαγωγής'!$C$2,E7108)),MAX($D$1:D7107)+1,0)</f>
        <v>0</v>
      </c>
      <c r="H7108" s="6">
        <f t="shared" si="344"/>
        <v>0</v>
      </c>
      <c r="I7108" s="6">
        <f t="shared" si="345"/>
        <v>0</v>
      </c>
      <c r="J7108" s="6">
        <f t="shared" si="346"/>
        <v>0</v>
      </c>
      <c r="L7108" s="4" t="str">
        <f>IFERROR(VLOOKUP(ROWS($L$2:L7108),$B$2:$C$1996,2,0),"")</f>
        <v/>
      </c>
      <c r="N7108" s="2" t="str">
        <f>IFERROR(VLOOKUP(ROWS($N$2:N7108),$D$2:$E$1996,2,0),"")</f>
        <v/>
      </c>
    </row>
    <row r="7109" spans="2:14">
      <c r="B7109" s="32">
        <f>IF(ISNUMBER(SEARCH('Φόρμα Εισαγωγής'!$B$2,C7109)),MAX($B$1:B7108)+1,0)</f>
        <v>0</v>
      </c>
      <c r="D7109" s="33">
        <f>IF(ISNUMBER(SEARCH('Φόρμα Εισαγωγής'!$C$2,E7109)),MAX($D$1:D7108)+1,0)</f>
        <v>0</v>
      </c>
      <c r="H7109" s="6">
        <f t="shared" si="344"/>
        <v>0</v>
      </c>
      <c r="I7109" s="6">
        <f t="shared" si="345"/>
        <v>0</v>
      </c>
      <c r="J7109" s="6">
        <f t="shared" si="346"/>
        <v>0</v>
      </c>
      <c r="L7109" s="4" t="str">
        <f>IFERROR(VLOOKUP(ROWS($L$2:L7109),$B$2:$C$1996,2,0),"")</f>
        <v/>
      </c>
      <c r="N7109" s="2" t="str">
        <f>IFERROR(VLOOKUP(ROWS($N$2:N7109),$D$2:$E$1996,2,0),"")</f>
        <v/>
      </c>
    </row>
    <row r="7110" spans="2:14">
      <c r="B7110" s="32">
        <f>IF(ISNUMBER(SEARCH('Φόρμα Εισαγωγής'!$B$2,C7110)),MAX($B$1:B7109)+1,0)</f>
        <v>0</v>
      </c>
      <c r="D7110" s="33">
        <f>IF(ISNUMBER(SEARCH('Φόρμα Εισαγωγής'!$C$2,E7110)),MAX($D$1:D7109)+1,0)</f>
        <v>0</v>
      </c>
      <c r="H7110" s="6">
        <f t="shared" si="344"/>
        <v>0</v>
      </c>
      <c r="I7110" s="6">
        <f t="shared" si="345"/>
        <v>0</v>
      </c>
      <c r="J7110" s="6">
        <f t="shared" si="346"/>
        <v>0</v>
      </c>
      <c r="L7110" s="4" t="str">
        <f>IFERROR(VLOOKUP(ROWS($L$2:L7110),$B$2:$C$1996,2,0),"")</f>
        <v/>
      </c>
      <c r="N7110" s="2" t="str">
        <f>IFERROR(VLOOKUP(ROWS($N$2:N7110),$D$2:$E$1996,2,0),"")</f>
        <v/>
      </c>
    </row>
    <row r="7111" spans="2:14">
      <c r="B7111" s="32">
        <f>IF(ISNUMBER(SEARCH('Φόρμα Εισαγωγής'!$B$2,C7111)),MAX($B$1:B7110)+1,0)</f>
        <v>0</v>
      </c>
      <c r="D7111" s="33">
        <f>IF(ISNUMBER(SEARCH('Φόρμα Εισαγωγής'!$C$2,E7111)),MAX($D$1:D7110)+1,0)</f>
        <v>0</v>
      </c>
      <c r="H7111" s="6">
        <f t="shared" si="344"/>
        <v>0</v>
      </c>
      <c r="I7111" s="6">
        <f t="shared" si="345"/>
        <v>0</v>
      </c>
      <c r="J7111" s="6">
        <f t="shared" si="346"/>
        <v>0</v>
      </c>
      <c r="L7111" s="4" t="str">
        <f>IFERROR(VLOOKUP(ROWS($L$2:L7111),$B$2:$C$1996,2,0),"")</f>
        <v/>
      </c>
      <c r="N7111" s="2" t="str">
        <f>IFERROR(VLOOKUP(ROWS($N$2:N7111),$D$2:$E$1996,2,0),"")</f>
        <v/>
      </c>
    </row>
    <row r="7112" spans="2:14">
      <c r="B7112" s="32">
        <f>IF(ISNUMBER(SEARCH('Φόρμα Εισαγωγής'!$B$2,C7112)),MAX($B$1:B7111)+1,0)</f>
        <v>0</v>
      </c>
      <c r="D7112" s="33">
        <f>IF(ISNUMBER(SEARCH('Φόρμα Εισαγωγής'!$C$2,E7112)),MAX($D$1:D7111)+1,0)</f>
        <v>0</v>
      </c>
      <c r="H7112" s="6">
        <f t="shared" si="344"/>
        <v>0</v>
      </c>
      <c r="I7112" s="6">
        <f t="shared" si="345"/>
        <v>0</v>
      </c>
      <c r="J7112" s="6">
        <f t="shared" si="346"/>
        <v>0</v>
      </c>
      <c r="L7112" s="4" t="str">
        <f>IFERROR(VLOOKUP(ROWS($L$2:L7112),$B$2:$C$1996,2,0),"")</f>
        <v/>
      </c>
      <c r="N7112" s="2" t="str">
        <f>IFERROR(VLOOKUP(ROWS($N$2:N7112),$D$2:$E$1996,2,0),"")</f>
        <v/>
      </c>
    </row>
    <row r="7113" spans="2:14">
      <c r="B7113" s="32">
        <f>IF(ISNUMBER(SEARCH('Φόρμα Εισαγωγής'!$B$2,C7113)),MAX($B$1:B7112)+1,0)</f>
        <v>0</v>
      </c>
      <c r="D7113" s="33">
        <f>IF(ISNUMBER(SEARCH('Φόρμα Εισαγωγής'!$C$2,E7113)),MAX($D$1:D7112)+1,0)</f>
        <v>0</v>
      </c>
      <c r="H7113" s="6">
        <f t="shared" si="344"/>
        <v>0</v>
      </c>
      <c r="I7113" s="6">
        <f t="shared" si="345"/>
        <v>0</v>
      </c>
      <c r="J7113" s="6">
        <f t="shared" si="346"/>
        <v>0</v>
      </c>
      <c r="L7113" s="4" t="str">
        <f>IFERROR(VLOOKUP(ROWS($L$2:L7113),$B$2:$C$1996,2,0),"")</f>
        <v/>
      </c>
      <c r="N7113" s="2" t="str">
        <f>IFERROR(VLOOKUP(ROWS($N$2:N7113),$D$2:$E$1996,2,0),"")</f>
        <v/>
      </c>
    </row>
    <row r="7114" spans="2:14">
      <c r="B7114" s="32">
        <f>IF(ISNUMBER(SEARCH('Φόρμα Εισαγωγής'!$B$2,C7114)),MAX($B$1:B7113)+1,0)</f>
        <v>0</v>
      </c>
      <c r="D7114" s="33">
        <f>IF(ISNUMBER(SEARCH('Φόρμα Εισαγωγής'!$C$2,E7114)),MAX($D$1:D7113)+1,0)</f>
        <v>0</v>
      </c>
      <c r="H7114" s="6">
        <f t="shared" si="344"/>
        <v>0</v>
      </c>
      <c r="I7114" s="6">
        <f t="shared" si="345"/>
        <v>0</v>
      </c>
      <c r="J7114" s="6">
        <f t="shared" si="346"/>
        <v>0</v>
      </c>
      <c r="L7114" s="4" t="str">
        <f>IFERROR(VLOOKUP(ROWS($L$2:L7114),$B$2:$C$1996,2,0),"")</f>
        <v/>
      </c>
      <c r="N7114" s="2" t="str">
        <f>IFERROR(VLOOKUP(ROWS($N$2:N7114),$D$2:$E$1996,2,0),"")</f>
        <v/>
      </c>
    </row>
    <row r="7115" spans="2:14">
      <c r="B7115" s="32">
        <f>IF(ISNUMBER(SEARCH('Φόρμα Εισαγωγής'!$B$2,C7115)),MAX($B$1:B7114)+1,0)</f>
        <v>0</v>
      </c>
      <c r="D7115" s="33">
        <f>IF(ISNUMBER(SEARCH('Φόρμα Εισαγωγής'!$C$2,E7115)),MAX($D$1:D7114)+1,0)</f>
        <v>0</v>
      </c>
      <c r="H7115" s="6">
        <f t="shared" si="344"/>
        <v>0</v>
      </c>
      <c r="I7115" s="6">
        <f t="shared" si="345"/>
        <v>0</v>
      </c>
      <c r="J7115" s="6">
        <f t="shared" si="346"/>
        <v>0</v>
      </c>
      <c r="L7115" s="4" t="str">
        <f>IFERROR(VLOOKUP(ROWS($L$2:L7115),$B$2:$C$1996,2,0),"")</f>
        <v/>
      </c>
      <c r="N7115" s="2" t="str">
        <f>IFERROR(VLOOKUP(ROWS($N$2:N7115),$D$2:$E$1996,2,0),"")</f>
        <v/>
      </c>
    </row>
    <row r="7116" spans="2:14">
      <c r="B7116" s="32">
        <f>IF(ISNUMBER(SEARCH('Φόρμα Εισαγωγής'!$B$2,C7116)),MAX($B$1:B7115)+1,0)</f>
        <v>0</v>
      </c>
      <c r="D7116" s="33">
        <f>IF(ISNUMBER(SEARCH('Φόρμα Εισαγωγής'!$C$2,E7116)),MAX($D$1:D7115)+1,0)</f>
        <v>0</v>
      </c>
      <c r="H7116" s="6">
        <f t="shared" si="344"/>
        <v>0</v>
      </c>
      <c r="I7116" s="6">
        <f t="shared" si="345"/>
        <v>0</v>
      </c>
      <c r="J7116" s="6">
        <f t="shared" si="346"/>
        <v>0</v>
      </c>
      <c r="L7116" s="4" t="str">
        <f>IFERROR(VLOOKUP(ROWS($L$2:L7116),$B$2:$C$1996,2,0),"")</f>
        <v/>
      </c>
      <c r="N7116" s="2" t="str">
        <f>IFERROR(VLOOKUP(ROWS($N$2:N7116),$D$2:$E$1996,2,0),"")</f>
        <v/>
      </c>
    </row>
    <row r="7117" spans="2:14">
      <c r="B7117" s="32">
        <f>IF(ISNUMBER(SEARCH('Φόρμα Εισαγωγής'!$B$2,C7117)),MAX($B$1:B7116)+1,0)</f>
        <v>0</v>
      </c>
      <c r="D7117" s="33">
        <f>IF(ISNUMBER(SEARCH('Φόρμα Εισαγωγής'!$C$2,E7117)),MAX($D$1:D7116)+1,0)</f>
        <v>0</v>
      </c>
      <c r="H7117" s="6">
        <f t="shared" si="344"/>
        <v>0</v>
      </c>
      <c r="I7117" s="6">
        <f t="shared" si="345"/>
        <v>0</v>
      </c>
      <c r="J7117" s="6">
        <f t="shared" si="346"/>
        <v>0</v>
      </c>
      <c r="L7117" s="4" t="str">
        <f>IFERROR(VLOOKUP(ROWS($L$2:L7117),$B$2:$C$1996,2,0),"")</f>
        <v/>
      </c>
      <c r="N7117" s="2" t="str">
        <f>IFERROR(VLOOKUP(ROWS($N$2:N7117),$D$2:$E$1996,2,0),"")</f>
        <v/>
      </c>
    </row>
    <row r="7118" spans="2:14">
      <c r="B7118" s="32">
        <f>IF(ISNUMBER(SEARCH('Φόρμα Εισαγωγής'!$B$2,C7118)),MAX($B$1:B7117)+1,0)</f>
        <v>0</v>
      </c>
      <c r="D7118" s="33">
        <f>IF(ISNUMBER(SEARCH('Φόρμα Εισαγωγής'!$C$2,E7118)),MAX($D$1:D7117)+1,0)</f>
        <v>0</v>
      </c>
      <c r="H7118" s="6">
        <f t="shared" si="344"/>
        <v>0</v>
      </c>
      <c r="I7118" s="6">
        <f t="shared" si="345"/>
        <v>0</v>
      </c>
      <c r="J7118" s="6">
        <f t="shared" si="346"/>
        <v>0</v>
      </c>
      <c r="L7118" s="4" t="str">
        <f>IFERROR(VLOOKUP(ROWS($L$2:L7118),$B$2:$C$1996,2,0),"")</f>
        <v/>
      </c>
      <c r="N7118" s="2" t="str">
        <f>IFERROR(VLOOKUP(ROWS($N$2:N7118),$D$2:$E$1996,2,0),"")</f>
        <v/>
      </c>
    </row>
    <row r="7119" spans="2:14">
      <c r="B7119" s="32">
        <f>IF(ISNUMBER(SEARCH('Φόρμα Εισαγωγής'!$B$2,C7119)),MAX($B$1:B7118)+1,0)</f>
        <v>0</v>
      </c>
      <c r="D7119" s="33">
        <f>IF(ISNUMBER(SEARCH('Φόρμα Εισαγωγής'!$C$2,E7119)),MAX($D$1:D7118)+1,0)</f>
        <v>0</v>
      </c>
      <c r="H7119" s="6">
        <f t="shared" si="344"/>
        <v>0</v>
      </c>
      <c r="I7119" s="6">
        <f t="shared" si="345"/>
        <v>0</v>
      </c>
      <c r="J7119" s="6">
        <f t="shared" si="346"/>
        <v>0</v>
      </c>
      <c r="L7119" s="4" t="str">
        <f>IFERROR(VLOOKUP(ROWS($L$2:L7119),$B$2:$C$1996,2,0),"")</f>
        <v/>
      </c>
      <c r="N7119" s="2" t="str">
        <f>IFERROR(VLOOKUP(ROWS($N$2:N7119),$D$2:$E$1996,2,0),"")</f>
        <v/>
      </c>
    </row>
    <row r="7120" spans="2:14">
      <c r="B7120" s="32">
        <f>IF(ISNUMBER(SEARCH('Φόρμα Εισαγωγής'!$B$2,C7120)),MAX($B$1:B7119)+1,0)</f>
        <v>0</v>
      </c>
      <c r="D7120" s="33">
        <f>IF(ISNUMBER(SEARCH('Φόρμα Εισαγωγής'!$C$2,E7120)),MAX($D$1:D7119)+1,0)</f>
        <v>0</v>
      </c>
      <c r="H7120" s="6">
        <f t="shared" si="344"/>
        <v>0</v>
      </c>
      <c r="I7120" s="6">
        <f t="shared" si="345"/>
        <v>0</v>
      </c>
      <c r="J7120" s="6">
        <f t="shared" si="346"/>
        <v>0</v>
      </c>
      <c r="L7120" s="4" t="str">
        <f>IFERROR(VLOOKUP(ROWS($L$2:L7120),$B$2:$C$1996,2,0),"")</f>
        <v/>
      </c>
      <c r="N7120" s="2" t="str">
        <f>IFERROR(VLOOKUP(ROWS($N$2:N7120),$D$2:$E$1996,2,0),"")</f>
        <v/>
      </c>
    </row>
    <row r="7121" spans="2:14">
      <c r="B7121" s="32">
        <f>IF(ISNUMBER(SEARCH('Φόρμα Εισαγωγής'!$B$2,C7121)),MAX($B$1:B7120)+1,0)</f>
        <v>0</v>
      </c>
      <c r="D7121" s="33">
        <f>IF(ISNUMBER(SEARCH('Φόρμα Εισαγωγής'!$C$2,E7121)),MAX($D$1:D7120)+1,0)</f>
        <v>0</v>
      </c>
      <c r="H7121" s="6">
        <f t="shared" si="344"/>
        <v>0</v>
      </c>
      <c r="I7121" s="6">
        <f t="shared" si="345"/>
        <v>0</v>
      </c>
      <c r="J7121" s="6">
        <f t="shared" si="346"/>
        <v>0</v>
      </c>
      <c r="L7121" s="4" t="str">
        <f>IFERROR(VLOOKUP(ROWS($L$2:L7121),$B$2:$C$1996,2,0),"")</f>
        <v/>
      </c>
      <c r="N7121" s="2" t="str">
        <f>IFERROR(VLOOKUP(ROWS($N$2:N7121),$D$2:$E$1996,2,0),"")</f>
        <v/>
      </c>
    </row>
    <row r="7122" spans="2:14">
      <c r="B7122" s="32">
        <f>IF(ISNUMBER(SEARCH('Φόρμα Εισαγωγής'!$B$2,C7122)),MAX($B$1:B7121)+1,0)</f>
        <v>0</v>
      </c>
      <c r="D7122" s="33">
        <f>IF(ISNUMBER(SEARCH('Φόρμα Εισαγωγής'!$C$2,E7122)),MAX($D$1:D7121)+1,0)</f>
        <v>0</v>
      </c>
      <c r="H7122" s="6">
        <f t="shared" si="344"/>
        <v>0</v>
      </c>
      <c r="I7122" s="6">
        <f t="shared" si="345"/>
        <v>0</v>
      </c>
      <c r="J7122" s="6">
        <f t="shared" si="346"/>
        <v>0</v>
      </c>
      <c r="L7122" s="4" t="str">
        <f>IFERROR(VLOOKUP(ROWS($L$2:L7122),$B$2:$C$1996,2,0),"")</f>
        <v/>
      </c>
      <c r="N7122" s="2" t="str">
        <f>IFERROR(VLOOKUP(ROWS($N$2:N7122),$D$2:$E$1996,2,0),"")</f>
        <v/>
      </c>
    </row>
    <row r="7123" spans="2:14">
      <c r="B7123" s="32">
        <f>IF(ISNUMBER(SEARCH('Φόρμα Εισαγωγής'!$B$2,C7123)),MAX($B$1:B7122)+1,0)</f>
        <v>0</v>
      </c>
      <c r="D7123" s="33">
        <f>IF(ISNUMBER(SEARCH('Φόρμα Εισαγωγής'!$C$2,E7123)),MAX($D$1:D7122)+1,0)</f>
        <v>0</v>
      </c>
      <c r="H7123" s="6">
        <f t="shared" si="344"/>
        <v>0</v>
      </c>
      <c r="I7123" s="6">
        <f t="shared" si="345"/>
        <v>0</v>
      </c>
      <c r="J7123" s="6">
        <f t="shared" si="346"/>
        <v>0</v>
      </c>
      <c r="L7123" s="4" t="str">
        <f>IFERROR(VLOOKUP(ROWS($L$2:L7123),$B$2:$C$1996,2,0),"")</f>
        <v/>
      </c>
      <c r="N7123" s="2" t="str">
        <f>IFERROR(VLOOKUP(ROWS($N$2:N7123),$D$2:$E$1996,2,0),"")</f>
        <v/>
      </c>
    </row>
    <row r="7124" spans="2:14">
      <c r="B7124" s="32">
        <f>IF(ISNUMBER(SEARCH('Φόρμα Εισαγωγής'!$B$2,C7124)),MAX($B$1:B7123)+1,0)</f>
        <v>0</v>
      </c>
      <c r="D7124" s="33">
        <f>IF(ISNUMBER(SEARCH('Φόρμα Εισαγωγής'!$C$2,E7124)),MAX($D$1:D7123)+1,0)</f>
        <v>0</v>
      </c>
      <c r="H7124" s="6">
        <f t="shared" si="344"/>
        <v>0</v>
      </c>
      <c r="I7124" s="6">
        <f t="shared" si="345"/>
        <v>0</v>
      </c>
      <c r="J7124" s="6">
        <f t="shared" si="346"/>
        <v>0</v>
      </c>
      <c r="L7124" s="4" t="str">
        <f>IFERROR(VLOOKUP(ROWS($L$2:L7124),$B$2:$C$1996,2,0),"")</f>
        <v/>
      </c>
      <c r="N7124" s="2" t="str">
        <f>IFERROR(VLOOKUP(ROWS($N$2:N7124),$D$2:$E$1996,2,0),"")</f>
        <v/>
      </c>
    </row>
    <row r="7125" spans="2:14">
      <c r="B7125" s="32">
        <f>IF(ISNUMBER(SEARCH('Φόρμα Εισαγωγής'!$B$2,C7125)),MAX($B$1:B7124)+1,0)</f>
        <v>0</v>
      </c>
      <c r="D7125" s="33">
        <f>IF(ISNUMBER(SEARCH('Φόρμα Εισαγωγής'!$C$2,E7125)),MAX($D$1:D7124)+1,0)</f>
        <v>0</v>
      </c>
      <c r="H7125" s="6">
        <f t="shared" si="344"/>
        <v>0</v>
      </c>
      <c r="I7125" s="6">
        <f t="shared" si="345"/>
        <v>0</v>
      </c>
      <c r="J7125" s="6">
        <f t="shared" si="346"/>
        <v>0</v>
      </c>
      <c r="L7125" s="4" t="str">
        <f>IFERROR(VLOOKUP(ROWS($L$2:L7125),$B$2:$C$1996,2,0),"")</f>
        <v/>
      </c>
      <c r="N7125" s="2" t="str">
        <f>IFERROR(VLOOKUP(ROWS($N$2:N7125),$D$2:$E$1996,2,0),"")</f>
        <v/>
      </c>
    </row>
    <row r="7126" spans="2:14">
      <c r="B7126" s="32">
        <f>IF(ISNUMBER(SEARCH('Φόρμα Εισαγωγής'!$B$2,C7126)),MAX($B$1:B7125)+1,0)</f>
        <v>0</v>
      </c>
      <c r="D7126" s="33">
        <f>IF(ISNUMBER(SEARCH('Φόρμα Εισαγωγής'!$C$2,E7126)),MAX($D$1:D7125)+1,0)</f>
        <v>0</v>
      </c>
      <c r="H7126" s="6">
        <f t="shared" si="344"/>
        <v>0</v>
      </c>
      <c r="I7126" s="6">
        <f t="shared" si="345"/>
        <v>0</v>
      </c>
      <c r="J7126" s="6">
        <f t="shared" si="346"/>
        <v>0</v>
      </c>
      <c r="L7126" s="4" t="str">
        <f>IFERROR(VLOOKUP(ROWS($L$2:L7126),$B$2:$C$1996,2,0),"")</f>
        <v/>
      </c>
      <c r="N7126" s="2" t="str">
        <f>IFERROR(VLOOKUP(ROWS($N$2:N7126),$D$2:$E$1996,2,0),"")</f>
        <v/>
      </c>
    </row>
    <row r="7127" spans="2:14">
      <c r="B7127" s="32">
        <f>IF(ISNUMBER(SEARCH('Φόρμα Εισαγωγής'!$B$2,C7127)),MAX($B$1:B7126)+1,0)</f>
        <v>0</v>
      </c>
      <c r="D7127" s="33">
        <f>IF(ISNUMBER(SEARCH('Φόρμα Εισαγωγής'!$C$2,E7127)),MAX($D$1:D7126)+1,0)</f>
        <v>0</v>
      </c>
      <c r="H7127" s="6">
        <f t="shared" si="344"/>
        <v>0</v>
      </c>
      <c r="I7127" s="6">
        <f t="shared" si="345"/>
        <v>0</v>
      </c>
      <c r="J7127" s="6">
        <f t="shared" si="346"/>
        <v>0</v>
      </c>
      <c r="L7127" s="4" t="str">
        <f>IFERROR(VLOOKUP(ROWS($L$2:L7127),$B$2:$C$1996,2,0),"")</f>
        <v/>
      </c>
      <c r="N7127" s="2" t="str">
        <f>IFERROR(VLOOKUP(ROWS($N$2:N7127),$D$2:$E$1996,2,0),"")</f>
        <v/>
      </c>
    </row>
    <row r="7128" spans="2:14">
      <c r="B7128" s="32">
        <f>IF(ISNUMBER(SEARCH('Φόρμα Εισαγωγής'!$B$2,C7128)),MAX($B$1:B7127)+1,0)</f>
        <v>0</v>
      </c>
      <c r="D7128" s="33">
        <f>IF(ISNUMBER(SEARCH('Φόρμα Εισαγωγής'!$C$2,E7128)),MAX($D$1:D7127)+1,0)</f>
        <v>0</v>
      </c>
      <c r="H7128" s="6">
        <f t="shared" si="344"/>
        <v>0</v>
      </c>
      <c r="I7128" s="6">
        <f t="shared" si="345"/>
        <v>0</v>
      </c>
      <c r="J7128" s="6">
        <f t="shared" si="346"/>
        <v>0</v>
      </c>
      <c r="L7128" s="4" t="str">
        <f>IFERROR(VLOOKUP(ROWS($L$2:L7128),$B$2:$C$1996,2,0),"")</f>
        <v/>
      </c>
      <c r="N7128" s="2" t="str">
        <f>IFERROR(VLOOKUP(ROWS($N$2:N7128),$D$2:$E$1996,2,0),"")</f>
        <v/>
      </c>
    </row>
    <row r="7129" spans="2:14">
      <c r="B7129" s="32">
        <f>IF(ISNUMBER(SEARCH('Φόρμα Εισαγωγής'!$B$2,C7129)),MAX($B$1:B7128)+1,0)</f>
        <v>0</v>
      </c>
      <c r="D7129" s="33">
        <f>IF(ISNUMBER(SEARCH('Φόρμα Εισαγωγής'!$C$2,E7129)),MAX($D$1:D7128)+1,0)</f>
        <v>0</v>
      </c>
      <c r="H7129" s="6">
        <f t="shared" si="344"/>
        <v>0</v>
      </c>
      <c r="I7129" s="6">
        <f t="shared" si="345"/>
        <v>0</v>
      </c>
      <c r="J7129" s="6">
        <f t="shared" si="346"/>
        <v>0</v>
      </c>
      <c r="L7129" s="4" t="str">
        <f>IFERROR(VLOOKUP(ROWS($L$2:L7129),$B$2:$C$1996,2,0),"")</f>
        <v/>
      </c>
      <c r="N7129" s="2" t="str">
        <f>IFERROR(VLOOKUP(ROWS($N$2:N7129),$D$2:$E$1996,2,0),"")</f>
        <v/>
      </c>
    </row>
    <row r="7130" spans="2:14">
      <c r="B7130" s="32">
        <f>IF(ISNUMBER(SEARCH('Φόρμα Εισαγωγής'!$B$2,C7130)),MAX($B$1:B7129)+1,0)</f>
        <v>0</v>
      </c>
      <c r="D7130" s="33">
        <f>IF(ISNUMBER(SEARCH('Φόρμα Εισαγωγής'!$C$2,E7130)),MAX($D$1:D7129)+1,0)</f>
        <v>0</v>
      </c>
      <c r="H7130" s="6">
        <f t="shared" si="344"/>
        <v>0</v>
      </c>
      <c r="I7130" s="6">
        <f t="shared" si="345"/>
        <v>0</v>
      </c>
      <c r="J7130" s="6">
        <f t="shared" si="346"/>
        <v>0</v>
      </c>
      <c r="L7130" s="4" t="str">
        <f>IFERROR(VLOOKUP(ROWS($L$2:L7130),$B$2:$C$1996,2,0),"")</f>
        <v/>
      </c>
      <c r="N7130" s="2" t="str">
        <f>IFERROR(VLOOKUP(ROWS($N$2:N7130),$D$2:$E$1996,2,0),"")</f>
        <v/>
      </c>
    </row>
    <row r="7131" spans="2:14">
      <c r="B7131" s="32">
        <f>IF(ISNUMBER(SEARCH('Φόρμα Εισαγωγής'!$B$2,C7131)),MAX($B$1:B7130)+1,0)</f>
        <v>0</v>
      </c>
      <c r="D7131" s="33">
        <f>IF(ISNUMBER(SEARCH('Φόρμα Εισαγωγής'!$C$2,E7131)),MAX($D$1:D7130)+1,0)</f>
        <v>0</v>
      </c>
      <c r="H7131" s="6">
        <f t="shared" si="344"/>
        <v>0</v>
      </c>
      <c r="I7131" s="6">
        <f t="shared" si="345"/>
        <v>0</v>
      </c>
      <c r="J7131" s="6">
        <f t="shared" si="346"/>
        <v>0</v>
      </c>
      <c r="L7131" s="4" t="str">
        <f>IFERROR(VLOOKUP(ROWS($L$2:L7131),$B$2:$C$1996,2,0),"")</f>
        <v/>
      </c>
      <c r="N7131" s="2" t="str">
        <f>IFERROR(VLOOKUP(ROWS($N$2:N7131),$D$2:$E$1996,2,0),"")</f>
        <v/>
      </c>
    </row>
    <row r="7132" spans="2:14">
      <c r="B7132" s="32">
        <f>IF(ISNUMBER(SEARCH('Φόρμα Εισαγωγής'!$B$2,C7132)),MAX($B$1:B7131)+1,0)</f>
        <v>0</v>
      </c>
      <c r="D7132" s="33">
        <f>IF(ISNUMBER(SEARCH('Φόρμα Εισαγωγής'!$C$2,E7132)),MAX($D$1:D7131)+1,0)</f>
        <v>0</v>
      </c>
      <c r="H7132" s="6">
        <f t="shared" si="344"/>
        <v>0</v>
      </c>
      <c r="I7132" s="6">
        <f t="shared" si="345"/>
        <v>0</v>
      </c>
      <c r="J7132" s="6">
        <f t="shared" si="346"/>
        <v>0</v>
      </c>
      <c r="L7132" s="4" t="str">
        <f>IFERROR(VLOOKUP(ROWS($L$2:L7132),$B$2:$C$1996,2,0),"")</f>
        <v/>
      </c>
      <c r="N7132" s="2" t="str">
        <f>IFERROR(VLOOKUP(ROWS($N$2:N7132),$D$2:$E$1996,2,0),"")</f>
        <v/>
      </c>
    </row>
    <row r="7133" spans="2:14">
      <c r="B7133" s="32">
        <f>IF(ISNUMBER(SEARCH('Φόρμα Εισαγωγής'!$B$2,C7133)),MAX($B$1:B7132)+1,0)</f>
        <v>0</v>
      </c>
      <c r="D7133" s="33">
        <f>IF(ISNUMBER(SEARCH('Φόρμα Εισαγωγής'!$C$2,E7133)),MAX($D$1:D7132)+1,0)</f>
        <v>0</v>
      </c>
      <c r="H7133" s="6">
        <f t="shared" si="344"/>
        <v>0</v>
      </c>
      <c r="I7133" s="6">
        <f t="shared" si="345"/>
        <v>0</v>
      </c>
      <c r="J7133" s="6">
        <f t="shared" si="346"/>
        <v>0</v>
      </c>
      <c r="L7133" s="4" t="str">
        <f>IFERROR(VLOOKUP(ROWS($L$2:L7133),$B$2:$C$1996,2,0),"")</f>
        <v/>
      </c>
      <c r="N7133" s="2" t="str">
        <f>IFERROR(VLOOKUP(ROWS($N$2:N7133),$D$2:$E$1996,2,0),"")</f>
        <v/>
      </c>
    </row>
    <row r="7134" spans="2:14">
      <c r="B7134" s="32">
        <f>IF(ISNUMBER(SEARCH('Φόρμα Εισαγωγής'!$B$2,C7134)),MAX($B$1:B7133)+1,0)</f>
        <v>0</v>
      </c>
      <c r="D7134" s="33">
        <f>IF(ISNUMBER(SEARCH('Φόρμα Εισαγωγής'!$C$2,E7134)),MAX($D$1:D7133)+1,0)</f>
        <v>0</v>
      </c>
      <c r="H7134" s="6">
        <f t="shared" si="344"/>
        <v>0</v>
      </c>
      <c r="I7134" s="6">
        <f t="shared" si="345"/>
        <v>0</v>
      </c>
      <c r="J7134" s="6">
        <f t="shared" si="346"/>
        <v>0</v>
      </c>
      <c r="L7134" s="4" t="str">
        <f>IFERROR(VLOOKUP(ROWS($L$2:L7134),$B$2:$C$1996,2,0),"")</f>
        <v/>
      </c>
      <c r="N7134" s="2" t="str">
        <f>IFERROR(VLOOKUP(ROWS($N$2:N7134),$D$2:$E$1996,2,0),"")</f>
        <v/>
      </c>
    </row>
    <row r="7135" spans="2:14">
      <c r="B7135" s="32">
        <f>IF(ISNUMBER(SEARCH('Φόρμα Εισαγωγής'!$B$2,C7135)),MAX($B$1:B7134)+1,0)</f>
        <v>0</v>
      </c>
      <c r="D7135" s="33">
        <f>IF(ISNUMBER(SEARCH('Φόρμα Εισαγωγής'!$C$2,E7135)),MAX($D$1:D7134)+1,0)</f>
        <v>0</v>
      </c>
      <c r="H7135" s="6">
        <f t="shared" si="344"/>
        <v>0</v>
      </c>
      <c r="I7135" s="6">
        <f t="shared" si="345"/>
        <v>0</v>
      </c>
      <c r="J7135" s="6">
        <f t="shared" si="346"/>
        <v>0</v>
      </c>
      <c r="L7135" s="4" t="str">
        <f>IFERROR(VLOOKUP(ROWS($L$2:L7135),$B$2:$C$1996,2,0),"")</f>
        <v/>
      </c>
      <c r="N7135" s="2" t="str">
        <f>IFERROR(VLOOKUP(ROWS($N$2:N7135),$D$2:$E$1996,2,0),"")</f>
        <v/>
      </c>
    </row>
    <row r="7136" spans="2:14">
      <c r="B7136" s="32">
        <f>IF(ISNUMBER(SEARCH('Φόρμα Εισαγωγής'!$B$2,C7136)),MAX($B$1:B7135)+1,0)</f>
        <v>0</v>
      </c>
      <c r="D7136" s="33">
        <f>IF(ISNUMBER(SEARCH('Φόρμα Εισαγωγής'!$C$2,E7136)),MAX($D$1:D7135)+1,0)</f>
        <v>0</v>
      </c>
      <c r="H7136" s="6">
        <f t="shared" si="344"/>
        <v>0</v>
      </c>
      <c r="I7136" s="6">
        <f t="shared" si="345"/>
        <v>0</v>
      </c>
      <c r="J7136" s="6">
        <f t="shared" si="346"/>
        <v>0</v>
      </c>
      <c r="L7136" s="4" t="str">
        <f>IFERROR(VLOOKUP(ROWS($L$2:L7136),$B$2:$C$1996,2,0),"")</f>
        <v/>
      </c>
      <c r="N7136" s="2" t="str">
        <f>IFERROR(VLOOKUP(ROWS($N$2:N7136),$D$2:$E$1996,2,0),"")</f>
        <v/>
      </c>
    </row>
    <row r="7137" spans="2:14">
      <c r="B7137" s="32">
        <f>IF(ISNUMBER(SEARCH('Φόρμα Εισαγωγής'!$B$2,C7137)),MAX($B$1:B7136)+1,0)</f>
        <v>0</v>
      </c>
      <c r="D7137" s="33">
        <f>IF(ISNUMBER(SEARCH('Φόρμα Εισαγωγής'!$C$2,E7137)),MAX($D$1:D7136)+1,0)</f>
        <v>0</v>
      </c>
      <c r="H7137" s="6">
        <f t="shared" si="344"/>
        <v>0</v>
      </c>
      <c r="I7137" s="6">
        <f t="shared" si="345"/>
        <v>0</v>
      </c>
      <c r="J7137" s="6">
        <f t="shared" si="346"/>
        <v>0</v>
      </c>
      <c r="L7137" s="4" t="str">
        <f>IFERROR(VLOOKUP(ROWS($L$2:L7137),$B$2:$C$1996,2,0),"")</f>
        <v/>
      </c>
      <c r="N7137" s="2" t="str">
        <f>IFERROR(VLOOKUP(ROWS($N$2:N7137),$D$2:$E$1996,2,0),"")</f>
        <v/>
      </c>
    </row>
    <row r="7138" spans="2:14">
      <c r="B7138" s="32">
        <f>IF(ISNUMBER(SEARCH('Φόρμα Εισαγωγής'!$B$2,C7138)),MAX($B$1:B7137)+1,0)</f>
        <v>0</v>
      </c>
      <c r="D7138" s="33">
        <f>IF(ISNUMBER(SEARCH('Φόρμα Εισαγωγής'!$C$2,E7138)),MAX($D$1:D7137)+1,0)</f>
        <v>0</v>
      </c>
      <c r="H7138" s="6">
        <f t="shared" si="344"/>
        <v>0</v>
      </c>
      <c r="I7138" s="6">
        <f t="shared" si="345"/>
        <v>0</v>
      </c>
      <c r="J7138" s="6">
        <f t="shared" si="346"/>
        <v>0</v>
      </c>
      <c r="L7138" s="4" t="str">
        <f>IFERROR(VLOOKUP(ROWS($L$2:L7138),$B$2:$C$1996,2,0),"")</f>
        <v/>
      </c>
      <c r="N7138" s="2" t="str">
        <f>IFERROR(VLOOKUP(ROWS($N$2:N7138),$D$2:$E$1996,2,0),"")</f>
        <v/>
      </c>
    </row>
    <row r="7139" spans="2:14">
      <c r="B7139" s="32">
        <f>IF(ISNUMBER(SEARCH('Φόρμα Εισαγωγής'!$B$2,C7139)),MAX($B$1:B7138)+1,0)</f>
        <v>0</v>
      </c>
      <c r="D7139" s="33">
        <f>IF(ISNUMBER(SEARCH('Φόρμα Εισαγωγής'!$C$2,E7139)),MAX($D$1:D7138)+1,0)</f>
        <v>0</v>
      </c>
      <c r="H7139" s="6">
        <f t="shared" si="344"/>
        <v>0</v>
      </c>
      <c r="I7139" s="6">
        <f t="shared" si="345"/>
        <v>0</v>
      </c>
      <c r="J7139" s="6">
        <f t="shared" si="346"/>
        <v>0</v>
      </c>
      <c r="L7139" s="4" t="str">
        <f>IFERROR(VLOOKUP(ROWS($L$2:L7139),$B$2:$C$1996,2,0),"")</f>
        <v/>
      </c>
      <c r="N7139" s="2" t="str">
        <f>IFERROR(VLOOKUP(ROWS($N$2:N7139),$D$2:$E$1996,2,0),"")</f>
        <v/>
      </c>
    </row>
    <row r="7140" spans="2:14">
      <c r="B7140" s="32">
        <f>IF(ISNUMBER(SEARCH('Φόρμα Εισαγωγής'!$B$2,C7140)),MAX($B$1:B7139)+1,0)</f>
        <v>0</v>
      </c>
      <c r="D7140" s="33">
        <f>IF(ISNUMBER(SEARCH('Φόρμα Εισαγωγής'!$C$2,E7140)),MAX($D$1:D7139)+1,0)</f>
        <v>0</v>
      </c>
      <c r="H7140" s="6">
        <f t="shared" si="344"/>
        <v>0</v>
      </c>
      <c r="I7140" s="6">
        <f t="shared" si="345"/>
        <v>0</v>
      </c>
      <c r="J7140" s="6">
        <f t="shared" si="346"/>
        <v>0</v>
      </c>
      <c r="L7140" s="4" t="str">
        <f>IFERROR(VLOOKUP(ROWS($L$2:L7140),$B$2:$C$1996,2,0),"")</f>
        <v/>
      </c>
      <c r="N7140" s="2" t="str">
        <f>IFERROR(VLOOKUP(ROWS($N$2:N7140),$D$2:$E$1996,2,0),"")</f>
        <v/>
      </c>
    </row>
    <row r="7141" spans="2:14">
      <c r="B7141" s="32">
        <f>IF(ISNUMBER(SEARCH('Φόρμα Εισαγωγής'!$B$2,C7141)),MAX($B$1:B7140)+1,0)</f>
        <v>0</v>
      </c>
      <c r="D7141" s="33">
        <f>IF(ISNUMBER(SEARCH('Φόρμα Εισαγωγής'!$C$2,E7141)),MAX($D$1:D7140)+1,0)</f>
        <v>0</v>
      </c>
      <c r="H7141" s="6">
        <f t="shared" si="344"/>
        <v>0</v>
      </c>
      <c r="I7141" s="6">
        <f t="shared" si="345"/>
        <v>0</v>
      </c>
      <c r="J7141" s="6">
        <f t="shared" si="346"/>
        <v>0</v>
      </c>
      <c r="L7141" s="4" t="str">
        <f>IFERROR(VLOOKUP(ROWS($L$2:L7141),$B$2:$C$1996,2,0),"")</f>
        <v/>
      </c>
      <c r="N7141" s="2" t="str">
        <f>IFERROR(VLOOKUP(ROWS($N$2:N7141),$D$2:$E$1996,2,0),"")</f>
        <v/>
      </c>
    </row>
    <row r="7142" spans="2:14">
      <c r="B7142" s="32">
        <f>IF(ISNUMBER(SEARCH('Φόρμα Εισαγωγής'!$B$2,C7142)),MAX($B$1:B7141)+1,0)</f>
        <v>0</v>
      </c>
      <c r="D7142" s="33">
        <f>IF(ISNUMBER(SEARCH('Φόρμα Εισαγωγής'!$C$2,E7142)),MAX($D$1:D7141)+1,0)</f>
        <v>0</v>
      </c>
      <c r="H7142" s="6">
        <f t="shared" si="344"/>
        <v>0</v>
      </c>
      <c r="I7142" s="6">
        <f t="shared" si="345"/>
        <v>0</v>
      </c>
      <c r="J7142" s="6">
        <f t="shared" si="346"/>
        <v>0</v>
      </c>
      <c r="L7142" s="4" t="str">
        <f>IFERROR(VLOOKUP(ROWS($L$2:L7142),$B$2:$C$1996,2,0),"")</f>
        <v/>
      </c>
      <c r="N7142" s="2" t="str">
        <f>IFERROR(VLOOKUP(ROWS($N$2:N7142),$D$2:$E$1996,2,0),"")</f>
        <v/>
      </c>
    </row>
    <row r="7143" spans="2:14">
      <c r="B7143" s="32">
        <f>IF(ISNUMBER(SEARCH('Φόρμα Εισαγωγής'!$B$2,C7143)),MAX($B$1:B7142)+1,0)</f>
        <v>0</v>
      </c>
      <c r="D7143" s="33">
        <f>IF(ISNUMBER(SEARCH('Φόρμα Εισαγωγής'!$C$2,E7143)),MAX($D$1:D7142)+1,0)</f>
        <v>0</v>
      </c>
      <c r="H7143" s="6">
        <f t="shared" si="344"/>
        <v>0</v>
      </c>
      <c r="I7143" s="6">
        <f t="shared" si="345"/>
        <v>0</v>
      </c>
      <c r="J7143" s="6">
        <f t="shared" si="346"/>
        <v>0</v>
      </c>
      <c r="L7143" s="4" t="str">
        <f>IFERROR(VLOOKUP(ROWS($L$2:L7143),$B$2:$C$1996,2,0),"")</f>
        <v/>
      </c>
      <c r="N7143" s="2" t="str">
        <f>IFERROR(VLOOKUP(ROWS($N$2:N7143),$D$2:$E$1996,2,0),"")</f>
        <v/>
      </c>
    </row>
    <row r="7144" spans="2:14">
      <c r="B7144" s="32">
        <f>IF(ISNUMBER(SEARCH('Φόρμα Εισαγωγής'!$B$2,C7144)),MAX($B$1:B7143)+1,0)</f>
        <v>0</v>
      </c>
      <c r="D7144" s="33">
        <f>IF(ISNUMBER(SEARCH('Φόρμα Εισαγωγής'!$C$2,E7144)),MAX($D$1:D7143)+1,0)</f>
        <v>0</v>
      </c>
      <c r="H7144" s="6">
        <f t="shared" si="344"/>
        <v>0</v>
      </c>
      <c r="I7144" s="6">
        <f t="shared" si="345"/>
        <v>0</v>
      </c>
      <c r="J7144" s="6">
        <f t="shared" si="346"/>
        <v>0</v>
      </c>
      <c r="L7144" s="4" t="str">
        <f>IFERROR(VLOOKUP(ROWS($L$2:L7144),$B$2:$C$1996,2,0),"")</f>
        <v/>
      </c>
      <c r="N7144" s="2" t="str">
        <f>IFERROR(VLOOKUP(ROWS($N$2:N7144),$D$2:$E$1996,2,0),"")</f>
        <v/>
      </c>
    </row>
    <row r="7145" spans="2:14">
      <c r="B7145" s="32">
        <f>IF(ISNUMBER(SEARCH('Φόρμα Εισαγωγής'!$B$2,C7145)),MAX($B$1:B7144)+1,0)</f>
        <v>0</v>
      </c>
      <c r="D7145" s="33">
        <f>IF(ISNUMBER(SEARCH('Φόρμα Εισαγωγής'!$C$2,E7145)),MAX($D$1:D7144)+1,0)</f>
        <v>0</v>
      </c>
      <c r="H7145" s="6">
        <f t="shared" si="344"/>
        <v>0</v>
      </c>
      <c r="I7145" s="6">
        <f t="shared" si="345"/>
        <v>0</v>
      </c>
      <c r="J7145" s="6">
        <f t="shared" si="346"/>
        <v>0</v>
      </c>
      <c r="L7145" s="4" t="str">
        <f>IFERROR(VLOOKUP(ROWS($L$2:L7145),$B$2:$C$1996,2,0),"")</f>
        <v/>
      </c>
      <c r="N7145" s="2" t="str">
        <f>IFERROR(VLOOKUP(ROWS($N$2:N7145),$D$2:$E$1996,2,0),"")</f>
        <v/>
      </c>
    </row>
    <row r="7146" spans="2:14">
      <c r="B7146" s="32">
        <f>IF(ISNUMBER(SEARCH('Φόρμα Εισαγωγής'!$B$2,C7146)),MAX($B$1:B7145)+1,0)</f>
        <v>0</v>
      </c>
      <c r="D7146" s="33">
        <f>IF(ISNUMBER(SEARCH('Φόρμα Εισαγωγής'!$C$2,E7146)),MAX($D$1:D7145)+1,0)</f>
        <v>0</v>
      </c>
      <c r="H7146" s="6">
        <f t="shared" si="344"/>
        <v>0</v>
      </c>
      <c r="I7146" s="6">
        <f t="shared" si="345"/>
        <v>0</v>
      </c>
      <c r="J7146" s="6">
        <f t="shared" si="346"/>
        <v>0</v>
      </c>
      <c r="L7146" s="4" t="str">
        <f>IFERROR(VLOOKUP(ROWS($L$2:L7146),$B$2:$C$1996,2,0),"")</f>
        <v/>
      </c>
      <c r="N7146" s="2" t="str">
        <f>IFERROR(VLOOKUP(ROWS($N$2:N7146),$D$2:$E$1996,2,0),"")</f>
        <v/>
      </c>
    </row>
    <row r="7147" spans="2:14">
      <c r="B7147" s="32">
        <f>IF(ISNUMBER(SEARCH('Φόρμα Εισαγωγής'!$B$2,C7147)),MAX($B$1:B7146)+1,0)</f>
        <v>0</v>
      </c>
      <c r="D7147" s="33">
        <f>IF(ISNUMBER(SEARCH('Φόρμα Εισαγωγής'!$C$2,E7147)),MAX($D$1:D7146)+1,0)</f>
        <v>0</v>
      </c>
      <c r="H7147" s="6">
        <f t="shared" si="344"/>
        <v>0</v>
      </c>
      <c r="I7147" s="6">
        <f t="shared" si="345"/>
        <v>0</v>
      </c>
      <c r="J7147" s="6">
        <f t="shared" si="346"/>
        <v>0</v>
      </c>
      <c r="L7147" s="4" t="str">
        <f>IFERROR(VLOOKUP(ROWS($L$2:L7147),$B$2:$C$1996,2,0),"")</f>
        <v/>
      </c>
      <c r="N7147" s="2" t="str">
        <f>IFERROR(VLOOKUP(ROWS($N$2:N7147),$D$2:$E$1996,2,0),"")</f>
        <v/>
      </c>
    </row>
    <row r="7148" spans="2:14">
      <c r="B7148" s="32">
        <f>IF(ISNUMBER(SEARCH('Φόρμα Εισαγωγής'!$B$2,C7148)),MAX($B$1:B7147)+1,0)</f>
        <v>0</v>
      </c>
      <c r="D7148" s="33">
        <f>IF(ISNUMBER(SEARCH('Φόρμα Εισαγωγής'!$C$2,E7148)),MAX($D$1:D7147)+1,0)</f>
        <v>0</v>
      </c>
      <c r="H7148" s="6">
        <f t="shared" si="344"/>
        <v>0</v>
      </c>
      <c r="I7148" s="6">
        <f t="shared" si="345"/>
        <v>0</v>
      </c>
      <c r="J7148" s="6">
        <f t="shared" si="346"/>
        <v>0</v>
      </c>
      <c r="L7148" s="4" t="str">
        <f>IFERROR(VLOOKUP(ROWS($L$2:L7148),$B$2:$C$1996,2,0),"")</f>
        <v/>
      </c>
      <c r="N7148" s="2" t="str">
        <f>IFERROR(VLOOKUP(ROWS($N$2:N7148),$D$2:$E$1996,2,0),"")</f>
        <v/>
      </c>
    </row>
    <row r="7149" spans="2:14">
      <c r="B7149" s="32">
        <f>IF(ISNUMBER(SEARCH('Φόρμα Εισαγωγής'!$B$2,C7149)),MAX($B$1:B7148)+1,0)</f>
        <v>0</v>
      </c>
      <c r="D7149" s="33">
        <f>IF(ISNUMBER(SEARCH('Φόρμα Εισαγωγής'!$C$2,E7149)),MAX($D$1:D7148)+1,0)</f>
        <v>0</v>
      </c>
      <c r="H7149" s="6">
        <f t="shared" si="344"/>
        <v>0</v>
      </c>
      <c r="I7149" s="6">
        <f t="shared" si="345"/>
        <v>0</v>
      </c>
      <c r="J7149" s="6">
        <f t="shared" si="346"/>
        <v>0</v>
      </c>
      <c r="L7149" s="4" t="str">
        <f>IFERROR(VLOOKUP(ROWS($L$2:L7149),$B$2:$C$1996,2,0),"")</f>
        <v/>
      </c>
      <c r="N7149" s="2" t="str">
        <f>IFERROR(VLOOKUP(ROWS($N$2:N7149),$D$2:$E$1996,2,0),"")</f>
        <v/>
      </c>
    </row>
    <row r="7150" spans="2:14">
      <c r="B7150" s="32">
        <f>IF(ISNUMBER(SEARCH('Φόρμα Εισαγωγής'!$B$2,C7150)),MAX($B$1:B7149)+1,0)</f>
        <v>0</v>
      </c>
      <c r="D7150" s="33">
        <f>IF(ISNUMBER(SEARCH('Φόρμα Εισαγωγής'!$C$2,E7150)),MAX($D$1:D7149)+1,0)</f>
        <v>0</v>
      </c>
      <c r="H7150" s="6">
        <f t="shared" si="344"/>
        <v>0</v>
      </c>
      <c r="I7150" s="6">
        <f t="shared" si="345"/>
        <v>0</v>
      </c>
      <c r="J7150" s="6">
        <f t="shared" si="346"/>
        <v>0</v>
      </c>
      <c r="L7150" s="4" t="str">
        <f>IFERROR(VLOOKUP(ROWS($L$2:L7150),$B$2:$C$1996,2,0),"")</f>
        <v/>
      </c>
      <c r="N7150" s="2" t="str">
        <f>IFERROR(VLOOKUP(ROWS($N$2:N7150),$D$2:$E$1996,2,0),"")</f>
        <v/>
      </c>
    </row>
    <row r="7151" spans="2:14">
      <c r="B7151" s="32">
        <f>IF(ISNUMBER(SEARCH('Φόρμα Εισαγωγής'!$B$2,C7151)),MAX($B$1:B7150)+1,0)</f>
        <v>0</v>
      </c>
      <c r="D7151" s="33">
        <f>IF(ISNUMBER(SEARCH('Φόρμα Εισαγωγής'!$C$2,E7151)),MAX($D$1:D7150)+1,0)</f>
        <v>0</v>
      </c>
      <c r="H7151" s="6">
        <f t="shared" si="344"/>
        <v>0</v>
      </c>
      <c r="I7151" s="6">
        <f t="shared" si="345"/>
        <v>0</v>
      </c>
      <c r="J7151" s="6">
        <f t="shared" si="346"/>
        <v>0</v>
      </c>
      <c r="L7151" s="4" t="str">
        <f>IFERROR(VLOOKUP(ROWS($L$2:L7151),$B$2:$C$1996,2,0),"")</f>
        <v/>
      </c>
      <c r="N7151" s="2" t="str">
        <f>IFERROR(VLOOKUP(ROWS($N$2:N7151),$D$2:$E$1996,2,0),"")</f>
        <v/>
      </c>
    </row>
    <row r="7152" spans="2:14">
      <c r="B7152" s="32">
        <f>IF(ISNUMBER(SEARCH('Φόρμα Εισαγωγής'!$B$2,C7152)),MAX($B$1:B7151)+1,0)</f>
        <v>0</v>
      </c>
      <c r="D7152" s="33">
        <f>IF(ISNUMBER(SEARCH('Φόρμα Εισαγωγής'!$C$2,E7152)),MAX($D$1:D7151)+1,0)</f>
        <v>0</v>
      </c>
      <c r="H7152" s="6">
        <f t="shared" si="344"/>
        <v>0</v>
      </c>
      <c r="I7152" s="6">
        <f t="shared" si="345"/>
        <v>0</v>
      </c>
      <c r="J7152" s="6">
        <f t="shared" si="346"/>
        <v>0</v>
      </c>
      <c r="L7152" s="4" t="str">
        <f>IFERROR(VLOOKUP(ROWS($L$2:L7152),$B$2:$C$1996,2,0),"")</f>
        <v/>
      </c>
      <c r="N7152" s="2" t="str">
        <f>IFERROR(VLOOKUP(ROWS($N$2:N7152),$D$2:$E$1996,2,0),"")</f>
        <v/>
      </c>
    </row>
    <row r="7153" spans="2:14">
      <c r="B7153" s="32">
        <f>IF(ISNUMBER(SEARCH('Φόρμα Εισαγωγής'!$B$2,C7153)),MAX($B$1:B7152)+1,0)</f>
        <v>0</v>
      </c>
      <c r="D7153" s="33">
        <f>IF(ISNUMBER(SEARCH('Φόρμα Εισαγωγής'!$C$2,E7153)),MAX($D$1:D7152)+1,0)</f>
        <v>0</v>
      </c>
      <c r="H7153" s="6">
        <f t="shared" si="344"/>
        <v>0</v>
      </c>
      <c r="I7153" s="6">
        <f t="shared" si="345"/>
        <v>0</v>
      </c>
      <c r="J7153" s="6">
        <f t="shared" si="346"/>
        <v>0</v>
      </c>
      <c r="L7153" s="4" t="str">
        <f>IFERROR(VLOOKUP(ROWS($L$2:L7153),$B$2:$C$1996,2,0),"")</f>
        <v/>
      </c>
      <c r="N7153" s="2" t="str">
        <f>IFERROR(VLOOKUP(ROWS($N$2:N7153),$D$2:$E$1996,2,0),"")</f>
        <v/>
      </c>
    </row>
    <row r="7154" spans="2:14">
      <c r="B7154" s="32">
        <f>IF(ISNUMBER(SEARCH('Φόρμα Εισαγωγής'!$B$2,C7154)),MAX($B$1:B7153)+1,0)</f>
        <v>0</v>
      </c>
      <c r="D7154" s="33">
        <f>IF(ISNUMBER(SEARCH('Φόρμα Εισαγωγής'!$C$2,E7154)),MAX($D$1:D7153)+1,0)</f>
        <v>0</v>
      </c>
      <c r="H7154" s="6">
        <f t="shared" si="344"/>
        <v>0</v>
      </c>
      <c r="I7154" s="6">
        <f t="shared" si="345"/>
        <v>0</v>
      </c>
      <c r="J7154" s="6">
        <f t="shared" si="346"/>
        <v>0</v>
      </c>
      <c r="L7154" s="4" t="str">
        <f>IFERROR(VLOOKUP(ROWS($L$2:L7154),$B$2:$C$1996,2,0),"")</f>
        <v/>
      </c>
      <c r="N7154" s="2" t="str">
        <f>IFERROR(VLOOKUP(ROWS($N$2:N7154),$D$2:$E$1996,2,0),"")</f>
        <v/>
      </c>
    </row>
    <row r="7155" spans="2:14">
      <c r="B7155" s="32">
        <f>IF(ISNUMBER(SEARCH('Φόρμα Εισαγωγής'!$B$2,C7155)),MAX($B$1:B7154)+1,0)</f>
        <v>0</v>
      </c>
      <c r="D7155" s="33">
        <f>IF(ISNUMBER(SEARCH('Φόρμα Εισαγωγής'!$C$2,E7155)),MAX($D$1:D7154)+1,0)</f>
        <v>0</v>
      </c>
      <c r="H7155" s="6">
        <f t="shared" si="344"/>
        <v>0</v>
      </c>
      <c r="I7155" s="6">
        <f t="shared" si="345"/>
        <v>0</v>
      </c>
      <c r="J7155" s="6">
        <f t="shared" si="346"/>
        <v>0</v>
      </c>
      <c r="L7155" s="4" t="str">
        <f>IFERROR(VLOOKUP(ROWS($L$2:L7155),$B$2:$C$1996,2,0),"")</f>
        <v/>
      </c>
      <c r="N7155" s="2" t="str">
        <f>IFERROR(VLOOKUP(ROWS($N$2:N7155),$D$2:$E$1996,2,0),"")</f>
        <v/>
      </c>
    </row>
    <row r="7156" spans="2:14">
      <c r="B7156" s="32">
        <f>IF(ISNUMBER(SEARCH('Φόρμα Εισαγωγής'!$B$2,C7156)),MAX($B$1:B7155)+1,0)</f>
        <v>0</v>
      </c>
      <c r="D7156" s="33">
        <f>IF(ISNUMBER(SEARCH('Φόρμα Εισαγωγής'!$C$2,E7156)),MAX($D$1:D7155)+1,0)</f>
        <v>0</v>
      </c>
      <c r="H7156" s="6">
        <f t="shared" si="344"/>
        <v>0</v>
      </c>
      <c r="I7156" s="6">
        <f t="shared" si="345"/>
        <v>0</v>
      </c>
      <c r="J7156" s="6">
        <f t="shared" si="346"/>
        <v>0</v>
      </c>
      <c r="L7156" s="4" t="str">
        <f>IFERROR(VLOOKUP(ROWS($L$2:L7156),$B$2:$C$1996,2,0),"")</f>
        <v/>
      </c>
      <c r="N7156" s="2" t="str">
        <f>IFERROR(VLOOKUP(ROWS($N$2:N7156),$D$2:$E$1996,2,0),"")</f>
        <v/>
      </c>
    </row>
    <row r="7157" spans="2:14">
      <c r="B7157" s="32">
        <f>IF(ISNUMBER(SEARCH('Φόρμα Εισαγωγής'!$B$2,C7157)),MAX($B$1:B7156)+1,0)</f>
        <v>0</v>
      </c>
      <c r="D7157" s="33">
        <f>IF(ISNUMBER(SEARCH('Φόρμα Εισαγωγής'!$C$2,E7157)),MAX($D$1:D7156)+1,0)</f>
        <v>0</v>
      </c>
      <c r="H7157" s="6">
        <f t="shared" si="344"/>
        <v>0</v>
      </c>
      <c r="I7157" s="6">
        <f t="shared" si="345"/>
        <v>0</v>
      </c>
      <c r="J7157" s="6">
        <f t="shared" si="346"/>
        <v>0</v>
      </c>
      <c r="L7157" s="4" t="str">
        <f>IFERROR(VLOOKUP(ROWS($L$2:L7157),$B$2:$C$1996,2,0),"")</f>
        <v/>
      </c>
      <c r="N7157" s="2" t="str">
        <f>IFERROR(VLOOKUP(ROWS($N$2:N7157),$D$2:$E$1996,2,0),"")</f>
        <v/>
      </c>
    </row>
    <row r="7158" spans="2:14">
      <c r="B7158" s="32">
        <f>IF(ISNUMBER(SEARCH('Φόρμα Εισαγωγής'!$B$2,C7158)),MAX($B$1:B7157)+1,0)</f>
        <v>0</v>
      </c>
      <c r="D7158" s="33">
        <f>IF(ISNUMBER(SEARCH('Φόρμα Εισαγωγής'!$C$2,E7158)),MAX($D$1:D7157)+1,0)</f>
        <v>0</v>
      </c>
      <c r="H7158" s="6">
        <f t="shared" si="344"/>
        <v>0</v>
      </c>
      <c r="I7158" s="6">
        <f t="shared" si="345"/>
        <v>0</v>
      </c>
      <c r="J7158" s="6">
        <f t="shared" si="346"/>
        <v>0</v>
      </c>
      <c r="L7158" s="4" t="str">
        <f>IFERROR(VLOOKUP(ROWS($L$2:L7158),$B$2:$C$1996,2,0),"")</f>
        <v/>
      </c>
      <c r="N7158" s="2" t="str">
        <f>IFERROR(VLOOKUP(ROWS($N$2:N7158),$D$2:$E$1996,2,0),"")</f>
        <v/>
      </c>
    </row>
    <row r="7159" spans="2:14">
      <c r="B7159" s="32">
        <f>IF(ISNUMBER(SEARCH('Φόρμα Εισαγωγής'!$B$2,C7159)),MAX($B$1:B7158)+1,0)</f>
        <v>0</v>
      </c>
      <c r="D7159" s="33">
        <f>IF(ISNUMBER(SEARCH('Φόρμα Εισαγωγής'!$C$2,E7159)),MAX($D$1:D7158)+1,0)</f>
        <v>0</v>
      </c>
      <c r="H7159" s="6">
        <f t="shared" si="344"/>
        <v>0</v>
      </c>
      <c r="I7159" s="6">
        <f t="shared" si="345"/>
        <v>0</v>
      </c>
      <c r="J7159" s="6">
        <f t="shared" si="346"/>
        <v>0</v>
      </c>
      <c r="L7159" s="4" t="str">
        <f>IFERROR(VLOOKUP(ROWS($L$2:L7159),$B$2:$C$1996,2,0),"")</f>
        <v/>
      </c>
      <c r="N7159" s="2" t="str">
        <f>IFERROR(VLOOKUP(ROWS($N$2:N7159),$D$2:$E$1996,2,0),"")</f>
        <v/>
      </c>
    </row>
    <row r="7160" spans="2:14">
      <c r="B7160" s="32">
        <f>IF(ISNUMBER(SEARCH('Φόρμα Εισαγωγής'!$B$2,C7160)),MAX($B$1:B7159)+1,0)</f>
        <v>0</v>
      </c>
      <c r="D7160" s="33">
        <f>IF(ISNUMBER(SEARCH('Φόρμα Εισαγωγής'!$C$2,E7160)),MAX($D$1:D7159)+1,0)</f>
        <v>0</v>
      </c>
      <c r="H7160" s="6">
        <f t="shared" si="344"/>
        <v>0</v>
      </c>
      <c r="I7160" s="6">
        <f t="shared" si="345"/>
        <v>0</v>
      </c>
      <c r="J7160" s="6">
        <f t="shared" si="346"/>
        <v>0</v>
      </c>
      <c r="L7160" s="4" t="str">
        <f>IFERROR(VLOOKUP(ROWS($L$2:L7160),$B$2:$C$1996,2,0),"")</f>
        <v/>
      </c>
      <c r="N7160" s="2" t="str">
        <f>IFERROR(VLOOKUP(ROWS($N$2:N7160),$D$2:$E$1996,2,0),"")</f>
        <v/>
      </c>
    </row>
    <row r="7161" spans="2:14">
      <c r="B7161" s="32">
        <f>IF(ISNUMBER(SEARCH('Φόρμα Εισαγωγής'!$B$2,C7161)),MAX($B$1:B7160)+1,0)</f>
        <v>0</v>
      </c>
      <c r="D7161" s="33">
        <f>IF(ISNUMBER(SEARCH('Φόρμα Εισαγωγής'!$C$2,E7161)),MAX($D$1:D7160)+1,0)</f>
        <v>0</v>
      </c>
      <c r="H7161" s="6">
        <f t="shared" si="344"/>
        <v>0</v>
      </c>
      <c r="I7161" s="6">
        <f t="shared" si="345"/>
        <v>0</v>
      </c>
      <c r="J7161" s="6">
        <f t="shared" si="346"/>
        <v>0</v>
      </c>
      <c r="L7161" s="4" t="str">
        <f>IFERROR(VLOOKUP(ROWS($L$2:L7161),$B$2:$C$1996,2,0),"")</f>
        <v/>
      </c>
      <c r="N7161" s="2" t="str">
        <f>IFERROR(VLOOKUP(ROWS($N$2:N7161),$D$2:$E$1996,2,0),"")</f>
        <v/>
      </c>
    </row>
    <row r="7162" spans="2:14">
      <c r="B7162" s="32">
        <f>IF(ISNUMBER(SEARCH('Φόρμα Εισαγωγής'!$B$2,C7162)),MAX($B$1:B7161)+1,0)</f>
        <v>0</v>
      </c>
      <c r="D7162" s="33">
        <f>IF(ISNUMBER(SEARCH('Φόρμα Εισαγωγής'!$C$2,E7162)),MAX($D$1:D7161)+1,0)</f>
        <v>0</v>
      </c>
      <c r="H7162" s="6">
        <f t="shared" si="344"/>
        <v>0</v>
      </c>
      <c r="I7162" s="6">
        <f t="shared" si="345"/>
        <v>0</v>
      </c>
      <c r="J7162" s="6">
        <f t="shared" si="346"/>
        <v>0</v>
      </c>
      <c r="L7162" s="4" t="str">
        <f>IFERROR(VLOOKUP(ROWS($L$2:L7162),$B$2:$C$1996,2,0),"")</f>
        <v/>
      </c>
      <c r="N7162" s="2" t="str">
        <f>IFERROR(VLOOKUP(ROWS($N$2:N7162),$D$2:$E$1996,2,0),"")</f>
        <v/>
      </c>
    </row>
    <row r="7163" spans="2:14">
      <c r="B7163" s="32">
        <f>IF(ISNUMBER(SEARCH('Φόρμα Εισαγωγής'!$B$2,C7163)),MAX($B$1:B7162)+1,0)</f>
        <v>0</v>
      </c>
      <c r="D7163" s="33">
        <f>IF(ISNUMBER(SEARCH('Φόρμα Εισαγωγής'!$C$2,E7163)),MAX($D$1:D7162)+1,0)</f>
        <v>0</v>
      </c>
      <c r="H7163" s="6">
        <f t="shared" si="344"/>
        <v>0</v>
      </c>
      <c r="I7163" s="6">
        <f t="shared" si="345"/>
        <v>0</v>
      </c>
      <c r="J7163" s="6">
        <f t="shared" si="346"/>
        <v>0</v>
      </c>
      <c r="L7163" s="4" t="str">
        <f>IFERROR(VLOOKUP(ROWS($L$2:L7163),$B$2:$C$1996,2,0),"")</f>
        <v/>
      </c>
      <c r="N7163" s="2" t="str">
        <f>IFERROR(VLOOKUP(ROWS($N$2:N7163),$D$2:$E$1996,2,0),"")</f>
        <v/>
      </c>
    </row>
    <row r="7164" spans="2:14">
      <c r="B7164" s="32">
        <f>IF(ISNUMBER(SEARCH('Φόρμα Εισαγωγής'!$B$2,C7164)),MAX($B$1:B7163)+1,0)</f>
        <v>0</v>
      </c>
      <c r="D7164" s="33">
        <f>IF(ISNUMBER(SEARCH('Φόρμα Εισαγωγής'!$C$2,E7164)),MAX($D$1:D7163)+1,0)</f>
        <v>0</v>
      </c>
      <c r="H7164" s="6">
        <f t="shared" si="344"/>
        <v>0</v>
      </c>
      <c r="I7164" s="6">
        <f t="shared" si="345"/>
        <v>0</v>
      </c>
      <c r="J7164" s="6">
        <f t="shared" si="346"/>
        <v>0</v>
      </c>
      <c r="L7164" s="4" t="str">
        <f>IFERROR(VLOOKUP(ROWS($L$2:L7164),$B$2:$C$1996,2,0),"")</f>
        <v/>
      </c>
      <c r="N7164" s="2" t="str">
        <f>IFERROR(VLOOKUP(ROWS($N$2:N7164),$D$2:$E$1996,2,0),"")</f>
        <v/>
      </c>
    </row>
    <row r="7165" spans="2:14">
      <c r="B7165" s="32">
        <f>IF(ISNUMBER(SEARCH('Φόρμα Εισαγωγής'!$B$2,C7165)),MAX($B$1:B7164)+1,0)</f>
        <v>0</v>
      </c>
      <c r="D7165" s="33">
        <f>IF(ISNUMBER(SEARCH('Φόρμα Εισαγωγής'!$C$2,E7165)),MAX($D$1:D7164)+1,0)</f>
        <v>0</v>
      </c>
      <c r="H7165" s="6">
        <f t="shared" si="344"/>
        <v>0</v>
      </c>
      <c r="I7165" s="6">
        <f t="shared" si="345"/>
        <v>0</v>
      </c>
      <c r="J7165" s="6">
        <f t="shared" si="346"/>
        <v>0</v>
      </c>
      <c r="L7165" s="4" t="str">
        <f>IFERROR(VLOOKUP(ROWS($L$2:L7165),$B$2:$C$1996,2,0),"")</f>
        <v/>
      </c>
      <c r="N7165" s="2" t="str">
        <f>IFERROR(VLOOKUP(ROWS($N$2:N7165),$D$2:$E$1996,2,0),"")</f>
        <v/>
      </c>
    </row>
    <row r="7166" spans="2:14">
      <c r="B7166" s="32">
        <f>IF(ISNUMBER(SEARCH('Φόρμα Εισαγωγής'!$B$2,C7166)),MAX($B$1:B7165)+1,0)</f>
        <v>0</v>
      </c>
      <c r="D7166" s="33">
        <f>IF(ISNUMBER(SEARCH('Φόρμα Εισαγωγής'!$C$2,E7166)),MAX($D$1:D7165)+1,0)</f>
        <v>0</v>
      </c>
      <c r="H7166" s="6">
        <f t="shared" si="344"/>
        <v>0</v>
      </c>
      <c r="I7166" s="6">
        <f t="shared" si="345"/>
        <v>0</v>
      </c>
      <c r="J7166" s="6">
        <f t="shared" si="346"/>
        <v>0</v>
      </c>
      <c r="L7166" s="4" t="str">
        <f>IFERROR(VLOOKUP(ROWS($L$2:L7166),$B$2:$C$1996,2,0),"")</f>
        <v/>
      </c>
      <c r="N7166" s="2" t="str">
        <f>IFERROR(VLOOKUP(ROWS($N$2:N7166),$D$2:$E$1996,2,0),"")</f>
        <v/>
      </c>
    </row>
    <row r="7167" spans="2:14">
      <c r="B7167" s="32">
        <f>IF(ISNUMBER(SEARCH('Φόρμα Εισαγωγής'!$B$2,C7167)),MAX($B$1:B7166)+1,0)</f>
        <v>0</v>
      </c>
      <c r="D7167" s="33">
        <f>IF(ISNUMBER(SEARCH('Φόρμα Εισαγωγής'!$C$2,E7167)),MAX($D$1:D7166)+1,0)</f>
        <v>0</v>
      </c>
      <c r="H7167" s="6">
        <f t="shared" si="344"/>
        <v>0</v>
      </c>
      <c r="I7167" s="6">
        <f t="shared" si="345"/>
        <v>0</v>
      </c>
      <c r="J7167" s="6">
        <f t="shared" si="346"/>
        <v>0</v>
      </c>
      <c r="L7167" s="4" t="str">
        <f>IFERROR(VLOOKUP(ROWS($L$2:L7167),$B$2:$C$1996,2,0),"")</f>
        <v/>
      </c>
      <c r="N7167" s="2" t="str">
        <f>IFERROR(VLOOKUP(ROWS($N$2:N7167),$D$2:$E$1996,2,0),"")</f>
        <v/>
      </c>
    </row>
    <row r="7168" spans="2:14">
      <c r="B7168" s="32">
        <f>IF(ISNUMBER(SEARCH('Φόρμα Εισαγωγής'!$B$2,C7168)),MAX($B$1:B7167)+1,0)</f>
        <v>0</v>
      </c>
      <c r="D7168" s="33">
        <f>IF(ISNUMBER(SEARCH('Φόρμα Εισαγωγής'!$C$2,E7168)),MAX($D$1:D7167)+1,0)</f>
        <v>0</v>
      </c>
      <c r="H7168" s="6">
        <f t="shared" ref="H7168:H7231" si="347">G7168+(G7168*0.24)</f>
        <v>0</v>
      </c>
      <c r="I7168" s="6">
        <f t="shared" ref="I7168:I7231" si="348">F7168*A7168</f>
        <v>0</v>
      </c>
      <c r="J7168" s="6">
        <f t="shared" ref="J7168:J7231" si="349">H7168*A7168</f>
        <v>0</v>
      </c>
      <c r="L7168" s="4" t="str">
        <f>IFERROR(VLOOKUP(ROWS($L$2:L7168),$B$2:$C$1996,2,0),"")</f>
        <v/>
      </c>
      <c r="N7168" s="2" t="str">
        <f>IFERROR(VLOOKUP(ROWS($N$2:N7168),$D$2:$E$1996,2,0),"")</f>
        <v/>
      </c>
    </row>
    <row r="7169" spans="2:14">
      <c r="B7169" s="32">
        <f>IF(ISNUMBER(SEARCH('Φόρμα Εισαγωγής'!$B$2,C7169)),MAX($B$1:B7168)+1,0)</f>
        <v>0</v>
      </c>
      <c r="D7169" s="33">
        <f>IF(ISNUMBER(SEARCH('Φόρμα Εισαγωγής'!$C$2,E7169)),MAX($D$1:D7168)+1,0)</f>
        <v>0</v>
      </c>
      <c r="H7169" s="6">
        <f t="shared" si="347"/>
        <v>0</v>
      </c>
      <c r="I7169" s="6">
        <f t="shared" si="348"/>
        <v>0</v>
      </c>
      <c r="J7169" s="6">
        <f t="shared" si="349"/>
        <v>0</v>
      </c>
      <c r="L7169" s="4" t="str">
        <f>IFERROR(VLOOKUP(ROWS($L$2:L7169),$B$2:$C$1996,2,0),"")</f>
        <v/>
      </c>
      <c r="N7169" s="2" t="str">
        <f>IFERROR(VLOOKUP(ROWS($N$2:N7169),$D$2:$E$1996,2,0),"")</f>
        <v/>
      </c>
    </row>
    <row r="7170" spans="2:14">
      <c r="B7170" s="32">
        <f>IF(ISNUMBER(SEARCH('Φόρμα Εισαγωγής'!$B$2,C7170)),MAX($B$1:B7169)+1,0)</f>
        <v>0</v>
      </c>
      <c r="D7170" s="33">
        <f>IF(ISNUMBER(SEARCH('Φόρμα Εισαγωγής'!$C$2,E7170)),MAX($D$1:D7169)+1,0)</f>
        <v>0</v>
      </c>
      <c r="H7170" s="6">
        <f t="shared" si="347"/>
        <v>0</v>
      </c>
      <c r="I7170" s="6">
        <f t="shared" si="348"/>
        <v>0</v>
      </c>
      <c r="J7170" s="6">
        <f t="shared" si="349"/>
        <v>0</v>
      </c>
      <c r="L7170" s="4" t="str">
        <f>IFERROR(VLOOKUP(ROWS($L$2:L7170),$B$2:$C$1996,2,0),"")</f>
        <v/>
      </c>
      <c r="N7170" s="2" t="str">
        <f>IFERROR(VLOOKUP(ROWS($N$2:N7170),$D$2:$E$1996,2,0),"")</f>
        <v/>
      </c>
    </row>
    <row r="7171" spans="2:14">
      <c r="B7171" s="32">
        <f>IF(ISNUMBER(SEARCH('Φόρμα Εισαγωγής'!$B$2,C7171)),MAX($B$1:B7170)+1,0)</f>
        <v>0</v>
      </c>
      <c r="D7171" s="33">
        <f>IF(ISNUMBER(SEARCH('Φόρμα Εισαγωγής'!$C$2,E7171)),MAX($D$1:D7170)+1,0)</f>
        <v>0</v>
      </c>
      <c r="H7171" s="6">
        <f t="shared" si="347"/>
        <v>0</v>
      </c>
      <c r="I7171" s="6">
        <f t="shared" si="348"/>
        <v>0</v>
      </c>
      <c r="J7171" s="6">
        <f t="shared" si="349"/>
        <v>0</v>
      </c>
      <c r="L7171" s="4" t="str">
        <f>IFERROR(VLOOKUP(ROWS($L$2:L7171),$B$2:$C$1996,2,0),"")</f>
        <v/>
      </c>
      <c r="N7171" s="2" t="str">
        <f>IFERROR(VLOOKUP(ROWS($N$2:N7171),$D$2:$E$1996,2,0),"")</f>
        <v/>
      </c>
    </row>
    <row r="7172" spans="2:14">
      <c r="B7172" s="32">
        <f>IF(ISNUMBER(SEARCH('Φόρμα Εισαγωγής'!$B$2,C7172)),MAX($B$1:B7171)+1,0)</f>
        <v>0</v>
      </c>
      <c r="D7172" s="33">
        <f>IF(ISNUMBER(SEARCH('Φόρμα Εισαγωγής'!$C$2,E7172)),MAX($D$1:D7171)+1,0)</f>
        <v>0</v>
      </c>
      <c r="H7172" s="6">
        <f t="shared" si="347"/>
        <v>0</v>
      </c>
      <c r="I7172" s="6">
        <f t="shared" si="348"/>
        <v>0</v>
      </c>
      <c r="J7172" s="6">
        <f t="shared" si="349"/>
        <v>0</v>
      </c>
      <c r="L7172" s="4" t="str">
        <f>IFERROR(VLOOKUP(ROWS($L$2:L7172),$B$2:$C$1996,2,0),"")</f>
        <v/>
      </c>
      <c r="N7172" s="2" t="str">
        <f>IFERROR(VLOOKUP(ROWS($N$2:N7172),$D$2:$E$1996,2,0),"")</f>
        <v/>
      </c>
    </row>
    <row r="7173" spans="2:14">
      <c r="B7173" s="32">
        <f>IF(ISNUMBER(SEARCH('Φόρμα Εισαγωγής'!$B$2,C7173)),MAX($B$1:B7172)+1,0)</f>
        <v>0</v>
      </c>
      <c r="D7173" s="33">
        <f>IF(ISNUMBER(SEARCH('Φόρμα Εισαγωγής'!$C$2,E7173)),MAX($D$1:D7172)+1,0)</f>
        <v>0</v>
      </c>
      <c r="H7173" s="6">
        <f t="shared" si="347"/>
        <v>0</v>
      </c>
      <c r="I7173" s="6">
        <f t="shared" si="348"/>
        <v>0</v>
      </c>
      <c r="J7173" s="6">
        <f t="shared" si="349"/>
        <v>0</v>
      </c>
      <c r="L7173" s="4" t="str">
        <f>IFERROR(VLOOKUP(ROWS($L$2:L7173),$B$2:$C$1996,2,0),"")</f>
        <v/>
      </c>
      <c r="N7173" s="2" t="str">
        <f>IFERROR(VLOOKUP(ROWS($N$2:N7173),$D$2:$E$1996,2,0),"")</f>
        <v/>
      </c>
    </row>
    <row r="7174" spans="2:14">
      <c r="B7174" s="32">
        <f>IF(ISNUMBER(SEARCH('Φόρμα Εισαγωγής'!$B$2,C7174)),MAX($B$1:B7173)+1,0)</f>
        <v>0</v>
      </c>
      <c r="D7174" s="33">
        <f>IF(ISNUMBER(SEARCH('Φόρμα Εισαγωγής'!$C$2,E7174)),MAX($D$1:D7173)+1,0)</f>
        <v>0</v>
      </c>
      <c r="H7174" s="6">
        <f t="shared" si="347"/>
        <v>0</v>
      </c>
      <c r="I7174" s="6">
        <f t="shared" si="348"/>
        <v>0</v>
      </c>
      <c r="J7174" s="6">
        <f t="shared" si="349"/>
        <v>0</v>
      </c>
      <c r="L7174" s="4" t="str">
        <f>IFERROR(VLOOKUP(ROWS($L$2:L7174),$B$2:$C$1996,2,0),"")</f>
        <v/>
      </c>
      <c r="N7174" s="2" t="str">
        <f>IFERROR(VLOOKUP(ROWS($N$2:N7174),$D$2:$E$1996,2,0),"")</f>
        <v/>
      </c>
    </row>
    <row r="7175" spans="2:14">
      <c r="B7175" s="32">
        <f>IF(ISNUMBER(SEARCH('Φόρμα Εισαγωγής'!$B$2,C7175)),MAX($B$1:B7174)+1,0)</f>
        <v>0</v>
      </c>
      <c r="D7175" s="33">
        <f>IF(ISNUMBER(SEARCH('Φόρμα Εισαγωγής'!$C$2,E7175)),MAX($D$1:D7174)+1,0)</f>
        <v>0</v>
      </c>
      <c r="H7175" s="6">
        <f t="shared" si="347"/>
        <v>0</v>
      </c>
      <c r="I7175" s="6">
        <f t="shared" si="348"/>
        <v>0</v>
      </c>
      <c r="J7175" s="6">
        <f t="shared" si="349"/>
        <v>0</v>
      </c>
      <c r="L7175" s="4" t="str">
        <f>IFERROR(VLOOKUP(ROWS($L$2:L7175),$B$2:$C$1996,2,0),"")</f>
        <v/>
      </c>
      <c r="N7175" s="2" t="str">
        <f>IFERROR(VLOOKUP(ROWS($N$2:N7175),$D$2:$E$1996,2,0),"")</f>
        <v/>
      </c>
    </row>
    <row r="7176" spans="2:14">
      <c r="B7176" s="32">
        <f>IF(ISNUMBER(SEARCH('Φόρμα Εισαγωγής'!$B$2,C7176)),MAX($B$1:B7175)+1,0)</f>
        <v>0</v>
      </c>
      <c r="D7176" s="33">
        <f>IF(ISNUMBER(SEARCH('Φόρμα Εισαγωγής'!$C$2,E7176)),MAX($D$1:D7175)+1,0)</f>
        <v>0</v>
      </c>
      <c r="H7176" s="6">
        <f t="shared" si="347"/>
        <v>0</v>
      </c>
      <c r="I7176" s="6">
        <f t="shared" si="348"/>
        <v>0</v>
      </c>
      <c r="J7176" s="6">
        <f t="shared" si="349"/>
        <v>0</v>
      </c>
      <c r="L7176" s="4" t="str">
        <f>IFERROR(VLOOKUP(ROWS($L$2:L7176),$B$2:$C$1996,2,0),"")</f>
        <v/>
      </c>
      <c r="N7176" s="2" t="str">
        <f>IFERROR(VLOOKUP(ROWS($N$2:N7176),$D$2:$E$1996,2,0),"")</f>
        <v/>
      </c>
    </row>
    <row r="7177" spans="2:14">
      <c r="B7177" s="32">
        <f>IF(ISNUMBER(SEARCH('Φόρμα Εισαγωγής'!$B$2,C7177)),MAX($B$1:B7176)+1,0)</f>
        <v>0</v>
      </c>
      <c r="D7177" s="33">
        <f>IF(ISNUMBER(SEARCH('Φόρμα Εισαγωγής'!$C$2,E7177)),MAX($D$1:D7176)+1,0)</f>
        <v>0</v>
      </c>
      <c r="H7177" s="6">
        <f t="shared" si="347"/>
        <v>0</v>
      </c>
      <c r="I7177" s="6">
        <f t="shared" si="348"/>
        <v>0</v>
      </c>
      <c r="J7177" s="6">
        <f t="shared" si="349"/>
        <v>0</v>
      </c>
      <c r="L7177" s="4" t="str">
        <f>IFERROR(VLOOKUP(ROWS($L$2:L7177),$B$2:$C$1996,2,0),"")</f>
        <v/>
      </c>
      <c r="N7177" s="2" t="str">
        <f>IFERROR(VLOOKUP(ROWS($N$2:N7177),$D$2:$E$1996,2,0),"")</f>
        <v/>
      </c>
    </row>
    <row r="7178" spans="2:14">
      <c r="B7178" s="32">
        <f>IF(ISNUMBER(SEARCH('Φόρμα Εισαγωγής'!$B$2,C7178)),MAX($B$1:B7177)+1,0)</f>
        <v>0</v>
      </c>
      <c r="D7178" s="33">
        <f>IF(ISNUMBER(SEARCH('Φόρμα Εισαγωγής'!$C$2,E7178)),MAX($D$1:D7177)+1,0)</f>
        <v>0</v>
      </c>
      <c r="H7178" s="6">
        <f t="shared" si="347"/>
        <v>0</v>
      </c>
      <c r="I7178" s="6">
        <f t="shared" si="348"/>
        <v>0</v>
      </c>
      <c r="J7178" s="6">
        <f t="shared" si="349"/>
        <v>0</v>
      </c>
      <c r="L7178" s="4" t="str">
        <f>IFERROR(VLOOKUP(ROWS($L$2:L7178),$B$2:$C$1996,2,0),"")</f>
        <v/>
      </c>
      <c r="N7178" s="2" t="str">
        <f>IFERROR(VLOOKUP(ROWS($N$2:N7178),$D$2:$E$1996,2,0),"")</f>
        <v/>
      </c>
    </row>
    <row r="7179" spans="2:14">
      <c r="B7179" s="32">
        <f>IF(ISNUMBER(SEARCH('Φόρμα Εισαγωγής'!$B$2,C7179)),MAX($B$1:B7178)+1,0)</f>
        <v>0</v>
      </c>
      <c r="D7179" s="33">
        <f>IF(ISNUMBER(SEARCH('Φόρμα Εισαγωγής'!$C$2,E7179)),MAX($D$1:D7178)+1,0)</f>
        <v>0</v>
      </c>
      <c r="H7179" s="6">
        <f t="shared" si="347"/>
        <v>0</v>
      </c>
      <c r="I7179" s="6">
        <f t="shared" si="348"/>
        <v>0</v>
      </c>
      <c r="J7179" s="6">
        <f t="shared" si="349"/>
        <v>0</v>
      </c>
      <c r="L7179" s="4" t="str">
        <f>IFERROR(VLOOKUP(ROWS($L$2:L7179),$B$2:$C$1996,2,0),"")</f>
        <v/>
      </c>
      <c r="N7179" s="2" t="str">
        <f>IFERROR(VLOOKUP(ROWS($N$2:N7179),$D$2:$E$1996,2,0),"")</f>
        <v/>
      </c>
    </row>
    <row r="7180" spans="2:14">
      <c r="B7180" s="32">
        <f>IF(ISNUMBER(SEARCH('Φόρμα Εισαγωγής'!$B$2,C7180)),MAX($B$1:B7179)+1,0)</f>
        <v>0</v>
      </c>
      <c r="D7180" s="33">
        <f>IF(ISNUMBER(SEARCH('Φόρμα Εισαγωγής'!$C$2,E7180)),MAX($D$1:D7179)+1,0)</f>
        <v>0</v>
      </c>
      <c r="H7180" s="6">
        <f t="shared" si="347"/>
        <v>0</v>
      </c>
      <c r="I7180" s="6">
        <f t="shared" si="348"/>
        <v>0</v>
      </c>
      <c r="J7180" s="6">
        <f t="shared" si="349"/>
        <v>0</v>
      </c>
      <c r="L7180" s="4" t="str">
        <f>IFERROR(VLOOKUP(ROWS($L$2:L7180),$B$2:$C$1996,2,0),"")</f>
        <v/>
      </c>
      <c r="N7180" s="2" t="str">
        <f>IFERROR(VLOOKUP(ROWS($N$2:N7180),$D$2:$E$1996,2,0),"")</f>
        <v/>
      </c>
    </row>
    <row r="7181" spans="2:14">
      <c r="B7181" s="32">
        <f>IF(ISNUMBER(SEARCH('Φόρμα Εισαγωγής'!$B$2,C7181)),MAX($B$1:B7180)+1,0)</f>
        <v>0</v>
      </c>
      <c r="D7181" s="33">
        <f>IF(ISNUMBER(SEARCH('Φόρμα Εισαγωγής'!$C$2,E7181)),MAX($D$1:D7180)+1,0)</f>
        <v>0</v>
      </c>
      <c r="H7181" s="6">
        <f t="shared" si="347"/>
        <v>0</v>
      </c>
      <c r="I7181" s="6">
        <f t="shared" si="348"/>
        <v>0</v>
      </c>
      <c r="J7181" s="6">
        <f t="shared" si="349"/>
        <v>0</v>
      </c>
      <c r="L7181" s="4" t="str">
        <f>IFERROR(VLOOKUP(ROWS($L$2:L7181),$B$2:$C$1996,2,0),"")</f>
        <v/>
      </c>
      <c r="N7181" s="2" t="str">
        <f>IFERROR(VLOOKUP(ROWS($N$2:N7181),$D$2:$E$1996,2,0),"")</f>
        <v/>
      </c>
    </row>
    <row r="7182" spans="2:14">
      <c r="B7182" s="32">
        <f>IF(ISNUMBER(SEARCH('Φόρμα Εισαγωγής'!$B$2,C7182)),MAX($B$1:B7181)+1,0)</f>
        <v>0</v>
      </c>
      <c r="D7182" s="33">
        <f>IF(ISNUMBER(SEARCH('Φόρμα Εισαγωγής'!$C$2,E7182)),MAX($D$1:D7181)+1,0)</f>
        <v>0</v>
      </c>
      <c r="H7182" s="6">
        <f t="shared" si="347"/>
        <v>0</v>
      </c>
      <c r="I7182" s="6">
        <f t="shared" si="348"/>
        <v>0</v>
      </c>
      <c r="J7182" s="6">
        <f t="shared" si="349"/>
        <v>0</v>
      </c>
      <c r="L7182" s="4" t="str">
        <f>IFERROR(VLOOKUP(ROWS($L$2:L7182),$B$2:$C$1996,2,0),"")</f>
        <v/>
      </c>
      <c r="N7182" s="2" t="str">
        <f>IFERROR(VLOOKUP(ROWS($N$2:N7182),$D$2:$E$1996,2,0),"")</f>
        <v/>
      </c>
    </row>
    <row r="7183" spans="2:14">
      <c r="B7183" s="32">
        <f>IF(ISNUMBER(SEARCH('Φόρμα Εισαγωγής'!$B$2,C7183)),MAX($B$1:B7182)+1,0)</f>
        <v>0</v>
      </c>
      <c r="D7183" s="33">
        <f>IF(ISNUMBER(SEARCH('Φόρμα Εισαγωγής'!$C$2,E7183)),MAX($D$1:D7182)+1,0)</f>
        <v>0</v>
      </c>
      <c r="H7183" s="6">
        <f t="shared" si="347"/>
        <v>0</v>
      </c>
      <c r="I7183" s="6">
        <f t="shared" si="348"/>
        <v>0</v>
      </c>
      <c r="J7183" s="6">
        <f t="shared" si="349"/>
        <v>0</v>
      </c>
      <c r="L7183" s="4" t="str">
        <f>IFERROR(VLOOKUP(ROWS($L$2:L7183),$B$2:$C$1996,2,0),"")</f>
        <v/>
      </c>
      <c r="N7183" s="2" t="str">
        <f>IFERROR(VLOOKUP(ROWS($N$2:N7183),$D$2:$E$1996,2,0),"")</f>
        <v/>
      </c>
    </row>
    <row r="7184" spans="2:14">
      <c r="B7184" s="32">
        <f>IF(ISNUMBER(SEARCH('Φόρμα Εισαγωγής'!$B$2,C7184)),MAX($B$1:B7183)+1,0)</f>
        <v>0</v>
      </c>
      <c r="D7184" s="33">
        <f>IF(ISNUMBER(SEARCH('Φόρμα Εισαγωγής'!$C$2,E7184)),MAX($D$1:D7183)+1,0)</f>
        <v>0</v>
      </c>
      <c r="H7184" s="6">
        <f t="shared" si="347"/>
        <v>0</v>
      </c>
      <c r="I7184" s="6">
        <f t="shared" si="348"/>
        <v>0</v>
      </c>
      <c r="J7184" s="6">
        <f t="shared" si="349"/>
        <v>0</v>
      </c>
      <c r="L7184" s="4" t="str">
        <f>IFERROR(VLOOKUP(ROWS($L$2:L7184),$B$2:$C$1996,2,0),"")</f>
        <v/>
      </c>
      <c r="N7184" s="2" t="str">
        <f>IFERROR(VLOOKUP(ROWS($N$2:N7184),$D$2:$E$1996,2,0),"")</f>
        <v/>
      </c>
    </row>
    <row r="7185" spans="2:14">
      <c r="B7185" s="32">
        <f>IF(ISNUMBER(SEARCH('Φόρμα Εισαγωγής'!$B$2,C7185)),MAX($B$1:B7184)+1,0)</f>
        <v>0</v>
      </c>
      <c r="D7185" s="33">
        <f>IF(ISNUMBER(SEARCH('Φόρμα Εισαγωγής'!$C$2,E7185)),MAX($D$1:D7184)+1,0)</f>
        <v>0</v>
      </c>
      <c r="H7185" s="6">
        <f t="shared" si="347"/>
        <v>0</v>
      </c>
      <c r="I7185" s="6">
        <f t="shared" si="348"/>
        <v>0</v>
      </c>
      <c r="J7185" s="6">
        <f t="shared" si="349"/>
        <v>0</v>
      </c>
      <c r="L7185" s="4" t="str">
        <f>IFERROR(VLOOKUP(ROWS($L$2:L7185),$B$2:$C$1996,2,0),"")</f>
        <v/>
      </c>
      <c r="N7185" s="2" t="str">
        <f>IFERROR(VLOOKUP(ROWS($N$2:N7185),$D$2:$E$1996,2,0),"")</f>
        <v/>
      </c>
    </row>
    <row r="7186" spans="2:14">
      <c r="B7186" s="32">
        <f>IF(ISNUMBER(SEARCH('Φόρμα Εισαγωγής'!$B$2,C7186)),MAX($B$1:B7185)+1,0)</f>
        <v>0</v>
      </c>
      <c r="D7186" s="33">
        <f>IF(ISNUMBER(SEARCH('Φόρμα Εισαγωγής'!$C$2,E7186)),MAX($D$1:D7185)+1,0)</f>
        <v>0</v>
      </c>
      <c r="H7186" s="6">
        <f t="shared" si="347"/>
        <v>0</v>
      </c>
      <c r="I7186" s="6">
        <f t="shared" si="348"/>
        <v>0</v>
      </c>
      <c r="J7186" s="6">
        <f t="shared" si="349"/>
        <v>0</v>
      </c>
      <c r="L7186" s="4" t="str">
        <f>IFERROR(VLOOKUP(ROWS($L$2:L7186),$B$2:$C$1996,2,0),"")</f>
        <v/>
      </c>
      <c r="N7186" s="2" t="str">
        <f>IFERROR(VLOOKUP(ROWS($N$2:N7186),$D$2:$E$1996,2,0),"")</f>
        <v/>
      </c>
    </row>
    <row r="7187" spans="2:14">
      <c r="B7187" s="32">
        <f>IF(ISNUMBER(SEARCH('Φόρμα Εισαγωγής'!$B$2,C7187)),MAX($B$1:B7186)+1,0)</f>
        <v>0</v>
      </c>
      <c r="D7187" s="33">
        <f>IF(ISNUMBER(SEARCH('Φόρμα Εισαγωγής'!$C$2,E7187)),MAX($D$1:D7186)+1,0)</f>
        <v>0</v>
      </c>
      <c r="H7187" s="6">
        <f t="shared" si="347"/>
        <v>0</v>
      </c>
      <c r="I7187" s="6">
        <f t="shared" si="348"/>
        <v>0</v>
      </c>
      <c r="J7187" s="6">
        <f t="shared" si="349"/>
        <v>0</v>
      </c>
      <c r="L7187" s="4" t="str">
        <f>IFERROR(VLOOKUP(ROWS($L$2:L7187),$B$2:$C$1996,2,0),"")</f>
        <v/>
      </c>
      <c r="N7187" s="2" t="str">
        <f>IFERROR(VLOOKUP(ROWS($N$2:N7187),$D$2:$E$1996,2,0),"")</f>
        <v/>
      </c>
    </row>
    <row r="7188" spans="2:14">
      <c r="B7188" s="32">
        <f>IF(ISNUMBER(SEARCH('Φόρμα Εισαγωγής'!$B$2,C7188)),MAX($B$1:B7187)+1,0)</f>
        <v>0</v>
      </c>
      <c r="D7188" s="33">
        <f>IF(ISNUMBER(SEARCH('Φόρμα Εισαγωγής'!$C$2,E7188)),MAX($D$1:D7187)+1,0)</f>
        <v>0</v>
      </c>
      <c r="H7188" s="6">
        <f t="shared" si="347"/>
        <v>0</v>
      </c>
      <c r="I7188" s="6">
        <f t="shared" si="348"/>
        <v>0</v>
      </c>
      <c r="J7188" s="6">
        <f t="shared" si="349"/>
        <v>0</v>
      </c>
      <c r="L7188" s="4" t="str">
        <f>IFERROR(VLOOKUP(ROWS($L$2:L7188),$B$2:$C$1996,2,0),"")</f>
        <v/>
      </c>
      <c r="N7188" s="2" t="str">
        <f>IFERROR(VLOOKUP(ROWS($N$2:N7188),$D$2:$E$1996,2,0),"")</f>
        <v/>
      </c>
    </row>
    <row r="7189" spans="2:14">
      <c r="B7189" s="32">
        <f>IF(ISNUMBER(SEARCH('Φόρμα Εισαγωγής'!$B$2,C7189)),MAX($B$1:B7188)+1,0)</f>
        <v>0</v>
      </c>
      <c r="D7189" s="33">
        <f>IF(ISNUMBER(SEARCH('Φόρμα Εισαγωγής'!$C$2,E7189)),MAX($D$1:D7188)+1,0)</f>
        <v>0</v>
      </c>
      <c r="H7189" s="6">
        <f t="shared" si="347"/>
        <v>0</v>
      </c>
      <c r="I7189" s="6">
        <f t="shared" si="348"/>
        <v>0</v>
      </c>
      <c r="J7189" s="6">
        <f t="shared" si="349"/>
        <v>0</v>
      </c>
      <c r="L7189" s="4" t="str">
        <f>IFERROR(VLOOKUP(ROWS($L$2:L7189),$B$2:$C$1996,2,0),"")</f>
        <v/>
      </c>
      <c r="N7189" s="2" t="str">
        <f>IFERROR(VLOOKUP(ROWS($N$2:N7189),$D$2:$E$1996,2,0),"")</f>
        <v/>
      </c>
    </row>
    <row r="7190" spans="2:14">
      <c r="B7190" s="32">
        <f>IF(ISNUMBER(SEARCH('Φόρμα Εισαγωγής'!$B$2,C7190)),MAX($B$1:B7189)+1,0)</f>
        <v>0</v>
      </c>
      <c r="D7190" s="33">
        <f>IF(ISNUMBER(SEARCH('Φόρμα Εισαγωγής'!$C$2,E7190)),MAX($D$1:D7189)+1,0)</f>
        <v>0</v>
      </c>
      <c r="H7190" s="6">
        <f t="shared" si="347"/>
        <v>0</v>
      </c>
      <c r="I7190" s="6">
        <f t="shared" si="348"/>
        <v>0</v>
      </c>
      <c r="J7190" s="6">
        <f t="shared" si="349"/>
        <v>0</v>
      </c>
      <c r="L7190" s="4" t="str">
        <f>IFERROR(VLOOKUP(ROWS($L$2:L7190),$B$2:$C$1996,2,0),"")</f>
        <v/>
      </c>
      <c r="N7190" s="2" t="str">
        <f>IFERROR(VLOOKUP(ROWS($N$2:N7190),$D$2:$E$1996,2,0),"")</f>
        <v/>
      </c>
    </row>
    <row r="7191" spans="2:14">
      <c r="B7191" s="32">
        <f>IF(ISNUMBER(SEARCH('Φόρμα Εισαγωγής'!$B$2,C7191)),MAX($B$1:B7190)+1,0)</f>
        <v>0</v>
      </c>
      <c r="D7191" s="33">
        <f>IF(ISNUMBER(SEARCH('Φόρμα Εισαγωγής'!$C$2,E7191)),MAX($D$1:D7190)+1,0)</f>
        <v>0</v>
      </c>
      <c r="H7191" s="6">
        <f t="shared" si="347"/>
        <v>0</v>
      </c>
      <c r="I7191" s="6">
        <f t="shared" si="348"/>
        <v>0</v>
      </c>
      <c r="J7191" s="6">
        <f t="shared" si="349"/>
        <v>0</v>
      </c>
      <c r="L7191" s="4" t="str">
        <f>IFERROR(VLOOKUP(ROWS($L$2:L7191),$B$2:$C$1996,2,0),"")</f>
        <v/>
      </c>
      <c r="N7191" s="2" t="str">
        <f>IFERROR(VLOOKUP(ROWS($N$2:N7191),$D$2:$E$1996,2,0),"")</f>
        <v/>
      </c>
    </row>
    <row r="7192" spans="2:14">
      <c r="B7192" s="32">
        <f>IF(ISNUMBER(SEARCH('Φόρμα Εισαγωγής'!$B$2,C7192)),MAX($B$1:B7191)+1,0)</f>
        <v>0</v>
      </c>
      <c r="D7192" s="33">
        <f>IF(ISNUMBER(SEARCH('Φόρμα Εισαγωγής'!$C$2,E7192)),MAX($D$1:D7191)+1,0)</f>
        <v>0</v>
      </c>
      <c r="H7192" s="6">
        <f t="shared" si="347"/>
        <v>0</v>
      </c>
      <c r="I7192" s="6">
        <f t="shared" si="348"/>
        <v>0</v>
      </c>
      <c r="J7192" s="6">
        <f t="shared" si="349"/>
        <v>0</v>
      </c>
      <c r="L7192" s="4" t="str">
        <f>IFERROR(VLOOKUP(ROWS($L$2:L7192),$B$2:$C$1996,2,0),"")</f>
        <v/>
      </c>
      <c r="N7192" s="2" t="str">
        <f>IFERROR(VLOOKUP(ROWS($N$2:N7192),$D$2:$E$1996,2,0),"")</f>
        <v/>
      </c>
    </row>
    <row r="7193" spans="2:14">
      <c r="B7193" s="32">
        <f>IF(ISNUMBER(SEARCH('Φόρμα Εισαγωγής'!$B$2,C7193)),MAX($B$1:B7192)+1,0)</f>
        <v>0</v>
      </c>
      <c r="D7193" s="33">
        <f>IF(ISNUMBER(SEARCH('Φόρμα Εισαγωγής'!$C$2,E7193)),MAX($D$1:D7192)+1,0)</f>
        <v>0</v>
      </c>
      <c r="H7193" s="6">
        <f t="shared" si="347"/>
        <v>0</v>
      </c>
      <c r="I7193" s="6">
        <f t="shared" si="348"/>
        <v>0</v>
      </c>
      <c r="J7193" s="6">
        <f t="shared" si="349"/>
        <v>0</v>
      </c>
      <c r="L7193" s="4" t="str">
        <f>IFERROR(VLOOKUP(ROWS($L$2:L7193),$B$2:$C$1996,2,0),"")</f>
        <v/>
      </c>
      <c r="N7193" s="2" t="str">
        <f>IFERROR(VLOOKUP(ROWS($N$2:N7193),$D$2:$E$1996,2,0),"")</f>
        <v/>
      </c>
    </row>
    <row r="7194" spans="2:14">
      <c r="B7194" s="32">
        <f>IF(ISNUMBER(SEARCH('Φόρμα Εισαγωγής'!$B$2,C7194)),MAX($B$1:B7193)+1,0)</f>
        <v>0</v>
      </c>
      <c r="D7194" s="33">
        <f>IF(ISNUMBER(SEARCH('Φόρμα Εισαγωγής'!$C$2,E7194)),MAX($D$1:D7193)+1,0)</f>
        <v>0</v>
      </c>
      <c r="H7194" s="6">
        <f t="shared" si="347"/>
        <v>0</v>
      </c>
      <c r="I7194" s="6">
        <f t="shared" si="348"/>
        <v>0</v>
      </c>
      <c r="J7194" s="6">
        <f t="shared" si="349"/>
        <v>0</v>
      </c>
      <c r="L7194" s="4" t="str">
        <f>IFERROR(VLOOKUP(ROWS($L$2:L7194),$B$2:$C$1996,2,0),"")</f>
        <v/>
      </c>
      <c r="N7194" s="2" t="str">
        <f>IFERROR(VLOOKUP(ROWS($N$2:N7194),$D$2:$E$1996,2,0),"")</f>
        <v/>
      </c>
    </row>
    <row r="7195" spans="2:14">
      <c r="B7195" s="32">
        <f>IF(ISNUMBER(SEARCH('Φόρμα Εισαγωγής'!$B$2,C7195)),MAX($B$1:B7194)+1,0)</f>
        <v>0</v>
      </c>
      <c r="D7195" s="33">
        <f>IF(ISNUMBER(SEARCH('Φόρμα Εισαγωγής'!$C$2,E7195)),MAX($D$1:D7194)+1,0)</f>
        <v>0</v>
      </c>
      <c r="H7195" s="6">
        <f t="shared" si="347"/>
        <v>0</v>
      </c>
      <c r="I7195" s="6">
        <f t="shared" si="348"/>
        <v>0</v>
      </c>
      <c r="J7195" s="6">
        <f t="shared" si="349"/>
        <v>0</v>
      </c>
      <c r="L7195" s="4" t="str">
        <f>IFERROR(VLOOKUP(ROWS($L$2:L7195),$B$2:$C$1996,2,0),"")</f>
        <v/>
      </c>
      <c r="N7195" s="2" t="str">
        <f>IFERROR(VLOOKUP(ROWS($N$2:N7195),$D$2:$E$1996,2,0),"")</f>
        <v/>
      </c>
    </row>
    <row r="7196" spans="2:14">
      <c r="B7196" s="32">
        <f>IF(ISNUMBER(SEARCH('Φόρμα Εισαγωγής'!$B$2,C7196)),MAX($B$1:B7195)+1,0)</f>
        <v>0</v>
      </c>
      <c r="D7196" s="33">
        <f>IF(ISNUMBER(SEARCH('Φόρμα Εισαγωγής'!$C$2,E7196)),MAX($D$1:D7195)+1,0)</f>
        <v>0</v>
      </c>
      <c r="H7196" s="6">
        <f t="shared" si="347"/>
        <v>0</v>
      </c>
      <c r="I7196" s="6">
        <f t="shared" si="348"/>
        <v>0</v>
      </c>
      <c r="J7196" s="6">
        <f t="shared" si="349"/>
        <v>0</v>
      </c>
      <c r="L7196" s="4" t="str">
        <f>IFERROR(VLOOKUP(ROWS($L$2:L7196),$B$2:$C$1996,2,0),"")</f>
        <v/>
      </c>
      <c r="N7196" s="2" t="str">
        <f>IFERROR(VLOOKUP(ROWS($N$2:N7196),$D$2:$E$1996,2,0),"")</f>
        <v/>
      </c>
    </row>
    <row r="7197" spans="2:14">
      <c r="B7197" s="32">
        <f>IF(ISNUMBER(SEARCH('Φόρμα Εισαγωγής'!$B$2,C7197)),MAX($B$1:B7196)+1,0)</f>
        <v>0</v>
      </c>
      <c r="D7197" s="33">
        <f>IF(ISNUMBER(SEARCH('Φόρμα Εισαγωγής'!$C$2,E7197)),MAX($D$1:D7196)+1,0)</f>
        <v>0</v>
      </c>
      <c r="H7197" s="6">
        <f t="shared" si="347"/>
        <v>0</v>
      </c>
      <c r="I7197" s="6">
        <f t="shared" si="348"/>
        <v>0</v>
      </c>
      <c r="J7197" s="6">
        <f t="shared" si="349"/>
        <v>0</v>
      </c>
      <c r="L7197" s="4" t="str">
        <f>IFERROR(VLOOKUP(ROWS($L$2:L7197),$B$2:$C$1996,2,0),"")</f>
        <v/>
      </c>
      <c r="N7197" s="2" t="str">
        <f>IFERROR(VLOOKUP(ROWS($N$2:N7197),$D$2:$E$1996,2,0),"")</f>
        <v/>
      </c>
    </row>
    <row r="7198" spans="2:14">
      <c r="B7198" s="32">
        <f>IF(ISNUMBER(SEARCH('Φόρμα Εισαγωγής'!$B$2,C7198)),MAX($B$1:B7197)+1,0)</f>
        <v>0</v>
      </c>
      <c r="D7198" s="33">
        <f>IF(ISNUMBER(SEARCH('Φόρμα Εισαγωγής'!$C$2,E7198)),MAX($D$1:D7197)+1,0)</f>
        <v>0</v>
      </c>
      <c r="H7198" s="6">
        <f t="shared" si="347"/>
        <v>0</v>
      </c>
      <c r="I7198" s="6">
        <f t="shared" si="348"/>
        <v>0</v>
      </c>
      <c r="J7198" s="6">
        <f t="shared" si="349"/>
        <v>0</v>
      </c>
      <c r="L7198" s="4" t="str">
        <f>IFERROR(VLOOKUP(ROWS($L$2:L7198),$B$2:$C$1996,2,0),"")</f>
        <v/>
      </c>
      <c r="N7198" s="2" t="str">
        <f>IFERROR(VLOOKUP(ROWS($N$2:N7198),$D$2:$E$1996,2,0),"")</f>
        <v/>
      </c>
    </row>
    <row r="7199" spans="2:14">
      <c r="B7199" s="32">
        <f>IF(ISNUMBER(SEARCH('Φόρμα Εισαγωγής'!$B$2,C7199)),MAX($B$1:B7198)+1,0)</f>
        <v>0</v>
      </c>
      <c r="D7199" s="33">
        <f>IF(ISNUMBER(SEARCH('Φόρμα Εισαγωγής'!$C$2,E7199)),MAX($D$1:D7198)+1,0)</f>
        <v>0</v>
      </c>
      <c r="H7199" s="6">
        <f t="shared" si="347"/>
        <v>0</v>
      </c>
      <c r="I7199" s="6">
        <f t="shared" si="348"/>
        <v>0</v>
      </c>
      <c r="J7199" s="6">
        <f t="shared" si="349"/>
        <v>0</v>
      </c>
      <c r="L7199" s="4" t="str">
        <f>IFERROR(VLOOKUP(ROWS($L$2:L7199),$B$2:$C$1996,2,0),"")</f>
        <v/>
      </c>
      <c r="N7199" s="2" t="str">
        <f>IFERROR(VLOOKUP(ROWS($N$2:N7199),$D$2:$E$1996,2,0),"")</f>
        <v/>
      </c>
    </row>
    <row r="7200" spans="2:14">
      <c r="B7200" s="32">
        <f>IF(ISNUMBER(SEARCH('Φόρμα Εισαγωγής'!$B$2,C7200)),MAX($B$1:B7199)+1,0)</f>
        <v>0</v>
      </c>
      <c r="D7200" s="33">
        <f>IF(ISNUMBER(SEARCH('Φόρμα Εισαγωγής'!$C$2,E7200)),MAX($D$1:D7199)+1,0)</f>
        <v>0</v>
      </c>
      <c r="H7200" s="6">
        <f t="shared" si="347"/>
        <v>0</v>
      </c>
      <c r="I7200" s="6">
        <f t="shared" si="348"/>
        <v>0</v>
      </c>
      <c r="J7200" s="6">
        <f t="shared" si="349"/>
        <v>0</v>
      </c>
      <c r="L7200" s="4" t="str">
        <f>IFERROR(VLOOKUP(ROWS($L$2:L7200),$B$2:$C$1996,2,0),"")</f>
        <v/>
      </c>
      <c r="N7200" s="2" t="str">
        <f>IFERROR(VLOOKUP(ROWS($N$2:N7200),$D$2:$E$1996,2,0),"")</f>
        <v/>
      </c>
    </row>
    <row r="7201" spans="2:14">
      <c r="B7201" s="32">
        <f>IF(ISNUMBER(SEARCH('Φόρμα Εισαγωγής'!$B$2,C7201)),MAX($B$1:B7200)+1,0)</f>
        <v>0</v>
      </c>
      <c r="D7201" s="33">
        <f>IF(ISNUMBER(SEARCH('Φόρμα Εισαγωγής'!$C$2,E7201)),MAX($D$1:D7200)+1,0)</f>
        <v>0</v>
      </c>
      <c r="H7201" s="6">
        <f t="shared" si="347"/>
        <v>0</v>
      </c>
      <c r="I7201" s="6">
        <f t="shared" si="348"/>
        <v>0</v>
      </c>
      <c r="J7201" s="6">
        <f t="shared" si="349"/>
        <v>0</v>
      </c>
      <c r="L7201" s="4" t="str">
        <f>IFERROR(VLOOKUP(ROWS($L$2:L7201),$B$2:$C$1996,2,0),"")</f>
        <v/>
      </c>
      <c r="N7201" s="2" t="str">
        <f>IFERROR(VLOOKUP(ROWS($N$2:N7201),$D$2:$E$1996,2,0),"")</f>
        <v/>
      </c>
    </row>
    <row r="7202" spans="2:14">
      <c r="B7202" s="32">
        <f>IF(ISNUMBER(SEARCH('Φόρμα Εισαγωγής'!$B$2,C7202)),MAX($B$1:B7201)+1,0)</f>
        <v>0</v>
      </c>
      <c r="D7202" s="33">
        <f>IF(ISNUMBER(SEARCH('Φόρμα Εισαγωγής'!$C$2,E7202)),MAX($D$1:D7201)+1,0)</f>
        <v>0</v>
      </c>
      <c r="H7202" s="6">
        <f t="shared" si="347"/>
        <v>0</v>
      </c>
      <c r="I7202" s="6">
        <f t="shared" si="348"/>
        <v>0</v>
      </c>
      <c r="J7202" s="6">
        <f t="shared" si="349"/>
        <v>0</v>
      </c>
      <c r="L7202" s="4" t="str">
        <f>IFERROR(VLOOKUP(ROWS($L$2:L7202),$B$2:$C$1996,2,0),"")</f>
        <v/>
      </c>
      <c r="N7202" s="2" t="str">
        <f>IFERROR(VLOOKUP(ROWS($N$2:N7202),$D$2:$E$1996,2,0),"")</f>
        <v/>
      </c>
    </row>
    <row r="7203" spans="2:14">
      <c r="B7203" s="32">
        <f>IF(ISNUMBER(SEARCH('Φόρμα Εισαγωγής'!$B$2,C7203)),MAX($B$1:B7202)+1,0)</f>
        <v>0</v>
      </c>
      <c r="D7203" s="33">
        <f>IF(ISNUMBER(SEARCH('Φόρμα Εισαγωγής'!$C$2,E7203)),MAX($D$1:D7202)+1,0)</f>
        <v>0</v>
      </c>
      <c r="H7203" s="6">
        <f t="shared" si="347"/>
        <v>0</v>
      </c>
      <c r="I7203" s="6">
        <f t="shared" si="348"/>
        <v>0</v>
      </c>
      <c r="J7203" s="6">
        <f t="shared" si="349"/>
        <v>0</v>
      </c>
      <c r="L7203" s="4" t="str">
        <f>IFERROR(VLOOKUP(ROWS($L$2:L7203),$B$2:$C$1996,2,0),"")</f>
        <v/>
      </c>
      <c r="N7203" s="2" t="str">
        <f>IFERROR(VLOOKUP(ROWS($N$2:N7203),$D$2:$E$1996,2,0),"")</f>
        <v/>
      </c>
    </row>
    <row r="7204" spans="2:14">
      <c r="B7204" s="32">
        <f>IF(ISNUMBER(SEARCH('Φόρμα Εισαγωγής'!$B$2,C7204)),MAX($B$1:B7203)+1,0)</f>
        <v>0</v>
      </c>
      <c r="D7204" s="33">
        <f>IF(ISNUMBER(SEARCH('Φόρμα Εισαγωγής'!$C$2,E7204)),MAX($D$1:D7203)+1,0)</f>
        <v>0</v>
      </c>
      <c r="H7204" s="6">
        <f t="shared" si="347"/>
        <v>0</v>
      </c>
      <c r="I7204" s="6">
        <f t="shared" si="348"/>
        <v>0</v>
      </c>
      <c r="J7204" s="6">
        <f t="shared" si="349"/>
        <v>0</v>
      </c>
      <c r="L7204" s="4" t="str">
        <f>IFERROR(VLOOKUP(ROWS($L$2:L7204),$B$2:$C$1996,2,0),"")</f>
        <v/>
      </c>
      <c r="N7204" s="2" t="str">
        <f>IFERROR(VLOOKUP(ROWS($N$2:N7204),$D$2:$E$1996,2,0),"")</f>
        <v/>
      </c>
    </row>
    <row r="7205" spans="2:14">
      <c r="B7205" s="32">
        <f>IF(ISNUMBER(SEARCH('Φόρμα Εισαγωγής'!$B$2,C7205)),MAX($B$1:B7204)+1,0)</f>
        <v>0</v>
      </c>
      <c r="D7205" s="33">
        <f>IF(ISNUMBER(SEARCH('Φόρμα Εισαγωγής'!$C$2,E7205)),MAX($D$1:D7204)+1,0)</f>
        <v>0</v>
      </c>
      <c r="H7205" s="6">
        <f t="shared" si="347"/>
        <v>0</v>
      </c>
      <c r="I7205" s="6">
        <f t="shared" si="348"/>
        <v>0</v>
      </c>
      <c r="J7205" s="6">
        <f t="shared" si="349"/>
        <v>0</v>
      </c>
      <c r="L7205" s="4" t="str">
        <f>IFERROR(VLOOKUP(ROWS($L$2:L7205),$B$2:$C$1996,2,0),"")</f>
        <v/>
      </c>
      <c r="N7205" s="2" t="str">
        <f>IFERROR(VLOOKUP(ROWS($N$2:N7205),$D$2:$E$1996,2,0),"")</f>
        <v/>
      </c>
    </row>
    <row r="7206" spans="2:14">
      <c r="B7206" s="32">
        <f>IF(ISNUMBER(SEARCH('Φόρμα Εισαγωγής'!$B$2,C7206)),MAX($B$1:B7205)+1,0)</f>
        <v>0</v>
      </c>
      <c r="D7206" s="33">
        <f>IF(ISNUMBER(SEARCH('Φόρμα Εισαγωγής'!$C$2,E7206)),MAX($D$1:D7205)+1,0)</f>
        <v>0</v>
      </c>
      <c r="H7206" s="6">
        <f t="shared" si="347"/>
        <v>0</v>
      </c>
      <c r="I7206" s="6">
        <f t="shared" si="348"/>
        <v>0</v>
      </c>
      <c r="J7206" s="6">
        <f t="shared" si="349"/>
        <v>0</v>
      </c>
      <c r="L7206" s="4" t="str">
        <f>IFERROR(VLOOKUP(ROWS($L$2:L7206),$B$2:$C$1996,2,0),"")</f>
        <v/>
      </c>
      <c r="N7206" s="2" t="str">
        <f>IFERROR(VLOOKUP(ROWS($N$2:N7206),$D$2:$E$1996,2,0),"")</f>
        <v/>
      </c>
    </row>
    <row r="7207" spans="2:14">
      <c r="B7207" s="32">
        <f>IF(ISNUMBER(SEARCH('Φόρμα Εισαγωγής'!$B$2,C7207)),MAX($B$1:B7206)+1,0)</f>
        <v>0</v>
      </c>
      <c r="D7207" s="33">
        <f>IF(ISNUMBER(SEARCH('Φόρμα Εισαγωγής'!$C$2,E7207)),MAX($D$1:D7206)+1,0)</f>
        <v>0</v>
      </c>
      <c r="H7207" s="6">
        <f t="shared" si="347"/>
        <v>0</v>
      </c>
      <c r="I7207" s="6">
        <f t="shared" si="348"/>
        <v>0</v>
      </c>
      <c r="J7207" s="6">
        <f t="shared" si="349"/>
        <v>0</v>
      </c>
      <c r="L7207" s="4" t="str">
        <f>IFERROR(VLOOKUP(ROWS($L$2:L7207),$B$2:$C$1996,2,0),"")</f>
        <v/>
      </c>
      <c r="N7207" s="2" t="str">
        <f>IFERROR(VLOOKUP(ROWS($N$2:N7207),$D$2:$E$1996,2,0),"")</f>
        <v/>
      </c>
    </row>
    <row r="7208" spans="2:14">
      <c r="B7208" s="32">
        <f>IF(ISNUMBER(SEARCH('Φόρμα Εισαγωγής'!$B$2,C7208)),MAX($B$1:B7207)+1,0)</f>
        <v>0</v>
      </c>
      <c r="D7208" s="33">
        <f>IF(ISNUMBER(SEARCH('Φόρμα Εισαγωγής'!$C$2,E7208)),MAX($D$1:D7207)+1,0)</f>
        <v>0</v>
      </c>
      <c r="H7208" s="6">
        <f t="shared" si="347"/>
        <v>0</v>
      </c>
      <c r="I7208" s="6">
        <f t="shared" si="348"/>
        <v>0</v>
      </c>
      <c r="J7208" s="6">
        <f t="shared" si="349"/>
        <v>0</v>
      </c>
      <c r="L7208" s="4" t="str">
        <f>IFERROR(VLOOKUP(ROWS($L$2:L7208),$B$2:$C$1996,2,0),"")</f>
        <v/>
      </c>
      <c r="N7208" s="2" t="str">
        <f>IFERROR(VLOOKUP(ROWS($N$2:N7208),$D$2:$E$1996,2,0),"")</f>
        <v/>
      </c>
    </row>
    <row r="7209" spans="2:14">
      <c r="B7209" s="32">
        <f>IF(ISNUMBER(SEARCH('Φόρμα Εισαγωγής'!$B$2,C7209)),MAX($B$1:B7208)+1,0)</f>
        <v>0</v>
      </c>
      <c r="D7209" s="33">
        <f>IF(ISNUMBER(SEARCH('Φόρμα Εισαγωγής'!$C$2,E7209)),MAX($D$1:D7208)+1,0)</f>
        <v>0</v>
      </c>
      <c r="H7209" s="6">
        <f t="shared" si="347"/>
        <v>0</v>
      </c>
      <c r="I7209" s="6">
        <f t="shared" si="348"/>
        <v>0</v>
      </c>
      <c r="J7209" s="6">
        <f t="shared" si="349"/>
        <v>0</v>
      </c>
      <c r="L7209" s="4" t="str">
        <f>IFERROR(VLOOKUP(ROWS($L$2:L7209),$B$2:$C$1996,2,0),"")</f>
        <v/>
      </c>
      <c r="N7209" s="2" t="str">
        <f>IFERROR(VLOOKUP(ROWS($N$2:N7209),$D$2:$E$1996,2,0),"")</f>
        <v/>
      </c>
    </row>
    <row r="7210" spans="2:14">
      <c r="B7210" s="32">
        <f>IF(ISNUMBER(SEARCH('Φόρμα Εισαγωγής'!$B$2,C7210)),MAX($B$1:B7209)+1,0)</f>
        <v>0</v>
      </c>
      <c r="D7210" s="33">
        <f>IF(ISNUMBER(SEARCH('Φόρμα Εισαγωγής'!$C$2,E7210)),MAX($D$1:D7209)+1,0)</f>
        <v>0</v>
      </c>
      <c r="H7210" s="6">
        <f t="shared" si="347"/>
        <v>0</v>
      </c>
      <c r="I7210" s="6">
        <f t="shared" si="348"/>
        <v>0</v>
      </c>
      <c r="J7210" s="6">
        <f t="shared" si="349"/>
        <v>0</v>
      </c>
      <c r="L7210" s="4" t="str">
        <f>IFERROR(VLOOKUP(ROWS($L$2:L7210),$B$2:$C$1996,2,0),"")</f>
        <v/>
      </c>
      <c r="N7210" s="2" t="str">
        <f>IFERROR(VLOOKUP(ROWS($N$2:N7210),$D$2:$E$1996,2,0),"")</f>
        <v/>
      </c>
    </row>
    <row r="7211" spans="2:14">
      <c r="B7211" s="32">
        <f>IF(ISNUMBER(SEARCH('Φόρμα Εισαγωγής'!$B$2,C7211)),MAX($B$1:B7210)+1,0)</f>
        <v>0</v>
      </c>
      <c r="D7211" s="33">
        <f>IF(ISNUMBER(SEARCH('Φόρμα Εισαγωγής'!$C$2,E7211)),MAX($D$1:D7210)+1,0)</f>
        <v>0</v>
      </c>
      <c r="H7211" s="6">
        <f t="shared" si="347"/>
        <v>0</v>
      </c>
      <c r="I7211" s="6">
        <f t="shared" si="348"/>
        <v>0</v>
      </c>
      <c r="J7211" s="6">
        <f t="shared" si="349"/>
        <v>0</v>
      </c>
      <c r="L7211" s="4" t="str">
        <f>IFERROR(VLOOKUP(ROWS($L$2:L7211),$B$2:$C$1996,2,0),"")</f>
        <v/>
      </c>
      <c r="N7211" s="2" t="str">
        <f>IFERROR(VLOOKUP(ROWS($N$2:N7211),$D$2:$E$1996,2,0),"")</f>
        <v/>
      </c>
    </row>
    <row r="7212" spans="2:14">
      <c r="B7212" s="32">
        <f>IF(ISNUMBER(SEARCH('Φόρμα Εισαγωγής'!$B$2,C7212)),MAX($B$1:B7211)+1,0)</f>
        <v>0</v>
      </c>
      <c r="D7212" s="33">
        <f>IF(ISNUMBER(SEARCH('Φόρμα Εισαγωγής'!$C$2,E7212)),MAX($D$1:D7211)+1,0)</f>
        <v>0</v>
      </c>
      <c r="H7212" s="6">
        <f t="shared" si="347"/>
        <v>0</v>
      </c>
      <c r="I7212" s="6">
        <f t="shared" si="348"/>
        <v>0</v>
      </c>
      <c r="J7212" s="6">
        <f t="shared" si="349"/>
        <v>0</v>
      </c>
      <c r="L7212" s="4" t="str">
        <f>IFERROR(VLOOKUP(ROWS($L$2:L7212),$B$2:$C$1996,2,0),"")</f>
        <v/>
      </c>
      <c r="N7212" s="2" t="str">
        <f>IFERROR(VLOOKUP(ROWS($N$2:N7212),$D$2:$E$1996,2,0),"")</f>
        <v/>
      </c>
    </row>
    <row r="7213" spans="2:14">
      <c r="B7213" s="32">
        <f>IF(ISNUMBER(SEARCH('Φόρμα Εισαγωγής'!$B$2,C7213)),MAX($B$1:B7212)+1,0)</f>
        <v>0</v>
      </c>
      <c r="D7213" s="33">
        <f>IF(ISNUMBER(SEARCH('Φόρμα Εισαγωγής'!$C$2,E7213)),MAX($D$1:D7212)+1,0)</f>
        <v>0</v>
      </c>
      <c r="H7213" s="6">
        <f t="shared" si="347"/>
        <v>0</v>
      </c>
      <c r="I7213" s="6">
        <f t="shared" si="348"/>
        <v>0</v>
      </c>
      <c r="J7213" s="6">
        <f t="shared" si="349"/>
        <v>0</v>
      </c>
      <c r="L7213" s="4" t="str">
        <f>IFERROR(VLOOKUP(ROWS($L$2:L7213),$B$2:$C$1996,2,0),"")</f>
        <v/>
      </c>
      <c r="N7213" s="2" t="str">
        <f>IFERROR(VLOOKUP(ROWS($N$2:N7213),$D$2:$E$1996,2,0),"")</f>
        <v/>
      </c>
    </row>
    <row r="7214" spans="2:14">
      <c r="B7214" s="32">
        <f>IF(ISNUMBER(SEARCH('Φόρμα Εισαγωγής'!$B$2,C7214)),MAX($B$1:B7213)+1,0)</f>
        <v>0</v>
      </c>
      <c r="D7214" s="33">
        <f>IF(ISNUMBER(SEARCH('Φόρμα Εισαγωγής'!$C$2,E7214)),MAX($D$1:D7213)+1,0)</f>
        <v>0</v>
      </c>
      <c r="H7214" s="6">
        <f t="shared" si="347"/>
        <v>0</v>
      </c>
      <c r="I7214" s="6">
        <f t="shared" si="348"/>
        <v>0</v>
      </c>
      <c r="J7214" s="6">
        <f t="shared" si="349"/>
        <v>0</v>
      </c>
      <c r="L7214" s="4" t="str">
        <f>IFERROR(VLOOKUP(ROWS($L$2:L7214),$B$2:$C$1996,2,0),"")</f>
        <v/>
      </c>
      <c r="N7214" s="2" t="str">
        <f>IFERROR(VLOOKUP(ROWS($N$2:N7214),$D$2:$E$1996,2,0),"")</f>
        <v/>
      </c>
    </row>
    <row r="7215" spans="2:14">
      <c r="B7215" s="32">
        <f>IF(ISNUMBER(SEARCH('Φόρμα Εισαγωγής'!$B$2,C7215)),MAX($B$1:B7214)+1,0)</f>
        <v>0</v>
      </c>
      <c r="D7215" s="33">
        <f>IF(ISNUMBER(SEARCH('Φόρμα Εισαγωγής'!$C$2,E7215)),MAX($D$1:D7214)+1,0)</f>
        <v>0</v>
      </c>
      <c r="H7215" s="6">
        <f t="shared" si="347"/>
        <v>0</v>
      </c>
      <c r="I7215" s="6">
        <f t="shared" si="348"/>
        <v>0</v>
      </c>
      <c r="J7215" s="6">
        <f t="shared" si="349"/>
        <v>0</v>
      </c>
      <c r="L7215" s="4" t="str">
        <f>IFERROR(VLOOKUP(ROWS($L$2:L7215),$B$2:$C$1996,2,0),"")</f>
        <v/>
      </c>
      <c r="N7215" s="2" t="str">
        <f>IFERROR(VLOOKUP(ROWS($N$2:N7215),$D$2:$E$1996,2,0),"")</f>
        <v/>
      </c>
    </row>
    <row r="7216" spans="2:14">
      <c r="B7216" s="32">
        <f>IF(ISNUMBER(SEARCH('Φόρμα Εισαγωγής'!$B$2,C7216)),MAX($B$1:B7215)+1,0)</f>
        <v>0</v>
      </c>
      <c r="D7216" s="33">
        <f>IF(ISNUMBER(SEARCH('Φόρμα Εισαγωγής'!$C$2,E7216)),MAX($D$1:D7215)+1,0)</f>
        <v>0</v>
      </c>
      <c r="H7216" s="6">
        <f t="shared" si="347"/>
        <v>0</v>
      </c>
      <c r="I7216" s="6">
        <f t="shared" si="348"/>
        <v>0</v>
      </c>
      <c r="J7216" s="6">
        <f t="shared" si="349"/>
        <v>0</v>
      </c>
      <c r="L7216" s="4" t="str">
        <f>IFERROR(VLOOKUP(ROWS($L$2:L7216),$B$2:$C$1996,2,0),"")</f>
        <v/>
      </c>
      <c r="N7216" s="2" t="str">
        <f>IFERROR(VLOOKUP(ROWS($N$2:N7216),$D$2:$E$1996,2,0),"")</f>
        <v/>
      </c>
    </row>
    <row r="7217" spans="2:14">
      <c r="B7217" s="32">
        <f>IF(ISNUMBER(SEARCH('Φόρμα Εισαγωγής'!$B$2,C7217)),MAX($B$1:B7216)+1,0)</f>
        <v>0</v>
      </c>
      <c r="D7217" s="33">
        <f>IF(ISNUMBER(SEARCH('Φόρμα Εισαγωγής'!$C$2,E7217)),MAX($D$1:D7216)+1,0)</f>
        <v>0</v>
      </c>
      <c r="H7217" s="6">
        <f t="shared" si="347"/>
        <v>0</v>
      </c>
      <c r="I7217" s="6">
        <f t="shared" si="348"/>
        <v>0</v>
      </c>
      <c r="J7217" s="6">
        <f t="shared" si="349"/>
        <v>0</v>
      </c>
      <c r="L7217" s="4" t="str">
        <f>IFERROR(VLOOKUP(ROWS($L$2:L7217),$B$2:$C$1996,2,0),"")</f>
        <v/>
      </c>
      <c r="N7217" s="2" t="str">
        <f>IFERROR(VLOOKUP(ROWS($N$2:N7217),$D$2:$E$1996,2,0),"")</f>
        <v/>
      </c>
    </row>
    <row r="7218" spans="2:14">
      <c r="B7218" s="32">
        <f>IF(ISNUMBER(SEARCH('Φόρμα Εισαγωγής'!$B$2,C7218)),MAX($B$1:B7217)+1,0)</f>
        <v>0</v>
      </c>
      <c r="D7218" s="33">
        <f>IF(ISNUMBER(SEARCH('Φόρμα Εισαγωγής'!$C$2,E7218)),MAX($D$1:D7217)+1,0)</f>
        <v>0</v>
      </c>
      <c r="H7218" s="6">
        <f t="shared" si="347"/>
        <v>0</v>
      </c>
      <c r="I7218" s="6">
        <f t="shared" si="348"/>
        <v>0</v>
      </c>
      <c r="J7218" s="6">
        <f t="shared" si="349"/>
        <v>0</v>
      </c>
      <c r="L7218" s="4" t="str">
        <f>IFERROR(VLOOKUP(ROWS($L$2:L7218),$B$2:$C$1996,2,0),"")</f>
        <v/>
      </c>
      <c r="N7218" s="2" t="str">
        <f>IFERROR(VLOOKUP(ROWS($N$2:N7218),$D$2:$E$1996,2,0),"")</f>
        <v/>
      </c>
    </row>
    <row r="7219" spans="2:14">
      <c r="B7219" s="32">
        <f>IF(ISNUMBER(SEARCH('Φόρμα Εισαγωγής'!$B$2,C7219)),MAX($B$1:B7218)+1,0)</f>
        <v>0</v>
      </c>
      <c r="D7219" s="33">
        <f>IF(ISNUMBER(SEARCH('Φόρμα Εισαγωγής'!$C$2,E7219)),MAX($D$1:D7218)+1,0)</f>
        <v>0</v>
      </c>
      <c r="H7219" s="6">
        <f t="shared" si="347"/>
        <v>0</v>
      </c>
      <c r="I7219" s="6">
        <f t="shared" si="348"/>
        <v>0</v>
      </c>
      <c r="J7219" s="6">
        <f t="shared" si="349"/>
        <v>0</v>
      </c>
      <c r="L7219" s="4" t="str">
        <f>IFERROR(VLOOKUP(ROWS($L$2:L7219),$B$2:$C$1996,2,0),"")</f>
        <v/>
      </c>
      <c r="N7219" s="2" t="str">
        <f>IFERROR(VLOOKUP(ROWS($N$2:N7219),$D$2:$E$1996,2,0),"")</f>
        <v/>
      </c>
    </row>
    <row r="7220" spans="2:14">
      <c r="B7220" s="32">
        <f>IF(ISNUMBER(SEARCH('Φόρμα Εισαγωγής'!$B$2,C7220)),MAX($B$1:B7219)+1,0)</f>
        <v>0</v>
      </c>
      <c r="D7220" s="33">
        <f>IF(ISNUMBER(SEARCH('Φόρμα Εισαγωγής'!$C$2,E7220)),MAX($D$1:D7219)+1,0)</f>
        <v>0</v>
      </c>
      <c r="H7220" s="6">
        <f t="shared" si="347"/>
        <v>0</v>
      </c>
      <c r="I7220" s="6">
        <f t="shared" si="348"/>
        <v>0</v>
      </c>
      <c r="J7220" s="6">
        <f t="shared" si="349"/>
        <v>0</v>
      </c>
      <c r="L7220" s="4" t="str">
        <f>IFERROR(VLOOKUP(ROWS($L$2:L7220),$B$2:$C$1996,2,0),"")</f>
        <v/>
      </c>
      <c r="N7220" s="2" t="str">
        <f>IFERROR(VLOOKUP(ROWS($N$2:N7220),$D$2:$E$1996,2,0),"")</f>
        <v/>
      </c>
    </row>
    <row r="7221" spans="2:14">
      <c r="B7221" s="32">
        <f>IF(ISNUMBER(SEARCH('Φόρμα Εισαγωγής'!$B$2,C7221)),MAX($B$1:B7220)+1,0)</f>
        <v>0</v>
      </c>
      <c r="D7221" s="33">
        <f>IF(ISNUMBER(SEARCH('Φόρμα Εισαγωγής'!$C$2,E7221)),MAX($D$1:D7220)+1,0)</f>
        <v>0</v>
      </c>
      <c r="H7221" s="6">
        <f t="shared" si="347"/>
        <v>0</v>
      </c>
      <c r="I7221" s="6">
        <f t="shared" si="348"/>
        <v>0</v>
      </c>
      <c r="J7221" s="6">
        <f t="shared" si="349"/>
        <v>0</v>
      </c>
      <c r="L7221" s="4" t="str">
        <f>IFERROR(VLOOKUP(ROWS($L$2:L7221),$B$2:$C$1996,2,0),"")</f>
        <v/>
      </c>
      <c r="N7221" s="2" t="str">
        <f>IFERROR(VLOOKUP(ROWS($N$2:N7221),$D$2:$E$1996,2,0),"")</f>
        <v/>
      </c>
    </row>
    <row r="7222" spans="2:14">
      <c r="B7222" s="32">
        <f>IF(ISNUMBER(SEARCH('Φόρμα Εισαγωγής'!$B$2,C7222)),MAX($B$1:B7221)+1,0)</f>
        <v>0</v>
      </c>
      <c r="D7222" s="33">
        <f>IF(ISNUMBER(SEARCH('Φόρμα Εισαγωγής'!$C$2,E7222)),MAX($D$1:D7221)+1,0)</f>
        <v>0</v>
      </c>
      <c r="H7222" s="6">
        <f t="shared" si="347"/>
        <v>0</v>
      </c>
      <c r="I7222" s="6">
        <f t="shared" si="348"/>
        <v>0</v>
      </c>
      <c r="J7222" s="6">
        <f t="shared" si="349"/>
        <v>0</v>
      </c>
      <c r="L7222" s="4" t="str">
        <f>IFERROR(VLOOKUP(ROWS($L$2:L7222),$B$2:$C$1996,2,0),"")</f>
        <v/>
      </c>
      <c r="N7222" s="2" t="str">
        <f>IFERROR(VLOOKUP(ROWS($N$2:N7222),$D$2:$E$1996,2,0),"")</f>
        <v/>
      </c>
    </row>
    <row r="7223" spans="2:14">
      <c r="B7223" s="32">
        <f>IF(ISNUMBER(SEARCH('Φόρμα Εισαγωγής'!$B$2,C7223)),MAX($B$1:B7222)+1,0)</f>
        <v>0</v>
      </c>
      <c r="D7223" s="33">
        <f>IF(ISNUMBER(SEARCH('Φόρμα Εισαγωγής'!$C$2,E7223)),MAX($D$1:D7222)+1,0)</f>
        <v>0</v>
      </c>
      <c r="H7223" s="6">
        <f t="shared" si="347"/>
        <v>0</v>
      </c>
      <c r="I7223" s="6">
        <f t="shared" si="348"/>
        <v>0</v>
      </c>
      <c r="J7223" s="6">
        <f t="shared" si="349"/>
        <v>0</v>
      </c>
      <c r="L7223" s="4" t="str">
        <f>IFERROR(VLOOKUP(ROWS($L$2:L7223),$B$2:$C$1996,2,0),"")</f>
        <v/>
      </c>
      <c r="N7223" s="2" t="str">
        <f>IFERROR(VLOOKUP(ROWS($N$2:N7223),$D$2:$E$1996,2,0),"")</f>
        <v/>
      </c>
    </row>
    <row r="7224" spans="2:14">
      <c r="B7224" s="32">
        <f>IF(ISNUMBER(SEARCH('Φόρμα Εισαγωγής'!$B$2,C7224)),MAX($B$1:B7223)+1,0)</f>
        <v>0</v>
      </c>
      <c r="D7224" s="33">
        <f>IF(ISNUMBER(SEARCH('Φόρμα Εισαγωγής'!$C$2,E7224)),MAX($D$1:D7223)+1,0)</f>
        <v>0</v>
      </c>
      <c r="H7224" s="6">
        <f t="shared" si="347"/>
        <v>0</v>
      </c>
      <c r="I7224" s="6">
        <f t="shared" si="348"/>
        <v>0</v>
      </c>
      <c r="J7224" s="6">
        <f t="shared" si="349"/>
        <v>0</v>
      </c>
      <c r="L7224" s="4" t="str">
        <f>IFERROR(VLOOKUP(ROWS($L$2:L7224),$B$2:$C$1996,2,0),"")</f>
        <v/>
      </c>
      <c r="N7224" s="2" t="str">
        <f>IFERROR(VLOOKUP(ROWS($N$2:N7224),$D$2:$E$1996,2,0),"")</f>
        <v/>
      </c>
    </row>
    <row r="7225" spans="2:14">
      <c r="B7225" s="32">
        <f>IF(ISNUMBER(SEARCH('Φόρμα Εισαγωγής'!$B$2,C7225)),MAX($B$1:B7224)+1,0)</f>
        <v>0</v>
      </c>
      <c r="D7225" s="33">
        <f>IF(ISNUMBER(SEARCH('Φόρμα Εισαγωγής'!$C$2,E7225)),MAX($D$1:D7224)+1,0)</f>
        <v>0</v>
      </c>
      <c r="H7225" s="6">
        <f t="shared" si="347"/>
        <v>0</v>
      </c>
      <c r="I7225" s="6">
        <f t="shared" si="348"/>
        <v>0</v>
      </c>
      <c r="J7225" s="6">
        <f t="shared" si="349"/>
        <v>0</v>
      </c>
      <c r="L7225" s="4" t="str">
        <f>IFERROR(VLOOKUP(ROWS($L$2:L7225),$B$2:$C$1996,2,0),"")</f>
        <v/>
      </c>
      <c r="N7225" s="2" t="str">
        <f>IFERROR(VLOOKUP(ROWS($N$2:N7225),$D$2:$E$1996,2,0),"")</f>
        <v/>
      </c>
    </row>
    <row r="7226" spans="2:14">
      <c r="B7226" s="32">
        <f>IF(ISNUMBER(SEARCH('Φόρμα Εισαγωγής'!$B$2,C7226)),MAX($B$1:B7225)+1,0)</f>
        <v>0</v>
      </c>
      <c r="D7226" s="33">
        <f>IF(ISNUMBER(SEARCH('Φόρμα Εισαγωγής'!$C$2,E7226)),MAX($D$1:D7225)+1,0)</f>
        <v>0</v>
      </c>
      <c r="H7226" s="6">
        <f t="shared" si="347"/>
        <v>0</v>
      </c>
      <c r="I7226" s="6">
        <f t="shared" si="348"/>
        <v>0</v>
      </c>
      <c r="J7226" s="6">
        <f t="shared" si="349"/>
        <v>0</v>
      </c>
      <c r="L7226" s="4" t="str">
        <f>IFERROR(VLOOKUP(ROWS($L$2:L7226),$B$2:$C$1996,2,0),"")</f>
        <v/>
      </c>
      <c r="N7226" s="2" t="str">
        <f>IFERROR(VLOOKUP(ROWS($N$2:N7226),$D$2:$E$1996,2,0),"")</f>
        <v/>
      </c>
    </row>
    <row r="7227" spans="2:14">
      <c r="B7227" s="32">
        <f>IF(ISNUMBER(SEARCH('Φόρμα Εισαγωγής'!$B$2,C7227)),MAX($B$1:B7226)+1,0)</f>
        <v>0</v>
      </c>
      <c r="D7227" s="33">
        <f>IF(ISNUMBER(SEARCH('Φόρμα Εισαγωγής'!$C$2,E7227)),MAX($D$1:D7226)+1,0)</f>
        <v>0</v>
      </c>
      <c r="H7227" s="6">
        <f t="shared" si="347"/>
        <v>0</v>
      </c>
      <c r="I7227" s="6">
        <f t="shared" si="348"/>
        <v>0</v>
      </c>
      <c r="J7227" s="6">
        <f t="shared" si="349"/>
        <v>0</v>
      </c>
      <c r="L7227" s="4" t="str">
        <f>IFERROR(VLOOKUP(ROWS($L$2:L7227),$B$2:$C$1996,2,0),"")</f>
        <v/>
      </c>
      <c r="N7227" s="2" t="str">
        <f>IFERROR(VLOOKUP(ROWS($N$2:N7227),$D$2:$E$1996,2,0),"")</f>
        <v/>
      </c>
    </row>
    <row r="7228" spans="2:14">
      <c r="B7228" s="32">
        <f>IF(ISNUMBER(SEARCH('Φόρμα Εισαγωγής'!$B$2,C7228)),MAX($B$1:B7227)+1,0)</f>
        <v>0</v>
      </c>
      <c r="D7228" s="33">
        <f>IF(ISNUMBER(SEARCH('Φόρμα Εισαγωγής'!$C$2,E7228)),MAX($D$1:D7227)+1,0)</f>
        <v>0</v>
      </c>
      <c r="H7228" s="6">
        <f t="shared" si="347"/>
        <v>0</v>
      </c>
      <c r="I7228" s="6">
        <f t="shared" si="348"/>
        <v>0</v>
      </c>
      <c r="J7228" s="6">
        <f t="shared" si="349"/>
        <v>0</v>
      </c>
      <c r="L7228" s="4" t="str">
        <f>IFERROR(VLOOKUP(ROWS($L$2:L7228),$B$2:$C$1996,2,0),"")</f>
        <v/>
      </c>
      <c r="N7228" s="2" t="str">
        <f>IFERROR(VLOOKUP(ROWS($N$2:N7228),$D$2:$E$1996,2,0),"")</f>
        <v/>
      </c>
    </row>
    <row r="7229" spans="2:14">
      <c r="B7229" s="32">
        <f>IF(ISNUMBER(SEARCH('Φόρμα Εισαγωγής'!$B$2,C7229)),MAX($B$1:B7228)+1,0)</f>
        <v>0</v>
      </c>
      <c r="D7229" s="33">
        <f>IF(ISNUMBER(SEARCH('Φόρμα Εισαγωγής'!$C$2,E7229)),MAX($D$1:D7228)+1,0)</f>
        <v>0</v>
      </c>
      <c r="H7229" s="6">
        <f t="shared" si="347"/>
        <v>0</v>
      </c>
      <c r="I7229" s="6">
        <f t="shared" si="348"/>
        <v>0</v>
      </c>
      <c r="J7229" s="6">
        <f t="shared" si="349"/>
        <v>0</v>
      </c>
      <c r="L7229" s="4" t="str">
        <f>IFERROR(VLOOKUP(ROWS($L$2:L7229),$B$2:$C$1996,2,0),"")</f>
        <v/>
      </c>
      <c r="N7229" s="2" t="str">
        <f>IFERROR(VLOOKUP(ROWS($N$2:N7229),$D$2:$E$1996,2,0),"")</f>
        <v/>
      </c>
    </row>
    <row r="7230" spans="2:14">
      <c r="B7230" s="32">
        <f>IF(ISNUMBER(SEARCH('Φόρμα Εισαγωγής'!$B$2,C7230)),MAX($B$1:B7229)+1,0)</f>
        <v>0</v>
      </c>
      <c r="D7230" s="33">
        <f>IF(ISNUMBER(SEARCH('Φόρμα Εισαγωγής'!$C$2,E7230)),MAX($D$1:D7229)+1,0)</f>
        <v>0</v>
      </c>
      <c r="H7230" s="6">
        <f t="shared" si="347"/>
        <v>0</v>
      </c>
      <c r="I7230" s="6">
        <f t="shared" si="348"/>
        <v>0</v>
      </c>
      <c r="J7230" s="6">
        <f t="shared" si="349"/>
        <v>0</v>
      </c>
      <c r="L7230" s="4" t="str">
        <f>IFERROR(VLOOKUP(ROWS($L$2:L7230),$B$2:$C$1996,2,0),"")</f>
        <v/>
      </c>
      <c r="N7230" s="2" t="str">
        <f>IFERROR(VLOOKUP(ROWS($N$2:N7230),$D$2:$E$1996,2,0),"")</f>
        <v/>
      </c>
    </row>
    <row r="7231" spans="2:14">
      <c r="B7231" s="32">
        <f>IF(ISNUMBER(SEARCH('Φόρμα Εισαγωγής'!$B$2,C7231)),MAX($B$1:B7230)+1,0)</f>
        <v>0</v>
      </c>
      <c r="D7231" s="33">
        <f>IF(ISNUMBER(SEARCH('Φόρμα Εισαγωγής'!$C$2,E7231)),MAX($D$1:D7230)+1,0)</f>
        <v>0</v>
      </c>
      <c r="H7231" s="6">
        <f t="shared" si="347"/>
        <v>0</v>
      </c>
      <c r="I7231" s="6">
        <f t="shared" si="348"/>
        <v>0</v>
      </c>
      <c r="J7231" s="6">
        <f t="shared" si="349"/>
        <v>0</v>
      </c>
      <c r="L7231" s="4" t="str">
        <f>IFERROR(VLOOKUP(ROWS($L$2:L7231),$B$2:$C$1996,2,0),"")</f>
        <v/>
      </c>
      <c r="N7231" s="2" t="str">
        <f>IFERROR(VLOOKUP(ROWS($N$2:N7231),$D$2:$E$1996,2,0),"")</f>
        <v/>
      </c>
    </row>
    <row r="7232" spans="2:14">
      <c r="B7232" s="32">
        <f>IF(ISNUMBER(SEARCH('Φόρμα Εισαγωγής'!$B$2,C7232)),MAX($B$1:B7231)+1,0)</f>
        <v>0</v>
      </c>
      <c r="D7232" s="33">
        <f>IF(ISNUMBER(SEARCH('Φόρμα Εισαγωγής'!$C$2,E7232)),MAX($D$1:D7231)+1,0)</f>
        <v>0</v>
      </c>
      <c r="H7232" s="6">
        <f t="shared" ref="H7232:H7295" si="350">G7232+(G7232*0.24)</f>
        <v>0</v>
      </c>
      <c r="I7232" s="6">
        <f t="shared" ref="I7232:I7295" si="351">F7232*A7232</f>
        <v>0</v>
      </c>
      <c r="J7232" s="6">
        <f t="shared" ref="J7232:J7295" si="352">H7232*A7232</f>
        <v>0</v>
      </c>
      <c r="L7232" s="4" t="str">
        <f>IFERROR(VLOOKUP(ROWS($L$2:L7232),$B$2:$C$1996,2,0),"")</f>
        <v/>
      </c>
      <c r="N7232" s="2" t="str">
        <f>IFERROR(VLOOKUP(ROWS($N$2:N7232),$D$2:$E$1996,2,0),"")</f>
        <v/>
      </c>
    </row>
    <row r="7233" spans="2:14">
      <c r="B7233" s="32">
        <f>IF(ISNUMBER(SEARCH('Φόρμα Εισαγωγής'!$B$2,C7233)),MAX($B$1:B7232)+1,0)</f>
        <v>0</v>
      </c>
      <c r="D7233" s="33">
        <f>IF(ISNUMBER(SEARCH('Φόρμα Εισαγωγής'!$C$2,E7233)),MAX($D$1:D7232)+1,0)</f>
        <v>0</v>
      </c>
      <c r="H7233" s="6">
        <f t="shared" si="350"/>
        <v>0</v>
      </c>
      <c r="I7233" s="6">
        <f t="shared" si="351"/>
        <v>0</v>
      </c>
      <c r="J7233" s="6">
        <f t="shared" si="352"/>
        <v>0</v>
      </c>
      <c r="L7233" s="4" t="str">
        <f>IFERROR(VLOOKUP(ROWS($L$2:L7233),$B$2:$C$1996,2,0),"")</f>
        <v/>
      </c>
      <c r="N7233" s="2" t="str">
        <f>IFERROR(VLOOKUP(ROWS($N$2:N7233),$D$2:$E$1996,2,0),"")</f>
        <v/>
      </c>
    </row>
    <row r="7234" spans="2:14">
      <c r="B7234" s="32">
        <f>IF(ISNUMBER(SEARCH('Φόρμα Εισαγωγής'!$B$2,C7234)),MAX($B$1:B7233)+1,0)</f>
        <v>0</v>
      </c>
      <c r="D7234" s="33">
        <f>IF(ISNUMBER(SEARCH('Φόρμα Εισαγωγής'!$C$2,E7234)),MAX($D$1:D7233)+1,0)</f>
        <v>0</v>
      </c>
      <c r="H7234" s="6">
        <f t="shared" si="350"/>
        <v>0</v>
      </c>
      <c r="I7234" s="6">
        <f t="shared" si="351"/>
        <v>0</v>
      </c>
      <c r="J7234" s="6">
        <f t="shared" si="352"/>
        <v>0</v>
      </c>
      <c r="L7234" s="4" t="str">
        <f>IFERROR(VLOOKUP(ROWS($L$2:L7234),$B$2:$C$1996,2,0),"")</f>
        <v/>
      </c>
      <c r="N7234" s="2" t="str">
        <f>IFERROR(VLOOKUP(ROWS($N$2:N7234),$D$2:$E$1996,2,0),"")</f>
        <v/>
      </c>
    </row>
    <row r="7235" spans="2:14">
      <c r="B7235" s="32">
        <f>IF(ISNUMBER(SEARCH('Φόρμα Εισαγωγής'!$B$2,C7235)),MAX($B$1:B7234)+1,0)</f>
        <v>0</v>
      </c>
      <c r="D7235" s="33">
        <f>IF(ISNUMBER(SEARCH('Φόρμα Εισαγωγής'!$C$2,E7235)),MAX($D$1:D7234)+1,0)</f>
        <v>0</v>
      </c>
      <c r="H7235" s="6">
        <f t="shared" si="350"/>
        <v>0</v>
      </c>
      <c r="I7235" s="6">
        <f t="shared" si="351"/>
        <v>0</v>
      </c>
      <c r="J7235" s="6">
        <f t="shared" si="352"/>
        <v>0</v>
      </c>
      <c r="L7235" s="4" t="str">
        <f>IFERROR(VLOOKUP(ROWS($L$2:L7235),$B$2:$C$1996,2,0),"")</f>
        <v/>
      </c>
      <c r="N7235" s="2" t="str">
        <f>IFERROR(VLOOKUP(ROWS($N$2:N7235),$D$2:$E$1996,2,0),"")</f>
        <v/>
      </c>
    </row>
    <row r="7236" spans="2:14">
      <c r="B7236" s="32">
        <f>IF(ISNUMBER(SEARCH('Φόρμα Εισαγωγής'!$B$2,C7236)),MAX($B$1:B7235)+1,0)</f>
        <v>0</v>
      </c>
      <c r="D7236" s="33">
        <f>IF(ISNUMBER(SEARCH('Φόρμα Εισαγωγής'!$C$2,E7236)),MAX($D$1:D7235)+1,0)</f>
        <v>0</v>
      </c>
      <c r="H7236" s="6">
        <f t="shared" si="350"/>
        <v>0</v>
      </c>
      <c r="I7236" s="6">
        <f t="shared" si="351"/>
        <v>0</v>
      </c>
      <c r="J7236" s="6">
        <f t="shared" si="352"/>
        <v>0</v>
      </c>
      <c r="L7236" s="4" t="str">
        <f>IFERROR(VLOOKUP(ROWS($L$2:L7236),$B$2:$C$1996,2,0),"")</f>
        <v/>
      </c>
      <c r="N7236" s="2" t="str">
        <f>IFERROR(VLOOKUP(ROWS($N$2:N7236),$D$2:$E$1996,2,0),"")</f>
        <v/>
      </c>
    </row>
    <row r="7237" spans="2:14">
      <c r="B7237" s="32">
        <f>IF(ISNUMBER(SEARCH('Φόρμα Εισαγωγής'!$B$2,C7237)),MAX($B$1:B7236)+1,0)</f>
        <v>0</v>
      </c>
      <c r="D7237" s="33">
        <f>IF(ISNUMBER(SEARCH('Φόρμα Εισαγωγής'!$C$2,E7237)),MAX($D$1:D7236)+1,0)</f>
        <v>0</v>
      </c>
      <c r="H7237" s="6">
        <f t="shared" si="350"/>
        <v>0</v>
      </c>
      <c r="I7237" s="6">
        <f t="shared" si="351"/>
        <v>0</v>
      </c>
      <c r="J7237" s="6">
        <f t="shared" si="352"/>
        <v>0</v>
      </c>
      <c r="L7237" s="4" t="str">
        <f>IFERROR(VLOOKUP(ROWS($L$2:L7237),$B$2:$C$1996,2,0),"")</f>
        <v/>
      </c>
      <c r="N7237" s="2" t="str">
        <f>IFERROR(VLOOKUP(ROWS($N$2:N7237),$D$2:$E$1996,2,0),"")</f>
        <v/>
      </c>
    </row>
    <row r="7238" spans="2:14">
      <c r="B7238" s="32">
        <f>IF(ISNUMBER(SEARCH('Φόρμα Εισαγωγής'!$B$2,C7238)),MAX($B$1:B7237)+1,0)</f>
        <v>0</v>
      </c>
      <c r="D7238" s="33">
        <f>IF(ISNUMBER(SEARCH('Φόρμα Εισαγωγής'!$C$2,E7238)),MAX($D$1:D7237)+1,0)</f>
        <v>0</v>
      </c>
      <c r="H7238" s="6">
        <f t="shared" si="350"/>
        <v>0</v>
      </c>
      <c r="I7238" s="6">
        <f t="shared" si="351"/>
        <v>0</v>
      </c>
      <c r="J7238" s="6">
        <f t="shared" si="352"/>
        <v>0</v>
      </c>
      <c r="L7238" s="4" t="str">
        <f>IFERROR(VLOOKUP(ROWS($L$2:L7238),$B$2:$C$1996,2,0),"")</f>
        <v/>
      </c>
      <c r="N7238" s="2" t="str">
        <f>IFERROR(VLOOKUP(ROWS($N$2:N7238),$D$2:$E$1996,2,0),"")</f>
        <v/>
      </c>
    </row>
    <row r="7239" spans="2:14">
      <c r="B7239" s="32">
        <f>IF(ISNUMBER(SEARCH('Φόρμα Εισαγωγής'!$B$2,C7239)),MAX($B$1:B7238)+1,0)</f>
        <v>0</v>
      </c>
      <c r="D7239" s="33">
        <f>IF(ISNUMBER(SEARCH('Φόρμα Εισαγωγής'!$C$2,E7239)),MAX($D$1:D7238)+1,0)</f>
        <v>0</v>
      </c>
      <c r="H7239" s="6">
        <f t="shared" si="350"/>
        <v>0</v>
      </c>
      <c r="I7239" s="6">
        <f t="shared" si="351"/>
        <v>0</v>
      </c>
      <c r="J7239" s="6">
        <f t="shared" si="352"/>
        <v>0</v>
      </c>
      <c r="L7239" s="4" t="str">
        <f>IFERROR(VLOOKUP(ROWS($L$2:L7239),$B$2:$C$1996,2,0),"")</f>
        <v/>
      </c>
      <c r="N7239" s="2" t="str">
        <f>IFERROR(VLOOKUP(ROWS($N$2:N7239),$D$2:$E$1996,2,0),"")</f>
        <v/>
      </c>
    </row>
    <row r="7240" spans="2:14">
      <c r="B7240" s="32">
        <f>IF(ISNUMBER(SEARCH('Φόρμα Εισαγωγής'!$B$2,C7240)),MAX($B$1:B7239)+1,0)</f>
        <v>0</v>
      </c>
      <c r="D7240" s="33">
        <f>IF(ISNUMBER(SEARCH('Φόρμα Εισαγωγής'!$C$2,E7240)),MAX($D$1:D7239)+1,0)</f>
        <v>0</v>
      </c>
      <c r="H7240" s="6">
        <f t="shared" si="350"/>
        <v>0</v>
      </c>
      <c r="I7240" s="6">
        <f t="shared" si="351"/>
        <v>0</v>
      </c>
      <c r="J7240" s="6">
        <f t="shared" si="352"/>
        <v>0</v>
      </c>
      <c r="L7240" s="4" t="str">
        <f>IFERROR(VLOOKUP(ROWS($L$2:L7240),$B$2:$C$1996,2,0),"")</f>
        <v/>
      </c>
      <c r="N7240" s="2" t="str">
        <f>IFERROR(VLOOKUP(ROWS($N$2:N7240),$D$2:$E$1996,2,0),"")</f>
        <v/>
      </c>
    </row>
    <row r="7241" spans="2:14">
      <c r="B7241" s="32">
        <f>IF(ISNUMBER(SEARCH('Φόρμα Εισαγωγής'!$B$2,C7241)),MAX($B$1:B7240)+1,0)</f>
        <v>0</v>
      </c>
      <c r="D7241" s="33">
        <f>IF(ISNUMBER(SEARCH('Φόρμα Εισαγωγής'!$C$2,E7241)),MAX($D$1:D7240)+1,0)</f>
        <v>0</v>
      </c>
      <c r="H7241" s="6">
        <f t="shared" si="350"/>
        <v>0</v>
      </c>
      <c r="I7241" s="6">
        <f t="shared" si="351"/>
        <v>0</v>
      </c>
      <c r="J7241" s="6">
        <f t="shared" si="352"/>
        <v>0</v>
      </c>
      <c r="L7241" s="4" t="str">
        <f>IFERROR(VLOOKUP(ROWS($L$2:L7241),$B$2:$C$1996,2,0),"")</f>
        <v/>
      </c>
      <c r="N7241" s="2" t="str">
        <f>IFERROR(VLOOKUP(ROWS($N$2:N7241),$D$2:$E$1996,2,0),"")</f>
        <v/>
      </c>
    </row>
    <row r="7242" spans="2:14">
      <c r="B7242" s="32">
        <f>IF(ISNUMBER(SEARCH('Φόρμα Εισαγωγής'!$B$2,C7242)),MAX($B$1:B7241)+1,0)</f>
        <v>0</v>
      </c>
      <c r="D7242" s="33">
        <f>IF(ISNUMBER(SEARCH('Φόρμα Εισαγωγής'!$C$2,E7242)),MAX($D$1:D7241)+1,0)</f>
        <v>0</v>
      </c>
      <c r="H7242" s="6">
        <f t="shared" si="350"/>
        <v>0</v>
      </c>
      <c r="I7242" s="6">
        <f t="shared" si="351"/>
        <v>0</v>
      </c>
      <c r="J7242" s="6">
        <f t="shared" si="352"/>
        <v>0</v>
      </c>
      <c r="L7242" s="4" t="str">
        <f>IFERROR(VLOOKUP(ROWS($L$2:L7242),$B$2:$C$1996,2,0),"")</f>
        <v/>
      </c>
      <c r="N7242" s="2" t="str">
        <f>IFERROR(VLOOKUP(ROWS($N$2:N7242),$D$2:$E$1996,2,0),"")</f>
        <v/>
      </c>
    </row>
    <row r="7243" spans="2:14">
      <c r="B7243" s="32">
        <f>IF(ISNUMBER(SEARCH('Φόρμα Εισαγωγής'!$B$2,C7243)),MAX($B$1:B7242)+1,0)</f>
        <v>0</v>
      </c>
      <c r="D7243" s="33">
        <f>IF(ISNUMBER(SEARCH('Φόρμα Εισαγωγής'!$C$2,E7243)),MAX($D$1:D7242)+1,0)</f>
        <v>0</v>
      </c>
      <c r="H7243" s="6">
        <f t="shared" si="350"/>
        <v>0</v>
      </c>
      <c r="I7243" s="6">
        <f t="shared" si="351"/>
        <v>0</v>
      </c>
      <c r="J7243" s="6">
        <f t="shared" si="352"/>
        <v>0</v>
      </c>
      <c r="L7243" s="4" t="str">
        <f>IFERROR(VLOOKUP(ROWS($L$2:L7243),$B$2:$C$1996,2,0),"")</f>
        <v/>
      </c>
      <c r="N7243" s="2" t="str">
        <f>IFERROR(VLOOKUP(ROWS($N$2:N7243),$D$2:$E$1996,2,0),"")</f>
        <v/>
      </c>
    </row>
    <row r="7244" spans="2:14">
      <c r="B7244" s="32">
        <f>IF(ISNUMBER(SEARCH('Φόρμα Εισαγωγής'!$B$2,C7244)),MAX($B$1:B7243)+1,0)</f>
        <v>0</v>
      </c>
      <c r="D7244" s="33">
        <f>IF(ISNUMBER(SEARCH('Φόρμα Εισαγωγής'!$C$2,E7244)),MAX($D$1:D7243)+1,0)</f>
        <v>0</v>
      </c>
      <c r="H7244" s="6">
        <f t="shared" si="350"/>
        <v>0</v>
      </c>
      <c r="I7244" s="6">
        <f t="shared" si="351"/>
        <v>0</v>
      </c>
      <c r="J7244" s="6">
        <f t="shared" si="352"/>
        <v>0</v>
      </c>
      <c r="L7244" s="4" t="str">
        <f>IFERROR(VLOOKUP(ROWS($L$2:L7244),$B$2:$C$1996,2,0),"")</f>
        <v/>
      </c>
      <c r="N7244" s="2" t="str">
        <f>IFERROR(VLOOKUP(ROWS($N$2:N7244),$D$2:$E$1996,2,0),"")</f>
        <v/>
      </c>
    </row>
    <row r="7245" spans="2:14">
      <c r="B7245" s="32">
        <f>IF(ISNUMBER(SEARCH('Φόρμα Εισαγωγής'!$B$2,C7245)),MAX($B$1:B7244)+1,0)</f>
        <v>0</v>
      </c>
      <c r="D7245" s="33">
        <f>IF(ISNUMBER(SEARCH('Φόρμα Εισαγωγής'!$C$2,E7245)),MAX($D$1:D7244)+1,0)</f>
        <v>0</v>
      </c>
      <c r="H7245" s="6">
        <f t="shared" si="350"/>
        <v>0</v>
      </c>
      <c r="I7245" s="6">
        <f t="shared" si="351"/>
        <v>0</v>
      </c>
      <c r="J7245" s="6">
        <f t="shared" si="352"/>
        <v>0</v>
      </c>
      <c r="L7245" s="4" t="str">
        <f>IFERROR(VLOOKUP(ROWS($L$2:L7245),$B$2:$C$1996,2,0),"")</f>
        <v/>
      </c>
      <c r="N7245" s="2" t="str">
        <f>IFERROR(VLOOKUP(ROWS($N$2:N7245),$D$2:$E$1996,2,0),"")</f>
        <v/>
      </c>
    </row>
    <row r="7246" spans="2:14">
      <c r="B7246" s="32">
        <f>IF(ISNUMBER(SEARCH('Φόρμα Εισαγωγής'!$B$2,C7246)),MAX($B$1:B7245)+1,0)</f>
        <v>0</v>
      </c>
      <c r="D7246" s="33">
        <f>IF(ISNUMBER(SEARCH('Φόρμα Εισαγωγής'!$C$2,E7246)),MAX($D$1:D7245)+1,0)</f>
        <v>0</v>
      </c>
      <c r="H7246" s="6">
        <f t="shared" si="350"/>
        <v>0</v>
      </c>
      <c r="I7246" s="6">
        <f t="shared" si="351"/>
        <v>0</v>
      </c>
      <c r="J7246" s="6">
        <f t="shared" si="352"/>
        <v>0</v>
      </c>
      <c r="L7246" s="4" t="str">
        <f>IFERROR(VLOOKUP(ROWS($L$2:L7246),$B$2:$C$1996,2,0),"")</f>
        <v/>
      </c>
      <c r="N7246" s="2" t="str">
        <f>IFERROR(VLOOKUP(ROWS($N$2:N7246),$D$2:$E$1996,2,0),"")</f>
        <v/>
      </c>
    </row>
    <row r="7247" spans="2:14">
      <c r="B7247" s="32">
        <f>IF(ISNUMBER(SEARCH('Φόρμα Εισαγωγής'!$B$2,C7247)),MAX($B$1:B7246)+1,0)</f>
        <v>0</v>
      </c>
      <c r="D7247" s="33">
        <f>IF(ISNUMBER(SEARCH('Φόρμα Εισαγωγής'!$C$2,E7247)),MAX($D$1:D7246)+1,0)</f>
        <v>0</v>
      </c>
      <c r="H7247" s="6">
        <f t="shared" si="350"/>
        <v>0</v>
      </c>
      <c r="I7247" s="6">
        <f t="shared" si="351"/>
        <v>0</v>
      </c>
      <c r="J7247" s="6">
        <f t="shared" si="352"/>
        <v>0</v>
      </c>
      <c r="L7247" s="4" t="str">
        <f>IFERROR(VLOOKUP(ROWS($L$2:L7247),$B$2:$C$1996,2,0),"")</f>
        <v/>
      </c>
      <c r="N7247" s="2" t="str">
        <f>IFERROR(VLOOKUP(ROWS($N$2:N7247),$D$2:$E$1996,2,0),"")</f>
        <v/>
      </c>
    </row>
    <row r="7248" spans="2:14">
      <c r="B7248" s="32">
        <f>IF(ISNUMBER(SEARCH('Φόρμα Εισαγωγής'!$B$2,C7248)),MAX($B$1:B7247)+1,0)</f>
        <v>0</v>
      </c>
      <c r="D7248" s="33">
        <f>IF(ISNUMBER(SEARCH('Φόρμα Εισαγωγής'!$C$2,E7248)),MAX($D$1:D7247)+1,0)</f>
        <v>0</v>
      </c>
      <c r="H7248" s="6">
        <f t="shared" si="350"/>
        <v>0</v>
      </c>
      <c r="I7248" s="6">
        <f t="shared" si="351"/>
        <v>0</v>
      </c>
      <c r="J7248" s="6">
        <f t="shared" si="352"/>
        <v>0</v>
      </c>
      <c r="L7248" s="4" t="str">
        <f>IFERROR(VLOOKUP(ROWS($L$2:L7248),$B$2:$C$1996,2,0),"")</f>
        <v/>
      </c>
      <c r="N7248" s="2" t="str">
        <f>IFERROR(VLOOKUP(ROWS($N$2:N7248),$D$2:$E$1996,2,0),"")</f>
        <v/>
      </c>
    </row>
    <row r="7249" spans="2:14">
      <c r="B7249" s="32">
        <f>IF(ISNUMBER(SEARCH('Φόρμα Εισαγωγής'!$B$2,C7249)),MAX($B$1:B7248)+1,0)</f>
        <v>0</v>
      </c>
      <c r="D7249" s="33">
        <f>IF(ISNUMBER(SEARCH('Φόρμα Εισαγωγής'!$C$2,E7249)),MAX($D$1:D7248)+1,0)</f>
        <v>0</v>
      </c>
      <c r="H7249" s="6">
        <f t="shared" si="350"/>
        <v>0</v>
      </c>
      <c r="I7249" s="6">
        <f t="shared" si="351"/>
        <v>0</v>
      </c>
      <c r="J7249" s="6">
        <f t="shared" si="352"/>
        <v>0</v>
      </c>
      <c r="L7249" s="4" t="str">
        <f>IFERROR(VLOOKUP(ROWS($L$2:L7249),$B$2:$C$1996,2,0),"")</f>
        <v/>
      </c>
      <c r="N7249" s="2" t="str">
        <f>IFERROR(VLOOKUP(ROWS($N$2:N7249),$D$2:$E$1996,2,0),"")</f>
        <v/>
      </c>
    </row>
    <row r="7250" spans="2:14">
      <c r="B7250" s="32">
        <f>IF(ISNUMBER(SEARCH('Φόρμα Εισαγωγής'!$B$2,C7250)),MAX($B$1:B7249)+1,0)</f>
        <v>0</v>
      </c>
      <c r="D7250" s="33">
        <f>IF(ISNUMBER(SEARCH('Φόρμα Εισαγωγής'!$C$2,E7250)),MAX($D$1:D7249)+1,0)</f>
        <v>0</v>
      </c>
      <c r="H7250" s="6">
        <f t="shared" si="350"/>
        <v>0</v>
      </c>
      <c r="I7250" s="6">
        <f t="shared" si="351"/>
        <v>0</v>
      </c>
      <c r="J7250" s="6">
        <f t="shared" si="352"/>
        <v>0</v>
      </c>
      <c r="L7250" s="4" t="str">
        <f>IFERROR(VLOOKUP(ROWS($L$2:L7250),$B$2:$C$1996,2,0),"")</f>
        <v/>
      </c>
      <c r="N7250" s="2" t="str">
        <f>IFERROR(VLOOKUP(ROWS($N$2:N7250),$D$2:$E$1996,2,0),"")</f>
        <v/>
      </c>
    </row>
    <row r="7251" spans="2:14">
      <c r="B7251" s="32">
        <f>IF(ISNUMBER(SEARCH('Φόρμα Εισαγωγής'!$B$2,C7251)),MAX($B$1:B7250)+1,0)</f>
        <v>0</v>
      </c>
      <c r="D7251" s="33">
        <f>IF(ISNUMBER(SEARCH('Φόρμα Εισαγωγής'!$C$2,E7251)),MAX($D$1:D7250)+1,0)</f>
        <v>0</v>
      </c>
      <c r="H7251" s="6">
        <f t="shared" si="350"/>
        <v>0</v>
      </c>
      <c r="I7251" s="6">
        <f t="shared" si="351"/>
        <v>0</v>
      </c>
      <c r="J7251" s="6">
        <f t="shared" si="352"/>
        <v>0</v>
      </c>
      <c r="L7251" s="4" t="str">
        <f>IFERROR(VLOOKUP(ROWS($L$2:L7251),$B$2:$C$1996,2,0),"")</f>
        <v/>
      </c>
      <c r="N7251" s="2" t="str">
        <f>IFERROR(VLOOKUP(ROWS($N$2:N7251),$D$2:$E$1996,2,0),"")</f>
        <v/>
      </c>
    </row>
    <row r="7252" spans="2:14">
      <c r="B7252" s="32">
        <f>IF(ISNUMBER(SEARCH('Φόρμα Εισαγωγής'!$B$2,C7252)),MAX($B$1:B7251)+1,0)</f>
        <v>0</v>
      </c>
      <c r="D7252" s="33">
        <f>IF(ISNUMBER(SEARCH('Φόρμα Εισαγωγής'!$C$2,E7252)),MAX($D$1:D7251)+1,0)</f>
        <v>0</v>
      </c>
      <c r="H7252" s="6">
        <f t="shared" si="350"/>
        <v>0</v>
      </c>
      <c r="I7252" s="6">
        <f t="shared" si="351"/>
        <v>0</v>
      </c>
      <c r="J7252" s="6">
        <f t="shared" si="352"/>
        <v>0</v>
      </c>
      <c r="L7252" s="4" t="str">
        <f>IFERROR(VLOOKUP(ROWS($L$2:L7252),$B$2:$C$1996,2,0),"")</f>
        <v/>
      </c>
      <c r="N7252" s="2" t="str">
        <f>IFERROR(VLOOKUP(ROWS($N$2:N7252),$D$2:$E$1996,2,0),"")</f>
        <v/>
      </c>
    </row>
    <row r="7253" spans="2:14">
      <c r="B7253" s="32">
        <f>IF(ISNUMBER(SEARCH('Φόρμα Εισαγωγής'!$B$2,C7253)),MAX($B$1:B7252)+1,0)</f>
        <v>0</v>
      </c>
      <c r="D7253" s="33">
        <f>IF(ISNUMBER(SEARCH('Φόρμα Εισαγωγής'!$C$2,E7253)),MAX($D$1:D7252)+1,0)</f>
        <v>0</v>
      </c>
      <c r="H7253" s="6">
        <f t="shared" si="350"/>
        <v>0</v>
      </c>
      <c r="I7253" s="6">
        <f t="shared" si="351"/>
        <v>0</v>
      </c>
      <c r="J7253" s="6">
        <f t="shared" si="352"/>
        <v>0</v>
      </c>
      <c r="L7253" s="4" t="str">
        <f>IFERROR(VLOOKUP(ROWS($L$2:L7253),$B$2:$C$1996,2,0),"")</f>
        <v/>
      </c>
      <c r="N7253" s="2" t="str">
        <f>IFERROR(VLOOKUP(ROWS($N$2:N7253),$D$2:$E$1996,2,0),"")</f>
        <v/>
      </c>
    </row>
    <row r="7254" spans="2:14">
      <c r="B7254" s="32">
        <f>IF(ISNUMBER(SEARCH('Φόρμα Εισαγωγής'!$B$2,C7254)),MAX($B$1:B7253)+1,0)</f>
        <v>0</v>
      </c>
      <c r="D7254" s="33">
        <f>IF(ISNUMBER(SEARCH('Φόρμα Εισαγωγής'!$C$2,E7254)),MAX($D$1:D7253)+1,0)</f>
        <v>0</v>
      </c>
      <c r="H7254" s="6">
        <f t="shared" si="350"/>
        <v>0</v>
      </c>
      <c r="I7254" s="6">
        <f t="shared" si="351"/>
        <v>0</v>
      </c>
      <c r="J7254" s="6">
        <f t="shared" si="352"/>
        <v>0</v>
      </c>
      <c r="L7254" s="4" t="str">
        <f>IFERROR(VLOOKUP(ROWS($L$2:L7254),$B$2:$C$1996,2,0),"")</f>
        <v/>
      </c>
      <c r="N7254" s="2" t="str">
        <f>IFERROR(VLOOKUP(ROWS($N$2:N7254),$D$2:$E$1996,2,0),"")</f>
        <v/>
      </c>
    </row>
    <row r="7255" spans="2:14">
      <c r="B7255" s="32">
        <f>IF(ISNUMBER(SEARCH('Φόρμα Εισαγωγής'!$B$2,C7255)),MAX($B$1:B7254)+1,0)</f>
        <v>0</v>
      </c>
      <c r="D7255" s="33">
        <f>IF(ISNUMBER(SEARCH('Φόρμα Εισαγωγής'!$C$2,E7255)),MAX($D$1:D7254)+1,0)</f>
        <v>0</v>
      </c>
      <c r="H7255" s="6">
        <f t="shared" si="350"/>
        <v>0</v>
      </c>
      <c r="I7255" s="6">
        <f t="shared" si="351"/>
        <v>0</v>
      </c>
      <c r="J7255" s="6">
        <f t="shared" si="352"/>
        <v>0</v>
      </c>
      <c r="L7255" s="4" t="str">
        <f>IFERROR(VLOOKUP(ROWS($L$2:L7255),$B$2:$C$1996,2,0),"")</f>
        <v/>
      </c>
      <c r="N7255" s="2" t="str">
        <f>IFERROR(VLOOKUP(ROWS($N$2:N7255),$D$2:$E$1996,2,0),"")</f>
        <v/>
      </c>
    </row>
    <row r="7256" spans="2:14">
      <c r="B7256" s="32">
        <f>IF(ISNUMBER(SEARCH('Φόρμα Εισαγωγής'!$B$2,C7256)),MAX($B$1:B7255)+1,0)</f>
        <v>0</v>
      </c>
      <c r="D7256" s="33">
        <f>IF(ISNUMBER(SEARCH('Φόρμα Εισαγωγής'!$C$2,E7256)),MAX($D$1:D7255)+1,0)</f>
        <v>0</v>
      </c>
      <c r="H7256" s="6">
        <f t="shared" si="350"/>
        <v>0</v>
      </c>
      <c r="I7256" s="6">
        <f t="shared" si="351"/>
        <v>0</v>
      </c>
      <c r="J7256" s="6">
        <f t="shared" si="352"/>
        <v>0</v>
      </c>
      <c r="L7256" s="4" t="str">
        <f>IFERROR(VLOOKUP(ROWS($L$2:L7256),$B$2:$C$1996,2,0),"")</f>
        <v/>
      </c>
      <c r="N7256" s="2" t="str">
        <f>IFERROR(VLOOKUP(ROWS($N$2:N7256),$D$2:$E$1996,2,0),"")</f>
        <v/>
      </c>
    </row>
    <row r="7257" spans="2:14">
      <c r="B7257" s="32">
        <f>IF(ISNUMBER(SEARCH('Φόρμα Εισαγωγής'!$B$2,C7257)),MAX($B$1:B7256)+1,0)</f>
        <v>0</v>
      </c>
      <c r="D7257" s="33">
        <f>IF(ISNUMBER(SEARCH('Φόρμα Εισαγωγής'!$C$2,E7257)),MAX($D$1:D7256)+1,0)</f>
        <v>0</v>
      </c>
      <c r="H7257" s="6">
        <f t="shared" si="350"/>
        <v>0</v>
      </c>
      <c r="I7257" s="6">
        <f t="shared" si="351"/>
        <v>0</v>
      </c>
      <c r="J7257" s="6">
        <f t="shared" si="352"/>
        <v>0</v>
      </c>
      <c r="L7257" s="4" t="str">
        <f>IFERROR(VLOOKUP(ROWS($L$2:L7257),$B$2:$C$1996,2,0),"")</f>
        <v/>
      </c>
      <c r="N7257" s="2" t="str">
        <f>IFERROR(VLOOKUP(ROWS($N$2:N7257),$D$2:$E$1996,2,0),"")</f>
        <v/>
      </c>
    </row>
    <row r="7258" spans="2:14">
      <c r="B7258" s="32">
        <f>IF(ISNUMBER(SEARCH('Φόρμα Εισαγωγής'!$B$2,C7258)),MAX($B$1:B7257)+1,0)</f>
        <v>0</v>
      </c>
      <c r="D7258" s="33">
        <f>IF(ISNUMBER(SEARCH('Φόρμα Εισαγωγής'!$C$2,E7258)),MAX($D$1:D7257)+1,0)</f>
        <v>0</v>
      </c>
      <c r="H7258" s="6">
        <f t="shared" si="350"/>
        <v>0</v>
      </c>
      <c r="I7258" s="6">
        <f t="shared" si="351"/>
        <v>0</v>
      </c>
      <c r="J7258" s="6">
        <f t="shared" si="352"/>
        <v>0</v>
      </c>
      <c r="L7258" s="4" t="str">
        <f>IFERROR(VLOOKUP(ROWS($L$2:L7258),$B$2:$C$1996,2,0),"")</f>
        <v/>
      </c>
      <c r="N7258" s="2" t="str">
        <f>IFERROR(VLOOKUP(ROWS($N$2:N7258),$D$2:$E$1996,2,0),"")</f>
        <v/>
      </c>
    </row>
    <row r="7259" spans="2:14">
      <c r="B7259" s="32">
        <f>IF(ISNUMBER(SEARCH('Φόρμα Εισαγωγής'!$B$2,C7259)),MAX($B$1:B7258)+1,0)</f>
        <v>0</v>
      </c>
      <c r="D7259" s="33">
        <f>IF(ISNUMBER(SEARCH('Φόρμα Εισαγωγής'!$C$2,E7259)),MAX($D$1:D7258)+1,0)</f>
        <v>0</v>
      </c>
      <c r="H7259" s="6">
        <f t="shared" si="350"/>
        <v>0</v>
      </c>
      <c r="I7259" s="6">
        <f t="shared" si="351"/>
        <v>0</v>
      </c>
      <c r="J7259" s="6">
        <f t="shared" si="352"/>
        <v>0</v>
      </c>
      <c r="L7259" s="4" t="str">
        <f>IFERROR(VLOOKUP(ROWS($L$2:L7259),$B$2:$C$1996,2,0),"")</f>
        <v/>
      </c>
      <c r="N7259" s="2" t="str">
        <f>IFERROR(VLOOKUP(ROWS($N$2:N7259),$D$2:$E$1996,2,0),"")</f>
        <v/>
      </c>
    </row>
    <row r="7260" spans="2:14">
      <c r="B7260" s="32">
        <f>IF(ISNUMBER(SEARCH('Φόρμα Εισαγωγής'!$B$2,C7260)),MAX($B$1:B7259)+1,0)</f>
        <v>0</v>
      </c>
      <c r="D7260" s="33">
        <f>IF(ISNUMBER(SEARCH('Φόρμα Εισαγωγής'!$C$2,E7260)),MAX($D$1:D7259)+1,0)</f>
        <v>0</v>
      </c>
      <c r="H7260" s="6">
        <f t="shared" si="350"/>
        <v>0</v>
      </c>
      <c r="I7260" s="6">
        <f t="shared" si="351"/>
        <v>0</v>
      </c>
      <c r="J7260" s="6">
        <f t="shared" si="352"/>
        <v>0</v>
      </c>
      <c r="L7260" s="4" t="str">
        <f>IFERROR(VLOOKUP(ROWS($L$2:L7260),$B$2:$C$1996,2,0),"")</f>
        <v/>
      </c>
      <c r="N7260" s="2" t="str">
        <f>IFERROR(VLOOKUP(ROWS($N$2:N7260),$D$2:$E$1996,2,0),"")</f>
        <v/>
      </c>
    </row>
    <row r="7261" spans="2:14">
      <c r="B7261" s="32">
        <f>IF(ISNUMBER(SEARCH('Φόρμα Εισαγωγής'!$B$2,C7261)),MAX($B$1:B7260)+1,0)</f>
        <v>0</v>
      </c>
      <c r="D7261" s="33">
        <f>IF(ISNUMBER(SEARCH('Φόρμα Εισαγωγής'!$C$2,E7261)),MAX($D$1:D7260)+1,0)</f>
        <v>0</v>
      </c>
      <c r="H7261" s="6">
        <f t="shared" si="350"/>
        <v>0</v>
      </c>
      <c r="I7261" s="6">
        <f t="shared" si="351"/>
        <v>0</v>
      </c>
      <c r="J7261" s="6">
        <f t="shared" si="352"/>
        <v>0</v>
      </c>
      <c r="L7261" s="4" t="str">
        <f>IFERROR(VLOOKUP(ROWS($L$2:L7261),$B$2:$C$1996,2,0),"")</f>
        <v/>
      </c>
      <c r="N7261" s="2" t="str">
        <f>IFERROR(VLOOKUP(ROWS($N$2:N7261),$D$2:$E$1996,2,0),"")</f>
        <v/>
      </c>
    </row>
    <row r="7262" spans="2:14">
      <c r="B7262" s="32">
        <f>IF(ISNUMBER(SEARCH('Φόρμα Εισαγωγής'!$B$2,C7262)),MAX($B$1:B7261)+1,0)</f>
        <v>0</v>
      </c>
      <c r="D7262" s="33">
        <f>IF(ISNUMBER(SEARCH('Φόρμα Εισαγωγής'!$C$2,E7262)),MAX($D$1:D7261)+1,0)</f>
        <v>0</v>
      </c>
      <c r="H7262" s="6">
        <f t="shared" si="350"/>
        <v>0</v>
      </c>
      <c r="I7262" s="6">
        <f t="shared" si="351"/>
        <v>0</v>
      </c>
      <c r="J7262" s="6">
        <f t="shared" si="352"/>
        <v>0</v>
      </c>
      <c r="L7262" s="4" t="str">
        <f>IFERROR(VLOOKUP(ROWS($L$2:L7262),$B$2:$C$1996,2,0),"")</f>
        <v/>
      </c>
      <c r="N7262" s="2" t="str">
        <f>IFERROR(VLOOKUP(ROWS($N$2:N7262),$D$2:$E$1996,2,0),"")</f>
        <v/>
      </c>
    </row>
    <row r="7263" spans="2:14">
      <c r="B7263" s="32">
        <f>IF(ISNUMBER(SEARCH('Φόρμα Εισαγωγής'!$B$2,C7263)),MAX($B$1:B7262)+1,0)</f>
        <v>0</v>
      </c>
      <c r="D7263" s="33">
        <f>IF(ISNUMBER(SEARCH('Φόρμα Εισαγωγής'!$C$2,E7263)),MAX($D$1:D7262)+1,0)</f>
        <v>0</v>
      </c>
      <c r="H7263" s="6">
        <f t="shared" si="350"/>
        <v>0</v>
      </c>
      <c r="I7263" s="6">
        <f t="shared" si="351"/>
        <v>0</v>
      </c>
      <c r="J7263" s="6">
        <f t="shared" si="352"/>
        <v>0</v>
      </c>
      <c r="L7263" s="4" t="str">
        <f>IFERROR(VLOOKUP(ROWS($L$2:L7263),$B$2:$C$1996,2,0),"")</f>
        <v/>
      </c>
      <c r="N7263" s="2" t="str">
        <f>IFERROR(VLOOKUP(ROWS($N$2:N7263),$D$2:$E$1996,2,0),"")</f>
        <v/>
      </c>
    </row>
    <row r="7264" spans="2:14">
      <c r="B7264" s="32">
        <f>IF(ISNUMBER(SEARCH('Φόρμα Εισαγωγής'!$B$2,C7264)),MAX($B$1:B7263)+1,0)</f>
        <v>0</v>
      </c>
      <c r="D7264" s="33">
        <f>IF(ISNUMBER(SEARCH('Φόρμα Εισαγωγής'!$C$2,E7264)),MAX($D$1:D7263)+1,0)</f>
        <v>0</v>
      </c>
      <c r="H7264" s="6">
        <f t="shared" si="350"/>
        <v>0</v>
      </c>
      <c r="I7264" s="6">
        <f t="shared" si="351"/>
        <v>0</v>
      </c>
      <c r="J7264" s="6">
        <f t="shared" si="352"/>
        <v>0</v>
      </c>
      <c r="L7264" s="4" t="str">
        <f>IFERROR(VLOOKUP(ROWS($L$2:L7264),$B$2:$C$1996,2,0),"")</f>
        <v/>
      </c>
      <c r="N7264" s="2" t="str">
        <f>IFERROR(VLOOKUP(ROWS($N$2:N7264),$D$2:$E$1996,2,0),"")</f>
        <v/>
      </c>
    </row>
    <row r="7265" spans="2:14">
      <c r="B7265" s="32">
        <f>IF(ISNUMBER(SEARCH('Φόρμα Εισαγωγής'!$B$2,C7265)),MAX($B$1:B7264)+1,0)</f>
        <v>0</v>
      </c>
      <c r="D7265" s="33">
        <f>IF(ISNUMBER(SEARCH('Φόρμα Εισαγωγής'!$C$2,E7265)),MAX($D$1:D7264)+1,0)</f>
        <v>0</v>
      </c>
      <c r="H7265" s="6">
        <f t="shared" si="350"/>
        <v>0</v>
      </c>
      <c r="I7265" s="6">
        <f t="shared" si="351"/>
        <v>0</v>
      </c>
      <c r="J7265" s="6">
        <f t="shared" si="352"/>
        <v>0</v>
      </c>
      <c r="L7265" s="4" t="str">
        <f>IFERROR(VLOOKUP(ROWS($L$2:L7265),$B$2:$C$1996,2,0),"")</f>
        <v/>
      </c>
      <c r="N7265" s="2" t="str">
        <f>IFERROR(VLOOKUP(ROWS($N$2:N7265),$D$2:$E$1996,2,0),"")</f>
        <v/>
      </c>
    </row>
    <row r="7266" spans="2:14">
      <c r="B7266" s="32">
        <f>IF(ISNUMBER(SEARCH('Φόρμα Εισαγωγής'!$B$2,C7266)),MAX($B$1:B7265)+1,0)</f>
        <v>0</v>
      </c>
      <c r="D7266" s="33">
        <f>IF(ISNUMBER(SEARCH('Φόρμα Εισαγωγής'!$C$2,E7266)),MAX($D$1:D7265)+1,0)</f>
        <v>0</v>
      </c>
      <c r="H7266" s="6">
        <f t="shared" si="350"/>
        <v>0</v>
      </c>
      <c r="I7266" s="6">
        <f t="shared" si="351"/>
        <v>0</v>
      </c>
      <c r="J7266" s="6">
        <f t="shared" si="352"/>
        <v>0</v>
      </c>
      <c r="L7266" s="4" t="str">
        <f>IFERROR(VLOOKUP(ROWS($L$2:L7266),$B$2:$C$1996,2,0),"")</f>
        <v/>
      </c>
      <c r="N7266" s="2" t="str">
        <f>IFERROR(VLOOKUP(ROWS($N$2:N7266),$D$2:$E$1996,2,0),"")</f>
        <v/>
      </c>
    </row>
    <row r="7267" spans="2:14">
      <c r="B7267" s="32">
        <f>IF(ISNUMBER(SEARCH('Φόρμα Εισαγωγής'!$B$2,C7267)),MAX($B$1:B7266)+1,0)</f>
        <v>0</v>
      </c>
      <c r="D7267" s="33">
        <f>IF(ISNUMBER(SEARCH('Φόρμα Εισαγωγής'!$C$2,E7267)),MAX($D$1:D7266)+1,0)</f>
        <v>0</v>
      </c>
      <c r="H7267" s="6">
        <f t="shared" si="350"/>
        <v>0</v>
      </c>
      <c r="I7267" s="6">
        <f t="shared" si="351"/>
        <v>0</v>
      </c>
      <c r="J7267" s="6">
        <f t="shared" si="352"/>
        <v>0</v>
      </c>
      <c r="L7267" s="4" t="str">
        <f>IFERROR(VLOOKUP(ROWS($L$2:L7267),$B$2:$C$1996,2,0),"")</f>
        <v/>
      </c>
      <c r="N7267" s="2" t="str">
        <f>IFERROR(VLOOKUP(ROWS($N$2:N7267),$D$2:$E$1996,2,0),"")</f>
        <v/>
      </c>
    </row>
    <row r="7268" spans="2:14">
      <c r="B7268" s="32">
        <f>IF(ISNUMBER(SEARCH('Φόρμα Εισαγωγής'!$B$2,C7268)),MAX($B$1:B7267)+1,0)</f>
        <v>0</v>
      </c>
      <c r="D7268" s="33">
        <f>IF(ISNUMBER(SEARCH('Φόρμα Εισαγωγής'!$C$2,E7268)),MAX($D$1:D7267)+1,0)</f>
        <v>0</v>
      </c>
      <c r="H7268" s="6">
        <f t="shared" si="350"/>
        <v>0</v>
      </c>
      <c r="I7268" s="6">
        <f t="shared" si="351"/>
        <v>0</v>
      </c>
      <c r="J7268" s="6">
        <f t="shared" si="352"/>
        <v>0</v>
      </c>
      <c r="L7268" s="4" t="str">
        <f>IFERROR(VLOOKUP(ROWS($L$2:L7268),$B$2:$C$1996,2,0),"")</f>
        <v/>
      </c>
      <c r="N7268" s="2" t="str">
        <f>IFERROR(VLOOKUP(ROWS($N$2:N7268),$D$2:$E$1996,2,0),"")</f>
        <v/>
      </c>
    </row>
    <row r="7269" spans="2:14">
      <c r="B7269" s="32">
        <f>IF(ISNUMBER(SEARCH('Φόρμα Εισαγωγής'!$B$2,C7269)),MAX($B$1:B7268)+1,0)</f>
        <v>0</v>
      </c>
      <c r="D7269" s="33">
        <f>IF(ISNUMBER(SEARCH('Φόρμα Εισαγωγής'!$C$2,E7269)),MAX($D$1:D7268)+1,0)</f>
        <v>0</v>
      </c>
      <c r="H7269" s="6">
        <f t="shared" si="350"/>
        <v>0</v>
      </c>
      <c r="I7269" s="6">
        <f t="shared" si="351"/>
        <v>0</v>
      </c>
      <c r="J7269" s="6">
        <f t="shared" si="352"/>
        <v>0</v>
      </c>
      <c r="L7269" s="4" t="str">
        <f>IFERROR(VLOOKUP(ROWS($L$2:L7269),$B$2:$C$1996,2,0),"")</f>
        <v/>
      </c>
      <c r="N7269" s="2" t="str">
        <f>IFERROR(VLOOKUP(ROWS($N$2:N7269),$D$2:$E$1996,2,0),"")</f>
        <v/>
      </c>
    </row>
    <row r="7270" spans="2:14">
      <c r="B7270" s="32">
        <f>IF(ISNUMBER(SEARCH('Φόρμα Εισαγωγής'!$B$2,C7270)),MAX($B$1:B7269)+1,0)</f>
        <v>0</v>
      </c>
      <c r="D7270" s="33">
        <f>IF(ISNUMBER(SEARCH('Φόρμα Εισαγωγής'!$C$2,E7270)),MAX($D$1:D7269)+1,0)</f>
        <v>0</v>
      </c>
      <c r="H7270" s="6">
        <f t="shared" si="350"/>
        <v>0</v>
      </c>
      <c r="I7270" s="6">
        <f t="shared" si="351"/>
        <v>0</v>
      </c>
      <c r="J7270" s="6">
        <f t="shared" si="352"/>
        <v>0</v>
      </c>
      <c r="L7270" s="4" t="str">
        <f>IFERROR(VLOOKUP(ROWS($L$2:L7270),$B$2:$C$1996,2,0),"")</f>
        <v/>
      </c>
      <c r="N7270" s="2" t="str">
        <f>IFERROR(VLOOKUP(ROWS($N$2:N7270),$D$2:$E$1996,2,0),"")</f>
        <v/>
      </c>
    </row>
    <row r="7271" spans="2:14">
      <c r="B7271" s="32">
        <f>IF(ISNUMBER(SEARCH('Φόρμα Εισαγωγής'!$B$2,C7271)),MAX($B$1:B7270)+1,0)</f>
        <v>0</v>
      </c>
      <c r="D7271" s="33">
        <f>IF(ISNUMBER(SEARCH('Φόρμα Εισαγωγής'!$C$2,E7271)),MAX($D$1:D7270)+1,0)</f>
        <v>0</v>
      </c>
      <c r="H7271" s="6">
        <f t="shared" si="350"/>
        <v>0</v>
      </c>
      <c r="I7271" s="6">
        <f t="shared" si="351"/>
        <v>0</v>
      </c>
      <c r="J7271" s="6">
        <f t="shared" si="352"/>
        <v>0</v>
      </c>
      <c r="L7271" s="4" t="str">
        <f>IFERROR(VLOOKUP(ROWS($L$2:L7271),$B$2:$C$1996,2,0),"")</f>
        <v/>
      </c>
      <c r="N7271" s="2" t="str">
        <f>IFERROR(VLOOKUP(ROWS($N$2:N7271),$D$2:$E$1996,2,0),"")</f>
        <v/>
      </c>
    </row>
    <row r="7272" spans="2:14">
      <c r="B7272" s="32">
        <f>IF(ISNUMBER(SEARCH('Φόρμα Εισαγωγής'!$B$2,C7272)),MAX($B$1:B7271)+1,0)</f>
        <v>0</v>
      </c>
      <c r="D7272" s="33">
        <f>IF(ISNUMBER(SEARCH('Φόρμα Εισαγωγής'!$C$2,E7272)),MAX($D$1:D7271)+1,0)</f>
        <v>0</v>
      </c>
      <c r="H7272" s="6">
        <f t="shared" si="350"/>
        <v>0</v>
      </c>
      <c r="I7272" s="6">
        <f t="shared" si="351"/>
        <v>0</v>
      </c>
      <c r="J7272" s="6">
        <f t="shared" si="352"/>
        <v>0</v>
      </c>
      <c r="L7272" s="4" t="str">
        <f>IFERROR(VLOOKUP(ROWS($L$2:L7272),$B$2:$C$1996,2,0),"")</f>
        <v/>
      </c>
      <c r="N7272" s="2" t="str">
        <f>IFERROR(VLOOKUP(ROWS($N$2:N7272),$D$2:$E$1996,2,0),"")</f>
        <v/>
      </c>
    </row>
    <row r="7273" spans="2:14">
      <c r="B7273" s="32">
        <f>IF(ISNUMBER(SEARCH('Φόρμα Εισαγωγής'!$B$2,C7273)),MAX($B$1:B7272)+1,0)</f>
        <v>0</v>
      </c>
      <c r="D7273" s="33">
        <f>IF(ISNUMBER(SEARCH('Φόρμα Εισαγωγής'!$C$2,E7273)),MAX($D$1:D7272)+1,0)</f>
        <v>0</v>
      </c>
      <c r="H7273" s="6">
        <f t="shared" si="350"/>
        <v>0</v>
      </c>
      <c r="I7273" s="6">
        <f t="shared" si="351"/>
        <v>0</v>
      </c>
      <c r="J7273" s="6">
        <f t="shared" si="352"/>
        <v>0</v>
      </c>
      <c r="L7273" s="4" t="str">
        <f>IFERROR(VLOOKUP(ROWS($L$2:L7273),$B$2:$C$1996,2,0),"")</f>
        <v/>
      </c>
      <c r="N7273" s="2" t="str">
        <f>IFERROR(VLOOKUP(ROWS($N$2:N7273),$D$2:$E$1996,2,0),"")</f>
        <v/>
      </c>
    </row>
    <row r="7274" spans="2:14">
      <c r="B7274" s="32">
        <f>IF(ISNUMBER(SEARCH('Φόρμα Εισαγωγής'!$B$2,C7274)),MAX($B$1:B7273)+1,0)</f>
        <v>0</v>
      </c>
      <c r="D7274" s="33">
        <f>IF(ISNUMBER(SEARCH('Φόρμα Εισαγωγής'!$C$2,E7274)),MAX($D$1:D7273)+1,0)</f>
        <v>0</v>
      </c>
      <c r="H7274" s="6">
        <f t="shared" si="350"/>
        <v>0</v>
      </c>
      <c r="I7274" s="6">
        <f t="shared" si="351"/>
        <v>0</v>
      </c>
      <c r="J7274" s="6">
        <f t="shared" si="352"/>
        <v>0</v>
      </c>
      <c r="L7274" s="4" t="str">
        <f>IFERROR(VLOOKUP(ROWS($L$2:L7274),$B$2:$C$1996,2,0),"")</f>
        <v/>
      </c>
      <c r="N7274" s="2" t="str">
        <f>IFERROR(VLOOKUP(ROWS($N$2:N7274),$D$2:$E$1996,2,0),"")</f>
        <v/>
      </c>
    </row>
    <row r="7275" spans="2:14">
      <c r="B7275" s="32">
        <f>IF(ISNUMBER(SEARCH('Φόρμα Εισαγωγής'!$B$2,C7275)),MAX($B$1:B7274)+1,0)</f>
        <v>0</v>
      </c>
      <c r="D7275" s="33">
        <f>IF(ISNUMBER(SEARCH('Φόρμα Εισαγωγής'!$C$2,E7275)),MAX($D$1:D7274)+1,0)</f>
        <v>0</v>
      </c>
      <c r="H7275" s="6">
        <f t="shared" si="350"/>
        <v>0</v>
      </c>
      <c r="I7275" s="6">
        <f t="shared" si="351"/>
        <v>0</v>
      </c>
      <c r="J7275" s="6">
        <f t="shared" si="352"/>
        <v>0</v>
      </c>
      <c r="L7275" s="4" t="str">
        <f>IFERROR(VLOOKUP(ROWS($L$2:L7275),$B$2:$C$1996,2,0),"")</f>
        <v/>
      </c>
      <c r="N7275" s="2" t="str">
        <f>IFERROR(VLOOKUP(ROWS($N$2:N7275),$D$2:$E$1996,2,0),"")</f>
        <v/>
      </c>
    </row>
    <row r="7276" spans="2:14">
      <c r="B7276" s="32">
        <f>IF(ISNUMBER(SEARCH('Φόρμα Εισαγωγής'!$B$2,C7276)),MAX($B$1:B7275)+1,0)</f>
        <v>0</v>
      </c>
      <c r="D7276" s="33">
        <f>IF(ISNUMBER(SEARCH('Φόρμα Εισαγωγής'!$C$2,E7276)),MAX($D$1:D7275)+1,0)</f>
        <v>0</v>
      </c>
      <c r="H7276" s="6">
        <f t="shared" si="350"/>
        <v>0</v>
      </c>
      <c r="I7276" s="6">
        <f t="shared" si="351"/>
        <v>0</v>
      </c>
      <c r="J7276" s="6">
        <f t="shared" si="352"/>
        <v>0</v>
      </c>
      <c r="L7276" s="4" t="str">
        <f>IFERROR(VLOOKUP(ROWS($L$2:L7276),$B$2:$C$1996,2,0),"")</f>
        <v/>
      </c>
      <c r="N7276" s="2" t="str">
        <f>IFERROR(VLOOKUP(ROWS($N$2:N7276),$D$2:$E$1996,2,0),"")</f>
        <v/>
      </c>
    </row>
    <row r="7277" spans="2:14">
      <c r="B7277" s="32">
        <f>IF(ISNUMBER(SEARCH('Φόρμα Εισαγωγής'!$B$2,C7277)),MAX($B$1:B7276)+1,0)</f>
        <v>0</v>
      </c>
      <c r="D7277" s="33">
        <f>IF(ISNUMBER(SEARCH('Φόρμα Εισαγωγής'!$C$2,E7277)),MAX($D$1:D7276)+1,0)</f>
        <v>0</v>
      </c>
      <c r="H7277" s="6">
        <f t="shared" si="350"/>
        <v>0</v>
      </c>
      <c r="I7277" s="6">
        <f t="shared" si="351"/>
        <v>0</v>
      </c>
      <c r="J7277" s="6">
        <f t="shared" si="352"/>
        <v>0</v>
      </c>
      <c r="L7277" s="4" t="str">
        <f>IFERROR(VLOOKUP(ROWS($L$2:L7277),$B$2:$C$1996,2,0),"")</f>
        <v/>
      </c>
      <c r="N7277" s="2" t="str">
        <f>IFERROR(VLOOKUP(ROWS($N$2:N7277),$D$2:$E$1996,2,0),"")</f>
        <v/>
      </c>
    </row>
    <row r="7278" spans="2:14">
      <c r="B7278" s="32">
        <f>IF(ISNUMBER(SEARCH('Φόρμα Εισαγωγής'!$B$2,C7278)),MAX($B$1:B7277)+1,0)</f>
        <v>0</v>
      </c>
      <c r="D7278" s="33">
        <f>IF(ISNUMBER(SEARCH('Φόρμα Εισαγωγής'!$C$2,E7278)),MAX($D$1:D7277)+1,0)</f>
        <v>0</v>
      </c>
      <c r="H7278" s="6">
        <f t="shared" si="350"/>
        <v>0</v>
      </c>
      <c r="I7278" s="6">
        <f t="shared" si="351"/>
        <v>0</v>
      </c>
      <c r="J7278" s="6">
        <f t="shared" si="352"/>
        <v>0</v>
      </c>
      <c r="L7278" s="4" t="str">
        <f>IFERROR(VLOOKUP(ROWS($L$2:L7278),$B$2:$C$1996,2,0),"")</f>
        <v/>
      </c>
      <c r="N7278" s="2" t="str">
        <f>IFERROR(VLOOKUP(ROWS($N$2:N7278),$D$2:$E$1996,2,0),"")</f>
        <v/>
      </c>
    </row>
    <row r="7279" spans="2:14">
      <c r="B7279" s="32">
        <f>IF(ISNUMBER(SEARCH('Φόρμα Εισαγωγής'!$B$2,C7279)),MAX($B$1:B7278)+1,0)</f>
        <v>0</v>
      </c>
      <c r="D7279" s="33">
        <f>IF(ISNUMBER(SEARCH('Φόρμα Εισαγωγής'!$C$2,E7279)),MAX($D$1:D7278)+1,0)</f>
        <v>0</v>
      </c>
      <c r="H7279" s="6">
        <f t="shared" si="350"/>
        <v>0</v>
      </c>
      <c r="I7279" s="6">
        <f t="shared" si="351"/>
        <v>0</v>
      </c>
      <c r="J7279" s="6">
        <f t="shared" si="352"/>
        <v>0</v>
      </c>
      <c r="L7279" s="4" t="str">
        <f>IFERROR(VLOOKUP(ROWS($L$2:L7279),$B$2:$C$1996,2,0),"")</f>
        <v/>
      </c>
      <c r="N7279" s="2" t="str">
        <f>IFERROR(VLOOKUP(ROWS($N$2:N7279),$D$2:$E$1996,2,0),"")</f>
        <v/>
      </c>
    </row>
    <row r="7280" spans="2:14">
      <c r="B7280" s="32">
        <f>IF(ISNUMBER(SEARCH('Φόρμα Εισαγωγής'!$B$2,C7280)),MAX($B$1:B7279)+1,0)</f>
        <v>0</v>
      </c>
      <c r="D7280" s="33">
        <f>IF(ISNUMBER(SEARCH('Φόρμα Εισαγωγής'!$C$2,E7280)),MAX($D$1:D7279)+1,0)</f>
        <v>0</v>
      </c>
      <c r="H7280" s="6">
        <f t="shared" si="350"/>
        <v>0</v>
      </c>
      <c r="I7280" s="6">
        <f t="shared" si="351"/>
        <v>0</v>
      </c>
      <c r="J7280" s="6">
        <f t="shared" si="352"/>
        <v>0</v>
      </c>
      <c r="L7280" s="4" t="str">
        <f>IFERROR(VLOOKUP(ROWS($L$2:L7280),$B$2:$C$1996,2,0),"")</f>
        <v/>
      </c>
      <c r="N7280" s="2" t="str">
        <f>IFERROR(VLOOKUP(ROWS($N$2:N7280),$D$2:$E$1996,2,0),"")</f>
        <v/>
      </c>
    </row>
    <row r="7281" spans="2:14">
      <c r="B7281" s="32">
        <f>IF(ISNUMBER(SEARCH('Φόρμα Εισαγωγής'!$B$2,C7281)),MAX($B$1:B7280)+1,0)</f>
        <v>0</v>
      </c>
      <c r="D7281" s="33">
        <f>IF(ISNUMBER(SEARCH('Φόρμα Εισαγωγής'!$C$2,E7281)),MAX($D$1:D7280)+1,0)</f>
        <v>0</v>
      </c>
      <c r="H7281" s="6">
        <f t="shared" si="350"/>
        <v>0</v>
      </c>
      <c r="I7281" s="6">
        <f t="shared" si="351"/>
        <v>0</v>
      </c>
      <c r="J7281" s="6">
        <f t="shared" si="352"/>
        <v>0</v>
      </c>
      <c r="L7281" s="4" t="str">
        <f>IFERROR(VLOOKUP(ROWS($L$2:L7281),$B$2:$C$1996,2,0),"")</f>
        <v/>
      </c>
      <c r="N7281" s="2" t="str">
        <f>IFERROR(VLOOKUP(ROWS($N$2:N7281),$D$2:$E$1996,2,0),"")</f>
        <v/>
      </c>
    </row>
    <row r="7282" spans="2:14">
      <c r="B7282" s="32">
        <f>IF(ISNUMBER(SEARCH('Φόρμα Εισαγωγής'!$B$2,C7282)),MAX($B$1:B7281)+1,0)</f>
        <v>0</v>
      </c>
      <c r="D7282" s="33">
        <f>IF(ISNUMBER(SEARCH('Φόρμα Εισαγωγής'!$C$2,E7282)),MAX($D$1:D7281)+1,0)</f>
        <v>0</v>
      </c>
      <c r="H7282" s="6">
        <f t="shared" si="350"/>
        <v>0</v>
      </c>
      <c r="I7282" s="6">
        <f t="shared" si="351"/>
        <v>0</v>
      </c>
      <c r="J7282" s="6">
        <f t="shared" si="352"/>
        <v>0</v>
      </c>
      <c r="L7282" s="4" t="str">
        <f>IFERROR(VLOOKUP(ROWS($L$2:L7282),$B$2:$C$1996,2,0),"")</f>
        <v/>
      </c>
      <c r="N7282" s="2" t="str">
        <f>IFERROR(VLOOKUP(ROWS($N$2:N7282),$D$2:$E$1996,2,0),"")</f>
        <v/>
      </c>
    </row>
    <row r="7283" spans="2:14">
      <c r="B7283" s="32">
        <f>IF(ISNUMBER(SEARCH('Φόρμα Εισαγωγής'!$B$2,C7283)),MAX($B$1:B7282)+1,0)</f>
        <v>0</v>
      </c>
      <c r="D7283" s="33">
        <f>IF(ISNUMBER(SEARCH('Φόρμα Εισαγωγής'!$C$2,E7283)),MAX($D$1:D7282)+1,0)</f>
        <v>0</v>
      </c>
      <c r="H7283" s="6">
        <f t="shared" si="350"/>
        <v>0</v>
      </c>
      <c r="I7283" s="6">
        <f t="shared" si="351"/>
        <v>0</v>
      </c>
      <c r="J7283" s="6">
        <f t="shared" si="352"/>
        <v>0</v>
      </c>
      <c r="L7283" s="4" t="str">
        <f>IFERROR(VLOOKUP(ROWS($L$2:L7283),$B$2:$C$1996,2,0),"")</f>
        <v/>
      </c>
      <c r="N7283" s="2" t="str">
        <f>IFERROR(VLOOKUP(ROWS($N$2:N7283),$D$2:$E$1996,2,0),"")</f>
        <v/>
      </c>
    </row>
    <row r="7284" spans="2:14">
      <c r="B7284" s="32">
        <f>IF(ISNUMBER(SEARCH('Φόρμα Εισαγωγής'!$B$2,C7284)),MAX($B$1:B7283)+1,0)</f>
        <v>0</v>
      </c>
      <c r="D7284" s="33">
        <f>IF(ISNUMBER(SEARCH('Φόρμα Εισαγωγής'!$C$2,E7284)),MAX($D$1:D7283)+1,0)</f>
        <v>0</v>
      </c>
      <c r="H7284" s="6">
        <f t="shared" si="350"/>
        <v>0</v>
      </c>
      <c r="I7284" s="6">
        <f t="shared" si="351"/>
        <v>0</v>
      </c>
      <c r="J7284" s="6">
        <f t="shared" si="352"/>
        <v>0</v>
      </c>
      <c r="L7284" s="4" t="str">
        <f>IFERROR(VLOOKUP(ROWS($L$2:L7284),$B$2:$C$1996,2,0),"")</f>
        <v/>
      </c>
      <c r="N7284" s="2" t="str">
        <f>IFERROR(VLOOKUP(ROWS($N$2:N7284),$D$2:$E$1996,2,0),"")</f>
        <v/>
      </c>
    </row>
    <row r="7285" spans="2:14">
      <c r="B7285" s="32">
        <f>IF(ISNUMBER(SEARCH('Φόρμα Εισαγωγής'!$B$2,C7285)),MAX($B$1:B7284)+1,0)</f>
        <v>0</v>
      </c>
      <c r="D7285" s="33">
        <f>IF(ISNUMBER(SEARCH('Φόρμα Εισαγωγής'!$C$2,E7285)),MAX($D$1:D7284)+1,0)</f>
        <v>0</v>
      </c>
      <c r="H7285" s="6">
        <f t="shared" si="350"/>
        <v>0</v>
      </c>
      <c r="I7285" s="6">
        <f t="shared" si="351"/>
        <v>0</v>
      </c>
      <c r="J7285" s="6">
        <f t="shared" si="352"/>
        <v>0</v>
      </c>
      <c r="L7285" s="4" t="str">
        <f>IFERROR(VLOOKUP(ROWS($L$2:L7285),$B$2:$C$1996,2,0),"")</f>
        <v/>
      </c>
      <c r="N7285" s="2" t="str">
        <f>IFERROR(VLOOKUP(ROWS($N$2:N7285),$D$2:$E$1996,2,0),"")</f>
        <v/>
      </c>
    </row>
    <row r="7286" spans="2:14">
      <c r="B7286" s="32">
        <f>IF(ISNUMBER(SEARCH('Φόρμα Εισαγωγής'!$B$2,C7286)),MAX($B$1:B7285)+1,0)</f>
        <v>0</v>
      </c>
      <c r="D7286" s="33">
        <f>IF(ISNUMBER(SEARCH('Φόρμα Εισαγωγής'!$C$2,E7286)),MAX($D$1:D7285)+1,0)</f>
        <v>0</v>
      </c>
      <c r="H7286" s="6">
        <f t="shared" si="350"/>
        <v>0</v>
      </c>
      <c r="I7286" s="6">
        <f t="shared" si="351"/>
        <v>0</v>
      </c>
      <c r="J7286" s="6">
        <f t="shared" si="352"/>
        <v>0</v>
      </c>
      <c r="L7286" s="4" t="str">
        <f>IFERROR(VLOOKUP(ROWS($L$2:L7286),$B$2:$C$1996,2,0),"")</f>
        <v/>
      </c>
      <c r="N7286" s="2" t="str">
        <f>IFERROR(VLOOKUP(ROWS($N$2:N7286),$D$2:$E$1996,2,0),"")</f>
        <v/>
      </c>
    </row>
    <row r="7287" spans="2:14">
      <c r="B7287" s="32">
        <f>IF(ISNUMBER(SEARCH('Φόρμα Εισαγωγής'!$B$2,C7287)),MAX($B$1:B7286)+1,0)</f>
        <v>0</v>
      </c>
      <c r="D7287" s="33">
        <f>IF(ISNUMBER(SEARCH('Φόρμα Εισαγωγής'!$C$2,E7287)),MAX($D$1:D7286)+1,0)</f>
        <v>0</v>
      </c>
      <c r="H7287" s="6">
        <f t="shared" si="350"/>
        <v>0</v>
      </c>
      <c r="I7287" s="6">
        <f t="shared" si="351"/>
        <v>0</v>
      </c>
      <c r="J7287" s="6">
        <f t="shared" si="352"/>
        <v>0</v>
      </c>
      <c r="L7287" s="4" t="str">
        <f>IFERROR(VLOOKUP(ROWS($L$2:L7287),$B$2:$C$1996,2,0),"")</f>
        <v/>
      </c>
      <c r="N7287" s="2" t="str">
        <f>IFERROR(VLOOKUP(ROWS($N$2:N7287),$D$2:$E$1996,2,0),"")</f>
        <v/>
      </c>
    </row>
    <row r="7288" spans="2:14">
      <c r="B7288" s="32">
        <f>IF(ISNUMBER(SEARCH('Φόρμα Εισαγωγής'!$B$2,C7288)),MAX($B$1:B7287)+1,0)</f>
        <v>0</v>
      </c>
      <c r="D7288" s="33">
        <f>IF(ISNUMBER(SEARCH('Φόρμα Εισαγωγής'!$C$2,E7288)),MAX($D$1:D7287)+1,0)</f>
        <v>0</v>
      </c>
      <c r="H7288" s="6">
        <f t="shared" si="350"/>
        <v>0</v>
      </c>
      <c r="I7288" s="6">
        <f t="shared" si="351"/>
        <v>0</v>
      </c>
      <c r="J7288" s="6">
        <f t="shared" si="352"/>
        <v>0</v>
      </c>
      <c r="L7288" s="4" t="str">
        <f>IFERROR(VLOOKUP(ROWS($L$2:L7288),$B$2:$C$1996,2,0),"")</f>
        <v/>
      </c>
      <c r="N7288" s="2" t="str">
        <f>IFERROR(VLOOKUP(ROWS($N$2:N7288),$D$2:$E$1996,2,0),"")</f>
        <v/>
      </c>
    </row>
    <row r="7289" spans="2:14">
      <c r="B7289" s="32">
        <f>IF(ISNUMBER(SEARCH('Φόρμα Εισαγωγής'!$B$2,C7289)),MAX($B$1:B7288)+1,0)</f>
        <v>0</v>
      </c>
      <c r="D7289" s="33">
        <f>IF(ISNUMBER(SEARCH('Φόρμα Εισαγωγής'!$C$2,E7289)),MAX($D$1:D7288)+1,0)</f>
        <v>0</v>
      </c>
      <c r="H7289" s="6">
        <f t="shared" si="350"/>
        <v>0</v>
      </c>
      <c r="I7289" s="6">
        <f t="shared" si="351"/>
        <v>0</v>
      </c>
      <c r="J7289" s="6">
        <f t="shared" si="352"/>
        <v>0</v>
      </c>
      <c r="L7289" s="4" t="str">
        <f>IFERROR(VLOOKUP(ROWS($L$2:L7289),$B$2:$C$1996,2,0),"")</f>
        <v/>
      </c>
      <c r="N7289" s="2" t="str">
        <f>IFERROR(VLOOKUP(ROWS($N$2:N7289),$D$2:$E$1996,2,0),"")</f>
        <v/>
      </c>
    </row>
    <row r="7290" spans="2:14">
      <c r="B7290" s="32">
        <f>IF(ISNUMBER(SEARCH('Φόρμα Εισαγωγής'!$B$2,C7290)),MAX($B$1:B7289)+1,0)</f>
        <v>0</v>
      </c>
      <c r="D7290" s="33">
        <f>IF(ISNUMBER(SEARCH('Φόρμα Εισαγωγής'!$C$2,E7290)),MAX($D$1:D7289)+1,0)</f>
        <v>0</v>
      </c>
      <c r="H7290" s="6">
        <f t="shared" si="350"/>
        <v>0</v>
      </c>
      <c r="I7290" s="6">
        <f t="shared" si="351"/>
        <v>0</v>
      </c>
      <c r="J7290" s="6">
        <f t="shared" si="352"/>
        <v>0</v>
      </c>
      <c r="L7290" s="4" t="str">
        <f>IFERROR(VLOOKUP(ROWS($L$2:L7290),$B$2:$C$1996,2,0),"")</f>
        <v/>
      </c>
      <c r="N7290" s="2" t="str">
        <f>IFERROR(VLOOKUP(ROWS($N$2:N7290),$D$2:$E$1996,2,0),"")</f>
        <v/>
      </c>
    </row>
    <row r="7291" spans="2:14">
      <c r="B7291" s="32">
        <f>IF(ISNUMBER(SEARCH('Φόρμα Εισαγωγής'!$B$2,C7291)),MAX($B$1:B7290)+1,0)</f>
        <v>0</v>
      </c>
      <c r="D7291" s="33">
        <f>IF(ISNUMBER(SEARCH('Φόρμα Εισαγωγής'!$C$2,E7291)),MAX($D$1:D7290)+1,0)</f>
        <v>0</v>
      </c>
      <c r="H7291" s="6">
        <f t="shared" si="350"/>
        <v>0</v>
      </c>
      <c r="I7291" s="6">
        <f t="shared" si="351"/>
        <v>0</v>
      </c>
      <c r="J7291" s="6">
        <f t="shared" si="352"/>
        <v>0</v>
      </c>
      <c r="L7291" s="4" t="str">
        <f>IFERROR(VLOOKUP(ROWS($L$2:L7291),$B$2:$C$1996,2,0),"")</f>
        <v/>
      </c>
      <c r="N7291" s="2" t="str">
        <f>IFERROR(VLOOKUP(ROWS($N$2:N7291),$D$2:$E$1996,2,0),"")</f>
        <v/>
      </c>
    </row>
    <row r="7292" spans="2:14">
      <c r="B7292" s="32">
        <f>IF(ISNUMBER(SEARCH('Φόρμα Εισαγωγής'!$B$2,C7292)),MAX($B$1:B7291)+1,0)</f>
        <v>0</v>
      </c>
      <c r="D7292" s="33">
        <f>IF(ISNUMBER(SEARCH('Φόρμα Εισαγωγής'!$C$2,E7292)),MAX($D$1:D7291)+1,0)</f>
        <v>0</v>
      </c>
      <c r="H7292" s="6">
        <f t="shared" si="350"/>
        <v>0</v>
      </c>
      <c r="I7292" s="6">
        <f t="shared" si="351"/>
        <v>0</v>
      </c>
      <c r="J7292" s="6">
        <f t="shared" si="352"/>
        <v>0</v>
      </c>
      <c r="L7292" s="4" t="str">
        <f>IFERROR(VLOOKUP(ROWS($L$2:L7292),$B$2:$C$1996,2,0),"")</f>
        <v/>
      </c>
      <c r="N7292" s="2" t="str">
        <f>IFERROR(VLOOKUP(ROWS($N$2:N7292),$D$2:$E$1996,2,0),"")</f>
        <v/>
      </c>
    </row>
    <row r="7293" spans="2:14">
      <c r="B7293" s="32">
        <f>IF(ISNUMBER(SEARCH('Φόρμα Εισαγωγής'!$B$2,C7293)),MAX($B$1:B7292)+1,0)</f>
        <v>0</v>
      </c>
      <c r="D7293" s="33">
        <f>IF(ISNUMBER(SEARCH('Φόρμα Εισαγωγής'!$C$2,E7293)),MAX($D$1:D7292)+1,0)</f>
        <v>0</v>
      </c>
      <c r="H7293" s="6">
        <f t="shared" si="350"/>
        <v>0</v>
      </c>
      <c r="I7293" s="6">
        <f t="shared" si="351"/>
        <v>0</v>
      </c>
      <c r="J7293" s="6">
        <f t="shared" si="352"/>
        <v>0</v>
      </c>
      <c r="L7293" s="4" t="str">
        <f>IFERROR(VLOOKUP(ROWS($L$2:L7293),$B$2:$C$1996,2,0),"")</f>
        <v/>
      </c>
      <c r="N7293" s="2" t="str">
        <f>IFERROR(VLOOKUP(ROWS($N$2:N7293),$D$2:$E$1996,2,0),"")</f>
        <v/>
      </c>
    </row>
    <row r="7294" spans="2:14">
      <c r="B7294" s="32">
        <f>IF(ISNUMBER(SEARCH('Φόρμα Εισαγωγής'!$B$2,C7294)),MAX($B$1:B7293)+1,0)</f>
        <v>0</v>
      </c>
      <c r="D7294" s="33">
        <f>IF(ISNUMBER(SEARCH('Φόρμα Εισαγωγής'!$C$2,E7294)),MAX($D$1:D7293)+1,0)</f>
        <v>0</v>
      </c>
      <c r="H7294" s="6">
        <f t="shared" si="350"/>
        <v>0</v>
      </c>
      <c r="I7294" s="6">
        <f t="shared" si="351"/>
        <v>0</v>
      </c>
      <c r="J7294" s="6">
        <f t="shared" si="352"/>
        <v>0</v>
      </c>
      <c r="L7294" s="4" t="str">
        <f>IFERROR(VLOOKUP(ROWS($L$2:L7294),$B$2:$C$1996,2,0),"")</f>
        <v/>
      </c>
      <c r="N7294" s="2" t="str">
        <f>IFERROR(VLOOKUP(ROWS($N$2:N7294),$D$2:$E$1996,2,0),"")</f>
        <v/>
      </c>
    </row>
    <row r="7295" spans="2:14">
      <c r="B7295" s="32">
        <f>IF(ISNUMBER(SEARCH('Φόρμα Εισαγωγής'!$B$2,C7295)),MAX($B$1:B7294)+1,0)</f>
        <v>0</v>
      </c>
      <c r="D7295" s="33">
        <f>IF(ISNUMBER(SEARCH('Φόρμα Εισαγωγής'!$C$2,E7295)),MAX($D$1:D7294)+1,0)</f>
        <v>0</v>
      </c>
      <c r="H7295" s="6">
        <f t="shared" si="350"/>
        <v>0</v>
      </c>
      <c r="I7295" s="6">
        <f t="shared" si="351"/>
        <v>0</v>
      </c>
      <c r="J7295" s="6">
        <f t="shared" si="352"/>
        <v>0</v>
      </c>
      <c r="L7295" s="4" t="str">
        <f>IFERROR(VLOOKUP(ROWS($L$2:L7295),$B$2:$C$1996,2,0),"")</f>
        <v/>
      </c>
      <c r="N7295" s="2" t="str">
        <f>IFERROR(VLOOKUP(ROWS($N$2:N7295),$D$2:$E$1996,2,0),"")</f>
        <v/>
      </c>
    </row>
    <row r="7296" spans="2:14">
      <c r="B7296" s="32">
        <f>IF(ISNUMBER(SEARCH('Φόρμα Εισαγωγής'!$B$2,C7296)),MAX($B$1:B7295)+1,0)</f>
        <v>0</v>
      </c>
      <c r="D7296" s="33">
        <f>IF(ISNUMBER(SEARCH('Φόρμα Εισαγωγής'!$C$2,E7296)),MAX($D$1:D7295)+1,0)</f>
        <v>0</v>
      </c>
      <c r="H7296" s="6">
        <f t="shared" ref="H7296:H7359" si="353">G7296+(G7296*0.24)</f>
        <v>0</v>
      </c>
      <c r="I7296" s="6">
        <f t="shared" ref="I7296:I7359" si="354">F7296*A7296</f>
        <v>0</v>
      </c>
      <c r="J7296" s="6">
        <f t="shared" ref="J7296:J7359" si="355">H7296*A7296</f>
        <v>0</v>
      </c>
      <c r="L7296" s="4" t="str">
        <f>IFERROR(VLOOKUP(ROWS($L$2:L7296),$B$2:$C$1996,2,0),"")</f>
        <v/>
      </c>
      <c r="N7296" s="2" t="str">
        <f>IFERROR(VLOOKUP(ROWS($N$2:N7296),$D$2:$E$1996,2,0),"")</f>
        <v/>
      </c>
    </row>
    <row r="7297" spans="2:14">
      <c r="B7297" s="32">
        <f>IF(ISNUMBER(SEARCH('Φόρμα Εισαγωγής'!$B$2,C7297)),MAX($B$1:B7296)+1,0)</f>
        <v>0</v>
      </c>
      <c r="D7297" s="33">
        <f>IF(ISNUMBER(SEARCH('Φόρμα Εισαγωγής'!$C$2,E7297)),MAX($D$1:D7296)+1,0)</f>
        <v>0</v>
      </c>
      <c r="H7297" s="6">
        <f t="shared" si="353"/>
        <v>0</v>
      </c>
      <c r="I7297" s="6">
        <f t="shared" si="354"/>
        <v>0</v>
      </c>
      <c r="J7297" s="6">
        <f t="shared" si="355"/>
        <v>0</v>
      </c>
      <c r="L7297" s="4" t="str">
        <f>IFERROR(VLOOKUP(ROWS($L$2:L7297),$B$2:$C$1996,2,0),"")</f>
        <v/>
      </c>
      <c r="N7297" s="2" t="str">
        <f>IFERROR(VLOOKUP(ROWS($N$2:N7297),$D$2:$E$1996,2,0),"")</f>
        <v/>
      </c>
    </row>
    <row r="7298" spans="2:14">
      <c r="B7298" s="32">
        <f>IF(ISNUMBER(SEARCH('Φόρμα Εισαγωγής'!$B$2,C7298)),MAX($B$1:B7297)+1,0)</f>
        <v>0</v>
      </c>
      <c r="D7298" s="33">
        <f>IF(ISNUMBER(SEARCH('Φόρμα Εισαγωγής'!$C$2,E7298)),MAX($D$1:D7297)+1,0)</f>
        <v>0</v>
      </c>
      <c r="H7298" s="6">
        <f t="shared" si="353"/>
        <v>0</v>
      </c>
      <c r="I7298" s="6">
        <f t="shared" si="354"/>
        <v>0</v>
      </c>
      <c r="J7298" s="6">
        <f t="shared" si="355"/>
        <v>0</v>
      </c>
      <c r="L7298" s="4" t="str">
        <f>IFERROR(VLOOKUP(ROWS($L$2:L7298),$B$2:$C$1996,2,0),"")</f>
        <v/>
      </c>
      <c r="N7298" s="2" t="str">
        <f>IFERROR(VLOOKUP(ROWS($N$2:N7298),$D$2:$E$1996,2,0),"")</f>
        <v/>
      </c>
    </row>
    <row r="7299" spans="2:14">
      <c r="B7299" s="32">
        <f>IF(ISNUMBER(SEARCH('Φόρμα Εισαγωγής'!$B$2,C7299)),MAX($B$1:B7298)+1,0)</f>
        <v>0</v>
      </c>
      <c r="D7299" s="33">
        <f>IF(ISNUMBER(SEARCH('Φόρμα Εισαγωγής'!$C$2,E7299)),MAX($D$1:D7298)+1,0)</f>
        <v>0</v>
      </c>
      <c r="H7299" s="6">
        <f t="shared" si="353"/>
        <v>0</v>
      </c>
      <c r="I7299" s="6">
        <f t="shared" si="354"/>
        <v>0</v>
      </c>
      <c r="J7299" s="6">
        <f t="shared" si="355"/>
        <v>0</v>
      </c>
      <c r="L7299" s="4" t="str">
        <f>IFERROR(VLOOKUP(ROWS($L$2:L7299),$B$2:$C$1996,2,0),"")</f>
        <v/>
      </c>
      <c r="N7299" s="2" t="str">
        <f>IFERROR(VLOOKUP(ROWS($N$2:N7299),$D$2:$E$1996,2,0),"")</f>
        <v/>
      </c>
    </row>
    <row r="7300" spans="2:14">
      <c r="B7300" s="32">
        <f>IF(ISNUMBER(SEARCH('Φόρμα Εισαγωγής'!$B$2,C7300)),MAX($B$1:B7299)+1,0)</f>
        <v>0</v>
      </c>
      <c r="D7300" s="33">
        <f>IF(ISNUMBER(SEARCH('Φόρμα Εισαγωγής'!$C$2,E7300)),MAX($D$1:D7299)+1,0)</f>
        <v>0</v>
      </c>
      <c r="H7300" s="6">
        <f t="shared" si="353"/>
        <v>0</v>
      </c>
      <c r="I7300" s="6">
        <f t="shared" si="354"/>
        <v>0</v>
      </c>
      <c r="J7300" s="6">
        <f t="shared" si="355"/>
        <v>0</v>
      </c>
      <c r="L7300" s="4" t="str">
        <f>IFERROR(VLOOKUP(ROWS($L$2:L7300),$B$2:$C$1996,2,0),"")</f>
        <v/>
      </c>
      <c r="N7300" s="2" t="str">
        <f>IFERROR(VLOOKUP(ROWS($N$2:N7300),$D$2:$E$1996,2,0),"")</f>
        <v/>
      </c>
    </row>
    <row r="7301" spans="2:14">
      <c r="B7301" s="32">
        <f>IF(ISNUMBER(SEARCH('Φόρμα Εισαγωγής'!$B$2,C7301)),MAX($B$1:B7300)+1,0)</f>
        <v>0</v>
      </c>
      <c r="D7301" s="33">
        <f>IF(ISNUMBER(SEARCH('Φόρμα Εισαγωγής'!$C$2,E7301)),MAX($D$1:D7300)+1,0)</f>
        <v>0</v>
      </c>
      <c r="H7301" s="6">
        <f t="shared" si="353"/>
        <v>0</v>
      </c>
      <c r="I7301" s="6">
        <f t="shared" si="354"/>
        <v>0</v>
      </c>
      <c r="J7301" s="6">
        <f t="shared" si="355"/>
        <v>0</v>
      </c>
      <c r="L7301" s="4" t="str">
        <f>IFERROR(VLOOKUP(ROWS($L$2:L7301),$B$2:$C$1996,2,0),"")</f>
        <v/>
      </c>
      <c r="N7301" s="2" t="str">
        <f>IFERROR(VLOOKUP(ROWS($N$2:N7301),$D$2:$E$1996,2,0),"")</f>
        <v/>
      </c>
    </row>
    <row r="7302" spans="2:14">
      <c r="B7302" s="32">
        <f>IF(ISNUMBER(SEARCH('Φόρμα Εισαγωγής'!$B$2,C7302)),MAX($B$1:B7301)+1,0)</f>
        <v>0</v>
      </c>
      <c r="D7302" s="33">
        <f>IF(ISNUMBER(SEARCH('Φόρμα Εισαγωγής'!$C$2,E7302)),MAX($D$1:D7301)+1,0)</f>
        <v>0</v>
      </c>
      <c r="H7302" s="6">
        <f t="shared" si="353"/>
        <v>0</v>
      </c>
      <c r="I7302" s="6">
        <f t="shared" si="354"/>
        <v>0</v>
      </c>
      <c r="J7302" s="6">
        <f t="shared" si="355"/>
        <v>0</v>
      </c>
      <c r="L7302" s="4" t="str">
        <f>IFERROR(VLOOKUP(ROWS($L$2:L7302),$B$2:$C$1996,2,0),"")</f>
        <v/>
      </c>
      <c r="N7302" s="2" t="str">
        <f>IFERROR(VLOOKUP(ROWS($N$2:N7302),$D$2:$E$1996,2,0),"")</f>
        <v/>
      </c>
    </row>
    <row r="7303" spans="2:14">
      <c r="B7303" s="32">
        <f>IF(ISNUMBER(SEARCH('Φόρμα Εισαγωγής'!$B$2,C7303)),MAX($B$1:B7302)+1,0)</f>
        <v>0</v>
      </c>
      <c r="D7303" s="33">
        <f>IF(ISNUMBER(SEARCH('Φόρμα Εισαγωγής'!$C$2,E7303)),MAX($D$1:D7302)+1,0)</f>
        <v>0</v>
      </c>
      <c r="H7303" s="6">
        <f t="shared" si="353"/>
        <v>0</v>
      </c>
      <c r="I7303" s="6">
        <f t="shared" si="354"/>
        <v>0</v>
      </c>
      <c r="J7303" s="6">
        <f t="shared" si="355"/>
        <v>0</v>
      </c>
      <c r="L7303" s="4" t="str">
        <f>IFERROR(VLOOKUP(ROWS($L$2:L7303),$B$2:$C$1996,2,0),"")</f>
        <v/>
      </c>
      <c r="N7303" s="2" t="str">
        <f>IFERROR(VLOOKUP(ROWS($N$2:N7303),$D$2:$E$1996,2,0),"")</f>
        <v/>
      </c>
    </row>
    <row r="7304" spans="2:14">
      <c r="B7304" s="32">
        <f>IF(ISNUMBER(SEARCH('Φόρμα Εισαγωγής'!$B$2,C7304)),MAX($B$1:B7303)+1,0)</f>
        <v>0</v>
      </c>
      <c r="D7304" s="33">
        <f>IF(ISNUMBER(SEARCH('Φόρμα Εισαγωγής'!$C$2,E7304)),MAX($D$1:D7303)+1,0)</f>
        <v>0</v>
      </c>
      <c r="H7304" s="6">
        <f t="shared" si="353"/>
        <v>0</v>
      </c>
      <c r="I7304" s="6">
        <f t="shared" si="354"/>
        <v>0</v>
      </c>
      <c r="J7304" s="6">
        <f t="shared" si="355"/>
        <v>0</v>
      </c>
      <c r="L7304" s="4" t="str">
        <f>IFERROR(VLOOKUP(ROWS($L$2:L7304),$B$2:$C$1996,2,0),"")</f>
        <v/>
      </c>
      <c r="N7304" s="2" t="str">
        <f>IFERROR(VLOOKUP(ROWS($N$2:N7304),$D$2:$E$1996,2,0),"")</f>
        <v/>
      </c>
    </row>
    <row r="7305" spans="2:14">
      <c r="B7305" s="32">
        <f>IF(ISNUMBER(SEARCH('Φόρμα Εισαγωγής'!$B$2,C7305)),MAX($B$1:B7304)+1,0)</f>
        <v>0</v>
      </c>
      <c r="D7305" s="33">
        <f>IF(ISNUMBER(SEARCH('Φόρμα Εισαγωγής'!$C$2,E7305)),MAX($D$1:D7304)+1,0)</f>
        <v>0</v>
      </c>
      <c r="H7305" s="6">
        <f t="shared" si="353"/>
        <v>0</v>
      </c>
      <c r="I7305" s="6">
        <f t="shared" si="354"/>
        <v>0</v>
      </c>
      <c r="J7305" s="6">
        <f t="shared" si="355"/>
        <v>0</v>
      </c>
      <c r="L7305" s="4" t="str">
        <f>IFERROR(VLOOKUP(ROWS($L$2:L7305),$B$2:$C$1996,2,0),"")</f>
        <v/>
      </c>
      <c r="N7305" s="2" t="str">
        <f>IFERROR(VLOOKUP(ROWS($N$2:N7305),$D$2:$E$1996,2,0),"")</f>
        <v/>
      </c>
    </row>
    <row r="7306" spans="2:14">
      <c r="B7306" s="32">
        <f>IF(ISNUMBER(SEARCH('Φόρμα Εισαγωγής'!$B$2,C7306)),MAX($B$1:B7305)+1,0)</f>
        <v>0</v>
      </c>
      <c r="D7306" s="33">
        <f>IF(ISNUMBER(SEARCH('Φόρμα Εισαγωγής'!$C$2,E7306)),MAX($D$1:D7305)+1,0)</f>
        <v>0</v>
      </c>
      <c r="H7306" s="6">
        <f t="shared" si="353"/>
        <v>0</v>
      </c>
      <c r="I7306" s="6">
        <f t="shared" si="354"/>
        <v>0</v>
      </c>
      <c r="J7306" s="6">
        <f t="shared" si="355"/>
        <v>0</v>
      </c>
      <c r="L7306" s="4" t="str">
        <f>IFERROR(VLOOKUP(ROWS($L$2:L7306),$B$2:$C$1996,2,0),"")</f>
        <v/>
      </c>
      <c r="N7306" s="2" t="str">
        <f>IFERROR(VLOOKUP(ROWS($N$2:N7306),$D$2:$E$1996,2,0),"")</f>
        <v/>
      </c>
    </row>
    <row r="7307" spans="2:14">
      <c r="B7307" s="32">
        <f>IF(ISNUMBER(SEARCH('Φόρμα Εισαγωγής'!$B$2,C7307)),MAX($B$1:B7306)+1,0)</f>
        <v>0</v>
      </c>
      <c r="D7307" s="33">
        <f>IF(ISNUMBER(SEARCH('Φόρμα Εισαγωγής'!$C$2,E7307)),MAX($D$1:D7306)+1,0)</f>
        <v>0</v>
      </c>
      <c r="H7307" s="6">
        <f t="shared" si="353"/>
        <v>0</v>
      </c>
      <c r="I7307" s="6">
        <f t="shared" si="354"/>
        <v>0</v>
      </c>
      <c r="J7307" s="6">
        <f t="shared" si="355"/>
        <v>0</v>
      </c>
      <c r="L7307" s="4" t="str">
        <f>IFERROR(VLOOKUP(ROWS($L$2:L7307),$B$2:$C$1996,2,0),"")</f>
        <v/>
      </c>
      <c r="N7307" s="2" t="str">
        <f>IFERROR(VLOOKUP(ROWS($N$2:N7307),$D$2:$E$1996,2,0),"")</f>
        <v/>
      </c>
    </row>
    <row r="7308" spans="2:14">
      <c r="B7308" s="32">
        <f>IF(ISNUMBER(SEARCH('Φόρμα Εισαγωγής'!$B$2,C7308)),MAX($B$1:B7307)+1,0)</f>
        <v>0</v>
      </c>
      <c r="D7308" s="33">
        <f>IF(ISNUMBER(SEARCH('Φόρμα Εισαγωγής'!$C$2,E7308)),MAX($D$1:D7307)+1,0)</f>
        <v>0</v>
      </c>
      <c r="H7308" s="6">
        <f t="shared" si="353"/>
        <v>0</v>
      </c>
      <c r="I7308" s="6">
        <f t="shared" si="354"/>
        <v>0</v>
      </c>
      <c r="J7308" s="6">
        <f t="shared" si="355"/>
        <v>0</v>
      </c>
      <c r="L7308" s="4" t="str">
        <f>IFERROR(VLOOKUP(ROWS($L$2:L7308),$B$2:$C$1996,2,0),"")</f>
        <v/>
      </c>
      <c r="N7308" s="2" t="str">
        <f>IFERROR(VLOOKUP(ROWS($N$2:N7308),$D$2:$E$1996,2,0),"")</f>
        <v/>
      </c>
    </row>
    <row r="7309" spans="2:14">
      <c r="B7309" s="32">
        <f>IF(ISNUMBER(SEARCH('Φόρμα Εισαγωγής'!$B$2,C7309)),MAX($B$1:B7308)+1,0)</f>
        <v>0</v>
      </c>
      <c r="D7309" s="33">
        <f>IF(ISNUMBER(SEARCH('Φόρμα Εισαγωγής'!$C$2,E7309)),MAX($D$1:D7308)+1,0)</f>
        <v>0</v>
      </c>
      <c r="H7309" s="6">
        <f t="shared" si="353"/>
        <v>0</v>
      </c>
      <c r="I7309" s="6">
        <f t="shared" si="354"/>
        <v>0</v>
      </c>
      <c r="J7309" s="6">
        <f t="shared" si="355"/>
        <v>0</v>
      </c>
      <c r="L7309" s="4" t="str">
        <f>IFERROR(VLOOKUP(ROWS($L$2:L7309),$B$2:$C$1996,2,0),"")</f>
        <v/>
      </c>
      <c r="N7309" s="2" t="str">
        <f>IFERROR(VLOOKUP(ROWS($N$2:N7309),$D$2:$E$1996,2,0),"")</f>
        <v/>
      </c>
    </row>
    <row r="7310" spans="2:14">
      <c r="B7310" s="32">
        <f>IF(ISNUMBER(SEARCH('Φόρμα Εισαγωγής'!$B$2,C7310)),MAX($B$1:B7309)+1,0)</f>
        <v>0</v>
      </c>
      <c r="D7310" s="33">
        <f>IF(ISNUMBER(SEARCH('Φόρμα Εισαγωγής'!$C$2,E7310)),MAX($D$1:D7309)+1,0)</f>
        <v>0</v>
      </c>
      <c r="H7310" s="6">
        <f t="shared" si="353"/>
        <v>0</v>
      </c>
      <c r="I7310" s="6">
        <f t="shared" si="354"/>
        <v>0</v>
      </c>
      <c r="J7310" s="6">
        <f t="shared" si="355"/>
        <v>0</v>
      </c>
      <c r="L7310" s="4" t="str">
        <f>IFERROR(VLOOKUP(ROWS($L$2:L7310),$B$2:$C$1996,2,0),"")</f>
        <v/>
      </c>
      <c r="N7310" s="2" t="str">
        <f>IFERROR(VLOOKUP(ROWS($N$2:N7310),$D$2:$E$1996,2,0),"")</f>
        <v/>
      </c>
    </row>
    <row r="7311" spans="2:14">
      <c r="B7311" s="32">
        <f>IF(ISNUMBER(SEARCH('Φόρμα Εισαγωγής'!$B$2,C7311)),MAX($B$1:B7310)+1,0)</f>
        <v>0</v>
      </c>
      <c r="D7311" s="33">
        <f>IF(ISNUMBER(SEARCH('Φόρμα Εισαγωγής'!$C$2,E7311)),MAX($D$1:D7310)+1,0)</f>
        <v>0</v>
      </c>
      <c r="H7311" s="6">
        <f t="shared" si="353"/>
        <v>0</v>
      </c>
      <c r="I7311" s="6">
        <f t="shared" si="354"/>
        <v>0</v>
      </c>
      <c r="J7311" s="6">
        <f t="shared" si="355"/>
        <v>0</v>
      </c>
      <c r="L7311" s="4" t="str">
        <f>IFERROR(VLOOKUP(ROWS($L$2:L7311),$B$2:$C$1996,2,0),"")</f>
        <v/>
      </c>
      <c r="N7311" s="2" t="str">
        <f>IFERROR(VLOOKUP(ROWS($N$2:N7311),$D$2:$E$1996,2,0),"")</f>
        <v/>
      </c>
    </row>
    <row r="7312" spans="2:14">
      <c r="B7312" s="32">
        <f>IF(ISNUMBER(SEARCH('Φόρμα Εισαγωγής'!$B$2,C7312)),MAX($B$1:B7311)+1,0)</f>
        <v>0</v>
      </c>
      <c r="D7312" s="33">
        <f>IF(ISNUMBER(SEARCH('Φόρμα Εισαγωγής'!$C$2,E7312)),MAX($D$1:D7311)+1,0)</f>
        <v>0</v>
      </c>
      <c r="H7312" s="6">
        <f t="shared" si="353"/>
        <v>0</v>
      </c>
      <c r="I7312" s="6">
        <f t="shared" si="354"/>
        <v>0</v>
      </c>
      <c r="J7312" s="6">
        <f t="shared" si="355"/>
        <v>0</v>
      </c>
      <c r="L7312" s="4" t="str">
        <f>IFERROR(VLOOKUP(ROWS($L$2:L7312),$B$2:$C$1996,2,0),"")</f>
        <v/>
      </c>
      <c r="N7312" s="2" t="str">
        <f>IFERROR(VLOOKUP(ROWS($N$2:N7312),$D$2:$E$1996,2,0),"")</f>
        <v/>
      </c>
    </row>
    <row r="7313" spans="2:14">
      <c r="B7313" s="32">
        <f>IF(ISNUMBER(SEARCH('Φόρμα Εισαγωγής'!$B$2,C7313)),MAX($B$1:B7312)+1,0)</f>
        <v>0</v>
      </c>
      <c r="D7313" s="33">
        <f>IF(ISNUMBER(SEARCH('Φόρμα Εισαγωγής'!$C$2,E7313)),MAX($D$1:D7312)+1,0)</f>
        <v>0</v>
      </c>
      <c r="H7313" s="6">
        <f t="shared" si="353"/>
        <v>0</v>
      </c>
      <c r="I7313" s="6">
        <f t="shared" si="354"/>
        <v>0</v>
      </c>
      <c r="J7313" s="6">
        <f t="shared" si="355"/>
        <v>0</v>
      </c>
      <c r="L7313" s="4" t="str">
        <f>IFERROR(VLOOKUP(ROWS($L$2:L7313),$B$2:$C$1996,2,0),"")</f>
        <v/>
      </c>
      <c r="N7313" s="2" t="str">
        <f>IFERROR(VLOOKUP(ROWS($N$2:N7313),$D$2:$E$1996,2,0),"")</f>
        <v/>
      </c>
    </row>
    <row r="7314" spans="2:14">
      <c r="B7314" s="32">
        <f>IF(ISNUMBER(SEARCH('Φόρμα Εισαγωγής'!$B$2,C7314)),MAX($B$1:B7313)+1,0)</f>
        <v>0</v>
      </c>
      <c r="D7314" s="33">
        <f>IF(ISNUMBER(SEARCH('Φόρμα Εισαγωγής'!$C$2,E7314)),MAX($D$1:D7313)+1,0)</f>
        <v>0</v>
      </c>
      <c r="H7314" s="6">
        <f t="shared" si="353"/>
        <v>0</v>
      </c>
      <c r="I7314" s="6">
        <f t="shared" si="354"/>
        <v>0</v>
      </c>
      <c r="J7314" s="6">
        <f t="shared" si="355"/>
        <v>0</v>
      </c>
      <c r="L7314" s="4" t="str">
        <f>IFERROR(VLOOKUP(ROWS($L$2:L7314),$B$2:$C$1996,2,0),"")</f>
        <v/>
      </c>
      <c r="N7314" s="2" t="str">
        <f>IFERROR(VLOOKUP(ROWS($N$2:N7314),$D$2:$E$1996,2,0),"")</f>
        <v/>
      </c>
    </row>
    <row r="7315" spans="2:14">
      <c r="B7315" s="32">
        <f>IF(ISNUMBER(SEARCH('Φόρμα Εισαγωγής'!$B$2,C7315)),MAX($B$1:B7314)+1,0)</f>
        <v>0</v>
      </c>
      <c r="D7315" s="33">
        <f>IF(ISNUMBER(SEARCH('Φόρμα Εισαγωγής'!$C$2,E7315)),MAX($D$1:D7314)+1,0)</f>
        <v>0</v>
      </c>
      <c r="H7315" s="6">
        <f t="shared" si="353"/>
        <v>0</v>
      </c>
      <c r="I7315" s="6">
        <f t="shared" si="354"/>
        <v>0</v>
      </c>
      <c r="J7315" s="6">
        <f t="shared" si="355"/>
        <v>0</v>
      </c>
      <c r="L7315" s="4" t="str">
        <f>IFERROR(VLOOKUP(ROWS($L$2:L7315),$B$2:$C$1996,2,0),"")</f>
        <v/>
      </c>
      <c r="N7315" s="2" t="str">
        <f>IFERROR(VLOOKUP(ROWS($N$2:N7315),$D$2:$E$1996,2,0),"")</f>
        <v/>
      </c>
    </row>
    <row r="7316" spans="2:14">
      <c r="B7316" s="32">
        <f>IF(ISNUMBER(SEARCH('Φόρμα Εισαγωγής'!$B$2,C7316)),MAX($B$1:B7315)+1,0)</f>
        <v>0</v>
      </c>
      <c r="D7316" s="33">
        <f>IF(ISNUMBER(SEARCH('Φόρμα Εισαγωγής'!$C$2,E7316)),MAX($D$1:D7315)+1,0)</f>
        <v>0</v>
      </c>
      <c r="H7316" s="6">
        <f t="shared" si="353"/>
        <v>0</v>
      </c>
      <c r="I7316" s="6">
        <f t="shared" si="354"/>
        <v>0</v>
      </c>
      <c r="J7316" s="6">
        <f t="shared" si="355"/>
        <v>0</v>
      </c>
      <c r="L7316" s="4" t="str">
        <f>IFERROR(VLOOKUP(ROWS($L$2:L7316),$B$2:$C$1996,2,0),"")</f>
        <v/>
      </c>
      <c r="N7316" s="2" t="str">
        <f>IFERROR(VLOOKUP(ROWS($N$2:N7316),$D$2:$E$1996,2,0),"")</f>
        <v/>
      </c>
    </row>
    <row r="7317" spans="2:14">
      <c r="B7317" s="32">
        <f>IF(ISNUMBER(SEARCH('Φόρμα Εισαγωγής'!$B$2,C7317)),MAX($B$1:B7316)+1,0)</f>
        <v>0</v>
      </c>
      <c r="D7317" s="33">
        <f>IF(ISNUMBER(SEARCH('Φόρμα Εισαγωγής'!$C$2,E7317)),MAX($D$1:D7316)+1,0)</f>
        <v>0</v>
      </c>
      <c r="H7317" s="6">
        <f t="shared" si="353"/>
        <v>0</v>
      </c>
      <c r="I7317" s="6">
        <f t="shared" si="354"/>
        <v>0</v>
      </c>
      <c r="J7317" s="6">
        <f t="shared" si="355"/>
        <v>0</v>
      </c>
      <c r="L7317" s="4" t="str">
        <f>IFERROR(VLOOKUP(ROWS($L$2:L7317),$B$2:$C$1996,2,0),"")</f>
        <v/>
      </c>
      <c r="N7317" s="2" t="str">
        <f>IFERROR(VLOOKUP(ROWS($N$2:N7317),$D$2:$E$1996,2,0),"")</f>
        <v/>
      </c>
    </row>
    <row r="7318" spans="2:14">
      <c r="B7318" s="32">
        <f>IF(ISNUMBER(SEARCH('Φόρμα Εισαγωγής'!$B$2,C7318)),MAX($B$1:B7317)+1,0)</f>
        <v>0</v>
      </c>
      <c r="D7318" s="33">
        <f>IF(ISNUMBER(SEARCH('Φόρμα Εισαγωγής'!$C$2,E7318)),MAX($D$1:D7317)+1,0)</f>
        <v>0</v>
      </c>
      <c r="H7318" s="6">
        <f t="shared" si="353"/>
        <v>0</v>
      </c>
      <c r="I7318" s="6">
        <f t="shared" si="354"/>
        <v>0</v>
      </c>
      <c r="J7318" s="6">
        <f t="shared" si="355"/>
        <v>0</v>
      </c>
      <c r="L7318" s="4" t="str">
        <f>IFERROR(VLOOKUP(ROWS($L$2:L7318),$B$2:$C$1996,2,0),"")</f>
        <v/>
      </c>
      <c r="N7318" s="2" t="str">
        <f>IFERROR(VLOOKUP(ROWS($N$2:N7318),$D$2:$E$1996,2,0),"")</f>
        <v/>
      </c>
    </row>
    <row r="7319" spans="2:14">
      <c r="B7319" s="32">
        <f>IF(ISNUMBER(SEARCH('Φόρμα Εισαγωγής'!$B$2,C7319)),MAX($B$1:B7318)+1,0)</f>
        <v>0</v>
      </c>
      <c r="D7319" s="33">
        <f>IF(ISNUMBER(SEARCH('Φόρμα Εισαγωγής'!$C$2,E7319)),MAX($D$1:D7318)+1,0)</f>
        <v>0</v>
      </c>
      <c r="H7319" s="6">
        <f t="shared" si="353"/>
        <v>0</v>
      </c>
      <c r="I7319" s="6">
        <f t="shared" si="354"/>
        <v>0</v>
      </c>
      <c r="J7319" s="6">
        <f t="shared" si="355"/>
        <v>0</v>
      </c>
      <c r="L7319" s="4" t="str">
        <f>IFERROR(VLOOKUP(ROWS($L$2:L7319),$B$2:$C$1996,2,0),"")</f>
        <v/>
      </c>
      <c r="N7319" s="2" t="str">
        <f>IFERROR(VLOOKUP(ROWS($N$2:N7319),$D$2:$E$1996,2,0),"")</f>
        <v/>
      </c>
    </row>
    <row r="7320" spans="2:14">
      <c r="B7320" s="32">
        <f>IF(ISNUMBER(SEARCH('Φόρμα Εισαγωγής'!$B$2,C7320)),MAX($B$1:B7319)+1,0)</f>
        <v>0</v>
      </c>
      <c r="D7320" s="33">
        <f>IF(ISNUMBER(SEARCH('Φόρμα Εισαγωγής'!$C$2,E7320)),MAX($D$1:D7319)+1,0)</f>
        <v>0</v>
      </c>
      <c r="H7320" s="6">
        <f t="shared" si="353"/>
        <v>0</v>
      </c>
      <c r="I7320" s="6">
        <f t="shared" si="354"/>
        <v>0</v>
      </c>
      <c r="J7320" s="6">
        <f t="shared" si="355"/>
        <v>0</v>
      </c>
      <c r="L7320" s="4" t="str">
        <f>IFERROR(VLOOKUP(ROWS($L$2:L7320),$B$2:$C$1996,2,0),"")</f>
        <v/>
      </c>
      <c r="N7320" s="2" t="str">
        <f>IFERROR(VLOOKUP(ROWS($N$2:N7320),$D$2:$E$1996,2,0),"")</f>
        <v/>
      </c>
    </row>
    <row r="7321" spans="2:14">
      <c r="B7321" s="32">
        <f>IF(ISNUMBER(SEARCH('Φόρμα Εισαγωγής'!$B$2,C7321)),MAX($B$1:B7320)+1,0)</f>
        <v>0</v>
      </c>
      <c r="D7321" s="33">
        <f>IF(ISNUMBER(SEARCH('Φόρμα Εισαγωγής'!$C$2,E7321)),MAX($D$1:D7320)+1,0)</f>
        <v>0</v>
      </c>
      <c r="H7321" s="6">
        <f t="shared" si="353"/>
        <v>0</v>
      </c>
      <c r="I7321" s="6">
        <f t="shared" si="354"/>
        <v>0</v>
      </c>
      <c r="J7321" s="6">
        <f t="shared" si="355"/>
        <v>0</v>
      </c>
      <c r="L7321" s="4" t="str">
        <f>IFERROR(VLOOKUP(ROWS($L$2:L7321),$B$2:$C$1996,2,0),"")</f>
        <v/>
      </c>
      <c r="N7321" s="2" t="str">
        <f>IFERROR(VLOOKUP(ROWS($N$2:N7321),$D$2:$E$1996,2,0),"")</f>
        <v/>
      </c>
    </row>
    <row r="7322" spans="2:14">
      <c r="B7322" s="32">
        <f>IF(ISNUMBER(SEARCH('Φόρμα Εισαγωγής'!$B$2,C7322)),MAX($B$1:B7321)+1,0)</f>
        <v>0</v>
      </c>
      <c r="D7322" s="33">
        <f>IF(ISNUMBER(SEARCH('Φόρμα Εισαγωγής'!$C$2,E7322)),MAX($D$1:D7321)+1,0)</f>
        <v>0</v>
      </c>
      <c r="H7322" s="6">
        <f t="shared" si="353"/>
        <v>0</v>
      </c>
      <c r="I7322" s="6">
        <f t="shared" si="354"/>
        <v>0</v>
      </c>
      <c r="J7322" s="6">
        <f t="shared" si="355"/>
        <v>0</v>
      </c>
      <c r="L7322" s="4" t="str">
        <f>IFERROR(VLOOKUP(ROWS($L$2:L7322),$B$2:$C$1996,2,0),"")</f>
        <v/>
      </c>
      <c r="N7322" s="2" t="str">
        <f>IFERROR(VLOOKUP(ROWS($N$2:N7322),$D$2:$E$1996,2,0),"")</f>
        <v/>
      </c>
    </row>
    <row r="7323" spans="2:14">
      <c r="B7323" s="32">
        <f>IF(ISNUMBER(SEARCH('Φόρμα Εισαγωγής'!$B$2,C7323)),MAX($B$1:B7322)+1,0)</f>
        <v>0</v>
      </c>
      <c r="D7323" s="33">
        <f>IF(ISNUMBER(SEARCH('Φόρμα Εισαγωγής'!$C$2,E7323)),MAX($D$1:D7322)+1,0)</f>
        <v>0</v>
      </c>
      <c r="H7323" s="6">
        <f t="shared" si="353"/>
        <v>0</v>
      </c>
      <c r="I7323" s="6">
        <f t="shared" si="354"/>
        <v>0</v>
      </c>
      <c r="J7323" s="6">
        <f t="shared" si="355"/>
        <v>0</v>
      </c>
      <c r="L7323" s="4" t="str">
        <f>IFERROR(VLOOKUP(ROWS($L$2:L7323),$B$2:$C$1996,2,0),"")</f>
        <v/>
      </c>
      <c r="N7323" s="2" t="str">
        <f>IFERROR(VLOOKUP(ROWS($N$2:N7323),$D$2:$E$1996,2,0),"")</f>
        <v/>
      </c>
    </row>
    <row r="7324" spans="2:14">
      <c r="B7324" s="32">
        <f>IF(ISNUMBER(SEARCH('Φόρμα Εισαγωγής'!$B$2,C7324)),MAX($B$1:B7323)+1,0)</f>
        <v>0</v>
      </c>
      <c r="D7324" s="33">
        <f>IF(ISNUMBER(SEARCH('Φόρμα Εισαγωγής'!$C$2,E7324)),MAX($D$1:D7323)+1,0)</f>
        <v>0</v>
      </c>
      <c r="H7324" s="6">
        <f t="shared" si="353"/>
        <v>0</v>
      </c>
      <c r="I7324" s="6">
        <f t="shared" si="354"/>
        <v>0</v>
      </c>
      <c r="J7324" s="6">
        <f t="shared" si="355"/>
        <v>0</v>
      </c>
      <c r="L7324" s="4" t="str">
        <f>IFERROR(VLOOKUP(ROWS($L$2:L7324),$B$2:$C$1996,2,0),"")</f>
        <v/>
      </c>
      <c r="N7324" s="2" t="str">
        <f>IFERROR(VLOOKUP(ROWS($N$2:N7324),$D$2:$E$1996,2,0),"")</f>
        <v/>
      </c>
    </row>
    <row r="7325" spans="2:14">
      <c r="B7325" s="32">
        <f>IF(ISNUMBER(SEARCH('Φόρμα Εισαγωγής'!$B$2,C7325)),MAX($B$1:B7324)+1,0)</f>
        <v>0</v>
      </c>
      <c r="D7325" s="33">
        <f>IF(ISNUMBER(SEARCH('Φόρμα Εισαγωγής'!$C$2,E7325)),MAX($D$1:D7324)+1,0)</f>
        <v>0</v>
      </c>
      <c r="H7325" s="6">
        <f t="shared" si="353"/>
        <v>0</v>
      </c>
      <c r="I7325" s="6">
        <f t="shared" si="354"/>
        <v>0</v>
      </c>
      <c r="J7325" s="6">
        <f t="shared" si="355"/>
        <v>0</v>
      </c>
      <c r="L7325" s="4" t="str">
        <f>IFERROR(VLOOKUP(ROWS($L$2:L7325),$B$2:$C$1996,2,0),"")</f>
        <v/>
      </c>
      <c r="N7325" s="2" t="str">
        <f>IFERROR(VLOOKUP(ROWS($N$2:N7325),$D$2:$E$1996,2,0),"")</f>
        <v/>
      </c>
    </row>
    <row r="7326" spans="2:14">
      <c r="B7326" s="32">
        <f>IF(ISNUMBER(SEARCH('Φόρμα Εισαγωγής'!$B$2,C7326)),MAX($B$1:B7325)+1,0)</f>
        <v>0</v>
      </c>
      <c r="D7326" s="33">
        <f>IF(ISNUMBER(SEARCH('Φόρμα Εισαγωγής'!$C$2,E7326)),MAX($D$1:D7325)+1,0)</f>
        <v>0</v>
      </c>
      <c r="H7326" s="6">
        <f t="shared" si="353"/>
        <v>0</v>
      </c>
      <c r="I7326" s="6">
        <f t="shared" si="354"/>
        <v>0</v>
      </c>
      <c r="J7326" s="6">
        <f t="shared" si="355"/>
        <v>0</v>
      </c>
      <c r="L7326" s="4" t="str">
        <f>IFERROR(VLOOKUP(ROWS($L$2:L7326),$B$2:$C$1996,2,0),"")</f>
        <v/>
      </c>
      <c r="N7326" s="2" t="str">
        <f>IFERROR(VLOOKUP(ROWS($N$2:N7326),$D$2:$E$1996,2,0),"")</f>
        <v/>
      </c>
    </row>
    <row r="7327" spans="2:14">
      <c r="B7327" s="32">
        <f>IF(ISNUMBER(SEARCH('Φόρμα Εισαγωγής'!$B$2,C7327)),MAX($B$1:B7326)+1,0)</f>
        <v>0</v>
      </c>
      <c r="D7327" s="33">
        <f>IF(ISNUMBER(SEARCH('Φόρμα Εισαγωγής'!$C$2,E7327)),MAX($D$1:D7326)+1,0)</f>
        <v>0</v>
      </c>
      <c r="H7327" s="6">
        <f t="shared" si="353"/>
        <v>0</v>
      </c>
      <c r="I7327" s="6">
        <f t="shared" si="354"/>
        <v>0</v>
      </c>
      <c r="J7327" s="6">
        <f t="shared" si="355"/>
        <v>0</v>
      </c>
      <c r="L7327" s="4" t="str">
        <f>IFERROR(VLOOKUP(ROWS($L$2:L7327),$B$2:$C$1996,2,0),"")</f>
        <v/>
      </c>
      <c r="N7327" s="2" t="str">
        <f>IFERROR(VLOOKUP(ROWS($N$2:N7327),$D$2:$E$1996,2,0),"")</f>
        <v/>
      </c>
    </row>
    <row r="7328" spans="2:14">
      <c r="B7328" s="32">
        <f>IF(ISNUMBER(SEARCH('Φόρμα Εισαγωγής'!$B$2,C7328)),MAX($B$1:B7327)+1,0)</f>
        <v>0</v>
      </c>
      <c r="D7328" s="33">
        <f>IF(ISNUMBER(SEARCH('Φόρμα Εισαγωγής'!$C$2,E7328)),MAX($D$1:D7327)+1,0)</f>
        <v>0</v>
      </c>
      <c r="H7328" s="6">
        <f t="shared" si="353"/>
        <v>0</v>
      </c>
      <c r="I7328" s="6">
        <f t="shared" si="354"/>
        <v>0</v>
      </c>
      <c r="J7328" s="6">
        <f t="shared" si="355"/>
        <v>0</v>
      </c>
      <c r="L7328" s="4" t="str">
        <f>IFERROR(VLOOKUP(ROWS($L$2:L7328),$B$2:$C$1996,2,0),"")</f>
        <v/>
      </c>
      <c r="N7328" s="2" t="str">
        <f>IFERROR(VLOOKUP(ROWS($N$2:N7328),$D$2:$E$1996,2,0),"")</f>
        <v/>
      </c>
    </row>
    <row r="7329" spans="2:14">
      <c r="B7329" s="32">
        <f>IF(ISNUMBER(SEARCH('Φόρμα Εισαγωγής'!$B$2,C7329)),MAX($B$1:B7328)+1,0)</f>
        <v>0</v>
      </c>
      <c r="D7329" s="33">
        <f>IF(ISNUMBER(SEARCH('Φόρμα Εισαγωγής'!$C$2,E7329)),MAX($D$1:D7328)+1,0)</f>
        <v>0</v>
      </c>
      <c r="H7329" s="6">
        <f t="shared" si="353"/>
        <v>0</v>
      </c>
      <c r="I7329" s="6">
        <f t="shared" si="354"/>
        <v>0</v>
      </c>
      <c r="J7329" s="6">
        <f t="shared" si="355"/>
        <v>0</v>
      </c>
      <c r="L7329" s="4" t="str">
        <f>IFERROR(VLOOKUP(ROWS($L$2:L7329),$B$2:$C$1996,2,0),"")</f>
        <v/>
      </c>
      <c r="N7329" s="2" t="str">
        <f>IFERROR(VLOOKUP(ROWS($N$2:N7329),$D$2:$E$1996,2,0),"")</f>
        <v/>
      </c>
    </row>
    <row r="7330" spans="2:14">
      <c r="B7330" s="32">
        <f>IF(ISNUMBER(SEARCH('Φόρμα Εισαγωγής'!$B$2,C7330)),MAX($B$1:B7329)+1,0)</f>
        <v>0</v>
      </c>
      <c r="D7330" s="33">
        <f>IF(ISNUMBER(SEARCH('Φόρμα Εισαγωγής'!$C$2,E7330)),MAX($D$1:D7329)+1,0)</f>
        <v>0</v>
      </c>
      <c r="H7330" s="6">
        <f t="shared" si="353"/>
        <v>0</v>
      </c>
      <c r="I7330" s="6">
        <f t="shared" si="354"/>
        <v>0</v>
      </c>
      <c r="J7330" s="6">
        <f t="shared" si="355"/>
        <v>0</v>
      </c>
      <c r="L7330" s="4" t="str">
        <f>IFERROR(VLOOKUP(ROWS($L$2:L7330),$B$2:$C$1996,2,0),"")</f>
        <v/>
      </c>
      <c r="N7330" s="2" t="str">
        <f>IFERROR(VLOOKUP(ROWS($N$2:N7330),$D$2:$E$1996,2,0),"")</f>
        <v/>
      </c>
    </row>
    <row r="7331" spans="2:14">
      <c r="B7331" s="32">
        <f>IF(ISNUMBER(SEARCH('Φόρμα Εισαγωγής'!$B$2,C7331)),MAX($B$1:B7330)+1,0)</f>
        <v>0</v>
      </c>
      <c r="D7331" s="33">
        <f>IF(ISNUMBER(SEARCH('Φόρμα Εισαγωγής'!$C$2,E7331)),MAX($D$1:D7330)+1,0)</f>
        <v>0</v>
      </c>
      <c r="H7331" s="6">
        <f t="shared" si="353"/>
        <v>0</v>
      </c>
      <c r="I7331" s="6">
        <f t="shared" si="354"/>
        <v>0</v>
      </c>
      <c r="J7331" s="6">
        <f t="shared" si="355"/>
        <v>0</v>
      </c>
      <c r="L7331" s="4" t="str">
        <f>IFERROR(VLOOKUP(ROWS($L$2:L7331),$B$2:$C$1996,2,0),"")</f>
        <v/>
      </c>
      <c r="N7331" s="2" t="str">
        <f>IFERROR(VLOOKUP(ROWS($N$2:N7331),$D$2:$E$1996,2,0),"")</f>
        <v/>
      </c>
    </row>
    <row r="7332" spans="2:14">
      <c r="B7332" s="32">
        <f>IF(ISNUMBER(SEARCH('Φόρμα Εισαγωγής'!$B$2,C7332)),MAX($B$1:B7331)+1,0)</f>
        <v>0</v>
      </c>
      <c r="D7332" s="33">
        <f>IF(ISNUMBER(SEARCH('Φόρμα Εισαγωγής'!$C$2,E7332)),MAX($D$1:D7331)+1,0)</f>
        <v>0</v>
      </c>
      <c r="H7332" s="6">
        <f t="shared" si="353"/>
        <v>0</v>
      </c>
      <c r="I7332" s="6">
        <f t="shared" si="354"/>
        <v>0</v>
      </c>
      <c r="J7332" s="6">
        <f t="shared" si="355"/>
        <v>0</v>
      </c>
      <c r="L7332" s="4" t="str">
        <f>IFERROR(VLOOKUP(ROWS($L$2:L7332),$B$2:$C$1996,2,0),"")</f>
        <v/>
      </c>
      <c r="N7332" s="2" t="str">
        <f>IFERROR(VLOOKUP(ROWS($N$2:N7332),$D$2:$E$1996,2,0),"")</f>
        <v/>
      </c>
    </row>
    <row r="7333" spans="2:14">
      <c r="B7333" s="32">
        <f>IF(ISNUMBER(SEARCH('Φόρμα Εισαγωγής'!$B$2,C7333)),MAX($B$1:B7332)+1,0)</f>
        <v>0</v>
      </c>
      <c r="D7333" s="33">
        <f>IF(ISNUMBER(SEARCH('Φόρμα Εισαγωγής'!$C$2,E7333)),MAX($D$1:D7332)+1,0)</f>
        <v>0</v>
      </c>
      <c r="H7333" s="6">
        <f t="shared" si="353"/>
        <v>0</v>
      </c>
      <c r="I7333" s="6">
        <f t="shared" si="354"/>
        <v>0</v>
      </c>
      <c r="J7333" s="6">
        <f t="shared" si="355"/>
        <v>0</v>
      </c>
      <c r="L7333" s="4" t="str">
        <f>IFERROR(VLOOKUP(ROWS($L$2:L7333),$B$2:$C$1996,2,0),"")</f>
        <v/>
      </c>
      <c r="N7333" s="2" t="str">
        <f>IFERROR(VLOOKUP(ROWS($N$2:N7333),$D$2:$E$1996,2,0),"")</f>
        <v/>
      </c>
    </row>
    <row r="7334" spans="2:14">
      <c r="B7334" s="32">
        <f>IF(ISNUMBER(SEARCH('Φόρμα Εισαγωγής'!$B$2,C7334)),MAX($B$1:B7333)+1,0)</f>
        <v>0</v>
      </c>
      <c r="D7334" s="33">
        <f>IF(ISNUMBER(SEARCH('Φόρμα Εισαγωγής'!$C$2,E7334)),MAX($D$1:D7333)+1,0)</f>
        <v>0</v>
      </c>
      <c r="H7334" s="6">
        <f t="shared" si="353"/>
        <v>0</v>
      </c>
      <c r="I7334" s="6">
        <f t="shared" si="354"/>
        <v>0</v>
      </c>
      <c r="J7334" s="6">
        <f t="shared" si="355"/>
        <v>0</v>
      </c>
      <c r="L7334" s="4" t="str">
        <f>IFERROR(VLOOKUP(ROWS($L$2:L7334),$B$2:$C$1996,2,0),"")</f>
        <v/>
      </c>
      <c r="N7334" s="2" t="str">
        <f>IFERROR(VLOOKUP(ROWS($N$2:N7334),$D$2:$E$1996,2,0),"")</f>
        <v/>
      </c>
    </row>
    <row r="7335" spans="2:14">
      <c r="B7335" s="32">
        <f>IF(ISNUMBER(SEARCH('Φόρμα Εισαγωγής'!$B$2,C7335)),MAX($B$1:B7334)+1,0)</f>
        <v>0</v>
      </c>
      <c r="D7335" s="33">
        <f>IF(ISNUMBER(SEARCH('Φόρμα Εισαγωγής'!$C$2,E7335)),MAX($D$1:D7334)+1,0)</f>
        <v>0</v>
      </c>
      <c r="H7335" s="6">
        <f t="shared" si="353"/>
        <v>0</v>
      </c>
      <c r="I7335" s="6">
        <f t="shared" si="354"/>
        <v>0</v>
      </c>
      <c r="J7335" s="6">
        <f t="shared" si="355"/>
        <v>0</v>
      </c>
      <c r="L7335" s="4" t="str">
        <f>IFERROR(VLOOKUP(ROWS($L$2:L7335),$B$2:$C$1996,2,0),"")</f>
        <v/>
      </c>
      <c r="N7335" s="2" t="str">
        <f>IFERROR(VLOOKUP(ROWS($N$2:N7335),$D$2:$E$1996,2,0),"")</f>
        <v/>
      </c>
    </row>
    <row r="7336" spans="2:14">
      <c r="B7336" s="32">
        <f>IF(ISNUMBER(SEARCH('Φόρμα Εισαγωγής'!$B$2,C7336)),MAX($B$1:B7335)+1,0)</f>
        <v>0</v>
      </c>
      <c r="D7336" s="33">
        <f>IF(ISNUMBER(SEARCH('Φόρμα Εισαγωγής'!$C$2,E7336)),MAX($D$1:D7335)+1,0)</f>
        <v>0</v>
      </c>
      <c r="H7336" s="6">
        <f t="shared" si="353"/>
        <v>0</v>
      </c>
      <c r="I7336" s="6">
        <f t="shared" si="354"/>
        <v>0</v>
      </c>
      <c r="J7336" s="6">
        <f t="shared" si="355"/>
        <v>0</v>
      </c>
      <c r="L7336" s="4" t="str">
        <f>IFERROR(VLOOKUP(ROWS($L$2:L7336),$B$2:$C$1996,2,0),"")</f>
        <v/>
      </c>
      <c r="N7336" s="2" t="str">
        <f>IFERROR(VLOOKUP(ROWS($N$2:N7336),$D$2:$E$1996,2,0),"")</f>
        <v/>
      </c>
    </row>
    <row r="7337" spans="2:14">
      <c r="B7337" s="32">
        <f>IF(ISNUMBER(SEARCH('Φόρμα Εισαγωγής'!$B$2,C7337)),MAX($B$1:B7336)+1,0)</f>
        <v>0</v>
      </c>
      <c r="D7337" s="33">
        <f>IF(ISNUMBER(SEARCH('Φόρμα Εισαγωγής'!$C$2,E7337)),MAX($D$1:D7336)+1,0)</f>
        <v>0</v>
      </c>
      <c r="H7337" s="6">
        <f t="shared" si="353"/>
        <v>0</v>
      </c>
      <c r="I7337" s="6">
        <f t="shared" si="354"/>
        <v>0</v>
      </c>
      <c r="J7337" s="6">
        <f t="shared" si="355"/>
        <v>0</v>
      </c>
      <c r="L7337" s="4" t="str">
        <f>IFERROR(VLOOKUP(ROWS($L$2:L7337),$B$2:$C$1996,2,0),"")</f>
        <v/>
      </c>
      <c r="N7337" s="2" t="str">
        <f>IFERROR(VLOOKUP(ROWS($N$2:N7337),$D$2:$E$1996,2,0),"")</f>
        <v/>
      </c>
    </row>
    <row r="7338" spans="2:14">
      <c r="B7338" s="32">
        <f>IF(ISNUMBER(SEARCH('Φόρμα Εισαγωγής'!$B$2,C7338)),MAX($B$1:B7337)+1,0)</f>
        <v>0</v>
      </c>
      <c r="D7338" s="33">
        <f>IF(ISNUMBER(SEARCH('Φόρμα Εισαγωγής'!$C$2,E7338)),MAX($D$1:D7337)+1,0)</f>
        <v>0</v>
      </c>
      <c r="H7338" s="6">
        <f t="shared" si="353"/>
        <v>0</v>
      </c>
      <c r="I7338" s="6">
        <f t="shared" si="354"/>
        <v>0</v>
      </c>
      <c r="J7338" s="6">
        <f t="shared" si="355"/>
        <v>0</v>
      </c>
      <c r="L7338" s="4" t="str">
        <f>IFERROR(VLOOKUP(ROWS($L$2:L7338),$B$2:$C$1996,2,0),"")</f>
        <v/>
      </c>
      <c r="N7338" s="2" t="str">
        <f>IFERROR(VLOOKUP(ROWS($N$2:N7338),$D$2:$E$1996,2,0),"")</f>
        <v/>
      </c>
    </row>
    <row r="7339" spans="2:14">
      <c r="B7339" s="32">
        <f>IF(ISNUMBER(SEARCH('Φόρμα Εισαγωγής'!$B$2,C7339)),MAX($B$1:B7338)+1,0)</f>
        <v>0</v>
      </c>
      <c r="D7339" s="33">
        <f>IF(ISNUMBER(SEARCH('Φόρμα Εισαγωγής'!$C$2,E7339)),MAX($D$1:D7338)+1,0)</f>
        <v>0</v>
      </c>
      <c r="H7339" s="6">
        <f t="shared" si="353"/>
        <v>0</v>
      </c>
      <c r="I7339" s="6">
        <f t="shared" si="354"/>
        <v>0</v>
      </c>
      <c r="J7339" s="6">
        <f t="shared" si="355"/>
        <v>0</v>
      </c>
      <c r="L7339" s="4" t="str">
        <f>IFERROR(VLOOKUP(ROWS($L$2:L7339),$B$2:$C$1996,2,0),"")</f>
        <v/>
      </c>
      <c r="N7339" s="2" t="str">
        <f>IFERROR(VLOOKUP(ROWS($N$2:N7339),$D$2:$E$1996,2,0),"")</f>
        <v/>
      </c>
    </row>
    <row r="7340" spans="2:14">
      <c r="B7340" s="32">
        <f>IF(ISNUMBER(SEARCH('Φόρμα Εισαγωγής'!$B$2,C7340)),MAX($B$1:B7339)+1,0)</f>
        <v>0</v>
      </c>
      <c r="D7340" s="33">
        <f>IF(ISNUMBER(SEARCH('Φόρμα Εισαγωγής'!$C$2,E7340)),MAX($D$1:D7339)+1,0)</f>
        <v>0</v>
      </c>
      <c r="H7340" s="6">
        <f t="shared" si="353"/>
        <v>0</v>
      </c>
      <c r="I7340" s="6">
        <f t="shared" si="354"/>
        <v>0</v>
      </c>
      <c r="J7340" s="6">
        <f t="shared" si="355"/>
        <v>0</v>
      </c>
      <c r="L7340" s="4" t="str">
        <f>IFERROR(VLOOKUP(ROWS($L$2:L7340),$B$2:$C$1996,2,0),"")</f>
        <v/>
      </c>
      <c r="N7340" s="2" t="str">
        <f>IFERROR(VLOOKUP(ROWS($N$2:N7340),$D$2:$E$1996,2,0),"")</f>
        <v/>
      </c>
    </row>
    <row r="7341" spans="2:14">
      <c r="B7341" s="32">
        <f>IF(ISNUMBER(SEARCH('Φόρμα Εισαγωγής'!$B$2,C7341)),MAX($B$1:B7340)+1,0)</f>
        <v>0</v>
      </c>
      <c r="D7341" s="33">
        <f>IF(ISNUMBER(SEARCH('Φόρμα Εισαγωγής'!$C$2,E7341)),MAX($D$1:D7340)+1,0)</f>
        <v>0</v>
      </c>
      <c r="H7341" s="6">
        <f t="shared" si="353"/>
        <v>0</v>
      </c>
      <c r="I7341" s="6">
        <f t="shared" si="354"/>
        <v>0</v>
      </c>
      <c r="J7341" s="6">
        <f t="shared" si="355"/>
        <v>0</v>
      </c>
      <c r="L7341" s="4" t="str">
        <f>IFERROR(VLOOKUP(ROWS($L$2:L7341),$B$2:$C$1996,2,0),"")</f>
        <v/>
      </c>
      <c r="N7341" s="2" t="str">
        <f>IFERROR(VLOOKUP(ROWS($N$2:N7341),$D$2:$E$1996,2,0),"")</f>
        <v/>
      </c>
    </row>
    <row r="7342" spans="2:14">
      <c r="B7342" s="32">
        <f>IF(ISNUMBER(SEARCH('Φόρμα Εισαγωγής'!$B$2,C7342)),MAX($B$1:B7341)+1,0)</f>
        <v>0</v>
      </c>
      <c r="D7342" s="33">
        <f>IF(ISNUMBER(SEARCH('Φόρμα Εισαγωγής'!$C$2,E7342)),MAX($D$1:D7341)+1,0)</f>
        <v>0</v>
      </c>
      <c r="H7342" s="6">
        <f t="shared" si="353"/>
        <v>0</v>
      </c>
      <c r="I7342" s="6">
        <f t="shared" si="354"/>
        <v>0</v>
      </c>
      <c r="J7342" s="6">
        <f t="shared" si="355"/>
        <v>0</v>
      </c>
      <c r="L7342" s="4" t="str">
        <f>IFERROR(VLOOKUP(ROWS($L$2:L7342),$B$2:$C$1996,2,0),"")</f>
        <v/>
      </c>
      <c r="N7342" s="2" t="str">
        <f>IFERROR(VLOOKUP(ROWS($N$2:N7342),$D$2:$E$1996,2,0),"")</f>
        <v/>
      </c>
    </row>
    <row r="7343" spans="2:14">
      <c r="B7343" s="32">
        <f>IF(ISNUMBER(SEARCH('Φόρμα Εισαγωγής'!$B$2,C7343)),MAX($B$1:B7342)+1,0)</f>
        <v>0</v>
      </c>
      <c r="D7343" s="33">
        <f>IF(ISNUMBER(SEARCH('Φόρμα Εισαγωγής'!$C$2,E7343)),MAX($D$1:D7342)+1,0)</f>
        <v>0</v>
      </c>
      <c r="H7343" s="6">
        <f t="shared" si="353"/>
        <v>0</v>
      </c>
      <c r="I7343" s="6">
        <f t="shared" si="354"/>
        <v>0</v>
      </c>
      <c r="J7343" s="6">
        <f t="shared" si="355"/>
        <v>0</v>
      </c>
      <c r="L7343" s="4" t="str">
        <f>IFERROR(VLOOKUP(ROWS($L$2:L7343),$B$2:$C$1996,2,0),"")</f>
        <v/>
      </c>
      <c r="N7343" s="2" t="str">
        <f>IFERROR(VLOOKUP(ROWS($N$2:N7343),$D$2:$E$1996,2,0),"")</f>
        <v/>
      </c>
    </row>
    <row r="7344" spans="2:14">
      <c r="B7344" s="32">
        <f>IF(ISNUMBER(SEARCH('Φόρμα Εισαγωγής'!$B$2,C7344)),MAX($B$1:B7343)+1,0)</f>
        <v>0</v>
      </c>
      <c r="D7344" s="33">
        <f>IF(ISNUMBER(SEARCH('Φόρμα Εισαγωγής'!$C$2,E7344)),MAX($D$1:D7343)+1,0)</f>
        <v>0</v>
      </c>
      <c r="H7344" s="6">
        <f t="shared" si="353"/>
        <v>0</v>
      </c>
      <c r="I7344" s="6">
        <f t="shared" si="354"/>
        <v>0</v>
      </c>
      <c r="J7344" s="6">
        <f t="shared" si="355"/>
        <v>0</v>
      </c>
      <c r="L7344" s="4" t="str">
        <f>IFERROR(VLOOKUP(ROWS($L$2:L7344),$B$2:$C$1996,2,0),"")</f>
        <v/>
      </c>
      <c r="N7344" s="2" t="str">
        <f>IFERROR(VLOOKUP(ROWS($N$2:N7344),$D$2:$E$1996,2,0),"")</f>
        <v/>
      </c>
    </row>
    <row r="7345" spans="2:14">
      <c r="B7345" s="32">
        <f>IF(ISNUMBER(SEARCH('Φόρμα Εισαγωγής'!$B$2,C7345)),MAX($B$1:B7344)+1,0)</f>
        <v>0</v>
      </c>
      <c r="D7345" s="33">
        <f>IF(ISNUMBER(SEARCH('Φόρμα Εισαγωγής'!$C$2,E7345)),MAX($D$1:D7344)+1,0)</f>
        <v>0</v>
      </c>
      <c r="H7345" s="6">
        <f t="shared" si="353"/>
        <v>0</v>
      </c>
      <c r="I7345" s="6">
        <f t="shared" si="354"/>
        <v>0</v>
      </c>
      <c r="J7345" s="6">
        <f t="shared" si="355"/>
        <v>0</v>
      </c>
      <c r="L7345" s="4" t="str">
        <f>IFERROR(VLOOKUP(ROWS($L$2:L7345),$B$2:$C$1996,2,0),"")</f>
        <v/>
      </c>
      <c r="N7345" s="2" t="str">
        <f>IFERROR(VLOOKUP(ROWS($N$2:N7345),$D$2:$E$1996,2,0),"")</f>
        <v/>
      </c>
    </row>
    <row r="7346" spans="2:14">
      <c r="B7346" s="32">
        <f>IF(ISNUMBER(SEARCH('Φόρμα Εισαγωγής'!$B$2,C7346)),MAX($B$1:B7345)+1,0)</f>
        <v>0</v>
      </c>
      <c r="D7346" s="33">
        <f>IF(ISNUMBER(SEARCH('Φόρμα Εισαγωγής'!$C$2,E7346)),MAX($D$1:D7345)+1,0)</f>
        <v>0</v>
      </c>
      <c r="H7346" s="6">
        <f t="shared" si="353"/>
        <v>0</v>
      </c>
      <c r="I7346" s="6">
        <f t="shared" si="354"/>
        <v>0</v>
      </c>
      <c r="J7346" s="6">
        <f t="shared" si="355"/>
        <v>0</v>
      </c>
      <c r="L7346" s="4" t="str">
        <f>IFERROR(VLOOKUP(ROWS($L$2:L7346),$B$2:$C$1996,2,0),"")</f>
        <v/>
      </c>
      <c r="N7346" s="2" t="str">
        <f>IFERROR(VLOOKUP(ROWS($N$2:N7346),$D$2:$E$1996,2,0),"")</f>
        <v/>
      </c>
    </row>
    <row r="7347" spans="2:14">
      <c r="B7347" s="32">
        <f>IF(ISNUMBER(SEARCH('Φόρμα Εισαγωγής'!$B$2,C7347)),MAX($B$1:B7346)+1,0)</f>
        <v>0</v>
      </c>
      <c r="D7347" s="33">
        <f>IF(ISNUMBER(SEARCH('Φόρμα Εισαγωγής'!$C$2,E7347)),MAX($D$1:D7346)+1,0)</f>
        <v>0</v>
      </c>
      <c r="H7347" s="6">
        <f t="shared" si="353"/>
        <v>0</v>
      </c>
      <c r="I7347" s="6">
        <f t="shared" si="354"/>
        <v>0</v>
      </c>
      <c r="J7347" s="6">
        <f t="shared" si="355"/>
        <v>0</v>
      </c>
      <c r="L7347" s="4" t="str">
        <f>IFERROR(VLOOKUP(ROWS($L$2:L7347),$B$2:$C$1996,2,0),"")</f>
        <v/>
      </c>
      <c r="N7347" s="2" t="str">
        <f>IFERROR(VLOOKUP(ROWS($N$2:N7347),$D$2:$E$1996,2,0),"")</f>
        <v/>
      </c>
    </row>
    <row r="7348" spans="2:14">
      <c r="B7348" s="32">
        <f>IF(ISNUMBER(SEARCH('Φόρμα Εισαγωγής'!$B$2,C7348)),MAX($B$1:B7347)+1,0)</f>
        <v>0</v>
      </c>
      <c r="D7348" s="33">
        <f>IF(ISNUMBER(SEARCH('Φόρμα Εισαγωγής'!$C$2,E7348)),MAX($D$1:D7347)+1,0)</f>
        <v>0</v>
      </c>
      <c r="H7348" s="6">
        <f t="shared" si="353"/>
        <v>0</v>
      </c>
      <c r="I7348" s="6">
        <f t="shared" si="354"/>
        <v>0</v>
      </c>
      <c r="J7348" s="6">
        <f t="shared" si="355"/>
        <v>0</v>
      </c>
      <c r="L7348" s="4" t="str">
        <f>IFERROR(VLOOKUP(ROWS($L$2:L7348),$B$2:$C$1996,2,0),"")</f>
        <v/>
      </c>
      <c r="N7348" s="2" t="str">
        <f>IFERROR(VLOOKUP(ROWS($N$2:N7348),$D$2:$E$1996,2,0),"")</f>
        <v/>
      </c>
    </row>
    <row r="7349" spans="2:14">
      <c r="B7349" s="32">
        <f>IF(ISNUMBER(SEARCH('Φόρμα Εισαγωγής'!$B$2,C7349)),MAX($B$1:B7348)+1,0)</f>
        <v>0</v>
      </c>
      <c r="D7349" s="33">
        <f>IF(ISNUMBER(SEARCH('Φόρμα Εισαγωγής'!$C$2,E7349)),MAX($D$1:D7348)+1,0)</f>
        <v>0</v>
      </c>
      <c r="H7349" s="6">
        <f t="shared" si="353"/>
        <v>0</v>
      </c>
      <c r="I7349" s="6">
        <f t="shared" si="354"/>
        <v>0</v>
      </c>
      <c r="J7349" s="6">
        <f t="shared" si="355"/>
        <v>0</v>
      </c>
      <c r="L7349" s="4" t="str">
        <f>IFERROR(VLOOKUP(ROWS($L$2:L7349),$B$2:$C$1996,2,0),"")</f>
        <v/>
      </c>
      <c r="N7349" s="2" t="str">
        <f>IFERROR(VLOOKUP(ROWS($N$2:N7349),$D$2:$E$1996,2,0),"")</f>
        <v/>
      </c>
    </row>
    <row r="7350" spans="2:14">
      <c r="B7350" s="32">
        <f>IF(ISNUMBER(SEARCH('Φόρμα Εισαγωγής'!$B$2,C7350)),MAX($B$1:B7349)+1,0)</f>
        <v>0</v>
      </c>
      <c r="D7350" s="33">
        <f>IF(ISNUMBER(SEARCH('Φόρμα Εισαγωγής'!$C$2,E7350)),MAX($D$1:D7349)+1,0)</f>
        <v>0</v>
      </c>
      <c r="H7350" s="6">
        <f t="shared" si="353"/>
        <v>0</v>
      </c>
      <c r="I7350" s="6">
        <f t="shared" si="354"/>
        <v>0</v>
      </c>
      <c r="J7350" s="6">
        <f t="shared" si="355"/>
        <v>0</v>
      </c>
      <c r="L7350" s="4" t="str">
        <f>IFERROR(VLOOKUP(ROWS($L$2:L7350),$B$2:$C$1996,2,0),"")</f>
        <v/>
      </c>
      <c r="N7350" s="2" t="str">
        <f>IFERROR(VLOOKUP(ROWS($N$2:N7350),$D$2:$E$1996,2,0),"")</f>
        <v/>
      </c>
    </row>
    <row r="7351" spans="2:14">
      <c r="B7351" s="32">
        <f>IF(ISNUMBER(SEARCH('Φόρμα Εισαγωγής'!$B$2,C7351)),MAX($B$1:B7350)+1,0)</f>
        <v>0</v>
      </c>
      <c r="D7351" s="33">
        <f>IF(ISNUMBER(SEARCH('Φόρμα Εισαγωγής'!$C$2,E7351)),MAX($D$1:D7350)+1,0)</f>
        <v>0</v>
      </c>
      <c r="H7351" s="6">
        <f t="shared" si="353"/>
        <v>0</v>
      </c>
      <c r="I7351" s="6">
        <f t="shared" si="354"/>
        <v>0</v>
      </c>
      <c r="J7351" s="6">
        <f t="shared" si="355"/>
        <v>0</v>
      </c>
      <c r="L7351" s="4" t="str">
        <f>IFERROR(VLOOKUP(ROWS($L$2:L7351),$B$2:$C$1996,2,0),"")</f>
        <v/>
      </c>
      <c r="N7351" s="2" t="str">
        <f>IFERROR(VLOOKUP(ROWS($N$2:N7351),$D$2:$E$1996,2,0),"")</f>
        <v/>
      </c>
    </row>
    <row r="7352" spans="2:14">
      <c r="B7352" s="32">
        <f>IF(ISNUMBER(SEARCH('Φόρμα Εισαγωγής'!$B$2,C7352)),MAX($B$1:B7351)+1,0)</f>
        <v>0</v>
      </c>
      <c r="D7352" s="33">
        <f>IF(ISNUMBER(SEARCH('Φόρμα Εισαγωγής'!$C$2,E7352)),MAX($D$1:D7351)+1,0)</f>
        <v>0</v>
      </c>
      <c r="H7352" s="6">
        <f t="shared" si="353"/>
        <v>0</v>
      </c>
      <c r="I7352" s="6">
        <f t="shared" si="354"/>
        <v>0</v>
      </c>
      <c r="J7352" s="6">
        <f t="shared" si="355"/>
        <v>0</v>
      </c>
      <c r="L7352" s="4" t="str">
        <f>IFERROR(VLOOKUP(ROWS($L$2:L7352),$B$2:$C$1996,2,0),"")</f>
        <v/>
      </c>
      <c r="N7352" s="2" t="str">
        <f>IFERROR(VLOOKUP(ROWS($N$2:N7352),$D$2:$E$1996,2,0),"")</f>
        <v/>
      </c>
    </row>
    <row r="7353" spans="2:14">
      <c r="B7353" s="32">
        <f>IF(ISNUMBER(SEARCH('Φόρμα Εισαγωγής'!$B$2,C7353)),MAX($B$1:B7352)+1,0)</f>
        <v>0</v>
      </c>
      <c r="D7353" s="33">
        <f>IF(ISNUMBER(SEARCH('Φόρμα Εισαγωγής'!$C$2,E7353)),MAX($D$1:D7352)+1,0)</f>
        <v>0</v>
      </c>
      <c r="H7353" s="6">
        <f t="shared" si="353"/>
        <v>0</v>
      </c>
      <c r="I7353" s="6">
        <f t="shared" si="354"/>
        <v>0</v>
      </c>
      <c r="J7353" s="6">
        <f t="shared" si="355"/>
        <v>0</v>
      </c>
      <c r="L7353" s="4" t="str">
        <f>IFERROR(VLOOKUP(ROWS($L$2:L7353),$B$2:$C$1996,2,0),"")</f>
        <v/>
      </c>
      <c r="N7353" s="2" t="str">
        <f>IFERROR(VLOOKUP(ROWS($N$2:N7353),$D$2:$E$1996,2,0),"")</f>
        <v/>
      </c>
    </row>
    <row r="7354" spans="2:14">
      <c r="B7354" s="32">
        <f>IF(ISNUMBER(SEARCH('Φόρμα Εισαγωγής'!$B$2,C7354)),MAX($B$1:B7353)+1,0)</f>
        <v>0</v>
      </c>
      <c r="D7354" s="33">
        <f>IF(ISNUMBER(SEARCH('Φόρμα Εισαγωγής'!$C$2,E7354)),MAX($D$1:D7353)+1,0)</f>
        <v>0</v>
      </c>
      <c r="H7354" s="6">
        <f t="shared" si="353"/>
        <v>0</v>
      </c>
      <c r="I7354" s="6">
        <f t="shared" si="354"/>
        <v>0</v>
      </c>
      <c r="J7354" s="6">
        <f t="shared" si="355"/>
        <v>0</v>
      </c>
      <c r="L7354" s="4" t="str">
        <f>IFERROR(VLOOKUP(ROWS($L$2:L7354),$B$2:$C$1996,2,0),"")</f>
        <v/>
      </c>
      <c r="N7354" s="2" t="str">
        <f>IFERROR(VLOOKUP(ROWS($N$2:N7354),$D$2:$E$1996,2,0),"")</f>
        <v/>
      </c>
    </row>
    <row r="7355" spans="2:14">
      <c r="B7355" s="32">
        <f>IF(ISNUMBER(SEARCH('Φόρμα Εισαγωγής'!$B$2,C7355)),MAX($B$1:B7354)+1,0)</f>
        <v>0</v>
      </c>
      <c r="D7355" s="33">
        <f>IF(ISNUMBER(SEARCH('Φόρμα Εισαγωγής'!$C$2,E7355)),MAX($D$1:D7354)+1,0)</f>
        <v>0</v>
      </c>
      <c r="H7355" s="6">
        <f t="shared" si="353"/>
        <v>0</v>
      </c>
      <c r="I7355" s="6">
        <f t="shared" si="354"/>
        <v>0</v>
      </c>
      <c r="J7355" s="6">
        <f t="shared" si="355"/>
        <v>0</v>
      </c>
      <c r="L7355" s="4" t="str">
        <f>IFERROR(VLOOKUP(ROWS($L$2:L7355),$B$2:$C$1996,2,0),"")</f>
        <v/>
      </c>
      <c r="N7355" s="2" t="str">
        <f>IFERROR(VLOOKUP(ROWS($N$2:N7355),$D$2:$E$1996,2,0),"")</f>
        <v/>
      </c>
    </row>
    <row r="7356" spans="2:14">
      <c r="B7356" s="32">
        <f>IF(ISNUMBER(SEARCH('Φόρμα Εισαγωγής'!$B$2,C7356)),MAX($B$1:B7355)+1,0)</f>
        <v>0</v>
      </c>
      <c r="D7356" s="33">
        <f>IF(ISNUMBER(SEARCH('Φόρμα Εισαγωγής'!$C$2,E7356)),MAX($D$1:D7355)+1,0)</f>
        <v>0</v>
      </c>
      <c r="H7356" s="6">
        <f t="shared" si="353"/>
        <v>0</v>
      </c>
      <c r="I7356" s="6">
        <f t="shared" si="354"/>
        <v>0</v>
      </c>
      <c r="J7356" s="6">
        <f t="shared" si="355"/>
        <v>0</v>
      </c>
      <c r="L7356" s="4" t="str">
        <f>IFERROR(VLOOKUP(ROWS($L$2:L7356),$B$2:$C$1996,2,0),"")</f>
        <v/>
      </c>
      <c r="N7356" s="2" t="str">
        <f>IFERROR(VLOOKUP(ROWS($N$2:N7356),$D$2:$E$1996,2,0),"")</f>
        <v/>
      </c>
    </row>
    <row r="7357" spans="2:14">
      <c r="B7357" s="32">
        <f>IF(ISNUMBER(SEARCH('Φόρμα Εισαγωγής'!$B$2,C7357)),MAX($B$1:B7356)+1,0)</f>
        <v>0</v>
      </c>
      <c r="D7357" s="33">
        <f>IF(ISNUMBER(SEARCH('Φόρμα Εισαγωγής'!$C$2,E7357)),MAX($D$1:D7356)+1,0)</f>
        <v>0</v>
      </c>
      <c r="H7357" s="6">
        <f t="shared" si="353"/>
        <v>0</v>
      </c>
      <c r="I7357" s="6">
        <f t="shared" si="354"/>
        <v>0</v>
      </c>
      <c r="J7357" s="6">
        <f t="shared" si="355"/>
        <v>0</v>
      </c>
      <c r="L7357" s="4" t="str">
        <f>IFERROR(VLOOKUP(ROWS($L$2:L7357),$B$2:$C$1996,2,0),"")</f>
        <v/>
      </c>
      <c r="N7357" s="2" t="str">
        <f>IFERROR(VLOOKUP(ROWS($N$2:N7357),$D$2:$E$1996,2,0),"")</f>
        <v/>
      </c>
    </row>
    <row r="7358" spans="2:14">
      <c r="B7358" s="32">
        <f>IF(ISNUMBER(SEARCH('Φόρμα Εισαγωγής'!$B$2,C7358)),MAX($B$1:B7357)+1,0)</f>
        <v>0</v>
      </c>
      <c r="D7358" s="33">
        <f>IF(ISNUMBER(SEARCH('Φόρμα Εισαγωγής'!$C$2,E7358)),MAX($D$1:D7357)+1,0)</f>
        <v>0</v>
      </c>
      <c r="H7358" s="6">
        <f t="shared" si="353"/>
        <v>0</v>
      </c>
      <c r="I7358" s="6">
        <f t="shared" si="354"/>
        <v>0</v>
      </c>
      <c r="J7358" s="6">
        <f t="shared" si="355"/>
        <v>0</v>
      </c>
      <c r="L7358" s="4" t="str">
        <f>IFERROR(VLOOKUP(ROWS($L$2:L7358),$B$2:$C$1996,2,0),"")</f>
        <v/>
      </c>
      <c r="N7358" s="2" t="str">
        <f>IFERROR(VLOOKUP(ROWS($N$2:N7358),$D$2:$E$1996,2,0),"")</f>
        <v/>
      </c>
    </row>
    <row r="7359" spans="2:14">
      <c r="B7359" s="32">
        <f>IF(ISNUMBER(SEARCH('Φόρμα Εισαγωγής'!$B$2,C7359)),MAX($B$1:B7358)+1,0)</f>
        <v>0</v>
      </c>
      <c r="D7359" s="33">
        <f>IF(ISNUMBER(SEARCH('Φόρμα Εισαγωγής'!$C$2,E7359)),MAX($D$1:D7358)+1,0)</f>
        <v>0</v>
      </c>
      <c r="H7359" s="6">
        <f t="shared" si="353"/>
        <v>0</v>
      </c>
      <c r="I7359" s="6">
        <f t="shared" si="354"/>
        <v>0</v>
      </c>
      <c r="J7359" s="6">
        <f t="shared" si="355"/>
        <v>0</v>
      </c>
      <c r="L7359" s="4" t="str">
        <f>IFERROR(VLOOKUP(ROWS($L$2:L7359),$B$2:$C$1996,2,0),"")</f>
        <v/>
      </c>
      <c r="N7359" s="2" t="str">
        <f>IFERROR(VLOOKUP(ROWS($N$2:N7359),$D$2:$E$1996,2,0),"")</f>
        <v/>
      </c>
    </row>
    <row r="7360" spans="2:14">
      <c r="B7360" s="32">
        <f>IF(ISNUMBER(SEARCH('Φόρμα Εισαγωγής'!$B$2,C7360)),MAX($B$1:B7359)+1,0)</f>
        <v>0</v>
      </c>
      <c r="D7360" s="33">
        <f>IF(ISNUMBER(SEARCH('Φόρμα Εισαγωγής'!$C$2,E7360)),MAX($D$1:D7359)+1,0)</f>
        <v>0</v>
      </c>
      <c r="H7360" s="6">
        <f t="shared" ref="H7360:H7423" si="356">G7360+(G7360*0.24)</f>
        <v>0</v>
      </c>
      <c r="I7360" s="6">
        <f t="shared" ref="I7360:I7423" si="357">F7360*A7360</f>
        <v>0</v>
      </c>
      <c r="J7360" s="6">
        <f t="shared" ref="J7360:J7423" si="358">H7360*A7360</f>
        <v>0</v>
      </c>
      <c r="L7360" s="4" t="str">
        <f>IFERROR(VLOOKUP(ROWS($L$2:L7360),$B$2:$C$1996,2,0),"")</f>
        <v/>
      </c>
      <c r="N7360" s="2" t="str">
        <f>IFERROR(VLOOKUP(ROWS($N$2:N7360),$D$2:$E$1996,2,0),"")</f>
        <v/>
      </c>
    </row>
    <row r="7361" spans="2:14">
      <c r="B7361" s="32">
        <f>IF(ISNUMBER(SEARCH('Φόρμα Εισαγωγής'!$B$2,C7361)),MAX($B$1:B7360)+1,0)</f>
        <v>0</v>
      </c>
      <c r="D7361" s="33">
        <f>IF(ISNUMBER(SEARCH('Φόρμα Εισαγωγής'!$C$2,E7361)),MAX($D$1:D7360)+1,0)</f>
        <v>0</v>
      </c>
      <c r="H7361" s="6">
        <f t="shared" si="356"/>
        <v>0</v>
      </c>
      <c r="I7361" s="6">
        <f t="shared" si="357"/>
        <v>0</v>
      </c>
      <c r="J7361" s="6">
        <f t="shared" si="358"/>
        <v>0</v>
      </c>
      <c r="L7361" s="4" t="str">
        <f>IFERROR(VLOOKUP(ROWS($L$2:L7361),$B$2:$C$1996,2,0),"")</f>
        <v/>
      </c>
      <c r="N7361" s="2" t="str">
        <f>IFERROR(VLOOKUP(ROWS($N$2:N7361),$D$2:$E$1996,2,0),"")</f>
        <v/>
      </c>
    </row>
    <row r="7362" spans="2:14">
      <c r="B7362" s="32">
        <f>IF(ISNUMBER(SEARCH('Φόρμα Εισαγωγής'!$B$2,C7362)),MAX($B$1:B7361)+1,0)</f>
        <v>0</v>
      </c>
      <c r="D7362" s="33">
        <f>IF(ISNUMBER(SEARCH('Φόρμα Εισαγωγής'!$C$2,E7362)),MAX($D$1:D7361)+1,0)</f>
        <v>0</v>
      </c>
      <c r="H7362" s="6">
        <f t="shared" si="356"/>
        <v>0</v>
      </c>
      <c r="I7362" s="6">
        <f t="shared" si="357"/>
        <v>0</v>
      </c>
      <c r="J7362" s="6">
        <f t="shared" si="358"/>
        <v>0</v>
      </c>
      <c r="L7362" s="4" t="str">
        <f>IFERROR(VLOOKUP(ROWS($L$2:L7362),$B$2:$C$1996,2,0),"")</f>
        <v/>
      </c>
      <c r="N7362" s="2" t="str">
        <f>IFERROR(VLOOKUP(ROWS($N$2:N7362),$D$2:$E$1996,2,0),"")</f>
        <v/>
      </c>
    </row>
    <row r="7363" spans="2:14">
      <c r="B7363" s="32">
        <f>IF(ISNUMBER(SEARCH('Φόρμα Εισαγωγής'!$B$2,C7363)),MAX($B$1:B7362)+1,0)</f>
        <v>0</v>
      </c>
      <c r="D7363" s="33">
        <f>IF(ISNUMBER(SEARCH('Φόρμα Εισαγωγής'!$C$2,E7363)),MAX($D$1:D7362)+1,0)</f>
        <v>0</v>
      </c>
      <c r="H7363" s="6">
        <f t="shared" si="356"/>
        <v>0</v>
      </c>
      <c r="I7363" s="6">
        <f t="shared" si="357"/>
        <v>0</v>
      </c>
      <c r="J7363" s="6">
        <f t="shared" si="358"/>
        <v>0</v>
      </c>
      <c r="L7363" s="4" t="str">
        <f>IFERROR(VLOOKUP(ROWS($L$2:L7363),$B$2:$C$1996,2,0),"")</f>
        <v/>
      </c>
      <c r="N7363" s="2" t="str">
        <f>IFERROR(VLOOKUP(ROWS($N$2:N7363),$D$2:$E$1996,2,0),"")</f>
        <v/>
      </c>
    </row>
    <row r="7364" spans="2:14">
      <c r="B7364" s="32">
        <f>IF(ISNUMBER(SEARCH('Φόρμα Εισαγωγής'!$B$2,C7364)),MAX($B$1:B7363)+1,0)</f>
        <v>0</v>
      </c>
      <c r="D7364" s="33">
        <f>IF(ISNUMBER(SEARCH('Φόρμα Εισαγωγής'!$C$2,E7364)),MAX($D$1:D7363)+1,0)</f>
        <v>0</v>
      </c>
      <c r="H7364" s="6">
        <f t="shared" si="356"/>
        <v>0</v>
      </c>
      <c r="I7364" s="6">
        <f t="shared" si="357"/>
        <v>0</v>
      </c>
      <c r="J7364" s="6">
        <f t="shared" si="358"/>
        <v>0</v>
      </c>
      <c r="L7364" s="4" t="str">
        <f>IFERROR(VLOOKUP(ROWS($L$2:L7364),$B$2:$C$1996,2,0),"")</f>
        <v/>
      </c>
      <c r="N7364" s="2" t="str">
        <f>IFERROR(VLOOKUP(ROWS($N$2:N7364),$D$2:$E$1996,2,0),"")</f>
        <v/>
      </c>
    </row>
    <row r="7365" spans="2:14">
      <c r="B7365" s="32">
        <f>IF(ISNUMBER(SEARCH('Φόρμα Εισαγωγής'!$B$2,C7365)),MAX($B$1:B7364)+1,0)</f>
        <v>0</v>
      </c>
      <c r="D7365" s="33">
        <f>IF(ISNUMBER(SEARCH('Φόρμα Εισαγωγής'!$C$2,E7365)),MAX($D$1:D7364)+1,0)</f>
        <v>0</v>
      </c>
      <c r="H7365" s="6">
        <f t="shared" si="356"/>
        <v>0</v>
      </c>
      <c r="I7365" s="6">
        <f t="shared" si="357"/>
        <v>0</v>
      </c>
      <c r="J7365" s="6">
        <f t="shared" si="358"/>
        <v>0</v>
      </c>
      <c r="L7365" s="4" t="str">
        <f>IFERROR(VLOOKUP(ROWS($L$2:L7365),$B$2:$C$1996,2,0),"")</f>
        <v/>
      </c>
      <c r="N7365" s="2" t="str">
        <f>IFERROR(VLOOKUP(ROWS($N$2:N7365),$D$2:$E$1996,2,0),"")</f>
        <v/>
      </c>
    </row>
    <row r="7366" spans="2:14">
      <c r="B7366" s="32">
        <f>IF(ISNUMBER(SEARCH('Φόρμα Εισαγωγής'!$B$2,C7366)),MAX($B$1:B7365)+1,0)</f>
        <v>0</v>
      </c>
      <c r="D7366" s="33">
        <f>IF(ISNUMBER(SEARCH('Φόρμα Εισαγωγής'!$C$2,E7366)),MAX($D$1:D7365)+1,0)</f>
        <v>0</v>
      </c>
      <c r="H7366" s="6">
        <f t="shared" si="356"/>
        <v>0</v>
      </c>
      <c r="I7366" s="6">
        <f t="shared" si="357"/>
        <v>0</v>
      </c>
      <c r="J7366" s="6">
        <f t="shared" si="358"/>
        <v>0</v>
      </c>
      <c r="L7366" s="4" t="str">
        <f>IFERROR(VLOOKUP(ROWS($L$2:L7366),$B$2:$C$1996,2,0),"")</f>
        <v/>
      </c>
      <c r="N7366" s="2" t="str">
        <f>IFERROR(VLOOKUP(ROWS($N$2:N7366),$D$2:$E$1996,2,0),"")</f>
        <v/>
      </c>
    </row>
    <row r="7367" spans="2:14">
      <c r="B7367" s="32">
        <f>IF(ISNUMBER(SEARCH('Φόρμα Εισαγωγής'!$B$2,C7367)),MAX($B$1:B7366)+1,0)</f>
        <v>0</v>
      </c>
      <c r="D7367" s="33">
        <f>IF(ISNUMBER(SEARCH('Φόρμα Εισαγωγής'!$C$2,E7367)),MAX($D$1:D7366)+1,0)</f>
        <v>0</v>
      </c>
      <c r="H7367" s="6">
        <f t="shared" si="356"/>
        <v>0</v>
      </c>
      <c r="I7367" s="6">
        <f t="shared" si="357"/>
        <v>0</v>
      </c>
      <c r="J7367" s="6">
        <f t="shared" si="358"/>
        <v>0</v>
      </c>
      <c r="L7367" s="4" t="str">
        <f>IFERROR(VLOOKUP(ROWS($L$2:L7367),$B$2:$C$1996,2,0),"")</f>
        <v/>
      </c>
      <c r="N7367" s="2" t="str">
        <f>IFERROR(VLOOKUP(ROWS($N$2:N7367),$D$2:$E$1996,2,0),"")</f>
        <v/>
      </c>
    </row>
    <row r="7368" spans="2:14">
      <c r="B7368" s="32">
        <f>IF(ISNUMBER(SEARCH('Φόρμα Εισαγωγής'!$B$2,C7368)),MAX($B$1:B7367)+1,0)</f>
        <v>0</v>
      </c>
      <c r="D7368" s="33">
        <f>IF(ISNUMBER(SEARCH('Φόρμα Εισαγωγής'!$C$2,E7368)),MAX($D$1:D7367)+1,0)</f>
        <v>0</v>
      </c>
      <c r="H7368" s="6">
        <f t="shared" si="356"/>
        <v>0</v>
      </c>
      <c r="I7368" s="6">
        <f t="shared" si="357"/>
        <v>0</v>
      </c>
      <c r="J7368" s="6">
        <f t="shared" si="358"/>
        <v>0</v>
      </c>
      <c r="L7368" s="4" t="str">
        <f>IFERROR(VLOOKUP(ROWS($L$2:L7368),$B$2:$C$1996,2,0),"")</f>
        <v/>
      </c>
      <c r="N7368" s="2" t="str">
        <f>IFERROR(VLOOKUP(ROWS($N$2:N7368),$D$2:$E$1996,2,0),"")</f>
        <v/>
      </c>
    </row>
    <row r="7369" spans="2:14">
      <c r="B7369" s="32">
        <f>IF(ISNUMBER(SEARCH('Φόρμα Εισαγωγής'!$B$2,C7369)),MAX($B$1:B7368)+1,0)</f>
        <v>0</v>
      </c>
      <c r="D7369" s="33">
        <f>IF(ISNUMBER(SEARCH('Φόρμα Εισαγωγής'!$C$2,E7369)),MAX($D$1:D7368)+1,0)</f>
        <v>0</v>
      </c>
      <c r="H7369" s="6">
        <f t="shared" si="356"/>
        <v>0</v>
      </c>
      <c r="I7369" s="6">
        <f t="shared" si="357"/>
        <v>0</v>
      </c>
      <c r="J7369" s="6">
        <f t="shared" si="358"/>
        <v>0</v>
      </c>
      <c r="L7369" s="4" t="str">
        <f>IFERROR(VLOOKUP(ROWS($L$2:L7369),$B$2:$C$1996,2,0),"")</f>
        <v/>
      </c>
      <c r="N7369" s="2" t="str">
        <f>IFERROR(VLOOKUP(ROWS($N$2:N7369),$D$2:$E$1996,2,0),"")</f>
        <v/>
      </c>
    </row>
    <row r="7370" spans="2:14">
      <c r="B7370" s="32">
        <f>IF(ISNUMBER(SEARCH('Φόρμα Εισαγωγής'!$B$2,C7370)),MAX($B$1:B7369)+1,0)</f>
        <v>0</v>
      </c>
      <c r="D7370" s="33">
        <f>IF(ISNUMBER(SEARCH('Φόρμα Εισαγωγής'!$C$2,E7370)),MAX($D$1:D7369)+1,0)</f>
        <v>0</v>
      </c>
      <c r="H7370" s="6">
        <f t="shared" si="356"/>
        <v>0</v>
      </c>
      <c r="I7370" s="6">
        <f t="shared" si="357"/>
        <v>0</v>
      </c>
      <c r="J7370" s="6">
        <f t="shared" si="358"/>
        <v>0</v>
      </c>
      <c r="L7370" s="4" t="str">
        <f>IFERROR(VLOOKUP(ROWS($L$2:L7370),$B$2:$C$1996,2,0),"")</f>
        <v/>
      </c>
      <c r="N7370" s="2" t="str">
        <f>IFERROR(VLOOKUP(ROWS($N$2:N7370),$D$2:$E$1996,2,0),"")</f>
        <v/>
      </c>
    </row>
    <row r="7371" spans="2:14">
      <c r="B7371" s="32">
        <f>IF(ISNUMBER(SEARCH('Φόρμα Εισαγωγής'!$B$2,C7371)),MAX($B$1:B7370)+1,0)</f>
        <v>0</v>
      </c>
      <c r="D7371" s="33">
        <f>IF(ISNUMBER(SEARCH('Φόρμα Εισαγωγής'!$C$2,E7371)),MAX($D$1:D7370)+1,0)</f>
        <v>0</v>
      </c>
      <c r="H7371" s="6">
        <f t="shared" si="356"/>
        <v>0</v>
      </c>
      <c r="I7371" s="6">
        <f t="shared" si="357"/>
        <v>0</v>
      </c>
      <c r="J7371" s="6">
        <f t="shared" si="358"/>
        <v>0</v>
      </c>
      <c r="L7371" s="4" t="str">
        <f>IFERROR(VLOOKUP(ROWS($L$2:L7371),$B$2:$C$1996,2,0),"")</f>
        <v/>
      </c>
      <c r="N7371" s="2" t="str">
        <f>IFERROR(VLOOKUP(ROWS($N$2:N7371),$D$2:$E$1996,2,0),"")</f>
        <v/>
      </c>
    </row>
    <row r="7372" spans="2:14">
      <c r="B7372" s="32">
        <f>IF(ISNUMBER(SEARCH('Φόρμα Εισαγωγής'!$B$2,C7372)),MAX($B$1:B7371)+1,0)</f>
        <v>0</v>
      </c>
      <c r="D7372" s="33">
        <f>IF(ISNUMBER(SEARCH('Φόρμα Εισαγωγής'!$C$2,E7372)),MAX($D$1:D7371)+1,0)</f>
        <v>0</v>
      </c>
      <c r="H7372" s="6">
        <f t="shared" si="356"/>
        <v>0</v>
      </c>
      <c r="I7372" s="6">
        <f t="shared" si="357"/>
        <v>0</v>
      </c>
      <c r="J7372" s="6">
        <f t="shared" si="358"/>
        <v>0</v>
      </c>
      <c r="L7372" s="4" t="str">
        <f>IFERROR(VLOOKUP(ROWS($L$2:L7372),$B$2:$C$1996,2,0),"")</f>
        <v/>
      </c>
      <c r="N7372" s="2" t="str">
        <f>IFERROR(VLOOKUP(ROWS($N$2:N7372),$D$2:$E$1996,2,0),"")</f>
        <v/>
      </c>
    </row>
    <row r="7373" spans="2:14">
      <c r="B7373" s="32">
        <f>IF(ISNUMBER(SEARCH('Φόρμα Εισαγωγής'!$B$2,C7373)),MAX($B$1:B7372)+1,0)</f>
        <v>0</v>
      </c>
      <c r="D7373" s="33">
        <f>IF(ISNUMBER(SEARCH('Φόρμα Εισαγωγής'!$C$2,E7373)),MAX($D$1:D7372)+1,0)</f>
        <v>0</v>
      </c>
      <c r="H7373" s="6">
        <f t="shared" si="356"/>
        <v>0</v>
      </c>
      <c r="I7373" s="6">
        <f t="shared" si="357"/>
        <v>0</v>
      </c>
      <c r="J7373" s="6">
        <f t="shared" si="358"/>
        <v>0</v>
      </c>
      <c r="L7373" s="4" t="str">
        <f>IFERROR(VLOOKUP(ROWS($L$2:L7373),$B$2:$C$1996,2,0),"")</f>
        <v/>
      </c>
      <c r="N7373" s="2" t="str">
        <f>IFERROR(VLOOKUP(ROWS($N$2:N7373),$D$2:$E$1996,2,0),"")</f>
        <v/>
      </c>
    </row>
    <row r="7374" spans="2:14">
      <c r="B7374" s="32">
        <f>IF(ISNUMBER(SEARCH('Φόρμα Εισαγωγής'!$B$2,C7374)),MAX($B$1:B7373)+1,0)</f>
        <v>0</v>
      </c>
      <c r="D7374" s="33">
        <f>IF(ISNUMBER(SEARCH('Φόρμα Εισαγωγής'!$C$2,E7374)),MAX($D$1:D7373)+1,0)</f>
        <v>0</v>
      </c>
      <c r="H7374" s="6">
        <f t="shared" si="356"/>
        <v>0</v>
      </c>
      <c r="I7374" s="6">
        <f t="shared" si="357"/>
        <v>0</v>
      </c>
      <c r="J7374" s="6">
        <f t="shared" si="358"/>
        <v>0</v>
      </c>
      <c r="L7374" s="4" t="str">
        <f>IFERROR(VLOOKUP(ROWS($L$2:L7374),$B$2:$C$1996,2,0),"")</f>
        <v/>
      </c>
      <c r="N7374" s="2" t="str">
        <f>IFERROR(VLOOKUP(ROWS($N$2:N7374),$D$2:$E$1996,2,0),"")</f>
        <v/>
      </c>
    </row>
    <row r="7375" spans="2:14">
      <c r="B7375" s="32">
        <f>IF(ISNUMBER(SEARCH('Φόρμα Εισαγωγής'!$B$2,C7375)),MAX($B$1:B7374)+1,0)</f>
        <v>0</v>
      </c>
      <c r="D7375" s="33">
        <f>IF(ISNUMBER(SEARCH('Φόρμα Εισαγωγής'!$C$2,E7375)),MAX($D$1:D7374)+1,0)</f>
        <v>0</v>
      </c>
      <c r="H7375" s="6">
        <f t="shared" si="356"/>
        <v>0</v>
      </c>
      <c r="I7375" s="6">
        <f t="shared" si="357"/>
        <v>0</v>
      </c>
      <c r="J7375" s="6">
        <f t="shared" si="358"/>
        <v>0</v>
      </c>
      <c r="L7375" s="4" t="str">
        <f>IFERROR(VLOOKUP(ROWS($L$2:L7375),$B$2:$C$1996,2,0),"")</f>
        <v/>
      </c>
      <c r="N7375" s="2" t="str">
        <f>IFERROR(VLOOKUP(ROWS($N$2:N7375),$D$2:$E$1996,2,0),"")</f>
        <v/>
      </c>
    </row>
    <row r="7376" spans="2:14">
      <c r="B7376" s="32">
        <f>IF(ISNUMBER(SEARCH('Φόρμα Εισαγωγής'!$B$2,C7376)),MAX($B$1:B7375)+1,0)</f>
        <v>0</v>
      </c>
      <c r="D7376" s="33">
        <f>IF(ISNUMBER(SEARCH('Φόρμα Εισαγωγής'!$C$2,E7376)),MAX($D$1:D7375)+1,0)</f>
        <v>0</v>
      </c>
      <c r="H7376" s="6">
        <f t="shared" si="356"/>
        <v>0</v>
      </c>
      <c r="I7376" s="6">
        <f t="shared" si="357"/>
        <v>0</v>
      </c>
      <c r="J7376" s="6">
        <f t="shared" si="358"/>
        <v>0</v>
      </c>
      <c r="L7376" s="4" t="str">
        <f>IFERROR(VLOOKUP(ROWS($L$2:L7376),$B$2:$C$1996,2,0),"")</f>
        <v/>
      </c>
      <c r="N7376" s="2" t="str">
        <f>IFERROR(VLOOKUP(ROWS($N$2:N7376),$D$2:$E$1996,2,0),"")</f>
        <v/>
      </c>
    </row>
    <row r="7377" spans="2:14">
      <c r="B7377" s="32">
        <f>IF(ISNUMBER(SEARCH('Φόρμα Εισαγωγής'!$B$2,C7377)),MAX($B$1:B7376)+1,0)</f>
        <v>0</v>
      </c>
      <c r="D7377" s="33">
        <f>IF(ISNUMBER(SEARCH('Φόρμα Εισαγωγής'!$C$2,E7377)),MAX($D$1:D7376)+1,0)</f>
        <v>0</v>
      </c>
      <c r="H7377" s="6">
        <f t="shared" si="356"/>
        <v>0</v>
      </c>
      <c r="I7377" s="6">
        <f t="shared" si="357"/>
        <v>0</v>
      </c>
      <c r="J7377" s="6">
        <f t="shared" si="358"/>
        <v>0</v>
      </c>
      <c r="L7377" s="4" t="str">
        <f>IFERROR(VLOOKUP(ROWS($L$2:L7377),$B$2:$C$1996,2,0),"")</f>
        <v/>
      </c>
      <c r="N7377" s="2" t="str">
        <f>IFERROR(VLOOKUP(ROWS($N$2:N7377),$D$2:$E$1996,2,0),"")</f>
        <v/>
      </c>
    </row>
    <row r="7378" spans="2:14">
      <c r="B7378" s="32">
        <f>IF(ISNUMBER(SEARCH('Φόρμα Εισαγωγής'!$B$2,C7378)),MAX($B$1:B7377)+1,0)</f>
        <v>0</v>
      </c>
      <c r="D7378" s="33">
        <f>IF(ISNUMBER(SEARCH('Φόρμα Εισαγωγής'!$C$2,E7378)),MAX($D$1:D7377)+1,0)</f>
        <v>0</v>
      </c>
      <c r="H7378" s="6">
        <f t="shared" si="356"/>
        <v>0</v>
      </c>
      <c r="I7378" s="6">
        <f t="shared" si="357"/>
        <v>0</v>
      </c>
      <c r="J7378" s="6">
        <f t="shared" si="358"/>
        <v>0</v>
      </c>
      <c r="L7378" s="4" t="str">
        <f>IFERROR(VLOOKUP(ROWS($L$2:L7378),$B$2:$C$1996,2,0),"")</f>
        <v/>
      </c>
      <c r="N7378" s="2" t="str">
        <f>IFERROR(VLOOKUP(ROWS($N$2:N7378),$D$2:$E$1996,2,0),"")</f>
        <v/>
      </c>
    </row>
    <row r="7379" spans="2:14">
      <c r="B7379" s="32">
        <f>IF(ISNUMBER(SEARCH('Φόρμα Εισαγωγής'!$B$2,C7379)),MAX($B$1:B7378)+1,0)</f>
        <v>0</v>
      </c>
      <c r="D7379" s="33">
        <f>IF(ISNUMBER(SEARCH('Φόρμα Εισαγωγής'!$C$2,E7379)),MAX($D$1:D7378)+1,0)</f>
        <v>0</v>
      </c>
      <c r="H7379" s="6">
        <f t="shared" si="356"/>
        <v>0</v>
      </c>
      <c r="I7379" s="6">
        <f t="shared" si="357"/>
        <v>0</v>
      </c>
      <c r="J7379" s="6">
        <f t="shared" si="358"/>
        <v>0</v>
      </c>
      <c r="L7379" s="4" t="str">
        <f>IFERROR(VLOOKUP(ROWS($L$2:L7379),$B$2:$C$1996,2,0),"")</f>
        <v/>
      </c>
      <c r="N7379" s="2" t="str">
        <f>IFERROR(VLOOKUP(ROWS($N$2:N7379),$D$2:$E$1996,2,0),"")</f>
        <v/>
      </c>
    </row>
    <row r="7380" spans="2:14">
      <c r="B7380" s="32">
        <f>IF(ISNUMBER(SEARCH('Φόρμα Εισαγωγής'!$B$2,C7380)),MAX($B$1:B7379)+1,0)</f>
        <v>0</v>
      </c>
      <c r="D7380" s="33">
        <f>IF(ISNUMBER(SEARCH('Φόρμα Εισαγωγής'!$C$2,E7380)),MAX($D$1:D7379)+1,0)</f>
        <v>0</v>
      </c>
      <c r="H7380" s="6">
        <f t="shared" si="356"/>
        <v>0</v>
      </c>
      <c r="I7380" s="6">
        <f t="shared" si="357"/>
        <v>0</v>
      </c>
      <c r="J7380" s="6">
        <f t="shared" si="358"/>
        <v>0</v>
      </c>
      <c r="L7380" s="4" t="str">
        <f>IFERROR(VLOOKUP(ROWS($L$2:L7380),$B$2:$C$1996,2,0),"")</f>
        <v/>
      </c>
      <c r="N7380" s="2" t="str">
        <f>IFERROR(VLOOKUP(ROWS($N$2:N7380),$D$2:$E$1996,2,0),"")</f>
        <v/>
      </c>
    </row>
    <row r="7381" spans="2:14">
      <c r="B7381" s="32">
        <f>IF(ISNUMBER(SEARCH('Φόρμα Εισαγωγής'!$B$2,C7381)),MAX($B$1:B7380)+1,0)</f>
        <v>0</v>
      </c>
      <c r="D7381" s="33">
        <f>IF(ISNUMBER(SEARCH('Φόρμα Εισαγωγής'!$C$2,E7381)),MAX($D$1:D7380)+1,0)</f>
        <v>0</v>
      </c>
      <c r="H7381" s="6">
        <f t="shared" si="356"/>
        <v>0</v>
      </c>
      <c r="I7381" s="6">
        <f t="shared" si="357"/>
        <v>0</v>
      </c>
      <c r="J7381" s="6">
        <f t="shared" si="358"/>
        <v>0</v>
      </c>
      <c r="L7381" s="4" t="str">
        <f>IFERROR(VLOOKUP(ROWS($L$2:L7381),$B$2:$C$1996,2,0),"")</f>
        <v/>
      </c>
      <c r="N7381" s="2" t="str">
        <f>IFERROR(VLOOKUP(ROWS($N$2:N7381),$D$2:$E$1996,2,0),"")</f>
        <v/>
      </c>
    </row>
    <row r="7382" spans="2:14">
      <c r="B7382" s="32">
        <f>IF(ISNUMBER(SEARCH('Φόρμα Εισαγωγής'!$B$2,C7382)),MAX($B$1:B7381)+1,0)</f>
        <v>0</v>
      </c>
      <c r="D7382" s="33">
        <f>IF(ISNUMBER(SEARCH('Φόρμα Εισαγωγής'!$C$2,E7382)),MAX($D$1:D7381)+1,0)</f>
        <v>0</v>
      </c>
      <c r="H7382" s="6">
        <f t="shared" si="356"/>
        <v>0</v>
      </c>
      <c r="I7382" s="6">
        <f t="shared" si="357"/>
        <v>0</v>
      </c>
      <c r="J7382" s="6">
        <f t="shared" si="358"/>
        <v>0</v>
      </c>
      <c r="L7382" s="4" t="str">
        <f>IFERROR(VLOOKUP(ROWS($L$2:L7382),$B$2:$C$1996,2,0),"")</f>
        <v/>
      </c>
      <c r="N7382" s="2" t="str">
        <f>IFERROR(VLOOKUP(ROWS($N$2:N7382),$D$2:$E$1996,2,0),"")</f>
        <v/>
      </c>
    </row>
    <row r="7383" spans="2:14">
      <c r="B7383" s="32">
        <f>IF(ISNUMBER(SEARCH('Φόρμα Εισαγωγής'!$B$2,C7383)),MAX($B$1:B7382)+1,0)</f>
        <v>0</v>
      </c>
      <c r="D7383" s="33">
        <f>IF(ISNUMBER(SEARCH('Φόρμα Εισαγωγής'!$C$2,E7383)),MAX($D$1:D7382)+1,0)</f>
        <v>0</v>
      </c>
      <c r="H7383" s="6">
        <f t="shared" si="356"/>
        <v>0</v>
      </c>
      <c r="I7383" s="6">
        <f t="shared" si="357"/>
        <v>0</v>
      </c>
      <c r="J7383" s="6">
        <f t="shared" si="358"/>
        <v>0</v>
      </c>
      <c r="L7383" s="4" t="str">
        <f>IFERROR(VLOOKUP(ROWS($L$2:L7383),$B$2:$C$1996,2,0),"")</f>
        <v/>
      </c>
      <c r="N7383" s="2" t="str">
        <f>IFERROR(VLOOKUP(ROWS($N$2:N7383),$D$2:$E$1996,2,0),"")</f>
        <v/>
      </c>
    </row>
    <row r="7384" spans="2:14">
      <c r="B7384" s="32">
        <f>IF(ISNUMBER(SEARCH('Φόρμα Εισαγωγής'!$B$2,C7384)),MAX($B$1:B7383)+1,0)</f>
        <v>0</v>
      </c>
      <c r="D7384" s="33">
        <f>IF(ISNUMBER(SEARCH('Φόρμα Εισαγωγής'!$C$2,E7384)),MAX($D$1:D7383)+1,0)</f>
        <v>0</v>
      </c>
      <c r="H7384" s="6">
        <f t="shared" si="356"/>
        <v>0</v>
      </c>
      <c r="I7384" s="6">
        <f t="shared" si="357"/>
        <v>0</v>
      </c>
      <c r="J7384" s="6">
        <f t="shared" si="358"/>
        <v>0</v>
      </c>
      <c r="L7384" s="4" t="str">
        <f>IFERROR(VLOOKUP(ROWS($L$2:L7384),$B$2:$C$1996,2,0),"")</f>
        <v/>
      </c>
      <c r="N7384" s="2" t="str">
        <f>IFERROR(VLOOKUP(ROWS($N$2:N7384),$D$2:$E$1996,2,0),"")</f>
        <v/>
      </c>
    </row>
    <row r="7385" spans="2:14">
      <c r="B7385" s="32">
        <f>IF(ISNUMBER(SEARCH('Φόρμα Εισαγωγής'!$B$2,C7385)),MAX($B$1:B7384)+1,0)</f>
        <v>0</v>
      </c>
      <c r="D7385" s="33">
        <f>IF(ISNUMBER(SEARCH('Φόρμα Εισαγωγής'!$C$2,E7385)),MAX($D$1:D7384)+1,0)</f>
        <v>0</v>
      </c>
      <c r="H7385" s="6">
        <f t="shared" si="356"/>
        <v>0</v>
      </c>
      <c r="I7385" s="6">
        <f t="shared" si="357"/>
        <v>0</v>
      </c>
      <c r="J7385" s="6">
        <f t="shared" si="358"/>
        <v>0</v>
      </c>
      <c r="L7385" s="4" t="str">
        <f>IFERROR(VLOOKUP(ROWS($L$2:L7385),$B$2:$C$1996,2,0),"")</f>
        <v/>
      </c>
      <c r="N7385" s="2" t="str">
        <f>IFERROR(VLOOKUP(ROWS($N$2:N7385),$D$2:$E$1996,2,0),"")</f>
        <v/>
      </c>
    </row>
    <row r="7386" spans="2:14">
      <c r="B7386" s="32">
        <f>IF(ISNUMBER(SEARCH('Φόρμα Εισαγωγής'!$B$2,C7386)),MAX($B$1:B7385)+1,0)</f>
        <v>0</v>
      </c>
      <c r="D7386" s="33">
        <f>IF(ISNUMBER(SEARCH('Φόρμα Εισαγωγής'!$C$2,E7386)),MAX($D$1:D7385)+1,0)</f>
        <v>0</v>
      </c>
      <c r="H7386" s="6">
        <f t="shared" si="356"/>
        <v>0</v>
      </c>
      <c r="I7386" s="6">
        <f t="shared" si="357"/>
        <v>0</v>
      </c>
      <c r="J7386" s="6">
        <f t="shared" si="358"/>
        <v>0</v>
      </c>
      <c r="L7386" s="4" t="str">
        <f>IFERROR(VLOOKUP(ROWS($L$2:L7386),$B$2:$C$1996,2,0),"")</f>
        <v/>
      </c>
      <c r="N7386" s="2" t="str">
        <f>IFERROR(VLOOKUP(ROWS($N$2:N7386),$D$2:$E$1996,2,0),"")</f>
        <v/>
      </c>
    </row>
    <row r="7387" spans="2:14">
      <c r="B7387" s="32">
        <f>IF(ISNUMBER(SEARCH('Φόρμα Εισαγωγής'!$B$2,C7387)),MAX($B$1:B7386)+1,0)</f>
        <v>0</v>
      </c>
      <c r="D7387" s="33">
        <f>IF(ISNUMBER(SEARCH('Φόρμα Εισαγωγής'!$C$2,E7387)),MAX($D$1:D7386)+1,0)</f>
        <v>0</v>
      </c>
      <c r="H7387" s="6">
        <f t="shared" si="356"/>
        <v>0</v>
      </c>
      <c r="I7387" s="6">
        <f t="shared" si="357"/>
        <v>0</v>
      </c>
      <c r="J7387" s="6">
        <f t="shared" si="358"/>
        <v>0</v>
      </c>
      <c r="L7387" s="4" t="str">
        <f>IFERROR(VLOOKUP(ROWS($L$2:L7387),$B$2:$C$1996,2,0),"")</f>
        <v/>
      </c>
      <c r="N7387" s="2" t="str">
        <f>IFERROR(VLOOKUP(ROWS($N$2:N7387),$D$2:$E$1996,2,0),"")</f>
        <v/>
      </c>
    </row>
    <row r="7388" spans="2:14">
      <c r="B7388" s="32">
        <f>IF(ISNUMBER(SEARCH('Φόρμα Εισαγωγής'!$B$2,C7388)),MAX($B$1:B7387)+1,0)</f>
        <v>0</v>
      </c>
      <c r="D7388" s="33">
        <f>IF(ISNUMBER(SEARCH('Φόρμα Εισαγωγής'!$C$2,E7388)),MAX($D$1:D7387)+1,0)</f>
        <v>0</v>
      </c>
      <c r="H7388" s="6">
        <f t="shared" si="356"/>
        <v>0</v>
      </c>
      <c r="I7388" s="6">
        <f t="shared" si="357"/>
        <v>0</v>
      </c>
      <c r="J7388" s="6">
        <f t="shared" si="358"/>
        <v>0</v>
      </c>
      <c r="L7388" s="4" t="str">
        <f>IFERROR(VLOOKUP(ROWS($L$2:L7388),$B$2:$C$1996,2,0),"")</f>
        <v/>
      </c>
      <c r="N7388" s="2" t="str">
        <f>IFERROR(VLOOKUP(ROWS($N$2:N7388),$D$2:$E$1996,2,0),"")</f>
        <v/>
      </c>
    </row>
    <row r="7389" spans="2:14">
      <c r="B7389" s="32">
        <f>IF(ISNUMBER(SEARCH('Φόρμα Εισαγωγής'!$B$2,C7389)),MAX($B$1:B7388)+1,0)</f>
        <v>0</v>
      </c>
      <c r="D7389" s="33">
        <f>IF(ISNUMBER(SEARCH('Φόρμα Εισαγωγής'!$C$2,E7389)),MAX($D$1:D7388)+1,0)</f>
        <v>0</v>
      </c>
      <c r="H7389" s="6">
        <f t="shared" si="356"/>
        <v>0</v>
      </c>
      <c r="I7389" s="6">
        <f t="shared" si="357"/>
        <v>0</v>
      </c>
      <c r="J7389" s="6">
        <f t="shared" si="358"/>
        <v>0</v>
      </c>
      <c r="L7389" s="4" t="str">
        <f>IFERROR(VLOOKUP(ROWS($L$2:L7389),$B$2:$C$1996,2,0),"")</f>
        <v/>
      </c>
      <c r="N7389" s="2" t="str">
        <f>IFERROR(VLOOKUP(ROWS($N$2:N7389),$D$2:$E$1996,2,0),"")</f>
        <v/>
      </c>
    </row>
    <row r="7390" spans="2:14">
      <c r="B7390" s="32">
        <f>IF(ISNUMBER(SEARCH('Φόρμα Εισαγωγής'!$B$2,C7390)),MAX($B$1:B7389)+1,0)</f>
        <v>0</v>
      </c>
      <c r="D7390" s="33">
        <f>IF(ISNUMBER(SEARCH('Φόρμα Εισαγωγής'!$C$2,E7390)),MAX($D$1:D7389)+1,0)</f>
        <v>0</v>
      </c>
      <c r="H7390" s="6">
        <f t="shared" si="356"/>
        <v>0</v>
      </c>
      <c r="I7390" s="6">
        <f t="shared" si="357"/>
        <v>0</v>
      </c>
      <c r="J7390" s="6">
        <f t="shared" si="358"/>
        <v>0</v>
      </c>
      <c r="L7390" s="4" t="str">
        <f>IFERROR(VLOOKUP(ROWS($L$2:L7390),$B$2:$C$1996,2,0),"")</f>
        <v/>
      </c>
      <c r="N7390" s="2" t="str">
        <f>IFERROR(VLOOKUP(ROWS($N$2:N7390),$D$2:$E$1996,2,0),"")</f>
        <v/>
      </c>
    </row>
    <row r="7391" spans="2:14">
      <c r="B7391" s="32">
        <f>IF(ISNUMBER(SEARCH('Φόρμα Εισαγωγής'!$B$2,C7391)),MAX($B$1:B7390)+1,0)</f>
        <v>0</v>
      </c>
      <c r="D7391" s="33">
        <f>IF(ISNUMBER(SEARCH('Φόρμα Εισαγωγής'!$C$2,E7391)),MAX($D$1:D7390)+1,0)</f>
        <v>0</v>
      </c>
      <c r="H7391" s="6">
        <f t="shared" si="356"/>
        <v>0</v>
      </c>
      <c r="I7391" s="6">
        <f t="shared" si="357"/>
        <v>0</v>
      </c>
      <c r="J7391" s="6">
        <f t="shared" si="358"/>
        <v>0</v>
      </c>
      <c r="L7391" s="4" t="str">
        <f>IFERROR(VLOOKUP(ROWS($L$2:L7391),$B$2:$C$1996,2,0),"")</f>
        <v/>
      </c>
      <c r="N7391" s="2" t="str">
        <f>IFERROR(VLOOKUP(ROWS($N$2:N7391),$D$2:$E$1996,2,0),"")</f>
        <v/>
      </c>
    </row>
    <row r="7392" spans="2:14">
      <c r="B7392" s="32">
        <f>IF(ISNUMBER(SEARCH('Φόρμα Εισαγωγής'!$B$2,C7392)),MAX($B$1:B7391)+1,0)</f>
        <v>0</v>
      </c>
      <c r="D7392" s="33">
        <f>IF(ISNUMBER(SEARCH('Φόρμα Εισαγωγής'!$C$2,E7392)),MAX($D$1:D7391)+1,0)</f>
        <v>0</v>
      </c>
      <c r="H7392" s="6">
        <f t="shared" si="356"/>
        <v>0</v>
      </c>
      <c r="I7392" s="6">
        <f t="shared" si="357"/>
        <v>0</v>
      </c>
      <c r="J7392" s="6">
        <f t="shared" si="358"/>
        <v>0</v>
      </c>
      <c r="L7392" s="4" t="str">
        <f>IFERROR(VLOOKUP(ROWS($L$2:L7392),$B$2:$C$1996,2,0),"")</f>
        <v/>
      </c>
      <c r="N7392" s="2" t="str">
        <f>IFERROR(VLOOKUP(ROWS($N$2:N7392),$D$2:$E$1996,2,0),"")</f>
        <v/>
      </c>
    </row>
    <row r="7393" spans="2:14">
      <c r="B7393" s="32">
        <f>IF(ISNUMBER(SEARCH('Φόρμα Εισαγωγής'!$B$2,C7393)),MAX($B$1:B7392)+1,0)</f>
        <v>0</v>
      </c>
      <c r="D7393" s="33">
        <f>IF(ISNUMBER(SEARCH('Φόρμα Εισαγωγής'!$C$2,E7393)),MAX($D$1:D7392)+1,0)</f>
        <v>0</v>
      </c>
      <c r="H7393" s="6">
        <f t="shared" si="356"/>
        <v>0</v>
      </c>
      <c r="I7393" s="6">
        <f t="shared" si="357"/>
        <v>0</v>
      </c>
      <c r="J7393" s="6">
        <f t="shared" si="358"/>
        <v>0</v>
      </c>
      <c r="L7393" s="4" t="str">
        <f>IFERROR(VLOOKUP(ROWS($L$2:L7393),$B$2:$C$1996,2,0),"")</f>
        <v/>
      </c>
      <c r="N7393" s="2" t="str">
        <f>IFERROR(VLOOKUP(ROWS($N$2:N7393),$D$2:$E$1996,2,0),"")</f>
        <v/>
      </c>
    </row>
    <row r="7394" spans="2:14">
      <c r="B7394" s="32">
        <f>IF(ISNUMBER(SEARCH('Φόρμα Εισαγωγής'!$B$2,C7394)),MAX($B$1:B7393)+1,0)</f>
        <v>0</v>
      </c>
      <c r="D7394" s="33">
        <f>IF(ISNUMBER(SEARCH('Φόρμα Εισαγωγής'!$C$2,E7394)),MAX($D$1:D7393)+1,0)</f>
        <v>0</v>
      </c>
      <c r="H7394" s="6">
        <f t="shared" si="356"/>
        <v>0</v>
      </c>
      <c r="I7394" s="6">
        <f t="shared" si="357"/>
        <v>0</v>
      </c>
      <c r="J7394" s="6">
        <f t="shared" si="358"/>
        <v>0</v>
      </c>
      <c r="L7394" s="4" t="str">
        <f>IFERROR(VLOOKUP(ROWS($L$2:L7394),$B$2:$C$1996,2,0),"")</f>
        <v/>
      </c>
      <c r="N7394" s="2" t="str">
        <f>IFERROR(VLOOKUP(ROWS($N$2:N7394),$D$2:$E$1996,2,0),"")</f>
        <v/>
      </c>
    </row>
    <row r="7395" spans="2:14">
      <c r="B7395" s="32">
        <f>IF(ISNUMBER(SEARCH('Φόρμα Εισαγωγής'!$B$2,C7395)),MAX($B$1:B7394)+1,0)</f>
        <v>0</v>
      </c>
      <c r="D7395" s="33">
        <f>IF(ISNUMBER(SEARCH('Φόρμα Εισαγωγής'!$C$2,E7395)),MAX($D$1:D7394)+1,0)</f>
        <v>0</v>
      </c>
      <c r="H7395" s="6">
        <f t="shared" si="356"/>
        <v>0</v>
      </c>
      <c r="I7395" s="6">
        <f t="shared" si="357"/>
        <v>0</v>
      </c>
      <c r="J7395" s="6">
        <f t="shared" si="358"/>
        <v>0</v>
      </c>
      <c r="L7395" s="4" t="str">
        <f>IFERROR(VLOOKUP(ROWS($L$2:L7395),$B$2:$C$1996,2,0),"")</f>
        <v/>
      </c>
      <c r="N7395" s="2" t="str">
        <f>IFERROR(VLOOKUP(ROWS($N$2:N7395),$D$2:$E$1996,2,0),"")</f>
        <v/>
      </c>
    </row>
    <row r="7396" spans="2:14">
      <c r="B7396" s="32">
        <f>IF(ISNUMBER(SEARCH('Φόρμα Εισαγωγής'!$B$2,C7396)),MAX($B$1:B7395)+1,0)</f>
        <v>0</v>
      </c>
      <c r="D7396" s="33">
        <f>IF(ISNUMBER(SEARCH('Φόρμα Εισαγωγής'!$C$2,E7396)),MAX($D$1:D7395)+1,0)</f>
        <v>0</v>
      </c>
      <c r="H7396" s="6">
        <f t="shared" si="356"/>
        <v>0</v>
      </c>
      <c r="I7396" s="6">
        <f t="shared" si="357"/>
        <v>0</v>
      </c>
      <c r="J7396" s="6">
        <f t="shared" si="358"/>
        <v>0</v>
      </c>
      <c r="L7396" s="4" t="str">
        <f>IFERROR(VLOOKUP(ROWS($L$2:L7396),$B$2:$C$1996,2,0),"")</f>
        <v/>
      </c>
      <c r="N7396" s="2" t="str">
        <f>IFERROR(VLOOKUP(ROWS($N$2:N7396),$D$2:$E$1996,2,0),"")</f>
        <v/>
      </c>
    </row>
    <row r="7397" spans="2:14">
      <c r="B7397" s="32">
        <f>IF(ISNUMBER(SEARCH('Φόρμα Εισαγωγής'!$B$2,C7397)),MAX($B$1:B7396)+1,0)</f>
        <v>0</v>
      </c>
      <c r="D7397" s="33">
        <f>IF(ISNUMBER(SEARCH('Φόρμα Εισαγωγής'!$C$2,E7397)),MAX($D$1:D7396)+1,0)</f>
        <v>0</v>
      </c>
      <c r="H7397" s="6">
        <f t="shared" si="356"/>
        <v>0</v>
      </c>
      <c r="I7397" s="6">
        <f t="shared" si="357"/>
        <v>0</v>
      </c>
      <c r="J7397" s="6">
        <f t="shared" si="358"/>
        <v>0</v>
      </c>
      <c r="L7397" s="4" t="str">
        <f>IFERROR(VLOOKUP(ROWS($L$2:L7397),$B$2:$C$1996,2,0),"")</f>
        <v/>
      </c>
      <c r="N7397" s="2" t="str">
        <f>IFERROR(VLOOKUP(ROWS($N$2:N7397),$D$2:$E$1996,2,0),"")</f>
        <v/>
      </c>
    </row>
    <row r="7398" spans="2:14">
      <c r="B7398" s="32">
        <f>IF(ISNUMBER(SEARCH('Φόρμα Εισαγωγής'!$B$2,C7398)),MAX($B$1:B7397)+1,0)</f>
        <v>0</v>
      </c>
      <c r="D7398" s="33">
        <f>IF(ISNUMBER(SEARCH('Φόρμα Εισαγωγής'!$C$2,E7398)),MAX($D$1:D7397)+1,0)</f>
        <v>0</v>
      </c>
      <c r="H7398" s="6">
        <f t="shared" si="356"/>
        <v>0</v>
      </c>
      <c r="I7398" s="6">
        <f t="shared" si="357"/>
        <v>0</v>
      </c>
      <c r="J7398" s="6">
        <f t="shared" si="358"/>
        <v>0</v>
      </c>
      <c r="L7398" s="4" t="str">
        <f>IFERROR(VLOOKUP(ROWS($L$2:L7398),$B$2:$C$1996,2,0),"")</f>
        <v/>
      </c>
      <c r="N7398" s="2" t="str">
        <f>IFERROR(VLOOKUP(ROWS($N$2:N7398),$D$2:$E$1996,2,0),"")</f>
        <v/>
      </c>
    </row>
    <row r="7399" spans="2:14">
      <c r="B7399" s="32">
        <f>IF(ISNUMBER(SEARCH('Φόρμα Εισαγωγής'!$B$2,C7399)),MAX($B$1:B7398)+1,0)</f>
        <v>0</v>
      </c>
      <c r="D7399" s="33">
        <f>IF(ISNUMBER(SEARCH('Φόρμα Εισαγωγής'!$C$2,E7399)),MAX($D$1:D7398)+1,0)</f>
        <v>0</v>
      </c>
      <c r="H7399" s="6">
        <f t="shared" si="356"/>
        <v>0</v>
      </c>
      <c r="I7399" s="6">
        <f t="shared" si="357"/>
        <v>0</v>
      </c>
      <c r="J7399" s="6">
        <f t="shared" si="358"/>
        <v>0</v>
      </c>
      <c r="L7399" s="4" t="str">
        <f>IFERROR(VLOOKUP(ROWS($L$2:L7399),$B$2:$C$1996,2,0),"")</f>
        <v/>
      </c>
      <c r="N7399" s="2" t="str">
        <f>IFERROR(VLOOKUP(ROWS($N$2:N7399),$D$2:$E$1996,2,0),"")</f>
        <v/>
      </c>
    </row>
    <row r="7400" spans="2:14">
      <c r="B7400" s="32">
        <f>IF(ISNUMBER(SEARCH('Φόρμα Εισαγωγής'!$B$2,C7400)),MAX($B$1:B7399)+1,0)</f>
        <v>0</v>
      </c>
      <c r="D7400" s="33">
        <f>IF(ISNUMBER(SEARCH('Φόρμα Εισαγωγής'!$C$2,E7400)),MAX($D$1:D7399)+1,0)</f>
        <v>0</v>
      </c>
      <c r="H7400" s="6">
        <f t="shared" si="356"/>
        <v>0</v>
      </c>
      <c r="I7400" s="6">
        <f t="shared" si="357"/>
        <v>0</v>
      </c>
      <c r="J7400" s="6">
        <f t="shared" si="358"/>
        <v>0</v>
      </c>
      <c r="L7400" s="4" t="str">
        <f>IFERROR(VLOOKUP(ROWS($L$2:L7400),$B$2:$C$1996,2,0),"")</f>
        <v/>
      </c>
      <c r="N7400" s="2" t="str">
        <f>IFERROR(VLOOKUP(ROWS($N$2:N7400),$D$2:$E$1996,2,0),"")</f>
        <v/>
      </c>
    </row>
    <row r="7401" spans="2:14">
      <c r="B7401" s="32">
        <f>IF(ISNUMBER(SEARCH('Φόρμα Εισαγωγής'!$B$2,C7401)),MAX($B$1:B7400)+1,0)</f>
        <v>0</v>
      </c>
      <c r="D7401" s="33">
        <f>IF(ISNUMBER(SEARCH('Φόρμα Εισαγωγής'!$C$2,E7401)),MAX($D$1:D7400)+1,0)</f>
        <v>0</v>
      </c>
      <c r="H7401" s="6">
        <f t="shared" si="356"/>
        <v>0</v>
      </c>
      <c r="I7401" s="6">
        <f t="shared" si="357"/>
        <v>0</v>
      </c>
      <c r="J7401" s="6">
        <f t="shared" si="358"/>
        <v>0</v>
      </c>
      <c r="L7401" s="4" t="str">
        <f>IFERROR(VLOOKUP(ROWS($L$2:L7401),$B$2:$C$1996,2,0),"")</f>
        <v/>
      </c>
      <c r="N7401" s="2" t="str">
        <f>IFERROR(VLOOKUP(ROWS($N$2:N7401),$D$2:$E$1996,2,0),"")</f>
        <v/>
      </c>
    </row>
    <row r="7402" spans="2:14">
      <c r="B7402" s="32">
        <f>IF(ISNUMBER(SEARCH('Φόρμα Εισαγωγής'!$B$2,C7402)),MAX($B$1:B7401)+1,0)</f>
        <v>0</v>
      </c>
      <c r="D7402" s="33">
        <f>IF(ISNUMBER(SEARCH('Φόρμα Εισαγωγής'!$C$2,E7402)),MAX($D$1:D7401)+1,0)</f>
        <v>0</v>
      </c>
      <c r="H7402" s="6">
        <f t="shared" si="356"/>
        <v>0</v>
      </c>
      <c r="I7402" s="6">
        <f t="shared" si="357"/>
        <v>0</v>
      </c>
      <c r="J7402" s="6">
        <f t="shared" si="358"/>
        <v>0</v>
      </c>
      <c r="L7402" s="4" t="str">
        <f>IFERROR(VLOOKUP(ROWS($L$2:L7402),$B$2:$C$1996,2,0),"")</f>
        <v/>
      </c>
      <c r="N7402" s="2" t="str">
        <f>IFERROR(VLOOKUP(ROWS($N$2:N7402),$D$2:$E$1996,2,0),"")</f>
        <v/>
      </c>
    </row>
    <row r="7403" spans="2:14">
      <c r="B7403" s="32">
        <f>IF(ISNUMBER(SEARCH('Φόρμα Εισαγωγής'!$B$2,C7403)),MAX($B$1:B7402)+1,0)</f>
        <v>0</v>
      </c>
      <c r="D7403" s="33">
        <f>IF(ISNUMBER(SEARCH('Φόρμα Εισαγωγής'!$C$2,E7403)),MAX($D$1:D7402)+1,0)</f>
        <v>0</v>
      </c>
      <c r="H7403" s="6">
        <f t="shared" si="356"/>
        <v>0</v>
      </c>
      <c r="I7403" s="6">
        <f t="shared" si="357"/>
        <v>0</v>
      </c>
      <c r="J7403" s="6">
        <f t="shared" si="358"/>
        <v>0</v>
      </c>
      <c r="L7403" s="4" t="str">
        <f>IFERROR(VLOOKUP(ROWS($L$2:L7403),$B$2:$C$1996,2,0),"")</f>
        <v/>
      </c>
      <c r="N7403" s="2" t="str">
        <f>IFERROR(VLOOKUP(ROWS($N$2:N7403),$D$2:$E$1996,2,0),"")</f>
        <v/>
      </c>
    </row>
    <row r="7404" spans="2:14">
      <c r="B7404" s="32">
        <f>IF(ISNUMBER(SEARCH('Φόρμα Εισαγωγής'!$B$2,C7404)),MAX($B$1:B7403)+1,0)</f>
        <v>0</v>
      </c>
      <c r="D7404" s="33">
        <f>IF(ISNUMBER(SEARCH('Φόρμα Εισαγωγής'!$C$2,E7404)),MAX($D$1:D7403)+1,0)</f>
        <v>0</v>
      </c>
      <c r="H7404" s="6">
        <f t="shared" si="356"/>
        <v>0</v>
      </c>
      <c r="I7404" s="6">
        <f t="shared" si="357"/>
        <v>0</v>
      </c>
      <c r="J7404" s="6">
        <f t="shared" si="358"/>
        <v>0</v>
      </c>
      <c r="L7404" s="4" t="str">
        <f>IFERROR(VLOOKUP(ROWS($L$2:L7404),$B$2:$C$1996,2,0),"")</f>
        <v/>
      </c>
      <c r="N7404" s="2" t="str">
        <f>IFERROR(VLOOKUP(ROWS($N$2:N7404),$D$2:$E$1996,2,0),"")</f>
        <v/>
      </c>
    </row>
    <row r="7405" spans="2:14">
      <c r="B7405" s="32">
        <f>IF(ISNUMBER(SEARCH('Φόρμα Εισαγωγής'!$B$2,C7405)),MAX($B$1:B7404)+1,0)</f>
        <v>0</v>
      </c>
      <c r="D7405" s="33">
        <f>IF(ISNUMBER(SEARCH('Φόρμα Εισαγωγής'!$C$2,E7405)),MAX($D$1:D7404)+1,0)</f>
        <v>0</v>
      </c>
      <c r="H7405" s="6">
        <f t="shared" si="356"/>
        <v>0</v>
      </c>
      <c r="I7405" s="6">
        <f t="shared" si="357"/>
        <v>0</v>
      </c>
      <c r="J7405" s="6">
        <f t="shared" si="358"/>
        <v>0</v>
      </c>
      <c r="L7405" s="4" t="str">
        <f>IFERROR(VLOOKUP(ROWS($L$2:L7405),$B$2:$C$1996,2,0),"")</f>
        <v/>
      </c>
      <c r="N7405" s="2" t="str">
        <f>IFERROR(VLOOKUP(ROWS($N$2:N7405),$D$2:$E$1996,2,0),"")</f>
        <v/>
      </c>
    </row>
    <row r="7406" spans="2:14">
      <c r="B7406" s="32">
        <f>IF(ISNUMBER(SEARCH('Φόρμα Εισαγωγής'!$B$2,C7406)),MAX($B$1:B7405)+1,0)</f>
        <v>0</v>
      </c>
      <c r="D7406" s="33">
        <f>IF(ISNUMBER(SEARCH('Φόρμα Εισαγωγής'!$C$2,E7406)),MAX($D$1:D7405)+1,0)</f>
        <v>0</v>
      </c>
      <c r="H7406" s="6">
        <f t="shared" si="356"/>
        <v>0</v>
      </c>
      <c r="I7406" s="6">
        <f t="shared" si="357"/>
        <v>0</v>
      </c>
      <c r="J7406" s="6">
        <f t="shared" si="358"/>
        <v>0</v>
      </c>
      <c r="L7406" s="4" t="str">
        <f>IFERROR(VLOOKUP(ROWS($L$2:L7406),$B$2:$C$1996,2,0),"")</f>
        <v/>
      </c>
      <c r="N7406" s="2" t="str">
        <f>IFERROR(VLOOKUP(ROWS($N$2:N7406),$D$2:$E$1996,2,0),"")</f>
        <v/>
      </c>
    </row>
    <row r="7407" spans="2:14">
      <c r="B7407" s="32">
        <f>IF(ISNUMBER(SEARCH('Φόρμα Εισαγωγής'!$B$2,C7407)),MAX($B$1:B7406)+1,0)</f>
        <v>0</v>
      </c>
      <c r="D7407" s="33">
        <f>IF(ISNUMBER(SEARCH('Φόρμα Εισαγωγής'!$C$2,E7407)),MAX($D$1:D7406)+1,0)</f>
        <v>0</v>
      </c>
      <c r="H7407" s="6">
        <f t="shared" si="356"/>
        <v>0</v>
      </c>
      <c r="I7407" s="6">
        <f t="shared" si="357"/>
        <v>0</v>
      </c>
      <c r="J7407" s="6">
        <f t="shared" si="358"/>
        <v>0</v>
      </c>
      <c r="L7407" s="4" t="str">
        <f>IFERROR(VLOOKUP(ROWS($L$2:L7407),$B$2:$C$1996,2,0),"")</f>
        <v/>
      </c>
      <c r="N7407" s="2" t="str">
        <f>IFERROR(VLOOKUP(ROWS($N$2:N7407),$D$2:$E$1996,2,0),"")</f>
        <v/>
      </c>
    </row>
    <row r="7408" spans="2:14">
      <c r="B7408" s="32">
        <f>IF(ISNUMBER(SEARCH('Φόρμα Εισαγωγής'!$B$2,C7408)),MAX($B$1:B7407)+1,0)</f>
        <v>0</v>
      </c>
      <c r="D7408" s="33">
        <f>IF(ISNUMBER(SEARCH('Φόρμα Εισαγωγής'!$C$2,E7408)),MAX($D$1:D7407)+1,0)</f>
        <v>0</v>
      </c>
      <c r="H7408" s="6">
        <f t="shared" si="356"/>
        <v>0</v>
      </c>
      <c r="I7408" s="6">
        <f t="shared" si="357"/>
        <v>0</v>
      </c>
      <c r="J7408" s="6">
        <f t="shared" si="358"/>
        <v>0</v>
      </c>
      <c r="L7408" s="4" t="str">
        <f>IFERROR(VLOOKUP(ROWS($L$2:L7408),$B$2:$C$1996,2,0),"")</f>
        <v/>
      </c>
      <c r="N7408" s="2" t="str">
        <f>IFERROR(VLOOKUP(ROWS($N$2:N7408),$D$2:$E$1996,2,0),"")</f>
        <v/>
      </c>
    </row>
    <row r="7409" spans="2:14">
      <c r="B7409" s="32">
        <f>IF(ISNUMBER(SEARCH('Φόρμα Εισαγωγής'!$B$2,C7409)),MAX($B$1:B7408)+1,0)</f>
        <v>0</v>
      </c>
      <c r="D7409" s="33">
        <f>IF(ISNUMBER(SEARCH('Φόρμα Εισαγωγής'!$C$2,E7409)),MAX($D$1:D7408)+1,0)</f>
        <v>0</v>
      </c>
      <c r="H7409" s="6">
        <f t="shared" si="356"/>
        <v>0</v>
      </c>
      <c r="I7409" s="6">
        <f t="shared" si="357"/>
        <v>0</v>
      </c>
      <c r="J7409" s="6">
        <f t="shared" si="358"/>
        <v>0</v>
      </c>
      <c r="L7409" s="4" t="str">
        <f>IFERROR(VLOOKUP(ROWS($L$2:L7409),$B$2:$C$1996,2,0),"")</f>
        <v/>
      </c>
      <c r="N7409" s="2" t="str">
        <f>IFERROR(VLOOKUP(ROWS($N$2:N7409),$D$2:$E$1996,2,0),"")</f>
        <v/>
      </c>
    </row>
    <row r="7410" spans="2:14">
      <c r="B7410" s="32">
        <f>IF(ISNUMBER(SEARCH('Φόρμα Εισαγωγής'!$B$2,C7410)),MAX($B$1:B7409)+1,0)</f>
        <v>0</v>
      </c>
      <c r="D7410" s="33">
        <f>IF(ISNUMBER(SEARCH('Φόρμα Εισαγωγής'!$C$2,E7410)),MAX($D$1:D7409)+1,0)</f>
        <v>0</v>
      </c>
      <c r="H7410" s="6">
        <f t="shared" si="356"/>
        <v>0</v>
      </c>
      <c r="I7410" s="6">
        <f t="shared" si="357"/>
        <v>0</v>
      </c>
      <c r="J7410" s="6">
        <f t="shared" si="358"/>
        <v>0</v>
      </c>
      <c r="L7410" s="4" t="str">
        <f>IFERROR(VLOOKUP(ROWS($L$2:L7410),$B$2:$C$1996,2,0),"")</f>
        <v/>
      </c>
      <c r="N7410" s="2" t="str">
        <f>IFERROR(VLOOKUP(ROWS($N$2:N7410),$D$2:$E$1996,2,0),"")</f>
        <v/>
      </c>
    </row>
    <row r="7411" spans="2:14">
      <c r="B7411" s="32">
        <f>IF(ISNUMBER(SEARCH('Φόρμα Εισαγωγής'!$B$2,C7411)),MAX($B$1:B7410)+1,0)</f>
        <v>0</v>
      </c>
      <c r="D7411" s="33">
        <f>IF(ISNUMBER(SEARCH('Φόρμα Εισαγωγής'!$C$2,E7411)),MAX($D$1:D7410)+1,0)</f>
        <v>0</v>
      </c>
      <c r="H7411" s="6">
        <f t="shared" si="356"/>
        <v>0</v>
      </c>
      <c r="I7411" s="6">
        <f t="shared" si="357"/>
        <v>0</v>
      </c>
      <c r="J7411" s="6">
        <f t="shared" si="358"/>
        <v>0</v>
      </c>
      <c r="L7411" s="4" t="str">
        <f>IFERROR(VLOOKUP(ROWS($L$2:L7411),$B$2:$C$1996,2,0),"")</f>
        <v/>
      </c>
      <c r="N7411" s="2" t="str">
        <f>IFERROR(VLOOKUP(ROWS($N$2:N7411),$D$2:$E$1996,2,0),"")</f>
        <v/>
      </c>
    </row>
    <row r="7412" spans="2:14">
      <c r="B7412" s="32">
        <f>IF(ISNUMBER(SEARCH('Φόρμα Εισαγωγής'!$B$2,C7412)),MAX($B$1:B7411)+1,0)</f>
        <v>0</v>
      </c>
      <c r="D7412" s="33">
        <f>IF(ISNUMBER(SEARCH('Φόρμα Εισαγωγής'!$C$2,E7412)),MAX($D$1:D7411)+1,0)</f>
        <v>0</v>
      </c>
      <c r="H7412" s="6">
        <f t="shared" si="356"/>
        <v>0</v>
      </c>
      <c r="I7412" s="6">
        <f t="shared" si="357"/>
        <v>0</v>
      </c>
      <c r="J7412" s="6">
        <f t="shared" si="358"/>
        <v>0</v>
      </c>
      <c r="L7412" s="4" t="str">
        <f>IFERROR(VLOOKUP(ROWS($L$2:L7412),$B$2:$C$1996,2,0),"")</f>
        <v/>
      </c>
      <c r="N7412" s="2" t="str">
        <f>IFERROR(VLOOKUP(ROWS($N$2:N7412),$D$2:$E$1996,2,0),"")</f>
        <v/>
      </c>
    </row>
    <row r="7413" spans="2:14">
      <c r="B7413" s="32">
        <f>IF(ISNUMBER(SEARCH('Φόρμα Εισαγωγής'!$B$2,C7413)),MAX($B$1:B7412)+1,0)</f>
        <v>0</v>
      </c>
      <c r="D7413" s="33">
        <f>IF(ISNUMBER(SEARCH('Φόρμα Εισαγωγής'!$C$2,E7413)),MAX($D$1:D7412)+1,0)</f>
        <v>0</v>
      </c>
      <c r="H7413" s="6">
        <f t="shared" si="356"/>
        <v>0</v>
      </c>
      <c r="I7413" s="6">
        <f t="shared" si="357"/>
        <v>0</v>
      </c>
      <c r="J7413" s="6">
        <f t="shared" si="358"/>
        <v>0</v>
      </c>
      <c r="L7413" s="4" t="str">
        <f>IFERROR(VLOOKUP(ROWS($L$2:L7413),$B$2:$C$1996,2,0),"")</f>
        <v/>
      </c>
      <c r="N7413" s="2" t="str">
        <f>IFERROR(VLOOKUP(ROWS($N$2:N7413),$D$2:$E$1996,2,0),"")</f>
        <v/>
      </c>
    </row>
    <row r="7414" spans="2:14">
      <c r="B7414" s="32">
        <f>IF(ISNUMBER(SEARCH('Φόρμα Εισαγωγής'!$B$2,C7414)),MAX($B$1:B7413)+1,0)</f>
        <v>0</v>
      </c>
      <c r="D7414" s="33">
        <f>IF(ISNUMBER(SEARCH('Φόρμα Εισαγωγής'!$C$2,E7414)),MAX($D$1:D7413)+1,0)</f>
        <v>0</v>
      </c>
      <c r="H7414" s="6">
        <f t="shared" si="356"/>
        <v>0</v>
      </c>
      <c r="I7414" s="6">
        <f t="shared" si="357"/>
        <v>0</v>
      </c>
      <c r="J7414" s="6">
        <f t="shared" si="358"/>
        <v>0</v>
      </c>
      <c r="L7414" s="4" t="str">
        <f>IFERROR(VLOOKUP(ROWS($L$2:L7414),$B$2:$C$1996,2,0),"")</f>
        <v/>
      </c>
      <c r="N7414" s="2" t="str">
        <f>IFERROR(VLOOKUP(ROWS($N$2:N7414),$D$2:$E$1996,2,0),"")</f>
        <v/>
      </c>
    </row>
    <row r="7415" spans="2:14">
      <c r="B7415" s="32">
        <f>IF(ISNUMBER(SEARCH('Φόρμα Εισαγωγής'!$B$2,C7415)),MAX($B$1:B7414)+1,0)</f>
        <v>0</v>
      </c>
      <c r="D7415" s="33">
        <f>IF(ISNUMBER(SEARCH('Φόρμα Εισαγωγής'!$C$2,E7415)),MAX($D$1:D7414)+1,0)</f>
        <v>0</v>
      </c>
      <c r="H7415" s="6">
        <f t="shared" si="356"/>
        <v>0</v>
      </c>
      <c r="I7415" s="6">
        <f t="shared" si="357"/>
        <v>0</v>
      </c>
      <c r="J7415" s="6">
        <f t="shared" si="358"/>
        <v>0</v>
      </c>
      <c r="L7415" s="4" t="str">
        <f>IFERROR(VLOOKUP(ROWS($L$2:L7415),$B$2:$C$1996,2,0),"")</f>
        <v/>
      </c>
      <c r="N7415" s="2" t="str">
        <f>IFERROR(VLOOKUP(ROWS($N$2:N7415),$D$2:$E$1996,2,0),"")</f>
        <v/>
      </c>
    </row>
    <row r="7416" spans="2:14">
      <c r="B7416" s="32">
        <f>IF(ISNUMBER(SEARCH('Φόρμα Εισαγωγής'!$B$2,C7416)),MAX($B$1:B7415)+1,0)</f>
        <v>0</v>
      </c>
      <c r="D7416" s="33">
        <f>IF(ISNUMBER(SEARCH('Φόρμα Εισαγωγής'!$C$2,E7416)),MAX($D$1:D7415)+1,0)</f>
        <v>0</v>
      </c>
      <c r="H7416" s="6">
        <f t="shared" si="356"/>
        <v>0</v>
      </c>
      <c r="I7416" s="6">
        <f t="shared" si="357"/>
        <v>0</v>
      </c>
      <c r="J7416" s="6">
        <f t="shared" si="358"/>
        <v>0</v>
      </c>
      <c r="L7416" s="4" t="str">
        <f>IFERROR(VLOOKUP(ROWS($L$2:L7416),$B$2:$C$1996,2,0),"")</f>
        <v/>
      </c>
      <c r="N7416" s="2" t="str">
        <f>IFERROR(VLOOKUP(ROWS($N$2:N7416),$D$2:$E$1996,2,0),"")</f>
        <v/>
      </c>
    </row>
    <row r="7417" spans="2:14">
      <c r="B7417" s="32">
        <f>IF(ISNUMBER(SEARCH('Φόρμα Εισαγωγής'!$B$2,C7417)),MAX($B$1:B7416)+1,0)</f>
        <v>0</v>
      </c>
      <c r="D7417" s="33">
        <f>IF(ISNUMBER(SEARCH('Φόρμα Εισαγωγής'!$C$2,E7417)),MAX($D$1:D7416)+1,0)</f>
        <v>0</v>
      </c>
      <c r="H7417" s="6">
        <f t="shared" si="356"/>
        <v>0</v>
      </c>
      <c r="I7417" s="6">
        <f t="shared" si="357"/>
        <v>0</v>
      </c>
      <c r="J7417" s="6">
        <f t="shared" si="358"/>
        <v>0</v>
      </c>
      <c r="L7417" s="4" t="str">
        <f>IFERROR(VLOOKUP(ROWS($L$2:L7417),$B$2:$C$1996,2,0),"")</f>
        <v/>
      </c>
      <c r="N7417" s="2" t="str">
        <f>IFERROR(VLOOKUP(ROWS($N$2:N7417),$D$2:$E$1996,2,0),"")</f>
        <v/>
      </c>
    </row>
    <row r="7418" spans="2:14">
      <c r="B7418" s="32">
        <f>IF(ISNUMBER(SEARCH('Φόρμα Εισαγωγής'!$B$2,C7418)),MAX($B$1:B7417)+1,0)</f>
        <v>0</v>
      </c>
      <c r="D7418" s="33">
        <f>IF(ISNUMBER(SEARCH('Φόρμα Εισαγωγής'!$C$2,E7418)),MAX($D$1:D7417)+1,0)</f>
        <v>0</v>
      </c>
      <c r="H7418" s="6">
        <f t="shared" si="356"/>
        <v>0</v>
      </c>
      <c r="I7418" s="6">
        <f t="shared" si="357"/>
        <v>0</v>
      </c>
      <c r="J7418" s="6">
        <f t="shared" si="358"/>
        <v>0</v>
      </c>
      <c r="L7418" s="4" t="str">
        <f>IFERROR(VLOOKUP(ROWS($L$2:L7418),$B$2:$C$1996,2,0),"")</f>
        <v/>
      </c>
      <c r="N7418" s="2" t="str">
        <f>IFERROR(VLOOKUP(ROWS($N$2:N7418),$D$2:$E$1996,2,0),"")</f>
        <v/>
      </c>
    </row>
    <row r="7419" spans="2:14">
      <c r="B7419" s="32">
        <f>IF(ISNUMBER(SEARCH('Φόρμα Εισαγωγής'!$B$2,C7419)),MAX($B$1:B7418)+1,0)</f>
        <v>0</v>
      </c>
      <c r="D7419" s="33">
        <f>IF(ISNUMBER(SEARCH('Φόρμα Εισαγωγής'!$C$2,E7419)),MAX($D$1:D7418)+1,0)</f>
        <v>0</v>
      </c>
      <c r="H7419" s="6">
        <f t="shared" si="356"/>
        <v>0</v>
      </c>
      <c r="I7419" s="6">
        <f t="shared" si="357"/>
        <v>0</v>
      </c>
      <c r="J7419" s="6">
        <f t="shared" si="358"/>
        <v>0</v>
      </c>
      <c r="L7419" s="4" t="str">
        <f>IFERROR(VLOOKUP(ROWS($L$2:L7419),$B$2:$C$1996,2,0),"")</f>
        <v/>
      </c>
      <c r="N7419" s="2" t="str">
        <f>IFERROR(VLOOKUP(ROWS($N$2:N7419),$D$2:$E$1996,2,0),"")</f>
        <v/>
      </c>
    </row>
    <row r="7420" spans="2:14">
      <c r="B7420" s="32">
        <f>IF(ISNUMBER(SEARCH('Φόρμα Εισαγωγής'!$B$2,C7420)),MAX($B$1:B7419)+1,0)</f>
        <v>0</v>
      </c>
      <c r="D7420" s="33">
        <f>IF(ISNUMBER(SEARCH('Φόρμα Εισαγωγής'!$C$2,E7420)),MAX($D$1:D7419)+1,0)</f>
        <v>0</v>
      </c>
      <c r="H7420" s="6">
        <f t="shared" si="356"/>
        <v>0</v>
      </c>
      <c r="I7420" s="6">
        <f t="shared" si="357"/>
        <v>0</v>
      </c>
      <c r="J7420" s="6">
        <f t="shared" si="358"/>
        <v>0</v>
      </c>
      <c r="L7420" s="4" t="str">
        <f>IFERROR(VLOOKUP(ROWS($L$2:L7420),$B$2:$C$1996,2,0),"")</f>
        <v/>
      </c>
      <c r="N7420" s="2" t="str">
        <f>IFERROR(VLOOKUP(ROWS($N$2:N7420),$D$2:$E$1996,2,0),"")</f>
        <v/>
      </c>
    </row>
    <row r="7421" spans="2:14">
      <c r="B7421" s="32">
        <f>IF(ISNUMBER(SEARCH('Φόρμα Εισαγωγής'!$B$2,C7421)),MAX($B$1:B7420)+1,0)</f>
        <v>0</v>
      </c>
      <c r="D7421" s="33">
        <f>IF(ISNUMBER(SEARCH('Φόρμα Εισαγωγής'!$C$2,E7421)),MAX($D$1:D7420)+1,0)</f>
        <v>0</v>
      </c>
      <c r="H7421" s="6">
        <f t="shared" si="356"/>
        <v>0</v>
      </c>
      <c r="I7421" s="6">
        <f t="shared" si="357"/>
        <v>0</v>
      </c>
      <c r="J7421" s="6">
        <f t="shared" si="358"/>
        <v>0</v>
      </c>
      <c r="L7421" s="4" t="str">
        <f>IFERROR(VLOOKUP(ROWS($L$2:L7421),$B$2:$C$1996,2,0),"")</f>
        <v/>
      </c>
      <c r="N7421" s="2" t="str">
        <f>IFERROR(VLOOKUP(ROWS($N$2:N7421),$D$2:$E$1996,2,0),"")</f>
        <v/>
      </c>
    </row>
    <row r="7422" spans="2:14">
      <c r="B7422" s="32">
        <f>IF(ISNUMBER(SEARCH('Φόρμα Εισαγωγής'!$B$2,C7422)),MAX($B$1:B7421)+1,0)</f>
        <v>0</v>
      </c>
      <c r="D7422" s="33">
        <f>IF(ISNUMBER(SEARCH('Φόρμα Εισαγωγής'!$C$2,E7422)),MAX($D$1:D7421)+1,0)</f>
        <v>0</v>
      </c>
      <c r="H7422" s="6">
        <f t="shared" si="356"/>
        <v>0</v>
      </c>
      <c r="I7422" s="6">
        <f t="shared" si="357"/>
        <v>0</v>
      </c>
      <c r="J7422" s="6">
        <f t="shared" si="358"/>
        <v>0</v>
      </c>
      <c r="L7422" s="4" t="str">
        <f>IFERROR(VLOOKUP(ROWS($L$2:L7422),$B$2:$C$1996,2,0),"")</f>
        <v/>
      </c>
      <c r="N7422" s="2" t="str">
        <f>IFERROR(VLOOKUP(ROWS($N$2:N7422),$D$2:$E$1996,2,0),"")</f>
        <v/>
      </c>
    </row>
    <row r="7423" spans="2:14">
      <c r="B7423" s="32">
        <f>IF(ISNUMBER(SEARCH('Φόρμα Εισαγωγής'!$B$2,C7423)),MAX($B$1:B7422)+1,0)</f>
        <v>0</v>
      </c>
      <c r="D7423" s="33">
        <f>IF(ISNUMBER(SEARCH('Φόρμα Εισαγωγής'!$C$2,E7423)),MAX($D$1:D7422)+1,0)</f>
        <v>0</v>
      </c>
      <c r="H7423" s="6">
        <f t="shared" si="356"/>
        <v>0</v>
      </c>
      <c r="I7423" s="6">
        <f t="shared" si="357"/>
        <v>0</v>
      </c>
      <c r="J7423" s="6">
        <f t="shared" si="358"/>
        <v>0</v>
      </c>
      <c r="L7423" s="4" t="str">
        <f>IFERROR(VLOOKUP(ROWS($L$2:L7423),$B$2:$C$1996,2,0),"")</f>
        <v/>
      </c>
      <c r="N7423" s="2" t="str">
        <f>IFERROR(VLOOKUP(ROWS($N$2:N7423),$D$2:$E$1996,2,0),"")</f>
        <v/>
      </c>
    </row>
    <row r="7424" spans="2:14">
      <c r="B7424" s="32">
        <f>IF(ISNUMBER(SEARCH('Φόρμα Εισαγωγής'!$B$2,C7424)),MAX($B$1:B7423)+1,0)</f>
        <v>0</v>
      </c>
      <c r="D7424" s="33">
        <f>IF(ISNUMBER(SEARCH('Φόρμα Εισαγωγής'!$C$2,E7424)),MAX($D$1:D7423)+1,0)</f>
        <v>0</v>
      </c>
      <c r="H7424" s="6">
        <f t="shared" ref="H7424:H7487" si="359">G7424+(G7424*0.24)</f>
        <v>0</v>
      </c>
      <c r="I7424" s="6">
        <f t="shared" ref="I7424:I7487" si="360">F7424*A7424</f>
        <v>0</v>
      </c>
      <c r="J7424" s="6">
        <f t="shared" ref="J7424:J7487" si="361">H7424*A7424</f>
        <v>0</v>
      </c>
      <c r="L7424" s="4" t="str">
        <f>IFERROR(VLOOKUP(ROWS($L$2:L7424),$B$2:$C$1996,2,0),"")</f>
        <v/>
      </c>
      <c r="N7424" s="2" t="str">
        <f>IFERROR(VLOOKUP(ROWS($N$2:N7424),$D$2:$E$1996,2,0),"")</f>
        <v/>
      </c>
    </row>
    <row r="7425" spans="2:14">
      <c r="B7425" s="32">
        <f>IF(ISNUMBER(SEARCH('Φόρμα Εισαγωγής'!$B$2,C7425)),MAX($B$1:B7424)+1,0)</f>
        <v>0</v>
      </c>
      <c r="D7425" s="33">
        <f>IF(ISNUMBER(SEARCH('Φόρμα Εισαγωγής'!$C$2,E7425)),MAX($D$1:D7424)+1,0)</f>
        <v>0</v>
      </c>
      <c r="H7425" s="6">
        <f t="shared" si="359"/>
        <v>0</v>
      </c>
      <c r="I7425" s="6">
        <f t="shared" si="360"/>
        <v>0</v>
      </c>
      <c r="J7425" s="6">
        <f t="shared" si="361"/>
        <v>0</v>
      </c>
      <c r="L7425" s="4" t="str">
        <f>IFERROR(VLOOKUP(ROWS($L$2:L7425),$B$2:$C$1996,2,0),"")</f>
        <v/>
      </c>
      <c r="N7425" s="2" t="str">
        <f>IFERROR(VLOOKUP(ROWS($N$2:N7425),$D$2:$E$1996,2,0),"")</f>
        <v/>
      </c>
    </row>
    <row r="7426" spans="2:14">
      <c r="B7426" s="32">
        <f>IF(ISNUMBER(SEARCH('Φόρμα Εισαγωγής'!$B$2,C7426)),MAX($B$1:B7425)+1,0)</f>
        <v>0</v>
      </c>
      <c r="D7426" s="33">
        <f>IF(ISNUMBER(SEARCH('Φόρμα Εισαγωγής'!$C$2,E7426)),MAX($D$1:D7425)+1,0)</f>
        <v>0</v>
      </c>
      <c r="H7426" s="6">
        <f t="shared" si="359"/>
        <v>0</v>
      </c>
      <c r="I7426" s="6">
        <f t="shared" si="360"/>
        <v>0</v>
      </c>
      <c r="J7426" s="6">
        <f t="shared" si="361"/>
        <v>0</v>
      </c>
      <c r="L7426" s="4" t="str">
        <f>IFERROR(VLOOKUP(ROWS($L$2:L7426),$B$2:$C$1996,2,0),"")</f>
        <v/>
      </c>
      <c r="N7426" s="2" t="str">
        <f>IFERROR(VLOOKUP(ROWS($N$2:N7426),$D$2:$E$1996,2,0),"")</f>
        <v/>
      </c>
    </row>
    <row r="7427" spans="2:14">
      <c r="B7427" s="32">
        <f>IF(ISNUMBER(SEARCH('Φόρμα Εισαγωγής'!$B$2,C7427)),MAX($B$1:B7426)+1,0)</f>
        <v>0</v>
      </c>
      <c r="D7427" s="33">
        <f>IF(ISNUMBER(SEARCH('Φόρμα Εισαγωγής'!$C$2,E7427)),MAX($D$1:D7426)+1,0)</f>
        <v>0</v>
      </c>
      <c r="H7427" s="6">
        <f t="shared" si="359"/>
        <v>0</v>
      </c>
      <c r="I7427" s="6">
        <f t="shared" si="360"/>
        <v>0</v>
      </c>
      <c r="J7427" s="6">
        <f t="shared" si="361"/>
        <v>0</v>
      </c>
      <c r="L7427" s="4" t="str">
        <f>IFERROR(VLOOKUP(ROWS($L$2:L7427),$B$2:$C$1996,2,0),"")</f>
        <v/>
      </c>
      <c r="N7427" s="2" t="str">
        <f>IFERROR(VLOOKUP(ROWS($N$2:N7427),$D$2:$E$1996,2,0),"")</f>
        <v/>
      </c>
    </row>
    <row r="7428" spans="2:14">
      <c r="B7428" s="32">
        <f>IF(ISNUMBER(SEARCH('Φόρμα Εισαγωγής'!$B$2,C7428)),MAX($B$1:B7427)+1,0)</f>
        <v>0</v>
      </c>
      <c r="D7428" s="33">
        <f>IF(ISNUMBER(SEARCH('Φόρμα Εισαγωγής'!$C$2,E7428)),MAX($D$1:D7427)+1,0)</f>
        <v>0</v>
      </c>
      <c r="H7428" s="6">
        <f t="shared" si="359"/>
        <v>0</v>
      </c>
      <c r="I7428" s="6">
        <f t="shared" si="360"/>
        <v>0</v>
      </c>
      <c r="J7428" s="6">
        <f t="shared" si="361"/>
        <v>0</v>
      </c>
      <c r="L7428" s="4" t="str">
        <f>IFERROR(VLOOKUP(ROWS($L$2:L7428),$B$2:$C$1996,2,0),"")</f>
        <v/>
      </c>
      <c r="N7428" s="2" t="str">
        <f>IFERROR(VLOOKUP(ROWS($N$2:N7428),$D$2:$E$1996,2,0),"")</f>
        <v/>
      </c>
    </row>
    <row r="7429" spans="2:14">
      <c r="B7429" s="32">
        <f>IF(ISNUMBER(SEARCH('Φόρμα Εισαγωγής'!$B$2,C7429)),MAX($B$1:B7428)+1,0)</f>
        <v>0</v>
      </c>
      <c r="D7429" s="33">
        <f>IF(ISNUMBER(SEARCH('Φόρμα Εισαγωγής'!$C$2,E7429)),MAX($D$1:D7428)+1,0)</f>
        <v>0</v>
      </c>
      <c r="H7429" s="6">
        <f t="shared" si="359"/>
        <v>0</v>
      </c>
      <c r="I7429" s="6">
        <f t="shared" si="360"/>
        <v>0</v>
      </c>
      <c r="J7429" s="6">
        <f t="shared" si="361"/>
        <v>0</v>
      </c>
      <c r="L7429" s="4" t="str">
        <f>IFERROR(VLOOKUP(ROWS($L$2:L7429),$B$2:$C$1996,2,0),"")</f>
        <v/>
      </c>
      <c r="N7429" s="2" t="str">
        <f>IFERROR(VLOOKUP(ROWS($N$2:N7429),$D$2:$E$1996,2,0),"")</f>
        <v/>
      </c>
    </row>
    <row r="7430" spans="2:14">
      <c r="B7430" s="32">
        <f>IF(ISNUMBER(SEARCH('Φόρμα Εισαγωγής'!$B$2,C7430)),MAX($B$1:B7429)+1,0)</f>
        <v>0</v>
      </c>
      <c r="D7430" s="33">
        <f>IF(ISNUMBER(SEARCH('Φόρμα Εισαγωγής'!$C$2,E7430)),MAX($D$1:D7429)+1,0)</f>
        <v>0</v>
      </c>
      <c r="H7430" s="6">
        <f t="shared" si="359"/>
        <v>0</v>
      </c>
      <c r="I7430" s="6">
        <f t="shared" si="360"/>
        <v>0</v>
      </c>
      <c r="J7430" s="6">
        <f t="shared" si="361"/>
        <v>0</v>
      </c>
      <c r="L7430" s="4" t="str">
        <f>IFERROR(VLOOKUP(ROWS($L$2:L7430),$B$2:$C$1996,2,0),"")</f>
        <v/>
      </c>
      <c r="N7430" s="2" t="str">
        <f>IFERROR(VLOOKUP(ROWS($N$2:N7430),$D$2:$E$1996,2,0),"")</f>
        <v/>
      </c>
    </row>
    <row r="7431" spans="2:14">
      <c r="B7431" s="32">
        <f>IF(ISNUMBER(SEARCH('Φόρμα Εισαγωγής'!$B$2,C7431)),MAX($B$1:B7430)+1,0)</f>
        <v>0</v>
      </c>
      <c r="D7431" s="33">
        <f>IF(ISNUMBER(SEARCH('Φόρμα Εισαγωγής'!$C$2,E7431)),MAX($D$1:D7430)+1,0)</f>
        <v>0</v>
      </c>
      <c r="H7431" s="6">
        <f t="shared" si="359"/>
        <v>0</v>
      </c>
      <c r="I7431" s="6">
        <f t="shared" si="360"/>
        <v>0</v>
      </c>
      <c r="J7431" s="6">
        <f t="shared" si="361"/>
        <v>0</v>
      </c>
      <c r="L7431" s="4" t="str">
        <f>IFERROR(VLOOKUP(ROWS($L$2:L7431),$B$2:$C$1996,2,0),"")</f>
        <v/>
      </c>
      <c r="N7431" s="2" t="str">
        <f>IFERROR(VLOOKUP(ROWS($N$2:N7431),$D$2:$E$1996,2,0),"")</f>
        <v/>
      </c>
    </row>
    <row r="7432" spans="2:14">
      <c r="B7432" s="32">
        <f>IF(ISNUMBER(SEARCH('Φόρμα Εισαγωγής'!$B$2,C7432)),MAX($B$1:B7431)+1,0)</f>
        <v>0</v>
      </c>
      <c r="D7432" s="33">
        <f>IF(ISNUMBER(SEARCH('Φόρμα Εισαγωγής'!$C$2,E7432)),MAX($D$1:D7431)+1,0)</f>
        <v>0</v>
      </c>
      <c r="H7432" s="6">
        <f t="shared" si="359"/>
        <v>0</v>
      </c>
      <c r="I7432" s="6">
        <f t="shared" si="360"/>
        <v>0</v>
      </c>
      <c r="J7432" s="6">
        <f t="shared" si="361"/>
        <v>0</v>
      </c>
      <c r="L7432" s="4" t="str">
        <f>IFERROR(VLOOKUP(ROWS($L$2:L7432),$B$2:$C$1996,2,0),"")</f>
        <v/>
      </c>
      <c r="N7432" s="2" t="str">
        <f>IFERROR(VLOOKUP(ROWS($N$2:N7432),$D$2:$E$1996,2,0),"")</f>
        <v/>
      </c>
    </row>
    <row r="7433" spans="2:14">
      <c r="B7433" s="32">
        <f>IF(ISNUMBER(SEARCH('Φόρμα Εισαγωγής'!$B$2,C7433)),MAX($B$1:B7432)+1,0)</f>
        <v>0</v>
      </c>
      <c r="D7433" s="33">
        <f>IF(ISNUMBER(SEARCH('Φόρμα Εισαγωγής'!$C$2,E7433)),MAX($D$1:D7432)+1,0)</f>
        <v>0</v>
      </c>
      <c r="H7433" s="6">
        <f t="shared" si="359"/>
        <v>0</v>
      </c>
      <c r="I7433" s="6">
        <f t="shared" si="360"/>
        <v>0</v>
      </c>
      <c r="J7433" s="6">
        <f t="shared" si="361"/>
        <v>0</v>
      </c>
      <c r="L7433" s="4" t="str">
        <f>IFERROR(VLOOKUP(ROWS($L$2:L7433),$B$2:$C$1996,2,0),"")</f>
        <v/>
      </c>
      <c r="N7433" s="2" t="str">
        <f>IFERROR(VLOOKUP(ROWS($N$2:N7433),$D$2:$E$1996,2,0),"")</f>
        <v/>
      </c>
    </row>
    <row r="7434" spans="2:14">
      <c r="B7434" s="32">
        <f>IF(ISNUMBER(SEARCH('Φόρμα Εισαγωγής'!$B$2,C7434)),MAX($B$1:B7433)+1,0)</f>
        <v>0</v>
      </c>
      <c r="D7434" s="33">
        <f>IF(ISNUMBER(SEARCH('Φόρμα Εισαγωγής'!$C$2,E7434)),MAX($D$1:D7433)+1,0)</f>
        <v>0</v>
      </c>
      <c r="H7434" s="6">
        <f t="shared" si="359"/>
        <v>0</v>
      </c>
      <c r="I7434" s="6">
        <f t="shared" si="360"/>
        <v>0</v>
      </c>
      <c r="J7434" s="6">
        <f t="shared" si="361"/>
        <v>0</v>
      </c>
      <c r="L7434" s="4" t="str">
        <f>IFERROR(VLOOKUP(ROWS($L$2:L7434),$B$2:$C$1996,2,0),"")</f>
        <v/>
      </c>
      <c r="N7434" s="2" t="str">
        <f>IFERROR(VLOOKUP(ROWS($N$2:N7434),$D$2:$E$1996,2,0),"")</f>
        <v/>
      </c>
    </row>
    <row r="7435" spans="2:14">
      <c r="B7435" s="32">
        <f>IF(ISNUMBER(SEARCH('Φόρμα Εισαγωγής'!$B$2,C7435)),MAX($B$1:B7434)+1,0)</f>
        <v>0</v>
      </c>
      <c r="D7435" s="33">
        <f>IF(ISNUMBER(SEARCH('Φόρμα Εισαγωγής'!$C$2,E7435)),MAX($D$1:D7434)+1,0)</f>
        <v>0</v>
      </c>
      <c r="H7435" s="6">
        <f t="shared" si="359"/>
        <v>0</v>
      </c>
      <c r="I7435" s="6">
        <f t="shared" si="360"/>
        <v>0</v>
      </c>
      <c r="J7435" s="6">
        <f t="shared" si="361"/>
        <v>0</v>
      </c>
      <c r="L7435" s="4" t="str">
        <f>IFERROR(VLOOKUP(ROWS($L$2:L7435),$B$2:$C$1996,2,0),"")</f>
        <v/>
      </c>
      <c r="N7435" s="2" t="str">
        <f>IFERROR(VLOOKUP(ROWS($N$2:N7435),$D$2:$E$1996,2,0),"")</f>
        <v/>
      </c>
    </row>
    <row r="7436" spans="2:14">
      <c r="B7436" s="32">
        <f>IF(ISNUMBER(SEARCH('Φόρμα Εισαγωγής'!$B$2,C7436)),MAX($B$1:B7435)+1,0)</f>
        <v>0</v>
      </c>
      <c r="D7436" s="33">
        <f>IF(ISNUMBER(SEARCH('Φόρμα Εισαγωγής'!$C$2,E7436)),MAX($D$1:D7435)+1,0)</f>
        <v>0</v>
      </c>
      <c r="H7436" s="6">
        <f t="shared" si="359"/>
        <v>0</v>
      </c>
      <c r="I7436" s="6">
        <f t="shared" si="360"/>
        <v>0</v>
      </c>
      <c r="J7436" s="6">
        <f t="shared" si="361"/>
        <v>0</v>
      </c>
      <c r="L7436" s="4" t="str">
        <f>IFERROR(VLOOKUP(ROWS($L$2:L7436),$B$2:$C$1996,2,0),"")</f>
        <v/>
      </c>
      <c r="N7436" s="2" t="str">
        <f>IFERROR(VLOOKUP(ROWS($N$2:N7436),$D$2:$E$1996,2,0),"")</f>
        <v/>
      </c>
    </row>
    <row r="7437" spans="2:14">
      <c r="B7437" s="32">
        <f>IF(ISNUMBER(SEARCH('Φόρμα Εισαγωγής'!$B$2,C7437)),MAX($B$1:B7436)+1,0)</f>
        <v>0</v>
      </c>
      <c r="D7437" s="33">
        <f>IF(ISNUMBER(SEARCH('Φόρμα Εισαγωγής'!$C$2,E7437)),MAX($D$1:D7436)+1,0)</f>
        <v>0</v>
      </c>
      <c r="H7437" s="6">
        <f t="shared" si="359"/>
        <v>0</v>
      </c>
      <c r="I7437" s="6">
        <f t="shared" si="360"/>
        <v>0</v>
      </c>
      <c r="J7437" s="6">
        <f t="shared" si="361"/>
        <v>0</v>
      </c>
      <c r="L7437" s="4" t="str">
        <f>IFERROR(VLOOKUP(ROWS($L$2:L7437),$B$2:$C$1996,2,0),"")</f>
        <v/>
      </c>
      <c r="N7437" s="2" t="str">
        <f>IFERROR(VLOOKUP(ROWS($N$2:N7437),$D$2:$E$1996,2,0),"")</f>
        <v/>
      </c>
    </row>
    <row r="7438" spans="2:14">
      <c r="B7438" s="32">
        <f>IF(ISNUMBER(SEARCH('Φόρμα Εισαγωγής'!$B$2,C7438)),MAX($B$1:B7437)+1,0)</f>
        <v>0</v>
      </c>
      <c r="D7438" s="33">
        <f>IF(ISNUMBER(SEARCH('Φόρμα Εισαγωγής'!$C$2,E7438)),MAX($D$1:D7437)+1,0)</f>
        <v>0</v>
      </c>
      <c r="H7438" s="6">
        <f t="shared" si="359"/>
        <v>0</v>
      </c>
      <c r="I7438" s="6">
        <f t="shared" si="360"/>
        <v>0</v>
      </c>
      <c r="J7438" s="6">
        <f t="shared" si="361"/>
        <v>0</v>
      </c>
      <c r="L7438" s="4" t="str">
        <f>IFERROR(VLOOKUP(ROWS($L$2:L7438),$B$2:$C$1996,2,0),"")</f>
        <v/>
      </c>
      <c r="N7438" s="2" t="str">
        <f>IFERROR(VLOOKUP(ROWS($N$2:N7438),$D$2:$E$1996,2,0),"")</f>
        <v/>
      </c>
    </row>
    <row r="7439" spans="2:14">
      <c r="B7439" s="32">
        <f>IF(ISNUMBER(SEARCH('Φόρμα Εισαγωγής'!$B$2,C7439)),MAX($B$1:B7438)+1,0)</f>
        <v>0</v>
      </c>
      <c r="D7439" s="33">
        <f>IF(ISNUMBER(SEARCH('Φόρμα Εισαγωγής'!$C$2,E7439)),MAX($D$1:D7438)+1,0)</f>
        <v>0</v>
      </c>
      <c r="H7439" s="6">
        <f t="shared" si="359"/>
        <v>0</v>
      </c>
      <c r="I7439" s="6">
        <f t="shared" si="360"/>
        <v>0</v>
      </c>
      <c r="J7439" s="6">
        <f t="shared" si="361"/>
        <v>0</v>
      </c>
      <c r="L7439" s="4" t="str">
        <f>IFERROR(VLOOKUP(ROWS($L$2:L7439),$B$2:$C$1996,2,0),"")</f>
        <v/>
      </c>
      <c r="N7439" s="2" t="str">
        <f>IFERROR(VLOOKUP(ROWS($N$2:N7439),$D$2:$E$1996,2,0),"")</f>
        <v/>
      </c>
    </row>
    <row r="7440" spans="2:14">
      <c r="B7440" s="32">
        <f>IF(ISNUMBER(SEARCH('Φόρμα Εισαγωγής'!$B$2,C7440)),MAX($B$1:B7439)+1,0)</f>
        <v>0</v>
      </c>
      <c r="D7440" s="33">
        <f>IF(ISNUMBER(SEARCH('Φόρμα Εισαγωγής'!$C$2,E7440)),MAX($D$1:D7439)+1,0)</f>
        <v>0</v>
      </c>
      <c r="H7440" s="6">
        <f t="shared" si="359"/>
        <v>0</v>
      </c>
      <c r="I7440" s="6">
        <f t="shared" si="360"/>
        <v>0</v>
      </c>
      <c r="J7440" s="6">
        <f t="shared" si="361"/>
        <v>0</v>
      </c>
      <c r="L7440" s="4" t="str">
        <f>IFERROR(VLOOKUP(ROWS($L$2:L7440),$B$2:$C$1996,2,0),"")</f>
        <v/>
      </c>
      <c r="N7440" s="2" t="str">
        <f>IFERROR(VLOOKUP(ROWS($N$2:N7440),$D$2:$E$1996,2,0),"")</f>
        <v/>
      </c>
    </row>
    <row r="7441" spans="2:14">
      <c r="B7441" s="32">
        <f>IF(ISNUMBER(SEARCH('Φόρμα Εισαγωγής'!$B$2,C7441)),MAX($B$1:B7440)+1,0)</f>
        <v>0</v>
      </c>
      <c r="D7441" s="33">
        <f>IF(ISNUMBER(SEARCH('Φόρμα Εισαγωγής'!$C$2,E7441)),MAX($D$1:D7440)+1,0)</f>
        <v>0</v>
      </c>
      <c r="H7441" s="6">
        <f t="shared" si="359"/>
        <v>0</v>
      </c>
      <c r="I7441" s="6">
        <f t="shared" si="360"/>
        <v>0</v>
      </c>
      <c r="J7441" s="6">
        <f t="shared" si="361"/>
        <v>0</v>
      </c>
      <c r="L7441" s="4" t="str">
        <f>IFERROR(VLOOKUP(ROWS($L$2:L7441),$B$2:$C$1996,2,0),"")</f>
        <v/>
      </c>
      <c r="N7441" s="2" t="str">
        <f>IFERROR(VLOOKUP(ROWS($N$2:N7441),$D$2:$E$1996,2,0),"")</f>
        <v/>
      </c>
    </row>
    <row r="7442" spans="2:14">
      <c r="B7442" s="32">
        <f>IF(ISNUMBER(SEARCH('Φόρμα Εισαγωγής'!$B$2,C7442)),MAX($B$1:B7441)+1,0)</f>
        <v>0</v>
      </c>
      <c r="D7442" s="33">
        <f>IF(ISNUMBER(SEARCH('Φόρμα Εισαγωγής'!$C$2,E7442)),MAX($D$1:D7441)+1,0)</f>
        <v>0</v>
      </c>
      <c r="H7442" s="6">
        <f t="shared" si="359"/>
        <v>0</v>
      </c>
      <c r="I7442" s="6">
        <f t="shared" si="360"/>
        <v>0</v>
      </c>
      <c r="J7442" s="6">
        <f t="shared" si="361"/>
        <v>0</v>
      </c>
      <c r="L7442" s="4" t="str">
        <f>IFERROR(VLOOKUP(ROWS($L$2:L7442),$B$2:$C$1996,2,0),"")</f>
        <v/>
      </c>
      <c r="N7442" s="2" t="str">
        <f>IFERROR(VLOOKUP(ROWS($N$2:N7442),$D$2:$E$1996,2,0),"")</f>
        <v/>
      </c>
    </row>
    <row r="7443" spans="2:14">
      <c r="B7443" s="32">
        <f>IF(ISNUMBER(SEARCH('Φόρμα Εισαγωγής'!$B$2,C7443)),MAX($B$1:B7442)+1,0)</f>
        <v>0</v>
      </c>
      <c r="D7443" s="33">
        <f>IF(ISNUMBER(SEARCH('Φόρμα Εισαγωγής'!$C$2,E7443)),MAX($D$1:D7442)+1,0)</f>
        <v>0</v>
      </c>
      <c r="H7443" s="6">
        <f t="shared" si="359"/>
        <v>0</v>
      </c>
      <c r="I7443" s="6">
        <f t="shared" si="360"/>
        <v>0</v>
      </c>
      <c r="J7443" s="6">
        <f t="shared" si="361"/>
        <v>0</v>
      </c>
      <c r="L7443" s="4" t="str">
        <f>IFERROR(VLOOKUP(ROWS($L$2:L7443),$B$2:$C$1996,2,0),"")</f>
        <v/>
      </c>
      <c r="N7443" s="2" t="str">
        <f>IFERROR(VLOOKUP(ROWS($N$2:N7443),$D$2:$E$1996,2,0),"")</f>
        <v/>
      </c>
    </row>
    <row r="7444" spans="2:14">
      <c r="B7444" s="32">
        <f>IF(ISNUMBER(SEARCH('Φόρμα Εισαγωγής'!$B$2,C7444)),MAX($B$1:B7443)+1,0)</f>
        <v>0</v>
      </c>
      <c r="D7444" s="33">
        <f>IF(ISNUMBER(SEARCH('Φόρμα Εισαγωγής'!$C$2,E7444)),MAX($D$1:D7443)+1,0)</f>
        <v>0</v>
      </c>
      <c r="H7444" s="6">
        <f t="shared" si="359"/>
        <v>0</v>
      </c>
      <c r="I7444" s="6">
        <f t="shared" si="360"/>
        <v>0</v>
      </c>
      <c r="J7444" s="6">
        <f t="shared" si="361"/>
        <v>0</v>
      </c>
      <c r="L7444" s="4" t="str">
        <f>IFERROR(VLOOKUP(ROWS($L$2:L7444),$B$2:$C$1996,2,0),"")</f>
        <v/>
      </c>
      <c r="N7444" s="2" t="str">
        <f>IFERROR(VLOOKUP(ROWS($N$2:N7444),$D$2:$E$1996,2,0),"")</f>
        <v/>
      </c>
    </row>
    <row r="7445" spans="2:14">
      <c r="B7445" s="32">
        <f>IF(ISNUMBER(SEARCH('Φόρμα Εισαγωγής'!$B$2,C7445)),MAX($B$1:B7444)+1,0)</f>
        <v>0</v>
      </c>
      <c r="D7445" s="33">
        <f>IF(ISNUMBER(SEARCH('Φόρμα Εισαγωγής'!$C$2,E7445)),MAX($D$1:D7444)+1,0)</f>
        <v>0</v>
      </c>
      <c r="H7445" s="6">
        <f t="shared" si="359"/>
        <v>0</v>
      </c>
      <c r="I7445" s="6">
        <f t="shared" si="360"/>
        <v>0</v>
      </c>
      <c r="J7445" s="6">
        <f t="shared" si="361"/>
        <v>0</v>
      </c>
      <c r="L7445" s="4" t="str">
        <f>IFERROR(VLOOKUP(ROWS($L$2:L7445),$B$2:$C$1996,2,0),"")</f>
        <v/>
      </c>
      <c r="N7445" s="2" t="str">
        <f>IFERROR(VLOOKUP(ROWS($N$2:N7445),$D$2:$E$1996,2,0),"")</f>
        <v/>
      </c>
    </row>
    <row r="7446" spans="2:14">
      <c r="B7446" s="32">
        <f>IF(ISNUMBER(SEARCH('Φόρμα Εισαγωγής'!$B$2,C7446)),MAX($B$1:B7445)+1,0)</f>
        <v>0</v>
      </c>
      <c r="D7446" s="33">
        <f>IF(ISNUMBER(SEARCH('Φόρμα Εισαγωγής'!$C$2,E7446)),MAX($D$1:D7445)+1,0)</f>
        <v>0</v>
      </c>
      <c r="H7446" s="6">
        <f t="shared" si="359"/>
        <v>0</v>
      </c>
      <c r="I7446" s="6">
        <f t="shared" si="360"/>
        <v>0</v>
      </c>
      <c r="J7446" s="6">
        <f t="shared" si="361"/>
        <v>0</v>
      </c>
      <c r="L7446" s="4" t="str">
        <f>IFERROR(VLOOKUP(ROWS($L$2:L7446),$B$2:$C$1996,2,0),"")</f>
        <v/>
      </c>
      <c r="N7446" s="2" t="str">
        <f>IFERROR(VLOOKUP(ROWS($N$2:N7446),$D$2:$E$1996,2,0),"")</f>
        <v/>
      </c>
    </row>
    <row r="7447" spans="2:14">
      <c r="B7447" s="32">
        <f>IF(ISNUMBER(SEARCH('Φόρμα Εισαγωγής'!$B$2,C7447)),MAX($B$1:B7446)+1,0)</f>
        <v>0</v>
      </c>
      <c r="D7447" s="33">
        <f>IF(ISNUMBER(SEARCH('Φόρμα Εισαγωγής'!$C$2,E7447)),MAX($D$1:D7446)+1,0)</f>
        <v>0</v>
      </c>
      <c r="H7447" s="6">
        <f t="shared" si="359"/>
        <v>0</v>
      </c>
      <c r="I7447" s="6">
        <f t="shared" si="360"/>
        <v>0</v>
      </c>
      <c r="J7447" s="6">
        <f t="shared" si="361"/>
        <v>0</v>
      </c>
      <c r="L7447" s="4" t="str">
        <f>IFERROR(VLOOKUP(ROWS($L$2:L7447),$B$2:$C$1996,2,0),"")</f>
        <v/>
      </c>
      <c r="N7447" s="2" t="str">
        <f>IFERROR(VLOOKUP(ROWS($N$2:N7447),$D$2:$E$1996,2,0),"")</f>
        <v/>
      </c>
    </row>
    <row r="7448" spans="2:14">
      <c r="B7448" s="32">
        <f>IF(ISNUMBER(SEARCH('Φόρμα Εισαγωγής'!$B$2,C7448)),MAX($B$1:B7447)+1,0)</f>
        <v>0</v>
      </c>
      <c r="D7448" s="33">
        <f>IF(ISNUMBER(SEARCH('Φόρμα Εισαγωγής'!$C$2,E7448)),MAX($D$1:D7447)+1,0)</f>
        <v>0</v>
      </c>
      <c r="H7448" s="6">
        <f t="shared" si="359"/>
        <v>0</v>
      </c>
      <c r="I7448" s="6">
        <f t="shared" si="360"/>
        <v>0</v>
      </c>
      <c r="J7448" s="6">
        <f t="shared" si="361"/>
        <v>0</v>
      </c>
      <c r="L7448" s="4" t="str">
        <f>IFERROR(VLOOKUP(ROWS($L$2:L7448),$B$2:$C$1996,2,0),"")</f>
        <v/>
      </c>
      <c r="N7448" s="2" t="str">
        <f>IFERROR(VLOOKUP(ROWS($N$2:N7448),$D$2:$E$1996,2,0),"")</f>
        <v/>
      </c>
    </row>
    <row r="7449" spans="2:14">
      <c r="B7449" s="32">
        <f>IF(ISNUMBER(SEARCH('Φόρμα Εισαγωγής'!$B$2,C7449)),MAX($B$1:B7448)+1,0)</f>
        <v>0</v>
      </c>
      <c r="D7449" s="33">
        <f>IF(ISNUMBER(SEARCH('Φόρμα Εισαγωγής'!$C$2,E7449)),MAX($D$1:D7448)+1,0)</f>
        <v>0</v>
      </c>
      <c r="H7449" s="6">
        <f t="shared" si="359"/>
        <v>0</v>
      </c>
      <c r="I7449" s="6">
        <f t="shared" si="360"/>
        <v>0</v>
      </c>
      <c r="J7449" s="6">
        <f t="shared" si="361"/>
        <v>0</v>
      </c>
      <c r="L7449" s="4" t="str">
        <f>IFERROR(VLOOKUP(ROWS($L$2:L7449),$B$2:$C$1996,2,0),"")</f>
        <v/>
      </c>
      <c r="N7449" s="2" t="str">
        <f>IFERROR(VLOOKUP(ROWS($N$2:N7449),$D$2:$E$1996,2,0),"")</f>
        <v/>
      </c>
    </row>
    <row r="7450" spans="2:14">
      <c r="B7450" s="32">
        <f>IF(ISNUMBER(SEARCH('Φόρμα Εισαγωγής'!$B$2,C7450)),MAX($B$1:B7449)+1,0)</f>
        <v>0</v>
      </c>
      <c r="D7450" s="33">
        <f>IF(ISNUMBER(SEARCH('Φόρμα Εισαγωγής'!$C$2,E7450)),MAX($D$1:D7449)+1,0)</f>
        <v>0</v>
      </c>
      <c r="H7450" s="6">
        <f t="shared" si="359"/>
        <v>0</v>
      </c>
      <c r="I7450" s="6">
        <f t="shared" si="360"/>
        <v>0</v>
      </c>
      <c r="J7450" s="6">
        <f t="shared" si="361"/>
        <v>0</v>
      </c>
      <c r="L7450" s="4" t="str">
        <f>IFERROR(VLOOKUP(ROWS($L$2:L7450),$B$2:$C$1996,2,0),"")</f>
        <v/>
      </c>
      <c r="N7450" s="2" t="str">
        <f>IFERROR(VLOOKUP(ROWS($N$2:N7450),$D$2:$E$1996,2,0),"")</f>
        <v/>
      </c>
    </row>
    <row r="7451" spans="2:14">
      <c r="B7451" s="32">
        <f>IF(ISNUMBER(SEARCH('Φόρμα Εισαγωγής'!$B$2,C7451)),MAX($B$1:B7450)+1,0)</f>
        <v>0</v>
      </c>
      <c r="D7451" s="33">
        <f>IF(ISNUMBER(SEARCH('Φόρμα Εισαγωγής'!$C$2,E7451)),MAX($D$1:D7450)+1,0)</f>
        <v>0</v>
      </c>
      <c r="H7451" s="6">
        <f t="shared" si="359"/>
        <v>0</v>
      </c>
      <c r="I7451" s="6">
        <f t="shared" si="360"/>
        <v>0</v>
      </c>
      <c r="J7451" s="6">
        <f t="shared" si="361"/>
        <v>0</v>
      </c>
      <c r="L7451" s="4" t="str">
        <f>IFERROR(VLOOKUP(ROWS($L$2:L7451),$B$2:$C$1996,2,0),"")</f>
        <v/>
      </c>
      <c r="N7451" s="2" t="str">
        <f>IFERROR(VLOOKUP(ROWS($N$2:N7451),$D$2:$E$1996,2,0),"")</f>
        <v/>
      </c>
    </row>
    <row r="7452" spans="2:14">
      <c r="B7452" s="32">
        <f>IF(ISNUMBER(SEARCH('Φόρμα Εισαγωγής'!$B$2,C7452)),MAX($B$1:B7451)+1,0)</f>
        <v>0</v>
      </c>
      <c r="D7452" s="33">
        <f>IF(ISNUMBER(SEARCH('Φόρμα Εισαγωγής'!$C$2,E7452)),MAX($D$1:D7451)+1,0)</f>
        <v>0</v>
      </c>
      <c r="H7452" s="6">
        <f t="shared" si="359"/>
        <v>0</v>
      </c>
      <c r="I7452" s="6">
        <f t="shared" si="360"/>
        <v>0</v>
      </c>
      <c r="J7452" s="6">
        <f t="shared" si="361"/>
        <v>0</v>
      </c>
      <c r="L7452" s="4" t="str">
        <f>IFERROR(VLOOKUP(ROWS($L$2:L7452),$B$2:$C$1996,2,0),"")</f>
        <v/>
      </c>
      <c r="N7452" s="2" t="str">
        <f>IFERROR(VLOOKUP(ROWS($N$2:N7452),$D$2:$E$1996,2,0),"")</f>
        <v/>
      </c>
    </row>
    <row r="7453" spans="2:14">
      <c r="B7453" s="32">
        <f>IF(ISNUMBER(SEARCH('Φόρμα Εισαγωγής'!$B$2,C7453)),MAX($B$1:B7452)+1,0)</f>
        <v>0</v>
      </c>
      <c r="D7453" s="33">
        <f>IF(ISNUMBER(SEARCH('Φόρμα Εισαγωγής'!$C$2,E7453)),MAX($D$1:D7452)+1,0)</f>
        <v>0</v>
      </c>
      <c r="H7453" s="6">
        <f t="shared" si="359"/>
        <v>0</v>
      </c>
      <c r="I7453" s="6">
        <f t="shared" si="360"/>
        <v>0</v>
      </c>
      <c r="J7453" s="6">
        <f t="shared" si="361"/>
        <v>0</v>
      </c>
      <c r="L7453" s="4" t="str">
        <f>IFERROR(VLOOKUP(ROWS($L$2:L7453),$B$2:$C$1996,2,0),"")</f>
        <v/>
      </c>
      <c r="N7453" s="2" t="str">
        <f>IFERROR(VLOOKUP(ROWS($N$2:N7453),$D$2:$E$1996,2,0),"")</f>
        <v/>
      </c>
    </row>
    <row r="7454" spans="2:14">
      <c r="B7454" s="32">
        <f>IF(ISNUMBER(SEARCH('Φόρμα Εισαγωγής'!$B$2,C7454)),MAX($B$1:B7453)+1,0)</f>
        <v>0</v>
      </c>
      <c r="D7454" s="33">
        <f>IF(ISNUMBER(SEARCH('Φόρμα Εισαγωγής'!$C$2,E7454)),MAX($D$1:D7453)+1,0)</f>
        <v>0</v>
      </c>
      <c r="H7454" s="6">
        <f t="shared" si="359"/>
        <v>0</v>
      </c>
      <c r="I7454" s="6">
        <f t="shared" si="360"/>
        <v>0</v>
      </c>
      <c r="J7454" s="6">
        <f t="shared" si="361"/>
        <v>0</v>
      </c>
      <c r="L7454" s="4" t="str">
        <f>IFERROR(VLOOKUP(ROWS($L$2:L7454),$B$2:$C$1996,2,0),"")</f>
        <v/>
      </c>
      <c r="N7454" s="2" t="str">
        <f>IFERROR(VLOOKUP(ROWS($N$2:N7454),$D$2:$E$1996,2,0),"")</f>
        <v/>
      </c>
    </row>
    <row r="7455" spans="2:14">
      <c r="B7455" s="32">
        <f>IF(ISNUMBER(SEARCH('Φόρμα Εισαγωγής'!$B$2,C7455)),MAX($B$1:B7454)+1,0)</f>
        <v>0</v>
      </c>
      <c r="D7455" s="33">
        <f>IF(ISNUMBER(SEARCH('Φόρμα Εισαγωγής'!$C$2,E7455)),MAX($D$1:D7454)+1,0)</f>
        <v>0</v>
      </c>
      <c r="H7455" s="6">
        <f t="shared" si="359"/>
        <v>0</v>
      </c>
      <c r="I7455" s="6">
        <f t="shared" si="360"/>
        <v>0</v>
      </c>
      <c r="J7455" s="6">
        <f t="shared" si="361"/>
        <v>0</v>
      </c>
      <c r="L7455" s="4" t="str">
        <f>IFERROR(VLOOKUP(ROWS($L$2:L7455),$B$2:$C$1996,2,0),"")</f>
        <v/>
      </c>
      <c r="N7455" s="2" t="str">
        <f>IFERROR(VLOOKUP(ROWS($N$2:N7455),$D$2:$E$1996,2,0),"")</f>
        <v/>
      </c>
    </row>
    <row r="7456" spans="2:14">
      <c r="B7456" s="32">
        <f>IF(ISNUMBER(SEARCH('Φόρμα Εισαγωγής'!$B$2,C7456)),MAX($B$1:B7455)+1,0)</f>
        <v>0</v>
      </c>
      <c r="D7456" s="33">
        <f>IF(ISNUMBER(SEARCH('Φόρμα Εισαγωγής'!$C$2,E7456)),MAX($D$1:D7455)+1,0)</f>
        <v>0</v>
      </c>
      <c r="H7456" s="6">
        <f t="shared" si="359"/>
        <v>0</v>
      </c>
      <c r="I7456" s="6">
        <f t="shared" si="360"/>
        <v>0</v>
      </c>
      <c r="J7456" s="6">
        <f t="shared" si="361"/>
        <v>0</v>
      </c>
      <c r="L7456" s="4" t="str">
        <f>IFERROR(VLOOKUP(ROWS($L$2:L7456),$B$2:$C$1996,2,0),"")</f>
        <v/>
      </c>
      <c r="N7456" s="2" t="str">
        <f>IFERROR(VLOOKUP(ROWS($N$2:N7456),$D$2:$E$1996,2,0),"")</f>
        <v/>
      </c>
    </row>
    <row r="7457" spans="2:14">
      <c r="B7457" s="32">
        <f>IF(ISNUMBER(SEARCH('Φόρμα Εισαγωγής'!$B$2,C7457)),MAX($B$1:B7456)+1,0)</f>
        <v>0</v>
      </c>
      <c r="D7457" s="33">
        <f>IF(ISNUMBER(SEARCH('Φόρμα Εισαγωγής'!$C$2,E7457)),MAX($D$1:D7456)+1,0)</f>
        <v>0</v>
      </c>
      <c r="H7457" s="6">
        <f t="shared" si="359"/>
        <v>0</v>
      </c>
      <c r="I7457" s="6">
        <f t="shared" si="360"/>
        <v>0</v>
      </c>
      <c r="J7457" s="6">
        <f t="shared" si="361"/>
        <v>0</v>
      </c>
      <c r="L7457" s="4" t="str">
        <f>IFERROR(VLOOKUP(ROWS($L$2:L7457),$B$2:$C$1996,2,0),"")</f>
        <v/>
      </c>
      <c r="N7457" s="2" t="str">
        <f>IFERROR(VLOOKUP(ROWS($N$2:N7457),$D$2:$E$1996,2,0),"")</f>
        <v/>
      </c>
    </row>
    <row r="7458" spans="2:14">
      <c r="B7458" s="32">
        <f>IF(ISNUMBER(SEARCH('Φόρμα Εισαγωγής'!$B$2,C7458)),MAX($B$1:B7457)+1,0)</f>
        <v>0</v>
      </c>
      <c r="D7458" s="33">
        <f>IF(ISNUMBER(SEARCH('Φόρμα Εισαγωγής'!$C$2,E7458)),MAX($D$1:D7457)+1,0)</f>
        <v>0</v>
      </c>
      <c r="H7458" s="6">
        <f t="shared" si="359"/>
        <v>0</v>
      </c>
      <c r="I7458" s="6">
        <f t="shared" si="360"/>
        <v>0</v>
      </c>
      <c r="J7458" s="6">
        <f t="shared" si="361"/>
        <v>0</v>
      </c>
      <c r="L7458" s="4" t="str">
        <f>IFERROR(VLOOKUP(ROWS($L$2:L7458),$B$2:$C$1996,2,0),"")</f>
        <v/>
      </c>
      <c r="N7458" s="2" t="str">
        <f>IFERROR(VLOOKUP(ROWS($N$2:N7458),$D$2:$E$1996,2,0),"")</f>
        <v/>
      </c>
    </row>
    <row r="7459" spans="2:14">
      <c r="B7459" s="32">
        <f>IF(ISNUMBER(SEARCH('Φόρμα Εισαγωγής'!$B$2,C7459)),MAX($B$1:B7458)+1,0)</f>
        <v>0</v>
      </c>
      <c r="D7459" s="33">
        <f>IF(ISNUMBER(SEARCH('Φόρμα Εισαγωγής'!$C$2,E7459)),MAX($D$1:D7458)+1,0)</f>
        <v>0</v>
      </c>
      <c r="H7459" s="6">
        <f t="shared" si="359"/>
        <v>0</v>
      </c>
      <c r="I7459" s="6">
        <f t="shared" si="360"/>
        <v>0</v>
      </c>
      <c r="J7459" s="6">
        <f t="shared" si="361"/>
        <v>0</v>
      </c>
      <c r="L7459" s="4" t="str">
        <f>IFERROR(VLOOKUP(ROWS($L$2:L7459),$B$2:$C$1996,2,0),"")</f>
        <v/>
      </c>
      <c r="N7459" s="2" t="str">
        <f>IFERROR(VLOOKUP(ROWS($N$2:N7459),$D$2:$E$1996,2,0),"")</f>
        <v/>
      </c>
    </row>
    <row r="7460" spans="2:14">
      <c r="B7460" s="32">
        <f>IF(ISNUMBER(SEARCH('Φόρμα Εισαγωγής'!$B$2,C7460)),MAX($B$1:B7459)+1,0)</f>
        <v>0</v>
      </c>
      <c r="D7460" s="33">
        <f>IF(ISNUMBER(SEARCH('Φόρμα Εισαγωγής'!$C$2,E7460)),MAX($D$1:D7459)+1,0)</f>
        <v>0</v>
      </c>
      <c r="H7460" s="6">
        <f t="shared" si="359"/>
        <v>0</v>
      </c>
      <c r="I7460" s="6">
        <f t="shared" si="360"/>
        <v>0</v>
      </c>
      <c r="J7460" s="6">
        <f t="shared" si="361"/>
        <v>0</v>
      </c>
      <c r="L7460" s="4" t="str">
        <f>IFERROR(VLOOKUP(ROWS($L$2:L7460),$B$2:$C$1996,2,0),"")</f>
        <v/>
      </c>
      <c r="N7460" s="2" t="str">
        <f>IFERROR(VLOOKUP(ROWS($N$2:N7460),$D$2:$E$1996,2,0),"")</f>
        <v/>
      </c>
    </row>
    <row r="7461" spans="2:14">
      <c r="B7461" s="32">
        <f>IF(ISNUMBER(SEARCH('Φόρμα Εισαγωγής'!$B$2,C7461)),MAX($B$1:B7460)+1,0)</f>
        <v>0</v>
      </c>
      <c r="D7461" s="33">
        <f>IF(ISNUMBER(SEARCH('Φόρμα Εισαγωγής'!$C$2,E7461)),MAX($D$1:D7460)+1,0)</f>
        <v>0</v>
      </c>
      <c r="H7461" s="6">
        <f t="shared" si="359"/>
        <v>0</v>
      </c>
      <c r="I7461" s="6">
        <f t="shared" si="360"/>
        <v>0</v>
      </c>
      <c r="J7461" s="6">
        <f t="shared" si="361"/>
        <v>0</v>
      </c>
      <c r="L7461" s="4" t="str">
        <f>IFERROR(VLOOKUP(ROWS($L$2:L7461),$B$2:$C$1996,2,0),"")</f>
        <v/>
      </c>
      <c r="N7461" s="2" t="str">
        <f>IFERROR(VLOOKUP(ROWS($N$2:N7461),$D$2:$E$1996,2,0),"")</f>
        <v/>
      </c>
    </row>
    <row r="7462" spans="2:14">
      <c r="B7462" s="32">
        <f>IF(ISNUMBER(SEARCH('Φόρμα Εισαγωγής'!$B$2,C7462)),MAX($B$1:B7461)+1,0)</f>
        <v>0</v>
      </c>
      <c r="D7462" s="33">
        <f>IF(ISNUMBER(SEARCH('Φόρμα Εισαγωγής'!$C$2,E7462)),MAX($D$1:D7461)+1,0)</f>
        <v>0</v>
      </c>
      <c r="H7462" s="6">
        <f t="shared" si="359"/>
        <v>0</v>
      </c>
      <c r="I7462" s="6">
        <f t="shared" si="360"/>
        <v>0</v>
      </c>
      <c r="J7462" s="6">
        <f t="shared" si="361"/>
        <v>0</v>
      </c>
      <c r="L7462" s="4" t="str">
        <f>IFERROR(VLOOKUP(ROWS($L$2:L7462),$B$2:$C$1996,2,0),"")</f>
        <v/>
      </c>
      <c r="N7462" s="2" t="str">
        <f>IFERROR(VLOOKUP(ROWS($N$2:N7462),$D$2:$E$1996,2,0),"")</f>
        <v/>
      </c>
    </row>
    <row r="7463" spans="2:14">
      <c r="B7463" s="32">
        <f>IF(ISNUMBER(SEARCH('Φόρμα Εισαγωγής'!$B$2,C7463)),MAX($B$1:B7462)+1,0)</f>
        <v>0</v>
      </c>
      <c r="D7463" s="33">
        <f>IF(ISNUMBER(SEARCH('Φόρμα Εισαγωγής'!$C$2,E7463)),MAX($D$1:D7462)+1,0)</f>
        <v>0</v>
      </c>
      <c r="H7463" s="6">
        <f t="shared" si="359"/>
        <v>0</v>
      </c>
      <c r="I7463" s="6">
        <f t="shared" si="360"/>
        <v>0</v>
      </c>
      <c r="J7463" s="6">
        <f t="shared" si="361"/>
        <v>0</v>
      </c>
      <c r="L7463" s="4" t="str">
        <f>IFERROR(VLOOKUP(ROWS($L$2:L7463),$B$2:$C$1996,2,0),"")</f>
        <v/>
      </c>
      <c r="N7463" s="2" t="str">
        <f>IFERROR(VLOOKUP(ROWS($N$2:N7463),$D$2:$E$1996,2,0),"")</f>
        <v/>
      </c>
    </row>
    <row r="7464" spans="2:14">
      <c r="B7464" s="32">
        <f>IF(ISNUMBER(SEARCH('Φόρμα Εισαγωγής'!$B$2,C7464)),MAX($B$1:B7463)+1,0)</f>
        <v>0</v>
      </c>
      <c r="D7464" s="33">
        <f>IF(ISNUMBER(SEARCH('Φόρμα Εισαγωγής'!$C$2,E7464)),MAX($D$1:D7463)+1,0)</f>
        <v>0</v>
      </c>
      <c r="H7464" s="6">
        <f t="shared" si="359"/>
        <v>0</v>
      </c>
      <c r="I7464" s="6">
        <f t="shared" si="360"/>
        <v>0</v>
      </c>
      <c r="J7464" s="6">
        <f t="shared" si="361"/>
        <v>0</v>
      </c>
      <c r="L7464" s="4" t="str">
        <f>IFERROR(VLOOKUP(ROWS($L$2:L7464),$B$2:$C$1996,2,0),"")</f>
        <v/>
      </c>
      <c r="N7464" s="2" t="str">
        <f>IFERROR(VLOOKUP(ROWS($N$2:N7464),$D$2:$E$1996,2,0),"")</f>
        <v/>
      </c>
    </row>
    <row r="7465" spans="2:14">
      <c r="B7465" s="32">
        <f>IF(ISNUMBER(SEARCH('Φόρμα Εισαγωγής'!$B$2,C7465)),MAX($B$1:B7464)+1,0)</f>
        <v>0</v>
      </c>
      <c r="D7465" s="33">
        <f>IF(ISNUMBER(SEARCH('Φόρμα Εισαγωγής'!$C$2,E7465)),MAX($D$1:D7464)+1,0)</f>
        <v>0</v>
      </c>
      <c r="H7465" s="6">
        <f t="shared" si="359"/>
        <v>0</v>
      </c>
      <c r="I7465" s="6">
        <f t="shared" si="360"/>
        <v>0</v>
      </c>
      <c r="J7465" s="6">
        <f t="shared" si="361"/>
        <v>0</v>
      </c>
      <c r="L7465" s="4" t="str">
        <f>IFERROR(VLOOKUP(ROWS($L$2:L7465),$B$2:$C$1996,2,0),"")</f>
        <v/>
      </c>
      <c r="N7465" s="2" t="str">
        <f>IFERROR(VLOOKUP(ROWS($N$2:N7465),$D$2:$E$1996,2,0),"")</f>
        <v/>
      </c>
    </row>
    <row r="7466" spans="2:14">
      <c r="B7466" s="32">
        <f>IF(ISNUMBER(SEARCH('Φόρμα Εισαγωγής'!$B$2,C7466)),MAX($B$1:B7465)+1,0)</f>
        <v>0</v>
      </c>
      <c r="D7466" s="33">
        <f>IF(ISNUMBER(SEARCH('Φόρμα Εισαγωγής'!$C$2,E7466)),MAX($D$1:D7465)+1,0)</f>
        <v>0</v>
      </c>
      <c r="H7466" s="6">
        <f t="shared" si="359"/>
        <v>0</v>
      </c>
      <c r="I7466" s="6">
        <f t="shared" si="360"/>
        <v>0</v>
      </c>
      <c r="J7466" s="6">
        <f t="shared" si="361"/>
        <v>0</v>
      </c>
      <c r="L7466" s="4" t="str">
        <f>IFERROR(VLOOKUP(ROWS($L$2:L7466),$B$2:$C$1996,2,0),"")</f>
        <v/>
      </c>
      <c r="N7466" s="2" t="str">
        <f>IFERROR(VLOOKUP(ROWS($N$2:N7466),$D$2:$E$1996,2,0),"")</f>
        <v/>
      </c>
    </row>
    <row r="7467" spans="2:14">
      <c r="B7467" s="32">
        <f>IF(ISNUMBER(SEARCH('Φόρμα Εισαγωγής'!$B$2,C7467)),MAX($B$1:B7466)+1,0)</f>
        <v>0</v>
      </c>
      <c r="D7467" s="33">
        <f>IF(ISNUMBER(SEARCH('Φόρμα Εισαγωγής'!$C$2,E7467)),MAX($D$1:D7466)+1,0)</f>
        <v>0</v>
      </c>
      <c r="H7467" s="6">
        <f t="shared" si="359"/>
        <v>0</v>
      </c>
      <c r="I7467" s="6">
        <f t="shared" si="360"/>
        <v>0</v>
      </c>
      <c r="J7467" s="6">
        <f t="shared" si="361"/>
        <v>0</v>
      </c>
      <c r="L7467" s="4" t="str">
        <f>IFERROR(VLOOKUP(ROWS($L$2:L7467),$B$2:$C$1996,2,0),"")</f>
        <v/>
      </c>
      <c r="N7467" s="2" t="str">
        <f>IFERROR(VLOOKUP(ROWS($N$2:N7467),$D$2:$E$1996,2,0),"")</f>
        <v/>
      </c>
    </row>
    <row r="7468" spans="2:14">
      <c r="B7468" s="32">
        <f>IF(ISNUMBER(SEARCH('Φόρμα Εισαγωγής'!$B$2,C7468)),MAX($B$1:B7467)+1,0)</f>
        <v>0</v>
      </c>
      <c r="D7468" s="33">
        <f>IF(ISNUMBER(SEARCH('Φόρμα Εισαγωγής'!$C$2,E7468)),MAX($D$1:D7467)+1,0)</f>
        <v>0</v>
      </c>
      <c r="H7468" s="6">
        <f t="shared" si="359"/>
        <v>0</v>
      </c>
      <c r="I7468" s="6">
        <f t="shared" si="360"/>
        <v>0</v>
      </c>
      <c r="J7468" s="6">
        <f t="shared" si="361"/>
        <v>0</v>
      </c>
      <c r="L7468" s="4" t="str">
        <f>IFERROR(VLOOKUP(ROWS($L$2:L7468),$B$2:$C$1996,2,0),"")</f>
        <v/>
      </c>
      <c r="N7468" s="2" t="str">
        <f>IFERROR(VLOOKUP(ROWS($N$2:N7468),$D$2:$E$1996,2,0),"")</f>
        <v/>
      </c>
    </row>
    <row r="7469" spans="2:14">
      <c r="B7469" s="32">
        <f>IF(ISNUMBER(SEARCH('Φόρμα Εισαγωγής'!$B$2,C7469)),MAX($B$1:B7468)+1,0)</f>
        <v>0</v>
      </c>
      <c r="D7469" s="33">
        <f>IF(ISNUMBER(SEARCH('Φόρμα Εισαγωγής'!$C$2,E7469)),MAX($D$1:D7468)+1,0)</f>
        <v>0</v>
      </c>
      <c r="H7469" s="6">
        <f t="shared" si="359"/>
        <v>0</v>
      </c>
      <c r="I7469" s="6">
        <f t="shared" si="360"/>
        <v>0</v>
      </c>
      <c r="J7469" s="6">
        <f t="shared" si="361"/>
        <v>0</v>
      </c>
      <c r="L7469" s="4" t="str">
        <f>IFERROR(VLOOKUP(ROWS($L$2:L7469),$B$2:$C$1996,2,0),"")</f>
        <v/>
      </c>
      <c r="N7469" s="2" t="str">
        <f>IFERROR(VLOOKUP(ROWS($N$2:N7469),$D$2:$E$1996,2,0),"")</f>
        <v/>
      </c>
    </row>
    <row r="7470" spans="2:14">
      <c r="B7470" s="32">
        <f>IF(ISNUMBER(SEARCH('Φόρμα Εισαγωγής'!$B$2,C7470)),MAX($B$1:B7469)+1,0)</f>
        <v>0</v>
      </c>
      <c r="D7470" s="33">
        <f>IF(ISNUMBER(SEARCH('Φόρμα Εισαγωγής'!$C$2,E7470)),MAX($D$1:D7469)+1,0)</f>
        <v>0</v>
      </c>
      <c r="H7470" s="6">
        <f t="shared" si="359"/>
        <v>0</v>
      </c>
      <c r="I7470" s="6">
        <f t="shared" si="360"/>
        <v>0</v>
      </c>
      <c r="J7470" s="6">
        <f t="shared" si="361"/>
        <v>0</v>
      </c>
      <c r="L7470" s="4" t="str">
        <f>IFERROR(VLOOKUP(ROWS($L$2:L7470),$B$2:$C$1996,2,0),"")</f>
        <v/>
      </c>
      <c r="N7470" s="2" t="str">
        <f>IFERROR(VLOOKUP(ROWS($N$2:N7470),$D$2:$E$1996,2,0),"")</f>
        <v/>
      </c>
    </row>
    <row r="7471" spans="2:14">
      <c r="B7471" s="32">
        <f>IF(ISNUMBER(SEARCH('Φόρμα Εισαγωγής'!$B$2,C7471)),MAX($B$1:B7470)+1,0)</f>
        <v>0</v>
      </c>
      <c r="D7471" s="33">
        <f>IF(ISNUMBER(SEARCH('Φόρμα Εισαγωγής'!$C$2,E7471)),MAX($D$1:D7470)+1,0)</f>
        <v>0</v>
      </c>
      <c r="H7471" s="6">
        <f t="shared" si="359"/>
        <v>0</v>
      </c>
      <c r="I7471" s="6">
        <f t="shared" si="360"/>
        <v>0</v>
      </c>
      <c r="J7471" s="6">
        <f t="shared" si="361"/>
        <v>0</v>
      </c>
      <c r="L7471" s="4" t="str">
        <f>IFERROR(VLOOKUP(ROWS($L$2:L7471),$B$2:$C$1996,2,0),"")</f>
        <v/>
      </c>
      <c r="N7471" s="2" t="str">
        <f>IFERROR(VLOOKUP(ROWS($N$2:N7471),$D$2:$E$1996,2,0),"")</f>
        <v/>
      </c>
    </row>
    <row r="7472" spans="2:14">
      <c r="B7472" s="32">
        <f>IF(ISNUMBER(SEARCH('Φόρμα Εισαγωγής'!$B$2,C7472)),MAX($B$1:B7471)+1,0)</f>
        <v>0</v>
      </c>
      <c r="D7472" s="33">
        <f>IF(ISNUMBER(SEARCH('Φόρμα Εισαγωγής'!$C$2,E7472)),MAX($D$1:D7471)+1,0)</f>
        <v>0</v>
      </c>
      <c r="H7472" s="6">
        <f t="shared" si="359"/>
        <v>0</v>
      </c>
      <c r="I7472" s="6">
        <f t="shared" si="360"/>
        <v>0</v>
      </c>
      <c r="J7472" s="6">
        <f t="shared" si="361"/>
        <v>0</v>
      </c>
      <c r="L7472" s="4" t="str">
        <f>IFERROR(VLOOKUP(ROWS($L$2:L7472),$B$2:$C$1996,2,0),"")</f>
        <v/>
      </c>
      <c r="N7472" s="2" t="str">
        <f>IFERROR(VLOOKUP(ROWS($N$2:N7472),$D$2:$E$1996,2,0),"")</f>
        <v/>
      </c>
    </row>
    <row r="7473" spans="2:14">
      <c r="B7473" s="32">
        <f>IF(ISNUMBER(SEARCH('Φόρμα Εισαγωγής'!$B$2,C7473)),MAX($B$1:B7472)+1,0)</f>
        <v>0</v>
      </c>
      <c r="D7473" s="33">
        <f>IF(ISNUMBER(SEARCH('Φόρμα Εισαγωγής'!$C$2,E7473)),MAX($D$1:D7472)+1,0)</f>
        <v>0</v>
      </c>
      <c r="H7473" s="6">
        <f t="shared" si="359"/>
        <v>0</v>
      </c>
      <c r="I7473" s="6">
        <f t="shared" si="360"/>
        <v>0</v>
      </c>
      <c r="J7473" s="6">
        <f t="shared" si="361"/>
        <v>0</v>
      </c>
      <c r="L7473" s="4" t="str">
        <f>IFERROR(VLOOKUP(ROWS($L$2:L7473),$B$2:$C$1996,2,0),"")</f>
        <v/>
      </c>
      <c r="N7473" s="2" t="str">
        <f>IFERROR(VLOOKUP(ROWS($N$2:N7473),$D$2:$E$1996,2,0),"")</f>
        <v/>
      </c>
    </row>
    <row r="7474" spans="2:14">
      <c r="B7474" s="32">
        <f>IF(ISNUMBER(SEARCH('Φόρμα Εισαγωγής'!$B$2,C7474)),MAX($B$1:B7473)+1,0)</f>
        <v>0</v>
      </c>
      <c r="D7474" s="33">
        <f>IF(ISNUMBER(SEARCH('Φόρμα Εισαγωγής'!$C$2,E7474)),MAX($D$1:D7473)+1,0)</f>
        <v>0</v>
      </c>
      <c r="H7474" s="6">
        <f t="shared" si="359"/>
        <v>0</v>
      </c>
      <c r="I7474" s="6">
        <f t="shared" si="360"/>
        <v>0</v>
      </c>
      <c r="J7474" s="6">
        <f t="shared" si="361"/>
        <v>0</v>
      </c>
      <c r="L7474" s="4" t="str">
        <f>IFERROR(VLOOKUP(ROWS($L$2:L7474),$B$2:$C$1996,2,0),"")</f>
        <v/>
      </c>
      <c r="N7474" s="2" t="str">
        <f>IFERROR(VLOOKUP(ROWS($N$2:N7474),$D$2:$E$1996,2,0),"")</f>
        <v/>
      </c>
    </row>
    <row r="7475" spans="2:14">
      <c r="B7475" s="32">
        <f>IF(ISNUMBER(SEARCH('Φόρμα Εισαγωγής'!$B$2,C7475)),MAX($B$1:B7474)+1,0)</f>
        <v>0</v>
      </c>
      <c r="D7475" s="33">
        <f>IF(ISNUMBER(SEARCH('Φόρμα Εισαγωγής'!$C$2,E7475)),MAX($D$1:D7474)+1,0)</f>
        <v>0</v>
      </c>
      <c r="H7475" s="6">
        <f t="shared" si="359"/>
        <v>0</v>
      </c>
      <c r="I7475" s="6">
        <f t="shared" si="360"/>
        <v>0</v>
      </c>
      <c r="J7475" s="6">
        <f t="shared" si="361"/>
        <v>0</v>
      </c>
      <c r="L7475" s="4" t="str">
        <f>IFERROR(VLOOKUP(ROWS($L$2:L7475),$B$2:$C$1996,2,0),"")</f>
        <v/>
      </c>
      <c r="N7475" s="2" t="str">
        <f>IFERROR(VLOOKUP(ROWS($N$2:N7475),$D$2:$E$1996,2,0),"")</f>
        <v/>
      </c>
    </row>
    <row r="7476" spans="2:14">
      <c r="B7476" s="32">
        <f>IF(ISNUMBER(SEARCH('Φόρμα Εισαγωγής'!$B$2,C7476)),MAX($B$1:B7475)+1,0)</f>
        <v>0</v>
      </c>
      <c r="D7476" s="33">
        <f>IF(ISNUMBER(SEARCH('Φόρμα Εισαγωγής'!$C$2,E7476)),MAX($D$1:D7475)+1,0)</f>
        <v>0</v>
      </c>
      <c r="H7476" s="6">
        <f t="shared" si="359"/>
        <v>0</v>
      </c>
      <c r="I7476" s="6">
        <f t="shared" si="360"/>
        <v>0</v>
      </c>
      <c r="J7476" s="6">
        <f t="shared" si="361"/>
        <v>0</v>
      </c>
      <c r="L7476" s="4" t="str">
        <f>IFERROR(VLOOKUP(ROWS($L$2:L7476),$B$2:$C$1996,2,0),"")</f>
        <v/>
      </c>
      <c r="N7476" s="2" t="str">
        <f>IFERROR(VLOOKUP(ROWS($N$2:N7476),$D$2:$E$1996,2,0),"")</f>
        <v/>
      </c>
    </row>
    <row r="7477" spans="2:14">
      <c r="B7477" s="32">
        <f>IF(ISNUMBER(SEARCH('Φόρμα Εισαγωγής'!$B$2,C7477)),MAX($B$1:B7476)+1,0)</f>
        <v>0</v>
      </c>
      <c r="D7477" s="33">
        <f>IF(ISNUMBER(SEARCH('Φόρμα Εισαγωγής'!$C$2,E7477)),MAX($D$1:D7476)+1,0)</f>
        <v>0</v>
      </c>
      <c r="H7477" s="6">
        <f t="shared" si="359"/>
        <v>0</v>
      </c>
      <c r="I7477" s="6">
        <f t="shared" si="360"/>
        <v>0</v>
      </c>
      <c r="J7477" s="6">
        <f t="shared" si="361"/>
        <v>0</v>
      </c>
      <c r="L7477" s="4" t="str">
        <f>IFERROR(VLOOKUP(ROWS($L$2:L7477),$B$2:$C$1996,2,0),"")</f>
        <v/>
      </c>
      <c r="N7477" s="2" t="str">
        <f>IFERROR(VLOOKUP(ROWS($N$2:N7477),$D$2:$E$1996,2,0),"")</f>
        <v/>
      </c>
    </row>
    <row r="7478" spans="2:14">
      <c r="B7478" s="32">
        <f>IF(ISNUMBER(SEARCH('Φόρμα Εισαγωγής'!$B$2,C7478)),MAX($B$1:B7477)+1,0)</f>
        <v>0</v>
      </c>
      <c r="D7478" s="33">
        <f>IF(ISNUMBER(SEARCH('Φόρμα Εισαγωγής'!$C$2,E7478)),MAX($D$1:D7477)+1,0)</f>
        <v>0</v>
      </c>
      <c r="H7478" s="6">
        <f t="shared" si="359"/>
        <v>0</v>
      </c>
      <c r="I7478" s="6">
        <f t="shared" si="360"/>
        <v>0</v>
      </c>
      <c r="J7478" s="6">
        <f t="shared" si="361"/>
        <v>0</v>
      </c>
      <c r="L7478" s="4" t="str">
        <f>IFERROR(VLOOKUP(ROWS($L$2:L7478),$B$2:$C$1996,2,0),"")</f>
        <v/>
      </c>
      <c r="N7478" s="2" t="str">
        <f>IFERROR(VLOOKUP(ROWS($N$2:N7478),$D$2:$E$1996,2,0),"")</f>
        <v/>
      </c>
    </row>
    <row r="7479" spans="2:14">
      <c r="B7479" s="32">
        <f>IF(ISNUMBER(SEARCH('Φόρμα Εισαγωγής'!$B$2,C7479)),MAX($B$1:B7478)+1,0)</f>
        <v>0</v>
      </c>
      <c r="D7479" s="33">
        <f>IF(ISNUMBER(SEARCH('Φόρμα Εισαγωγής'!$C$2,E7479)),MAX($D$1:D7478)+1,0)</f>
        <v>0</v>
      </c>
      <c r="H7479" s="6">
        <f t="shared" si="359"/>
        <v>0</v>
      </c>
      <c r="I7479" s="6">
        <f t="shared" si="360"/>
        <v>0</v>
      </c>
      <c r="J7479" s="6">
        <f t="shared" si="361"/>
        <v>0</v>
      </c>
      <c r="L7479" s="4" t="str">
        <f>IFERROR(VLOOKUP(ROWS($L$2:L7479),$B$2:$C$1996,2,0),"")</f>
        <v/>
      </c>
      <c r="N7479" s="2" t="str">
        <f>IFERROR(VLOOKUP(ROWS($N$2:N7479),$D$2:$E$1996,2,0),"")</f>
        <v/>
      </c>
    </row>
    <row r="7480" spans="2:14">
      <c r="B7480" s="32">
        <f>IF(ISNUMBER(SEARCH('Φόρμα Εισαγωγής'!$B$2,C7480)),MAX($B$1:B7479)+1,0)</f>
        <v>0</v>
      </c>
      <c r="D7480" s="33">
        <f>IF(ISNUMBER(SEARCH('Φόρμα Εισαγωγής'!$C$2,E7480)),MAX($D$1:D7479)+1,0)</f>
        <v>0</v>
      </c>
      <c r="H7480" s="6">
        <f t="shared" si="359"/>
        <v>0</v>
      </c>
      <c r="I7480" s="6">
        <f t="shared" si="360"/>
        <v>0</v>
      </c>
      <c r="J7480" s="6">
        <f t="shared" si="361"/>
        <v>0</v>
      </c>
      <c r="L7480" s="4" t="str">
        <f>IFERROR(VLOOKUP(ROWS($L$2:L7480),$B$2:$C$1996,2,0),"")</f>
        <v/>
      </c>
      <c r="N7480" s="2" t="str">
        <f>IFERROR(VLOOKUP(ROWS($N$2:N7480),$D$2:$E$1996,2,0),"")</f>
        <v/>
      </c>
    </row>
    <row r="7481" spans="2:14">
      <c r="B7481" s="32">
        <f>IF(ISNUMBER(SEARCH('Φόρμα Εισαγωγής'!$B$2,C7481)),MAX($B$1:B7480)+1,0)</f>
        <v>0</v>
      </c>
      <c r="D7481" s="33">
        <f>IF(ISNUMBER(SEARCH('Φόρμα Εισαγωγής'!$C$2,E7481)),MAX($D$1:D7480)+1,0)</f>
        <v>0</v>
      </c>
      <c r="H7481" s="6">
        <f t="shared" si="359"/>
        <v>0</v>
      </c>
      <c r="I7481" s="6">
        <f t="shared" si="360"/>
        <v>0</v>
      </c>
      <c r="J7481" s="6">
        <f t="shared" si="361"/>
        <v>0</v>
      </c>
      <c r="L7481" s="4" t="str">
        <f>IFERROR(VLOOKUP(ROWS($L$2:L7481),$B$2:$C$1996,2,0),"")</f>
        <v/>
      </c>
      <c r="N7481" s="2" t="str">
        <f>IFERROR(VLOOKUP(ROWS($N$2:N7481),$D$2:$E$1996,2,0),"")</f>
        <v/>
      </c>
    </row>
    <row r="7482" spans="2:14">
      <c r="B7482" s="32">
        <f>IF(ISNUMBER(SEARCH('Φόρμα Εισαγωγής'!$B$2,C7482)),MAX($B$1:B7481)+1,0)</f>
        <v>0</v>
      </c>
      <c r="D7482" s="33">
        <f>IF(ISNUMBER(SEARCH('Φόρμα Εισαγωγής'!$C$2,E7482)),MAX($D$1:D7481)+1,0)</f>
        <v>0</v>
      </c>
      <c r="H7482" s="6">
        <f t="shared" si="359"/>
        <v>0</v>
      </c>
      <c r="I7482" s="6">
        <f t="shared" si="360"/>
        <v>0</v>
      </c>
      <c r="J7482" s="6">
        <f t="shared" si="361"/>
        <v>0</v>
      </c>
      <c r="L7482" s="4" t="str">
        <f>IFERROR(VLOOKUP(ROWS($L$2:L7482),$B$2:$C$1996,2,0),"")</f>
        <v/>
      </c>
      <c r="N7482" s="2" t="str">
        <f>IFERROR(VLOOKUP(ROWS($N$2:N7482),$D$2:$E$1996,2,0),"")</f>
        <v/>
      </c>
    </row>
    <row r="7483" spans="2:14">
      <c r="B7483" s="32">
        <f>IF(ISNUMBER(SEARCH('Φόρμα Εισαγωγής'!$B$2,C7483)),MAX($B$1:B7482)+1,0)</f>
        <v>0</v>
      </c>
      <c r="D7483" s="33">
        <f>IF(ISNUMBER(SEARCH('Φόρμα Εισαγωγής'!$C$2,E7483)),MAX($D$1:D7482)+1,0)</f>
        <v>0</v>
      </c>
      <c r="H7483" s="6">
        <f t="shared" si="359"/>
        <v>0</v>
      </c>
      <c r="I7483" s="6">
        <f t="shared" si="360"/>
        <v>0</v>
      </c>
      <c r="J7483" s="6">
        <f t="shared" si="361"/>
        <v>0</v>
      </c>
      <c r="L7483" s="4" t="str">
        <f>IFERROR(VLOOKUP(ROWS($L$2:L7483),$B$2:$C$1996,2,0),"")</f>
        <v/>
      </c>
      <c r="N7483" s="2" t="str">
        <f>IFERROR(VLOOKUP(ROWS($N$2:N7483),$D$2:$E$1996,2,0),"")</f>
        <v/>
      </c>
    </row>
    <row r="7484" spans="2:14">
      <c r="B7484" s="32">
        <f>IF(ISNUMBER(SEARCH('Φόρμα Εισαγωγής'!$B$2,C7484)),MAX($B$1:B7483)+1,0)</f>
        <v>0</v>
      </c>
      <c r="D7484" s="33">
        <f>IF(ISNUMBER(SEARCH('Φόρμα Εισαγωγής'!$C$2,E7484)),MAX($D$1:D7483)+1,0)</f>
        <v>0</v>
      </c>
      <c r="H7484" s="6">
        <f t="shared" si="359"/>
        <v>0</v>
      </c>
      <c r="I7484" s="6">
        <f t="shared" si="360"/>
        <v>0</v>
      </c>
      <c r="J7484" s="6">
        <f t="shared" si="361"/>
        <v>0</v>
      </c>
      <c r="L7484" s="4" t="str">
        <f>IFERROR(VLOOKUP(ROWS($L$2:L7484),$B$2:$C$1996,2,0),"")</f>
        <v/>
      </c>
      <c r="N7484" s="2" t="str">
        <f>IFERROR(VLOOKUP(ROWS($N$2:N7484),$D$2:$E$1996,2,0),"")</f>
        <v/>
      </c>
    </row>
    <row r="7485" spans="2:14">
      <c r="B7485" s="32">
        <f>IF(ISNUMBER(SEARCH('Φόρμα Εισαγωγής'!$B$2,C7485)),MAX($B$1:B7484)+1,0)</f>
        <v>0</v>
      </c>
      <c r="D7485" s="33">
        <f>IF(ISNUMBER(SEARCH('Φόρμα Εισαγωγής'!$C$2,E7485)),MAX($D$1:D7484)+1,0)</f>
        <v>0</v>
      </c>
      <c r="H7485" s="6">
        <f t="shared" si="359"/>
        <v>0</v>
      </c>
      <c r="I7485" s="6">
        <f t="shared" si="360"/>
        <v>0</v>
      </c>
      <c r="J7485" s="6">
        <f t="shared" si="361"/>
        <v>0</v>
      </c>
      <c r="L7485" s="4" t="str">
        <f>IFERROR(VLOOKUP(ROWS($L$2:L7485),$B$2:$C$1996,2,0),"")</f>
        <v/>
      </c>
      <c r="N7485" s="2" t="str">
        <f>IFERROR(VLOOKUP(ROWS($N$2:N7485),$D$2:$E$1996,2,0),"")</f>
        <v/>
      </c>
    </row>
    <row r="7486" spans="2:14">
      <c r="B7486" s="32">
        <f>IF(ISNUMBER(SEARCH('Φόρμα Εισαγωγής'!$B$2,C7486)),MAX($B$1:B7485)+1,0)</f>
        <v>0</v>
      </c>
      <c r="D7486" s="33">
        <f>IF(ISNUMBER(SEARCH('Φόρμα Εισαγωγής'!$C$2,E7486)),MAX($D$1:D7485)+1,0)</f>
        <v>0</v>
      </c>
      <c r="H7486" s="6">
        <f t="shared" si="359"/>
        <v>0</v>
      </c>
      <c r="I7486" s="6">
        <f t="shared" si="360"/>
        <v>0</v>
      </c>
      <c r="J7486" s="6">
        <f t="shared" si="361"/>
        <v>0</v>
      </c>
      <c r="L7486" s="4" t="str">
        <f>IFERROR(VLOOKUP(ROWS($L$2:L7486),$B$2:$C$1996,2,0),"")</f>
        <v/>
      </c>
      <c r="N7486" s="2" t="str">
        <f>IFERROR(VLOOKUP(ROWS($N$2:N7486),$D$2:$E$1996,2,0),"")</f>
        <v/>
      </c>
    </row>
    <row r="7487" spans="2:14">
      <c r="B7487" s="32">
        <f>IF(ISNUMBER(SEARCH('Φόρμα Εισαγωγής'!$B$2,C7487)),MAX($B$1:B7486)+1,0)</f>
        <v>0</v>
      </c>
      <c r="D7487" s="33">
        <f>IF(ISNUMBER(SEARCH('Φόρμα Εισαγωγής'!$C$2,E7487)),MAX($D$1:D7486)+1,0)</f>
        <v>0</v>
      </c>
      <c r="H7487" s="6">
        <f t="shared" si="359"/>
        <v>0</v>
      </c>
      <c r="I7487" s="6">
        <f t="shared" si="360"/>
        <v>0</v>
      </c>
      <c r="J7487" s="6">
        <f t="shared" si="361"/>
        <v>0</v>
      </c>
      <c r="L7487" s="4" t="str">
        <f>IFERROR(VLOOKUP(ROWS($L$2:L7487),$B$2:$C$1996,2,0),"")</f>
        <v/>
      </c>
      <c r="N7487" s="2" t="str">
        <f>IFERROR(VLOOKUP(ROWS($N$2:N7487),$D$2:$E$1996,2,0),"")</f>
        <v/>
      </c>
    </row>
    <row r="7488" spans="2:14">
      <c r="B7488" s="32">
        <f>IF(ISNUMBER(SEARCH('Φόρμα Εισαγωγής'!$B$2,C7488)),MAX($B$1:B7487)+1,0)</f>
        <v>0</v>
      </c>
      <c r="D7488" s="33">
        <f>IF(ISNUMBER(SEARCH('Φόρμα Εισαγωγής'!$C$2,E7488)),MAX($D$1:D7487)+1,0)</f>
        <v>0</v>
      </c>
      <c r="H7488" s="6">
        <f t="shared" ref="H7488:H7551" si="362">G7488+(G7488*0.24)</f>
        <v>0</v>
      </c>
      <c r="I7488" s="6">
        <f t="shared" ref="I7488:I7551" si="363">F7488*A7488</f>
        <v>0</v>
      </c>
      <c r="J7488" s="6">
        <f t="shared" ref="J7488:J7551" si="364">H7488*A7488</f>
        <v>0</v>
      </c>
      <c r="L7488" s="4" t="str">
        <f>IFERROR(VLOOKUP(ROWS($L$2:L7488),$B$2:$C$1996,2,0),"")</f>
        <v/>
      </c>
      <c r="N7488" s="2" t="str">
        <f>IFERROR(VLOOKUP(ROWS($N$2:N7488),$D$2:$E$1996,2,0),"")</f>
        <v/>
      </c>
    </row>
    <row r="7489" spans="2:14">
      <c r="B7489" s="32">
        <f>IF(ISNUMBER(SEARCH('Φόρμα Εισαγωγής'!$B$2,C7489)),MAX($B$1:B7488)+1,0)</f>
        <v>0</v>
      </c>
      <c r="D7489" s="33">
        <f>IF(ISNUMBER(SEARCH('Φόρμα Εισαγωγής'!$C$2,E7489)),MAX($D$1:D7488)+1,0)</f>
        <v>0</v>
      </c>
      <c r="H7489" s="6">
        <f t="shared" si="362"/>
        <v>0</v>
      </c>
      <c r="I7489" s="6">
        <f t="shared" si="363"/>
        <v>0</v>
      </c>
      <c r="J7489" s="6">
        <f t="shared" si="364"/>
        <v>0</v>
      </c>
      <c r="L7489" s="4" t="str">
        <f>IFERROR(VLOOKUP(ROWS($L$2:L7489),$B$2:$C$1996,2,0),"")</f>
        <v/>
      </c>
      <c r="N7489" s="2" t="str">
        <f>IFERROR(VLOOKUP(ROWS($N$2:N7489),$D$2:$E$1996,2,0),"")</f>
        <v/>
      </c>
    </row>
    <row r="7490" spans="2:14">
      <c r="B7490" s="32">
        <f>IF(ISNUMBER(SEARCH('Φόρμα Εισαγωγής'!$B$2,C7490)),MAX($B$1:B7489)+1,0)</f>
        <v>0</v>
      </c>
      <c r="D7490" s="33">
        <f>IF(ISNUMBER(SEARCH('Φόρμα Εισαγωγής'!$C$2,E7490)),MAX($D$1:D7489)+1,0)</f>
        <v>0</v>
      </c>
      <c r="H7490" s="6">
        <f t="shared" si="362"/>
        <v>0</v>
      </c>
      <c r="I7490" s="6">
        <f t="shared" si="363"/>
        <v>0</v>
      </c>
      <c r="J7490" s="6">
        <f t="shared" si="364"/>
        <v>0</v>
      </c>
      <c r="L7490" s="4" t="str">
        <f>IFERROR(VLOOKUP(ROWS($L$2:L7490),$B$2:$C$1996,2,0),"")</f>
        <v/>
      </c>
      <c r="N7490" s="2" t="str">
        <f>IFERROR(VLOOKUP(ROWS($N$2:N7490),$D$2:$E$1996,2,0),"")</f>
        <v/>
      </c>
    </row>
    <row r="7491" spans="2:14">
      <c r="B7491" s="32">
        <f>IF(ISNUMBER(SEARCH('Φόρμα Εισαγωγής'!$B$2,C7491)),MAX($B$1:B7490)+1,0)</f>
        <v>0</v>
      </c>
      <c r="D7491" s="33">
        <f>IF(ISNUMBER(SEARCH('Φόρμα Εισαγωγής'!$C$2,E7491)),MAX($D$1:D7490)+1,0)</f>
        <v>0</v>
      </c>
      <c r="H7491" s="6">
        <f t="shared" si="362"/>
        <v>0</v>
      </c>
      <c r="I7491" s="6">
        <f t="shared" si="363"/>
        <v>0</v>
      </c>
      <c r="J7491" s="6">
        <f t="shared" si="364"/>
        <v>0</v>
      </c>
      <c r="L7491" s="4" t="str">
        <f>IFERROR(VLOOKUP(ROWS($L$2:L7491),$B$2:$C$1996,2,0),"")</f>
        <v/>
      </c>
      <c r="N7491" s="2" t="str">
        <f>IFERROR(VLOOKUP(ROWS($N$2:N7491),$D$2:$E$1996,2,0),"")</f>
        <v/>
      </c>
    </row>
    <row r="7492" spans="2:14">
      <c r="B7492" s="32">
        <f>IF(ISNUMBER(SEARCH('Φόρμα Εισαγωγής'!$B$2,C7492)),MAX($B$1:B7491)+1,0)</f>
        <v>0</v>
      </c>
      <c r="D7492" s="33">
        <f>IF(ISNUMBER(SEARCH('Φόρμα Εισαγωγής'!$C$2,E7492)),MAX($D$1:D7491)+1,0)</f>
        <v>0</v>
      </c>
      <c r="H7492" s="6">
        <f t="shared" si="362"/>
        <v>0</v>
      </c>
      <c r="I7492" s="6">
        <f t="shared" si="363"/>
        <v>0</v>
      </c>
      <c r="J7492" s="6">
        <f t="shared" si="364"/>
        <v>0</v>
      </c>
      <c r="L7492" s="4" t="str">
        <f>IFERROR(VLOOKUP(ROWS($L$2:L7492),$B$2:$C$1996,2,0),"")</f>
        <v/>
      </c>
      <c r="N7492" s="2" t="str">
        <f>IFERROR(VLOOKUP(ROWS($N$2:N7492),$D$2:$E$1996,2,0),"")</f>
        <v/>
      </c>
    </row>
    <row r="7493" spans="2:14">
      <c r="B7493" s="32">
        <f>IF(ISNUMBER(SEARCH('Φόρμα Εισαγωγής'!$B$2,C7493)),MAX($B$1:B7492)+1,0)</f>
        <v>0</v>
      </c>
      <c r="D7493" s="33">
        <f>IF(ISNUMBER(SEARCH('Φόρμα Εισαγωγής'!$C$2,E7493)),MAX($D$1:D7492)+1,0)</f>
        <v>0</v>
      </c>
      <c r="H7493" s="6">
        <f t="shared" si="362"/>
        <v>0</v>
      </c>
      <c r="I7493" s="6">
        <f t="shared" si="363"/>
        <v>0</v>
      </c>
      <c r="J7493" s="6">
        <f t="shared" si="364"/>
        <v>0</v>
      </c>
      <c r="L7493" s="4" t="str">
        <f>IFERROR(VLOOKUP(ROWS($L$2:L7493),$B$2:$C$1996,2,0),"")</f>
        <v/>
      </c>
      <c r="N7493" s="2" t="str">
        <f>IFERROR(VLOOKUP(ROWS($N$2:N7493),$D$2:$E$1996,2,0),"")</f>
        <v/>
      </c>
    </row>
    <row r="7494" spans="2:14">
      <c r="B7494" s="32">
        <f>IF(ISNUMBER(SEARCH('Φόρμα Εισαγωγής'!$B$2,C7494)),MAX($B$1:B7493)+1,0)</f>
        <v>0</v>
      </c>
      <c r="D7494" s="33">
        <f>IF(ISNUMBER(SEARCH('Φόρμα Εισαγωγής'!$C$2,E7494)),MAX($D$1:D7493)+1,0)</f>
        <v>0</v>
      </c>
      <c r="H7494" s="6">
        <f t="shared" si="362"/>
        <v>0</v>
      </c>
      <c r="I7494" s="6">
        <f t="shared" si="363"/>
        <v>0</v>
      </c>
      <c r="J7494" s="6">
        <f t="shared" si="364"/>
        <v>0</v>
      </c>
      <c r="L7494" s="4" t="str">
        <f>IFERROR(VLOOKUP(ROWS($L$2:L7494),$B$2:$C$1996,2,0),"")</f>
        <v/>
      </c>
      <c r="N7494" s="2" t="str">
        <f>IFERROR(VLOOKUP(ROWS($N$2:N7494),$D$2:$E$1996,2,0),"")</f>
        <v/>
      </c>
    </row>
    <row r="7495" spans="2:14">
      <c r="B7495" s="32">
        <f>IF(ISNUMBER(SEARCH('Φόρμα Εισαγωγής'!$B$2,C7495)),MAX($B$1:B7494)+1,0)</f>
        <v>0</v>
      </c>
      <c r="D7495" s="33">
        <f>IF(ISNUMBER(SEARCH('Φόρμα Εισαγωγής'!$C$2,E7495)),MAX($D$1:D7494)+1,0)</f>
        <v>0</v>
      </c>
      <c r="H7495" s="6">
        <f t="shared" si="362"/>
        <v>0</v>
      </c>
      <c r="I7495" s="6">
        <f t="shared" si="363"/>
        <v>0</v>
      </c>
      <c r="J7495" s="6">
        <f t="shared" si="364"/>
        <v>0</v>
      </c>
      <c r="L7495" s="4" t="str">
        <f>IFERROR(VLOOKUP(ROWS($L$2:L7495),$B$2:$C$1996,2,0),"")</f>
        <v/>
      </c>
      <c r="N7495" s="2" t="str">
        <f>IFERROR(VLOOKUP(ROWS($N$2:N7495),$D$2:$E$1996,2,0),"")</f>
        <v/>
      </c>
    </row>
    <row r="7496" spans="2:14">
      <c r="B7496" s="32">
        <f>IF(ISNUMBER(SEARCH('Φόρμα Εισαγωγής'!$B$2,C7496)),MAX($B$1:B7495)+1,0)</f>
        <v>0</v>
      </c>
      <c r="D7496" s="33">
        <f>IF(ISNUMBER(SEARCH('Φόρμα Εισαγωγής'!$C$2,E7496)),MAX($D$1:D7495)+1,0)</f>
        <v>0</v>
      </c>
      <c r="H7496" s="6">
        <f t="shared" si="362"/>
        <v>0</v>
      </c>
      <c r="I7496" s="6">
        <f t="shared" si="363"/>
        <v>0</v>
      </c>
      <c r="J7496" s="6">
        <f t="shared" si="364"/>
        <v>0</v>
      </c>
      <c r="L7496" s="4" t="str">
        <f>IFERROR(VLOOKUP(ROWS($L$2:L7496),$B$2:$C$1996,2,0),"")</f>
        <v/>
      </c>
      <c r="N7496" s="2" t="str">
        <f>IFERROR(VLOOKUP(ROWS($N$2:N7496),$D$2:$E$1996,2,0),"")</f>
        <v/>
      </c>
    </row>
    <row r="7497" spans="2:14">
      <c r="B7497" s="32">
        <f>IF(ISNUMBER(SEARCH('Φόρμα Εισαγωγής'!$B$2,C7497)),MAX($B$1:B7496)+1,0)</f>
        <v>0</v>
      </c>
      <c r="D7497" s="33">
        <f>IF(ISNUMBER(SEARCH('Φόρμα Εισαγωγής'!$C$2,E7497)),MAX($D$1:D7496)+1,0)</f>
        <v>0</v>
      </c>
      <c r="H7497" s="6">
        <f t="shared" si="362"/>
        <v>0</v>
      </c>
      <c r="I7497" s="6">
        <f t="shared" si="363"/>
        <v>0</v>
      </c>
      <c r="J7497" s="6">
        <f t="shared" si="364"/>
        <v>0</v>
      </c>
      <c r="L7497" s="4" t="str">
        <f>IFERROR(VLOOKUP(ROWS($L$2:L7497),$B$2:$C$1996,2,0),"")</f>
        <v/>
      </c>
      <c r="N7497" s="2" t="str">
        <f>IFERROR(VLOOKUP(ROWS($N$2:N7497),$D$2:$E$1996,2,0),"")</f>
        <v/>
      </c>
    </row>
    <row r="7498" spans="2:14">
      <c r="B7498" s="32">
        <f>IF(ISNUMBER(SEARCH('Φόρμα Εισαγωγής'!$B$2,C7498)),MAX($B$1:B7497)+1,0)</f>
        <v>0</v>
      </c>
      <c r="D7498" s="33">
        <f>IF(ISNUMBER(SEARCH('Φόρμα Εισαγωγής'!$C$2,E7498)),MAX($D$1:D7497)+1,0)</f>
        <v>0</v>
      </c>
      <c r="H7498" s="6">
        <f t="shared" si="362"/>
        <v>0</v>
      </c>
      <c r="I7498" s="6">
        <f t="shared" si="363"/>
        <v>0</v>
      </c>
      <c r="J7498" s="6">
        <f t="shared" si="364"/>
        <v>0</v>
      </c>
      <c r="L7498" s="4" t="str">
        <f>IFERROR(VLOOKUP(ROWS($L$2:L7498),$B$2:$C$1996,2,0),"")</f>
        <v/>
      </c>
      <c r="N7498" s="2" t="str">
        <f>IFERROR(VLOOKUP(ROWS($N$2:N7498),$D$2:$E$1996,2,0),"")</f>
        <v/>
      </c>
    </row>
    <row r="7499" spans="2:14">
      <c r="B7499" s="32">
        <f>IF(ISNUMBER(SEARCH('Φόρμα Εισαγωγής'!$B$2,C7499)),MAX($B$1:B7498)+1,0)</f>
        <v>0</v>
      </c>
      <c r="D7499" s="33">
        <f>IF(ISNUMBER(SEARCH('Φόρμα Εισαγωγής'!$C$2,E7499)),MAX($D$1:D7498)+1,0)</f>
        <v>0</v>
      </c>
      <c r="H7499" s="6">
        <f t="shared" si="362"/>
        <v>0</v>
      </c>
      <c r="I7499" s="6">
        <f t="shared" si="363"/>
        <v>0</v>
      </c>
      <c r="J7499" s="6">
        <f t="shared" si="364"/>
        <v>0</v>
      </c>
      <c r="L7499" s="4" t="str">
        <f>IFERROR(VLOOKUP(ROWS($L$2:L7499),$B$2:$C$1996,2,0),"")</f>
        <v/>
      </c>
      <c r="N7499" s="2" t="str">
        <f>IFERROR(VLOOKUP(ROWS($N$2:N7499),$D$2:$E$1996,2,0),"")</f>
        <v/>
      </c>
    </row>
    <row r="7500" spans="2:14">
      <c r="B7500" s="32">
        <f>IF(ISNUMBER(SEARCH('Φόρμα Εισαγωγής'!$B$2,C7500)),MAX($B$1:B7499)+1,0)</f>
        <v>0</v>
      </c>
      <c r="D7500" s="33">
        <f>IF(ISNUMBER(SEARCH('Φόρμα Εισαγωγής'!$C$2,E7500)),MAX($D$1:D7499)+1,0)</f>
        <v>0</v>
      </c>
      <c r="H7500" s="6">
        <f t="shared" si="362"/>
        <v>0</v>
      </c>
      <c r="I7500" s="6">
        <f t="shared" si="363"/>
        <v>0</v>
      </c>
      <c r="J7500" s="6">
        <f t="shared" si="364"/>
        <v>0</v>
      </c>
      <c r="L7500" s="4" t="str">
        <f>IFERROR(VLOOKUP(ROWS($L$2:L7500),$B$2:$C$1996,2,0),"")</f>
        <v/>
      </c>
      <c r="N7500" s="2" t="str">
        <f>IFERROR(VLOOKUP(ROWS($N$2:N7500),$D$2:$E$1996,2,0),"")</f>
        <v/>
      </c>
    </row>
    <row r="7501" spans="2:14">
      <c r="B7501" s="32">
        <f>IF(ISNUMBER(SEARCH('Φόρμα Εισαγωγής'!$B$2,C7501)),MAX($B$1:B7500)+1,0)</f>
        <v>0</v>
      </c>
      <c r="D7501" s="33">
        <f>IF(ISNUMBER(SEARCH('Φόρμα Εισαγωγής'!$C$2,E7501)),MAX($D$1:D7500)+1,0)</f>
        <v>0</v>
      </c>
      <c r="H7501" s="6">
        <f t="shared" si="362"/>
        <v>0</v>
      </c>
      <c r="I7501" s="6">
        <f t="shared" si="363"/>
        <v>0</v>
      </c>
      <c r="J7501" s="6">
        <f t="shared" si="364"/>
        <v>0</v>
      </c>
      <c r="L7501" s="4" t="str">
        <f>IFERROR(VLOOKUP(ROWS($L$2:L7501),$B$2:$C$1996,2,0),"")</f>
        <v/>
      </c>
      <c r="N7501" s="2" t="str">
        <f>IFERROR(VLOOKUP(ROWS($N$2:N7501),$D$2:$E$1996,2,0),"")</f>
        <v/>
      </c>
    </row>
    <row r="7502" spans="2:14">
      <c r="B7502" s="32">
        <f>IF(ISNUMBER(SEARCH('Φόρμα Εισαγωγής'!$B$2,C7502)),MAX($B$1:B7501)+1,0)</f>
        <v>0</v>
      </c>
      <c r="D7502" s="33">
        <f>IF(ISNUMBER(SEARCH('Φόρμα Εισαγωγής'!$C$2,E7502)),MAX($D$1:D7501)+1,0)</f>
        <v>0</v>
      </c>
      <c r="H7502" s="6">
        <f t="shared" si="362"/>
        <v>0</v>
      </c>
      <c r="I7502" s="6">
        <f t="shared" si="363"/>
        <v>0</v>
      </c>
      <c r="J7502" s="6">
        <f t="shared" si="364"/>
        <v>0</v>
      </c>
      <c r="L7502" s="4" t="str">
        <f>IFERROR(VLOOKUP(ROWS($L$2:L7502),$B$2:$C$1996,2,0),"")</f>
        <v/>
      </c>
      <c r="N7502" s="2" t="str">
        <f>IFERROR(VLOOKUP(ROWS($N$2:N7502),$D$2:$E$1996,2,0),"")</f>
        <v/>
      </c>
    </row>
    <row r="7503" spans="2:14">
      <c r="B7503" s="32">
        <f>IF(ISNUMBER(SEARCH('Φόρμα Εισαγωγής'!$B$2,C7503)),MAX($B$1:B7502)+1,0)</f>
        <v>0</v>
      </c>
      <c r="D7503" s="33">
        <f>IF(ISNUMBER(SEARCH('Φόρμα Εισαγωγής'!$C$2,E7503)),MAX($D$1:D7502)+1,0)</f>
        <v>0</v>
      </c>
      <c r="H7503" s="6">
        <f t="shared" si="362"/>
        <v>0</v>
      </c>
      <c r="I7503" s="6">
        <f t="shared" si="363"/>
        <v>0</v>
      </c>
      <c r="J7503" s="6">
        <f t="shared" si="364"/>
        <v>0</v>
      </c>
      <c r="L7503" s="4" t="str">
        <f>IFERROR(VLOOKUP(ROWS($L$2:L7503),$B$2:$C$1996,2,0),"")</f>
        <v/>
      </c>
      <c r="N7503" s="2" t="str">
        <f>IFERROR(VLOOKUP(ROWS($N$2:N7503),$D$2:$E$1996,2,0),"")</f>
        <v/>
      </c>
    </row>
    <row r="7504" spans="2:14">
      <c r="B7504" s="32">
        <f>IF(ISNUMBER(SEARCH('Φόρμα Εισαγωγής'!$B$2,C7504)),MAX($B$1:B7503)+1,0)</f>
        <v>0</v>
      </c>
      <c r="D7504" s="33">
        <f>IF(ISNUMBER(SEARCH('Φόρμα Εισαγωγής'!$C$2,E7504)),MAX($D$1:D7503)+1,0)</f>
        <v>0</v>
      </c>
      <c r="H7504" s="6">
        <f t="shared" si="362"/>
        <v>0</v>
      </c>
      <c r="I7504" s="6">
        <f t="shared" si="363"/>
        <v>0</v>
      </c>
      <c r="J7504" s="6">
        <f t="shared" si="364"/>
        <v>0</v>
      </c>
      <c r="L7504" s="4" t="str">
        <f>IFERROR(VLOOKUP(ROWS($L$2:L7504),$B$2:$C$1996,2,0),"")</f>
        <v/>
      </c>
      <c r="N7504" s="2" t="str">
        <f>IFERROR(VLOOKUP(ROWS($N$2:N7504),$D$2:$E$1996,2,0),"")</f>
        <v/>
      </c>
    </row>
    <row r="7505" spans="2:14">
      <c r="B7505" s="32">
        <f>IF(ISNUMBER(SEARCH('Φόρμα Εισαγωγής'!$B$2,C7505)),MAX($B$1:B7504)+1,0)</f>
        <v>0</v>
      </c>
      <c r="D7505" s="33">
        <f>IF(ISNUMBER(SEARCH('Φόρμα Εισαγωγής'!$C$2,E7505)),MAX($D$1:D7504)+1,0)</f>
        <v>0</v>
      </c>
      <c r="H7505" s="6">
        <f t="shared" si="362"/>
        <v>0</v>
      </c>
      <c r="I7505" s="6">
        <f t="shared" si="363"/>
        <v>0</v>
      </c>
      <c r="J7505" s="6">
        <f t="shared" si="364"/>
        <v>0</v>
      </c>
      <c r="L7505" s="4" t="str">
        <f>IFERROR(VLOOKUP(ROWS($L$2:L7505),$B$2:$C$1996,2,0),"")</f>
        <v/>
      </c>
      <c r="N7505" s="2" t="str">
        <f>IFERROR(VLOOKUP(ROWS($N$2:N7505),$D$2:$E$1996,2,0),"")</f>
        <v/>
      </c>
    </row>
    <row r="7506" spans="2:14">
      <c r="B7506" s="32">
        <f>IF(ISNUMBER(SEARCH('Φόρμα Εισαγωγής'!$B$2,C7506)),MAX($B$1:B7505)+1,0)</f>
        <v>0</v>
      </c>
      <c r="D7506" s="33">
        <f>IF(ISNUMBER(SEARCH('Φόρμα Εισαγωγής'!$C$2,E7506)),MAX($D$1:D7505)+1,0)</f>
        <v>0</v>
      </c>
      <c r="H7506" s="6">
        <f t="shared" si="362"/>
        <v>0</v>
      </c>
      <c r="I7506" s="6">
        <f t="shared" si="363"/>
        <v>0</v>
      </c>
      <c r="J7506" s="6">
        <f t="shared" si="364"/>
        <v>0</v>
      </c>
      <c r="L7506" s="4" t="str">
        <f>IFERROR(VLOOKUP(ROWS($L$2:L7506),$B$2:$C$1996,2,0),"")</f>
        <v/>
      </c>
      <c r="N7506" s="2" t="str">
        <f>IFERROR(VLOOKUP(ROWS($N$2:N7506),$D$2:$E$1996,2,0),"")</f>
        <v/>
      </c>
    </row>
    <row r="7507" spans="2:14">
      <c r="B7507" s="32">
        <f>IF(ISNUMBER(SEARCH('Φόρμα Εισαγωγής'!$B$2,C7507)),MAX($B$1:B7506)+1,0)</f>
        <v>0</v>
      </c>
      <c r="D7507" s="33">
        <f>IF(ISNUMBER(SEARCH('Φόρμα Εισαγωγής'!$C$2,E7507)),MAX($D$1:D7506)+1,0)</f>
        <v>0</v>
      </c>
      <c r="H7507" s="6">
        <f t="shared" si="362"/>
        <v>0</v>
      </c>
      <c r="I7507" s="6">
        <f t="shared" si="363"/>
        <v>0</v>
      </c>
      <c r="J7507" s="6">
        <f t="shared" si="364"/>
        <v>0</v>
      </c>
      <c r="L7507" s="4" t="str">
        <f>IFERROR(VLOOKUP(ROWS($L$2:L7507),$B$2:$C$1996,2,0),"")</f>
        <v/>
      </c>
      <c r="N7507" s="2" t="str">
        <f>IFERROR(VLOOKUP(ROWS($N$2:N7507),$D$2:$E$1996,2,0),"")</f>
        <v/>
      </c>
    </row>
    <row r="7508" spans="2:14">
      <c r="B7508" s="32">
        <f>IF(ISNUMBER(SEARCH('Φόρμα Εισαγωγής'!$B$2,C7508)),MAX($B$1:B7507)+1,0)</f>
        <v>0</v>
      </c>
      <c r="D7508" s="33">
        <f>IF(ISNUMBER(SEARCH('Φόρμα Εισαγωγής'!$C$2,E7508)),MAX($D$1:D7507)+1,0)</f>
        <v>0</v>
      </c>
      <c r="H7508" s="6">
        <f t="shared" si="362"/>
        <v>0</v>
      </c>
      <c r="I7508" s="6">
        <f t="shared" si="363"/>
        <v>0</v>
      </c>
      <c r="J7508" s="6">
        <f t="shared" si="364"/>
        <v>0</v>
      </c>
      <c r="L7508" s="4" t="str">
        <f>IFERROR(VLOOKUP(ROWS($L$2:L7508),$B$2:$C$1996,2,0),"")</f>
        <v/>
      </c>
      <c r="N7508" s="2" t="str">
        <f>IFERROR(VLOOKUP(ROWS($N$2:N7508),$D$2:$E$1996,2,0),"")</f>
        <v/>
      </c>
    </row>
    <row r="7509" spans="2:14">
      <c r="B7509" s="32">
        <f>IF(ISNUMBER(SEARCH('Φόρμα Εισαγωγής'!$B$2,C7509)),MAX($B$1:B7508)+1,0)</f>
        <v>0</v>
      </c>
      <c r="D7509" s="33">
        <f>IF(ISNUMBER(SEARCH('Φόρμα Εισαγωγής'!$C$2,E7509)),MAX($D$1:D7508)+1,0)</f>
        <v>0</v>
      </c>
      <c r="H7509" s="6">
        <f t="shared" si="362"/>
        <v>0</v>
      </c>
      <c r="I7509" s="6">
        <f t="shared" si="363"/>
        <v>0</v>
      </c>
      <c r="J7509" s="6">
        <f t="shared" si="364"/>
        <v>0</v>
      </c>
      <c r="L7509" s="4" t="str">
        <f>IFERROR(VLOOKUP(ROWS($L$2:L7509),$B$2:$C$1996,2,0),"")</f>
        <v/>
      </c>
      <c r="N7509" s="2" t="str">
        <f>IFERROR(VLOOKUP(ROWS($N$2:N7509),$D$2:$E$1996,2,0),"")</f>
        <v/>
      </c>
    </row>
    <row r="7510" spans="2:14">
      <c r="B7510" s="32">
        <f>IF(ISNUMBER(SEARCH('Φόρμα Εισαγωγής'!$B$2,C7510)),MAX($B$1:B7509)+1,0)</f>
        <v>0</v>
      </c>
      <c r="D7510" s="33">
        <f>IF(ISNUMBER(SEARCH('Φόρμα Εισαγωγής'!$C$2,E7510)),MAX($D$1:D7509)+1,0)</f>
        <v>0</v>
      </c>
      <c r="H7510" s="6">
        <f t="shared" si="362"/>
        <v>0</v>
      </c>
      <c r="I7510" s="6">
        <f t="shared" si="363"/>
        <v>0</v>
      </c>
      <c r="J7510" s="6">
        <f t="shared" si="364"/>
        <v>0</v>
      </c>
      <c r="L7510" s="4" t="str">
        <f>IFERROR(VLOOKUP(ROWS($L$2:L7510),$B$2:$C$1996,2,0),"")</f>
        <v/>
      </c>
      <c r="N7510" s="2" t="str">
        <f>IFERROR(VLOOKUP(ROWS($N$2:N7510),$D$2:$E$1996,2,0),"")</f>
        <v/>
      </c>
    </row>
    <row r="7511" spans="2:14">
      <c r="B7511" s="32">
        <f>IF(ISNUMBER(SEARCH('Φόρμα Εισαγωγής'!$B$2,C7511)),MAX($B$1:B7510)+1,0)</f>
        <v>0</v>
      </c>
      <c r="D7511" s="33">
        <f>IF(ISNUMBER(SEARCH('Φόρμα Εισαγωγής'!$C$2,E7511)),MAX($D$1:D7510)+1,0)</f>
        <v>0</v>
      </c>
      <c r="H7511" s="6">
        <f t="shared" si="362"/>
        <v>0</v>
      </c>
      <c r="I7511" s="6">
        <f t="shared" si="363"/>
        <v>0</v>
      </c>
      <c r="J7511" s="6">
        <f t="shared" si="364"/>
        <v>0</v>
      </c>
      <c r="L7511" s="4" t="str">
        <f>IFERROR(VLOOKUP(ROWS($L$2:L7511),$B$2:$C$1996,2,0),"")</f>
        <v/>
      </c>
      <c r="N7511" s="2" t="str">
        <f>IFERROR(VLOOKUP(ROWS($N$2:N7511),$D$2:$E$1996,2,0),"")</f>
        <v/>
      </c>
    </row>
    <row r="7512" spans="2:14">
      <c r="B7512" s="32">
        <f>IF(ISNUMBER(SEARCH('Φόρμα Εισαγωγής'!$B$2,C7512)),MAX($B$1:B7511)+1,0)</f>
        <v>0</v>
      </c>
      <c r="D7512" s="33">
        <f>IF(ISNUMBER(SEARCH('Φόρμα Εισαγωγής'!$C$2,E7512)),MAX($D$1:D7511)+1,0)</f>
        <v>0</v>
      </c>
      <c r="H7512" s="6">
        <f t="shared" si="362"/>
        <v>0</v>
      </c>
      <c r="I7512" s="6">
        <f t="shared" si="363"/>
        <v>0</v>
      </c>
      <c r="J7512" s="6">
        <f t="shared" si="364"/>
        <v>0</v>
      </c>
      <c r="L7512" s="4" t="str">
        <f>IFERROR(VLOOKUP(ROWS($L$2:L7512),$B$2:$C$1996,2,0),"")</f>
        <v/>
      </c>
      <c r="N7512" s="2" t="str">
        <f>IFERROR(VLOOKUP(ROWS($N$2:N7512),$D$2:$E$1996,2,0),"")</f>
        <v/>
      </c>
    </row>
    <row r="7513" spans="2:14">
      <c r="B7513" s="32">
        <f>IF(ISNUMBER(SEARCH('Φόρμα Εισαγωγής'!$B$2,C7513)),MAX($B$1:B7512)+1,0)</f>
        <v>0</v>
      </c>
      <c r="D7513" s="33">
        <f>IF(ISNUMBER(SEARCH('Φόρμα Εισαγωγής'!$C$2,E7513)),MAX($D$1:D7512)+1,0)</f>
        <v>0</v>
      </c>
      <c r="H7513" s="6">
        <f t="shared" si="362"/>
        <v>0</v>
      </c>
      <c r="I7513" s="6">
        <f t="shared" si="363"/>
        <v>0</v>
      </c>
      <c r="J7513" s="6">
        <f t="shared" si="364"/>
        <v>0</v>
      </c>
      <c r="L7513" s="4" t="str">
        <f>IFERROR(VLOOKUP(ROWS($L$2:L7513),$B$2:$C$1996,2,0),"")</f>
        <v/>
      </c>
      <c r="N7513" s="2" t="str">
        <f>IFERROR(VLOOKUP(ROWS($N$2:N7513),$D$2:$E$1996,2,0),"")</f>
        <v/>
      </c>
    </row>
    <row r="7514" spans="2:14">
      <c r="B7514" s="32">
        <f>IF(ISNUMBER(SEARCH('Φόρμα Εισαγωγής'!$B$2,C7514)),MAX($B$1:B7513)+1,0)</f>
        <v>0</v>
      </c>
      <c r="D7514" s="33">
        <f>IF(ISNUMBER(SEARCH('Φόρμα Εισαγωγής'!$C$2,E7514)),MAX($D$1:D7513)+1,0)</f>
        <v>0</v>
      </c>
      <c r="H7514" s="6">
        <f t="shared" si="362"/>
        <v>0</v>
      </c>
      <c r="I7514" s="6">
        <f t="shared" si="363"/>
        <v>0</v>
      </c>
      <c r="J7514" s="6">
        <f t="shared" si="364"/>
        <v>0</v>
      </c>
      <c r="L7514" s="4" t="str">
        <f>IFERROR(VLOOKUP(ROWS($L$2:L7514),$B$2:$C$1996,2,0),"")</f>
        <v/>
      </c>
      <c r="N7514" s="2" t="str">
        <f>IFERROR(VLOOKUP(ROWS($N$2:N7514),$D$2:$E$1996,2,0),"")</f>
        <v/>
      </c>
    </row>
    <row r="7515" spans="2:14">
      <c r="B7515" s="32">
        <f>IF(ISNUMBER(SEARCH('Φόρμα Εισαγωγής'!$B$2,C7515)),MAX($B$1:B7514)+1,0)</f>
        <v>0</v>
      </c>
      <c r="D7515" s="33">
        <f>IF(ISNUMBER(SEARCH('Φόρμα Εισαγωγής'!$C$2,E7515)),MAX($D$1:D7514)+1,0)</f>
        <v>0</v>
      </c>
      <c r="H7515" s="6">
        <f t="shared" si="362"/>
        <v>0</v>
      </c>
      <c r="I7515" s="6">
        <f t="shared" si="363"/>
        <v>0</v>
      </c>
      <c r="J7515" s="6">
        <f t="shared" si="364"/>
        <v>0</v>
      </c>
      <c r="L7515" s="4" t="str">
        <f>IFERROR(VLOOKUP(ROWS($L$2:L7515),$B$2:$C$1996,2,0),"")</f>
        <v/>
      </c>
      <c r="N7515" s="2" t="str">
        <f>IFERROR(VLOOKUP(ROWS($N$2:N7515),$D$2:$E$1996,2,0),"")</f>
        <v/>
      </c>
    </row>
    <row r="7516" spans="2:14">
      <c r="B7516" s="32">
        <f>IF(ISNUMBER(SEARCH('Φόρμα Εισαγωγής'!$B$2,C7516)),MAX($B$1:B7515)+1,0)</f>
        <v>0</v>
      </c>
      <c r="D7516" s="33">
        <f>IF(ISNUMBER(SEARCH('Φόρμα Εισαγωγής'!$C$2,E7516)),MAX($D$1:D7515)+1,0)</f>
        <v>0</v>
      </c>
      <c r="H7516" s="6">
        <f t="shared" si="362"/>
        <v>0</v>
      </c>
      <c r="I7516" s="6">
        <f t="shared" si="363"/>
        <v>0</v>
      </c>
      <c r="J7516" s="6">
        <f t="shared" si="364"/>
        <v>0</v>
      </c>
      <c r="L7516" s="4" t="str">
        <f>IFERROR(VLOOKUP(ROWS($L$2:L7516),$B$2:$C$1996,2,0),"")</f>
        <v/>
      </c>
      <c r="N7516" s="2" t="str">
        <f>IFERROR(VLOOKUP(ROWS($N$2:N7516),$D$2:$E$1996,2,0),"")</f>
        <v/>
      </c>
    </row>
    <row r="7517" spans="2:14">
      <c r="B7517" s="32">
        <f>IF(ISNUMBER(SEARCH('Φόρμα Εισαγωγής'!$B$2,C7517)),MAX($B$1:B7516)+1,0)</f>
        <v>0</v>
      </c>
      <c r="D7517" s="33">
        <f>IF(ISNUMBER(SEARCH('Φόρμα Εισαγωγής'!$C$2,E7517)),MAX($D$1:D7516)+1,0)</f>
        <v>0</v>
      </c>
      <c r="H7517" s="6">
        <f t="shared" si="362"/>
        <v>0</v>
      </c>
      <c r="I7517" s="6">
        <f t="shared" si="363"/>
        <v>0</v>
      </c>
      <c r="J7517" s="6">
        <f t="shared" si="364"/>
        <v>0</v>
      </c>
      <c r="L7517" s="4" t="str">
        <f>IFERROR(VLOOKUP(ROWS($L$2:L7517),$B$2:$C$1996,2,0),"")</f>
        <v/>
      </c>
      <c r="N7517" s="2" t="str">
        <f>IFERROR(VLOOKUP(ROWS($N$2:N7517),$D$2:$E$1996,2,0),"")</f>
        <v/>
      </c>
    </row>
    <row r="7518" spans="2:14">
      <c r="B7518" s="32">
        <f>IF(ISNUMBER(SEARCH('Φόρμα Εισαγωγής'!$B$2,C7518)),MAX($B$1:B7517)+1,0)</f>
        <v>0</v>
      </c>
      <c r="D7518" s="33">
        <f>IF(ISNUMBER(SEARCH('Φόρμα Εισαγωγής'!$C$2,E7518)),MAX($D$1:D7517)+1,0)</f>
        <v>0</v>
      </c>
      <c r="H7518" s="6">
        <f t="shared" si="362"/>
        <v>0</v>
      </c>
      <c r="I7518" s="6">
        <f t="shared" si="363"/>
        <v>0</v>
      </c>
      <c r="J7518" s="6">
        <f t="shared" si="364"/>
        <v>0</v>
      </c>
      <c r="L7518" s="4" t="str">
        <f>IFERROR(VLOOKUP(ROWS($L$2:L7518),$B$2:$C$1996,2,0),"")</f>
        <v/>
      </c>
      <c r="N7518" s="2" t="str">
        <f>IFERROR(VLOOKUP(ROWS($N$2:N7518),$D$2:$E$1996,2,0),"")</f>
        <v/>
      </c>
    </row>
    <row r="7519" spans="2:14">
      <c r="B7519" s="32">
        <f>IF(ISNUMBER(SEARCH('Φόρμα Εισαγωγής'!$B$2,C7519)),MAX($B$1:B7518)+1,0)</f>
        <v>0</v>
      </c>
      <c r="D7519" s="33">
        <f>IF(ISNUMBER(SEARCH('Φόρμα Εισαγωγής'!$C$2,E7519)),MAX($D$1:D7518)+1,0)</f>
        <v>0</v>
      </c>
      <c r="H7519" s="6">
        <f t="shared" si="362"/>
        <v>0</v>
      </c>
      <c r="I7519" s="6">
        <f t="shared" si="363"/>
        <v>0</v>
      </c>
      <c r="J7519" s="6">
        <f t="shared" si="364"/>
        <v>0</v>
      </c>
      <c r="L7519" s="4" t="str">
        <f>IFERROR(VLOOKUP(ROWS($L$2:L7519),$B$2:$C$1996,2,0),"")</f>
        <v/>
      </c>
      <c r="N7519" s="2" t="str">
        <f>IFERROR(VLOOKUP(ROWS($N$2:N7519),$D$2:$E$1996,2,0),"")</f>
        <v/>
      </c>
    </row>
    <row r="7520" spans="2:14">
      <c r="B7520" s="32">
        <f>IF(ISNUMBER(SEARCH('Φόρμα Εισαγωγής'!$B$2,C7520)),MAX($B$1:B7519)+1,0)</f>
        <v>0</v>
      </c>
      <c r="D7520" s="33">
        <f>IF(ISNUMBER(SEARCH('Φόρμα Εισαγωγής'!$C$2,E7520)),MAX($D$1:D7519)+1,0)</f>
        <v>0</v>
      </c>
      <c r="H7520" s="6">
        <f t="shared" si="362"/>
        <v>0</v>
      </c>
      <c r="I7520" s="6">
        <f t="shared" si="363"/>
        <v>0</v>
      </c>
      <c r="J7520" s="6">
        <f t="shared" si="364"/>
        <v>0</v>
      </c>
      <c r="L7520" s="4" t="str">
        <f>IFERROR(VLOOKUP(ROWS($L$2:L7520),$B$2:$C$1996,2,0),"")</f>
        <v/>
      </c>
      <c r="N7520" s="2" t="str">
        <f>IFERROR(VLOOKUP(ROWS($N$2:N7520),$D$2:$E$1996,2,0),"")</f>
        <v/>
      </c>
    </row>
    <row r="7521" spans="2:14">
      <c r="B7521" s="32">
        <f>IF(ISNUMBER(SEARCH('Φόρμα Εισαγωγής'!$B$2,C7521)),MAX($B$1:B7520)+1,0)</f>
        <v>0</v>
      </c>
      <c r="D7521" s="33">
        <f>IF(ISNUMBER(SEARCH('Φόρμα Εισαγωγής'!$C$2,E7521)),MAX($D$1:D7520)+1,0)</f>
        <v>0</v>
      </c>
      <c r="H7521" s="6">
        <f t="shared" si="362"/>
        <v>0</v>
      </c>
      <c r="I7521" s="6">
        <f t="shared" si="363"/>
        <v>0</v>
      </c>
      <c r="J7521" s="6">
        <f t="shared" si="364"/>
        <v>0</v>
      </c>
      <c r="L7521" s="4" t="str">
        <f>IFERROR(VLOOKUP(ROWS($L$2:L7521),$B$2:$C$1996,2,0),"")</f>
        <v/>
      </c>
      <c r="N7521" s="2" t="str">
        <f>IFERROR(VLOOKUP(ROWS($N$2:N7521),$D$2:$E$1996,2,0),"")</f>
        <v/>
      </c>
    </row>
    <row r="7522" spans="2:14">
      <c r="B7522" s="32">
        <f>IF(ISNUMBER(SEARCH('Φόρμα Εισαγωγής'!$B$2,C7522)),MAX($B$1:B7521)+1,0)</f>
        <v>0</v>
      </c>
      <c r="D7522" s="33">
        <f>IF(ISNUMBER(SEARCH('Φόρμα Εισαγωγής'!$C$2,E7522)),MAX($D$1:D7521)+1,0)</f>
        <v>0</v>
      </c>
      <c r="H7522" s="6">
        <f t="shared" si="362"/>
        <v>0</v>
      </c>
      <c r="I7522" s="6">
        <f t="shared" si="363"/>
        <v>0</v>
      </c>
      <c r="J7522" s="6">
        <f t="shared" si="364"/>
        <v>0</v>
      </c>
      <c r="L7522" s="4" t="str">
        <f>IFERROR(VLOOKUP(ROWS($L$2:L7522),$B$2:$C$1996,2,0),"")</f>
        <v/>
      </c>
      <c r="N7522" s="2" t="str">
        <f>IFERROR(VLOOKUP(ROWS($N$2:N7522),$D$2:$E$1996,2,0),"")</f>
        <v/>
      </c>
    </row>
    <row r="7523" spans="2:14">
      <c r="B7523" s="32">
        <f>IF(ISNUMBER(SEARCH('Φόρμα Εισαγωγής'!$B$2,C7523)),MAX($B$1:B7522)+1,0)</f>
        <v>0</v>
      </c>
      <c r="D7523" s="33">
        <f>IF(ISNUMBER(SEARCH('Φόρμα Εισαγωγής'!$C$2,E7523)),MAX($D$1:D7522)+1,0)</f>
        <v>0</v>
      </c>
      <c r="H7523" s="6">
        <f t="shared" si="362"/>
        <v>0</v>
      </c>
      <c r="I7523" s="6">
        <f t="shared" si="363"/>
        <v>0</v>
      </c>
      <c r="J7523" s="6">
        <f t="shared" si="364"/>
        <v>0</v>
      </c>
      <c r="L7523" s="4" t="str">
        <f>IFERROR(VLOOKUP(ROWS($L$2:L7523),$B$2:$C$1996,2,0),"")</f>
        <v/>
      </c>
      <c r="N7523" s="2" t="str">
        <f>IFERROR(VLOOKUP(ROWS($N$2:N7523),$D$2:$E$1996,2,0),"")</f>
        <v/>
      </c>
    </row>
    <row r="7524" spans="2:14">
      <c r="B7524" s="32">
        <f>IF(ISNUMBER(SEARCH('Φόρμα Εισαγωγής'!$B$2,C7524)),MAX($B$1:B7523)+1,0)</f>
        <v>0</v>
      </c>
      <c r="D7524" s="33">
        <f>IF(ISNUMBER(SEARCH('Φόρμα Εισαγωγής'!$C$2,E7524)),MAX($D$1:D7523)+1,0)</f>
        <v>0</v>
      </c>
      <c r="H7524" s="6">
        <f t="shared" si="362"/>
        <v>0</v>
      </c>
      <c r="I7524" s="6">
        <f t="shared" si="363"/>
        <v>0</v>
      </c>
      <c r="J7524" s="6">
        <f t="shared" si="364"/>
        <v>0</v>
      </c>
      <c r="L7524" s="4" t="str">
        <f>IFERROR(VLOOKUP(ROWS($L$2:L7524),$B$2:$C$1996,2,0),"")</f>
        <v/>
      </c>
      <c r="N7524" s="2" t="str">
        <f>IFERROR(VLOOKUP(ROWS($N$2:N7524),$D$2:$E$1996,2,0),"")</f>
        <v/>
      </c>
    </row>
    <row r="7525" spans="2:14">
      <c r="B7525" s="32">
        <f>IF(ISNUMBER(SEARCH('Φόρμα Εισαγωγής'!$B$2,C7525)),MAX($B$1:B7524)+1,0)</f>
        <v>0</v>
      </c>
      <c r="D7525" s="33">
        <f>IF(ISNUMBER(SEARCH('Φόρμα Εισαγωγής'!$C$2,E7525)),MAX($D$1:D7524)+1,0)</f>
        <v>0</v>
      </c>
      <c r="H7525" s="6">
        <f t="shared" si="362"/>
        <v>0</v>
      </c>
      <c r="I7525" s="6">
        <f t="shared" si="363"/>
        <v>0</v>
      </c>
      <c r="J7525" s="6">
        <f t="shared" si="364"/>
        <v>0</v>
      </c>
      <c r="L7525" s="4" t="str">
        <f>IFERROR(VLOOKUP(ROWS($L$2:L7525),$B$2:$C$1996,2,0),"")</f>
        <v/>
      </c>
      <c r="N7525" s="2" t="str">
        <f>IFERROR(VLOOKUP(ROWS($N$2:N7525),$D$2:$E$1996,2,0),"")</f>
        <v/>
      </c>
    </row>
    <row r="7526" spans="2:14">
      <c r="B7526" s="32">
        <f>IF(ISNUMBER(SEARCH('Φόρμα Εισαγωγής'!$B$2,C7526)),MAX($B$1:B7525)+1,0)</f>
        <v>0</v>
      </c>
      <c r="D7526" s="33">
        <f>IF(ISNUMBER(SEARCH('Φόρμα Εισαγωγής'!$C$2,E7526)),MAX($D$1:D7525)+1,0)</f>
        <v>0</v>
      </c>
      <c r="H7526" s="6">
        <f t="shared" si="362"/>
        <v>0</v>
      </c>
      <c r="I7526" s="6">
        <f t="shared" si="363"/>
        <v>0</v>
      </c>
      <c r="J7526" s="6">
        <f t="shared" si="364"/>
        <v>0</v>
      </c>
      <c r="L7526" s="4" t="str">
        <f>IFERROR(VLOOKUP(ROWS($L$2:L7526),$B$2:$C$1996,2,0),"")</f>
        <v/>
      </c>
      <c r="N7526" s="2" t="str">
        <f>IFERROR(VLOOKUP(ROWS($N$2:N7526),$D$2:$E$1996,2,0),"")</f>
        <v/>
      </c>
    </row>
    <row r="7527" spans="2:14">
      <c r="B7527" s="32">
        <f>IF(ISNUMBER(SEARCH('Φόρμα Εισαγωγής'!$B$2,C7527)),MAX($B$1:B7526)+1,0)</f>
        <v>0</v>
      </c>
      <c r="D7527" s="33">
        <f>IF(ISNUMBER(SEARCH('Φόρμα Εισαγωγής'!$C$2,E7527)),MAX($D$1:D7526)+1,0)</f>
        <v>0</v>
      </c>
      <c r="H7527" s="6">
        <f t="shared" si="362"/>
        <v>0</v>
      </c>
      <c r="I7527" s="6">
        <f t="shared" si="363"/>
        <v>0</v>
      </c>
      <c r="J7527" s="6">
        <f t="shared" si="364"/>
        <v>0</v>
      </c>
      <c r="L7527" s="4" t="str">
        <f>IFERROR(VLOOKUP(ROWS($L$2:L7527),$B$2:$C$1996,2,0),"")</f>
        <v/>
      </c>
      <c r="N7527" s="2" t="str">
        <f>IFERROR(VLOOKUP(ROWS($N$2:N7527),$D$2:$E$1996,2,0),"")</f>
        <v/>
      </c>
    </row>
    <row r="7528" spans="2:14">
      <c r="B7528" s="32">
        <f>IF(ISNUMBER(SEARCH('Φόρμα Εισαγωγής'!$B$2,C7528)),MAX($B$1:B7527)+1,0)</f>
        <v>0</v>
      </c>
      <c r="D7528" s="33">
        <f>IF(ISNUMBER(SEARCH('Φόρμα Εισαγωγής'!$C$2,E7528)),MAX($D$1:D7527)+1,0)</f>
        <v>0</v>
      </c>
      <c r="H7528" s="6">
        <f t="shared" si="362"/>
        <v>0</v>
      </c>
      <c r="I7528" s="6">
        <f t="shared" si="363"/>
        <v>0</v>
      </c>
      <c r="J7528" s="6">
        <f t="shared" si="364"/>
        <v>0</v>
      </c>
      <c r="L7528" s="4" t="str">
        <f>IFERROR(VLOOKUP(ROWS($L$2:L7528),$B$2:$C$1996,2,0),"")</f>
        <v/>
      </c>
      <c r="N7528" s="2" t="str">
        <f>IFERROR(VLOOKUP(ROWS($N$2:N7528),$D$2:$E$1996,2,0),"")</f>
        <v/>
      </c>
    </row>
    <row r="7529" spans="2:14">
      <c r="B7529" s="32">
        <f>IF(ISNUMBER(SEARCH('Φόρμα Εισαγωγής'!$B$2,C7529)),MAX($B$1:B7528)+1,0)</f>
        <v>0</v>
      </c>
      <c r="D7529" s="33">
        <f>IF(ISNUMBER(SEARCH('Φόρμα Εισαγωγής'!$C$2,E7529)),MAX($D$1:D7528)+1,0)</f>
        <v>0</v>
      </c>
      <c r="H7529" s="6">
        <f t="shared" si="362"/>
        <v>0</v>
      </c>
      <c r="I7529" s="6">
        <f t="shared" si="363"/>
        <v>0</v>
      </c>
      <c r="J7529" s="6">
        <f t="shared" si="364"/>
        <v>0</v>
      </c>
      <c r="L7529" s="4" t="str">
        <f>IFERROR(VLOOKUP(ROWS($L$2:L7529),$B$2:$C$1996,2,0),"")</f>
        <v/>
      </c>
      <c r="N7529" s="2" t="str">
        <f>IFERROR(VLOOKUP(ROWS($N$2:N7529),$D$2:$E$1996,2,0),"")</f>
        <v/>
      </c>
    </row>
    <row r="7530" spans="2:14">
      <c r="B7530" s="32">
        <f>IF(ISNUMBER(SEARCH('Φόρμα Εισαγωγής'!$B$2,C7530)),MAX($B$1:B7529)+1,0)</f>
        <v>0</v>
      </c>
      <c r="D7530" s="33">
        <f>IF(ISNUMBER(SEARCH('Φόρμα Εισαγωγής'!$C$2,E7530)),MAX($D$1:D7529)+1,0)</f>
        <v>0</v>
      </c>
      <c r="H7530" s="6">
        <f t="shared" si="362"/>
        <v>0</v>
      </c>
      <c r="I7530" s="6">
        <f t="shared" si="363"/>
        <v>0</v>
      </c>
      <c r="J7530" s="6">
        <f t="shared" si="364"/>
        <v>0</v>
      </c>
      <c r="L7530" s="4" t="str">
        <f>IFERROR(VLOOKUP(ROWS($L$2:L7530),$B$2:$C$1996,2,0),"")</f>
        <v/>
      </c>
      <c r="N7530" s="2" t="str">
        <f>IFERROR(VLOOKUP(ROWS($N$2:N7530),$D$2:$E$1996,2,0),"")</f>
        <v/>
      </c>
    </row>
    <row r="7531" spans="2:14">
      <c r="B7531" s="32">
        <f>IF(ISNUMBER(SEARCH('Φόρμα Εισαγωγής'!$B$2,C7531)),MAX($B$1:B7530)+1,0)</f>
        <v>0</v>
      </c>
      <c r="D7531" s="33">
        <f>IF(ISNUMBER(SEARCH('Φόρμα Εισαγωγής'!$C$2,E7531)),MAX($D$1:D7530)+1,0)</f>
        <v>0</v>
      </c>
      <c r="H7531" s="6">
        <f t="shared" si="362"/>
        <v>0</v>
      </c>
      <c r="I7531" s="6">
        <f t="shared" si="363"/>
        <v>0</v>
      </c>
      <c r="J7531" s="6">
        <f t="shared" si="364"/>
        <v>0</v>
      </c>
      <c r="L7531" s="4" t="str">
        <f>IFERROR(VLOOKUP(ROWS($L$2:L7531),$B$2:$C$1996,2,0),"")</f>
        <v/>
      </c>
      <c r="N7531" s="2" t="str">
        <f>IFERROR(VLOOKUP(ROWS($N$2:N7531),$D$2:$E$1996,2,0),"")</f>
        <v/>
      </c>
    </row>
    <row r="7532" spans="2:14">
      <c r="B7532" s="32">
        <f>IF(ISNUMBER(SEARCH('Φόρμα Εισαγωγής'!$B$2,C7532)),MAX($B$1:B7531)+1,0)</f>
        <v>0</v>
      </c>
      <c r="D7532" s="33">
        <f>IF(ISNUMBER(SEARCH('Φόρμα Εισαγωγής'!$C$2,E7532)),MAX($D$1:D7531)+1,0)</f>
        <v>0</v>
      </c>
      <c r="H7532" s="6">
        <f t="shared" si="362"/>
        <v>0</v>
      </c>
      <c r="I7532" s="6">
        <f t="shared" si="363"/>
        <v>0</v>
      </c>
      <c r="J7532" s="6">
        <f t="shared" si="364"/>
        <v>0</v>
      </c>
      <c r="L7532" s="4" t="str">
        <f>IFERROR(VLOOKUP(ROWS($L$2:L7532),$B$2:$C$1996,2,0),"")</f>
        <v/>
      </c>
      <c r="N7532" s="2" t="str">
        <f>IFERROR(VLOOKUP(ROWS($N$2:N7532),$D$2:$E$1996,2,0),"")</f>
        <v/>
      </c>
    </row>
    <row r="7533" spans="2:14">
      <c r="B7533" s="32">
        <f>IF(ISNUMBER(SEARCH('Φόρμα Εισαγωγής'!$B$2,C7533)),MAX($B$1:B7532)+1,0)</f>
        <v>0</v>
      </c>
      <c r="D7533" s="33">
        <f>IF(ISNUMBER(SEARCH('Φόρμα Εισαγωγής'!$C$2,E7533)),MAX($D$1:D7532)+1,0)</f>
        <v>0</v>
      </c>
      <c r="H7533" s="6">
        <f t="shared" si="362"/>
        <v>0</v>
      </c>
      <c r="I7533" s="6">
        <f t="shared" si="363"/>
        <v>0</v>
      </c>
      <c r="J7533" s="6">
        <f t="shared" si="364"/>
        <v>0</v>
      </c>
      <c r="L7533" s="4" t="str">
        <f>IFERROR(VLOOKUP(ROWS($L$2:L7533),$B$2:$C$1996,2,0),"")</f>
        <v/>
      </c>
      <c r="N7533" s="2" t="str">
        <f>IFERROR(VLOOKUP(ROWS($N$2:N7533),$D$2:$E$1996,2,0),"")</f>
        <v/>
      </c>
    </row>
    <row r="7534" spans="2:14">
      <c r="B7534" s="32">
        <f>IF(ISNUMBER(SEARCH('Φόρμα Εισαγωγής'!$B$2,C7534)),MAX($B$1:B7533)+1,0)</f>
        <v>0</v>
      </c>
      <c r="D7534" s="33">
        <f>IF(ISNUMBER(SEARCH('Φόρμα Εισαγωγής'!$C$2,E7534)),MAX($D$1:D7533)+1,0)</f>
        <v>0</v>
      </c>
      <c r="H7534" s="6">
        <f t="shared" si="362"/>
        <v>0</v>
      </c>
      <c r="I7534" s="6">
        <f t="shared" si="363"/>
        <v>0</v>
      </c>
      <c r="J7534" s="6">
        <f t="shared" si="364"/>
        <v>0</v>
      </c>
      <c r="L7534" s="4" t="str">
        <f>IFERROR(VLOOKUP(ROWS($L$2:L7534),$B$2:$C$1996,2,0),"")</f>
        <v/>
      </c>
      <c r="N7534" s="2" t="str">
        <f>IFERROR(VLOOKUP(ROWS($N$2:N7534),$D$2:$E$1996,2,0),"")</f>
        <v/>
      </c>
    </row>
    <row r="7535" spans="2:14">
      <c r="B7535" s="32">
        <f>IF(ISNUMBER(SEARCH('Φόρμα Εισαγωγής'!$B$2,C7535)),MAX($B$1:B7534)+1,0)</f>
        <v>0</v>
      </c>
      <c r="D7535" s="33">
        <f>IF(ISNUMBER(SEARCH('Φόρμα Εισαγωγής'!$C$2,E7535)),MAX($D$1:D7534)+1,0)</f>
        <v>0</v>
      </c>
      <c r="H7535" s="6">
        <f t="shared" si="362"/>
        <v>0</v>
      </c>
      <c r="I7535" s="6">
        <f t="shared" si="363"/>
        <v>0</v>
      </c>
      <c r="J7535" s="6">
        <f t="shared" si="364"/>
        <v>0</v>
      </c>
      <c r="L7535" s="4" t="str">
        <f>IFERROR(VLOOKUP(ROWS($L$2:L7535),$B$2:$C$1996,2,0),"")</f>
        <v/>
      </c>
      <c r="N7535" s="2" t="str">
        <f>IFERROR(VLOOKUP(ROWS($N$2:N7535),$D$2:$E$1996,2,0),"")</f>
        <v/>
      </c>
    </row>
    <row r="7536" spans="2:14">
      <c r="B7536" s="32">
        <f>IF(ISNUMBER(SEARCH('Φόρμα Εισαγωγής'!$B$2,C7536)),MAX($B$1:B7535)+1,0)</f>
        <v>0</v>
      </c>
      <c r="D7536" s="33">
        <f>IF(ISNUMBER(SEARCH('Φόρμα Εισαγωγής'!$C$2,E7536)),MAX($D$1:D7535)+1,0)</f>
        <v>0</v>
      </c>
      <c r="H7536" s="6">
        <f t="shared" si="362"/>
        <v>0</v>
      </c>
      <c r="I7536" s="6">
        <f t="shared" si="363"/>
        <v>0</v>
      </c>
      <c r="J7536" s="6">
        <f t="shared" si="364"/>
        <v>0</v>
      </c>
      <c r="L7536" s="4" t="str">
        <f>IFERROR(VLOOKUP(ROWS($L$2:L7536),$B$2:$C$1996,2,0),"")</f>
        <v/>
      </c>
      <c r="N7536" s="2" t="str">
        <f>IFERROR(VLOOKUP(ROWS($N$2:N7536),$D$2:$E$1996,2,0),"")</f>
        <v/>
      </c>
    </row>
    <row r="7537" spans="2:14">
      <c r="B7537" s="32">
        <f>IF(ISNUMBER(SEARCH('Φόρμα Εισαγωγής'!$B$2,C7537)),MAX($B$1:B7536)+1,0)</f>
        <v>0</v>
      </c>
      <c r="D7537" s="33">
        <f>IF(ISNUMBER(SEARCH('Φόρμα Εισαγωγής'!$C$2,E7537)),MAX($D$1:D7536)+1,0)</f>
        <v>0</v>
      </c>
      <c r="H7537" s="6">
        <f t="shared" si="362"/>
        <v>0</v>
      </c>
      <c r="I7537" s="6">
        <f t="shared" si="363"/>
        <v>0</v>
      </c>
      <c r="J7537" s="6">
        <f t="shared" si="364"/>
        <v>0</v>
      </c>
      <c r="L7537" s="4" t="str">
        <f>IFERROR(VLOOKUP(ROWS($L$2:L7537),$B$2:$C$1996,2,0),"")</f>
        <v/>
      </c>
      <c r="N7537" s="2" t="str">
        <f>IFERROR(VLOOKUP(ROWS($N$2:N7537),$D$2:$E$1996,2,0),"")</f>
        <v/>
      </c>
    </row>
    <row r="7538" spans="2:14">
      <c r="B7538" s="32">
        <f>IF(ISNUMBER(SEARCH('Φόρμα Εισαγωγής'!$B$2,C7538)),MAX($B$1:B7537)+1,0)</f>
        <v>0</v>
      </c>
      <c r="D7538" s="33">
        <f>IF(ISNUMBER(SEARCH('Φόρμα Εισαγωγής'!$C$2,E7538)),MAX($D$1:D7537)+1,0)</f>
        <v>0</v>
      </c>
      <c r="H7538" s="6">
        <f t="shared" si="362"/>
        <v>0</v>
      </c>
      <c r="I7538" s="6">
        <f t="shared" si="363"/>
        <v>0</v>
      </c>
      <c r="J7538" s="6">
        <f t="shared" si="364"/>
        <v>0</v>
      </c>
      <c r="L7538" s="4" t="str">
        <f>IFERROR(VLOOKUP(ROWS($L$2:L7538),$B$2:$C$1996,2,0),"")</f>
        <v/>
      </c>
      <c r="N7538" s="2" t="str">
        <f>IFERROR(VLOOKUP(ROWS($N$2:N7538),$D$2:$E$1996,2,0),"")</f>
        <v/>
      </c>
    </row>
    <row r="7539" spans="2:14">
      <c r="B7539" s="32">
        <f>IF(ISNUMBER(SEARCH('Φόρμα Εισαγωγής'!$B$2,C7539)),MAX($B$1:B7538)+1,0)</f>
        <v>0</v>
      </c>
      <c r="D7539" s="33">
        <f>IF(ISNUMBER(SEARCH('Φόρμα Εισαγωγής'!$C$2,E7539)),MAX($D$1:D7538)+1,0)</f>
        <v>0</v>
      </c>
      <c r="H7539" s="6">
        <f t="shared" si="362"/>
        <v>0</v>
      </c>
      <c r="I7539" s="6">
        <f t="shared" si="363"/>
        <v>0</v>
      </c>
      <c r="J7539" s="6">
        <f t="shared" si="364"/>
        <v>0</v>
      </c>
      <c r="L7539" s="4" t="str">
        <f>IFERROR(VLOOKUP(ROWS($L$2:L7539),$B$2:$C$1996,2,0),"")</f>
        <v/>
      </c>
      <c r="N7539" s="2" t="str">
        <f>IFERROR(VLOOKUP(ROWS($N$2:N7539),$D$2:$E$1996,2,0),"")</f>
        <v/>
      </c>
    </row>
    <row r="7540" spans="2:14">
      <c r="B7540" s="32">
        <f>IF(ISNUMBER(SEARCH('Φόρμα Εισαγωγής'!$B$2,C7540)),MAX($B$1:B7539)+1,0)</f>
        <v>0</v>
      </c>
      <c r="D7540" s="33">
        <f>IF(ISNUMBER(SEARCH('Φόρμα Εισαγωγής'!$C$2,E7540)),MAX($D$1:D7539)+1,0)</f>
        <v>0</v>
      </c>
      <c r="H7540" s="6">
        <f t="shared" si="362"/>
        <v>0</v>
      </c>
      <c r="I7540" s="6">
        <f t="shared" si="363"/>
        <v>0</v>
      </c>
      <c r="J7540" s="6">
        <f t="shared" si="364"/>
        <v>0</v>
      </c>
      <c r="L7540" s="4" t="str">
        <f>IFERROR(VLOOKUP(ROWS($L$2:L7540),$B$2:$C$1996,2,0),"")</f>
        <v/>
      </c>
      <c r="N7540" s="2" t="str">
        <f>IFERROR(VLOOKUP(ROWS($N$2:N7540),$D$2:$E$1996,2,0),"")</f>
        <v/>
      </c>
    </row>
    <row r="7541" spans="2:14">
      <c r="B7541" s="32">
        <f>IF(ISNUMBER(SEARCH('Φόρμα Εισαγωγής'!$B$2,C7541)),MAX($B$1:B7540)+1,0)</f>
        <v>0</v>
      </c>
      <c r="D7541" s="33">
        <f>IF(ISNUMBER(SEARCH('Φόρμα Εισαγωγής'!$C$2,E7541)),MAX($D$1:D7540)+1,0)</f>
        <v>0</v>
      </c>
      <c r="H7541" s="6">
        <f t="shared" si="362"/>
        <v>0</v>
      </c>
      <c r="I7541" s="6">
        <f t="shared" si="363"/>
        <v>0</v>
      </c>
      <c r="J7541" s="6">
        <f t="shared" si="364"/>
        <v>0</v>
      </c>
      <c r="L7541" s="4" t="str">
        <f>IFERROR(VLOOKUP(ROWS($L$2:L7541),$B$2:$C$1996,2,0),"")</f>
        <v/>
      </c>
      <c r="N7541" s="2" t="str">
        <f>IFERROR(VLOOKUP(ROWS($N$2:N7541),$D$2:$E$1996,2,0),"")</f>
        <v/>
      </c>
    </row>
    <row r="7542" spans="2:14">
      <c r="B7542" s="32">
        <f>IF(ISNUMBER(SEARCH('Φόρμα Εισαγωγής'!$B$2,C7542)),MAX($B$1:B7541)+1,0)</f>
        <v>0</v>
      </c>
      <c r="D7542" s="33">
        <f>IF(ISNUMBER(SEARCH('Φόρμα Εισαγωγής'!$C$2,E7542)),MAX($D$1:D7541)+1,0)</f>
        <v>0</v>
      </c>
      <c r="H7542" s="6">
        <f t="shared" si="362"/>
        <v>0</v>
      </c>
      <c r="I7542" s="6">
        <f t="shared" si="363"/>
        <v>0</v>
      </c>
      <c r="J7542" s="6">
        <f t="shared" si="364"/>
        <v>0</v>
      </c>
      <c r="L7542" s="4" t="str">
        <f>IFERROR(VLOOKUP(ROWS($L$2:L7542),$B$2:$C$1996,2,0),"")</f>
        <v/>
      </c>
      <c r="N7542" s="2" t="str">
        <f>IFERROR(VLOOKUP(ROWS($N$2:N7542),$D$2:$E$1996,2,0),"")</f>
        <v/>
      </c>
    </row>
    <row r="7543" spans="2:14">
      <c r="B7543" s="32">
        <f>IF(ISNUMBER(SEARCH('Φόρμα Εισαγωγής'!$B$2,C7543)),MAX($B$1:B7542)+1,0)</f>
        <v>0</v>
      </c>
      <c r="D7543" s="33">
        <f>IF(ISNUMBER(SEARCH('Φόρμα Εισαγωγής'!$C$2,E7543)),MAX($D$1:D7542)+1,0)</f>
        <v>0</v>
      </c>
      <c r="H7543" s="6">
        <f t="shared" si="362"/>
        <v>0</v>
      </c>
      <c r="I7543" s="6">
        <f t="shared" si="363"/>
        <v>0</v>
      </c>
      <c r="J7543" s="6">
        <f t="shared" si="364"/>
        <v>0</v>
      </c>
      <c r="L7543" s="4" t="str">
        <f>IFERROR(VLOOKUP(ROWS($L$2:L7543),$B$2:$C$1996,2,0),"")</f>
        <v/>
      </c>
      <c r="N7543" s="2" t="str">
        <f>IFERROR(VLOOKUP(ROWS($N$2:N7543),$D$2:$E$1996,2,0),"")</f>
        <v/>
      </c>
    </row>
    <row r="7544" spans="2:14">
      <c r="B7544" s="32">
        <f>IF(ISNUMBER(SEARCH('Φόρμα Εισαγωγής'!$B$2,C7544)),MAX($B$1:B7543)+1,0)</f>
        <v>0</v>
      </c>
      <c r="D7544" s="33">
        <f>IF(ISNUMBER(SEARCH('Φόρμα Εισαγωγής'!$C$2,E7544)),MAX($D$1:D7543)+1,0)</f>
        <v>0</v>
      </c>
      <c r="H7544" s="6">
        <f t="shared" si="362"/>
        <v>0</v>
      </c>
      <c r="I7544" s="6">
        <f t="shared" si="363"/>
        <v>0</v>
      </c>
      <c r="J7544" s="6">
        <f t="shared" si="364"/>
        <v>0</v>
      </c>
      <c r="L7544" s="4" t="str">
        <f>IFERROR(VLOOKUP(ROWS($L$2:L7544),$B$2:$C$1996,2,0),"")</f>
        <v/>
      </c>
      <c r="N7544" s="2" t="str">
        <f>IFERROR(VLOOKUP(ROWS($N$2:N7544),$D$2:$E$1996,2,0),"")</f>
        <v/>
      </c>
    </row>
    <row r="7545" spans="2:14">
      <c r="B7545" s="32">
        <f>IF(ISNUMBER(SEARCH('Φόρμα Εισαγωγής'!$B$2,C7545)),MAX($B$1:B7544)+1,0)</f>
        <v>0</v>
      </c>
      <c r="D7545" s="33">
        <f>IF(ISNUMBER(SEARCH('Φόρμα Εισαγωγής'!$C$2,E7545)),MAX($D$1:D7544)+1,0)</f>
        <v>0</v>
      </c>
      <c r="H7545" s="6">
        <f t="shared" si="362"/>
        <v>0</v>
      </c>
      <c r="I7545" s="6">
        <f t="shared" si="363"/>
        <v>0</v>
      </c>
      <c r="J7545" s="6">
        <f t="shared" si="364"/>
        <v>0</v>
      </c>
      <c r="L7545" s="4" t="str">
        <f>IFERROR(VLOOKUP(ROWS($L$2:L7545),$B$2:$C$1996,2,0),"")</f>
        <v/>
      </c>
      <c r="N7545" s="2" t="str">
        <f>IFERROR(VLOOKUP(ROWS($N$2:N7545),$D$2:$E$1996,2,0),"")</f>
        <v/>
      </c>
    </row>
    <row r="7546" spans="2:14">
      <c r="B7546" s="32">
        <f>IF(ISNUMBER(SEARCH('Φόρμα Εισαγωγής'!$B$2,C7546)),MAX($B$1:B7545)+1,0)</f>
        <v>0</v>
      </c>
      <c r="D7546" s="33">
        <f>IF(ISNUMBER(SEARCH('Φόρμα Εισαγωγής'!$C$2,E7546)),MAX($D$1:D7545)+1,0)</f>
        <v>0</v>
      </c>
      <c r="H7546" s="6">
        <f t="shared" si="362"/>
        <v>0</v>
      </c>
      <c r="I7546" s="6">
        <f t="shared" si="363"/>
        <v>0</v>
      </c>
      <c r="J7546" s="6">
        <f t="shared" si="364"/>
        <v>0</v>
      </c>
      <c r="L7546" s="4" t="str">
        <f>IFERROR(VLOOKUP(ROWS($L$2:L7546),$B$2:$C$1996,2,0),"")</f>
        <v/>
      </c>
      <c r="N7546" s="2" t="str">
        <f>IFERROR(VLOOKUP(ROWS($N$2:N7546),$D$2:$E$1996,2,0),"")</f>
        <v/>
      </c>
    </row>
    <row r="7547" spans="2:14">
      <c r="B7547" s="32">
        <f>IF(ISNUMBER(SEARCH('Φόρμα Εισαγωγής'!$B$2,C7547)),MAX($B$1:B7546)+1,0)</f>
        <v>0</v>
      </c>
      <c r="D7547" s="33">
        <f>IF(ISNUMBER(SEARCH('Φόρμα Εισαγωγής'!$C$2,E7547)),MAX($D$1:D7546)+1,0)</f>
        <v>0</v>
      </c>
      <c r="H7547" s="6">
        <f t="shared" si="362"/>
        <v>0</v>
      </c>
      <c r="I7547" s="6">
        <f t="shared" si="363"/>
        <v>0</v>
      </c>
      <c r="J7547" s="6">
        <f t="shared" si="364"/>
        <v>0</v>
      </c>
      <c r="L7547" s="4" t="str">
        <f>IFERROR(VLOOKUP(ROWS($L$2:L7547),$B$2:$C$1996,2,0),"")</f>
        <v/>
      </c>
      <c r="N7547" s="2" t="str">
        <f>IFERROR(VLOOKUP(ROWS($N$2:N7547),$D$2:$E$1996,2,0),"")</f>
        <v/>
      </c>
    </row>
    <row r="7548" spans="2:14">
      <c r="B7548" s="32">
        <f>IF(ISNUMBER(SEARCH('Φόρμα Εισαγωγής'!$B$2,C7548)),MAX($B$1:B7547)+1,0)</f>
        <v>0</v>
      </c>
      <c r="D7548" s="33">
        <f>IF(ISNUMBER(SEARCH('Φόρμα Εισαγωγής'!$C$2,E7548)),MAX($D$1:D7547)+1,0)</f>
        <v>0</v>
      </c>
      <c r="H7548" s="6">
        <f t="shared" si="362"/>
        <v>0</v>
      </c>
      <c r="I7548" s="6">
        <f t="shared" si="363"/>
        <v>0</v>
      </c>
      <c r="J7548" s="6">
        <f t="shared" si="364"/>
        <v>0</v>
      </c>
      <c r="L7548" s="4" t="str">
        <f>IFERROR(VLOOKUP(ROWS($L$2:L7548),$B$2:$C$1996,2,0),"")</f>
        <v/>
      </c>
      <c r="N7548" s="2" t="str">
        <f>IFERROR(VLOOKUP(ROWS($N$2:N7548),$D$2:$E$1996,2,0),"")</f>
        <v/>
      </c>
    </row>
    <row r="7549" spans="2:14">
      <c r="B7549" s="32">
        <f>IF(ISNUMBER(SEARCH('Φόρμα Εισαγωγής'!$B$2,C7549)),MAX($B$1:B7548)+1,0)</f>
        <v>0</v>
      </c>
      <c r="D7549" s="33">
        <f>IF(ISNUMBER(SEARCH('Φόρμα Εισαγωγής'!$C$2,E7549)),MAX($D$1:D7548)+1,0)</f>
        <v>0</v>
      </c>
      <c r="H7549" s="6">
        <f t="shared" si="362"/>
        <v>0</v>
      </c>
      <c r="I7549" s="6">
        <f t="shared" si="363"/>
        <v>0</v>
      </c>
      <c r="J7549" s="6">
        <f t="shared" si="364"/>
        <v>0</v>
      </c>
      <c r="L7549" s="4" t="str">
        <f>IFERROR(VLOOKUP(ROWS($L$2:L7549),$B$2:$C$1996,2,0),"")</f>
        <v/>
      </c>
      <c r="N7549" s="2" t="str">
        <f>IFERROR(VLOOKUP(ROWS($N$2:N7549),$D$2:$E$1996,2,0),"")</f>
        <v/>
      </c>
    </row>
    <row r="7550" spans="2:14">
      <c r="B7550" s="32">
        <f>IF(ISNUMBER(SEARCH('Φόρμα Εισαγωγής'!$B$2,C7550)),MAX($B$1:B7549)+1,0)</f>
        <v>0</v>
      </c>
      <c r="D7550" s="33">
        <f>IF(ISNUMBER(SEARCH('Φόρμα Εισαγωγής'!$C$2,E7550)),MAX($D$1:D7549)+1,0)</f>
        <v>0</v>
      </c>
      <c r="H7550" s="6">
        <f t="shared" si="362"/>
        <v>0</v>
      </c>
      <c r="I7550" s="6">
        <f t="shared" si="363"/>
        <v>0</v>
      </c>
      <c r="J7550" s="6">
        <f t="shared" si="364"/>
        <v>0</v>
      </c>
      <c r="L7550" s="4" t="str">
        <f>IFERROR(VLOOKUP(ROWS($L$2:L7550),$B$2:$C$1996,2,0),"")</f>
        <v/>
      </c>
      <c r="N7550" s="2" t="str">
        <f>IFERROR(VLOOKUP(ROWS($N$2:N7550),$D$2:$E$1996,2,0),"")</f>
        <v/>
      </c>
    </row>
    <row r="7551" spans="2:14">
      <c r="B7551" s="32">
        <f>IF(ISNUMBER(SEARCH('Φόρμα Εισαγωγής'!$B$2,C7551)),MAX($B$1:B7550)+1,0)</f>
        <v>0</v>
      </c>
      <c r="D7551" s="33">
        <f>IF(ISNUMBER(SEARCH('Φόρμα Εισαγωγής'!$C$2,E7551)),MAX($D$1:D7550)+1,0)</f>
        <v>0</v>
      </c>
      <c r="H7551" s="6">
        <f t="shared" si="362"/>
        <v>0</v>
      </c>
      <c r="I7551" s="6">
        <f t="shared" si="363"/>
        <v>0</v>
      </c>
      <c r="J7551" s="6">
        <f t="shared" si="364"/>
        <v>0</v>
      </c>
      <c r="L7551" s="4" t="str">
        <f>IFERROR(VLOOKUP(ROWS($L$2:L7551),$B$2:$C$1996,2,0),"")</f>
        <v/>
      </c>
      <c r="N7551" s="2" t="str">
        <f>IFERROR(VLOOKUP(ROWS($N$2:N7551),$D$2:$E$1996,2,0),"")</f>
        <v/>
      </c>
    </row>
    <row r="7552" spans="2:14">
      <c r="B7552" s="32">
        <f>IF(ISNUMBER(SEARCH('Φόρμα Εισαγωγής'!$B$2,C7552)),MAX($B$1:B7551)+1,0)</f>
        <v>0</v>
      </c>
      <c r="D7552" s="33">
        <f>IF(ISNUMBER(SEARCH('Φόρμα Εισαγωγής'!$C$2,E7552)),MAX($D$1:D7551)+1,0)</f>
        <v>0</v>
      </c>
      <c r="H7552" s="6">
        <f t="shared" ref="H7552:H7615" si="365">G7552+(G7552*0.24)</f>
        <v>0</v>
      </c>
      <c r="I7552" s="6">
        <f t="shared" ref="I7552:I7615" si="366">F7552*A7552</f>
        <v>0</v>
      </c>
      <c r="J7552" s="6">
        <f t="shared" ref="J7552:J7615" si="367">H7552*A7552</f>
        <v>0</v>
      </c>
      <c r="L7552" s="4" t="str">
        <f>IFERROR(VLOOKUP(ROWS($L$2:L7552),$B$2:$C$1996,2,0),"")</f>
        <v/>
      </c>
      <c r="N7552" s="2" t="str">
        <f>IFERROR(VLOOKUP(ROWS($N$2:N7552),$D$2:$E$1996,2,0),"")</f>
        <v/>
      </c>
    </row>
    <row r="7553" spans="2:14">
      <c r="B7553" s="32">
        <f>IF(ISNUMBER(SEARCH('Φόρμα Εισαγωγής'!$B$2,C7553)),MAX($B$1:B7552)+1,0)</f>
        <v>0</v>
      </c>
      <c r="D7553" s="33">
        <f>IF(ISNUMBER(SEARCH('Φόρμα Εισαγωγής'!$C$2,E7553)),MAX($D$1:D7552)+1,0)</f>
        <v>0</v>
      </c>
      <c r="H7553" s="6">
        <f t="shared" si="365"/>
        <v>0</v>
      </c>
      <c r="I7553" s="6">
        <f t="shared" si="366"/>
        <v>0</v>
      </c>
      <c r="J7553" s="6">
        <f t="shared" si="367"/>
        <v>0</v>
      </c>
      <c r="L7553" s="4" t="str">
        <f>IFERROR(VLOOKUP(ROWS($L$2:L7553),$B$2:$C$1996,2,0),"")</f>
        <v/>
      </c>
      <c r="N7553" s="2" t="str">
        <f>IFERROR(VLOOKUP(ROWS($N$2:N7553),$D$2:$E$1996,2,0),"")</f>
        <v/>
      </c>
    </row>
    <row r="7554" spans="2:14">
      <c r="B7554" s="32">
        <f>IF(ISNUMBER(SEARCH('Φόρμα Εισαγωγής'!$B$2,C7554)),MAX($B$1:B7553)+1,0)</f>
        <v>0</v>
      </c>
      <c r="D7554" s="33">
        <f>IF(ISNUMBER(SEARCH('Φόρμα Εισαγωγής'!$C$2,E7554)),MAX($D$1:D7553)+1,0)</f>
        <v>0</v>
      </c>
      <c r="H7554" s="6">
        <f t="shared" si="365"/>
        <v>0</v>
      </c>
      <c r="I7554" s="6">
        <f t="shared" si="366"/>
        <v>0</v>
      </c>
      <c r="J7554" s="6">
        <f t="shared" si="367"/>
        <v>0</v>
      </c>
      <c r="L7554" s="4" t="str">
        <f>IFERROR(VLOOKUP(ROWS($L$2:L7554),$B$2:$C$1996,2,0),"")</f>
        <v/>
      </c>
      <c r="N7554" s="2" t="str">
        <f>IFERROR(VLOOKUP(ROWS($N$2:N7554),$D$2:$E$1996,2,0),"")</f>
        <v/>
      </c>
    </row>
    <row r="7555" spans="2:14">
      <c r="B7555" s="32">
        <f>IF(ISNUMBER(SEARCH('Φόρμα Εισαγωγής'!$B$2,C7555)),MAX($B$1:B7554)+1,0)</f>
        <v>0</v>
      </c>
      <c r="D7555" s="33">
        <f>IF(ISNUMBER(SEARCH('Φόρμα Εισαγωγής'!$C$2,E7555)),MAX($D$1:D7554)+1,0)</f>
        <v>0</v>
      </c>
      <c r="H7555" s="6">
        <f t="shared" si="365"/>
        <v>0</v>
      </c>
      <c r="I7555" s="6">
        <f t="shared" si="366"/>
        <v>0</v>
      </c>
      <c r="J7555" s="6">
        <f t="shared" si="367"/>
        <v>0</v>
      </c>
      <c r="L7555" s="4" t="str">
        <f>IFERROR(VLOOKUP(ROWS($L$2:L7555),$B$2:$C$1996,2,0),"")</f>
        <v/>
      </c>
      <c r="N7555" s="2" t="str">
        <f>IFERROR(VLOOKUP(ROWS($N$2:N7555),$D$2:$E$1996,2,0),"")</f>
        <v/>
      </c>
    </row>
    <row r="7556" spans="2:14">
      <c r="B7556" s="32">
        <f>IF(ISNUMBER(SEARCH('Φόρμα Εισαγωγής'!$B$2,C7556)),MAX($B$1:B7555)+1,0)</f>
        <v>0</v>
      </c>
      <c r="D7556" s="33">
        <f>IF(ISNUMBER(SEARCH('Φόρμα Εισαγωγής'!$C$2,E7556)),MAX($D$1:D7555)+1,0)</f>
        <v>0</v>
      </c>
      <c r="H7556" s="6">
        <f t="shared" si="365"/>
        <v>0</v>
      </c>
      <c r="I7556" s="6">
        <f t="shared" si="366"/>
        <v>0</v>
      </c>
      <c r="J7556" s="6">
        <f t="shared" si="367"/>
        <v>0</v>
      </c>
      <c r="L7556" s="4" t="str">
        <f>IFERROR(VLOOKUP(ROWS($L$2:L7556),$B$2:$C$1996,2,0),"")</f>
        <v/>
      </c>
      <c r="N7556" s="2" t="str">
        <f>IFERROR(VLOOKUP(ROWS($N$2:N7556),$D$2:$E$1996,2,0),"")</f>
        <v/>
      </c>
    </row>
    <row r="7557" spans="2:14">
      <c r="B7557" s="32">
        <f>IF(ISNUMBER(SEARCH('Φόρμα Εισαγωγής'!$B$2,C7557)),MAX($B$1:B7556)+1,0)</f>
        <v>0</v>
      </c>
      <c r="D7557" s="33">
        <f>IF(ISNUMBER(SEARCH('Φόρμα Εισαγωγής'!$C$2,E7557)),MAX($D$1:D7556)+1,0)</f>
        <v>0</v>
      </c>
      <c r="H7557" s="6">
        <f t="shared" si="365"/>
        <v>0</v>
      </c>
      <c r="I7557" s="6">
        <f t="shared" si="366"/>
        <v>0</v>
      </c>
      <c r="J7557" s="6">
        <f t="shared" si="367"/>
        <v>0</v>
      </c>
      <c r="L7557" s="4" t="str">
        <f>IFERROR(VLOOKUP(ROWS($L$2:L7557),$B$2:$C$1996,2,0),"")</f>
        <v/>
      </c>
      <c r="N7557" s="2" t="str">
        <f>IFERROR(VLOOKUP(ROWS($N$2:N7557),$D$2:$E$1996,2,0),"")</f>
        <v/>
      </c>
    </row>
    <row r="7558" spans="2:14">
      <c r="B7558" s="32">
        <f>IF(ISNUMBER(SEARCH('Φόρμα Εισαγωγής'!$B$2,C7558)),MAX($B$1:B7557)+1,0)</f>
        <v>0</v>
      </c>
      <c r="D7558" s="33">
        <f>IF(ISNUMBER(SEARCH('Φόρμα Εισαγωγής'!$C$2,E7558)),MAX($D$1:D7557)+1,0)</f>
        <v>0</v>
      </c>
      <c r="H7558" s="6">
        <f t="shared" si="365"/>
        <v>0</v>
      </c>
      <c r="I7558" s="6">
        <f t="shared" si="366"/>
        <v>0</v>
      </c>
      <c r="J7558" s="6">
        <f t="shared" si="367"/>
        <v>0</v>
      </c>
      <c r="L7558" s="4" t="str">
        <f>IFERROR(VLOOKUP(ROWS($L$2:L7558),$B$2:$C$1996,2,0),"")</f>
        <v/>
      </c>
      <c r="N7558" s="2" t="str">
        <f>IFERROR(VLOOKUP(ROWS($N$2:N7558),$D$2:$E$1996,2,0),"")</f>
        <v/>
      </c>
    </row>
    <row r="7559" spans="2:14">
      <c r="B7559" s="32">
        <f>IF(ISNUMBER(SEARCH('Φόρμα Εισαγωγής'!$B$2,C7559)),MAX($B$1:B7558)+1,0)</f>
        <v>0</v>
      </c>
      <c r="D7559" s="33">
        <f>IF(ISNUMBER(SEARCH('Φόρμα Εισαγωγής'!$C$2,E7559)),MAX($D$1:D7558)+1,0)</f>
        <v>0</v>
      </c>
      <c r="H7559" s="6">
        <f t="shared" si="365"/>
        <v>0</v>
      </c>
      <c r="I7559" s="6">
        <f t="shared" si="366"/>
        <v>0</v>
      </c>
      <c r="J7559" s="6">
        <f t="shared" si="367"/>
        <v>0</v>
      </c>
      <c r="L7559" s="4" t="str">
        <f>IFERROR(VLOOKUP(ROWS($L$2:L7559),$B$2:$C$1996,2,0),"")</f>
        <v/>
      </c>
      <c r="N7559" s="2" t="str">
        <f>IFERROR(VLOOKUP(ROWS($N$2:N7559),$D$2:$E$1996,2,0),"")</f>
        <v/>
      </c>
    </row>
    <row r="7560" spans="2:14">
      <c r="B7560" s="32">
        <f>IF(ISNUMBER(SEARCH('Φόρμα Εισαγωγής'!$B$2,C7560)),MAX($B$1:B7559)+1,0)</f>
        <v>0</v>
      </c>
      <c r="D7560" s="33">
        <f>IF(ISNUMBER(SEARCH('Φόρμα Εισαγωγής'!$C$2,E7560)),MAX($D$1:D7559)+1,0)</f>
        <v>0</v>
      </c>
      <c r="H7560" s="6">
        <f t="shared" si="365"/>
        <v>0</v>
      </c>
      <c r="I7560" s="6">
        <f t="shared" si="366"/>
        <v>0</v>
      </c>
      <c r="J7560" s="6">
        <f t="shared" si="367"/>
        <v>0</v>
      </c>
      <c r="L7560" s="4" t="str">
        <f>IFERROR(VLOOKUP(ROWS($L$2:L7560),$B$2:$C$1996,2,0),"")</f>
        <v/>
      </c>
      <c r="N7560" s="2" t="str">
        <f>IFERROR(VLOOKUP(ROWS($N$2:N7560),$D$2:$E$1996,2,0),"")</f>
        <v/>
      </c>
    </row>
    <row r="7561" spans="2:14">
      <c r="B7561" s="32">
        <f>IF(ISNUMBER(SEARCH('Φόρμα Εισαγωγής'!$B$2,C7561)),MAX($B$1:B7560)+1,0)</f>
        <v>0</v>
      </c>
      <c r="D7561" s="33">
        <f>IF(ISNUMBER(SEARCH('Φόρμα Εισαγωγής'!$C$2,E7561)),MAX($D$1:D7560)+1,0)</f>
        <v>0</v>
      </c>
      <c r="H7561" s="6">
        <f t="shared" si="365"/>
        <v>0</v>
      </c>
      <c r="I7561" s="6">
        <f t="shared" si="366"/>
        <v>0</v>
      </c>
      <c r="J7561" s="6">
        <f t="shared" si="367"/>
        <v>0</v>
      </c>
      <c r="L7561" s="4" t="str">
        <f>IFERROR(VLOOKUP(ROWS($L$2:L7561),$B$2:$C$1996,2,0),"")</f>
        <v/>
      </c>
      <c r="N7561" s="2" t="str">
        <f>IFERROR(VLOOKUP(ROWS($N$2:N7561),$D$2:$E$1996,2,0),"")</f>
        <v/>
      </c>
    </row>
    <row r="7562" spans="2:14">
      <c r="B7562" s="32">
        <f>IF(ISNUMBER(SEARCH('Φόρμα Εισαγωγής'!$B$2,C7562)),MAX($B$1:B7561)+1,0)</f>
        <v>0</v>
      </c>
      <c r="D7562" s="33">
        <f>IF(ISNUMBER(SEARCH('Φόρμα Εισαγωγής'!$C$2,E7562)),MAX($D$1:D7561)+1,0)</f>
        <v>0</v>
      </c>
      <c r="H7562" s="6">
        <f t="shared" si="365"/>
        <v>0</v>
      </c>
      <c r="I7562" s="6">
        <f t="shared" si="366"/>
        <v>0</v>
      </c>
      <c r="J7562" s="6">
        <f t="shared" si="367"/>
        <v>0</v>
      </c>
      <c r="L7562" s="4" t="str">
        <f>IFERROR(VLOOKUP(ROWS($L$2:L7562),$B$2:$C$1996,2,0),"")</f>
        <v/>
      </c>
      <c r="N7562" s="2" t="str">
        <f>IFERROR(VLOOKUP(ROWS($N$2:N7562),$D$2:$E$1996,2,0),"")</f>
        <v/>
      </c>
    </row>
    <row r="7563" spans="2:14">
      <c r="B7563" s="32">
        <f>IF(ISNUMBER(SEARCH('Φόρμα Εισαγωγής'!$B$2,C7563)),MAX($B$1:B7562)+1,0)</f>
        <v>0</v>
      </c>
      <c r="D7563" s="33">
        <f>IF(ISNUMBER(SEARCH('Φόρμα Εισαγωγής'!$C$2,E7563)),MAX($D$1:D7562)+1,0)</f>
        <v>0</v>
      </c>
      <c r="H7563" s="6">
        <f t="shared" si="365"/>
        <v>0</v>
      </c>
      <c r="I7563" s="6">
        <f t="shared" si="366"/>
        <v>0</v>
      </c>
      <c r="J7563" s="6">
        <f t="shared" si="367"/>
        <v>0</v>
      </c>
      <c r="L7563" s="4" t="str">
        <f>IFERROR(VLOOKUP(ROWS($L$2:L7563),$B$2:$C$1996,2,0),"")</f>
        <v/>
      </c>
      <c r="N7563" s="2" t="str">
        <f>IFERROR(VLOOKUP(ROWS($N$2:N7563),$D$2:$E$1996,2,0),"")</f>
        <v/>
      </c>
    </row>
    <row r="7564" spans="2:14">
      <c r="B7564" s="32">
        <f>IF(ISNUMBER(SEARCH('Φόρμα Εισαγωγής'!$B$2,C7564)),MAX($B$1:B7563)+1,0)</f>
        <v>0</v>
      </c>
      <c r="D7564" s="33">
        <f>IF(ISNUMBER(SEARCH('Φόρμα Εισαγωγής'!$C$2,E7564)),MAX($D$1:D7563)+1,0)</f>
        <v>0</v>
      </c>
      <c r="H7564" s="6">
        <f t="shared" si="365"/>
        <v>0</v>
      </c>
      <c r="I7564" s="6">
        <f t="shared" si="366"/>
        <v>0</v>
      </c>
      <c r="J7564" s="6">
        <f t="shared" si="367"/>
        <v>0</v>
      </c>
      <c r="L7564" s="4" t="str">
        <f>IFERROR(VLOOKUP(ROWS($L$2:L7564),$B$2:$C$1996,2,0),"")</f>
        <v/>
      </c>
      <c r="N7564" s="2" t="str">
        <f>IFERROR(VLOOKUP(ROWS($N$2:N7564),$D$2:$E$1996,2,0),"")</f>
        <v/>
      </c>
    </row>
    <row r="7565" spans="2:14">
      <c r="B7565" s="32">
        <f>IF(ISNUMBER(SEARCH('Φόρμα Εισαγωγής'!$B$2,C7565)),MAX($B$1:B7564)+1,0)</f>
        <v>0</v>
      </c>
      <c r="D7565" s="33">
        <f>IF(ISNUMBER(SEARCH('Φόρμα Εισαγωγής'!$C$2,E7565)),MAX($D$1:D7564)+1,0)</f>
        <v>0</v>
      </c>
      <c r="H7565" s="6">
        <f t="shared" si="365"/>
        <v>0</v>
      </c>
      <c r="I7565" s="6">
        <f t="shared" si="366"/>
        <v>0</v>
      </c>
      <c r="J7565" s="6">
        <f t="shared" si="367"/>
        <v>0</v>
      </c>
      <c r="L7565" s="4" t="str">
        <f>IFERROR(VLOOKUP(ROWS($L$2:L7565),$B$2:$C$1996,2,0),"")</f>
        <v/>
      </c>
      <c r="N7565" s="2" t="str">
        <f>IFERROR(VLOOKUP(ROWS($N$2:N7565),$D$2:$E$1996,2,0),"")</f>
        <v/>
      </c>
    </row>
    <row r="7566" spans="2:14">
      <c r="B7566" s="32">
        <f>IF(ISNUMBER(SEARCH('Φόρμα Εισαγωγής'!$B$2,C7566)),MAX($B$1:B7565)+1,0)</f>
        <v>0</v>
      </c>
      <c r="D7566" s="33">
        <f>IF(ISNUMBER(SEARCH('Φόρμα Εισαγωγής'!$C$2,E7566)),MAX($D$1:D7565)+1,0)</f>
        <v>0</v>
      </c>
      <c r="H7566" s="6">
        <f t="shared" si="365"/>
        <v>0</v>
      </c>
      <c r="I7566" s="6">
        <f t="shared" si="366"/>
        <v>0</v>
      </c>
      <c r="J7566" s="6">
        <f t="shared" si="367"/>
        <v>0</v>
      </c>
      <c r="L7566" s="4" t="str">
        <f>IFERROR(VLOOKUP(ROWS($L$2:L7566),$B$2:$C$1996,2,0),"")</f>
        <v/>
      </c>
      <c r="N7566" s="2" t="str">
        <f>IFERROR(VLOOKUP(ROWS($N$2:N7566),$D$2:$E$1996,2,0),"")</f>
        <v/>
      </c>
    </row>
    <row r="7567" spans="2:14">
      <c r="B7567" s="32">
        <f>IF(ISNUMBER(SEARCH('Φόρμα Εισαγωγής'!$B$2,C7567)),MAX($B$1:B7566)+1,0)</f>
        <v>0</v>
      </c>
      <c r="D7567" s="33">
        <f>IF(ISNUMBER(SEARCH('Φόρμα Εισαγωγής'!$C$2,E7567)),MAX($D$1:D7566)+1,0)</f>
        <v>0</v>
      </c>
      <c r="H7567" s="6">
        <f t="shared" si="365"/>
        <v>0</v>
      </c>
      <c r="I7567" s="6">
        <f t="shared" si="366"/>
        <v>0</v>
      </c>
      <c r="J7567" s="6">
        <f t="shared" si="367"/>
        <v>0</v>
      </c>
      <c r="L7567" s="4" t="str">
        <f>IFERROR(VLOOKUP(ROWS($L$2:L7567),$B$2:$C$1996,2,0),"")</f>
        <v/>
      </c>
      <c r="N7567" s="2" t="str">
        <f>IFERROR(VLOOKUP(ROWS($N$2:N7567),$D$2:$E$1996,2,0),"")</f>
        <v/>
      </c>
    </row>
    <row r="7568" spans="2:14">
      <c r="B7568" s="32">
        <f>IF(ISNUMBER(SEARCH('Φόρμα Εισαγωγής'!$B$2,C7568)),MAX($B$1:B7567)+1,0)</f>
        <v>0</v>
      </c>
      <c r="D7568" s="33">
        <f>IF(ISNUMBER(SEARCH('Φόρμα Εισαγωγής'!$C$2,E7568)),MAX($D$1:D7567)+1,0)</f>
        <v>0</v>
      </c>
      <c r="H7568" s="6">
        <f t="shared" si="365"/>
        <v>0</v>
      </c>
      <c r="I7568" s="6">
        <f t="shared" si="366"/>
        <v>0</v>
      </c>
      <c r="J7568" s="6">
        <f t="shared" si="367"/>
        <v>0</v>
      </c>
      <c r="L7568" s="4" t="str">
        <f>IFERROR(VLOOKUP(ROWS($L$2:L7568),$B$2:$C$1996,2,0),"")</f>
        <v/>
      </c>
      <c r="N7568" s="2" t="str">
        <f>IFERROR(VLOOKUP(ROWS($N$2:N7568),$D$2:$E$1996,2,0),"")</f>
        <v/>
      </c>
    </row>
    <row r="7569" spans="2:14">
      <c r="B7569" s="32">
        <f>IF(ISNUMBER(SEARCH('Φόρμα Εισαγωγής'!$B$2,C7569)),MAX($B$1:B7568)+1,0)</f>
        <v>0</v>
      </c>
      <c r="D7569" s="33">
        <f>IF(ISNUMBER(SEARCH('Φόρμα Εισαγωγής'!$C$2,E7569)),MAX($D$1:D7568)+1,0)</f>
        <v>0</v>
      </c>
      <c r="H7569" s="6">
        <f t="shared" si="365"/>
        <v>0</v>
      </c>
      <c r="I7569" s="6">
        <f t="shared" si="366"/>
        <v>0</v>
      </c>
      <c r="J7569" s="6">
        <f t="shared" si="367"/>
        <v>0</v>
      </c>
      <c r="L7569" s="4" t="str">
        <f>IFERROR(VLOOKUP(ROWS($L$2:L7569),$B$2:$C$1996,2,0),"")</f>
        <v/>
      </c>
      <c r="N7569" s="2" t="str">
        <f>IFERROR(VLOOKUP(ROWS($N$2:N7569),$D$2:$E$1996,2,0),"")</f>
        <v/>
      </c>
    </row>
    <row r="7570" spans="2:14">
      <c r="B7570" s="32">
        <f>IF(ISNUMBER(SEARCH('Φόρμα Εισαγωγής'!$B$2,C7570)),MAX($B$1:B7569)+1,0)</f>
        <v>0</v>
      </c>
      <c r="D7570" s="33">
        <f>IF(ISNUMBER(SEARCH('Φόρμα Εισαγωγής'!$C$2,E7570)),MAX($D$1:D7569)+1,0)</f>
        <v>0</v>
      </c>
      <c r="H7570" s="6">
        <f t="shared" si="365"/>
        <v>0</v>
      </c>
      <c r="I7570" s="6">
        <f t="shared" si="366"/>
        <v>0</v>
      </c>
      <c r="J7570" s="6">
        <f t="shared" si="367"/>
        <v>0</v>
      </c>
      <c r="L7570" s="4" t="str">
        <f>IFERROR(VLOOKUP(ROWS($L$2:L7570),$B$2:$C$1996,2,0),"")</f>
        <v/>
      </c>
      <c r="N7570" s="2" t="str">
        <f>IFERROR(VLOOKUP(ROWS($N$2:N7570),$D$2:$E$1996,2,0),"")</f>
        <v/>
      </c>
    </row>
    <row r="7571" spans="2:14">
      <c r="B7571" s="32">
        <f>IF(ISNUMBER(SEARCH('Φόρμα Εισαγωγής'!$B$2,C7571)),MAX($B$1:B7570)+1,0)</f>
        <v>0</v>
      </c>
      <c r="D7571" s="33">
        <f>IF(ISNUMBER(SEARCH('Φόρμα Εισαγωγής'!$C$2,E7571)),MAX($D$1:D7570)+1,0)</f>
        <v>0</v>
      </c>
      <c r="H7571" s="6">
        <f t="shared" si="365"/>
        <v>0</v>
      </c>
      <c r="I7571" s="6">
        <f t="shared" si="366"/>
        <v>0</v>
      </c>
      <c r="J7571" s="6">
        <f t="shared" si="367"/>
        <v>0</v>
      </c>
      <c r="L7571" s="4" t="str">
        <f>IFERROR(VLOOKUP(ROWS($L$2:L7571),$B$2:$C$1996,2,0),"")</f>
        <v/>
      </c>
      <c r="N7571" s="2" t="str">
        <f>IFERROR(VLOOKUP(ROWS($N$2:N7571),$D$2:$E$1996,2,0),"")</f>
        <v/>
      </c>
    </row>
    <row r="7572" spans="2:14">
      <c r="B7572" s="32">
        <f>IF(ISNUMBER(SEARCH('Φόρμα Εισαγωγής'!$B$2,C7572)),MAX($B$1:B7571)+1,0)</f>
        <v>0</v>
      </c>
      <c r="D7572" s="33">
        <f>IF(ISNUMBER(SEARCH('Φόρμα Εισαγωγής'!$C$2,E7572)),MAX($D$1:D7571)+1,0)</f>
        <v>0</v>
      </c>
      <c r="H7572" s="6">
        <f t="shared" si="365"/>
        <v>0</v>
      </c>
      <c r="I7572" s="6">
        <f t="shared" si="366"/>
        <v>0</v>
      </c>
      <c r="J7572" s="6">
        <f t="shared" si="367"/>
        <v>0</v>
      </c>
      <c r="L7572" s="4" t="str">
        <f>IFERROR(VLOOKUP(ROWS($L$2:L7572),$B$2:$C$1996,2,0),"")</f>
        <v/>
      </c>
      <c r="N7572" s="2" t="str">
        <f>IFERROR(VLOOKUP(ROWS($N$2:N7572),$D$2:$E$1996,2,0),"")</f>
        <v/>
      </c>
    </row>
    <row r="7573" spans="2:14">
      <c r="B7573" s="32">
        <f>IF(ISNUMBER(SEARCH('Φόρμα Εισαγωγής'!$B$2,C7573)),MAX($B$1:B7572)+1,0)</f>
        <v>0</v>
      </c>
      <c r="D7573" s="33">
        <f>IF(ISNUMBER(SEARCH('Φόρμα Εισαγωγής'!$C$2,E7573)),MAX($D$1:D7572)+1,0)</f>
        <v>0</v>
      </c>
      <c r="H7573" s="6">
        <f t="shared" si="365"/>
        <v>0</v>
      </c>
      <c r="I7573" s="6">
        <f t="shared" si="366"/>
        <v>0</v>
      </c>
      <c r="J7573" s="6">
        <f t="shared" si="367"/>
        <v>0</v>
      </c>
      <c r="L7573" s="4" t="str">
        <f>IFERROR(VLOOKUP(ROWS($L$2:L7573),$B$2:$C$1996,2,0),"")</f>
        <v/>
      </c>
      <c r="N7573" s="2" t="str">
        <f>IFERROR(VLOOKUP(ROWS($N$2:N7573),$D$2:$E$1996,2,0),"")</f>
        <v/>
      </c>
    </row>
    <row r="7574" spans="2:14">
      <c r="B7574" s="32">
        <f>IF(ISNUMBER(SEARCH('Φόρμα Εισαγωγής'!$B$2,C7574)),MAX($B$1:B7573)+1,0)</f>
        <v>0</v>
      </c>
      <c r="D7574" s="33">
        <f>IF(ISNUMBER(SEARCH('Φόρμα Εισαγωγής'!$C$2,E7574)),MAX($D$1:D7573)+1,0)</f>
        <v>0</v>
      </c>
      <c r="H7574" s="6">
        <f t="shared" si="365"/>
        <v>0</v>
      </c>
      <c r="I7574" s="6">
        <f t="shared" si="366"/>
        <v>0</v>
      </c>
      <c r="J7574" s="6">
        <f t="shared" si="367"/>
        <v>0</v>
      </c>
      <c r="L7574" s="4" t="str">
        <f>IFERROR(VLOOKUP(ROWS($L$2:L7574),$B$2:$C$1996,2,0),"")</f>
        <v/>
      </c>
      <c r="N7574" s="2" t="str">
        <f>IFERROR(VLOOKUP(ROWS($N$2:N7574),$D$2:$E$1996,2,0),"")</f>
        <v/>
      </c>
    </row>
    <row r="7575" spans="2:14">
      <c r="B7575" s="32">
        <f>IF(ISNUMBER(SEARCH('Φόρμα Εισαγωγής'!$B$2,C7575)),MAX($B$1:B7574)+1,0)</f>
        <v>0</v>
      </c>
      <c r="D7575" s="33">
        <f>IF(ISNUMBER(SEARCH('Φόρμα Εισαγωγής'!$C$2,E7575)),MAX($D$1:D7574)+1,0)</f>
        <v>0</v>
      </c>
      <c r="H7575" s="6">
        <f t="shared" si="365"/>
        <v>0</v>
      </c>
      <c r="I7575" s="6">
        <f t="shared" si="366"/>
        <v>0</v>
      </c>
      <c r="J7575" s="6">
        <f t="shared" si="367"/>
        <v>0</v>
      </c>
      <c r="L7575" s="4" t="str">
        <f>IFERROR(VLOOKUP(ROWS($L$2:L7575),$B$2:$C$1996,2,0),"")</f>
        <v/>
      </c>
      <c r="N7575" s="2" t="str">
        <f>IFERROR(VLOOKUP(ROWS($N$2:N7575),$D$2:$E$1996,2,0),"")</f>
        <v/>
      </c>
    </row>
    <row r="7576" spans="2:14">
      <c r="B7576" s="32">
        <f>IF(ISNUMBER(SEARCH('Φόρμα Εισαγωγής'!$B$2,C7576)),MAX($B$1:B7575)+1,0)</f>
        <v>0</v>
      </c>
      <c r="D7576" s="33">
        <f>IF(ISNUMBER(SEARCH('Φόρμα Εισαγωγής'!$C$2,E7576)),MAX($D$1:D7575)+1,0)</f>
        <v>0</v>
      </c>
      <c r="H7576" s="6">
        <f t="shared" si="365"/>
        <v>0</v>
      </c>
      <c r="I7576" s="6">
        <f t="shared" si="366"/>
        <v>0</v>
      </c>
      <c r="J7576" s="6">
        <f t="shared" si="367"/>
        <v>0</v>
      </c>
      <c r="L7576" s="4" t="str">
        <f>IFERROR(VLOOKUP(ROWS($L$2:L7576),$B$2:$C$1996,2,0),"")</f>
        <v/>
      </c>
      <c r="N7576" s="2" t="str">
        <f>IFERROR(VLOOKUP(ROWS($N$2:N7576),$D$2:$E$1996,2,0),"")</f>
        <v/>
      </c>
    </row>
    <row r="7577" spans="2:14">
      <c r="B7577" s="32">
        <f>IF(ISNUMBER(SEARCH('Φόρμα Εισαγωγής'!$B$2,C7577)),MAX($B$1:B7576)+1,0)</f>
        <v>0</v>
      </c>
      <c r="D7577" s="33">
        <f>IF(ISNUMBER(SEARCH('Φόρμα Εισαγωγής'!$C$2,E7577)),MAX($D$1:D7576)+1,0)</f>
        <v>0</v>
      </c>
      <c r="H7577" s="6">
        <f t="shared" si="365"/>
        <v>0</v>
      </c>
      <c r="I7577" s="6">
        <f t="shared" si="366"/>
        <v>0</v>
      </c>
      <c r="J7577" s="6">
        <f t="shared" si="367"/>
        <v>0</v>
      </c>
      <c r="L7577" s="4" t="str">
        <f>IFERROR(VLOOKUP(ROWS($L$2:L7577),$B$2:$C$1996,2,0),"")</f>
        <v/>
      </c>
      <c r="N7577" s="2" t="str">
        <f>IFERROR(VLOOKUP(ROWS($N$2:N7577),$D$2:$E$1996,2,0),"")</f>
        <v/>
      </c>
    </row>
    <row r="7578" spans="2:14">
      <c r="B7578" s="32">
        <f>IF(ISNUMBER(SEARCH('Φόρμα Εισαγωγής'!$B$2,C7578)),MAX($B$1:B7577)+1,0)</f>
        <v>0</v>
      </c>
      <c r="D7578" s="33">
        <f>IF(ISNUMBER(SEARCH('Φόρμα Εισαγωγής'!$C$2,E7578)),MAX($D$1:D7577)+1,0)</f>
        <v>0</v>
      </c>
      <c r="H7578" s="6">
        <f t="shared" si="365"/>
        <v>0</v>
      </c>
      <c r="I7578" s="6">
        <f t="shared" si="366"/>
        <v>0</v>
      </c>
      <c r="J7578" s="6">
        <f t="shared" si="367"/>
        <v>0</v>
      </c>
      <c r="L7578" s="4" t="str">
        <f>IFERROR(VLOOKUP(ROWS($L$2:L7578),$B$2:$C$1996,2,0),"")</f>
        <v/>
      </c>
      <c r="N7578" s="2" t="str">
        <f>IFERROR(VLOOKUP(ROWS($N$2:N7578),$D$2:$E$1996,2,0),"")</f>
        <v/>
      </c>
    </row>
    <row r="7579" spans="2:14">
      <c r="B7579" s="32">
        <f>IF(ISNUMBER(SEARCH('Φόρμα Εισαγωγής'!$B$2,C7579)),MAX($B$1:B7578)+1,0)</f>
        <v>0</v>
      </c>
      <c r="D7579" s="33">
        <f>IF(ISNUMBER(SEARCH('Φόρμα Εισαγωγής'!$C$2,E7579)),MAX($D$1:D7578)+1,0)</f>
        <v>0</v>
      </c>
      <c r="H7579" s="6">
        <f t="shared" si="365"/>
        <v>0</v>
      </c>
      <c r="I7579" s="6">
        <f t="shared" si="366"/>
        <v>0</v>
      </c>
      <c r="J7579" s="6">
        <f t="shared" si="367"/>
        <v>0</v>
      </c>
      <c r="L7579" s="4" t="str">
        <f>IFERROR(VLOOKUP(ROWS($L$2:L7579),$B$2:$C$1996,2,0),"")</f>
        <v/>
      </c>
      <c r="N7579" s="2" t="str">
        <f>IFERROR(VLOOKUP(ROWS($N$2:N7579),$D$2:$E$1996,2,0),"")</f>
        <v/>
      </c>
    </row>
    <row r="7580" spans="2:14">
      <c r="B7580" s="32">
        <f>IF(ISNUMBER(SEARCH('Φόρμα Εισαγωγής'!$B$2,C7580)),MAX($B$1:B7579)+1,0)</f>
        <v>0</v>
      </c>
      <c r="D7580" s="33">
        <f>IF(ISNUMBER(SEARCH('Φόρμα Εισαγωγής'!$C$2,E7580)),MAX($D$1:D7579)+1,0)</f>
        <v>0</v>
      </c>
      <c r="H7580" s="6">
        <f t="shared" si="365"/>
        <v>0</v>
      </c>
      <c r="I7580" s="6">
        <f t="shared" si="366"/>
        <v>0</v>
      </c>
      <c r="J7580" s="6">
        <f t="shared" si="367"/>
        <v>0</v>
      </c>
      <c r="L7580" s="4" t="str">
        <f>IFERROR(VLOOKUP(ROWS($L$2:L7580),$B$2:$C$1996,2,0),"")</f>
        <v/>
      </c>
      <c r="N7580" s="2" t="str">
        <f>IFERROR(VLOOKUP(ROWS($N$2:N7580),$D$2:$E$1996,2,0),"")</f>
        <v/>
      </c>
    </row>
    <row r="7581" spans="2:14">
      <c r="B7581" s="32">
        <f>IF(ISNUMBER(SEARCH('Φόρμα Εισαγωγής'!$B$2,C7581)),MAX($B$1:B7580)+1,0)</f>
        <v>0</v>
      </c>
      <c r="D7581" s="33">
        <f>IF(ISNUMBER(SEARCH('Φόρμα Εισαγωγής'!$C$2,E7581)),MAX($D$1:D7580)+1,0)</f>
        <v>0</v>
      </c>
      <c r="H7581" s="6">
        <f t="shared" si="365"/>
        <v>0</v>
      </c>
      <c r="I7581" s="6">
        <f t="shared" si="366"/>
        <v>0</v>
      </c>
      <c r="J7581" s="6">
        <f t="shared" si="367"/>
        <v>0</v>
      </c>
      <c r="L7581" s="4" t="str">
        <f>IFERROR(VLOOKUP(ROWS($L$2:L7581),$B$2:$C$1996,2,0),"")</f>
        <v/>
      </c>
      <c r="N7581" s="2" t="str">
        <f>IFERROR(VLOOKUP(ROWS($N$2:N7581),$D$2:$E$1996,2,0),"")</f>
        <v/>
      </c>
    </row>
    <row r="7582" spans="2:14">
      <c r="B7582" s="32">
        <f>IF(ISNUMBER(SEARCH('Φόρμα Εισαγωγής'!$B$2,C7582)),MAX($B$1:B7581)+1,0)</f>
        <v>0</v>
      </c>
      <c r="D7582" s="33">
        <f>IF(ISNUMBER(SEARCH('Φόρμα Εισαγωγής'!$C$2,E7582)),MAX($D$1:D7581)+1,0)</f>
        <v>0</v>
      </c>
      <c r="H7582" s="6">
        <f t="shared" si="365"/>
        <v>0</v>
      </c>
      <c r="I7582" s="6">
        <f t="shared" si="366"/>
        <v>0</v>
      </c>
      <c r="J7582" s="6">
        <f t="shared" si="367"/>
        <v>0</v>
      </c>
      <c r="L7582" s="4" t="str">
        <f>IFERROR(VLOOKUP(ROWS($L$2:L7582),$B$2:$C$1996,2,0),"")</f>
        <v/>
      </c>
      <c r="N7582" s="2" t="str">
        <f>IFERROR(VLOOKUP(ROWS($N$2:N7582),$D$2:$E$1996,2,0),"")</f>
        <v/>
      </c>
    </row>
    <row r="7583" spans="2:14">
      <c r="B7583" s="32">
        <f>IF(ISNUMBER(SEARCH('Φόρμα Εισαγωγής'!$B$2,C7583)),MAX($B$1:B7582)+1,0)</f>
        <v>0</v>
      </c>
      <c r="D7583" s="33">
        <f>IF(ISNUMBER(SEARCH('Φόρμα Εισαγωγής'!$C$2,E7583)),MAX($D$1:D7582)+1,0)</f>
        <v>0</v>
      </c>
      <c r="H7583" s="6">
        <f t="shared" si="365"/>
        <v>0</v>
      </c>
      <c r="I7583" s="6">
        <f t="shared" si="366"/>
        <v>0</v>
      </c>
      <c r="J7583" s="6">
        <f t="shared" si="367"/>
        <v>0</v>
      </c>
      <c r="L7583" s="4" t="str">
        <f>IFERROR(VLOOKUP(ROWS($L$2:L7583),$B$2:$C$1996,2,0),"")</f>
        <v/>
      </c>
      <c r="N7583" s="2" t="str">
        <f>IFERROR(VLOOKUP(ROWS($N$2:N7583),$D$2:$E$1996,2,0),"")</f>
        <v/>
      </c>
    </row>
    <row r="7584" spans="2:14">
      <c r="B7584" s="32">
        <f>IF(ISNUMBER(SEARCH('Φόρμα Εισαγωγής'!$B$2,C7584)),MAX($B$1:B7583)+1,0)</f>
        <v>0</v>
      </c>
      <c r="D7584" s="33">
        <f>IF(ISNUMBER(SEARCH('Φόρμα Εισαγωγής'!$C$2,E7584)),MAX($D$1:D7583)+1,0)</f>
        <v>0</v>
      </c>
      <c r="H7584" s="6">
        <f t="shared" si="365"/>
        <v>0</v>
      </c>
      <c r="I7584" s="6">
        <f t="shared" si="366"/>
        <v>0</v>
      </c>
      <c r="J7584" s="6">
        <f t="shared" si="367"/>
        <v>0</v>
      </c>
      <c r="L7584" s="4" t="str">
        <f>IFERROR(VLOOKUP(ROWS($L$2:L7584),$B$2:$C$1996,2,0),"")</f>
        <v/>
      </c>
      <c r="N7584" s="2" t="str">
        <f>IFERROR(VLOOKUP(ROWS($N$2:N7584),$D$2:$E$1996,2,0),"")</f>
        <v/>
      </c>
    </row>
    <row r="7585" spans="2:14">
      <c r="B7585" s="32">
        <f>IF(ISNUMBER(SEARCH('Φόρμα Εισαγωγής'!$B$2,C7585)),MAX($B$1:B7584)+1,0)</f>
        <v>0</v>
      </c>
      <c r="D7585" s="33">
        <f>IF(ISNUMBER(SEARCH('Φόρμα Εισαγωγής'!$C$2,E7585)),MAX($D$1:D7584)+1,0)</f>
        <v>0</v>
      </c>
      <c r="H7585" s="6">
        <f t="shared" si="365"/>
        <v>0</v>
      </c>
      <c r="I7585" s="6">
        <f t="shared" si="366"/>
        <v>0</v>
      </c>
      <c r="J7585" s="6">
        <f t="shared" si="367"/>
        <v>0</v>
      </c>
      <c r="L7585" s="4" t="str">
        <f>IFERROR(VLOOKUP(ROWS($L$2:L7585),$B$2:$C$1996,2,0),"")</f>
        <v/>
      </c>
      <c r="N7585" s="2" t="str">
        <f>IFERROR(VLOOKUP(ROWS($N$2:N7585),$D$2:$E$1996,2,0),"")</f>
        <v/>
      </c>
    </row>
    <row r="7586" spans="2:14">
      <c r="B7586" s="32">
        <f>IF(ISNUMBER(SEARCH('Φόρμα Εισαγωγής'!$B$2,C7586)),MAX($B$1:B7585)+1,0)</f>
        <v>0</v>
      </c>
      <c r="D7586" s="33">
        <f>IF(ISNUMBER(SEARCH('Φόρμα Εισαγωγής'!$C$2,E7586)),MAX($D$1:D7585)+1,0)</f>
        <v>0</v>
      </c>
      <c r="H7586" s="6">
        <f t="shared" si="365"/>
        <v>0</v>
      </c>
      <c r="I7586" s="6">
        <f t="shared" si="366"/>
        <v>0</v>
      </c>
      <c r="J7586" s="6">
        <f t="shared" si="367"/>
        <v>0</v>
      </c>
      <c r="L7586" s="4" t="str">
        <f>IFERROR(VLOOKUP(ROWS($L$2:L7586),$B$2:$C$1996,2,0),"")</f>
        <v/>
      </c>
      <c r="N7586" s="2" t="str">
        <f>IFERROR(VLOOKUP(ROWS($N$2:N7586),$D$2:$E$1996,2,0),"")</f>
        <v/>
      </c>
    </row>
    <row r="7587" spans="2:14">
      <c r="B7587" s="32">
        <f>IF(ISNUMBER(SEARCH('Φόρμα Εισαγωγής'!$B$2,C7587)),MAX($B$1:B7586)+1,0)</f>
        <v>0</v>
      </c>
      <c r="D7587" s="33">
        <f>IF(ISNUMBER(SEARCH('Φόρμα Εισαγωγής'!$C$2,E7587)),MAX($D$1:D7586)+1,0)</f>
        <v>0</v>
      </c>
      <c r="H7587" s="6">
        <f t="shared" si="365"/>
        <v>0</v>
      </c>
      <c r="I7587" s="6">
        <f t="shared" si="366"/>
        <v>0</v>
      </c>
      <c r="J7587" s="6">
        <f t="shared" si="367"/>
        <v>0</v>
      </c>
      <c r="L7587" s="4" t="str">
        <f>IFERROR(VLOOKUP(ROWS($L$2:L7587),$B$2:$C$1996,2,0),"")</f>
        <v/>
      </c>
      <c r="N7587" s="2" t="str">
        <f>IFERROR(VLOOKUP(ROWS($N$2:N7587),$D$2:$E$1996,2,0),"")</f>
        <v/>
      </c>
    </row>
    <row r="7588" spans="2:14">
      <c r="B7588" s="32">
        <f>IF(ISNUMBER(SEARCH('Φόρμα Εισαγωγής'!$B$2,C7588)),MAX($B$1:B7587)+1,0)</f>
        <v>0</v>
      </c>
      <c r="D7588" s="33">
        <f>IF(ISNUMBER(SEARCH('Φόρμα Εισαγωγής'!$C$2,E7588)),MAX($D$1:D7587)+1,0)</f>
        <v>0</v>
      </c>
      <c r="H7588" s="6">
        <f t="shared" si="365"/>
        <v>0</v>
      </c>
      <c r="I7588" s="6">
        <f t="shared" si="366"/>
        <v>0</v>
      </c>
      <c r="J7588" s="6">
        <f t="shared" si="367"/>
        <v>0</v>
      </c>
      <c r="L7588" s="4" t="str">
        <f>IFERROR(VLOOKUP(ROWS($L$2:L7588),$B$2:$C$1996,2,0),"")</f>
        <v/>
      </c>
      <c r="N7588" s="2" t="str">
        <f>IFERROR(VLOOKUP(ROWS($N$2:N7588),$D$2:$E$1996,2,0),"")</f>
        <v/>
      </c>
    </row>
    <row r="7589" spans="2:14">
      <c r="B7589" s="32">
        <f>IF(ISNUMBER(SEARCH('Φόρμα Εισαγωγής'!$B$2,C7589)),MAX($B$1:B7588)+1,0)</f>
        <v>0</v>
      </c>
      <c r="D7589" s="33">
        <f>IF(ISNUMBER(SEARCH('Φόρμα Εισαγωγής'!$C$2,E7589)),MAX($D$1:D7588)+1,0)</f>
        <v>0</v>
      </c>
      <c r="H7589" s="6">
        <f t="shared" si="365"/>
        <v>0</v>
      </c>
      <c r="I7589" s="6">
        <f t="shared" si="366"/>
        <v>0</v>
      </c>
      <c r="J7589" s="6">
        <f t="shared" si="367"/>
        <v>0</v>
      </c>
      <c r="L7589" s="4" t="str">
        <f>IFERROR(VLOOKUP(ROWS($L$2:L7589),$B$2:$C$1996,2,0),"")</f>
        <v/>
      </c>
      <c r="N7589" s="2" t="str">
        <f>IFERROR(VLOOKUP(ROWS($N$2:N7589),$D$2:$E$1996,2,0),"")</f>
        <v/>
      </c>
    </row>
    <row r="7590" spans="2:14">
      <c r="B7590" s="32">
        <f>IF(ISNUMBER(SEARCH('Φόρμα Εισαγωγής'!$B$2,C7590)),MAX($B$1:B7589)+1,0)</f>
        <v>0</v>
      </c>
      <c r="D7590" s="33">
        <f>IF(ISNUMBER(SEARCH('Φόρμα Εισαγωγής'!$C$2,E7590)),MAX($D$1:D7589)+1,0)</f>
        <v>0</v>
      </c>
      <c r="H7590" s="6">
        <f t="shared" si="365"/>
        <v>0</v>
      </c>
      <c r="I7590" s="6">
        <f t="shared" si="366"/>
        <v>0</v>
      </c>
      <c r="J7590" s="6">
        <f t="shared" si="367"/>
        <v>0</v>
      </c>
      <c r="L7590" s="4" t="str">
        <f>IFERROR(VLOOKUP(ROWS($L$2:L7590),$B$2:$C$1996,2,0),"")</f>
        <v/>
      </c>
      <c r="N7590" s="2" t="str">
        <f>IFERROR(VLOOKUP(ROWS($N$2:N7590),$D$2:$E$1996,2,0),"")</f>
        <v/>
      </c>
    </row>
    <row r="7591" spans="2:14">
      <c r="B7591" s="32">
        <f>IF(ISNUMBER(SEARCH('Φόρμα Εισαγωγής'!$B$2,C7591)),MAX($B$1:B7590)+1,0)</f>
        <v>0</v>
      </c>
      <c r="D7591" s="33">
        <f>IF(ISNUMBER(SEARCH('Φόρμα Εισαγωγής'!$C$2,E7591)),MAX($D$1:D7590)+1,0)</f>
        <v>0</v>
      </c>
      <c r="H7591" s="6">
        <f t="shared" si="365"/>
        <v>0</v>
      </c>
      <c r="I7591" s="6">
        <f t="shared" si="366"/>
        <v>0</v>
      </c>
      <c r="J7591" s="6">
        <f t="shared" si="367"/>
        <v>0</v>
      </c>
      <c r="L7591" s="4" t="str">
        <f>IFERROR(VLOOKUP(ROWS($L$2:L7591),$B$2:$C$1996,2,0),"")</f>
        <v/>
      </c>
      <c r="N7591" s="2" t="str">
        <f>IFERROR(VLOOKUP(ROWS($N$2:N7591),$D$2:$E$1996,2,0),"")</f>
        <v/>
      </c>
    </row>
    <row r="7592" spans="2:14">
      <c r="B7592" s="32">
        <f>IF(ISNUMBER(SEARCH('Φόρμα Εισαγωγής'!$B$2,C7592)),MAX($B$1:B7591)+1,0)</f>
        <v>0</v>
      </c>
      <c r="D7592" s="33">
        <f>IF(ISNUMBER(SEARCH('Φόρμα Εισαγωγής'!$C$2,E7592)),MAX($D$1:D7591)+1,0)</f>
        <v>0</v>
      </c>
      <c r="H7592" s="6">
        <f t="shared" si="365"/>
        <v>0</v>
      </c>
      <c r="I7592" s="6">
        <f t="shared" si="366"/>
        <v>0</v>
      </c>
      <c r="J7592" s="6">
        <f t="shared" si="367"/>
        <v>0</v>
      </c>
      <c r="L7592" s="4" t="str">
        <f>IFERROR(VLOOKUP(ROWS($L$2:L7592),$B$2:$C$1996,2,0),"")</f>
        <v/>
      </c>
      <c r="N7592" s="2" t="str">
        <f>IFERROR(VLOOKUP(ROWS($N$2:N7592),$D$2:$E$1996,2,0),"")</f>
        <v/>
      </c>
    </row>
    <row r="7593" spans="2:14">
      <c r="B7593" s="32">
        <f>IF(ISNUMBER(SEARCH('Φόρμα Εισαγωγής'!$B$2,C7593)),MAX($B$1:B7592)+1,0)</f>
        <v>0</v>
      </c>
      <c r="D7593" s="33">
        <f>IF(ISNUMBER(SEARCH('Φόρμα Εισαγωγής'!$C$2,E7593)),MAX($D$1:D7592)+1,0)</f>
        <v>0</v>
      </c>
      <c r="H7593" s="6">
        <f t="shared" si="365"/>
        <v>0</v>
      </c>
      <c r="I7593" s="6">
        <f t="shared" si="366"/>
        <v>0</v>
      </c>
      <c r="J7593" s="6">
        <f t="shared" si="367"/>
        <v>0</v>
      </c>
      <c r="L7593" s="4" t="str">
        <f>IFERROR(VLOOKUP(ROWS($L$2:L7593),$B$2:$C$1996,2,0),"")</f>
        <v/>
      </c>
      <c r="N7593" s="2" t="str">
        <f>IFERROR(VLOOKUP(ROWS($N$2:N7593),$D$2:$E$1996,2,0),"")</f>
        <v/>
      </c>
    </row>
    <row r="7594" spans="2:14">
      <c r="B7594" s="32">
        <f>IF(ISNUMBER(SEARCH('Φόρμα Εισαγωγής'!$B$2,C7594)),MAX($B$1:B7593)+1,0)</f>
        <v>0</v>
      </c>
      <c r="D7594" s="33">
        <f>IF(ISNUMBER(SEARCH('Φόρμα Εισαγωγής'!$C$2,E7594)),MAX($D$1:D7593)+1,0)</f>
        <v>0</v>
      </c>
      <c r="H7594" s="6">
        <f t="shared" si="365"/>
        <v>0</v>
      </c>
      <c r="I7594" s="6">
        <f t="shared" si="366"/>
        <v>0</v>
      </c>
      <c r="J7594" s="6">
        <f t="shared" si="367"/>
        <v>0</v>
      </c>
      <c r="L7594" s="4" t="str">
        <f>IFERROR(VLOOKUP(ROWS($L$2:L7594),$B$2:$C$1996,2,0),"")</f>
        <v/>
      </c>
      <c r="N7594" s="2" t="str">
        <f>IFERROR(VLOOKUP(ROWS($N$2:N7594),$D$2:$E$1996,2,0),"")</f>
        <v/>
      </c>
    </row>
    <row r="7595" spans="2:14">
      <c r="B7595" s="32">
        <f>IF(ISNUMBER(SEARCH('Φόρμα Εισαγωγής'!$B$2,C7595)),MAX($B$1:B7594)+1,0)</f>
        <v>0</v>
      </c>
      <c r="D7595" s="33">
        <f>IF(ISNUMBER(SEARCH('Φόρμα Εισαγωγής'!$C$2,E7595)),MAX($D$1:D7594)+1,0)</f>
        <v>0</v>
      </c>
      <c r="H7595" s="6">
        <f t="shared" si="365"/>
        <v>0</v>
      </c>
      <c r="I7595" s="6">
        <f t="shared" si="366"/>
        <v>0</v>
      </c>
      <c r="J7595" s="6">
        <f t="shared" si="367"/>
        <v>0</v>
      </c>
      <c r="L7595" s="4" t="str">
        <f>IFERROR(VLOOKUP(ROWS($L$2:L7595),$B$2:$C$1996,2,0),"")</f>
        <v/>
      </c>
      <c r="N7595" s="2" t="str">
        <f>IFERROR(VLOOKUP(ROWS($N$2:N7595),$D$2:$E$1996,2,0),"")</f>
        <v/>
      </c>
    </row>
    <row r="7596" spans="2:14">
      <c r="B7596" s="32">
        <f>IF(ISNUMBER(SEARCH('Φόρμα Εισαγωγής'!$B$2,C7596)),MAX($B$1:B7595)+1,0)</f>
        <v>0</v>
      </c>
      <c r="D7596" s="33">
        <f>IF(ISNUMBER(SEARCH('Φόρμα Εισαγωγής'!$C$2,E7596)),MAX($D$1:D7595)+1,0)</f>
        <v>0</v>
      </c>
      <c r="H7596" s="6">
        <f t="shared" si="365"/>
        <v>0</v>
      </c>
      <c r="I7596" s="6">
        <f t="shared" si="366"/>
        <v>0</v>
      </c>
      <c r="J7596" s="6">
        <f t="shared" si="367"/>
        <v>0</v>
      </c>
      <c r="L7596" s="4" t="str">
        <f>IFERROR(VLOOKUP(ROWS($L$2:L7596),$B$2:$C$1996,2,0),"")</f>
        <v/>
      </c>
      <c r="N7596" s="2" t="str">
        <f>IFERROR(VLOOKUP(ROWS($N$2:N7596),$D$2:$E$1996,2,0),"")</f>
        <v/>
      </c>
    </row>
    <row r="7597" spans="2:14">
      <c r="B7597" s="32">
        <f>IF(ISNUMBER(SEARCH('Φόρμα Εισαγωγής'!$B$2,C7597)),MAX($B$1:B7596)+1,0)</f>
        <v>0</v>
      </c>
      <c r="D7597" s="33">
        <f>IF(ISNUMBER(SEARCH('Φόρμα Εισαγωγής'!$C$2,E7597)),MAX($D$1:D7596)+1,0)</f>
        <v>0</v>
      </c>
      <c r="H7597" s="6">
        <f t="shared" si="365"/>
        <v>0</v>
      </c>
      <c r="I7597" s="6">
        <f t="shared" si="366"/>
        <v>0</v>
      </c>
      <c r="J7597" s="6">
        <f t="shared" si="367"/>
        <v>0</v>
      </c>
      <c r="L7597" s="4" t="str">
        <f>IFERROR(VLOOKUP(ROWS($L$2:L7597),$B$2:$C$1996,2,0),"")</f>
        <v/>
      </c>
      <c r="N7597" s="2" t="str">
        <f>IFERROR(VLOOKUP(ROWS($N$2:N7597),$D$2:$E$1996,2,0),"")</f>
        <v/>
      </c>
    </row>
    <row r="7598" spans="2:14">
      <c r="B7598" s="32">
        <f>IF(ISNUMBER(SEARCH('Φόρμα Εισαγωγής'!$B$2,C7598)),MAX($B$1:B7597)+1,0)</f>
        <v>0</v>
      </c>
      <c r="D7598" s="33">
        <f>IF(ISNUMBER(SEARCH('Φόρμα Εισαγωγής'!$C$2,E7598)),MAX($D$1:D7597)+1,0)</f>
        <v>0</v>
      </c>
      <c r="H7598" s="6">
        <f t="shared" si="365"/>
        <v>0</v>
      </c>
      <c r="I7598" s="6">
        <f t="shared" si="366"/>
        <v>0</v>
      </c>
      <c r="J7598" s="6">
        <f t="shared" si="367"/>
        <v>0</v>
      </c>
      <c r="L7598" s="4" t="str">
        <f>IFERROR(VLOOKUP(ROWS($L$2:L7598),$B$2:$C$1996,2,0),"")</f>
        <v/>
      </c>
      <c r="N7598" s="2" t="str">
        <f>IFERROR(VLOOKUP(ROWS($N$2:N7598),$D$2:$E$1996,2,0),"")</f>
        <v/>
      </c>
    </row>
    <row r="7599" spans="2:14">
      <c r="B7599" s="32">
        <f>IF(ISNUMBER(SEARCH('Φόρμα Εισαγωγής'!$B$2,C7599)),MAX($B$1:B7598)+1,0)</f>
        <v>0</v>
      </c>
      <c r="D7599" s="33">
        <f>IF(ISNUMBER(SEARCH('Φόρμα Εισαγωγής'!$C$2,E7599)),MAX($D$1:D7598)+1,0)</f>
        <v>0</v>
      </c>
      <c r="H7599" s="6">
        <f t="shared" si="365"/>
        <v>0</v>
      </c>
      <c r="I7599" s="6">
        <f t="shared" si="366"/>
        <v>0</v>
      </c>
      <c r="J7599" s="6">
        <f t="shared" si="367"/>
        <v>0</v>
      </c>
      <c r="L7599" s="4" t="str">
        <f>IFERROR(VLOOKUP(ROWS($L$2:L7599),$B$2:$C$1996,2,0),"")</f>
        <v/>
      </c>
      <c r="N7599" s="2" t="str">
        <f>IFERROR(VLOOKUP(ROWS($N$2:N7599),$D$2:$E$1996,2,0),"")</f>
        <v/>
      </c>
    </row>
    <row r="7600" spans="2:14">
      <c r="B7600" s="32">
        <f>IF(ISNUMBER(SEARCH('Φόρμα Εισαγωγής'!$B$2,C7600)),MAX($B$1:B7599)+1,0)</f>
        <v>0</v>
      </c>
      <c r="D7600" s="33">
        <f>IF(ISNUMBER(SEARCH('Φόρμα Εισαγωγής'!$C$2,E7600)),MAX($D$1:D7599)+1,0)</f>
        <v>0</v>
      </c>
      <c r="H7600" s="6">
        <f t="shared" si="365"/>
        <v>0</v>
      </c>
      <c r="I7600" s="6">
        <f t="shared" si="366"/>
        <v>0</v>
      </c>
      <c r="J7600" s="6">
        <f t="shared" si="367"/>
        <v>0</v>
      </c>
      <c r="L7600" s="4" t="str">
        <f>IFERROR(VLOOKUP(ROWS($L$2:L7600),$B$2:$C$1996,2,0),"")</f>
        <v/>
      </c>
      <c r="N7600" s="2" t="str">
        <f>IFERROR(VLOOKUP(ROWS($N$2:N7600),$D$2:$E$1996,2,0),"")</f>
        <v/>
      </c>
    </row>
    <row r="7601" spans="2:14">
      <c r="B7601" s="32">
        <f>IF(ISNUMBER(SEARCH('Φόρμα Εισαγωγής'!$B$2,C7601)),MAX($B$1:B7600)+1,0)</f>
        <v>0</v>
      </c>
      <c r="D7601" s="33">
        <f>IF(ISNUMBER(SEARCH('Φόρμα Εισαγωγής'!$C$2,E7601)),MAX($D$1:D7600)+1,0)</f>
        <v>0</v>
      </c>
      <c r="H7601" s="6">
        <f t="shared" si="365"/>
        <v>0</v>
      </c>
      <c r="I7601" s="6">
        <f t="shared" si="366"/>
        <v>0</v>
      </c>
      <c r="J7601" s="6">
        <f t="shared" si="367"/>
        <v>0</v>
      </c>
      <c r="L7601" s="4" t="str">
        <f>IFERROR(VLOOKUP(ROWS($L$2:L7601),$B$2:$C$1996,2,0),"")</f>
        <v/>
      </c>
      <c r="N7601" s="2" t="str">
        <f>IFERROR(VLOOKUP(ROWS($N$2:N7601),$D$2:$E$1996,2,0),"")</f>
        <v/>
      </c>
    </row>
    <row r="7602" spans="2:14">
      <c r="B7602" s="32">
        <f>IF(ISNUMBER(SEARCH('Φόρμα Εισαγωγής'!$B$2,C7602)),MAX($B$1:B7601)+1,0)</f>
        <v>0</v>
      </c>
      <c r="D7602" s="33">
        <f>IF(ISNUMBER(SEARCH('Φόρμα Εισαγωγής'!$C$2,E7602)),MAX($D$1:D7601)+1,0)</f>
        <v>0</v>
      </c>
      <c r="H7602" s="6">
        <f t="shared" si="365"/>
        <v>0</v>
      </c>
      <c r="I7602" s="6">
        <f t="shared" si="366"/>
        <v>0</v>
      </c>
      <c r="J7602" s="6">
        <f t="shared" si="367"/>
        <v>0</v>
      </c>
      <c r="L7602" s="4" t="str">
        <f>IFERROR(VLOOKUP(ROWS($L$2:L7602),$B$2:$C$1996,2,0),"")</f>
        <v/>
      </c>
      <c r="N7602" s="2" t="str">
        <f>IFERROR(VLOOKUP(ROWS($N$2:N7602),$D$2:$E$1996,2,0),"")</f>
        <v/>
      </c>
    </row>
    <row r="7603" spans="2:14">
      <c r="B7603" s="32">
        <f>IF(ISNUMBER(SEARCH('Φόρμα Εισαγωγής'!$B$2,C7603)),MAX($B$1:B7602)+1,0)</f>
        <v>0</v>
      </c>
      <c r="D7603" s="33">
        <f>IF(ISNUMBER(SEARCH('Φόρμα Εισαγωγής'!$C$2,E7603)),MAX($D$1:D7602)+1,0)</f>
        <v>0</v>
      </c>
      <c r="H7603" s="6">
        <f t="shared" si="365"/>
        <v>0</v>
      </c>
      <c r="I7603" s="6">
        <f t="shared" si="366"/>
        <v>0</v>
      </c>
      <c r="J7603" s="6">
        <f t="shared" si="367"/>
        <v>0</v>
      </c>
      <c r="L7603" s="4" t="str">
        <f>IFERROR(VLOOKUP(ROWS($L$2:L7603),$B$2:$C$1996,2,0),"")</f>
        <v/>
      </c>
      <c r="N7603" s="2" t="str">
        <f>IFERROR(VLOOKUP(ROWS($N$2:N7603),$D$2:$E$1996,2,0),"")</f>
        <v/>
      </c>
    </row>
    <row r="7604" spans="2:14">
      <c r="B7604" s="32">
        <f>IF(ISNUMBER(SEARCH('Φόρμα Εισαγωγής'!$B$2,C7604)),MAX($B$1:B7603)+1,0)</f>
        <v>0</v>
      </c>
      <c r="D7604" s="33">
        <f>IF(ISNUMBER(SEARCH('Φόρμα Εισαγωγής'!$C$2,E7604)),MAX($D$1:D7603)+1,0)</f>
        <v>0</v>
      </c>
      <c r="H7604" s="6">
        <f t="shared" si="365"/>
        <v>0</v>
      </c>
      <c r="I7604" s="6">
        <f t="shared" si="366"/>
        <v>0</v>
      </c>
      <c r="J7604" s="6">
        <f t="shared" si="367"/>
        <v>0</v>
      </c>
      <c r="L7604" s="4" t="str">
        <f>IFERROR(VLOOKUP(ROWS($L$2:L7604),$B$2:$C$1996,2,0),"")</f>
        <v/>
      </c>
      <c r="N7604" s="2" t="str">
        <f>IFERROR(VLOOKUP(ROWS($N$2:N7604),$D$2:$E$1996,2,0),"")</f>
        <v/>
      </c>
    </row>
    <row r="7605" spans="2:14">
      <c r="B7605" s="32">
        <f>IF(ISNUMBER(SEARCH('Φόρμα Εισαγωγής'!$B$2,C7605)),MAX($B$1:B7604)+1,0)</f>
        <v>0</v>
      </c>
      <c r="D7605" s="33">
        <f>IF(ISNUMBER(SEARCH('Φόρμα Εισαγωγής'!$C$2,E7605)),MAX($D$1:D7604)+1,0)</f>
        <v>0</v>
      </c>
      <c r="H7605" s="6">
        <f t="shared" si="365"/>
        <v>0</v>
      </c>
      <c r="I7605" s="6">
        <f t="shared" si="366"/>
        <v>0</v>
      </c>
      <c r="J7605" s="6">
        <f t="shared" si="367"/>
        <v>0</v>
      </c>
      <c r="L7605" s="4" t="str">
        <f>IFERROR(VLOOKUP(ROWS($L$2:L7605),$B$2:$C$1996,2,0),"")</f>
        <v/>
      </c>
      <c r="N7605" s="2" t="str">
        <f>IFERROR(VLOOKUP(ROWS($N$2:N7605),$D$2:$E$1996,2,0),"")</f>
        <v/>
      </c>
    </row>
    <row r="7606" spans="2:14">
      <c r="B7606" s="32">
        <f>IF(ISNUMBER(SEARCH('Φόρμα Εισαγωγής'!$B$2,C7606)),MAX($B$1:B7605)+1,0)</f>
        <v>0</v>
      </c>
      <c r="D7606" s="33">
        <f>IF(ISNUMBER(SEARCH('Φόρμα Εισαγωγής'!$C$2,E7606)),MAX($D$1:D7605)+1,0)</f>
        <v>0</v>
      </c>
      <c r="H7606" s="6">
        <f t="shared" si="365"/>
        <v>0</v>
      </c>
      <c r="I7606" s="6">
        <f t="shared" si="366"/>
        <v>0</v>
      </c>
      <c r="J7606" s="6">
        <f t="shared" si="367"/>
        <v>0</v>
      </c>
      <c r="L7606" s="4" t="str">
        <f>IFERROR(VLOOKUP(ROWS($L$2:L7606),$B$2:$C$1996,2,0),"")</f>
        <v/>
      </c>
      <c r="N7606" s="2" t="str">
        <f>IFERROR(VLOOKUP(ROWS($N$2:N7606),$D$2:$E$1996,2,0),"")</f>
        <v/>
      </c>
    </row>
    <row r="7607" spans="2:14">
      <c r="B7607" s="32">
        <f>IF(ISNUMBER(SEARCH('Φόρμα Εισαγωγής'!$B$2,C7607)),MAX($B$1:B7606)+1,0)</f>
        <v>0</v>
      </c>
      <c r="D7607" s="33">
        <f>IF(ISNUMBER(SEARCH('Φόρμα Εισαγωγής'!$C$2,E7607)),MAX($D$1:D7606)+1,0)</f>
        <v>0</v>
      </c>
      <c r="H7607" s="6">
        <f t="shared" si="365"/>
        <v>0</v>
      </c>
      <c r="I7607" s="6">
        <f t="shared" si="366"/>
        <v>0</v>
      </c>
      <c r="J7607" s="6">
        <f t="shared" si="367"/>
        <v>0</v>
      </c>
      <c r="L7607" s="4" t="str">
        <f>IFERROR(VLOOKUP(ROWS($L$2:L7607),$B$2:$C$1996,2,0),"")</f>
        <v/>
      </c>
      <c r="N7607" s="2" t="str">
        <f>IFERROR(VLOOKUP(ROWS($N$2:N7607),$D$2:$E$1996,2,0),"")</f>
        <v/>
      </c>
    </row>
    <row r="7608" spans="2:14">
      <c r="B7608" s="32">
        <f>IF(ISNUMBER(SEARCH('Φόρμα Εισαγωγής'!$B$2,C7608)),MAX($B$1:B7607)+1,0)</f>
        <v>0</v>
      </c>
      <c r="D7608" s="33">
        <f>IF(ISNUMBER(SEARCH('Φόρμα Εισαγωγής'!$C$2,E7608)),MAX($D$1:D7607)+1,0)</f>
        <v>0</v>
      </c>
      <c r="H7608" s="6">
        <f t="shared" si="365"/>
        <v>0</v>
      </c>
      <c r="I7608" s="6">
        <f t="shared" si="366"/>
        <v>0</v>
      </c>
      <c r="J7608" s="6">
        <f t="shared" si="367"/>
        <v>0</v>
      </c>
      <c r="L7608" s="4" t="str">
        <f>IFERROR(VLOOKUP(ROWS($L$2:L7608),$B$2:$C$1996,2,0),"")</f>
        <v/>
      </c>
      <c r="N7608" s="2" t="str">
        <f>IFERROR(VLOOKUP(ROWS($N$2:N7608),$D$2:$E$1996,2,0),"")</f>
        <v/>
      </c>
    </row>
    <row r="7609" spans="2:14">
      <c r="B7609" s="32">
        <f>IF(ISNUMBER(SEARCH('Φόρμα Εισαγωγής'!$B$2,C7609)),MAX($B$1:B7608)+1,0)</f>
        <v>0</v>
      </c>
      <c r="D7609" s="33">
        <f>IF(ISNUMBER(SEARCH('Φόρμα Εισαγωγής'!$C$2,E7609)),MAX($D$1:D7608)+1,0)</f>
        <v>0</v>
      </c>
      <c r="H7609" s="6">
        <f t="shared" si="365"/>
        <v>0</v>
      </c>
      <c r="I7609" s="6">
        <f t="shared" si="366"/>
        <v>0</v>
      </c>
      <c r="J7609" s="6">
        <f t="shared" si="367"/>
        <v>0</v>
      </c>
      <c r="L7609" s="4" t="str">
        <f>IFERROR(VLOOKUP(ROWS($L$2:L7609),$B$2:$C$1996,2,0),"")</f>
        <v/>
      </c>
      <c r="N7609" s="2" t="str">
        <f>IFERROR(VLOOKUP(ROWS($N$2:N7609),$D$2:$E$1996,2,0),"")</f>
        <v/>
      </c>
    </row>
    <row r="7610" spans="2:14">
      <c r="B7610" s="32">
        <f>IF(ISNUMBER(SEARCH('Φόρμα Εισαγωγής'!$B$2,C7610)),MAX($B$1:B7609)+1,0)</f>
        <v>0</v>
      </c>
      <c r="D7610" s="33">
        <f>IF(ISNUMBER(SEARCH('Φόρμα Εισαγωγής'!$C$2,E7610)),MAX($D$1:D7609)+1,0)</f>
        <v>0</v>
      </c>
      <c r="H7610" s="6">
        <f t="shared" si="365"/>
        <v>0</v>
      </c>
      <c r="I7610" s="6">
        <f t="shared" si="366"/>
        <v>0</v>
      </c>
      <c r="J7610" s="6">
        <f t="shared" si="367"/>
        <v>0</v>
      </c>
      <c r="L7610" s="4" t="str">
        <f>IFERROR(VLOOKUP(ROWS($L$2:L7610),$B$2:$C$1996,2,0),"")</f>
        <v/>
      </c>
      <c r="N7610" s="2" t="str">
        <f>IFERROR(VLOOKUP(ROWS($N$2:N7610),$D$2:$E$1996,2,0),"")</f>
        <v/>
      </c>
    </row>
    <row r="7611" spans="2:14">
      <c r="B7611" s="32">
        <f>IF(ISNUMBER(SEARCH('Φόρμα Εισαγωγής'!$B$2,C7611)),MAX($B$1:B7610)+1,0)</f>
        <v>0</v>
      </c>
      <c r="D7611" s="33">
        <f>IF(ISNUMBER(SEARCH('Φόρμα Εισαγωγής'!$C$2,E7611)),MAX($D$1:D7610)+1,0)</f>
        <v>0</v>
      </c>
      <c r="H7611" s="6">
        <f t="shared" si="365"/>
        <v>0</v>
      </c>
      <c r="I7611" s="6">
        <f t="shared" si="366"/>
        <v>0</v>
      </c>
      <c r="J7611" s="6">
        <f t="shared" si="367"/>
        <v>0</v>
      </c>
      <c r="L7611" s="4" t="str">
        <f>IFERROR(VLOOKUP(ROWS($L$2:L7611),$B$2:$C$1996,2,0),"")</f>
        <v/>
      </c>
      <c r="N7611" s="2" t="str">
        <f>IFERROR(VLOOKUP(ROWS($N$2:N7611),$D$2:$E$1996,2,0),"")</f>
        <v/>
      </c>
    </row>
    <row r="7612" spans="2:14">
      <c r="B7612" s="32">
        <f>IF(ISNUMBER(SEARCH('Φόρμα Εισαγωγής'!$B$2,C7612)),MAX($B$1:B7611)+1,0)</f>
        <v>0</v>
      </c>
      <c r="D7612" s="33">
        <f>IF(ISNUMBER(SEARCH('Φόρμα Εισαγωγής'!$C$2,E7612)),MAX($D$1:D7611)+1,0)</f>
        <v>0</v>
      </c>
      <c r="H7612" s="6">
        <f t="shared" si="365"/>
        <v>0</v>
      </c>
      <c r="I7612" s="6">
        <f t="shared" si="366"/>
        <v>0</v>
      </c>
      <c r="J7612" s="6">
        <f t="shared" si="367"/>
        <v>0</v>
      </c>
      <c r="L7612" s="4" t="str">
        <f>IFERROR(VLOOKUP(ROWS($L$2:L7612),$B$2:$C$1996,2,0),"")</f>
        <v/>
      </c>
      <c r="N7612" s="2" t="str">
        <f>IFERROR(VLOOKUP(ROWS($N$2:N7612),$D$2:$E$1996,2,0),"")</f>
        <v/>
      </c>
    </row>
    <row r="7613" spans="2:14">
      <c r="B7613" s="32">
        <f>IF(ISNUMBER(SEARCH('Φόρμα Εισαγωγής'!$B$2,C7613)),MAX($B$1:B7612)+1,0)</f>
        <v>0</v>
      </c>
      <c r="D7613" s="33">
        <f>IF(ISNUMBER(SEARCH('Φόρμα Εισαγωγής'!$C$2,E7613)),MAX($D$1:D7612)+1,0)</f>
        <v>0</v>
      </c>
      <c r="H7613" s="6">
        <f t="shared" si="365"/>
        <v>0</v>
      </c>
      <c r="I7613" s="6">
        <f t="shared" si="366"/>
        <v>0</v>
      </c>
      <c r="J7613" s="6">
        <f t="shared" si="367"/>
        <v>0</v>
      </c>
      <c r="L7613" s="4" t="str">
        <f>IFERROR(VLOOKUP(ROWS($L$2:L7613),$B$2:$C$1996,2,0),"")</f>
        <v/>
      </c>
      <c r="N7613" s="2" t="str">
        <f>IFERROR(VLOOKUP(ROWS($N$2:N7613),$D$2:$E$1996,2,0),"")</f>
        <v/>
      </c>
    </row>
    <row r="7614" spans="2:14">
      <c r="B7614" s="32">
        <f>IF(ISNUMBER(SEARCH('Φόρμα Εισαγωγής'!$B$2,C7614)),MAX($B$1:B7613)+1,0)</f>
        <v>0</v>
      </c>
      <c r="D7614" s="33">
        <f>IF(ISNUMBER(SEARCH('Φόρμα Εισαγωγής'!$C$2,E7614)),MAX($D$1:D7613)+1,0)</f>
        <v>0</v>
      </c>
      <c r="H7614" s="6">
        <f t="shared" si="365"/>
        <v>0</v>
      </c>
      <c r="I7614" s="6">
        <f t="shared" si="366"/>
        <v>0</v>
      </c>
      <c r="J7614" s="6">
        <f t="shared" si="367"/>
        <v>0</v>
      </c>
      <c r="L7614" s="4" t="str">
        <f>IFERROR(VLOOKUP(ROWS($L$2:L7614),$B$2:$C$1996,2,0),"")</f>
        <v/>
      </c>
      <c r="N7614" s="2" t="str">
        <f>IFERROR(VLOOKUP(ROWS($N$2:N7614),$D$2:$E$1996,2,0),"")</f>
        <v/>
      </c>
    </row>
    <row r="7615" spans="2:14">
      <c r="B7615" s="32">
        <f>IF(ISNUMBER(SEARCH('Φόρμα Εισαγωγής'!$B$2,C7615)),MAX($B$1:B7614)+1,0)</f>
        <v>0</v>
      </c>
      <c r="D7615" s="33">
        <f>IF(ISNUMBER(SEARCH('Φόρμα Εισαγωγής'!$C$2,E7615)),MAX($D$1:D7614)+1,0)</f>
        <v>0</v>
      </c>
      <c r="H7615" s="6">
        <f t="shared" si="365"/>
        <v>0</v>
      </c>
      <c r="I7615" s="6">
        <f t="shared" si="366"/>
        <v>0</v>
      </c>
      <c r="J7615" s="6">
        <f t="shared" si="367"/>
        <v>0</v>
      </c>
      <c r="L7615" s="4" t="str">
        <f>IFERROR(VLOOKUP(ROWS($L$2:L7615),$B$2:$C$1996,2,0),"")</f>
        <v/>
      </c>
      <c r="N7615" s="2" t="str">
        <f>IFERROR(VLOOKUP(ROWS($N$2:N7615),$D$2:$E$1996,2,0),"")</f>
        <v/>
      </c>
    </row>
    <row r="7616" spans="2:14">
      <c r="B7616" s="32">
        <f>IF(ISNUMBER(SEARCH('Φόρμα Εισαγωγής'!$B$2,C7616)),MAX($B$1:B7615)+1,0)</f>
        <v>0</v>
      </c>
      <c r="D7616" s="33">
        <f>IF(ISNUMBER(SEARCH('Φόρμα Εισαγωγής'!$C$2,E7616)),MAX($D$1:D7615)+1,0)</f>
        <v>0</v>
      </c>
      <c r="H7616" s="6">
        <f t="shared" ref="H7616:H7679" si="368">G7616+(G7616*0.24)</f>
        <v>0</v>
      </c>
      <c r="I7616" s="6">
        <f t="shared" ref="I7616:I7679" si="369">F7616*A7616</f>
        <v>0</v>
      </c>
      <c r="J7616" s="6">
        <f t="shared" ref="J7616:J7679" si="370">H7616*A7616</f>
        <v>0</v>
      </c>
      <c r="L7616" s="4" t="str">
        <f>IFERROR(VLOOKUP(ROWS($L$2:L7616),$B$2:$C$1996,2,0),"")</f>
        <v/>
      </c>
      <c r="N7616" s="2" t="str">
        <f>IFERROR(VLOOKUP(ROWS($N$2:N7616),$D$2:$E$1996,2,0),"")</f>
        <v/>
      </c>
    </row>
    <row r="7617" spans="2:14">
      <c r="B7617" s="32">
        <f>IF(ISNUMBER(SEARCH('Φόρμα Εισαγωγής'!$B$2,C7617)),MAX($B$1:B7616)+1,0)</f>
        <v>0</v>
      </c>
      <c r="D7617" s="33">
        <f>IF(ISNUMBER(SEARCH('Φόρμα Εισαγωγής'!$C$2,E7617)),MAX($D$1:D7616)+1,0)</f>
        <v>0</v>
      </c>
      <c r="H7617" s="6">
        <f t="shared" si="368"/>
        <v>0</v>
      </c>
      <c r="I7617" s="6">
        <f t="shared" si="369"/>
        <v>0</v>
      </c>
      <c r="J7617" s="6">
        <f t="shared" si="370"/>
        <v>0</v>
      </c>
      <c r="L7617" s="4" t="str">
        <f>IFERROR(VLOOKUP(ROWS($L$2:L7617),$B$2:$C$1996,2,0),"")</f>
        <v/>
      </c>
      <c r="N7617" s="2" t="str">
        <f>IFERROR(VLOOKUP(ROWS($N$2:N7617),$D$2:$E$1996,2,0),"")</f>
        <v/>
      </c>
    </row>
    <row r="7618" spans="2:14">
      <c r="B7618" s="32">
        <f>IF(ISNUMBER(SEARCH('Φόρμα Εισαγωγής'!$B$2,C7618)),MAX($B$1:B7617)+1,0)</f>
        <v>0</v>
      </c>
      <c r="D7618" s="33">
        <f>IF(ISNUMBER(SEARCH('Φόρμα Εισαγωγής'!$C$2,E7618)),MAX($D$1:D7617)+1,0)</f>
        <v>0</v>
      </c>
      <c r="H7618" s="6">
        <f t="shared" si="368"/>
        <v>0</v>
      </c>
      <c r="I7618" s="6">
        <f t="shared" si="369"/>
        <v>0</v>
      </c>
      <c r="J7618" s="6">
        <f t="shared" si="370"/>
        <v>0</v>
      </c>
      <c r="L7618" s="4" t="str">
        <f>IFERROR(VLOOKUP(ROWS($L$2:L7618),$B$2:$C$1996,2,0),"")</f>
        <v/>
      </c>
      <c r="N7618" s="2" t="str">
        <f>IFERROR(VLOOKUP(ROWS($N$2:N7618),$D$2:$E$1996,2,0),"")</f>
        <v/>
      </c>
    </row>
    <row r="7619" spans="2:14">
      <c r="B7619" s="32">
        <f>IF(ISNUMBER(SEARCH('Φόρμα Εισαγωγής'!$B$2,C7619)),MAX($B$1:B7618)+1,0)</f>
        <v>0</v>
      </c>
      <c r="D7619" s="33">
        <f>IF(ISNUMBER(SEARCH('Φόρμα Εισαγωγής'!$C$2,E7619)),MAX($D$1:D7618)+1,0)</f>
        <v>0</v>
      </c>
      <c r="H7619" s="6">
        <f t="shared" si="368"/>
        <v>0</v>
      </c>
      <c r="I7619" s="6">
        <f t="shared" si="369"/>
        <v>0</v>
      </c>
      <c r="J7619" s="6">
        <f t="shared" si="370"/>
        <v>0</v>
      </c>
      <c r="L7619" s="4" t="str">
        <f>IFERROR(VLOOKUP(ROWS($L$2:L7619),$B$2:$C$1996,2,0),"")</f>
        <v/>
      </c>
      <c r="N7619" s="2" t="str">
        <f>IFERROR(VLOOKUP(ROWS($N$2:N7619),$D$2:$E$1996,2,0),"")</f>
        <v/>
      </c>
    </row>
    <row r="7620" spans="2:14">
      <c r="B7620" s="32">
        <f>IF(ISNUMBER(SEARCH('Φόρμα Εισαγωγής'!$B$2,C7620)),MAX($B$1:B7619)+1,0)</f>
        <v>0</v>
      </c>
      <c r="D7620" s="33">
        <f>IF(ISNUMBER(SEARCH('Φόρμα Εισαγωγής'!$C$2,E7620)),MAX($D$1:D7619)+1,0)</f>
        <v>0</v>
      </c>
      <c r="H7620" s="6">
        <f t="shared" si="368"/>
        <v>0</v>
      </c>
      <c r="I7620" s="6">
        <f t="shared" si="369"/>
        <v>0</v>
      </c>
      <c r="J7620" s="6">
        <f t="shared" si="370"/>
        <v>0</v>
      </c>
      <c r="L7620" s="4" t="str">
        <f>IFERROR(VLOOKUP(ROWS($L$2:L7620),$B$2:$C$1996,2,0),"")</f>
        <v/>
      </c>
      <c r="N7620" s="2" t="str">
        <f>IFERROR(VLOOKUP(ROWS($N$2:N7620),$D$2:$E$1996,2,0),"")</f>
        <v/>
      </c>
    </row>
    <row r="7621" spans="2:14">
      <c r="B7621" s="32">
        <f>IF(ISNUMBER(SEARCH('Φόρμα Εισαγωγής'!$B$2,C7621)),MAX($B$1:B7620)+1,0)</f>
        <v>0</v>
      </c>
      <c r="D7621" s="33">
        <f>IF(ISNUMBER(SEARCH('Φόρμα Εισαγωγής'!$C$2,E7621)),MAX($D$1:D7620)+1,0)</f>
        <v>0</v>
      </c>
      <c r="H7621" s="6">
        <f t="shared" si="368"/>
        <v>0</v>
      </c>
      <c r="I7621" s="6">
        <f t="shared" si="369"/>
        <v>0</v>
      </c>
      <c r="J7621" s="6">
        <f t="shared" si="370"/>
        <v>0</v>
      </c>
      <c r="L7621" s="4" t="str">
        <f>IFERROR(VLOOKUP(ROWS($L$2:L7621),$B$2:$C$1996,2,0),"")</f>
        <v/>
      </c>
      <c r="N7621" s="2" t="str">
        <f>IFERROR(VLOOKUP(ROWS($N$2:N7621),$D$2:$E$1996,2,0),"")</f>
        <v/>
      </c>
    </row>
    <row r="7622" spans="2:14">
      <c r="B7622" s="32">
        <f>IF(ISNUMBER(SEARCH('Φόρμα Εισαγωγής'!$B$2,C7622)),MAX($B$1:B7621)+1,0)</f>
        <v>0</v>
      </c>
      <c r="D7622" s="33">
        <f>IF(ISNUMBER(SEARCH('Φόρμα Εισαγωγής'!$C$2,E7622)),MAX($D$1:D7621)+1,0)</f>
        <v>0</v>
      </c>
      <c r="H7622" s="6">
        <f t="shared" si="368"/>
        <v>0</v>
      </c>
      <c r="I7622" s="6">
        <f t="shared" si="369"/>
        <v>0</v>
      </c>
      <c r="J7622" s="6">
        <f t="shared" si="370"/>
        <v>0</v>
      </c>
      <c r="L7622" s="4" t="str">
        <f>IFERROR(VLOOKUP(ROWS($L$2:L7622),$B$2:$C$1996,2,0),"")</f>
        <v/>
      </c>
      <c r="N7622" s="2" t="str">
        <f>IFERROR(VLOOKUP(ROWS($N$2:N7622),$D$2:$E$1996,2,0),"")</f>
        <v/>
      </c>
    </row>
    <row r="7623" spans="2:14">
      <c r="B7623" s="32">
        <f>IF(ISNUMBER(SEARCH('Φόρμα Εισαγωγής'!$B$2,C7623)),MAX($B$1:B7622)+1,0)</f>
        <v>0</v>
      </c>
      <c r="D7623" s="33">
        <f>IF(ISNUMBER(SEARCH('Φόρμα Εισαγωγής'!$C$2,E7623)),MAX($D$1:D7622)+1,0)</f>
        <v>0</v>
      </c>
      <c r="H7623" s="6">
        <f t="shared" si="368"/>
        <v>0</v>
      </c>
      <c r="I7623" s="6">
        <f t="shared" si="369"/>
        <v>0</v>
      </c>
      <c r="J7623" s="6">
        <f t="shared" si="370"/>
        <v>0</v>
      </c>
      <c r="L7623" s="4" t="str">
        <f>IFERROR(VLOOKUP(ROWS($L$2:L7623),$B$2:$C$1996,2,0),"")</f>
        <v/>
      </c>
      <c r="N7623" s="2" t="str">
        <f>IFERROR(VLOOKUP(ROWS($N$2:N7623),$D$2:$E$1996,2,0),"")</f>
        <v/>
      </c>
    </row>
    <row r="7624" spans="2:14">
      <c r="B7624" s="32">
        <f>IF(ISNUMBER(SEARCH('Φόρμα Εισαγωγής'!$B$2,C7624)),MAX($B$1:B7623)+1,0)</f>
        <v>0</v>
      </c>
      <c r="D7624" s="33">
        <f>IF(ISNUMBER(SEARCH('Φόρμα Εισαγωγής'!$C$2,E7624)),MAX($D$1:D7623)+1,0)</f>
        <v>0</v>
      </c>
      <c r="H7624" s="6">
        <f t="shared" si="368"/>
        <v>0</v>
      </c>
      <c r="I7624" s="6">
        <f t="shared" si="369"/>
        <v>0</v>
      </c>
      <c r="J7624" s="6">
        <f t="shared" si="370"/>
        <v>0</v>
      </c>
      <c r="L7624" s="4" t="str">
        <f>IFERROR(VLOOKUP(ROWS($L$2:L7624),$B$2:$C$1996,2,0),"")</f>
        <v/>
      </c>
      <c r="N7624" s="2" t="str">
        <f>IFERROR(VLOOKUP(ROWS($N$2:N7624),$D$2:$E$1996,2,0),"")</f>
        <v/>
      </c>
    </row>
    <row r="7625" spans="2:14">
      <c r="B7625" s="32">
        <f>IF(ISNUMBER(SEARCH('Φόρμα Εισαγωγής'!$B$2,C7625)),MAX($B$1:B7624)+1,0)</f>
        <v>0</v>
      </c>
      <c r="D7625" s="33">
        <f>IF(ISNUMBER(SEARCH('Φόρμα Εισαγωγής'!$C$2,E7625)),MAX($D$1:D7624)+1,0)</f>
        <v>0</v>
      </c>
      <c r="H7625" s="6">
        <f t="shared" si="368"/>
        <v>0</v>
      </c>
      <c r="I7625" s="6">
        <f t="shared" si="369"/>
        <v>0</v>
      </c>
      <c r="J7625" s="6">
        <f t="shared" si="370"/>
        <v>0</v>
      </c>
      <c r="L7625" s="4" t="str">
        <f>IFERROR(VLOOKUP(ROWS($L$2:L7625),$B$2:$C$1996,2,0),"")</f>
        <v/>
      </c>
      <c r="N7625" s="2" t="str">
        <f>IFERROR(VLOOKUP(ROWS($N$2:N7625),$D$2:$E$1996,2,0),"")</f>
        <v/>
      </c>
    </row>
    <row r="7626" spans="2:14">
      <c r="B7626" s="32">
        <f>IF(ISNUMBER(SEARCH('Φόρμα Εισαγωγής'!$B$2,C7626)),MAX($B$1:B7625)+1,0)</f>
        <v>0</v>
      </c>
      <c r="D7626" s="33">
        <f>IF(ISNUMBER(SEARCH('Φόρμα Εισαγωγής'!$C$2,E7626)),MAX($D$1:D7625)+1,0)</f>
        <v>0</v>
      </c>
      <c r="H7626" s="6">
        <f t="shared" si="368"/>
        <v>0</v>
      </c>
      <c r="I7626" s="6">
        <f t="shared" si="369"/>
        <v>0</v>
      </c>
      <c r="J7626" s="6">
        <f t="shared" si="370"/>
        <v>0</v>
      </c>
      <c r="L7626" s="4" t="str">
        <f>IFERROR(VLOOKUP(ROWS($L$2:L7626),$B$2:$C$1996,2,0),"")</f>
        <v/>
      </c>
      <c r="N7626" s="2" t="str">
        <f>IFERROR(VLOOKUP(ROWS($N$2:N7626),$D$2:$E$1996,2,0),"")</f>
        <v/>
      </c>
    </row>
    <row r="7627" spans="2:14">
      <c r="B7627" s="32">
        <f>IF(ISNUMBER(SEARCH('Φόρμα Εισαγωγής'!$B$2,C7627)),MAX($B$1:B7626)+1,0)</f>
        <v>0</v>
      </c>
      <c r="D7627" s="33">
        <f>IF(ISNUMBER(SEARCH('Φόρμα Εισαγωγής'!$C$2,E7627)),MAX($D$1:D7626)+1,0)</f>
        <v>0</v>
      </c>
      <c r="H7627" s="6">
        <f t="shared" si="368"/>
        <v>0</v>
      </c>
      <c r="I7627" s="6">
        <f t="shared" si="369"/>
        <v>0</v>
      </c>
      <c r="J7627" s="6">
        <f t="shared" si="370"/>
        <v>0</v>
      </c>
      <c r="L7627" s="4" t="str">
        <f>IFERROR(VLOOKUP(ROWS($L$2:L7627),$B$2:$C$1996,2,0),"")</f>
        <v/>
      </c>
      <c r="N7627" s="2" t="str">
        <f>IFERROR(VLOOKUP(ROWS($N$2:N7627),$D$2:$E$1996,2,0),"")</f>
        <v/>
      </c>
    </row>
    <row r="7628" spans="2:14">
      <c r="B7628" s="32">
        <f>IF(ISNUMBER(SEARCH('Φόρμα Εισαγωγής'!$B$2,C7628)),MAX($B$1:B7627)+1,0)</f>
        <v>0</v>
      </c>
      <c r="D7628" s="33">
        <f>IF(ISNUMBER(SEARCH('Φόρμα Εισαγωγής'!$C$2,E7628)),MAX($D$1:D7627)+1,0)</f>
        <v>0</v>
      </c>
      <c r="H7628" s="6">
        <f t="shared" si="368"/>
        <v>0</v>
      </c>
      <c r="I7628" s="6">
        <f t="shared" si="369"/>
        <v>0</v>
      </c>
      <c r="J7628" s="6">
        <f t="shared" si="370"/>
        <v>0</v>
      </c>
      <c r="L7628" s="4" t="str">
        <f>IFERROR(VLOOKUP(ROWS($L$2:L7628),$B$2:$C$1996,2,0),"")</f>
        <v/>
      </c>
      <c r="N7628" s="2" t="str">
        <f>IFERROR(VLOOKUP(ROWS($N$2:N7628),$D$2:$E$1996,2,0),"")</f>
        <v/>
      </c>
    </row>
    <row r="7629" spans="2:14">
      <c r="B7629" s="32">
        <f>IF(ISNUMBER(SEARCH('Φόρμα Εισαγωγής'!$B$2,C7629)),MAX($B$1:B7628)+1,0)</f>
        <v>0</v>
      </c>
      <c r="D7629" s="33">
        <f>IF(ISNUMBER(SEARCH('Φόρμα Εισαγωγής'!$C$2,E7629)),MAX($D$1:D7628)+1,0)</f>
        <v>0</v>
      </c>
      <c r="H7629" s="6">
        <f t="shared" si="368"/>
        <v>0</v>
      </c>
      <c r="I7629" s="6">
        <f t="shared" si="369"/>
        <v>0</v>
      </c>
      <c r="J7629" s="6">
        <f t="shared" si="370"/>
        <v>0</v>
      </c>
      <c r="L7629" s="4" t="str">
        <f>IFERROR(VLOOKUP(ROWS($L$2:L7629),$B$2:$C$1996,2,0),"")</f>
        <v/>
      </c>
      <c r="N7629" s="2" t="str">
        <f>IFERROR(VLOOKUP(ROWS($N$2:N7629),$D$2:$E$1996,2,0),"")</f>
        <v/>
      </c>
    </row>
    <row r="7630" spans="2:14">
      <c r="B7630" s="32">
        <f>IF(ISNUMBER(SEARCH('Φόρμα Εισαγωγής'!$B$2,C7630)),MAX($B$1:B7629)+1,0)</f>
        <v>0</v>
      </c>
      <c r="D7630" s="33">
        <f>IF(ISNUMBER(SEARCH('Φόρμα Εισαγωγής'!$C$2,E7630)),MAX($D$1:D7629)+1,0)</f>
        <v>0</v>
      </c>
      <c r="H7630" s="6">
        <f t="shared" si="368"/>
        <v>0</v>
      </c>
      <c r="I7630" s="6">
        <f t="shared" si="369"/>
        <v>0</v>
      </c>
      <c r="J7630" s="6">
        <f t="shared" si="370"/>
        <v>0</v>
      </c>
      <c r="L7630" s="4" t="str">
        <f>IFERROR(VLOOKUP(ROWS($L$2:L7630),$B$2:$C$1996,2,0),"")</f>
        <v/>
      </c>
      <c r="N7630" s="2" t="str">
        <f>IFERROR(VLOOKUP(ROWS($N$2:N7630),$D$2:$E$1996,2,0),"")</f>
        <v/>
      </c>
    </row>
    <row r="7631" spans="2:14">
      <c r="B7631" s="32">
        <f>IF(ISNUMBER(SEARCH('Φόρμα Εισαγωγής'!$B$2,C7631)),MAX($B$1:B7630)+1,0)</f>
        <v>0</v>
      </c>
      <c r="D7631" s="33">
        <f>IF(ISNUMBER(SEARCH('Φόρμα Εισαγωγής'!$C$2,E7631)),MAX($D$1:D7630)+1,0)</f>
        <v>0</v>
      </c>
      <c r="H7631" s="6">
        <f t="shared" si="368"/>
        <v>0</v>
      </c>
      <c r="I7631" s="6">
        <f t="shared" si="369"/>
        <v>0</v>
      </c>
      <c r="J7631" s="6">
        <f t="shared" si="370"/>
        <v>0</v>
      </c>
      <c r="L7631" s="4" t="str">
        <f>IFERROR(VLOOKUP(ROWS($L$2:L7631),$B$2:$C$1996,2,0),"")</f>
        <v/>
      </c>
      <c r="N7631" s="2" t="str">
        <f>IFERROR(VLOOKUP(ROWS($N$2:N7631),$D$2:$E$1996,2,0),"")</f>
        <v/>
      </c>
    </row>
    <row r="7632" spans="2:14">
      <c r="B7632" s="32">
        <f>IF(ISNUMBER(SEARCH('Φόρμα Εισαγωγής'!$B$2,C7632)),MAX($B$1:B7631)+1,0)</f>
        <v>0</v>
      </c>
      <c r="D7632" s="33">
        <f>IF(ISNUMBER(SEARCH('Φόρμα Εισαγωγής'!$C$2,E7632)),MAX($D$1:D7631)+1,0)</f>
        <v>0</v>
      </c>
      <c r="H7632" s="6">
        <f t="shared" si="368"/>
        <v>0</v>
      </c>
      <c r="I7632" s="6">
        <f t="shared" si="369"/>
        <v>0</v>
      </c>
      <c r="J7632" s="6">
        <f t="shared" si="370"/>
        <v>0</v>
      </c>
      <c r="L7632" s="4" t="str">
        <f>IFERROR(VLOOKUP(ROWS($L$2:L7632),$B$2:$C$1996,2,0),"")</f>
        <v/>
      </c>
      <c r="N7632" s="2" t="str">
        <f>IFERROR(VLOOKUP(ROWS($N$2:N7632),$D$2:$E$1996,2,0),"")</f>
        <v/>
      </c>
    </row>
    <row r="7633" spans="2:14">
      <c r="B7633" s="32">
        <f>IF(ISNUMBER(SEARCH('Φόρμα Εισαγωγής'!$B$2,C7633)),MAX($B$1:B7632)+1,0)</f>
        <v>0</v>
      </c>
      <c r="D7633" s="33">
        <f>IF(ISNUMBER(SEARCH('Φόρμα Εισαγωγής'!$C$2,E7633)),MAX($D$1:D7632)+1,0)</f>
        <v>0</v>
      </c>
      <c r="H7633" s="6">
        <f t="shared" si="368"/>
        <v>0</v>
      </c>
      <c r="I7633" s="6">
        <f t="shared" si="369"/>
        <v>0</v>
      </c>
      <c r="J7633" s="6">
        <f t="shared" si="370"/>
        <v>0</v>
      </c>
      <c r="L7633" s="4" t="str">
        <f>IFERROR(VLOOKUP(ROWS($L$2:L7633),$B$2:$C$1996,2,0),"")</f>
        <v/>
      </c>
      <c r="N7633" s="2" t="str">
        <f>IFERROR(VLOOKUP(ROWS($N$2:N7633),$D$2:$E$1996,2,0),"")</f>
        <v/>
      </c>
    </row>
    <row r="7634" spans="2:14">
      <c r="B7634" s="32">
        <f>IF(ISNUMBER(SEARCH('Φόρμα Εισαγωγής'!$B$2,C7634)),MAX($B$1:B7633)+1,0)</f>
        <v>0</v>
      </c>
      <c r="D7634" s="33">
        <f>IF(ISNUMBER(SEARCH('Φόρμα Εισαγωγής'!$C$2,E7634)),MAX($D$1:D7633)+1,0)</f>
        <v>0</v>
      </c>
      <c r="H7634" s="6">
        <f t="shared" si="368"/>
        <v>0</v>
      </c>
      <c r="I7634" s="6">
        <f t="shared" si="369"/>
        <v>0</v>
      </c>
      <c r="J7634" s="6">
        <f t="shared" si="370"/>
        <v>0</v>
      </c>
      <c r="L7634" s="4" t="str">
        <f>IFERROR(VLOOKUP(ROWS($L$2:L7634),$B$2:$C$1996,2,0),"")</f>
        <v/>
      </c>
      <c r="N7634" s="2" t="str">
        <f>IFERROR(VLOOKUP(ROWS($N$2:N7634),$D$2:$E$1996,2,0),"")</f>
        <v/>
      </c>
    </row>
    <row r="7635" spans="2:14">
      <c r="B7635" s="32">
        <f>IF(ISNUMBER(SEARCH('Φόρμα Εισαγωγής'!$B$2,C7635)),MAX($B$1:B7634)+1,0)</f>
        <v>0</v>
      </c>
      <c r="D7635" s="33">
        <f>IF(ISNUMBER(SEARCH('Φόρμα Εισαγωγής'!$C$2,E7635)),MAX($D$1:D7634)+1,0)</f>
        <v>0</v>
      </c>
      <c r="H7635" s="6">
        <f t="shared" si="368"/>
        <v>0</v>
      </c>
      <c r="I7635" s="6">
        <f t="shared" si="369"/>
        <v>0</v>
      </c>
      <c r="J7635" s="6">
        <f t="shared" si="370"/>
        <v>0</v>
      </c>
      <c r="L7635" s="4" t="str">
        <f>IFERROR(VLOOKUP(ROWS($L$2:L7635),$B$2:$C$1996,2,0),"")</f>
        <v/>
      </c>
      <c r="N7635" s="2" t="str">
        <f>IFERROR(VLOOKUP(ROWS($N$2:N7635),$D$2:$E$1996,2,0),"")</f>
        <v/>
      </c>
    </row>
    <row r="7636" spans="2:14">
      <c r="B7636" s="32">
        <f>IF(ISNUMBER(SEARCH('Φόρμα Εισαγωγής'!$B$2,C7636)),MAX($B$1:B7635)+1,0)</f>
        <v>0</v>
      </c>
      <c r="D7636" s="33">
        <f>IF(ISNUMBER(SEARCH('Φόρμα Εισαγωγής'!$C$2,E7636)),MAX($D$1:D7635)+1,0)</f>
        <v>0</v>
      </c>
      <c r="H7636" s="6">
        <f t="shared" si="368"/>
        <v>0</v>
      </c>
      <c r="I7636" s="6">
        <f t="shared" si="369"/>
        <v>0</v>
      </c>
      <c r="J7636" s="6">
        <f t="shared" si="370"/>
        <v>0</v>
      </c>
      <c r="L7636" s="4" t="str">
        <f>IFERROR(VLOOKUP(ROWS($L$2:L7636),$B$2:$C$1996,2,0),"")</f>
        <v/>
      </c>
      <c r="N7636" s="2" t="str">
        <f>IFERROR(VLOOKUP(ROWS($N$2:N7636),$D$2:$E$1996,2,0),"")</f>
        <v/>
      </c>
    </row>
    <row r="7637" spans="2:14">
      <c r="B7637" s="32">
        <f>IF(ISNUMBER(SEARCH('Φόρμα Εισαγωγής'!$B$2,C7637)),MAX($B$1:B7636)+1,0)</f>
        <v>0</v>
      </c>
      <c r="D7637" s="33">
        <f>IF(ISNUMBER(SEARCH('Φόρμα Εισαγωγής'!$C$2,E7637)),MAX($D$1:D7636)+1,0)</f>
        <v>0</v>
      </c>
      <c r="H7637" s="6">
        <f t="shared" si="368"/>
        <v>0</v>
      </c>
      <c r="I7637" s="6">
        <f t="shared" si="369"/>
        <v>0</v>
      </c>
      <c r="J7637" s="6">
        <f t="shared" si="370"/>
        <v>0</v>
      </c>
      <c r="L7637" s="4" t="str">
        <f>IFERROR(VLOOKUP(ROWS($L$2:L7637),$B$2:$C$1996,2,0),"")</f>
        <v/>
      </c>
      <c r="N7637" s="2" t="str">
        <f>IFERROR(VLOOKUP(ROWS($N$2:N7637),$D$2:$E$1996,2,0),"")</f>
        <v/>
      </c>
    </row>
    <row r="7638" spans="2:14">
      <c r="B7638" s="32">
        <f>IF(ISNUMBER(SEARCH('Φόρμα Εισαγωγής'!$B$2,C7638)),MAX($B$1:B7637)+1,0)</f>
        <v>0</v>
      </c>
      <c r="D7638" s="33">
        <f>IF(ISNUMBER(SEARCH('Φόρμα Εισαγωγής'!$C$2,E7638)),MAX($D$1:D7637)+1,0)</f>
        <v>0</v>
      </c>
      <c r="H7638" s="6">
        <f t="shared" si="368"/>
        <v>0</v>
      </c>
      <c r="I7638" s="6">
        <f t="shared" si="369"/>
        <v>0</v>
      </c>
      <c r="J7638" s="6">
        <f t="shared" si="370"/>
        <v>0</v>
      </c>
      <c r="L7638" s="4" t="str">
        <f>IFERROR(VLOOKUP(ROWS($L$2:L7638),$B$2:$C$1996,2,0),"")</f>
        <v/>
      </c>
      <c r="N7638" s="2" t="str">
        <f>IFERROR(VLOOKUP(ROWS($N$2:N7638),$D$2:$E$1996,2,0),"")</f>
        <v/>
      </c>
    </row>
    <row r="7639" spans="2:14">
      <c r="B7639" s="32">
        <f>IF(ISNUMBER(SEARCH('Φόρμα Εισαγωγής'!$B$2,C7639)),MAX($B$1:B7638)+1,0)</f>
        <v>0</v>
      </c>
      <c r="D7639" s="33">
        <f>IF(ISNUMBER(SEARCH('Φόρμα Εισαγωγής'!$C$2,E7639)),MAX($D$1:D7638)+1,0)</f>
        <v>0</v>
      </c>
      <c r="H7639" s="6">
        <f t="shared" si="368"/>
        <v>0</v>
      </c>
      <c r="I7639" s="6">
        <f t="shared" si="369"/>
        <v>0</v>
      </c>
      <c r="J7639" s="6">
        <f t="shared" si="370"/>
        <v>0</v>
      </c>
      <c r="L7639" s="4" t="str">
        <f>IFERROR(VLOOKUP(ROWS($L$2:L7639),$B$2:$C$1996,2,0),"")</f>
        <v/>
      </c>
      <c r="N7639" s="2" t="str">
        <f>IFERROR(VLOOKUP(ROWS($N$2:N7639),$D$2:$E$1996,2,0),"")</f>
        <v/>
      </c>
    </row>
    <row r="7640" spans="2:14">
      <c r="B7640" s="32">
        <f>IF(ISNUMBER(SEARCH('Φόρμα Εισαγωγής'!$B$2,C7640)),MAX($B$1:B7639)+1,0)</f>
        <v>0</v>
      </c>
      <c r="D7640" s="33">
        <f>IF(ISNUMBER(SEARCH('Φόρμα Εισαγωγής'!$C$2,E7640)),MAX($D$1:D7639)+1,0)</f>
        <v>0</v>
      </c>
      <c r="H7640" s="6">
        <f t="shared" si="368"/>
        <v>0</v>
      </c>
      <c r="I7640" s="6">
        <f t="shared" si="369"/>
        <v>0</v>
      </c>
      <c r="J7640" s="6">
        <f t="shared" si="370"/>
        <v>0</v>
      </c>
      <c r="L7640" s="4" t="str">
        <f>IFERROR(VLOOKUP(ROWS($L$2:L7640),$B$2:$C$1996,2,0),"")</f>
        <v/>
      </c>
      <c r="N7640" s="2" t="str">
        <f>IFERROR(VLOOKUP(ROWS($N$2:N7640),$D$2:$E$1996,2,0),"")</f>
        <v/>
      </c>
    </row>
    <row r="7641" spans="2:14">
      <c r="B7641" s="32">
        <f>IF(ISNUMBER(SEARCH('Φόρμα Εισαγωγής'!$B$2,C7641)),MAX($B$1:B7640)+1,0)</f>
        <v>0</v>
      </c>
      <c r="D7641" s="33">
        <f>IF(ISNUMBER(SEARCH('Φόρμα Εισαγωγής'!$C$2,E7641)),MAX($D$1:D7640)+1,0)</f>
        <v>0</v>
      </c>
      <c r="H7641" s="6">
        <f t="shared" si="368"/>
        <v>0</v>
      </c>
      <c r="I7641" s="6">
        <f t="shared" si="369"/>
        <v>0</v>
      </c>
      <c r="J7641" s="6">
        <f t="shared" si="370"/>
        <v>0</v>
      </c>
      <c r="L7641" s="4" t="str">
        <f>IFERROR(VLOOKUP(ROWS($L$2:L7641),$B$2:$C$1996,2,0),"")</f>
        <v/>
      </c>
      <c r="N7641" s="2" t="str">
        <f>IFERROR(VLOOKUP(ROWS($N$2:N7641),$D$2:$E$1996,2,0),"")</f>
        <v/>
      </c>
    </row>
    <row r="7642" spans="2:14">
      <c r="B7642" s="32">
        <f>IF(ISNUMBER(SEARCH('Φόρμα Εισαγωγής'!$B$2,C7642)),MAX($B$1:B7641)+1,0)</f>
        <v>0</v>
      </c>
      <c r="D7642" s="33">
        <f>IF(ISNUMBER(SEARCH('Φόρμα Εισαγωγής'!$C$2,E7642)),MAX($D$1:D7641)+1,0)</f>
        <v>0</v>
      </c>
      <c r="H7642" s="6">
        <f t="shared" si="368"/>
        <v>0</v>
      </c>
      <c r="I7642" s="6">
        <f t="shared" si="369"/>
        <v>0</v>
      </c>
      <c r="J7642" s="6">
        <f t="shared" si="370"/>
        <v>0</v>
      </c>
      <c r="L7642" s="4" t="str">
        <f>IFERROR(VLOOKUP(ROWS($L$2:L7642),$B$2:$C$1996,2,0),"")</f>
        <v/>
      </c>
      <c r="N7642" s="2" t="str">
        <f>IFERROR(VLOOKUP(ROWS($N$2:N7642),$D$2:$E$1996,2,0),"")</f>
        <v/>
      </c>
    </row>
    <row r="7643" spans="2:14">
      <c r="B7643" s="32">
        <f>IF(ISNUMBER(SEARCH('Φόρμα Εισαγωγής'!$B$2,C7643)),MAX($B$1:B7642)+1,0)</f>
        <v>0</v>
      </c>
      <c r="D7643" s="33">
        <f>IF(ISNUMBER(SEARCH('Φόρμα Εισαγωγής'!$C$2,E7643)),MAX($D$1:D7642)+1,0)</f>
        <v>0</v>
      </c>
      <c r="H7643" s="6">
        <f t="shared" si="368"/>
        <v>0</v>
      </c>
      <c r="I7643" s="6">
        <f t="shared" si="369"/>
        <v>0</v>
      </c>
      <c r="J7643" s="6">
        <f t="shared" si="370"/>
        <v>0</v>
      </c>
      <c r="L7643" s="4" t="str">
        <f>IFERROR(VLOOKUP(ROWS($L$2:L7643),$B$2:$C$1996,2,0),"")</f>
        <v/>
      </c>
      <c r="N7643" s="2" t="str">
        <f>IFERROR(VLOOKUP(ROWS($N$2:N7643),$D$2:$E$1996,2,0),"")</f>
        <v/>
      </c>
    </row>
    <row r="7644" spans="2:14">
      <c r="B7644" s="32">
        <f>IF(ISNUMBER(SEARCH('Φόρμα Εισαγωγής'!$B$2,C7644)),MAX($B$1:B7643)+1,0)</f>
        <v>0</v>
      </c>
      <c r="D7644" s="33">
        <f>IF(ISNUMBER(SEARCH('Φόρμα Εισαγωγής'!$C$2,E7644)),MAX($D$1:D7643)+1,0)</f>
        <v>0</v>
      </c>
      <c r="H7644" s="6">
        <f t="shared" si="368"/>
        <v>0</v>
      </c>
      <c r="I7644" s="6">
        <f t="shared" si="369"/>
        <v>0</v>
      </c>
      <c r="J7644" s="6">
        <f t="shared" si="370"/>
        <v>0</v>
      </c>
      <c r="L7644" s="4" t="str">
        <f>IFERROR(VLOOKUP(ROWS($L$2:L7644),$B$2:$C$1996,2,0),"")</f>
        <v/>
      </c>
      <c r="N7644" s="2" t="str">
        <f>IFERROR(VLOOKUP(ROWS($N$2:N7644),$D$2:$E$1996,2,0),"")</f>
        <v/>
      </c>
    </row>
    <row r="7645" spans="2:14">
      <c r="B7645" s="32">
        <f>IF(ISNUMBER(SEARCH('Φόρμα Εισαγωγής'!$B$2,C7645)),MAX($B$1:B7644)+1,0)</f>
        <v>0</v>
      </c>
      <c r="D7645" s="33">
        <f>IF(ISNUMBER(SEARCH('Φόρμα Εισαγωγής'!$C$2,E7645)),MAX($D$1:D7644)+1,0)</f>
        <v>0</v>
      </c>
      <c r="H7645" s="6">
        <f t="shared" si="368"/>
        <v>0</v>
      </c>
      <c r="I7645" s="6">
        <f t="shared" si="369"/>
        <v>0</v>
      </c>
      <c r="J7645" s="6">
        <f t="shared" si="370"/>
        <v>0</v>
      </c>
      <c r="L7645" s="4" t="str">
        <f>IFERROR(VLOOKUP(ROWS($L$2:L7645),$B$2:$C$1996,2,0),"")</f>
        <v/>
      </c>
      <c r="N7645" s="2" t="str">
        <f>IFERROR(VLOOKUP(ROWS($N$2:N7645),$D$2:$E$1996,2,0),"")</f>
        <v/>
      </c>
    </row>
    <row r="7646" spans="2:14">
      <c r="B7646" s="32">
        <f>IF(ISNUMBER(SEARCH('Φόρμα Εισαγωγής'!$B$2,C7646)),MAX($B$1:B7645)+1,0)</f>
        <v>0</v>
      </c>
      <c r="D7646" s="33">
        <f>IF(ISNUMBER(SEARCH('Φόρμα Εισαγωγής'!$C$2,E7646)),MAX($D$1:D7645)+1,0)</f>
        <v>0</v>
      </c>
      <c r="H7646" s="6">
        <f t="shared" si="368"/>
        <v>0</v>
      </c>
      <c r="I7646" s="6">
        <f t="shared" si="369"/>
        <v>0</v>
      </c>
      <c r="J7646" s="6">
        <f t="shared" si="370"/>
        <v>0</v>
      </c>
      <c r="L7646" s="4" t="str">
        <f>IFERROR(VLOOKUP(ROWS($L$2:L7646),$B$2:$C$1996,2,0),"")</f>
        <v/>
      </c>
      <c r="N7646" s="2" t="str">
        <f>IFERROR(VLOOKUP(ROWS($N$2:N7646),$D$2:$E$1996,2,0),"")</f>
        <v/>
      </c>
    </row>
    <row r="7647" spans="2:14">
      <c r="B7647" s="32">
        <f>IF(ISNUMBER(SEARCH('Φόρμα Εισαγωγής'!$B$2,C7647)),MAX($B$1:B7646)+1,0)</f>
        <v>0</v>
      </c>
      <c r="D7647" s="33">
        <f>IF(ISNUMBER(SEARCH('Φόρμα Εισαγωγής'!$C$2,E7647)),MAX($D$1:D7646)+1,0)</f>
        <v>0</v>
      </c>
      <c r="H7647" s="6">
        <f t="shared" si="368"/>
        <v>0</v>
      </c>
      <c r="I7647" s="6">
        <f t="shared" si="369"/>
        <v>0</v>
      </c>
      <c r="J7647" s="6">
        <f t="shared" si="370"/>
        <v>0</v>
      </c>
      <c r="L7647" s="4" t="str">
        <f>IFERROR(VLOOKUP(ROWS($L$2:L7647),$B$2:$C$1996,2,0),"")</f>
        <v/>
      </c>
      <c r="N7647" s="2" t="str">
        <f>IFERROR(VLOOKUP(ROWS($N$2:N7647),$D$2:$E$1996,2,0),"")</f>
        <v/>
      </c>
    </row>
    <row r="7648" spans="2:14">
      <c r="B7648" s="32">
        <f>IF(ISNUMBER(SEARCH('Φόρμα Εισαγωγής'!$B$2,C7648)),MAX($B$1:B7647)+1,0)</f>
        <v>0</v>
      </c>
      <c r="D7648" s="33">
        <f>IF(ISNUMBER(SEARCH('Φόρμα Εισαγωγής'!$C$2,E7648)),MAX($D$1:D7647)+1,0)</f>
        <v>0</v>
      </c>
      <c r="H7648" s="6">
        <f t="shared" si="368"/>
        <v>0</v>
      </c>
      <c r="I7648" s="6">
        <f t="shared" si="369"/>
        <v>0</v>
      </c>
      <c r="J7648" s="6">
        <f t="shared" si="370"/>
        <v>0</v>
      </c>
      <c r="L7648" s="4" t="str">
        <f>IFERROR(VLOOKUP(ROWS($L$2:L7648),$B$2:$C$1996,2,0),"")</f>
        <v/>
      </c>
      <c r="N7648" s="2" t="str">
        <f>IFERROR(VLOOKUP(ROWS($N$2:N7648),$D$2:$E$1996,2,0),"")</f>
        <v/>
      </c>
    </row>
    <row r="7649" spans="2:14">
      <c r="B7649" s="32">
        <f>IF(ISNUMBER(SEARCH('Φόρμα Εισαγωγής'!$B$2,C7649)),MAX($B$1:B7648)+1,0)</f>
        <v>0</v>
      </c>
      <c r="D7649" s="33">
        <f>IF(ISNUMBER(SEARCH('Φόρμα Εισαγωγής'!$C$2,E7649)),MAX($D$1:D7648)+1,0)</f>
        <v>0</v>
      </c>
      <c r="H7649" s="6">
        <f t="shared" si="368"/>
        <v>0</v>
      </c>
      <c r="I7649" s="6">
        <f t="shared" si="369"/>
        <v>0</v>
      </c>
      <c r="J7649" s="6">
        <f t="shared" si="370"/>
        <v>0</v>
      </c>
      <c r="L7649" s="4" t="str">
        <f>IFERROR(VLOOKUP(ROWS($L$2:L7649),$B$2:$C$1996,2,0),"")</f>
        <v/>
      </c>
      <c r="N7649" s="2" t="str">
        <f>IFERROR(VLOOKUP(ROWS($N$2:N7649),$D$2:$E$1996,2,0),"")</f>
        <v/>
      </c>
    </row>
    <row r="7650" spans="2:14">
      <c r="B7650" s="32">
        <f>IF(ISNUMBER(SEARCH('Φόρμα Εισαγωγής'!$B$2,C7650)),MAX($B$1:B7649)+1,0)</f>
        <v>0</v>
      </c>
      <c r="D7650" s="33">
        <f>IF(ISNUMBER(SEARCH('Φόρμα Εισαγωγής'!$C$2,E7650)),MAX($D$1:D7649)+1,0)</f>
        <v>0</v>
      </c>
      <c r="H7650" s="6">
        <f t="shared" si="368"/>
        <v>0</v>
      </c>
      <c r="I7650" s="6">
        <f t="shared" si="369"/>
        <v>0</v>
      </c>
      <c r="J7650" s="6">
        <f t="shared" si="370"/>
        <v>0</v>
      </c>
      <c r="L7650" s="4" t="str">
        <f>IFERROR(VLOOKUP(ROWS($L$2:L7650),$B$2:$C$1996,2,0),"")</f>
        <v/>
      </c>
      <c r="N7650" s="2" t="str">
        <f>IFERROR(VLOOKUP(ROWS($N$2:N7650),$D$2:$E$1996,2,0),"")</f>
        <v/>
      </c>
    </row>
    <row r="7651" spans="2:14">
      <c r="B7651" s="32">
        <f>IF(ISNUMBER(SEARCH('Φόρμα Εισαγωγής'!$B$2,C7651)),MAX($B$1:B7650)+1,0)</f>
        <v>0</v>
      </c>
      <c r="D7651" s="33">
        <f>IF(ISNUMBER(SEARCH('Φόρμα Εισαγωγής'!$C$2,E7651)),MAX($D$1:D7650)+1,0)</f>
        <v>0</v>
      </c>
      <c r="H7651" s="6">
        <f t="shared" si="368"/>
        <v>0</v>
      </c>
      <c r="I7651" s="6">
        <f t="shared" si="369"/>
        <v>0</v>
      </c>
      <c r="J7651" s="6">
        <f t="shared" si="370"/>
        <v>0</v>
      </c>
      <c r="L7651" s="4" t="str">
        <f>IFERROR(VLOOKUP(ROWS($L$2:L7651),$B$2:$C$1996,2,0),"")</f>
        <v/>
      </c>
      <c r="N7651" s="2" t="str">
        <f>IFERROR(VLOOKUP(ROWS($N$2:N7651),$D$2:$E$1996,2,0),"")</f>
        <v/>
      </c>
    </row>
    <row r="7652" spans="2:14">
      <c r="B7652" s="32">
        <f>IF(ISNUMBER(SEARCH('Φόρμα Εισαγωγής'!$B$2,C7652)),MAX($B$1:B7651)+1,0)</f>
        <v>0</v>
      </c>
      <c r="D7652" s="33">
        <f>IF(ISNUMBER(SEARCH('Φόρμα Εισαγωγής'!$C$2,E7652)),MAX($D$1:D7651)+1,0)</f>
        <v>0</v>
      </c>
      <c r="H7652" s="6">
        <f t="shared" si="368"/>
        <v>0</v>
      </c>
      <c r="I7652" s="6">
        <f t="shared" si="369"/>
        <v>0</v>
      </c>
      <c r="J7652" s="6">
        <f t="shared" si="370"/>
        <v>0</v>
      </c>
      <c r="L7652" s="4" t="str">
        <f>IFERROR(VLOOKUP(ROWS($L$2:L7652),$B$2:$C$1996,2,0),"")</f>
        <v/>
      </c>
      <c r="N7652" s="2" t="str">
        <f>IFERROR(VLOOKUP(ROWS($N$2:N7652),$D$2:$E$1996,2,0),"")</f>
        <v/>
      </c>
    </row>
    <row r="7653" spans="2:14">
      <c r="B7653" s="32">
        <f>IF(ISNUMBER(SEARCH('Φόρμα Εισαγωγής'!$B$2,C7653)),MAX($B$1:B7652)+1,0)</f>
        <v>0</v>
      </c>
      <c r="D7653" s="33">
        <f>IF(ISNUMBER(SEARCH('Φόρμα Εισαγωγής'!$C$2,E7653)),MAX($D$1:D7652)+1,0)</f>
        <v>0</v>
      </c>
      <c r="H7653" s="6">
        <f t="shared" si="368"/>
        <v>0</v>
      </c>
      <c r="I7653" s="6">
        <f t="shared" si="369"/>
        <v>0</v>
      </c>
      <c r="J7653" s="6">
        <f t="shared" si="370"/>
        <v>0</v>
      </c>
      <c r="L7653" s="4" t="str">
        <f>IFERROR(VLOOKUP(ROWS($L$2:L7653),$B$2:$C$1996,2,0),"")</f>
        <v/>
      </c>
      <c r="N7653" s="2" t="str">
        <f>IFERROR(VLOOKUP(ROWS($N$2:N7653),$D$2:$E$1996,2,0),"")</f>
        <v/>
      </c>
    </row>
    <row r="7654" spans="2:14">
      <c r="B7654" s="32">
        <f>IF(ISNUMBER(SEARCH('Φόρμα Εισαγωγής'!$B$2,C7654)),MAX($B$1:B7653)+1,0)</f>
        <v>0</v>
      </c>
      <c r="D7654" s="33">
        <f>IF(ISNUMBER(SEARCH('Φόρμα Εισαγωγής'!$C$2,E7654)),MAX($D$1:D7653)+1,0)</f>
        <v>0</v>
      </c>
      <c r="H7654" s="6">
        <f t="shared" si="368"/>
        <v>0</v>
      </c>
      <c r="I7654" s="6">
        <f t="shared" si="369"/>
        <v>0</v>
      </c>
      <c r="J7654" s="6">
        <f t="shared" si="370"/>
        <v>0</v>
      </c>
      <c r="L7654" s="4" t="str">
        <f>IFERROR(VLOOKUP(ROWS($L$2:L7654),$B$2:$C$1996,2,0),"")</f>
        <v/>
      </c>
      <c r="N7654" s="2" t="str">
        <f>IFERROR(VLOOKUP(ROWS($N$2:N7654),$D$2:$E$1996,2,0),"")</f>
        <v/>
      </c>
    </row>
    <row r="7655" spans="2:14">
      <c r="B7655" s="32">
        <f>IF(ISNUMBER(SEARCH('Φόρμα Εισαγωγής'!$B$2,C7655)),MAX($B$1:B7654)+1,0)</f>
        <v>0</v>
      </c>
      <c r="D7655" s="33">
        <f>IF(ISNUMBER(SEARCH('Φόρμα Εισαγωγής'!$C$2,E7655)),MAX($D$1:D7654)+1,0)</f>
        <v>0</v>
      </c>
      <c r="H7655" s="6">
        <f t="shared" si="368"/>
        <v>0</v>
      </c>
      <c r="I7655" s="6">
        <f t="shared" si="369"/>
        <v>0</v>
      </c>
      <c r="J7655" s="6">
        <f t="shared" si="370"/>
        <v>0</v>
      </c>
      <c r="L7655" s="4" t="str">
        <f>IFERROR(VLOOKUP(ROWS($L$2:L7655),$B$2:$C$1996,2,0),"")</f>
        <v/>
      </c>
      <c r="N7655" s="2" t="str">
        <f>IFERROR(VLOOKUP(ROWS($N$2:N7655),$D$2:$E$1996,2,0),"")</f>
        <v/>
      </c>
    </row>
    <row r="7656" spans="2:14">
      <c r="B7656" s="32">
        <f>IF(ISNUMBER(SEARCH('Φόρμα Εισαγωγής'!$B$2,C7656)),MAX($B$1:B7655)+1,0)</f>
        <v>0</v>
      </c>
      <c r="D7656" s="33">
        <f>IF(ISNUMBER(SEARCH('Φόρμα Εισαγωγής'!$C$2,E7656)),MAX($D$1:D7655)+1,0)</f>
        <v>0</v>
      </c>
      <c r="H7656" s="6">
        <f t="shared" si="368"/>
        <v>0</v>
      </c>
      <c r="I7656" s="6">
        <f t="shared" si="369"/>
        <v>0</v>
      </c>
      <c r="J7656" s="6">
        <f t="shared" si="370"/>
        <v>0</v>
      </c>
      <c r="L7656" s="4" t="str">
        <f>IFERROR(VLOOKUP(ROWS($L$2:L7656),$B$2:$C$1996,2,0),"")</f>
        <v/>
      </c>
      <c r="N7656" s="2" t="str">
        <f>IFERROR(VLOOKUP(ROWS($N$2:N7656),$D$2:$E$1996,2,0),"")</f>
        <v/>
      </c>
    </row>
    <row r="7657" spans="2:14">
      <c r="B7657" s="32">
        <f>IF(ISNUMBER(SEARCH('Φόρμα Εισαγωγής'!$B$2,C7657)),MAX($B$1:B7656)+1,0)</f>
        <v>0</v>
      </c>
      <c r="D7657" s="33">
        <f>IF(ISNUMBER(SEARCH('Φόρμα Εισαγωγής'!$C$2,E7657)),MAX($D$1:D7656)+1,0)</f>
        <v>0</v>
      </c>
      <c r="H7657" s="6">
        <f t="shared" si="368"/>
        <v>0</v>
      </c>
      <c r="I7657" s="6">
        <f t="shared" si="369"/>
        <v>0</v>
      </c>
      <c r="J7657" s="6">
        <f t="shared" si="370"/>
        <v>0</v>
      </c>
      <c r="L7657" s="4" t="str">
        <f>IFERROR(VLOOKUP(ROWS($L$2:L7657),$B$2:$C$1996,2,0),"")</f>
        <v/>
      </c>
      <c r="N7657" s="2" t="str">
        <f>IFERROR(VLOOKUP(ROWS($N$2:N7657),$D$2:$E$1996,2,0),"")</f>
        <v/>
      </c>
    </row>
    <row r="7658" spans="2:14">
      <c r="B7658" s="32">
        <f>IF(ISNUMBER(SEARCH('Φόρμα Εισαγωγής'!$B$2,C7658)),MAX($B$1:B7657)+1,0)</f>
        <v>0</v>
      </c>
      <c r="D7658" s="33">
        <f>IF(ISNUMBER(SEARCH('Φόρμα Εισαγωγής'!$C$2,E7658)),MAX($D$1:D7657)+1,0)</f>
        <v>0</v>
      </c>
      <c r="H7658" s="6">
        <f t="shared" si="368"/>
        <v>0</v>
      </c>
      <c r="I7658" s="6">
        <f t="shared" si="369"/>
        <v>0</v>
      </c>
      <c r="J7658" s="6">
        <f t="shared" si="370"/>
        <v>0</v>
      </c>
      <c r="L7658" s="4" t="str">
        <f>IFERROR(VLOOKUP(ROWS($L$2:L7658),$B$2:$C$1996,2,0),"")</f>
        <v/>
      </c>
      <c r="N7658" s="2" t="str">
        <f>IFERROR(VLOOKUP(ROWS($N$2:N7658),$D$2:$E$1996,2,0),"")</f>
        <v/>
      </c>
    </row>
    <row r="7659" spans="2:14">
      <c r="B7659" s="32">
        <f>IF(ISNUMBER(SEARCH('Φόρμα Εισαγωγής'!$B$2,C7659)),MAX($B$1:B7658)+1,0)</f>
        <v>0</v>
      </c>
      <c r="D7659" s="33">
        <f>IF(ISNUMBER(SEARCH('Φόρμα Εισαγωγής'!$C$2,E7659)),MAX($D$1:D7658)+1,0)</f>
        <v>0</v>
      </c>
      <c r="H7659" s="6">
        <f t="shared" si="368"/>
        <v>0</v>
      </c>
      <c r="I7659" s="6">
        <f t="shared" si="369"/>
        <v>0</v>
      </c>
      <c r="J7659" s="6">
        <f t="shared" si="370"/>
        <v>0</v>
      </c>
      <c r="L7659" s="4" t="str">
        <f>IFERROR(VLOOKUP(ROWS($L$2:L7659),$B$2:$C$1996,2,0),"")</f>
        <v/>
      </c>
      <c r="N7659" s="2" t="str">
        <f>IFERROR(VLOOKUP(ROWS($N$2:N7659),$D$2:$E$1996,2,0),"")</f>
        <v/>
      </c>
    </row>
    <row r="7660" spans="2:14">
      <c r="B7660" s="32">
        <f>IF(ISNUMBER(SEARCH('Φόρμα Εισαγωγής'!$B$2,C7660)),MAX($B$1:B7659)+1,0)</f>
        <v>0</v>
      </c>
      <c r="D7660" s="33">
        <f>IF(ISNUMBER(SEARCH('Φόρμα Εισαγωγής'!$C$2,E7660)),MAX($D$1:D7659)+1,0)</f>
        <v>0</v>
      </c>
      <c r="H7660" s="6">
        <f t="shared" si="368"/>
        <v>0</v>
      </c>
      <c r="I7660" s="6">
        <f t="shared" si="369"/>
        <v>0</v>
      </c>
      <c r="J7660" s="6">
        <f t="shared" si="370"/>
        <v>0</v>
      </c>
      <c r="L7660" s="4" t="str">
        <f>IFERROR(VLOOKUP(ROWS($L$2:L7660),$B$2:$C$1996,2,0),"")</f>
        <v/>
      </c>
      <c r="N7660" s="2" t="str">
        <f>IFERROR(VLOOKUP(ROWS($N$2:N7660),$D$2:$E$1996,2,0),"")</f>
        <v/>
      </c>
    </row>
    <row r="7661" spans="2:14">
      <c r="B7661" s="32">
        <f>IF(ISNUMBER(SEARCH('Φόρμα Εισαγωγής'!$B$2,C7661)),MAX($B$1:B7660)+1,0)</f>
        <v>0</v>
      </c>
      <c r="D7661" s="33">
        <f>IF(ISNUMBER(SEARCH('Φόρμα Εισαγωγής'!$C$2,E7661)),MAX($D$1:D7660)+1,0)</f>
        <v>0</v>
      </c>
      <c r="H7661" s="6">
        <f t="shared" si="368"/>
        <v>0</v>
      </c>
      <c r="I7661" s="6">
        <f t="shared" si="369"/>
        <v>0</v>
      </c>
      <c r="J7661" s="6">
        <f t="shared" si="370"/>
        <v>0</v>
      </c>
      <c r="L7661" s="4" t="str">
        <f>IFERROR(VLOOKUP(ROWS($L$2:L7661),$B$2:$C$1996,2,0),"")</f>
        <v/>
      </c>
      <c r="N7661" s="2" t="str">
        <f>IFERROR(VLOOKUP(ROWS($N$2:N7661),$D$2:$E$1996,2,0),"")</f>
        <v/>
      </c>
    </row>
    <row r="7662" spans="2:14">
      <c r="B7662" s="32">
        <f>IF(ISNUMBER(SEARCH('Φόρμα Εισαγωγής'!$B$2,C7662)),MAX($B$1:B7661)+1,0)</f>
        <v>0</v>
      </c>
      <c r="D7662" s="33">
        <f>IF(ISNUMBER(SEARCH('Φόρμα Εισαγωγής'!$C$2,E7662)),MAX($D$1:D7661)+1,0)</f>
        <v>0</v>
      </c>
      <c r="H7662" s="6">
        <f t="shared" si="368"/>
        <v>0</v>
      </c>
      <c r="I7662" s="6">
        <f t="shared" si="369"/>
        <v>0</v>
      </c>
      <c r="J7662" s="6">
        <f t="shared" si="370"/>
        <v>0</v>
      </c>
      <c r="L7662" s="4" t="str">
        <f>IFERROR(VLOOKUP(ROWS($L$2:L7662),$B$2:$C$1996,2,0),"")</f>
        <v/>
      </c>
      <c r="N7662" s="2" t="str">
        <f>IFERROR(VLOOKUP(ROWS($N$2:N7662),$D$2:$E$1996,2,0),"")</f>
        <v/>
      </c>
    </row>
    <row r="7663" spans="2:14">
      <c r="B7663" s="32">
        <f>IF(ISNUMBER(SEARCH('Φόρμα Εισαγωγής'!$B$2,C7663)),MAX($B$1:B7662)+1,0)</f>
        <v>0</v>
      </c>
      <c r="D7663" s="33">
        <f>IF(ISNUMBER(SEARCH('Φόρμα Εισαγωγής'!$C$2,E7663)),MAX($D$1:D7662)+1,0)</f>
        <v>0</v>
      </c>
      <c r="H7663" s="6">
        <f t="shared" si="368"/>
        <v>0</v>
      </c>
      <c r="I7663" s="6">
        <f t="shared" si="369"/>
        <v>0</v>
      </c>
      <c r="J7663" s="6">
        <f t="shared" si="370"/>
        <v>0</v>
      </c>
      <c r="L7663" s="4" t="str">
        <f>IFERROR(VLOOKUP(ROWS($L$2:L7663),$B$2:$C$1996,2,0),"")</f>
        <v/>
      </c>
      <c r="N7663" s="2" t="str">
        <f>IFERROR(VLOOKUP(ROWS($N$2:N7663),$D$2:$E$1996,2,0),"")</f>
        <v/>
      </c>
    </row>
    <row r="7664" spans="2:14">
      <c r="B7664" s="32">
        <f>IF(ISNUMBER(SEARCH('Φόρμα Εισαγωγής'!$B$2,C7664)),MAX($B$1:B7663)+1,0)</f>
        <v>0</v>
      </c>
      <c r="D7664" s="33">
        <f>IF(ISNUMBER(SEARCH('Φόρμα Εισαγωγής'!$C$2,E7664)),MAX($D$1:D7663)+1,0)</f>
        <v>0</v>
      </c>
      <c r="H7664" s="6">
        <f t="shared" si="368"/>
        <v>0</v>
      </c>
      <c r="I7664" s="6">
        <f t="shared" si="369"/>
        <v>0</v>
      </c>
      <c r="J7664" s="6">
        <f t="shared" si="370"/>
        <v>0</v>
      </c>
      <c r="L7664" s="4" t="str">
        <f>IFERROR(VLOOKUP(ROWS($L$2:L7664),$B$2:$C$1996,2,0),"")</f>
        <v/>
      </c>
      <c r="N7664" s="2" t="str">
        <f>IFERROR(VLOOKUP(ROWS($N$2:N7664),$D$2:$E$1996,2,0),"")</f>
        <v/>
      </c>
    </row>
    <row r="7665" spans="2:14">
      <c r="B7665" s="32">
        <f>IF(ISNUMBER(SEARCH('Φόρμα Εισαγωγής'!$B$2,C7665)),MAX($B$1:B7664)+1,0)</f>
        <v>0</v>
      </c>
      <c r="D7665" s="33">
        <f>IF(ISNUMBER(SEARCH('Φόρμα Εισαγωγής'!$C$2,E7665)),MAX($D$1:D7664)+1,0)</f>
        <v>0</v>
      </c>
      <c r="H7665" s="6">
        <f t="shared" si="368"/>
        <v>0</v>
      </c>
      <c r="I7665" s="6">
        <f t="shared" si="369"/>
        <v>0</v>
      </c>
      <c r="J7665" s="6">
        <f t="shared" si="370"/>
        <v>0</v>
      </c>
      <c r="L7665" s="4" t="str">
        <f>IFERROR(VLOOKUP(ROWS($L$2:L7665),$B$2:$C$1996,2,0),"")</f>
        <v/>
      </c>
      <c r="N7665" s="2" t="str">
        <f>IFERROR(VLOOKUP(ROWS($N$2:N7665),$D$2:$E$1996,2,0),"")</f>
        <v/>
      </c>
    </row>
    <row r="7666" spans="2:14">
      <c r="B7666" s="32">
        <f>IF(ISNUMBER(SEARCH('Φόρμα Εισαγωγής'!$B$2,C7666)),MAX($B$1:B7665)+1,0)</f>
        <v>0</v>
      </c>
      <c r="D7666" s="33">
        <f>IF(ISNUMBER(SEARCH('Φόρμα Εισαγωγής'!$C$2,E7666)),MAX($D$1:D7665)+1,0)</f>
        <v>0</v>
      </c>
      <c r="H7666" s="6">
        <f t="shared" si="368"/>
        <v>0</v>
      </c>
      <c r="I7666" s="6">
        <f t="shared" si="369"/>
        <v>0</v>
      </c>
      <c r="J7666" s="6">
        <f t="shared" si="370"/>
        <v>0</v>
      </c>
      <c r="L7666" s="4" t="str">
        <f>IFERROR(VLOOKUP(ROWS($L$2:L7666),$B$2:$C$1996,2,0),"")</f>
        <v/>
      </c>
      <c r="N7666" s="2" t="str">
        <f>IFERROR(VLOOKUP(ROWS($N$2:N7666),$D$2:$E$1996,2,0),"")</f>
        <v/>
      </c>
    </row>
    <row r="7667" spans="2:14">
      <c r="B7667" s="32">
        <f>IF(ISNUMBER(SEARCH('Φόρμα Εισαγωγής'!$B$2,C7667)),MAX($B$1:B7666)+1,0)</f>
        <v>0</v>
      </c>
      <c r="D7667" s="33">
        <f>IF(ISNUMBER(SEARCH('Φόρμα Εισαγωγής'!$C$2,E7667)),MAX($D$1:D7666)+1,0)</f>
        <v>0</v>
      </c>
      <c r="H7667" s="6">
        <f t="shared" si="368"/>
        <v>0</v>
      </c>
      <c r="I7667" s="6">
        <f t="shared" si="369"/>
        <v>0</v>
      </c>
      <c r="J7667" s="6">
        <f t="shared" si="370"/>
        <v>0</v>
      </c>
      <c r="L7667" s="4" t="str">
        <f>IFERROR(VLOOKUP(ROWS($L$2:L7667),$B$2:$C$1996,2,0),"")</f>
        <v/>
      </c>
      <c r="N7667" s="2" t="str">
        <f>IFERROR(VLOOKUP(ROWS($N$2:N7667),$D$2:$E$1996,2,0),"")</f>
        <v/>
      </c>
    </row>
    <row r="7668" spans="2:14">
      <c r="B7668" s="32">
        <f>IF(ISNUMBER(SEARCH('Φόρμα Εισαγωγής'!$B$2,C7668)),MAX($B$1:B7667)+1,0)</f>
        <v>0</v>
      </c>
      <c r="D7668" s="33">
        <f>IF(ISNUMBER(SEARCH('Φόρμα Εισαγωγής'!$C$2,E7668)),MAX($D$1:D7667)+1,0)</f>
        <v>0</v>
      </c>
      <c r="H7668" s="6">
        <f t="shared" si="368"/>
        <v>0</v>
      </c>
      <c r="I7668" s="6">
        <f t="shared" si="369"/>
        <v>0</v>
      </c>
      <c r="J7668" s="6">
        <f t="shared" si="370"/>
        <v>0</v>
      </c>
      <c r="L7668" s="4" t="str">
        <f>IFERROR(VLOOKUP(ROWS($L$2:L7668),$B$2:$C$1996,2,0),"")</f>
        <v/>
      </c>
      <c r="N7668" s="2" t="str">
        <f>IFERROR(VLOOKUP(ROWS($N$2:N7668),$D$2:$E$1996,2,0),"")</f>
        <v/>
      </c>
    </row>
    <row r="7669" spans="2:14">
      <c r="B7669" s="32">
        <f>IF(ISNUMBER(SEARCH('Φόρμα Εισαγωγής'!$B$2,C7669)),MAX($B$1:B7668)+1,0)</f>
        <v>0</v>
      </c>
      <c r="D7669" s="33">
        <f>IF(ISNUMBER(SEARCH('Φόρμα Εισαγωγής'!$C$2,E7669)),MAX($D$1:D7668)+1,0)</f>
        <v>0</v>
      </c>
      <c r="H7669" s="6">
        <f t="shared" si="368"/>
        <v>0</v>
      </c>
      <c r="I7669" s="6">
        <f t="shared" si="369"/>
        <v>0</v>
      </c>
      <c r="J7669" s="6">
        <f t="shared" si="370"/>
        <v>0</v>
      </c>
      <c r="L7669" s="4" t="str">
        <f>IFERROR(VLOOKUP(ROWS($L$2:L7669),$B$2:$C$1996,2,0),"")</f>
        <v/>
      </c>
      <c r="N7669" s="2" t="str">
        <f>IFERROR(VLOOKUP(ROWS($N$2:N7669),$D$2:$E$1996,2,0),"")</f>
        <v/>
      </c>
    </row>
    <row r="7670" spans="2:14">
      <c r="B7670" s="32">
        <f>IF(ISNUMBER(SEARCH('Φόρμα Εισαγωγής'!$B$2,C7670)),MAX($B$1:B7669)+1,0)</f>
        <v>0</v>
      </c>
      <c r="D7670" s="33">
        <f>IF(ISNUMBER(SEARCH('Φόρμα Εισαγωγής'!$C$2,E7670)),MAX($D$1:D7669)+1,0)</f>
        <v>0</v>
      </c>
      <c r="H7670" s="6">
        <f t="shared" si="368"/>
        <v>0</v>
      </c>
      <c r="I7670" s="6">
        <f t="shared" si="369"/>
        <v>0</v>
      </c>
      <c r="J7670" s="6">
        <f t="shared" si="370"/>
        <v>0</v>
      </c>
      <c r="L7670" s="4" t="str">
        <f>IFERROR(VLOOKUP(ROWS($L$2:L7670),$B$2:$C$1996,2,0),"")</f>
        <v/>
      </c>
      <c r="N7670" s="2" t="str">
        <f>IFERROR(VLOOKUP(ROWS($N$2:N7670),$D$2:$E$1996,2,0),"")</f>
        <v/>
      </c>
    </row>
    <row r="7671" spans="2:14">
      <c r="B7671" s="32">
        <f>IF(ISNUMBER(SEARCH('Φόρμα Εισαγωγής'!$B$2,C7671)),MAX($B$1:B7670)+1,0)</f>
        <v>0</v>
      </c>
      <c r="D7671" s="33">
        <f>IF(ISNUMBER(SEARCH('Φόρμα Εισαγωγής'!$C$2,E7671)),MAX($D$1:D7670)+1,0)</f>
        <v>0</v>
      </c>
      <c r="H7671" s="6">
        <f t="shared" si="368"/>
        <v>0</v>
      </c>
      <c r="I7671" s="6">
        <f t="shared" si="369"/>
        <v>0</v>
      </c>
      <c r="J7671" s="6">
        <f t="shared" si="370"/>
        <v>0</v>
      </c>
      <c r="L7671" s="4" t="str">
        <f>IFERROR(VLOOKUP(ROWS($L$2:L7671),$B$2:$C$1996,2,0),"")</f>
        <v/>
      </c>
      <c r="N7671" s="2" t="str">
        <f>IFERROR(VLOOKUP(ROWS($N$2:N7671),$D$2:$E$1996,2,0),"")</f>
        <v/>
      </c>
    </row>
    <row r="7672" spans="2:14">
      <c r="B7672" s="32">
        <f>IF(ISNUMBER(SEARCH('Φόρμα Εισαγωγής'!$B$2,C7672)),MAX($B$1:B7671)+1,0)</f>
        <v>0</v>
      </c>
      <c r="D7672" s="33">
        <f>IF(ISNUMBER(SEARCH('Φόρμα Εισαγωγής'!$C$2,E7672)),MAX($D$1:D7671)+1,0)</f>
        <v>0</v>
      </c>
      <c r="H7672" s="6">
        <f t="shared" si="368"/>
        <v>0</v>
      </c>
      <c r="I7672" s="6">
        <f t="shared" si="369"/>
        <v>0</v>
      </c>
      <c r="J7672" s="6">
        <f t="shared" si="370"/>
        <v>0</v>
      </c>
      <c r="L7672" s="4" t="str">
        <f>IFERROR(VLOOKUP(ROWS($L$2:L7672),$B$2:$C$1996,2,0),"")</f>
        <v/>
      </c>
      <c r="N7672" s="2" t="str">
        <f>IFERROR(VLOOKUP(ROWS($N$2:N7672),$D$2:$E$1996,2,0),"")</f>
        <v/>
      </c>
    </row>
    <row r="7673" spans="2:14">
      <c r="B7673" s="32">
        <f>IF(ISNUMBER(SEARCH('Φόρμα Εισαγωγής'!$B$2,C7673)),MAX($B$1:B7672)+1,0)</f>
        <v>0</v>
      </c>
      <c r="D7673" s="33">
        <f>IF(ISNUMBER(SEARCH('Φόρμα Εισαγωγής'!$C$2,E7673)),MAX($D$1:D7672)+1,0)</f>
        <v>0</v>
      </c>
      <c r="H7673" s="6">
        <f t="shared" si="368"/>
        <v>0</v>
      </c>
      <c r="I7673" s="6">
        <f t="shared" si="369"/>
        <v>0</v>
      </c>
      <c r="J7673" s="6">
        <f t="shared" si="370"/>
        <v>0</v>
      </c>
      <c r="L7673" s="4" t="str">
        <f>IFERROR(VLOOKUP(ROWS($L$2:L7673),$B$2:$C$1996,2,0),"")</f>
        <v/>
      </c>
      <c r="N7673" s="2" t="str">
        <f>IFERROR(VLOOKUP(ROWS($N$2:N7673),$D$2:$E$1996,2,0),"")</f>
        <v/>
      </c>
    </row>
    <row r="7674" spans="2:14">
      <c r="B7674" s="32">
        <f>IF(ISNUMBER(SEARCH('Φόρμα Εισαγωγής'!$B$2,C7674)),MAX($B$1:B7673)+1,0)</f>
        <v>0</v>
      </c>
      <c r="D7674" s="33">
        <f>IF(ISNUMBER(SEARCH('Φόρμα Εισαγωγής'!$C$2,E7674)),MAX($D$1:D7673)+1,0)</f>
        <v>0</v>
      </c>
      <c r="H7674" s="6">
        <f t="shared" si="368"/>
        <v>0</v>
      </c>
      <c r="I7674" s="6">
        <f t="shared" si="369"/>
        <v>0</v>
      </c>
      <c r="J7674" s="6">
        <f t="shared" si="370"/>
        <v>0</v>
      </c>
      <c r="L7674" s="4" t="str">
        <f>IFERROR(VLOOKUP(ROWS($L$2:L7674),$B$2:$C$1996,2,0),"")</f>
        <v/>
      </c>
      <c r="N7674" s="2" t="str">
        <f>IFERROR(VLOOKUP(ROWS($N$2:N7674),$D$2:$E$1996,2,0),"")</f>
        <v/>
      </c>
    </row>
    <row r="7675" spans="2:14">
      <c r="B7675" s="32">
        <f>IF(ISNUMBER(SEARCH('Φόρμα Εισαγωγής'!$B$2,C7675)),MAX($B$1:B7674)+1,0)</f>
        <v>0</v>
      </c>
      <c r="D7675" s="33">
        <f>IF(ISNUMBER(SEARCH('Φόρμα Εισαγωγής'!$C$2,E7675)),MAX($D$1:D7674)+1,0)</f>
        <v>0</v>
      </c>
      <c r="H7675" s="6">
        <f t="shared" si="368"/>
        <v>0</v>
      </c>
      <c r="I7675" s="6">
        <f t="shared" si="369"/>
        <v>0</v>
      </c>
      <c r="J7675" s="6">
        <f t="shared" si="370"/>
        <v>0</v>
      </c>
      <c r="L7675" s="4" t="str">
        <f>IFERROR(VLOOKUP(ROWS($L$2:L7675),$B$2:$C$1996,2,0),"")</f>
        <v/>
      </c>
      <c r="N7675" s="2" t="str">
        <f>IFERROR(VLOOKUP(ROWS($N$2:N7675),$D$2:$E$1996,2,0),"")</f>
        <v/>
      </c>
    </row>
    <row r="7676" spans="2:14">
      <c r="B7676" s="32">
        <f>IF(ISNUMBER(SEARCH('Φόρμα Εισαγωγής'!$B$2,C7676)),MAX($B$1:B7675)+1,0)</f>
        <v>0</v>
      </c>
      <c r="D7676" s="33">
        <f>IF(ISNUMBER(SEARCH('Φόρμα Εισαγωγής'!$C$2,E7676)),MAX($D$1:D7675)+1,0)</f>
        <v>0</v>
      </c>
      <c r="H7676" s="6">
        <f t="shared" si="368"/>
        <v>0</v>
      </c>
      <c r="I7676" s="6">
        <f t="shared" si="369"/>
        <v>0</v>
      </c>
      <c r="J7676" s="6">
        <f t="shared" si="370"/>
        <v>0</v>
      </c>
      <c r="L7676" s="4" t="str">
        <f>IFERROR(VLOOKUP(ROWS($L$2:L7676),$B$2:$C$1996,2,0),"")</f>
        <v/>
      </c>
      <c r="N7676" s="2" t="str">
        <f>IFERROR(VLOOKUP(ROWS($N$2:N7676),$D$2:$E$1996,2,0),"")</f>
        <v/>
      </c>
    </row>
    <row r="7677" spans="2:14">
      <c r="B7677" s="32">
        <f>IF(ISNUMBER(SEARCH('Φόρμα Εισαγωγής'!$B$2,C7677)),MAX($B$1:B7676)+1,0)</f>
        <v>0</v>
      </c>
      <c r="D7677" s="33">
        <f>IF(ISNUMBER(SEARCH('Φόρμα Εισαγωγής'!$C$2,E7677)),MAX($D$1:D7676)+1,0)</f>
        <v>0</v>
      </c>
      <c r="H7677" s="6">
        <f t="shared" si="368"/>
        <v>0</v>
      </c>
      <c r="I7677" s="6">
        <f t="shared" si="369"/>
        <v>0</v>
      </c>
      <c r="J7677" s="6">
        <f t="shared" si="370"/>
        <v>0</v>
      </c>
      <c r="L7677" s="4" t="str">
        <f>IFERROR(VLOOKUP(ROWS($L$2:L7677),$B$2:$C$1996,2,0),"")</f>
        <v/>
      </c>
      <c r="N7677" s="2" t="str">
        <f>IFERROR(VLOOKUP(ROWS($N$2:N7677),$D$2:$E$1996,2,0),"")</f>
        <v/>
      </c>
    </row>
    <row r="7678" spans="2:14">
      <c r="B7678" s="32">
        <f>IF(ISNUMBER(SEARCH('Φόρμα Εισαγωγής'!$B$2,C7678)),MAX($B$1:B7677)+1,0)</f>
        <v>0</v>
      </c>
      <c r="D7678" s="33">
        <f>IF(ISNUMBER(SEARCH('Φόρμα Εισαγωγής'!$C$2,E7678)),MAX($D$1:D7677)+1,0)</f>
        <v>0</v>
      </c>
      <c r="H7678" s="6">
        <f t="shared" si="368"/>
        <v>0</v>
      </c>
      <c r="I7678" s="6">
        <f t="shared" si="369"/>
        <v>0</v>
      </c>
      <c r="J7678" s="6">
        <f t="shared" si="370"/>
        <v>0</v>
      </c>
      <c r="L7678" s="4" t="str">
        <f>IFERROR(VLOOKUP(ROWS($L$2:L7678),$B$2:$C$1996,2,0),"")</f>
        <v/>
      </c>
      <c r="N7678" s="2" t="str">
        <f>IFERROR(VLOOKUP(ROWS($N$2:N7678),$D$2:$E$1996,2,0),"")</f>
        <v/>
      </c>
    </row>
    <row r="7679" spans="2:14">
      <c r="B7679" s="32">
        <f>IF(ISNUMBER(SEARCH('Φόρμα Εισαγωγής'!$B$2,C7679)),MAX($B$1:B7678)+1,0)</f>
        <v>0</v>
      </c>
      <c r="D7679" s="33">
        <f>IF(ISNUMBER(SEARCH('Φόρμα Εισαγωγής'!$C$2,E7679)),MAX($D$1:D7678)+1,0)</f>
        <v>0</v>
      </c>
      <c r="H7679" s="6">
        <f t="shared" si="368"/>
        <v>0</v>
      </c>
      <c r="I7679" s="6">
        <f t="shared" si="369"/>
        <v>0</v>
      </c>
      <c r="J7679" s="6">
        <f t="shared" si="370"/>
        <v>0</v>
      </c>
      <c r="L7679" s="4" t="str">
        <f>IFERROR(VLOOKUP(ROWS($L$2:L7679),$B$2:$C$1996,2,0),"")</f>
        <v/>
      </c>
      <c r="N7679" s="2" t="str">
        <f>IFERROR(VLOOKUP(ROWS($N$2:N7679),$D$2:$E$1996,2,0),"")</f>
        <v/>
      </c>
    </row>
    <row r="7680" spans="2:14">
      <c r="B7680" s="32">
        <f>IF(ISNUMBER(SEARCH('Φόρμα Εισαγωγής'!$B$2,C7680)),MAX($B$1:B7679)+1,0)</f>
        <v>0</v>
      </c>
      <c r="D7680" s="33">
        <f>IF(ISNUMBER(SEARCH('Φόρμα Εισαγωγής'!$C$2,E7680)),MAX($D$1:D7679)+1,0)</f>
        <v>0</v>
      </c>
      <c r="H7680" s="6">
        <f t="shared" ref="H7680:H7743" si="371">G7680+(G7680*0.24)</f>
        <v>0</v>
      </c>
      <c r="I7680" s="6">
        <f t="shared" ref="I7680:I7743" si="372">F7680*A7680</f>
        <v>0</v>
      </c>
      <c r="J7680" s="6">
        <f t="shared" ref="J7680:J7743" si="373">H7680*A7680</f>
        <v>0</v>
      </c>
      <c r="L7680" s="4" t="str">
        <f>IFERROR(VLOOKUP(ROWS($L$2:L7680),$B$2:$C$1996,2,0),"")</f>
        <v/>
      </c>
      <c r="N7680" s="2" t="str">
        <f>IFERROR(VLOOKUP(ROWS($N$2:N7680),$D$2:$E$1996,2,0),"")</f>
        <v/>
      </c>
    </row>
    <row r="7681" spans="2:14">
      <c r="B7681" s="32">
        <f>IF(ISNUMBER(SEARCH('Φόρμα Εισαγωγής'!$B$2,C7681)),MAX($B$1:B7680)+1,0)</f>
        <v>0</v>
      </c>
      <c r="D7681" s="33">
        <f>IF(ISNUMBER(SEARCH('Φόρμα Εισαγωγής'!$C$2,E7681)),MAX($D$1:D7680)+1,0)</f>
        <v>0</v>
      </c>
      <c r="H7681" s="6">
        <f t="shared" si="371"/>
        <v>0</v>
      </c>
      <c r="I7681" s="6">
        <f t="shared" si="372"/>
        <v>0</v>
      </c>
      <c r="J7681" s="6">
        <f t="shared" si="373"/>
        <v>0</v>
      </c>
      <c r="L7681" s="4" t="str">
        <f>IFERROR(VLOOKUP(ROWS($L$2:L7681),$B$2:$C$1996,2,0),"")</f>
        <v/>
      </c>
      <c r="N7681" s="2" t="str">
        <f>IFERROR(VLOOKUP(ROWS($N$2:N7681),$D$2:$E$1996,2,0),"")</f>
        <v/>
      </c>
    </row>
    <row r="7682" spans="2:14">
      <c r="B7682" s="32">
        <f>IF(ISNUMBER(SEARCH('Φόρμα Εισαγωγής'!$B$2,C7682)),MAX($B$1:B7681)+1,0)</f>
        <v>0</v>
      </c>
      <c r="D7682" s="33">
        <f>IF(ISNUMBER(SEARCH('Φόρμα Εισαγωγής'!$C$2,E7682)),MAX($D$1:D7681)+1,0)</f>
        <v>0</v>
      </c>
      <c r="H7682" s="6">
        <f t="shared" si="371"/>
        <v>0</v>
      </c>
      <c r="I7682" s="6">
        <f t="shared" si="372"/>
        <v>0</v>
      </c>
      <c r="J7682" s="6">
        <f t="shared" si="373"/>
        <v>0</v>
      </c>
      <c r="L7682" s="4" t="str">
        <f>IFERROR(VLOOKUP(ROWS($L$2:L7682),$B$2:$C$1996,2,0),"")</f>
        <v/>
      </c>
      <c r="N7682" s="2" t="str">
        <f>IFERROR(VLOOKUP(ROWS($N$2:N7682),$D$2:$E$1996,2,0),"")</f>
        <v/>
      </c>
    </row>
    <row r="7683" spans="2:14">
      <c r="B7683" s="32">
        <f>IF(ISNUMBER(SEARCH('Φόρμα Εισαγωγής'!$B$2,C7683)),MAX($B$1:B7682)+1,0)</f>
        <v>0</v>
      </c>
      <c r="D7683" s="33">
        <f>IF(ISNUMBER(SEARCH('Φόρμα Εισαγωγής'!$C$2,E7683)),MAX($D$1:D7682)+1,0)</f>
        <v>0</v>
      </c>
      <c r="H7683" s="6">
        <f t="shared" si="371"/>
        <v>0</v>
      </c>
      <c r="I7683" s="6">
        <f t="shared" si="372"/>
        <v>0</v>
      </c>
      <c r="J7683" s="6">
        <f t="shared" si="373"/>
        <v>0</v>
      </c>
      <c r="L7683" s="4" t="str">
        <f>IFERROR(VLOOKUP(ROWS($L$2:L7683),$B$2:$C$1996,2,0),"")</f>
        <v/>
      </c>
      <c r="N7683" s="2" t="str">
        <f>IFERROR(VLOOKUP(ROWS($N$2:N7683),$D$2:$E$1996,2,0),"")</f>
        <v/>
      </c>
    </row>
    <row r="7684" spans="2:14">
      <c r="B7684" s="32">
        <f>IF(ISNUMBER(SEARCH('Φόρμα Εισαγωγής'!$B$2,C7684)),MAX($B$1:B7683)+1,0)</f>
        <v>0</v>
      </c>
      <c r="D7684" s="33">
        <f>IF(ISNUMBER(SEARCH('Φόρμα Εισαγωγής'!$C$2,E7684)),MAX($D$1:D7683)+1,0)</f>
        <v>0</v>
      </c>
      <c r="H7684" s="6">
        <f t="shared" si="371"/>
        <v>0</v>
      </c>
      <c r="I7684" s="6">
        <f t="shared" si="372"/>
        <v>0</v>
      </c>
      <c r="J7684" s="6">
        <f t="shared" si="373"/>
        <v>0</v>
      </c>
      <c r="L7684" s="4" t="str">
        <f>IFERROR(VLOOKUP(ROWS($L$2:L7684),$B$2:$C$1996,2,0),"")</f>
        <v/>
      </c>
      <c r="N7684" s="2" t="str">
        <f>IFERROR(VLOOKUP(ROWS($N$2:N7684),$D$2:$E$1996,2,0),"")</f>
        <v/>
      </c>
    </row>
    <row r="7685" spans="2:14">
      <c r="B7685" s="32">
        <f>IF(ISNUMBER(SEARCH('Φόρμα Εισαγωγής'!$B$2,C7685)),MAX($B$1:B7684)+1,0)</f>
        <v>0</v>
      </c>
      <c r="D7685" s="33">
        <f>IF(ISNUMBER(SEARCH('Φόρμα Εισαγωγής'!$C$2,E7685)),MAX($D$1:D7684)+1,0)</f>
        <v>0</v>
      </c>
      <c r="H7685" s="6">
        <f t="shared" si="371"/>
        <v>0</v>
      </c>
      <c r="I7685" s="6">
        <f t="shared" si="372"/>
        <v>0</v>
      </c>
      <c r="J7685" s="6">
        <f t="shared" si="373"/>
        <v>0</v>
      </c>
      <c r="L7685" s="4" t="str">
        <f>IFERROR(VLOOKUP(ROWS($L$2:L7685),$B$2:$C$1996,2,0),"")</f>
        <v/>
      </c>
      <c r="N7685" s="2" t="str">
        <f>IFERROR(VLOOKUP(ROWS($N$2:N7685),$D$2:$E$1996,2,0),"")</f>
        <v/>
      </c>
    </row>
    <row r="7686" spans="2:14">
      <c r="B7686" s="32">
        <f>IF(ISNUMBER(SEARCH('Φόρμα Εισαγωγής'!$B$2,C7686)),MAX($B$1:B7685)+1,0)</f>
        <v>0</v>
      </c>
      <c r="D7686" s="33">
        <f>IF(ISNUMBER(SEARCH('Φόρμα Εισαγωγής'!$C$2,E7686)),MAX($D$1:D7685)+1,0)</f>
        <v>0</v>
      </c>
      <c r="H7686" s="6">
        <f t="shared" si="371"/>
        <v>0</v>
      </c>
      <c r="I7686" s="6">
        <f t="shared" si="372"/>
        <v>0</v>
      </c>
      <c r="J7686" s="6">
        <f t="shared" si="373"/>
        <v>0</v>
      </c>
      <c r="L7686" s="4" t="str">
        <f>IFERROR(VLOOKUP(ROWS($L$2:L7686),$B$2:$C$1996,2,0),"")</f>
        <v/>
      </c>
      <c r="N7686" s="2" t="str">
        <f>IFERROR(VLOOKUP(ROWS($N$2:N7686),$D$2:$E$1996,2,0),"")</f>
        <v/>
      </c>
    </row>
    <row r="7687" spans="2:14">
      <c r="B7687" s="32">
        <f>IF(ISNUMBER(SEARCH('Φόρμα Εισαγωγής'!$B$2,C7687)),MAX($B$1:B7686)+1,0)</f>
        <v>0</v>
      </c>
      <c r="D7687" s="33">
        <f>IF(ISNUMBER(SEARCH('Φόρμα Εισαγωγής'!$C$2,E7687)),MAX($D$1:D7686)+1,0)</f>
        <v>0</v>
      </c>
      <c r="H7687" s="6">
        <f t="shared" si="371"/>
        <v>0</v>
      </c>
      <c r="I7687" s="6">
        <f t="shared" si="372"/>
        <v>0</v>
      </c>
      <c r="J7687" s="6">
        <f t="shared" si="373"/>
        <v>0</v>
      </c>
      <c r="L7687" s="4" t="str">
        <f>IFERROR(VLOOKUP(ROWS($L$2:L7687),$B$2:$C$1996,2,0),"")</f>
        <v/>
      </c>
      <c r="N7687" s="2" t="str">
        <f>IFERROR(VLOOKUP(ROWS($N$2:N7687),$D$2:$E$1996,2,0),"")</f>
        <v/>
      </c>
    </row>
    <row r="7688" spans="2:14">
      <c r="B7688" s="32">
        <f>IF(ISNUMBER(SEARCH('Φόρμα Εισαγωγής'!$B$2,C7688)),MAX($B$1:B7687)+1,0)</f>
        <v>0</v>
      </c>
      <c r="D7688" s="33">
        <f>IF(ISNUMBER(SEARCH('Φόρμα Εισαγωγής'!$C$2,E7688)),MAX($D$1:D7687)+1,0)</f>
        <v>0</v>
      </c>
      <c r="H7688" s="6">
        <f t="shared" si="371"/>
        <v>0</v>
      </c>
      <c r="I7688" s="6">
        <f t="shared" si="372"/>
        <v>0</v>
      </c>
      <c r="J7688" s="6">
        <f t="shared" si="373"/>
        <v>0</v>
      </c>
      <c r="L7688" s="4" t="str">
        <f>IFERROR(VLOOKUP(ROWS($L$2:L7688),$B$2:$C$1996,2,0),"")</f>
        <v/>
      </c>
      <c r="N7688" s="2" t="str">
        <f>IFERROR(VLOOKUP(ROWS($N$2:N7688),$D$2:$E$1996,2,0),"")</f>
        <v/>
      </c>
    </row>
    <row r="7689" spans="2:14">
      <c r="B7689" s="32">
        <f>IF(ISNUMBER(SEARCH('Φόρμα Εισαγωγής'!$B$2,C7689)),MAX($B$1:B7688)+1,0)</f>
        <v>0</v>
      </c>
      <c r="D7689" s="33">
        <f>IF(ISNUMBER(SEARCH('Φόρμα Εισαγωγής'!$C$2,E7689)),MAX($D$1:D7688)+1,0)</f>
        <v>0</v>
      </c>
      <c r="H7689" s="6">
        <f t="shared" si="371"/>
        <v>0</v>
      </c>
      <c r="I7689" s="6">
        <f t="shared" si="372"/>
        <v>0</v>
      </c>
      <c r="J7689" s="6">
        <f t="shared" si="373"/>
        <v>0</v>
      </c>
      <c r="L7689" s="4" t="str">
        <f>IFERROR(VLOOKUP(ROWS($L$2:L7689),$B$2:$C$1996,2,0),"")</f>
        <v/>
      </c>
      <c r="N7689" s="2" t="str">
        <f>IFERROR(VLOOKUP(ROWS($N$2:N7689),$D$2:$E$1996,2,0),"")</f>
        <v/>
      </c>
    </row>
    <row r="7690" spans="2:14">
      <c r="B7690" s="32">
        <f>IF(ISNUMBER(SEARCH('Φόρμα Εισαγωγής'!$B$2,C7690)),MAX($B$1:B7689)+1,0)</f>
        <v>0</v>
      </c>
      <c r="D7690" s="33">
        <f>IF(ISNUMBER(SEARCH('Φόρμα Εισαγωγής'!$C$2,E7690)),MAX($D$1:D7689)+1,0)</f>
        <v>0</v>
      </c>
      <c r="H7690" s="6">
        <f t="shared" si="371"/>
        <v>0</v>
      </c>
      <c r="I7690" s="6">
        <f t="shared" si="372"/>
        <v>0</v>
      </c>
      <c r="J7690" s="6">
        <f t="shared" si="373"/>
        <v>0</v>
      </c>
      <c r="L7690" s="4" t="str">
        <f>IFERROR(VLOOKUP(ROWS($L$2:L7690),$B$2:$C$1996,2,0),"")</f>
        <v/>
      </c>
      <c r="N7690" s="2" t="str">
        <f>IFERROR(VLOOKUP(ROWS($N$2:N7690),$D$2:$E$1996,2,0),"")</f>
        <v/>
      </c>
    </row>
    <row r="7691" spans="2:14">
      <c r="B7691" s="32">
        <f>IF(ISNUMBER(SEARCH('Φόρμα Εισαγωγής'!$B$2,C7691)),MAX($B$1:B7690)+1,0)</f>
        <v>0</v>
      </c>
      <c r="D7691" s="33">
        <f>IF(ISNUMBER(SEARCH('Φόρμα Εισαγωγής'!$C$2,E7691)),MAX($D$1:D7690)+1,0)</f>
        <v>0</v>
      </c>
      <c r="H7691" s="6">
        <f t="shared" si="371"/>
        <v>0</v>
      </c>
      <c r="I7691" s="6">
        <f t="shared" si="372"/>
        <v>0</v>
      </c>
      <c r="J7691" s="6">
        <f t="shared" si="373"/>
        <v>0</v>
      </c>
      <c r="L7691" s="4" t="str">
        <f>IFERROR(VLOOKUP(ROWS($L$2:L7691),$B$2:$C$1996,2,0),"")</f>
        <v/>
      </c>
      <c r="N7691" s="2" t="str">
        <f>IFERROR(VLOOKUP(ROWS($N$2:N7691),$D$2:$E$1996,2,0),"")</f>
        <v/>
      </c>
    </row>
    <row r="7692" spans="2:14">
      <c r="B7692" s="32">
        <f>IF(ISNUMBER(SEARCH('Φόρμα Εισαγωγής'!$B$2,C7692)),MAX($B$1:B7691)+1,0)</f>
        <v>0</v>
      </c>
      <c r="D7692" s="33">
        <f>IF(ISNUMBER(SEARCH('Φόρμα Εισαγωγής'!$C$2,E7692)),MAX($D$1:D7691)+1,0)</f>
        <v>0</v>
      </c>
      <c r="H7692" s="6">
        <f t="shared" si="371"/>
        <v>0</v>
      </c>
      <c r="I7692" s="6">
        <f t="shared" si="372"/>
        <v>0</v>
      </c>
      <c r="J7692" s="6">
        <f t="shared" si="373"/>
        <v>0</v>
      </c>
      <c r="L7692" s="4" t="str">
        <f>IFERROR(VLOOKUP(ROWS($L$2:L7692),$B$2:$C$1996,2,0),"")</f>
        <v/>
      </c>
      <c r="N7692" s="2" t="str">
        <f>IFERROR(VLOOKUP(ROWS($N$2:N7692),$D$2:$E$1996,2,0),"")</f>
        <v/>
      </c>
    </row>
    <row r="7693" spans="2:14">
      <c r="B7693" s="32">
        <f>IF(ISNUMBER(SEARCH('Φόρμα Εισαγωγής'!$B$2,C7693)),MAX($B$1:B7692)+1,0)</f>
        <v>0</v>
      </c>
      <c r="D7693" s="33">
        <f>IF(ISNUMBER(SEARCH('Φόρμα Εισαγωγής'!$C$2,E7693)),MAX($D$1:D7692)+1,0)</f>
        <v>0</v>
      </c>
      <c r="H7693" s="6">
        <f t="shared" si="371"/>
        <v>0</v>
      </c>
      <c r="I7693" s="6">
        <f t="shared" si="372"/>
        <v>0</v>
      </c>
      <c r="J7693" s="6">
        <f t="shared" si="373"/>
        <v>0</v>
      </c>
      <c r="L7693" s="4" t="str">
        <f>IFERROR(VLOOKUP(ROWS($L$2:L7693),$B$2:$C$1996,2,0),"")</f>
        <v/>
      </c>
      <c r="N7693" s="2" t="str">
        <f>IFERROR(VLOOKUP(ROWS($N$2:N7693),$D$2:$E$1996,2,0),"")</f>
        <v/>
      </c>
    </row>
    <row r="7694" spans="2:14">
      <c r="B7694" s="32">
        <f>IF(ISNUMBER(SEARCH('Φόρμα Εισαγωγής'!$B$2,C7694)),MAX($B$1:B7693)+1,0)</f>
        <v>0</v>
      </c>
      <c r="D7694" s="33">
        <f>IF(ISNUMBER(SEARCH('Φόρμα Εισαγωγής'!$C$2,E7694)),MAX($D$1:D7693)+1,0)</f>
        <v>0</v>
      </c>
      <c r="H7694" s="6">
        <f t="shared" si="371"/>
        <v>0</v>
      </c>
      <c r="I7694" s="6">
        <f t="shared" si="372"/>
        <v>0</v>
      </c>
      <c r="J7694" s="6">
        <f t="shared" si="373"/>
        <v>0</v>
      </c>
      <c r="L7694" s="4" t="str">
        <f>IFERROR(VLOOKUP(ROWS($L$2:L7694),$B$2:$C$1996,2,0),"")</f>
        <v/>
      </c>
      <c r="N7694" s="2" t="str">
        <f>IFERROR(VLOOKUP(ROWS($N$2:N7694),$D$2:$E$1996,2,0),"")</f>
        <v/>
      </c>
    </row>
    <row r="7695" spans="2:14">
      <c r="B7695" s="32">
        <f>IF(ISNUMBER(SEARCH('Φόρμα Εισαγωγής'!$B$2,C7695)),MAX($B$1:B7694)+1,0)</f>
        <v>0</v>
      </c>
      <c r="D7695" s="33">
        <f>IF(ISNUMBER(SEARCH('Φόρμα Εισαγωγής'!$C$2,E7695)),MAX($D$1:D7694)+1,0)</f>
        <v>0</v>
      </c>
      <c r="H7695" s="6">
        <f t="shared" si="371"/>
        <v>0</v>
      </c>
      <c r="I7695" s="6">
        <f t="shared" si="372"/>
        <v>0</v>
      </c>
      <c r="J7695" s="6">
        <f t="shared" si="373"/>
        <v>0</v>
      </c>
      <c r="L7695" s="4" t="str">
        <f>IFERROR(VLOOKUP(ROWS($L$2:L7695),$B$2:$C$1996,2,0),"")</f>
        <v/>
      </c>
      <c r="N7695" s="2" t="str">
        <f>IFERROR(VLOOKUP(ROWS($N$2:N7695),$D$2:$E$1996,2,0),"")</f>
        <v/>
      </c>
    </row>
    <row r="7696" spans="2:14">
      <c r="B7696" s="32">
        <f>IF(ISNUMBER(SEARCH('Φόρμα Εισαγωγής'!$B$2,C7696)),MAX($B$1:B7695)+1,0)</f>
        <v>0</v>
      </c>
      <c r="D7696" s="33">
        <f>IF(ISNUMBER(SEARCH('Φόρμα Εισαγωγής'!$C$2,E7696)),MAX($D$1:D7695)+1,0)</f>
        <v>0</v>
      </c>
      <c r="H7696" s="6">
        <f t="shared" si="371"/>
        <v>0</v>
      </c>
      <c r="I7696" s="6">
        <f t="shared" si="372"/>
        <v>0</v>
      </c>
      <c r="J7696" s="6">
        <f t="shared" si="373"/>
        <v>0</v>
      </c>
      <c r="L7696" s="4" t="str">
        <f>IFERROR(VLOOKUP(ROWS($L$2:L7696),$B$2:$C$1996,2,0),"")</f>
        <v/>
      </c>
      <c r="N7696" s="2" t="str">
        <f>IFERROR(VLOOKUP(ROWS($N$2:N7696),$D$2:$E$1996,2,0),"")</f>
        <v/>
      </c>
    </row>
    <row r="7697" spans="2:14">
      <c r="B7697" s="32">
        <f>IF(ISNUMBER(SEARCH('Φόρμα Εισαγωγής'!$B$2,C7697)),MAX($B$1:B7696)+1,0)</f>
        <v>0</v>
      </c>
      <c r="D7697" s="33">
        <f>IF(ISNUMBER(SEARCH('Φόρμα Εισαγωγής'!$C$2,E7697)),MAX($D$1:D7696)+1,0)</f>
        <v>0</v>
      </c>
      <c r="H7697" s="6">
        <f t="shared" si="371"/>
        <v>0</v>
      </c>
      <c r="I7697" s="6">
        <f t="shared" si="372"/>
        <v>0</v>
      </c>
      <c r="J7697" s="6">
        <f t="shared" si="373"/>
        <v>0</v>
      </c>
      <c r="L7697" s="4" t="str">
        <f>IFERROR(VLOOKUP(ROWS($L$2:L7697),$B$2:$C$1996,2,0),"")</f>
        <v/>
      </c>
      <c r="N7697" s="2" t="str">
        <f>IFERROR(VLOOKUP(ROWS($N$2:N7697),$D$2:$E$1996,2,0),"")</f>
        <v/>
      </c>
    </row>
    <row r="7698" spans="2:14">
      <c r="B7698" s="32">
        <f>IF(ISNUMBER(SEARCH('Φόρμα Εισαγωγής'!$B$2,C7698)),MAX($B$1:B7697)+1,0)</f>
        <v>0</v>
      </c>
      <c r="D7698" s="33">
        <f>IF(ISNUMBER(SEARCH('Φόρμα Εισαγωγής'!$C$2,E7698)),MAX($D$1:D7697)+1,0)</f>
        <v>0</v>
      </c>
      <c r="H7698" s="6">
        <f t="shared" si="371"/>
        <v>0</v>
      </c>
      <c r="I7698" s="6">
        <f t="shared" si="372"/>
        <v>0</v>
      </c>
      <c r="J7698" s="6">
        <f t="shared" si="373"/>
        <v>0</v>
      </c>
      <c r="L7698" s="4" t="str">
        <f>IFERROR(VLOOKUP(ROWS($L$2:L7698),$B$2:$C$1996,2,0),"")</f>
        <v/>
      </c>
      <c r="N7698" s="2" t="str">
        <f>IFERROR(VLOOKUP(ROWS($N$2:N7698),$D$2:$E$1996,2,0),"")</f>
        <v/>
      </c>
    </row>
    <row r="7699" spans="2:14">
      <c r="B7699" s="32">
        <f>IF(ISNUMBER(SEARCH('Φόρμα Εισαγωγής'!$B$2,C7699)),MAX($B$1:B7698)+1,0)</f>
        <v>0</v>
      </c>
      <c r="D7699" s="33">
        <f>IF(ISNUMBER(SEARCH('Φόρμα Εισαγωγής'!$C$2,E7699)),MAX($D$1:D7698)+1,0)</f>
        <v>0</v>
      </c>
      <c r="H7699" s="6">
        <f t="shared" si="371"/>
        <v>0</v>
      </c>
      <c r="I7699" s="6">
        <f t="shared" si="372"/>
        <v>0</v>
      </c>
      <c r="J7699" s="6">
        <f t="shared" si="373"/>
        <v>0</v>
      </c>
      <c r="L7699" s="4" t="str">
        <f>IFERROR(VLOOKUP(ROWS($L$2:L7699),$B$2:$C$1996,2,0),"")</f>
        <v/>
      </c>
      <c r="N7699" s="2" t="str">
        <f>IFERROR(VLOOKUP(ROWS($N$2:N7699),$D$2:$E$1996,2,0),"")</f>
        <v/>
      </c>
    </row>
    <row r="7700" spans="2:14">
      <c r="B7700" s="32">
        <f>IF(ISNUMBER(SEARCH('Φόρμα Εισαγωγής'!$B$2,C7700)),MAX($B$1:B7699)+1,0)</f>
        <v>0</v>
      </c>
      <c r="D7700" s="33">
        <f>IF(ISNUMBER(SEARCH('Φόρμα Εισαγωγής'!$C$2,E7700)),MAX($D$1:D7699)+1,0)</f>
        <v>0</v>
      </c>
      <c r="H7700" s="6">
        <f t="shared" si="371"/>
        <v>0</v>
      </c>
      <c r="I7700" s="6">
        <f t="shared" si="372"/>
        <v>0</v>
      </c>
      <c r="J7700" s="6">
        <f t="shared" si="373"/>
        <v>0</v>
      </c>
      <c r="L7700" s="4" t="str">
        <f>IFERROR(VLOOKUP(ROWS($L$2:L7700),$B$2:$C$1996,2,0),"")</f>
        <v/>
      </c>
      <c r="N7700" s="2" t="str">
        <f>IFERROR(VLOOKUP(ROWS($N$2:N7700),$D$2:$E$1996,2,0),"")</f>
        <v/>
      </c>
    </row>
    <row r="7701" spans="2:14">
      <c r="B7701" s="32">
        <f>IF(ISNUMBER(SEARCH('Φόρμα Εισαγωγής'!$B$2,C7701)),MAX($B$1:B7700)+1,0)</f>
        <v>0</v>
      </c>
      <c r="D7701" s="33">
        <f>IF(ISNUMBER(SEARCH('Φόρμα Εισαγωγής'!$C$2,E7701)),MAX($D$1:D7700)+1,0)</f>
        <v>0</v>
      </c>
      <c r="H7701" s="6">
        <f t="shared" si="371"/>
        <v>0</v>
      </c>
      <c r="I7701" s="6">
        <f t="shared" si="372"/>
        <v>0</v>
      </c>
      <c r="J7701" s="6">
        <f t="shared" si="373"/>
        <v>0</v>
      </c>
      <c r="L7701" s="4" t="str">
        <f>IFERROR(VLOOKUP(ROWS($L$2:L7701),$B$2:$C$1996,2,0),"")</f>
        <v/>
      </c>
      <c r="N7701" s="2" t="str">
        <f>IFERROR(VLOOKUP(ROWS($N$2:N7701),$D$2:$E$1996,2,0),"")</f>
        <v/>
      </c>
    </row>
    <row r="7702" spans="2:14">
      <c r="B7702" s="32">
        <f>IF(ISNUMBER(SEARCH('Φόρμα Εισαγωγής'!$B$2,C7702)),MAX($B$1:B7701)+1,0)</f>
        <v>0</v>
      </c>
      <c r="D7702" s="33">
        <f>IF(ISNUMBER(SEARCH('Φόρμα Εισαγωγής'!$C$2,E7702)),MAX($D$1:D7701)+1,0)</f>
        <v>0</v>
      </c>
      <c r="H7702" s="6">
        <f t="shared" si="371"/>
        <v>0</v>
      </c>
      <c r="I7702" s="6">
        <f t="shared" si="372"/>
        <v>0</v>
      </c>
      <c r="J7702" s="6">
        <f t="shared" si="373"/>
        <v>0</v>
      </c>
      <c r="L7702" s="4" t="str">
        <f>IFERROR(VLOOKUP(ROWS($L$2:L7702),$B$2:$C$1996,2,0),"")</f>
        <v/>
      </c>
      <c r="N7702" s="2" t="str">
        <f>IFERROR(VLOOKUP(ROWS($N$2:N7702),$D$2:$E$1996,2,0),"")</f>
        <v/>
      </c>
    </row>
    <row r="7703" spans="2:14">
      <c r="B7703" s="32">
        <f>IF(ISNUMBER(SEARCH('Φόρμα Εισαγωγής'!$B$2,C7703)),MAX($B$1:B7702)+1,0)</f>
        <v>0</v>
      </c>
      <c r="D7703" s="33">
        <f>IF(ISNUMBER(SEARCH('Φόρμα Εισαγωγής'!$C$2,E7703)),MAX($D$1:D7702)+1,0)</f>
        <v>0</v>
      </c>
      <c r="H7703" s="6">
        <f t="shared" si="371"/>
        <v>0</v>
      </c>
      <c r="I7703" s="6">
        <f t="shared" si="372"/>
        <v>0</v>
      </c>
      <c r="J7703" s="6">
        <f t="shared" si="373"/>
        <v>0</v>
      </c>
      <c r="L7703" s="4" t="str">
        <f>IFERROR(VLOOKUP(ROWS($L$2:L7703),$B$2:$C$1996,2,0),"")</f>
        <v/>
      </c>
      <c r="N7703" s="2" t="str">
        <f>IFERROR(VLOOKUP(ROWS($N$2:N7703),$D$2:$E$1996,2,0),"")</f>
        <v/>
      </c>
    </row>
    <row r="7704" spans="2:14">
      <c r="B7704" s="32">
        <f>IF(ISNUMBER(SEARCH('Φόρμα Εισαγωγής'!$B$2,C7704)),MAX($B$1:B7703)+1,0)</f>
        <v>0</v>
      </c>
      <c r="D7704" s="33">
        <f>IF(ISNUMBER(SEARCH('Φόρμα Εισαγωγής'!$C$2,E7704)),MAX($D$1:D7703)+1,0)</f>
        <v>0</v>
      </c>
      <c r="H7704" s="6">
        <f t="shared" si="371"/>
        <v>0</v>
      </c>
      <c r="I7704" s="6">
        <f t="shared" si="372"/>
        <v>0</v>
      </c>
      <c r="J7704" s="6">
        <f t="shared" si="373"/>
        <v>0</v>
      </c>
      <c r="L7704" s="4" t="str">
        <f>IFERROR(VLOOKUP(ROWS($L$2:L7704),$B$2:$C$1996,2,0),"")</f>
        <v/>
      </c>
      <c r="N7704" s="2" t="str">
        <f>IFERROR(VLOOKUP(ROWS($N$2:N7704),$D$2:$E$1996,2,0),"")</f>
        <v/>
      </c>
    </row>
    <row r="7705" spans="2:14">
      <c r="B7705" s="32">
        <f>IF(ISNUMBER(SEARCH('Φόρμα Εισαγωγής'!$B$2,C7705)),MAX($B$1:B7704)+1,0)</f>
        <v>0</v>
      </c>
      <c r="D7705" s="33">
        <f>IF(ISNUMBER(SEARCH('Φόρμα Εισαγωγής'!$C$2,E7705)),MAX($D$1:D7704)+1,0)</f>
        <v>0</v>
      </c>
      <c r="H7705" s="6">
        <f t="shared" si="371"/>
        <v>0</v>
      </c>
      <c r="I7705" s="6">
        <f t="shared" si="372"/>
        <v>0</v>
      </c>
      <c r="J7705" s="6">
        <f t="shared" si="373"/>
        <v>0</v>
      </c>
      <c r="L7705" s="4" t="str">
        <f>IFERROR(VLOOKUP(ROWS($L$2:L7705),$B$2:$C$1996,2,0),"")</f>
        <v/>
      </c>
      <c r="N7705" s="2" t="str">
        <f>IFERROR(VLOOKUP(ROWS($N$2:N7705),$D$2:$E$1996,2,0),"")</f>
        <v/>
      </c>
    </row>
    <row r="7706" spans="2:14">
      <c r="B7706" s="32">
        <f>IF(ISNUMBER(SEARCH('Φόρμα Εισαγωγής'!$B$2,C7706)),MAX($B$1:B7705)+1,0)</f>
        <v>0</v>
      </c>
      <c r="D7706" s="33">
        <f>IF(ISNUMBER(SEARCH('Φόρμα Εισαγωγής'!$C$2,E7706)),MAX($D$1:D7705)+1,0)</f>
        <v>0</v>
      </c>
      <c r="H7706" s="6">
        <f t="shared" si="371"/>
        <v>0</v>
      </c>
      <c r="I7706" s="6">
        <f t="shared" si="372"/>
        <v>0</v>
      </c>
      <c r="J7706" s="6">
        <f t="shared" si="373"/>
        <v>0</v>
      </c>
      <c r="L7706" s="4" t="str">
        <f>IFERROR(VLOOKUP(ROWS($L$2:L7706),$B$2:$C$1996,2,0),"")</f>
        <v/>
      </c>
      <c r="N7706" s="2" t="str">
        <f>IFERROR(VLOOKUP(ROWS($N$2:N7706),$D$2:$E$1996,2,0),"")</f>
        <v/>
      </c>
    </row>
    <row r="7707" spans="2:14">
      <c r="B7707" s="32">
        <f>IF(ISNUMBER(SEARCH('Φόρμα Εισαγωγής'!$B$2,C7707)),MAX($B$1:B7706)+1,0)</f>
        <v>0</v>
      </c>
      <c r="D7707" s="33">
        <f>IF(ISNUMBER(SEARCH('Φόρμα Εισαγωγής'!$C$2,E7707)),MAX($D$1:D7706)+1,0)</f>
        <v>0</v>
      </c>
      <c r="H7707" s="6">
        <f t="shared" si="371"/>
        <v>0</v>
      </c>
      <c r="I7707" s="6">
        <f t="shared" si="372"/>
        <v>0</v>
      </c>
      <c r="J7707" s="6">
        <f t="shared" si="373"/>
        <v>0</v>
      </c>
      <c r="L7707" s="4" t="str">
        <f>IFERROR(VLOOKUP(ROWS($L$2:L7707),$B$2:$C$1996,2,0),"")</f>
        <v/>
      </c>
      <c r="N7707" s="2" t="str">
        <f>IFERROR(VLOOKUP(ROWS($N$2:N7707),$D$2:$E$1996,2,0),"")</f>
        <v/>
      </c>
    </row>
    <row r="7708" spans="2:14">
      <c r="B7708" s="32">
        <f>IF(ISNUMBER(SEARCH('Φόρμα Εισαγωγής'!$B$2,C7708)),MAX($B$1:B7707)+1,0)</f>
        <v>0</v>
      </c>
      <c r="D7708" s="33">
        <f>IF(ISNUMBER(SEARCH('Φόρμα Εισαγωγής'!$C$2,E7708)),MAX($D$1:D7707)+1,0)</f>
        <v>0</v>
      </c>
      <c r="H7708" s="6">
        <f t="shared" si="371"/>
        <v>0</v>
      </c>
      <c r="I7708" s="6">
        <f t="shared" si="372"/>
        <v>0</v>
      </c>
      <c r="J7708" s="6">
        <f t="shared" si="373"/>
        <v>0</v>
      </c>
      <c r="L7708" s="4" t="str">
        <f>IFERROR(VLOOKUP(ROWS($L$2:L7708),$B$2:$C$1996,2,0),"")</f>
        <v/>
      </c>
      <c r="N7708" s="2" t="str">
        <f>IFERROR(VLOOKUP(ROWS($N$2:N7708),$D$2:$E$1996,2,0),"")</f>
        <v/>
      </c>
    </row>
    <row r="7709" spans="2:14">
      <c r="B7709" s="32">
        <f>IF(ISNUMBER(SEARCH('Φόρμα Εισαγωγής'!$B$2,C7709)),MAX($B$1:B7708)+1,0)</f>
        <v>0</v>
      </c>
      <c r="D7709" s="33">
        <f>IF(ISNUMBER(SEARCH('Φόρμα Εισαγωγής'!$C$2,E7709)),MAX($D$1:D7708)+1,0)</f>
        <v>0</v>
      </c>
      <c r="H7709" s="6">
        <f t="shared" si="371"/>
        <v>0</v>
      </c>
      <c r="I7709" s="6">
        <f t="shared" si="372"/>
        <v>0</v>
      </c>
      <c r="J7709" s="6">
        <f t="shared" si="373"/>
        <v>0</v>
      </c>
      <c r="L7709" s="4" t="str">
        <f>IFERROR(VLOOKUP(ROWS($L$2:L7709),$B$2:$C$1996,2,0),"")</f>
        <v/>
      </c>
      <c r="N7709" s="2" t="str">
        <f>IFERROR(VLOOKUP(ROWS($N$2:N7709),$D$2:$E$1996,2,0),"")</f>
        <v/>
      </c>
    </row>
    <row r="7710" spans="2:14">
      <c r="B7710" s="32">
        <f>IF(ISNUMBER(SEARCH('Φόρμα Εισαγωγής'!$B$2,C7710)),MAX($B$1:B7709)+1,0)</f>
        <v>0</v>
      </c>
      <c r="D7710" s="33">
        <f>IF(ISNUMBER(SEARCH('Φόρμα Εισαγωγής'!$C$2,E7710)),MAX($D$1:D7709)+1,0)</f>
        <v>0</v>
      </c>
      <c r="H7710" s="6">
        <f t="shared" si="371"/>
        <v>0</v>
      </c>
      <c r="I7710" s="6">
        <f t="shared" si="372"/>
        <v>0</v>
      </c>
      <c r="J7710" s="6">
        <f t="shared" si="373"/>
        <v>0</v>
      </c>
      <c r="L7710" s="4" t="str">
        <f>IFERROR(VLOOKUP(ROWS($L$2:L7710),$B$2:$C$1996,2,0),"")</f>
        <v/>
      </c>
      <c r="N7710" s="2" t="str">
        <f>IFERROR(VLOOKUP(ROWS($N$2:N7710),$D$2:$E$1996,2,0),"")</f>
        <v/>
      </c>
    </row>
    <row r="7711" spans="2:14">
      <c r="B7711" s="32">
        <f>IF(ISNUMBER(SEARCH('Φόρμα Εισαγωγής'!$B$2,C7711)),MAX($B$1:B7710)+1,0)</f>
        <v>0</v>
      </c>
      <c r="D7711" s="33">
        <f>IF(ISNUMBER(SEARCH('Φόρμα Εισαγωγής'!$C$2,E7711)),MAX($D$1:D7710)+1,0)</f>
        <v>0</v>
      </c>
      <c r="H7711" s="6">
        <f t="shared" si="371"/>
        <v>0</v>
      </c>
      <c r="I7711" s="6">
        <f t="shared" si="372"/>
        <v>0</v>
      </c>
      <c r="J7711" s="6">
        <f t="shared" si="373"/>
        <v>0</v>
      </c>
      <c r="L7711" s="4" t="str">
        <f>IFERROR(VLOOKUP(ROWS($L$2:L7711),$B$2:$C$1996,2,0),"")</f>
        <v/>
      </c>
      <c r="N7711" s="2" t="str">
        <f>IFERROR(VLOOKUP(ROWS($N$2:N7711),$D$2:$E$1996,2,0),"")</f>
        <v/>
      </c>
    </row>
    <row r="7712" spans="2:14">
      <c r="B7712" s="32">
        <f>IF(ISNUMBER(SEARCH('Φόρμα Εισαγωγής'!$B$2,C7712)),MAX($B$1:B7711)+1,0)</f>
        <v>0</v>
      </c>
      <c r="D7712" s="33">
        <f>IF(ISNUMBER(SEARCH('Φόρμα Εισαγωγής'!$C$2,E7712)),MAX($D$1:D7711)+1,0)</f>
        <v>0</v>
      </c>
      <c r="H7712" s="6">
        <f t="shared" si="371"/>
        <v>0</v>
      </c>
      <c r="I7712" s="6">
        <f t="shared" si="372"/>
        <v>0</v>
      </c>
      <c r="J7712" s="6">
        <f t="shared" si="373"/>
        <v>0</v>
      </c>
      <c r="L7712" s="4" t="str">
        <f>IFERROR(VLOOKUP(ROWS($L$2:L7712),$B$2:$C$1996,2,0),"")</f>
        <v/>
      </c>
      <c r="N7712" s="2" t="str">
        <f>IFERROR(VLOOKUP(ROWS($N$2:N7712),$D$2:$E$1996,2,0),"")</f>
        <v/>
      </c>
    </row>
    <row r="7713" spans="2:14">
      <c r="B7713" s="32">
        <f>IF(ISNUMBER(SEARCH('Φόρμα Εισαγωγής'!$B$2,C7713)),MAX($B$1:B7712)+1,0)</f>
        <v>0</v>
      </c>
      <c r="D7713" s="33">
        <f>IF(ISNUMBER(SEARCH('Φόρμα Εισαγωγής'!$C$2,E7713)),MAX($D$1:D7712)+1,0)</f>
        <v>0</v>
      </c>
      <c r="H7713" s="6">
        <f t="shared" si="371"/>
        <v>0</v>
      </c>
      <c r="I7713" s="6">
        <f t="shared" si="372"/>
        <v>0</v>
      </c>
      <c r="J7713" s="6">
        <f t="shared" si="373"/>
        <v>0</v>
      </c>
      <c r="L7713" s="4" t="str">
        <f>IFERROR(VLOOKUP(ROWS($L$2:L7713),$B$2:$C$1996,2,0),"")</f>
        <v/>
      </c>
      <c r="N7713" s="2" t="str">
        <f>IFERROR(VLOOKUP(ROWS($N$2:N7713),$D$2:$E$1996,2,0),"")</f>
        <v/>
      </c>
    </row>
    <row r="7714" spans="2:14">
      <c r="B7714" s="32">
        <f>IF(ISNUMBER(SEARCH('Φόρμα Εισαγωγής'!$B$2,C7714)),MAX($B$1:B7713)+1,0)</f>
        <v>0</v>
      </c>
      <c r="D7714" s="33">
        <f>IF(ISNUMBER(SEARCH('Φόρμα Εισαγωγής'!$C$2,E7714)),MAX($D$1:D7713)+1,0)</f>
        <v>0</v>
      </c>
      <c r="H7714" s="6">
        <f t="shared" si="371"/>
        <v>0</v>
      </c>
      <c r="I7714" s="6">
        <f t="shared" si="372"/>
        <v>0</v>
      </c>
      <c r="J7714" s="6">
        <f t="shared" si="373"/>
        <v>0</v>
      </c>
      <c r="L7714" s="4" t="str">
        <f>IFERROR(VLOOKUP(ROWS($L$2:L7714),$B$2:$C$1996,2,0),"")</f>
        <v/>
      </c>
      <c r="N7714" s="2" t="str">
        <f>IFERROR(VLOOKUP(ROWS($N$2:N7714),$D$2:$E$1996,2,0),"")</f>
        <v/>
      </c>
    </row>
    <row r="7715" spans="2:14">
      <c r="B7715" s="32">
        <f>IF(ISNUMBER(SEARCH('Φόρμα Εισαγωγής'!$B$2,C7715)),MAX($B$1:B7714)+1,0)</f>
        <v>0</v>
      </c>
      <c r="D7715" s="33">
        <f>IF(ISNUMBER(SEARCH('Φόρμα Εισαγωγής'!$C$2,E7715)),MAX($D$1:D7714)+1,0)</f>
        <v>0</v>
      </c>
      <c r="H7715" s="6">
        <f t="shared" si="371"/>
        <v>0</v>
      </c>
      <c r="I7715" s="6">
        <f t="shared" si="372"/>
        <v>0</v>
      </c>
      <c r="J7715" s="6">
        <f t="shared" si="373"/>
        <v>0</v>
      </c>
      <c r="L7715" s="4" t="str">
        <f>IFERROR(VLOOKUP(ROWS($L$2:L7715),$B$2:$C$1996,2,0),"")</f>
        <v/>
      </c>
      <c r="N7715" s="2" t="str">
        <f>IFERROR(VLOOKUP(ROWS($N$2:N7715),$D$2:$E$1996,2,0),"")</f>
        <v/>
      </c>
    </row>
    <row r="7716" spans="2:14">
      <c r="B7716" s="32">
        <f>IF(ISNUMBER(SEARCH('Φόρμα Εισαγωγής'!$B$2,C7716)),MAX($B$1:B7715)+1,0)</f>
        <v>0</v>
      </c>
      <c r="D7716" s="33">
        <f>IF(ISNUMBER(SEARCH('Φόρμα Εισαγωγής'!$C$2,E7716)),MAX($D$1:D7715)+1,0)</f>
        <v>0</v>
      </c>
      <c r="H7716" s="6">
        <f t="shared" si="371"/>
        <v>0</v>
      </c>
      <c r="I7716" s="6">
        <f t="shared" si="372"/>
        <v>0</v>
      </c>
      <c r="J7716" s="6">
        <f t="shared" si="373"/>
        <v>0</v>
      </c>
      <c r="L7716" s="4" t="str">
        <f>IFERROR(VLOOKUP(ROWS($L$2:L7716),$B$2:$C$1996,2,0),"")</f>
        <v/>
      </c>
      <c r="N7716" s="2" t="str">
        <f>IFERROR(VLOOKUP(ROWS($N$2:N7716),$D$2:$E$1996,2,0),"")</f>
        <v/>
      </c>
    </row>
    <row r="7717" spans="2:14">
      <c r="B7717" s="32">
        <f>IF(ISNUMBER(SEARCH('Φόρμα Εισαγωγής'!$B$2,C7717)),MAX($B$1:B7716)+1,0)</f>
        <v>0</v>
      </c>
      <c r="D7717" s="33">
        <f>IF(ISNUMBER(SEARCH('Φόρμα Εισαγωγής'!$C$2,E7717)),MAX($D$1:D7716)+1,0)</f>
        <v>0</v>
      </c>
      <c r="H7717" s="6">
        <f t="shared" si="371"/>
        <v>0</v>
      </c>
      <c r="I7717" s="6">
        <f t="shared" si="372"/>
        <v>0</v>
      </c>
      <c r="J7717" s="6">
        <f t="shared" si="373"/>
        <v>0</v>
      </c>
      <c r="L7717" s="4" t="str">
        <f>IFERROR(VLOOKUP(ROWS($L$2:L7717),$B$2:$C$1996,2,0),"")</f>
        <v/>
      </c>
      <c r="N7717" s="2" t="str">
        <f>IFERROR(VLOOKUP(ROWS($N$2:N7717),$D$2:$E$1996,2,0),"")</f>
        <v/>
      </c>
    </row>
    <row r="7718" spans="2:14">
      <c r="B7718" s="32">
        <f>IF(ISNUMBER(SEARCH('Φόρμα Εισαγωγής'!$B$2,C7718)),MAX($B$1:B7717)+1,0)</f>
        <v>0</v>
      </c>
      <c r="D7718" s="33">
        <f>IF(ISNUMBER(SEARCH('Φόρμα Εισαγωγής'!$C$2,E7718)),MAX($D$1:D7717)+1,0)</f>
        <v>0</v>
      </c>
      <c r="H7718" s="6">
        <f t="shared" si="371"/>
        <v>0</v>
      </c>
      <c r="I7718" s="6">
        <f t="shared" si="372"/>
        <v>0</v>
      </c>
      <c r="J7718" s="6">
        <f t="shared" si="373"/>
        <v>0</v>
      </c>
      <c r="L7718" s="4" t="str">
        <f>IFERROR(VLOOKUP(ROWS($L$2:L7718),$B$2:$C$1996,2,0),"")</f>
        <v/>
      </c>
      <c r="N7718" s="2" t="str">
        <f>IFERROR(VLOOKUP(ROWS($N$2:N7718),$D$2:$E$1996,2,0),"")</f>
        <v/>
      </c>
    </row>
    <row r="7719" spans="2:14">
      <c r="B7719" s="32">
        <f>IF(ISNUMBER(SEARCH('Φόρμα Εισαγωγής'!$B$2,C7719)),MAX($B$1:B7718)+1,0)</f>
        <v>0</v>
      </c>
      <c r="D7719" s="33">
        <f>IF(ISNUMBER(SEARCH('Φόρμα Εισαγωγής'!$C$2,E7719)),MAX($D$1:D7718)+1,0)</f>
        <v>0</v>
      </c>
      <c r="H7719" s="6">
        <f t="shared" si="371"/>
        <v>0</v>
      </c>
      <c r="I7719" s="6">
        <f t="shared" si="372"/>
        <v>0</v>
      </c>
      <c r="J7719" s="6">
        <f t="shared" si="373"/>
        <v>0</v>
      </c>
      <c r="L7719" s="4" t="str">
        <f>IFERROR(VLOOKUP(ROWS($L$2:L7719),$B$2:$C$1996,2,0),"")</f>
        <v/>
      </c>
      <c r="N7719" s="2" t="str">
        <f>IFERROR(VLOOKUP(ROWS($N$2:N7719),$D$2:$E$1996,2,0),"")</f>
        <v/>
      </c>
    </row>
    <row r="7720" spans="2:14">
      <c r="B7720" s="32">
        <f>IF(ISNUMBER(SEARCH('Φόρμα Εισαγωγής'!$B$2,C7720)),MAX($B$1:B7719)+1,0)</f>
        <v>0</v>
      </c>
      <c r="D7720" s="33">
        <f>IF(ISNUMBER(SEARCH('Φόρμα Εισαγωγής'!$C$2,E7720)),MAX($D$1:D7719)+1,0)</f>
        <v>0</v>
      </c>
      <c r="H7720" s="6">
        <f t="shared" si="371"/>
        <v>0</v>
      </c>
      <c r="I7720" s="6">
        <f t="shared" si="372"/>
        <v>0</v>
      </c>
      <c r="J7720" s="6">
        <f t="shared" si="373"/>
        <v>0</v>
      </c>
      <c r="L7720" s="4" t="str">
        <f>IFERROR(VLOOKUP(ROWS($L$2:L7720),$B$2:$C$1996,2,0),"")</f>
        <v/>
      </c>
      <c r="N7720" s="2" t="str">
        <f>IFERROR(VLOOKUP(ROWS($N$2:N7720),$D$2:$E$1996,2,0),"")</f>
        <v/>
      </c>
    </row>
    <row r="7721" spans="2:14">
      <c r="B7721" s="32">
        <f>IF(ISNUMBER(SEARCH('Φόρμα Εισαγωγής'!$B$2,C7721)),MAX($B$1:B7720)+1,0)</f>
        <v>0</v>
      </c>
      <c r="D7721" s="33">
        <f>IF(ISNUMBER(SEARCH('Φόρμα Εισαγωγής'!$C$2,E7721)),MAX($D$1:D7720)+1,0)</f>
        <v>0</v>
      </c>
      <c r="H7721" s="6">
        <f t="shared" si="371"/>
        <v>0</v>
      </c>
      <c r="I7721" s="6">
        <f t="shared" si="372"/>
        <v>0</v>
      </c>
      <c r="J7721" s="6">
        <f t="shared" si="373"/>
        <v>0</v>
      </c>
      <c r="L7721" s="4" t="str">
        <f>IFERROR(VLOOKUP(ROWS($L$2:L7721),$B$2:$C$1996,2,0),"")</f>
        <v/>
      </c>
      <c r="N7721" s="2" t="str">
        <f>IFERROR(VLOOKUP(ROWS($N$2:N7721),$D$2:$E$1996,2,0),"")</f>
        <v/>
      </c>
    </row>
    <row r="7722" spans="2:14">
      <c r="B7722" s="32">
        <f>IF(ISNUMBER(SEARCH('Φόρμα Εισαγωγής'!$B$2,C7722)),MAX($B$1:B7721)+1,0)</f>
        <v>0</v>
      </c>
      <c r="D7722" s="33">
        <f>IF(ISNUMBER(SEARCH('Φόρμα Εισαγωγής'!$C$2,E7722)),MAX($D$1:D7721)+1,0)</f>
        <v>0</v>
      </c>
      <c r="H7722" s="6">
        <f t="shared" si="371"/>
        <v>0</v>
      </c>
      <c r="I7722" s="6">
        <f t="shared" si="372"/>
        <v>0</v>
      </c>
      <c r="J7722" s="6">
        <f t="shared" si="373"/>
        <v>0</v>
      </c>
      <c r="L7722" s="4" t="str">
        <f>IFERROR(VLOOKUP(ROWS($L$2:L7722),$B$2:$C$1996,2,0),"")</f>
        <v/>
      </c>
      <c r="N7722" s="2" t="str">
        <f>IFERROR(VLOOKUP(ROWS($N$2:N7722),$D$2:$E$1996,2,0),"")</f>
        <v/>
      </c>
    </row>
    <row r="7723" spans="2:14">
      <c r="B7723" s="32">
        <f>IF(ISNUMBER(SEARCH('Φόρμα Εισαγωγής'!$B$2,C7723)),MAX($B$1:B7722)+1,0)</f>
        <v>0</v>
      </c>
      <c r="D7723" s="33">
        <f>IF(ISNUMBER(SEARCH('Φόρμα Εισαγωγής'!$C$2,E7723)),MAX($D$1:D7722)+1,0)</f>
        <v>0</v>
      </c>
      <c r="H7723" s="6">
        <f t="shared" si="371"/>
        <v>0</v>
      </c>
      <c r="I7723" s="6">
        <f t="shared" si="372"/>
        <v>0</v>
      </c>
      <c r="J7723" s="6">
        <f t="shared" si="373"/>
        <v>0</v>
      </c>
      <c r="L7723" s="4" t="str">
        <f>IFERROR(VLOOKUP(ROWS($L$2:L7723),$B$2:$C$1996,2,0),"")</f>
        <v/>
      </c>
      <c r="N7723" s="2" t="str">
        <f>IFERROR(VLOOKUP(ROWS($N$2:N7723),$D$2:$E$1996,2,0),"")</f>
        <v/>
      </c>
    </row>
    <row r="7724" spans="2:14">
      <c r="B7724" s="32">
        <f>IF(ISNUMBER(SEARCH('Φόρμα Εισαγωγής'!$B$2,C7724)),MAX($B$1:B7723)+1,0)</f>
        <v>0</v>
      </c>
      <c r="D7724" s="33">
        <f>IF(ISNUMBER(SEARCH('Φόρμα Εισαγωγής'!$C$2,E7724)),MAX($D$1:D7723)+1,0)</f>
        <v>0</v>
      </c>
      <c r="H7724" s="6">
        <f t="shared" si="371"/>
        <v>0</v>
      </c>
      <c r="I7724" s="6">
        <f t="shared" si="372"/>
        <v>0</v>
      </c>
      <c r="J7724" s="6">
        <f t="shared" si="373"/>
        <v>0</v>
      </c>
      <c r="L7724" s="4" t="str">
        <f>IFERROR(VLOOKUP(ROWS($L$2:L7724),$B$2:$C$1996,2,0),"")</f>
        <v/>
      </c>
      <c r="N7724" s="2" t="str">
        <f>IFERROR(VLOOKUP(ROWS($N$2:N7724),$D$2:$E$1996,2,0),"")</f>
        <v/>
      </c>
    </row>
    <row r="7725" spans="2:14">
      <c r="B7725" s="32">
        <f>IF(ISNUMBER(SEARCH('Φόρμα Εισαγωγής'!$B$2,C7725)),MAX($B$1:B7724)+1,0)</f>
        <v>0</v>
      </c>
      <c r="D7725" s="33">
        <f>IF(ISNUMBER(SEARCH('Φόρμα Εισαγωγής'!$C$2,E7725)),MAX($D$1:D7724)+1,0)</f>
        <v>0</v>
      </c>
      <c r="H7725" s="6">
        <f t="shared" si="371"/>
        <v>0</v>
      </c>
      <c r="I7725" s="6">
        <f t="shared" si="372"/>
        <v>0</v>
      </c>
      <c r="J7725" s="6">
        <f t="shared" si="373"/>
        <v>0</v>
      </c>
      <c r="L7725" s="4" t="str">
        <f>IFERROR(VLOOKUP(ROWS($L$2:L7725),$B$2:$C$1996,2,0),"")</f>
        <v/>
      </c>
      <c r="N7725" s="2" t="str">
        <f>IFERROR(VLOOKUP(ROWS($N$2:N7725),$D$2:$E$1996,2,0),"")</f>
        <v/>
      </c>
    </row>
    <row r="7726" spans="2:14">
      <c r="B7726" s="32">
        <f>IF(ISNUMBER(SEARCH('Φόρμα Εισαγωγής'!$B$2,C7726)),MAX($B$1:B7725)+1,0)</f>
        <v>0</v>
      </c>
      <c r="D7726" s="33">
        <f>IF(ISNUMBER(SEARCH('Φόρμα Εισαγωγής'!$C$2,E7726)),MAX($D$1:D7725)+1,0)</f>
        <v>0</v>
      </c>
      <c r="H7726" s="6">
        <f t="shared" si="371"/>
        <v>0</v>
      </c>
      <c r="I7726" s="6">
        <f t="shared" si="372"/>
        <v>0</v>
      </c>
      <c r="J7726" s="6">
        <f t="shared" si="373"/>
        <v>0</v>
      </c>
      <c r="L7726" s="4" t="str">
        <f>IFERROR(VLOOKUP(ROWS($L$2:L7726),$B$2:$C$1996,2,0),"")</f>
        <v/>
      </c>
      <c r="N7726" s="2" t="str">
        <f>IFERROR(VLOOKUP(ROWS($N$2:N7726),$D$2:$E$1996,2,0),"")</f>
        <v/>
      </c>
    </row>
    <row r="7727" spans="2:14">
      <c r="B7727" s="32">
        <f>IF(ISNUMBER(SEARCH('Φόρμα Εισαγωγής'!$B$2,C7727)),MAX($B$1:B7726)+1,0)</f>
        <v>0</v>
      </c>
      <c r="D7727" s="33">
        <f>IF(ISNUMBER(SEARCH('Φόρμα Εισαγωγής'!$C$2,E7727)),MAX($D$1:D7726)+1,0)</f>
        <v>0</v>
      </c>
      <c r="H7727" s="6">
        <f t="shared" si="371"/>
        <v>0</v>
      </c>
      <c r="I7727" s="6">
        <f t="shared" si="372"/>
        <v>0</v>
      </c>
      <c r="J7727" s="6">
        <f t="shared" si="373"/>
        <v>0</v>
      </c>
      <c r="L7727" s="4" t="str">
        <f>IFERROR(VLOOKUP(ROWS($L$2:L7727),$B$2:$C$1996,2,0),"")</f>
        <v/>
      </c>
      <c r="N7727" s="2" t="str">
        <f>IFERROR(VLOOKUP(ROWS($N$2:N7727),$D$2:$E$1996,2,0),"")</f>
        <v/>
      </c>
    </row>
    <row r="7728" spans="2:14">
      <c r="B7728" s="32">
        <f>IF(ISNUMBER(SEARCH('Φόρμα Εισαγωγής'!$B$2,C7728)),MAX($B$1:B7727)+1,0)</f>
        <v>0</v>
      </c>
      <c r="D7728" s="33">
        <f>IF(ISNUMBER(SEARCH('Φόρμα Εισαγωγής'!$C$2,E7728)),MAX($D$1:D7727)+1,0)</f>
        <v>0</v>
      </c>
      <c r="H7728" s="6">
        <f t="shared" si="371"/>
        <v>0</v>
      </c>
      <c r="I7728" s="6">
        <f t="shared" si="372"/>
        <v>0</v>
      </c>
      <c r="J7728" s="6">
        <f t="shared" si="373"/>
        <v>0</v>
      </c>
      <c r="L7728" s="4" t="str">
        <f>IFERROR(VLOOKUP(ROWS($L$2:L7728),$B$2:$C$1996,2,0),"")</f>
        <v/>
      </c>
      <c r="N7728" s="2" t="str">
        <f>IFERROR(VLOOKUP(ROWS($N$2:N7728),$D$2:$E$1996,2,0),"")</f>
        <v/>
      </c>
    </row>
    <row r="7729" spans="2:14">
      <c r="B7729" s="32">
        <f>IF(ISNUMBER(SEARCH('Φόρμα Εισαγωγής'!$B$2,C7729)),MAX($B$1:B7728)+1,0)</f>
        <v>0</v>
      </c>
      <c r="D7729" s="33">
        <f>IF(ISNUMBER(SEARCH('Φόρμα Εισαγωγής'!$C$2,E7729)),MAX($D$1:D7728)+1,0)</f>
        <v>0</v>
      </c>
      <c r="H7729" s="6">
        <f t="shared" si="371"/>
        <v>0</v>
      </c>
      <c r="I7729" s="6">
        <f t="shared" si="372"/>
        <v>0</v>
      </c>
      <c r="J7729" s="6">
        <f t="shared" si="373"/>
        <v>0</v>
      </c>
      <c r="L7729" s="4" t="str">
        <f>IFERROR(VLOOKUP(ROWS($L$2:L7729),$B$2:$C$1996,2,0),"")</f>
        <v/>
      </c>
      <c r="N7729" s="2" t="str">
        <f>IFERROR(VLOOKUP(ROWS($N$2:N7729),$D$2:$E$1996,2,0),"")</f>
        <v/>
      </c>
    </row>
    <row r="7730" spans="2:14">
      <c r="B7730" s="32">
        <f>IF(ISNUMBER(SEARCH('Φόρμα Εισαγωγής'!$B$2,C7730)),MAX($B$1:B7729)+1,0)</f>
        <v>0</v>
      </c>
      <c r="D7730" s="33">
        <f>IF(ISNUMBER(SEARCH('Φόρμα Εισαγωγής'!$C$2,E7730)),MAX($D$1:D7729)+1,0)</f>
        <v>0</v>
      </c>
      <c r="H7730" s="6">
        <f t="shared" si="371"/>
        <v>0</v>
      </c>
      <c r="I7730" s="6">
        <f t="shared" si="372"/>
        <v>0</v>
      </c>
      <c r="J7730" s="6">
        <f t="shared" si="373"/>
        <v>0</v>
      </c>
      <c r="L7730" s="4" t="str">
        <f>IFERROR(VLOOKUP(ROWS($L$2:L7730),$B$2:$C$1996,2,0),"")</f>
        <v/>
      </c>
      <c r="N7730" s="2" t="str">
        <f>IFERROR(VLOOKUP(ROWS($N$2:N7730),$D$2:$E$1996,2,0),"")</f>
        <v/>
      </c>
    </row>
    <row r="7731" spans="2:14">
      <c r="B7731" s="32">
        <f>IF(ISNUMBER(SEARCH('Φόρμα Εισαγωγής'!$B$2,C7731)),MAX($B$1:B7730)+1,0)</f>
        <v>0</v>
      </c>
      <c r="D7731" s="33">
        <f>IF(ISNUMBER(SEARCH('Φόρμα Εισαγωγής'!$C$2,E7731)),MAX($D$1:D7730)+1,0)</f>
        <v>0</v>
      </c>
      <c r="H7731" s="6">
        <f t="shared" si="371"/>
        <v>0</v>
      </c>
      <c r="I7731" s="6">
        <f t="shared" si="372"/>
        <v>0</v>
      </c>
      <c r="J7731" s="6">
        <f t="shared" si="373"/>
        <v>0</v>
      </c>
      <c r="L7731" s="4" t="str">
        <f>IFERROR(VLOOKUP(ROWS($L$2:L7731),$B$2:$C$1996,2,0),"")</f>
        <v/>
      </c>
      <c r="N7731" s="2" t="str">
        <f>IFERROR(VLOOKUP(ROWS($N$2:N7731),$D$2:$E$1996,2,0),"")</f>
        <v/>
      </c>
    </row>
    <row r="7732" spans="2:14">
      <c r="B7732" s="32">
        <f>IF(ISNUMBER(SEARCH('Φόρμα Εισαγωγής'!$B$2,C7732)),MAX($B$1:B7731)+1,0)</f>
        <v>0</v>
      </c>
      <c r="D7732" s="33">
        <f>IF(ISNUMBER(SEARCH('Φόρμα Εισαγωγής'!$C$2,E7732)),MAX($D$1:D7731)+1,0)</f>
        <v>0</v>
      </c>
      <c r="H7732" s="6">
        <f t="shared" si="371"/>
        <v>0</v>
      </c>
      <c r="I7732" s="6">
        <f t="shared" si="372"/>
        <v>0</v>
      </c>
      <c r="J7732" s="6">
        <f t="shared" si="373"/>
        <v>0</v>
      </c>
      <c r="L7732" s="4" t="str">
        <f>IFERROR(VLOOKUP(ROWS($L$2:L7732),$B$2:$C$1996,2,0),"")</f>
        <v/>
      </c>
      <c r="N7732" s="2" t="str">
        <f>IFERROR(VLOOKUP(ROWS($N$2:N7732),$D$2:$E$1996,2,0),"")</f>
        <v/>
      </c>
    </row>
    <row r="7733" spans="2:14">
      <c r="B7733" s="32">
        <f>IF(ISNUMBER(SEARCH('Φόρμα Εισαγωγής'!$B$2,C7733)),MAX($B$1:B7732)+1,0)</f>
        <v>0</v>
      </c>
      <c r="D7733" s="33">
        <f>IF(ISNUMBER(SEARCH('Φόρμα Εισαγωγής'!$C$2,E7733)),MAX($D$1:D7732)+1,0)</f>
        <v>0</v>
      </c>
      <c r="H7733" s="6">
        <f t="shared" si="371"/>
        <v>0</v>
      </c>
      <c r="I7733" s="6">
        <f t="shared" si="372"/>
        <v>0</v>
      </c>
      <c r="J7733" s="6">
        <f t="shared" si="373"/>
        <v>0</v>
      </c>
      <c r="L7733" s="4" t="str">
        <f>IFERROR(VLOOKUP(ROWS($L$2:L7733),$B$2:$C$1996,2,0),"")</f>
        <v/>
      </c>
      <c r="N7733" s="2" t="str">
        <f>IFERROR(VLOOKUP(ROWS($N$2:N7733),$D$2:$E$1996,2,0),"")</f>
        <v/>
      </c>
    </row>
    <row r="7734" spans="2:14">
      <c r="B7734" s="32">
        <f>IF(ISNUMBER(SEARCH('Φόρμα Εισαγωγής'!$B$2,C7734)),MAX($B$1:B7733)+1,0)</f>
        <v>0</v>
      </c>
      <c r="D7734" s="33">
        <f>IF(ISNUMBER(SEARCH('Φόρμα Εισαγωγής'!$C$2,E7734)),MAX($D$1:D7733)+1,0)</f>
        <v>0</v>
      </c>
      <c r="H7734" s="6">
        <f t="shared" si="371"/>
        <v>0</v>
      </c>
      <c r="I7734" s="6">
        <f t="shared" si="372"/>
        <v>0</v>
      </c>
      <c r="J7734" s="6">
        <f t="shared" si="373"/>
        <v>0</v>
      </c>
      <c r="L7734" s="4" t="str">
        <f>IFERROR(VLOOKUP(ROWS($L$2:L7734),$B$2:$C$1996,2,0),"")</f>
        <v/>
      </c>
      <c r="N7734" s="2" t="str">
        <f>IFERROR(VLOOKUP(ROWS($N$2:N7734),$D$2:$E$1996,2,0),"")</f>
        <v/>
      </c>
    </row>
    <row r="7735" spans="2:14">
      <c r="B7735" s="32">
        <f>IF(ISNUMBER(SEARCH('Φόρμα Εισαγωγής'!$B$2,C7735)),MAX($B$1:B7734)+1,0)</f>
        <v>0</v>
      </c>
      <c r="D7735" s="33">
        <f>IF(ISNUMBER(SEARCH('Φόρμα Εισαγωγής'!$C$2,E7735)),MAX($D$1:D7734)+1,0)</f>
        <v>0</v>
      </c>
      <c r="H7735" s="6">
        <f t="shared" si="371"/>
        <v>0</v>
      </c>
      <c r="I7735" s="6">
        <f t="shared" si="372"/>
        <v>0</v>
      </c>
      <c r="J7735" s="6">
        <f t="shared" si="373"/>
        <v>0</v>
      </c>
      <c r="L7735" s="4" t="str">
        <f>IFERROR(VLOOKUP(ROWS($L$2:L7735),$B$2:$C$1996,2,0),"")</f>
        <v/>
      </c>
      <c r="N7735" s="2" t="str">
        <f>IFERROR(VLOOKUP(ROWS($N$2:N7735),$D$2:$E$1996,2,0),"")</f>
        <v/>
      </c>
    </row>
    <row r="7736" spans="2:14">
      <c r="B7736" s="32">
        <f>IF(ISNUMBER(SEARCH('Φόρμα Εισαγωγής'!$B$2,C7736)),MAX($B$1:B7735)+1,0)</f>
        <v>0</v>
      </c>
      <c r="D7736" s="33">
        <f>IF(ISNUMBER(SEARCH('Φόρμα Εισαγωγής'!$C$2,E7736)),MAX($D$1:D7735)+1,0)</f>
        <v>0</v>
      </c>
      <c r="H7736" s="6">
        <f t="shared" si="371"/>
        <v>0</v>
      </c>
      <c r="I7736" s="6">
        <f t="shared" si="372"/>
        <v>0</v>
      </c>
      <c r="J7736" s="6">
        <f t="shared" si="373"/>
        <v>0</v>
      </c>
      <c r="L7736" s="4" t="str">
        <f>IFERROR(VLOOKUP(ROWS($L$2:L7736),$B$2:$C$1996,2,0),"")</f>
        <v/>
      </c>
      <c r="N7736" s="2" t="str">
        <f>IFERROR(VLOOKUP(ROWS($N$2:N7736),$D$2:$E$1996,2,0),"")</f>
        <v/>
      </c>
    </row>
    <row r="7737" spans="2:14">
      <c r="B7737" s="32">
        <f>IF(ISNUMBER(SEARCH('Φόρμα Εισαγωγής'!$B$2,C7737)),MAX($B$1:B7736)+1,0)</f>
        <v>0</v>
      </c>
      <c r="D7737" s="33">
        <f>IF(ISNUMBER(SEARCH('Φόρμα Εισαγωγής'!$C$2,E7737)),MAX($D$1:D7736)+1,0)</f>
        <v>0</v>
      </c>
      <c r="H7737" s="6">
        <f t="shared" si="371"/>
        <v>0</v>
      </c>
      <c r="I7737" s="6">
        <f t="shared" si="372"/>
        <v>0</v>
      </c>
      <c r="J7737" s="6">
        <f t="shared" si="373"/>
        <v>0</v>
      </c>
      <c r="L7737" s="4" t="str">
        <f>IFERROR(VLOOKUP(ROWS($L$2:L7737),$B$2:$C$1996,2,0),"")</f>
        <v/>
      </c>
      <c r="N7737" s="2" t="str">
        <f>IFERROR(VLOOKUP(ROWS($N$2:N7737),$D$2:$E$1996,2,0),"")</f>
        <v/>
      </c>
    </row>
    <row r="7738" spans="2:14">
      <c r="B7738" s="32">
        <f>IF(ISNUMBER(SEARCH('Φόρμα Εισαγωγής'!$B$2,C7738)),MAX($B$1:B7737)+1,0)</f>
        <v>0</v>
      </c>
      <c r="D7738" s="33">
        <f>IF(ISNUMBER(SEARCH('Φόρμα Εισαγωγής'!$C$2,E7738)),MAX($D$1:D7737)+1,0)</f>
        <v>0</v>
      </c>
      <c r="H7738" s="6">
        <f t="shared" si="371"/>
        <v>0</v>
      </c>
      <c r="I7738" s="6">
        <f t="shared" si="372"/>
        <v>0</v>
      </c>
      <c r="J7738" s="6">
        <f t="shared" si="373"/>
        <v>0</v>
      </c>
      <c r="L7738" s="4" t="str">
        <f>IFERROR(VLOOKUP(ROWS($L$2:L7738),$B$2:$C$1996,2,0),"")</f>
        <v/>
      </c>
      <c r="N7738" s="2" t="str">
        <f>IFERROR(VLOOKUP(ROWS($N$2:N7738),$D$2:$E$1996,2,0),"")</f>
        <v/>
      </c>
    </row>
    <row r="7739" spans="2:14">
      <c r="B7739" s="32">
        <f>IF(ISNUMBER(SEARCH('Φόρμα Εισαγωγής'!$B$2,C7739)),MAX($B$1:B7738)+1,0)</f>
        <v>0</v>
      </c>
      <c r="D7739" s="33">
        <f>IF(ISNUMBER(SEARCH('Φόρμα Εισαγωγής'!$C$2,E7739)),MAX($D$1:D7738)+1,0)</f>
        <v>0</v>
      </c>
      <c r="H7739" s="6">
        <f t="shared" si="371"/>
        <v>0</v>
      </c>
      <c r="I7739" s="6">
        <f t="shared" si="372"/>
        <v>0</v>
      </c>
      <c r="J7739" s="6">
        <f t="shared" si="373"/>
        <v>0</v>
      </c>
      <c r="L7739" s="4" t="str">
        <f>IFERROR(VLOOKUP(ROWS($L$2:L7739),$B$2:$C$1996,2,0),"")</f>
        <v/>
      </c>
      <c r="N7739" s="2" t="str">
        <f>IFERROR(VLOOKUP(ROWS($N$2:N7739),$D$2:$E$1996,2,0),"")</f>
        <v/>
      </c>
    </row>
    <row r="7740" spans="2:14">
      <c r="B7740" s="32">
        <f>IF(ISNUMBER(SEARCH('Φόρμα Εισαγωγής'!$B$2,C7740)),MAX($B$1:B7739)+1,0)</f>
        <v>0</v>
      </c>
      <c r="D7740" s="33">
        <f>IF(ISNUMBER(SEARCH('Φόρμα Εισαγωγής'!$C$2,E7740)),MAX($D$1:D7739)+1,0)</f>
        <v>0</v>
      </c>
      <c r="H7740" s="6">
        <f t="shared" si="371"/>
        <v>0</v>
      </c>
      <c r="I7740" s="6">
        <f t="shared" si="372"/>
        <v>0</v>
      </c>
      <c r="J7740" s="6">
        <f t="shared" si="373"/>
        <v>0</v>
      </c>
      <c r="L7740" s="4" t="str">
        <f>IFERROR(VLOOKUP(ROWS($L$2:L7740),$B$2:$C$1996,2,0),"")</f>
        <v/>
      </c>
      <c r="N7740" s="2" t="str">
        <f>IFERROR(VLOOKUP(ROWS($N$2:N7740),$D$2:$E$1996,2,0),"")</f>
        <v/>
      </c>
    </row>
    <row r="7741" spans="2:14">
      <c r="B7741" s="32">
        <f>IF(ISNUMBER(SEARCH('Φόρμα Εισαγωγής'!$B$2,C7741)),MAX($B$1:B7740)+1,0)</f>
        <v>0</v>
      </c>
      <c r="D7741" s="33">
        <f>IF(ISNUMBER(SEARCH('Φόρμα Εισαγωγής'!$C$2,E7741)),MAX($D$1:D7740)+1,0)</f>
        <v>0</v>
      </c>
      <c r="H7741" s="6">
        <f t="shared" si="371"/>
        <v>0</v>
      </c>
      <c r="I7741" s="6">
        <f t="shared" si="372"/>
        <v>0</v>
      </c>
      <c r="J7741" s="6">
        <f t="shared" si="373"/>
        <v>0</v>
      </c>
      <c r="L7741" s="4" t="str">
        <f>IFERROR(VLOOKUP(ROWS($L$2:L7741),$B$2:$C$1996,2,0),"")</f>
        <v/>
      </c>
      <c r="N7741" s="2" t="str">
        <f>IFERROR(VLOOKUP(ROWS($N$2:N7741),$D$2:$E$1996,2,0),"")</f>
        <v/>
      </c>
    </row>
    <row r="7742" spans="2:14">
      <c r="B7742" s="32">
        <f>IF(ISNUMBER(SEARCH('Φόρμα Εισαγωγής'!$B$2,C7742)),MAX($B$1:B7741)+1,0)</f>
        <v>0</v>
      </c>
      <c r="D7742" s="33">
        <f>IF(ISNUMBER(SEARCH('Φόρμα Εισαγωγής'!$C$2,E7742)),MAX($D$1:D7741)+1,0)</f>
        <v>0</v>
      </c>
      <c r="H7742" s="6">
        <f t="shared" si="371"/>
        <v>0</v>
      </c>
      <c r="I7742" s="6">
        <f t="shared" si="372"/>
        <v>0</v>
      </c>
      <c r="J7742" s="6">
        <f t="shared" si="373"/>
        <v>0</v>
      </c>
      <c r="L7742" s="4" t="str">
        <f>IFERROR(VLOOKUP(ROWS($L$2:L7742),$B$2:$C$1996,2,0),"")</f>
        <v/>
      </c>
      <c r="N7742" s="2" t="str">
        <f>IFERROR(VLOOKUP(ROWS($N$2:N7742),$D$2:$E$1996,2,0),"")</f>
        <v/>
      </c>
    </row>
    <row r="7743" spans="2:14">
      <c r="B7743" s="32">
        <f>IF(ISNUMBER(SEARCH('Φόρμα Εισαγωγής'!$B$2,C7743)),MAX($B$1:B7742)+1,0)</f>
        <v>0</v>
      </c>
      <c r="D7743" s="33">
        <f>IF(ISNUMBER(SEARCH('Φόρμα Εισαγωγής'!$C$2,E7743)),MAX($D$1:D7742)+1,0)</f>
        <v>0</v>
      </c>
      <c r="H7743" s="6">
        <f t="shared" si="371"/>
        <v>0</v>
      </c>
      <c r="I7743" s="6">
        <f t="shared" si="372"/>
        <v>0</v>
      </c>
      <c r="J7743" s="6">
        <f t="shared" si="373"/>
        <v>0</v>
      </c>
      <c r="L7743" s="4" t="str">
        <f>IFERROR(VLOOKUP(ROWS($L$2:L7743),$B$2:$C$1996,2,0),"")</f>
        <v/>
      </c>
      <c r="N7743" s="2" t="str">
        <f>IFERROR(VLOOKUP(ROWS($N$2:N7743),$D$2:$E$1996,2,0),"")</f>
        <v/>
      </c>
    </row>
    <row r="7744" spans="2:14">
      <c r="B7744" s="32">
        <f>IF(ISNUMBER(SEARCH('Φόρμα Εισαγωγής'!$B$2,C7744)),MAX($B$1:B7743)+1,0)</f>
        <v>0</v>
      </c>
      <c r="D7744" s="33">
        <f>IF(ISNUMBER(SEARCH('Φόρμα Εισαγωγής'!$C$2,E7744)),MAX($D$1:D7743)+1,0)</f>
        <v>0</v>
      </c>
      <c r="H7744" s="6">
        <f t="shared" ref="H7744:H7807" si="374">G7744+(G7744*0.24)</f>
        <v>0</v>
      </c>
      <c r="I7744" s="6">
        <f t="shared" ref="I7744:I7807" si="375">F7744*A7744</f>
        <v>0</v>
      </c>
      <c r="J7744" s="6">
        <f t="shared" ref="J7744:J7807" si="376">H7744*A7744</f>
        <v>0</v>
      </c>
      <c r="L7744" s="4" t="str">
        <f>IFERROR(VLOOKUP(ROWS($L$2:L7744),$B$2:$C$1996,2,0),"")</f>
        <v/>
      </c>
      <c r="N7744" s="2" t="str">
        <f>IFERROR(VLOOKUP(ROWS($N$2:N7744),$D$2:$E$1996,2,0),"")</f>
        <v/>
      </c>
    </row>
    <row r="7745" spans="2:14">
      <c r="B7745" s="32">
        <f>IF(ISNUMBER(SEARCH('Φόρμα Εισαγωγής'!$B$2,C7745)),MAX($B$1:B7744)+1,0)</f>
        <v>0</v>
      </c>
      <c r="D7745" s="33">
        <f>IF(ISNUMBER(SEARCH('Φόρμα Εισαγωγής'!$C$2,E7745)),MAX($D$1:D7744)+1,0)</f>
        <v>0</v>
      </c>
      <c r="H7745" s="6">
        <f t="shared" si="374"/>
        <v>0</v>
      </c>
      <c r="I7745" s="6">
        <f t="shared" si="375"/>
        <v>0</v>
      </c>
      <c r="J7745" s="6">
        <f t="shared" si="376"/>
        <v>0</v>
      </c>
      <c r="L7745" s="4" t="str">
        <f>IFERROR(VLOOKUP(ROWS($L$2:L7745),$B$2:$C$1996,2,0),"")</f>
        <v/>
      </c>
      <c r="N7745" s="2" t="str">
        <f>IFERROR(VLOOKUP(ROWS($N$2:N7745),$D$2:$E$1996,2,0),"")</f>
        <v/>
      </c>
    </row>
    <row r="7746" spans="2:14">
      <c r="B7746" s="32">
        <f>IF(ISNUMBER(SEARCH('Φόρμα Εισαγωγής'!$B$2,C7746)),MAX($B$1:B7745)+1,0)</f>
        <v>0</v>
      </c>
      <c r="D7746" s="33">
        <f>IF(ISNUMBER(SEARCH('Φόρμα Εισαγωγής'!$C$2,E7746)),MAX($D$1:D7745)+1,0)</f>
        <v>0</v>
      </c>
      <c r="H7746" s="6">
        <f t="shared" si="374"/>
        <v>0</v>
      </c>
      <c r="I7746" s="6">
        <f t="shared" si="375"/>
        <v>0</v>
      </c>
      <c r="J7746" s="6">
        <f t="shared" si="376"/>
        <v>0</v>
      </c>
      <c r="L7746" s="4" t="str">
        <f>IFERROR(VLOOKUP(ROWS($L$2:L7746),$B$2:$C$1996,2,0),"")</f>
        <v/>
      </c>
      <c r="N7746" s="2" t="str">
        <f>IFERROR(VLOOKUP(ROWS($N$2:N7746),$D$2:$E$1996,2,0),"")</f>
        <v/>
      </c>
    </row>
    <row r="7747" spans="2:14">
      <c r="B7747" s="32">
        <f>IF(ISNUMBER(SEARCH('Φόρμα Εισαγωγής'!$B$2,C7747)),MAX($B$1:B7746)+1,0)</f>
        <v>0</v>
      </c>
      <c r="D7747" s="33">
        <f>IF(ISNUMBER(SEARCH('Φόρμα Εισαγωγής'!$C$2,E7747)),MAX($D$1:D7746)+1,0)</f>
        <v>0</v>
      </c>
      <c r="H7747" s="6">
        <f t="shared" si="374"/>
        <v>0</v>
      </c>
      <c r="I7747" s="6">
        <f t="shared" si="375"/>
        <v>0</v>
      </c>
      <c r="J7747" s="6">
        <f t="shared" si="376"/>
        <v>0</v>
      </c>
      <c r="L7747" s="4" t="str">
        <f>IFERROR(VLOOKUP(ROWS($L$2:L7747),$B$2:$C$1996,2,0),"")</f>
        <v/>
      </c>
      <c r="N7747" s="2" t="str">
        <f>IFERROR(VLOOKUP(ROWS($N$2:N7747),$D$2:$E$1996,2,0),"")</f>
        <v/>
      </c>
    </row>
    <row r="7748" spans="2:14">
      <c r="B7748" s="32">
        <f>IF(ISNUMBER(SEARCH('Φόρμα Εισαγωγής'!$B$2,C7748)),MAX($B$1:B7747)+1,0)</f>
        <v>0</v>
      </c>
      <c r="D7748" s="33">
        <f>IF(ISNUMBER(SEARCH('Φόρμα Εισαγωγής'!$C$2,E7748)),MAX($D$1:D7747)+1,0)</f>
        <v>0</v>
      </c>
      <c r="H7748" s="6">
        <f t="shared" si="374"/>
        <v>0</v>
      </c>
      <c r="I7748" s="6">
        <f t="shared" si="375"/>
        <v>0</v>
      </c>
      <c r="J7748" s="6">
        <f t="shared" si="376"/>
        <v>0</v>
      </c>
      <c r="L7748" s="4" t="str">
        <f>IFERROR(VLOOKUP(ROWS($L$2:L7748),$B$2:$C$1996,2,0),"")</f>
        <v/>
      </c>
      <c r="N7748" s="2" t="str">
        <f>IFERROR(VLOOKUP(ROWS($N$2:N7748),$D$2:$E$1996,2,0),"")</f>
        <v/>
      </c>
    </row>
    <row r="7749" spans="2:14">
      <c r="B7749" s="32">
        <f>IF(ISNUMBER(SEARCH('Φόρμα Εισαγωγής'!$B$2,C7749)),MAX($B$1:B7748)+1,0)</f>
        <v>0</v>
      </c>
      <c r="D7749" s="33">
        <f>IF(ISNUMBER(SEARCH('Φόρμα Εισαγωγής'!$C$2,E7749)),MAX($D$1:D7748)+1,0)</f>
        <v>0</v>
      </c>
      <c r="H7749" s="6">
        <f t="shared" si="374"/>
        <v>0</v>
      </c>
      <c r="I7749" s="6">
        <f t="shared" si="375"/>
        <v>0</v>
      </c>
      <c r="J7749" s="6">
        <f t="shared" si="376"/>
        <v>0</v>
      </c>
      <c r="L7749" s="4" t="str">
        <f>IFERROR(VLOOKUP(ROWS($L$2:L7749),$B$2:$C$1996,2,0),"")</f>
        <v/>
      </c>
      <c r="N7749" s="2" t="str">
        <f>IFERROR(VLOOKUP(ROWS($N$2:N7749),$D$2:$E$1996,2,0),"")</f>
        <v/>
      </c>
    </row>
    <row r="7750" spans="2:14">
      <c r="B7750" s="32">
        <f>IF(ISNUMBER(SEARCH('Φόρμα Εισαγωγής'!$B$2,C7750)),MAX($B$1:B7749)+1,0)</f>
        <v>0</v>
      </c>
      <c r="D7750" s="33">
        <f>IF(ISNUMBER(SEARCH('Φόρμα Εισαγωγής'!$C$2,E7750)),MAX($D$1:D7749)+1,0)</f>
        <v>0</v>
      </c>
      <c r="H7750" s="6">
        <f t="shared" si="374"/>
        <v>0</v>
      </c>
      <c r="I7750" s="6">
        <f t="shared" si="375"/>
        <v>0</v>
      </c>
      <c r="J7750" s="6">
        <f t="shared" si="376"/>
        <v>0</v>
      </c>
      <c r="L7750" s="4" t="str">
        <f>IFERROR(VLOOKUP(ROWS($L$2:L7750),$B$2:$C$1996,2,0),"")</f>
        <v/>
      </c>
      <c r="N7750" s="2" t="str">
        <f>IFERROR(VLOOKUP(ROWS($N$2:N7750),$D$2:$E$1996,2,0),"")</f>
        <v/>
      </c>
    </row>
    <row r="7751" spans="2:14">
      <c r="B7751" s="32">
        <f>IF(ISNUMBER(SEARCH('Φόρμα Εισαγωγής'!$B$2,C7751)),MAX($B$1:B7750)+1,0)</f>
        <v>0</v>
      </c>
      <c r="D7751" s="33">
        <f>IF(ISNUMBER(SEARCH('Φόρμα Εισαγωγής'!$C$2,E7751)),MAX($D$1:D7750)+1,0)</f>
        <v>0</v>
      </c>
      <c r="H7751" s="6">
        <f t="shared" si="374"/>
        <v>0</v>
      </c>
      <c r="I7751" s="6">
        <f t="shared" si="375"/>
        <v>0</v>
      </c>
      <c r="J7751" s="6">
        <f t="shared" si="376"/>
        <v>0</v>
      </c>
      <c r="L7751" s="4" t="str">
        <f>IFERROR(VLOOKUP(ROWS($L$2:L7751),$B$2:$C$1996,2,0),"")</f>
        <v/>
      </c>
      <c r="N7751" s="2" t="str">
        <f>IFERROR(VLOOKUP(ROWS($N$2:N7751),$D$2:$E$1996,2,0),"")</f>
        <v/>
      </c>
    </row>
    <row r="7752" spans="2:14">
      <c r="B7752" s="32">
        <f>IF(ISNUMBER(SEARCH('Φόρμα Εισαγωγής'!$B$2,C7752)),MAX($B$1:B7751)+1,0)</f>
        <v>0</v>
      </c>
      <c r="D7752" s="33">
        <f>IF(ISNUMBER(SEARCH('Φόρμα Εισαγωγής'!$C$2,E7752)),MAX($D$1:D7751)+1,0)</f>
        <v>0</v>
      </c>
      <c r="H7752" s="6">
        <f t="shared" si="374"/>
        <v>0</v>
      </c>
      <c r="I7752" s="6">
        <f t="shared" si="375"/>
        <v>0</v>
      </c>
      <c r="J7752" s="6">
        <f t="shared" si="376"/>
        <v>0</v>
      </c>
      <c r="L7752" s="4" t="str">
        <f>IFERROR(VLOOKUP(ROWS($L$2:L7752),$B$2:$C$1996,2,0),"")</f>
        <v/>
      </c>
      <c r="N7752" s="2" t="str">
        <f>IFERROR(VLOOKUP(ROWS($N$2:N7752),$D$2:$E$1996,2,0),"")</f>
        <v/>
      </c>
    </row>
    <row r="7753" spans="2:14">
      <c r="B7753" s="32">
        <f>IF(ISNUMBER(SEARCH('Φόρμα Εισαγωγής'!$B$2,C7753)),MAX($B$1:B7752)+1,0)</f>
        <v>0</v>
      </c>
      <c r="D7753" s="33">
        <f>IF(ISNUMBER(SEARCH('Φόρμα Εισαγωγής'!$C$2,E7753)),MAX($D$1:D7752)+1,0)</f>
        <v>0</v>
      </c>
      <c r="H7753" s="6">
        <f t="shared" si="374"/>
        <v>0</v>
      </c>
      <c r="I7753" s="6">
        <f t="shared" si="375"/>
        <v>0</v>
      </c>
      <c r="J7753" s="6">
        <f t="shared" si="376"/>
        <v>0</v>
      </c>
      <c r="L7753" s="4" t="str">
        <f>IFERROR(VLOOKUP(ROWS($L$2:L7753),$B$2:$C$1996,2,0),"")</f>
        <v/>
      </c>
      <c r="N7753" s="2" t="str">
        <f>IFERROR(VLOOKUP(ROWS($N$2:N7753),$D$2:$E$1996,2,0),"")</f>
        <v/>
      </c>
    </row>
    <row r="7754" spans="2:14">
      <c r="B7754" s="32">
        <f>IF(ISNUMBER(SEARCH('Φόρμα Εισαγωγής'!$B$2,C7754)),MAX($B$1:B7753)+1,0)</f>
        <v>0</v>
      </c>
      <c r="D7754" s="33">
        <f>IF(ISNUMBER(SEARCH('Φόρμα Εισαγωγής'!$C$2,E7754)),MAX($D$1:D7753)+1,0)</f>
        <v>0</v>
      </c>
      <c r="H7754" s="6">
        <f t="shared" si="374"/>
        <v>0</v>
      </c>
      <c r="I7754" s="6">
        <f t="shared" si="375"/>
        <v>0</v>
      </c>
      <c r="J7754" s="6">
        <f t="shared" si="376"/>
        <v>0</v>
      </c>
      <c r="L7754" s="4" t="str">
        <f>IFERROR(VLOOKUP(ROWS($L$2:L7754),$B$2:$C$1996,2,0),"")</f>
        <v/>
      </c>
      <c r="N7754" s="2" t="str">
        <f>IFERROR(VLOOKUP(ROWS($N$2:N7754),$D$2:$E$1996,2,0),"")</f>
        <v/>
      </c>
    </row>
    <row r="7755" spans="2:14">
      <c r="B7755" s="32">
        <f>IF(ISNUMBER(SEARCH('Φόρμα Εισαγωγής'!$B$2,C7755)),MAX($B$1:B7754)+1,0)</f>
        <v>0</v>
      </c>
      <c r="D7755" s="33">
        <f>IF(ISNUMBER(SEARCH('Φόρμα Εισαγωγής'!$C$2,E7755)),MAX($D$1:D7754)+1,0)</f>
        <v>0</v>
      </c>
      <c r="H7755" s="6">
        <f t="shared" si="374"/>
        <v>0</v>
      </c>
      <c r="I7755" s="6">
        <f t="shared" si="375"/>
        <v>0</v>
      </c>
      <c r="J7755" s="6">
        <f t="shared" si="376"/>
        <v>0</v>
      </c>
      <c r="L7755" s="4" t="str">
        <f>IFERROR(VLOOKUP(ROWS($L$2:L7755),$B$2:$C$1996,2,0),"")</f>
        <v/>
      </c>
      <c r="N7755" s="2" t="str">
        <f>IFERROR(VLOOKUP(ROWS($N$2:N7755),$D$2:$E$1996,2,0),"")</f>
        <v/>
      </c>
    </row>
    <row r="7756" spans="2:14">
      <c r="B7756" s="32">
        <f>IF(ISNUMBER(SEARCH('Φόρμα Εισαγωγής'!$B$2,C7756)),MAX($B$1:B7755)+1,0)</f>
        <v>0</v>
      </c>
      <c r="D7756" s="33">
        <f>IF(ISNUMBER(SEARCH('Φόρμα Εισαγωγής'!$C$2,E7756)),MAX($D$1:D7755)+1,0)</f>
        <v>0</v>
      </c>
      <c r="H7756" s="6">
        <f t="shared" si="374"/>
        <v>0</v>
      </c>
      <c r="I7756" s="6">
        <f t="shared" si="375"/>
        <v>0</v>
      </c>
      <c r="J7756" s="6">
        <f t="shared" si="376"/>
        <v>0</v>
      </c>
      <c r="L7756" s="4" t="str">
        <f>IFERROR(VLOOKUP(ROWS($L$2:L7756),$B$2:$C$1996,2,0),"")</f>
        <v/>
      </c>
      <c r="N7756" s="2" t="str">
        <f>IFERROR(VLOOKUP(ROWS($N$2:N7756),$D$2:$E$1996,2,0),"")</f>
        <v/>
      </c>
    </row>
    <row r="7757" spans="2:14">
      <c r="B7757" s="32">
        <f>IF(ISNUMBER(SEARCH('Φόρμα Εισαγωγής'!$B$2,C7757)),MAX($B$1:B7756)+1,0)</f>
        <v>0</v>
      </c>
      <c r="D7757" s="33">
        <f>IF(ISNUMBER(SEARCH('Φόρμα Εισαγωγής'!$C$2,E7757)),MAX($D$1:D7756)+1,0)</f>
        <v>0</v>
      </c>
      <c r="H7757" s="6">
        <f t="shared" si="374"/>
        <v>0</v>
      </c>
      <c r="I7757" s="6">
        <f t="shared" si="375"/>
        <v>0</v>
      </c>
      <c r="J7757" s="6">
        <f t="shared" si="376"/>
        <v>0</v>
      </c>
      <c r="L7757" s="4" t="str">
        <f>IFERROR(VLOOKUP(ROWS($L$2:L7757),$B$2:$C$1996,2,0),"")</f>
        <v/>
      </c>
      <c r="N7757" s="2" t="str">
        <f>IFERROR(VLOOKUP(ROWS($N$2:N7757),$D$2:$E$1996,2,0),"")</f>
        <v/>
      </c>
    </row>
    <row r="7758" spans="2:14">
      <c r="B7758" s="32">
        <f>IF(ISNUMBER(SEARCH('Φόρμα Εισαγωγής'!$B$2,C7758)),MAX($B$1:B7757)+1,0)</f>
        <v>0</v>
      </c>
      <c r="D7758" s="33">
        <f>IF(ISNUMBER(SEARCH('Φόρμα Εισαγωγής'!$C$2,E7758)),MAX($D$1:D7757)+1,0)</f>
        <v>0</v>
      </c>
      <c r="H7758" s="6">
        <f t="shared" si="374"/>
        <v>0</v>
      </c>
      <c r="I7758" s="6">
        <f t="shared" si="375"/>
        <v>0</v>
      </c>
      <c r="J7758" s="6">
        <f t="shared" si="376"/>
        <v>0</v>
      </c>
      <c r="L7758" s="4" t="str">
        <f>IFERROR(VLOOKUP(ROWS($L$2:L7758),$B$2:$C$1996,2,0),"")</f>
        <v/>
      </c>
      <c r="N7758" s="2" t="str">
        <f>IFERROR(VLOOKUP(ROWS($N$2:N7758),$D$2:$E$1996,2,0),"")</f>
        <v/>
      </c>
    </row>
    <row r="7759" spans="2:14">
      <c r="B7759" s="32">
        <f>IF(ISNUMBER(SEARCH('Φόρμα Εισαγωγής'!$B$2,C7759)),MAX($B$1:B7758)+1,0)</f>
        <v>0</v>
      </c>
      <c r="D7759" s="33">
        <f>IF(ISNUMBER(SEARCH('Φόρμα Εισαγωγής'!$C$2,E7759)),MAX($D$1:D7758)+1,0)</f>
        <v>0</v>
      </c>
      <c r="H7759" s="6">
        <f t="shared" si="374"/>
        <v>0</v>
      </c>
      <c r="I7759" s="6">
        <f t="shared" si="375"/>
        <v>0</v>
      </c>
      <c r="J7759" s="6">
        <f t="shared" si="376"/>
        <v>0</v>
      </c>
      <c r="L7759" s="4" t="str">
        <f>IFERROR(VLOOKUP(ROWS($L$2:L7759),$B$2:$C$1996,2,0),"")</f>
        <v/>
      </c>
      <c r="N7759" s="2" t="str">
        <f>IFERROR(VLOOKUP(ROWS($N$2:N7759),$D$2:$E$1996,2,0),"")</f>
        <v/>
      </c>
    </row>
    <row r="7760" spans="2:14">
      <c r="B7760" s="32">
        <f>IF(ISNUMBER(SEARCH('Φόρμα Εισαγωγής'!$B$2,C7760)),MAX($B$1:B7759)+1,0)</f>
        <v>0</v>
      </c>
      <c r="D7760" s="33">
        <f>IF(ISNUMBER(SEARCH('Φόρμα Εισαγωγής'!$C$2,E7760)),MAX($D$1:D7759)+1,0)</f>
        <v>0</v>
      </c>
      <c r="H7760" s="6">
        <f t="shared" si="374"/>
        <v>0</v>
      </c>
      <c r="I7760" s="6">
        <f t="shared" si="375"/>
        <v>0</v>
      </c>
      <c r="J7760" s="6">
        <f t="shared" si="376"/>
        <v>0</v>
      </c>
      <c r="L7760" s="4" t="str">
        <f>IFERROR(VLOOKUP(ROWS($L$2:L7760),$B$2:$C$1996,2,0),"")</f>
        <v/>
      </c>
      <c r="N7760" s="2" t="str">
        <f>IFERROR(VLOOKUP(ROWS($N$2:N7760),$D$2:$E$1996,2,0),"")</f>
        <v/>
      </c>
    </row>
    <row r="7761" spans="2:14">
      <c r="B7761" s="32">
        <f>IF(ISNUMBER(SEARCH('Φόρμα Εισαγωγής'!$B$2,C7761)),MAX($B$1:B7760)+1,0)</f>
        <v>0</v>
      </c>
      <c r="D7761" s="33">
        <f>IF(ISNUMBER(SEARCH('Φόρμα Εισαγωγής'!$C$2,E7761)),MAX($D$1:D7760)+1,0)</f>
        <v>0</v>
      </c>
      <c r="H7761" s="6">
        <f t="shared" si="374"/>
        <v>0</v>
      </c>
      <c r="I7761" s="6">
        <f t="shared" si="375"/>
        <v>0</v>
      </c>
      <c r="J7761" s="6">
        <f t="shared" si="376"/>
        <v>0</v>
      </c>
      <c r="L7761" s="4" t="str">
        <f>IFERROR(VLOOKUP(ROWS($L$2:L7761),$B$2:$C$1996,2,0),"")</f>
        <v/>
      </c>
      <c r="N7761" s="2" t="str">
        <f>IFERROR(VLOOKUP(ROWS($N$2:N7761),$D$2:$E$1996,2,0),"")</f>
        <v/>
      </c>
    </row>
    <row r="7762" spans="2:14">
      <c r="B7762" s="32">
        <f>IF(ISNUMBER(SEARCH('Φόρμα Εισαγωγής'!$B$2,C7762)),MAX($B$1:B7761)+1,0)</f>
        <v>0</v>
      </c>
      <c r="D7762" s="33">
        <f>IF(ISNUMBER(SEARCH('Φόρμα Εισαγωγής'!$C$2,E7762)),MAX($D$1:D7761)+1,0)</f>
        <v>0</v>
      </c>
      <c r="H7762" s="6">
        <f t="shared" si="374"/>
        <v>0</v>
      </c>
      <c r="I7762" s="6">
        <f t="shared" si="375"/>
        <v>0</v>
      </c>
      <c r="J7762" s="6">
        <f t="shared" si="376"/>
        <v>0</v>
      </c>
      <c r="L7762" s="4" t="str">
        <f>IFERROR(VLOOKUP(ROWS($L$2:L7762),$B$2:$C$1996,2,0),"")</f>
        <v/>
      </c>
      <c r="N7762" s="2" t="str">
        <f>IFERROR(VLOOKUP(ROWS($N$2:N7762),$D$2:$E$1996,2,0),"")</f>
        <v/>
      </c>
    </row>
    <row r="7763" spans="2:14">
      <c r="B7763" s="32">
        <f>IF(ISNUMBER(SEARCH('Φόρμα Εισαγωγής'!$B$2,C7763)),MAX($B$1:B7762)+1,0)</f>
        <v>0</v>
      </c>
      <c r="D7763" s="33">
        <f>IF(ISNUMBER(SEARCH('Φόρμα Εισαγωγής'!$C$2,E7763)),MAX($D$1:D7762)+1,0)</f>
        <v>0</v>
      </c>
      <c r="H7763" s="6">
        <f t="shared" si="374"/>
        <v>0</v>
      </c>
      <c r="I7763" s="6">
        <f t="shared" si="375"/>
        <v>0</v>
      </c>
      <c r="J7763" s="6">
        <f t="shared" si="376"/>
        <v>0</v>
      </c>
      <c r="L7763" s="4" t="str">
        <f>IFERROR(VLOOKUP(ROWS($L$2:L7763),$B$2:$C$1996,2,0),"")</f>
        <v/>
      </c>
      <c r="N7763" s="2" t="str">
        <f>IFERROR(VLOOKUP(ROWS($N$2:N7763),$D$2:$E$1996,2,0),"")</f>
        <v/>
      </c>
    </row>
    <row r="7764" spans="2:14">
      <c r="B7764" s="32">
        <f>IF(ISNUMBER(SEARCH('Φόρμα Εισαγωγής'!$B$2,C7764)),MAX($B$1:B7763)+1,0)</f>
        <v>0</v>
      </c>
      <c r="D7764" s="33">
        <f>IF(ISNUMBER(SEARCH('Φόρμα Εισαγωγής'!$C$2,E7764)),MAX($D$1:D7763)+1,0)</f>
        <v>0</v>
      </c>
      <c r="H7764" s="6">
        <f t="shared" si="374"/>
        <v>0</v>
      </c>
      <c r="I7764" s="6">
        <f t="shared" si="375"/>
        <v>0</v>
      </c>
      <c r="J7764" s="6">
        <f t="shared" si="376"/>
        <v>0</v>
      </c>
      <c r="L7764" s="4" t="str">
        <f>IFERROR(VLOOKUP(ROWS($L$2:L7764),$B$2:$C$1996,2,0),"")</f>
        <v/>
      </c>
      <c r="N7764" s="2" t="str">
        <f>IFERROR(VLOOKUP(ROWS($N$2:N7764),$D$2:$E$1996,2,0),"")</f>
        <v/>
      </c>
    </row>
    <row r="7765" spans="2:14">
      <c r="B7765" s="32">
        <f>IF(ISNUMBER(SEARCH('Φόρμα Εισαγωγής'!$B$2,C7765)),MAX($B$1:B7764)+1,0)</f>
        <v>0</v>
      </c>
      <c r="D7765" s="33">
        <f>IF(ISNUMBER(SEARCH('Φόρμα Εισαγωγής'!$C$2,E7765)),MAX($D$1:D7764)+1,0)</f>
        <v>0</v>
      </c>
      <c r="H7765" s="6">
        <f t="shared" si="374"/>
        <v>0</v>
      </c>
      <c r="I7765" s="6">
        <f t="shared" si="375"/>
        <v>0</v>
      </c>
      <c r="J7765" s="6">
        <f t="shared" si="376"/>
        <v>0</v>
      </c>
      <c r="L7765" s="4" t="str">
        <f>IFERROR(VLOOKUP(ROWS($L$2:L7765),$B$2:$C$1996,2,0),"")</f>
        <v/>
      </c>
      <c r="N7765" s="2" t="str">
        <f>IFERROR(VLOOKUP(ROWS($N$2:N7765),$D$2:$E$1996,2,0),"")</f>
        <v/>
      </c>
    </row>
    <row r="7766" spans="2:14">
      <c r="B7766" s="32">
        <f>IF(ISNUMBER(SEARCH('Φόρμα Εισαγωγής'!$B$2,C7766)),MAX($B$1:B7765)+1,0)</f>
        <v>0</v>
      </c>
      <c r="D7766" s="33">
        <f>IF(ISNUMBER(SEARCH('Φόρμα Εισαγωγής'!$C$2,E7766)),MAX($D$1:D7765)+1,0)</f>
        <v>0</v>
      </c>
      <c r="H7766" s="6">
        <f t="shared" si="374"/>
        <v>0</v>
      </c>
      <c r="I7766" s="6">
        <f t="shared" si="375"/>
        <v>0</v>
      </c>
      <c r="J7766" s="6">
        <f t="shared" si="376"/>
        <v>0</v>
      </c>
      <c r="L7766" s="4" t="str">
        <f>IFERROR(VLOOKUP(ROWS($L$2:L7766),$B$2:$C$1996,2,0),"")</f>
        <v/>
      </c>
      <c r="N7766" s="2" t="str">
        <f>IFERROR(VLOOKUP(ROWS($N$2:N7766),$D$2:$E$1996,2,0),"")</f>
        <v/>
      </c>
    </row>
    <row r="7767" spans="2:14">
      <c r="B7767" s="32">
        <f>IF(ISNUMBER(SEARCH('Φόρμα Εισαγωγής'!$B$2,C7767)),MAX($B$1:B7766)+1,0)</f>
        <v>0</v>
      </c>
      <c r="D7767" s="33">
        <f>IF(ISNUMBER(SEARCH('Φόρμα Εισαγωγής'!$C$2,E7767)),MAX($D$1:D7766)+1,0)</f>
        <v>0</v>
      </c>
      <c r="H7767" s="6">
        <f t="shared" si="374"/>
        <v>0</v>
      </c>
      <c r="I7767" s="6">
        <f t="shared" si="375"/>
        <v>0</v>
      </c>
      <c r="J7767" s="6">
        <f t="shared" si="376"/>
        <v>0</v>
      </c>
      <c r="L7767" s="4" t="str">
        <f>IFERROR(VLOOKUP(ROWS($L$2:L7767),$B$2:$C$1996,2,0),"")</f>
        <v/>
      </c>
      <c r="N7767" s="2" t="str">
        <f>IFERROR(VLOOKUP(ROWS($N$2:N7767),$D$2:$E$1996,2,0),"")</f>
        <v/>
      </c>
    </row>
    <row r="7768" spans="2:14">
      <c r="B7768" s="32">
        <f>IF(ISNUMBER(SEARCH('Φόρμα Εισαγωγής'!$B$2,C7768)),MAX($B$1:B7767)+1,0)</f>
        <v>0</v>
      </c>
      <c r="D7768" s="33">
        <f>IF(ISNUMBER(SEARCH('Φόρμα Εισαγωγής'!$C$2,E7768)),MAX($D$1:D7767)+1,0)</f>
        <v>0</v>
      </c>
      <c r="H7768" s="6">
        <f t="shared" si="374"/>
        <v>0</v>
      </c>
      <c r="I7768" s="6">
        <f t="shared" si="375"/>
        <v>0</v>
      </c>
      <c r="J7768" s="6">
        <f t="shared" si="376"/>
        <v>0</v>
      </c>
      <c r="L7768" s="4" t="str">
        <f>IFERROR(VLOOKUP(ROWS($L$2:L7768),$B$2:$C$1996,2,0),"")</f>
        <v/>
      </c>
      <c r="N7768" s="2" t="str">
        <f>IFERROR(VLOOKUP(ROWS($N$2:N7768),$D$2:$E$1996,2,0),"")</f>
        <v/>
      </c>
    </row>
    <row r="7769" spans="2:14">
      <c r="B7769" s="32">
        <f>IF(ISNUMBER(SEARCH('Φόρμα Εισαγωγής'!$B$2,C7769)),MAX($B$1:B7768)+1,0)</f>
        <v>0</v>
      </c>
      <c r="D7769" s="33">
        <f>IF(ISNUMBER(SEARCH('Φόρμα Εισαγωγής'!$C$2,E7769)),MAX($D$1:D7768)+1,0)</f>
        <v>0</v>
      </c>
      <c r="H7769" s="6">
        <f t="shared" si="374"/>
        <v>0</v>
      </c>
      <c r="I7769" s="6">
        <f t="shared" si="375"/>
        <v>0</v>
      </c>
      <c r="J7769" s="6">
        <f t="shared" si="376"/>
        <v>0</v>
      </c>
      <c r="L7769" s="4" t="str">
        <f>IFERROR(VLOOKUP(ROWS($L$2:L7769),$B$2:$C$1996,2,0),"")</f>
        <v/>
      </c>
      <c r="N7769" s="2" t="str">
        <f>IFERROR(VLOOKUP(ROWS($N$2:N7769),$D$2:$E$1996,2,0),"")</f>
        <v/>
      </c>
    </row>
    <row r="7770" spans="2:14">
      <c r="B7770" s="32">
        <f>IF(ISNUMBER(SEARCH('Φόρμα Εισαγωγής'!$B$2,C7770)),MAX($B$1:B7769)+1,0)</f>
        <v>0</v>
      </c>
      <c r="D7770" s="33">
        <f>IF(ISNUMBER(SEARCH('Φόρμα Εισαγωγής'!$C$2,E7770)),MAX($D$1:D7769)+1,0)</f>
        <v>0</v>
      </c>
      <c r="H7770" s="6">
        <f t="shared" si="374"/>
        <v>0</v>
      </c>
      <c r="I7770" s="6">
        <f t="shared" si="375"/>
        <v>0</v>
      </c>
      <c r="J7770" s="6">
        <f t="shared" si="376"/>
        <v>0</v>
      </c>
      <c r="L7770" s="4" t="str">
        <f>IFERROR(VLOOKUP(ROWS($L$2:L7770),$B$2:$C$1996,2,0),"")</f>
        <v/>
      </c>
      <c r="N7770" s="2" t="str">
        <f>IFERROR(VLOOKUP(ROWS($N$2:N7770),$D$2:$E$1996,2,0),"")</f>
        <v/>
      </c>
    </row>
    <row r="7771" spans="2:14">
      <c r="B7771" s="32">
        <f>IF(ISNUMBER(SEARCH('Φόρμα Εισαγωγής'!$B$2,C7771)),MAX($B$1:B7770)+1,0)</f>
        <v>0</v>
      </c>
      <c r="D7771" s="33">
        <f>IF(ISNUMBER(SEARCH('Φόρμα Εισαγωγής'!$C$2,E7771)),MAX($D$1:D7770)+1,0)</f>
        <v>0</v>
      </c>
      <c r="H7771" s="6">
        <f t="shared" si="374"/>
        <v>0</v>
      </c>
      <c r="I7771" s="6">
        <f t="shared" si="375"/>
        <v>0</v>
      </c>
      <c r="J7771" s="6">
        <f t="shared" si="376"/>
        <v>0</v>
      </c>
      <c r="L7771" s="4" t="str">
        <f>IFERROR(VLOOKUP(ROWS($L$2:L7771),$B$2:$C$1996,2,0),"")</f>
        <v/>
      </c>
      <c r="N7771" s="2" t="str">
        <f>IFERROR(VLOOKUP(ROWS($N$2:N7771),$D$2:$E$1996,2,0),"")</f>
        <v/>
      </c>
    </row>
    <row r="7772" spans="2:14">
      <c r="B7772" s="32">
        <f>IF(ISNUMBER(SEARCH('Φόρμα Εισαγωγής'!$B$2,C7772)),MAX($B$1:B7771)+1,0)</f>
        <v>0</v>
      </c>
      <c r="D7772" s="33">
        <f>IF(ISNUMBER(SEARCH('Φόρμα Εισαγωγής'!$C$2,E7772)),MAX($D$1:D7771)+1,0)</f>
        <v>0</v>
      </c>
      <c r="H7772" s="6">
        <f t="shared" si="374"/>
        <v>0</v>
      </c>
      <c r="I7772" s="6">
        <f t="shared" si="375"/>
        <v>0</v>
      </c>
      <c r="J7772" s="6">
        <f t="shared" si="376"/>
        <v>0</v>
      </c>
      <c r="L7772" s="4" t="str">
        <f>IFERROR(VLOOKUP(ROWS($L$2:L7772),$B$2:$C$1996,2,0),"")</f>
        <v/>
      </c>
      <c r="N7772" s="2" t="str">
        <f>IFERROR(VLOOKUP(ROWS($N$2:N7772),$D$2:$E$1996,2,0),"")</f>
        <v/>
      </c>
    </row>
    <row r="7773" spans="2:14">
      <c r="B7773" s="32">
        <f>IF(ISNUMBER(SEARCH('Φόρμα Εισαγωγής'!$B$2,C7773)),MAX($B$1:B7772)+1,0)</f>
        <v>0</v>
      </c>
      <c r="D7773" s="33">
        <f>IF(ISNUMBER(SEARCH('Φόρμα Εισαγωγής'!$C$2,E7773)),MAX($D$1:D7772)+1,0)</f>
        <v>0</v>
      </c>
      <c r="H7773" s="6">
        <f t="shared" si="374"/>
        <v>0</v>
      </c>
      <c r="I7773" s="6">
        <f t="shared" si="375"/>
        <v>0</v>
      </c>
      <c r="J7773" s="6">
        <f t="shared" si="376"/>
        <v>0</v>
      </c>
      <c r="L7773" s="4" t="str">
        <f>IFERROR(VLOOKUP(ROWS($L$2:L7773),$B$2:$C$1996,2,0),"")</f>
        <v/>
      </c>
      <c r="N7773" s="2" t="str">
        <f>IFERROR(VLOOKUP(ROWS($N$2:N7773),$D$2:$E$1996,2,0),"")</f>
        <v/>
      </c>
    </row>
    <row r="7774" spans="2:14">
      <c r="B7774" s="32">
        <f>IF(ISNUMBER(SEARCH('Φόρμα Εισαγωγής'!$B$2,C7774)),MAX($B$1:B7773)+1,0)</f>
        <v>0</v>
      </c>
      <c r="D7774" s="33">
        <f>IF(ISNUMBER(SEARCH('Φόρμα Εισαγωγής'!$C$2,E7774)),MAX($D$1:D7773)+1,0)</f>
        <v>0</v>
      </c>
      <c r="H7774" s="6">
        <f t="shared" si="374"/>
        <v>0</v>
      </c>
      <c r="I7774" s="6">
        <f t="shared" si="375"/>
        <v>0</v>
      </c>
      <c r="J7774" s="6">
        <f t="shared" si="376"/>
        <v>0</v>
      </c>
      <c r="L7774" s="4" t="str">
        <f>IFERROR(VLOOKUP(ROWS($L$2:L7774),$B$2:$C$1996,2,0),"")</f>
        <v/>
      </c>
      <c r="N7774" s="2" t="str">
        <f>IFERROR(VLOOKUP(ROWS($N$2:N7774),$D$2:$E$1996,2,0),"")</f>
        <v/>
      </c>
    </row>
    <row r="7775" spans="2:14">
      <c r="B7775" s="32">
        <f>IF(ISNUMBER(SEARCH('Φόρμα Εισαγωγής'!$B$2,C7775)),MAX($B$1:B7774)+1,0)</f>
        <v>0</v>
      </c>
      <c r="D7775" s="33">
        <f>IF(ISNUMBER(SEARCH('Φόρμα Εισαγωγής'!$C$2,E7775)),MAX($D$1:D7774)+1,0)</f>
        <v>0</v>
      </c>
      <c r="H7775" s="6">
        <f t="shared" si="374"/>
        <v>0</v>
      </c>
      <c r="I7775" s="6">
        <f t="shared" si="375"/>
        <v>0</v>
      </c>
      <c r="J7775" s="6">
        <f t="shared" si="376"/>
        <v>0</v>
      </c>
      <c r="L7775" s="4" t="str">
        <f>IFERROR(VLOOKUP(ROWS($L$2:L7775),$B$2:$C$1996,2,0),"")</f>
        <v/>
      </c>
      <c r="N7775" s="2" t="str">
        <f>IFERROR(VLOOKUP(ROWS($N$2:N7775),$D$2:$E$1996,2,0),"")</f>
        <v/>
      </c>
    </row>
    <row r="7776" spans="2:14">
      <c r="B7776" s="32">
        <f>IF(ISNUMBER(SEARCH('Φόρμα Εισαγωγής'!$B$2,C7776)),MAX($B$1:B7775)+1,0)</f>
        <v>0</v>
      </c>
      <c r="D7776" s="33">
        <f>IF(ISNUMBER(SEARCH('Φόρμα Εισαγωγής'!$C$2,E7776)),MAX($D$1:D7775)+1,0)</f>
        <v>0</v>
      </c>
      <c r="H7776" s="6">
        <f t="shared" si="374"/>
        <v>0</v>
      </c>
      <c r="I7776" s="6">
        <f t="shared" si="375"/>
        <v>0</v>
      </c>
      <c r="J7776" s="6">
        <f t="shared" si="376"/>
        <v>0</v>
      </c>
      <c r="L7776" s="4" t="str">
        <f>IFERROR(VLOOKUP(ROWS($L$2:L7776),$B$2:$C$1996,2,0),"")</f>
        <v/>
      </c>
      <c r="N7776" s="2" t="str">
        <f>IFERROR(VLOOKUP(ROWS($N$2:N7776),$D$2:$E$1996,2,0),"")</f>
        <v/>
      </c>
    </row>
    <row r="7777" spans="2:14">
      <c r="B7777" s="32">
        <f>IF(ISNUMBER(SEARCH('Φόρμα Εισαγωγής'!$B$2,C7777)),MAX($B$1:B7776)+1,0)</f>
        <v>0</v>
      </c>
      <c r="D7777" s="33">
        <f>IF(ISNUMBER(SEARCH('Φόρμα Εισαγωγής'!$C$2,E7777)),MAX($D$1:D7776)+1,0)</f>
        <v>0</v>
      </c>
      <c r="H7777" s="6">
        <f t="shared" si="374"/>
        <v>0</v>
      </c>
      <c r="I7777" s="6">
        <f t="shared" si="375"/>
        <v>0</v>
      </c>
      <c r="J7777" s="6">
        <f t="shared" si="376"/>
        <v>0</v>
      </c>
      <c r="L7777" s="4" t="str">
        <f>IFERROR(VLOOKUP(ROWS($L$2:L7777),$B$2:$C$1996,2,0),"")</f>
        <v/>
      </c>
      <c r="N7777" s="2" t="str">
        <f>IFERROR(VLOOKUP(ROWS($N$2:N7777),$D$2:$E$1996,2,0),"")</f>
        <v/>
      </c>
    </row>
    <row r="7778" spans="2:14">
      <c r="B7778" s="32">
        <f>IF(ISNUMBER(SEARCH('Φόρμα Εισαγωγής'!$B$2,C7778)),MAX($B$1:B7777)+1,0)</f>
        <v>0</v>
      </c>
      <c r="D7778" s="33">
        <f>IF(ISNUMBER(SEARCH('Φόρμα Εισαγωγής'!$C$2,E7778)),MAX($D$1:D7777)+1,0)</f>
        <v>0</v>
      </c>
      <c r="H7778" s="6">
        <f t="shared" si="374"/>
        <v>0</v>
      </c>
      <c r="I7778" s="6">
        <f t="shared" si="375"/>
        <v>0</v>
      </c>
      <c r="J7778" s="6">
        <f t="shared" si="376"/>
        <v>0</v>
      </c>
      <c r="L7778" s="4" t="str">
        <f>IFERROR(VLOOKUP(ROWS($L$2:L7778),$B$2:$C$1996,2,0),"")</f>
        <v/>
      </c>
      <c r="N7778" s="2" t="str">
        <f>IFERROR(VLOOKUP(ROWS($N$2:N7778),$D$2:$E$1996,2,0),"")</f>
        <v/>
      </c>
    </row>
    <row r="7779" spans="2:14">
      <c r="B7779" s="32">
        <f>IF(ISNUMBER(SEARCH('Φόρμα Εισαγωγής'!$B$2,C7779)),MAX($B$1:B7778)+1,0)</f>
        <v>0</v>
      </c>
      <c r="D7779" s="33">
        <f>IF(ISNUMBER(SEARCH('Φόρμα Εισαγωγής'!$C$2,E7779)),MAX($D$1:D7778)+1,0)</f>
        <v>0</v>
      </c>
      <c r="H7779" s="6">
        <f t="shared" si="374"/>
        <v>0</v>
      </c>
      <c r="I7779" s="6">
        <f t="shared" si="375"/>
        <v>0</v>
      </c>
      <c r="J7779" s="6">
        <f t="shared" si="376"/>
        <v>0</v>
      </c>
      <c r="L7779" s="4" t="str">
        <f>IFERROR(VLOOKUP(ROWS($L$2:L7779),$B$2:$C$1996,2,0),"")</f>
        <v/>
      </c>
      <c r="N7779" s="2" t="str">
        <f>IFERROR(VLOOKUP(ROWS($N$2:N7779),$D$2:$E$1996,2,0),"")</f>
        <v/>
      </c>
    </row>
    <row r="7780" spans="2:14">
      <c r="B7780" s="32">
        <f>IF(ISNUMBER(SEARCH('Φόρμα Εισαγωγής'!$B$2,C7780)),MAX($B$1:B7779)+1,0)</f>
        <v>0</v>
      </c>
      <c r="D7780" s="33">
        <f>IF(ISNUMBER(SEARCH('Φόρμα Εισαγωγής'!$C$2,E7780)),MAX($D$1:D7779)+1,0)</f>
        <v>0</v>
      </c>
      <c r="H7780" s="6">
        <f t="shared" si="374"/>
        <v>0</v>
      </c>
      <c r="I7780" s="6">
        <f t="shared" si="375"/>
        <v>0</v>
      </c>
      <c r="J7780" s="6">
        <f t="shared" si="376"/>
        <v>0</v>
      </c>
      <c r="L7780" s="4" t="str">
        <f>IFERROR(VLOOKUP(ROWS($L$2:L7780),$B$2:$C$1996,2,0),"")</f>
        <v/>
      </c>
      <c r="N7780" s="2" t="str">
        <f>IFERROR(VLOOKUP(ROWS($N$2:N7780),$D$2:$E$1996,2,0),"")</f>
        <v/>
      </c>
    </row>
    <row r="7781" spans="2:14">
      <c r="B7781" s="32">
        <f>IF(ISNUMBER(SEARCH('Φόρμα Εισαγωγής'!$B$2,C7781)),MAX($B$1:B7780)+1,0)</f>
        <v>0</v>
      </c>
      <c r="D7781" s="33">
        <f>IF(ISNUMBER(SEARCH('Φόρμα Εισαγωγής'!$C$2,E7781)),MAX($D$1:D7780)+1,0)</f>
        <v>0</v>
      </c>
      <c r="H7781" s="6">
        <f t="shared" si="374"/>
        <v>0</v>
      </c>
      <c r="I7781" s="6">
        <f t="shared" si="375"/>
        <v>0</v>
      </c>
      <c r="J7781" s="6">
        <f t="shared" si="376"/>
        <v>0</v>
      </c>
      <c r="L7781" s="4" t="str">
        <f>IFERROR(VLOOKUP(ROWS($L$2:L7781),$B$2:$C$1996,2,0),"")</f>
        <v/>
      </c>
      <c r="N7781" s="2" t="str">
        <f>IFERROR(VLOOKUP(ROWS($N$2:N7781),$D$2:$E$1996,2,0),"")</f>
        <v/>
      </c>
    </row>
    <row r="7782" spans="2:14">
      <c r="B7782" s="32">
        <f>IF(ISNUMBER(SEARCH('Φόρμα Εισαγωγής'!$B$2,C7782)),MAX($B$1:B7781)+1,0)</f>
        <v>0</v>
      </c>
      <c r="D7782" s="33">
        <f>IF(ISNUMBER(SEARCH('Φόρμα Εισαγωγής'!$C$2,E7782)),MAX($D$1:D7781)+1,0)</f>
        <v>0</v>
      </c>
      <c r="H7782" s="6">
        <f t="shared" si="374"/>
        <v>0</v>
      </c>
      <c r="I7782" s="6">
        <f t="shared" si="375"/>
        <v>0</v>
      </c>
      <c r="J7782" s="6">
        <f t="shared" si="376"/>
        <v>0</v>
      </c>
      <c r="L7782" s="4" t="str">
        <f>IFERROR(VLOOKUP(ROWS($L$2:L7782),$B$2:$C$1996,2,0),"")</f>
        <v/>
      </c>
      <c r="N7782" s="2" t="str">
        <f>IFERROR(VLOOKUP(ROWS($N$2:N7782),$D$2:$E$1996,2,0),"")</f>
        <v/>
      </c>
    </row>
    <row r="7783" spans="2:14">
      <c r="B7783" s="32">
        <f>IF(ISNUMBER(SEARCH('Φόρμα Εισαγωγής'!$B$2,C7783)),MAX($B$1:B7782)+1,0)</f>
        <v>0</v>
      </c>
      <c r="D7783" s="33">
        <f>IF(ISNUMBER(SEARCH('Φόρμα Εισαγωγής'!$C$2,E7783)),MAX($D$1:D7782)+1,0)</f>
        <v>0</v>
      </c>
      <c r="H7783" s="6">
        <f t="shared" si="374"/>
        <v>0</v>
      </c>
      <c r="I7783" s="6">
        <f t="shared" si="375"/>
        <v>0</v>
      </c>
      <c r="J7783" s="6">
        <f t="shared" si="376"/>
        <v>0</v>
      </c>
      <c r="L7783" s="4" t="str">
        <f>IFERROR(VLOOKUP(ROWS($L$2:L7783),$B$2:$C$1996,2,0),"")</f>
        <v/>
      </c>
      <c r="N7783" s="2" t="str">
        <f>IFERROR(VLOOKUP(ROWS($N$2:N7783),$D$2:$E$1996,2,0),"")</f>
        <v/>
      </c>
    </row>
    <row r="7784" spans="2:14">
      <c r="B7784" s="32">
        <f>IF(ISNUMBER(SEARCH('Φόρμα Εισαγωγής'!$B$2,C7784)),MAX($B$1:B7783)+1,0)</f>
        <v>0</v>
      </c>
      <c r="D7784" s="33">
        <f>IF(ISNUMBER(SEARCH('Φόρμα Εισαγωγής'!$C$2,E7784)),MAX($D$1:D7783)+1,0)</f>
        <v>0</v>
      </c>
      <c r="H7784" s="6">
        <f t="shared" si="374"/>
        <v>0</v>
      </c>
      <c r="I7784" s="6">
        <f t="shared" si="375"/>
        <v>0</v>
      </c>
      <c r="J7784" s="6">
        <f t="shared" si="376"/>
        <v>0</v>
      </c>
      <c r="L7784" s="4" t="str">
        <f>IFERROR(VLOOKUP(ROWS($L$2:L7784),$B$2:$C$1996,2,0),"")</f>
        <v/>
      </c>
      <c r="N7784" s="2" t="str">
        <f>IFERROR(VLOOKUP(ROWS($N$2:N7784),$D$2:$E$1996,2,0),"")</f>
        <v/>
      </c>
    </row>
    <row r="7785" spans="2:14">
      <c r="B7785" s="32">
        <f>IF(ISNUMBER(SEARCH('Φόρμα Εισαγωγής'!$B$2,C7785)),MAX($B$1:B7784)+1,0)</f>
        <v>0</v>
      </c>
      <c r="D7785" s="33">
        <f>IF(ISNUMBER(SEARCH('Φόρμα Εισαγωγής'!$C$2,E7785)),MAX($D$1:D7784)+1,0)</f>
        <v>0</v>
      </c>
      <c r="H7785" s="6">
        <f t="shared" si="374"/>
        <v>0</v>
      </c>
      <c r="I7785" s="6">
        <f t="shared" si="375"/>
        <v>0</v>
      </c>
      <c r="J7785" s="6">
        <f t="shared" si="376"/>
        <v>0</v>
      </c>
      <c r="L7785" s="4" t="str">
        <f>IFERROR(VLOOKUP(ROWS($L$2:L7785),$B$2:$C$1996,2,0),"")</f>
        <v/>
      </c>
      <c r="N7785" s="2" t="str">
        <f>IFERROR(VLOOKUP(ROWS($N$2:N7785),$D$2:$E$1996,2,0),"")</f>
        <v/>
      </c>
    </row>
    <row r="7786" spans="2:14">
      <c r="B7786" s="32">
        <f>IF(ISNUMBER(SEARCH('Φόρμα Εισαγωγής'!$B$2,C7786)),MAX($B$1:B7785)+1,0)</f>
        <v>0</v>
      </c>
      <c r="D7786" s="33">
        <f>IF(ISNUMBER(SEARCH('Φόρμα Εισαγωγής'!$C$2,E7786)),MAX($D$1:D7785)+1,0)</f>
        <v>0</v>
      </c>
      <c r="H7786" s="6">
        <f t="shared" si="374"/>
        <v>0</v>
      </c>
      <c r="I7786" s="6">
        <f t="shared" si="375"/>
        <v>0</v>
      </c>
      <c r="J7786" s="6">
        <f t="shared" si="376"/>
        <v>0</v>
      </c>
      <c r="L7786" s="4" t="str">
        <f>IFERROR(VLOOKUP(ROWS($L$2:L7786),$B$2:$C$1996,2,0),"")</f>
        <v/>
      </c>
      <c r="N7786" s="2" t="str">
        <f>IFERROR(VLOOKUP(ROWS($N$2:N7786),$D$2:$E$1996,2,0),"")</f>
        <v/>
      </c>
    </row>
    <row r="7787" spans="2:14">
      <c r="B7787" s="32">
        <f>IF(ISNUMBER(SEARCH('Φόρμα Εισαγωγής'!$B$2,C7787)),MAX($B$1:B7786)+1,0)</f>
        <v>0</v>
      </c>
      <c r="D7787" s="33">
        <f>IF(ISNUMBER(SEARCH('Φόρμα Εισαγωγής'!$C$2,E7787)),MAX($D$1:D7786)+1,0)</f>
        <v>0</v>
      </c>
      <c r="H7787" s="6">
        <f t="shared" si="374"/>
        <v>0</v>
      </c>
      <c r="I7787" s="6">
        <f t="shared" si="375"/>
        <v>0</v>
      </c>
      <c r="J7787" s="6">
        <f t="shared" si="376"/>
        <v>0</v>
      </c>
      <c r="L7787" s="4" t="str">
        <f>IFERROR(VLOOKUP(ROWS($L$2:L7787),$B$2:$C$1996,2,0),"")</f>
        <v/>
      </c>
      <c r="N7787" s="2" t="str">
        <f>IFERROR(VLOOKUP(ROWS($N$2:N7787),$D$2:$E$1996,2,0),"")</f>
        <v/>
      </c>
    </row>
    <row r="7788" spans="2:14">
      <c r="B7788" s="32">
        <f>IF(ISNUMBER(SEARCH('Φόρμα Εισαγωγής'!$B$2,C7788)),MAX($B$1:B7787)+1,0)</f>
        <v>0</v>
      </c>
      <c r="D7788" s="33">
        <f>IF(ISNUMBER(SEARCH('Φόρμα Εισαγωγής'!$C$2,E7788)),MAX($D$1:D7787)+1,0)</f>
        <v>0</v>
      </c>
      <c r="H7788" s="6">
        <f t="shared" si="374"/>
        <v>0</v>
      </c>
      <c r="I7788" s="6">
        <f t="shared" si="375"/>
        <v>0</v>
      </c>
      <c r="J7788" s="6">
        <f t="shared" si="376"/>
        <v>0</v>
      </c>
      <c r="L7788" s="4" t="str">
        <f>IFERROR(VLOOKUP(ROWS($L$2:L7788),$B$2:$C$1996,2,0),"")</f>
        <v/>
      </c>
      <c r="N7788" s="2" t="str">
        <f>IFERROR(VLOOKUP(ROWS($N$2:N7788),$D$2:$E$1996,2,0),"")</f>
        <v/>
      </c>
    </row>
    <row r="7789" spans="2:14">
      <c r="B7789" s="32">
        <f>IF(ISNUMBER(SEARCH('Φόρμα Εισαγωγής'!$B$2,C7789)),MAX($B$1:B7788)+1,0)</f>
        <v>0</v>
      </c>
      <c r="D7789" s="33">
        <f>IF(ISNUMBER(SEARCH('Φόρμα Εισαγωγής'!$C$2,E7789)),MAX($D$1:D7788)+1,0)</f>
        <v>0</v>
      </c>
      <c r="H7789" s="6">
        <f t="shared" si="374"/>
        <v>0</v>
      </c>
      <c r="I7789" s="6">
        <f t="shared" si="375"/>
        <v>0</v>
      </c>
      <c r="J7789" s="6">
        <f t="shared" si="376"/>
        <v>0</v>
      </c>
      <c r="L7789" s="4" t="str">
        <f>IFERROR(VLOOKUP(ROWS($L$2:L7789),$B$2:$C$1996,2,0),"")</f>
        <v/>
      </c>
      <c r="N7789" s="2" t="str">
        <f>IFERROR(VLOOKUP(ROWS($N$2:N7789),$D$2:$E$1996,2,0),"")</f>
        <v/>
      </c>
    </row>
    <row r="7790" spans="2:14">
      <c r="B7790" s="32">
        <f>IF(ISNUMBER(SEARCH('Φόρμα Εισαγωγής'!$B$2,C7790)),MAX($B$1:B7789)+1,0)</f>
        <v>0</v>
      </c>
      <c r="D7790" s="33">
        <f>IF(ISNUMBER(SEARCH('Φόρμα Εισαγωγής'!$C$2,E7790)),MAX($D$1:D7789)+1,0)</f>
        <v>0</v>
      </c>
      <c r="H7790" s="6">
        <f t="shared" si="374"/>
        <v>0</v>
      </c>
      <c r="I7790" s="6">
        <f t="shared" si="375"/>
        <v>0</v>
      </c>
      <c r="J7790" s="6">
        <f t="shared" si="376"/>
        <v>0</v>
      </c>
      <c r="L7790" s="4" t="str">
        <f>IFERROR(VLOOKUP(ROWS($L$2:L7790),$B$2:$C$1996,2,0),"")</f>
        <v/>
      </c>
      <c r="N7790" s="2" t="str">
        <f>IFERROR(VLOOKUP(ROWS($N$2:N7790),$D$2:$E$1996,2,0),"")</f>
        <v/>
      </c>
    </row>
    <row r="7791" spans="2:14">
      <c r="B7791" s="32">
        <f>IF(ISNUMBER(SEARCH('Φόρμα Εισαγωγής'!$B$2,C7791)),MAX($B$1:B7790)+1,0)</f>
        <v>0</v>
      </c>
      <c r="D7791" s="33">
        <f>IF(ISNUMBER(SEARCH('Φόρμα Εισαγωγής'!$C$2,E7791)),MAX($D$1:D7790)+1,0)</f>
        <v>0</v>
      </c>
      <c r="H7791" s="6">
        <f t="shared" si="374"/>
        <v>0</v>
      </c>
      <c r="I7791" s="6">
        <f t="shared" si="375"/>
        <v>0</v>
      </c>
      <c r="J7791" s="6">
        <f t="shared" si="376"/>
        <v>0</v>
      </c>
      <c r="L7791" s="4" t="str">
        <f>IFERROR(VLOOKUP(ROWS($L$2:L7791),$B$2:$C$1996,2,0),"")</f>
        <v/>
      </c>
      <c r="N7791" s="2" t="str">
        <f>IFERROR(VLOOKUP(ROWS($N$2:N7791),$D$2:$E$1996,2,0),"")</f>
        <v/>
      </c>
    </row>
    <row r="7792" spans="2:14">
      <c r="B7792" s="32">
        <f>IF(ISNUMBER(SEARCH('Φόρμα Εισαγωγής'!$B$2,C7792)),MAX($B$1:B7791)+1,0)</f>
        <v>0</v>
      </c>
      <c r="D7792" s="33">
        <f>IF(ISNUMBER(SEARCH('Φόρμα Εισαγωγής'!$C$2,E7792)),MAX($D$1:D7791)+1,0)</f>
        <v>0</v>
      </c>
      <c r="H7792" s="6">
        <f t="shared" si="374"/>
        <v>0</v>
      </c>
      <c r="I7792" s="6">
        <f t="shared" si="375"/>
        <v>0</v>
      </c>
      <c r="J7792" s="6">
        <f t="shared" si="376"/>
        <v>0</v>
      </c>
      <c r="L7792" s="4" t="str">
        <f>IFERROR(VLOOKUP(ROWS($L$2:L7792),$B$2:$C$1996,2,0),"")</f>
        <v/>
      </c>
      <c r="N7792" s="2" t="str">
        <f>IFERROR(VLOOKUP(ROWS($N$2:N7792),$D$2:$E$1996,2,0),"")</f>
        <v/>
      </c>
    </row>
    <row r="7793" spans="2:14">
      <c r="B7793" s="32">
        <f>IF(ISNUMBER(SEARCH('Φόρμα Εισαγωγής'!$B$2,C7793)),MAX($B$1:B7792)+1,0)</f>
        <v>0</v>
      </c>
      <c r="D7793" s="33">
        <f>IF(ISNUMBER(SEARCH('Φόρμα Εισαγωγής'!$C$2,E7793)),MAX($D$1:D7792)+1,0)</f>
        <v>0</v>
      </c>
      <c r="H7793" s="6">
        <f t="shared" si="374"/>
        <v>0</v>
      </c>
      <c r="I7793" s="6">
        <f t="shared" si="375"/>
        <v>0</v>
      </c>
      <c r="J7793" s="6">
        <f t="shared" si="376"/>
        <v>0</v>
      </c>
      <c r="L7793" s="4" t="str">
        <f>IFERROR(VLOOKUP(ROWS($L$2:L7793),$B$2:$C$1996,2,0),"")</f>
        <v/>
      </c>
      <c r="N7793" s="2" t="str">
        <f>IFERROR(VLOOKUP(ROWS($N$2:N7793),$D$2:$E$1996,2,0),"")</f>
        <v/>
      </c>
    </row>
    <row r="7794" spans="2:14">
      <c r="B7794" s="32">
        <f>IF(ISNUMBER(SEARCH('Φόρμα Εισαγωγής'!$B$2,C7794)),MAX($B$1:B7793)+1,0)</f>
        <v>0</v>
      </c>
      <c r="D7794" s="33">
        <f>IF(ISNUMBER(SEARCH('Φόρμα Εισαγωγής'!$C$2,E7794)),MAX($D$1:D7793)+1,0)</f>
        <v>0</v>
      </c>
      <c r="H7794" s="6">
        <f t="shared" si="374"/>
        <v>0</v>
      </c>
      <c r="I7794" s="6">
        <f t="shared" si="375"/>
        <v>0</v>
      </c>
      <c r="J7794" s="6">
        <f t="shared" si="376"/>
        <v>0</v>
      </c>
      <c r="L7794" s="4" t="str">
        <f>IFERROR(VLOOKUP(ROWS($L$2:L7794),$B$2:$C$1996,2,0),"")</f>
        <v/>
      </c>
      <c r="N7794" s="2" t="str">
        <f>IFERROR(VLOOKUP(ROWS($N$2:N7794),$D$2:$E$1996,2,0),"")</f>
        <v/>
      </c>
    </row>
    <row r="7795" spans="2:14">
      <c r="B7795" s="32">
        <f>IF(ISNUMBER(SEARCH('Φόρμα Εισαγωγής'!$B$2,C7795)),MAX($B$1:B7794)+1,0)</f>
        <v>0</v>
      </c>
      <c r="D7795" s="33">
        <f>IF(ISNUMBER(SEARCH('Φόρμα Εισαγωγής'!$C$2,E7795)),MAX($D$1:D7794)+1,0)</f>
        <v>0</v>
      </c>
      <c r="H7795" s="6">
        <f t="shared" si="374"/>
        <v>0</v>
      </c>
      <c r="I7795" s="6">
        <f t="shared" si="375"/>
        <v>0</v>
      </c>
      <c r="J7795" s="6">
        <f t="shared" si="376"/>
        <v>0</v>
      </c>
      <c r="L7795" s="4" t="str">
        <f>IFERROR(VLOOKUP(ROWS($L$2:L7795),$B$2:$C$1996,2,0),"")</f>
        <v/>
      </c>
      <c r="N7795" s="2" t="str">
        <f>IFERROR(VLOOKUP(ROWS($N$2:N7795),$D$2:$E$1996,2,0),"")</f>
        <v/>
      </c>
    </row>
    <row r="7796" spans="2:14">
      <c r="B7796" s="32">
        <f>IF(ISNUMBER(SEARCH('Φόρμα Εισαγωγής'!$B$2,C7796)),MAX($B$1:B7795)+1,0)</f>
        <v>0</v>
      </c>
      <c r="D7796" s="33">
        <f>IF(ISNUMBER(SEARCH('Φόρμα Εισαγωγής'!$C$2,E7796)),MAX($D$1:D7795)+1,0)</f>
        <v>0</v>
      </c>
      <c r="H7796" s="6">
        <f t="shared" si="374"/>
        <v>0</v>
      </c>
      <c r="I7796" s="6">
        <f t="shared" si="375"/>
        <v>0</v>
      </c>
      <c r="J7796" s="6">
        <f t="shared" si="376"/>
        <v>0</v>
      </c>
      <c r="L7796" s="4" t="str">
        <f>IFERROR(VLOOKUP(ROWS($L$2:L7796),$B$2:$C$1996,2,0),"")</f>
        <v/>
      </c>
      <c r="N7796" s="2" t="str">
        <f>IFERROR(VLOOKUP(ROWS($N$2:N7796),$D$2:$E$1996,2,0),"")</f>
        <v/>
      </c>
    </row>
    <row r="7797" spans="2:14">
      <c r="B7797" s="32">
        <f>IF(ISNUMBER(SEARCH('Φόρμα Εισαγωγής'!$B$2,C7797)),MAX($B$1:B7796)+1,0)</f>
        <v>0</v>
      </c>
      <c r="D7797" s="33">
        <f>IF(ISNUMBER(SEARCH('Φόρμα Εισαγωγής'!$C$2,E7797)),MAX($D$1:D7796)+1,0)</f>
        <v>0</v>
      </c>
      <c r="H7797" s="6">
        <f t="shared" si="374"/>
        <v>0</v>
      </c>
      <c r="I7797" s="6">
        <f t="shared" si="375"/>
        <v>0</v>
      </c>
      <c r="J7797" s="6">
        <f t="shared" si="376"/>
        <v>0</v>
      </c>
      <c r="L7797" s="4" t="str">
        <f>IFERROR(VLOOKUP(ROWS($L$2:L7797),$B$2:$C$1996,2,0),"")</f>
        <v/>
      </c>
      <c r="N7797" s="2" t="str">
        <f>IFERROR(VLOOKUP(ROWS($N$2:N7797),$D$2:$E$1996,2,0),"")</f>
        <v/>
      </c>
    </row>
    <row r="7798" spans="2:14">
      <c r="B7798" s="32">
        <f>IF(ISNUMBER(SEARCH('Φόρμα Εισαγωγής'!$B$2,C7798)),MAX($B$1:B7797)+1,0)</f>
        <v>0</v>
      </c>
      <c r="D7798" s="33">
        <f>IF(ISNUMBER(SEARCH('Φόρμα Εισαγωγής'!$C$2,E7798)),MAX($D$1:D7797)+1,0)</f>
        <v>0</v>
      </c>
      <c r="H7798" s="6">
        <f t="shared" si="374"/>
        <v>0</v>
      </c>
      <c r="I7798" s="6">
        <f t="shared" si="375"/>
        <v>0</v>
      </c>
      <c r="J7798" s="6">
        <f t="shared" si="376"/>
        <v>0</v>
      </c>
      <c r="L7798" s="4" t="str">
        <f>IFERROR(VLOOKUP(ROWS($L$2:L7798),$B$2:$C$1996,2,0),"")</f>
        <v/>
      </c>
      <c r="N7798" s="2" t="str">
        <f>IFERROR(VLOOKUP(ROWS($N$2:N7798),$D$2:$E$1996,2,0),"")</f>
        <v/>
      </c>
    </row>
    <row r="7799" spans="2:14">
      <c r="B7799" s="32">
        <f>IF(ISNUMBER(SEARCH('Φόρμα Εισαγωγής'!$B$2,C7799)),MAX($B$1:B7798)+1,0)</f>
        <v>0</v>
      </c>
      <c r="D7799" s="33">
        <f>IF(ISNUMBER(SEARCH('Φόρμα Εισαγωγής'!$C$2,E7799)),MAX($D$1:D7798)+1,0)</f>
        <v>0</v>
      </c>
      <c r="H7799" s="6">
        <f t="shared" si="374"/>
        <v>0</v>
      </c>
      <c r="I7799" s="6">
        <f t="shared" si="375"/>
        <v>0</v>
      </c>
      <c r="J7799" s="6">
        <f t="shared" si="376"/>
        <v>0</v>
      </c>
      <c r="L7799" s="4" t="str">
        <f>IFERROR(VLOOKUP(ROWS($L$2:L7799),$B$2:$C$1996,2,0),"")</f>
        <v/>
      </c>
      <c r="N7799" s="2" t="str">
        <f>IFERROR(VLOOKUP(ROWS($N$2:N7799),$D$2:$E$1996,2,0),"")</f>
        <v/>
      </c>
    </row>
    <row r="7800" spans="2:14">
      <c r="B7800" s="32">
        <f>IF(ISNUMBER(SEARCH('Φόρμα Εισαγωγής'!$B$2,C7800)),MAX($B$1:B7799)+1,0)</f>
        <v>0</v>
      </c>
      <c r="D7800" s="33">
        <f>IF(ISNUMBER(SEARCH('Φόρμα Εισαγωγής'!$C$2,E7800)),MAX($D$1:D7799)+1,0)</f>
        <v>0</v>
      </c>
      <c r="H7800" s="6">
        <f t="shared" si="374"/>
        <v>0</v>
      </c>
      <c r="I7800" s="6">
        <f t="shared" si="375"/>
        <v>0</v>
      </c>
      <c r="J7800" s="6">
        <f t="shared" si="376"/>
        <v>0</v>
      </c>
      <c r="L7800" s="4" t="str">
        <f>IFERROR(VLOOKUP(ROWS($L$2:L7800),$B$2:$C$1996,2,0),"")</f>
        <v/>
      </c>
      <c r="N7800" s="2" t="str">
        <f>IFERROR(VLOOKUP(ROWS($N$2:N7800),$D$2:$E$1996,2,0),"")</f>
        <v/>
      </c>
    </row>
    <row r="7801" spans="2:14">
      <c r="B7801" s="32">
        <f>IF(ISNUMBER(SEARCH('Φόρμα Εισαγωγής'!$B$2,C7801)),MAX($B$1:B7800)+1,0)</f>
        <v>0</v>
      </c>
      <c r="D7801" s="33">
        <f>IF(ISNUMBER(SEARCH('Φόρμα Εισαγωγής'!$C$2,E7801)),MAX($D$1:D7800)+1,0)</f>
        <v>0</v>
      </c>
      <c r="H7801" s="6">
        <f t="shared" si="374"/>
        <v>0</v>
      </c>
      <c r="I7801" s="6">
        <f t="shared" si="375"/>
        <v>0</v>
      </c>
      <c r="J7801" s="6">
        <f t="shared" si="376"/>
        <v>0</v>
      </c>
      <c r="L7801" s="4" t="str">
        <f>IFERROR(VLOOKUP(ROWS($L$2:L7801),$B$2:$C$1996,2,0),"")</f>
        <v/>
      </c>
      <c r="N7801" s="2" t="str">
        <f>IFERROR(VLOOKUP(ROWS($N$2:N7801),$D$2:$E$1996,2,0),"")</f>
        <v/>
      </c>
    </row>
    <row r="7802" spans="2:14">
      <c r="B7802" s="32">
        <f>IF(ISNUMBER(SEARCH('Φόρμα Εισαγωγής'!$B$2,C7802)),MAX($B$1:B7801)+1,0)</f>
        <v>0</v>
      </c>
      <c r="D7802" s="33">
        <f>IF(ISNUMBER(SEARCH('Φόρμα Εισαγωγής'!$C$2,E7802)),MAX($D$1:D7801)+1,0)</f>
        <v>0</v>
      </c>
      <c r="H7802" s="6">
        <f t="shared" si="374"/>
        <v>0</v>
      </c>
      <c r="I7802" s="6">
        <f t="shared" si="375"/>
        <v>0</v>
      </c>
      <c r="J7802" s="6">
        <f t="shared" si="376"/>
        <v>0</v>
      </c>
      <c r="L7802" s="4" t="str">
        <f>IFERROR(VLOOKUP(ROWS($L$2:L7802),$B$2:$C$1996,2,0),"")</f>
        <v/>
      </c>
      <c r="N7802" s="2" t="str">
        <f>IFERROR(VLOOKUP(ROWS($N$2:N7802),$D$2:$E$1996,2,0),"")</f>
        <v/>
      </c>
    </row>
    <row r="7803" spans="2:14">
      <c r="B7803" s="32">
        <f>IF(ISNUMBER(SEARCH('Φόρμα Εισαγωγής'!$B$2,C7803)),MAX($B$1:B7802)+1,0)</f>
        <v>0</v>
      </c>
      <c r="D7803" s="33">
        <f>IF(ISNUMBER(SEARCH('Φόρμα Εισαγωγής'!$C$2,E7803)),MAX($D$1:D7802)+1,0)</f>
        <v>0</v>
      </c>
      <c r="H7803" s="6">
        <f t="shared" si="374"/>
        <v>0</v>
      </c>
      <c r="I7803" s="6">
        <f t="shared" si="375"/>
        <v>0</v>
      </c>
      <c r="J7803" s="6">
        <f t="shared" si="376"/>
        <v>0</v>
      </c>
      <c r="L7803" s="4" t="str">
        <f>IFERROR(VLOOKUP(ROWS($L$2:L7803),$B$2:$C$1996,2,0),"")</f>
        <v/>
      </c>
      <c r="N7803" s="2" t="str">
        <f>IFERROR(VLOOKUP(ROWS($N$2:N7803),$D$2:$E$1996,2,0),"")</f>
        <v/>
      </c>
    </row>
    <row r="7804" spans="2:14">
      <c r="B7804" s="32">
        <f>IF(ISNUMBER(SEARCH('Φόρμα Εισαγωγής'!$B$2,C7804)),MAX($B$1:B7803)+1,0)</f>
        <v>0</v>
      </c>
      <c r="D7804" s="33">
        <f>IF(ISNUMBER(SEARCH('Φόρμα Εισαγωγής'!$C$2,E7804)),MAX($D$1:D7803)+1,0)</f>
        <v>0</v>
      </c>
      <c r="H7804" s="6">
        <f t="shared" si="374"/>
        <v>0</v>
      </c>
      <c r="I7804" s="6">
        <f t="shared" si="375"/>
        <v>0</v>
      </c>
      <c r="J7804" s="6">
        <f t="shared" si="376"/>
        <v>0</v>
      </c>
      <c r="L7804" s="4" t="str">
        <f>IFERROR(VLOOKUP(ROWS($L$2:L7804),$B$2:$C$1996,2,0),"")</f>
        <v/>
      </c>
      <c r="N7804" s="2" t="str">
        <f>IFERROR(VLOOKUP(ROWS($N$2:N7804),$D$2:$E$1996,2,0),"")</f>
        <v/>
      </c>
    </row>
    <row r="7805" spans="2:14">
      <c r="B7805" s="32">
        <f>IF(ISNUMBER(SEARCH('Φόρμα Εισαγωγής'!$B$2,C7805)),MAX($B$1:B7804)+1,0)</f>
        <v>0</v>
      </c>
      <c r="D7805" s="33">
        <f>IF(ISNUMBER(SEARCH('Φόρμα Εισαγωγής'!$C$2,E7805)),MAX($D$1:D7804)+1,0)</f>
        <v>0</v>
      </c>
      <c r="H7805" s="6">
        <f t="shared" si="374"/>
        <v>0</v>
      </c>
      <c r="I7805" s="6">
        <f t="shared" si="375"/>
        <v>0</v>
      </c>
      <c r="J7805" s="6">
        <f t="shared" si="376"/>
        <v>0</v>
      </c>
      <c r="L7805" s="4" t="str">
        <f>IFERROR(VLOOKUP(ROWS($L$2:L7805),$B$2:$C$1996,2,0),"")</f>
        <v/>
      </c>
      <c r="N7805" s="2" t="str">
        <f>IFERROR(VLOOKUP(ROWS($N$2:N7805),$D$2:$E$1996,2,0),"")</f>
        <v/>
      </c>
    </row>
    <row r="7806" spans="2:14">
      <c r="B7806" s="32">
        <f>IF(ISNUMBER(SEARCH('Φόρμα Εισαγωγής'!$B$2,C7806)),MAX($B$1:B7805)+1,0)</f>
        <v>0</v>
      </c>
      <c r="D7806" s="33">
        <f>IF(ISNUMBER(SEARCH('Φόρμα Εισαγωγής'!$C$2,E7806)),MAX($D$1:D7805)+1,0)</f>
        <v>0</v>
      </c>
      <c r="H7806" s="6">
        <f t="shared" si="374"/>
        <v>0</v>
      </c>
      <c r="I7806" s="6">
        <f t="shared" si="375"/>
        <v>0</v>
      </c>
      <c r="J7806" s="6">
        <f t="shared" si="376"/>
        <v>0</v>
      </c>
      <c r="L7806" s="4" t="str">
        <f>IFERROR(VLOOKUP(ROWS($L$2:L7806),$B$2:$C$1996,2,0),"")</f>
        <v/>
      </c>
      <c r="N7806" s="2" t="str">
        <f>IFERROR(VLOOKUP(ROWS($N$2:N7806),$D$2:$E$1996,2,0),"")</f>
        <v/>
      </c>
    </row>
    <row r="7807" spans="2:14">
      <c r="B7807" s="32">
        <f>IF(ISNUMBER(SEARCH('Φόρμα Εισαγωγής'!$B$2,C7807)),MAX($B$1:B7806)+1,0)</f>
        <v>0</v>
      </c>
      <c r="D7807" s="33">
        <f>IF(ISNUMBER(SEARCH('Φόρμα Εισαγωγής'!$C$2,E7807)),MAX($D$1:D7806)+1,0)</f>
        <v>0</v>
      </c>
      <c r="H7807" s="6">
        <f t="shared" si="374"/>
        <v>0</v>
      </c>
      <c r="I7807" s="6">
        <f t="shared" si="375"/>
        <v>0</v>
      </c>
      <c r="J7807" s="6">
        <f t="shared" si="376"/>
        <v>0</v>
      </c>
      <c r="L7807" s="4" t="str">
        <f>IFERROR(VLOOKUP(ROWS($L$2:L7807),$B$2:$C$1996,2,0),"")</f>
        <v/>
      </c>
      <c r="N7807" s="2" t="str">
        <f>IFERROR(VLOOKUP(ROWS($N$2:N7807),$D$2:$E$1996,2,0),"")</f>
        <v/>
      </c>
    </row>
    <row r="7808" spans="2:14">
      <c r="B7808" s="32">
        <f>IF(ISNUMBER(SEARCH('Φόρμα Εισαγωγής'!$B$2,C7808)),MAX($B$1:B7807)+1,0)</f>
        <v>0</v>
      </c>
      <c r="D7808" s="33">
        <f>IF(ISNUMBER(SEARCH('Φόρμα Εισαγωγής'!$C$2,E7808)),MAX($D$1:D7807)+1,0)</f>
        <v>0</v>
      </c>
      <c r="H7808" s="6">
        <f t="shared" ref="H7808:H7871" si="377">G7808+(G7808*0.24)</f>
        <v>0</v>
      </c>
      <c r="I7808" s="6">
        <f t="shared" ref="I7808:I7871" si="378">F7808*A7808</f>
        <v>0</v>
      </c>
      <c r="J7808" s="6">
        <f t="shared" ref="J7808:J7871" si="379">H7808*A7808</f>
        <v>0</v>
      </c>
      <c r="L7808" s="4" t="str">
        <f>IFERROR(VLOOKUP(ROWS($L$2:L7808),$B$2:$C$1996,2,0),"")</f>
        <v/>
      </c>
      <c r="N7808" s="2" t="str">
        <f>IFERROR(VLOOKUP(ROWS($N$2:N7808),$D$2:$E$1996,2,0),"")</f>
        <v/>
      </c>
    </row>
    <row r="7809" spans="2:14">
      <c r="B7809" s="32">
        <f>IF(ISNUMBER(SEARCH('Φόρμα Εισαγωγής'!$B$2,C7809)),MAX($B$1:B7808)+1,0)</f>
        <v>0</v>
      </c>
      <c r="D7809" s="33">
        <f>IF(ISNUMBER(SEARCH('Φόρμα Εισαγωγής'!$C$2,E7809)),MAX($D$1:D7808)+1,0)</f>
        <v>0</v>
      </c>
      <c r="H7809" s="6">
        <f t="shared" si="377"/>
        <v>0</v>
      </c>
      <c r="I7809" s="6">
        <f t="shared" si="378"/>
        <v>0</v>
      </c>
      <c r="J7809" s="6">
        <f t="shared" si="379"/>
        <v>0</v>
      </c>
      <c r="L7809" s="4" t="str">
        <f>IFERROR(VLOOKUP(ROWS($L$2:L7809),$B$2:$C$1996,2,0),"")</f>
        <v/>
      </c>
      <c r="N7809" s="2" t="str">
        <f>IFERROR(VLOOKUP(ROWS($N$2:N7809),$D$2:$E$1996,2,0),"")</f>
        <v/>
      </c>
    </row>
    <row r="7810" spans="2:14">
      <c r="B7810" s="32">
        <f>IF(ISNUMBER(SEARCH('Φόρμα Εισαγωγής'!$B$2,C7810)),MAX($B$1:B7809)+1,0)</f>
        <v>0</v>
      </c>
      <c r="D7810" s="33">
        <f>IF(ISNUMBER(SEARCH('Φόρμα Εισαγωγής'!$C$2,E7810)),MAX($D$1:D7809)+1,0)</f>
        <v>0</v>
      </c>
      <c r="H7810" s="6">
        <f t="shared" si="377"/>
        <v>0</v>
      </c>
      <c r="I7810" s="6">
        <f t="shared" si="378"/>
        <v>0</v>
      </c>
      <c r="J7810" s="6">
        <f t="shared" si="379"/>
        <v>0</v>
      </c>
      <c r="L7810" s="4" t="str">
        <f>IFERROR(VLOOKUP(ROWS($L$2:L7810),$B$2:$C$1996,2,0),"")</f>
        <v/>
      </c>
      <c r="N7810" s="2" t="str">
        <f>IFERROR(VLOOKUP(ROWS($N$2:N7810),$D$2:$E$1996,2,0),"")</f>
        <v/>
      </c>
    </row>
    <row r="7811" spans="2:14">
      <c r="B7811" s="32">
        <f>IF(ISNUMBER(SEARCH('Φόρμα Εισαγωγής'!$B$2,C7811)),MAX($B$1:B7810)+1,0)</f>
        <v>0</v>
      </c>
      <c r="D7811" s="33">
        <f>IF(ISNUMBER(SEARCH('Φόρμα Εισαγωγής'!$C$2,E7811)),MAX($D$1:D7810)+1,0)</f>
        <v>0</v>
      </c>
      <c r="H7811" s="6">
        <f t="shared" si="377"/>
        <v>0</v>
      </c>
      <c r="I7811" s="6">
        <f t="shared" si="378"/>
        <v>0</v>
      </c>
      <c r="J7811" s="6">
        <f t="shared" si="379"/>
        <v>0</v>
      </c>
      <c r="L7811" s="4" t="str">
        <f>IFERROR(VLOOKUP(ROWS($L$2:L7811),$B$2:$C$1996,2,0),"")</f>
        <v/>
      </c>
      <c r="N7811" s="2" t="str">
        <f>IFERROR(VLOOKUP(ROWS($N$2:N7811),$D$2:$E$1996,2,0),"")</f>
        <v/>
      </c>
    </row>
    <row r="7812" spans="2:14">
      <c r="B7812" s="32">
        <f>IF(ISNUMBER(SEARCH('Φόρμα Εισαγωγής'!$B$2,C7812)),MAX($B$1:B7811)+1,0)</f>
        <v>0</v>
      </c>
      <c r="D7812" s="33">
        <f>IF(ISNUMBER(SEARCH('Φόρμα Εισαγωγής'!$C$2,E7812)),MAX($D$1:D7811)+1,0)</f>
        <v>0</v>
      </c>
      <c r="H7812" s="6">
        <f t="shared" si="377"/>
        <v>0</v>
      </c>
      <c r="I7812" s="6">
        <f t="shared" si="378"/>
        <v>0</v>
      </c>
      <c r="J7812" s="6">
        <f t="shared" si="379"/>
        <v>0</v>
      </c>
      <c r="L7812" s="4" t="str">
        <f>IFERROR(VLOOKUP(ROWS($L$2:L7812),$B$2:$C$1996,2,0),"")</f>
        <v/>
      </c>
      <c r="N7812" s="2" t="str">
        <f>IFERROR(VLOOKUP(ROWS($N$2:N7812),$D$2:$E$1996,2,0),"")</f>
        <v/>
      </c>
    </row>
    <row r="7813" spans="2:14">
      <c r="B7813" s="32">
        <f>IF(ISNUMBER(SEARCH('Φόρμα Εισαγωγής'!$B$2,C7813)),MAX($B$1:B7812)+1,0)</f>
        <v>0</v>
      </c>
      <c r="D7813" s="33">
        <f>IF(ISNUMBER(SEARCH('Φόρμα Εισαγωγής'!$C$2,E7813)),MAX($D$1:D7812)+1,0)</f>
        <v>0</v>
      </c>
      <c r="H7813" s="6">
        <f t="shared" si="377"/>
        <v>0</v>
      </c>
      <c r="I7813" s="6">
        <f t="shared" si="378"/>
        <v>0</v>
      </c>
      <c r="J7813" s="6">
        <f t="shared" si="379"/>
        <v>0</v>
      </c>
      <c r="L7813" s="4" t="str">
        <f>IFERROR(VLOOKUP(ROWS($L$2:L7813),$B$2:$C$1996,2,0),"")</f>
        <v/>
      </c>
      <c r="N7813" s="2" t="str">
        <f>IFERROR(VLOOKUP(ROWS($N$2:N7813),$D$2:$E$1996,2,0),"")</f>
        <v/>
      </c>
    </row>
    <row r="7814" spans="2:14">
      <c r="B7814" s="32">
        <f>IF(ISNUMBER(SEARCH('Φόρμα Εισαγωγής'!$B$2,C7814)),MAX($B$1:B7813)+1,0)</f>
        <v>0</v>
      </c>
      <c r="D7814" s="33">
        <f>IF(ISNUMBER(SEARCH('Φόρμα Εισαγωγής'!$C$2,E7814)),MAX($D$1:D7813)+1,0)</f>
        <v>0</v>
      </c>
      <c r="H7814" s="6">
        <f t="shared" si="377"/>
        <v>0</v>
      </c>
      <c r="I7814" s="6">
        <f t="shared" si="378"/>
        <v>0</v>
      </c>
      <c r="J7814" s="6">
        <f t="shared" si="379"/>
        <v>0</v>
      </c>
      <c r="L7814" s="4" t="str">
        <f>IFERROR(VLOOKUP(ROWS($L$2:L7814),$B$2:$C$1996,2,0),"")</f>
        <v/>
      </c>
      <c r="N7814" s="2" t="str">
        <f>IFERROR(VLOOKUP(ROWS($N$2:N7814),$D$2:$E$1996,2,0),"")</f>
        <v/>
      </c>
    </row>
    <row r="7815" spans="2:14">
      <c r="B7815" s="32">
        <f>IF(ISNUMBER(SEARCH('Φόρμα Εισαγωγής'!$B$2,C7815)),MAX($B$1:B7814)+1,0)</f>
        <v>0</v>
      </c>
      <c r="D7815" s="33">
        <f>IF(ISNUMBER(SEARCH('Φόρμα Εισαγωγής'!$C$2,E7815)),MAX($D$1:D7814)+1,0)</f>
        <v>0</v>
      </c>
      <c r="H7815" s="6">
        <f t="shared" si="377"/>
        <v>0</v>
      </c>
      <c r="I7815" s="6">
        <f t="shared" si="378"/>
        <v>0</v>
      </c>
      <c r="J7815" s="6">
        <f t="shared" si="379"/>
        <v>0</v>
      </c>
      <c r="L7815" s="4" t="str">
        <f>IFERROR(VLOOKUP(ROWS($L$2:L7815),$B$2:$C$1996,2,0),"")</f>
        <v/>
      </c>
      <c r="N7815" s="2" t="str">
        <f>IFERROR(VLOOKUP(ROWS($N$2:N7815),$D$2:$E$1996,2,0),"")</f>
        <v/>
      </c>
    </row>
    <row r="7816" spans="2:14">
      <c r="B7816" s="32">
        <f>IF(ISNUMBER(SEARCH('Φόρμα Εισαγωγής'!$B$2,C7816)),MAX($B$1:B7815)+1,0)</f>
        <v>0</v>
      </c>
      <c r="D7816" s="33">
        <f>IF(ISNUMBER(SEARCH('Φόρμα Εισαγωγής'!$C$2,E7816)),MAX($D$1:D7815)+1,0)</f>
        <v>0</v>
      </c>
      <c r="H7816" s="6">
        <f t="shared" si="377"/>
        <v>0</v>
      </c>
      <c r="I7816" s="6">
        <f t="shared" si="378"/>
        <v>0</v>
      </c>
      <c r="J7816" s="6">
        <f t="shared" si="379"/>
        <v>0</v>
      </c>
      <c r="L7816" s="4" t="str">
        <f>IFERROR(VLOOKUP(ROWS($L$2:L7816),$B$2:$C$1996,2,0),"")</f>
        <v/>
      </c>
      <c r="N7816" s="2" t="str">
        <f>IFERROR(VLOOKUP(ROWS($N$2:N7816),$D$2:$E$1996,2,0),"")</f>
        <v/>
      </c>
    </row>
    <row r="7817" spans="2:14">
      <c r="B7817" s="32">
        <f>IF(ISNUMBER(SEARCH('Φόρμα Εισαγωγής'!$B$2,C7817)),MAX($B$1:B7816)+1,0)</f>
        <v>0</v>
      </c>
      <c r="D7817" s="33">
        <f>IF(ISNUMBER(SEARCH('Φόρμα Εισαγωγής'!$C$2,E7817)),MAX($D$1:D7816)+1,0)</f>
        <v>0</v>
      </c>
      <c r="H7817" s="6">
        <f t="shared" si="377"/>
        <v>0</v>
      </c>
      <c r="I7817" s="6">
        <f t="shared" si="378"/>
        <v>0</v>
      </c>
      <c r="J7817" s="6">
        <f t="shared" si="379"/>
        <v>0</v>
      </c>
      <c r="L7817" s="4" t="str">
        <f>IFERROR(VLOOKUP(ROWS($L$2:L7817),$B$2:$C$1996,2,0),"")</f>
        <v/>
      </c>
      <c r="N7817" s="2" t="str">
        <f>IFERROR(VLOOKUP(ROWS($N$2:N7817),$D$2:$E$1996,2,0),"")</f>
        <v/>
      </c>
    </row>
    <row r="7818" spans="2:14">
      <c r="B7818" s="32">
        <f>IF(ISNUMBER(SEARCH('Φόρμα Εισαγωγής'!$B$2,C7818)),MAX($B$1:B7817)+1,0)</f>
        <v>0</v>
      </c>
      <c r="D7818" s="33">
        <f>IF(ISNUMBER(SEARCH('Φόρμα Εισαγωγής'!$C$2,E7818)),MAX($D$1:D7817)+1,0)</f>
        <v>0</v>
      </c>
      <c r="H7818" s="6">
        <f t="shared" si="377"/>
        <v>0</v>
      </c>
      <c r="I7818" s="6">
        <f t="shared" si="378"/>
        <v>0</v>
      </c>
      <c r="J7818" s="6">
        <f t="shared" si="379"/>
        <v>0</v>
      </c>
      <c r="L7818" s="4" t="str">
        <f>IFERROR(VLOOKUP(ROWS($L$2:L7818),$B$2:$C$1996,2,0),"")</f>
        <v/>
      </c>
      <c r="N7818" s="2" t="str">
        <f>IFERROR(VLOOKUP(ROWS($N$2:N7818),$D$2:$E$1996,2,0),"")</f>
        <v/>
      </c>
    </row>
    <row r="7819" spans="2:14">
      <c r="B7819" s="32">
        <f>IF(ISNUMBER(SEARCH('Φόρμα Εισαγωγής'!$B$2,C7819)),MAX($B$1:B7818)+1,0)</f>
        <v>0</v>
      </c>
      <c r="D7819" s="33">
        <f>IF(ISNUMBER(SEARCH('Φόρμα Εισαγωγής'!$C$2,E7819)),MAX($D$1:D7818)+1,0)</f>
        <v>0</v>
      </c>
      <c r="H7819" s="6">
        <f t="shared" si="377"/>
        <v>0</v>
      </c>
      <c r="I7819" s="6">
        <f t="shared" si="378"/>
        <v>0</v>
      </c>
      <c r="J7819" s="6">
        <f t="shared" si="379"/>
        <v>0</v>
      </c>
      <c r="L7819" s="4" t="str">
        <f>IFERROR(VLOOKUP(ROWS($L$2:L7819),$B$2:$C$1996,2,0),"")</f>
        <v/>
      </c>
      <c r="N7819" s="2" t="str">
        <f>IFERROR(VLOOKUP(ROWS($N$2:N7819),$D$2:$E$1996,2,0),"")</f>
        <v/>
      </c>
    </row>
    <row r="7820" spans="2:14">
      <c r="B7820" s="32">
        <f>IF(ISNUMBER(SEARCH('Φόρμα Εισαγωγής'!$B$2,C7820)),MAX($B$1:B7819)+1,0)</f>
        <v>0</v>
      </c>
      <c r="D7820" s="33">
        <f>IF(ISNUMBER(SEARCH('Φόρμα Εισαγωγής'!$C$2,E7820)),MAX($D$1:D7819)+1,0)</f>
        <v>0</v>
      </c>
      <c r="H7820" s="6">
        <f t="shared" si="377"/>
        <v>0</v>
      </c>
      <c r="I7820" s="6">
        <f t="shared" si="378"/>
        <v>0</v>
      </c>
      <c r="J7820" s="6">
        <f t="shared" si="379"/>
        <v>0</v>
      </c>
      <c r="L7820" s="4" t="str">
        <f>IFERROR(VLOOKUP(ROWS($L$2:L7820),$B$2:$C$1996,2,0),"")</f>
        <v/>
      </c>
      <c r="N7820" s="2" t="str">
        <f>IFERROR(VLOOKUP(ROWS($N$2:N7820),$D$2:$E$1996,2,0),"")</f>
        <v/>
      </c>
    </row>
    <row r="7821" spans="2:14">
      <c r="B7821" s="32">
        <f>IF(ISNUMBER(SEARCH('Φόρμα Εισαγωγής'!$B$2,C7821)),MAX($B$1:B7820)+1,0)</f>
        <v>0</v>
      </c>
      <c r="D7821" s="33">
        <f>IF(ISNUMBER(SEARCH('Φόρμα Εισαγωγής'!$C$2,E7821)),MAX($D$1:D7820)+1,0)</f>
        <v>0</v>
      </c>
      <c r="H7821" s="6">
        <f t="shared" si="377"/>
        <v>0</v>
      </c>
      <c r="I7821" s="6">
        <f t="shared" si="378"/>
        <v>0</v>
      </c>
      <c r="J7821" s="6">
        <f t="shared" si="379"/>
        <v>0</v>
      </c>
      <c r="L7821" s="4" t="str">
        <f>IFERROR(VLOOKUP(ROWS($L$2:L7821),$B$2:$C$1996,2,0),"")</f>
        <v/>
      </c>
      <c r="N7821" s="2" t="str">
        <f>IFERROR(VLOOKUP(ROWS($N$2:N7821),$D$2:$E$1996,2,0),"")</f>
        <v/>
      </c>
    </row>
    <row r="7822" spans="2:14">
      <c r="B7822" s="32">
        <f>IF(ISNUMBER(SEARCH('Φόρμα Εισαγωγής'!$B$2,C7822)),MAX($B$1:B7821)+1,0)</f>
        <v>0</v>
      </c>
      <c r="D7822" s="33">
        <f>IF(ISNUMBER(SEARCH('Φόρμα Εισαγωγής'!$C$2,E7822)),MAX($D$1:D7821)+1,0)</f>
        <v>0</v>
      </c>
      <c r="H7822" s="6">
        <f t="shared" si="377"/>
        <v>0</v>
      </c>
      <c r="I7822" s="6">
        <f t="shared" si="378"/>
        <v>0</v>
      </c>
      <c r="J7822" s="6">
        <f t="shared" si="379"/>
        <v>0</v>
      </c>
      <c r="L7822" s="4" t="str">
        <f>IFERROR(VLOOKUP(ROWS($L$2:L7822),$B$2:$C$1996,2,0),"")</f>
        <v/>
      </c>
      <c r="N7822" s="2" t="str">
        <f>IFERROR(VLOOKUP(ROWS($N$2:N7822),$D$2:$E$1996,2,0),"")</f>
        <v/>
      </c>
    </row>
    <row r="7823" spans="2:14">
      <c r="B7823" s="32">
        <f>IF(ISNUMBER(SEARCH('Φόρμα Εισαγωγής'!$B$2,C7823)),MAX($B$1:B7822)+1,0)</f>
        <v>0</v>
      </c>
      <c r="D7823" s="33">
        <f>IF(ISNUMBER(SEARCH('Φόρμα Εισαγωγής'!$C$2,E7823)),MAX($D$1:D7822)+1,0)</f>
        <v>0</v>
      </c>
      <c r="H7823" s="6">
        <f t="shared" si="377"/>
        <v>0</v>
      </c>
      <c r="I7823" s="6">
        <f t="shared" si="378"/>
        <v>0</v>
      </c>
      <c r="J7823" s="6">
        <f t="shared" si="379"/>
        <v>0</v>
      </c>
      <c r="L7823" s="4" t="str">
        <f>IFERROR(VLOOKUP(ROWS($L$2:L7823),$B$2:$C$1996,2,0),"")</f>
        <v/>
      </c>
      <c r="N7823" s="2" t="str">
        <f>IFERROR(VLOOKUP(ROWS($N$2:N7823),$D$2:$E$1996,2,0),"")</f>
        <v/>
      </c>
    </row>
    <row r="7824" spans="2:14">
      <c r="B7824" s="32">
        <f>IF(ISNUMBER(SEARCH('Φόρμα Εισαγωγής'!$B$2,C7824)),MAX($B$1:B7823)+1,0)</f>
        <v>0</v>
      </c>
      <c r="D7824" s="33">
        <f>IF(ISNUMBER(SEARCH('Φόρμα Εισαγωγής'!$C$2,E7824)),MAX($D$1:D7823)+1,0)</f>
        <v>0</v>
      </c>
      <c r="H7824" s="6">
        <f t="shared" si="377"/>
        <v>0</v>
      </c>
      <c r="I7824" s="6">
        <f t="shared" si="378"/>
        <v>0</v>
      </c>
      <c r="J7824" s="6">
        <f t="shared" si="379"/>
        <v>0</v>
      </c>
      <c r="L7824" s="4" t="str">
        <f>IFERROR(VLOOKUP(ROWS($L$2:L7824),$B$2:$C$1996,2,0),"")</f>
        <v/>
      </c>
      <c r="N7824" s="2" t="str">
        <f>IFERROR(VLOOKUP(ROWS($N$2:N7824),$D$2:$E$1996,2,0),"")</f>
        <v/>
      </c>
    </row>
    <row r="7825" spans="2:14">
      <c r="B7825" s="32">
        <f>IF(ISNUMBER(SEARCH('Φόρμα Εισαγωγής'!$B$2,C7825)),MAX($B$1:B7824)+1,0)</f>
        <v>0</v>
      </c>
      <c r="D7825" s="33">
        <f>IF(ISNUMBER(SEARCH('Φόρμα Εισαγωγής'!$C$2,E7825)),MAX($D$1:D7824)+1,0)</f>
        <v>0</v>
      </c>
      <c r="H7825" s="6">
        <f t="shared" si="377"/>
        <v>0</v>
      </c>
      <c r="I7825" s="6">
        <f t="shared" si="378"/>
        <v>0</v>
      </c>
      <c r="J7825" s="6">
        <f t="shared" si="379"/>
        <v>0</v>
      </c>
      <c r="L7825" s="4" t="str">
        <f>IFERROR(VLOOKUP(ROWS($L$2:L7825),$B$2:$C$1996,2,0),"")</f>
        <v/>
      </c>
      <c r="N7825" s="2" t="str">
        <f>IFERROR(VLOOKUP(ROWS($N$2:N7825),$D$2:$E$1996,2,0),"")</f>
        <v/>
      </c>
    </row>
    <row r="7826" spans="2:14">
      <c r="B7826" s="32">
        <f>IF(ISNUMBER(SEARCH('Φόρμα Εισαγωγής'!$B$2,C7826)),MAX($B$1:B7825)+1,0)</f>
        <v>0</v>
      </c>
      <c r="D7826" s="33">
        <f>IF(ISNUMBER(SEARCH('Φόρμα Εισαγωγής'!$C$2,E7826)),MAX($D$1:D7825)+1,0)</f>
        <v>0</v>
      </c>
      <c r="H7826" s="6">
        <f t="shared" si="377"/>
        <v>0</v>
      </c>
      <c r="I7826" s="6">
        <f t="shared" si="378"/>
        <v>0</v>
      </c>
      <c r="J7826" s="6">
        <f t="shared" si="379"/>
        <v>0</v>
      </c>
      <c r="L7826" s="4" t="str">
        <f>IFERROR(VLOOKUP(ROWS($L$2:L7826),$B$2:$C$1996,2,0),"")</f>
        <v/>
      </c>
      <c r="N7826" s="2" t="str">
        <f>IFERROR(VLOOKUP(ROWS($N$2:N7826),$D$2:$E$1996,2,0),"")</f>
        <v/>
      </c>
    </row>
    <row r="7827" spans="2:14">
      <c r="B7827" s="32">
        <f>IF(ISNUMBER(SEARCH('Φόρμα Εισαγωγής'!$B$2,C7827)),MAX($B$1:B7826)+1,0)</f>
        <v>0</v>
      </c>
      <c r="D7827" s="33">
        <f>IF(ISNUMBER(SEARCH('Φόρμα Εισαγωγής'!$C$2,E7827)),MAX($D$1:D7826)+1,0)</f>
        <v>0</v>
      </c>
      <c r="H7827" s="6">
        <f t="shared" si="377"/>
        <v>0</v>
      </c>
      <c r="I7827" s="6">
        <f t="shared" si="378"/>
        <v>0</v>
      </c>
      <c r="J7827" s="6">
        <f t="shared" si="379"/>
        <v>0</v>
      </c>
      <c r="L7827" s="4" t="str">
        <f>IFERROR(VLOOKUP(ROWS($L$2:L7827),$B$2:$C$1996,2,0),"")</f>
        <v/>
      </c>
      <c r="N7827" s="2" t="str">
        <f>IFERROR(VLOOKUP(ROWS($N$2:N7827),$D$2:$E$1996,2,0),"")</f>
        <v/>
      </c>
    </row>
    <row r="7828" spans="2:14">
      <c r="B7828" s="32">
        <f>IF(ISNUMBER(SEARCH('Φόρμα Εισαγωγής'!$B$2,C7828)),MAX($B$1:B7827)+1,0)</f>
        <v>0</v>
      </c>
      <c r="D7828" s="33">
        <f>IF(ISNUMBER(SEARCH('Φόρμα Εισαγωγής'!$C$2,E7828)),MAX($D$1:D7827)+1,0)</f>
        <v>0</v>
      </c>
      <c r="H7828" s="6">
        <f t="shared" si="377"/>
        <v>0</v>
      </c>
      <c r="I7828" s="6">
        <f t="shared" si="378"/>
        <v>0</v>
      </c>
      <c r="J7828" s="6">
        <f t="shared" si="379"/>
        <v>0</v>
      </c>
      <c r="L7828" s="4" t="str">
        <f>IFERROR(VLOOKUP(ROWS($L$2:L7828),$B$2:$C$1996,2,0),"")</f>
        <v/>
      </c>
      <c r="N7828" s="2" t="str">
        <f>IFERROR(VLOOKUP(ROWS($N$2:N7828),$D$2:$E$1996,2,0),"")</f>
        <v/>
      </c>
    </row>
    <row r="7829" spans="2:14">
      <c r="B7829" s="32">
        <f>IF(ISNUMBER(SEARCH('Φόρμα Εισαγωγής'!$B$2,C7829)),MAX($B$1:B7828)+1,0)</f>
        <v>0</v>
      </c>
      <c r="D7829" s="33">
        <f>IF(ISNUMBER(SEARCH('Φόρμα Εισαγωγής'!$C$2,E7829)),MAX($D$1:D7828)+1,0)</f>
        <v>0</v>
      </c>
      <c r="H7829" s="6">
        <f t="shared" si="377"/>
        <v>0</v>
      </c>
      <c r="I7829" s="6">
        <f t="shared" si="378"/>
        <v>0</v>
      </c>
      <c r="J7829" s="6">
        <f t="shared" si="379"/>
        <v>0</v>
      </c>
      <c r="L7829" s="4" t="str">
        <f>IFERROR(VLOOKUP(ROWS($L$2:L7829),$B$2:$C$1996,2,0),"")</f>
        <v/>
      </c>
      <c r="N7829" s="2" t="str">
        <f>IFERROR(VLOOKUP(ROWS($N$2:N7829),$D$2:$E$1996,2,0),"")</f>
        <v/>
      </c>
    </row>
    <row r="7830" spans="2:14">
      <c r="B7830" s="32">
        <f>IF(ISNUMBER(SEARCH('Φόρμα Εισαγωγής'!$B$2,C7830)),MAX($B$1:B7829)+1,0)</f>
        <v>0</v>
      </c>
      <c r="D7830" s="33">
        <f>IF(ISNUMBER(SEARCH('Φόρμα Εισαγωγής'!$C$2,E7830)),MAX($D$1:D7829)+1,0)</f>
        <v>0</v>
      </c>
      <c r="H7830" s="6">
        <f t="shared" si="377"/>
        <v>0</v>
      </c>
      <c r="I7830" s="6">
        <f t="shared" si="378"/>
        <v>0</v>
      </c>
      <c r="J7830" s="6">
        <f t="shared" si="379"/>
        <v>0</v>
      </c>
      <c r="L7830" s="4" t="str">
        <f>IFERROR(VLOOKUP(ROWS($L$2:L7830),$B$2:$C$1996,2,0),"")</f>
        <v/>
      </c>
      <c r="N7830" s="2" t="str">
        <f>IFERROR(VLOOKUP(ROWS($N$2:N7830),$D$2:$E$1996,2,0),"")</f>
        <v/>
      </c>
    </row>
    <row r="7831" spans="2:14">
      <c r="B7831" s="32">
        <f>IF(ISNUMBER(SEARCH('Φόρμα Εισαγωγής'!$B$2,C7831)),MAX($B$1:B7830)+1,0)</f>
        <v>0</v>
      </c>
      <c r="D7831" s="33">
        <f>IF(ISNUMBER(SEARCH('Φόρμα Εισαγωγής'!$C$2,E7831)),MAX($D$1:D7830)+1,0)</f>
        <v>0</v>
      </c>
      <c r="H7831" s="6">
        <f t="shared" si="377"/>
        <v>0</v>
      </c>
      <c r="I7831" s="6">
        <f t="shared" si="378"/>
        <v>0</v>
      </c>
      <c r="J7831" s="6">
        <f t="shared" si="379"/>
        <v>0</v>
      </c>
      <c r="L7831" s="4" t="str">
        <f>IFERROR(VLOOKUP(ROWS($L$2:L7831),$B$2:$C$1996,2,0),"")</f>
        <v/>
      </c>
      <c r="N7831" s="2" t="str">
        <f>IFERROR(VLOOKUP(ROWS($N$2:N7831),$D$2:$E$1996,2,0),"")</f>
        <v/>
      </c>
    </row>
    <row r="7832" spans="2:14">
      <c r="B7832" s="32">
        <f>IF(ISNUMBER(SEARCH('Φόρμα Εισαγωγής'!$B$2,C7832)),MAX($B$1:B7831)+1,0)</f>
        <v>0</v>
      </c>
      <c r="D7832" s="33">
        <f>IF(ISNUMBER(SEARCH('Φόρμα Εισαγωγής'!$C$2,E7832)),MAX($D$1:D7831)+1,0)</f>
        <v>0</v>
      </c>
      <c r="H7832" s="6">
        <f t="shared" si="377"/>
        <v>0</v>
      </c>
      <c r="I7832" s="6">
        <f t="shared" si="378"/>
        <v>0</v>
      </c>
      <c r="J7832" s="6">
        <f t="shared" si="379"/>
        <v>0</v>
      </c>
      <c r="L7832" s="4" t="str">
        <f>IFERROR(VLOOKUP(ROWS($L$2:L7832),$B$2:$C$1996,2,0),"")</f>
        <v/>
      </c>
      <c r="N7832" s="2" t="str">
        <f>IFERROR(VLOOKUP(ROWS($N$2:N7832),$D$2:$E$1996,2,0),"")</f>
        <v/>
      </c>
    </row>
    <row r="7833" spans="2:14">
      <c r="B7833" s="32">
        <f>IF(ISNUMBER(SEARCH('Φόρμα Εισαγωγής'!$B$2,C7833)),MAX($B$1:B7832)+1,0)</f>
        <v>0</v>
      </c>
      <c r="D7833" s="33">
        <f>IF(ISNUMBER(SEARCH('Φόρμα Εισαγωγής'!$C$2,E7833)),MAX($D$1:D7832)+1,0)</f>
        <v>0</v>
      </c>
      <c r="H7833" s="6">
        <f t="shared" si="377"/>
        <v>0</v>
      </c>
      <c r="I7833" s="6">
        <f t="shared" si="378"/>
        <v>0</v>
      </c>
      <c r="J7833" s="6">
        <f t="shared" si="379"/>
        <v>0</v>
      </c>
      <c r="L7833" s="4" t="str">
        <f>IFERROR(VLOOKUP(ROWS($L$2:L7833),$B$2:$C$1996,2,0),"")</f>
        <v/>
      </c>
      <c r="N7833" s="2" t="str">
        <f>IFERROR(VLOOKUP(ROWS($N$2:N7833),$D$2:$E$1996,2,0),"")</f>
        <v/>
      </c>
    </row>
    <row r="7834" spans="2:14">
      <c r="B7834" s="32">
        <f>IF(ISNUMBER(SEARCH('Φόρμα Εισαγωγής'!$B$2,C7834)),MAX($B$1:B7833)+1,0)</f>
        <v>0</v>
      </c>
      <c r="D7834" s="33">
        <f>IF(ISNUMBER(SEARCH('Φόρμα Εισαγωγής'!$C$2,E7834)),MAX($D$1:D7833)+1,0)</f>
        <v>0</v>
      </c>
      <c r="H7834" s="6">
        <f t="shared" si="377"/>
        <v>0</v>
      </c>
      <c r="I7834" s="6">
        <f t="shared" si="378"/>
        <v>0</v>
      </c>
      <c r="J7834" s="6">
        <f t="shared" si="379"/>
        <v>0</v>
      </c>
      <c r="L7834" s="4" t="str">
        <f>IFERROR(VLOOKUP(ROWS($L$2:L7834),$B$2:$C$1996,2,0),"")</f>
        <v/>
      </c>
      <c r="N7834" s="2" t="str">
        <f>IFERROR(VLOOKUP(ROWS($N$2:N7834),$D$2:$E$1996,2,0),"")</f>
        <v/>
      </c>
    </row>
    <row r="7835" spans="2:14">
      <c r="B7835" s="32">
        <f>IF(ISNUMBER(SEARCH('Φόρμα Εισαγωγής'!$B$2,C7835)),MAX($B$1:B7834)+1,0)</f>
        <v>0</v>
      </c>
      <c r="D7835" s="33">
        <f>IF(ISNUMBER(SEARCH('Φόρμα Εισαγωγής'!$C$2,E7835)),MAX($D$1:D7834)+1,0)</f>
        <v>0</v>
      </c>
      <c r="H7835" s="6">
        <f t="shared" si="377"/>
        <v>0</v>
      </c>
      <c r="I7835" s="6">
        <f t="shared" si="378"/>
        <v>0</v>
      </c>
      <c r="J7835" s="6">
        <f t="shared" si="379"/>
        <v>0</v>
      </c>
      <c r="L7835" s="4" t="str">
        <f>IFERROR(VLOOKUP(ROWS($L$2:L7835),$B$2:$C$1996,2,0),"")</f>
        <v/>
      </c>
      <c r="N7835" s="2" t="str">
        <f>IFERROR(VLOOKUP(ROWS($N$2:N7835),$D$2:$E$1996,2,0),"")</f>
        <v/>
      </c>
    </row>
    <row r="7836" spans="2:14">
      <c r="B7836" s="32">
        <f>IF(ISNUMBER(SEARCH('Φόρμα Εισαγωγής'!$B$2,C7836)),MAX($B$1:B7835)+1,0)</f>
        <v>0</v>
      </c>
      <c r="D7836" s="33">
        <f>IF(ISNUMBER(SEARCH('Φόρμα Εισαγωγής'!$C$2,E7836)),MAX($D$1:D7835)+1,0)</f>
        <v>0</v>
      </c>
      <c r="H7836" s="6">
        <f t="shared" si="377"/>
        <v>0</v>
      </c>
      <c r="I7836" s="6">
        <f t="shared" si="378"/>
        <v>0</v>
      </c>
      <c r="J7836" s="6">
        <f t="shared" si="379"/>
        <v>0</v>
      </c>
      <c r="L7836" s="4" t="str">
        <f>IFERROR(VLOOKUP(ROWS($L$2:L7836),$B$2:$C$1996,2,0),"")</f>
        <v/>
      </c>
      <c r="N7836" s="2" t="str">
        <f>IFERROR(VLOOKUP(ROWS($N$2:N7836),$D$2:$E$1996,2,0),"")</f>
        <v/>
      </c>
    </row>
    <row r="7837" spans="2:14">
      <c r="B7837" s="32">
        <f>IF(ISNUMBER(SEARCH('Φόρμα Εισαγωγής'!$B$2,C7837)),MAX($B$1:B7836)+1,0)</f>
        <v>0</v>
      </c>
      <c r="D7837" s="33">
        <f>IF(ISNUMBER(SEARCH('Φόρμα Εισαγωγής'!$C$2,E7837)),MAX($D$1:D7836)+1,0)</f>
        <v>0</v>
      </c>
      <c r="H7837" s="6">
        <f t="shared" si="377"/>
        <v>0</v>
      </c>
      <c r="I7837" s="6">
        <f t="shared" si="378"/>
        <v>0</v>
      </c>
      <c r="J7837" s="6">
        <f t="shared" si="379"/>
        <v>0</v>
      </c>
      <c r="L7837" s="4" t="str">
        <f>IFERROR(VLOOKUP(ROWS($L$2:L7837),$B$2:$C$1996,2,0),"")</f>
        <v/>
      </c>
      <c r="N7837" s="2" t="str">
        <f>IFERROR(VLOOKUP(ROWS($N$2:N7837),$D$2:$E$1996,2,0),"")</f>
        <v/>
      </c>
    </row>
    <row r="7838" spans="2:14">
      <c r="B7838" s="32">
        <f>IF(ISNUMBER(SEARCH('Φόρμα Εισαγωγής'!$B$2,C7838)),MAX($B$1:B7837)+1,0)</f>
        <v>0</v>
      </c>
      <c r="D7838" s="33">
        <f>IF(ISNUMBER(SEARCH('Φόρμα Εισαγωγής'!$C$2,E7838)),MAX($D$1:D7837)+1,0)</f>
        <v>0</v>
      </c>
      <c r="H7838" s="6">
        <f t="shared" si="377"/>
        <v>0</v>
      </c>
      <c r="I7838" s="6">
        <f t="shared" si="378"/>
        <v>0</v>
      </c>
      <c r="J7838" s="6">
        <f t="shared" si="379"/>
        <v>0</v>
      </c>
      <c r="L7838" s="4" t="str">
        <f>IFERROR(VLOOKUP(ROWS($L$2:L7838),$B$2:$C$1996,2,0),"")</f>
        <v/>
      </c>
      <c r="N7838" s="2" t="str">
        <f>IFERROR(VLOOKUP(ROWS($N$2:N7838),$D$2:$E$1996,2,0),"")</f>
        <v/>
      </c>
    </row>
    <row r="7839" spans="2:14">
      <c r="B7839" s="32">
        <f>IF(ISNUMBER(SEARCH('Φόρμα Εισαγωγής'!$B$2,C7839)),MAX($B$1:B7838)+1,0)</f>
        <v>0</v>
      </c>
      <c r="D7839" s="33">
        <f>IF(ISNUMBER(SEARCH('Φόρμα Εισαγωγής'!$C$2,E7839)),MAX($D$1:D7838)+1,0)</f>
        <v>0</v>
      </c>
      <c r="H7839" s="6">
        <f t="shared" si="377"/>
        <v>0</v>
      </c>
      <c r="I7839" s="6">
        <f t="shared" si="378"/>
        <v>0</v>
      </c>
      <c r="J7839" s="6">
        <f t="shared" si="379"/>
        <v>0</v>
      </c>
      <c r="L7839" s="4" t="str">
        <f>IFERROR(VLOOKUP(ROWS($L$2:L7839),$B$2:$C$1996,2,0),"")</f>
        <v/>
      </c>
      <c r="N7839" s="2" t="str">
        <f>IFERROR(VLOOKUP(ROWS($N$2:N7839),$D$2:$E$1996,2,0),"")</f>
        <v/>
      </c>
    </row>
    <row r="7840" spans="2:14">
      <c r="B7840" s="32">
        <f>IF(ISNUMBER(SEARCH('Φόρμα Εισαγωγής'!$B$2,C7840)),MAX($B$1:B7839)+1,0)</f>
        <v>0</v>
      </c>
      <c r="D7840" s="33">
        <f>IF(ISNUMBER(SEARCH('Φόρμα Εισαγωγής'!$C$2,E7840)),MAX($D$1:D7839)+1,0)</f>
        <v>0</v>
      </c>
      <c r="H7840" s="6">
        <f t="shared" si="377"/>
        <v>0</v>
      </c>
      <c r="I7840" s="6">
        <f t="shared" si="378"/>
        <v>0</v>
      </c>
      <c r="J7840" s="6">
        <f t="shared" si="379"/>
        <v>0</v>
      </c>
      <c r="L7840" s="4" t="str">
        <f>IFERROR(VLOOKUP(ROWS($L$2:L7840),$B$2:$C$1996,2,0),"")</f>
        <v/>
      </c>
      <c r="N7840" s="2" t="str">
        <f>IFERROR(VLOOKUP(ROWS($N$2:N7840),$D$2:$E$1996,2,0),"")</f>
        <v/>
      </c>
    </row>
    <row r="7841" spans="2:14">
      <c r="B7841" s="32">
        <f>IF(ISNUMBER(SEARCH('Φόρμα Εισαγωγής'!$B$2,C7841)),MAX($B$1:B7840)+1,0)</f>
        <v>0</v>
      </c>
      <c r="D7841" s="33">
        <f>IF(ISNUMBER(SEARCH('Φόρμα Εισαγωγής'!$C$2,E7841)),MAX($D$1:D7840)+1,0)</f>
        <v>0</v>
      </c>
      <c r="H7841" s="6">
        <f t="shared" si="377"/>
        <v>0</v>
      </c>
      <c r="I7841" s="6">
        <f t="shared" si="378"/>
        <v>0</v>
      </c>
      <c r="J7841" s="6">
        <f t="shared" si="379"/>
        <v>0</v>
      </c>
      <c r="L7841" s="4" t="str">
        <f>IFERROR(VLOOKUP(ROWS($L$2:L7841),$B$2:$C$1996,2,0),"")</f>
        <v/>
      </c>
      <c r="N7841" s="2" t="str">
        <f>IFERROR(VLOOKUP(ROWS($N$2:N7841),$D$2:$E$1996,2,0),"")</f>
        <v/>
      </c>
    </row>
    <row r="7842" spans="2:14">
      <c r="B7842" s="32">
        <f>IF(ISNUMBER(SEARCH('Φόρμα Εισαγωγής'!$B$2,C7842)),MAX($B$1:B7841)+1,0)</f>
        <v>0</v>
      </c>
      <c r="D7842" s="33">
        <f>IF(ISNUMBER(SEARCH('Φόρμα Εισαγωγής'!$C$2,E7842)),MAX($D$1:D7841)+1,0)</f>
        <v>0</v>
      </c>
      <c r="H7842" s="6">
        <f t="shared" si="377"/>
        <v>0</v>
      </c>
      <c r="I7842" s="6">
        <f t="shared" si="378"/>
        <v>0</v>
      </c>
      <c r="J7842" s="6">
        <f t="shared" si="379"/>
        <v>0</v>
      </c>
      <c r="L7842" s="4" t="str">
        <f>IFERROR(VLOOKUP(ROWS($L$2:L7842),$B$2:$C$1996,2,0),"")</f>
        <v/>
      </c>
      <c r="N7842" s="2" t="str">
        <f>IFERROR(VLOOKUP(ROWS($N$2:N7842),$D$2:$E$1996,2,0),"")</f>
        <v/>
      </c>
    </row>
    <row r="7843" spans="2:14">
      <c r="B7843" s="32">
        <f>IF(ISNUMBER(SEARCH('Φόρμα Εισαγωγής'!$B$2,C7843)),MAX($B$1:B7842)+1,0)</f>
        <v>0</v>
      </c>
      <c r="D7843" s="33">
        <f>IF(ISNUMBER(SEARCH('Φόρμα Εισαγωγής'!$C$2,E7843)),MAX($D$1:D7842)+1,0)</f>
        <v>0</v>
      </c>
      <c r="H7843" s="6">
        <f t="shared" si="377"/>
        <v>0</v>
      </c>
      <c r="I7843" s="6">
        <f t="shared" si="378"/>
        <v>0</v>
      </c>
      <c r="J7843" s="6">
        <f t="shared" si="379"/>
        <v>0</v>
      </c>
      <c r="L7843" s="4" t="str">
        <f>IFERROR(VLOOKUP(ROWS($L$2:L7843),$B$2:$C$1996,2,0),"")</f>
        <v/>
      </c>
      <c r="N7843" s="2" t="str">
        <f>IFERROR(VLOOKUP(ROWS($N$2:N7843),$D$2:$E$1996,2,0),"")</f>
        <v/>
      </c>
    </row>
    <row r="7844" spans="2:14">
      <c r="B7844" s="32">
        <f>IF(ISNUMBER(SEARCH('Φόρμα Εισαγωγής'!$B$2,C7844)),MAX($B$1:B7843)+1,0)</f>
        <v>0</v>
      </c>
      <c r="D7844" s="33">
        <f>IF(ISNUMBER(SEARCH('Φόρμα Εισαγωγής'!$C$2,E7844)),MAX($D$1:D7843)+1,0)</f>
        <v>0</v>
      </c>
      <c r="H7844" s="6">
        <f t="shared" si="377"/>
        <v>0</v>
      </c>
      <c r="I7844" s="6">
        <f t="shared" si="378"/>
        <v>0</v>
      </c>
      <c r="J7844" s="6">
        <f t="shared" si="379"/>
        <v>0</v>
      </c>
      <c r="L7844" s="4" t="str">
        <f>IFERROR(VLOOKUP(ROWS($L$2:L7844),$B$2:$C$1996,2,0),"")</f>
        <v/>
      </c>
      <c r="N7844" s="2" t="str">
        <f>IFERROR(VLOOKUP(ROWS($N$2:N7844),$D$2:$E$1996,2,0),"")</f>
        <v/>
      </c>
    </row>
    <row r="7845" spans="2:14">
      <c r="B7845" s="32">
        <f>IF(ISNUMBER(SEARCH('Φόρμα Εισαγωγής'!$B$2,C7845)),MAX($B$1:B7844)+1,0)</f>
        <v>0</v>
      </c>
      <c r="D7845" s="33">
        <f>IF(ISNUMBER(SEARCH('Φόρμα Εισαγωγής'!$C$2,E7845)),MAX($D$1:D7844)+1,0)</f>
        <v>0</v>
      </c>
      <c r="H7845" s="6">
        <f t="shared" si="377"/>
        <v>0</v>
      </c>
      <c r="I7845" s="6">
        <f t="shared" si="378"/>
        <v>0</v>
      </c>
      <c r="J7845" s="6">
        <f t="shared" si="379"/>
        <v>0</v>
      </c>
      <c r="L7845" s="4" t="str">
        <f>IFERROR(VLOOKUP(ROWS($L$2:L7845),$B$2:$C$1996,2,0),"")</f>
        <v/>
      </c>
      <c r="N7845" s="2" t="str">
        <f>IFERROR(VLOOKUP(ROWS($N$2:N7845),$D$2:$E$1996,2,0),"")</f>
        <v/>
      </c>
    </row>
    <row r="7846" spans="2:14">
      <c r="B7846" s="32">
        <f>IF(ISNUMBER(SEARCH('Φόρμα Εισαγωγής'!$B$2,C7846)),MAX($B$1:B7845)+1,0)</f>
        <v>0</v>
      </c>
      <c r="D7846" s="33">
        <f>IF(ISNUMBER(SEARCH('Φόρμα Εισαγωγής'!$C$2,E7846)),MAX($D$1:D7845)+1,0)</f>
        <v>0</v>
      </c>
      <c r="H7846" s="6">
        <f t="shared" si="377"/>
        <v>0</v>
      </c>
      <c r="I7846" s="6">
        <f t="shared" si="378"/>
        <v>0</v>
      </c>
      <c r="J7846" s="6">
        <f t="shared" si="379"/>
        <v>0</v>
      </c>
      <c r="L7846" s="4" t="str">
        <f>IFERROR(VLOOKUP(ROWS($L$2:L7846),$B$2:$C$1996,2,0),"")</f>
        <v/>
      </c>
      <c r="N7846" s="2" t="str">
        <f>IFERROR(VLOOKUP(ROWS($N$2:N7846),$D$2:$E$1996,2,0),"")</f>
        <v/>
      </c>
    </row>
    <row r="7847" spans="2:14">
      <c r="B7847" s="32">
        <f>IF(ISNUMBER(SEARCH('Φόρμα Εισαγωγής'!$B$2,C7847)),MAX($B$1:B7846)+1,0)</f>
        <v>0</v>
      </c>
      <c r="D7847" s="33">
        <f>IF(ISNUMBER(SEARCH('Φόρμα Εισαγωγής'!$C$2,E7847)),MAX($D$1:D7846)+1,0)</f>
        <v>0</v>
      </c>
      <c r="H7847" s="6">
        <f t="shared" si="377"/>
        <v>0</v>
      </c>
      <c r="I7847" s="6">
        <f t="shared" si="378"/>
        <v>0</v>
      </c>
      <c r="J7847" s="6">
        <f t="shared" si="379"/>
        <v>0</v>
      </c>
      <c r="L7847" s="4" t="str">
        <f>IFERROR(VLOOKUP(ROWS($L$2:L7847),$B$2:$C$1996,2,0),"")</f>
        <v/>
      </c>
      <c r="N7847" s="2" t="str">
        <f>IFERROR(VLOOKUP(ROWS($N$2:N7847),$D$2:$E$1996,2,0),"")</f>
        <v/>
      </c>
    </row>
    <row r="7848" spans="2:14">
      <c r="B7848" s="32">
        <f>IF(ISNUMBER(SEARCH('Φόρμα Εισαγωγής'!$B$2,C7848)),MAX($B$1:B7847)+1,0)</f>
        <v>0</v>
      </c>
      <c r="D7848" s="33">
        <f>IF(ISNUMBER(SEARCH('Φόρμα Εισαγωγής'!$C$2,E7848)),MAX($D$1:D7847)+1,0)</f>
        <v>0</v>
      </c>
      <c r="H7848" s="6">
        <f t="shared" si="377"/>
        <v>0</v>
      </c>
      <c r="I7848" s="6">
        <f t="shared" si="378"/>
        <v>0</v>
      </c>
      <c r="J7848" s="6">
        <f t="shared" si="379"/>
        <v>0</v>
      </c>
      <c r="L7848" s="4" t="str">
        <f>IFERROR(VLOOKUP(ROWS($L$2:L7848),$B$2:$C$1996,2,0),"")</f>
        <v/>
      </c>
      <c r="N7848" s="2" t="str">
        <f>IFERROR(VLOOKUP(ROWS($N$2:N7848),$D$2:$E$1996,2,0),"")</f>
        <v/>
      </c>
    </row>
    <row r="7849" spans="2:14">
      <c r="B7849" s="32">
        <f>IF(ISNUMBER(SEARCH('Φόρμα Εισαγωγής'!$B$2,C7849)),MAX($B$1:B7848)+1,0)</f>
        <v>0</v>
      </c>
      <c r="D7849" s="33">
        <f>IF(ISNUMBER(SEARCH('Φόρμα Εισαγωγής'!$C$2,E7849)),MAX($D$1:D7848)+1,0)</f>
        <v>0</v>
      </c>
      <c r="H7849" s="6">
        <f t="shared" si="377"/>
        <v>0</v>
      </c>
      <c r="I7849" s="6">
        <f t="shared" si="378"/>
        <v>0</v>
      </c>
      <c r="J7849" s="6">
        <f t="shared" si="379"/>
        <v>0</v>
      </c>
      <c r="L7849" s="4" t="str">
        <f>IFERROR(VLOOKUP(ROWS($L$2:L7849),$B$2:$C$1996,2,0),"")</f>
        <v/>
      </c>
      <c r="N7849" s="2" t="str">
        <f>IFERROR(VLOOKUP(ROWS($N$2:N7849),$D$2:$E$1996,2,0),"")</f>
        <v/>
      </c>
    </row>
    <row r="7850" spans="2:14">
      <c r="B7850" s="32">
        <f>IF(ISNUMBER(SEARCH('Φόρμα Εισαγωγής'!$B$2,C7850)),MAX($B$1:B7849)+1,0)</f>
        <v>0</v>
      </c>
      <c r="D7850" s="33">
        <f>IF(ISNUMBER(SEARCH('Φόρμα Εισαγωγής'!$C$2,E7850)),MAX($D$1:D7849)+1,0)</f>
        <v>0</v>
      </c>
      <c r="H7850" s="6">
        <f t="shared" si="377"/>
        <v>0</v>
      </c>
      <c r="I7850" s="6">
        <f t="shared" si="378"/>
        <v>0</v>
      </c>
      <c r="J7850" s="6">
        <f t="shared" si="379"/>
        <v>0</v>
      </c>
      <c r="L7850" s="4" t="str">
        <f>IFERROR(VLOOKUP(ROWS($L$2:L7850),$B$2:$C$1996,2,0),"")</f>
        <v/>
      </c>
      <c r="N7850" s="2" t="str">
        <f>IFERROR(VLOOKUP(ROWS($N$2:N7850),$D$2:$E$1996,2,0),"")</f>
        <v/>
      </c>
    </row>
    <row r="7851" spans="2:14">
      <c r="B7851" s="32">
        <f>IF(ISNUMBER(SEARCH('Φόρμα Εισαγωγής'!$B$2,C7851)),MAX($B$1:B7850)+1,0)</f>
        <v>0</v>
      </c>
      <c r="D7851" s="33">
        <f>IF(ISNUMBER(SEARCH('Φόρμα Εισαγωγής'!$C$2,E7851)),MAX($D$1:D7850)+1,0)</f>
        <v>0</v>
      </c>
      <c r="H7851" s="6">
        <f t="shared" si="377"/>
        <v>0</v>
      </c>
      <c r="I7851" s="6">
        <f t="shared" si="378"/>
        <v>0</v>
      </c>
      <c r="J7851" s="6">
        <f t="shared" si="379"/>
        <v>0</v>
      </c>
      <c r="L7851" s="4" t="str">
        <f>IFERROR(VLOOKUP(ROWS($L$2:L7851),$B$2:$C$1996,2,0),"")</f>
        <v/>
      </c>
      <c r="N7851" s="2" t="str">
        <f>IFERROR(VLOOKUP(ROWS($N$2:N7851),$D$2:$E$1996,2,0),"")</f>
        <v/>
      </c>
    </row>
    <row r="7852" spans="2:14">
      <c r="B7852" s="32">
        <f>IF(ISNUMBER(SEARCH('Φόρμα Εισαγωγής'!$B$2,C7852)),MAX($B$1:B7851)+1,0)</f>
        <v>0</v>
      </c>
      <c r="D7852" s="33">
        <f>IF(ISNUMBER(SEARCH('Φόρμα Εισαγωγής'!$C$2,E7852)),MAX($D$1:D7851)+1,0)</f>
        <v>0</v>
      </c>
      <c r="H7852" s="6">
        <f t="shared" si="377"/>
        <v>0</v>
      </c>
      <c r="I7852" s="6">
        <f t="shared" si="378"/>
        <v>0</v>
      </c>
      <c r="J7852" s="6">
        <f t="shared" si="379"/>
        <v>0</v>
      </c>
      <c r="L7852" s="4" t="str">
        <f>IFERROR(VLOOKUP(ROWS($L$2:L7852),$B$2:$C$1996,2,0),"")</f>
        <v/>
      </c>
      <c r="N7852" s="2" t="str">
        <f>IFERROR(VLOOKUP(ROWS($N$2:N7852),$D$2:$E$1996,2,0),"")</f>
        <v/>
      </c>
    </row>
    <row r="7853" spans="2:14">
      <c r="B7853" s="32">
        <f>IF(ISNUMBER(SEARCH('Φόρμα Εισαγωγής'!$B$2,C7853)),MAX($B$1:B7852)+1,0)</f>
        <v>0</v>
      </c>
      <c r="D7853" s="33">
        <f>IF(ISNUMBER(SEARCH('Φόρμα Εισαγωγής'!$C$2,E7853)),MAX($D$1:D7852)+1,0)</f>
        <v>0</v>
      </c>
      <c r="H7853" s="6">
        <f t="shared" si="377"/>
        <v>0</v>
      </c>
      <c r="I7853" s="6">
        <f t="shared" si="378"/>
        <v>0</v>
      </c>
      <c r="J7853" s="6">
        <f t="shared" si="379"/>
        <v>0</v>
      </c>
      <c r="L7853" s="4" t="str">
        <f>IFERROR(VLOOKUP(ROWS($L$2:L7853),$B$2:$C$1996,2,0),"")</f>
        <v/>
      </c>
      <c r="N7853" s="2" t="str">
        <f>IFERROR(VLOOKUP(ROWS($N$2:N7853),$D$2:$E$1996,2,0),"")</f>
        <v/>
      </c>
    </row>
    <row r="7854" spans="2:14">
      <c r="B7854" s="32">
        <f>IF(ISNUMBER(SEARCH('Φόρμα Εισαγωγής'!$B$2,C7854)),MAX($B$1:B7853)+1,0)</f>
        <v>0</v>
      </c>
      <c r="D7854" s="33">
        <f>IF(ISNUMBER(SEARCH('Φόρμα Εισαγωγής'!$C$2,E7854)),MAX($D$1:D7853)+1,0)</f>
        <v>0</v>
      </c>
      <c r="H7854" s="6">
        <f t="shared" si="377"/>
        <v>0</v>
      </c>
      <c r="I7854" s="6">
        <f t="shared" si="378"/>
        <v>0</v>
      </c>
      <c r="J7854" s="6">
        <f t="shared" si="379"/>
        <v>0</v>
      </c>
      <c r="L7854" s="4" t="str">
        <f>IFERROR(VLOOKUP(ROWS($L$2:L7854),$B$2:$C$1996,2,0),"")</f>
        <v/>
      </c>
      <c r="N7854" s="2" t="str">
        <f>IFERROR(VLOOKUP(ROWS($N$2:N7854),$D$2:$E$1996,2,0),"")</f>
        <v/>
      </c>
    </row>
    <row r="7855" spans="2:14">
      <c r="B7855" s="32">
        <f>IF(ISNUMBER(SEARCH('Φόρμα Εισαγωγής'!$B$2,C7855)),MAX($B$1:B7854)+1,0)</f>
        <v>0</v>
      </c>
      <c r="D7855" s="33">
        <f>IF(ISNUMBER(SEARCH('Φόρμα Εισαγωγής'!$C$2,E7855)),MAX($D$1:D7854)+1,0)</f>
        <v>0</v>
      </c>
      <c r="H7855" s="6">
        <f t="shared" si="377"/>
        <v>0</v>
      </c>
      <c r="I7855" s="6">
        <f t="shared" si="378"/>
        <v>0</v>
      </c>
      <c r="J7855" s="6">
        <f t="shared" si="379"/>
        <v>0</v>
      </c>
      <c r="L7855" s="4" t="str">
        <f>IFERROR(VLOOKUP(ROWS($L$2:L7855),$B$2:$C$1996,2,0),"")</f>
        <v/>
      </c>
      <c r="N7855" s="2" t="str">
        <f>IFERROR(VLOOKUP(ROWS($N$2:N7855),$D$2:$E$1996,2,0),"")</f>
        <v/>
      </c>
    </row>
    <row r="7856" spans="2:14">
      <c r="B7856" s="32">
        <f>IF(ISNUMBER(SEARCH('Φόρμα Εισαγωγής'!$B$2,C7856)),MAX($B$1:B7855)+1,0)</f>
        <v>0</v>
      </c>
      <c r="D7856" s="33">
        <f>IF(ISNUMBER(SEARCH('Φόρμα Εισαγωγής'!$C$2,E7856)),MAX($D$1:D7855)+1,0)</f>
        <v>0</v>
      </c>
      <c r="H7856" s="6">
        <f t="shared" si="377"/>
        <v>0</v>
      </c>
      <c r="I7856" s="6">
        <f t="shared" si="378"/>
        <v>0</v>
      </c>
      <c r="J7856" s="6">
        <f t="shared" si="379"/>
        <v>0</v>
      </c>
      <c r="L7856" s="4" t="str">
        <f>IFERROR(VLOOKUP(ROWS($L$2:L7856),$B$2:$C$1996,2,0),"")</f>
        <v/>
      </c>
      <c r="N7856" s="2" t="str">
        <f>IFERROR(VLOOKUP(ROWS($N$2:N7856),$D$2:$E$1996,2,0),"")</f>
        <v/>
      </c>
    </row>
    <row r="7857" spans="2:14">
      <c r="B7857" s="32">
        <f>IF(ISNUMBER(SEARCH('Φόρμα Εισαγωγής'!$B$2,C7857)),MAX($B$1:B7856)+1,0)</f>
        <v>0</v>
      </c>
      <c r="D7857" s="33">
        <f>IF(ISNUMBER(SEARCH('Φόρμα Εισαγωγής'!$C$2,E7857)),MAX($D$1:D7856)+1,0)</f>
        <v>0</v>
      </c>
      <c r="H7857" s="6">
        <f t="shared" si="377"/>
        <v>0</v>
      </c>
      <c r="I7857" s="6">
        <f t="shared" si="378"/>
        <v>0</v>
      </c>
      <c r="J7857" s="6">
        <f t="shared" si="379"/>
        <v>0</v>
      </c>
      <c r="L7857" s="4" t="str">
        <f>IFERROR(VLOOKUP(ROWS($L$2:L7857),$B$2:$C$1996,2,0),"")</f>
        <v/>
      </c>
      <c r="N7857" s="2" t="str">
        <f>IFERROR(VLOOKUP(ROWS($N$2:N7857),$D$2:$E$1996,2,0),"")</f>
        <v/>
      </c>
    </row>
    <row r="7858" spans="2:14">
      <c r="B7858" s="32">
        <f>IF(ISNUMBER(SEARCH('Φόρμα Εισαγωγής'!$B$2,C7858)),MAX($B$1:B7857)+1,0)</f>
        <v>0</v>
      </c>
      <c r="D7858" s="33">
        <f>IF(ISNUMBER(SEARCH('Φόρμα Εισαγωγής'!$C$2,E7858)),MAX($D$1:D7857)+1,0)</f>
        <v>0</v>
      </c>
      <c r="H7858" s="6">
        <f t="shared" si="377"/>
        <v>0</v>
      </c>
      <c r="I7858" s="6">
        <f t="shared" si="378"/>
        <v>0</v>
      </c>
      <c r="J7858" s="6">
        <f t="shared" si="379"/>
        <v>0</v>
      </c>
      <c r="L7858" s="4" t="str">
        <f>IFERROR(VLOOKUP(ROWS($L$2:L7858),$B$2:$C$1996,2,0),"")</f>
        <v/>
      </c>
      <c r="N7858" s="2" t="str">
        <f>IFERROR(VLOOKUP(ROWS($N$2:N7858),$D$2:$E$1996,2,0),"")</f>
        <v/>
      </c>
    </row>
    <row r="7859" spans="2:14">
      <c r="B7859" s="32">
        <f>IF(ISNUMBER(SEARCH('Φόρμα Εισαγωγής'!$B$2,C7859)),MAX($B$1:B7858)+1,0)</f>
        <v>0</v>
      </c>
      <c r="D7859" s="33">
        <f>IF(ISNUMBER(SEARCH('Φόρμα Εισαγωγής'!$C$2,E7859)),MAX($D$1:D7858)+1,0)</f>
        <v>0</v>
      </c>
      <c r="H7859" s="6">
        <f t="shared" si="377"/>
        <v>0</v>
      </c>
      <c r="I7859" s="6">
        <f t="shared" si="378"/>
        <v>0</v>
      </c>
      <c r="J7859" s="6">
        <f t="shared" si="379"/>
        <v>0</v>
      </c>
      <c r="L7859" s="4" t="str">
        <f>IFERROR(VLOOKUP(ROWS($L$2:L7859),$B$2:$C$1996,2,0),"")</f>
        <v/>
      </c>
      <c r="N7859" s="2" t="str">
        <f>IFERROR(VLOOKUP(ROWS($N$2:N7859),$D$2:$E$1996,2,0),"")</f>
        <v/>
      </c>
    </row>
    <row r="7860" spans="2:14">
      <c r="B7860" s="32">
        <f>IF(ISNUMBER(SEARCH('Φόρμα Εισαγωγής'!$B$2,C7860)),MAX($B$1:B7859)+1,0)</f>
        <v>0</v>
      </c>
      <c r="D7860" s="33">
        <f>IF(ISNUMBER(SEARCH('Φόρμα Εισαγωγής'!$C$2,E7860)),MAX($D$1:D7859)+1,0)</f>
        <v>0</v>
      </c>
      <c r="H7860" s="6">
        <f t="shared" si="377"/>
        <v>0</v>
      </c>
      <c r="I7860" s="6">
        <f t="shared" si="378"/>
        <v>0</v>
      </c>
      <c r="J7860" s="6">
        <f t="shared" si="379"/>
        <v>0</v>
      </c>
      <c r="L7860" s="4" t="str">
        <f>IFERROR(VLOOKUP(ROWS($L$2:L7860),$B$2:$C$1996,2,0),"")</f>
        <v/>
      </c>
      <c r="N7860" s="2" t="str">
        <f>IFERROR(VLOOKUP(ROWS($N$2:N7860),$D$2:$E$1996,2,0),"")</f>
        <v/>
      </c>
    </row>
    <row r="7861" spans="2:14">
      <c r="B7861" s="32">
        <f>IF(ISNUMBER(SEARCH('Φόρμα Εισαγωγής'!$B$2,C7861)),MAX($B$1:B7860)+1,0)</f>
        <v>0</v>
      </c>
      <c r="D7861" s="33">
        <f>IF(ISNUMBER(SEARCH('Φόρμα Εισαγωγής'!$C$2,E7861)),MAX($D$1:D7860)+1,0)</f>
        <v>0</v>
      </c>
      <c r="H7861" s="6">
        <f t="shared" si="377"/>
        <v>0</v>
      </c>
      <c r="I7861" s="6">
        <f t="shared" si="378"/>
        <v>0</v>
      </c>
      <c r="J7861" s="6">
        <f t="shared" si="379"/>
        <v>0</v>
      </c>
      <c r="L7861" s="4" t="str">
        <f>IFERROR(VLOOKUP(ROWS($L$2:L7861),$B$2:$C$1996,2,0),"")</f>
        <v/>
      </c>
      <c r="N7861" s="2" t="str">
        <f>IFERROR(VLOOKUP(ROWS($N$2:N7861),$D$2:$E$1996,2,0),"")</f>
        <v/>
      </c>
    </row>
    <row r="7862" spans="2:14">
      <c r="B7862" s="32">
        <f>IF(ISNUMBER(SEARCH('Φόρμα Εισαγωγής'!$B$2,C7862)),MAX($B$1:B7861)+1,0)</f>
        <v>0</v>
      </c>
      <c r="D7862" s="33">
        <f>IF(ISNUMBER(SEARCH('Φόρμα Εισαγωγής'!$C$2,E7862)),MAX($D$1:D7861)+1,0)</f>
        <v>0</v>
      </c>
      <c r="H7862" s="6">
        <f t="shared" si="377"/>
        <v>0</v>
      </c>
      <c r="I7862" s="6">
        <f t="shared" si="378"/>
        <v>0</v>
      </c>
      <c r="J7862" s="6">
        <f t="shared" si="379"/>
        <v>0</v>
      </c>
      <c r="L7862" s="4" t="str">
        <f>IFERROR(VLOOKUP(ROWS($L$2:L7862),$B$2:$C$1996,2,0),"")</f>
        <v/>
      </c>
      <c r="N7862" s="2" t="str">
        <f>IFERROR(VLOOKUP(ROWS($N$2:N7862),$D$2:$E$1996,2,0),"")</f>
        <v/>
      </c>
    </row>
    <row r="7863" spans="2:14">
      <c r="B7863" s="32">
        <f>IF(ISNUMBER(SEARCH('Φόρμα Εισαγωγής'!$B$2,C7863)),MAX($B$1:B7862)+1,0)</f>
        <v>0</v>
      </c>
      <c r="D7863" s="33">
        <f>IF(ISNUMBER(SEARCH('Φόρμα Εισαγωγής'!$C$2,E7863)),MAX($D$1:D7862)+1,0)</f>
        <v>0</v>
      </c>
      <c r="H7863" s="6">
        <f t="shared" si="377"/>
        <v>0</v>
      </c>
      <c r="I7863" s="6">
        <f t="shared" si="378"/>
        <v>0</v>
      </c>
      <c r="J7863" s="6">
        <f t="shared" si="379"/>
        <v>0</v>
      </c>
      <c r="L7863" s="4" t="str">
        <f>IFERROR(VLOOKUP(ROWS($L$2:L7863),$B$2:$C$1996,2,0),"")</f>
        <v/>
      </c>
      <c r="N7863" s="2" t="str">
        <f>IFERROR(VLOOKUP(ROWS($N$2:N7863),$D$2:$E$1996,2,0),"")</f>
        <v/>
      </c>
    </row>
    <row r="7864" spans="2:14">
      <c r="B7864" s="32">
        <f>IF(ISNUMBER(SEARCH('Φόρμα Εισαγωγής'!$B$2,C7864)),MAX($B$1:B7863)+1,0)</f>
        <v>0</v>
      </c>
      <c r="D7864" s="33">
        <f>IF(ISNUMBER(SEARCH('Φόρμα Εισαγωγής'!$C$2,E7864)),MAX($D$1:D7863)+1,0)</f>
        <v>0</v>
      </c>
      <c r="H7864" s="6">
        <f t="shared" si="377"/>
        <v>0</v>
      </c>
      <c r="I7864" s="6">
        <f t="shared" si="378"/>
        <v>0</v>
      </c>
      <c r="J7864" s="6">
        <f t="shared" si="379"/>
        <v>0</v>
      </c>
      <c r="L7864" s="4" t="str">
        <f>IFERROR(VLOOKUP(ROWS($L$2:L7864),$B$2:$C$1996,2,0),"")</f>
        <v/>
      </c>
      <c r="N7864" s="2" t="str">
        <f>IFERROR(VLOOKUP(ROWS($N$2:N7864),$D$2:$E$1996,2,0),"")</f>
        <v/>
      </c>
    </row>
    <row r="7865" spans="2:14">
      <c r="B7865" s="32">
        <f>IF(ISNUMBER(SEARCH('Φόρμα Εισαγωγής'!$B$2,C7865)),MAX($B$1:B7864)+1,0)</f>
        <v>0</v>
      </c>
      <c r="D7865" s="33">
        <f>IF(ISNUMBER(SEARCH('Φόρμα Εισαγωγής'!$C$2,E7865)),MAX($D$1:D7864)+1,0)</f>
        <v>0</v>
      </c>
      <c r="H7865" s="6">
        <f t="shared" si="377"/>
        <v>0</v>
      </c>
      <c r="I7865" s="6">
        <f t="shared" si="378"/>
        <v>0</v>
      </c>
      <c r="J7865" s="6">
        <f t="shared" si="379"/>
        <v>0</v>
      </c>
      <c r="L7865" s="4" t="str">
        <f>IFERROR(VLOOKUP(ROWS($L$2:L7865),$B$2:$C$1996,2,0),"")</f>
        <v/>
      </c>
      <c r="N7865" s="2" t="str">
        <f>IFERROR(VLOOKUP(ROWS($N$2:N7865),$D$2:$E$1996,2,0),"")</f>
        <v/>
      </c>
    </row>
    <row r="7866" spans="2:14">
      <c r="B7866" s="32">
        <f>IF(ISNUMBER(SEARCH('Φόρμα Εισαγωγής'!$B$2,C7866)),MAX($B$1:B7865)+1,0)</f>
        <v>0</v>
      </c>
      <c r="D7866" s="33">
        <f>IF(ISNUMBER(SEARCH('Φόρμα Εισαγωγής'!$C$2,E7866)),MAX($D$1:D7865)+1,0)</f>
        <v>0</v>
      </c>
      <c r="H7866" s="6">
        <f t="shared" si="377"/>
        <v>0</v>
      </c>
      <c r="I7866" s="6">
        <f t="shared" si="378"/>
        <v>0</v>
      </c>
      <c r="J7866" s="6">
        <f t="shared" si="379"/>
        <v>0</v>
      </c>
      <c r="L7866" s="4" t="str">
        <f>IFERROR(VLOOKUP(ROWS($L$2:L7866),$B$2:$C$1996,2,0),"")</f>
        <v/>
      </c>
      <c r="N7866" s="2" t="str">
        <f>IFERROR(VLOOKUP(ROWS($N$2:N7866),$D$2:$E$1996,2,0),"")</f>
        <v/>
      </c>
    </row>
    <row r="7867" spans="2:14">
      <c r="B7867" s="32">
        <f>IF(ISNUMBER(SEARCH('Φόρμα Εισαγωγής'!$B$2,C7867)),MAX($B$1:B7866)+1,0)</f>
        <v>0</v>
      </c>
      <c r="D7867" s="33">
        <f>IF(ISNUMBER(SEARCH('Φόρμα Εισαγωγής'!$C$2,E7867)),MAX($D$1:D7866)+1,0)</f>
        <v>0</v>
      </c>
      <c r="H7867" s="6">
        <f t="shared" si="377"/>
        <v>0</v>
      </c>
      <c r="I7867" s="6">
        <f t="shared" si="378"/>
        <v>0</v>
      </c>
      <c r="J7867" s="6">
        <f t="shared" si="379"/>
        <v>0</v>
      </c>
      <c r="L7867" s="4" t="str">
        <f>IFERROR(VLOOKUP(ROWS($L$2:L7867),$B$2:$C$1996,2,0),"")</f>
        <v/>
      </c>
      <c r="N7867" s="2" t="str">
        <f>IFERROR(VLOOKUP(ROWS($N$2:N7867),$D$2:$E$1996,2,0),"")</f>
        <v/>
      </c>
    </row>
    <row r="7868" spans="2:14">
      <c r="B7868" s="32">
        <f>IF(ISNUMBER(SEARCH('Φόρμα Εισαγωγής'!$B$2,C7868)),MAX($B$1:B7867)+1,0)</f>
        <v>0</v>
      </c>
      <c r="D7868" s="33">
        <f>IF(ISNUMBER(SEARCH('Φόρμα Εισαγωγής'!$C$2,E7868)),MAX($D$1:D7867)+1,0)</f>
        <v>0</v>
      </c>
      <c r="H7868" s="6">
        <f t="shared" si="377"/>
        <v>0</v>
      </c>
      <c r="I7868" s="6">
        <f t="shared" si="378"/>
        <v>0</v>
      </c>
      <c r="J7868" s="6">
        <f t="shared" si="379"/>
        <v>0</v>
      </c>
      <c r="L7868" s="4" t="str">
        <f>IFERROR(VLOOKUP(ROWS($L$2:L7868),$B$2:$C$1996,2,0),"")</f>
        <v/>
      </c>
      <c r="N7868" s="2" t="str">
        <f>IFERROR(VLOOKUP(ROWS($N$2:N7868),$D$2:$E$1996,2,0),"")</f>
        <v/>
      </c>
    </row>
    <row r="7869" spans="2:14">
      <c r="B7869" s="32">
        <f>IF(ISNUMBER(SEARCH('Φόρμα Εισαγωγής'!$B$2,C7869)),MAX($B$1:B7868)+1,0)</f>
        <v>0</v>
      </c>
      <c r="D7869" s="33">
        <f>IF(ISNUMBER(SEARCH('Φόρμα Εισαγωγής'!$C$2,E7869)),MAX($D$1:D7868)+1,0)</f>
        <v>0</v>
      </c>
      <c r="H7869" s="6">
        <f t="shared" si="377"/>
        <v>0</v>
      </c>
      <c r="I7869" s="6">
        <f t="shared" si="378"/>
        <v>0</v>
      </c>
      <c r="J7869" s="6">
        <f t="shared" si="379"/>
        <v>0</v>
      </c>
      <c r="L7869" s="4" t="str">
        <f>IFERROR(VLOOKUP(ROWS($L$2:L7869),$B$2:$C$1996,2,0),"")</f>
        <v/>
      </c>
      <c r="N7869" s="2" t="str">
        <f>IFERROR(VLOOKUP(ROWS($N$2:N7869),$D$2:$E$1996,2,0),"")</f>
        <v/>
      </c>
    </row>
    <row r="7870" spans="2:14">
      <c r="B7870" s="32">
        <f>IF(ISNUMBER(SEARCH('Φόρμα Εισαγωγής'!$B$2,C7870)),MAX($B$1:B7869)+1,0)</f>
        <v>0</v>
      </c>
      <c r="D7870" s="33">
        <f>IF(ISNUMBER(SEARCH('Φόρμα Εισαγωγής'!$C$2,E7870)),MAX($D$1:D7869)+1,0)</f>
        <v>0</v>
      </c>
      <c r="H7870" s="6">
        <f t="shared" si="377"/>
        <v>0</v>
      </c>
      <c r="I7870" s="6">
        <f t="shared" si="378"/>
        <v>0</v>
      </c>
      <c r="J7870" s="6">
        <f t="shared" si="379"/>
        <v>0</v>
      </c>
      <c r="L7870" s="4" t="str">
        <f>IFERROR(VLOOKUP(ROWS($L$2:L7870),$B$2:$C$1996,2,0),"")</f>
        <v/>
      </c>
      <c r="N7870" s="2" t="str">
        <f>IFERROR(VLOOKUP(ROWS($N$2:N7870),$D$2:$E$1996,2,0),"")</f>
        <v/>
      </c>
    </row>
    <row r="7871" spans="2:14">
      <c r="B7871" s="32">
        <f>IF(ISNUMBER(SEARCH('Φόρμα Εισαγωγής'!$B$2,C7871)),MAX($B$1:B7870)+1,0)</f>
        <v>0</v>
      </c>
      <c r="D7871" s="33">
        <f>IF(ISNUMBER(SEARCH('Φόρμα Εισαγωγής'!$C$2,E7871)),MAX($D$1:D7870)+1,0)</f>
        <v>0</v>
      </c>
      <c r="H7871" s="6">
        <f t="shared" si="377"/>
        <v>0</v>
      </c>
      <c r="I7871" s="6">
        <f t="shared" si="378"/>
        <v>0</v>
      </c>
      <c r="J7871" s="6">
        <f t="shared" si="379"/>
        <v>0</v>
      </c>
      <c r="L7871" s="4" t="str">
        <f>IFERROR(VLOOKUP(ROWS($L$2:L7871),$B$2:$C$1996,2,0),"")</f>
        <v/>
      </c>
      <c r="N7871" s="2" t="str">
        <f>IFERROR(VLOOKUP(ROWS($N$2:N7871),$D$2:$E$1996,2,0),"")</f>
        <v/>
      </c>
    </row>
    <row r="7872" spans="2:14">
      <c r="B7872" s="32">
        <f>IF(ISNUMBER(SEARCH('Φόρμα Εισαγωγής'!$B$2,C7872)),MAX($B$1:B7871)+1,0)</f>
        <v>0</v>
      </c>
      <c r="D7872" s="33">
        <f>IF(ISNUMBER(SEARCH('Φόρμα Εισαγωγής'!$C$2,E7872)),MAX($D$1:D7871)+1,0)</f>
        <v>0</v>
      </c>
      <c r="H7872" s="6">
        <f t="shared" ref="H7872:H7935" si="380">G7872+(G7872*0.24)</f>
        <v>0</v>
      </c>
      <c r="I7872" s="6">
        <f t="shared" ref="I7872:I7935" si="381">F7872*A7872</f>
        <v>0</v>
      </c>
      <c r="J7872" s="6">
        <f t="shared" ref="J7872:J7935" si="382">H7872*A7872</f>
        <v>0</v>
      </c>
      <c r="L7872" s="4" t="str">
        <f>IFERROR(VLOOKUP(ROWS($L$2:L7872),$B$2:$C$1996,2,0),"")</f>
        <v/>
      </c>
      <c r="N7872" s="2" t="str">
        <f>IFERROR(VLOOKUP(ROWS($N$2:N7872),$D$2:$E$1996,2,0),"")</f>
        <v/>
      </c>
    </row>
    <row r="7873" spans="2:14">
      <c r="B7873" s="32">
        <f>IF(ISNUMBER(SEARCH('Φόρμα Εισαγωγής'!$B$2,C7873)),MAX($B$1:B7872)+1,0)</f>
        <v>0</v>
      </c>
      <c r="D7873" s="33">
        <f>IF(ISNUMBER(SEARCH('Φόρμα Εισαγωγής'!$C$2,E7873)),MAX($D$1:D7872)+1,0)</f>
        <v>0</v>
      </c>
      <c r="H7873" s="6">
        <f t="shared" si="380"/>
        <v>0</v>
      </c>
      <c r="I7873" s="6">
        <f t="shared" si="381"/>
        <v>0</v>
      </c>
      <c r="J7873" s="6">
        <f t="shared" si="382"/>
        <v>0</v>
      </c>
      <c r="L7873" s="4" t="str">
        <f>IFERROR(VLOOKUP(ROWS($L$2:L7873),$B$2:$C$1996,2,0),"")</f>
        <v/>
      </c>
      <c r="N7873" s="2" t="str">
        <f>IFERROR(VLOOKUP(ROWS($N$2:N7873),$D$2:$E$1996,2,0),"")</f>
        <v/>
      </c>
    </row>
    <row r="7874" spans="2:14">
      <c r="B7874" s="32">
        <f>IF(ISNUMBER(SEARCH('Φόρμα Εισαγωγής'!$B$2,C7874)),MAX($B$1:B7873)+1,0)</f>
        <v>0</v>
      </c>
      <c r="D7874" s="33">
        <f>IF(ISNUMBER(SEARCH('Φόρμα Εισαγωγής'!$C$2,E7874)),MAX($D$1:D7873)+1,0)</f>
        <v>0</v>
      </c>
      <c r="H7874" s="6">
        <f t="shared" si="380"/>
        <v>0</v>
      </c>
      <c r="I7874" s="6">
        <f t="shared" si="381"/>
        <v>0</v>
      </c>
      <c r="J7874" s="6">
        <f t="shared" si="382"/>
        <v>0</v>
      </c>
      <c r="L7874" s="4" t="str">
        <f>IFERROR(VLOOKUP(ROWS($L$2:L7874),$B$2:$C$1996,2,0),"")</f>
        <v/>
      </c>
      <c r="N7874" s="2" t="str">
        <f>IFERROR(VLOOKUP(ROWS($N$2:N7874),$D$2:$E$1996,2,0),"")</f>
        <v/>
      </c>
    </row>
    <row r="7875" spans="2:14">
      <c r="B7875" s="32">
        <f>IF(ISNUMBER(SEARCH('Φόρμα Εισαγωγής'!$B$2,C7875)),MAX($B$1:B7874)+1,0)</f>
        <v>0</v>
      </c>
      <c r="D7875" s="33">
        <f>IF(ISNUMBER(SEARCH('Φόρμα Εισαγωγής'!$C$2,E7875)),MAX($D$1:D7874)+1,0)</f>
        <v>0</v>
      </c>
      <c r="H7875" s="6">
        <f t="shared" si="380"/>
        <v>0</v>
      </c>
      <c r="I7875" s="6">
        <f t="shared" si="381"/>
        <v>0</v>
      </c>
      <c r="J7875" s="6">
        <f t="shared" si="382"/>
        <v>0</v>
      </c>
      <c r="L7875" s="4" t="str">
        <f>IFERROR(VLOOKUP(ROWS($L$2:L7875),$B$2:$C$1996,2,0),"")</f>
        <v/>
      </c>
      <c r="N7875" s="2" t="str">
        <f>IFERROR(VLOOKUP(ROWS($N$2:N7875),$D$2:$E$1996,2,0),"")</f>
        <v/>
      </c>
    </row>
    <row r="7876" spans="2:14">
      <c r="B7876" s="32">
        <f>IF(ISNUMBER(SEARCH('Φόρμα Εισαγωγής'!$B$2,C7876)),MAX($B$1:B7875)+1,0)</f>
        <v>0</v>
      </c>
      <c r="D7876" s="33">
        <f>IF(ISNUMBER(SEARCH('Φόρμα Εισαγωγής'!$C$2,E7876)),MAX($D$1:D7875)+1,0)</f>
        <v>0</v>
      </c>
      <c r="H7876" s="6">
        <f t="shared" si="380"/>
        <v>0</v>
      </c>
      <c r="I7876" s="6">
        <f t="shared" si="381"/>
        <v>0</v>
      </c>
      <c r="J7876" s="6">
        <f t="shared" si="382"/>
        <v>0</v>
      </c>
      <c r="L7876" s="4" t="str">
        <f>IFERROR(VLOOKUP(ROWS($L$2:L7876),$B$2:$C$1996,2,0),"")</f>
        <v/>
      </c>
      <c r="N7876" s="2" t="str">
        <f>IFERROR(VLOOKUP(ROWS($N$2:N7876),$D$2:$E$1996,2,0),"")</f>
        <v/>
      </c>
    </row>
    <row r="7877" spans="2:14">
      <c r="B7877" s="32">
        <f>IF(ISNUMBER(SEARCH('Φόρμα Εισαγωγής'!$B$2,C7877)),MAX($B$1:B7876)+1,0)</f>
        <v>0</v>
      </c>
      <c r="D7877" s="33">
        <f>IF(ISNUMBER(SEARCH('Φόρμα Εισαγωγής'!$C$2,E7877)),MAX($D$1:D7876)+1,0)</f>
        <v>0</v>
      </c>
      <c r="H7877" s="6">
        <f t="shared" si="380"/>
        <v>0</v>
      </c>
      <c r="I7877" s="6">
        <f t="shared" si="381"/>
        <v>0</v>
      </c>
      <c r="J7877" s="6">
        <f t="shared" si="382"/>
        <v>0</v>
      </c>
      <c r="L7877" s="4" t="str">
        <f>IFERROR(VLOOKUP(ROWS($L$2:L7877),$B$2:$C$1996,2,0),"")</f>
        <v/>
      </c>
      <c r="N7877" s="2" t="str">
        <f>IFERROR(VLOOKUP(ROWS($N$2:N7877),$D$2:$E$1996,2,0),"")</f>
        <v/>
      </c>
    </row>
    <row r="7878" spans="2:14">
      <c r="B7878" s="32">
        <f>IF(ISNUMBER(SEARCH('Φόρμα Εισαγωγής'!$B$2,C7878)),MAX($B$1:B7877)+1,0)</f>
        <v>0</v>
      </c>
      <c r="D7878" s="33">
        <f>IF(ISNUMBER(SEARCH('Φόρμα Εισαγωγής'!$C$2,E7878)),MAX($D$1:D7877)+1,0)</f>
        <v>0</v>
      </c>
      <c r="H7878" s="6">
        <f t="shared" si="380"/>
        <v>0</v>
      </c>
      <c r="I7878" s="6">
        <f t="shared" si="381"/>
        <v>0</v>
      </c>
      <c r="J7878" s="6">
        <f t="shared" si="382"/>
        <v>0</v>
      </c>
      <c r="L7878" s="4" t="str">
        <f>IFERROR(VLOOKUP(ROWS($L$2:L7878),$B$2:$C$1996,2,0),"")</f>
        <v/>
      </c>
      <c r="N7878" s="2" t="str">
        <f>IFERROR(VLOOKUP(ROWS($N$2:N7878),$D$2:$E$1996,2,0),"")</f>
        <v/>
      </c>
    </row>
    <row r="7879" spans="2:14">
      <c r="B7879" s="32">
        <f>IF(ISNUMBER(SEARCH('Φόρμα Εισαγωγής'!$B$2,C7879)),MAX($B$1:B7878)+1,0)</f>
        <v>0</v>
      </c>
      <c r="D7879" s="33">
        <f>IF(ISNUMBER(SEARCH('Φόρμα Εισαγωγής'!$C$2,E7879)),MAX($D$1:D7878)+1,0)</f>
        <v>0</v>
      </c>
      <c r="H7879" s="6">
        <f t="shared" si="380"/>
        <v>0</v>
      </c>
      <c r="I7879" s="6">
        <f t="shared" si="381"/>
        <v>0</v>
      </c>
      <c r="J7879" s="6">
        <f t="shared" si="382"/>
        <v>0</v>
      </c>
      <c r="L7879" s="4" t="str">
        <f>IFERROR(VLOOKUP(ROWS($L$2:L7879),$B$2:$C$1996,2,0),"")</f>
        <v/>
      </c>
      <c r="N7879" s="2" t="str">
        <f>IFERROR(VLOOKUP(ROWS($N$2:N7879),$D$2:$E$1996,2,0),"")</f>
        <v/>
      </c>
    </row>
    <row r="7880" spans="2:14">
      <c r="B7880" s="32">
        <f>IF(ISNUMBER(SEARCH('Φόρμα Εισαγωγής'!$B$2,C7880)),MAX($B$1:B7879)+1,0)</f>
        <v>0</v>
      </c>
      <c r="D7880" s="33">
        <f>IF(ISNUMBER(SEARCH('Φόρμα Εισαγωγής'!$C$2,E7880)),MAX($D$1:D7879)+1,0)</f>
        <v>0</v>
      </c>
      <c r="H7880" s="6">
        <f t="shared" si="380"/>
        <v>0</v>
      </c>
      <c r="I7880" s="6">
        <f t="shared" si="381"/>
        <v>0</v>
      </c>
      <c r="J7880" s="6">
        <f t="shared" si="382"/>
        <v>0</v>
      </c>
      <c r="L7880" s="4" t="str">
        <f>IFERROR(VLOOKUP(ROWS($L$2:L7880),$B$2:$C$1996,2,0),"")</f>
        <v/>
      </c>
      <c r="N7880" s="2" t="str">
        <f>IFERROR(VLOOKUP(ROWS($N$2:N7880),$D$2:$E$1996,2,0),"")</f>
        <v/>
      </c>
    </row>
    <row r="7881" spans="2:14">
      <c r="B7881" s="32">
        <f>IF(ISNUMBER(SEARCH('Φόρμα Εισαγωγής'!$B$2,C7881)),MAX($B$1:B7880)+1,0)</f>
        <v>0</v>
      </c>
      <c r="D7881" s="33">
        <f>IF(ISNUMBER(SEARCH('Φόρμα Εισαγωγής'!$C$2,E7881)),MAX($D$1:D7880)+1,0)</f>
        <v>0</v>
      </c>
      <c r="H7881" s="6">
        <f t="shared" si="380"/>
        <v>0</v>
      </c>
      <c r="I7881" s="6">
        <f t="shared" si="381"/>
        <v>0</v>
      </c>
      <c r="J7881" s="6">
        <f t="shared" si="382"/>
        <v>0</v>
      </c>
      <c r="L7881" s="4" t="str">
        <f>IFERROR(VLOOKUP(ROWS($L$2:L7881),$B$2:$C$1996,2,0),"")</f>
        <v/>
      </c>
      <c r="N7881" s="2" t="str">
        <f>IFERROR(VLOOKUP(ROWS($N$2:N7881),$D$2:$E$1996,2,0),"")</f>
        <v/>
      </c>
    </row>
    <row r="7882" spans="2:14">
      <c r="B7882" s="32">
        <f>IF(ISNUMBER(SEARCH('Φόρμα Εισαγωγής'!$B$2,C7882)),MAX($B$1:B7881)+1,0)</f>
        <v>0</v>
      </c>
      <c r="D7882" s="33">
        <f>IF(ISNUMBER(SEARCH('Φόρμα Εισαγωγής'!$C$2,E7882)),MAX($D$1:D7881)+1,0)</f>
        <v>0</v>
      </c>
      <c r="H7882" s="6">
        <f t="shared" si="380"/>
        <v>0</v>
      </c>
      <c r="I7882" s="6">
        <f t="shared" si="381"/>
        <v>0</v>
      </c>
      <c r="J7882" s="6">
        <f t="shared" si="382"/>
        <v>0</v>
      </c>
      <c r="L7882" s="4" t="str">
        <f>IFERROR(VLOOKUP(ROWS($L$2:L7882),$B$2:$C$1996,2,0),"")</f>
        <v/>
      </c>
      <c r="N7882" s="2" t="str">
        <f>IFERROR(VLOOKUP(ROWS($N$2:N7882),$D$2:$E$1996,2,0),"")</f>
        <v/>
      </c>
    </row>
    <row r="7883" spans="2:14">
      <c r="B7883" s="32">
        <f>IF(ISNUMBER(SEARCH('Φόρμα Εισαγωγής'!$B$2,C7883)),MAX($B$1:B7882)+1,0)</f>
        <v>0</v>
      </c>
      <c r="D7883" s="33">
        <f>IF(ISNUMBER(SEARCH('Φόρμα Εισαγωγής'!$C$2,E7883)),MAX($D$1:D7882)+1,0)</f>
        <v>0</v>
      </c>
      <c r="H7883" s="6">
        <f t="shared" si="380"/>
        <v>0</v>
      </c>
      <c r="I7883" s="6">
        <f t="shared" si="381"/>
        <v>0</v>
      </c>
      <c r="J7883" s="6">
        <f t="shared" si="382"/>
        <v>0</v>
      </c>
      <c r="L7883" s="4" t="str">
        <f>IFERROR(VLOOKUP(ROWS($L$2:L7883),$B$2:$C$1996,2,0),"")</f>
        <v/>
      </c>
      <c r="N7883" s="2" t="str">
        <f>IFERROR(VLOOKUP(ROWS($N$2:N7883),$D$2:$E$1996,2,0),"")</f>
        <v/>
      </c>
    </row>
    <row r="7884" spans="2:14">
      <c r="B7884" s="32">
        <f>IF(ISNUMBER(SEARCH('Φόρμα Εισαγωγής'!$B$2,C7884)),MAX($B$1:B7883)+1,0)</f>
        <v>0</v>
      </c>
      <c r="D7884" s="33">
        <f>IF(ISNUMBER(SEARCH('Φόρμα Εισαγωγής'!$C$2,E7884)),MAX($D$1:D7883)+1,0)</f>
        <v>0</v>
      </c>
      <c r="H7884" s="6">
        <f t="shared" si="380"/>
        <v>0</v>
      </c>
      <c r="I7884" s="6">
        <f t="shared" si="381"/>
        <v>0</v>
      </c>
      <c r="J7884" s="6">
        <f t="shared" si="382"/>
        <v>0</v>
      </c>
      <c r="L7884" s="4" t="str">
        <f>IFERROR(VLOOKUP(ROWS($L$2:L7884),$B$2:$C$1996,2,0),"")</f>
        <v/>
      </c>
      <c r="N7884" s="2" t="str">
        <f>IFERROR(VLOOKUP(ROWS($N$2:N7884),$D$2:$E$1996,2,0),"")</f>
        <v/>
      </c>
    </row>
    <row r="7885" spans="2:14">
      <c r="B7885" s="32">
        <f>IF(ISNUMBER(SEARCH('Φόρμα Εισαγωγής'!$B$2,C7885)),MAX($B$1:B7884)+1,0)</f>
        <v>0</v>
      </c>
      <c r="D7885" s="33">
        <f>IF(ISNUMBER(SEARCH('Φόρμα Εισαγωγής'!$C$2,E7885)),MAX($D$1:D7884)+1,0)</f>
        <v>0</v>
      </c>
      <c r="H7885" s="6">
        <f t="shared" si="380"/>
        <v>0</v>
      </c>
      <c r="I7885" s="6">
        <f t="shared" si="381"/>
        <v>0</v>
      </c>
      <c r="J7885" s="6">
        <f t="shared" si="382"/>
        <v>0</v>
      </c>
      <c r="L7885" s="4" t="str">
        <f>IFERROR(VLOOKUP(ROWS($L$2:L7885),$B$2:$C$1996,2,0),"")</f>
        <v/>
      </c>
      <c r="N7885" s="2" t="str">
        <f>IFERROR(VLOOKUP(ROWS($N$2:N7885),$D$2:$E$1996,2,0),"")</f>
        <v/>
      </c>
    </row>
    <row r="7886" spans="2:14">
      <c r="B7886" s="32">
        <f>IF(ISNUMBER(SEARCH('Φόρμα Εισαγωγής'!$B$2,C7886)),MAX($B$1:B7885)+1,0)</f>
        <v>0</v>
      </c>
      <c r="D7886" s="33">
        <f>IF(ISNUMBER(SEARCH('Φόρμα Εισαγωγής'!$C$2,E7886)),MAX($D$1:D7885)+1,0)</f>
        <v>0</v>
      </c>
      <c r="H7886" s="6">
        <f t="shared" si="380"/>
        <v>0</v>
      </c>
      <c r="I7886" s="6">
        <f t="shared" si="381"/>
        <v>0</v>
      </c>
      <c r="J7886" s="6">
        <f t="shared" si="382"/>
        <v>0</v>
      </c>
      <c r="L7886" s="4" t="str">
        <f>IFERROR(VLOOKUP(ROWS($L$2:L7886),$B$2:$C$1996,2,0),"")</f>
        <v/>
      </c>
      <c r="N7886" s="2" t="str">
        <f>IFERROR(VLOOKUP(ROWS($N$2:N7886),$D$2:$E$1996,2,0),"")</f>
        <v/>
      </c>
    </row>
    <row r="7887" spans="2:14">
      <c r="B7887" s="32">
        <f>IF(ISNUMBER(SEARCH('Φόρμα Εισαγωγής'!$B$2,C7887)),MAX($B$1:B7886)+1,0)</f>
        <v>0</v>
      </c>
      <c r="D7887" s="33">
        <f>IF(ISNUMBER(SEARCH('Φόρμα Εισαγωγής'!$C$2,E7887)),MAX($D$1:D7886)+1,0)</f>
        <v>0</v>
      </c>
      <c r="H7887" s="6">
        <f t="shared" si="380"/>
        <v>0</v>
      </c>
      <c r="I7887" s="6">
        <f t="shared" si="381"/>
        <v>0</v>
      </c>
      <c r="J7887" s="6">
        <f t="shared" si="382"/>
        <v>0</v>
      </c>
      <c r="L7887" s="4" t="str">
        <f>IFERROR(VLOOKUP(ROWS($L$2:L7887),$B$2:$C$1996,2,0),"")</f>
        <v/>
      </c>
      <c r="N7887" s="2" t="str">
        <f>IFERROR(VLOOKUP(ROWS($N$2:N7887),$D$2:$E$1996,2,0),"")</f>
        <v/>
      </c>
    </row>
    <row r="7888" spans="2:14">
      <c r="B7888" s="32">
        <f>IF(ISNUMBER(SEARCH('Φόρμα Εισαγωγής'!$B$2,C7888)),MAX($B$1:B7887)+1,0)</f>
        <v>0</v>
      </c>
      <c r="D7888" s="33">
        <f>IF(ISNUMBER(SEARCH('Φόρμα Εισαγωγής'!$C$2,E7888)),MAX($D$1:D7887)+1,0)</f>
        <v>0</v>
      </c>
      <c r="H7888" s="6">
        <f t="shared" si="380"/>
        <v>0</v>
      </c>
      <c r="I7888" s="6">
        <f t="shared" si="381"/>
        <v>0</v>
      </c>
      <c r="J7888" s="6">
        <f t="shared" si="382"/>
        <v>0</v>
      </c>
      <c r="L7888" s="4" t="str">
        <f>IFERROR(VLOOKUP(ROWS($L$2:L7888),$B$2:$C$1996,2,0),"")</f>
        <v/>
      </c>
      <c r="N7888" s="2" t="str">
        <f>IFERROR(VLOOKUP(ROWS($N$2:N7888),$D$2:$E$1996,2,0),"")</f>
        <v/>
      </c>
    </row>
    <row r="7889" spans="2:14">
      <c r="B7889" s="32">
        <f>IF(ISNUMBER(SEARCH('Φόρμα Εισαγωγής'!$B$2,C7889)),MAX($B$1:B7888)+1,0)</f>
        <v>0</v>
      </c>
      <c r="D7889" s="33">
        <f>IF(ISNUMBER(SEARCH('Φόρμα Εισαγωγής'!$C$2,E7889)),MAX($D$1:D7888)+1,0)</f>
        <v>0</v>
      </c>
      <c r="H7889" s="6">
        <f t="shared" si="380"/>
        <v>0</v>
      </c>
      <c r="I7889" s="6">
        <f t="shared" si="381"/>
        <v>0</v>
      </c>
      <c r="J7889" s="6">
        <f t="shared" si="382"/>
        <v>0</v>
      </c>
      <c r="L7889" s="4" t="str">
        <f>IFERROR(VLOOKUP(ROWS($L$2:L7889),$B$2:$C$1996,2,0),"")</f>
        <v/>
      </c>
      <c r="N7889" s="2" t="str">
        <f>IFERROR(VLOOKUP(ROWS($N$2:N7889),$D$2:$E$1996,2,0),"")</f>
        <v/>
      </c>
    </row>
    <row r="7890" spans="2:14">
      <c r="B7890" s="32">
        <f>IF(ISNUMBER(SEARCH('Φόρμα Εισαγωγής'!$B$2,C7890)),MAX($B$1:B7889)+1,0)</f>
        <v>0</v>
      </c>
      <c r="D7890" s="33">
        <f>IF(ISNUMBER(SEARCH('Φόρμα Εισαγωγής'!$C$2,E7890)),MAX($D$1:D7889)+1,0)</f>
        <v>0</v>
      </c>
      <c r="H7890" s="6">
        <f t="shared" si="380"/>
        <v>0</v>
      </c>
      <c r="I7890" s="6">
        <f t="shared" si="381"/>
        <v>0</v>
      </c>
      <c r="J7890" s="6">
        <f t="shared" si="382"/>
        <v>0</v>
      </c>
      <c r="L7890" s="4" t="str">
        <f>IFERROR(VLOOKUP(ROWS($L$2:L7890),$B$2:$C$1996,2,0),"")</f>
        <v/>
      </c>
      <c r="N7890" s="2" t="str">
        <f>IFERROR(VLOOKUP(ROWS($N$2:N7890),$D$2:$E$1996,2,0),"")</f>
        <v/>
      </c>
    </row>
    <row r="7891" spans="2:14">
      <c r="B7891" s="32">
        <f>IF(ISNUMBER(SEARCH('Φόρμα Εισαγωγής'!$B$2,C7891)),MAX($B$1:B7890)+1,0)</f>
        <v>0</v>
      </c>
      <c r="D7891" s="33">
        <f>IF(ISNUMBER(SEARCH('Φόρμα Εισαγωγής'!$C$2,E7891)),MAX($D$1:D7890)+1,0)</f>
        <v>0</v>
      </c>
      <c r="H7891" s="6">
        <f t="shared" si="380"/>
        <v>0</v>
      </c>
      <c r="I7891" s="6">
        <f t="shared" si="381"/>
        <v>0</v>
      </c>
      <c r="J7891" s="6">
        <f t="shared" si="382"/>
        <v>0</v>
      </c>
      <c r="L7891" s="4" t="str">
        <f>IFERROR(VLOOKUP(ROWS($L$2:L7891),$B$2:$C$1996,2,0),"")</f>
        <v/>
      </c>
      <c r="N7891" s="2" t="str">
        <f>IFERROR(VLOOKUP(ROWS($N$2:N7891),$D$2:$E$1996,2,0),"")</f>
        <v/>
      </c>
    </row>
    <row r="7892" spans="2:14">
      <c r="B7892" s="32">
        <f>IF(ISNUMBER(SEARCH('Φόρμα Εισαγωγής'!$B$2,C7892)),MAX($B$1:B7891)+1,0)</f>
        <v>0</v>
      </c>
      <c r="D7892" s="33">
        <f>IF(ISNUMBER(SEARCH('Φόρμα Εισαγωγής'!$C$2,E7892)),MAX($D$1:D7891)+1,0)</f>
        <v>0</v>
      </c>
      <c r="H7892" s="6">
        <f t="shared" si="380"/>
        <v>0</v>
      </c>
      <c r="I7892" s="6">
        <f t="shared" si="381"/>
        <v>0</v>
      </c>
      <c r="J7892" s="6">
        <f t="shared" si="382"/>
        <v>0</v>
      </c>
      <c r="L7892" s="4" t="str">
        <f>IFERROR(VLOOKUP(ROWS($L$2:L7892),$B$2:$C$1996,2,0),"")</f>
        <v/>
      </c>
      <c r="N7892" s="2" t="str">
        <f>IFERROR(VLOOKUP(ROWS($N$2:N7892),$D$2:$E$1996,2,0),"")</f>
        <v/>
      </c>
    </row>
    <row r="7893" spans="2:14">
      <c r="B7893" s="32">
        <f>IF(ISNUMBER(SEARCH('Φόρμα Εισαγωγής'!$B$2,C7893)),MAX($B$1:B7892)+1,0)</f>
        <v>0</v>
      </c>
      <c r="D7893" s="33">
        <f>IF(ISNUMBER(SEARCH('Φόρμα Εισαγωγής'!$C$2,E7893)),MAX($D$1:D7892)+1,0)</f>
        <v>0</v>
      </c>
      <c r="H7893" s="6">
        <f t="shared" si="380"/>
        <v>0</v>
      </c>
      <c r="I7893" s="6">
        <f t="shared" si="381"/>
        <v>0</v>
      </c>
      <c r="J7893" s="6">
        <f t="shared" si="382"/>
        <v>0</v>
      </c>
      <c r="L7893" s="4" t="str">
        <f>IFERROR(VLOOKUP(ROWS($L$2:L7893),$B$2:$C$1996,2,0),"")</f>
        <v/>
      </c>
      <c r="N7893" s="2" t="str">
        <f>IFERROR(VLOOKUP(ROWS($N$2:N7893),$D$2:$E$1996,2,0),"")</f>
        <v/>
      </c>
    </row>
    <row r="7894" spans="2:14">
      <c r="B7894" s="32">
        <f>IF(ISNUMBER(SEARCH('Φόρμα Εισαγωγής'!$B$2,C7894)),MAX($B$1:B7893)+1,0)</f>
        <v>0</v>
      </c>
      <c r="D7894" s="33">
        <f>IF(ISNUMBER(SEARCH('Φόρμα Εισαγωγής'!$C$2,E7894)),MAX($D$1:D7893)+1,0)</f>
        <v>0</v>
      </c>
      <c r="H7894" s="6">
        <f t="shared" si="380"/>
        <v>0</v>
      </c>
      <c r="I7894" s="6">
        <f t="shared" si="381"/>
        <v>0</v>
      </c>
      <c r="J7894" s="6">
        <f t="shared" si="382"/>
        <v>0</v>
      </c>
      <c r="L7894" s="4" t="str">
        <f>IFERROR(VLOOKUP(ROWS($L$2:L7894),$B$2:$C$1996,2,0),"")</f>
        <v/>
      </c>
      <c r="N7894" s="2" t="str">
        <f>IFERROR(VLOOKUP(ROWS($N$2:N7894),$D$2:$E$1996,2,0),"")</f>
        <v/>
      </c>
    </row>
    <row r="7895" spans="2:14">
      <c r="B7895" s="32">
        <f>IF(ISNUMBER(SEARCH('Φόρμα Εισαγωγής'!$B$2,C7895)),MAX($B$1:B7894)+1,0)</f>
        <v>0</v>
      </c>
      <c r="D7895" s="33">
        <f>IF(ISNUMBER(SEARCH('Φόρμα Εισαγωγής'!$C$2,E7895)),MAX($D$1:D7894)+1,0)</f>
        <v>0</v>
      </c>
      <c r="H7895" s="6">
        <f t="shared" si="380"/>
        <v>0</v>
      </c>
      <c r="I7895" s="6">
        <f t="shared" si="381"/>
        <v>0</v>
      </c>
      <c r="J7895" s="6">
        <f t="shared" si="382"/>
        <v>0</v>
      </c>
      <c r="L7895" s="4" t="str">
        <f>IFERROR(VLOOKUP(ROWS($L$2:L7895),$B$2:$C$1996,2,0),"")</f>
        <v/>
      </c>
      <c r="N7895" s="2" t="str">
        <f>IFERROR(VLOOKUP(ROWS($N$2:N7895),$D$2:$E$1996,2,0),"")</f>
        <v/>
      </c>
    </row>
    <row r="7896" spans="2:14">
      <c r="B7896" s="32">
        <f>IF(ISNUMBER(SEARCH('Φόρμα Εισαγωγής'!$B$2,C7896)),MAX($B$1:B7895)+1,0)</f>
        <v>0</v>
      </c>
      <c r="D7896" s="33">
        <f>IF(ISNUMBER(SEARCH('Φόρμα Εισαγωγής'!$C$2,E7896)),MAX($D$1:D7895)+1,0)</f>
        <v>0</v>
      </c>
      <c r="H7896" s="6">
        <f t="shared" si="380"/>
        <v>0</v>
      </c>
      <c r="I7896" s="6">
        <f t="shared" si="381"/>
        <v>0</v>
      </c>
      <c r="J7896" s="6">
        <f t="shared" si="382"/>
        <v>0</v>
      </c>
      <c r="L7896" s="4" t="str">
        <f>IFERROR(VLOOKUP(ROWS($L$2:L7896),$B$2:$C$1996,2,0),"")</f>
        <v/>
      </c>
      <c r="N7896" s="2" t="str">
        <f>IFERROR(VLOOKUP(ROWS($N$2:N7896),$D$2:$E$1996,2,0),"")</f>
        <v/>
      </c>
    </row>
    <row r="7897" spans="2:14">
      <c r="B7897" s="32">
        <f>IF(ISNUMBER(SEARCH('Φόρμα Εισαγωγής'!$B$2,C7897)),MAX($B$1:B7896)+1,0)</f>
        <v>0</v>
      </c>
      <c r="D7897" s="33">
        <f>IF(ISNUMBER(SEARCH('Φόρμα Εισαγωγής'!$C$2,E7897)),MAX($D$1:D7896)+1,0)</f>
        <v>0</v>
      </c>
      <c r="H7897" s="6">
        <f t="shared" si="380"/>
        <v>0</v>
      </c>
      <c r="I7897" s="6">
        <f t="shared" si="381"/>
        <v>0</v>
      </c>
      <c r="J7897" s="6">
        <f t="shared" si="382"/>
        <v>0</v>
      </c>
      <c r="L7897" s="4" t="str">
        <f>IFERROR(VLOOKUP(ROWS($L$2:L7897),$B$2:$C$1996,2,0),"")</f>
        <v/>
      </c>
      <c r="N7897" s="2" t="str">
        <f>IFERROR(VLOOKUP(ROWS($N$2:N7897),$D$2:$E$1996,2,0),"")</f>
        <v/>
      </c>
    </row>
    <row r="7898" spans="2:14">
      <c r="B7898" s="32">
        <f>IF(ISNUMBER(SEARCH('Φόρμα Εισαγωγής'!$B$2,C7898)),MAX($B$1:B7897)+1,0)</f>
        <v>0</v>
      </c>
      <c r="D7898" s="33">
        <f>IF(ISNUMBER(SEARCH('Φόρμα Εισαγωγής'!$C$2,E7898)),MAX($D$1:D7897)+1,0)</f>
        <v>0</v>
      </c>
      <c r="H7898" s="6">
        <f t="shared" si="380"/>
        <v>0</v>
      </c>
      <c r="I7898" s="6">
        <f t="shared" si="381"/>
        <v>0</v>
      </c>
      <c r="J7898" s="6">
        <f t="shared" si="382"/>
        <v>0</v>
      </c>
      <c r="L7898" s="4" t="str">
        <f>IFERROR(VLOOKUP(ROWS($L$2:L7898),$B$2:$C$1996,2,0),"")</f>
        <v/>
      </c>
      <c r="N7898" s="2" t="str">
        <f>IFERROR(VLOOKUP(ROWS($N$2:N7898),$D$2:$E$1996,2,0),"")</f>
        <v/>
      </c>
    </row>
    <row r="7899" spans="2:14">
      <c r="B7899" s="32">
        <f>IF(ISNUMBER(SEARCH('Φόρμα Εισαγωγής'!$B$2,C7899)),MAX($B$1:B7898)+1,0)</f>
        <v>0</v>
      </c>
      <c r="D7899" s="33">
        <f>IF(ISNUMBER(SEARCH('Φόρμα Εισαγωγής'!$C$2,E7899)),MAX($D$1:D7898)+1,0)</f>
        <v>0</v>
      </c>
      <c r="H7899" s="6">
        <f t="shared" si="380"/>
        <v>0</v>
      </c>
      <c r="I7899" s="6">
        <f t="shared" si="381"/>
        <v>0</v>
      </c>
      <c r="J7899" s="6">
        <f t="shared" si="382"/>
        <v>0</v>
      </c>
      <c r="L7899" s="4" t="str">
        <f>IFERROR(VLOOKUP(ROWS($L$2:L7899),$B$2:$C$1996,2,0),"")</f>
        <v/>
      </c>
      <c r="N7899" s="2" t="str">
        <f>IFERROR(VLOOKUP(ROWS($N$2:N7899),$D$2:$E$1996,2,0),"")</f>
        <v/>
      </c>
    </row>
    <row r="7900" spans="2:14">
      <c r="B7900" s="32">
        <f>IF(ISNUMBER(SEARCH('Φόρμα Εισαγωγής'!$B$2,C7900)),MAX($B$1:B7899)+1,0)</f>
        <v>0</v>
      </c>
      <c r="D7900" s="33">
        <f>IF(ISNUMBER(SEARCH('Φόρμα Εισαγωγής'!$C$2,E7900)),MAX($D$1:D7899)+1,0)</f>
        <v>0</v>
      </c>
      <c r="H7900" s="6">
        <f t="shared" si="380"/>
        <v>0</v>
      </c>
      <c r="I7900" s="6">
        <f t="shared" si="381"/>
        <v>0</v>
      </c>
      <c r="J7900" s="6">
        <f t="shared" si="382"/>
        <v>0</v>
      </c>
      <c r="L7900" s="4" t="str">
        <f>IFERROR(VLOOKUP(ROWS($L$2:L7900),$B$2:$C$1996,2,0),"")</f>
        <v/>
      </c>
      <c r="N7900" s="2" t="str">
        <f>IFERROR(VLOOKUP(ROWS($N$2:N7900),$D$2:$E$1996,2,0),"")</f>
        <v/>
      </c>
    </row>
    <row r="7901" spans="2:14">
      <c r="B7901" s="32">
        <f>IF(ISNUMBER(SEARCH('Φόρμα Εισαγωγής'!$B$2,C7901)),MAX($B$1:B7900)+1,0)</f>
        <v>0</v>
      </c>
      <c r="D7901" s="33">
        <f>IF(ISNUMBER(SEARCH('Φόρμα Εισαγωγής'!$C$2,E7901)),MAX($D$1:D7900)+1,0)</f>
        <v>0</v>
      </c>
      <c r="H7901" s="6">
        <f t="shared" si="380"/>
        <v>0</v>
      </c>
      <c r="I7901" s="6">
        <f t="shared" si="381"/>
        <v>0</v>
      </c>
      <c r="J7901" s="6">
        <f t="shared" si="382"/>
        <v>0</v>
      </c>
      <c r="L7901" s="4" t="str">
        <f>IFERROR(VLOOKUP(ROWS($L$2:L7901),$B$2:$C$1996,2,0),"")</f>
        <v/>
      </c>
      <c r="N7901" s="2" t="str">
        <f>IFERROR(VLOOKUP(ROWS($N$2:N7901),$D$2:$E$1996,2,0),"")</f>
        <v/>
      </c>
    </row>
    <row r="7902" spans="2:14">
      <c r="B7902" s="32">
        <f>IF(ISNUMBER(SEARCH('Φόρμα Εισαγωγής'!$B$2,C7902)),MAX($B$1:B7901)+1,0)</f>
        <v>0</v>
      </c>
      <c r="D7902" s="33">
        <f>IF(ISNUMBER(SEARCH('Φόρμα Εισαγωγής'!$C$2,E7902)),MAX($D$1:D7901)+1,0)</f>
        <v>0</v>
      </c>
      <c r="H7902" s="6">
        <f t="shared" si="380"/>
        <v>0</v>
      </c>
      <c r="I7902" s="6">
        <f t="shared" si="381"/>
        <v>0</v>
      </c>
      <c r="J7902" s="6">
        <f t="shared" si="382"/>
        <v>0</v>
      </c>
      <c r="L7902" s="4" t="str">
        <f>IFERROR(VLOOKUP(ROWS($L$2:L7902),$B$2:$C$1996,2,0),"")</f>
        <v/>
      </c>
      <c r="N7902" s="2" t="str">
        <f>IFERROR(VLOOKUP(ROWS($N$2:N7902),$D$2:$E$1996,2,0),"")</f>
        <v/>
      </c>
    </row>
    <row r="7903" spans="2:14">
      <c r="B7903" s="32">
        <f>IF(ISNUMBER(SEARCH('Φόρμα Εισαγωγής'!$B$2,C7903)),MAX($B$1:B7902)+1,0)</f>
        <v>0</v>
      </c>
      <c r="D7903" s="33">
        <f>IF(ISNUMBER(SEARCH('Φόρμα Εισαγωγής'!$C$2,E7903)),MAX($D$1:D7902)+1,0)</f>
        <v>0</v>
      </c>
      <c r="H7903" s="6">
        <f t="shared" si="380"/>
        <v>0</v>
      </c>
      <c r="I7903" s="6">
        <f t="shared" si="381"/>
        <v>0</v>
      </c>
      <c r="J7903" s="6">
        <f t="shared" si="382"/>
        <v>0</v>
      </c>
      <c r="L7903" s="4" t="str">
        <f>IFERROR(VLOOKUP(ROWS($L$2:L7903),$B$2:$C$1996,2,0),"")</f>
        <v/>
      </c>
      <c r="N7903" s="2" t="str">
        <f>IFERROR(VLOOKUP(ROWS($N$2:N7903),$D$2:$E$1996,2,0),"")</f>
        <v/>
      </c>
    </row>
    <row r="7904" spans="2:14">
      <c r="B7904" s="32">
        <f>IF(ISNUMBER(SEARCH('Φόρμα Εισαγωγής'!$B$2,C7904)),MAX($B$1:B7903)+1,0)</f>
        <v>0</v>
      </c>
      <c r="D7904" s="33">
        <f>IF(ISNUMBER(SEARCH('Φόρμα Εισαγωγής'!$C$2,E7904)),MAX($D$1:D7903)+1,0)</f>
        <v>0</v>
      </c>
      <c r="H7904" s="6">
        <f t="shared" si="380"/>
        <v>0</v>
      </c>
      <c r="I7904" s="6">
        <f t="shared" si="381"/>
        <v>0</v>
      </c>
      <c r="J7904" s="6">
        <f t="shared" si="382"/>
        <v>0</v>
      </c>
      <c r="L7904" s="4" t="str">
        <f>IFERROR(VLOOKUP(ROWS($L$2:L7904),$B$2:$C$1996,2,0),"")</f>
        <v/>
      </c>
      <c r="N7904" s="2" t="str">
        <f>IFERROR(VLOOKUP(ROWS($N$2:N7904),$D$2:$E$1996,2,0),"")</f>
        <v/>
      </c>
    </row>
    <row r="7905" spans="2:14">
      <c r="B7905" s="32">
        <f>IF(ISNUMBER(SEARCH('Φόρμα Εισαγωγής'!$B$2,C7905)),MAX($B$1:B7904)+1,0)</f>
        <v>0</v>
      </c>
      <c r="D7905" s="33">
        <f>IF(ISNUMBER(SEARCH('Φόρμα Εισαγωγής'!$C$2,E7905)),MAX($D$1:D7904)+1,0)</f>
        <v>0</v>
      </c>
      <c r="H7905" s="6">
        <f t="shared" si="380"/>
        <v>0</v>
      </c>
      <c r="I7905" s="6">
        <f t="shared" si="381"/>
        <v>0</v>
      </c>
      <c r="J7905" s="6">
        <f t="shared" si="382"/>
        <v>0</v>
      </c>
      <c r="L7905" s="4" t="str">
        <f>IFERROR(VLOOKUP(ROWS($L$2:L7905),$B$2:$C$1996,2,0),"")</f>
        <v/>
      </c>
      <c r="N7905" s="2" t="str">
        <f>IFERROR(VLOOKUP(ROWS($N$2:N7905),$D$2:$E$1996,2,0),"")</f>
        <v/>
      </c>
    </row>
    <row r="7906" spans="2:14">
      <c r="B7906" s="32">
        <f>IF(ISNUMBER(SEARCH('Φόρμα Εισαγωγής'!$B$2,C7906)),MAX($B$1:B7905)+1,0)</f>
        <v>0</v>
      </c>
      <c r="D7906" s="33">
        <f>IF(ISNUMBER(SEARCH('Φόρμα Εισαγωγής'!$C$2,E7906)),MAX($D$1:D7905)+1,0)</f>
        <v>0</v>
      </c>
      <c r="H7906" s="6">
        <f t="shared" si="380"/>
        <v>0</v>
      </c>
      <c r="I7906" s="6">
        <f t="shared" si="381"/>
        <v>0</v>
      </c>
      <c r="J7906" s="6">
        <f t="shared" si="382"/>
        <v>0</v>
      </c>
      <c r="L7906" s="4" t="str">
        <f>IFERROR(VLOOKUP(ROWS($L$2:L7906),$B$2:$C$1996,2,0),"")</f>
        <v/>
      </c>
      <c r="N7906" s="2" t="str">
        <f>IFERROR(VLOOKUP(ROWS($N$2:N7906),$D$2:$E$1996,2,0),"")</f>
        <v/>
      </c>
    </row>
    <row r="7907" spans="2:14">
      <c r="B7907" s="32">
        <f>IF(ISNUMBER(SEARCH('Φόρμα Εισαγωγής'!$B$2,C7907)),MAX($B$1:B7906)+1,0)</f>
        <v>0</v>
      </c>
      <c r="D7907" s="33">
        <f>IF(ISNUMBER(SEARCH('Φόρμα Εισαγωγής'!$C$2,E7907)),MAX($D$1:D7906)+1,0)</f>
        <v>0</v>
      </c>
      <c r="H7907" s="6">
        <f t="shared" si="380"/>
        <v>0</v>
      </c>
      <c r="I7907" s="6">
        <f t="shared" si="381"/>
        <v>0</v>
      </c>
      <c r="J7907" s="6">
        <f t="shared" si="382"/>
        <v>0</v>
      </c>
      <c r="L7907" s="4" t="str">
        <f>IFERROR(VLOOKUP(ROWS($L$2:L7907),$B$2:$C$1996,2,0),"")</f>
        <v/>
      </c>
      <c r="N7907" s="2" t="str">
        <f>IFERROR(VLOOKUP(ROWS($N$2:N7907),$D$2:$E$1996,2,0),"")</f>
        <v/>
      </c>
    </row>
    <row r="7908" spans="2:14">
      <c r="B7908" s="32">
        <f>IF(ISNUMBER(SEARCH('Φόρμα Εισαγωγής'!$B$2,C7908)),MAX($B$1:B7907)+1,0)</f>
        <v>0</v>
      </c>
      <c r="D7908" s="33">
        <f>IF(ISNUMBER(SEARCH('Φόρμα Εισαγωγής'!$C$2,E7908)),MAX($D$1:D7907)+1,0)</f>
        <v>0</v>
      </c>
      <c r="H7908" s="6">
        <f t="shared" si="380"/>
        <v>0</v>
      </c>
      <c r="I7908" s="6">
        <f t="shared" si="381"/>
        <v>0</v>
      </c>
      <c r="J7908" s="6">
        <f t="shared" si="382"/>
        <v>0</v>
      </c>
      <c r="L7908" s="4" t="str">
        <f>IFERROR(VLOOKUP(ROWS($L$2:L7908),$B$2:$C$1996,2,0),"")</f>
        <v/>
      </c>
      <c r="N7908" s="2" t="str">
        <f>IFERROR(VLOOKUP(ROWS($N$2:N7908),$D$2:$E$1996,2,0),"")</f>
        <v/>
      </c>
    </row>
    <row r="7909" spans="2:14">
      <c r="B7909" s="32">
        <f>IF(ISNUMBER(SEARCH('Φόρμα Εισαγωγής'!$B$2,C7909)),MAX($B$1:B7908)+1,0)</f>
        <v>0</v>
      </c>
      <c r="D7909" s="33">
        <f>IF(ISNUMBER(SEARCH('Φόρμα Εισαγωγής'!$C$2,E7909)),MAX($D$1:D7908)+1,0)</f>
        <v>0</v>
      </c>
      <c r="H7909" s="6">
        <f t="shared" si="380"/>
        <v>0</v>
      </c>
      <c r="I7909" s="6">
        <f t="shared" si="381"/>
        <v>0</v>
      </c>
      <c r="J7909" s="6">
        <f t="shared" si="382"/>
        <v>0</v>
      </c>
      <c r="L7909" s="4" t="str">
        <f>IFERROR(VLOOKUP(ROWS($L$2:L7909),$B$2:$C$1996,2,0),"")</f>
        <v/>
      </c>
      <c r="N7909" s="2" t="str">
        <f>IFERROR(VLOOKUP(ROWS($N$2:N7909),$D$2:$E$1996,2,0),"")</f>
        <v/>
      </c>
    </row>
    <row r="7910" spans="2:14">
      <c r="B7910" s="32">
        <f>IF(ISNUMBER(SEARCH('Φόρμα Εισαγωγής'!$B$2,C7910)),MAX($B$1:B7909)+1,0)</f>
        <v>0</v>
      </c>
      <c r="D7910" s="33">
        <f>IF(ISNUMBER(SEARCH('Φόρμα Εισαγωγής'!$C$2,E7910)),MAX($D$1:D7909)+1,0)</f>
        <v>0</v>
      </c>
      <c r="H7910" s="6">
        <f t="shared" si="380"/>
        <v>0</v>
      </c>
      <c r="I7910" s="6">
        <f t="shared" si="381"/>
        <v>0</v>
      </c>
      <c r="J7910" s="6">
        <f t="shared" si="382"/>
        <v>0</v>
      </c>
      <c r="L7910" s="4" t="str">
        <f>IFERROR(VLOOKUP(ROWS($L$2:L7910),$B$2:$C$1996,2,0),"")</f>
        <v/>
      </c>
      <c r="N7910" s="2" t="str">
        <f>IFERROR(VLOOKUP(ROWS($N$2:N7910),$D$2:$E$1996,2,0),"")</f>
        <v/>
      </c>
    </row>
    <row r="7911" spans="2:14">
      <c r="B7911" s="32">
        <f>IF(ISNUMBER(SEARCH('Φόρμα Εισαγωγής'!$B$2,C7911)),MAX($B$1:B7910)+1,0)</f>
        <v>0</v>
      </c>
      <c r="D7911" s="33">
        <f>IF(ISNUMBER(SEARCH('Φόρμα Εισαγωγής'!$C$2,E7911)),MAX($D$1:D7910)+1,0)</f>
        <v>0</v>
      </c>
      <c r="H7911" s="6">
        <f t="shared" si="380"/>
        <v>0</v>
      </c>
      <c r="I7911" s="6">
        <f t="shared" si="381"/>
        <v>0</v>
      </c>
      <c r="J7911" s="6">
        <f t="shared" si="382"/>
        <v>0</v>
      </c>
      <c r="L7911" s="4" t="str">
        <f>IFERROR(VLOOKUP(ROWS($L$2:L7911),$B$2:$C$1996,2,0),"")</f>
        <v/>
      </c>
      <c r="N7911" s="2" t="str">
        <f>IFERROR(VLOOKUP(ROWS($N$2:N7911),$D$2:$E$1996,2,0),"")</f>
        <v/>
      </c>
    </row>
    <row r="7912" spans="2:14">
      <c r="B7912" s="32">
        <f>IF(ISNUMBER(SEARCH('Φόρμα Εισαγωγής'!$B$2,C7912)),MAX($B$1:B7911)+1,0)</f>
        <v>0</v>
      </c>
      <c r="D7912" s="33">
        <f>IF(ISNUMBER(SEARCH('Φόρμα Εισαγωγής'!$C$2,E7912)),MAX($D$1:D7911)+1,0)</f>
        <v>0</v>
      </c>
      <c r="H7912" s="6">
        <f t="shared" si="380"/>
        <v>0</v>
      </c>
      <c r="I7912" s="6">
        <f t="shared" si="381"/>
        <v>0</v>
      </c>
      <c r="J7912" s="6">
        <f t="shared" si="382"/>
        <v>0</v>
      </c>
      <c r="L7912" s="4" t="str">
        <f>IFERROR(VLOOKUP(ROWS($L$2:L7912),$B$2:$C$1996,2,0),"")</f>
        <v/>
      </c>
      <c r="N7912" s="2" t="str">
        <f>IFERROR(VLOOKUP(ROWS($N$2:N7912),$D$2:$E$1996,2,0),"")</f>
        <v/>
      </c>
    </row>
    <row r="7913" spans="2:14">
      <c r="B7913" s="32">
        <f>IF(ISNUMBER(SEARCH('Φόρμα Εισαγωγής'!$B$2,C7913)),MAX($B$1:B7912)+1,0)</f>
        <v>0</v>
      </c>
      <c r="D7913" s="33">
        <f>IF(ISNUMBER(SEARCH('Φόρμα Εισαγωγής'!$C$2,E7913)),MAX($D$1:D7912)+1,0)</f>
        <v>0</v>
      </c>
      <c r="H7913" s="6">
        <f t="shared" si="380"/>
        <v>0</v>
      </c>
      <c r="I7913" s="6">
        <f t="shared" si="381"/>
        <v>0</v>
      </c>
      <c r="J7913" s="6">
        <f t="shared" si="382"/>
        <v>0</v>
      </c>
      <c r="L7913" s="4" t="str">
        <f>IFERROR(VLOOKUP(ROWS($L$2:L7913),$B$2:$C$1996,2,0),"")</f>
        <v/>
      </c>
      <c r="N7913" s="2" t="str">
        <f>IFERROR(VLOOKUP(ROWS($N$2:N7913),$D$2:$E$1996,2,0),"")</f>
        <v/>
      </c>
    </row>
    <row r="7914" spans="2:14">
      <c r="B7914" s="32">
        <f>IF(ISNUMBER(SEARCH('Φόρμα Εισαγωγής'!$B$2,C7914)),MAX($B$1:B7913)+1,0)</f>
        <v>0</v>
      </c>
      <c r="D7914" s="33">
        <f>IF(ISNUMBER(SEARCH('Φόρμα Εισαγωγής'!$C$2,E7914)),MAX($D$1:D7913)+1,0)</f>
        <v>0</v>
      </c>
      <c r="H7914" s="6">
        <f t="shared" si="380"/>
        <v>0</v>
      </c>
      <c r="I7914" s="6">
        <f t="shared" si="381"/>
        <v>0</v>
      </c>
      <c r="J7914" s="6">
        <f t="shared" si="382"/>
        <v>0</v>
      </c>
      <c r="L7914" s="4" t="str">
        <f>IFERROR(VLOOKUP(ROWS($L$2:L7914),$B$2:$C$1996,2,0),"")</f>
        <v/>
      </c>
      <c r="N7914" s="2" t="str">
        <f>IFERROR(VLOOKUP(ROWS($N$2:N7914),$D$2:$E$1996,2,0),"")</f>
        <v/>
      </c>
    </row>
    <row r="7915" spans="2:14">
      <c r="B7915" s="32">
        <f>IF(ISNUMBER(SEARCH('Φόρμα Εισαγωγής'!$B$2,C7915)),MAX($B$1:B7914)+1,0)</f>
        <v>0</v>
      </c>
      <c r="D7915" s="33">
        <f>IF(ISNUMBER(SEARCH('Φόρμα Εισαγωγής'!$C$2,E7915)),MAX($D$1:D7914)+1,0)</f>
        <v>0</v>
      </c>
      <c r="H7915" s="6">
        <f t="shared" si="380"/>
        <v>0</v>
      </c>
      <c r="I7915" s="6">
        <f t="shared" si="381"/>
        <v>0</v>
      </c>
      <c r="J7915" s="6">
        <f t="shared" si="382"/>
        <v>0</v>
      </c>
      <c r="L7915" s="4" t="str">
        <f>IFERROR(VLOOKUP(ROWS($L$2:L7915),$B$2:$C$1996,2,0),"")</f>
        <v/>
      </c>
      <c r="N7915" s="2" t="str">
        <f>IFERROR(VLOOKUP(ROWS($N$2:N7915),$D$2:$E$1996,2,0),"")</f>
        <v/>
      </c>
    </row>
    <row r="7916" spans="2:14">
      <c r="B7916" s="32">
        <f>IF(ISNUMBER(SEARCH('Φόρμα Εισαγωγής'!$B$2,C7916)),MAX($B$1:B7915)+1,0)</f>
        <v>0</v>
      </c>
      <c r="D7916" s="33">
        <f>IF(ISNUMBER(SEARCH('Φόρμα Εισαγωγής'!$C$2,E7916)),MAX($D$1:D7915)+1,0)</f>
        <v>0</v>
      </c>
      <c r="H7916" s="6">
        <f t="shared" si="380"/>
        <v>0</v>
      </c>
      <c r="I7916" s="6">
        <f t="shared" si="381"/>
        <v>0</v>
      </c>
      <c r="J7916" s="6">
        <f t="shared" si="382"/>
        <v>0</v>
      </c>
      <c r="L7916" s="4" t="str">
        <f>IFERROR(VLOOKUP(ROWS($L$2:L7916),$B$2:$C$1996,2,0),"")</f>
        <v/>
      </c>
      <c r="N7916" s="2" t="str">
        <f>IFERROR(VLOOKUP(ROWS($N$2:N7916),$D$2:$E$1996,2,0),"")</f>
        <v/>
      </c>
    </row>
    <row r="7917" spans="2:14">
      <c r="B7917" s="32">
        <f>IF(ISNUMBER(SEARCH('Φόρμα Εισαγωγής'!$B$2,C7917)),MAX($B$1:B7916)+1,0)</f>
        <v>0</v>
      </c>
      <c r="D7917" s="33">
        <f>IF(ISNUMBER(SEARCH('Φόρμα Εισαγωγής'!$C$2,E7917)),MAX($D$1:D7916)+1,0)</f>
        <v>0</v>
      </c>
      <c r="H7917" s="6">
        <f t="shared" si="380"/>
        <v>0</v>
      </c>
      <c r="I7917" s="6">
        <f t="shared" si="381"/>
        <v>0</v>
      </c>
      <c r="J7917" s="6">
        <f t="shared" si="382"/>
        <v>0</v>
      </c>
      <c r="L7917" s="4" t="str">
        <f>IFERROR(VLOOKUP(ROWS($L$2:L7917),$B$2:$C$1996,2,0),"")</f>
        <v/>
      </c>
      <c r="N7917" s="2" t="str">
        <f>IFERROR(VLOOKUP(ROWS($N$2:N7917),$D$2:$E$1996,2,0),"")</f>
        <v/>
      </c>
    </row>
    <row r="7918" spans="2:14">
      <c r="B7918" s="32">
        <f>IF(ISNUMBER(SEARCH('Φόρμα Εισαγωγής'!$B$2,C7918)),MAX($B$1:B7917)+1,0)</f>
        <v>0</v>
      </c>
      <c r="D7918" s="33">
        <f>IF(ISNUMBER(SEARCH('Φόρμα Εισαγωγής'!$C$2,E7918)),MAX($D$1:D7917)+1,0)</f>
        <v>0</v>
      </c>
      <c r="H7918" s="6">
        <f t="shared" si="380"/>
        <v>0</v>
      </c>
      <c r="I7918" s="6">
        <f t="shared" si="381"/>
        <v>0</v>
      </c>
      <c r="J7918" s="6">
        <f t="shared" si="382"/>
        <v>0</v>
      </c>
      <c r="L7918" s="4" t="str">
        <f>IFERROR(VLOOKUP(ROWS($L$2:L7918),$B$2:$C$1996,2,0),"")</f>
        <v/>
      </c>
      <c r="N7918" s="2" t="str">
        <f>IFERROR(VLOOKUP(ROWS($N$2:N7918),$D$2:$E$1996,2,0),"")</f>
        <v/>
      </c>
    </row>
    <row r="7919" spans="2:14">
      <c r="B7919" s="32">
        <f>IF(ISNUMBER(SEARCH('Φόρμα Εισαγωγής'!$B$2,C7919)),MAX($B$1:B7918)+1,0)</f>
        <v>0</v>
      </c>
      <c r="D7919" s="33">
        <f>IF(ISNUMBER(SEARCH('Φόρμα Εισαγωγής'!$C$2,E7919)),MAX($D$1:D7918)+1,0)</f>
        <v>0</v>
      </c>
      <c r="H7919" s="6">
        <f t="shared" si="380"/>
        <v>0</v>
      </c>
      <c r="I7919" s="6">
        <f t="shared" si="381"/>
        <v>0</v>
      </c>
      <c r="J7919" s="6">
        <f t="shared" si="382"/>
        <v>0</v>
      </c>
      <c r="L7919" s="4" t="str">
        <f>IFERROR(VLOOKUP(ROWS($L$2:L7919),$B$2:$C$1996,2,0),"")</f>
        <v/>
      </c>
      <c r="N7919" s="2" t="str">
        <f>IFERROR(VLOOKUP(ROWS($N$2:N7919),$D$2:$E$1996,2,0),"")</f>
        <v/>
      </c>
    </row>
    <row r="7920" spans="2:14">
      <c r="B7920" s="32">
        <f>IF(ISNUMBER(SEARCH('Φόρμα Εισαγωγής'!$B$2,C7920)),MAX($B$1:B7919)+1,0)</f>
        <v>0</v>
      </c>
      <c r="D7920" s="33">
        <f>IF(ISNUMBER(SEARCH('Φόρμα Εισαγωγής'!$C$2,E7920)),MAX($D$1:D7919)+1,0)</f>
        <v>0</v>
      </c>
      <c r="H7920" s="6">
        <f t="shared" si="380"/>
        <v>0</v>
      </c>
      <c r="I7920" s="6">
        <f t="shared" si="381"/>
        <v>0</v>
      </c>
      <c r="J7920" s="6">
        <f t="shared" si="382"/>
        <v>0</v>
      </c>
      <c r="L7920" s="4" t="str">
        <f>IFERROR(VLOOKUP(ROWS($L$2:L7920),$B$2:$C$1996,2,0),"")</f>
        <v/>
      </c>
      <c r="N7920" s="2" t="str">
        <f>IFERROR(VLOOKUP(ROWS($N$2:N7920),$D$2:$E$1996,2,0),"")</f>
        <v/>
      </c>
    </row>
    <row r="7921" spans="2:14">
      <c r="B7921" s="32">
        <f>IF(ISNUMBER(SEARCH('Φόρμα Εισαγωγής'!$B$2,C7921)),MAX($B$1:B7920)+1,0)</f>
        <v>0</v>
      </c>
      <c r="D7921" s="33">
        <f>IF(ISNUMBER(SEARCH('Φόρμα Εισαγωγής'!$C$2,E7921)),MAX($D$1:D7920)+1,0)</f>
        <v>0</v>
      </c>
      <c r="H7921" s="6">
        <f t="shared" si="380"/>
        <v>0</v>
      </c>
      <c r="I7921" s="6">
        <f t="shared" si="381"/>
        <v>0</v>
      </c>
      <c r="J7921" s="6">
        <f t="shared" si="382"/>
        <v>0</v>
      </c>
      <c r="L7921" s="4" t="str">
        <f>IFERROR(VLOOKUP(ROWS($L$2:L7921),$B$2:$C$1996,2,0),"")</f>
        <v/>
      </c>
      <c r="N7921" s="2" t="str">
        <f>IFERROR(VLOOKUP(ROWS($N$2:N7921),$D$2:$E$1996,2,0),"")</f>
        <v/>
      </c>
    </row>
    <row r="7922" spans="2:14">
      <c r="B7922" s="32">
        <f>IF(ISNUMBER(SEARCH('Φόρμα Εισαγωγής'!$B$2,C7922)),MAX($B$1:B7921)+1,0)</f>
        <v>0</v>
      </c>
      <c r="D7922" s="33">
        <f>IF(ISNUMBER(SEARCH('Φόρμα Εισαγωγής'!$C$2,E7922)),MAX($D$1:D7921)+1,0)</f>
        <v>0</v>
      </c>
      <c r="H7922" s="6">
        <f t="shared" si="380"/>
        <v>0</v>
      </c>
      <c r="I7922" s="6">
        <f t="shared" si="381"/>
        <v>0</v>
      </c>
      <c r="J7922" s="6">
        <f t="shared" si="382"/>
        <v>0</v>
      </c>
      <c r="L7922" s="4" t="str">
        <f>IFERROR(VLOOKUP(ROWS($L$2:L7922),$B$2:$C$1996,2,0),"")</f>
        <v/>
      </c>
      <c r="N7922" s="2" t="str">
        <f>IFERROR(VLOOKUP(ROWS($N$2:N7922),$D$2:$E$1996,2,0),"")</f>
        <v/>
      </c>
    </row>
    <row r="7923" spans="2:14">
      <c r="B7923" s="32">
        <f>IF(ISNUMBER(SEARCH('Φόρμα Εισαγωγής'!$B$2,C7923)),MAX($B$1:B7922)+1,0)</f>
        <v>0</v>
      </c>
      <c r="D7923" s="33">
        <f>IF(ISNUMBER(SEARCH('Φόρμα Εισαγωγής'!$C$2,E7923)),MAX($D$1:D7922)+1,0)</f>
        <v>0</v>
      </c>
      <c r="H7923" s="6">
        <f t="shared" si="380"/>
        <v>0</v>
      </c>
      <c r="I7923" s="6">
        <f t="shared" si="381"/>
        <v>0</v>
      </c>
      <c r="J7923" s="6">
        <f t="shared" si="382"/>
        <v>0</v>
      </c>
      <c r="L7923" s="4" t="str">
        <f>IFERROR(VLOOKUP(ROWS($L$2:L7923),$B$2:$C$1996,2,0),"")</f>
        <v/>
      </c>
      <c r="N7923" s="2" t="str">
        <f>IFERROR(VLOOKUP(ROWS($N$2:N7923),$D$2:$E$1996,2,0),"")</f>
        <v/>
      </c>
    </row>
    <row r="7924" spans="2:14">
      <c r="B7924" s="32">
        <f>IF(ISNUMBER(SEARCH('Φόρμα Εισαγωγής'!$B$2,C7924)),MAX($B$1:B7923)+1,0)</f>
        <v>0</v>
      </c>
      <c r="D7924" s="33">
        <f>IF(ISNUMBER(SEARCH('Φόρμα Εισαγωγής'!$C$2,E7924)),MAX($D$1:D7923)+1,0)</f>
        <v>0</v>
      </c>
      <c r="H7924" s="6">
        <f t="shared" si="380"/>
        <v>0</v>
      </c>
      <c r="I7924" s="6">
        <f t="shared" si="381"/>
        <v>0</v>
      </c>
      <c r="J7924" s="6">
        <f t="shared" si="382"/>
        <v>0</v>
      </c>
      <c r="L7924" s="4" t="str">
        <f>IFERROR(VLOOKUP(ROWS($L$2:L7924),$B$2:$C$1996,2,0),"")</f>
        <v/>
      </c>
      <c r="N7924" s="2" t="str">
        <f>IFERROR(VLOOKUP(ROWS($N$2:N7924),$D$2:$E$1996,2,0),"")</f>
        <v/>
      </c>
    </row>
    <row r="7925" spans="2:14">
      <c r="B7925" s="32">
        <f>IF(ISNUMBER(SEARCH('Φόρμα Εισαγωγής'!$B$2,C7925)),MAX($B$1:B7924)+1,0)</f>
        <v>0</v>
      </c>
      <c r="D7925" s="33">
        <f>IF(ISNUMBER(SEARCH('Φόρμα Εισαγωγής'!$C$2,E7925)),MAX($D$1:D7924)+1,0)</f>
        <v>0</v>
      </c>
      <c r="H7925" s="6">
        <f t="shared" si="380"/>
        <v>0</v>
      </c>
      <c r="I7925" s="6">
        <f t="shared" si="381"/>
        <v>0</v>
      </c>
      <c r="J7925" s="6">
        <f t="shared" si="382"/>
        <v>0</v>
      </c>
      <c r="L7925" s="4" t="str">
        <f>IFERROR(VLOOKUP(ROWS($L$2:L7925),$B$2:$C$1996,2,0),"")</f>
        <v/>
      </c>
      <c r="N7925" s="2" t="str">
        <f>IFERROR(VLOOKUP(ROWS($N$2:N7925),$D$2:$E$1996,2,0),"")</f>
        <v/>
      </c>
    </row>
    <row r="7926" spans="2:14">
      <c r="B7926" s="32">
        <f>IF(ISNUMBER(SEARCH('Φόρμα Εισαγωγής'!$B$2,C7926)),MAX($B$1:B7925)+1,0)</f>
        <v>0</v>
      </c>
      <c r="D7926" s="33">
        <f>IF(ISNUMBER(SEARCH('Φόρμα Εισαγωγής'!$C$2,E7926)),MAX($D$1:D7925)+1,0)</f>
        <v>0</v>
      </c>
      <c r="H7926" s="6">
        <f t="shared" si="380"/>
        <v>0</v>
      </c>
      <c r="I7926" s="6">
        <f t="shared" si="381"/>
        <v>0</v>
      </c>
      <c r="J7926" s="6">
        <f t="shared" si="382"/>
        <v>0</v>
      </c>
      <c r="L7926" s="4" t="str">
        <f>IFERROR(VLOOKUP(ROWS($L$2:L7926),$B$2:$C$1996,2,0),"")</f>
        <v/>
      </c>
      <c r="N7926" s="2" t="str">
        <f>IFERROR(VLOOKUP(ROWS($N$2:N7926),$D$2:$E$1996,2,0),"")</f>
        <v/>
      </c>
    </row>
    <row r="7927" spans="2:14">
      <c r="B7927" s="32">
        <f>IF(ISNUMBER(SEARCH('Φόρμα Εισαγωγής'!$B$2,C7927)),MAX($B$1:B7926)+1,0)</f>
        <v>0</v>
      </c>
      <c r="D7927" s="33">
        <f>IF(ISNUMBER(SEARCH('Φόρμα Εισαγωγής'!$C$2,E7927)),MAX($D$1:D7926)+1,0)</f>
        <v>0</v>
      </c>
      <c r="H7927" s="6">
        <f t="shared" si="380"/>
        <v>0</v>
      </c>
      <c r="I7927" s="6">
        <f t="shared" si="381"/>
        <v>0</v>
      </c>
      <c r="J7927" s="6">
        <f t="shared" si="382"/>
        <v>0</v>
      </c>
      <c r="L7927" s="4" t="str">
        <f>IFERROR(VLOOKUP(ROWS($L$2:L7927),$B$2:$C$1996,2,0),"")</f>
        <v/>
      </c>
      <c r="N7927" s="2" t="str">
        <f>IFERROR(VLOOKUP(ROWS($N$2:N7927),$D$2:$E$1996,2,0),"")</f>
        <v/>
      </c>
    </row>
    <row r="7928" spans="2:14">
      <c r="B7928" s="32">
        <f>IF(ISNUMBER(SEARCH('Φόρμα Εισαγωγής'!$B$2,C7928)),MAX($B$1:B7927)+1,0)</f>
        <v>0</v>
      </c>
      <c r="D7928" s="33">
        <f>IF(ISNUMBER(SEARCH('Φόρμα Εισαγωγής'!$C$2,E7928)),MAX($D$1:D7927)+1,0)</f>
        <v>0</v>
      </c>
      <c r="H7928" s="6">
        <f t="shared" si="380"/>
        <v>0</v>
      </c>
      <c r="I7928" s="6">
        <f t="shared" si="381"/>
        <v>0</v>
      </c>
      <c r="J7928" s="6">
        <f t="shared" si="382"/>
        <v>0</v>
      </c>
      <c r="L7928" s="4" t="str">
        <f>IFERROR(VLOOKUP(ROWS($L$2:L7928),$B$2:$C$1996,2,0),"")</f>
        <v/>
      </c>
      <c r="N7928" s="2" t="str">
        <f>IFERROR(VLOOKUP(ROWS($N$2:N7928),$D$2:$E$1996,2,0),"")</f>
        <v/>
      </c>
    </row>
    <row r="7929" spans="2:14">
      <c r="B7929" s="32">
        <f>IF(ISNUMBER(SEARCH('Φόρμα Εισαγωγής'!$B$2,C7929)),MAX($B$1:B7928)+1,0)</f>
        <v>0</v>
      </c>
      <c r="D7929" s="33">
        <f>IF(ISNUMBER(SEARCH('Φόρμα Εισαγωγής'!$C$2,E7929)),MAX($D$1:D7928)+1,0)</f>
        <v>0</v>
      </c>
      <c r="H7929" s="6">
        <f t="shared" si="380"/>
        <v>0</v>
      </c>
      <c r="I7929" s="6">
        <f t="shared" si="381"/>
        <v>0</v>
      </c>
      <c r="J7929" s="6">
        <f t="shared" si="382"/>
        <v>0</v>
      </c>
      <c r="L7929" s="4" t="str">
        <f>IFERROR(VLOOKUP(ROWS($L$2:L7929),$B$2:$C$1996,2,0),"")</f>
        <v/>
      </c>
      <c r="N7929" s="2" t="str">
        <f>IFERROR(VLOOKUP(ROWS($N$2:N7929),$D$2:$E$1996,2,0),"")</f>
        <v/>
      </c>
    </row>
    <row r="7930" spans="2:14">
      <c r="B7930" s="32">
        <f>IF(ISNUMBER(SEARCH('Φόρμα Εισαγωγής'!$B$2,C7930)),MAX($B$1:B7929)+1,0)</f>
        <v>0</v>
      </c>
      <c r="D7930" s="33">
        <f>IF(ISNUMBER(SEARCH('Φόρμα Εισαγωγής'!$C$2,E7930)),MAX($D$1:D7929)+1,0)</f>
        <v>0</v>
      </c>
      <c r="H7930" s="6">
        <f t="shared" si="380"/>
        <v>0</v>
      </c>
      <c r="I7930" s="6">
        <f t="shared" si="381"/>
        <v>0</v>
      </c>
      <c r="J7930" s="6">
        <f t="shared" si="382"/>
        <v>0</v>
      </c>
      <c r="L7930" s="4" t="str">
        <f>IFERROR(VLOOKUP(ROWS($L$2:L7930),$B$2:$C$1996,2,0),"")</f>
        <v/>
      </c>
      <c r="N7930" s="2" t="str">
        <f>IFERROR(VLOOKUP(ROWS($N$2:N7930),$D$2:$E$1996,2,0),"")</f>
        <v/>
      </c>
    </row>
    <row r="7931" spans="2:14">
      <c r="B7931" s="32">
        <f>IF(ISNUMBER(SEARCH('Φόρμα Εισαγωγής'!$B$2,C7931)),MAX($B$1:B7930)+1,0)</f>
        <v>0</v>
      </c>
      <c r="D7931" s="33">
        <f>IF(ISNUMBER(SEARCH('Φόρμα Εισαγωγής'!$C$2,E7931)),MAX($D$1:D7930)+1,0)</f>
        <v>0</v>
      </c>
      <c r="H7931" s="6">
        <f t="shared" si="380"/>
        <v>0</v>
      </c>
      <c r="I7931" s="6">
        <f t="shared" si="381"/>
        <v>0</v>
      </c>
      <c r="J7931" s="6">
        <f t="shared" si="382"/>
        <v>0</v>
      </c>
      <c r="L7931" s="4" t="str">
        <f>IFERROR(VLOOKUP(ROWS($L$2:L7931),$B$2:$C$1996,2,0),"")</f>
        <v/>
      </c>
      <c r="N7931" s="2" t="str">
        <f>IFERROR(VLOOKUP(ROWS($N$2:N7931),$D$2:$E$1996,2,0),"")</f>
        <v/>
      </c>
    </row>
    <row r="7932" spans="2:14">
      <c r="B7932" s="32">
        <f>IF(ISNUMBER(SEARCH('Φόρμα Εισαγωγής'!$B$2,C7932)),MAX($B$1:B7931)+1,0)</f>
        <v>0</v>
      </c>
      <c r="D7932" s="33">
        <f>IF(ISNUMBER(SEARCH('Φόρμα Εισαγωγής'!$C$2,E7932)),MAX($D$1:D7931)+1,0)</f>
        <v>0</v>
      </c>
      <c r="H7932" s="6">
        <f t="shared" si="380"/>
        <v>0</v>
      </c>
      <c r="I7932" s="6">
        <f t="shared" si="381"/>
        <v>0</v>
      </c>
      <c r="J7932" s="6">
        <f t="shared" si="382"/>
        <v>0</v>
      </c>
      <c r="L7932" s="4" t="str">
        <f>IFERROR(VLOOKUP(ROWS($L$2:L7932),$B$2:$C$1996,2,0),"")</f>
        <v/>
      </c>
      <c r="N7932" s="2" t="str">
        <f>IFERROR(VLOOKUP(ROWS($N$2:N7932),$D$2:$E$1996,2,0),"")</f>
        <v/>
      </c>
    </row>
    <row r="7933" spans="2:14">
      <c r="B7933" s="32">
        <f>IF(ISNUMBER(SEARCH('Φόρμα Εισαγωγής'!$B$2,C7933)),MAX($B$1:B7932)+1,0)</f>
        <v>0</v>
      </c>
      <c r="D7933" s="33">
        <f>IF(ISNUMBER(SEARCH('Φόρμα Εισαγωγής'!$C$2,E7933)),MAX($D$1:D7932)+1,0)</f>
        <v>0</v>
      </c>
      <c r="H7933" s="6">
        <f t="shared" si="380"/>
        <v>0</v>
      </c>
      <c r="I7933" s="6">
        <f t="shared" si="381"/>
        <v>0</v>
      </c>
      <c r="J7933" s="6">
        <f t="shared" si="382"/>
        <v>0</v>
      </c>
      <c r="L7933" s="4" t="str">
        <f>IFERROR(VLOOKUP(ROWS($L$2:L7933),$B$2:$C$1996,2,0),"")</f>
        <v/>
      </c>
      <c r="N7933" s="2" t="str">
        <f>IFERROR(VLOOKUP(ROWS($N$2:N7933),$D$2:$E$1996,2,0),"")</f>
        <v/>
      </c>
    </row>
    <row r="7934" spans="2:14">
      <c r="B7934" s="32">
        <f>IF(ISNUMBER(SEARCH('Φόρμα Εισαγωγής'!$B$2,C7934)),MAX($B$1:B7933)+1,0)</f>
        <v>0</v>
      </c>
      <c r="D7934" s="33">
        <f>IF(ISNUMBER(SEARCH('Φόρμα Εισαγωγής'!$C$2,E7934)),MAX($D$1:D7933)+1,0)</f>
        <v>0</v>
      </c>
      <c r="H7934" s="6">
        <f t="shared" si="380"/>
        <v>0</v>
      </c>
      <c r="I7934" s="6">
        <f t="shared" si="381"/>
        <v>0</v>
      </c>
      <c r="J7934" s="6">
        <f t="shared" si="382"/>
        <v>0</v>
      </c>
      <c r="L7934" s="4" t="str">
        <f>IFERROR(VLOOKUP(ROWS($L$2:L7934),$B$2:$C$1996,2,0),"")</f>
        <v/>
      </c>
      <c r="N7934" s="2" t="str">
        <f>IFERROR(VLOOKUP(ROWS($N$2:N7934),$D$2:$E$1996,2,0),"")</f>
        <v/>
      </c>
    </row>
    <row r="7935" spans="2:14">
      <c r="B7935" s="32">
        <f>IF(ISNUMBER(SEARCH('Φόρμα Εισαγωγής'!$B$2,C7935)),MAX($B$1:B7934)+1,0)</f>
        <v>0</v>
      </c>
      <c r="D7935" s="33">
        <f>IF(ISNUMBER(SEARCH('Φόρμα Εισαγωγής'!$C$2,E7935)),MAX($D$1:D7934)+1,0)</f>
        <v>0</v>
      </c>
      <c r="H7935" s="6">
        <f t="shared" si="380"/>
        <v>0</v>
      </c>
      <c r="I7935" s="6">
        <f t="shared" si="381"/>
        <v>0</v>
      </c>
      <c r="J7935" s="6">
        <f t="shared" si="382"/>
        <v>0</v>
      </c>
      <c r="L7935" s="4" t="str">
        <f>IFERROR(VLOOKUP(ROWS($L$2:L7935),$B$2:$C$1996,2,0),"")</f>
        <v/>
      </c>
      <c r="N7935" s="2" t="str">
        <f>IFERROR(VLOOKUP(ROWS($N$2:N7935),$D$2:$E$1996,2,0),"")</f>
        <v/>
      </c>
    </row>
    <row r="7936" spans="2:14">
      <c r="B7936" s="32">
        <f>IF(ISNUMBER(SEARCH('Φόρμα Εισαγωγής'!$B$2,C7936)),MAX($B$1:B7935)+1,0)</f>
        <v>0</v>
      </c>
      <c r="D7936" s="33">
        <f>IF(ISNUMBER(SEARCH('Φόρμα Εισαγωγής'!$C$2,E7936)),MAX($D$1:D7935)+1,0)</f>
        <v>0</v>
      </c>
      <c r="H7936" s="6">
        <f t="shared" ref="H7936:H7996" si="383">G7936+(G7936*0.24)</f>
        <v>0</v>
      </c>
      <c r="I7936" s="6">
        <f t="shared" ref="I7936:I7996" si="384">F7936*A7936</f>
        <v>0</v>
      </c>
      <c r="J7936" s="6">
        <f t="shared" ref="J7936:J7996" si="385">H7936*A7936</f>
        <v>0</v>
      </c>
      <c r="L7936" s="4" t="str">
        <f>IFERROR(VLOOKUP(ROWS($L$2:L7936),$B$2:$C$1996,2,0),"")</f>
        <v/>
      </c>
      <c r="N7936" s="2" t="str">
        <f>IFERROR(VLOOKUP(ROWS($N$2:N7936),$D$2:$E$1996,2,0),"")</f>
        <v/>
      </c>
    </row>
    <row r="7937" spans="2:14">
      <c r="B7937" s="32">
        <f>IF(ISNUMBER(SEARCH('Φόρμα Εισαγωγής'!$B$2,C7937)),MAX($B$1:B7936)+1,0)</f>
        <v>0</v>
      </c>
      <c r="D7937" s="33">
        <f>IF(ISNUMBER(SEARCH('Φόρμα Εισαγωγής'!$C$2,E7937)),MAX($D$1:D7936)+1,0)</f>
        <v>0</v>
      </c>
      <c r="H7937" s="6">
        <f t="shared" si="383"/>
        <v>0</v>
      </c>
      <c r="I7937" s="6">
        <f t="shared" si="384"/>
        <v>0</v>
      </c>
      <c r="J7937" s="6">
        <f t="shared" si="385"/>
        <v>0</v>
      </c>
      <c r="L7937" s="4" t="str">
        <f>IFERROR(VLOOKUP(ROWS($L$2:L7937),$B$2:$C$1996,2,0),"")</f>
        <v/>
      </c>
      <c r="N7937" s="2" t="str">
        <f>IFERROR(VLOOKUP(ROWS($N$2:N7937),$D$2:$E$1996,2,0),"")</f>
        <v/>
      </c>
    </row>
    <row r="7938" spans="2:14">
      <c r="B7938" s="32">
        <f>IF(ISNUMBER(SEARCH('Φόρμα Εισαγωγής'!$B$2,C7938)),MAX($B$1:B7937)+1,0)</f>
        <v>0</v>
      </c>
      <c r="D7938" s="33">
        <f>IF(ISNUMBER(SEARCH('Φόρμα Εισαγωγής'!$C$2,E7938)),MAX($D$1:D7937)+1,0)</f>
        <v>0</v>
      </c>
      <c r="H7938" s="6">
        <f t="shared" si="383"/>
        <v>0</v>
      </c>
      <c r="I7938" s="6">
        <f t="shared" si="384"/>
        <v>0</v>
      </c>
      <c r="J7938" s="6">
        <f t="shared" si="385"/>
        <v>0</v>
      </c>
      <c r="L7938" s="4" t="str">
        <f>IFERROR(VLOOKUP(ROWS($L$2:L7938),$B$2:$C$1996,2,0),"")</f>
        <v/>
      </c>
      <c r="N7938" s="2" t="str">
        <f>IFERROR(VLOOKUP(ROWS($N$2:N7938),$D$2:$E$1996,2,0),"")</f>
        <v/>
      </c>
    </row>
    <row r="7939" spans="2:14">
      <c r="B7939" s="32">
        <f>IF(ISNUMBER(SEARCH('Φόρμα Εισαγωγής'!$B$2,C7939)),MAX($B$1:B7938)+1,0)</f>
        <v>0</v>
      </c>
      <c r="D7939" s="33">
        <f>IF(ISNUMBER(SEARCH('Φόρμα Εισαγωγής'!$C$2,E7939)),MAX($D$1:D7938)+1,0)</f>
        <v>0</v>
      </c>
      <c r="H7939" s="6">
        <f t="shared" si="383"/>
        <v>0</v>
      </c>
      <c r="I7939" s="6">
        <f t="shared" si="384"/>
        <v>0</v>
      </c>
      <c r="J7939" s="6">
        <f t="shared" si="385"/>
        <v>0</v>
      </c>
      <c r="L7939" s="4" t="str">
        <f>IFERROR(VLOOKUP(ROWS($L$2:L7939),$B$2:$C$1996,2,0),"")</f>
        <v/>
      </c>
      <c r="N7939" s="2" t="str">
        <f>IFERROR(VLOOKUP(ROWS($N$2:N7939),$D$2:$E$1996,2,0),"")</f>
        <v/>
      </c>
    </row>
    <row r="7940" spans="2:14">
      <c r="B7940" s="32">
        <f>IF(ISNUMBER(SEARCH('Φόρμα Εισαγωγής'!$B$2,C7940)),MAX($B$1:B7939)+1,0)</f>
        <v>0</v>
      </c>
      <c r="D7940" s="33">
        <f>IF(ISNUMBER(SEARCH('Φόρμα Εισαγωγής'!$C$2,E7940)),MAX($D$1:D7939)+1,0)</f>
        <v>0</v>
      </c>
      <c r="H7940" s="6">
        <f t="shared" si="383"/>
        <v>0</v>
      </c>
      <c r="I7940" s="6">
        <f t="shared" si="384"/>
        <v>0</v>
      </c>
      <c r="J7940" s="6">
        <f t="shared" si="385"/>
        <v>0</v>
      </c>
      <c r="L7940" s="4" t="str">
        <f>IFERROR(VLOOKUP(ROWS($L$2:L7940),$B$2:$C$1996,2,0),"")</f>
        <v/>
      </c>
      <c r="N7940" s="2" t="str">
        <f>IFERROR(VLOOKUP(ROWS($N$2:N7940),$D$2:$E$1996,2,0),"")</f>
        <v/>
      </c>
    </row>
    <row r="7941" spans="2:14">
      <c r="B7941" s="32">
        <f>IF(ISNUMBER(SEARCH('Φόρμα Εισαγωγής'!$B$2,C7941)),MAX($B$1:B7940)+1,0)</f>
        <v>0</v>
      </c>
      <c r="D7941" s="33">
        <f>IF(ISNUMBER(SEARCH('Φόρμα Εισαγωγής'!$C$2,E7941)),MAX($D$1:D7940)+1,0)</f>
        <v>0</v>
      </c>
      <c r="H7941" s="6">
        <f t="shared" si="383"/>
        <v>0</v>
      </c>
      <c r="I7941" s="6">
        <f t="shared" si="384"/>
        <v>0</v>
      </c>
      <c r="J7941" s="6">
        <f t="shared" si="385"/>
        <v>0</v>
      </c>
      <c r="L7941" s="4" t="str">
        <f>IFERROR(VLOOKUP(ROWS($L$2:L7941),$B$2:$C$1996,2,0),"")</f>
        <v/>
      </c>
      <c r="N7941" s="2" t="str">
        <f>IFERROR(VLOOKUP(ROWS($N$2:N7941),$D$2:$E$1996,2,0),"")</f>
        <v/>
      </c>
    </row>
    <row r="7942" spans="2:14">
      <c r="B7942" s="32">
        <f>IF(ISNUMBER(SEARCH('Φόρμα Εισαγωγής'!$B$2,C7942)),MAX($B$1:B7941)+1,0)</f>
        <v>0</v>
      </c>
      <c r="D7942" s="33">
        <f>IF(ISNUMBER(SEARCH('Φόρμα Εισαγωγής'!$C$2,E7942)),MAX($D$1:D7941)+1,0)</f>
        <v>0</v>
      </c>
      <c r="H7942" s="6">
        <f t="shared" si="383"/>
        <v>0</v>
      </c>
      <c r="I7942" s="6">
        <f t="shared" si="384"/>
        <v>0</v>
      </c>
      <c r="J7942" s="6">
        <f t="shared" si="385"/>
        <v>0</v>
      </c>
      <c r="L7942" s="4" t="str">
        <f>IFERROR(VLOOKUP(ROWS($L$2:L7942),$B$2:$C$1996,2,0),"")</f>
        <v/>
      </c>
      <c r="N7942" s="2" t="str">
        <f>IFERROR(VLOOKUP(ROWS($N$2:N7942),$D$2:$E$1996,2,0),"")</f>
        <v/>
      </c>
    </row>
    <row r="7943" spans="2:14">
      <c r="B7943" s="32">
        <f>IF(ISNUMBER(SEARCH('Φόρμα Εισαγωγής'!$B$2,C7943)),MAX($B$1:B7942)+1,0)</f>
        <v>0</v>
      </c>
      <c r="D7943" s="33">
        <f>IF(ISNUMBER(SEARCH('Φόρμα Εισαγωγής'!$C$2,E7943)),MAX($D$1:D7942)+1,0)</f>
        <v>0</v>
      </c>
      <c r="H7943" s="6">
        <f t="shared" si="383"/>
        <v>0</v>
      </c>
      <c r="I7943" s="6">
        <f t="shared" si="384"/>
        <v>0</v>
      </c>
      <c r="J7943" s="6">
        <f t="shared" si="385"/>
        <v>0</v>
      </c>
      <c r="L7943" s="4" t="str">
        <f>IFERROR(VLOOKUP(ROWS($L$2:L7943),$B$2:$C$1996,2,0),"")</f>
        <v/>
      </c>
      <c r="N7943" s="2" t="str">
        <f>IFERROR(VLOOKUP(ROWS($N$2:N7943),$D$2:$E$1996,2,0),"")</f>
        <v/>
      </c>
    </row>
    <row r="7944" spans="2:14">
      <c r="B7944" s="32">
        <f>IF(ISNUMBER(SEARCH('Φόρμα Εισαγωγής'!$B$2,C7944)),MAX($B$1:B7943)+1,0)</f>
        <v>0</v>
      </c>
      <c r="D7944" s="33">
        <f>IF(ISNUMBER(SEARCH('Φόρμα Εισαγωγής'!$C$2,E7944)),MAX($D$1:D7943)+1,0)</f>
        <v>0</v>
      </c>
      <c r="H7944" s="6">
        <f t="shared" si="383"/>
        <v>0</v>
      </c>
      <c r="I7944" s="6">
        <f t="shared" si="384"/>
        <v>0</v>
      </c>
      <c r="J7944" s="6">
        <f t="shared" si="385"/>
        <v>0</v>
      </c>
      <c r="L7944" s="4" t="str">
        <f>IFERROR(VLOOKUP(ROWS($L$2:L7944),$B$2:$C$1996,2,0),"")</f>
        <v/>
      </c>
      <c r="N7944" s="2" t="str">
        <f>IFERROR(VLOOKUP(ROWS($N$2:N7944),$D$2:$E$1996,2,0),"")</f>
        <v/>
      </c>
    </row>
    <row r="7945" spans="2:14">
      <c r="B7945" s="32">
        <f>IF(ISNUMBER(SEARCH('Φόρμα Εισαγωγής'!$B$2,C7945)),MAX($B$1:B7944)+1,0)</f>
        <v>0</v>
      </c>
      <c r="D7945" s="33">
        <f>IF(ISNUMBER(SEARCH('Φόρμα Εισαγωγής'!$C$2,E7945)),MAX($D$1:D7944)+1,0)</f>
        <v>0</v>
      </c>
      <c r="H7945" s="6">
        <f t="shared" si="383"/>
        <v>0</v>
      </c>
      <c r="I7945" s="6">
        <f t="shared" si="384"/>
        <v>0</v>
      </c>
      <c r="J7945" s="6">
        <f t="shared" si="385"/>
        <v>0</v>
      </c>
      <c r="L7945" s="4" t="str">
        <f>IFERROR(VLOOKUP(ROWS($L$2:L7945),$B$2:$C$1996,2,0),"")</f>
        <v/>
      </c>
      <c r="N7945" s="2" t="str">
        <f>IFERROR(VLOOKUP(ROWS($N$2:N7945),$D$2:$E$1996,2,0),"")</f>
        <v/>
      </c>
    </row>
    <row r="7946" spans="2:14">
      <c r="B7946" s="32">
        <f>IF(ISNUMBER(SEARCH('Φόρμα Εισαγωγής'!$B$2,C7946)),MAX($B$1:B7945)+1,0)</f>
        <v>0</v>
      </c>
      <c r="D7946" s="33">
        <f>IF(ISNUMBER(SEARCH('Φόρμα Εισαγωγής'!$C$2,E7946)),MAX($D$1:D7945)+1,0)</f>
        <v>0</v>
      </c>
      <c r="H7946" s="6">
        <f t="shared" si="383"/>
        <v>0</v>
      </c>
      <c r="I7946" s="6">
        <f t="shared" si="384"/>
        <v>0</v>
      </c>
      <c r="J7946" s="6">
        <f t="shared" si="385"/>
        <v>0</v>
      </c>
      <c r="L7946" s="4" t="str">
        <f>IFERROR(VLOOKUP(ROWS($L$2:L7946),$B$2:$C$1996,2,0),"")</f>
        <v/>
      </c>
      <c r="N7946" s="2" t="str">
        <f>IFERROR(VLOOKUP(ROWS($N$2:N7946),$D$2:$E$1996,2,0),"")</f>
        <v/>
      </c>
    </row>
    <row r="7947" spans="2:14">
      <c r="B7947" s="32">
        <f>IF(ISNUMBER(SEARCH('Φόρμα Εισαγωγής'!$B$2,C7947)),MAX($B$1:B7946)+1,0)</f>
        <v>0</v>
      </c>
      <c r="D7947" s="33">
        <f>IF(ISNUMBER(SEARCH('Φόρμα Εισαγωγής'!$C$2,E7947)),MAX($D$1:D7946)+1,0)</f>
        <v>0</v>
      </c>
      <c r="H7947" s="6">
        <f t="shared" si="383"/>
        <v>0</v>
      </c>
      <c r="I7947" s="6">
        <f t="shared" si="384"/>
        <v>0</v>
      </c>
      <c r="J7947" s="6">
        <f t="shared" si="385"/>
        <v>0</v>
      </c>
      <c r="L7947" s="4" t="str">
        <f>IFERROR(VLOOKUP(ROWS($L$2:L7947),$B$2:$C$1996,2,0),"")</f>
        <v/>
      </c>
      <c r="N7947" s="2" t="str">
        <f>IFERROR(VLOOKUP(ROWS($N$2:N7947),$D$2:$E$1996,2,0),"")</f>
        <v/>
      </c>
    </row>
    <row r="7948" spans="2:14">
      <c r="B7948" s="32">
        <f>IF(ISNUMBER(SEARCH('Φόρμα Εισαγωγής'!$B$2,C7948)),MAX($B$1:B7947)+1,0)</f>
        <v>0</v>
      </c>
      <c r="D7948" s="33">
        <f>IF(ISNUMBER(SEARCH('Φόρμα Εισαγωγής'!$C$2,E7948)),MAX($D$1:D7947)+1,0)</f>
        <v>0</v>
      </c>
      <c r="H7948" s="6">
        <f t="shared" si="383"/>
        <v>0</v>
      </c>
      <c r="I7948" s="6">
        <f t="shared" si="384"/>
        <v>0</v>
      </c>
      <c r="J7948" s="6">
        <f t="shared" si="385"/>
        <v>0</v>
      </c>
      <c r="L7948" s="4" t="str">
        <f>IFERROR(VLOOKUP(ROWS($L$2:L7948),$B$2:$C$1996,2,0),"")</f>
        <v/>
      </c>
      <c r="N7948" s="2" t="str">
        <f>IFERROR(VLOOKUP(ROWS($N$2:N7948),$D$2:$E$1996,2,0),"")</f>
        <v/>
      </c>
    </row>
    <row r="7949" spans="2:14">
      <c r="B7949" s="32">
        <f>IF(ISNUMBER(SEARCH('Φόρμα Εισαγωγής'!$B$2,C7949)),MAX($B$1:B7948)+1,0)</f>
        <v>0</v>
      </c>
      <c r="D7949" s="33">
        <f>IF(ISNUMBER(SEARCH('Φόρμα Εισαγωγής'!$C$2,E7949)),MAX($D$1:D7948)+1,0)</f>
        <v>0</v>
      </c>
      <c r="H7949" s="6">
        <f t="shared" si="383"/>
        <v>0</v>
      </c>
      <c r="I7949" s="6">
        <f t="shared" si="384"/>
        <v>0</v>
      </c>
      <c r="J7949" s="6">
        <f t="shared" si="385"/>
        <v>0</v>
      </c>
      <c r="L7949" s="4" t="str">
        <f>IFERROR(VLOOKUP(ROWS($L$2:L7949),$B$2:$C$1996,2,0),"")</f>
        <v/>
      </c>
      <c r="N7949" s="2" t="str">
        <f>IFERROR(VLOOKUP(ROWS($N$2:N7949),$D$2:$E$1996,2,0),"")</f>
        <v/>
      </c>
    </row>
    <row r="7950" spans="2:14">
      <c r="B7950" s="32">
        <f>IF(ISNUMBER(SEARCH('Φόρμα Εισαγωγής'!$B$2,C7950)),MAX($B$1:B7949)+1,0)</f>
        <v>0</v>
      </c>
      <c r="D7950" s="33">
        <f>IF(ISNUMBER(SEARCH('Φόρμα Εισαγωγής'!$C$2,E7950)),MAX($D$1:D7949)+1,0)</f>
        <v>0</v>
      </c>
      <c r="H7950" s="6">
        <f t="shared" si="383"/>
        <v>0</v>
      </c>
      <c r="I7950" s="6">
        <f t="shared" si="384"/>
        <v>0</v>
      </c>
      <c r="J7950" s="6">
        <f t="shared" si="385"/>
        <v>0</v>
      </c>
      <c r="L7950" s="4" t="str">
        <f>IFERROR(VLOOKUP(ROWS($L$2:L7950),$B$2:$C$1996,2,0),"")</f>
        <v/>
      </c>
      <c r="N7950" s="2" t="str">
        <f>IFERROR(VLOOKUP(ROWS($N$2:N7950),$D$2:$E$1996,2,0),"")</f>
        <v/>
      </c>
    </row>
    <row r="7951" spans="2:14">
      <c r="B7951" s="32">
        <f>IF(ISNUMBER(SEARCH('Φόρμα Εισαγωγής'!$B$2,C7951)),MAX($B$1:B7950)+1,0)</f>
        <v>0</v>
      </c>
      <c r="D7951" s="33">
        <f>IF(ISNUMBER(SEARCH('Φόρμα Εισαγωγής'!$C$2,E7951)),MAX($D$1:D7950)+1,0)</f>
        <v>0</v>
      </c>
      <c r="H7951" s="6">
        <f t="shared" si="383"/>
        <v>0</v>
      </c>
      <c r="I7951" s="6">
        <f t="shared" si="384"/>
        <v>0</v>
      </c>
      <c r="J7951" s="6">
        <f t="shared" si="385"/>
        <v>0</v>
      </c>
      <c r="L7951" s="4" t="str">
        <f>IFERROR(VLOOKUP(ROWS($L$2:L7951),$B$2:$C$1996,2,0),"")</f>
        <v/>
      </c>
      <c r="N7951" s="2" t="str">
        <f>IFERROR(VLOOKUP(ROWS($N$2:N7951),$D$2:$E$1996,2,0),"")</f>
        <v/>
      </c>
    </row>
    <row r="7952" spans="2:14">
      <c r="B7952" s="32">
        <f>IF(ISNUMBER(SEARCH('Φόρμα Εισαγωγής'!$B$2,C7952)),MAX($B$1:B7951)+1,0)</f>
        <v>0</v>
      </c>
      <c r="D7952" s="33">
        <f>IF(ISNUMBER(SEARCH('Φόρμα Εισαγωγής'!$C$2,E7952)),MAX($D$1:D7951)+1,0)</f>
        <v>0</v>
      </c>
      <c r="H7952" s="6">
        <f t="shared" si="383"/>
        <v>0</v>
      </c>
      <c r="I7952" s="6">
        <f t="shared" si="384"/>
        <v>0</v>
      </c>
      <c r="J7952" s="6">
        <f t="shared" si="385"/>
        <v>0</v>
      </c>
      <c r="L7952" s="4" t="str">
        <f>IFERROR(VLOOKUP(ROWS($L$2:L7952),$B$2:$C$1996,2,0),"")</f>
        <v/>
      </c>
      <c r="N7952" s="2" t="str">
        <f>IFERROR(VLOOKUP(ROWS($N$2:N7952),$D$2:$E$1996,2,0),"")</f>
        <v/>
      </c>
    </row>
    <row r="7953" spans="2:14">
      <c r="B7953" s="32">
        <f>IF(ISNUMBER(SEARCH('Φόρμα Εισαγωγής'!$B$2,C7953)),MAX($B$1:B7952)+1,0)</f>
        <v>0</v>
      </c>
      <c r="D7953" s="33">
        <f>IF(ISNUMBER(SEARCH('Φόρμα Εισαγωγής'!$C$2,E7953)),MAX($D$1:D7952)+1,0)</f>
        <v>0</v>
      </c>
      <c r="H7953" s="6">
        <f t="shared" si="383"/>
        <v>0</v>
      </c>
      <c r="I7953" s="6">
        <f t="shared" si="384"/>
        <v>0</v>
      </c>
      <c r="J7953" s="6">
        <f t="shared" si="385"/>
        <v>0</v>
      </c>
      <c r="L7953" s="4" t="str">
        <f>IFERROR(VLOOKUP(ROWS($L$2:L7953),$B$2:$C$1996,2,0),"")</f>
        <v/>
      </c>
      <c r="N7953" s="2" t="str">
        <f>IFERROR(VLOOKUP(ROWS($N$2:N7953),$D$2:$E$1996,2,0),"")</f>
        <v/>
      </c>
    </row>
    <row r="7954" spans="2:14">
      <c r="B7954" s="32">
        <f>IF(ISNUMBER(SEARCH('Φόρμα Εισαγωγής'!$B$2,C7954)),MAX($B$1:B7953)+1,0)</f>
        <v>0</v>
      </c>
      <c r="D7954" s="33">
        <f>IF(ISNUMBER(SEARCH('Φόρμα Εισαγωγής'!$C$2,E7954)),MAX($D$1:D7953)+1,0)</f>
        <v>0</v>
      </c>
      <c r="H7954" s="6">
        <f t="shared" si="383"/>
        <v>0</v>
      </c>
      <c r="I7954" s="6">
        <f t="shared" si="384"/>
        <v>0</v>
      </c>
      <c r="J7954" s="6">
        <f t="shared" si="385"/>
        <v>0</v>
      </c>
      <c r="L7954" s="4" t="str">
        <f>IFERROR(VLOOKUP(ROWS($L$2:L7954),$B$2:$C$1996,2,0),"")</f>
        <v/>
      </c>
      <c r="N7954" s="2" t="str">
        <f>IFERROR(VLOOKUP(ROWS($N$2:N7954),$D$2:$E$1996,2,0),"")</f>
        <v/>
      </c>
    </row>
    <row r="7955" spans="2:14">
      <c r="B7955" s="32">
        <f>IF(ISNUMBER(SEARCH('Φόρμα Εισαγωγής'!$B$2,C7955)),MAX($B$1:B7954)+1,0)</f>
        <v>0</v>
      </c>
      <c r="D7955" s="33">
        <f>IF(ISNUMBER(SEARCH('Φόρμα Εισαγωγής'!$C$2,E7955)),MAX($D$1:D7954)+1,0)</f>
        <v>0</v>
      </c>
      <c r="H7955" s="6">
        <f t="shared" si="383"/>
        <v>0</v>
      </c>
      <c r="I7955" s="6">
        <f t="shared" si="384"/>
        <v>0</v>
      </c>
      <c r="J7955" s="6">
        <f t="shared" si="385"/>
        <v>0</v>
      </c>
      <c r="L7955" s="4" t="str">
        <f>IFERROR(VLOOKUP(ROWS($L$2:L7955),$B$2:$C$1996,2,0),"")</f>
        <v/>
      </c>
      <c r="N7955" s="2" t="str">
        <f>IFERROR(VLOOKUP(ROWS($N$2:N7955),$D$2:$E$1996,2,0),"")</f>
        <v/>
      </c>
    </row>
    <row r="7956" spans="2:14">
      <c r="B7956" s="32">
        <f>IF(ISNUMBER(SEARCH('Φόρμα Εισαγωγής'!$B$2,C7956)),MAX($B$1:B7955)+1,0)</f>
        <v>0</v>
      </c>
      <c r="D7956" s="33">
        <f>IF(ISNUMBER(SEARCH('Φόρμα Εισαγωγής'!$C$2,E7956)),MAX($D$1:D7955)+1,0)</f>
        <v>0</v>
      </c>
      <c r="H7956" s="6">
        <f t="shared" si="383"/>
        <v>0</v>
      </c>
      <c r="I7956" s="6">
        <f t="shared" si="384"/>
        <v>0</v>
      </c>
      <c r="J7956" s="6">
        <f t="shared" si="385"/>
        <v>0</v>
      </c>
      <c r="L7956" s="4" t="str">
        <f>IFERROR(VLOOKUP(ROWS($L$2:L7956),$B$2:$C$1996,2,0),"")</f>
        <v/>
      </c>
      <c r="N7956" s="2" t="str">
        <f>IFERROR(VLOOKUP(ROWS($N$2:N7956),$D$2:$E$1996,2,0),"")</f>
        <v/>
      </c>
    </row>
    <row r="7957" spans="2:14">
      <c r="B7957" s="32">
        <f>IF(ISNUMBER(SEARCH('Φόρμα Εισαγωγής'!$B$2,C7957)),MAX($B$1:B7956)+1,0)</f>
        <v>0</v>
      </c>
      <c r="D7957" s="33">
        <f>IF(ISNUMBER(SEARCH('Φόρμα Εισαγωγής'!$C$2,E7957)),MAX($D$1:D7956)+1,0)</f>
        <v>0</v>
      </c>
      <c r="H7957" s="6">
        <f t="shared" si="383"/>
        <v>0</v>
      </c>
      <c r="I7957" s="6">
        <f t="shared" si="384"/>
        <v>0</v>
      </c>
      <c r="J7957" s="6">
        <f t="shared" si="385"/>
        <v>0</v>
      </c>
      <c r="L7957" s="4" t="str">
        <f>IFERROR(VLOOKUP(ROWS($L$2:L7957),$B$2:$C$1996,2,0),"")</f>
        <v/>
      </c>
      <c r="N7957" s="2" t="str">
        <f>IFERROR(VLOOKUP(ROWS($N$2:N7957),$D$2:$E$1996,2,0),"")</f>
        <v/>
      </c>
    </row>
    <row r="7958" spans="2:14">
      <c r="B7958" s="32">
        <f>IF(ISNUMBER(SEARCH('Φόρμα Εισαγωγής'!$B$2,C7958)),MAX($B$1:B7957)+1,0)</f>
        <v>0</v>
      </c>
      <c r="D7958" s="33">
        <f>IF(ISNUMBER(SEARCH('Φόρμα Εισαγωγής'!$C$2,E7958)),MAX($D$1:D7957)+1,0)</f>
        <v>0</v>
      </c>
      <c r="H7958" s="6">
        <f t="shared" si="383"/>
        <v>0</v>
      </c>
      <c r="I7958" s="6">
        <f t="shared" si="384"/>
        <v>0</v>
      </c>
      <c r="J7958" s="6">
        <f t="shared" si="385"/>
        <v>0</v>
      </c>
      <c r="L7958" s="4" t="str">
        <f>IFERROR(VLOOKUP(ROWS($L$2:L7958),$B$2:$C$1996,2,0),"")</f>
        <v/>
      </c>
      <c r="N7958" s="2" t="str">
        <f>IFERROR(VLOOKUP(ROWS($N$2:N7958),$D$2:$E$1996,2,0),"")</f>
        <v/>
      </c>
    </row>
    <row r="7959" spans="2:14">
      <c r="B7959" s="32">
        <f>IF(ISNUMBER(SEARCH('Φόρμα Εισαγωγής'!$B$2,C7959)),MAX($B$1:B7958)+1,0)</f>
        <v>0</v>
      </c>
      <c r="D7959" s="33">
        <f>IF(ISNUMBER(SEARCH('Φόρμα Εισαγωγής'!$C$2,E7959)),MAX($D$1:D7958)+1,0)</f>
        <v>0</v>
      </c>
      <c r="H7959" s="6">
        <f t="shared" si="383"/>
        <v>0</v>
      </c>
      <c r="I7959" s="6">
        <f t="shared" si="384"/>
        <v>0</v>
      </c>
      <c r="J7959" s="6">
        <f t="shared" si="385"/>
        <v>0</v>
      </c>
      <c r="L7959" s="4" t="str">
        <f>IFERROR(VLOOKUP(ROWS($L$2:L7959),$B$2:$C$1996,2,0),"")</f>
        <v/>
      </c>
      <c r="N7959" s="2" t="str">
        <f>IFERROR(VLOOKUP(ROWS($N$2:N7959),$D$2:$E$1996,2,0),"")</f>
        <v/>
      </c>
    </row>
    <row r="7960" spans="2:14">
      <c r="B7960" s="32">
        <f>IF(ISNUMBER(SEARCH('Φόρμα Εισαγωγής'!$B$2,C7960)),MAX($B$1:B7959)+1,0)</f>
        <v>0</v>
      </c>
      <c r="D7960" s="33">
        <f>IF(ISNUMBER(SEARCH('Φόρμα Εισαγωγής'!$C$2,E7960)),MAX($D$1:D7959)+1,0)</f>
        <v>0</v>
      </c>
      <c r="H7960" s="6">
        <f t="shared" si="383"/>
        <v>0</v>
      </c>
      <c r="I7960" s="6">
        <f t="shared" si="384"/>
        <v>0</v>
      </c>
      <c r="J7960" s="6">
        <f t="shared" si="385"/>
        <v>0</v>
      </c>
      <c r="L7960" s="4" t="str">
        <f>IFERROR(VLOOKUP(ROWS($L$2:L7960),$B$2:$C$1996,2,0),"")</f>
        <v/>
      </c>
      <c r="N7960" s="2" t="str">
        <f>IFERROR(VLOOKUP(ROWS($N$2:N7960),$D$2:$E$1996,2,0),"")</f>
        <v/>
      </c>
    </row>
    <row r="7961" spans="2:14">
      <c r="B7961" s="32">
        <f>IF(ISNUMBER(SEARCH('Φόρμα Εισαγωγής'!$B$2,C7961)),MAX($B$1:B7960)+1,0)</f>
        <v>0</v>
      </c>
      <c r="D7961" s="33">
        <f>IF(ISNUMBER(SEARCH('Φόρμα Εισαγωγής'!$C$2,E7961)),MAX($D$1:D7960)+1,0)</f>
        <v>0</v>
      </c>
      <c r="H7961" s="6">
        <f t="shared" si="383"/>
        <v>0</v>
      </c>
      <c r="I7961" s="6">
        <f t="shared" si="384"/>
        <v>0</v>
      </c>
      <c r="J7961" s="6">
        <f t="shared" si="385"/>
        <v>0</v>
      </c>
      <c r="L7961" s="4" t="str">
        <f>IFERROR(VLOOKUP(ROWS($L$2:L7961),$B$2:$C$1996,2,0),"")</f>
        <v/>
      </c>
      <c r="N7961" s="2" t="str">
        <f>IFERROR(VLOOKUP(ROWS($N$2:N7961),$D$2:$E$1996,2,0),"")</f>
        <v/>
      </c>
    </row>
    <row r="7962" spans="2:14">
      <c r="B7962" s="32">
        <f>IF(ISNUMBER(SEARCH('Φόρμα Εισαγωγής'!$B$2,C7962)),MAX($B$1:B7961)+1,0)</f>
        <v>0</v>
      </c>
      <c r="D7962" s="33">
        <f>IF(ISNUMBER(SEARCH('Φόρμα Εισαγωγής'!$C$2,E7962)),MAX($D$1:D7961)+1,0)</f>
        <v>0</v>
      </c>
      <c r="H7962" s="6">
        <f t="shared" si="383"/>
        <v>0</v>
      </c>
      <c r="I7962" s="6">
        <f t="shared" si="384"/>
        <v>0</v>
      </c>
      <c r="J7962" s="6">
        <f t="shared" si="385"/>
        <v>0</v>
      </c>
      <c r="L7962" s="4" t="str">
        <f>IFERROR(VLOOKUP(ROWS($L$2:L7962),$B$2:$C$1996,2,0),"")</f>
        <v/>
      </c>
      <c r="N7962" s="2" t="str">
        <f>IFERROR(VLOOKUP(ROWS($N$2:N7962),$D$2:$E$1996,2,0),"")</f>
        <v/>
      </c>
    </row>
    <row r="7963" spans="2:14">
      <c r="B7963" s="32">
        <f>IF(ISNUMBER(SEARCH('Φόρμα Εισαγωγής'!$B$2,C7963)),MAX($B$1:B7962)+1,0)</f>
        <v>0</v>
      </c>
      <c r="D7963" s="33">
        <f>IF(ISNUMBER(SEARCH('Φόρμα Εισαγωγής'!$C$2,E7963)),MAX($D$1:D7962)+1,0)</f>
        <v>0</v>
      </c>
      <c r="H7963" s="6">
        <f t="shared" si="383"/>
        <v>0</v>
      </c>
      <c r="I7963" s="6">
        <f t="shared" si="384"/>
        <v>0</v>
      </c>
      <c r="J7963" s="6">
        <f t="shared" si="385"/>
        <v>0</v>
      </c>
      <c r="L7963" s="4" t="str">
        <f>IFERROR(VLOOKUP(ROWS($L$2:L7963),$B$2:$C$1996,2,0),"")</f>
        <v/>
      </c>
      <c r="N7963" s="2" t="str">
        <f>IFERROR(VLOOKUP(ROWS($N$2:N7963),$D$2:$E$1996,2,0),"")</f>
        <v/>
      </c>
    </row>
    <row r="7964" spans="2:14">
      <c r="B7964" s="32">
        <f>IF(ISNUMBER(SEARCH('Φόρμα Εισαγωγής'!$B$2,C7964)),MAX($B$1:B7963)+1,0)</f>
        <v>0</v>
      </c>
      <c r="D7964" s="33">
        <f>IF(ISNUMBER(SEARCH('Φόρμα Εισαγωγής'!$C$2,E7964)),MAX($D$1:D7963)+1,0)</f>
        <v>0</v>
      </c>
      <c r="H7964" s="6">
        <f t="shared" si="383"/>
        <v>0</v>
      </c>
      <c r="I7964" s="6">
        <f t="shared" si="384"/>
        <v>0</v>
      </c>
      <c r="J7964" s="6">
        <f t="shared" si="385"/>
        <v>0</v>
      </c>
      <c r="L7964" s="4" t="str">
        <f>IFERROR(VLOOKUP(ROWS($L$2:L7964),$B$2:$C$1996,2,0),"")</f>
        <v/>
      </c>
      <c r="N7964" s="2" t="str">
        <f>IFERROR(VLOOKUP(ROWS($N$2:N7964),$D$2:$E$1996,2,0),"")</f>
        <v/>
      </c>
    </row>
    <row r="7965" spans="2:14">
      <c r="B7965" s="32">
        <f>IF(ISNUMBER(SEARCH('Φόρμα Εισαγωγής'!$B$2,C7965)),MAX($B$1:B7964)+1,0)</f>
        <v>0</v>
      </c>
      <c r="D7965" s="33">
        <f>IF(ISNUMBER(SEARCH('Φόρμα Εισαγωγής'!$C$2,E7965)),MAX($D$1:D7964)+1,0)</f>
        <v>0</v>
      </c>
      <c r="H7965" s="6">
        <f t="shared" si="383"/>
        <v>0</v>
      </c>
      <c r="I7965" s="6">
        <f t="shared" si="384"/>
        <v>0</v>
      </c>
      <c r="J7965" s="6">
        <f t="shared" si="385"/>
        <v>0</v>
      </c>
      <c r="L7965" s="4" t="str">
        <f>IFERROR(VLOOKUP(ROWS($L$2:L7965),$B$2:$C$1996,2,0),"")</f>
        <v/>
      </c>
      <c r="N7965" s="2" t="str">
        <f>IFERROR(VLOOKUP(ROWS($N$2:N7965),$D$2:$E$1996,2,0),"")</f>
        <v/>
      </c>
    </row>
    <row r="7966" spans="2:14">
      <c r="B7966" s="32">
        <f>IF(ISNUMBER(SEARCH('Φόρμα Εισαγωγής'!$B$2,C7966)),MAX($B$1:B7965)+1,0)</f>
        <v>0</v>
      </c>
      <c r="D7966" s="33">
        <f>IF(ISNUMBER(SEARCH('Φόρμα Εισαγωγής'!$C$2,E7966)),MAX($D$1:D7965)+1,0)</f>
        <v>0</v>
      </c>
      <c r="H7966" s="6">
        <f t="shared" si="383"/>
        <v>0</v>
      </c>
      <c r="I7966" s="6">
        <f t="shared" si="384"/>
        <v>0</v>
      </c>
      <c r="J7966" s="6">
        <f t="shared" si="385"/>
        <v>0</v>
      </c>
      <c r="L7966" s="4" t="str">
        <f>IFERROR(VLOOKUP(ROWS($L$2:L7966),$B$2:$C$1996,2,0),"")</f>
        <v/>
      </c>
      <c r="N7966" s="2" t="str">
        <f>IFERROR(VLOOKUP(ROWS($N$2:N7966),$D$2:$E$1996,2,0),"")</f>
        <v/>
      </c>
    </row>
    <row r="7967" spans="2:14">
      <c r="B7967" s="32">
        <f>IF(ISNUMBER(SEARCH('Φόρμα Εισαγωγής'!$B$2,C7967)),MAX($B$1:B7966)+1,0)</f>
        <v>0</v>
      </c>
      <c r="D7967" s="33">
        <f>IF(ISNUMBER(SEARCH('Φόρμα Εισαγωγής'!$C$2,E7967)),MAX($D$1:D7966)+1,0)</f>
        <v>0</v>
      </c>
      <c r="H7967" s="6">
        <f t="shared" si="383"/>
        <v>0</v>
      </c>
      <c r="I7967" s="6">
        <f t="shared" si="384"/>
        <v>0</v>
      </c>
      <c r="J7967" s="6">
        <f t="shared" si="385"/>
        <v>0</v>
      </c>
      <c r="L7967" s="4" t="str">
        <f>IFERROR(VLOOKUP(ROWS($L$2:L7967),$B$2:$C$1996,2,0),"")</f>
        <v/>
      </c>
      <c r="N7967" s="2" t="str">
        <f>IFERROR(VLOOKUP(ROWS($N$2:N7967),$D$2:$E$1996,2,0),"")</f>
        <v/>
      </c>
    </row>
    <row r="7968" spans="2:14">
      <c r="B7968" s="32">
        <f>IF(ISNUMBER(SEARCH('Φόρμα Εισαγωγής'!$B$2,C7968)),MAX($B$1:B7967)+1,0)</f>
        <v>0</v>
      </c>
      <c r="D7968" s="33">
        <f>IF(ISNUMBER(SEARCH('Φόρμα Εισαγωγής'!$C$2,E7968)),MAX($D$1:D7967)+1,0)</f>
        <v>0</v>
      </c>
      <c r="H7968" s="6">
        <f t="shared" si="383"/>
        <v>0</v>
      </c>
      <c r="I7968" s="6">
        <f t="shared" si="384"/>
        <v>0</v>
      </c>
      <c r="J7968" s="6">
        <f t="shared" si="385"/>
        <v>0</v>
      </c>
      <c r="L7968" s="4" t="str">
        <f>IFERROR(VLOOKUP(ROWS($L$2:L7968),$B$2:$C$1996,2,0),"")</f>
        <v/>
      </c>
      <c r="N7968" s="2" t="str">
        <f>IFERROR(VLOOKUP(ROWS($N$2:N7968),$D$2:$E$1996,2,0),"")</f>
        <v/>
      </c>
    </row>
    <row r="7969" spans="2:14">
      <c r="B7969" s="32">
        <f>IF(ISNUMBER(SEARCH('Φόρμα Εισαγωγής'!$B$2,C7969)),MAX($B$1:B7968)+1,0)</f>
        <v>0</v>
      </c>
      <c r="D7969" s="33">
        <f>IF(ISNUMBER(SEARCH('Φόρμα Εισαγωγής'!$C$2,E7969)),MAX($D$1:D7968)+1,0)</f>
        <v>0</v>
      </c>
      <c r="H7969" s="6">
        <f t="shared" si="383"/>
        <v>0</v>
      </c>
      <c r="I7969" s="6">
        <f t="shared" si="384"/>
        <v>0</v>
      </c>
      <c r="J7969" s="6">
        <f t="shared" si="385"/>
        <v>0</v>
      </c>
      <c r="L7969" s="4" t="str">
        <f>IFERROR(VLOOKUP(ROWS($L$2:L7969),$B$2:$C$1996,2,0),"")</f>
        <v/>
      </c>
      <c r="N7969" s="2" t="str">
        <f>IFERROR(VLOOKUP(ROWS($N$2:N7969),$D$2:$E$1996,2,0),"")</f>
        <v/>
      </c>
    </row>
    <row r="7970" spans="2:14">
      <c r="B7970" s="32">
        <f>IF(ISNUMBER(SEARCH('Φόρμα Εισαγωγής'!$B$2,C7970)),MAX($B$1:B7969)+1,0)</f>
        <v>0</v>
      </c>
      <c r="D7970" s="33">
        <f>IF(ISNUMBER(SEARCH('Φόρμα Εισαγωγής'!$C$2,E7970)),MAX($D$1:D7969)+1,0)</f>
        <v>0</v>
      </c>
      <c r="H7970" s="6">
        <f t="shared" si="383"/>
        <v>0</v>
      </c>
      <c r="I7970" s="6">
        <f t="shared" si="384"/>
        <v>0</v>
      </c>
      <c r="J7970" s="6">
        <f t="shared" si="385"/>
        <v>0</v>
      </c>
      <c r="L7970" s="4" t="str">
        <f>IFERROR(VLOOKUP(ROWS($L$2:L7970),$B$2:$C$1996,2,0),"")</f>
        <v/>
      </c>
      <c r="N7970" s="2" t="str">
        <f>IFERROR(VLOOKUP(ROWS($N$2:N7970),$D$2:$E$1996,2,0),"")</f>
        <v/>
      </c>
    </row>
    <row r="7971" spans="2:14">
      <c r="B7971" s="32">
        <f>IF(ISNUMBER(SEARCH('Φόρμα Εισαγωγής'!$B$2,C7971)),MAX($B$1:B7970)+1,0)</f>
        <v>0</v>
      </c>
      <c r="D7971" s="33">
        <f>IF(ISNUMBER(SEARCH('Φόρμα Εισαγωγής'!$C$2,E7971)),MAX($D$1:D7970)+1,0)</f>
        <v>0</v>
      </c>
      <c r="H7971" s="6">
        <f t="shared" si="383"/>
        <v>0</v>
      </c>
      <c r="I7971" s="6">
        <f t="shared" si="384"/>
        <v>0</v>
      </c>
      <c r="J7971" s="6">
        <f t="shared" si="385"/>
        <v>0</v>
      </c>
      <c r="L7971" s="4" t="str">
        <f>IFERROR(VLOOKUP(ROWS($L$2:L7971),$B$2:$C$1996,2,0),"")</f>
        <v/>
      </c>
      <c r="N7971" s="2" t="str">
        <f>IFERROR(VLOOKUP(ROWS($N$2:N7971),$D$2:$E$1996,2,0),"")</f>
        <v/>
      </c>
    </row>
    <row r="7972" spans="2:14">
      <c r="B7972" s="32">
        <f>IF(ISNUMBER(SEARCH('Φόρμα Εισαγωγής'!$B$2,C7972)),MAX($B$1:B7971)+1,0)</f>
        <v>0</v>
      </c>
      <c r="D7972" s="33">
        <f>IF(ISNUMBER(SEARCH('Φόρμα Εισαγωγής'!$C$2,E7972)),MAX($D$1:D7971)+1,0)</f>
        <v>0</v>
      </c>
      <c r="H7972" s="6">
        <f t="shared" si="383"/>
        <v>0</v>
      </c>
      <c r="I7972" s="6">
        <f t="shared" si="384"/>
        <v>0</v>
      </c>
      <c r="J7972" s="6">
        <f t="shared" si="385"/>
        <v>0</v>
      </c>
      <c r="L7972" s="4" t="str">
        <f>IFERROR(VLOOKUP(ROWS($L$2:L7972),$B$2:$C$1996,2,0),"")</f>
        <v/>
      </c>
      <c r="N7972" s="2" t="str">
        <f>IFERROR(VLOOKUP(ROWS($N$2:N7972),$D$2:$E$1996,2,0),"")</f>
        <v/>
      </c>
    </row>
    <row r="7973" spans="2:14">
      <c r="B7973" s="32">
        <f>IF(ISNUMBER(SEARCH('Φόρμα Εισαγωγής'!$B$2,C7973)),MAX($B$1:B7972)+1,0)</f>
        <v>0</v>
      </c>
      <c r="D7973" s="33">
        <f>IF(ISNUMBER(SEARCH('Φόρμα Εισαγωγής'!$C$2,E7973)),MAX($D$1:D7972)+1,0)</f>
        <v>0</v>
      </c>
      <c r="H7973" s="6">
        <f t="shared" si="383"/>
        <v>0</v>
      </c>
      <c r="I7973" s="6">
        <f t="shared" si="384"/>
        <v>0</v>
      </c>
      <c r="J7973" s="6">
        <f t="shared" si="385"/>
        <v>0</v>
      </c>
      <c r="L7973" s="4" t="str">
        <f>IFERROR(VLOOKUP(ROWS($L$2:L7973),$B$2:$C$1996,2,0),"")</f>
        <v/>
      </c>
      <c r="N7973" s="2" t="str">
        <f>IFERROR(VLOOKUP(ROWS($N$2:N7973),$D$2:$E$1996,2,0),"")</f>
        <v/>
      </c>
    </row>
    <row r="7974" spans="2:14">
      <c r="B7974" s="32">
        <f>IF(ISNUMBER(SEARCH('Φόρμα Εισαγωγής'!$B$2,C7974)),MAX($B$1:B7973)+1,0)</f>
        <v>0</v>
      </c>
      <c r="D7974" s="33">
        <f>IF(ISNUMBER(SEARCH('Φόρμα Εισαγωγής'!$C$2,E7974)),MAX($D$1:D7973)+1,0)</f>
        <v>0</v>
      </c>
      <c r="H7974" s="6">
        <f t="shared" si="383"/>
        <v>0</v>
      </c>
      <c r="I7974" s="6">
        <f t="shared" si="384"/>
        <v>0</v>
      </c>
      <c r="J7974" s="6">
        <f t="shared" si="385"/>
        <v>0</v>
      </c>
      <c r="L7974" s="4" t="str">
        <f>IFERROR(VLOOKUP(ROWS($L$2:L7974),$B$2:$C$1996,2,0),"")</f>
        <v/>
      </c>
      <c r="N7974" s="2" t="str">
        <f>IFERROR(VLOOKUP(ROWS($N$2:N7974),$D$2:$E$1996,2,0),"")</f>
        <v/>
      </c>
    </row>
    <row r="7975" spans="2:14">
      <c r="B7975" s="32">
        <f>IF(ISNUMBER(SEARCH('Φόρμα Εισαγωγής'!$B$2,C7975)),MAX($B$1:B7974)+1,0)</f>
        <v>0</v>
      </c>
      <c r="D7975" s="33">
        <f>IF(ISNUMBER(SEARCH('Φόρμα Εισαγωγής'!$C$2,E7975)),MAX($D$1:D7974)+1,0)</f>
        <v>0</v>
      </c>
      <c r="H7975" s="6">
        <f t="shared" si="383"/>
        <v>0</v>
      </c>
      <c r="I7975" s="6">
        <f t="shared" si="384"/>
        <v>0</v>
      </c>
      <c r="J7975" s="6">
        <f t="shared" si="385"/>
        <v>0</v>
      </c>
      <c r="L7975" s="4" t="str">
        <f>IFERROR(VLOOKUP(ROWS($L$2:L7975),$B$2:$C$1996,2,0),"")</f>
        <v/>
      </c>
      <c r="N7975" s="2" t="str">
        <f>IFERROR(VLOOKUP(ROWS($N$2:N7975),$D$2:$E$1996,2,0),"")</f>
        <v/>
      </c>
    </row>
    <row r="7976" spans="2:14">
      <c r="B7976" s="32">
        <f>IF(ISNUMBER(SEARCH('Φόρμα Εισαγωγής'!$B$2,C7976)),MAX($B$1:B7975)+1,0)</f>
        <v>0</v>
      </c>
      <c r="D7976" s="33">
        <f>IF(ISNUMBER(SEARCH('Φόρμα Εισαγωγής'!$C$2,E7976)),MAX($D$1:D7975)+1,0)</f>
        <v>0</v>
      </c>
      <c r="H7976" s="6">
        <f t="shared" si="383"/>
        <v>0</v>
      </c>
      <c r="I7976" s="6">
        <f t="shared" si="384"/>
        <v>0</v>
      </c>
      <c r="J7976" s="6">
        <f t="shared" si="385"/>
        <v>0</v>
      </c>
      <c r="L7976" s="4" t="str">
        <f>IFERROR(VLOOKUP(ROWS($L$2:L7976),$B$2:$C$1996,2,0),"")</f>
        <v/>
      </c>
      <c r="N7976" s="2" t="str">
        <f>IFERROR(VLOOKUP(ROWS($N$2:N7976),$D$2:$E$1996,2,0),"")</f>
        <v/>
      </c>
    </row>
    <row r="7977" spans="2:14">
      <c r="B7977" s="32">
        <f>IF(ISNUMBER(SEARCH('Φόρμα Εισαγωγής'!$B$2,C7977)),MAX($B$1:B7976)+1,0)</f>
        <v>0</v>
      </c>
      <c r="D7977" s="33">
        <f>IF(ISNUMBER(SEARCH('Φόρμα Εισαγωγής'!$C$2,E7977)),MAX($D$1:D7976)+1,0)</f>
        <v>0</v>
      </c>
      <c r="H7977" s="6">
        <f t="shared" si="383"/>
        <v>0</v>
      </c>
      <c r="I7977" s="6">
        <f t="shared" si="384"/>
        <v>0</v>
      </c>
      <c r="J7977" s="6">
        <f t="shared" si="385"/>
        <v>0</v>
      </c>
      <c r="L7977" s="4" t="str">
        <f>IFERROR(VLOOKUP(ROWS($L$2:L7977),$B$2:$C$1996,2,0),"")</f>
        <v/>
      </c>
      <c r="N7977" s="2" t="str">
        <f>IFERROR(VLOOKUP(ROWS($N$2:N7977),$D$2:$E$1996,2,0),"")</f>
        <v/>
      </c>
    </row>
    <row r="7978" spans="2:14">
      <c r="B7978" s="32">
        <f>IF(ISNUMBER(SEARCH('Φόρμα Εισαγωγής'!$B$2,C7978)),MAX($B$1:B7977)+1,0)</f>
        <v>0</v>
      </c>
      <c r="D7978" s="33">
        <f>IF(ISNUMBER(SEARCH('Φόρμα Εισαγωγής'!$C$2,E7978)),MAX($D$1:D7977)+1,0)</f>
        <v>0</v>
      </c>
      <c r="H7978" s="6">
        <f t="shared" si="383"/>
        <v>0</v>
      </c>
      <c r="I7978" s="6">
        <f t="shared" si="384"/>
        <v>0</v>
      </c>
      <c r="J7978" s="6">
        <f t="shared" si="385"/>
        <v>0</v>
      </c>
      <c r="L7978" s="4" t="str">
        <f>IFERROR(VLOOKUP(ROWS($L$2:L7978),$B$2:$C$1996,2,0),"")</f>
        <v/>
      </c>
      <c r="N7978" s="2" t="str">
        <f>IFERROR(VLOOKUP(ROWS($N$2:N7978),$D$2:$E$1996,2,0),"")</f>
        <v/>
      </c>
    </row>
    <row r="7979" spans="2:14">
      <c r="B7979" s="32">
        <f>IF(ISNUMBER(SEARCH('Φόρμα Εισαγωγής'!$B$2,C7979)),MAX($B$1:B7978)+1,0)</f>
        <v>0</v>
      </c>
      <c r="D7979" s="33">
        <f>IF(ISNUMBER(SEARCH('Φόρμα Εισαγωγής'!$C$2,E7979)),MAX($D$1:D7978)+1,0)</f>
        <v>0</v>
      </c>
      <c r="H7979" s="6">
        <f t="shared" si="383"/>
        <v>0</v>
      </c>
      <c r="I7979" s="6">
        <f t="shared" si="384"/>
        <v>0</v>
      </c>
      <c r="J7979" s="6">
        <f t="shared" si="385"/>
        <v>0</v>
      </c>
      <c r="L7979" s="4" t="str">
        <f>IFERROR(VLOOKUP(ROWS($L$2:L7979),$B$2:$C$1996,2,0),"")</f>
        <v/>
      </c>
      <c r="N7979" s="2" t="str">
        <f>IFERROR(VLOOKUP(ROWS($N$2:N7979),$D$2:$E$1996,2,0),"")</f>
        <v/>
      </c>
    </row>
    <row r="7980" spans="2:14">
      <c r="B7980" s="32">
        <f>IF(ISNUMBER(SEARCH('Φόρμα Εισαγωγής'!$B$2,C7980)),MAX($B$1:B7979)+1,0)</f>
        <v>0</v>
      </c>
      <c r="D7980" s="33">
        <f>IF(ISNUMBER(SEARCH('Φόρμα Εισαγωγής'!$C$2,E7980)),MAX($D$1:D7979)+1,0)</f>
        <v>0</v>
      </c>
      <c r="H7980" s="6">
        <f t="shared" si="383"/>
        <v>0</v>
      </c>
      <c r="I7980" s="6">
        <f t="shared" si="384"/>
        <v>0</v>
      </c>
      <c r="J7980" s="6">
        <f t="shared" si="385"/>
        <v>0</v>
      </c>
      <c r="L7980" s="4" t="str">
        <f>IFERROR(VLOOKUP(ROWS($L$2:L7980),$B$2:$C$1996,2,0),"")</f>
        <v/>
      </c>
      <c r="N7980" s="2" t="str">
        <f>IFERROR(VLOOKUP(ROWS($N$2:N7980),$D$2:$E$1996,2,0),"")</f>
        <v/>
      </c>
    </row>
    <row r="7981" spans="2:14">
      <c r="B7981" s="32">
        <f>IF(ISNUMBER(SEARCH('Φόρμα Εισαγωγής'!$B$2,C7981)),MAX($B$1:B7980)+1,0)</f>
        <v>0</v>
      </c>
      <c r="D7981" s="33">
        <f>IF(ISNUMBER(SEARCH('Φόρμα Εισαγωγής'!$C$2,E7981)),MAX($D$1:D7980)+1,0)</f>
        <v>0</v>
      </c>
      <c r="H7981" s="6">
        <f t="shared" si="383"/>
        <v>0</v>
      </c>
      <c r="I7981" s="6">
        <f t="shared" si="384"/>
        <v>0</v>
      </c>
      <c r="J7981" s="6">
        <f t="shared" si="385"/>
        <v>0</v>
      </c>
      <c r="L7981" s="4" t="str">
        <f>IFERROR(VLOOKUP(ROWS($L$2:L7981),$B$2:$C$1996,2,0),"")</f>
        <v/>
      </c>
      <c r="N7981" s="2" t="str">
        <f>IFERROR(VLOOKUP(ROWS($N$2:N7981),$D$2:$E$1996,2,0),"")</f>
        <v/>
      </c>
    </row>
    <row r="7982" spans="2:14">
      <c r="B7982" s="32">
        <f>IF(ISNUMBER(SEARCH('Φόρμα Εισαγωγής'!$B$2,C7982)),MAX($B$1:B7981)+1,0)</f>
        <v>0</v>
      </c>
      <c r="D7982" s="33">
        <f>IF(ISNUMBER(SEARCH('Φόρμα Εισαγωγής'!$C$2,E7982)),MAX($D$1:D7981)+1,0)</f>
        <v>0</v>
      </c>
      <c r="H7982" s="6">
        <f t="shared" si="383"/>
        <v>0</v>
      </c>
      <c r="I7982" s="6">
        <f t="shared" si="384"/>
        <v>0</v>
      </c>
      <c r="J7982" s="6">
        <f t="shared" si="385"/>
        <v>0</v>
      </c>
      <c r="L7982" s="4" t="str">
        <f>IFERROR(VLOOKUP(ROWS($L$2:L7982),$B$2:$C$1996,2,0),"")</f>
        <v/>
      </c>
      <c r="N7982" s="2" t="str">
        <f>IFERROR(VLOOKUP(ROWS($N$2:N7982),$D$2:$E$1996,2,0),"")</f>
        <v/>
      </c>
    </row>
    <row r="7983" spans="2:14">
      <c r="B7983" s="32">
        <f>IF(ISNUMBER(SEARCH('Φόρμα Εισαγωγής'!$B$2,C7983)),MAX($B$1:B7982)+1,0)</f>
        <v>0</v>
      </c>
      <c r="D7983" s="33">
        <f>IF(ISNUMBER(SEARCH('Φόρμα Εισαγωγής'!$C$2,E7983)),MAX($D$1:D7982)+1,0)</f>
        <v>0</v>
      </c>
      <c r="H7983" s="6">
        <f t="shared" si="383"/>
        <v>0</v>
      </c>
      <c r="I7983" s="6">
        <f t="shared" si="384"/>
        <v>0</v>
      </c>
      <c r="J7983" s="6">
        <f t="shared" si="385"/>
        <v>0</v>
      </c>
      <c r="L7983" s="4" t="str">
        <f>IFERROR(VLOOKUP(ROWS($L$2:L7983),$B$2:$C$1996,2,0),"")</f>
        <v/>
      </c>
      <c r="N7983" s="2" t="str">
        <f>IFERROR(VLOOKUP(ROWS($N$2:N7983),$D$2:$E$1996,2,0),"")</f>
        <v/>
      </c>
    </row>
    <row r="7984" spans="2:14">
      <c r="B7984" s="32">
        <f>IF(ISNUMBER(SEARCH('Φόρμα Εισαγωγής'!$B$2,C7984)),MAX($B$1:B7983)+1,0)</f>
        <v>0</v>
      </c>
      <c r="D7984" s="33">
        <f>IF(ISNUMBER(SEARCH('Φόρμα Εισαγωγής'!$C$2,E7984)),MAX($D$1:D7983)+1,0)</f>
        <v>0</v>
      </c>
      <c r="H7984" s="6">
        <f t="shared" si="383"/>
        <v>0</v>
      </c>
      <c r="I7984" s="6">
        <f t="shared" si="384"/>
        <v>0</v>
      </c>
      <c r="J7984" s="6">
        <f t="shared" si="385"/>
        <v>0</v>
      </c>
      <c r="L7984" s="4" t="str">
        <f>IFERROR(VLOOKUP(ROWS($L$2:L7984),$B$2:$C$1996,2,0),"")</f>
        <v/>
      </c>
      <c r="N7984" s="2" t="str">
        <f>IFERROR(VLOOKUP(ROWS($N$2:N7984),$D$2:$E$1996,2,0),"")</f>
        <v/>
      </c>
    </row>
    <row r="7985" spans="2:14">
      <c r="B7985" s="32">
        <f>IF(ISNUMBER(SEARCH('Φόρμα Εισαγωγής'!$B$2,C7985)),MAX($B$1:B7984)+1,0)</f>
        <v>0</v>
      </c>
      <c r="D7985" s="33">
        <f>IF(ISNUMBER(SEARCH('Φόρμα Εισαγωγής'!$C$2,E7985)),MAX($D$1:D7984)+1,0)</f>
        <v>0</v>
      </c>
      <c r="H7985" s="6">
        <f t="shared" si="383"/>
        <v>0</v>
      </c>
      <c r="I7985" s="6">
        <f t="shared" si="384"/>
        <v>0</v>
      </c>
      <c r="J7985" s="6">
        <f t="shared" si="385"/>
        <v>0</v>
      </c>
      <c r="L7985" s="4" t="str">
        <f>IFERROR(VLOOKUP(ROWS($L$2:L7985),$B$2:$C$1996,2,0),"")</f>
        <v/>
      </c>
      <c r="N7985" s="2" t="str">
        <f>IFERROR(VLOOKUP(ROWS($N$2:N7985),$D$2:$E$1996,2,0),"")</f>
        <v/>
      </c>
    </row>
    <row r="7986" spans="2:14">
      <c r="B7986" s="32">
        <f>IF(ISNUMBER(SEARCH('Φόρμα Εισαγωγής'!$B$2,C7986)),MAX($B$1:B7985)+1,0)</f>
        <v>0</v>
      </c>
      <c r="D7986" s="33">
        <f>IF(ISNUMBER(SEARCH('Φόρμα Εισαγωγής'!$C$2,E7986)),MAX($D$1:D7985)+1,0)</f>
        <v>0</v>
      </c>
      <c r="H7986" s="6">
        <f t="shared" si="383"/>
        <v>0</v>
      </c>
      <c r="I7986" s="6">
        <f t="shared" si="384"/>
        <v>0</v>
      </c>
      <c r="J7986" s="6">
        <f t="shared" si="385"/>
        <v>0</v>
      </c>
      <c r="L7986" s="4" t="str">
        <f>IFERROR(VLOOKUP(ROWS($L$2:L7986),$B$2:$C$1996,2,0),"")</f>
        <v/>
      </c>
      <c r="N7986" s="2" t="str">
        <f>IFERROR(VLOOKUP(ROWS($N$2:N7986),$D$2:$E$1996,2,0),"")</f>
        <v/>
      </c>
    </row>
    <row r="7987" spans="2:14">
      <c r="B7987" s="32">
        <f>IF(ISNUMBER(SEARCH('Φόρμα Εισαγωγής'!$B$2,C7987)),MAX($B$1:B7986)+1,0)</f>
        <v>0</v>
      </c>
      <c r="D7987" s="33">
        <f>IF(ISNUMBER(SEARCH('Φόρμα Εισαγωγής'!$C$2,E7987)),MAX($D$1:D7986)+1,0)</f>
        <v>0</v>
      </c>
      <c r="H7987" s="6">
        <f t="shared" si="383"/>
        <v>0</v>
      </c>
      <c r="I7987" s="6">
        <f t="shared" si="384"/>
        <v>0</v>
      </c>
      <c r="J7987" s="6">
        <f t="shared" si="385"/>
        <v>0</v>
      </c>
      <c r="L7987" s="4" t="str">
        <f>IFERROR(VLOOKUP(ROWS($L$2:L7987),$B$2:$C$1996,2,0),"")</f>
        <v/>
      </c>
      <c r="N7987" s="2" t="str">
        <f>IFERROR(VLOOKUP(ROWS($N$2:N7987),$D$2:$E$1996,2,0),"")</f>
        <v/>
      </c>
    </row>
    <row r="7988" spans="2:14">
      <c r="B7988" s="32">
        <f>IF(ISNUMBER(SEARCH('Φόρμα Εισαγωγής'!$B$2,C7988)),MAX($B$1:B7987)+1,0)</f>
        <v>0</v>
      </c>
      <c r="D7988" s="33">
        <f>IF(ISNUMBER(SEARCH('Φόρμα Εισαγωγής'!$C$2,E7988)),MAX($D$1:D7987)+1,0)</f>
        <v>0</v>
      </c>
      <c r="H7988" s="6">
        <f t="shared" si="383"/>
        <v>0</v>
      </c>
      <c r="I7988" s="6">
        <f t="shared" si="384"/>
        <v>0</v>
      </c>
      <c r="J7988" s="6">
        <f t="shared" si="385"/>
        <v>0</v>
      </c>
      <c r="L7988" s="4" t="str">
        <f>IFERROR(VLOOKUP(ROWS($L$2:L7988),$B$2:$C$1996,2,0),"")</f>
        <v/>
      </c>
      <c r="N7988" s="2" t="str">
        <f>IFERROR(VLOOKUP(ROWS($N$2:N7988),$D$2:$E$1996,2,0),"")</f>
        <v/>
      </c>
    </row>
    <row r="7989" spans="2:14">
      <c r="B7989" s="32">
        <f>IF(ISNUMBER(SEARCH('Φόρμα Εισαγωγής'!$B$2,C7989)),MAX($B$1:B7988)+1,0)</f>
        <v>0</v>
      </c>
      <c r="D7989" s="33">
        <f>IF(ISNUMBER(SEARCH('Φόρμα Εισαγωγής'!$C$2,E7989)),MAX($D$1:D7988)+1,0)</f>
        <v>0</v>
      </c>
      <c r="H7989" s="6">
        <f t="shared" si="383"/>
        <v>0</v>
      </c>
      <c r="I7989" s="6">
        <f t="shared" si="384"/>
        <v>0</v>
      </c>
      <c r="J7989" s="6">
        <f t="shared" si="385"/>
        <v>0</v>
      </c>
      <c r="L7989" s="4" t="str">
        <f>IFERROR(VLOOKUP(ROWS($L$2:L7989),$B$2:$C$1996,2,0),"")</f>
        <v/>
      </c>
      <c r="N7989" s="2" t="str">
        <f>IFERROR(VLOOKUP(ROWS($N$2:N7989),$D$2:$E$1996,2,0),"")</f>
        <v/>
      </c>
    </row>
    <row r="7990" spans="2:14">
      <c r="B7990" s="32">
        <f>IF(ISNUMBER(SEARCH('Φόρμα Εισαγωγής'!$B$2,C7990)),MAX($B$1:B7989)+1,0)</f>
        <v>0</v>
      </c>
      <c r="D7990" s="33">
        <f>IF(ISNUMBER(SEARCH('Φόρμα Εισαγωγής'!$C$2,E7990)),MAX($D$1:D7989)+1,0)</f>
        <v>0</v>
      </c>
      <c r="H7990" s="6">
        <f t="shared" si="383"/>
        <v>0</v>
      </c>
      <c r="I7990" s="6">
        <f t="shared" si="384"/>
        <v>0</v>
      </c>
      <c r="J7990" s="6">
        <f t="shared" si="385"/>
        <v>0</v>
      </c>
      <c r="L7990" s="4" t="str">
        <f>IFERROR(VLOOKUP(ROWS($L$2:L7990),$B$2:$C$1996,2,0),"")</f>
        <v/>
      </c>
      <c r="N7990" s="2" t="str">
        <f>IFERROR(VLOOKUP(ROWS($N$2:N7990),$D$2:$E$1996,2,0),"")</f>
        <v/>
      </c>
    </row>
    <row r="7991" spans="2:14">
      <c r="B7991" s="32">
        <f>IF(ISNUMBER(SEARCH('Φόρμα Εισαγωγής'!$B$2,C7991)),MAX($B$1:B7990)+1,0)</f>
        <v>0</v>
      </c>
      <c r="D7991" s="33">
        <f>IF(ISNUMBER(SEARCH('Φόρμα Εισαγωγής'!$C$2,E7991)),MAX($D$1:D7990)+1,0)</f>
        <v>0</v>
      </c>
      <c r="H7991" s="6">
        <f t="shared" si="383"/>
        <v>0</v>
      </c>
      <c r="I7991" s="6">
        <f t="shared" si="384"/>
        <v>0</v>
      </c>
      <c r="J7991" s="6">
        <f t="shared" si="385"/>
        <v>0</v>
      </c>
      <c r="L7991" s="4" t="str">
        <f>IFERROR(VLOOKUP(ROWS($L$2:L7991),$B$2:$C$1996,2,0),"")</f>
        <v/>
      </c>
      <c r="N7991" s="2" t="str">
        <f>IFERROR(VLOOKUP(ROWS($N$2:N7991),$D$2:$E$1996,2,0),"")</f>
        <v/>
      </c>
    </row>
    <row r="7992" spans="2:14">
      <c r="B7992" s="32">
        <f>IF(ISNUMBER(SEARCH('Φόρμα Εισαγωγής'!$B$2,C7992)),MAX($B$1:B7991)+1,0)</f>
        <v>0</v>
      </c>
      <c r="D7992" s="33">
        <f>IF(ISNUMBER(SEARCH('Φόρμα Εισαγωγής'!$C$2,E7992)),MAX($D$1:D7991)+1,0)</f>
        <v>0</v>
      </c>
      <c r="H7992" s="6">
        <f t="shared" si="383"/>
        <v>0</v>
      </c>
      <c r="I7992" s="6">
        <f t="shared" si="384"/>
        <v>0</v>
      </c>
      <c r="J7992" s="6">
        <f t="shared" si="385"/>
        <v>0</v>
      </c>
      <c r="L7992" s="4" t="str">
        <f>IFERROR(VLOOKUP(ROWS($L$2:L7992),$B$2:$C$1996,2,0),"")</f>
        <v/>
      </c>
      <c r="N7992" s="2" t="str">
        <f>IFERROR(VLOOKUP(ROWS($N$2:N7992),$D$2:$E$1996,2,0),"")</f>
        <v/>
      </c>
    </row>
    <row r="7993" spans="2:14">
      <c r="B7993" s="32">
        <f>IF(ISNUMBER(SEARCH('Φόρμα Εισαγωγής'!$B$2,C7993)),MAX($B$1:B7992)+1,0)</f>
        <v>0</v>
      </c>
      <c r="D7993" s="33">
        <f>IF(ISNUMBER(SEARCH('Φόρμα Εισαγωγής'!$C$2,E7993)),MAX($D$1:D7992)+1,0)</f>
        <v>0</v>
      </c>
      <c r="H7993" s="6">
        <f t="shared" si="383"/>
        <v>0</v>
      </c>
      <c r="I7993" s="6">
        <f t="shared" si="384"/>
        <v>0</v>
      </c>
      <c r="J7993" s="6">
        <f t="shared" si="385"/>
        <v>0</v>
      </c>
      <c r="L7993" s="4" t="str">
        <f>IFERROR(VLOOKUP(ROWS($L$2:L7993),$B$2:$C$1996,2,0),"")</f>
        <v/>
      </c>
      <c r="N7993" s="2" t="str">
        <f>IFERROR(VLOOKUP(ROWS($N$2:N7993),$D$2:$E$1996,2,0),"")</f>
        <v/>
      </c>
    </row>
    <row r="7994" spans="2:14">
      <c r="B7994" s="32">
        <f>IF(ISNUMBER(SEARCH('Φόρμα Εισαγωγής'!$B$2,C7994)),MAX($B$1:B7993)+1,0)</f>
        <v>0</v>
      </c>
      <c r="D7994" s="33">
        <f>IF(ISNUMBER(SEARCH('Φόρμα Εισαγωγής'!$C$2,E7994)),MAX($D$1:D7993)+1,0)</f>
        <v>0</v>
      </c>
      <c r="H7994" s="6">
        <f t="shared" si="383"/>
        <v>0</v>
      </c>
      <c r="I7994" s="6">
        <f t="shared" si="384"/>
        <v>0</v>
      </c>
      <c r="J7994" s="6">
        <f t="shared" si="385"/>
        <v>0</v>
      </c>
      <c r="L7994" s="4" t="str">
        <f>IFERROR(VLOOKUP(ROWS($L$2:L7994),$B$2:$C$1996,2,0),"")</f>
        <v/>
      </c>
      <c r="N7994" s="2" t="str">
        <f>IFERROR(VLOOKUP(ROWS($N$2:N7994),$D$2:$E$1996,2,0),"")</f>
        <v/>
      </c>
    </row>
    <row r="7995" spans="2:14">
      <c r="B7995" s="32">
        <f>IF(ISNUMBER(SEARCH('Φόρμα Εισαγωγής'!$B$2,C7995)),MAX($B$1:B7994)+1,0)</f>
        <v>0</v>
      </c>
      <c r="D7995" s="33">
        <f>IF(ISNUMBER(SEARCH('Φόρμα Εισαγωγής'!$C$2,E7995)),MAX($D$1:D7994)+1,0)</f>
        <v>0</v>
      </c>
      <c r="H7995" s="6">
        <f t="shared" si="383"/>
        <v>0</v>
      </c>
      <c r="I7995" s="6">
        <f t="shared" si="384"/>
        <v>0</v>
      </c>
      <c r="J7995" s="6">
        <f t="shared" si="385"/>
        <v>0</v>
      </c>
      <c r="L7995" s="4" t="str">
        <f>IFERROR(VLOOKUP(ROWS($L$2:L7995),$B$2:$C$1996,2,0),"")</f>
        <v/>
      </c>
      <c r="N7995" s="2" t="str">
        <f>IFERROR(VLOOKUP(ROWS($N$2:N7995),$D$2:$E$1996,2,0),"")</f>
        <v/>
      </c>
    </row>
    <row r="7996" spans="2:14">
      <c r="B7996" s="32">
        <f>IF(ISNUMBER(SEARCH('Φόρμα Εισαγωγής'!$B$2,C7996)),MAX($B$1:B7995)+1,0)</f>
        <v>0</v>
      </c>
      <c r="D7996" s="33">
        <f>IF(ISNUMBER(SEARCH('Φόρμα Εισαγωγής'!$C$2,E7996)),MAX($D$1:D7995)+1,0)</f>
        <v>0</v>
      </c>
      <c r="H7996" s="6">
        <f t="shared" si="383"/>
        <v>0</v>
      </c>
      <c r="I7996" s="6">
        <f t="shared" si="384"/>
        <v>0</v>
      </c>
      <c r="J7996" s="6">
        <f t="shared" si="385"/>
        <v>0</v>
      </c>
      <c r="L7996" s="4" t="str">
        <f>IFERROR(VLOOKUP(ROWS($L$2:L7996),$B$2:$C$1996,2,0),"")</f>
        <v/>
      </c>
      <c r="N7996" s="2" t="str">
        <f>IFERROR(VLOOKUP(ROWS($N$2:N7996),$D$2:$E$1996,2,0),"")</f>
        <v/>
      </c>
    </row>
    <row r="7997" spans="2:14">
      <c r="C7997" s="7" t="s">
        <v>1065</v>
      </c>
    </row>
  </sheetData>
  <autoFilter ref="A1:H7997">
    <filterColumn colId="1"/>
    <filterColumn colId="2"/>
    <filterColumn colId="3"/>
  </autoFilter>
  <pageMargins left="0.7" right="0.7" top="0.75" bottom="0.75" header="0.3" footer="0.3"/>
  <pageSetup paperSize="9" orientation="portrait" horizontalDpi="4294967294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4"/>
  <dimension ref="A1:E1402"/>
  <sheetViews>
    <sheetView workbookViewId="0">
      <pane ySplit="1" topLeftCell="A2" activePane="bottomLeft" state="frozen"/>
      <selection pane="bottomLeft" activeCell="G1" sqref="G1"/>
    </sheetView>
  </sheetViews>
  <sheetFormatPr defaultColWidth="9.140625" defaultRowHeight="15"/>
  <cols>
    <col min="1" max="1" width="18.28515625" style="2" customWidth="1"/>
    <col min="2" max="2" width="31" style="2" hidden="1" customWidth="1"/>
    <col min="3" max="3" width="43.28515625" style="18" customWidth="1"/>
    <col min="4" max="4" width="13.85546875" style="2" hidden="1" customWidth="1"/>
    <col min="5" max="5" width="30.85546875" style="2" customWidth="1"/>
    <col min="6" max="6" width="14.42578125" style="2" customWidth="1"/>
    <col min="7" max="7" width="22.28515625" style="2" customWidth="1"/>
    <col min="8" max="16384" width="9.140625" style="2"/>
  </cols>
  <sheetData>
    <row r="1" spans="1:5" ht="45.75" customHeight="1">
      <c r="A1" s="22" t="s">
        <v>4</v>
      </c>
      <c r="B1" s="22" t="s">
        <v>683</v>
      </c>
      <c r="C1" s="22" t="s">
        <v>5</v>
      </c>
      <c r="D1" s="25" t="s">
        <v>683</v>
      </c>
      <c r="E1" s="25" t="s">
        <v>6</v>
      </c>
    </row>
    <row r="2" spans="1:5">
      <c r="C2" s="2"/>
      <c r="E2" s="18"/>
    </row>
    <row r="3" spans="1:5">
      <c r="C3" s="2"/>
      <c r="E3" s="18"/>
    </row>
    <row r="4" spans="1:5">
      <c r="C4" s="2"/>
      <c r="E4" s="18"/>
    </row>
    <row r="5" spans="1:5">
      <c r="C5" s="2"/>
      <c r="E5" s="18"/>
    </row>
    <row r="6" spans="1:5">
      <c r="C6" s="2"/>
      <c r="E6" s="18"/>
    </row>
    <row r="7" spans="1:5">
      <c r="C7" s="2"/>
      <c r="E7" s="18"/>
    </row>
    <row r="8" spans="1:5">
      <c r="C8" s="2"/>
      <c r="E8" s="18"/>
    </row>
    <row r="9" spans="1:5">
      <c r="C9" s="2"/>
      <c r="E9" s="18"/>
    </row>
    <row r="10" spans="1:5">
      <c r="C10" s="2"/>
      <c r="E10" s="18"/>
    </row>
    <row r="11" spans="1:5">
      <c r="C11" s="2"/>
      <c r="E11" s="18"/>
    </row>
    <row r="12" spans="1:5">
      <c r="C12" s="2"/>
      <c r="E12" s="18"/>
    </row>
    <row r="13" spans="1:5">
      <c r="C13" s="2"/>
      <c r="E13" s="18"/>
    </row>
    <row r="14" spans="1:5">
      <c r="C14" s="2"/>
      <c r="E14" s="18"/>
    </row>
    <row r="15" spans="1:5">
      <c r="C15" s="2"/>
      <c r="E15" s="18"/>
    </row>
    <row r="16" spans="1:5">
      <c r="C16" s="2"/>
      <c r="E16" s="18"/>
    </row>
    <row r="17" spans="3:5">
      <c r="C17" s="2"/>
      <c r="E17" s="18"/>
    </row>
    <row r="18" spans="3:5">
      <c r="C18" s="2"/>
      <c r="E18" s="18"/>
    </row>
    <row r="19" spans="3:5">
      <c r="C19" s="2"/>
      <c r="E19" s="18"/>
    </row>
    <row r="20" spans="3:5">
      <c r="C20" s="2"/>
      <c r="E20" s="18"/>
    </row>
    <row r="21" spans="3:5">
      <c r="C21" s="2"/>
      <c r="E21" s="18"/>
    </row>
    <row r="22" spans="3:5">
      <c r="C22" s="2"/>
      <c r="E22" s="18"/>
    </row>
    <row r="23" spans="3:5">
      <c r="C23" s="2"/>
      <c r="E23" s="18"/>
    </row>
    <row r="24" spans="3:5">
      <c r="C24" s="2"/>
      <c r="E24" s="18"/>
    </row>
    <row r="25" spans="3:5">
      <c r="C25" s="2"/>
      <c r="E25" s="18"/>
    </row>
    <row r="26" spans="3:5">
      <c r="C26" s="2"/>
      <c r="E26" s="18"/>
    </row>
    <row r="27" spans="3:5">
      <c r="C27" s="2"/>
      <c r="E27" s="18"/>
    </row>
    <row r="28" spans="3:5">
      <c r="C28" s="2"/>
      <c r="E28" s="18"/>
    </row>
    <row r="29" spans="3:5">
      <c r="C29" s="2"/>
      <c r="E29" s="18"/>
    </row>
    <row r="30" spans="3:5">
      <c r="C30" s="2"/>
      <c r="E30" s="18"/>
    </row>
    <row r="31" spans="3:5">
      <c r="C31" s="2"/>
      <c r="E31" s="18"/>
    </row>
    <row r="32" spans="3:5">
      <c r="C32" s="2"/>
      <c r="E32" s="18"/>
    </row>
    <row r="33" spans="3:5">
      <c r="C33" s="2"/>
      <c r="E33" s="18"/>
    </row>
    <row r="34" spans="3:5">
      <c r="C34" s="2"/>
      <c r="E34" s="18"/>
    </row>
    <row r="35" spans="3:5">
      <c r="C35" s="2"/>
      <c r="E35" s="18"/>
    </row>
    <row r="36" spans="3:5">
      <c r="C36" s="2"/>
      <c r="E36" s="18"/>
    </row>
    <row r="37" spans="3:5">
      <c r="C37" s="2"/>
      <c r="E37" s="18"/>
    </row>
    <row r="38" spans="3:5">
      <c r="C38" s="2"/>
      <c r="E38" s="18"/>
    </row>
    <row r="39" spans="3:5">
      <c r="C39" s="2"/>
      <c r="E39" s="18"/>
    </row>
    <row r="40" spans="3:5">
      <c r="C40" s="2"/>
      <c r="E40" s="18"/>
    </row>
    <row r="41" spans="3:5">
      <c r="C41" s="2"/>
      <c r="E41" s="18"/>
    </row>
    <row r="42" spans="3:5">
      <c r="C42" s="2"/>
      <c r="E42" s="18"/>
    </row>
    <row r="43" spans="3:5">
      <c r="C43" s="2"/>
      <c r="E43" s="18"/>
    </row>
    <row r="44" spans="3:5">
      <c r="C44" s="2"/>
      <c r="E44" s="18"/>
    </row>
    <row r="45" spans="3:5">
      <c r="C45" s="2"/>
      <c r="E45" s="18"/>
    </row>
    <row r="46" spans="3:5">
      <c r="C46" s="2"/>
      <c r="E46" s="18"/>
    </row>
    <row r="47" spans="3:5">
      <c r="C47" s="2"/>
      <c r="E47" s="18"/>
    </row>
    <row r="48" spans="3:5">
      <c r="C48" s="2"/>
      <c r="E48" s="18"/>
    </row>
    <row r="49" spans="3:5">
      <c r="C49" s="2"/>
      <c r="E49" s="18"/>
    </row>
    <row r="50" spans="3:5">
      <c r="C50" s="2"/>
      <c r="E50" s="18"/>
    </row>
    <row r="51" spans="3:5">
      <c r="C51" s="2"/>
      <c r="E51" s="18"/>
    </row>
    <row r="52" spans="3:5">
      <c r="C52" s="2"/>
      <c r="E52" s="18"/>
    </row>
    <row r="53" spans="3:5">
      <c r="C53" s="2"/>
      <c r="E53" s="18"/>
    </row>
    <row r="54" spans="3:5">
      <c r="C54" s="2"/>
      <c r="E54" s="18"/>
    </row>
    <row r="55" spans="3:5">
      <c r="C55" s="2"/>
      <c r="E55" s="18"/>
    </row>
    <row r="56" spans="3:5">
      <c r="C56" s="2"/>
      <c r="E56" s="18"/>
    </row>
    <row r="57" spans="3:5">
      <c r="C57" s="2"/>
      <c r="E57" s="18"/>
    </row>
    <row r="58" spans="3:5">
      <c r="C58" s="2"/>
      <c r="E58" s="18"/>
    </row>
    <row r="59" spans="3:5">
      <c r="C59" s="2"/>
      <c r="E59" s="18"/>
    </row>
    <row r="60" spans="3:5">
      <c r="C60" s="2"/>
      <c r="E60" s="18"/>
    </row>
    <row r="61" spans="3:5">
      <c r="C61" s="2"/>
      <c r="E61" s="18"/>
    </row>
    <row r="62" spans="3:5">
      <c r="C62" s="2"/>
      <c r="E62" s="18"/>
    </row>
    <row r="63" spans="3:5">
      <c r="C63" s="2"/>
      <c r="E63" s="18"/>
    </row>
    <row r="64" spans="3:5">
      <c r="C64" s="2"/>
      <c r="E64" s="18"/>
    </row>
    <row r="65" spans="3:5">
      <c r="C65" s="2"/>
      <c r="E65" s="18"/>
    </row>
    <row r="66" spans="3:5">
      <c r="C66" s="2"/>
      <c r="E66" s="18"/>
    </row>
    <row r="67" spans="3:5">
      <c r="C67" s="2"/>
      <c r="E67" s="18"/>
    </row>
    <row r="68" spans="3:5">
      <c r="C68" s="2"/>
      <c r="E68" s="18"/>
    </row>
    <row r="69" spans="3:5">
      <c r="C69" s="2"/>
      <c r="E69" s="18"/>
    </row>
    <row r="70" spans="3:5">
      <c r="C70" s="2"/>
      <c r="E70" s="18"/>
    </row>
    <row r="71" spans="3:5">
      <c r="C71" s="2"/>
      <c r="E71" s="18"/>
    </row>
    <row r="72" spans="3:5">
      <c r="C72" s="2"/>
      <c r="E72" s="18"/>
    </row>
    <row r="73" spans="3:5">
      <c r="C73" s="2"/>
    </row>
    <row r="74" spans="3:5">
      <c r="C74" s="2"/>
    </row>
    <row r="75" spans="3:5">
      <c r="C75" s="2"/>
    </row>
    <row r="76" spans="3:5">
      <c r="C76" s="2"/>
    </row>
    <row r="77" spans="3:5">
      <c r="C77" s="2"/>
    </row>
    <row r="78" spans="3:5">
      <c r="C78" s="2"/>
    </row>
    <row r="79" spans="3:5">
      <c r="C79" s="2"/>
    </row>
    <row r="80" spans="3:5">
      <c r="C80" s="2"/>
    </row>
    <row r="81" spans="3:5">
      <c r="C81" s="2"/>
      <c r="E81" s="18"/>
    </row>
    <row r="82" spans="3:5">
      <c r="C82" s="2"/>
      <c r="E82" s="18"/>
    </row>
    <row r="83" spans="3:5">
      <c r="C83" s="2"/>
      <c r="E83" s="18"/>
    </row>
    <row r="84" spans="3:5">
      <c r="C84" s="2"/>
      <c r="E84" s="18"/>
    </row>
    <row r="85" spans="3:5">
      <c r="C85" s="2"/>
      <c r="E85" s="18"/>
    </row>
    <row r="86" spans="3:5">
      <c r="C86" s="2"/>
      <c r="E86" s="18"/>
    </row>
    <row r="87" spans="3:5">
      <c r="C87" s="2"/>
      <c r="E87" s="18"/>
    </row>
    <row r="88" spans="3:5">
      <c r="C88" s="2"/>
      <c r="E88" s="18"/>
    </row>
    <row r="89" spans="3:5">
      <c r="C89" s="2"/>
      <c r="E89" s="18"/>
    </row>
    <row r="90" spans="3:5">
      <c r="C90" s="2"/>
      <c r="E90" s="18"/>
    </row>
    <row r="91" spans="3:5">
      <c r="C91" s="2"/>
      <c r="E91" s="18"/>
    </row>
    <row r="92" spans="3:5">
      <c r="C92" s="2"/>
      <c r="E92" s="18"/>
    </row>
    <row r="93" spans="3:5">
      <c r="C93" s="2"/>
      <c r="E93" s="18"/>
    </row>
    <row r="94" spans="3:5">
      <c r="C94" s="2"/>
      <c r="E94" s="18"/>
    </row>
    <row r="95" spans="3:5">
      <c r="C95" s="2"/>
      <c r="E95" s="18"/>
    </row>
    <row r="96" spans="3:5">
      <c r="C96" s="2"/>
      <c r="E96" s="18"/>
    </row>
    <row r="97" spans="3:5">
      <c r="C97" s="2"/>
      <c r="E97" s="18"/>
    </row>
    <row r="98" spans="3:5">
      <c r="C98" s="2"/>
      <c r="E98" s="18"/>
    </row>
    <row r="99" spans="3:5">
      <c r="C99" s="2"/>
      <c r="E99" s="18"/>
    </row>
    <row r="100" spans="3:5">
      <c r="C100" s="2"/>
      <c r="E100" s="18"/>
    </row>
    <row r="101" spans="3:5">
      <c r="C101" s="2"/>
      <c r="E101" s="18"/>
    </row>
    <row r="102" spans="3:5">
      <c r="C102" s="2"/>
      <c r="E102" s="18"/>
    </row>
    <row r="103" spans="3:5">
      <c r="C103" s="2"/>
      <c r="E103" s="18"/>
    </row>
    <row r="104" spans="3:5">
      <c r="C104" s="2"/>
      <c r="E104" s="18"/>
    </row>
    <row r="105" spans="3:5">
      <c r="C105" s="2"/>
      <c r="E105" s="18"/>
    </row>
    <row r="106" spans="3:5">
      <c r="C106" s="2"/>
      <c r="E106" s="18"/>
    </row>
    <row r="107" spans="3:5">
      <c r="C107" s="2"/>
      <c r="E107" s="18"/>
    </row>
    <row r="108" spans="3:5">
      <c r="C108" s="2"/>
      <c r="E108" s="18"/>
    </row>
    <row r="109" spans="3:5">
      <c r="C109" s="2"/>
      <c r="E109" s="18"/>
    </row>
    <row r="110" spans="3:5">
      <c r="C110" s="2"/>
      <c r="E110" s="18"/>
    </row>
    <row r="111" spans="3:5">
      <c r="C111" s="2"/>
      <c r="E111" s="18"/>
    </row>
    <row r="112" spans="3:5">
      <c r="C112" s="2"/>
      <c r="E112" s="18"/>
    </row>
    <row r="113" spans="3:5">
      <c r="C113" s="2"/>
      <c r="E113" s="18"/>
    </row>
    <row r="114" spans="3:5">
      <c r="C114" s="2"/>
      <c r="E114" s="18"/>
    </row>
    <row r="115" spans="3:5">
      <c r="C115" s="2"/>
      <c r="E115" s="18"/>
    </row>
    <row r="116" spans="3:5">
      <c r="C116" s="2"/>
      <c r="E116" s="18"/>
    </row>
    <row r="117" spans="3:5">
      <c r="C117" s="2"/>
      <c r="E117" s="18"/>
    </row>
    <row r="118" spans="3:5">
      <c r="C118" s="2"/>
      <c r="E118" s="18"/>
    </row>
    <row r="119" spans="3:5">
      <c r="C119" s="2"/>
      <c r="E119" s="18"/>
    </row>
    <row r="120" spans="3:5">
      <c r="C120" s="2"/>
      <c r="E120" s="18"/>
    </row>
    <row r="121" spans="3:5">
      <c r="C121" s="2"/>
      <c r="E121" s="18"/>
    </row>
    <row r="122" spans="3:5">
      <c r="C122" s="2"/>
      <c r="E122" s="18"/>
    </row>
    <row r="123" spans="3:5">
      <c r="C123" s="2"/>
      <c r="E123" s="18"/>
    </row>
    <row r="124" spans="3:5">
      <c r="C124" s="2"/>
      <c r="E124" s="18"/>
    </row>
    <row r="125" spans="3:5">
      <c r="C125" s="2"/>
      <c r="E125" s="18"/>
    </row>
    <row r="126" spans="3:5">
      <c r="C126" s="2"/>
      <c r="E126" s="18"/>
    </row>
    <row r="127" spans="3:5">
      <c r="C127" s="2"/>
      <c r="E127" s="18"/>
    </row>
    <row r="128" spans="3:5">
      <c r="C128" s="2"/>
      <c r="E128" s="18"/>
    </row>
    <row r="129" spans="3:5">
      <c r="C129" s="2"/>
      <c r="E129" s="18"/>
    </row>
    <row r="130" spans="3:5">
      <c r="C130" s="2"/>
      <c r="E130" s="18"/>
    </row>
    <row r="131" spans="3:5">
      <c r="C131" s="2"/>
      <c r="E131" s="18"/>
    </row>
    <row r="132" spans="3:5">
      <c r="C132" s="2"/>
      <c r="E132" s="18"/>
    </row>
    <row r="133" spans="3:5">
      <c r="C133" s="2"/>
      <c r="E133" s="18"/>
    </row>
    <row r="134" spans="3:5">
      <c r="C134" s="2"/>
      <c r="E134" s="18"/>
    </row>
    <row r="135" spans="3:5">
      <c r="C135" s="2"/>
      <c r="E135" s="18"/>
    </row>
    <row r="136" spans="3:5">
      <c r="C136" s="2"/>
      <c r="E136" s="18"/>
    </row>
    <row r="137" spans="3:5">
      <c r="C137" s="2"/>
      <c r="E137" s="18"/>
    </row>
    <row r="138" spans="3:5">
      <c r="C138" s="2"/>
      <c r="E138" s="18"/>
    </row>
    <row r="139" spans="3:5">
      <c r="C139" s="2"/>
      <c r="E139" s="18"/>
    </row>
    <row r="140" spans="3:5">
      <c r="C140" s="2"/>
      <c r="E140" s="18"/>
    </row>
    <row r="141" spans="3:5">
      <c r="C141" s="2"/>
      <c r="E141" s="18"/>
    </row>
    <row r="142" spans="3:5">
      <c r="C142" s="2"/>
      <c r="E142" s="18"/>
    </row>
    <row r="143" spans="3:5">
      <c r="C143" s="2"/>
      <c r="E143" s="18"/>
    </row>
    <row r="144" spans="3:5">
      <c r="C144" s="2"/>
      <c r="E144" s="18"/>
    </row>
    <row r="145" spans="3:5">
      <c r="C145" s="2"/>
      <c r="E145" s="18"/>
    </row>
    <row r="146" spans="3:5">
      <c r="C146" s="2"/>
      <c r="E146" s="18"/>
    </row>
    <row r="147" spans="3:5">
      <c r="C147" s="2"/>
      <c r="E147" s="18"/>
    </row>
    <row r="148" spans="3:5">
      <c r="C148" s="2"/>
      <c r="E148" s="18"/>
    </row>
    <row r="149" spans="3:5">
      <c r="C149" s="2"/>
      <c r="E149" s="18"/>
    </row>
    <row r="150" spans="3:5">
      <c r="C150" s="2"/>
      <c r="E150" s="18"/>
    </row>
    <row r="151" spans="3:5">
      <c r="C151" s="2"/>
      <c r="E151" s="18"/>
    </row>
    <row r="152" spans="3:5">
      <c r="C152" s="2"/>
      <c r="E152" s="18"/>
    </row>
    <row r="153" spans="3:5">
      <c r="C153" s="2"/>
      <c r="E153" s="18"/>
    </row>
    <row r="154" spans="3:5">
      <c r="C154" s="2"/>
      <c r="E154" s="18"/>
    </row>
    <row r="155" spans="3:5">
      <c r="C155" s="2"/>
      <c r="E155" s="18"/>
    </row>
    <row r="156" spans="3:5">
      <c r="C156" s="2"/>
      <c r="E156" s="18"/>
    </row>
    <row r="157" spans="3:5">
      <c r="C157" s="2"/>
      <c r="E157" s="18"/>
    </row>
    <row r="158" spans="3:5">
      <c r="C158" s="2"/>
      <c r="E158" s="18"/>
    </row>
    <row r="159" spans="3:5">
      <c r="C159" s="2"/>
      <c r="E159" s="18"/>
    </row>
    <row r="160" spans="3:5">
      <c r="C160" s="2"/>
      <c r="E160" s="18"/>
    </row>
    <row r="161" spans="3:5">
      <c r="C161" s="2"/>
      <c r="E161" s="18"/>
    </row>
    <row r="162" spans="3:5">
      <c r="C162" s="2"/>
      <c r="E162" s="18"/>
    </row>
    <row r="163" spans="3:5">
      <c r="C163" s="2"/>
      <c r="E163" s="18"/>
    </row>
    <row r="164" spans="3:5">
      <c r="C164" s="2"/>
      <c r="E164" s="18"/>
    </row>
    <row r="165" spans="3:5">
      <c r="C165" s="2"/>
      <c r="E165" s="18"/>
    </row>
    <row r="166" spans="3:5">
      <c r="C166" s="2"/>
      <c r="E166" s="18"/>
    </row>
    <row r="167" spans="3:5">
      <c r="C167" s="2"/>
      <c r="E167" s="18"/>
    </row>
    <row r="168" spans="3:5">
      <c r="C168" s="2"/>
      <c r="E168" s="18"/>
    </row>
    <row r="169" spans="3:5">
      <c r="C169" s="2"/>
      <c r="E169" s="18"/>
    </row>
    <row r="170" spans="3:5">
      <c r="C170" s="2"/>
      <c r="E170" s="18"/>
    </row>
    <row r="171" spans="3:5">
      <c r="C171" s="2"/>
      <c r="E171" s="18"/>
    </row>
    <row r="172" spans="3:5">
      <c r="C172" s="2"/>
      <c r="E172" s="18"/>
    </row>
    <row r="173" spans="3:5">
      <c r="C173" s="2"/>
      <c r="E173" s="18"/>
    </row>
    <row r="174" spans="3:5">
      <c r="C174" s="2"/>
      <c r="E174" s="18"/>
    </row>
    <row r="175" spans="3:5">
      <c r="C175" s="2"/>
      <c r="E175" s="18"/>
    </row>
    <row r="176" spans="3:5">
      <c r="C176" s="2"/>
      <c r="E176" s="18"/>
    </row>
    <row r="177" spans="3:5">
      <c r="C177" s="2"/>
      <c r="E177" s="18"/>
    </row>
    <row r="178" spans="3:5">
      <c r="C178" s="2"/>
      <c r="E178" s="18"/>
    </row>
    <row r="179" spans="3:5">
      <c r="C179" s="2"/>
      <c r="E179" s="18"/>
    </row>
    <row r="180" spans="3:5">
      <c r="C180" s="2"/>
      <c r="E180" s="18"/>
    </row>
    <row r="181" spans="3:5">
      <c r="C181" s="2"/>
      <c r="E181" s="18"/>
    </row>
    <row r="182" spans="3:5">
      <c r="C182" s="2"/>
      <c r="E182" s="18"/>
    </row>
    <row r="183" spans="3:5">
      <c r="C183" s="2"/>
      <c r="E183" s="18"/>
    </row>
    <row r="184" spans="3:5">
      <c r="C184" s="2"/>
      <c r="E184" s="18"/>
    </row>
    <row r="185" spans="3:5">
      <c r="C185" s="2"/>
      <c r="E185" s="18"/>
    </row>
    <row r="186" spans="3:5">
      <c r="C186" s="2"/>
      <c r="E186" s="18"/>
    </row>
    <row r="187" spans="3:5">
      <c r="C187" s="2"/>
      <c r="E187" s="18"/>
    </row>
    <row r="188" spans="3:5">
      <c r="C188" s="2"/>
      <c r="E188" s="18"/>
    </row>
    <row r="189" spans="3:5">
      <c r="C189" s="2"/>
      <c r="E189" s="18"/>
    </row>
    <row r="190" spans="3:5">
      <c r="C190" s="2"/>
      <c r="E190" s="18"/>
    </row>
    <row r="191" spans="3:5">
      <c r="C191" s="2"/>
      <c r="E191" s="18"/>
    </row>
    <row r="192" spans="3:5">
      <c r="C192" s="2"/>
      <c r="E192" s="18"/>
    </row>
    <row r="193" spans="3:5">
      <c r="C193" s="2"/>
      <c r="E193" s="18"/>
    </row>
    <row r="194" spans="3:5">
      <c r="C194" s="2"/>
      <c r="E194" s="18"/>
    </row>
    <row r="195" spans="3:5">
      <c r="C195" s="2"/>
      <c r="E195" s="18"/>
    </row>
    <row r="196" spans="3:5">
      <c r="C196" s="2"/>
      <c r="E196" s="18"/>
    </row>
    <row r="197" spans="3:5">
      <c r="C197" s="2"/>
      <c r="E197" s="18"/>
    </row>
    <row r="198" spans="3:5">
      <c r="C198" s="2"/>
      <c r="E198" s="18"/>
    </row>
    <row r="199" spans="3:5">
      <c r="C199" s="2"/>
      <c r="E199" s="18"/>
    </row>
    <row r="200" spans="3:5">
      <c r="C200" s="2"/>
      <c r="E200" s="18"/>
    </row>
    <row r="201" spans="3:5">
      <c r="C201" s="2"/>
      <c r="E201" s="18"/>
    </row>
    <row r="202" spans="3:5">
      <c r="C202" s="2"/>
      <c r="E202" s="18"/>
    </row>
    <row r="203" spans="3:5">
      <c r="C203" s="2"/>
      <c r="E203" s="18"/>
    </row>
    <row r="204" spans="3:5">
      <c r="C204" s="2"/>
      <c r="E204" s="18"/>
    </row>
    <row r="205" spans="3:5">
      <c r="C205" s="2"/>
      <c r="E205" s="18"/>
    </row>
    <row r="206" spans="3:5">
      <c r="C206" s="2"/>
      <c r="E206" s="18"/>
    </row>
    <row r="207" spans="3:5">
      <c r="C207" s="2"/>
      <c r="E207" s="18"/>
    </row>
    <row r="208" spans="3:5">
      <c r="C208" s="2"/>
      <c r="E208" s="18"/>
    </row>
    <row r="209" spans="3:5">
      <c r="C209" s="2"/>
      <c r="E209" s="18"/>
    </row>
    <row r="210" spans="3:5">
      <c r="C210" s="2"/>
      <c r="E210" s="18"/>
    </row>
    <row r="211" spans="3:5">
      <c r="C211" s="2"/>
      <c r="E211" s="18"/>
    </row>
    <row r="212" spans="3:5">
      <c r="C212" s="2"/>
      <c r="E212" s="18"/>
    </row>
    <row r="213" spans="3:5">
      <c r="C213" s="2"/>
      <c r="E213" s="18"/>
    </row>
    <row r="214" spans="3:5">
      <c r="C214" s="2"/>
      <c r="E214" s="18"/>
    </row>
    <row r="215" spans="3:5">
      <c r="C215" s="2"/>
      <c r="E215" s="18"/>
    </row>
    <row r="216" spans="3:5">
      <c r="C216" s="2"/>
      <c r="E216" s="18"/>
    </row>
    <row r="217" spans="3:5">
      <c r="C217" s="2"/>
      <c r="E217" s="18"/>
    </row>
    <row r="218" spans="3:5">
      <c r="C218" s="2"/>
      <c r="E218" s="18"/>
    </row>
    <row r="219" spans="3:5">
      <c r="C219" s="2"/>
      <c r="E219" s="18"/>
    </row>
    <row r="220" spans="3:5">
      <c r="C220" s="2"/>
      <c r="E220" s="18"/>
    </row>
    <row r="221" spans="3:5">
      <c r="C221" s="2"/>
      <c r="E221" s="18"/>
    </row>
    <row r="222" spans="3:5">
      <c r="C222" s="2"/>
    </row>
    <row r="223" spans="3:5">
      <c r="C223" s="2"/>
    </row>
    <row r="224" spans="3:5">
      <c r="C224" s="2"/>
    </row>
    <row r="225" spans="3:3">
      <c r="C225" s="2"/>
    </row>
    <row r="226" spans="3:3">
      <c r="C226" s="2"/>
    </row>
    <row r="227" spans="3:3">
      <c r="C227" s="2"/>
    </row>
    <row r="228" spans="3:3">
      <c r="C228" s="2"/>
    </row>
    <row r="229" spans="3:3">
      <c r="C229" s="2"/>
    </row>
    <row r="230" spans="3:3">
      <c r="C230" s="2"/>
    </row>
    <row r="231" spans="3:3">
      <c r="C231" s="2"/>
    </row>
    <row r="232" spans="3:3">
      <c r="C232" s="2"/>
    </row>
    <row r="233" spans="3:3">
      <c r="C233" s="2"/>
    </row>
    <row r="234" spans="3:3">
      <c r="C234" s="2"/>
    </row>
    <row r="235" spans="3:3">
      <c r="C235" s="2"/>
    </row>
    <row r="236" spans="3:3">
      <c r="C236" s="2"/>
    </row>
    <row r="237" spans="3:3">
      <c r="C237" s="2"/>
    </row>
    <row r="238" spans="3:3">
      <c r="C238" s="2"/>
    </row>
    <row r="239" spans="3:3">
      <c r="C239" s="2"/>
    </row>
    <row r="240" spans="3:3">
      <c r="C240" s="2"/>
    </row>
    <row r="241" spans="3:3">
      <c r="C241" s="2"/>
    </row>
    <row r="242" spans="3:3">
      <c r="C242" s="2"/>
    </row>
    <row r="243" spans="3:3">
      <c r="C243" s="2"/>
    </row>
    <row r="244" spans="3:3">
      <c r="C244" s="2"/>
    </row>
    <row r="245" spans="3:3">
      <c r="C245" s="2"/>
    </row>
    <row r="246" spans="3:3">
      <c r="C246" s="2"/>
    </row>
    <row r="247" spans="3:3">
      <c r="C247" s="2"/>
    </row>
    <row r="248" spans="3:3">
      <c r="C248" s="2"/>
    </row>
    <row r="249" spans="3:3">
      <c r="C249" s="2"/>
    </row>
    <row r="250" spans="3:3">
      <c r="C250" s="2"/>
    </row>
    <row r="251" spans="3:3">
      <c r="C251" s="2"/>
    </row>
    <row r="252" spans="3:3">
      <c r="C252" s="2"/>
    </row>
    <row r="253" spans="3:3">
      <c r="C253" s="2"/>
    </row>
    <row r="254" spans="3:3">
      <c r="C254" s="2"/>
    </row>
    <row r="255" spans="3:3">
      <c r="C255" s="2"/>
    </row>
    <row r="256" spans="3:3">
      <c r="C256" s="2"/>
    </row>
    <row r="257" spans="3:5">
      <c r="C257" s="2"/>
    </row>
    <row r="258" spans="3:5">
      <c r="C258" s="2"/>
    </row>
    <row r="259" spans="3:5">
      <c r="C259" s="2"/>
    </row>
    <row r="260" spans="3:5">
      <c r="C260" s="2"/>
    </row>
    <row r="261" spans="3:5">
      <c r="C261" s="2"/>
    </row>
    <row r="262" spans="3:5">
      <c r="C262" s="2"/>
    </row>
    <row r="263" spans="3:5">
      <c r="C263" s="2"/>
      <c r="E263" s="18"/>
    </row>
    <row r="264" spans="3:5">
      <c r="C264" s="2"/>
      <c r="E264" s="18"/>
    </row>
    <row r="265" spans="3:5">
      <c r="C265" s="2"/>
      <c r="E265" s="18"/>
    </row>
    <row r="266" spans="3:5">
      <c r="C266" s="2"/>
      <c r="E266" s="18"/>
    </row>
    <row r="267" spans="3:5">
      <c r="C267" s="2"/>
      <c r="E267" s="18"/>
    </row>
    <row r="268" spans="3:5">
      <c r="C268" s="2"/>
      <c r="E268" s="18"/>
    </row>
    <row r="269" spans="3:5">
      <c r="C269" s="2"/>
      <c r="E269" s="18"/>
    </row>
    <row r="270" spans="3:5">
      <c r="C270" s="2"/>
      <c r="E270" s="18"/>
    </row>
    <row r="271" spans="3:5">
      <c r="C271" s="2"/>
      <c r="E271" s="18"/>
    </row>
    <row r="272" spans="3:5">
      <c r="C272" s="2"/>
      <c r="E272" s="18"/>
    </row>
    <row r="273" spans="3:5">
      <c r="C273" s="2"/>
      <c r="E273" s="18"/>
    </row>
    <row r="274" spans="3:5">
      <c r="C274" s="2"/>
      <c r="E274" s="18"/>
    </row>
    <row r="275" spans="3:5">
      <c r="C275" s="2"/>
      <c r="E275" s="18"/>
    </row>
    <row r="276" spans="3:5">
      <c r="C276" s="2"/>
      <c r="E276" s="18"/>
    </row>
    <row r="277" spans="3:5">
      <c r="C277" s="2"/>
      <c r="E277" s="18"/>
    </row>
    <row r="278" spans="3:5">
      <c r="C278" s="2"/>
      <c r="E278" s="18"/>
    </row>
    <row r="279" spans="3:5">
      <c r="C279" s="2"/>
      <c r="E279" s="18"/>
    </row>
    <row r="280" spans="3:5">
      <c r="C280" s="2"/>
      <c r="E280" s="18"/>
    </row>
    <row r="281" spans="3:5">
      <c r="C281" s="2"/>
      <c r="E281" s="18"/>
    </row>
    <row r="282" spans="3:5">
      <c r="C282" s="2"/>
      <c r="E282" s="18"/>
    </row>
    <row r="283" spans="3:5">
      <c r="C283" s="2"/>
      <c r="E283" s="18"/>
    </row>
    <row r="284" spans="3:5">
      <c r="C284" s="2"/>
      <c r="E284" s="18"/>
    </row>
    <row r="285" spans="3:5">
      <c r="C285" s="2"/>
      <c r="E285" s="18"/>
    </row>
    <row r="286" spans="3:5">
      <c r="C286" s="2"/>
      <c r="E286" s="18"/>
    </row>
    <row r="287" spans="3:5">
      <c r="C287" s="2"/>
      <c r="E287" s="18"/>
    </row>
    <row r="288" spans="3:5">
      <c r="C288" s="2"/>
      <c r="E288" s="18"/>
    </row>
    <row r="289" spans="3:5">
      <c r="C289" s="2"/>
      <c r="E289" s="18"/>
    </row>
    <row r="290" spans="3:5">
      <c r="C290" s="2"/>
      <c r="E290" s="18"/>
    </row>
    <row r="291" spans="3:5">
      <c r="C291" s="2"/>
      <c r="E291" s="18"/>
    </row>
    <row r="292" spans="3:5">
      <c r="C292" s="2"/>
      <c r="E292" s="18"/>
    </row>
    <row r="293" spans="3:5">
      <c r="C293" s="2"/>
      <c r="E293" s="18"/>
    </row>
    <row r="294" spans="3:5">
      <c r="C294" s="2"/>
      <c r="E294" s="18"/>
    </row>
    <row r="295" spans="3:5">
      <c r="C295" s="2"/>
      <c r="E295" s="18"/>
    </row>
    <row r="296" spans="3:5">
      <c r="C296" s="2"/>
      <c r="E296" s="18"/>
    </row>
    <row r="297" spans="3:5">
      <c r="C297" s="2"/>
      <c r="E297" s="18"/>
    </row>
    <row r="298" spans="3:5">
      <c r="C298" s="2"/>
      <c r="E298" s="18"/>
    </row>
    <row r="299" spans="3:5">
      <c r="C299" s="2"/>
      <c r="E299" s="18"/>
    </row>
    <row r="300" spans="3:5">
      <c r="C300" s="2"/>
      <c r="E300" s="18"/>
    </row>
    <row r="301" spans="3:5">
      <c r="C301" s="2"/>
      <c r="E301" s="18"/>
    </row>
    <row r="302" spans="3:5">
      <c r="C302" s="2"/>
      <c r="E302" s="18"/>
    </row>
    <row r="303" spans="3:5">
      <c r="C303" s="2"/>
      <c r="E303" s="18"/>
    </row>
    <row r="304" spans="3:5">
      <c r="C304" s="2"/>
      <c r="E304" s="18"/>
    </row>
    <row r="305" spans="3:5">
      <c r="C305" s="2"/>
      <c r="E305" s="18"/>
    </row>
    <row r="306" spans="3:5">
      <c r="C306" s="2"/>
      <c r="E306" s="18"/>
    </row>
    <row r="307" spans="3:5">
      <c r="C307" s="2"/>
      <c r="E307" s="18"/>
    </row>
    <row r="308" spans="3:5">
      <c r="C308" s="2"/>
      <c r="E308" s="18"/>
    </row>
    <row r="309" spans="3:5">
      <c r="C309" s="2"/>
      <c r="E309" s="18"/>
    </row>
    <row r="310" spans="3:5">
      <c r="C310" s="2"/>
      <c r="E310" s="18"/>
    </row>
    <row r="311" spans="3:5">
      <c r="C311" s="2"/>
      <c r="E311" s="18"/>
    </row>
    <row r="312" spans="3:5">
      <c r="C312" s="2"/>
      <c r="E312" s="18"/>
    </row>
    <row r="313" spans="3:5">
      <c r="C313" s="2"/>
      <c r="E313" s="18"/>
    </row>
    <row r="314" spans="3:5">
      <c r="C314" s="2"/>
      <c r="E314" s="18"/>
    </row>
    <row r="315" spans="3:5">
      <c r="C315" s="2"/>
      <c r="E315" s="18"/>
    </row>
    <row r="316" spans="3:5">
      <c r="C316" s="2"/>
      <c r="E316" s="18"/>
    </row>
    <row r="317" spans="3:5">
      <c r="C317" s="2"/>
      <c r="E317" s="18"/>
    </row>
    <row r="318" spans="3:5">
      <c r="C318" s="2"/>
      <c r="E318" s="18"/>
    </row>
    <row r="319" spans="3:5">
      <c r="C319" s="2"/>
      <c r="E319" s="18"/>
    </row>
    <row r="320" spans="3:5">
      <c r="C320" s="2"/>
      <c r="E320" s="18"/>
    </row>
    <row r="321" spans="3:5">
      <c r="C321" s="2"/>
      <c r="E321" s="18"/>
    </row>
    <row r="322" spans="3:5">
      <c r="C322" s="2"/>
      <c r="E322" s="18"/>
    </row>
    <row r="323" spans="3:5">
      <c r="C323" s="2"/>
      <c r="E323" s="18"/>
    </row>
    <row r="324" spans="3:5">
      <c r="C324" s="2"/>
      <c r="E324" s=" 18"/>
    </row>
    <row r="325" spans="3:5">
      <c r="C325" s="2"/>
      <c r="E325" s="18"/>
    </row>
    <row r="326" spans="3:5">
      <c r="C326" s="2"/>
      <c r="E326" s="18"/>
    </row>
    <row r="327" spans="3:5">
      <c r="C327" s="2"/>
      <c r="E327" s="18"/>
    </row>
    <row r="328" spans="3:5">
      <c r="C328" s="2"/>
      <c r="E328" s="18"/>
    </row>
    <row r="329" spans="3:5">
      <c r="C329" s="2"/>
      <c r="E329" s="18"/>
    </row>
    <row r="330" spans="3:5">
      <c r="C330" s="2"/>
      <c r="E330" s="18"/>
    </row>
    <row r="331" spans="3:5">
      <c r="C331" s="2"/>
      <c r="E331" s="18"/>
    </row>
    <row r="332" spans="3:5">
      <c r="C332" s="2"/>
      <c r="E332" s="18"/>
    </row>
    <row r="333" spans="3:5">
      <c r="C333" s="2"/>
      <c r="E333" s="18"/>
    </row>
    <row r="334" spans="3:5">
      <c r="C334" s="2"/>
      <c r="E334" s="18"/>
    </row>
    <row r="335" spans="3:5">
      <c r="C335" s="2"/>
      <c r="E335" s="18"/>
    </row>
    <row r="336" spans="3:5">
      <c r="C336" s="2"/>
      <c r="E336" s="18"/>
    </row>
    <row r="337" spans="3:5">
      <c r="C337" s="2"/>
      <c r="E337" s="18"/>
    </row>
    <row r="338" spans="3:5">
      <c r="C338" s="2"/>
      <c r="E338" s="18"/>
    </row>
    <row r="339" spans="3:5">
      <c r="C339" s="2"/>
      <c r="E339" s="18"/>
    </row>
    <row r="340" spans="3:5">
      <c r="C340" s="2"/>
      <c r="E340" s="18"/>
    </row>
    <row r="341" spans="3:5">
      <c r="C341" s="2"/>
      <c r="E341" s="18"/>
    </row>
    <row r="342" spans="3:5">
      <c r="C342" s="2"/>
      <c r="E342" s="18"/>
    </row>
    <row r="343" spans="3:5">
      <c r="C343" s="2"/>
      <c r="E343" s="18"/>
    </row>
    <row r="344" spans="3:5">
      <c r="C344" s="2"/>
      <c r="E344" s="18"/>
    </row>
    <row r="345" spans="3:5">
      <c r="C345" s="2"/>
      <c r="E345" s="18"/>
    </row>
    <row r="346" spans="3:5">
      <c r="C346" s="2"/>
      <c r="E346" s="18"/>
    </row>
    <row r="347" spans="3:5">
      <c r="C347" s="2"/>
      <c r="E347" s="18"/>
    </row>
    <row r="348" spans="3:5">
      <c r="C348" s="2"/>
      <c r="E348" s="18"/>
    </row>
    <row r="349" spans="3:5">
      <c r="C349" s="2"/>
      <c r="E349" s="18"/>
    </row>
    <row r="350" spans="3:5">
      <c r="C350" s="2"/>
      <c r="E350" s="18"/>
    </row>
    <row r="351" spans="3:5">
      <c r="C351" s="2"/>
      <c r="E351" s="18"/>
    </row>
    <row r="352" spans="3:5">
      <c r="C352" s="2"/>
      <c r="E352" s="18"/>
    </row>
    <row r="353" spans="3:5">
      <c r="C353" s="2"/>
      <c r="E353" s="18"/>
    </row>
    <row r="354" spans="3:5">
      <c r="C354" s="2"/>
      <c r="E354" s="18"/>
    </row>
    <row r="355" spans="3:5">
      <c r="C355" s="2"/>
      <c r="E355" s="18"/>
    </row>
    <row r="356" spans="3:5">
      <c r="C356" s="2"/>
      <c r="E356" s="18"/>
    </row>
    <row r="357" spans="3:5">
      <c r="C357" s="2"/>
      <c r="E357" s="18"/>
    </row>
    <row r="358" spans="3:5">
      <c r="C358" s="2"/>
      <c r="E358" s="18"/>
    </row>
    <row r="359" spans="3:5">
      <c r="C359" s="2"/>
      <c r="E359" s="18"/>
    </row>
    <row r="360" spans="3:5">
      <c r="C360" s="2"/>
      <c r="E360" s="18"/>
    </row>
    <row r="361" spans="3:5">
      <c r="C361" s="2"/>
      <c r="E361" s="18"/>
    </row>
    <row r="362" spans="3:5">
      <c r="C362" s="2"/>
      <c r="E362" s="18"/>
    </row>
    <row r="363" spans="3:5">
      <c r="C363" s="2"/>
      <c r="E363" s="18"/>
    </row>
    <row r="364" spans="3:5">
      <c r="C364" s="2"/>
      <c r="E364" s="18"/>
    </row>
    <row r="365" spans="3:5">
      <c r="C365" s="2"/>
      <c r="E365" s="18"/>
    </row>
    <row r="366" spans="3:5">
      <c r="C366" s="2"/>
      <c r="E366" s="18"/>
    </row>
    <row r="367" spans="3:5">
      <c r="C367" s="2"/>
      <c r="E367" s="18"/>
    </row>
    <row r="368" spans="3:5">
      <c r="C368" s="2"/>
      <c r="E368" s="18"/>
    </row>
    <row r="369" spans="3:5">
      <c r="C369" s="2"/>
      <c r="E369" s="18"/>
    </row>
    <row r="370" spans="3:5">
      <c r="C370" s="2"/>
      <c r="E370" s="18"/>
    </row>
    <row r="371" spans="3:5">
      <c r="C371" s="2"/>
      <c r="E371" s="18"/>
    </row>
    <row r="372" spans="3:5">
      <c r="C372" s="2"/>
      <c r="E372" s="18"/>
    </row>
    <row r="373" spans="3:5">
      <c r="C373" s="2"/>
      <c r="E373" s="18"/>
    </row>
    <row r="374" spans="3:5">
      <c r="C374" s="2"/>
      <c r="E374" s="18"/>
    </row>
    <row r="375" spans="3:5">
      <c r="C375" s="2"/>
      <c r="E375" s="18"/>
    </row>
    <row r="376" spans="3:5">
      <c r="C376" s="2"/>
      <c r="E376" s="18"/>
    </row>
    <row r="377" spans="3:5">
      <c r="C377" s="2"/>
      <c r="E377" s="18"/>
    </row>
    <row r="378" spans="3:5">
      <c r="C378" s="2"/>
      <c r="E378" s="18"/>
    </row>
    <row r="379" spans="3:5">
      <c r="C379" s="2"/>
      <c r="E379" s="18"/>
    </row>
    <row r="380" spans="3:5">
      <c r="C380" s="2"/>
      <c r="E380" s="18"/>
    </row>
    <row r="381" spans="3:5">
      <c r="C381" s="2"/>
      <c r="E381" s="18"/>
    </row>
    <row r="382" spans="3:5">
      <c r="C382" s="2"/>
      <c r="E382" s="18"/>
    </row>
    <row r="383" spans="3:5">
      <c r="C383" s="2"/>
      <c r="E383" s="18"/>
    </row>
    <row r="384" spans="3:5">
      <c r="C384" s="2"/>
      <c r="E384" s="18"/>
    </row>
    <row r="385" spans="3:5">
      <c r="C385" s="2"/>
      <c r="E385" s="18"/>
    </row>
    <row r="386" spans="3:5">
      <c r="C386" s="2"/>
      <c r="E386" s="18"/>
    </row>
    <row r="387" spans="3:5">
      <c r="C387" s="2"/>
      <c r="E387" s="18"/>
    </row>
    <row r="388" spans="3:5">
      <c r="C388" s="2"/>
      <c r="E388" s="18"/>
    </row>
    <row r="389" spans="3:5">
      <c r="C389" s="2"/>
      <c r="E389" s="18"/>
    </row>
    <row r="390" spans="3:5">
      <c r="C390" s="2"/>
      <c r="E390" s="18"/>
    </row>
    <row r="391" spans="3:5">
      <c r="C391" s="2"/>
      <c r="E391" s="18"/>
    </row>
    <row r="392" spans="3:5">
      <c r="C392" s="2"/>
      <c r="E392" s="18"/>
    </row>
    <row r="393" spans="3:5">
      <c r="C393" s="2"/>
      <c r="E393" s="18"/>
    </row>
    <row r="394" spans="3:5">
      <c r="C394" s="2"/>
      <c r="E394" s="18"/>
    </row>
    <row r="395" spans="3:5">
      <c r="C395" s="2"/>
      <c r="E395" s="18"/>
    </row>
    <row r="396" spans="3:5">
      <c r="C396" s="2"/>
      <c r="E396" s="18"/>
    </row>
    <row r="397" spans="3:5">
      <c r="C397" s="2"/>
      <c r="E397" s="18"/>
    </row>
    <row r="398" spans="3:5">
      <c r="C398" s="2"/>
      <c r="E398" s="18"/>
    </row>
    <row r="399" spans="3:5">
      <c r="C399" s="2"/>
      <c r="E399" s="18"/>
    </row>
    <row r="400" spans="3:5">
      <c r="C400" s="2"/>
      <c r="E400" s="18"/>
    </row>
    <row r="401" spans="3:5">
      <c r="C401" s="2"/>
      <c r="E401" s="18"/>
    </row>
    <row r="402" spans="3:5">
      <c r="C402" s="2"/>
      <c r="E402" s="18"/>
    </row>
    <row r="403" spans="3:5">
      <c r="C403" s="2"/>
      <c r="E403" s="18"/>
    </row>
    <row r="404" spans="3:5">
      <c r="C404" s="2"/>
      <c r="E404" s="18"/>
    </row>
    <row r="405" spans="3:5">
      <c r="C405" s="2"/>
      <c r="E405" s="18"/>
    </row>
    <row r="406" spans="3:5">
      <c r="C406" s="2"/>
      <c r="E406" s="18"/>
    </row>
    <row r="407" spans="3:5">
      <c r="C407" s="2"/>
      <c r="E407" s="18"/>
    </row>
    <row r="408" spans="3:5">
      <c r="C408" s="2"/>
      <c r="E408" s="18"/>
    </row>
    <row r="409" spans="3:5">
      <c r="C409" s="2"/>
      <c r="E409" s="18"/>
    </row>
    <row r="410" spans="3:5">
      <c r="C410" s="2"/>
      <c r="E410" s="18"/>
    </row>
    <row r="411" spans="3:5">
      <c r="C411" s="2"/>
      <c r="E411" s="18"/>
    </row>
    <row r="412" spans="3:5">
      <c r="C412" s="2"/>
      <c r="E412" s="18"/>
    </row>
    <row r="413" spans="3:5">
      <c r="C413" s="2"/>
      <c r="E413" s="18"/>
    </row>
    <row r="414" spans="3:5">
      <c r="C414" s="2"/>
      <c r="E414" s="18"/>
    </row>
    <row r="415" spans="3:5">
      <c r="C415" s="2"/>
      <c r="E415" s="18"/>
    </row>
    <row r="416" spans="3:5">
      <c r="C416" s="2"/>
      <c r="E416" s="18"/>
    </row>
    <row r="417" spans="3:5">
      <c r="C417" s="2"/>
      <c r="E417" s="18"/>
    </row>
    <row r="418" spans="3:5">
      <c r="C418" s="2"/>
      <c r="E418" s="18"/>
    </row>
    <row r="419" spans="3:5">
      <c r="C419" s="2"/>
      <c r="E419" s="18"/>
    </row>
    <row r="420" spans="3:5">
      <c r="C420" s="2"/>
      <c r="E420" s="18"/>
    </row>
    <row r="421" spans="3:5">
      <c r="C421" s="2"/>
      <c r="E421" s="18"/>
    </row>
    <row r="422" spans="3:5">
      <c r="C422" s="2"/>
      <c r="E422" s="18"/>
    </row>
    <row r="423" spans="3:5">
      <c r="C423" s="2"/>
      <c r="E423" s="18"/>
    </row>
    <row r="424" spans="3:5">
      <c r="C424" s="2"/>
      <c r="E424" s="18"/>
    </row>
    <row r="425" spans="3:5">
      <c r="C425" s="2"/>
      <c r="E425" s="18"/>
    </row>
    <row r="426" spans="3:5">
      <c r="C426" s="2"/>
      <c r="E426" s="18"/>
    </row>
    <row r="427" spans="3:5">
      <c r="C427" s="2"/>
      <c r="E427" s="18"/>
    </row>
    <row r="428" spans="3:5">
      <c r="C428" s="2"/>
      <c r="E428" s="18"/>
    </row>
    <row r="429" spans="3:5">
      <c r="C429" s="2"/>
      <c r="E429" s="18"/>
    </row>
    <row r="430" spans="3:5">
      <c r="C430" s="2"/>
      <c r="E430" s="18"/>
    </row>
    <row r="431" spans="3:5">
      <c r="C431" s="2"/>
      <c r="E431" s="18"/>
    </row>
    <row r="432" spans="3:5">
      <c r="C432" s="2"/>
      <c r="E432" s="18"/>
    </row>
    <row r="433" spans="3:5">
      <c r="C433" s="2"/>
      <c r="E433" s="18"/>
    </row>
    <row r="434" spans="3:5">
      <c r="C434" s="2"/>
      <c r="E434" s="18"/>
    </row>
    <row r="435" spans="3:5">
      <c r="C435" s="2"/>
      <c r="E435" s="18"/>
    </row>
    <row r="436" spans="3:5">
      <c r="C436" s="2"/>
      <c r="E436" s="18"/>
    </row>
    <row r="437" spans="3:5">
      <c r="C437" s="2"/>
      <c r="E437" s="18"/>
    </row>
    <row r="438" spans="3:5">
      <c r="C438" s="2"/>
      <c r="E438" s="18"/>
    </row>
    <row r="439" spans="3:5">
      <c r="C439" s="2"/>
      <c r="E439" s="18"/>
    </row>
    <row r="440" spans="3:5">
      <c r="C440" s="2"/>
      <c r="E440" s="18"/>
    </row>
    <row r="441" spans="3:5">
      <c r="C441" s="2"/>
      <c r="E441" s="18"/>
    </row>
    <row r="442" spans="3:5">
      <c r="C442" s="2"/>
      <c r="E442" s="18"/>
    </row>
    <row r="443" spans="3:5">
      <c r="C443" s="2"/>
      <c r="E443" s="18"/>
    </row>
    <row r="444" spans="3:5">
      <c r="C444" s="2"/>
      <c r="E444" s="18"/>
    </row>
    <row r="445" spans="3:5">
      <c r="C445" s="2"/>
      <c r="E445" s="18"/>
    </row>
    <row r="446" spans="3:5">
      <c r="C446" s="2"/>
      <c r="E446" s="18"/>
    </row>
    <row r="447" spans="3:5">
      <c r="C447" s="2"/>
      <c r="E447" s="18"/>
    </row>
    <row r="448" spans="3:5">
      <c r="C448" s="2"/>
      <c r="E448" s="18"/>
    </row>
    <row r="449" spans="3:5">
      <c r="C449" s="2"/>
      <c r="E449" s="18"/>
    </row>
    <row r="450" spans="3:5">
      <c r="C450" s="2"/>
      <c r="E450" s="18"/>
    </row>
    <row r="451" spans="3:5">
      <c r="C451" s="2"/>
      <c r="E451" s="18"/>
    </row>
    <row r="452" spans="3:5">
      <c r="C452" s="2"/>
      <c r="E452" s="18"/>
    </row>
    <row r="453" spans="3:5">
      <c r="C453" s="2"/>
      <c r="E453" s="18"/>
    </row>
    <row r="454" spans="3:5">
      <c r="C454" s="2"/>
      <c r="E454" s="18"/>
    </row>
    <row r="455" spans="3:5">
      <c r="C455" s="2"/>
      <c r="E455" s="18"/>
    </row>
    <row r="456" spans="3:5">
      <c r="C456" s="2"/>
      <c r="E456" s="18"/>
    </row>
    <row r="457" spans="3:5">
      <c r="C457" s="2"/>
      <c r="E457" s="18"/>
    </row>
    <row r="458" spans="3:5">
      <c r="C458" s="2"/>
      <c r="E458" s="18"/>
    </row>
    <row r="459" spans="3:5">
      <c r="C459" s="2"/>
      <c r="E459" s="18"/>
    </row>
    <row r="460" spans="3:5">
      <c r="C460" s="2"/>
      <c r="E460" s="18"/>
    </row>
    <row r="461" spans="3:5">
      <c r="C461" s="2"/>
      <c r="E461" s="18"/>
    </row>
    <row r="462" spans="3:5">
      <c r="C462" s="2"/>
      <c r="E462" s="18"/>
    </row>
    <row r="463" spans="3:5">
      <c r="C463" s="2"/>
      <c r="E463" s="18"/>
    </row>
    <row r="464" spans="3:5">
      <c r="C464" s="2"/>
      <c r="E464" s="18"/>
    </row>
    <row r="465" spans="2:5">
      <c r="C465" s="2"/>
      <c r="E465" s="18"/>
    </row>
    <row r="466" spans="2:5">
      <c r="C466" s="2"/>
      <c r="E466" s="18"/>
    </row>
    <row r="467" spans="2:5">
      <c r="C467" s="2"/>
      <c r="E467" s="18"/>
    </row>
    <row r="468" spans="2:5">
      <c r="C468" s="2"/>
      <c r="E468" s="18"/>
    </row>
    <row r="469" spans="2:5">
      <c r="C469" s="2"/>
      <c r="E469" s="18"/>
    </row>
    <row r="470" spans="2:5">
      <c r="C470" s="2"/>
      <c r="E470" s="18"/>
    </row>
    <row r="471" spans="2:5">
      <c r="C471" s="2"/>
      <c r="E471" s="18"/>
    </row>
    <row r="472" spans="2:5">
      <c r="B472" s="18"/>
    </row>
    <row r="474" spans="2:5">
      <c r="C474" s="2"/>
    </row>
    <row r="475" spans="2:5">
      <c r="B475" s="18"/>
    </row>
    <row r="477" spans="2:5">
      <c r="C477" s="2"/>
    </row>
    <row r="478" spans="2:5">
      <c r="B478" s="18"/>
    </row>
    <row r="480" spans="2:5">
      <c r="C480" s="2"/>
    </row>
    <row r="481" spans="2:3">
      <c r="B481" s="18"/>
    </row>
    <row r="483" spans="2:3">
      <c r="C483" s="2"/>
    </row>
    <row r="484" spans="2:3">
      <c r="B484" s="18"/>
    </row>
    <row r="486" spans="2:3">
      <c r="C486" s="2"/>
    </row>
    <row r="487" spans="2:3">
      <c r="B487" s="18"/>
    </row>
    <row r="489" spans="2:3">
      <c r="C489" s="2"/>
    </row>
    <row r="490" spans="2:3">
      <c r="B490" s="18"/>
    </row>
    <row r="492" spans="2:3">
      <c r="C492" s="2"/>
    </row>
    <row r="493" spans="2:3">
      <c r="B493" s="18"/>
    </row>
    <row r="495" spans="2:3">
      <c r="C495" s="2"/>
    </row>
    <row r="496" spans="2:3">
      <c r="B496" s="18"/>
    </row>
    <row r="498" spans="2:3">
      <c r="C498" s="2"/>
    </row>
    <row r="499" spans="2:3">
      <c r="B499" s="18"/>
    </row>
    <row r="501" spans="2:3">
      <c r="C501" s="2"/>
    </row>
    <row r="502" spans="2:3">
      <c r="B502" s="18"/>
    </row>
    <row r="504" spans="2:3">
      <c r="C504" s="2"/>
    </row>
    <row r="505" spans="2:3">
      <c r="B505" s="18"/>
    </row>
    <row r="507" spans="2:3">
      <c r="C507" s="2"/>
    </row>
    <row r="508" spans="2:3">
      <c r="B508" s="18"/>
    </row>
    <row r="510" spans="2:3">
      <c r="C510" s="2"/>
    </row>
    <row r="511" spans="2:3">
      <c r="B511" s="18"/>
    </row>
    <row r="513" spans="2:3">
      <c r="C513" s="2"/>
    </row>
    <row r="514" spans="2:3">
      <c r="B514" s="18"/>
    </row>
    <row r="516" spans="2:3">
      <c r="C516" s="2"/>
    </row>
    <row r="517" spans="2:3">
      <c r="B517" s="18"/>
    </row>
    <row r="519" spans="2:3">
      <c r="C519" s="2"/>
    </row>
    <row r="520" spans="2:3">
      <c r="B520" s="18"/>
    </row>
    <row r="522" spans="2:3">
      <c r="C522" s="2"/>
    </row>
    <row r="523" spans="2:3">
      <c r="B523" s="18"/>
    </row>
    <row r="525" spans="2:3">
      <c r="C525" s="2"/>
    </row>
    <row r="526" spans="2:3">
      <c r="B526" s="18"/>
    </row>
    <row r="528" spans="2:3">
      <c r="C528" s="2"/>
    </row>
    <row r="529" spans="2:3">
      <c r="B529" s="18"/>
    </row>
    <row r="531" spans="2:3">
      <c r="C531" s="2"/>
    </row>
    <row r="532" spans="2:3">
      <c r="B532" s="18"/>
    </row>
    <row r="534" spans="2:3">
      <c r="C534" s="2"/>
    </row>
    <row r="535" spans="2:3">
      <c r="B535" s="18"/>
    </row>
    <row r="537" spans="2:3">
      <c r="C537" s="2"/>
    </row>
    <row r="538" spans="2:3">
      <c r="B538" s="18"/>
    </row>
    <row r="540" spans="2:3">
      <c r="C540" s="2"/>
    </row>
    <row r="541" spans="2:3">
      <c r="B541" s="18"/>
    </row>
    <row r="543" spans="2:3">
      <c r="C543" s="2"/>
    </row>
    <row r="544" spans="2:3">
      <c r="B544" s="18"/>
    </row>
    <row r="546" spans="2:3">
      <c r="C546" s="2"/>
    </row>
    <row r="547" spans="2:3">
      <c r="B547" s="18"/>
    </row>
    <row r="549" spans="2:3">
      <c r="C549" s="2"/>
    </row>
    <row r="550" spans="2:3">
      <c r="B550" s="18"/>
    </row>
    <row r="552" spans="2:3">
      <c r="C552" s="2"/>
    </row>
    <row r="553" spans="2:3">
      <c r="B553" s="18"/>
    </row>
    <row r="555" spans="2:3">
      <c r="C555" s="2"/>
    </row>
    <row r="556" spans="2:3">
      <c r="B556" s="18"/>
    </row>
    <row r="558" spans="2:3">
      <c r="C558" s="2"/>
    </row>
    <row r="559" spans="2:3">
      <c r="B559" s="18"/>
    </row>
    <row r="561" spans="2:3">
      <c r="C561" s="2"/>
    </row>
    <row r="562" spans="2:3">
      <c r="B562" s="18"/>
    </row>
    <row r="564" spans="2:3">
      <c r="C564" s="2"/>
    </row>
    <row r="565" spans="2:3">
      <c r="B565" s="18"/>
    </row>
    <row r="567" spans="2:3">
      <c r="C567" s="2"/>
    </row>
    <row r="568" spans="2:3">
      <c r="B568" s="18"/>
    </row>
    <row r="570" spans="2:3">
      <c r="C570" s="2"/>
    </row>
    <row r="571" spans="2:3">
      <c r="B571" s="18"/>
    </row>
    <row r="573" spans="2:3">
      <c r="C573" s="2"/>
    </row>
    <row r="574" spans="2:3">
      <c r="B574" s="18"/>
    </row>
    <row r="576" spans="2:3">
      <c r="C576" s="2"/>
    </row>
    <row r="577" spans="2:3">
      <c r="B577" s="18"/>
    </row>
    <row r="579" spans="2:3">
      <c r="C579" s="2"/>
    </row>
    <row r="580" spans="2:3">
      <c r="B580" s="18"/>
    </row>
    <row r="582" spans="2:3">
      <c r="C582" s="2"/>
    </row>
    <row r="583" spans="2:3">
      <c r="B583" s="18"/>
    </row>
    <row r="585" spans="2:3">
      <c r="C585" s="2"/>
    </row>
    <row r="586" spans="2:3">
      <c r="B586" s="18"/>
    </row>
    <row r="588" spans="2:3">
      <c r="C588" s="2"/>
    </row>
    <row r="589" spans="2:3">
      <c r="B589" s="18"/>
    </row>
    <row r="591" spans="2:3">
      <c r="C591" s="2"/>
    </row>
    <row r="592" spans="2:3">
      <c r="B592" s="18"/>
    </row>
    <row r="594" spans="2:3">
      <c r="C594" s="2"/>
    </row>
    <row r="595" spans="2:3">
      <c r="B595" s="18"/>
    </row>
    <row r="597" spans="2:3">
      <c r="C597" s="2"/>
    </row>
    <row r="598" spans="2:3">
      <c r="B598" s="18"/>
    </row>
    <row r="600" spans="2:3">
      <c r="C600" s="2"/>
    </row>
    <row r="601" spans="2:3">
      <c r="B601" s="18"/>
    </row>
    <row r="603" spans="2:3">
      <c r="C603" s="2"/>
    </row>
    <row r="604" spans="2:3">
      <c r="B604" s="18"/>
    </row>
    <row r="606" spans="2:3">
      <c r="C606" s="2"/>
    </row>
    <row r="607" spans="2:3">
      <c r="B607" s="18"/>
    </row>
    <row r="609" spans="2:3">
      <c r="C609" s="2"/>
    </row>
    <row r="610" spans="2:3">
      <c r="B610" s="18"/>
    </row>
    <row r="612" spans="2:3">
      <c r="C612" s="2"/>
    </row>
    <row r="613" spans="2:3">
      <c r="B613" s="18"/>
    </row>
    <row r="615" spans="2:3">
      <c r="C615" s="2"/>
    </row>
    <row r="616" spans="2:3">
      <c r="B616" s="18"/>
    </row>
    <row r="618" spans="2:3">
      <c r="C618" s="2"/>
    </row>
    <row r="619" spans="2:3">
      <c r="B619" s="18"/>
    </row>
    <row r="621" spans="2:3">
      <c r="C621" s="2"/>
    </row>
    <row r="622" spans="2:3">
      <c r="B622" s="18"/>
    </row>
    <row r="624" spans="2:3">
      <c r="C624" s="2"/>
    </row>
    <row r="625" spans="2:3">
      <c r="B625" s="18"/>
    </row>
    <row r="627" spans="2:3">
      <c r="C627" s="2"/>
    </row>
    <row r="628" spans="2:3">
      <c r="B628" s="18"/>
    </row>
    <row r="630" spans="2:3">
      <c r="C630" s="2"/>
    </row>
    <row r="631" spans="2:3">
      <c r="B631" s="18"/>
    </row>
    <row r="633" spans="2:3">
      <c r="C633" s="2"/>
    </row>
    <row r="634" spans="2:3">
      <c r="B634" s="18"/>
    </row>
    <row r="636" spans="2:3">
      <c r="C636" s="2"/>
    </row>
    <row r="637" spans="2:3">
      <c r="B637" s="18"/>
    </row>
    <row r="639" spans="2:3">
      <c r="C639" s="2"/>
    </row>
    <row r="640" spans="2:3">
      <c r="B640" s="18"/>
    </row>
    <row r="642" spans="2:3">
      <c r="C642" s="2"/>
    </row>
    <row r="643" spans="2:3">
      <c r="B643" s="18"/>
    </row>
    <row r="645" spans="2:3">
      <c r="C645" s="2"/>
    </row>
    <row r="646" spans="2:3">
      <c r="B646" s="18"/>
    </row>
    <row r="648" spans="2:3">
      <c r="C648" s="2"/>
    </row>
    <row r="649" spans="2:3">
      <c r="B649" s="18"/>
    </row>
    <row r="651" spans="2:3">
      <c r="C651" s="2"/>
    </row>
    <row r="652" spans="2:3">
      <c r="B652" s="18"/>
    </row>
    <row r="654" spans="2:3">
      <c r="C654" s="2"/>
    </row>
    <row r="655" spans="2:3">
      <c r="B655" s="18"/>
    </row>
    <row r="657" spans="2:3">
      <c r="C657" s="2"/>
    </row>
    <row r="658" spans="2:3">
      <c r="B658" s="18"/>
    </row>
    <row r="660" spans="2:3">
      <c r="C660" s="2"/>
    </row>
    <row r="661" spans="2:3">
      <c r="B661" s="18"/>
    </row>
    <row r="663" spans="2:3">
      <c r="C663" s="2"/>
    </row>
    <row r="664" spans="2:3">
      <c r="B664" s="18"/>
    </row>
    <row r="666" spans="2:3">
      <c r="C666" s="2"/>
    </row>
    <row r="667" spans="2:3">
      <c r="B667" s="18"/>
    </row>
    <row r="669" spans="2:3">
      <c r="C669" s="2"/>
    </row>
    <row r="670" spans="2:3">
      <c r="B670" s="18"/>
    </row>
    <row r="672" spans="2:3">
      <c r="C672" s="2"/>
    </row>
    <row r="673" spans="2:3">
      <c r="B673" s="18"/>
    </row>
    <row r="675" spans="2:3">
      <c r="C675" s="2"/>
    </row>
    <row r="678" spans="2:3">
      <c r="C678" s="2"/>
    </row>
    <row r="681" spans="2:3">
      <c r="C681" s="2"/>
    </row>
    <row r="684" spans="2:3">
      <c r="C684" s="2"/>
    </row>
    <row r="687" spans="2:3">
      <c r="C687" s="2"/>
    </row>
    <row r="690" spans="3:3">
      <c r="C690" s="2"/>
    </row>
    <row r="693" spans="3:3">
      <c r="C693" s="2"/>
    </row>
    <row r="696" spans="3:3">
      <c r="C696" s="2"/>
    </row>
    <row r="699" spans="3:3">
      <c r="C699" s="2"/>
    </row>
    <row r="702" spans="3:3">
      <c r="C702" s="2"/>
    </row>
    <row r="705" spans="3:3">
      <c r="C705" s="2"/>
    </row>
    <row r="708" spans="3:3">
      <c r="C708" s="2"/>
    </row>
    <row r="711" spans="3:3">
      <c r="C711" s="2"/>
    </row>
    <row r="714" spans="3:3">
      <c r="C714" s="2"/>
    </row>
    <row r="717" spans="3:3">
      <c r="C717" s="2"/>
    </row>
    <row r="720" spans="3:3">
      <c r="C720" s="2"/>
    </row>
    <row r="723" spans="3:3">
      <c r="C723" s="2"/>
    </row>
    <row r="726" spans="3:3">
      <c r="C726" s="2"/>
    </row>
    <row r="729" spans="3:3">
      <c r="C729" s="2"/>
    </row>
    <row r="732" spans="3:3">
      <c r="C732" s="2"/>
    </row>
    <row r="735" spans="3:3">
      <c r="C735" s="2"/>
    </row>
    <row r="738" spans="3:3">
      <c r="C738" s="2"/>
    </row>
    <row r="741" spans="3:3">
      <c r="C741" s="2"/>
    </row>
    <row r="744" spans="3:3">
      <c r="C744" s="2"/>
    </row>
    <row r="747" spans="3:3">
      <c r="C747" s="2"/>
    </row>
    <row r="750" spans="3:3">
      <c r="C750" s="2"/>
    </row>
    <row r="753" spans="3:3">
      <c r="C753" s="2"/>
    </row>
    <row r="756" spans="3:3">
      <c r="C756" s="2"/>
    </row>
    <row r="759" spans="3:3">
      <c r="C759" s="2"/>
    </row>
    <row r="762" spans="3:3">
      <c r="C762" s="2"/>
    </row>
    <row r="765" spans="3:3">
      <c r="C765" s="2"/>
    </row>
    <row r="768" spans="3:3">
      <c r="C768" s="2"/>
    </row>
    <row r="771" spans="3:3">
      <c r="C771" s="2"/>
    </row>
    <row r="774" spans="3:3">
      <c r="C774" s="2"/>
    </row>
    <row r="777" spans="3:3">
      <c r="C777" s="2"/>
    </row>
    <row r="780" spans="3:3">
      <c r="C780" s="2"/>
    </row>
    <row r="783" spans="3:3">
      <c r="C783" s="2"/>
    </row>
    <row r="786" spans="3:3">
      <c r="C786" s="2"/>
    </row>
    <row r="789" spans="3:3">
      <c r="C789" s="2"/>
    </row>
    <row r="792" spans="3:3">
      <c r="C792" s="2"/>
    </row>
    <row r="795" spans="3:3">
      <c r="C795" s="2"/>
    </row>
    <row r="798" spans="3:3">
      <c r="C798" s="2"/>
    </row>
    <row r="801" spans="2:3">
      <c r="C801" s="2"/>
    </row>
    <row r="804" spans="2:3">
      <c r="C804" s="2"/>
    </row>
    <row r="805" spans="2:3">
      <c r="B805" s="18"/>
    </row>
    <row r="807" spans="2:3">
      <c r="C807" s="2"/>
    </row>
    <row r="808" spans="2:3">
      <c r="B808" s="18"/>
    </row>
    <row r="810" spans="2:3">
      <c r="C810" s="2"/>
    </row>
    <row r="811" spans="2:3">
      <c r="B811" s="18"/>
    </row>
    <row r="813" spans="2:3">
      <c r="C813" s="2"/>
    </row>
    <row r="814" spans="2:3">
      <c r="B814" s="18"/>
    </row>
    <row r="816" spans="2:3">
      <c r="C816" s="2"/>
    </row>
    <row r="817" spans="2:3">
      <c r="B817" s="18"/>
    </row>
    <row r="819" spans="2:3">
      <c r="C819" s="2"/>
    </row>
    <row r="820" spans="2:3">
      <c r="B820" s="18"/>
    </row>
    <row r="822" spans="2:3">
      <c r="C822" s="2"/>
    </row>
    <row r="823" spans="2:3">
      <c r="B823" s="18"/>
    </row>
    <row r="825" spans="2:3">
      <c r="C825" s="2"/>
    </row>
    <row r="826" spans="2:3">
      <c r="B826" s="18"/>
    </row>
    <row r="828" spans="2:3">
      <c r="C828" s="2"/>
    </row>
    <row r="829" spans="2:3">
      <c r="B829" s="18"/>
    </row>
    <row r="831" spans="2:3">
      <c r="C831" s="2"/>
    </row>
    <row r="832" spans="2:3">
      <c r="B832" s="18"/>
    </row>
    <row r="834" spans="2:3">
      <c r="C834" s="2"/>
    </row>
    <row r="835" spans="2:3">
      <c r="B835" s="18"/>
    </row>
    <row r="837" spans="2:3">
      <c r="C837" s="2"/>
    </row>
    <row r="838" spans="2:3">
      <c r="B838" s="18"/>
    </row>
    <row r="840" spans="2:3">
      <c r="C840" s="2"/>
    </row>
    <row r="841" spans="2:3">
      <c r="B841" s="18"/>
    </row>
    <row r="843" spans="2:3">
      <c r="C843" s="2"/>
    </row>
    <row r="844" spans="2:3">
      <c r="B844" s="18"/>
    </row>
    <row r="846" spans="2:3">
      <c r="C846" s="2"/>
    </row>
    <row r="847" spans="2:3">
      <c r="B847" s="18"/>
    </row>
    <row r="849" spans="2:3">
      <c r="C849" s="2"/>
    </row>
    <row r="850" spans="2:3">
      <c r="B850" s="18"/>
    </row>
    <row r="852" spans="2:3">
      <c r="C852" s="2"/>
    </row>
    <row r="853" spans="2:3">
      <c r="B853" s="18"/>
    </row>
    <row r="855" spans="2:3">
      <c r="C855" s="2"/>
    </row>
    <row r="856" spans="2:3">
      <c r="B856" s="18"/>
    </row>
    <row r="858" spans="2:3">
      <c r="C858" s="2"/>
    </row>
    <row r="859" spans="2:3">
      <c r="B859" s="18"/>
    </row>
    <row r="861" spans="2:3">
      <c r="C861" s="2"/>
    </row>
    <row r="862" spans="2:3">
      <c r="B862" s="18"/>
    </row>
    <row r="864" spans="2:3">
      <c r="C864" s="2"/>
    </row>
    <row r="865" spans="2:3">
      <c r="B865" s="18"/>
    </row>
    <row r="867" spans="2:3">
      <c r="C867" s="2"/>
    </row>
    <row r="868" spans="2:3">
      <c r="B868" s="18"/>
    </row>
    <row r="870" spans="2:3">
      <c r="C870" s="2"/>
    </row>
    <row r="871" spans="2:3">
      <c r="B871" s="18"/>
    </row>
    <row r="873" spans="2:3">
      <c r="C873" s="2"/>
    </row>
    <row r="874" spans="2:3">
      <c r="B874" s="18"/>
    </row>
    <row r="876" spans="2:3">
      <c r="C876" s="2"/>
    </row>
    <row r="877" spans="2:3">
      <c r="B877" s="18"/>
    </row>
    <row r="879" spans="2:3">
      <c r="C879" s="2"/>
    </row>
    <row r="880" spans="2:3">
      <c r="B880" s="18"/>
    </row>
    <row r="882" spans="2:3">
      <c r="C882" s="2"/>
    </row>
    <row r="883" spans="2:3">
      <c r="B883" s="18"/>
    </row>
    <row r="885" spans="2:3">
      <c r="C885" s="2"/>
    </row>
    <row r="886" spans="2:3">
      <c r="B886" s="18"/>
    </row>
    <row r="888" spans="2:3">
      <c r="C888" s="2"/>
    </row>
    <row r="889" spans="2:3">
      <c r="B889" s="18"/>
    </row>
    <row r="891" spans="2:3">
      <c r="C891" s="2"/>
    </row>
    <row r="892" spans="2:3">
      <c r="B892" s="18"/>
    </row>
    <row r="894" spans="2:3">
      <c r="C894" s="2"/>
    </row>
    <row r="895" spans="2:3">
      <c r="B895" s="18"/>
    </row>
    <row r="897" spans="2:3">
      <c r="C897" s="2"/>
    </row>
    <row r="898" spans="2:3">
      <c r="B898" s="18"/>
    </row>
    <row r="900" spans="2:3">
      <c r="C900" s="2"/>
    </row>
    <row r="901" spans="2:3">
      <c r="B901" s="18"/>
    </row>
    <row r="903" spans="2:3">
      <c r="C903" s="2"/>
    </row>
    <row r="904" spans="2:3">
      <c r="B904" s="18"/>
    </row>
    <row r="906" spans="2:3">
      <c r="C906" s="2"/>
    </row>
    <row r="907" spans="2:3">
      <c r="B907" s="18"/>
    </row>
    <row r="909" spans="2:3">
      <c r="C909" s="2"/>
    </row>
    <row r="910" spans="2:3">
      <c r="B910" s="18"/>
    </row>
    <row r="912" spans="2:3">
      <c r="C912" s="2"/>
    </row>
    <row r="913" spans="2:3">
      <c r="B913" s="18"/>
    </row>
    <row r="915" spans="2:3">
      <c r="C915" s="2"/>
    </row>
    <row r="916" spans="2:3">
      <c r="B916" s="18"/>
    </row>
    <row r="918" spans="2:3">
      <c r="C918" s="2"/>
    </row>
    <row r="919" spans="2:3">
      <c r="B919" s="18"/>
    </row>
    <row r="921" spans="2:3">
      <c r="C921" s="2"/>
    </row>
    <row r="922" spans="2:3">
      <c r="B922" s="18"/>
    </row>
    <row r="924" spans="2:3">
      <c r="C924" s="2"/>
    </row>
    <row r="925" spans="2:3">
      <c r="B925" s="18"/>
    </row>
    <row r="927" spans="2:3">
      <c r="C927" s="2"/>
    </row>
    <row r="928" spans="2:3">
      <c r="B928" s="18"/>
    </row>
    <row r="930" spans="2:3">
      <c r="C930" s="2"/>
    </row>
    <row r="931" spans="2:3">
      <c r="B931" s="18"/>
    </row>
    <row r="933" spans="2:3">
      <c r="C933" s="2"/>
    </row>
    <row r="934" spans="2:3">
      <c r="B934" s="18"/>
    </row>
    <row r="936" spans="2:3">
      <c r="C936" s="2"/>
    </row>
    <row r="937" spans="2:3">
      <c r="B937" s="18"/>
    </row>
    <row r="939" spans="2:3">
      <c r="C939" s="2"/>
    </row>
    <row r="940" spans="2:3">
      <c r="B940" s="18"/>
    </row>
    <row r="942" spans="2:3">
      <c r="C942" s="2"/>
    </row>
    <row r="943" spans="2:3">
      <c r="B943" s="18"/>
    </row>
    <row r="945" spans="2:3">
      <c r="C945" s="2"/>
    </row>
    <row r="946" spans="2:3">
      <c r="B946" s="18"/>
    </row>
    <row r="948" spans="2:3">
      <c r="C948" s="2"/>
    </row>
    <row r="949" spans="2:3">
      <c r="B949" s="18"/>
    </row>
    <row r="951" spans="2:3">
      <c r="C951" s="2"/>
    </row>
    <row r="952" spans="2:3">
      <c r="B952" s="18"/>
    </row>
    <row r="954" spans="2:3">
      <c r="C954" s="2"/>
    </row>
    <row r="955" spans="2:3">
      <c r="B955" s="18"/>
    </row>
    <row r="957" spans="2:3">
      <c r="C957" s="2"/>
    </row>
    <row r="958" spans="2:3">
      <c r="B958" s="18"/>
    </row>
    <row r="960" spans="2:3">
      <c r="C960" s="2"/>
    </row>
    <row r="961" spans="2:3">
      <c r="B961" s="18"/>
    </row>
    <row r="963" spans="2:3">
      <c r="C963" s="2"/>
    </row>
    <row r="964" spans="2:3">
      <c r="B964" s="18"/>
    </row>
    <row r="966" spans="2:3">
      <c r="C966" s="2"/>
    </row>
    <row r="967" spans="2:3">
      <c r="B967" s="18"/>
    </row>
    <row r="969" spans="2:3">
      <c r="C969" s="2"/>
    </row>
    <row r="970" spans="2:3">
      <c r="B970" s="18"/>
    </row>
    <row r="972" spans="2:3">
      <c r="C972" s="2"/>
    </row>
    <row r="973" spans="2:3">
      <c r="B973" s="18"/>
    </row>
    <row r="975" spans="2:3">
      <c r="C975" s="2"/>
    </row>
    <row r="976" spans="2:3">
      <c r="B976" s="18"/>
    </row>
    <row r="978" spans="2:3">
      <c r="C978" s="2"/>
    </row>
    <row r="979" spans="2:3">
      <c r="B979" s="18"/>
    </row>
    <row r="981" spans="2:3">
      <c r="C981" s="2"/>
    </row>
    <row r="982" spans="2:3">
      <c r="B982" s="18"/>
    </row>
    <row r="984" spans="2:3">
      <c r="C984" s="2"/>
    </row>
    <row r="985" spans="2:3">
      <c r="B985" s="18"/>
    </row>
    <row r="987" spans="2:3">
      <c r="C987" s="2"/>
    </row>
    <row r="988" spans="2:3">
      <c r="B988" s="18"/>
    </row>
    <row r="990" spans="2:3">
      <c r="C990" s="2"/>
    </row>
    <row r="991" spans="2:3">
      <c r="B991" s="18"/>
    </row>
    <row r="993" spans="2:3">
      <c r="C993" s="2"/>
    </row>
    <row r="994" spans="2:3">
      <c r="B994" s="18"/>
    </row>
    <row r="996" spans="2:3">
      <c r="C996" s="2"/>
    </row>
    <row r="997" spans="2:3">
      <c r="B997" s="18"/>
    </row>
    <row r="999" spans="2:3">
      <c r="C999" s="2"/>
    </row>
    <row r="1000" spans="2:3">
      <c r="B1000" s="18"/>
    </row>
    <row r="1002" spans="2:3">
      <c r="C1002" s="2"/>
    </row>
    <row r="1003" spans="2:3">
      <c r="B1003" s="18"/>
    </row>
    <row r="1005" spans="2:3">
      <c r="C1005" s="2"/>
    </row>
    <row r="1006" spans="2:3">
      <c r="B1006" s="18"/>
    </row>
    <row r="1008" spans="2:3">
      <c r="C1008" s="2"/>
    </row>
    <row r="1009" spans="2:3">
      <c r="B1009" s="18"/>
    </row>
    <row r="1011" spans="2:3">
      <c r="C1011" s="2"/>
    </row>
    <row r="1012" spans="2:3">
      <c r="B1012" s="18"/>
    </row>
    <row r="1014" spans="2:3">
      <c r="C1014" s="2"/>
    </row>
    <row r="1015" spans="2:3">
      <c r="B1015" s="18"/>
    </row>
    <row r="1017" spans="2:3">
      <c r="C1017" s="2"/>
    </row>
    <row r="1018" spans="2:3">
      <c r="B1018" s="18"/>
    </row>
    <row r="1020" spans="2:3">
      <c r="C1020" s="2"/>
    </row>
    <row r="1021" spans="2:3">
      <c r="B1021" s="18"/>
    </row>
    <row r="1023" spans="2:3">
      <c r="C1023" s="2"/>
    </row>
    <row r="1024" spans="2:3">
      <c r="B1024" s="18"/>
    </row>
    <row r="1026" spans="2:3">
      <c r="C1026" s="2"/>
    </row>
    <row r="1027" spans="2:3">
      <c r="B1027" s="18"/>
    </row>
    <row r="1029" spans="2:3">
      <c r="C1029" s="2"/>
    </row>
    <row r="1030" spans="2:3">
      <c r="B1030" s="18"/>
    </row>
    <row r="1032" spans="2:3">
      <c r="C1032" s="2"/>
    </row>
    <row r="1033" spans="2:3">
      <c r="B1033" s="18"/>
    </row>
    <row r="1035" spans="2:3">
      <c r="C1035" s="2"/>
    </row>
    <row r="1036" spans="2:3">
      <c r="B1036" s="18"/>
    </row>
    <row r="1038" spans="2:3">
      <c r="C1038" s="2"/>
    </row>
    <row r="1039" spans="2:3">
      <c r="B1039" s="18"/>
    </row>
    <row r="1041" spans="2:3">
      <c r="C1041" s="2"/>
    </row>
    <row r="1042" spans="2:3">
      <c r="B1042" s="18"/>
    </row>
    <row r="1044" spans="2:3">
      <c r="C1044" s="2"/>
    </row>
    <row r="1045" spans="2:3">
      <c r="B1045" s="18"/>
    </row>
    <row r="1047" spans="2:3">
      <c r="C1047" s="2"/>
    </row>
    <row r="1048" spans="2:3">
      <c r="B1048" s="18"/>
    </row>
    <row r="1050" spans="2:3">
      <c r="C1050" s="2"/>
    </row>
    <row r="1051" spans="2:3">
      <c r="B1051" s="18"/>
    </row>
    <row r="1053" spans="2:3">
      <c r="C1053" s="2"/>
    </row>
    <row r="1054" spans="2:3">
      <c r="B1054" s="18"/>
    </row>
    <row r="1056" spans="2:3">
      <c r="C1056" s="2"/>
    </row>
    <row r="1057" spans="2:3">
      <c r="B1057" s="18"/>
    </row>
    <row r="1059" spans="2:3">
      <c r="C1059" s="2"/>
    </row>
    <row r="1060" spans="2:3">
      <c r="B1060" s="18"/>
    </row>
    <row r="1062" spans="2:3">
      <c r="C1062" s="2"/>
    </row>
    <row r="1063" spans="2:3">
      <c r="B1063" s="18"/>
    </row>
    <row r="1065" spans="2:3">
      <c r="C1065" s="2"/>
    </row>
    <row r="1066" spans="2:3">
      <c r="B1066" s="18"/>
    </row>
    <row r="1068" spans="2:3">
      <c r="C1068" s="2"/>
    </row>
    <row r="1069" spans="2:3">
      <c r="B1069" s="18"/>
    </row>
    <row r="1071" spans="2:3">
      <c r="C1071" s="2"/>
    </row>
    <row r="1072" spans="2:3">
      <c r="B1072" s="18"/>
    </row>
    <row r="1074" spans="2:3">
      <c r="C1074" s="2"/>
    </row>
    <row r="1075" spans="2:3">
      <c r="B1075" s="18"/>
    </row>
    <row r="1077" spans="2:3">
      <c r="C1077" s="2"/>
    </row>
    <row r="1078" spans="2:3">
      <c r="B1078" s="18"/>
    </row>
    <row r="1080" spans="2:3">
      <c r="C1080" s="2"/>
    </row>
    <row r="1081" spans="2:3">
      <c r="B1081" s="18"/>
    </row>
    <row r="1083" spans="2:3">
      <c r="C1083" s="2"/>
    </row>
    <row r="1084" spans="2:3">
      <c r="B1084" s="18"/>
    </row>
    <row r="1086" spans="2:3">
      <c r="C1086" s="2"/>
    </row>
    <row r="1087" spans="2:3">
      <c r="B1087" s="18"/>
    </row>
    <row r="1089" spans="2:3">
      <c r="C1089" s="2"/>
    </row>
    <row r="1090" spans="2:3">
      <c r="B1090" s="18"/>
    </row>
    <row r="1092" spans="2:3">
      <c r="C1092" s="2"/>
    </row>
    <row r="1093" spans="2:3">
      <c r="B1093" s="18"/>
    </row>
    <row r="1095" spans="2:3">
      <c r="C1095" s="2"/>
    </row>
    <row r="1096" spans="2:3">
      <c r="B1096" s="18"/>
    </row>
    <row r="1098" spans="2:3">
      <c r="C1098" s="2"/>
    </row>
    <row r="1099" spans="2:3">
      <c r="B1099" s="18"/>
    </row>
    <row r="1101" spans="2:3">
      <c r="C1101" s="2"/>
    </row>
    <row r="1102" spans="2:3">
      <c r="B1102" s="18"/>
    </row>
    <row r="1104" spans="2:3">
      <c r="C1104" s="2"/>
    </row>
    <row r="1105" spans="2:3">
      <c r="B1105" s="18"/>
    </row>
    <row r="1107" spans="2:3">
      <c r="C1107" s="2"/>
    </row>
    <row r="1108" spans="2:3">
      <c r="B1108" s="18"/>
    </row>
    <row r="1110" spans="2:3">
      <c r="C1110" s="2"/>
    </row>
    <row r="1111" spans="2:3">
      <c r="B1111" s="18"/>
    </row>
    <row r="1113" spans="2:3">
      <c r="C1113" s="2"/>
    </row>
    <row r="1114" spans="2:3">
      <c r="B1114" s="18"/>
    </row>
    <row r="1116" spans="2:3">
      <c r="C1116" s="2"/>
    </row>
    <row r="1117" spans="2:3">
      <c r="B1117" s="18"/>
    </row>
    <row r="1119" spans="2:3">
      <c r="C1119" s="2"/>
    </row>
    <row r="1120" spans="2:3">
      <c r="B1120" s="18"/>
    </row>
    <row r="1122" spans="2:3">
      <c r="C1122" s="2"/>
    </row>
    <row r="1123" spans="2:3">
      <c r="B1123" s="18"/>
    </row>
    <row r="1125" spans="2:3">
      <c r="C1125" s="2"/>
    </row>
    <row r="1126" spans="2:3">
      <c r="B1126" s="18"/>
    </row>
    <row r="1128" spans="2:3">
      <c r="C1128" s="2"/>
    </row>
    <row r="1129" spans="2:3">
      <c r="B1129" s="18"/>
    </row>
    <row r="1131" spans="2:3">
      <c r="C1131" s="2"/>
    </row>
    <row r="1132" spans="2:3">
      <c r="B1132" s="18"/>
    </row>
    <row r="1134" spans="2:3">
      <c r="C1134" s="2"/>
    </row>
    <row r="1135" spans="2:3">
      <c r="B1135" s="18"/>
    </row>
    <row r="1137" spans="2:3">
      <c r="C1137" s="2"/>
    </row>
    <row r="1138" spans="2:3">
      <c r="B1138" s="18"/>
    </row>
    <row r="1140" spans="2:3">
      <c r="C1140" s="2"/>
    </row>
    <row r="1141" spans="2:3">
      <c r="B1141" s="18"/>
    </row>
    <row r="1143" spans="2:3">
      <c r="C1143" s="2"/>
    </row>
    <row r="1144" spans="2:3">
      <c r="B1144" s="18"/>
    </row>
    <row r="1146" spans="2:3">
      <c r="C1146" s="2"/>
    </row>
    <row r="1147" spans="2:3">
      <c r="B1147" s="18"/>
    </row>
    <row r="1149" spans="2:3">
      <c r="C1149" s="2"/>
    </row>
    <row r="1150" spans="2:3">
      <c r="B1150" s="18"/>
    </row>
    <row r="1152" spans="2:3">
      <c r="C1152" s="2"/>
    </row>
    <row r="1153" spans="2:3">
      <c r="B1153" s="18"/>
    </row>
    <row r="1155" spans="2:3">
      <c r="C1155" s="2"/>
    </row>
    <row r="1156" spans="2:3">
      <c r="B1156" s="18"/>
    </row>
    <row r="1158" spans="2:3">
      <c r="C1158" s="2"/>
    </row>
    <row r="1159" spans="2:3">
      <c r="B1159" s="18"/>
    </row>
    <row r="1161" spans="2:3">
      <c r="C1161" s="2"/>
    </row>
    <row r="1162" spans="2:3">
      <c r="B1162" s="18"/>
    </row>
    <row r="1164" spans="2:3">
      <c r="C1164" s="2"/>
    </row>
    <row r="1165" spans="2:3">
      <c r="B1165" s="18"/>
    </row>
    <row r="1167" spans="2:3">
      <c r="C1167" s="2"/>
    </row>
    <row r="1168" spans="2:3">
      <c r="B1168" s="18"/>
    </row>
    <row r="1170" spans="2:3">
      <c r="C1170" s="2"/>
    </row>
    <row r="1171" spans="2:3">
      <c r="B1171" s="18"/>
    </row>
    <row r="1173" spans="2:3">
      <c r="C1173" s="2"/>
    </row>
    <row r="1174" spans="2:3">
      <c r="B1174" s="18"/>
    </row>
    <row r="1176" spans="2:3">
      <c r="C1176" s="2"/>
    </row>
    <row r="1177" spans="2:3">
      <c r="B1177" s="18"/>
    </row>
    <row r="1179" spans="2:3">
      <c r="C1179" s="2"/>
    </row>
    <row r="1180" spans="2:3">
      <c r="B1180" s="18"/>
    </row>
    <row r="1182" spans="2:3">
      <c r="C1182" s="2"/>
    </row>
    <row r="1183" spans="2:3">
      <c r="B1183" s="18"/>
    </row>
    <row r="1185" spans="2:3">
      <c r="C1185" s="2"/>
    </row>
    <row r="1186" spans="2:3">
      <c r="B1186" s="18"/>
    </row>
    <row r="1188" spans="2:3">
      <c r="C1188" s="2"/>
    </row>
    <row r="1189" spans="2:3">
      <c r="B1189" s="18"/>
    </row>
    <row r="1191" spans="2:3">
      <c r="C1191" s="2"/>
    </row>
    <row r="1192" spans="2:3">
      <c r="B1192" s="18"/>
    </row>
    <row r="1194" spans="2:3">
      <c r="C1194" s="2"/>
    </row>
    <row r="1195" spans="2:3">
      <c r="B1195" s="18"/>
    </row>
    <row r="1197" spans="2:3">
      <c r="C1197" s="2"/>
    </row>
    <row r="1198" spans="2:3">
      <c r="B1198" s="18"/>
    </row>
    <row r="1200" spans="2:3">
      <c r="C1200" s="2"/>
    </row>
    <row r="1201" spans="2:3">
      <c r="B1201" s="18"/>
    </row>
    <row r="1203" spans="2:3">
      <c r="C1203" s="2"/>
    </row>
    <row r="1204" spans="2:3">
      <c r="B1204" s="18"/>
    </row>
    <row r="1206" spans="2:3">
      <c r="C1206" s="2"/>
    </row>
    <row r="1207" spans="2:3">
      <c r="B1207" s="18"/>
    </row>
    <row r="1209" spans="2:3">
      <c r="C1209" s="2"/>
    </row>
    <row r="1210" spans="2:3">
      <c r="B1210" s="18"/>
    </row>
    <row r="1212" spans="2:3">
      <c r="C1212" s="2"/>
    </row>
    <row r="1213" spans="2:3">
      <c r="B1213" s="18"/>
    </row>
    <row r="1215" spans="2:3">
      <c r="C1215" s="2"/>
    </row>
    <row r="1216" spans="2:3">
      <c r="B1216" s="18"/>
    </row>
    <row r="1218" spans="2:3">
      <c r="C1218" s="2"/>
    </row>
    <row r="1219" spans="2:3">
      <c r="B1219" s="18"/>
    </row>
    <row r="1221" spans="2:3">
      <c r="C1221" s="2"/>
    </row>
    <row r="1222" spans="2:3">
      <c r="B1222" s="18"/>
    </row>
    <row r="1224" spans="2:3">
      <c r="C1224" s="2"/>
    </row>
    <row r="1225" spans="2:3">
      <c r="B1225" s="18"/>
    </row>
    <row r="1227" spans="2:3">
      <c r="C1227" s="2"/>
    </row>
    <row r="1228" spans="2:3">
      <c r="B1228" s="18"/>
    </row>
    <row r="1230" spans="2:3">
      <c r="C1230" s="2"/>
    </row>
    <row r="1231" spans="2:3">
      <c r="B1231" s="18"/>
    </row>
    <row r="1233" spans="2:3">
      <c r="C1233" s="2"/>
    </row>
    <row r="1234" spans="2:3">
      <c r="B1234" s="18"/>
    </row>
    <row r="1236" spans="2:3">
      <c r="C1236" s="2"/>
    </row>
    <row r="1237" spans="2:3">
      <c r="B1237" s="18"/>
    </row>
    <row r="1239" spans="2:3">
      <c r="C1239" s="2"/>
    </row>
    <row r="1240" spans="2:3">
      <c r="B1240" s="18"/>
    </row>
    <row r="1242" spans="2:3">
      <c r="C1242" s="2"/>
    </row>
    <row r="1243" spans="2:3">
      <c r="B1243" s="18"/>
    </row>
    <row r="1245" spans="2:3">
      <c r="C1245" s="2"/>
    </row>
    <row r="1246" spans="2:3">
      <c r="B1246" s="18"/>
    </row>
    <row r="1248" spans="2:3">
      <c r="C1248" s="2"/>
    </row>
    <row r="1249" spans="2:3">
      <c r="B1249" s="18"/>
    </row>
    <row r="1251" spans="2:3">
      <c r="C1251" s="2"/>
    </row>
    <row r="1252" spans="2:3">
      <c r="B1252" s="18"/>
    </row>
    <row r="1254" spans="2:3">
      <c r="C1254" s="2"/>
    </row>
    <row r="1255" spans="2:3">
      <c r="B1255" s="18"/>
    </row>
    <row r="1257" spans="2:3">
      <c r="C1257" s="2"/>
    </row>
    <row r="1258" spans="2:3">
      <c r="B1258" s="18"/>
    </row>
    <row r="1260" spans="2:3">
      <c r="C1260" s="2"/>
    </row>
    <row r="1261" spans="2:3">
      <c r="B1261" s="18"/>
    </row>
    <row r="1263" spans="2:3">
      <c r="C1263" s="2"/>
    </row>
    <row r="1264" spans="2:3">
      <c r="B1264" s="18"/>
    </row>
    <row r="1266" spans="2:3">
      <c r="C1266" s="2"/>
    </row>
    <row r="1267" spans="2:3">
      <c r="B1267" s="18"/>
    </row>
    <row r="1269" spans="2:3">
      <c r="C1269" s="2"/>
    </row>
    <row r="1270" spans="2:3">
      <c r="B1270" s="18"/>
    </row>
    <row r="1272" spans="2:3">
      <c r="C1272" s="2"/>
    </row>
    <row r="1273" spans="2:3">
      <c r="B1273" s="18"/>
    </row>
    <row r="1275" spans="2:3">
      <c r="C1275" s="2"/>
    </row>
    <row r="1276" spans="2:3">
      <c r="B1276" s="18"/>
    </row>
    <row r="1278" spans="2:3">
      <c r="C1278" s="2"/>
    </row>
    <row r="1279" spans="2:3">
      <c r="B1279" s="18"/>
    </row>
    <row r="1281" spans="2:3">
      <c r="C1281" s="2"/>
    </row>
    <row r="1282" spans="2:3">
      <c r="B1282" s="18"/>
    </row>
    <row r="1284" spans="2:3">
      <c r="C1284" s="2"/>
    </row>
    <row r="1285" spans="2:3">
      <c r="B1285" s="18"/>
    </row>
    <row r="1287" spans="2:3">
      <c r="C1287" s="2"/>
    </row>
    <row r="1288" spans="2:3">
      <c r="B1288" s="18"/>
    </row>
    <row r="1290" spans="2:3">
      <c r="C1290" s="2"/>
    </row>
    <row r="1291" spans="2:3">
      <c r="B1291" s="18"/>
    </row>
    <row r="1293" spans="2:3">
      <c r="C1293" s="2"/>
    </row>
    <row r="1294" spans="2:3">
      <c r="B1294" s="18"/>
    </row>
    <row r="1296" spans="2:3">
      <c r="C1296" s="2"/>
    </row>
    <row r="1297" spans="2:3">
      <c r="B1297" s="18"/>
    </row>
    <row r="1299" spans="2:3">
      <c r="C1299" s="2"/>
    </row>
    <row r="1300" spans="2:3">
      <c r="B1300" s="18"/>
    </row>
    <row r="1302" spans="2:3">
      <c r="C1302" s="2"/>
    </row>
    <row r="1303" spans="2:3">
      <c r="B1303" s="18"/>
    </row>
    <row r="1305" spans="2:3">
      <c r="C1305" s="2"/>
    </row>
    <row r="1306" spans="2:3">
      <c r="B1306" s="18"/>
    </row>
    <row r="1308" spans="2:3">
      <c r="C1308" s="2"/>
    </row>
    <row r="1309" spans="2:3">
      <c r="B1309" s="18"/>
    </row>
    <row r="1311" spans="2:3">
      <c r="C1311" s="2"/>
    </row>
    <row r="1312" spans="2:3">
      <c r="B1312" s="18"/>
    </row>
    <row r="1314" spans="2:3">
      <c r="C1314" s="2"/>
    </row>
    <row r="1315" spans="2:3">
      <c r="B1315" s="18"/>
    </row>
    <row r="1317" spans="2:3">
      <c r="C1317" s="2"/>
    </row>
    <row r="1318" spans="2:3">
      <c r="B1318" s="18"/>
    </row>
    <row r="1320" spans="2:3">
      <c r="C1320" s="2"/>
    </row>
    <row r="1321" spans="2:3">
      <c r="B1321" s="18"/>
    </row>
    <row r="1323" spans="2:3">
      <c r="C1323" s="2"/>
    </row>
    <row r="1324" spans="2:3">
      <c r="B1324" s="18"/>
    </row>
    <row r="1326" spans="2:3">
      <c r="C1326" s="2"/>
    </row>
    <row r="1327" spans="2:3">
      <c r="B1327" s="18"/>
    </row>
    <row r="1329" spans="2:3">
      <c r="C1329" s="2"/>
    </row>
    <row r="1330" spans="2:3">
      <c r="B1330" s="18"/>
    </row>
    <row r="1332" spans="2:3">
      <c r="C1332" s="2"/>
    </row>
    <row r="1333" spans="2:3">
      <c r="B1333" s="18"/>
    </row>
    <row r="1335" spans="2:3">
      <c r="C1335" s="2"/>
    </row>
    <row r="1336" spans="2:3">
      <c r="B1336" s="18"/>
    </row>
    <row r="1338" spans="2:3">
      <c r="C1338" s="2"/>
    </row>
    <row r="1339" spans="2:3">
      <c r="B1339" s="18"/>
    </row>
    <row r="1341" spans="2:3">
      <c r="C1341" s="2"/>
    </row>
    <row r="1342" spans="2:3">
      <c r="B1342" s="18"/>
    </row>
    <row r="1344" spans="2:3">
      <c r="C1344" s="2"/>
    </row>
    <row r="1345" spans="2:3">
      <c r="B1345" s="18"/>
    </row>
    <row r="1347" spans="2:3">
      <c r="C1347" s="2"/>
    </row>
    <row r="1348" spans="2:3">
      <c r="B1348" s="18"/>
    </row>
    <row r="1350" spans="2:3">
      <c r="C1350" s="2"/>
    </row>
    <row r="1351" spans="2:3">
      <c r="B1351" s="18"/>
    </row>
    <row r="1353" spans="2:3">
      <c r="C1353" s="2"/>
    </row>
    <row r="1354" spans="2:3">
      <c r="B1354" s="18"/>
    </row>
    <row r="1356" spans="2:3">
      <c r="C1356" s="2"/>
    </row>
    <row r="1357" spans="2:3">
      <c r="B1357" s="18"/>
    </row>
    <row r="1359" spans="2:3">
      <c r="C1359" s="2"/>
    </row>
    <row r="1360" spans="2:3">
      <c r="B1360" s="18"/>
    </row>
    <row r="1362" spans="2:3">
      <c r="C1362" s="2"/>
    </row>
    <row r="1363" spans="2:3">
      <c r="B1363" s="18"/>
    </row>
    <row r="1365" spans="2:3">
      <c r="C1365" s="2"/>
    </row>
    <row r="1366" spans="2:3">
      <c r="B1366" s="18"/>
    </row>
    <row r="1368" spans="2:3">
      <c r="C1368" s="2"/>
    </row>
    <row r="1369" spans="2:3">
      <c r="B1369" s="18"/>
    </row>
    <row r="1371" spans="2:3">
      <c r="C1371" s="2"/>
    </row>
    <row r="1372" spans="2:3">
      <c r="B1372" s="18"/>
    </row>
    <row r="1374" spans="2:3">
      <c r="C1374" s="2"/>
    </row>
    <row r="1375" spans="2:3">
      <c r="B1375" s="18"/>
    </row>
    <row r="1377" spans="2:3">
      <c r="C1377" s="2"/>
    </row>
    <row r="1378" spans="2:3">
      <c r="B1378" s="18"/>
    </row>
    <row r="1380" spans="2:3">
      <c r="C1380" s="2"/>
    </row>
    <row r="1381" spans="2:3">
      <c r="B1381" s="18"/>
    </row>
    <row r="1383" spans="2:3">
      <c r="C1383" s="2"/>
    </row>
    <row r="1384" spans="2:3">
      <c r="B1384" s="18"/>
    </row>
    <row r="1386" spans="2:3">
      <c r="C1386" s="2"/>
    </row>
    <row r="1387" spans="2:3">
      <c r="B1387" s="18"/>
    </row>
    <row r="1389" spans="2:3">
      <c r="C1389" s="2"/>
    </row>
    <row r="1390" spans="2:3">
      <c r="B1390" s="18"/>
    </row>
    <row r="1392" spans="2:3">
      <c r="C1392" s="2"/>
    </row>
    <row r="1393" spans="2:3">
      <c r="B1393" s="18"/>
    </row>
    <row r="1395" spans="2:3">
      <c r="C1395" s="2"/>
    </row>
    <row r="1396" spans="2:3">
      <c r="B1396" s="18"/>
    </row>
    <row r="1398" spans="2:3">
      <c r="C1398" s="2"/>
    </row>
    <row r="1399" spans="2:3">
      <c r="B1399" s="18"/>
    </row>
    <row r="1401" spans="2:3">
      <c r="C1401" s="2"/>
    </row>
    <row r="1402" spans="2:3">
      <c r="B1402" s="18"/>
    </row>
  </sheetData>
  <autoFilter ref="A1:E5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Φύλλο3"/>
  <dimension ref="A1:E5"/>
  <sheetViews>
    <sheetView topLeftCell="B1" workbookViewId="0">
      <selection activeCell="B14" sqref="B14"/>
    </sheetView>
  </sheetViews>
  <sheetFormatPr defaultRowHeight="15"/>
  <cols>
    <col min="1" max="1" width="19.42578125" hidden="1" customWidth="1"/>
    <col min="2" max="2" width="25.5703125" bestFit="1" customWidth="1"/>
    <col min="4" max="4" width="26.7109375" customWidth="1"/>
    <col min="5" max="5" width="18.28515625" customWidth="1"/>
  </cols>
  <sheetData>
    <row r="1" spans="1:5" ht="18.75">
      <c r="A1" s="19" t="s">
        <v>13</v>
      </c>
      <c r="B1" s="8"/>
      <c r="C1" s="9" t="s">
        <v>2</v>
      </c>
      <c r="D1" s="8"/>
      <c r="E1" s="10"/>
    </row>
    <row r="2" spans="1:5" ht="136.9" customHeight="1">
      <c r="A2" s="19" t="s">
        <v>14</v>
      </c>
      <c r="B2" s="11" t="s">
        <v>1</v>
      </c>
      <c r="C2" s="12"/>
      <c r="D2" s="13" t="s">
        <v>16</v>
      </c>
    </row>
    <row r="3" spans="1:5">
      <c r="A3" s="19"/>
      <c r="B3" s="14"/>
      <c r="C3" s="14"/>
      <c r="D3" s="14"/>
      <c r="E3" s="10"/>
    </row>
    <row r="4" spans="1:5" ht="169.9" customHeight="1">
      <c r="A4" s="19"/>
      <c r="B4" s="11" t="s">
        <v>0</v>
      </c>
      <c r="C4" s="15"/>
      <c r="D4" s="13" t="s">
        <v>707</v>
      </c>
      <c r="E4" s="10"/>
    </row>
    <row r="5" spans="1:5">
      <c r="A5" s="19" t="s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2:C33"/>
  <sheetViews>
    <sheetView workbookViewId="0">
      <selection activeCell="A35" sqref="A35"/>
    </sheetView>
  </sheetViews>
  <sheetFormatPr defaultRowHeight="15"/>
  <cols>
    <col min="1" max="1" width="28.140625" customWidth="1"/>
    <col min="2" max="2" width="26.28515625" customWidth="1"/>
    <col min="3" max="4" width="33.42578125" customWidth="1"/>
    <col min="8" max="8" width="0" hidden="1" customWidth="1"/>
    <col min="9" max="9" width="9.140625" customWidth="1"/>
  </cols>
  <sheetData>
    <row r="2" spans="1:3">
      <c r="A2" s="31" t="s">
        <v>780</v>
      </c>
      <c r="B2" s="30">
        <v>4.8</v>
      </c>
      <c r="C2" s="6">
        <f t="shared" ref="C2:C13" si="0">B2+(B2*0.24)</f>
        <v>5.952</v>
      </c>
    </row>
    <row r="3" spans="1:3">
      <c r="A3" s="31" t="s">
        <v>780</v>
      </c>
      <c r="B3" s="30">
        <v>5.6</v>
      </c>
      <c r="C3" s="6">
        <f t="shared" si="0"/>
        <v>6.9439999999999991</v>
      </c>
    </row>
    <row r="4" spans="1:3">
      <c r="A4" s="31" t="s">
        <v>780</v>
      </c>
      <c r="B4" s="30">
        <v>7.5</v>
      </c>
      <c r="C4" s="6">
        <f t="shared" si="0"/>
        <v>9.3000000000000007</v>
      </c>
    </row>
    <row r="5" spans="1:3">
      <c r="A5" s="31" t="s">
        <v>760</v>
      </c>
      <c r="B5" s="30">
        <v>0.45</v>
      </c>
      <c r="C5" s="6">
        <f t="shared" si="0"/>
        <v>0.55800000000000005</v>
      </c>
    </row>
    <row r="6" spans="1:3">
      <c r="A6" s="31" t="s">
        <v>760</v>
      </c>
      <c r="B6" s="30">
        <v>0.55000000000000004</v>
      </c>
      <c r="C6" s="6">
        <f t="shared" si="0"/>
        <v>0.68200000000000005</v>
      </c>
    </row>
    <row r="7" spans="1:3">
      <c r="A7" s="31" t="s">
        <v>760</v>
      </c>
      <c r="B7" s="30">
        <v>0.8</v>
      </c>
      <c r="C7" s="6">
        <f t="shared" si="0"/>
        <v>0.99199999999999999</v>
      </c>
    </row>
    <row r="8" spans="1:3">
      <c r="A8" s="31" t="s">
        <v>760</v>
      </c>
      <c r="B8" s="30">
        <v>1.35</v>
      </c>
      <c r="C8" s="6">
        <f t="shared" si="0"/>
        <v>1.6740000000000002</v>
      </c>
    </row>
    <row r="9" spans="1:3">
      <c r="A9" s="31" t="s">
        <v>760</v>
      </c>
      <c r="B9" s="30">
        <v>1.4</v>
      </c>
      <c r="C9" s="6">
        <f t="shared" si="0"/>
        <v>1.7359999999999998</v>
      </c>
    </row>
    <row r="10" spans="1:3">
      <c r="A10" s="31" t="s">
        <v>760</v>
      </c>
      <c r="B10" s="30">
        <v>2.8</v>
      </c>
      <c r="C10" s="6">
        <f t="shared" si="0"/>
        <v>3.4719999999999995</v>
      </c>
    </row>
    <row r="11" spans="1:3">
      <c r="A11" s="31" t="s">
        <v>760</v>
      </c>
      <c r="B11" s="30">
        <v>6.3</v>
      </c>
      <c r="C11" s="6">
        <f t="shared" si="0"/>
        <v>7.8119999999999994</v>
      </c>
    </row>
    <row r="12" spans="1:3">
      <c r="A12" s="31" t="s">
        <v>759</v>
      </c>
      <c r="B12" s="30">
        <v>0.4</v>
      </c>
      <c r="C12" s="6">
        <f t="shared" si="0"/>
        <v>0.496</v>
      </c>
    </row>
    <row r="13" spans="1:3">
      <c r="A13" s="31" t="s">
        <v>759</v>
      </c>
      <c r="B13" s="30">
        <v>0.65</v>
      </c>
      <c r="C13" s="6">
        <f t="shared" si="0"/>
        <v>0.80600000000000005</v>
      </c>
    </row>
    <row r="14" spans="1:3">
      <c r="A14" s="31" t="s">
        <v>759</v>
      </c>
      <c r="B14" s="30">
        <v>0.95</v>
      </c>
      <c r="C14" s="6">
        <f t="shared" ref="C14:C33" si="1">B14+(B14*0.24)</f>
        <v>1.1779999999999999</v>
      </c>
    </row>
    <row r="15" spans="1:3">
      <c r="A15" s="31" t="s">
        <v>759</v>
      </c>
      <c r="B15" s="30">
        <v>1.85</v>
      </c>
      <c r="C15" s="6">
        <f t="shared" si="1"/>
        <v>2.294</v>
      </c>
    </row>
    <row r="16" spans="1:3">
      <c r="A16" s="31" t="s">
        <v>759</v>
      </c>
      <c r="B16" s="30">
        <v>1.4</v>
      </c>
      <c r="C16" s="6">
        <f t="shared" si="1"/>
        <v>1.7359999999999998</v>
      </c>
    </row>
    <row r="17" spans="1:3">
      <c r="A17" s="31" t="s">
        <v>759</v>
      </c>
      <c r="B17" s="30">
        <v>3</v>
      </c>
      <c r="C17" s="6">
        <f t="shared" si="1"/>
        <v>3.7199999999999998</v>
      </c>
    </row>
    <row r="18" spans="1:3">
      <c r="A18" s="31" t="s">
        <v>759</v>
      </c>
      <c r="B18" s="30">
        <v>3.5</v>
      </c>
      <c r="C18" s="6">
        <f t="shared" si="1"/>
        <v>4.34</v>
      </c>
    </row>
    <row r="19" spans="1:3">
      <c r="A19" s="31" t="s">
        <v>759</v>
      </c>
      <c r="B19" s="30">
        <v>15.5</v>
      </c>
      <c r="C19" s="6">
        <f t="shared" si="1"/>
        <v>19.22</v>
      </c>
    </row>
    <row r="20" spans="1:3">
      <c r="A20" s="31" t="s">
        <v>759</v>
      </c>
      <c r="B20" s="30">
        <v>0.5</v>
      </c>
      <c r="C20" s="6">
        <f t="shared" si="1"/>
        <v>0.62</v>
      </c>
    </row>
    <row r="21" spans="1:3">
      <c r="A21" s="31" t="s">
        <v>759</v>
      </c>
      <c r="B21" s="30">
        <v>0.75</v>
      </c>
      <c r="C21" s="6">
        <f t="shared" si="1"/>
        <v>0.92999999999999994</v>
      </c>
    </row>
    <row r="22" spans="1:3">
      <c r="A22" s="31" t="s">
        <v>759</v>
      </c>
      <c r="B22" s="30">
        <v>1.25</v>
      </c>
      <c r="C22" s="6">
        <f t="shared" si="1"/>
        <v>1.55</v>
      </c>
    </row>
    <row r="23" spans="1:3">
      <c r="A23" s="31" t="s">
        <v>759</v>
      </c>
      <c r="B23" s="30">
        <v>2.1</v>
      </c>
      <c r="C23" s="6">
        <f t="shared" si="1"/>
        <v>2.6040000000000001</v>
      </c>
    </row>
    <row r="24" spans="1:3">
      <c r="A24" s="31" t="s">
        <v>759</v>
      </c>
      <c r="B24" s="30">
        <v>3.3</v>
      </c>
      <c r="C24" s="6">
        <f t="shared" si="1"/>
        <v>4.0919999999999996</v>
      </c>
    </row>
    <row r="25" spans="1:3">
      <c r="A25" s="31" t="s">
        <v>759</v>
      </c>
      <c r="B25" s="30">
        <v>4.2</v>
      </c>
      <c r="C25" s="6">
        <f t="shared" si="1"/>
        <v>5.2080000000000002</v>
      </c>
    </row>
    <row r="26" spans="1:3">
      <c r="A26" s="31" t="s">
        <v>759</v>
      </c>
      <c r="B26" s="30">
        <v>15</v>
      </c>
      <c r="C26" s="6">
        <f t="shared" si="1"/>
        <v>18.600000000000001</v>
      </c>
    </row>
    <row r="27" spans="1:3">
      <c r="A27" s="31" t="s">
        <v>761</v>
      </c>
      <c r="B27" s="30">
        <v>0.5</v>
      </c>
      <c r="C27" s="6">
        <f t="shared" si="1"/>
        <v>0.62</v>
      </c>
    </row>
    <row r="28" spans="1:3">
      <c r="A28" s="31" t="s">
        <v>761</v>
      </c>
      <c r="B28" s="30">
        <v>0.7</v>
      </c>
      <c r="C28" s="6">
        <f t="shared" si="1"/>
        <v>0.86799999999999988</v>
      </c>
    </row>
    <row r="29" spans="1:3">
      <c r="A29" s="31" t="s">
        <v>761</v>
      </c>
      <c r="B29" s="30">
        <v>0.85</v>
      </c>
      <c r="C29" s="6">
        <f t="shared" si="1"/>
        <v>1.054</v>
      </c>
    </row>
    <row r="30" spans="1:3">
      <c r="A30" s="31" t="s">
        <v>761</v>
      </c>
      <c r="B30" s="30">
        <v>1.4</v>
      </c>
      <c r="C30" s="6">
        <f t="shared" si="1"/>
        <v>1.7359999999999998</v>
      </c>
    </row>
    <row r="31" spans="1:3">
      <c r="A31" s="31" t="s">
        <v>761</v>
      </c>
      <c r="B31" s="30">
        <v>1.85</v>
      </c>
      <c r="C31" s="6">
        <f t="shared" si="1"/>
        <v>2.294</v>
      </c>
    </row>
    <row r="32" spans="1:3">
      <c r="A32" s="31" t="s">
        <v>761</v>
      </c>
      <c r="B32" s="30">
        <v>2.8</v>
      </c>
      <c r="C32" s="6">
        <f t="shared" si="1"/>
        <v>3.4719999999999995</v>
      </c>
    </row>
    <row r="33" spans="1:3">
      <c r="A33" s="31" t="s">
        <v>761</v>
      </c>
      <c r="B33" s="30">
        <v>10</v>
      </c>
      <c r="C33" s="6">
        <f t="shared" si="1"/>
        <v>12.4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5</vt:i4>
      </vt:variant>
      <vt:variant>
        <vt:lpstr>Περιοχές με ονόματα</vt:lpstr>
      </vt:variant>
      <vt:variant>
        <vt:i4>2</vt:i4>
      </vt:variant>
    </vt:vector>
  </HeadingPairs>
  <TitlesOfParts>
    <vt:vector size="7" baseType="lpstr">
      <vt:lpstr>Φόρμα Εισαγωγής</vt:lpstr>
      <vt:lpstr>Αποθήκη_Στοκ</vt:lpstr>
      <vt:lpstr>Χαμηλή Ποσότητα</vt:lpstr>
      <vt:lpstr>Οδηγίες</vt:lpstr>
      <vt:lpstr>Φύλλο3</vt:lpstr>
      <vt:lpstr>Κίνηση</vt:lpstr>
      <vt:lpstr>Προσθήκη</vt:lpstr>
    </vt:vector>
  </TitlesOfParts>
  <Company>HP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GT</dc:creator>
  <cp:lastModifiedBy>User</cp:lastModifiedBy>
  <cp:lastPrinted>2020-04-16T10:46:15Z</cp:lastPrinted>
  <dcterms:created xsi:type="dcterms:W3CDTF">2020-01-08T10:32:11Z</dcterms:created>
  <dcterms:modified xsi:type="dcterms:W3CDTF">2020-06-04T07:14:51Z</dcterms:modified>
</cp:coreProperties>
</file>